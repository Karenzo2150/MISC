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imbi\Desktop\"/>
    </mc:Choice>
  </mc:AlternateContent>
  <xr:revisionPtr revIDLastSave="0" documentId="13_ncr:1_{A2369E3D-E928-4037-B61E-6AF1D41B9786}" xr6:coauthVersionLast="47" xr6:coauthVersionMax="47" xr10:uidLastSave="{00000000-0000-0000-0000-000000000000}"/>
  <bookViews>
    <workbookView xWindow="-110" yWindow="-110" windowWidth="19420" windowHeight="10300" xr2:uid="{CA179527-8B14-4727-B9DA-3FED17804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1" l="1"/>
  <c r="E35" i="1"/>
  <c r="F35" i="1"/>
  <c r="G35" i="1"/>
  <c r="H35" i="1"/>
  <c r="C35" i="1"/>
  <c r="H30" i="1"/>
  <c r="H31" i="1"/>
  <c r="H32" i="1"/>
  <c r="H33" i="1"/>
  <c r="H34" i="1"/>
  <c r="G30" i="1"/>
  <c r="G31" i="1"/>
  <c r="G32" i="1"/>
  <c r="G33" i="1"/>
  <c r="G34" i="1"/>
  <c r="F30" i="1"/>
  <c r="F31" i="1"/>
  <c r="F32" i="1"/>
  <c r="F33" i="1"/>
  <c r="F34" i="1"/>
  <c r="E30" i="1"/>
  <c r="E31" i="1"/>
  <c r="E32" i="1"/>
  <c r="E33" i="1"/>
  <c r="E34" i="1"/>
  <c r="D30" i="1"/>
  <c r="D31" i="1"/>
  <c r="D32" i="1"/>
  <c r="D33" i="1"/>
  <c r="D34" i="1"/>
  <c r="D29" i="1"/>
  <c r="E29" i="1"/>
  <c r="F29" i="1"/>
  <c r="G29" i="1"/>
  <c r="H29" i="1"/>
  <c r="C33" i="1"/>
  <c r="C34" i="1"/>
  <c r="C30" i="1"/>
  <c r="C31" i="1"/>
  <c r="C32" i="1"/>
  <c r="C29" i="1"/>
  <c r="D23" i="1"/>
  <c r="E23" i="1" s="1"/>
  <c r="F23" i="1" s="1"/>
  <c r="G23" i="1" s="1"/>
  <c r="H23" i="1" s="1"/>
  <c r="D22" i="1"/>
  <c r="E22" i="1" s="1"/>
  <c r="F22" i="1" s="1"/>
  <c r="G22" i="1" s="1"/>
  <c r="H22" i="1" s="1"/>
  <c r="D21" i="1"/>
  <c r="E21" i="1" s="1"/>
  <c r="F21" i="1" s="1"/>
  <c r="G21" i="1" s="1"/>
  <c r="H21" i="1" s="1"/>
  <c r="D20" i="1"/>
  <c r="E20" i="1" s="1"/>
  <c r="F20" i="1" s="1"/>
  <c r="G20" i="1" s="1"/>
  <c r="H20" i="1" s="1"/>
  <c r="E19" i="1"/>
  <c r="F19" i="1" s="1"/>
  <c r="G19" i="1" s="1"/>
  <c r="H19" i="1" s="1"/>
  <c r="D19" i="1"/>
  <c r="E18" i="1"/>
  <c r="F18" i="1" s="1"/>
  <c r="G18" i="1" s="1"/>
  <c r="H18" i="1" s="1"/>
  <c r="D18" i="1"/>
  <c r="E11" i="1"/>
  <c r="F11" i="1" s="1"/>
  <c r="G11" i="1" s="1"/>
  <c r="H11" i="1" s="1"/>
  <c r="D11" i="1"/>
  <c r="D10" i="1"/>
  <c r="E10" i="1" s="1"/>
  <c r="F10" i="1" s="1"/>
  <c r="G10" i="1" s="1"/>
  <c r="H10" i="1" s="1"/>
  <c r="D9" i="1"/>
  <c r="E9" i="1" s="1"/>
  <c r="F9" i="1" s="1"/>
  <c r="G9" i="1" s="1"/>
  <c r="H9" i="1" s="1"/>
  <c r="D8" i="1"/>
  <c r="E8" i="1" s="1"/>
  <c r="F8" i="1" s="1"/>
  <c r="G8" i="1" s="1"/>
  <c r="H8" i="1" s="1"/>
  <c r="D7" i="1"/>
  <c r="E7" i="1" s="1"/>
  <c r="F7" i="1" s="1"/>
  <c r="G7" i="1" s="1"/>
  <c r="H7" i="1" s="1"/>
  <c r="D6" i="1"/>
  <c r="E6" i="1" s="1"/>
  <c r="F6" i="1" s="1"/>
  <c r="G6" i="1" s="1"/>
  <c r="H6" i="1" s="1"/>
</calcChain>
</file>

<file path=xl/sharedStrings.xml><?xml version="1.0" encoding="utf-8"?>
<sst xmlns="http://schemas.openxmlformats.org/spreadsheetml/2006/main" count="24" uniqueCount="11">
  <si>
    <t>Volume in Kg</t>
  </si>
  <si>
    <t>Commodities</t>
  </si>
  <si>
    <t>Cassiterite raw</t>
  </si>
  <si>
    <t>Cassiterite Processed</t>
  </si>
  <si>
    <t>Coltan</t>
  </si>
  <si>
    <t xml:space="preserve">Wolfram </t>
  </si>
  <si>
    <t>Gold</t>
  </si>
  <si>
    <t xml:space="preserve">Other minerals </t>
  </si>
  <si>
    <t>price in USD</t>
  </si>
  <si>
    <r>
      <rPr>
        <sz val="24"/>
        <color theme="1"/>
        <rFont val="Calibri"/>
        <family val="2"/>
        <scheme val="minor"/>
      </rPr>
      <t>Projections for 2026-2030</t>
    </r>
    <r>
      <rPr>
        <sz val="11"/>
        <color theme="1"/>
        <rFont val="Calibri"/>
        <family val="2"/>
        <scheme val="minor"/>
      </rPr>
      <t xml:space="preserve"> </t>
    </r>
  </si>
  <si>
    <t>Revenue projections reflect the expected sales volumes and anticipated price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</si>
</sst>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/>
    <xf numFmtId="0" fontId="0" fillId="2" borderId="4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2" borderId="4" xfId="1" applyNumberFormat="1" applyFont="1" applyFill="1" applyBorder="1"/>
    <xf numFmtId="43" fontId="0" fillId="2" borderId="4" xfId="0" applyNumberFormat="1" applyFill="1" applyBorder="1"/>
    <xf numFmtId="9" fontId="0" fillId="2" borderId="0" xfId="0" applyNumberFormat="1" applyFill="1"/>
    <xf numFmtId="164" fontId="0" fillId="2" borderId="0" xfId="1" applyNumberFormat="1" applyFont="1" applyFill="1"/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4" xfId="1" applyNumberFormat="1" applyFont="1" applyFill="1" applyBorder="1"/>
    <xf numFmtId="165" fontId="0" fillId="2" borderId="4" xfId="0" applyNumberFormat="1" applyFill="1" applyBorder="1"/>
    <xf numFmtId="165" fontId="0" fillId="2" borderId="7" xfId="1" applyNumberFormat="1" applyFont="1" applyFill="1" applyBorder="1"/>
    <xf numFmtId="165" fontId="0" fillId="2" borderId="7" xfId="0" applyNumberFormat="1" applyFill="1" applyBorder="1"/>
    <xf numFmtId="0" fontId="0" fillId="3" borderId="4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0" fillId="3" borderId="4" xfId="1" applyNumberFormat="1" applyFont="1" applyFill="1" applyBorder="1"/>
    <xf numFmtId="164" fontId="0" fillId="3" borderId="4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DD67-38FD-45D5-82B8-B411D68DB6F3}">
  <dimension ref="B2:I35"/>
  <sheetViews>
    <sheetView tabSelected="1" topLeftCell="A19" workbookViewId="0">
      <selection activeCell="K27" sqref="K27"/>
    </sheetView>
  </sheetViews>
  <sheetFormatPr defaultRowHeight="14.5" x14ac:dyDescent="0.35"/>
  <cols>
    <col min="2" max="2" width="19.54296875" customWidth="1"/>
    <col min="3" max="3" width="13.90625" customWidth="1"/>
    <col min="4" max="4" width="16.08984375" customWidth="1"/>
    <col min="5" max="5" width="15.1796875" customWidth="1"/>
    <col min="6" max="6" width="15.6328125" customWidth="1"/>
    <col min="7" max="7" width="14.36328125" customWidth="1"/>
    <col min="8" max="8" width="16.6328125" customWidth="1"/>
  </cols>
  <sheetData>
    <row r="2" spans="2:9" ht="31" x14ac:dyDescent="0.7">
      <c r="B2" s="1" t="s">
        <v>9</v>
      </c>
      <c r="C2" s="2"/>
      <c r="D2" s="2"/>
      <c r="E2" s="2"/>
      <c r="F2" s="2"/>
      <c r="G2" s="2"/>
      <c r="H2" s="3"/>
    </row>
    <row r="3" spans="2:9" x14ac:dyDescent="0.35">
      <c r="B3" s="4"/>
      <c r="C3" s="4"/>
      <c r="D3" s="4"/>
      <c r="E3" s="4"/>
      <c r="F3" s="4"/>
      <c r="G3" s="4"/>
      <c r="H3" s="4"/>
      <c r="I3" s="4"/>
    </row>
    <row r="4" spans="2:9" x14ac:dyDescent="0.35">
      <c r="B4" s="5"/>
      <c r="C4" s="6" t="s">
        <v>0</v>
      </c>
      <c r="D4" s="7"/>
      <c r="E4" s="7"/>
      <c r="F4" s="7"/>
      <c r="G4" s="7"/>
      <c r="H4" s="8"/>
      <c r="I4" s="4"/>
    </row>
    <row r="5" spans="2:9" x14ac:dyDescent="0.35">
      <c r="B5" s="5" t="s">
        <v>1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4"/>
    </row>
    <row r="6" spans="2:9" x14ac:dyDescent="0.35">
      <c r="B6" s="5" t="s">
        <v>2</v>
      </c>
      <c r="C6" s="9">
        <v>6348990.8300000001</v>
      </c>
      <c r="D6" s="10">
        <f>C6+(C6*I6)</f>
        <v>6729930.2797999997</v>
      </c>
      <c r="E6" s="10">
        <f>D6+(D6*I6)</f>
        <v>7133726.0965879997</v>
      </c>
      <c r="F6" s="10">
        <f>E6+(E6*I6)</f>
        <v>7561749.6623832798</v>
      </c>
      <c r="G6" s="10">
        <f>F6+(F6*I6)</f>
        <v>8015454.6421262762</v>
      </c>
      <c r="H6" s="10">
        <f>G6+(G6*I6)</f>
        <v>8496381.9206538536</v>
      </c>
      <c r="I6" s="11">
        <v>0.06</v>
      </c>
    </row>
    <row r="7" spans="2:9" x14ac:dyDescent="0.35">
      <c r="B7" s="5" t="s">
        <v>3</v>
      </c>
      <c r="C7" s="9">
        <v>1340612.6099999996</v>
      </c>
      <c r="D7" s="10">
        <f>C7+(C7*I7)</f>
        <v>1421049.3665999996</v>
      </c>
      <c r="E7" s="10">
        <f>D7+(D7*I7)</f>
        <v>1506312.3285959996</v>
      </c>
      <c r="F7" s="10">
        <f>E7+(E7*I7)</f>
        <v>1596691.0683117595</v>
      </c>
      <c r="G7" s="10">
        <f>F7+(F7*I7)</f>
        <v>1692492.5324104652</v>
      </c>
      <c r="H7" s="10">
        <f>G7+(G7*I7)</f>
        <v>1794042.0843550931</v>
      </c>
      <c r="I7" s="11">
        <v>0.06</v>
      </c>
    </row>
    <row r="8" spans="2:9" x14ac:dyDescent="0.35">
      <c r="B8" s="5" t="s">
        <v>4</v>
      </c>
      <c r="C8" s="9">
        <v>2743016.54</v>
      </c>
      <c r="D8" s="10">
        <f>C8+(C8*I8)</f>
        <v>2852737.2016000003</v>
      </c>
      <c r="E8" s="10">
        <f t="shared" ref="E8:E11" si="0">D8+(D8*I8)</f>
        <v>2966846.6896640002</v>
      </c>
      <c r="F8" s="10">
        <f>E8+(E8*I8)</f>
        <v>3085520.5572505603</v>
      </c>
      <c r="G8" s="10">
        <f t="shared" ref="G8:G11" si="1">F8+(F8*I8)</f>
        <v>3208941.3795405827</v>
      </c>
      <c r="H8" s="10">
        <f t="shared" ref="H8:H11" si="2">G8+(G8*I8)</f>
        <v>3337299.0347222062</v>
      </c>
      <c r="I8" s="11">
        <v>0.04</v>
      </c>
    </row>
    <row r="9" spans="2:9" x14ac:dyDescent="0.35">
      <c r="B9" s="5" t="s">
        <v>5</v>
      </c>
      <c r="C9" s="9">
        <v>3009371.32</v>
      </c>
      <c r="D9" s="10">
        <f t="shared" ref="D9:D11" si="3">C9+(C9*I9)</f>
        <v>3099652.4595999997</v>
      </c>
      <c r="E9" s="10">
        <f t="shared" si="0"/>
        <v>3192642.0333879995</v>
      </c>
      <c r="F9" s="10">
        <f t="shared" ref="F9:F11" si="4">E9+(E9*I9)</f>
        <v>3288421.2943896395</v>
      </c>
      <c r="G9" s="10">
        <f t="shared" si="1"/>
        <v>3387073.9332213285</v>
      </c>
      <c r="H9" s="10">
        <f t="shared" si="2"/>
        <v>3488686.1512179682</v>
      </c>
      <c r="I9" s="11">
        <v>0.03</v>
      </c>
    </row>
    <row r="10" spans="2:9" x14ac:dyDescent="0.35">
      <c r="B10" s="5" t="s">
        <v>6</v>
      </c>
      <c r="C10" s="9">
        <v>6327.1100000000006</v>
      </c>
      <c r="D10" s="10">
        <f t="shared" si="3"/>
        <v>6959.8210000000008</v>
      </c>
      <c r="E10" s="10">
        <f t="shared" si="0"/>
        <v>7655.803100000001</v>
      </c>
      <c r="F10" s="10">
        <f t="shared" si="4"/>
        <v>8421.3834100000004</v>
      </c>
      <c r="G10" s="10">
        <f t="shared" si="1"/>
        <v>9263.5217510000002</v>
      </c>
      <c r="H10" s="10">
        <f t="shared" si="2"/>
        <v>10189.873926100001</v>
      </c>
      <c r="I10" s="11">
        <v>0.1</v>
      </c>
    </row>
    <row r="11" spans="2:9" x14ac:dyDescent="0.35">
      <c r="B11" s="5" t="s">
        <v>7</v>
      </c>
      <c r="C11" s="9">
        <v>8818401.9299999997</v>
      </c>
      <c r="D11" s="10">
        <f t="shared" si="3"/>
        <v>8994769.9685999993</v>
      </c>
      <c r="E11" s="10">
        <f t="shared" si="0"/>
        <v>9174665.3679719996</v>
      </c>
      <c r="F11" s="10">
        <f t="shared" si="4"/>
        <v>9358158.6753314398</v>
      </c>
      <c r="G11" s="10">
        <f t="shared" si="1"/>
        <v>9545321.8488380685</v>
      </c>
      <c r="H11" s="10">
        <f t="shared" si="2"/>
        <v>9736228.2858148292</v>
      </c>
      <c r="I11" s="11">
        <v>0.02</v>
      </c>
    </row>
    <row r="12" spans="2:9" x14ac:dyDescent="0.35">
      <c r="B12" s="4"/>
      <c r="C12" s="12"/>
      <c r="D12" s="4"/>
      <c r="E12" s="4"/>
      <c r="F12" s="4"/>
      <c r="G12" s="4"/>
      <c r="H12" s="4"/>
      <c r="I12" s="4"/>
    </row>
    <row r="13" spans="2:9" x14ac:dyDescent="0.35">
      <c r="B13" s="4"/>
      <c r="C13" s="4"/>
      <c r="D13" s="4"/>
      <c r="E13" s="4"/>
      <c r="F13" s="4"/>
      <c r="G13" s="4"/>
      <c r="H13" s="4"/>
      <c r="I13" s="4"/>
    </row>
    <row r="14" spans="2:9" x14ac:dyDescent="0.35">
      <c r="B14" s="4"/>
      <c r="C14" s="4"/>
      <c r="D14" s="4"/>
      <c r="E14" s="4"/>
      <c r="F14" s="4"/>
      <c r="G14" s="4"/>
      <c r="H14" s="4"/>
      <c r="I14" s="4"/>
    </row>
    <row r="15" spans="2:9" x14ac:dyDescent="0.35">
      <c r="B15" s="4"/>
      <c r="C15" s="4"/>
      <c r="D15" s="4"/>
      <c r="E15" s="4"/>
      <c r="F15" s="4"/>
      <c r="G15" s="4"/>
      <c r="H15" s="4"/>
      <c r="I15" s="4"/>
    </row>
    <row r="16" spans="2:9" x14ac:dyDescent="0.35">
      <c r="B16" s="13" t="s">
        <v>1</v>
      </c>
      <c r="C16" s="14" t="s">
        <v>8</v>
      </c>
      <c r="D16" s="14"/>
      <c r="E16" s="14"/>
      <c r="F16" s="14"/>
      <c r="G16" s="14"/>
      <c r="H16" s="14"/>
      <c r="I16" s="4"/>
    </row>
    <row r="17" spans="2:9" x14ac:dyDescent="0.35">
      <c r="B17" s="15"/>
      <c r="C17" s="5">
        <v>2025</v>
      </c>
      <c r="D17" s="5">
        <v>2026</v>
      </c>
      <c r="E17" s="5">
        <v>2027</v>
      </c>
      <c r="F17" s="5">
        <v>2028</v>
      </c>
      <c r="G17" s="5">
        <v>2029</v>
      </c>
      <c r="H17" s="5">
        <v>2030</v>
      </c>
      <c r="I17" s="4"/>
    </row>
    <row r="18" spans="2:9" x14ac:dyDescent="0.35">
      <c r="B18" s="5" t="s">
        <v>2</v>
      </c>
      <c r="C18" s="16">
        <v>15.502333860442633</v>
      </c>
      <c r="D18" s="17">
        <f>C18+(C18*I18)</f>
        <v>15.812380537651485</v>
      </c>
      <c r="E18" s="17">
        <f>D18+(D18*I18)</f>
        <v>16.128628148404516</v>
      </c>
      <c r="F18" s="17">
        <f>E18+(E18*I18)</f>
        <v>16.451200711372607</v>
      </c>
      <c r="G18" s="17">
        <f>F18+(F18*I18)</f>
        <v>16.780224725600061</v>
      </c>
      <c r="H18" s="17">
        <f>G18+(G18*I18)</f>
        <v>17.115829220112062</v>
      </c>
      <c r="I18" s="11">
        <v>0.02</v>
      </c>
    </row>
    <row r="19" spans="2:9" x14ac:dyDescent="0.35">
      <c r="B19" s="5" t="s">
        <v>3</v>
      </c>
      <c r="C19" s="16">
        <v>33.309585537263082</v>
      </c>
      <c r="D19" s="17">
        <f t="shared" ref="D19:D23" si="5">C19+(C19*I19)</f>
        <v>34.308873103380975</v>
      </c>
      <c r="E19" s="17">
        <f t="shared" ref="E19:E23" si="6">D19+(D19*I19)</f>
        <v>35.338139296482403</v>
      </c>
      <c r="F19" s="17">
        <f t="shared" ref="F19:F23" si="7">E19+(E19*I19)</f>
        <v>36.398283475376878</v>
      </c>
      <c r="G19" s="17">
        <f t="shared" ref="G19:G23" si="8">F19+(F19*I19)</f>
        <v>37.490231979638182</v>
      </c>
      <c r="H19" s="17">
        <f t="shared" ref="H19:H23" si="9">G19+(G19*I19)</f>
        <v>38.614938939027326</v>
      </c>
      <c r="I19" s="11">
        <v>0.03</v>
      </c>
    </row>
    <row r="20" spans="2:9" x14ac:dyDescent="0.35">
      <c r="B20" s="5" t="s">
        <v>4</v>
      </c>
      <c r="C20" s="16">
        <v>47.388421186020537</v>
      </c>
      <c r="D20" s="17">
        <f t="shared" si="5"/>
        <v>48.336189609740948</v>
      </c>
      <c r="E20" s="17">
        <f t="shared" si="6"/>
        <v>49.302913401935768</v>
      </c>
      <c r="F20" s="17">
        <f t="shared" si="7"/>
        <v>50.288971669974487</v>
      </c>
      <c r="G20" s="17">
        <f t="shared" si="8"/>
        <v>51.294751103373976</v>
      </c>
      <c r="H20" s="17">
        <f t="shared" si="9"/>
        <v>52.320646125441456</v>
      </c>
      <c r="I20" s="11">
        <v>0.02</v>
      </c>
    </row>
    <row r="21" spans="2:9" x14ac:dyDescent="0.35">
      <c r="B21" s="5" t="s">
        <v>5</v>
      </c>
      <c r="C21" s="16">
        <v>21.652523069823445</v>
      </c>
      <c r="D21" s="17">
        <f t="shared" si="5"/>
        <v>22.302098761918149</v>
      </c>
      <c r="E21" s="17">
        <f t="shared" si="6"/>
        <v>22.971161724775694</v>
      </c>
      <c r="F21" s="17">
        <f t="shared" si="7"/>
        <v>23.660296576518967</v>
      </c>
      <c r="G21" s="17">
        <f t="shared" si="8"/>
        <v>24.370105473814537</v>
      </c>
      <c r="H21" s="17">
        <f t="shared" si="9"/>
        <v>25.101208638028972</v>
      </c>
      <c r="I21" s="11">
        <v>0.03</v>
      </c>
    </row>
    <row r="22" spans="2:9" x14ac:dyDescent="0.35">
      <c r="B22" s="5" t="s">
        <v>6</v>
      </c>
      <c r="C22" s="16">
        <v>81693.075915557958</v>
      </c>
      <c r="D22" s="17">
        <f t="shared" si="5"/>
        <v>86594.660470491435</v>
      </c>
      <c r="E22" s="17">
        <f t="shared" si="6"/>
        <v>91790.340098720917</v>
      </c>
      <c r="F22" s="17">
        <f t="shared" si="7"/>
        <v>97297.760504644175</v>
      </c>
      <c r="G22" s="17">
        <f t="shared" si="8"/>
        <v>103135.62613492283</v>
      </c>
      <c r="H22" s="17">
        <f t="shared" si="9"/>
        <v>109323.76370301819</v>
      </c>
      <c r="I22" s="11">
        <v>0.06</v>
      </c>
    </row>
    <row r="23" spans="2:9" x14ac:dyDescent="0.35">
      <c r="B23" s="5" t="s">
        <v>7</v>
      </c>
      <c r="C23" s="16">
        <v>1.6</v>
      </c>
      <c r="D23" s="17">
        <f t="shared" si="5"/>
        <v>1.6160000000000001</v>
      </c>
      <c r="E23" s="17">
        <f t="shared" si="6"/>
        <v>1.6321600000000001</v>
      </c>
      <c r="F23" s="17">
        <f t="shared" si="7"/>
        <v>1.6484816</v>
      </c>
      <c r="G23" s="17">
        <f t="shared" si="8"/>
        <v>1.6649664159999999</v>
      </c>
      <c r="H23" s="17">
        <f t="shared" si="9"/>
        <v>1.68161608016</v>
      </c>
      <c r="I23" s="11">
        <v>0.01</v>
      </c>
    </row>
    <row r="24" spans="2:9" x14ac:dyDescent="0.35">
      <c r="B24" s="4"/>
      <c r="C24" s="18"/>
      <c r="D24" s="19"/>
      <c r="E24" s="19"/>
      <c r="F24" s="19"/>
      <c r="G24" s="19"/>
      <c r="H24" s="19"/>
      <c r="I24" s="11"/>
    </row>
    <row r="25" spans="2:9" x14ac:dyDescent="0.35">
      <c r="B25" s="4"/>
      <c r="C25" s="4"/>
      <c r="D25" s="4"/>
      <c r="E25" s="4"/>
      <c r="F25" s="4"/>
      <c r="G25" s="4"/>
      <c r="H25" s="4"/>
      <c r="I25" s="4"/>
    </row>
    <row r="27" spans="2:9" x14ac:dyDescent="0.35">
      <c r="B27" s="20"/>
      <c r="C27" s="21" t="s">
        <v>10</v>
      </c>
      <c r="D27" s="22"/>
      <c r="E27" s="22"/>
      <c r="F27" s="22"/>
      <c r="G27" s="22"/>
      <c r="H27" s="23"/>
    </row>
    <row r="28" spans="2:9" x14ac:dyDescent="0.35">
      <c r="B28" s="20"/>
      <c r="C28" s="20">
        <v>2025</v>
      </c>
      <c r="D28" s="20">
        <v>2026</v>
      </c>
      <c r="E28" s="20">
        <v>2027</v>
      </c>
      <c r="F28" s="20">
        <v>2028</v>
      </c>
      <c r="G28" s="20">
        <v>2029</v>
      </c>
      <c r="H28" s="20">
        <v>2030</v>
      </c>
    </row>
    <row r="29" spans="2:9" x14ac:dyDescent="0.35">
      <c r="B29" s="20" t="s">
        <v>2</v>
      </c>
      <c r="C29" s="24">
        <f>C6*C18</f>
        <v>98424175.523548782</v>
      </c>
      <c r="D29" s="24">
        <f t="shared" ref="D29:H29" si="10">D6*D18</f>
        <v>106416218.57606094</v>
      </c>
      <c r="E29" s="24">
        <f t="shared" si="10"/>
        <v>115057215.52443708</v>
      </c>
      <c r="F29" s="24">
        <f t="shared" si="10"/>
        <v>124399861.42502138</v>
      </c>
      <c r="G29" s="24">
        <f t="shared" si="10"/>
        <v>134501130.17273313</v>
      </c>
      <c r="H29" s="24">
        <f t="shared" si="10"/>
        <v>145422621.94275907</v>
      </c>
    </row>
    <row r="30" spans="2:9" x14ac:dyDescent="0.35">
      <c r="B30" s="20" t="s">
        <v>3</v>
      </c>
      <c r="C30" s="24">
        <f t="shared" ref="C30:H35" si="11">C7*C19</f>
        <v>44655250.405128501</v>
      </c>
      <c r="D30" s="24">
        <f t="shared" si="11"/>
        <v>48754602.392319299</v>
      </c>
      <c r="E30" s="24">
        <f t="shared" si="11"/>
        <v>53230274.891934209</v>
      </c>
      <c r="F30" s="24">
        <f t="shared" si="11"/>
        <v>58116814.127013773</v>
      </c>
      <c r="G30" s="24">
        <f t="shared" si="11"/>
        <v>63451937.663873635</v>
      </c>
      <c r="H30" s="24">
        <f t="shared" si="11"/>
        <v>69276825.541417226</v>
      </c>
    </row>
    <row r="31" spans="2:9" x14ac:dyDescent="0.35">
      <c r="B31" s="20" t="s">
        <v>4</v>
      </c>
      <c r="C31" s="24">
        <f t="shared" si="11"/>
        <v>129987223.11774075</v>
      </c>
      <c r="D31" s="24">
        <f t="shared" si="11"/>
        <v>137890446.28329942</v>
      </c>
      <c r="E31" s="24">
        <f t="shared" si="11"/>
        <v>146274185.41732401</v>
      </c>
      <c r="F31" s="24">
        <f t="shared" si="11"/>
        <v>155167655.89069733</v>
      </c>
      <c r="G31" s="24">
        <f t="shared" si="11"/>
        <v>164601849.36885172</v>
      </c>
      <c r="H31" s="24">
        <f t="shared" si="11"/>
        <v>174609641.81047791</v>
      </c>
    </row>
    <row r="32" spans="2:9" x14ac:dyDescent="0.35">
      <c r="B32" s="20" t="s">
        <v>5</v>
      </c>
      <c r="C32" s="24">
        <f t="shared" si="11"/>
        <v>65160481.931965031</v>
      </c>
      <c r="D32" s="24">
        <f t="shared" si="11"/>
        <v>69128755.281621695</v>
      </c>
      <c r="E32" s="24">
        <f t="shared" si="11"/>
        <v>73338696.478272453</v>
      </c>
      <c r="F32" s="24">
        <f t="shared" si="11"/>
        <v>77805023.093799263</v>
      </c>
      <c r="G32" s="24">
        <f t="shared" si="11"/>
        <v>82543349.000211626</v>
      </c>
      <c r="H32" s="24">
        <f t="shared" si="11"/>
        <v>87570238.954324514</v>
      </c>
    </row>
    <row r="33" spans="2:8" x14ac:dyDescent="0.35">
      <c r="B33" s="20" t="s">
        <v>6</v>
      </c>
      <c r="C33" s="24">
        <f t="shared" si="11"/>
        <v>516881077.55608594</v>
      </c>
      <c r="D33" s="24">
        <f t="shared" si="11"/>
        <v>602683336.4303962</v>
      </c>
      <c r="E33" s="24">
        <f t="shared" si="11"/>
        <v>702728770.27784204</v>
      </c>
      <c r="F33" s="24">
        <f t="shared" si="11"/>
        <v>819381746.14396369</v>
      </c>
      <c r="G33" s="24">
        <f t="shared" si="11"/>
        <v>955399116.00386167</v>
      </c>
      <c r="H33" s="24">
        <f t="shared" si="11"/>
        <v>1113995369.2605028</v>
      </c>
    </row>
    <row r="34" spans="2:8" x14ac:dyDescent="0.35">
      <c r="B34" s="20" t="s">
        <v>7</v>
      </c>
      <c r="C34" s="24">
        <f t="shared" si="11"/>
        <v>14109443.088</v>
      </c>
      <c r="D34" s="24">
        <f t="shared" si="11"/>
        <v>14535548.269257599</v>
      </c>
      <c r="E34" s="24">
        <f t="shared" si="11"/>
        <v>14974521.826989179</v>
      </c>
      <c r="F34" s="24">
        <f t="shared" si="11"/>
        <v>15426752.386164252</v>
      </c>
      <c r="G34" s="24">
        <f t="shared" si="11"/>
        <v>15892640.308226412</v>
      </c>
      <c r="H34" s="24">
        <f t="shared" si="11"/>
        <v>16372598.045534849</v>
      </c>
    </row>
    <row r="35" spans="2:8" x14ac:dyDescent="0.35">
      <c r="B35" s="20"/>
      <c r="C35" s="25">
        <f>SUM(C29:C34)</f>
        <v>869217651.62246919</v>
      </c>
      <c r="D35" s="25">
        <f t="shared" ref="D35:H35" si="12">SUM(D29:D34)</f>
        <v>979408907.2329551</v>
      </c>
      <c r="E35" s="25">
        <f t="shared" si="12"/>
        <v>1105603664.4167991</v>
      </c>
      <c r="F35" s="25">
        <f t="shared" si="12"/>
        <v>1250297853.0666595</v>
      </c>
      <c r="G35" s="25">
        <f t="shared" si="12"/>
        <v>1416390022.5177581</v>
      </c>
      <c r="H35" s="25">
        <f t="shared" si="12"/>
        <v>1607247295.5550163</v>
      </c>
    </row>
  </sheetData>
  <mergeCells count="5">
    <mergeCell ref="B2:H2"/>
    <mergeCell ref="C4:H4"/>
    <mergeCell ref="B16:B17"/>
    <mergeCell ref="C16:H16"/>
    <mergeCell ref="C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Rosine Isimbi</dc:creator>
  <cp:lastModifiedBy>Rosine Isimbi</cp:lastModifiedBy>
  <dcterms:created xsi:type="dcterms:W3CDTF">2026-02-10T13:34:26Z</dcterms:created>
  <dcterms:modified xsi:type="dcterms:W3CDTF">2026-02-10T13:51:22Z</dcterms:modified>
</cp:coreProperties>
</file>