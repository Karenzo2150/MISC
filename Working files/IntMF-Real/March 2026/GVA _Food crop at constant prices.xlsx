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esktop\MINECOFIN\Macro\IntMF&amp;IMF-Mission\Preparations\March 2026\"/>
    </mc:Choice>
  </mc:AlternateContent>
  <xr:revisionPtr revIDLastSave="0" documentId="8_{542CE255-A16E-4FEB-8554-FC2E8CABD89C}" xr6:coauthVersionLast="47" xr6:coauthVersionMax="47" xr10:uidLastSave="{00000000-0000-0000-0000-000000000000}"/>
  <bookViews>
    <workbookView xWindow="-90" yWindow="-90" windowWidth="19380" windowHeight="11460" xr2:uid="{9921DDE1-80F3-4CFA-9CCE-ADEEF149C369}"/>
  </bookViews>
  <sheets>
    <sheet name="GVAKP" sheetId="1" r:id="rId1"/>
    <sheet name="Sheet1" sheetId="2" r:id="rId2"/>
  </sheets>
  <definedNames>
    <definedName name="_90CI">#REF!</definedName>
    <definedName name="_91CI">#REF!</definedName>
    <definedName name="_92CI">#REF!</definedName>
    <definedName name="_93CI">#REF!</definedName>
    <definedName name="_94CI">#REF!</definedName>
    <definedName name="_95CI">#REF!</definedName>
    <definedName name="_Order1" hidden="1">255</definedName>
    <definedName name="CPIITEMS" localSheetId="0">#REF!</definedName>
    <definedName name="DEF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7" i="2" l="1"/>
  <c r="AY7" i="2"/>
  <c r="AY5" i="2"/>
  <c r="AX5" i="2"/>
  <c r="AX46" i="2"/>
  <c r="AY46" i="2"/>
  <c r="AX9" i="2"/>
  <c r="AY9" i="2"/>
  <c r="AX15" i="2"/>
  <c r="AY15" i="2"/>
  <c r="AX20" i="2"/>
  <c r="AY20" i="2"/>
  <c r="AX23" i="2"/>
  <c r="AY23" i="2"/>
  <c r="AX32" i="2"/>
  <c r="AY32" i="2"/>
  <c r="AX36" i="2"/>
  <c r="AY36" i="2"/>
  <c r="AX42" i="2"/>
  <c r="AY42" i="2"/>
  <c r="AY45" i="2"/>
  <c r="AY44" i="2"/>
  <c r="AY43" i="2"/>
  <c r="AX44" i="2"/>
  <c r="AX45" i="2"/>
  <c r="AX43" i="2"/>
  <c r="AY38" i="2"/>
  <c r="AY39" i="2"/>
  <c r="AY40" i="2"/>
  <c r="AY41" i="2"/>
  <c r="AY37" i="2"/>
  <c r="AX38" i="2"/>
  <c r="AX39" i="2"/>
  <c r="AX40" i="2"/>
  <c r="AX41" i="2"/>
  <c r="AX37" i="2"/>
  <c r="AY34" i="2"/>
  <c r="AY35" i="2"/>
  <c r="AY33" i="2"/>
  <c r="AX34" i="2"/>
  <c r="AX35" i="2"/>
  <c r="AX33" i="2"/>
  <c r="AY25" i="2"/>
  <c r="AY26" i="2"/>
  <c r="AY27" i="2"/>
  <c r="AY28" i="2"/>
  <c r="AY29" i="2"/>
  <c r="AY30" i="2"/>
  <c r="AY31" i="2"/>
  <c r="AY24" i="2"/>
  <c r="AX25" i="2"/>
  <c r="AX26" i="2"/>
  <c r="AX27" i="2"/>
  <c r="AX28" i="2"/>
  <c r="AX29" i="2"/>
  <c r="AX30" i="2"/>
  <c r="AX31" i="2"/>
  <c r="AX24" i="2"/>
  <c r="AY22" i="2"/>
  <c r="AY21" i="2"/>
  <c r="AX22" i="2"/>
  <c r="AX21" i="2"/>
  <c r="AY17" i="2"/>
  <c r="AY18" i="2"/>
  <c r="AY19" i="2"/>
  <c r="AY16" i="2"/>
  <c r="AX17" i="2"/>
  <c r="AX18" i="2"/>
  <c r="AX19" i="2"/>
  <c r="AX16" i="2"/>
  <c r="AY11" i="2"/>
  <c r="AY12" i="2"/>
  <c r="AY13" i="2"/>
  <c r="AY14" i="2"/>
  <c r="AY10" i="2"/>
  <c r="AX11" i="2"/>
  <c r="AX12" i="2"/>
  <c r="AX13" i="2"/>
  <c r="AX14" i="2"/>
  <c r="AX10" i="2"/>
  <c r="BA46" i="2"/>
  <c r="BB46" i="2"/>
  <c r="AW15" i="2"/>
  <c r="BA15" i="2"/>
  <c r="BB15" i="2"/>
  <c r="AU15" i="2"/>
  <c r="AV15" i="2"/>
  <c r="AT15" i="2"/>
  <c r="AT9" i="2"/>
  <c r="AZ5" i="2"/>
  <c r="AU9" i="2"/>
  <c r="AV9" i="2"/>
  <c r="AW9" i="2"/>
  <c r="BA9" i="2"/>
  <c r="BB9" i="2"/>
  <c r="BB42" i="2"/>
  <c r="BA42" i="2"/>
  <c r="AW42" i="2"/>
  <c r="AV42" i="2"/>
  <c r="AU42" i="2"/>
  <c r="AT42" i="2"/>
  <c r="BB36" i="2"/>
  <c r="BA36" i="2"/>
  <c r="AU36" i="2"/>
  <c r="AV36" i="2"/>
  <c r="AW36" i="2"/>
  <c r="AT36" i="2"/>
  <c r="AT32" i="2"/>
  <c r="AV32" i="2"/>
  <c r="AW32" i="2"/>
  <c r="AU32" i="2"/>
  <c r="BA32" i="2"/>
  <c r="BB32" i="2"/>
  <c r="BB23" i="2"/>
  <c r="BB20" i="2" s="1"/>
  <c r="BA23" i="2"/>
  <c r="BA20" i="2" s="1"/>
  <c r="AU23" i="2"/>
  <c r="AU20" i="2" s="1"/>
  <c r="AT23" i="2"/>
  <c r="AV23" i="2"/>
  <c r="AV20" i="2" s="1"/>
  <c r="AW23" i="2"/>
  <c r="AW20" i="2" s="1"/>
  <c r="AU7" i="2" l="1"/>
  <c r="AZ23" i="2"/>
  <c r="AT20" i="2"/>
  <c r="BC23" i="2"/>
  <c r="BE23" i="2" s="1"/>
  <c r="AT7" i="2"/>
  <c r="AW7" i="2"/>
  <c r="AV7" i="2"/>
  <c r="BC45" i="2" l="1"/>
  <c r="AZ45" i="2"/>
  <c r="BC44" i="2"/>
  <c r="AZ44" i="2"/>
  <c r="BC43" i="2"/>
  <c r="AZ43" i="2"/>
  <c r="BC41" i="2"/>
  <c r="AZ41" i="2"/>
  <c r="BC40" i="2"/>
  <c r="AZ40" i="2"/>
  <c r="BC39" i="2"/>
  <c r="AZ39" i="2"/>
  <c r="BC38" i="2"/>
  <c r="BE38" i="2" s="1"/>
  <c r="AZ38" i="2"/>
  <c r="BC37" i="2"/>
  <c r="AZ37" i="2"/>
  <c r="AZ36" i="2" s="1"/>
  <c r="BC31" i="2"/>
  <c r="BE31" i="2" s="1"/>
  <c r="AZ31" i="2"/>
  <c r="BC35" i="2"/>
  <c r="BE35" i="2" s="1"/>
  <c r="AZ35" i="2"/>
  <c r="BC34" i="2"/>
  <c r="BE34" i="2" s="1"/>
  <c r="AZ34" i="2"/>
  <c r="BC33" i="2"/>
  <c r="AZ33" i="2"/>
  <c r="AZ32" i="2" s="1"/>
  <c r="BC30" i="2"/>
  <c r="BE30" i="2" s="1"/>
  <c r="AZ30" i="2"/>
  <c r="BC29" i="2"/>
  <c r="BE29" i="2" s="1"/>
  <c r="AZ29" i="2"/>
  <c r="BC28" i="2"/>
  <c r="BE28" i="2" s="1"/>
  <c r="AZ28" i="2"/>
  <c r="BC27" i="2"/>
  <c r="BE27" i="2" s="1"/>
  <c r="AZ27" i="2"/>
  <c r="BC26" i="2"/>
  <c r="BE26" i="2" s="1"/>
  <c r="AZ26" i="2"/>
  <c r="BC25" i="2"/>
  <c r="BE25" i="2" s="1"/>
  <c r="AZ25" i="2"/>
  <c r="BC24" i="2"/>
  <c r="BE24" i="2" s="1"/>
  <c r="AZ24" i="2"/>
  <c r="BC22" i="2"/>
  <c r="BE22" i="2" s="1"/>
  <c r="AZ22" i="2"/>
  <c r="BC21" i="2"/>
  <c r="AZ21" i="2"/>
  <c r="AZ20" i="2" s="1"/>
  <c r="BC19" i="2"/>
  <c r="BE19" i="2" s="1"/>
  <c r="AZ19" i="2"/>
  <c r="BC18" i="2"/>
  <c r="BE18" i="2" s="1"/>
  <c r="AZ18" i="2"/>
  <c r="BC17" i="2"/>
  <c r="BE17" i="2" s="1"/>
  <c r="AZ17" i="2"/>
  <c r="BC16" i="2"/>
  <c r="AZ16" i="2"/>
  <c r="AZ15" i="2" s="1"/>
  <c r="BC14" i="2"/>
  <c r="BE14" i="2" s="1"/>
  <c r="AZ14" i="2"/>
  <c r="BC13" i="2"/>
  <c r="BE13" i="2" s="1"/>
  <c r="AZ13" i="2"/>
  <c r="BC12" i="2"/>
  <c r="BE12" i="2" s="1"/>
  <c r="AZ12" i="2"/>
  <c r="BC11" i="2"/>
  <c r="BE11" i="2" s="1"/>
  <c r="AZ11" i="2"/>
  <c r="BC10" i="2"/>
  <c r="AZ10" i="2"/>
  <c r="BC7" i="2"/>
  <c r="BC5" i="2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7" i="1"/>
  <c r="AZ5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10" i="1"/>
  <c r="AW7" i="1"/>
  <c r="AW5" i="1"/>
  <c r="BE10" i="2" l="1"/>
  <c r="BC9" i="2"/>
  <c r="BE9" i="2" s="1"/>
  <c r="AZ46" i="2"/>
  <c r="AZ42" i="2"/>
  <c r="BC46" i="2"/>
  <c r="BC42" i="2"/>
  <c r="BE33" i="2"/>
  <c r="BC32" i="2"/>
  <c r="BE32" i="2" s="1"/>
  <c r="BC20" i="2"/>
  <c r="BE20" i="2" s="1"/>
  <c r="BE21" i="2"/>
  <c r="BC36" i="2"/>
  <c r="BE36" i="2" s="1"/>
  <c r="BE37" i="2"/>
  <c r="BE16" i="2"/>
  <c r="BC15" i="2"/>
  <c r="BE15" i="2" s="1"/>
  <c r="AZ9" i="2"/>
  <c r="AZ7" i="2" s="1"/>
</calcChain>
</file>

<file path=xl/sharedStrings.xml><?xml version="1.0" encoding="utf-8"?>
<sst xmlns="http://schemas.openxmlformats.org/spreadsheetml/2006/main" count="517" uniqueCount="134">
  <si>
    <t>KP</t>
  </si>
  <si>
    <t>Base Year</t>
  </si>
  <si>
    <t>Constant Prices</t>
  </si>
  <si>
    <t>Gross value added</t>
  </si>
  <si>
    <t>Q1</t>
  </si>
  <si>
    <t>Q2</t>
  </si>
  <si>
    <t>Q3</t>
  </si>
  <si>
    <t>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</si>
  <si>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</si>
  <si>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</si>
  <si>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</si>
  <si>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</si>
  <si>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</si>
  <si>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</si>
  <si>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</si>
  <si>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</si>
  <si>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</si>
  <si>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</si>
  <si>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</si>
  <si>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</si>
  <si>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</si>
  <si>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</si>
  <si>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</si>
  <si>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</si>
  <si>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</si>
  <si>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</si>
  <si>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</si>
  <si>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</si>
  <si>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</si>
  <si>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</si>
  <si>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</si>
  <si>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</si>
  <si>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</si>
  <si>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</si>
  <si>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</si>
  <si>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</si>
  <si>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</si>
  <si>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</si>
  <si>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</si>
  <si>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</si>
  <si>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</si>
  <si>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</si>
  <si>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</si>
  <si>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</si>
  <si>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</si>
  <si>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</si>
  <si>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</si>
  <si>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</si>
  <si>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</si>
  <si>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</si>
  <si>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</si>
  <si>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</si>
  <si>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</si>
  <si>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</si>
  <si>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H1</t>
  </si>
  <si>
    <t>H2</t>
  </si>
  <si>
    <t>A1</t>
  </si>
  <si>
    <t>Food crops</t>
  </si>
  <si>
    <t>A</t>
  </si>
  <si>
    <t>A11</t>
  </si>
  <si>
    <t>A12</t>
  </si>
  <si>
    <t>A13</t>
  </si>
  <si>
    <t>A14</t>
  </si>
  <si>
    <t>A15</t>
  </si>
  <si>
    <t>A111</t>
  </si>
  <si>
    <t>Sorghum</t>
  </si>
  <si>
    <t>A112</t>
  </si>
  <si>
    <t>Maize</t>
  </si>
  <si>
    <t>A113</t>
  </si>
  <si>
    <t>Wheat</t>
  </si>
  <si>
    <t>A116</t>
  </si>
  <si>
    <t>Paddy &amp; husked rice</t>
  </si>
  <si>
    <t>A119</t>
  </si>
  <si>
    <t>Other cereals</t>
  </si>
  <si>
    <t>A121</t>
  </si>
  <si>
    <t>Irish potatoes</t>
  </si>
  <si>
    <t>A122</t>
  </si>
  <si>
    <t>Sweet potatoes</t>
  </si>
  <si>
    <t>A123</t>
  </si>
  <si>
    <t>Cassava</t>
  </si>
  <si>
    <t>A129</t>
  </si>
  <si>
    <t>Other roots &amp; tubers</t>
  </si>
  <si>
    <t>A131</t>
  </si>
  <si>
    <t xml:space="preserve">Dried beans </t>
  </si>
  <si>
    <t>A132</t>
  </si>
  <si>
    <t>Peas &amp; other legumes</t>
  </si>
  <si>
    <t>A139.02</t>
  </si>
  <si>
    <t>Amaranths</t>
  </si>
  <si>
    <t>A139.04</t>
  </si>
  <si>
    <t>Carrots</t>
  </si>
  <si>
    <t>A139.07</t>
  </si>
  <si>
    <t>Eggplant</t>
  </si>
  <si>
    <t>A139.10</t>
  </si>
  <si>
    <t>Onions</t>
  </si>
  <si>
    <t>A139.15</t>
  </si>
  <si>
    <t>Tomotoes</t>
  </si>
  <si>
    <t>A139.16</t>
  </si>
  <si>
    <t>White cabbage</t>
  </si>
  <si>
    <t>A139.99</t>
  </si>
  <si>
    <t>Other vegetables</t>
  </si>
  <si>
    <t>A141</t>
  </si>
  <si>
    <t>Bananas for beer</t>
  </si>
  <si>
    <t>A142</t>
  </si>
  <si>
    <t>Bananas for cooking</t>
  </si>
  <si>
    <t>A143</t>
  </si>
  <si>
    <t>Bananas (sweet)</t>
  </si>
  <si>
    <t>A149.01</t>
  </si>
  <si>
    <t>Tree tomato</t>
  </si>
  <si>
    <t>A149.02</t>
  </si>
  <si>
    <t>Avocado</t>
  </si>
  <si>
    <t>A149.04</t>
  </si>
  <si>
    <t>Mango</t>
  </si>
  <si>
    <t>A149.05</t>
  </si>
  <si>
    <t>Papaya</t>
  </si>
  <si>
    <t>A149.08</t>
  </si>
  <si>
    <t>Pineapple</t>
  </si>
  <si>
    <t>A149.99</t>
  </si>
  <si>
    <t>Other fruits</t>
  </si>
  <si>
    <t>A151</t>
  </si>
  <si>
    <t>Ground nuts</t>
  </si>
  <si>
    <t>A152</t>
  </si>
  <si>
    <t>Soya</t>
  </si>
  <si>
    <t>A159</t>
  </si>
  <si>
    <t>Other oil seeds</t>
  </si>
  <si>
    <t>Tot</t>
  </si>
  <si>
    <t>Ann.</t>
  </si>
  <si>
    <t>c</t>
  </si>
  <si>
    <t>Cereals</t>
  </si>
  <si>
    <t xml:space="preserve">Roots &amp; tubers </t>
  </si>
  <si>
    <t>Legumes</t>
  </si>
  <si>
    <t>Bananas</t>
  </si>
  <si>
    <t>Oil seeds</t>
  </si>
  <si>
    <t>Vegetables</t>
  </si>
  <si>
    <t>Fruits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</si>
</sst>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_ ;[Red]\-#,##0\ "/>
    <numFmt numFmtId="165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C00000"/>
      <name val="Aptos"/>
      <family val="2"/>
    </font>
    <font>
      <sz val="10"/>
      <color rgb="FFC00000"/>
      <name val="Aptos"/>
      <family val="2"/>
    </font>
    <font>
      <b/>
      <sz val="1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center"/>
    </xf>
    <xf numFmtId="164" fontId="1" fillId="0" borderId="0" xfId="0" applyNumberFormat="1" applyFont="1"/>
    <xf numFmtId="3" fontId="1" fillId="0" borderId="0" xfId="0" applyNumberFormat="1" applyFont="1"/>
    <xf numFmtId="164" fontId="2" fillId="0" borderId="0" xfId="0" applyNumberFormat="1" applyFont="1"/>
    <xf numFmtId="3" fontId="2" fillId="0" borderId="0" xfId="0" applyNumberFormat="1" applyFont="1"/>
    <xf numFmtId="0" fontId="5" fillId="0" borderId="0" xfId="0" applyFont="1" applyAlignment="1">
      <alignment horizontal="center"/>
    </xf>
    <xf numFmtId="165" fontId="5" fillId="0" borderId="0" xfId="1" applyNumberFormat="1" applyFont="1" applyAlignment="1">
      <alignment horizontal="center"/>
    </xf>
    <xf numFmtId="3" fontId="6" fillId="0" borderId="0" xfId="0" applyNumberFormat="1" applyFont="1"/>
    <xf numFmtId="164" fontId="6" fillId="0" borderId="0" xfId="0" applyNumberFormat="1" applyFont="1"/>
    <xf numFmtId="164" fontId="4" fillId="2" borderId="0" xfId="0" applyNumberFormat="1" applyFont="1" applyFill="1"/>
    <xf numFmtId="165" fontId="5" fillId="3" borderId="0" xfId="1" applyNumberFormat="1" applyFont="1" applyFill="1" applyAlignment="1">
      <alignment horizontal="center"/>
    </xf>
    <xf numFmtId="43" fontId="2" fillId="0" borderId="0" xfId="1" applyFont="1"/>
    <xf numFmtId="43" fontId="2" fillId="3" borderId="0" xfId="1" applyFont="1" applyFill="1"/>
    <xf numFmtId="165" fontId="7" fillId="0" borderId="0" xfId="1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0A038-A1E7-4B5E-A5F4-D6596FDAEF72}">
  <sheetPr codeName="Sheet1"/>
  <dimension ref="A1:AZ49"/>
  <sheetViews>
    <sheetView tabSelected="1" zoomScale="110" zoomScaleNormal="110" workbookViewId="0">
      <pane xSplit="4" ySplit="8" topLeftCell="AR9" activePane="bottomRight" state="frozen"/>
      <selection sqref="A1:XFD1048576"/>
      <selection pane="topRight" sqref="A1:XFD1048576"/>
      <selection pane="bottomLeft" sqref="A1:XFD1048576"/>
      <selection pane="bottomRight" activeCell="AY10" sqref="AY10"/>
    </sheetView>
  </sheetViews>
  <sheetFormatPr defaultColWidth="9.26953125" defaultRowHeight="13.5" x14ac:dyDescent="0.7"/>
  <cols>
    <col min="1" max="1" width="9.7265625" style="8" customWidth="1"/>
    <col min="2" max="2" width="25.26953125" style="8" customWidth="1"/>
    <col min="3" max="3" width="9.7265625" style="8" customWidth="1"/>
    <col min="4" max="4" width="12.36328125" style="8" customWidth="1"/>
    <col min="5" max="48" width="8.08984375" style="8" customWidth="1"/>
    <col min="49" max="49" width="9.6796875" style="13" customWidth="1"/>
    <col min="50" max="51" width="8.08984375" style="8" customWidth="1"/>
    <col min="52" max="16384" width="9.26953125" style="8"/>
  </cols>
  <sheetData>
    <row r="1" spans="1:52" s="1" customFormat="1" ht="14.65" customHeight="1" x14ac:dyDescent="0.7">
      <c r="B1" s="2"/>
      <c r="E1" s="1">
        <v>2014</v>
      </c>
      <c r="F1" s="1">
        <v>2014</v>
      </c>
      <c r="G1" s="1">
        <v>2014</v>
      </c>
      <c r="H1" s="1">
        <v>2014</v>
      </c>
      <c r="I1" s="1">
        <v>2015</v>
      </c>
      <c r="J1" s="1">
        <v>2015</v>
      </c>
      <c r="K1" s="1">
        <v>2015</v>
      </c>
      <c r="L1" s="1">
        <v>2015</v>
      </c>
      <c r="M1" s="1">
        <v>2016</v>
      </c>
      <c r="N1" s="1">
        <v>2016</v>
      </c>
      <c r="O1" s="1">
        <v>2016</v>
      </c>
      <c r="P1" s="1">
        <v>2016</v>
      </c>
      <c r="Q1" s="1">
        <v>2017</v>
      </c>
      <c r="R1" s="1">
        <v>2017</v>
      </c>
      <c r="S1" s="1">
        <v>2017</v>
      </c>
      <c r="T1" s="1">
        <v>2017</v>
      </c>
      <c r="U1" s="1">
        <v>2018</v>
      </c>
      <c r="V1" s="1">
        <v>2018</v>
      </c>
      <c r="W1" s="1">
        <v>2018</v>
      </c>
      <c r="X1" s="1">
        <v>2018</v>
      </c>
      <c r="Y1" s="1">
        <v>2019</v>
      </c>
      <c r="Z1" s="1">
        <v>2019</v>
      </c>
      <c r="AA1" s="1">
        <v>2019</v>
      </c>
      <c r="AB1" s="1">
        <v>2019</v>
      </c>
      <c r="AC1" s="1">
        <v>2020</v>
      </c>
      <c r="AD1" s="1">
        <v>2020</v>
      </c>
      <c r="AE1" s="1">
        <v>2020</v>
      </c>
      <c r="AF1" s="1">
        <v>2020</v>
      </c>
      <c r="AG1" s="1">
        <v>2021</v>
      </c>
      <c r="AH1" s="1">
        <v>2021</v>
      </c>
      <c r="AI1" s="1">
        <v>2021</v>
      </c>
      <c r="AJ1" s="1">
        <v>2021</v>
      </c>
      <c r="AK1" s="1">
        <v>2022</v>
      </c>
      <c r="AL1" s="1">
        <v>2022</v>
      </c>
      <c r="AM1" s="1">
        <v>2022</v>
      </c>
      <c r="AN1" s="1">
        <v>2022</v>
      </c>
      <c r="AO1" s="1">
        <v>2023</v>
      </c>
      <c r="AP1" s="1">
        <v>2023</v>
      </c>
      <c r="AQ1" s="1">
        <v>2023</v>
      </c>
      <c r="AR1" s="1">
        <v>2023</v>
      </c>
      <c r="AS1" s="19">
        <v>2024</v>
      </c>
      <c r="AT1" s="19"/>
      <c r="AU1" s="19"/>
      <c r="AV1" s="19"/>
      <c r="AW1" s="19"/>
      <c r="AX1" s="1">
        <v>2025</v>
      </c>
      <c r="AY1" s="1">
        <v>2025</v>
      </c>
    </row>
    <row r="2" spans="1:52" s="1" customFormat="1" x14ac:dyDescent="0.7">
      <c r="B2" s="2" t="s">
        <v>3</v>
      </c>
      <c r="C2" s="1" t="s">
        <v>0</v>
      </c>
      <c r="D2" s="1" t="s">
        <v>1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4</v>
      </c>
      <c r="J2" s="1" t="s">
        <v>5</v>
      </c>
      <c r="K2" s="1" t="s">
        <v>6</v>
      </c>
      <c r="L2" s="1" t="s">
        <v>7</v>
      </c>
      <c r="M2" s="1" t="s">
        <v>4</v>
      </c>
      <c r="N2" s="1" t="s">
        <v>5</v>
      </c>
      <c r="O2" s="1" t="s">
        <v>6</v>
      </c>
      <c r="P2" s="1" t="s">
        <v>7</v>
      </c>
      <c r="Q2" s="1" t="s">
        <v>4</v>
      </c>
      <c r="R2" s="1" t="s">
        <v>5</v>
      </c>
      <c r="S2" s="1" t="s">
        <v>6</v>
      </c>
      <c r="T2" s="1" t="s">
        <v>7</v>
      </c>
      <c r="U2" s="1" t="s">
        <v>4</v>
      </c>
      <c r="V2" s="1" t="s">
        <v>5</v>
      </c>
      <c r="W2" s="1" t="s">
        <v>6</v>
      </c>
      <c r="X2" s="1" t="s">
        <v>7</v>
      </c>
      <c r="Y2" s="1" t="s">
        <v>4</v>
      </c>
      <c r="Z2" s="1" t="s">
        <v>5</v>
      </c>
      <c r="AA2" s="1" t="s">
        <v>6</v>
      </c>
      <c r="AB2" s="1" t="s">
        <v>7</v>
      </c>
      <c r="AC2" s="1" t="s">
        <v>4</v>
      </c>
      <c r="AD2" s="1" t="s">
        <v>5</v>
      </c>
      <c r="AE2" s="1" t="s">
        <v>6</v>
      </c>
      <c r="AF2" s="1" t="s">
        <v>7</v>
      </c>
      <c r="AG2" s="1" t="s">
        <v>4</v>
      </c>
      <c r="AH2" s="1" t="s">
        <v>5</v>
      </c>
      <c r="AI2" s="1" t="s">
        <v>6</v>
      </c>
      <c r="AJ2" s="1" t="s">
        <v>7</v>
      </c>
      <c r="AK2" s="1" t="s">
        <v>4</v>
      </c>
      <c r="AL2" s="1" t="s">
        <v>5</v>
      </c>
      <c r="AM2" s="1" t="s">
        <v>6</v>
      </c>
      <c r="AN2" s="1" t="s">
        <v>7</v>
      </c>
      <c r="AO2" s="1" t="s">
        <v>4</v>
      </c>
      <c r="AP2" s="1" t="s">
        <v>5</v>
      </c>
      <c r="AQ2" s="1" t="s">
        <v>6</v>
      </c>
      <c r="AR2" s="1" t="s">
        <v>7</v>
      </c>
      <c r="AS2" s="1" t="s">
        <v>4</v>
      </c>
      <c r="AT2" s="1" t="s">
        <v>5</v>
      </c>
      <c r="AU2" s="1" t="s">
        <v>6</v>
      </c>
      <c r="AV2" s="1" t="s">
        <v>7</v>
      </c>
      <c r="AW2" s="10" t="s">
        <v>124</v>
      </c>
      <c r="AX2" s="1" t="s">
        <v>4</v>
      </c>
      <c r="AY2" s="1" t="s">
        <v>5</v>
      </c>
      <c r="AZ2" s="10" t="s">
        <v>124</v>
      </c>
    </row>
    <row r="3" spans="1:52" s="3" customFormat="1" x14ac:dyDescent="0.7">
      <c r="B3" s="4" t="s">
        <v>2</v>
      </c>
      <c r="D3" s="3">
        <v>2024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  <c r="L3" s="1" t="s">
        <v>15</v>
      </c>
      <c r="M3" s="1" t="s">
        <v>16</v>
      </c>
      <c r="N3" s="1" t="s">
        <v>17</v>
      </c>
      <c r="O3" s="1" t="s">
        <v>18</v>
      </c>
      <c r="P3" s="1" t="s">
        <v>19</v>
      </c>
      <c r="Q3" s="1" t="s">
        <v>20</v>
      </c>
      <c r="R3" s="1" t="s">
        <v>21</v>
      </c>
      <c r="S3" s="1" t="s">
        <v>22</v>
      </c>
      <c r="T3" s="1" t="s">
        <v>23</v>
      </c>
      <c r="U3" s="1" t="s">
        <v>24</v>
      </c>
      <c r="V3" s="1" t="s">
        <v>25</v>
      </c>
      <c r="W3" s="1" t="s">
        <v>26</v>
      </c>
      <c r="X3" s="1" t="s">
        <v>27</v>
      </c>
      <c r="Y3" s="1" t="s">
        <v>28</v>
      </c>
      <c r="Z3" s="1" t="s">
        <v>29</v>
      </c>
      <c r="AA3" s="1" t="s">
        <v>30</v>
      </c>
      <c r="AB3" s="1" t="s">
        <v>31</v>
      </c>
      <c r="AC3" s="1" t="s">
        <v>32</v>
      </c>
      <c r="AD3" s="1" t="s">
        <v>33</v>
      </c>
      <c r="AE3" s="1" t="s">
        <v>34</v>
      </c>
      <c r="AF3" s="1" t="s">
        <v>35</v>
      </c>
      <c r="AG3" s="1" t="s">
        <v>36</v>
      </c>
      <c r="AH3" s="1" t="s">
        <v>37</v>
      </c>
      <c r="AI3" s="1" t="s">
        <v>38</v>
      </c>
      <c r="AJ3" s="1" t="s">
        <v>39</v>
      </c>
      <c r="AK3" s="1" t="s">
        <v>40</v>
      </c>
      <c r="AL3" s="1" t="s">
        <v>41</v>
      </c>
      <c r="AM3" s="1" t="s">
        <v>42</v>
      </c>
      <c r="AN3" s="1" t="s">
        <v>43</v>
      </c>
      <c r="AO3" s="1" t="s">
        <v>44</v>
      </c>
      <c r="AP3" s="1" t="s">
        <v>45</v>
      </c>
      <c r="AQ3" s="1" t="s">
        <v>46</v>
      </c>
      <c r="AR3" s="1" t="s">
        <v>47</v>
      </c>
      <c r="AS3" s="1" t="s">
        <v>48</v>
      </c>
      <c r="AT3" s="1" t="s">
        <v>49</v>
      </c>
      <c r="AU3" s="1" t="s">
        <v>50</v>
      </c>
      <c r="AV3" s="1" t="s">
        <v>51</v>
      </c>
      <c r="AW3" s="10" t="s">
        <v>125</v>
      </c>
      <c r="AX3" s="1" t="s">
        <v>52</v>
      </c>
      <c r="AY3" s="1" t="s">
        <v>53</v>
      </c>
      <c r="AZ3" s="10" t="s">
        <v>125</v>
      </c>
    </row>
    <row r="4" spans="1:52" s="1" customFormat="1" x14ac:dyDescent="0.7">
      <c r="E4" s="1" t="s">
        <v>54</v>
      </c>
      <c r="F4" s="1" t="s">
        <v>54</v>
      </c>
      <c r="G4" s="1" t="s">
        <v>55</v>
      </c>
      <c r="H4" s="1" t="s">
        <v>55</v>
      </c>
      <c r="I4" s="1" t="s">
        <v>54</v>
      </c>
      <c r="J4" s="1" t="s">
        <v>54</v>
      </c>
      <c r="K4" s="1" t="s">
        <v>55</v>
      </c>
      <c r="L4" s="1" t="s">
        <v>55</v>
      </c>
      <c r="M4" s="1" t="s">
        <v>54</v>
      </c>
      <c r="N4" s="1" t="s">
        <v>54</v>
      </c>
      <c r="O4" s="1" t="s">
        <v>55</v>
      </c>
      <c r="P4" s="1" t="s">
        <v>55</v>
      </c>
      <c r="Q4" s="1" t="s">
        <v>54</v>
      </c>
      <c r="R4" s="1" t="s">
        <v>54</v>
      </c>
      <c r="S4" s="1" t="s">
        <v>55</v>
      </c>
      <c r="T4" s="1" t="s">
        <v>55</v>
      </c>
      <c r="U4" s="1" t="s">
        <v>54</v>
      </c>
      <c r="V4" s="1" t="s">
        <v>54</v>
      </c>
      <c r="W4" s="1" t="s">
        <v>55</v>
      </c>
      <c r="X4" s="1" t="s">
        <v>55</v>
      </c>
      <c r="Y4" s="1" t="s">
        <v>54</v>
      </c>
      <c r="Z4" s="1" t="s">
        <v>54</v>
      </c>
      <c r="AA4" s="1" t="s">
        <v>55</v>
      </c>
      <c r="AB4" s="1" t="s">
        <v>55</v>
      </c>
      <c r="AC4" s="1" t="s">
        <v>54</v>
      </c>
      <c r="AD4" s="1" t="s">
        <v>54</v>
      </c>
      <c r="AE4" s="1" t="s">
        <v>55</v>
      </c>
      <c r="AF4" s="1" t="s">
        <v>55</v>
      </c>
      <c r="AG4" s="1" t="s">
        <v>54</v>
      </c>
      <c r="AH4" s="1" t="s">
        <v>54</v>
      </c>
      <c r="AI4" s="1" t="s">
        <v>55</v>
      </c>
      <c r="AJ4" s="1" t="s">
        <v>55</v>
      </c>
      <c r="AK4" s="1" t="s">
        <v>54</v>
      </c>
      <c r="AL4" s="1" t="s">
        <v>54</v>
      </c>
      <c r="AM4" s="1" t="s">
        <v>55</v>
      </c>
      <c r="AN4" s="1" t="s">
        <v>55</v>
      </c>
      <c r="AO4" s="1" t="s">
        <v>54</v>
      </c>
      <c r="AP4" s="1" t="s">
        <v>54</v>
      </c>
      <c r="AQ4" s="1" t="s">
        <v>55</v>
      </c>
      <c r="AR4" s="1" t="s">
        <v>55</v>
      </c>
      <c r="AS4" s="1" t="s">
        <v>54</v>
      </c>
      <c r="AT4" s="1" t="s">
        <v>54</v>
      </c>
      <c r="AU4" s="1" t="s">
        <v>55</v>
      </c>
      <c r="AV4" s="1" t="s">
        <v>55</v>
      </c>
      <c r="AW4" s="10"/>
      <c r="AX4" s="1" t="s">
        <v>54</v>
      </c>
      <c r="AY4" s="1" t="s">
        <v>54</v>
      </c>
      <c r="AZ4" s="10"/>
    </row>
    <row r="5" spans="1:52" s="1" customFormat="1" x14ac:dyDescent="0.7">
      <c r="Q5" s="1">
        <v>514</v>
      </c>
      <c r="R5" s="1">
        <v>639</v>
      </c>
      <c r="S5" s="1">
        <v>140</v>
      </c>
      <c r="T5" s="1">
        <v>765</v>
      </c>
      <c r="U5" s="1">
        <v>511</v>
      </c>
      <c r="V5" s="1">
        <v>661</v>
      </c>
      <c r="W5" s="1">
        <v>152</v>
      </c>
      <c r="X5" s="1">
        <v>799</v>
      </c>
      <c r="Y5" s="1">
        <v>533</v>
      </c>
      <c r="Z5" s="1">
        <v>722</v>
      </c>
      <c r="AA5" s="1">
        <v>160</v>
      </c>
      <c r="AB5" s="1">
        <v>770</v>
      </c>
      <c r="AC5" s="1">
        <v>543</v>
      </c>
      <c r="AD5" s="1">
        <v>745</v>
      </c>
      <c r="AE5" s="1">
        <v>189</v>
      </c>
      <c r="AF5" s="1">
        <v>804</v>
      </c>
      <c r="AG5" s="1">
        <v>543</v>
      </c>
      <c r="AH5" s="1">
        <v>750</v>
      </c>
      <c r="AI5" s="1">
        <v>195</v>
      </c>
      <c r="AJ5" s="1">
        <v>801</v>
      </c>
      <c r="AK5" s="1">
        <v>537</v>
      </c>
      <c r="AL5" s="1">
        <v>723</v>
      </c>
      <c r="AM5" s="1">
        <v>203</v>
      </c>
      <c r="AN5" s="1">
        <v>778</v>
      </c>
      <c r="AO5" s="1">
        <v>554</v>
      </c>
      <c r="AP5" s="1">
        <v>736</v>
      </c>
      <c r="AQ5" s="1">
        <v>242</v>
      </c>
      <c r="AR5" s="1">
        <v>831</v>
      </c>
      <c r="AS5" s="1">
        <v>574</v>
      </c>
      <c r="AT5" s="1">
        <v>752</v>
      </c>
      <c r="AU5" s="1">
        <v>219</v>
      </c>
      <c r="AV5" s="1">
        <v>828</v>
      </c>
      <c r="AW5" s="11">
        <f>SUM(AS5:AV5)</f>
        <v>2373</v>
      </c>
      <c r="AX5" s="1">
        <v>583</v>
      </c>
      <c r="AY5" s="1">
        <v>777</v>
      </c>
      <c r="AZ5" s="11">
        <f>SUM(AX5:AY5)</f>
        <v>1360</v>
      </c>
    </row>
    <row r="6" spans="1:52" s="5" customFormat="1" ht="9" customHeight="1" x14ac:dyDescent="0.7">
      <c r="AW6" s="11"/>
      <c r="AZ6" s="11"/>
    </row>
    <row r="7" spans="1:52" s="6" customFormat="1" x14ac:dyDescent="0.7">
      <c r="A7" s="6" t="s">
        <v>56</v>
      </c>
      <c r="B7" s="6" t="s">
        <v>57</v>
      </c>
      <c r="C7" s="6" t="s">
        <v>58</v>
      </c>
      <c r="D7" s="7">
        <v>2372.9189819157345</v>
      </c>
      <c r="E7" s="7">
        <v>443.64086840777316</v>
      </c>
      <c r="F7" s="7">
        <v>510.42772196981116</v>
      </c>
      <c r="G7" s="7">
        <v>151.26401415820192</v>
      </c>
      <c r="H7" s="7">
        <v>680.47047594310982</v>
      </c>
      <c r="I7" s="7">
        <v>476.68909247097054</v>
      </c>
      <c r="J7" s="7">
        <v>534.80624787715328</v>
      </c>
      <c r="K7" s="7">
        <v>151.61072701567826</v>
      </c>
      <c r="L7" s="7">
        <v>680.04497664622284</v>
      </c>
      <c r="M7" s="7">
        <v>454.35399251729467</v>
      </c>
      <c r="N7" s="7">
        <v>534.57302125011688</v>
      </c>
      <c r="O7" s="7">
        <v>173.98252188171764</v>
      </c>
      <c r="P7" s="7">
        <v>708.93650150070619</v>
      </c>
      <c r="Q7" s="7">
        <v>513.53101229622905</v>
      </c>
      <c r="R7" s="7">
        <v>639.15466832321692</v>
      </c>
      <c r="S7" s="7">
        <v>139.85119392423655</v>
      </c>
      <c r="T7" s="7">
        <v>764.65607447648392</v>
      </c>
      <c r="U7" s="7">
        <v>511.34470103147402</v>
      </c>
      <c r="V7" s="7">
        <v>661.14035710175085</v>
      </c>
      <c r="W7" s="7">
        <v>152.38808019835017</v>
      </c>
      <c r="X7" s="7">
        <v>799.439265537295</v>
      </c>
      <c r="Y7" s="7">
        <v>532.95627823167706</v>
      </c>
      <c r="Z7" s="7">
        <v>722.13351133626031</v>
      </c>
      <c r="AA7" s="7">
        <v>160.39579926795258</v>
      </c>
      <c r="AB7" s="7">
        <v>769.88811354395853</v>
      </c>
      <c r="AC7" s="7">
        <v>543.09444221749823</v>
      </c>
      <c r="AD7" s="7">
        <v>744.79646982475947</v>
      </c>
      <c r="AE7" s="7">
        <v>189.10649905230048</v>
      </c>
      <c r="AF7" s="7">
        <v>804.43031255401343</v>
      </c>
      <c r="AG7" s="7">
        <v>543.33026664180989</v>
      </c>
      <c r="AH7" s="7">
        <v>750.46824095148963</v>
      </c>
      <c r="AI7" s="7">
        <v>195.18328194209829</v>
      </c>
      <c r="AJ7" s="7">
        <v>800.89512427101874</v>
      </c>
      <c r="AK7" s="7">
        <v>536.8770474195868</v>
      </c>
      <c r="AL7" s="7">
        <v>723.40280391265446</v>
      </c>
      <c r="AM7" s="7">
        <v>203.23060057820311</v>
      </c>
      <c r="AN7" s="7">
        <v>777.70190804791605</v>
      </c>
      <c r="AO7" s="7">
        <v>553.88586058198382</v>
      </c>
      <c r="AP7" s="7">
        <v>735.82652652047932</v>
      </c>
      <c r="AQ7" s="7">
        <v>241.80732815085526</v>
      </c>
      <c r="AR7" s="7">
        <v>830.77070575773689</v>
      </c>
      <c r="AS7" s="7">
        <v>574.28765628113229</v>
      </c>
      <c r="AT7" s="7">
        <v>752.30278629878444</v>
      </c>
      <c r="AU7" s="7">
        <v>218.6374160847466</v>
      </c>
      <c r="AV7" s="7">
        <v>827.69112325107119</v>
      </c>
      <c r="AW7" s="11">
        <f t="shared" ref="AW7" si="0">SUM(AS7:AV7)</f>
        <v>2372.9189819157345</v>
      </c>
      <c r="AX7" s="7">
        <v>582.87963023082727</v>
      </c>
      <c r="AY7" s="7">
        <v>777.05167447616441</v>
      </c>
      <c r="AZ7" s="11">
        <f t="shared" ref="AZ7:AZ39" si="1">SUM(AX7:AY7)</f>
        <v>1359.9313047069918</v>
      </c>
    </row>
    <row r="8" spans="1:52" ht="7.5" customHeight="1" x14ac:dyDescent="0.7"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12"/>
      <c r="AX8" s="9"/>
      <c r="AY8" s="9"/>
      <c r="AZ8" s="11"/>
    </row>
    <row r="9" spans="1:52" x14ac:dyDescent="0.7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12"/>
      <c r="AX9" s="9"/>
      <c r="AY9" s="9"/>
      <c r="AZ9" s="11"/>
    </row>
    <row r="10" spans="1:52" x14ac:dyDescent="0.7">
      <c r="A10" s="8" t="s">
        <v>64</v>
      </c>
      <c r="B10" s="8" t="s">
        <v>65</v>
      </c>
      <c r="C10" s="8" t="s">
        <v>59</v>
      </c>
      <c r="D10" s="9">
        <v>64.742329246162456</v>
      </c>
      <c r="E10" s="9">
        <v>12.021264484339031</v>
      </c>
      <c r="F10" s="9">
        <v>22.973953551263303</v>
      </c>
      <c r="G10" s="9">
        <v>1.3909783002402698</v>
      </c>
      <c r="H10" s="9">
        <v>8.2673467886830085</v>
      </c>
      <c r="I10" s="9">
        <v>11.83767196384964</v>
      </c>
      <c r="J10" s="9">
        <v>24.005792289849381</v>
      </c>
      <c r="K10" s="9">
        <v>1.4534518876233877</v>
      </c>
      <c r="L10" s="9">
        <v>12.613911857801799</v>
      </c>
      <c r="M10" s="9">
        <v>13.985422016618962</v>
      </c>
      <c r="N10" s="9">
        <v>26.537212272061659</v>
      </c>
      <c r="O10" s="9">
        <v>1.6067189453022024</v>
      </c>
      <c r="P10" s="9">
        <v>10.87189445726384</v>
      </c>
      <c r="Q10" s="9">
        <v>12.997844497700033</v>
      </c>
      <c r="R10" s="9">
        <v>25.208780327594646</v>
      </c>
      <c r="S10" s="9">
        <v>1.5262878604226915</v>
      </c>
      <c r="T10" s="9">
        <v>9.7097592464751141</v>
      </c>
      <c r="U10" s="9">
        <v>13.399586497950652</v>
      </c>
      <c r="V10" s="9">
        <v>26.947935782478737</v>
      </c>
      <c r="W10" s="9">
        <v>1.6315865628462991</v>
      </c>
      <c r="X10" s="9">
        <v>9.9761042418277714</v>
      </c>
      <c r="Y10" s="9">
        <v>13.830851825836756</v>
      </c>
      <c r="Z10" s="9">
        <v>27.844834839604289</v>
      </c>
      <c r="AA10" s="9">
        <v>1.6858901080843371</v>
      </c>
      <c r="AB10" s="9">
        <v>11.209488337331765</v>
      </c>
      <c r="AC10" s="9">
        <v>14.723094755094317</v>
      </c>
      <c r="AD10" s="9">
        <v>29.263193928522316</v>
      </c>
      <c r="AE10" s="9">
        <v>1.7717659113165176</v>
      </c>
      <c r="AF10" s="9">
        <v>11.689439055276335</v>
      </c>
      <c r="AG10" s="9">
        <v>15.407067379031641</v>
      </c>
      <c r="AH10" s="9">
        <v>30.648778298703725</v>
      </c>
      <c r="AI10" s="9">
        <v>1.8556573402677365</v>
      </c>
      <c r="AJ10" s="9">
        <v>11.948663257969899</v>
      </c>
      <c r="AK10" s="9">
        <v>16.679779433843862</v>
      </c>
      <c r="AL10" s="9">
        <v>33.633182794392951</v>
      </c>
      <c r="AM10" s="9">
        <v>2.0363507452308958</v>
      </c>
      <c r="AN10" s="9">
        <v>12.288372331334147</v>
      </c>
      <c r="AO10" s="9">
        <v>16.031604081382657</v>
      </c>
      <c r="AP10" s="9">
        <v>31.810991738057922</v>
      </c>
      <c r="AQ10" s="9">
        <v>1.9260245790097337</v>
      </c>
      <c r="AR10" s="9">
        <v>12.595419423751308</v>
      </c>
      <c r="AS10" s="9">
        <v>16.193026911070785</v>
      </c>
      <c r="AT10" s="9">
        <v>32.013833515717458</v>
      </c>
      <c r="AU10" s="9">
        <v>1.9383058135163242</v>
      </c>
      <c r="AV10" s="9">
        <v>14.597163005857897</v>
      </c>
      <c r="AW10" s="11">
        <f t="shared" ref="AW10:AW39" si="2">SUM(AS10:AV10)</f>
        <v>64.742329246162456</v>
      </c>
      <c r="AX10" s="9">
        <v>13.103682102486655</v>
      </c>
      <c r="AY10" s="9">
        <v>23.083702116759198</v>
      </c>
      <c r="AZ10" s="11">
        <f t="shared" si="1"/>
        <v>36.187384219245857</v>
      </c>
    </row>
    <row r="11" spans="1:52" x14ac:dyDescent="0.7">
      <c r="A11" s="8" t="s">
        <v>66</v>
      </c>
      <c r="B11" s="8" t="s">
        <v>67</v>
      </c>
      <c r="C11" s="8" t="s">
        <v>59</v>
      </c>
      <c r="D11" s="9">
        <v>171.36149585093614</v>
      </c>
      <c r="E11" s="9">
        <v>23.894936587156046</v>
      </c>
      <c r="F11" s="9">
        <v>15.983781202922128</v>
      </c>
      <c r="G11" s="9">
        <v>1.1468572025509591</v>
      </c>
      <c r="H11" s="9">
        <v>62.259436467875965</v>
      </c>
      <c r="I11" s="9">
        <v>24.831511972388075</v>
      </c>
      <c r="J11" s="9">
        <v>16.379708131968151</v>
      </c>
      <c r="K11" s="9">
        <v>1.1752654774450935</v>
      </c>
      <c r="L11" s="9">
        <v>63.306045891809127</v>
      </c>
      <c r="M11" s="9">
        <v>25.114801877929175</v>
      </c>
      <c r="N11" s="9">
        <v>16.064903097785578</v>
      </c>
      <c r="O11" s="9">
        <v>1.1526778045867101</v>
      </c>
      <c r="P11" s="9">
        <v>57.398421520790855</v>
      </c>
      <c r="Q11" s="9">
        <v>23.713237940395132</v>
      </c>
      <c r="R11" s="9">
        <v>18.710642728724533</v>
      </c>
      <c r="S11" s="9">
        <v>1.3425130828162528</v>
      </c>
      <c r="T11" s="9">
        <v>70.122935187732864</v>
      </c>
      <c r="U11" s="9">
        <v>28.295051360752925</v>
      </c>
      <c r="V11" s="9">
        <v>19.888335765540113</v>
      </c>
      <c r="W11" s="9">
        <v>1.4270140982217399</v>
      </c>
      <c r="X11" s="9">
        <v>69.790024657014371</v>
      </c>
      <c r="Y11" s="9">
        <v>28.112738103050436</v>
      </c>
      <c r="Z11" s="9">
        <v>19.582815978576228</v>
      </c>
      <c r="AA11" s="9">
        <v>1.4050926539931803</v>
      </c>
      <c r="AB11" s="9">
        <v>74.618816178946759</v>
      </c>
      <c r="AC11" s="9">
        <v>29.972416742178972</v>
      </c>
      <c r="AD11" s="9">
        <v>20.561814167905521</v>
      </c>
      <c r="AE11" s="9">
        <v>1.4753370542675899</v>
      </c>
      <c r="AF11" s="9">
        <v>79.813080476497817</v>
      </c>
      <c r="AG11" s="9">
        <v>32.198104803617213</v>
      </c>
      <c r="AH11" s="9">
        <v>22.605946647806114</v>
      </c>
      <c r="AI11" s="9">
        <v>1.6220062327166642</v>
      </c>
      <c r="AJ11" s="9">
        <v>73.545560629845724</v>
      </c>
      <c r="AK11" s="9">
        <v>30.348419662084606</v>
      </c>
      <c r="AL11" s="9">
        <v>23.816975523040764</v>
      </c>
      <c r="AM11" s="9">
        <v>1.7088991381204333</v>
      </c>
      <c r="AN11" s="9">
        <v>82.392755960671849</v>
      </c>
      <c r="AO11" s="9">
        <v>33.742969987684504</v>
      </c>
      <c r="AP11" s="9">
        <v>25.55476250196411</v>
      </c>
      <c r="AQ11" s="9">
        <v>1.8335876262807407</v>
      </c>
      <c r="AR11" s="9">
        <v>107.07735721840095</v>
      </c>
      <c r="AS11" s="9">
        <v>42.185552065294637</v>
      </c>
      <c r="AT11" s="9">
        <v>25.878102096250529</v>
      </c>
      <c r="AU11" s="9">
        <v>1.8567876649868194</v>
      </c>
      <c r="AV11" s="9">
        <v>101.44105402440414</v>
      </c>
      <c r="AW11" s="11">
        <f t="shared" si="2"/>
        <v>171.36149585093614</v>
      </c>
      <c r="AX11" s="9">
        <v>40.157250791261447</v>
      </c>
      <c r="AY11" s="9">
        <v>25.361749533793372</v>
      </c>
      <c r="AZ11" s="11">
        <f t="shared" si="1"/>
        <v>65.519000325054819</v>
      </c>
    </row>
    <row r="12" spans="1:52" x14ac:dyDescent="0.7">
      <c r="A12" s="8" t="s">
        <v>68</v>
      </c>
      <c r="B12" s="8" t="s">
        <v>69</v>
      </c>
      <c r="C12" s="8" t="s">
        <v>59</v>
      </c>
      <c r="D12" s="9">
        <v>10.307044406410919</v>
      </c>
      <c r="E12" s="9">
        <v>1.1990955954218472</v>
      </c>
      <c r="F12" s="9">
        <v>2.0978477104575801</v>
      </c>
      <c r="G12" s="9">
        <v>0.37921294236224118</v>
      </c>
      <c r="H12" s="9">
        <v>1.0719304743737781</v>
      </c>
      <c r="I12" s="9">
        <v>1.2806634751927244</v>
      </c>
      <c r="J12" s="9">
        <v>3.4863751310597895</v>
      </c>
      <c r="K12" s="9">
        <v>0.63020712372842191</v>
      </c>
      <c r="L12" s="9">
        <v>1.6879807097496817</v>
      </c>
      <c r="M12" s="9">
        <v>1.5219940928090434</v>
      </c>
      <c r="N12" s="9">
        <v>2.6028674434557861</v>
      </c>
      <c r="O12" s="9">
        <v>0.47050175133849959</v>
      </c>
      <c r="P12" s="9">
        <v>1.3825495249282727</v>
      </c>
      <c r="Q12" s="9">
        <v>1.4711612534542364</v>
      </c>
      <c r="R12" s="9">
        <v>3.4425423346605051</v>
      </c>
      <c r="S12" s="9">
        <v>0.6222837822905859</v>
      </c>
      <c r="T12" s="9">
        <v>2.3008970205051531</v>
      </c>
      <c r="U12" s="9">
        <v>2.0705384964724076</v>
      </c>
      <c r="V12" s="9">
        <v>3.5240488856535683</v>
      </c>
      <c r="W12" s="9">
        <v>0.63701713918289138</v>
      </c>
      <c r="X12" s="9">
        <v>2.7384680920558093</v>
      </c>
      <c r="Y12" s="9">
        <v>2.4360959856640729</v>
      </c>
      <c r="Z12" s="9">
        <v>4.0296134457104937</v>
      </c>
      <c r="AA12" s="9">
        <v>0.72840443265398991</v>
      </c>
      <c r="AB12" s="9">
        <v>1.600012098713111</v>
      </c>
      <c r="AC12" s="9">
        <v>1.7158965971768119</v>
      </c>
      <c r="AD12" s="9">
        <v>4.0618515659841039</v>
      </c>
      <c r="AE12" s="9">
        <v>0.73423188732776912</v>
      </c>
      <c r="AF12" s="9">
        <v>1.7400140152425185</v>
      </c>
      <c r="AG12" s="9">
        <v>1.8461223912188738</v>
      </c>
      <c r="AH12" s="9">
        <v>4.3010271146311414</v>
      </c>
      <c r="AI12" s="9">
        <v>0.7774659424459851</v>
      </c>
      <c r="AJ12" s="9">
        <v>1.5542825828001414</v>
      </c>
      <c r="AK12" s="9">
        <v>1.7817878863806094</v>
      </c>
      <c r="AL12" s="9">
        <v>4.6165576253718861</v>
      </c>
      <c r="AM12" s="9">
        <v>0.83450213853714961</v>
      </c>
      <c r="AN12" s="9">
        <v>1.3637490378698556</v>
      </c>
      <c r="AO12" s="9">
        <v>1.9228186340558047</v>
      </c>
      <c r="AP12" s="9">
        <v>6.1485527166990481</v>
      </c>
      <c r="AQ12" s="9">
        <v>1.1114299457229089</v>
      </c>
      <c r="AR12" s="9">
        <v>1.3036131931112338</v>
      </c>
      <c r="AS12" s="9">
        <v>1.8777617875096988</v>
      </c>
      <c r="AT12" s="9">
        <v>6.1093173633063618</v>
      </c>
      <c r="AU12" s="9">
        <v>1.1043376512105405</v>
      </c>
      <c r="AV12" s="9">
        <v>1.2156276043843177</v>
      </c>
      <c r="AW12" s="11">
        <f t="shared" si="2"/>
        <v>10.307044406410919</v>
      </c>
      <c r="AX12" s="9">
        <v>1.3214231837656785</v>
      </c>
      <c r="AY12" s="9">
        <v>3.189640789192119</v>
      </c>
      <c r="AZ12" s="11">
        <f t="shared" si="1"/>
        <v>4.5110639729577979</v>
      </c>
    </row>
    <row r="13" spans="1:52" x14ac:dyDescent="0.7">
      <c r="A13" s="8" t="s">
        <v>70</v>
      </c>
      <c r="B13" s="8" t="s">
        <v>71</v>
      </c>
      <c r="C13" s="8" t="s">
        <v>59</v>
      </c>
      <c r="D13" s="9">
        <v>63.089050219915215</v>
      </c>
      <c r="E13" s="9">
        <v>12.882020038236453</v>
      </c>
      <c r="F13" s="9">
        <v>6.7832793684768404</v>
      </c>
      <c r="G13" s="9">
        <v>12.025595579284889</v>
      </c>
      <c r="H13" s="9">
        <v>5.9086670485652402</v>
      </c>
      <c r="I13" s="9">
        <v>13.941756876283433</v>
      </c>
      <c r="J13" s="9">
        <v>7.3413045080280961</v>
      </c>
      <c r="K13" s="9">
        <v>15.204904548242142</v>
      </c>
      <c r="L13" s="9">
        <v>7.5479432145906387</v>
      </c>
      <c r="M13" s="9">
        <v>17.025695633387095</v>
      </c>
      <c r="N13" s="9">
        <v>8.9652127213839918</v>
      </c>
      <c r="O13" s="9">
        <v>20.332365008587971</v>
      </c>
      <c r="P13" s="9">
        <v>10.146487583888316</v>
      </c>
      <c r="Q13" s="9">
        <v>17.720243014147179</v>
      </c>
      <c r="R13" s="9">
        <v>9.330940216323091</v>
      </c>
      <c r="S13" s="9">
        <v>17.906890875461624</v>
      </c>
      <c r="T13" s="9">
        <v>8.8464655127923155</v>
      </c>
      <c r="U13" s="9">
        <v>15.586001245279204</v>
      </c>
      <c r="V13" s="9">
        <v>8.2071135093988268</v>
      </c>
      <c r="W13" s="9">
        <v>18.165636027319739</v>
      </c>
      <c r="X13" s="9">
        <v>9.0529006920334698</v>
      </c>
      <c r="Y13" s="9">
        <v>20.139406852399933</v>
      </c>
      <c r="Z13" s="9">
        <v>10.604798206318243</v>
      </c>
      <c r="AA13" s="9">
        <v>16.402310852926423</v>
      </c>
      <c r="AB13" s="9">
        <v>7.9746415326472944</v>
      </c>
      <c r="AC13" s="9">
        <v>17.907573503288663</v>
      </c>
      <c r="AD13" s="9">
        <v>9.4295827458571502</v>
      </c>
      <c r="AE13" s="9">
        <v>19.663206294933854</v>
      </c>
      <c r="AF13" s="9">
        <v>9.7651270608728922</v>
      </c>
      <c r="AG13" s="9">
        <v>18.890620023771877</v>
      </c>
      <c r="AH13" s="9">
        <v>9.9472251001504937</v>
      </c>
      <c r="AI13" s="9">
        <v>20.609632031113208</v>
      </c>
      <c r="AJ13" s="9">
        <v>10.231157010177958</v>
      </c>
      <c r="AK13" s="9">
        <v>18.964210058571055</v>
      </c>
      <c r="AL13" s="9">
        <v>9.9859753709385419</v>
      </c>
      <c r="AM13" s="9">
        <v>19.652958152420155</v>
      </c>
      <c r="AN13" s="9">
        <v>9.7249815628716245</v>
      </c>
      <c r="AO13" s="9">
        <v>19.484653467854315</v>
      </c>
      <c r="AP13" s="9">
        <v>10.260025017668807</v>
      </c>
      <c r="AQ13" s="9">
        <v>21.254398153147282</v>
      </c>
      <c r="AR13" s="9">
        <v>10.551135495876506</v>
      </c>
      <c r="AS13" s="9">
        <v>20.290896967888266</v>
      </c>
      <c r="AT13" s="9">
        <v>10.684568286776903</v>
      </c>
      <c r="AU13" s="9">
        <v>21.47356005847741</v>
      </c>
      <c r="AV13" s="9">
        <v>10.640024906772638</v>
      </c>
      <c r="AW13" s="11">
        <f t="shared" si="2"/>
        <v>63.089050219915215</v>
      </c>
      <c r="AX13" s="9">
        <v>20.605694092025395</v>
      </c>
      <c r="AY13" s="9">
        <v>10.850330863692406</v>
      </c>
      <c r="AZ13" s="11">
        <f t="shared" si="1"/>
        <v>31.456024955717801</v>
      </c>
    </row>
    <row r="14" spans="1:52" x14ac:dyDescent="0.7">
      <c r="A14" s="8" t="s">
        <v>72</v>
      </c>
      <c r="B14" s="8" t="s">
        <v>73</v>
      </c>
      <c r="C14" s="8" t="s">
        <v>59</v>
      </c>
      <c r="D14" s="9">
        <v>6.0835807705684628</v>
      </c>
      <c r="E14" s="9">
        <v>0.2350203949124787</v>
      </c>
      <c r="F14" s="9">
        <v>0.10784789067861458</v>
      </c>
      <c r="G14" s="9">
        <v>8.2447183800420413E-4</v>
      </c>
      <c r="H14" s="9">
        <v>0.66851740275151184</v>
      </c>
      <c r="I14" s="9">
        <v>0.15154703943634862</v>
      </c>
      <c r="J14" s="9">
        <v>2.881816162715348E-2</v>
      </c>
      <c r="K14" s="9">
        <v>2.2030808887533337E-4</v>
      </c>
      <c r="L14" s="9">
        <v>0.85650098385261941</v>
      </c>
      <c r="M14" s="9">
        <v>0.19437429762711633</v>
      </c>
      <c r="N14" s="9">
        <v>4.5220210713475602E-2</v>
      </c>
      <c r="O14" s="9">
        <v>3.4569790848278055E-4</v>
      </c>
      <c r="P14" s="9">
        <v>2.2784595501510521</v>
      </c>
      <c r="Q14" s="9">
        <v>0.52598660337953718</v>
      </c>
      <c r="R14" s="9">
        <v>0.46750675770170497</v>
      </c>
      <c r="S14" s="9">
        <v>3.5739795500529139E-3</v>
      </c>
      <c r="T14" s="9">
        <v>4.6581075660176818</v>
      </c>
      <c r="U14" s="9">
        <v>1.0566729061534872</v>
      </c>
      <c r="V14" s="9">
        <v>0.23725305971627361</v>
      </c>
      <c r="W14" s="9">
        <v>1.8137440147003724E-3</v>
      </c>
      <c r="X14" s="9">
        <v>2.706845120796042</v>
      </c>
      <c r="Y14" s="9">
        <v>0.62037581265290564</v>
      </c>
      <c r="Z14" s="9">
        <v>0.37993520108041595</v>
      </c>
      <c r="AA14" s="9">
        <v>2.9045155318868148E-3</v>
      </c>
      <c r="AB14" s="9">
        <v>1.8006427890930574</v>
      </c>
      <c r="AC14" s="9">
        <v>0.4189830782484526</v>
      </c>
      <c r="AD14" s="9">
        <v>0.4980711765421163</v>
      </c>
      <c r="AE14" s="9">
        <v>3.8076373658926179E-3</v>
      </c>
      <c r="AF14" s="9">
        <v>2.06332795204422</v>
      </c>
      <c r="AG14" s="9">
        <v>0.47649128731271012</v>
      </c>
      <c r="AH14" s="9">
        <v>0.42991761379765303</v>
      </c>
      <c r="AI14" s="9">
        <v>3.2866193581328725E-3</v>
      </c>
      <c r="AJ14" s="9">
        <v>11.32528909716979</v>
      </c>
      <c r="AK14" s="9">
        <v>1.9009116866501719</v>
      </c>
      <c r="AL14" s="9">
        <v>3.4706482660834679</v>
      </c>
      <c r="AM14" s="9">
        <v>0.10612916903608371</v>
      </c>
      <c r="AN14" s="9">
        <v>4.9593301417727309</v>
      </c>
      <c r="AO14" s="9">
        <v>1.0223370199506203</v>
      </c>
      <c r="AP14" s="9">
        <v>1.8933473482333854</v>
      </c>
      <c r="AQ14" s="9">
        <v>1.4474196559209122E-2</v>
      </c>
      <c r="AR14" s="9">
        <v>4.2359503553107913</v>
      </c>
      <c r="AS14" s="9">
        <v>0.96960364075958383</v>
      </c>
      <c r="AT14" s="9">
        <v>1.2324908508603796</v>
      </c>
      <c r="AU14" s="9">
        <v>9.4221035825387545E-3</v>
      </c>
      <c r="AV14" s="9">
        <v>3.8720641753659608</v>
      </c>
      <c r="AW14" s="11">
        <f t="shared" si="2"/>
        <v>6.0835807705684628</v>
      </c>
      <c r="AX14" s="9">
        <v>0.75547290043397541</v>
      </c>
      <c r="AY14" s="9">
        <v>2.6172249085403205</v>
      </c>
      <c r="AZ14" s="11">
        <f t="shared" si="1"/>
        <v>3.3726978089742961</v>
      </c>
    </row>
    <row r="15" spans="1:52" x14ac:dyDescent="0.7">
      <c r="A15" s="8" t="s">
        <v>74</v>
      </c>
      <c r="B15" s="8" t="s">
        <v>75</v>
      </c>
      <c r="C15" s="8" t="s">
        <v>60</v>
      </c>
      <c r="D15" s="9">
        <v>334.76629533236564</v>
      </c>
      <c r="E15" s="9">
        <v>43.295534407887502</v>
      </c>
      <c r="F15" s="9">
        <v>75.234230170931198</v>
      </c>
      <c r="G15" s="9">
        <v>43.994799529848549</v>
      </c>
      <c r="H15" s="9">
        <v>122.43502824142476</v>
      </c>
      <c r="I15" s="9">
        <v>50.742750613429592</v>
      </c>
      <c r="J15" s="9">
        <v>91.793495834229944</v>
      </c>
      <c r="K15" s="9">
        <v>30.611231261525351</v>
      </c>
      <c r="L15" s="9">
        <v>134.9552076845201</v>
      </c>
      <c r="M15" s="9">
        <v>49.73798962605354</v>
      </c>
      <c r="N15" s="9">
        <v>86.785354390613492</v>
      </c>
      <c r="O15" s="9">
        <v>27.55010813537281</v>
      </c>
      <c r="P15" s="9">
        <v>137.99123334645762</v>
      </c>
      <c r="Q15" s="9">
        <v>60.905475862468791</v>
      </c>
      <c r="R15" s="9">
        <v>111.52354748553421</v>
      </c>
      <c r="S15" s="9">
        <v>26.380933202037088</v>
      </c>
      <c r="T15" s="9">
        <v>160.44304791315176</v>
      </c>
      <c r="U15" s="9">
        <v>62.611646446674314</v>
      </c>
      <c r="V15" s="9">
        <v>110.99187490162295</v>
      </c>
      <c r="W15" s="9">
        <v>30.567794813489993</v>
      </c>
      <c r="X15" s="9">
        <v>171.18249272948114</v>
      </c>
      <c r="Y15" s="9">
        <v>66.765116816558134</v>
      </c>
      <c r="Z15" s="9">
        <v>118.26905519484484</v>
      </c>
      <c r="AA15" s="9">
        <v>31.222651805771871</v>
      </c>
      <c r="AB15" s="9">
        <v>156.04774955699293</v>
      </c>
      <c r="AC15" s="9">
        <v>56.914809535808402</v>
      </c>
      <c r="AD15" s="9">
        <v>98.894630616095981</v>
      </c>
      <c r="AE15" s="9">
        <v>29.854710654716282</v>
      </c>
      <c r="AF15" s="9">
        <v>169.22249607701076</v>
      </c>
      <c r="AG15" s="9">
        <v>63.077493434612933</v>
      </c>
      <c r="AH15" s="9">
        <v>110.2628177142989</v>
      </c>
      <c r="AI15" s="9">
        <v>30.89482812769803</v>
      </c>
      <c r="AJ15" s="9">
        <v>177.44102875493007</v>
      </c>
      <c r="AK15" s="9">
        <v>56.244254223375265</v>
      </c>
      <c r="AL15" s="9">
        <v>93.19427251633202</v>
      </c>
      <c r="AM15" s="9">
        <v>34.528721318886767</v>
      </c>
      <c r="AN15" s="9">
        <v>165.86208185240434</v>
      </c>
      <c r="AO15" s="9">
        <v>54.67114123870018</v>
      </c>
      <c r="AP15" s="9">
        <v>91.867876821190876</v>
      </c>
      <c r="AQ15" s="9">
        <v>31.89492108044152</v>
      </c>
      <c r="AR15" s="9">
        <v>168.22524085603325</v>
      </c>
      <c r="AS15" s="9">
        <v>49.8936296059968</v>
      </c>
      <c r="AT15" s="9">
        <v>80.452152880974893</v>
      </c>
      <c r="AU15" s="9">
        <v>30.735904568173229</v>
      </c>
      <c r="AV15" s="9">
        <v>173.68460827722069</v>
      </c>
      <c r="AW15" s="11">
        <f t="shared" si="2"/>
        <v>334.76629533236564</v>
      </c>
      <c r="AX15" s="9">
        <v>53.724584934558223</v>
      </c>
      <c r="AY15" s="9">
        <v>86.573509167778028</v>
      </c>
      <c r="AZ15" s="11">
        <f t="shared" si="1"/>
        <v>140.29809410233625</v>
      </c>
    </row>
    <row r="16" spans="1:52" x14ac:dyDescent="0.7">
      <c r="A16" s="8" t="s">
        <v>76</v>
      </c>
      <c r="B16" s="8" t="s">
        <v>77</v>
      </c>
      <c r="C16" s="8" t="s">
        <v>60</v>
      </c>
      <c r="D16" s="9">
        <v>341.78423682736064</v>
      </c>
      <c r="E16" s="9">
        <v>84.709826994238881</v>
      </c>
      <c r="F16" s="9">
        <v>80.003617178991846</v>
      </c>
      <c r="G16" s="9">
        <v>0</v>
      </c>
      <c r="H16" s="9">
        <v>67.450807830833341</v>
      </c>
      <c r="I16" s="9">
        <v>81.730459752258497</v>
      </c>
      <c r="J16" s="9">
        <v>74.043496887853337</v>
      </c>
      <c r="K16" s="9">
        <v>2.6878767016465632</v>
      </c>
      <c r="L16" s="9">
        <v>67.591857044687842</v>
      </c>
      <c r="M16" s="9">
        <v>81.560655563495928</v>
      </c>
      <c r="N16" s="9">
        <v>73.366821598917028</v>
      </c>
      <c r="O16" s="9">
        <v>5.3757534032931291</v>
      </c>
      <c r="P16" s="9">
        <v>76.794917107926864</v>
      </c>
      <c r="Q16" s="9">
        <v>94.963075489134141</v>
      </c>
      <c r="R16" s="9">
        <v>90.230232444551461</v>
      </c>
      <c r="S16" s="9">
        <v>5.5414213408862603</v>
      </c>
      <c r="T16" s="9">
        <v>88.76766690349983</v>
      </c>
      <c r="U16" s="9">
        <v>106.11296803291418</v>
      </c>
      <c r="V16" s="9">
        <v>93.272827286823713</v>
      </c>
      <c r="W16" s="9">
        <v>6.0946495269445267</v>
      </c>
      <c r="X16" s="9">
        <v>90.468209821572188</v>
      </c>
      <c r="Y16" s="9">
        <v>110.52283048186899</v>
      </c>
      <c r="Z16" s="9">
        <v>102.20889613311483</v>
      </c>
      <c r="AA16" s="9">
        <v>6.1365175203578604</v>
      </c>
      <c r="AB16" s="9">
        <v>85.201859420584483</v>
      </c>
      <c r="AC16" s="9">
        <v>110.0539898748393</v>
      </c>
      <c r="AD16" s="9">
        <v>114.2830095519502</v>
      </c>
      <c r="AE16" s="9">
        <v>6.7476623654500179</v>
      </c>
      <c r="AF16" s="9">
        <v>89.540854967787368</v>
      </c>
      <c r="AG16" s="9">
        <v>115.04346516116568</v>
      </c>
      <c r="AH16" s="9">
        <v>118.22005307813258</v>
      </c>
      <c r="AI16" s="9">
        <v>6.6568395636959465</v>
      </c>
      <c r="AJ16" s="9">
        <v>93.160129818120325</v>
      </c>
      <c r="AK16" s="9">
        <v>119.15318490077171</v>
      </c>
      <c r="AL16" s="9">
        <v>121.35578373090846</v>
      </c>
      <c r="AM16" s="9">
        <v>6.7008875905680263</v>
      </c>
      <c r="AN16" s="9">
        <v>89.574783866405227</v>
      </c>
      <c r="AO16" s="9">
        <v>114.30367459600984</v>
      </c>
      <c r="AP16" s="9">
        <v>115.83660248969822</v>
      </c>
      <c r="AQ16" s="9">
        <v>5.6868759049925393</v>
      </c>
      <c r="AR16" s="9">
        <v>92.975666088899672</v>
      </c>
      <c r="AS16" s="9">
        <v>120.07076946812455</v>
      </c>
      <c r="AT16" s="9">
        <v>124.74778262932072</v>
      </c>
      <c r="AU16" s="9">
        <v>8.9041251319951709</v>
      </c>
      <c r="AV16" s="9">
        <v>88.061559597920223</v>
      </c>
      <c r="AW16" s="11">
        <f t="shared" si="2"/>
        <v>341.78423682736064</v>
      </c>
      <c r="AX16" s="9">
        <v>113.50763584327363</v>
      </c>
      <c r="AY16" s="9">
        <v>116.89140957646268</v>
      </c>
      <c r="AZ16" s="11">
        <f t="shared" si="1"/>
        <v>230.3990454197363</v>
      </c>
    </row>
    <row r="17" spans="1:52" x14ac:dyDescent="0.7">
      <c r="A17" s="8" t="s">
        <v>78</v>
      </c>
      <c r="B17" s="8" t="s">
        <v>79</v>
      </c>
      <c r="C17" s="8" t="s">
        <v>60</v>
      </c>
      <c r="D17" s="9">
        <v>236.05704295475681</v>
      </c>
      <c r="E17" s="9">
        <v>8.4008532031541154</v>
      </c>
      <c r="F17" s="9">
        <v>88.877467034976675</v>
      </c>
      <c r="G17" s="9">
        <v>14.438924004479993</v>
      </c>
      <c r="H17" s="9">
        <v>53.827747400007951</v>
      </c>
      <c r="I17" s="9">
        <v>9.0794524160188033</v>
      </c>
      <c r="J17" s="9">
        <v>80.51171423844923</v>
      </c>
      <c r="K17" s="9">
        <v>12.788742365083506</v>
      </c>
      <c r="L17" s="9">
        <v>54.299246254016268</v>
      </c>
      <c r="M17" s="9">
        <v>9.2019031823219635</v>
      </c>
      <c r="N17" s="9">
        <v>88.629069783377872</v>
      </c>
      <c r="O17" s="9">
        <v>14.235222359398183</v>
      </c>
      <c r="P17" s="9">
        <v>60.230575810516918</v>
      </c>
      <c r="Q17" s="9">
        <v>10.215933365314362</v>
      </c>
      <c r="R17" s="9">
        <v>99.84194069685995</v>
      </c>
      <c r="S17" s="9">
        <v>16.065930942828107</v>
      </c>
      <c r="T17" s="9">
        <v>65.063797384385012</v>
      </c>
      <c r="U17" s="9">
        <v>11.037110669349239</v>
      </c>
      <c r="V17" s="9">
        <v>108.09495883552941</v>
      </c>
      <c r="W17" s="9">
        <v>17.398566254376679</v>
      </c>
      <c r="X17" s="9">
        <v>69.969468654751324</v>
      </c>
      <c r="Y17" s="9">
        <v>11.842768500228834</v>
      </c>
      <c r="Z17" s="9">
        <v>111.665770863852</v>
      </c>
      <c r="AA17" s="9">
        <v>17.885933129199014</v>
      </c>
      <c r="AB17" s="9">
        <v>77.383187764677444</v>
      </c>
      <c r="AC17" s="9">
        <v>13.073600068998278</v>
      </c>
      <c r="AD17" s="9">
        <v>119.35511129901671</v>
      </c>
      <c r="AE17" s="9">
        <v>19.035282238006005</v>
      </c>
      <c r="AF17" s="9">
        <v>80.425648971992288</v>
      </c>
      <c r="AG17" s="9">
        <v>13.579041162433004</v>
      </c>
      <c r="AH17" s="9">
        <v>122.56754325924419</v>
      </c>
      <c r="AI17" s="9">
        <v>19.517192117351446</v>
      </c>
      <c r="AJ17" s="9">
        <v>85.316359989611428</v>
      </c>
      <c r="AK17" s="9">
        <v>14.382770745466697</v>
      </c>
      <c r="AL17" s="9">
        <v>126.21876515805488</v>
      </c>
      <c r="AM17" s="9">
        <v>20.019510016311905</v>
      </c>
      <c r="AN17" s="9">
        <v>81.415682634590638</v>
      </c>
      <c r="AO17" s="9">
        <v>13.754104406019618</v>
      </c>
      <c r="AP17" s="9">
        <v>125.4417175028147</v>
      </c>
      <c r="AQ17" s="9">
        <v>20.003266073284916</v>
      </c>
      <c r="AR17" s="9">
        <v>69.290916976730799</v>
      </c>
      <c r="AS17" s="9">
        <v>11.842290446993085</v>
      </c>
      <c r="AT17" s="9">
        <v>130.33421075579903</v>
      </c>
      <c r="AU17" s="9">
        <v>21.268459085461679</v>
      </c>
      <c r="AV17" s="9">
        <v>72.612082666503028</v>
      </c>
      <c r="AW17" s="11">
        <f t="shared" si="2"/>
        <v>236.05704295475681</v>
      </c>
      <c r="AX17" s="9">
        <v>12.441318289629361</v>
      </c>
      <c r="AY17" s="9">
        <v>142.00696627167505</v>
      </c>
      <c r="AZ17" s="11">
        <f t="shared" si="1"/>
        <v>154.4482845613044</v>
      </c>
    </row>
    <row r="18" spans="1:52" x14ac:dyDescent="0.7">
      <c r="A18" s="8" t="s">
        <v>80</v>
      </c>
      <c r="B18" s="8" t="s">
        <v>81</v>
      </c>
      <c r="C18" s="8" t="s">
        <v>60</v>
      </c>
      <c r="D18" s="9">
        <v>67.635342089399458</v>
      </c>
      <c r="E18" s="9">
        <v>10.245536072239258</v>
      </c>
      <c r="F18" s="9">
        <v>16.865121514414476</v>
      </c>
      <c r="G18" s="9">
        <v>4.0796705165072806</v>
      </c>
      <c r="H18" s="9">
        <v>12.126219169032405</v>
      </c>
      <c r="I18" s="9">
        <v>12.081661345482193</v>
      </c>
      <c r="J18" s="9">
        <v>21.661983814186737</v>
      </c>
      <c r="K18" s="9">
        <v>4.9651061907529765</v>
      </c>
      <c r="L18" s="9">
        <v>12.693339971306752</v>
      </c>
      <c r="M18" s="9">
        <v>12.63893723121115</v>
      </c>
      <c r="N18" s="9">
        <v>21.334780429879327</v>
      </c>
      <c r="O18" s="9">
        <v>5.6631408318271586</v>
      </c>
      <c r="P18" s="9">
        <v>20.154838418072195</v>
      </c>
      <c r="Q18" s="9">
        <v>20.0407186834687</v>
      </c>
      <c r="R18" s="9">
        <v>29.085810373997994</v>
      </c>
      <c r="S18" s="9">
        <v>5.9573872616327828</v>
      </c>
      <c r="T18" s="9">
        <v>10.904359680508804</v>
      </c>
      <c r="U18" s="9">
        <v>10.919891389660251</v>
      </c>
      <c r="V18" s="9">
        <v>29.081115279792865</v>
      </c>
      <c r="W18" s="9">
        <v>6.1481578972718349</v>
      </c>
      <c r="X18" s="9">
        <v>10.973949500535639</v>
      </c>
      <c r="Y18" s="9">
        <v>10.994136268772316</v>
      </c>
      <c r="Z18" s="9">
        <v>30.053495792707626</v>
      </c>
      <c r="AA18" s="9">
        <v>6.5492363818950334</v>
      </c>
      <c r="AB18" s="9">
        <v>13.182541759878472</v>
      </c>
      <c r="AC18" s="9">
        <v>13.17638083790697</v>
      </c>
      <c r="AD18" s="9">
        <v>30.850252006614003</v>
      </c>
      <c r="AE18" s="9">
        <v>6.7822168222984951</v>
      </c>
      <c r="AF18" s="9">
        <v>14.479844658004216</v>
      </c>
      <c r="AG18" s="9">
        <v>14.463641568851871</v>
      </c>
      <c r="AH18" s="9">
        <v>32.256715391476632</v>
      </c>
      <c r="AI18" s="9">
        <v>6.8733044259539229</v>
      </c>
      <c r="AJ18" s="9">
        <v>13.156439662951048</v>
      </c>
      <c r="AK18" s="9">
        <v>13.175534686232892</v>
      </c>
      <c r="AL18" s="9">
        <v>35.148646154321959</v>
      </c>
      <c r="AM18" s="9">
        <v>7.4205824933807367</v>
      </c>
      <c r="AN18" s="9">
        <v>13.158717223325791</v>
      </c>
      <c r="AO18" s="9">
        <v>13.15956907083363</v>
      </c>
      <c r="AP18" s="9">
        <v>32.003647225340387</v>
      </c>
      <c r="AQ18" s="9">
        <v>6.9503976748063847</v>
      </c>
      <c r="AR18" s="9">
        <v>14.091853779763531</v>
      </c>
      <c r="AS18" s="9">
        <v>14.089684888302994</v>
      </c>
      <c r="AT18" s="9">
        <v>33.741052195464839</v>
      </c>
      <c r="AU18" s="9">
        <v>7.1015911220884052</v>
      </c>
      <c r="AV18" s="9">
        <v>12.703013883543226</v>
      </c>
      <c r="AW18" s="11">
        <f t="shared" si="2"/>
        <v>67.635342089399458</v>
      </c>
      <c r="AX18" s="9">
        <v>12.728650598606473</v>
      </c>
      <c r="AY18" s="9">
        <v>35.180647225529299</v>
      </c>
      <c r="AZ18" s="11">
        <f t="shared" si="1"/>
        <v>47.90929782413577</v>
      </c>
    </row>
    <row r="19" spans="1:52" x14ac:dyDescent="0.7">
      <c r="A19" s="8" t="s">
        <v>82</v>
      </c>
      <c r="B19" s="8" t="s">
        <v>83</v>
      </c>
      <c r="C19" s="8" t="s">
        <v>61</v>
      </c>
      <c r="D19" s="9">
        <v>240.14683388957536</v>
      </c>
      <c r="E19" s="9">
        <v>42.873999741388424</v>
      </c>
      <c r="F19" s="9">
        <v>75.443318802579796</v>
      </c>
      <c r="G19" s="9">
        <v>1.2752599818716606</v>
      </c>
      <c r="H19" s="9">
        <v>95.597756448606589</v>
      </c>
      <c r="I19" s="9">
        <v>44.210586722812039</v>
      </c>
      <c r="J19" s="9">
        <v>78.518352269209899</v>
      </c>
      <c r="K19" s="9">
        <v>1.1201750117200953</v>
      </c>
      <c r="L19" s="9">
        <v>97.144762877057204</v>
      </c>
      <c r="M19" s="9">
        <v>44.360149081941707</v>
      </c>
      <c r="N19" s="9">
        <v>77.758752357961697</v>
      </c>
      <c r="O19" s="9">
        <v>1.8623614001345496</v>
      </c>
      <c r="P19" s="9">
        <v>88.441620803041545</v>
      </c>
      <c r="Q19" s="9">
        <v>44.167168563013661</v>
      </c>
      <c r="R19" s="9">
        <v>95.765214387165315</v>
      </c>
      <c r="S19" s="9">
        <v>1.8848010161005972</v>
      </c>
      <c r="T19" s="9">
        <v>98.72884408284861</v>
      </c>
      <c r="U19" s="9">
        <v>47.686623115889638</v>
      </c>
      <c r="V19" s="9">
        <v>98.456336742090784</v>
      </c>
      <c r="W19" s="9">
        <v>0.50793768305598219</v>
      </c>
      <c r="X19" s="9">
        <v>99.233953388463078</v>
      </c>
      <c r="Y19" s="9">
        <v>47.660485376711364</v>
      </c>
      <c r="Z19" s="9">
        <v>97.269122785163574</v>
      </c>
      <c r="AA19" s="9">
        <v>0.45631323396719353</v>
      </c>
      <c r="AB19" s="9">
        <v>88.730197817692002</v>
      </c>
      <c r="AC19" s="9">
        <v>43.327997060307403</v>
      </c>
      <c r="AD19" s="9">
        <v>88.227903138720961</v>
      </c>
      <c r="AE19" s="9">
        <v>1.341713142259813</v>
      </c>
      <c r="AF19" s="9">
        <v>101.68359758552265</v>
      </c>
      <c r="AG19" s="9">
        <v>48.319290151565589</v>
      </c>
      <c r="AH19" s="9">
        <v>96.758683693197028</v>
      </c>
      <c r="AI19" s="9">
        <v>1.7602860121684489</v>
      </c>
      <c r="AJ19" s="9">
        <v>91.762145596264077</v>
      </c>
      <c r="AK19" s="9">
        <v>45.404682656406685</v>
      </c>
      <c r="AL19" s="9">
        <v>88.221102304315423</v>
      </c>
      <c r="AM19" s="9">
        <v>1.6719806294871746</v>
      </c>
      <c r="AN19" s="9">
        <v>76.116572577305973</v>
      </c>
      <c r="AO19" s="9">
        <v>44.412966629536157</v>
      </c>
      <c r="AP19" s="9">
        <v>102.49098385932714</v>
      </c>
      <c r="AQ19" s="9">
        <v>1.7165462283357544</v>
      </c>
      <c r="AR19" s="9">
        <v>90.502168611966198</v>
      </c>
      <c r="AS19" s="9">
        <v>48.156038518752354</v>
      </c>
      <c r="AT19" s="9">
        <v>101.51448329587832</v>
      </c>
      <c r="AU19" s="9">
        <v>1.5052681025585257</v>
      </c>
      <c r="AV19" s="9">
        <v>88.971043972386198</v>
      </c>
      <c r="AW19" s="11">
        <f t="shared" si="2"/>
        <v>240.14683388957536</v>
      </c>
      <c r="AX19" s="9">
        <v>48.266023939534776</v>
      </c>
      <c r="AY19" s="9">
        <v>100.73372648481921</v>
      </c>
      <c r="AZ19" s="11">
        <f t="shared" si="1"/>
        <v>148.99975042435398</v>
      </c>
    </row>
    <row r="20" spans="1:52" x14ac:dyDescent="0.7">
      <c r="A20" s="8" t="s">
        <v>84</v>
      </c>
      <c r="B20" s="8" t="s">
        <v>85</v>
      </c>
      <c r="C20" s="8" t="s">
        <v>61</v>
      </c>
      <c r="D20" s="9">
        <v>52.983359031786009</v>
      </c>
      <c r="E20" s="9">
        <v>21.919182021629002</v>
      </c>
      <c r="F20" s="9">
        <v>18.22833947969977</v>
      </c>
      <c r="G20" s="9">
        <v>1.1734223082647082</v>
      </c>
      <c r="H20" s="9">
        <v>45.448006838536649</v>
      </c>
      <c r="I20" s="9">
        <v>17.986857708610739</v>
      </c>
      <c r="J20" s="9">
        <v>13.698734107065631</v>
      </c>
      <c r="K20" s="9">
        <v>1.7618913910790308</v>
      </c>
      <c r="L20" s="9">
        <v>42.528167764225401</v>
      </c>
      <c r="M20" s="9">
        <v>17.351396259737161</v>
      </c>
      <c r="N20" s="9">
        <v>14.387014302740333</v>
      </c>
      <c r="O20" s="9">
        <v>3.9505063752759888</v>
      </c>
      <c r="P20" s="9">
        <v>24.620380293110198</v>
      </c>
      <c r="Q20" s="9">
        <v>14.275932671346361</v>
      </c>
      <c r="R20" s="9">
        <v>18.648156466759001</v>
      </c>
      <c r="S20" s="9">
        <v>0.22810460091859042</v>
      </c>
      <c r="T20" s="9">
        <v>32.792711771467374</v>
      </c>
      <c r="U20" s="9">
        <v>16.648179222668169</v>
      </c>
      <c r="V20" s="9">
        <v>18.962485120751587</v>
      </c>
      <c r="W20" s="9">
        <v>0.57027565104984057</v>
      </c>
      <c r="X20" s="9">
        <v>33.207553932555193</v>
      </c>
      <c r="Y20" s="9">
        <v>17.357638789291634</v>
      </c>
      <c r="Z20" s="9">
        <v>20.452812913436549</v>
      </c>
      <c r="AA20" s="9">
        <v>0.62215954534856821</v>
      </c>
      <c r="AB20" s="9">
        <v>28.902538207652487</v>
      </c>
      <c r="AC20" s="9">
        <v>15.543292694878135</v>
      </c>
      <c r="AD20" s="9">
        <v>18.997788791361785</v>
      </c>
      <c r="AE20" s="9">
        <v>1.4655766489568711</v>
      </c>
      <c r="AF20" s="9">
        <v>31.392981966216631</v>
      </c>
      <c r="AG20" s="9">
        <v>17.404708040131958</v>
      </c>
      <c r="AH20" s="9">
        <v>21.980106561607055</v>
      </c>
      <c r="AI20" s="9">
        <v>1.9507673878377618</v>
      </c>
      <c r="AJ20" s="9">
        <v>30.045557257905866</v>
      </c>
      <c r="AK20" s="9">
        <v>15.467512678600569</v>
      </c>
      <c r="AL20" s="9">
        <v>18.064168814351635</v>
      </c>
      <c r="AM20" s="9">
        <v>1.8524020749126999</v>
      </c>
      <c r="AN20" s="9">
        <v>24.899399151627144</v>
      </c>
      <c r="AO20" s="9">
        <v>13.309437538866806</v>
      </c>
      <c r="AP20" s="9">
        <v>16.241400991260523</v>
      </c>
      <c r="AQ20" s="9">
        <v>1.9202799245099005</v>
      </c>
      <c r="AR20" s="9">
        <v>25.654595526957216</v>
      </c>
      <c r="AS20" s="9">
        <v>13.259584481554699</v>
      </c>
      <c r="AT20" s="9">
        <v>15.637969145797578</v>
      </c>
      <c r="AU20" s="9">
        <v>2.2856025686232484</v>
      </c>
      <c r="AV20" s="9">
        <v>21.800202835810484</v>
      </c>
      <c r="AW20" s="11">
        <f t="shared" si="2"/>
        <v>52.983359031786009</v>
      </c>
      <c r="AX20" s="9">
        <v>11.405640262430291</v>
      </c>
      <c r="AY20" s="9">
        <v>13.405566555974973</v>
      </c>
      <c r="AZ20" s="11">
        <f t="shared" si="1"/>
        <v>24.811206818405264</v>
      </c>
    </row>
    <row r="21" spans="1:52" x14ac:dyDescent="0.7">
      <c r="A21" s="8" t="s">
        <v>86</v>
      </c>
      <c r="B21" s="8" t="s">
        <v>87</v>
      </c>
      <c r="C21" s="8" t="s">
        <v>61</v>
      </c>
      <c r="D21" s="9">
        <v>28.523157494063014</v>
      </c>
      <c r="E21" s="9">
        <v>1.4163433979837023</v>
      </c>
      <c r="F21" s="9">
        <v>2.2450559196017084</v>
      </c>
      <c r="G21" s="9">
        <v>2.6283870367131992</v>
      </c>
      <c r="H21" s="9">
        <v>1.7285779110398101</v>
      </c>
      <c r="I21" s="9">
        <v>0.59028153820842544</v>
      </c>
      <c r="J21" s="9">
        <v>1.1707208905003823</v>
      </c>
      <c r="K21" s="9">
        <v>2.9956615354519531</v>
      </c>
      <c r="L21" s="9">
        <v>3.6787643295209822</v>
      </c>
      <c r="M21" s="9">
        <v>1.0732636467127734</v>
      </c>
      <c r="N21" s="9">
        <v>0.85760897814886716</v>
      </c>
      <c r="O21" s="9">
        <v>1.3686907620321798</v>
      </c>
      <c r="P21" s="9">
        <v>5.208875214506353</v>
      </c>
      <c r="Q21" s="9">
        <v>1.9137595849633764</v>
      </c>
      <c r="R21" s="9">
        <v>4.3204499822182107</v>
      </c>
      <c r="S21" s="9">
        <v>1.4095515958556815</v>
      </c>
      <c r="T21" s="9">
        <v>10.220130192890439</v>
      </c>
      <c r="U21" s="9">
        <v>3.4812007928503923</v>
      </c>
      <c r="V21" s="9">
        <v>6.2890781211080498</v>
      </c>
      <c r="W21" s="9">
        <v>2.2950486452364487</v>
      </c>
      <c r="X21" s="9">
        <v>4.0168990841553098</v>
      </c>
      <c r="Y21" s="9">
        <v>1.8713037241576176</v>
      </c>
      <c r="Z21" s="9">
        <v>6.4996512549040002</v>
      </c>
      <c r="AA21" s="9">
        <v>1.9480702746172314</v>
      </c>
      <c r="AB21" s="9">
        <v>7.2854064803440348</v>
      </c>
      <c r="AC21" s="9">
        <v>3.2642845494668244</v>
      </c>
      <c r="AD21" s="9">
        <v>10.861285108001002</v>
      </c>
      <c r="AE21" s="9">
        <v>6.3098631687694091</v>
      </c>
      <c r="AF21" s="9">
        <v>9.3655580077368494</v>
      </c>
      <c r="AG21" s="9">
        <v>3.3580722172784436</v>
      </c>
      <c r="AH21" s="9">
        <v>7.2731342785325834</v>
      </c>
      <c r="AI21" s="9">
        <v>6.9757758622540056</v>
      </c>
      <c r="AJ21" s="9">
        <v>9.3926928486097729</v>
      </c>
      <c r="AK21" s="9">
        <v>3.4053675374312391</v>
      </c>
      <c r="AL21" s="9">
        <v>7.6154366931975126</v>
      </c>
      <c r="AM21" s="9">
        <v>7.6342951360507296</v>
      </c>
      <c r="AN21" s="9">
        <v>8.5719215430164741</v>
      </c>
      <c r="AO21" s="9">
        <v>3.0030180043478163</v>
      </c>
      <c r="AP21" s="9">
        <v>6.0249543747163239</v>
      </c>
      <c r="AQ21" s="9">
        <v>4.390528595328286</v>
      </c>
      <c r="AR21" s="9">
        <v>12.265523250568952</v>
      </c>
      <c r="AS21" s="9">
        <v>3.9945948647261176</v>
      </c>
      <c r="AT21" s="9">
        <v>6.2503221264841704</v>
      </c>
      <c r="AU21" s="9">
        <v>7.0372835864336771</v>
      </c>
      <c r="AV21" s="9">
        <v>11.240956916419048</v>
      </c>
      <c r="AW21" s="11">
        <f t="shared" si="2"/>
        <v>28.523157494063014</v>
      </c>
      <c r="AX21" s="9">
        <v>3.7493908306482133</v>
      </c>
      <c r="AY21" s="9">
        <v>6.2373393795865448</v>
      </c>
      <c r="AZ21" s="11">
        <f t="shared" si="1"/>
        <v>9.9867302102347573</v>
      </c>
    </row>
    <row r="22" spans="1:52" x14ac:dyDescent="0.7">
      <c r="A22" s="8" t="s">
        <v>88</v>
      </c>
      <c r="B22" s="8" t="s">
        <v>89</v>
      </c>
      <c r="C22" s="8" t="s">
        <v>61</v>
      </c>
      <c r="D22" s="9">
        <v>17.201934832144037</v>
      </c>
      <c r="E22" s="9">
        <v>0.73778005010212566</v>
      </c>
      <c r="F22" s="9">
        <v>1.1604628411926916</v>
      </c>
      <c r="G22" s="9">
        <v>0.46499568397387275</v>
      </c>
      <c r="H22" s="9">
        <v>0.138205264959327</v>
      </c>
      <c r="I22" s="9">
        <v>8.7243290978225682E-2</v>
      </c>
      <c r="J22" s="9">
        <v>0.5955738429049513</v>
      </c>
      <c r="K22" s="9">
        <v>0.48995137645201875</v>
      </c>
      <c r="L22" s="9">
        <v>1.6940418068780643</v>
      </c>
      <c r="M22" s="9">
        <v>0.6497852722189249</v>
      </c>
      <c r="N22" s="9">
        <v>3.0290649288674709</v>
      </c>
      <c r="O22" s="9">
        <v>0.79069932884309935</v>
      </c>
      <c r="P22" s="9">
        <v>1.7977949682027632</v>
      </c>
      <c r="Q22" s="9">
        <v>0.5900449979530944</v>
      </c>
      <c r="R22" s="9">
        <v>2.2666505608885803</v>
      </c>
      <c r="S22" s="9">
        <v>1.4272705689519267</v>
      </c>
      <c r="T22" s="9">
        <v>3.8740995032896031</v>
      </c>
      <c r="U22" s="9">
        <v>0.89036680903410514</v>
      </c>
      <c r="V22" s="9">
        <v>1.108477213187095</v>
      </c>
      <c r="W22" s="9">
        <v>1.2371994944762388</v>
      </c>
      <c r="X22" s="9">
        <v>6.169789450220077</v>
      </c>
      <c r="Y22" s="9">
        <v>1.6661544182918244</v>
      </c>
      <c r="Z22" s="9">
        <v>4.1855239089529714</v>
      </c>
      <c r="AA22" s="9">
        <v>2.0885468918611059</v>
      </c>
      <c r="AB22" s="9">
        <v>8.8812897710034537</v>
      </c>
      <c r="AC22" s="9">
        <v>2.3581098760572838</v>
      </c>
      <c r="AD22" s="9">
        <v>5.6738289924505265</v>
      </c>
      <c r="AE22" s="9">
        <v>4.1535993789667431</v>
      </c>
      <c r="AF22" s="9">
        <v>6.4053182283682011</v>
      </c>
      <c r="AG22" s="9">
        <v>2.1531180966317534</v>
      </c>
      <c r="AH22" s="9">
        <v>8.5044586448602697</v>
      </c>
      <c r="AI22" s="9">
        <v>3.2269488811441707</v>
      </c>
      <c r="AJ22" s="9">
        <v>5.8901965877698705</v>
      </c>
      <c r="AK22" s="9">
        <v>2.0775458770858415</v>
      </c>
      <c r="AL22" s="9">
        <v>8.7787107985663493</v>
      </c>
      <c r="AM22" s="9">
        <v>3.1977727292039413</v>
      </c>
      <c r="AN22" s="9">
        <v>6.5298181989200659</v>
      </c>
      <c r="AO22" s="9">
        <v>2.2099626929253495</v>
      </c>
      <c r="AP22" s="9">
        <v>8.809200545355429</v>
      </c>
      <c r="AQ22" s="9">
        <v>3.1071804872125477</v>
      </c>
      <c r="AR22" s="9">
        <v>6.8002212227818122</v>
      </c>
      <c r="AS22" s="9">
        <v>2.1910278597935209</v>
      </c>
      <c r="AT22" s="9">
        <v>8.1091976375559174</v>
      </c>
      <c r="AU22" s="9">
        <v>3.5269459980091526</v>
      </c>
      <c r="AV22" s="9">
        <v>3.3747633367854464</v>
      </c>
      <c r="AW22" s="11">
        <f t="shared" si="2"/>
        <v>17.201934832144037</v>
      </c>
      <c r="AX22" s="9">
        <v>1.5539747815547951</v>
      </c>
      <c r="AY22" s="9">
        <v>8.5378948815088762</v>
      </c>
      <c r="AZ22" s="11">
        <f t="shared" si="1"/>
        <v>10.091869663063671</v>
      </c>
    </row>
    <row r="23" spans="1:52" x14ac:dyDescent="0.7">
      <c r="A23" s="8" t="s">
        <v>90</v>
      </c>
      <c r="B23" s="8" t="s">
        <v>91</v>
      </c>
      <c r="C23" s="8" t="s">
        <v>61</v>
      </c>
      <c r="D23" s="9">
        <v>21.47467949813365</v>
      </c>
      <c r="E23" s="9">
        <v>1.4332026896396015</v>
      </c>
      <c r="F23" s="9">
        <v>4.1618362082613665</v>
      </c>
      <c r="G23" s="9">
        <v>0.48584758672303491</v>
      </c>
      <c r="H23" s="9">
        <v>5.5105336077659723</v>
      </c>
      <c r="I23" s="9">
        <v>1.8889544744474884</v>
      </c>
      <c r="J23" s="9">
        <v>3.1251013492556501</v>
      </c>
      <c r="K23" s="9">
        <v>0.36482044771171973</v>
      </c>
      <c r="L23" s="9">
        <v>3.9178835079576397</v>
      </c>
      <c r="M23" s="9">
        <v>1.4354677415609529</v>
      </c>
      <c r="N23" s="9">
        <v>3.0137073116260473</v>
      </c>
      <c r="O23" s="9">
        <v>3.4371758287057737</v>
      </c>
      <c r="P23" s="9">
        <v>8.2187522977373231</v>
      </c>
      <c r="Q23" s="9">
        <v>2.7859286351872727</v>
      </c>
      <c r="R23" s="9">
        <v>4.4562680492563809</v>
      </c>
      <c r="S23" s="9">
        <v>1.0429995170999879</v>
      </c>
      <c r="T23" s="9">
        <v>9.9322305539666491</v>
      </c>
      <c r="U23" s="9">
        <v>3.3089329468708923</v>
      </c>
      <c r="V23" s="9">
        <v>4.9742910420782707</v>
      </c>
      <c r="W23" s="9">
        <v>1.3462605477811649</v>
      </c>
      <c r="X23" s="9">
        <v>7.2223654985979113</v>
      </c>
      <c r="Y23" s="9">
        <v>2.9057531539951946</v>
      </c>
      <c r="Z23" s="9">
        <v>7.2285510572273024</v>
      </c>
      <c r="AA23" s="9">
        <v>1.7045551025970449</v>
      </c>
      <c r="AB23" s="9">
        <v>9.4998740756964999</v>
      </c>
      <c r="AC23" s="9">
        <v>3.3260489973974972</v>
      </c>
      <c r="AD23" s="9">
        <v>5.9300638794709757</v>
      </c>
      <c r="AE23" s="9">
        <v>1.7041600423146421</v>
      </c>
      <c r="AF23" s="9">
        <v>9.9781140480403945</v>
      </c>
      <c r="AG23" s="9">
        <v>3.5620659675106241</v>
      </c>
      <c r="AH23" s="9">
        <v>6.7647628438507441</v>
      </c>
      <c r="AI23" s="9">
        <v>2.8866238100277246</v>
      </c>
      <c r="AJ23" s="9">
        <v>8.8422916884670411</v>
      </c>
      <c r="AK23" s="9">
        <v>3.3109858257492482</v>
      </c>
      <c r="AL23" s="9">
        <v>7.1071951823822461</v>
      </c>
      <c r="AM23" s="9">
        <v>2.6946590410309508</v>
      </c>
      <c r="AN23" s="9">
        <v>7.5723000734431496</v>
      </c>
      <c r="AO23" s="9">
        <v>3.0419030001902452</v>
      </c>
      <c r="AP23" s="9">
        <v>7.5610128740747768</v>
      </c>
      <c r="AQ23" s="9">
        <v>2.1686767723875167</v>
      </c>
      <c r="AR23" s="9">
        <v>6.442928358662833</v>
      </c>
      <c r="AS23" s="9">
        <v>2.8658507953553185</v>
      </c>
      <c r="AT23" s="9">
        <v>8.4612355762978204</v>
      </c>
      <c r="AU23" s="9">
        <v>2.7675605761736692</v>
      </c>
      <c r="AV23" s="9">
        <v>7.3800325503068436</v>
      </c>
      <c r="AW23" s="11">
        <f t="shared" si="2"/>
        <v>21.47467949813365</v>
      </c>
      <c r="AX23" s="9">
        <v>3.1339281019500289</v>
      </c>
      <c r="AY23" s="9">
        <v>8.5372268472143187</v>
      </c>
      <c r="AZ23" s="11">
        <f t="shared" si="1"/>
        <v>11.671154949164347</v>
      </c>
    </row>
    <row r="24" spans="1:52" x14ac:dyDescent="0.7">
      <c r="A24" s="8" t="s">
        <v>92</v>
      </c>
      <c r="B24" s="8" t="s">
        <v>93</v>
      </c>
      <c r="C24" s="8" t="s">
        <v>61</v>
      </c>
      <c r="D24" s="9">
        <v>42.877696825069862</v>
      </c>
      <c r="E24" s="9">
        <v>1.9963975265846337</v>
      </c>
      <c r="F24" s="9">
        <v>4.8170794577162068</v>
      </c>
      <c r="G24" s="9">
        <v>1.9045225318216625</v>
      </c>
      <c r="H24" s="9">
        <v>3.0617011562893701</v>
      </c>
      <c r="I24" s="9">
        <v>1.6233412201187785</v>
      </c>
      <c r="J24" s="9">
        <v>4.6762089715100998</v>
      </c>
      <c r="K24" s="9">
        <v>2.2533858256939445</v>
      </c>
      <c r="L24" s="9">
        <v>6.161979124009572</v>
      </c>
      <c r="M24" s="9">
        <v>3.3975348419303883</v>
      </c>
      <c r="N24" s="9">
        <v>10.054192275498185</v>
      </c>
      <c r="O24" s="9">
        <v>3.4547936776011374</v>
      </c>
      <c r="P24" s="9">
        <v>5.3771170735245457</v>
      </c>
      <c r="Q24" s="9">
        <v>2.3706567045725313</v>
      </c>
      <c r="R24" s="9">
        <v>5.5869029401878336</v>
      </c>
      <c r="S24" s="9">
        <v>1.832269841931585</v>
      </c>
      <c r="T24" s="9">
        <v>7.7402796152752407</v>
      </c>
      <c r="U24" s="9">
        <v>2.7545457053386331</v>
      </c>
      <c r="V24" s="9">
        <v>4.5610540569305664</v>
      </c>
      <c r="W24" s="9">
        <v>2.4636220481613922</v>
      </c>
      <c r="X24" s="9">
        <v>22.344139185179323</v>
      </c>
      <c r="Y24" s="9">
        <v>8.447835450670695</v>
      </c>
      <c r="Z24" s="9">
        <v>15.616460816775893</v>
      </c>
      <c r="AA24" s="9">
        <v>3.0890172113938084</v>
      </c>
      <c r="AB24" s="9">
        <v>6.8466237610056213</v>
      </c>
      <c r="AC24" s="9">
        <v>5.9618761209129767</v>
      </c>
      <c r="AD24" s="9">
        <v>22.810286225851549</v>
      </c>
      <c r="AE24" s="9">
        <v>6.0492547556977767</v>
      </c>
      <c r="AF24" s="9">
        <v>10.503291779633422</v>
      </c>
      <c r="AG24" s="9">
        <v>6.8130684614016328</v>
      </c>
      <c r="AH24" s="9">
        <v>22.512609689968158</v>
      </c>
      <c r="AI24" s="9">
        <v>5.4124329892132179</v>
      </c>
      <c r="AJ24" s="9">
        <v>10.593435705150567</v>
      </c>
      <c r="AK24" s="9">
        <v>7.0686381728966499</v>
      </c>
      <c r="AL24" s="9">
        <v>7.166439100598307</v>
      </c>
      <c r="AM24" s="9">
        <v>8.8165532707575487</v>
      </c>
      <c r="AN24" s="9">
        <v>10.721369210855888</v>
      </c>
      <c r="AO24" s="9">
        <v>6.0778374123985701</v>
      </c>
      <c r="AP24" s="9">
        <v>18.441355664150759</v>
      </c>
      <c r="AQ24" s="9">
        <v>7.6546912569453625</v>
      </c>
      <c r="AR24" s="9">
        <v>6.2643925810336931</v>
      </c>
      <c r="AS24" s="9">
        <v>4.6216872178876267</v>
      </c>
      <c r="AT24" s="9">
        <v>16.648498331445087</v>
      </c>
      <c r="AU24" s="9">
        <v>9.7267568461549914</v>
      </c>
      <c r="AV24" s="9">
        <v>11.880754429582154</v>
      </c>
      <c r="AW24" s="11">
        <f t="shared" si="2"/>
        <v>42.877696825069862</v>
      </c>
      <c r="AX24" s="9">
        <v>6.156241181672728</v>
      </c>
      <c r="AY24" s="9">
        <v>17.096142140009189</v>
      </c>
      <c r="AZ24" s="11">
        <f t="shared" si="1"/>
        <v>23.252383321681918</v>
      </c>
    </row>
    <row r="25" spans="1:52" x14ac:dyDescent="0.7">
      <c r="A25" s="8" t="s">
        <v>94</v>
      </c>
      <c r="B25" s="8" t="s">
        <v>95</v>
      </c>
      <c r="C25" s="8" t="s">
        <v>61</v>
      </c>
      <c r="D25" s="9">
        <v>59.108155289921399</v>
      </c>
      <c r="E25" s="9">
        <v>12.355046985365698</v>
      </c>
      <c r="F25" s="9">
        <v>20.297369263222276</v>
      </c>
      <c r="G25" s="9">
        <v>12.33916613409769</v>
      </c>
      <c r="H25" s="9">
        <v>34.288926646331191</v>
      </c>
      <c r="I25" s="9">
        <v>16.549583953234489</v>
      </c>
      <c r="J25" s="9">
        <v>41.595191274196864</v>
      </c>
      <c r="K25" s="9">
        <v>17.692492990989845</v>
      </c>
      <c r="L25" s="9">
        <v>42.456070394018099</v>
      </c>
      <c r="M25" s="9">
        <v>16.359781825952897</v>
      </c>
      <c r="N25" s="9">
        <v>28.234085966088067</v>
      </c>
      <c r="O25" s="9">
        <v>39.502016917735837</v>
      </c>
      <c r="P25" s="9">
        <v>27.156222596702193</v>
      </c>
      <c r="Q25" s="9">
        <v>10.7842028603497</v>
      </c>
      <c r="R25" s="9">
        <v>19.330786446876495</v>
      </c>
      <c r="S25" s="9">
        <v>9.8483729497649293</v>
      </c>
      <c r="T25" s="9">
        <v>26.270386760139246</v>
      </c>
      <c r="U25" s="9">
        <v>11.188813898938273</v>
      </c>
      <c r="V25" s="9">
        <v>23.219106935199164</v>
      </c>
      <c r="W25" s="9">
        <v>13.168995433628046</v>
      </c>
      <c r="X25" s="9">
        <v>25.016431548195037</v>
      </c>
      <c r="Y25" s="9">
        <v>11.020912179628706</v>
      </c>
      <c r="Z25" s="9">
        <v>24.221069967520584</v>
      </c>
      <c r="AA25" s="9">
        <v>12.255182916468536</v>
      </c>
      <c r="AB25" s="9">
        <v>19.859148917770113</v>
      </c>
      <c r="AC25" s="9">
        <v>8.7890843327115356</v>
      </c>
      <c r="AD25" s="9">
        <v>19.614140226069772</v>
      </c>
      <c r="AE25" s="9">
        <v>13.795754915779654</v>
      </c>
      <c r="AF25" s="9">
        <v>18.882248904026568</v>
      </c>
      <c r="AG25" s="9">
        <v>8.8200108535899737</v>
      </c>
      <c r="AH25" s="9">
        <v>21.406161645500536</v>
      </c>
      <c r="AI25" s="9">
        <v>15.060100459322687</v>
      </c>
      <c r="AJ25" s="9">
        <v>16.893177476586214</v>
      </c>
      <c r="AK25" s="9">
        <v>7.7951992650442721</v>
      </c>
      <c r="AL25" s="9">
        <v>18.55301237441752</v>
      </c>
      <c r="AM25" s="9">
        <v>12.312457340751482</v>
      </c>
      <c r="AN25" s="9">
        <v>14.37029185077486</v>
      </c>
      <c r="AO25" s="9">
        <v>7.3249050414788979</v>
      </c>
      <c r="AP25" s="9">
        <v>20.014923224628028</v>
      </c>
      <c r="AQ25" s="9">
        <v>16.127610719333873</v>
      </c>
      <c r="AR25" s="9">
        <v>16.142624713191715</v>
      </c>
      <c r="AS25" s="9">
        <v>7.5361967450024565</v>
      </c>
      <c r="AT25" s="9">
        <v>18.290398694179345</v>
      </c>
      <c r="AU25" s="9">
        <v>13.243663545405154</v>
      </c>
      <c r="AV25" s="9">
        <v>20.037896305334446</v>
      </c>
      <c r="AW25" s="11">
        <f t="shared" si="2"/>
        <v>59.108155289921399</v>
      </c>
      <c r="AX25" s="9">
        <v>8.5379431313521081</v>
      </c>
      <c r="AY25" s="9">
        <v>17.440976749014421</v>
      </c>
      <c r="AZ25" s="11">
        <f t="shared" si="1"/>
        <v>25.978919880366529</v>
      </c>
    </row>
    <row r="26" spans="1:52" x14ac:dyDescent="0.7">
      <c r="A26" s="8" t="s">
        <v>96</v>
      </c>
      <c r="B26" s="8" t="s">
        <v>97</v>
      </c>
      <c r="C26" s="8" t="s">
        <v>61</v>
      </c>
      <c r="D26" s="9">
        <v>33.845727738044971</v>
      </c>
      <c r="E26" s="9">
        <v>3.4702988925849287</v>
      </c>
      <c r="F26" s="9">
        <v>13.745624113194921</v>
      </c>
      <c r="G26" s="9">
        <v>9.7866967990785572</v>
      </c>
      <c r="H26" s="9">
        <v>10.309972016333521</v>
      </c>
      <c r="I26" s="9">
        <v>2.9610702728985832</v>
      </c>
      <c r="J26" s="9">
        <v>11.430576255083835</v>
      </c>
      <c r="K26" s="9">
        <v>11.818259768791089</v>
      </c>
      <c r="L26" s="9">
        <v>6.0462056239873245</v>
      </c>
      <c r="M26" s="9">
        <v>2.7974320125186267</v>
      </c>
      <c r="N26" s="9">
        <v>13.468671382242253</v>
      </c>
      <c r="O26" s="9">
        <v>1.1425052145394394</v>
      </c>
      <c r="P26" s="9">
        <v>5.662895368274441</v>
      </c>
      <c r="Q26" s="9">
        <v>4.9170968656854646</v>
      </c>
      <c r="R26" s="9">
        <v>28.392235327322791</v>
      </c>
      <c r="S26" s="9">
        <v>8.0874684436147923</v>
      </c>
      <c r="T26" s="9">
        <v>12.74358210535144</v>
      </c>
      <c r="U26" s="9">
        <v>4.6172497713164846</v>
      </c>
      <c r="V26" s="9">
        <v>20.213063833853795</v>
      </c>
      <c r="W26" s="9">
        <v>9.0451140195458422</v>
      </c>
      <c r="X26" s="9">
        <v>8.3264228404678491</v>
      </c>
      <c r="Y26" s="9">
        <v>2.7865578819654355</v>
      </c>
      <c r="Z26" s="9">
        <v>11.683924270810435</v>
      </c>
      <c r="AA26" s="9">
        <v>6.2222829561763122</v>
      </c>
      <c r="AB26" s="9">
        <v>7.6271194220460732</v>
      </c>
      <c r="AC26" s="9">
        <v>2.8570639311402779</v>
      </c>
      <c r="AD26" s="9">
        <v>12.820767821030595</v>
      </c>
      <c r="AE26" s="9">
        <v>7.0860608860358489</v>
      </c>
      <c r="AF26" s="9">
        <v>8.502363580156457</v>
      </c>
      <c r="AG26" s="9">
        <v>2.9272522992645822</v>
      </c>
      <c r="AH26" s="9">
        <v>12.520160432556647</v>
      </c>
      <c r="AI26" s="9">
        <v>7.0777526379517024</v>
      </c>
      <c r="AJ26" s="9">
        <v>8.0544275096953708</v>
      </c>
      <c r="AK26" s="9">
        <v>2.901684354219336</v>
      </c>
      <c r="AL26" s="9">
        <v>12.75840779235874</v>
      </c>
      <c r="AM26" s="9">
        <v>7.3435130736042646</v>
      </c>
      <c r="AN26" s="9">
        <v>8.4158657591098933</v>
      </c>
      <c r="AO26" s="9">
        <v>3.25940763605655</v>
      </c>
      <c r="AP26" s="9">
        <v>15.074360759157679</v>
      </c>
      <c r="AQ26" s="9">
        <v>11.494665352258259</v>
      </c>
      <c r="AR26" s="9">
        <v>11.175953237232756</v>
      </c>
      <c r="AS26" s="9">
        <v>3.5173174017690325</v>
      </c>
      <c r="AT26" s="9">
        <v>14.243569853957842</v>
      </c>
      <c r="AU26" s="9">
        <v>9.2617013373433608</v>
      </c>
      <c r="AV26" s="9">
        <v>6.8231391449747374</v>
      </c>
      <c r="AW26" s="11">
        <f t="shared" si="2"/>
        <v>33.845727738044971</v>
      </c>
      <c r="AX26" s="9">
        <v>2.9761487889055114</v>
      </c>
      <c r="AY26" s="9">
        <v>13.983822337527755</v>
      </c>
      <c r="AZ26" s="11">
        <f t="shared" si="1"/>
        <v>16.959971126433267</v>
      </c>
    </row>
    <row r="27" spans="1:52" x14ac:dyDescent="0.7">
      <c r="A27" s="8" t="s">
        <v>98</v>
      </c>
      <c r="B27" s="8" t="s">
        <v>99</v>
      </c>
      <c r="C27" s="8" t="s">
        <v>61</v>
      </c>
      <c r="D27" s="9">
        <v>74.025181080549515</v>
      </c>
      <c r="E27" s="9">
        <v>0.15336824919935307</v>
      </c>
      <c r="F27" s="9">
        <v>1.2354366101707244</v>
      </c>
      <c r="G27" s="9">
        <v>0.14903582182721428</v>
      </c>
      <c r="H27" s="9">
        <v>1.4351579595538608</v>
      </c>
      <c r="I27" s="9">
        <v>0.67727397252947097</v>
      </c>
      <c r="J27" s="9">
        <v>1.457420356757873</v>
      </c>
      <c r="K27" s="9">
        <v>0.17581463818455695</v>
      </c>
      <c r="L27" s="9">
        <v>0</v>
      </c>
      <c r="M27" s="9">
        <v>0</v>
      </c>
      <c r="N27" s="9">
        <v>0</v>
      </c>
      <c r="O27" s="9">
        <v>0</v>
      </c>
      <c r="P27" s="9">
        <v>5.5827516843124041</v>
      </c>
      <c r="Q27" s="9">
        <v>3.0340045690888076</v>
      </c>
      <c r="R27" s="9">
        <v>8.9689040269176505</v>
      </c>
      <c r="S27" s="9">
        <v>3.6826744658070392</v>
      </c>
      <c r="T27" s="9">
        <v>5.0795513242351094</v>
      </c>
      <c r="U27" s="9">
        <v>3.9154019669999949</v>
      </c>
      <c r="V27" s="9">
        <v>17.521124784524378</v>
      </c>
      <c r="W27" s="9">
        <v>6.3092263905911068</v>
      </c>
      <c r="X27" s="9">
        <v>33.081597610601797</v>
      </c>
      <c r="Y27" s="9">
        <v>13.424700570443596</v>
      </c>
      <c r="Z27" s="9">
        <v>16.170199780685145</v>
      </c>
      <c r="AA27" s="9">
        <v>8.0559857379128648</v>
      </c>
      <c r="AB27" s="9">
        <v>27.62169335610098</v>
      </c>
      <c r="AC27" s="9">
        <v>13.969557308408984</v>
      </c>
      <c r="AD27" s="9">
        <v>35.910618902319726</v>
      </c>
      <c r="AE27" s="9">
        <v>14.884618265091625</v>
      </c>
      <c r="AF27" s="9">
        <v>24.919395772678001</v>
      </c>
      <c r="AG27" s="9">
        <v>12.019501393526852</v>
      </c>
      <c r="AH27" s="9">
        <v>27.677532036540264</v>
      </c>
      <c r="AI27" s="9">
        <v>12.208985897701238</v>
      </c>
      <c r="AJ27" s="9">
        <v>19.066256336507681</v>
      </c>
      <c r="AK27" s="9">
        <v>10.927501591518716</v>
      </c>
      <c r="AL27" s="9">
        <v>17.565310375365012</v>
      </c>
      <c r="AM27" s="9">
        <v>11.304129287597947</v>
      </c>
      <c r="AN27" s="9">
        <v>21.385212770807684</v>
      </c>
      <c r="AO27" s="9">
        <v>8.155309780250283</v>
      </c>
      <c r="AP27" s="9">
        <v>7.5671672442266082</v>
      </c>
      <c r="AQ27" s="9">
        <v>46.869889976438188</v>
      </c>
      <c r="AR27" s="9">
        <v>28.688870429417605</v>
      </c>
      <c r="AS27" s="9">
        <v>12.845019231468269</v>
      </c>
      <c r="AT27" s="9">
        <v>23.823295631530396</v>
      </c>
      <c r="AU27" s="9">
        <v>11.663432318351672</v>
      </c>
      <c r="AV27" s="9">
        <v>25.693433899199174</v>
      </c>
      <c r="AW27" s="11">
        <f t="shared" si="2"/>
        <v>74.025181080549515</v>
      </c>
      <c r="AX27" s="9">
        <v>11.654175882418707</v>
      </c>
      <c r="AY27" s="9">
        <v>22.298192462511064</v>
      </c>
      <c r="AZ27" s="11">
        <f t="shared" si="1"/>
        <v>33.952368344929774</v>
      </c>
    </row>
    <row r="28" spans="1:52" ht="12" customHeight="1" x14ac:dyDescent="0.7">
      <c r="A28" s="8" t="s">
        <v>100</v>
      </c>
      <c r="B28" s="8" t="s">
        <v>101</v>
      </c>
      <c r="C28" s="8" t="s">
        <v>62</v>
      </c>
      <c r="D28" s="9">
        <v>77.192479309695898</v>
      </c>
      <c r="E28" s="9">
        <v>31.897025711546302</v>
      </c>
      <c r="F28" s="9">
        <v>6.7282263956516308</v>
      </c>
      <c r="G28" s="9">
        <v>6.8051780146662422</v>
      </c>
      <c r="H28" s="9">
        <v>19.131546238066456</v>
      </c>
      <c r="I28" s="9">
        <v>33.985379615500392</v>
      </c>
      <c r="J28" s="9">
        <v>7.1936795891815137</v>
      </c>
      <c r="K28" s="9">
        <v>7.2759546581978638</v>
      </c>
      <c r="L28" s="9">
        <v>19.925975854839859</v>
      </c>
      <c r="M28" s="9">
        <v>37.026291038933493</v>
      </c>
      <c r="N28" s="9">
        <v>8.2716292996086</v>
      </c>
      <c r="O28" s="9">
        <v>8.3662330226499275</v>
      </c>
      <c r="P28" s="9">
        <v>17.141871172063446</v>
      </c>
      <c r="Q28" s="9">
        <v>29.118210698262189</v>
      </c>
      <c r="R28" s="9">
        <v>5.8517624927907308</v>
      </c>
      <c r="S28" s="9">
        <v>5.9186898777253765</v>
      </c>
      <c r="T28" s="9">
        <v>16.345701700492601</v>
      </c>
      <c r="U28" s="9">
        <v>29.13483643537236</v>
      </c>
      <c r="V28" s="9">
        <v>6.1948166263011055</v>
      </c>
      <c r="W28" s="9">
        <v>6.2656675669294666</v>
      </c>
      <c r="X28" s="9">
        <v>16.971124585079885</v>
      </c>
      <c r="Y28" s="9">
        <v>29.69159556257863</v>
      </c>
      <c r="Z28" s="9">
        <v>6.1683509061816642</v>
      </c>
      <c r="AA28" s="9">
        <v>6.2388991548535113</v>
      </c>
      <c r="AB28" s="9">
        <v>17.912483253052844</v>
      </c>
      <c r="AC28" s="9">
        <v>32.092459016307821</v>
      </c>
      <c r="AD28" s="9">
        <v>6.8627120214098403</v>
      </c>
      <c r="AE28" s="9">
        <v>6.9412017703903182</v>
      </c>
      <c r="AF28" s="9">
        <v>18.74774117715776</v>
      </c>
      <c r="AG28" s="9">
        <v>33.888420363244435</v>
      </c>
      <c r="AH28" s="9">
        <v>7.3326810406577225</v>
      </c>
      <c r="AI28" s="9">
        <v>7.4165458877385246</v>
      </c>
      <c r="AJ28" s="9">
        <v>19.577560341611402</v>
      </c>
      <c r="AK28" s="9">
        <v>35.07767172938901</v>
      </c>
      <c r="AL28" s="9">
        <v>7.5123258157109607</v>
      </c>
      <c r="AM28" s="9">
        <v>7.5982452839467234</v>
      </c>
      <c r="AN28" s="9">
        <v>20.11000858484017</v>
      </c>
      <c r="AO28" s="9">
        <v>36.591090386379683</v>
      </c>
      <c r="AP28" s="9">
        <v>7.9826054974897573</v>
      </c>
      <c r="AQ28" s="9">
        <v>8.07390361691448</v>
      </c>
      <c r="AR28" s="9">
        <v>21.587491494753593</v>
      </c>
      <c r="AS28" s="9">
        <v>39.004478741361027</v>
      </c>
      <c r="AT28" s="9">
        <v>8.4367033777380165</v>
      </c>
      <c r="AU28" s="9">
        <v>8.5331950749381189</v>
      </c>
      <c r="AV28" s="9">
        <v>21.218102115658741</v>
      </c>
      <c r="AW28" s="11">
        <f t="shared" si="2"/>
        <v>77.192479309695898</v>
      </c>
      <c r="AX28" s="9">
        <v>39.11350758123492</v>
      </c>
      <c r="AY28" s="9">
        <v>8.6727070977075158</v>
      </c>
      <c r="AZ28" s="11">
        <f t="shared" si="1"/>
        <v>47.786214678942436</v>
      </c>
    </row>
    <row r="29" spans="1:52" ht="12" customHeight="1" x14ac:dyDescent="0.7">
      <c r="A29" s="8" t="s">
        <v>102</v>
      </c>
      <c r="B29" s="8" t="s">
        <v>103</v>
      </c>
      <c r="C29" s="8" t="s">
        <v>62</v>
      </c>
      <c r="D29" s="9">
        <v>223.19552767854248</v>
      </c>
      <c r="E29" s="9">
        <v>68.518474166882697</v>
      </c>
      <c r="F29" s="9">
        <v>19.325592715480656</v>
      </c>
      <c r="G29" s="9">
        <v>19.546622086435576</v>
      </c>
      <c r="H29" s="9">
        <v>48.49107142906756</v>
      </c>
      <c r="I29" s="9">
        <v>68.244608656609032</v>
      </c>
      <c r="J29" s="9">
        <v>18.834276683964497</v>
      </c>
      <c r="K29" s="9">
        <v>19.049686808204196</v>
      </c>
      <c r="L29" s="9">
        <v>48.560347262609646</v>
      </c>
      <c r="M29" s="9">
        <v>62.727438218793232</v>
      </c>
      <c r="N29" s="9">
        <v>16.182497803790902</v>
      </c>
      <c r="O29" s="9">
        <v>16.367579180735483</v>
      </c>
      <c r="P29" s="9">
        <v>52.227533873514808</v>
      </c>
      <c r="Q29" s="9">
        <v>63.267771205426811</v>
      </c>
      <c r="R29" s="9">
        <v>15.362196609570647</v>
      </c>
      <c r="S29" s="9">
        <v>15.537896092794224</v>
      </c>
      <c r="T29" s="9">
        <v>51.815397890131372</v>
      </c>
      <c r="U29" s="9">
        <v>66.919422776008261</v>
      </c>
      <c r="V29" s="9">
        <v>17.209588614555702</v>
      </c>
      <c r="W29" s="9">
        <v>17.406416965534103</v>
      </c>
      <c r="X29" s="9">
        <v>58.232908383939225</v>
      </c>
      <c r="Y29" s="9">
        <v>71.60186241995568</v>
      </c>
      <c r="Z29" s="9">
        <v>17.623823193996124</v>
      </c>
      <c r="AA29" s="9">
        <v>17.825389200883425</v>
      </c>
      <c r="AB29" s="9">
        <v>64.130854609037797</v>
      </c>
      <c r="AC29" s="9">
        <v>80.050924306118986</v>
      </c>
      <c r="AD29" s="9">
        <v>19.964226328651126</v>
      </c>
      <c r="AE29" s="9">
        <v>20.192559837071215</v>
      </c>
      <c r="AF29" s="9">
        <v>67.603391237383633</v>
      </c>
      <c r="AG29" s="9">
        <v>84.999528176774149</v>
      </c>
      <c r="AH29" s="9">
        <v>21.352675830972924</v>
      </c>
      <c r="AI29" s="9">
        <v>21.596889220782373</v>
      </c>
      <c r="AJ29" s="9">
        <v>69.649780590904271</v>
      </c>
      <c r="AK29" s="9">
        <v>87.386261743123143</v>
      </c>
      <c r="AL29" s="9">
        <v>21.918908896216127</v>
      </c>
      <c r="AM29" s="9">
        <v>22.169598368806948</v>
      </c>
      <c r="AN29" s="9">
        <v>70.982108735408374</v>
      </c>
      <c r="AO29" s="9">
        <v>92.613474435493586</v>
      </c>
      <c r="AP29" s="9">
        <v>24.032666726933435</v>
      </c>
      <c r="AQ29" s="9">
        <v>24.307531528610038</v>
      </c>
      <c r="AR29" s="9">
        <v>75.100482663400257</v>
      </c>
      <c r="AS29" s="9">
        <v>97.28070162619693</v>
      </c>
      <c r="AT29" s="9">
        <v>25.100008867434536</v>
      </c>
      <c r="AU29" s="9">
        <v>25.387081002949834</v>
      </c>
      <c r="AV29" s="9">
        <v>75.42773618196118</v>
      </c>
      <c r="AW29" s="11">
        <f t="shared" si="2"/>
        <v>223.19552767854248</v>
      </c>
      <c r="AX29" s="9">
        <v>98.622798082324152</v>
      </c>
      <c r="AY29" s="9">
        <v>25.657005651046383</v>
      </c>
      <c r="AZ29" s="11">
        <f t="shared" si="1"/>
        <v>124.27980373337053</v>
      </c>
    </row>
    <row r="30" spans="1:52" ht="12" customHeight="1" x14ac:dyDescent="0.7">
      <c r="A30" s="8" t="s">
        <v>104</v>
      </c>
      <c r="B30" s="8" t="s">
        <v>105</v>
      </c>
      <c r="C30" s="8" t="s">
        <v>62</v>
      </c>
      <c r="D30" s="9">
        <v>51.652939798642237</v>
      </c>
      <c r="E30" s="9">
        <v>16.977686671132872</v>
      </c>
      <c r="F30" s="9">
        <v>3.9795679052962232</v>
      </c>
      <c r="G30" s="9">
        <v>4.0250827520452912</v>
      </c>
      <c r="H30" s="9">
        <v>9.0317435893551998</v>
      </c>
      <c r="I30" s="9">
        <v>17.209094730398462</v>
      </c>
      <c r="J30" s="9">
        <v>3.9652724003503792</v>
      </c>
      <c r="K30" s="9">
        <v>4.0106237475104738</v>
      </c>
      <c r="L30" s="9">
        <v>9.0607420351320105</v>
      </c>
      <c r="M30" s="9">
        <v>17.978607021329321</v>
      </c>
      <c r="N30" s="9">
        <v>4.3175569931564697</v>
      </c>
      <c r="O30" s="9">
        <v>4.366937465999353</v>
      </c>
      <c r="P30" s="9">
        <v>10.466820130703073</v>
      </c>
      <c r="Q30" s="9">
        <v>20.631202599115976</v>
      </c>
      <c r="R30" s="9">
        <v>4.9173904171723564</v>
      </c>
      <c r="S30" s="9">
        <v>4.9736312645631191</v>
      </c>
      <c r="T30" s="9">
        <v>10.468610817619901</v>
      </c>
      <c r="U30" s="9">
        <v>21.131068239034878</v>
      </c>
      <c r="V30" s="9">
        <v>5.165396270909631</v>
      </c>
      <c r="W30" s="9">
        <v>5.2244735941928377</v>
      </c>
      <c r="X30" s="9">
        <v>10.537935978531403</v>
      </c>
      <c r="Y30" s="9">
        <v>21.788353520883391</v>
      </c>
      <c r="Z30" s="9">
        <v>5.4498117683101741</v>
      </c>
      <c r="AA30" s="9">
        <v>5.5121419894167918</v>
      </c>
      <c r="AB30" s="9">
        <v>11.274975201727862</v>
      </c>
      <c r="AC30" s="9">
        <v>23.866725539952007</v>
      </c>
      <c r="AD30" s="9">
        <v>6.093553591430986</v>
      </c>
      <c r="AE30" s="9">
        <v>6.1632463732785085</v>
      </c>
      <c r="AF30" s="9">
        <v>11.636206589164365</v>
      </c>
      <c r="AG30" s="9">
        <v>24.588656990251273</v>
      </c>
      <c r="AH30" s="9">
        <v>6.2769545784256584</v>
      </c>
      <c r="AI30" s="9">
        <v>6.348744941723063</v>
      </c>
      <c r="AJ30" s="9">
        <v>11.853138026725563</v>
      </c>
      <c r="AK30" s="9">
        <v>25.1236224622448</v>
      </c>
      <c r="AL30" s="9">
        <v>6.4316915538911124</v>
      </c>
      <c r="AM30" s="9">
        <v>6.5052516645310261</v>
      </c>
      <c r="AN30" s="9">
        <v>12.090859327833574</v>
      </c>
      <c r="AO30" s="9">
        <v>25.681077615236276</v>
      </c>
      <c r="AP30" s="9">
        <v>6.5867177525482523</v>
      </c>
      <c r="AQ30" s="9">
        <v>6.6620509184147334</v>
      </c>
      <c r="AR30" s="9">
        <v>12.458119585452424</v>
      </c>
      <c r="AS30" s="9">
        <v>26.378427482937774</v>
      </c>
      <c r="AT30" s="9">
        <v>6.746679369263151</v>
      </c>
      <c r="AU30" s="9">
        <v>6.8238420373881121</v>
      </c>
      <c r="AV30" s="9">
        <v>11.703990909053202</v>
      </c>
      <c r="AW30" s="11">
        <f t="shared" si="2"/>
        <v>51.652939798642237</v>
      </c>
      <c r="AX30" s="9">
        <v>25.744194619670893</v>
      </c>
      <c r="AY30" s="9">
        <v>6.8066614302397008</v>
      </c>
      <c r="AZ30" s="11">
        <f t="shared" si="1"/>
        <v>32.550856049910593</v>
      </c>
    </row>
    <row r="31" spans="1:52" ht="12" customHeight="1" x14ac:dyDescent="0.7">
      <c r="A31" s="8" t="s">
        <v>106</v>
      </c>
      <c r="B31" s="8" t="s">
        <v>107</v>
      </c>
      <c r="C31" s="8" t="s">
        <v>62</v>
      </c>
      <c r="D31" s="9">
        <v>5.6874725340246499</v>
      </c>
      <c r="E31" s="9">
        <v>4.2667810497335603</v>
      </c>
      <c r="F31" s="9">
        <v>2.611263847936502</v>
      </c>
      <c r="G31" s="9">
        <v>0.26355510668309368</v>
      </c>
      <c r="H31" s="9">
        <v>0.38371993154728196</v>
      </c>
      <c r="I31" s="9">
        <v>0.38371993154728196</v>
      </c>
      <c r="J31" s="9">
        <v>0.81216647553378585</v>
      </c>
      <c r="K31" s="9">
        <v>8.1972039046490155E-2</v>
      </c>
      <c r="L31" s="9">
        <v>2.5740883699740609</v>
      </c>
      <c r="M31" s="9">
        <v>2.5740883699740609</v>
      </c>
      <c r="N31" s="9">
        <v>2.0327836179320862</v>
      </c>
      <c r="O31" s="9">
        <v>0.20516904245854053</v>
      </c>
      <c r="P31" s="9">
        <v>2.3693370907949056</v>
      </c>
      <c r="Q31" s="9">
        <v>2.3693370907949056</v>
      </c>
      <c r="R31" s="9">
        <v>0.5414805417364581</v>
      </c>
      <c r="S31" s="9">
        <v>5.4651682194790545E-2</v>
      </c>
      <c r="T31" s="9">
        <v>0.81048927031638152</v>
      </c>
      <c r="U31" s="9">
        <v>0.81048927031638152</v>
      </c>
      <c r="V31" s="9">
        <v>3.1441083267199916</v>
      </c>
      <c r="W31" s="9">
        <v>0.31733515022877179</v>
      </c>
      <c r="X31" s="9">
        <v>0.9959099161547148</v>
      </c>
      <c r="Y31" s="9">
        <v>0.9959099161547148</v>
      </c>
      <c r="Z31" s="9">
        <v>3.5017791007863948</v>
      </c>
      <c r="AA31" s="9">
        <v>0.3534348952204498</v>
      </c>
      <c r="AB31" s="9">
        <v>1.1995602457265178</v>
      </c>
      <c r="AC31" s="9">
        <v>1.1995602457265178</v>
      </c>
      <c r="AD31" s="9">
        <v>3.888326919467906</v>
      </c>
      <c r="AE31" s="9">
        <v>0.39244920305120723</v>
      </c>
      <c r="AF31" s="9">
        <v>1.6300513617362662</v>
      </c>
      <c r="AG31" s="9">
        <v>1.6300513617362662</v>
      </c>
      <c r="AH31" s="9">
        <v>4.2651399042857676</v>
      </c>
      <c r="AI31" s="9">
        <v>0.43048097318110995</v>
      </c>
      <c r="AJ31" s="9">
        <v>1.0813455646619348</v>
      </c>
      <c r="AK31" s="9">
        <v>1.0813455646619348</v>
      </c>
      <c r="AL31" s="9">
        <v>4.3449475607153527</v>
      </c>
      <c r="AM31" s="9">
        <v>0.43853596747862167</v>
      </c>
      <c r="AN31" s="9">
        <v>0.69140397334970061</v>
      </c>
      <c r="AO31" s="9">
        <v>0.69140397334970061</v>
      </c>
      <c r="AP31" s="9">
        <v>3.495325885836114</v>
      </c>
      <c r="AQ31" s="9">
        <v>0.35278357162631574</v>
      </c>
      <c r="AR31" s="9">
        <v>0.60433467526477458</v>
      </c>
      <c r="AS31" s="9">
        <v>0.60433467526477458</v>
      </c>
      <c r="AT31" s="9">
        <v>3.7687389020188284</v>
      </c>
      <c r="AU31" s="9">
        <v>0.38037917316061692</v>
      </c>
      <c r="AV31" s="9">
        <v>0.93401978358043036</v>
      </c>
      <c r="AW31" s="11">
        <f t="shared" si="2"/>
        <v>5.6874725340246499</v>
      </c>
      <c r="AX31" s="9">
        <v>0.93401978358043036</v>
      </c>
      <c r="AY31" s="9">
        <v>3.3875984577038385</v>
      </c>
      <c r="AZ31" s="11">
        <f t="shared" si="1"/>
        <v>4.321618241284269</v>
      </c>
    </row>
    <row r="32" spans="1:52" ht="12" customHeight="1" x14ac:dyDescent="0.7">
      <c r="A32" s="8" t="s">
        <v>108</v>
      </c>
      <c r="B32" s="8" t="s">
        <v>109</v>
      </c>
      <c r="C32" s="8" t="s">
        <v>62</v>
      </c>
      <c r="D32" s="9">
        <v>53.16924175718389</v>
      </c>
      <c r="E32" s="9">
        <v>32.348598403553133</v>
      </c>
      <c r="F32" s="9">
        <v>10.778642032795807</v>
      </c>
      <c r="G32" s="9">
        <v>10.778642032795807</v>
      </c>
      <c r="H32" s="9">
        <v>55.063224452100371</v>
      </c>
      <c r="I32" s="9">
        <v>55.063224452100371</v>
      </c>
      <c r="J32" s="9">
        <v>10.369845483292325</v>
      </c>
      <c r="K32" s="9">
        <v>10.369845483292325</v>
      </c>
      <c r="L32" s="9">
        <v>13.975203201459719</v>
      </c>
      <c r="M32" s="9">
        <v>13.975203201459719</v>
      </c>
      <c r="N32" s="9">
        <v>10.464119166221939</v>
      </c>
      <c r="O32" s="9">
        <v>10.464119166221939</v>
      </c>
      <c r="P32" s="9">
        <v>13.106033050036864</v>
      </c>
      <c r="Q32" s="9">
        <v>13.106033050036864</v>
      </c>
      <c r="R32" s="9">
        <v>5.0259591297945088</v>
      </c>
      <c r="S32" s="9">
        <v>5.0259591297945088</v>
      </c>
      <c r="T32" s="9">
        <v>21.983068214176857</v>
      </c>
      <c r="U32" s="9">
        <v>21.983068214176857</v>
      </c>
      <c r="V32" s="9">
        <v>0.50488364328749946</v>
      </c>
      <c r="W32" s="9">
        <v>0.50488364328749946</v>
      </c>
      <c r="X32" s="9">
        <v>9.066422691100458</v>
      </c>
      <c r="Y32" s="9">
        <v>9.066422691100458</v>
      </c>
      <c r="Z32" s="9">
        <v>8.1981970174566321</v>
      </c>
      <c r="AA32" s="9">
        <v>8.1981970174566321</v>
      </c>
      <c r="AB32" s="9">
        <v>8.3288253877421141</v>
      </c>
      <c r="AC32" s="9">
        <v>8.3288253877421141</v>
      </c>
      <c r="AD32" s="9">
        <v>8.6140404827986927</v>
      </c>
      <c r="AE32" s="9">
        <v>8.6140404827986927</v>
      </c>
      <c r="AF32" s="9">
        <v>5.690581730818483</v>
      </c>
      <c r="AG32" s="9">
        <v>5.690581730818483</v>
      </c>
      <c r="AH32" s="9">
        <v>9.8734186888252804</v>
      </c>
      <c r="AI32" s="9">
        <v>9.8734186888252804</v>
      </c>
      <c r="AJ32" s="9">
        <v>3.4251855030742853</v>
      </c>
      <c r="AK32" s="9">
        <v>3.4251855030742853</v>
      </c>
      <c r="AL32" s="9">
        <v>11.843996714773693</v>
      </c>
      <c r="AM32" s="9">
        <v>11.843996714773693</v>
      </c>
      <c r="AN32" s="9">
        <v>5.4947686463732985</v>
      </c>
      <c r="AO32" s="9">
        <v>5.4947686463732985</v>
      </c>
      <c r="AP32" s="9">
        <v>12.204810035030803</v>
      </c>
      <c r="AQ32" s="9">
        <v>12.204810035030803</v>
      </c>
      <c r="AR32" s="9">
        <v>6.8644085933714276</v>
      </c>
      <c r="AS32" s="9">
        <v>6.8644085933714276</v>
      </c>
      <c r="AT32" s="9">
        <v>17.890311035659192</v>
      </c>
      <c r="AU32" s="9">
        <v>17.890311035659192</v>
      </c>
      <c r="AV32" s="9">
        <v>10.524211092494076</v>
      </c>
      <c r="AW32" s="11">
        <f t="shared" si="2"/>
        <v>53.16924175718389</v>
      </c>
      <c r="AX32" s="9">
        <v>10.524211092494076</v>
      </c>
      <c r="AY32" s="9">
        <v>10.609745589816688</v>
      </c>
      <c r="AZ32" s="11">
        <f t="shared" si="1"/>
        <v>21.133956682310764</v>
      </c>
    </row>
    <row r="33" spans="1:52" ht="12" customHeight="1" x14ac:dyDescent="0.7">
      <c r="A33" s="8" t="s">
        <v>110</v>
      </c>
      <c r="B33" s="8" t="s">
        <v>111</v>
      </c>
      <c r="C33" s="8" t="s">
        <v>62</v>
      </c>
      <c r="D33" s="9">
        <v>12.465415699962588</v>
      </c>
      <c r="E33" s="9">
        <v>0</v>
      </c>
      <c r="F33" s="9">
        <v>3.7891486446636473</v>
      </c>
      <c r="G33" s="9">
        <v>0</v>
      </c>
      <c r="H33" s="9">
        <v>1.8183191158395613</v>
      </c>
      <c r="I33" s="9">
        <v>1.8183191158395613</v>
      </c>
      <c r="J33" s="9">
        <v>5.1711027973353385</v>
      </c>
      <c r="K33" s="9">
        <v>0</v>
      </c>
      <c r="L33" s="9">
        <v>10.953967158867648</v>
      </c>
      <c r="M33" s="9">
        <v>10.953967158867648</v>
      </c>
      <c r="N33" s="9">
        <v>0</v>
      </c>
      <c r="O33" s="9">
        <v>0</v>
      </c>
      <c r="P33" s="9">
        <v>31.221567642651991</v>
      </c>
      <c r="Q33" s="9">
        <v>31.221567642651991</v>
      </c>
      <c r="R33" s="9">
        <v>1.8813884862033496</v>
      </c>
      <c r="S33" s="9">
        <v>0</v>
      </c>
      <c r="T33" s="9">
        <v>10.062879787326251</v>
      </c>
      <c r="U33" s="9">
        <v>10.062879787326251</v>
      </c>
      <c r="V33" s="9">
        <v>5.8776565071991825E-2</v>
      </c>
      <c r="W33" s="9">
        <v>0</v>
      </c>
      <c r="X33" s="9">
        <v>2.968274270826277</v>
      </c>
      <c r="Y33" s="9">
        <v>2.968274270826277</v>
      </c>
      <c r="Z33" s="9">
        <v>1.580661898828801</v>
      </c>
      <c r="AA33" s="9">
        <v>0</v>
      </c>
      <c r="AB33" s="9">
        <v>2.1523374115224514</v>
      </c>
      <c r="AC33" s="9">
        <v>2.1523374115224514</v>
      </c>
      <c r="AD33" s="9">
        <v>3.7300732544920823E-3</v>
      </c>
      <c r="AE33" s="9">
        <v>0</v>
      </c>
      <c r="AF33" s="9">
        <v>1.8720386294444098</v>
      </c>
      <c r="AG33" s="9">
        <v>1.8720386294444098</v>
      </c>
      <c r="AH33" s="9">
        <v>7.0189550487754241E-3</v>
      </c>
      <c r="AI33" s="9">
        <v>0</v>
      </c>
      <c r="AJ33" s="9">
        <v>1.113878601232458</v>
      </c>
      <c r="AK33" s="9">
        <v>1.113878601232458</v>
      </c>
      <c r="AL33" s="9">
        <v>4.1879858710427355E-2</v>
      </c>
      <c r="AM33" s="9">
        <v>0</v>
      </c>
      <c r="AN33" s="9">
        <v>0.27071613967638825</v>
      </c>
      <c r="AO33" s="9">
        <v>0.27071613967638825</v>
      </c>
      <c r="AP33" s="9">
        <v>0.42416388098091518</v>
      </c>
      <c r="AQ33" s="9">
        <v>0</v>
      </c>
      <c r="AR33" s="9">
        <v>5.2600204637585053</v>
      </c>
      <c r="AS33" s="9">
        <v>5.2600204637585053</v>
      </c>
      <c r="AT33" s="9">
        <v>8.1419878565794912E-3</v>
      </c>
      <c r="AU33" s="9">
        <v>0</v>
      </c>
      <c r="AV33" s="9">
        <v>7.1972532483475034</v>
      </c>
      <c r="AW33" s="11">
        <f t="shared" si="2"/>
        <v>12.465415699962588</v>
      </c>
      <c r="AX33" s="9">
        <v>7.1972532483475034</v>
      </c>
      <c r="AY33" s="9">
        <v>1.0123553634823308</v>
      </c>
      <c r="AZ33" s="11">
        <f t="shared" si="1"/>
        <v>8.2096086118298341</v>
      </c>
    </row>
    <row r="34" spans="1:52" ht="12" customHeight="1" x14ac:dyDescent="0.7">
      <c r="A34" s="8" t="s">
        <v>112</v>
      </c>
      <c r="B34" s="8" t="s">
        <v>113</v>
      </c>
      <c r="C34" s="8" t="s">
        <v>62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>
        <v>0</v>
      </c>
      <c r="AW34" s="11">
        <f t="shared" si="2"/>
        <v>0</v>
      </c>
      <c r="AX34" s="9">
        <v>0</v>
      </c>
      <c r="AY34" s="9">
        <v>0</v>
      </c>
      <c r="AZ34" s="11">
        <f t="shared" si="1"/>
        <v>0</v>
      </c>
    </row>
    <row r="35" spans="1:52" ht="12" customHeight="1" x14ac:dyDescent="0.7">
      <c r="A35" s="8" t="s">
        <v>114</v>
      </c>
      <c r="B35" s="8" t="s">
        <v>115</v>
      </c>
      <c r="C35" s="8" t="s">
        <v>62</v>
      </c>
      <c r="D35" s="9">
        <v>9.3371734119616363</v>
      </c>
      <c r="E35" s="9">
        <v>1.2933623674860844</v>
      </c>
      <c r="F35" s="9">
        <v>3.1145013409248774</v>
      </c>
      <c r="G35" s="9">
        <v>0</v>
      </c>
      <c r="H35" s="9">
        <v>1.9311489857458763</v>
      </c>
      <c r="I35" s="9">
        <v>2.2646538038900732</v>
      </c>
      <c r="J35" s="9">
        <v>1.06568064472279</v>
      </c>
      <c r="K35" s="9">
        <v>0</v>
      </c>
      <c r="L35" s="9">
        <v>1.6273441435011711</v>
      </c>
      <c r="M35" s="9">
        <v>1.9083825908930276</v>
      </c>
      <c r="N35" s="9">
        <v>1.2313043890691486</v>
      </c>
      <c r="O35" s="9">
        <v>0</v>
      </c>
      <c r="P35" s="9">
        <v>1.6381521765934821</v>
      </c>
      <c r="Q35" s="9">
        <v>1.9210571454901815</v>
      </c>
      <c r="R35" s="9">
        <v>4.9880149554169622</v>
      </c>
      <c r="S35" s="9">
        <v>0</v>
      </c>
      <c r="T35" s="9">
        <v>1.9613690998960212</v>
      </c>
      <c r="U35" s="9">
        <v>2.3000928595865888</v>
      </c>
      <c r="V35" s="9">
        <v>3.3093654904993937</v>
      </c>
      <c r="W35" s="9">
        <v>0</v>
      </c>
      <c r="X35" s="9">
        <v>6.040454249896765</v>
      </c>
      <c r="Y35" s="9">
        <v>7.0836262739040601</v>
      </c>
      <c r="Z35" s="9">
        <v>2.356584369701658</v>
      </c>
      <c r="AA35" s="9">
        <v>0</v>
      </c>
      <c r="AB35" s="9">
        <v>2.1667373715161453</v>
      </c>
      <c r="AC35" s="9">
        <v>2.5409277412843423</v>
      </c>
      <c r="AD35" s="9">
        <v>2.8806669031589021</v>
      </c>
      <c r="AE35" s="9">
        <v>0</v>
      </c>
      <c r="AF35" s="9">
        <v>2.4045495710765294</v>
      </c>
      <c r="AG35" s="9">
        <v>2.819809539799683</v>
      </c>
      <c r="AH35" s="9">
        <v>3.6230438228539028</v>
      </c>
      <c r="AI35" s="9">
        <v>0</v>
      </c>
      <c r="AJ35" s="9">
        <v>2.4289538596340838</v>
      </c>
      <c r="AK35" s="9">
        <v>2.8484283907122929</v>
      </c>
      <c r="AL35" s="9">
        <v>3.6255089351798016</v>
      </c>
      <c r="AM35" s="9">
        <v>0</v>
      </c>
      <c r="AN35" s="9">
        <v>2.4865880979589279</v>
      </c>
      <c r="AO35" s="9">
        <v>2.9160159243619832</v>
      </c>
      <c r="AP35" s="9">
        <v>4.531984201543013</v>
      </c>
      <c r="AQ35" s="9">
        <v>0</v>
      </c>
      <c r="AR35" s="9">
        <v>2.4056716319213627</v>
      </c>
      <c r="AS35" s="9">
        <v>2.8211253778728742</v>
      </c>
      <c r="AT35" s="9">
        <v>4.318901800362938</v>
      </c>
      <c r="AU35" s="9">
        <v>0</v>
      </c>
      <c r="AV35" s="9">
        <v>2.1971462337258245</v>
      </c>
      <c r="AW35" s="11">
        <f t="shared" si="2"/>
        <v>9.3371734119616363</v>
      </c>
      <c r="AX35" s="9">
        <v>2.5765881413795326</v>
      </c>
      <c r="AY35" s="9">
        <v>4.5881256787795168</v>
      </c>
      <c r="AZ35" s="11">
        <f t="shared" si="1"/>
        <v>7.164713820159049</v>
      </c>
    </row>
    <row r="36" spans="1:52" ht="12" customHeight="1" x14ac:dyDescent="0.7">
      <c r="A36" s="8" t="s">
        <v>116</v>
      </c>
      <c r="B36" s="8" t="s">
        <v>117</v>
      </c>
      <c r="C36" s="8" t="s">
        <v>62</v>
      </c>
      <c r="D36" s="9">
        <v>32.135498245221186</v>
      </c>
      <c r="E36" s="9">
        <v>0</v>
      </c>
      <c r="F36" s="9">
        <v>0</v>
      </c>
      <c r="G36" s="9">
        <v>0</v>
      </c>
      <c r="H36" s="9">
        <v>0</v>
      </c>
      <c r="I36" s="9">
        <v>2.1608252758846768E-2</v>
      </c>
      <c r="J36" s="9">
        <v>8.0322408330931613E-2</v>
      </c>
      <c r="K36" s="9">
        <v>0</v>
      </c>
      <c r="L36" s="9">
        <v>1.3512109963984003</v>
      </c>
      <c r="M36" s="9">
        <v>3.5341818986078919</v>
      </c>
      <c r="N36" s="9">
        <v>6.2203635786355127</v>
      </c>
      <c r="O36" s="9">
        <v>0</v>
      </c>
      <c r="P36" s="9">
        <v>9.8643927124507211</v>
      </c>
      <c r="Q36" s="9">
        <v>15.726068101183818</v>
      </c>
      <c r="R36" s="9">
        <v>7.9606630942607479</v>
      </c>
      <c r="S36" s="9">
        <v>0</v>
      </c>
      <c r="T36" s="9">
        <v>0.82626212587896197</v>
      </c>
      <c r="U36" s="9">
        <v>4.3557132312284157</v>
      </c>
      <c r="V36" s="9">
        <v>11.961413322374055</v>
      </c>
      <c r="W36" s="9">
        <v>0</v>
      </c>
      <c r="X36" s="9">
        <v>1.0158461060734092</v>
      </c>
      <c r="Y36" s="9">
        <v>9.5894820391988684</v>
      </c>
      <c r="Z36" s="9">
        <v>30.445937869249743</v>
      </c>
      <c r="AA36" s="9">
        <v>0</v>
      </c>
      <c r="AB36" s="9">
        <v>15.797140231065699</v>
      </c>
      <c r="AC36" s="9">
        <v>29.540702707261083</v>
      </c>
      <c r="AD36" s="9">
        <v>28.942459660886229</v>
      </c>
      <c r="AE36" s="9">
        <v>0</v>
      </c>
      <c r="AF36" s="9">
        <v>0.58553130457245717</v>
      </c>
      <c r="AG36" s="9">
        <v>1.0304468299985585</v>
      </c>
      <c r="AH36" s="9">
        <v>0.83301638821791502</v>
      </c>
      <c r="AI36" s="9">
        <v>0</v>
      </c>
      <c r="AJ36" s="9">
        <v>1.0189162680590285</v>
      </c>
      <c r="AK36" s="9">
        <v>3.7039691305885833</v>
      </c>
      <c r="AL36" s="9">
        <v>8.5525354193186036</v>
      </c>
      <c r="AM36" s="9">
        <v>0</v>
      </c>
      <c r="AN36" s="9">
        <v>15.591692963820165</v>
      </c>
      <c r="AO36" s="9">
        <v>25.544879118092648</v>
      </c>
      <c r="AP36" s="9">
        <v>15.140842318449913</v>
      </c>
      <c r="AQ36" s="9">
        <v>0</v>
      </c>
      <c r="AR36" s="9">
        <v>7.8640205453702299</v>
      </c>
      <c r="AS36" s="9">
        <v>13.163905207808414</v>
      </c>
      <c r="AT36" s="9">
        <v>8.6765938849285735</v>
      </c>
      <c r="AU36" s="9">
        <v>0</v>
      </c>
      <c r="AV36" s="9">
        <v>10.294999152484197</v>
      </c>
      <c r="AW36" s="11">
        <f t="shared" si="2"/>
        <v>32.135498245221186</v>
      </c>
      <c r="AX36" s="9">
        <v>27.014838322610469</v>
      </c>
      <c r="AY36" s="9">
        <v>47.719089324700661</v>
      </c>
      <c r="AZ36" s="11">
        <f t="shared" si="1"/>
        <v>74.733927647311134</v>
      </c>
    </row>
    <row r="37" spans="1:52" ht="12" customHeight="1" x14ac:dyDescent="0.7">
      <c r="A37" s="8" t="s">
        <v>118</v>
      </c>
      <c r="B37" s="8" t="s">
        <v>119</v>
      </c>
      <c r="C37" s="8" t="s">
        <v>63</v>
      </c>
      <c r="D37" s="9">
        <v>25.06600366415865</v>
      </c>
      <c r="E37" s="9">
        <v>3.1302699287247782</v>
      </c>
      <c r="F37" s="9">
        <v>6.5854341508632483</v>
      </c>
      <c r="G37" s="9">
        <v>1.0760354609832052</v>
      </c>
      <c r="H37" s="9">
        <v>7.9726266948369036</v>
      </c>
      <c r="I37" s="9">
        <v>3.3728967739245301</v>
      </c>
      <c r="J37" s="9">
        <v>7.7837572243158002</v>
      </c>
      <c r="K37" s="9">
        <v>1.2718369967984717</v>
      </c>
      <c r="L37" s="9">
        <v>8.154154117525632</v>
      </c>
      <c r="M37" s="9">
        <v>3.4103062159369775</v>
      </c>
      <c r="N37" s="9">
        <v>7.5070278977218976</v>
      </c>
      <c r="O37" s="9">
        <v>1.2266204534867435</v>
      </c>
      <c r="P37" s="9">
        <v>16.01486963427179</v>
      </c>
      <c r="Q37" s="9">
        <v>6.5214629388503953</v>
      </c>
      <c r="R37" s="9">
        <v>12.710538394281894</v>
      </c>
      <c r="S37" s="9">
        <v>2.0768547262207471</v>
      </c>
      <c r="T37" s="9">
        <v>16.89955589019927</v>
      </c>
      <c r="U37" s="9">
        <v>6.9358084896737946</v>
      </c>
      <c r="V37" s="9">
        <v>14.036094823260397</v>
      </c>
      <c r="W37" s="9">
        <v>2.2934457193792106</v>
      </c>
      <c r="X37" s="9">
        <v>12.6101266259132</v>
      </c>
      <c r="Y37" s="9">
        <v>5.5428201688184995</v>
      </c>
      <c r="Z37" s="9">
        <v>14.708496641964386</v>
      </c>
      <c r="AA37" s="9">
        <v>2.4033136771144266</v>
      </c>
      <c r="AB37" s="9">
        <v>7.7613914638533181</v>
      </c>
      <c r="AC37" s="9">
        <v>3.9450258482309883</v>
      </c>
      <c r="AD37" s="9">
        <v>15.20150863028881</v>
      </c>
      <c r="AE37" s="9">
        <v>2.4838700033905581</v>
      </c>
      <c r="AF37" s="9">
        <v>8.5037733355942962</v>
      </c>
      <c r="AG37" s="9">
        <v>4.2239433187345794</v>
      </c>
      <c r="AH37" s="9">
        <v>15.521135796301422</v>
      </c>
      <c r="AI37" s="9">
        <v>2.5360958942041578</v>
      </c>
      <c r="AJ37" s="9">
        <v>7.3342524002446341</v>
      </c>
      <c r="AK37" s="9">
        <v>3.7542273872026959</v>
      </c>
      <c r="AL37" s="9">
        <v>14.668160803538493</v>
      </c>
      <c r="AM37" s="9">
        <v>2.3967229510513528</v>
      </c>
      <c r="AN37" s="9">
        <v>6.3128263096025563</v>
      </c>
      <c r="AO37" s="9">
        <v>3.2006002618871738</v>
      </c>
      <c r="AP37" s="9">
        <v>12.270562435979359</v>
      </c>
      <c r="AQ37" s="9">
        <v>2.0049642901055305</v>
      </c>
      <c r="AR37" s="9">
        <v>7.1768266622399022</v>
      </c>
      <c r="AS37" s="9">
        <v>3.5621099435012091</v>
      </c>
      <c r="AT37" s="9">
        <v>13.067831699570569</v>
      </c>
      <c r="AU37" s="9">
        <v>2.1352351241800998</v>
      </c>
      <c r="AV37" s="9">
        <v>6.3008268969067718</v>
      </c>
      <c r="AW37" s="11">
        <f t="shared" si="2"/>
        <v>25.06600366415865</v>
      </c>
      <c r="AX37" s="9">
        <v>2.8816347165351988</v>
      </c>
      <c r="AY37" s="9">
        <v>8.6411512929276064</v>
      </c>
      <c r="AZ37" s="11">
        <f t="shared" si="1"/>
        <v>11.522786009462806</v>
      </c>
    </row>
    <row r="38" spans="1:52" ht="12" customHeight="1" x14ac:dyDescent="0.7">
      <c r="A38" s="8" t="s">
        <v>120</v>
      </c>
      <c r="B38" s="8" t="s">
        <v>121</v>
      </c>
      <c r="C38" s="8" t="s">
        <v>63</v>
      </c>
      <c r="D38" s="9">
        <v>15.533011723778102</v>
      </c>
      <c r="E38" s="9">
        <v>1.2678201564590887</v>
      </c>
      <c r="F38" s="9">
        <v>2.6686508023026354</v>
      </c>
      <c r="G38" s="9">
        <v>0.90607179325379061</v>
      </c>
      <c r="H38" s="9">
        <v>4.1197103459949815</v>
      </c>
      <c r="I38" s="9">
        <v>1.7113103929525997</v>
      </c>
      <c r="J38" s="9">
        <v>3.7094034033822432</v>
      </c>
      <c r="K38" s="9">
        <v>1.2594325906949868</v>
      </c>
      <c r="L38" s="9">
        <v>4.2649677515400635</v>
      </c>
      <c r="M38" s="9">
        <v>1.6979725328747191</v>
      </c>
      <c r="N38" s="9">
        <v>2.9791555073729881</v>
      </c>
      <c r="O38" s="9">
        <v>1.0114956856169584</v>
      </c>
      <c r="P38" s="9">
        <v>3.7132508748916244</v>
      </c>
      <c r="Q38" s="9">
        <v>1.6170825297332021</v>
      </c>
      <c r="R38" s="9">
        <v>4.2154086851666781</v>
      </c>
      <c r="S38" s="9">
        <v>1.4312336793449958</v>
      </c>
      <c r="T38" s="9">
        <v>4.1992881204412109</v>
      </c>
      <c r="U38" s="9">
        <v>1.7102978077258648</v>
      </c>
      <c r="V38" s="9">
        <v>3.3829052442160821</v>
      </c>
      <c r="W38" s="9">
        <v>1.1485785320393964</v>
      </c>
      <c r="X38" s="9">
        <v>4.71138965944668</v>
      </c>
      <c r="Y38" s="9">
        <v>1.8880466751611091</v>
      </c>
      <c r="Z38" s="9">
        <v>3.4352521864356333</v>
      </c>
      <c r="AA38" s="9">
        <v>1.1663515909076818</v>
      </c>
      <c r="AB38" s="9">
        <v>4.2436989238518699</v>
      </c>
      <c r="AC38" s="9">
        <v>1.7399678192337882</v>
      </c>
      <c r="AD38" s="9">
        <v>3.5540397352585957</v>
      </c>
      <c r="AE38" s="9">
        <v>1.2066828501662463</v>
      </c>
      <c r="AF38" s="9">
        <v>4.9184032603493817</v>
      </c>
      <c r="AG38" s="9">
        <v>2.0026610109506668</v>
      </c>
      <c r="AH38" s="9">
        <v>3.9561400302784717</v>
      </c>
      <c r="AI38" s="9">
        <v>1.3432056710097131</v>
      </c>
      <c r="AJ38" s="9">
        <v>4.7470130706660845</v>
      </c>
      <c r="AK38" s="9">
        <v>2.1483290307085503</v>
      </c>
      <c r="AL38" s="9">
        <v>6.3362157338769594</v>
      </c>
      <c r="AM38" s="9">
        <v>2.1512992061318488</v>
      </c>
      <c r="AN38" s="9">
        <v>4.0665448983880408</v>
      </c>
      <c r="AO38" s="9">
        <v>1.8558433216899202</v>
      </c>
      <c r="AP38" s="9">
        <v>5.6087323944064034</v>
      </c>
      <c r="AQ38" s="9">
        <v>1.9043009351750053</v>
      </c>
      <c r="AR38" s="9">
        <v>6.6227056673659641</v>
      </c>
      <c r="AS38" s="9">
        <v>2.7141448195604023</v>
      </c>
      <c r="AT38" s="9">
        <v>5.5318812764759162</v>
      </c>
      <c r="AU38" s="9">
        <v>1.8782081132228965</v>
      </c>
      <c r="AV38" s="9">
        <v>5.4087775145188877</v>
      </c>
      <c r="AW38" s="11">
        <f t="shared" si="2"/>
        <v>15.533011723778102</v>
      </c>
      <c r="AX38" s="9">
        <v>2.270131602436571</v>
      </c>
      <c r="AY38" s="9">
        <v>5.1429454522116655</v>
      </c>
      <c r="AZ38" s="11">
        <f t="shared" si="1"/>
        <v>7.4130770546482365</v>
      </c>
    </row>
    <row r="39" spans="1:52" ht="12" customHeight="1" x14ac:dyDescent="0.7">
      <c r="A39" s="8" t="s">
        <v>122</v>
      </c>
      <c r="B39" s="8" t="s">
        <v>123</v>
      </c>
      <c r="C39" s="8" t="s">
        <v>63</v>
      </c>
      <c r="D39" s="9">
        <v>1.4710747153994777</v>
      </c>
      <c r="E39" s="9">
        <v>0.70114262019161433</v>
      </c>
      <c r="F39" s="9">
        <v>0.5850258151438773</v>
      </c>
      <c r="G39" s="9">
        <v>0.19863047985513876</v>
      </c>
      <c r="H39" s="9">
        <v>0.99282648759146408</v>
      </c>
      <c r="I39" s="9">
        <v>0.36160813727179014</v>
      </c>
      <c r="J39" s="9">
        <v>0.30017245300665979</v>
      </c>
      <c r="K39" s="9">
        <v>0.10191584172288799</v>
      </c>
      <c r="L39" s="9">
        <v>0.417066714385532</v>
      </c>
      <c r="M39" s="9">
        <v>0.1609700655971705</v>
      </c>
      <c r="N39" s="9">
        <v>0.23204354524620113</v>
      </c>
      <c r="O39" s="9">
        <v>7.8784422065554902E-2</v>
      </c>
      <c r="P39" s="9">
        <v>1.8568855233257511</v>
      </c>
      <c r="Q39" s="9">
        <v>0.63874713306029529</v>
      </c>
      <c r="R39" s="9">
        <v>0.12235396328226343</v>
      </c>
      <c r="S39" s="9">
        <v>4.1542143628238104E-2</v>
      </c>
      <c r="T39" s="9">
        <v>1.0845992354729415</v>
      </c>
      <c r="U39" s="9">
        <v>0.42024264591109711</v>
      </c>
      <c r="V39" s="9">
        <v>0.62252701827490697</v>
      </c>
      <c r="W39" s="9">
        <v>0.21136304956444216</v>
      </c>
      <c r="X39" s="9">
        <v>0.8112570218296753</v>
      </c>
      <c r="Y39" s="9">
        <v>0.33422250090701783</v>
      </c>
      <c r="Z39" s="9">
        <v>0.69808397206373418</v>
      </c>
      <c r="AA39" s="9">
        <v>0.23701647134340476</v>
      </c>
      <c r="AB39" s="9">
        <v>0.64727819668516695</v>
      </c>
      <c r="AC39" s="9">
        <v>0.28292632929696226</v>
      </c>
      <c r="AD39" s="9">
        <v>0.74700533438881067</v>
      </c>
      <c r="AE39" s="9">
        <v>0.25362646259893129</v>
      </c>
      <c r="AF39" s="9">
        <v>0.46534124960826417</v>
      </c>
      <c r="AG39" s="9">
        <v>0.22499399714004181</v>
      </c>
      <c r="AH39" s="9">
        <v>0.78938187076710642</v>
      </c>
      <c r="AI39" s="9">
        <v>0.26801432641200001</v>
      </c>
      <c r="AJ39" s="9">
        <v>0.4460082336720827</v>
      </c>
      <c r="AK39" s="9">
        <v>0.22415663431961402</v>
      </c>
      <c r="AL39" s="9">
        <v>0.85604204572515241</v>
      </c>
      <c r="AM39" s="9">
        <v>0.29064707559399611</v>
      </c>
      <c r="AN39" s="9">
        <v>0.28118462355757523</v>
      </c>
      <c r="AO39" s="9">
        <v>0.13837052090124849</v>
      </c>
      <c r="AP39" s="9">
        <v>0.50523249271667092</v>
      </c>
      <c r="AQ39" s="9">
        <v>0.17153870798340706</v>
      </c>
      <c r="AR39" s="9">
        <v>0.54219245514759351</v>
      </c>
      <c r="AS39" s="9">
        <v>0.23346645124917362</v>
      </c>
      <c r="AT39" s="9">
        <v>0.58451322987845511</v>
      </c>
      <c r="AU39" s="9">
        <v>0.19845644470215595</v>
      </c>
      <c r="AV39" s="9">
        <v>0.45463858956969283</v>
      </c>
      <c r="AW39" s="11">
        <f t="shared" si="2"/>
        <v>1.4710747153994777</v>
      </c>
      <c r="AX39" s="9">
        <v>0.22127340370551118</v>
      </c>
      <c r="AY39" s="9">
        <v>0.78822084595973663</v>
      </c>
      <c r="AZ39" s="11">
        <f t="shared" si="1"/>
        <v>1.0094942496652477</v>
      </c>
    </row>
    <row r="40" spans="1:52" ht="12" customHeight="1" x14ac:dyDescent="0.7"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12"/>
      <c r="AX40" s="9"/>
      <c r="AY40" s="9"/>
    </row>
    <row r="41" spans="1:52" ht="12" customHeight="1" x14ac:dyDescent="0.7"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12"/>
      <c r="AX41" s="9"/>
      <c r="AY41" s="9"/>
    </row>
    <row r="42" spans="1:52" x14ac:dyDescent="0.7"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12"/>
      <c r="AX42" s="9"/>
      <c r="AY42" s="9"/>
    </row>
    <row r="43" spans="1:52" x14ac:dyDescent="0.7"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12"/>
      <c r="AX43" s="9"/>
      <c r="AY43" s="9"/>
    </row>
    <row r="44" spans="1:52" x14ac:dyDescent="0.7"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12"/>
      <c r="AX44" s="9"/>
      <c r="AY44" s="9"/>
    </row>
    <row r="45" spans="1:52" x14ac:dyDescent="0.7"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12"/>
      <c r="AX45" s="9"/>
      <c r="AY45" s="9"/>
    </row>
    <row r="46" spans="1:52" x14ac:dyDescent="0.7"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12"/>
      <c r="AX46" s="9"/>
      <c r="AY46" s="9"/>
    </row>
    <row r="47" spans="1:52" x14ac:dyDescent="0.7"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12"/>
      <c r="AX47" s="9"/>
      <c r="AY47" s="9"/>
    </row>
    <row r="48" spans="1:52" x14ac:dyDescent="0.7"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12"/>
      <c r="AX48" s="9"/>
      <c r="AY48" s="9"/>
    </row>
    <row r="49" spans="4:51" x14ac:dyDescent="0.7"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12"/>
      <c r="AX49" s="9"/>
      <c r="AY49" s="9"/>
    </row>
  </sheetData>
  <mergeCells count="1">
    <mergeCell ref="AS1:AW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C2276-4246-46E4-9855-E9E90411A0D8}">
  <sheetPr codeName="Sheet2"/>
  <dimension ref="A1:BE55"/>
  <sheetViews>
    <sheetView workbookViewId="0">
      <pane xSplit="6570" topLeftCell="S1" activePane="topRight"/>
      <selection activeCell="A44" sqref="A44:XFD44"/>
      <selection pane="topRight" activeCell="AV20" sqref="AV20"/>
    </sheetView>
  </sheetViews>
  <sheetFormatPr defaultColWidth="9.26953125" defaultRowHeight="13.5" x14ac:dyDescent="0.7"/>
  <cols>
    <col min="1" max="1" width="9.7265625" style="8" customWidth="1"/>
    <col min="2" max="3" width="25.26953125" style="8" customWidth="1"/>
    <col min="4" max="4" width="9.7265625" style="8" customWidth="1"/>
    <col min="5" max="5" width="12.36328125" style="8" customWidth="1"/>
    <col min="6" max="51" width="8.08984375" style="8" customWidth="1"/>
    <col min="52" max="52" width="9.6796875" style="13" customWidth="1"/>
    <col min="53" max="54" width="8.08984375" style="8" customWidth="1"/>
    <col min="55" max="16384" width="9.26953125" style="8"/>
  </cols>
  <sheetData>
    <row r="1" spans="1:57" s="1" customFormat="1" ht="14.65" customHeight="1" x14ac:dyDescent="0.7">
      <c r="B1" s="2"/>
      <c r="C1" s="2"/>
      <c r="F1" s="1">
        <v>2014</v>
      </c>
      <c r="G1" s="1">
        <v>2014</v>
      </c>
      <c r="H1" s="1">
        <v>2014</v>
      </c>
      <c r="I1" s="1">
        <v>2014</v>
      </c>
      <c r="J1" s="1">
        <v>2015</v>
      </c>
      <c r="K1" s="1">
        <v>2015</v>
      </c>
      <c r="L1" s="1">
        <v>2015</v>
      </c>
      <c r="M1" s="1">
        <v>2015</v>
      </c>
      <c r="N1" s="1">
        <v>2016</v>
      </c>
      <c r="O1" s="1">
        <v>2016</v>
      </c>
      <c r="P1" s="1">
        <v>2016</v>
      </c>
      <c r="Q1" s="1">
        <v>2016</v>
      </c>
      <c r="R1" s="1">
        <v>2017</v>
      </c>
      <c r="S1" s="1">
        <v>2017</v>
      </c>
      <c r="T1" s="1">
        <v>2017</v>
      </c>
      <c r="U1" s="1">
        <v>2017</v>
      </c>
      <c r="V1" s="1">
        <v>2018</v>
      </c>
      <c r="W1" s="1">
        <v>2018</v>
      </c>
      <c r="X1" s="1">
        <v>2018</v>
      </c>
      <c r="Y1" s="1">
        <v>2018</v>
      </c>
      <c r="Z1" s="1">
        <v>2019</v>
      </c>
      <c r="AA1" s="1">
        <v>2019</v>
      </c>
      <c r="AB1" s="1">
        <v>2019</v>
      </c>
      <c r="AC1" s="1">
        <v>2019</v>
      </c>
      <c r="AD1" s="1">
        <v>2020</v>
      </c>
      <c r="AE1" s="1">
        <v>2020</v>
      </c>
      <c r="AF1" s="1">
        <v>2020</v>
      </c>
      <c r="AG1" s="1">
        <v>2020</v>
      </c>
      <c r="AH1" s="1">
        <v>2021</v>
      </c>
      <c r="AI1" s="1">
        <v>2021</v>
      </c>
      <c r="AJ1" s="1">
        <v>2021</v>
      </c>
      <c r="AK1" s="1">
        <v>2021</v>
      </c>
      <c r="AL1" s="1">
        <v>2022</v>
      </c>
      <c r="AM1" s="1">
        <v>2022</v>
      </c>
      <c r="AN1" s="1">
        <v>2022</v>
      </c>
      <c r="AO1" s="1">
        <v>2022</v>
      </c>
      <c r="AP1" s="1">
        <v>2023</v>
      </c>
      <c r="AQ1" s="1">
        <v>2023</v>
      </c>
      <c r="AR1" s="1">
        <v>2023</v>
      </c>
      <c r="AS1" s="1">
        <v>2023</v>
      </c>
      <c r="AT1" s="19">
        <v>2024</v>
      </c>
      <c r="AU1" s="19"/>
      <c r="AV1" s="19"/>
      <c r="AW1" s="19"/>
      <c r="AX1" s="19"/>
      <c r="AY1" s="19"/>
      <c r="AZ1" s="19"/>
      <c r="BA1" s="19">
        <v>2025</v>
      </c>
      <c r="BB1" s="19"/>
      <c r="BC1" s="19"/>
    </row>
    <row r="2" spans="1:57" s="1" customFormat="1" x14ac:dyDescent="0.7">
      <c r="B2" s="2" t="s">
        <v>3</v>
      </c>
      <c r="C2" s="2"/>
      <c r="D2" s="1" t="s">
        <v>0</v>
      </c>
      <c r="E2" s="1" t="s">
        <v>1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4</v>
      </c>
      <c r="K2" s="1" t="s">
        <v>5</v>
      </c>
      <c r="L2" s="1" t="s">
        <v>6</v>
      </c>
      <c r="M2" s="1" t="s">
        <v>7</v>
      </c>
      <c r="N2" s="1" t="s">
        <v>4</v>
      </c>
      <c r="O2" s="1" t="s">
        <v>5</v>
      </c>
      <c r="P2" s="1" t="s">
        <v>6</v>
      </c>
      <c r="Q2" s="1" t="s">
        <v>7</v>
      </c>
      <c r="R2" s="1" t="s">
        <v>4</v>
      </c>
      <c r="S2" s="1" t="s">
        <v>5</v>
      </c>
      <c r="T2" s="1" t="s">
        <v>6</v>
      </c>
      <c r="U2" s="1" t="s">
        <v>7</v>
      </c>
      <c r="V2" s="1" t="s">
        <v>4</v>
      </c>
      <c r="W2" s="1" t="s">
        <v>5</v>
      </c>
      <c r="X2" s="1" t="s">
        <v>6</v>
      </c>
      <c r="Y2" s="1" t="s">
        <v>7</v>
      </c>
      <c r="Z2" s="1" t="s">
        <v>4</v>
      </c>
      <c r="AA2" s="1" t="s">
        <v>5</v>
      </c>
      <c r="AB2" s="1" t="s">
        <v>6</v>
      </c>
      <c r="AC2" s="1" t="s">
        <v>7</v>
      </c>
      <c r="AD2" s="1" t="s">
        <v>4</v>
      </c>
      <c r="AE2" s="1" t="s">
        <v>5</v>
      </c>
      <c r="AF2" s="1" t="s">
        <v>6</v>
      </c>
      <c r="AG2" s="1" t="s">
        <v>7</v>
      </c>
      <c r="AH2" s="1" t="s">
        <v>4</v>
      </c>
      <c r="AI2" s="1" t="s">
        <v>5</v>
      </c>
      <c r="AJ2" s="1" t="s">
        <v>6</v>
      </c>
      <c r="AK2" s="1" t="s">
        <v>7</v>
      </c>
      <c r="AL2" s="1" t="s">
        <v>4</v>
      </c>
      <c r="AM2" s="1" t="s">
        <v>5</v>
      </c>
      <c r="AN2" s="1" t="s">
        <v>6</v>
      </c>
      <c r="AO2" s="1" t="s">
        <v>7</v>
      </c>
      <c r="AP2" s="1" t="s">
        <v>4</v>
      </c>
      <c r="AQ2" s="1" t="s">
        <v>5</v>
      </c>
      <c r="AR2" s="1" t="s">
        <v>6</v>
      </c>
      <c r="AS2" s="1" t="s">
        <v>7</v>
      </c>
      <c r="AT2" s="1" t="s">
        <v>4</v>
      </c>
      <c r="AU2" s="1" t="s">
        <v>5</v>
      </c>
      <c r="AV2" s="1" t="s">
        <v>6</v>
      </c>
      <c r="AW2" s="1" t="s">
        <v>7</v>
      </c>
      <c r="AZ2" s="10" t="s">
        <v>124</v>
      </c>
      <c r="BA2" s="1" t="s">
        <v>4</v>
      </c>
      <c r="BB2" s="1" t="s">
        <v>5</v>
      </c>
      <c r="BC2" s="10" t="s">
        <v>124</v>
      </c>
    </row>
    <row r="3" spans="1:57" s="3" customFormat="1" x14ac:dyDescent="0.7">
      <c r="B3" s="4" t="s">
        <v>2</v>
      </c>
      <c r="C3" s="4"/>
      <c r="E3" s="3">
        <v>2024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  <c r="S3" s="1" t="s">
        <v>21</v>
      </c>
      <c r="T3" s="1" t="s">
        <v>22</v>
      </c>
      <c r="U3" s="1" t="s">
        <v>23</v>
      </c>
      <c r="V3" s="1" t="s">
        <v>24</v>
      </c>
      <c r="W3" s="1" t="s">
        <v>25</v>
      </c>
      <c r="X3" s="1" t="s">
        <v>26</v>
      </c>
      <c r="Y3" s="1" t="s">
        <v>27</v>
      </c>
      <c r="Z3" s="1" t="s">
        <v>28</v>
      </c>
      <c r="AA3" s="1" t="s">
        <v>29</v>
      </c>
      <c r="AB3" s="1" t="s">
        <v>30</v>
      </c>
      <c r="AC3" s="1" t="s">
        <v>31</v>
      </c>
      <c r="AD3" s="1" t="s">
        <v>32</v>
      </c>
      <c r="AE3" s="1" t="s">
        <v>33</v>
      </c>
      <c r="AF3" s="1" t="s">
        <v>34</v>
      </c>
      <c r="AG3" s="1" t="s">
        <v>35</v>
      </c>
      <c r="AH3" s="1" t="s">
        <v>36</v>
      </c>
      <c r="AI3" s="1" t="s">
        <v>37</v>
      </c>
      <c r="AJ3" s="1" t="s">
        <v>38</v>
      </c>
      <c r="AK3" s="1" t="s">
        <v>39</v>
      </c>
      <c r="AL3" s="1" t="s">
        <v>40</v>
      </c>
      <c r="AM3" s="1" t="s">
        <v>41</v>
      </c>
      <c r="AN3" s="1" t="s">
        <v>42</v>
      </c>
      <c r="AO3" s="1" t="s">
        <v>43</v>
      </c>
      <c r="AP3" s="1" t="s">
        <v>44</v>
      </c>
      <c r="AQ3" s="1" t="s">
        <v>45</v>
      </c>
      <c r="AR3" s="1" t="s">
        <v>46</v>
      </c>
      <c r="AS3" s="1" t="s">
        <v>47</v>
      </c>
      <c r="AT3" s="1" t="s">
        <v>48</v>
      </c>
      <c r="AU3" s="1" t="s">
        <v>49</v>
      </c>
      <c r="AV3" s="1" t="s">
        <v>50</v>
      </c>
      <c r="AW3" s="1" t="s">
        <v>51</v>
      </c>
      <c r="AX3" s="1"/>
      <c r="AY3" s="1"/>
      <c r="AZ3" s="10" t="s">
        <v>125</v>
      </c>
      <c r="BA3" s="1" t="s">
        <v>52</v>
      </c>
      <c r="BB3" s="1" t="s">
        <v>53</v>
      </c>
      <c r="BC3" s="10" t="s">
        <v>125</v>
      </c>
    </row>
    <row r="4" spans="1:57" s="1" customFormat="1" x14ac:dyDescent="0.7">
      <c r="F4" s="1" t="s">
        <v>54</v>
      </c>
      <c r="G4" s="1" t="s">
        <v>54</v>
      </c>
      <c r="H4" s="1" t="s">
        <v>55</v>
      </c>
      <c r="I4" s="1" t="s">
        <v>55</v>
      </c>
      <c r="J4" s="1" t="s">
        <v>54</v>
      </c>
      <c r="K4" s="1" t="s">
        <v>54</v>
      </c>
      <c r="L4" s="1" t="s">
        <v>55</v>
      </c>
      <c r="M4" s="1" t="s">
        <v>55</v>
      </c>
      <c r="N4" s="1" t="s">
        <v>54</v>
      </c>
      <c r="O4" s="1" t="s">
        <v>54</v>
      </c>
      <c r="P4" s="1" t="s">
        <v>55</v>
      </c>
      <c r="Q4" s="1" t="s">
        <v>55</v>
      </c>
      <c r="R4" s="1" t="s">
        <v>54</v>
      </c>
      <c r="S4" s="1" t="s">
        <v>54</v>
      </c>
      <c r="T4" s="1" t="s">
        <v>55</v>
      </c>
      <c r="U4" s="1" t="s">
        <v>55</v>
      </c>
      <c r="V4" s="1" t="s">
        <v>54</v>
      </c>
      <c r="W4" s="1" t="s">
        <v>54</v>
      </c>
      <c r="X4" s="1" t="s">
        <v>55</v>
      </c>
      <c r="Y4" s="1" t="s">
        <v>55</v>
      </c>
      <c r="Z4" s="1" t="s">
        <v>54</v>
      </c>
      <c r="AA4" s="1" t="s">
        <v>54</v>
      </c>
      <c r="AB4" s="1" t="s">
        <v>55</v>
      </c>
      <c r="AC4" s="1" t="s">
        <v>55</v>
      </c>
      <c r="AD4" s="1" t="s">
        <v>54</v>
      </c>
      <c r="AE4" s="1" t="s">
        <v>54</v>
      </c>
      <c r="AF4" s="1" t="s">
        <v>55</v>
      </c>
      <c r="AG4" s="1" t="s">
        <v>55</v>
      </c>
      <c r="AH4" s="1" t="s">
        <v>54</v>
      </c>
      <c r="AI4" s="1" t="s">
        <v>54</v>
      </c>
      <c r="AJ4" s="1" t="s">
        <v>55</v>
      </c>
      <c r="AK4" s="1" t="s">
        <v>55</v>
      </c>
      <c r="AL4" s="1" t="s">
        <v>54</v>
      </c>
      <c r="AM4" s="1" t="s">
        <v>54</v>
      </c>
      <c r="AN4" s="1" t="s">
        <v>55</v>
      </c>
      <c r="AO4" s="1" t="s">
        <v>55</v>
      </c>
      <c r="AP4" s="1" t="s">
        <v>54</v>
      </c>
      <c r="AQ4" s="1" t="s">
        <v>54</v>
      </c>
      <c r="AR4" s="1" t="s">
        <v>55</v>
      </c>
      <c r="AS4" s="1" t="s">
        <v>55</v>
      </c>
      <c r="AT4" s="1" t="s">
        <v>54</v>
      </c>
      <c r="AU4" s="1" t="s">
        <v>54</v>
      </c>
      <c r="AV4" s="1" t="s">
        <v>55</v>
      </c>
      <c r="AW4" s="1" t="s">
        <v>55</v>
      </c>
      <c r="AZ4" s="10"/>
      <c r="BA4" s="1" t="s">
        <v>54</v>
      </c>
      <c r="BB4" s="1" t="s">
        <v>54</v>
      </c>
      <c r="BC4" s="10" t="s">
        <v>54</v>
      </c>
    </row>
    <row r="5" spans="1:57" s="1" customFormat="1" x14ac:dyDescent="0.7">
      <c r="R5" s="1">
        <v>514</v>
      </c>
      <c r="S5" s="1">
        <v>639</v>
      </c>
      <c r="T5" s="1">
        <v>140</v>
      </c>
      <c r="U5" s="1">
        <v>765</v>
      </c>
      <c r="V5" s="1">
        <v>511</v>
      </c>
      <c r="W5" s="1">
        <v>661</v>
      </c>
      <c r="X5" s="1">
        <v>152</v>
      </c>
      <c r="Y5" s="1">
        <v>799</v>
      </c>
      <c r="Z5" s="1">
        <v>533</v>
      </c>
      <c r="AA5" s="1">
        <v>722</v>
      </c>
      <c r="AB5" s="1">
        <v>160</v>
      </c>
      <c r="AC5" s="1">
        <v>770</v>
      </c>
      <c r="AD5" s="1">
        <v>543</v>
      </c>
      <c r="AE5" s="1">
        <v>745</v>
      </c>
      <c r="AF5" s="1">
        <v>189</v>
      </c>
      <c r="AG5" s="1">
        <v>804</v>
      </c>
      <c r="AH5" s="1">
        <v>543</v>
      </c>
      <c r="AI5" s="1">
        <v>750</v>
      </c>
      <c r="AJ5" s="1">
        <v>195</v>
      </c>
      <c r="AK5" s="1">
        <v>801</v>
      </c>
      <c r="AL5" s="1">
        <v>537</v>
      </c>
      <c r="AM5" s="1">
        <v>723</v>
      </c>
      <c r="AN5" s="1">
        <v>203</v>
      </c>
      <c r="AO5" s="1">
        <v>778</v>
      </c>
      <c r="AP5" s="1">
        <v>554</v>
      </c>
      <c r="AQ5" s="1">
        <v>736</v>
      </c>
      <c r="AR5" s="1">
        <v>242</v>
      </c>
      <c r="AS5" s="1">
        <v>831</v>
      </c>
      <c r="AT5" s="1">
        <v>574</v>
      </c>
      <c r="AU5" s="1">
        <v>752</v>
      </c>
      <c r="AV5" s="1">
        <v>219</v>
      </c>
      <c r="AW5" s="1">
        <v>828</v>
      </c>
      <c r="AX5" s="1">
        <f>AT5+AU5</f>
        <v>1326</v>
      </c>
      <c r="AY5" s="1">
        <f>AV5+AW5</f>
        <v>1047</v>
      </c>
      <c r="AZ5" s="18">
        <f>SUM(AT5:AW5)</f>
        <v>2373</v>
      </c>
      <c r="BA5" s="1">
        <v>583</v>
      </c>
      <c r="BB5" s="1">
        <v>777</v>
      </c>
      <c r="BC5" s="11">
        <f>SUM(BA5:BB5)</f>
        <v>1360</v>
      </c>
    </row>
    <row r="6" spans="1:57" s="5" customFormat="1" ht="9" customHeight="1" x14ac:dyDescent="0.7">
      <c r="AZ6" s="11"/>
      <c r="BC6" s="11"/>
    </row>
    <row r="7" spans="1:57" s="6" customFormat="1" x14ac:dyDescent="0.7">
      <c r="A7" s="6" t="s">
        <v>56</v>
      </c>
      <c r="B7" s="6" t="s">
        <v>57</v>
      </c>
      <c r="D7" s="6" t="s">
        <v>58</v>
      </c>
      <c r="E7" s="7">
        <v>2372.9189819157345</v>
      </c>
      <c r="F7" s="7">
        <v>443.64086840777316</v>
      </c>
      <c r="G7" s="7">
        <v>510.42772196981116</v>
      </c>
      <c r="H7" s="7">
        <v>151.26401415820192</v>
      </c>
      <c r="I7" s="7">
        <v>680.47047594310982</v>
      </c>
      <c r="J7" s="7">
        <v>476.68909247097054</v>
      </c>
      <c r="K7" s="7">
        <v>534.80624787715328</v>
      </c>
      <c r="L7" s="7">
        <v>151.61072701567826</v>
      </c>
      <c r="M7" s="7">
        <v>680.04497664622284</v>
      </c>
      <c r="N7" s="7">
        <v>454.35399251729467</v>
      </c>
      <c r="O7" s="7">
        <v>534.57302125011688</v>
      </c>
      <c r="P7" s="7">
        <v>173.98252188171764</v>
      </c>
      <c r="Q7" s="7">
        <v>708.93650150070619</v>
      </c>
      <c r="R7" s="7">
        <v>513.53101229622905</v>
      </c>
      <c r="S7" s="7">
        <v>639.15466832321692</v>
      </c>
      <c r="T7" s="7">
        <v>139.85119392423655</v>
      </c>
      <c r="U7" s="7">
        <v>764.65607447648392</v>
      </c>
      <c r="V7" s="7">
        <v>511.34470103147402</v>
      </c>
      <c r="W7" s="7">
        <v>661.14035710175085</v>
      </c>
      <c r="X7" s="7">
        <v>152.38808019835017</v>
      </c>
      <c r="Y7" s="7">
        <v>799.439265537295</v>
      </c>
      <c r="Z7" s="7">
        <v>532.95627823167706</v>
      </c>
      <c r="AA7" s="7">
        <v>722.13351133626031</v>
      </c>
      <c r="AB7" s="7">
        <v>160.39579926795258</v>
      </c>
      <c r="AC7" s="7">
        <v>769.88811354395853</v>
      </c>
      <c r="AD7" s="7">
        <v>543.09444221749823</v>
      </c>
      <c r="AE7" s="7">
        <v>744.79646982475947</v>
      </c>
      <c r="AF7" s="7">
        <v>189.10649905230048</v>
      </c>
      <c r="AG7" s="7">
        <v>804.43031255401343</v>
      </c>
      <c r="AH7" s="7">
        <v>543.33026664180989</v>
      </c>
      <c r="AI7" s="7">
        <v>750.46824095148963</v>
      </c>
      <c r="AJ7" s="7">
        <v>195.18328194209829</v>
      </c>
      <c r="AK7" s="7">
        <v>800.89512427101874</v>
      </c>
      <c r="AL7" s="7">
        <v>536.8770474195868</v>
      </c>
      <c r="AM7" s="7">
        <v>723.40280391265446</v>
      </c>
      <c r="AN7" s="7">
        <v>203.23060057820311</v>
      </c>
      <c r="AO7" s="7">
        <v>777.70190804791605</v>
      </c>
      <c r="AP7" s="7">
        <v>553.88586058198382</v>
      </c>
      <c r="AQ7" s="7">
        <v>735.82652652047932</v>
      </c>
      <c r="AR7" s="7">
        <v>241.80732815085526</v>
      </c>
      <c r="AS7" s="7">
        <v>830.77070575773689</v>
      </c>
      <c r="AT7" s="11">
        <f t="shared" ref="AT7:AY7" si="0">AT9+AT15+AT20+AT32+AT36+AT42</f>
        <v>574.28765628113217</v>
      </c>
      <c r="AU7" s="11">
        <f t="shared" si="0"/>
        <v>752.30278629878444</v>
      </c>
      <c r="AV7" s="11">
        <f t="shared" si="0"/>
        <v>218.6374160847466</v>
      </c>
      <c r="AW7" s="11">
        <f t="shared" si="0"/>
        <v>827.69112325107119</v>
      </c>
      <c r="AX7" s="11">
        <f t="shared" si="0"/>
        <v>1326.5904425799165</v>
      </c>
      <c r="AY7" s="11">
        <f t="shared" si="0"/>
        <v>1096.7348285143717</v>
      </c>
      <c r="AZ7" s="11">
        <f>AZ9+AZ15+AZ20+AZ32+AZ36+AZ42</f>
        <v>2372.9189819157341</v>
      </c>
      <c r="BA7" s="7">
        <v>582.87963023082727</v>
      </c>
      <c r="BB7" s="7">
        <v>777.05167447616441</v>
      </c>
      <c r="BC7" s="11">
        <f t="shared" ref="BC7:BC45" si="1">SUM(BA7:BB7)</f>
        <v>1359.9313047069918</v>
      </c>
    </row>
    <row r="8" spans="1:57" ht="7.5" customHeight="1" x14ac:dyDescent="0.7"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11"/>
      <c r="BA8" s="9"/>
      <c r="BB8" s="9"/>
      <c r="BC8" s="11"/>
    </row>
    <row r="9" spans="1:57" ht="14.75" x14ac:dyDescent="0.75">
      <c r="B9" s="8" t="s">
        <v>126</v>
      </c>
      <c r="C9" s="14" t="s">
        <v>127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15">
        <f>SUM(AT10:AT14)</f>
        <v>81.516841372522961</v>
      </c>
      <c r="AU9" s="15">
        <f t="shared" ref="AU9:BC9" si="2">SUM(AU10:AU14)</f>
        <v>75.918312112911636</v>
      </c>
      <c r="AV9" s="15">
        <f t="shared" si="2"/>
        <v>26.382413291773631</v>
      </c>
      <c r="AW9" s="15">
        <f t="shared" si="2"/>
        <v>131.76593371678496</v>
      </c>
      <c r="AX9" s="15">
        <f t="shared" si="2"/>
        <v>157.4351534854346</v>
      </c>
      <c r="AY9" s="15">
        <f t="shared" si="2"/>
        <v>158.14834700855857</v>
      </c>
      <c r="AZ9" s="15">
        <f>SUM(AZ10:AZ14)</f>
        <v>315.5835004939932</v>
      </c>
      <c r="BA9" s="15">
        <f t="shared" si="2"/>
        <v>75.943523069973153</v>
      </c>
      <c r="BB9" s="15">
        <f t="shared" si="2"/>
        <v>65.10264821197741</v>
      </c>
      <c r="BC9" s="15">
        <f t="shared" si="2"/>
        <v>141.04617128195056</v>
      </c>
      <c r="BE9" s="16">
        <f>BC9/AV9-1</f>
        <v>4.3462194577146791</v>
      </c>
    </row>
    <row r="10" spans="1:57" x14ac:dyDescent="0.7">
      <c r="A10" s="8" t="s">
        <v>64</v>
      </c>
      <c r="B10" s="8" t="s">
        <v>65</v>
      </c>
      <c r="C10" s="8" t="s">
        <v>65</v>
      </c>
      <c r="D10" s="8" t="s">
        <v>59</v>
      </c>
      <c r="E10" s="9">
        <v>64.742329246162456</v>
      </c>
      <c r="F10" s="9">
        <v>12.021264484339031</v>
      </c>
      <c r="G10" s="9">
        <v>22.973953551263303</v>
      </c>
      <c r="H10" s="9">
        <v>1.3909783002402698</v>
      </c>
      <c r="I10" s="9">
        <v>8.2673467886830085</v>
      </c>
      <c r="J10" s="9">
        <v>11.83767196384964</v>
      </c>
      <c r="K10" s="9">
        <v>24.005792289849381</v>
      </c>
      <c r="L10" s="9">
        <v>1.4534518876233877</v>
      </c>
      <c r="M10" s="9">
        <v>12.613911857801799</v>
      </c>
      <c r="N10" s="9">
        <v>13.985422016618962</v>
      </c>
      <c r="O10" s="9">
        <v>26.537212272061659</v>
      </c>
      <c r="P10" s="9">
        <v>1.6067189453022024</v>
      </c>
      <c r="Q10" s="9">
        <v>10.87189445726384</v>
      </c>
      <c r="R10" s="9">
        <v>12.997844497700033</v>
      </c>
      <c r="S10" s="9">
        <v>25.208780327594646</v>
      </c>
      <c r="T10" s="9">
        <v>1.5262878604226915</v>
      </c>
      <c r="U10" s="9">
        <v>9.7097592464751141</v>
      </c>
      <c r="V10" s="9">
        <v>13.399586497950652</v>
      </c>
      <c r="W10" s="9">
        <v>26.947935782478737</v>
      </c>
      <c r="X10" s="9">
        <v>1.6315865628462991</v>
      </c>
      <c r="Y10" s="9">
        <v>9.9761042418277714</v>
      </c>
      <c r="Z10" s="9">
        <v>13.830851825836756</v>
      </c>
      <c r="AA10" s="9">
        <v>27.844834839604289</v>
      </c>
      <c r="AB10" s="9">
        <v>1.6858901080843371</v>
      </c>
      <c r="AC10" s="9">
        <v>11.209488337331765</v>
      </c>
      <c r="AD10" s="9">
        <v>14.723094755094317</v>
      </c>
      <c r="AE10" s="9">
        <v>29.263193928522316</v>
      </c>
      <c r="AF10" s="9">
        <v>1.7717659113165176</v>
      </c>
      <c r="AG10" s="9">
        <v>11.689439055276335</v>
      </c>
      <c r="AH10" s="9">
        <v>15.407067379031641</v>
      </c>
      <c r="AI10" s="9">
        <v>30.648778298703725</v>
      </c>
      <c r="AJ10" s="9">
        <v>1.8556573402677365</v>
      </c>
      <c r="AK10" s="9">
        <v>11.948663257969899</v>
      </c>
      <c r="AL10" s="9">
        <v>16.679779433843862</v>
      </c>
      <c r="AM10" s="9">
        <v>33.633182794392951</v>
      </c>
      <c r="AN10" s="9">
        <v>2.0363507452308958</v>
      </c>
      <c r="AO10" s="9">
        <v>12.288372331334147</v>
      </c>
      <c r="AP10" s="9">
        <v>16.031604081382657</v>
      </c>
      <c r="AQ10" s="9">
        <v>31.810991738057922</v>
      </c>
      <c r="AR10" s="9">
        <v>1.9260245790097337</v>
      </c>
      <c r="AS10" s="9">
        <v>12.595419423751308</v>
      </c>
      <c r="AT10" s="9">
        <v>16.193026911070785</v>
      </c>
      <c r="AU10" s="9">
        <v>32.013833515717458</v>
      </c>
      <c r="AV10" s="9">
        <v>1.9383058135163242</v>
      </c>
      <c r="AW10" s="9">
        <v>14.597163005857897</v>
      </c>
      <c r="AX10" s="9">
        <f>SUM(AT10:AU10)</f>
        <v>48.206860426788239</v>
      </c>
      <c r="AY10" s="9">
        <f>SUM(AV10:AW10)</f>
        <v>16.535468819374223</v>
      </c>
      <c r="AZ10" s="11">
        <f t="shared" ref="AZ10:AZ45" si="3">SUM(AT10:AW10)</f>
        <v>64.742329246162456</v>
      </c>
      <c r="BA10" s="9">
        <v>13.103682102486655</v>
      </c>
      <c r="BB10" s="9">
        <v>23.083702116759198</v>
      </c>
      <c r="BC10" s="11">
        <f t="shared" si="1"/>
        <v>36.187384219245857</v>
      </c>
      <c r="BE10" s="16">
        <f t="shared" ref="BE10:BE38" si="4">BC10/AV10-1</f>
        <v>17.669594842517398</v>
      </c>
    </row>
    <row r="11" spans="1:57" x14ac:dyDescent="0.7">
      <c r="A11" s="8" t="s">
        <v>66</v>
      </c>
      <c r="B11" s="8" t="s">
        <v>67</v>
      </c>
      <c r="C11" s="8" t="s">
        <v>67</v>
      </c>
      <c r="D11" s="8" t="s">
        <v>59</v>
      </c>
      <c r="E11" s="9">
        <v>171.36149585093614</v>
      </c>
      <c r="F11" s="9">
        <v>23.894936587156046</v>
      </c>
      <c r="G11" s="9">
        <v>15.983781202922128</v>
      </c>
      <c r="H11" s="9">
        <v>1.1468572025509591</v>
      </c>
      <c r="I11" s="9">
        <v>62.259436467875965</v>
      </c>
      <c r="J11" s="9">
        <v>24.831511972388075</v>
      </c>
      <c r="K11" s="9">
        <v>16.379708131968151</v>
      </c>
      <c r="L11" s="9">
        <v>1.1752654774450935</v>
      </c>
      <c r="M11" s="9">
        <v>63.306045891809127</v>
      </c>
      <c r="N11" s="9">
        <v>25.114801877929175</v>
      </c>
      <c r="O11" s="9">
        <v>16.064903097785578</v>
      </c>
      <c r="P11" s="9">
        <v>1.1526778045867101</v>
      </c>
      <c r="Q11" s="9">
        <v>57.398421520790855</v>
      </c>
      <c r="R11" s="9">
        <v>23.713237940395132</v>
      </c>
      <c r="S11" s="9">
        <v>18.710642728724533</v>
      </c>
      <c r="T11" s="9">
        <v>1.3425130828162528</v>
      </c>
      <c r="U11" s="9">
        <v>70.122935187732864</v>
      </c>
      <c r="V11" s="9">
        <v>28.295051360752925</v>
      </c>
      <c r="W11" s="9">
        <v>19.888335765540113</v>
      </c>
      <c r="X11" s="9">
        <v>1.4270140982217399</v>
      </c>
      <c r="Y11" s="9">
        <v>69.790024657014371</v>
      </c>
      <c r="Z11" s="9">
        <v>28.112738103050436</v>
      </c>
      <c r="AA11" s="9">
        <v>19.582815978576228</v>
      </c>
      <c r="AB11" s="9">
        <v>1.4050926539931803</v>
      </c>
      <c r="AC11" s="9">
        <v>74.618816178946759</v>
      </c>
      <c r="AD11" s="9">
        <v>29.972416742178972</v>
      </c>
      <c r="AE11" s="9">
        <v>20.561814167905521</v>
      </c>
      <c r="AF11" s="9">
        <v>1.4753370542675899</v>
      </c>
      <c r="AG11" s="9">
        <v>79.813080476497817</v>
      </c>
      <c r="AH11" s="9">
        <v>32.198104803617213</v>
      </c>
      <c r="AI11" s="9">
        <v>22.605946647806114</v>
      </c>
      <c r="AJ11" s="9">
        <v>1.6220062327166642</v>
      </c>
      <c r="AK11" s="9">
        <v>73.545560629845724</v>
      </c>
      <c r="AL11" s="9">
        <v>30.348419662084606</v>
      </c>
      <c r="AM11" s="9">
        <v>23.816975523040764</v>
      </c>
      <c r="AN11" s="9">
        <v>1.7088991381204333</v>
      </c>
      <c r="AO11" s="9">
        <v>82.392755960671849</v>
      </c>
      <c r="AP11" s="9">
        <v>33.742969987684504</v>
      </c>
      <c r="AQ11" s="9">
        <v>25.55476250196411</v>
      </c>
      <c r="AR11" s="9">
        <v>1.8335876262807407</v>
      </c>
      <c r="AS11" s="9">
        <v>107.07735721840095</v>
      </c>
      <c r="AT11" s="9">
        <v>42.185552065294637</v>
      </c>
      <c r="AU11" s="9">
        <v>25.878102096250529</v>
      </c>
      <c r="AV11" s="9">
        <v>1.8567876649868194</v>
      </c>
      <c r="AW11" s="9">
        <v>101.44105402440414</v>
      </c>
      <c r="AX11" s="9">
        <f t="shared" ref="AX11:AX45" si="5">SUM(AT11:AU11)</f>
        <v>68.063654161545173</v>
      </c>
      <c r="AY11" s="9">
        <f t="shared" ref="AY11:AY14" si="6">SUM(AV11:AW11)</f>
        <v>103.29784168939096</v>
      </c>
      <c r="AZ11" s="11">
        <f t="shared" si="3"/>
        <v>171.36149585093614</v>
      </c>
      <c r="BA11" s="9">
        <v>40.157250791261447</v>
      </c>
      <c r="BB11" s="9">
        <v>25.361749533793372</v>
      </c>
      <c r="BC11" s="11">
        <f t="shared" si="1"/>
        <v>65.519000325054819</v>
      </c>
      <c r="BE11" s="16">
        <f t="shared" si="4"/>
        <v>34.28621045935261</v>
      </c>
    </row>
    <row r="12" spans="1:57" x14ac:dyDescent="0.7">
      <c r="A12" s="8" t="s">
        <v>68</v>
      </c>
      <c r="B12" s="8" t="s">
        <v>69</v>
      </c>
      <c r="C12" s="8" t="s">
        <v>69</v>
      </c>
      <c r="D12" s="8" t="s">
        <v>59</v>
      </c>
      <c r="E12" s="9">
        <v>10.307044406410919</v>
      </c>
      <c r="F12" s="9">
        <v>1.1990955954218472</v>
      </c>
      <c r="G12" s="9">
        <v>2.0978477104575801</v>
      </c>
      <c r="H12" s="9">
        <v>0.37921294236224118</v>
      </c>
      <c r="I12" s="9">
        <v>1.0719304743737781</v>
      </c>
      <c r="J12" s="9">
        <v>1.2806634751927244</v>
      </c>
      <c r="K12" s="9">
        <v>3.4863751310597895</v>
      </c>
      <c r="L12" s="9">
        <v>0.63020712372842191</v>
      </c>
      <c r="M12" s="9">
        <v>1.6879807097496817</v>
      </c>
      <c r="N12" s="9">
        <v>1.5219940928090434</v>
      </c>
      <c r="O12" s="9">
        <v>2.6028674434557861</v>
      </c>
      <c r="P12" s="9">
        <v>0.47050175133849959</v>
      </c>
      <c r="Q12" s="9">
        <v>1.3825495249282727</v>
      </c>
      <c r="R12" s="9">
        <v>1.4711612534542364</v>
      </c>
      <c r="S12" s="9">
        <v>3.4425423346605051</v>
      </c>
      <c r="T12" s="9">
        <v>0.6222837822905859</v>
      </c>
      <c r="U12" s="9">
        <v>2.3008970205051531</v>
      </c>
      <c r="V12" s="9">
        <v>2.0705384964724076</v>
      </c>
      <c r="W12" s="9">
        <v>3.5240488856535683</v>
      </c>
      <c r="X12" s="9">
        <v>0.63701713918289138</v>
      </c>
      <c r="Y12" s="9">
        <v>2.7384680920558093</v>
      </c>
      <c r="Z12" s="9">
        <v>2.4360959856640729</v>
      </c>
      <c r="AA12" s="9">
        <v>4.0296134457104937</v>
      </c>
      <c r="AB12" s="9">
        <v>0.72840443265398991</v>
      </c>
      <c r="AC12" s="9">
        <v>1.600012098713111</v>
      </c>
      <c r="AD12" s="9">
        <v>1.7158965971768119</v>
      </c>
      <c r="AE12" s="9">
        <v>4.0618515659841039</v>
      </c>
      <c r="AF12" s="9">
        <v>0.73423188732776912</v>
      </c>
      <c r="AG12" s="9">
        <v>1.7400140152425185</v>
      </c>
      <c r="AH12" s="9">
        <v>1.8461223912188738</v>
      </c>
      <c r="AI12" s="9">
        <v>4.3010271146311414</v>
      </c>
      <c r="AJ12" s="9">
        <v>0.7774659424459851</v>
      </c>
      <c r="AK12" s="9">
        <v>1.5542825828001414</v>
      </c>
      <c r="AL12" s="9">
        <v>1.7817878863806094</v>
      </c>
      <c r="AM12" s="9">
        <v>4.6165576253718861</v>
      </c>
      <c r="AN12" s="9">
        <v>0.83450213853714961</v>
      </c>
      <c r="AO12" s="9">
        <v>1.3637490378698556</v>
      </c>
      <c r="AP12" s="9">
        <v>1.9228186340558047</v>
      </c>
      <c r="AQ12" s="9">
        <v>6.1485527166990481</v>
      </c>
      <c r="AR12" s="9">
        <v>1.1114299457229089</v>
      </c>
      <c r="AS12" s="9">
        <v>1.3036131931112338</v>
      </c>
      <c r="AT12" s="9">
        <v>1.8777617875096988</v>
      </c>
      <c r="AU12" s="9">
        <v>6.1093173633063618</v>
      </c>
      <c r="AV12" s="9">
        <v>1.1043376512105405</v>
      </c>
      <c r="AW12" s="9">
        <v>1.2156276043843177</v>
      </c>
      <c r="AX12" s="9">
        <f t="shared" si="5"/>
        <v>7.9870791508160606</v>
      </c>
      <c r="AY12" s="9">
        <f t="shared" si="6"/>
        <v>2.319965255594858</v>
      </c>
      <c r="AZ12" s="11">
        <f t="shared" si="3"/>
        <v>10.307044406410919</v>
      </c>
      <c r="BA12" s="9">
        <v>1.3214231837656785</v>
      </c>
      <c r="BB12" s="9">
        <v>3.189640789192119</v>
      </c>
      <c r="BC12" s="11">
        <f t="shared" si="1"/>
        <v>4.5110639729577979</v>
      </c>
      <c r="BE12" s="16">
        <f t="shared" si="4"/>
        <v>3.0848593435285938</v>
      </c>
    </row>
    <row r="13" spans="1:57" x14ac:dyDescent="0.7">
      <c r="A13" s="8" t="s">
        <v>70</v>
      </c>
      <c r="B13" s="8" t="s">
        <v>71</v>
      </c>
      <c r="C13" s="8" t="s">
        <v>71</v>
      </c>
      <c r="D13" s="8" t="s">
        <v>59</v>
      </c>
      <c r="E13" s="9">
        <v>63.089050219915215</v>
      </c>
      <c r="F13" s="9">
        <v>12.882020038236453</v>
      </c>
      <c r="G13" s="9">
        <v>6.7832793684768404</v>
      </c>
      <c r="H13" s="9">
        <v>12.025595579284889</v>
      </c>
      <c r="I13" s="9">
        <v>5.9086670485652402</v>
      </c>
      <c r="J13" s="9">
        <v>13.941756876283433</v>
      </c>
      <c r="K13" s="9">
        <v>7.3413045080280961</v>
      </c>
      <c r="L13" s="9">
        <v>15.204904548242142</v>
      </c>
      <c r="M13" s="9">
        <v>7.5479432145906387</v>
      </c>
      <c r="N13" s="9">
        <v>17.025695633387095</v>
      </c>
      <c r="O13" s="9">
        <v>8.9652127213839918</v>
      </c>
      <c r="P13" s="9">
        <v>20.332365008587971</v>
      </c>
      <c r="Q13" s="9">
        <v>10.146487583888316</v>
      </c>
      <c r="R13" s="9">
        <v>17.720243014147179</v>
      </c>
      <c r="S13" s="9">
        <v>9.330940216323091</v>
      </c>
      <c r="T13" s="9">
        <v>17.906890875461624</v>
      </c>
      <c r="U13" s="9">
        <v>8.8464655127923155</v>
      </c>
      <c r="V13" s="9">
        <v>15.586001245279204</v>
      </c>
      <c r="W13" s="9">
        <v>8.2071135093988268</v>
      </c>
      <c r="X13" s="9">
        <v>18.165636027319739</v>
      </c>
      <c r="Y13" s="9">
        <v>9.0529006920334698</v>
      </c>
      <c r="Z13" s="9">
        <v>20.139406852399933</v>
      </c>
      <c r="AA13" s="9">
        <v>10.604798206318243</v>
      </c>
      <c r="AB13" s="9">
        <v>16.402310852926423</v>
      </c>
      <c r="AC13" s="9">
        <v>7.9746415326472944</v>
      </c>
      <c r="AD13" s="9">
        <v>17.907573503288663</v>
      </c>
      <c r="AE13" s="9">
        <v>9.4295827458571502</v>
      </c>
      <c r="AF13" s="9">
        <v>19.663206294933854</v>
      </c>
      <c r="AG13" s="9">
        <v>9.7651270608728922</v>
      </c>
      <c r="AH13" s="9">
        <v>18.890620023771877</v>
      </c>
      <c r="AI13" s="9">
        <v>9.9472251001504937</v>
      </c>
      <c r="AJ13" s="9">
        <v>20.609632031113208</v>
      </c>
      <c r="AK13" s="9">
        <v>10.231157010177958</v>
      </c>
      <c r="AL13" s="9">
        <v>18.964210058571055</v>
      </c>
      <c r="AM13" s="9">
        <v>9.9859753709385419</v>
      </c>
      <c r="AN13" s="9">
        <v>19.652958152420155</v>
      </c>
      <c r="AO13" s="9">
        <v>9.7249815628716245</v>
      </c>
      <c r="AP13" s="9">
        <v>19.484653467854315</v>
      </c>
      <c r="AQ13" s="9">
        <v>10.260025017668807</v>
      </c>
      <c r="AR13" s="9">
        <v>21.254398153147282</v>
      </c>
      <c r="AS13" s="9">
        <v>10.551135495876506</v>
      </c>
      <c r="AT13" s="9">
        <v>20.290896967888266</v>
      </c>
      <c r="AU13" s="9">
        <v>10.684568286776903</v>
      </c>
      <c r="AV13" s="9">
        <v>21.47356005847741</v>
      </c>
      <c r="AW13" s="9">
        <v>10.640024906772638</v>
      </c>
      <c r="AX13" s="9">
        <f t="shared" si="5"/>
        <v>30.975465254665167</v>
      </c>
      <c r="AY13" s="9">
        <f t="shared" si="6"/>
        <v>32.113584965250048</v>
      </c>
      <c r="AZ13" s="11">
        <f t="shared" si="3"/>
        <v>63.089050219915215</v>
      </c>
      <c r="BA13" s="9">
        <v>20.605694092025395</v>
      </c>
      <c r="BB13" s="9">
        <v>10.850330863692406</v>
      </c>
      <c r="BC13" s="11">
        <f t="shared" si="1"/>
        <v>31.456024955717801</v>
      </c>
      <c r="BE13" s="16">
        <f t="shared" si="4"/>
        <v>0.46487237654379898</v>
      </c>
    </row>
    <row r="14" spans="1:57" x14ac:dyDescent="0.7">
      <c r="A14" s="8" t="s">
        <v>72</v>
      </c>
      <c r="B14" s="8" t="s">
        <v>73</v>
      </c>
      <c r="C14" s="8" t="s">
        <v>73</v>
      </c>
      <c r="D14" s="8" t="s">
        <v>59</v>
      </c>
      <c r="E14" s="9">
        <v>6.0835807705684628</v>
      </c>
      <c r="F14" s="9">
        <v>0.2350203949124787</v>
      </c>
      <c r="G14" s="9">
        <v>0.10784789067861458</v>
      </c>
      <c r="H14" s="9">
        <v>8.2447183800420413E-4</v>
      </c>
      <c r="I14" s="9">
        <v>0.66851740275151184</v>
      </c>
      <c r="J14" s="9">
        <v>0.15154703943634862</v>
      </c>
      <c r="K14" s="9">
        <v>2.881816162715348E-2</v>
      </c>
      <c r="L14" s="9">
        <v>2.2030808887533337E-4</v>
      </c>
      <c r="M14" s="9">
        <v>0.85650098385261941</v>
      </c>
      <c r="N14" s="9">
        <v>0.19437429762711633</v>
      </c>
      <c r="O14" s="9">
        <v>4.5220210713475602E-2</v>
      </c>
      <c r="P14" s="9">
        <v>3.4569790848278055E-4</v>
      </c>
      <c r="Q14" s="9">
        <v>2.2784595501510521</v>
      </c>
      <c r="R14" s="9">
        <v>0.52598660337953718</v>
      </c>
      <c r="S14" s="9">
        <v>0.46750675770170497</v>
      </c>
      <c r="T14" s="9">
        <v>3.5739795500529139E-3</v>
      </c>
      <c r="U14" s="9">
        <v>4.6581075660176818</v>
      </c>
      <c r="V14" s="9">
        <v>1.0566729061534872</v>
      </c>
      <c r="W14" s="9">
        <v>0.23725305971627361</v>
      </c>
      <c r="X14" s="9">
        <v>1.8137440147003724E-3</v>
      </c>
      <c r="Y14" s="9">
        <v>2.706845120796042</v>
      </c>
      <c r="Z14" s="9">
        <v>0.62037581265290564</v>
      </c>
      <c r="AA14" s="9">
        <v>0.37993520108041595</v>
      </c>
      <c r="AB14" s="9">
        <v>2.9045155318868148E-3</v>
      </c>
      <c r="AC14" s="9">
        <v>1.8006427890930574</v>
      </c>
      <c r="AD14" s="9">
        <v>0.4189830782484526</v>
      </c>
      <c r="AE14" s="9">
        <v>0.4980711765421163</v>
      </c>
      <c r="AF14" s="9">
        <v>3.8076373658926179E-3</v>
      </c>
      <c r="AG14" s="9">
        <v>2.06332795204422</v>
      </c>
      <c r="AH14" s="9">
        <v>0.47649128731271012</v>
      </c>
      <c r="AI14" s="9">
        <v>0.42991761379765303</v>
      </c>
      <c r="AJ14" s="9">
        <v>3.2866193581328725E-3</v>
      </c>
      <c r="AK14" s="9">
        <v>11.32528909716979</v>
      </c>
      <c r="AL14" s="9">
        <v>1.9009116866501719</v>
      </c>
      <c r="AM14" s="9">
        <v>3.4706482660834679</v>
      </c>
      <c r="AN14" s="9">
        <v>0.10612916903608371</v>
      </c>
      <c r="AO14" s="9">
        <v>4.9593301417727309</v>
      </c>
      <c r="AP14" s="9">
        <v>1.0223370199506203</v>
      </c>
      <c r="AQ14" s="9">
        <v>1.8933473482333854</v>
      </c>
      <c r="AR14" s="9">
        <v>1.4474196559209122E-2</v>
      </c>
      <c r="AS14" s="9">
        <v>4.2359503553107913</v>
      </c>
      <c r="AT14" s="9">
        <v>0.96960364075958383</v>
      </c>
      <c r="AU14" s="9">
        <v>1.2324908508603796</v>
      </c>
      <c r="AV14" s="9">
        <v>9.4221035825387545E-3</v>
      </c>
      <c r="AW14" s="9">
        <v>3.8720641753659608</v>
      </c>
      <c r="AX14" s="9">
        <f t="shared" si="5"/>
        <v>2.2020944916199632</v>
      </c>
      <c r="AY14" s="9">
        <f t="shared" si="6"/>
        <v>3.8814862789484996</v>
      </c>
      <c r="AZ14" s="11">
        <f t="shared" si="3"/>
        <v>6.0835807705684628</v>
      </c>
      <c r="BA14" s="9">
        <v>0.75547290043397541</v>
      </c>
      <c r="BB14" s="9">
        <v>2.6172249085403205</v>
      </c>
      <c r="BC14" s="11">
        <f t="shared" si="1"/>
        <v>3.3726978089742961</v>
      </c>
      <c r="BE14" s="16">
        <f t="shared" si="4"/>
        <v>356.9559255986797</v>
      </c>
    </row>
    <row r="15" spans="1:57" ht="14.75" x14ac:dyDescent="0.75">
      <c r="C15" s="14" t="s">
        <v>128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15">
        <f>SUM(AT16:AT19)</f>
        <v>195.89637440941743</v>
      </c>
      <c r="AU15" s="15">
        <f t="shared" ref="AU15:AV15" si="7">SUM(AU16:AU19)</f>
        <v>369.27519846155951</v>
      </c>
      <c r="AV15" s="15">
        <f t="shared" si="7"/>
        <v>68.010079907718477</v>
      </c>
      <c r="AW15" s="15">
        <f t="shared" ref="AW15" si="8">SUM(AW16:AW19)</f>
        <v>347.06126442518723</v>
      </c>
      <c r="AX15" s="15">
        <f t="shared" ref="AX15" si="9">SUM(AX16:AX19)</f>
        <v>565.17157287097689</v>
      </c>
      <c r="AY15" s="15">
        <f t="shared" ref="AY15" si="10">SUM(AY16:AY19)</f>
        <v>415.07134433290565</v>
      </c>
      <c r="AZ15" s="15">
        <f t="shared" ref="AZ15" si="11">SUM(AZ16:AZ19)</f>
        <v>980.2429172038826</v>
      </c>
      <c r="BA15" s="15">
        <f t="shared" ref="BA15" si="12">SUM(BA16:BA19)</f>
        <v>192.40218966606767</v>
      </c>
      <c r="BB15" s="15">
        <f t="shared" ref="BB15" si="13">SUM(BB16:BB19)</f>
        <v>380.65253224144504</v>
      </c>
      <c r="BC15" s="15">
        <f t="shared" ref="BC15" si="14">SUM(BC16:BC19)</f>
        <v>573.05472190751277</v>
      </c>
      <c r="BE15" s="16">
        <f t="shared" si="4"/>
        <v>7.4260262991174155</v>
      </c>
    </row>
    <row r="16" spans="1:57" x14ac:dyDescent="0.7">
      <c r="A16" s="8" t="s">
        <v>74</v>
      </c>
      <c r="B16" s="8" t="s">
        <v>75</v>
      </c>
      <c r="C16" s="8" t="s">
        <v>75</v>
      </c>
      <c r="D16" s="8" t="s">
        <v>60</v>
      </c>
      <c r="E16" s="9">
        <v>334.76629533236564</v>
      </c>
      <c r="F16" s="9">
        <v>43.295534407887502</v>
      </c>
      <c r="G16" s="9">
        <v>75.234230170931198</v>
      </c>
      <c r="H16" s="9">
        <v>43.994799529848549</v>
      </c>
      <c r="I16" s="9">
        <v>122.43502824142476</v>
      </c>
      <c r="J16" s="9">
        <v>50.742750613429592</v>
      </c>
      <c r="K16" s="9">
        <v>91.793495834229944</v>
      </c>
      <c r="L16" s="9">
        <v>30.611231261525351</v>
      </c>
      <c r="M16" s="9">
        <v>134.9552076845201</v>
      </c>
      <c r="N16" s="9">
        <v>49.73798962605354</v>
      </c>
      <c r="O16" s="9">
        <v>86.785354390613492</v>
      </c>
      <c r="P16" s="9">
        <v>27.55010813537281</v>
      </c>
      <c r="Q16" s="9">
        <v>137.99123334645762</v>
      </c>
      <c r="R16" s="9">
        <v>60.905475862468791</v>
      </c>
      <c r="S16" s="9">
        <v>111.52354748553421</v>
      </c>
      <c r="T16" s="9">
        <v>26.380933202037088</v>
      </c>
      <c r="U16" s="9">
        <v>160.44304791315176</v>
      </c>
      <c r="V16" s="9">
        <v>62.611646446674314</v>
      </c>
      <c r="W16" s="9">
        <v>110.99187490162295</v>
      </c>
      <c r="X16" s="9">
        <v>30.567794813489993</v>
      </c>
      <c r="Y16" s="9">
        <v>171.18249272948114</v>
      </c>
      <c r="Z16" s="9">
        <v>66.765116816558134</v>
      </c>
      <c r="AA16" s="9">
        <v>118.26905519484484</v>
      </c>
      <c r="AB16" s="9">
        <v>31.222651805771871</v>
      </c>
      <c r="AC16" s="9">
        <v>156.04774955699293</v>
      </c>
      <c r="AD16" s="9">
        <v>56.914809535808402</v>
      </c>
      <c r="AE16" s="9">
        <v>98.894630616095981</v>
      </c>
      <c r="AF16" s="9">
        <v>29.854710654716282</v>
      </c>
      <c r="AG16" s="9">
        <v>169.22249607701076</v>
      </c>
      <c r="AH16" s="9">
        <v>63.077493434612933</v>
      </c>
      <c r="AI16" s="9">
        <v>110.2628177142989</v>
      </c>
      <c r="AJ16" s="9">
        <v>30.89482812769803</v>
      </c>
      <c r="AK16" s="9">
        <v>177.44102875493007</v>
      </c>
      <c r="AL16" s="9">
        <v>56.244254223375265</v>
      </c>
      <c r="AM16" s="9">
        <v>93.19427251633202</v>
      </c>
      <c r="AN16" s="9">
        <v>34.528721318886767</v>
      </c>
      <c r="AO16" s="9">
        <v>165.86208185240434</v>
      </c>
      <c r="AP16" s="9">
        <v>54.67114123870018</v>
      </c>
      <c r="AQ16" s="9">
        <v>91.867876821190876</v>
      </c>
      <c r="AR16" s="9">
        <v>31.89492108044152</v>
      </c>
      <c r="AS16" s="9">
        <v>168.22524085603325</v>
      </c>
      <c r="AT16" s="9">
        <v>49.8936296059968</v>
      </c>
      <c r="AU16" s="9">
        <v>80.452152880974893</v>
      </c>
      <c r="AV16" s="9">
        <v>30.735904568173229</v>
      </c>
      <c r="AW16" s="9">
        <v>173.68460827722069</v>
      </c>
      <c r="AX16" s="9">
        <f t="shared" si="5"/>
        <v>130.3457824869717</v>
      </c>
      <c r="AY16" s="9">
        <f>SUM(AV16:AW16)</f>
        <v>204.42051284539392</v>
      </c>
      <c r="AZ16" s="11">
        <f t="shared" si="3"/>
        <v>334.76629533236564</v>
      </c>
      <c r="BA16" s="9">
        <v>53.724584934558223</v>
      </c>
      <c r="BB16" s="9">
        <v>86.573509167778028</v>
      </c>
      <c r="BC16" s="11">
        <f t="shared" si="1"/>
        <v>140.29809410233625</v>
      </c>
      <c r="BE16" s="16">
        <f t="shared" si="4"/>
        <v>3.5646320182687496</v>
      </c>
    </row>
    <row r="17" spans="1:57" x14ac:dyDescent="0.7">
      <c r="A17" s="8" t="s">
        <v>76</v>
      </c>
      <c r="B17" s="8" t="s">
        <v>77</v>
      </c>
      <c r="C17" s="8" t="s">
        <v>77</v>
      </c>
      <c r="D17" s="8" t="s">
        <v>60</v>
      </c>
      <c r="E17" s="9">
        <v>341.78423682736064</v>
      </c>
      <c r="F17" s="9">
        <v>84.709826994238881</v>
      </c>
      <c r="G17" s="9">
        <v>80.003617178991846</v>
      </c>
      <c r="H17" s="9">
        <v>0</v>
      </c>
      <c r="I17" s="9">
        <v>67.450807830833341</v>
      </c>
      <c r="J17" s="9">
        <v>81.730459752258497</v>
      </c>
      <c r="K17" s="9">
        <v>74.043496887853337</v>
      </c>
      <c r="L17" s="9">
        <v>2.6878767016465632</v>
      </c>
      <c r="M17" s="9">
        <v>67.591857044687842</v>
      </c>
      <c r="N17" s="9">
        <v>81.560655563495928</v>
      </c>
      <c r="O17" s="9">
        <v>73.366821598917028</v>
      </c>
      <c r="P17" s="9">
        <v>5.3757534032931291</v>
      </c>
      <c r="Q17" s="9">
        <v>76.794917107926864</v>
      </c>
      <c r="R17" s="9">
        <v>94.963075489134141</v>
      </c>
      <c r="S17" s="9">
        <v>90.230232444551461</v>
      </c>
      <c r="T17" s="9">
        <v>5.5414213408862603</v>
      </c>
      <c r="U17" s="9">
        <v>88.76766690349983</v>
      </c>
      <c r="V17" s="9">
        <v>106.11296803291418</v>
      </c>
      <c r="W17" s="9">
        <v>93.272827286823713</v>
      </c>
      <c r="X17" s="9">
        <v>6.0946495269445267</v>
      </c>
      <c r="Y17" s="9">
        <v>90.468209821572188</v>
      </c>
      <c r="Z17" s="9">
        <v>110.52283048186899</v>
      </c>
      <c r="AA17" s="9">
        <v>102.20889613311483</v>
      </c>
      <c r="AB17" s="9">
        <v>6.1365175203578604</v>
      </c>
      <c r="AC17" s="9">
        <v>85.201859420584483</v>
      </c>
      <c r="AD17" s="9">
        <v>110.0539898748393</v>
      </c>
      <c r="AE17" s="9">
        <v>114.2830095519502</v>
      </c>
      <c r="AF17" s="9">
        <v>6.7476623654500179</v>
      </c>
      <c r="AG17" s="9">
        <v>89.540854967787368</v>
      </c>
      <c r="AH17" s="9">
        <v>115.04346516116568</v>
      </c>
      <c r="AI17" s="9">
        <v>118.22005307813258</v>
      </c>
      <c r="AJ17" s="9">
        <v>6.6568395636959465</v>
      </c>
      <c r="AK17" s="9">
        <v>93.160129818120325</v>
      </c>
      <c r="AL17" s="9">
        <v>119.15318490077171</v>
      </c>
      <c r="AM17" s="9">
        <v>121.35578373090846</v>
      </c>
      <c r="AN17" s="9">
        <v>6.7008875905680263</v>
      </c>
      <c r="AO17" s="9">
        <v>89.574783866405227</v>
      </c>
      <c r="AP17" s="9">
        <v>114.30367459600984</v>
      </c>
      <c r="AQ17" s="9">
        <v>115.83660248969822</v>
      </c>
      <c r="AR17" s="9">
        <v>5.6868759049925393</v>
      </c>
      <c r="AS17" s="9">
        <v>92.975666088899672</v>
      </c>
      <c r="AT17" s="9">
        <v>120.07076946812455</v>
      </c>
      <c r="AU17" s="9">
        <v>124.74778262932072</v>
      </c>
      <c r="AV17" s="9">
        <v>8.9041251319951709</v>
      </c>
      <c r="AW17" s="9">
        <v>88.061559597920223</v>
      </c>
      <c r="AX17" s="9">
        <f t="shared" si="5"/>
        <v>244.81855209744526</v>
      </c>
      <c r="AY17" s="9">
        <f t="shared" ref="AY17:AY45" si="15">SUM(AV17:AW17)</f>
        <v>96.965684729915395</v>
      </c>
      <c r="AZ17" s="11">
        <f t="shared" si="3"/>
        <v>341.78423682736064</v>
      </c>
      <c r="BA17" s="9">
        <v>113.50763584327363</v>
      </c>
      <c r="BB17" s="9">
        <v>116.89140957646268</v>
      </c>
      <c r="BC17" s="11">
        <f t="shared" si="1"/>
        <v>230.3990454197363</v>
      </c>
      <c r="BE17" s="16">
        <f t="shared" si="4"/>
        <v>24.87553993281653</v>
      </c>
    </row>
    <row r="18" spans="1:57" x14ac:dyDescent="0.7">
      <c r="A18" s="8" t="s">
        <v>78</v>
      </c>
      <c r="B18" s="8" t="s">
        <v>79</v>
      </c>
      <c r="C18" s="8" t="s">
        <v>79</v>
      </c>
      <c r="D18" s="8" t="s">
        <v>60</v>
      </c>
      <c r="E18" s="9">
        <v>236.05704295475681</v>
      </c>
      <c r="F18" s="9">
        <v>8.4008532031541154</v>
      </c>
      <c r="G18" s="9">
        <v>88.877467034976675</v>
      </c>
      <c r="H18" s="9">
        <v>14.438924004479993</v>
      </c>
      <c r="I18" s="9">
        <v>53.827747400007951</v>
      </c>
      <c r="J18" s="9">
        <v>9.0794524160188033</v>
      </c>
      <c r="K18" s="9">
        <v>80.51171423844923</v>
      </c>
      <c r="L18" s="9">
        <v>12.788742365083506</v>
      </c>
      <c r="M18" s="9">
        <v>54.299246254016268</v>
      </c>
      <c r="N18" s="9">
        <v>9.2019031823219635</v>
      </c>
      <c r="O18" s="9">
        <v>88.629069783377872</v>
      </c>
      <c r="P18" s="9">
        <v>14.235222359398183</v>
      </c>
      <c r="Q18" s="9">
        <v>60.230575810516918</v>
      </c>
      <c r="R18" s="9">
        <v>10.215933365314362</v>
      </c>
      <c r="S18" s="9">
        <v>99.84194069685995</v>
      </c>
      <c r="T18" s="9">
        <v>16.065930942828107</v>
      </c>
      <c r="U18" s="9">
        <v>65.063797384385012</v>
      </c>
      <c r="V18" s="9">
        <v>11.037110669349239</v>
      </c>
      <c r="W18" s="9">
        <v>108.09495883552941</v>
      </c>
      <c r="X18" s="9">
        <v>17.398566254376679</v>
      </c>
      <c r="Y18" s="9">
        <v>69.969468654751324</v>
      </c>
      <c r="Z18" s="9">
        <v>11.842768500228834</v>
      </c>
      <c r="AA18" s="9">
        <v>111.665770863852</v>
      </c>
      <c r="AB18" s="9">
        <v>17.885933129199014</v>
      </c>
      <c r="AC18" s="9">
        <v>77.383187764677444</v>
      </c>
      <c r="AD18" s="9">
        <v>13.073600068998278</v>
      </c>
      <c r="AE18" s="9">
        <v>119.35511129901671</v>
      </c>
      <c r="AF18" s="9">
        <v>19.035282238006005</v>
      </c>
      <c r="AG18" s="9">
        <v>80.425648971992288</v>
      </c>
      <c r="AH18" s="9">
        <v>13.579041162433004</v>
      </c>
      <c r="AI18" s="9">
        <v>122.56754325924419</v>
      </c>
      <c r="AJ18" s="9">
        <v>19.517192117351446</v>
      </c>
      <c r="AK18" s="9">
        <v>85.316359989611428</v>
      </c>
      <c r="AL18" s="9">
        <v>14.382770745466697</v>
      </c>
      <c r="AM18" s="9">
        <v>126.21876515805488</v>
      </c>
      <c r="AN18" s="9">
        <v>20.019510016311905</v>
      </c>
      <c r="AO18" s="9">
        <v>81.415682634590638</v>
      </c>
      <c r="AP18" s="9">
        <v>13.754104406019618</v>
      </c>
      <c r="AQ18" s="9">
        <v>125.4417175028147</v>
      </c>
      <c r="AR18" s="9">
        <v>20.003266073284916</v>
      </c>
      <c r="AS18" s="9">
        <v>69.290916976730799</v>
      </c>
      <c r="AT18" s="9">
        <v>11.842290446993085</v>
      </c>
      <c r="AU18" s="9">
        <v>130.33421075579903</v>
      </c>
      <c r="AV18" s="9">
        <v>21.268459085461679</v>
      </c>
      <c r="AW18" s="9">
        <v>72.612082666503028</v>
      </c>
      <c r="AX18" s="9">
        <f t="shared" si="5"/>
        <v>142.17650120279211</v>
      </c>
      <c r="AY18" s="9">
        <f t="shared" si="15"/>
        <v>93.880541751964699</v>
      </c>
      <c r="AZ18" s="11">
        <f t="shared" si="3"/>
        <v>236.05704295475681</v>
      </c>
      <c r="BA18" s="9">
        <v>12.441318289629361</v>
      </c>
      <c r="BB18" s="9">
        <v>142.00696627167505</v>
      </c>
      <c r="BC18" s="11">
        <f t="shared" si="1"/>
        <v>154.4482845613044</v>
      </c>
      <c r="BE18" s="16">
        <f t="shared" si="4"/>
        <v>6.2618464713731639</v>
      </c>
    </row>
    <row r="19" spans="1:57" x14ac:dyDescent="0.7">
      <c r="A19" s="8" t="s">
        <v>80</v>
      </c>
      <c r="B19" s="8" t="s">
        <v>81</v>
      </c>
      <c r="C19" s="8" t="s">
        <v>81</v>
      </c>
      <c r="D19" s="8" t="s">
        <v>60</v>
      </c>
      <c r="E19" s="9">
        <v>67.635342089399458</v>
      </c>
      <c r="F19" s="9">
        <v>10.245536072239258</v>
      </c>
      <c r="G19" s="9">
        <v>16.865121514414476</v>
      </c>
      <c r="H19" s="9">
        <v>4.0796705165072806</v>
      </c>
      <c r="I19" s="9">
        <v>12.126219169032405</v>
      </c>
      <c r="J19" s="9">
        <v>12.081661345482193</v>
      </c>
      <c r="K19" s="9">
        <v>21.661983814186737</v>
      </c>
      <c r="L19" s="9">
        <v>4.9651061907529765</v>
      </c>
      <c r="M19" s="9">
        <v>12.693339971306752</v>
      </c>
      <c r="N19" s="9">
        <v>12.63893723121115</v>
      </c>
      <c r="O19" s="9">
        <v>21.334780429879327</v>
      </c>
      <c r="P19" s="9">
        <v>5.6631408318271586</v>
      </c>
      <c r="Q19" s="9">
        <v>20.154838418072195</v>
      </c>
      <c r="R19" s="9">
        <v>20.0407186834687</v>
      </c>
      <c r="S19" s="9">
        <v>29.085810373997994</v>
      </c>
      <c r="T19" s="9">
        <v>5.9573872616327828</v>
      </c>
      <c r="U19" s="9">
        <v>10.904359680508804</v>
      </c>
      <c r="V19" s="9">
        <v>10.919891389660251</v>
      </c>
      <c r="W19" s="9">
        <v>29.081115279792865</v>
      </c>
      <c r="X19" s="9">
        <v>6.1481578972718349</v>
      </c>
      <c r="Y19" s="9">
        <v>10.973949500535639</v>
      </c>
      <c r="Z19" s="9">
        <v>10.994136268772316</v>
      </c>
      <c r="AA19" s="9">
        <v>30.053495792707626</v>
      </c>
      <c r="AB19" s="9">
        <v>6.5492363818950334</v>
      </c>
      <c r="AC19" s="9">
        <v>13.182541759878472</v>
      </c>
      <c r="AD19" s="9">
        <v>13.17638083790697</v>
      </c>
      <c r="AE19" s="9">
        <v>30.850252006614003</v>
      </c>
      <c r="AF19" s="9">
        <v>6.7822168222984951</v>
      </c>
      <c r="AG19" s="9">
        <v>14.479844658004216</v>
      </c>
      <c r="AH19" s="9">
        <v>14.463641568851871</v>
      </c>
      <c r="AI19" s="9">
        <v>32.256715391476632</v>
      </c>
      <c r="AJ19" s="9">
        <v>6.8733044259539229</v>
      </c>
      <c r="AK19" s="9">
        <v>13.156439662951048</v>
      </c>
      <c r="AL19" s="9">
        <v>13.175534686232892</v>
      </c>
      <c r="AM19" s="9">
        <v>35.148646154321959</v>
      </c>
      <c r="AN19" s="9">
        <v>7.4205824933807367</v>
      </c>
      <c r="AO19" s="9">
        <v>13.158717223325791</v>
      </c>
      <c r="AP19" s="9">
        <v>13.15956907083363</v>
      </c>
      <c r="AQ19" s="9">
        <v>32.003647225340387</v>
      </c>
      <c r="AR19" s="9">
        <v>6.9503976748063847</v>
      </c>
      <c r="AS19" s="9">
        <v>14.091853779763531</v>
      </c>
      <c r="AT19" s="9">
        <v>14.089684888302994</v>
      </c>
      <c r="AU19" s="9">
        <v>33.741052195464839</v>
      </c>
      <c r="AV19" s="9">
        <v>7.1015911220884052</v>
      </c>
      <c r="AW19" s="9">
        <v>12.703013883543226</v>
      </c>
      <c r="AX19" s="9">
        <f t="shared" si="5"/>
        <v>47.830737083767829</v>
      </c>
      <c r="AY19" s="9">
        <f t="shared" si="15"/>
        <v>19.804605005631633</v>
      </c>
      <c r="AZ19" s="11">
        <f t="shared" si="3"/>
        <v>67.635342089399458</v>
      </c>
      <c r="BA19" s="9">
        <v>12.728650598606473</v>
      </c>
      <c r="BB19" s="9">
        <v>35.180647225529299</v>
      </c>
      <c r="BC19" s="11">
        <f t="shared" si="1"/>
        <v>47.90929782413577</v>
      </c>
      <c r="BE19" s="16">
        <f t="shared" si="4"/>
        <v>5.7462765738682533</v>
      </c>
    </row>
    <row r="20" spans="1:57" ht="14.75" x14ac:dyDescent="0.75">
      <c r="C20" s="14" t="s">
        <v>129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15">
        <f t="shared" ref="AT20:AY20" si="16">AT21+AT22+AT23</f>
        <v>99.591651791574165</v>
      </c>
      <c r="AU20" s="15">
        <f t="shared" si="16"/>
        <v>216.74770919514532</v>
      </c>
      <c r="AV20" s="15">
        <f t="shared" si="16"/>
        <v>61.398594052214072</v>
      </c>
      <c r="AW20" s="15">
        <f t="shared" si="16"/>
        <v>198.13624317437893</v>
      </c>
      <c r="AX20" s="15">
        <f t="shared" si="16"/>
        <v>316.33936098671944</v>
      </c>
      <c r="AY20" s="15">
        <f t="shared" si="16"/>
        <v>309.94112640514726</v>
      </c>
      <c r="AZ20" s="15">
        <f>AZ21+AZ22+AZ23</f>
        <v>575.87419821331241</v>
      </c>
      <c r="BA20" s="15">
        <f t="shared" ref="BA20:BC20" si="17">BA21+BA22+BA23</f>
        <v>98.367486684047591</v>
      </c>
      <c r="BB20" s="15">
        <f t="shared" si="17"/>
        <v>211.6584862958702</v>
      </c>
      <c r="BC20" s="15">
        <f t="shared" si="17"/>
        <v>310.02597297991781</v>
      </c>
      <c r="BE20" s="16">
        <f t="shared" si="4"/>
        <v>4.0493985695546737</v>
      </c>
    </row>
    <row r="21" spans="1:57" x14ac:dyDescent="0.7">
      <c r="A21" s="8" t="s">
        <v>82</v>
      </c>
      <c r="B21" s="8" t="s">
        <v>83</v>
      </c>
      <c r="C21" s="8" t="s">
        <v>83</v>
      </c>
      <c r="D21" s="8" t="s">
        <v>61</v>
      </c>
      <c r="E21" s="9">
        <v>240.14683388957536</v>
      </c>
      <c r="F21" s="9">
        <v>42.873999741388424</v>
      </c>
      <c r="G21" s="9">
        <v>75.443318802579796</v>
      </c>
      <c r="H21" s="9">
        <v>1.2752599818716606</v>
      </c>
      <c r="I21" s="9">
        <v>95.597756448606589</v>
      </c>
      <c r="J21" s="9">
        <v>44.210586722812039</v>
      </c>
      <c r="K21" s="9">
        <v>78.518352269209899</v>
      </c>
      <c r="L21" s="9">
        <v>1.1201750117200953</v>
      </c>
      <c r="M21" s="9">
        <v>97.144762877057204</v>
      </c>
      <c r="N21" s="9">
        <v>44.360149081941707</v>
      </c>
      <c r="O21" s="9">
        <v>77.758752357961697</v>
      </c>
      <c r="P21" s="9">
        <v>1.8623614001345496</v>
      </c>
      <c r="Q21" s="9">
        <v>88.441620803041545</v>
      </c>
      <c r="R21" s="9">
        <v>44.167168563013661</v>
      </c>
      <c r="S21" s="9">
        <v>95.765214387165315</v>
      </c>
      <c r="T21" s="9">
        <v>1.8848010161005972</v>
      </c>
      <c r="U21" s="9">
        <v>98.72884408284861</v>
      </c>
      <c r="V21" s="9">
        <v>47.686623115889638</v>
      </c>
      <c r="W21" s="9">
        <v>98.456336742090784</v>
      </c>
      <c r="X21" s="9">
        <v>0.50793768305598219</v>
      </c>
      <c r="Y21" s="9">
        <v>99.233953388463078</v>
      </c>
      <c r="Z21" s="9">
        <v>47.660485376711364</v>
      </c>
      <c r="AA21" s="9">
        <v>97.269122785163574</v>
      </c>
      <c r="AB21" s="9">
        <v>0.45631323396719353</v>
      </c>
      <c r="AC21" s="9">
        <v>88.730197817692002</v>
      </c>
      <c r="AD21" s="9">
        <v>43.327997060307403</v>
      </c>
      <c r="AE21" s="9">
        <v>88.227903138720961</v>
      </c>
      <c r="AF21" s="9">
        <v>1.341713142259813</v>
      </c>
      <c r="AG21" s="9">
        <v>101.68359758552265</v>
      </c>
      <c r="AH21" s="9">
        <v>48.319290151565589</v>
      </c>
      <c r="AI21" s="9">
        <v>96.758683693197028</v>
      </c>
      <c r="AJ21" s="9">
        <v>1.7602860121684489</v>
      </c>
      <c r="AK21" s="9">
        <v>91.762145596264077</v>
      </c>
      <c r="AL21" s="9">
        <v>45.404682656406685</v>
      </c>
      <c r="AM21" s="9">
        <v>88.221102304315423</v>
      </c>
      <c r="AN21" s="9">
        <v>1.6719806294871746</v>
      </c>
      <c r="AO21" s="9">
        <v>76.116572577305973</v>
      </c>
      <c r="AP21" s="9">
        <v>44.412966629536157</v>
      </c>
      <c r="AQ21" s="9">
        <v>102.49098385932714</v>
      </c>
      <c r="AR21" s="9">
        <v>1.7165462283357544</v>
      </c>
      <c r="AS21" s="9">
        <v>90.502168611966198</v>
      </c>
      <c r="AT21" s="9">
        <v>48.156038518752354</v>
      </c>
      <c r="AU21" s="9">
        <v>101.51448329587832</v>
      </c>
      <c r="AV21" s="9">
        <v>1.5052681025585257</v>
      </c>
      <c r="AW21" s="9">
        <v>88.971043972386198</v>
      </c>
      <c r="AX21" s="9">
        <f t="shared" si="5"/>
        <v>149.67052181463066</v>
      </c>
      <c r="AY21" s="9">
        <f t="shared" si="15"/>
        <v>90.47631207494473</v>
      </c>
      <c r="AZ21" s="11">
        <f t="shared" si="3"/>
        <v>240.14683388957536</v>
      </c>
      <c r="BA21" s="9">
        <v>48.266023939534776</v>
      </c>
      <c r="BB21" s="9">
        <v>100.73372648481921</v>
      </c>
      <c r="BC21" s="11">
        <f t="shared" si="1"/>
        <v>148.99975042435398</v>
      </c>
      <c r="BE21" s="16">
        <f t="shared" si="4"/>
        <v>97.985523024833228</v>
      </c>
    </row>
    <row r="22" spans="1:57" x14ac:dyDescent="0.7">
      <c r="A22" s="8" t="s">
        <v>84</v>
      </c>
      <c r="B22" s="8" t="s">
        <v>85</v>
      </c>
      <c r="C22" s="8" t="s">
        <v>85</v>
      </c>
      <c r="D22" s="8" t="s">
        <v>61</v>
      </c>
      <c r="E22" s="9">
        <v>52.983359031786009</v>
      </c>
      <c r="F22" s="9">
        <v>21.919182021629002</v>
      </c>
      <c r="G22" s="9">
        <v>18.22833947969977</v>
      </c>
      <c r="H22" s="9">
        <v>1.1734223082647082</v>
      </c>
      <c r="I22" s="9">
        <v>45.448006838536649</v>
      </c>
      <c r="J22" s="9">
        <v>17.986857708610739</v>
      </c>
      <c r="K22" s="9">
        <v>13.698734107065631</v>
      </c>
      <c r="L22" s="9">
        <v>1.7618913910790308</v>
      </c>
      <c r="M22" s="9">
        <v>42.528167764225401</v>
      </c>
      <c r="N22" s="9">
        <v>17.351396259737161</v>
      </c>
      <c r="O22" s="9">
        <v>14.387014302740333</v>
      </c>
      <c r="P22" s="9">
        <v>3.9505063752759888</v>
      </c>
      <c r="Q22" s="9">
        <v>24.620380293110198</v>
      </c>
      <c r="R22" s="9">
        <v>14.275932671346361</v>
      </c>
      <c r="S22" s="9">
        <v>18.648156466759001</v>
      </c>
      <c r="T22" s="9">
        <v>0.22810460091859042</v>
      </c>
      <c r="U22" s="9">
        <v>32.792711771467374</v>
      </c>
      <c r="V22" s="9">
        <v>16.648179222668169</v>
      </c>
      <c r="W22" s="9">
        <v>18.962485120751587</v>
      </c>
      <c r="X22" s="9">
        <v>0.57027565104984057</v>
      </c>
      <c r="Y22" s="9">
        <v>33.207553932555193</v>
      </c>
      <c r="Z22" s="9">
        <v>17.357638789291634</v>
      </c>
      <c r="AA22" s="9">
        <v>20.452812913436549</v>
      </c>
      <c r="AB22" s="9">
        <v>0.62215954534856821</v>
      </c>
      <c r="AC22" s="9">
        <v>28.902538207652487</v>
      </c>
      <c r="AD22" s="9">
        <v>15.543292694878135</v>
      </c>
      <c r="AE22" s="9">
        <v>18.997788791361785</v>
      </c>
      <c r="AF22" s="9">
        <v>1.4655766489568711</v>
      </c>
      <c r="AG22" s="9">
        <v>31.392981966216631</v>
      </c>
      <c r="AH22" s="9">
        <v>17.404708040131958</v>
      </c>
      <c r="AI22" s="9">
        <v>21.980106561607055</v>
      </c>
      <c r="AJ22" s="9">
        <v>1.9507673878377618</v>
      </c>
      <c r="AK22" s="9">
        <v>30.045557257905866</v>
      </c>
      <c r="AL22" s="9">
        <v>15.467512678600569</v>
      </c>
      <c r="AM22" s="9">
        <v>18.064168814351635</v>
      </c>
      <c r="AN22" s="9">
        <v>1.8524020749126999</v>
      </c>
      <c r="AO22" s="9">
        <v>24.899399151627144</v>
      </c>
      <c r="AP22" s="9">
        <v>13.309437538866806</v>
      </c>
      <c r="AQ22" s="9">
        <v>16.241400991260523</v>
      </c>
      <c r="AR22" s="9">
        <v>1.9202799245099005</v>
      </c>
      <c r="AS22" s="9">
        <v>25.654595526957216</v>
      </c>
      <c r="AT22" s="9">
        <v>13.259584481554699</v>
      </c>
      <c r="AU22" s="9">
        <v>15.637969145797578</v>
      </c>
      <c r="AV22" s="9">
        <v>2.2856025686232484</v>
      </c>
      <c r="AW22" s="9">
        <v>21.800202835810484</v>
      </c>
      <c r="AX22" s="9">
        <f t="shared" si="5"/>
        <v>28.897553627352277</v>
      </c>
      <c r="AY22" s="9">
        <f t="shared" si="15"/>
        <v>24.085805404433732</v>
      </c>
      <c r="AZ22" s="11">
        <f t="shared" si="3"/>
        <v>52.983359031786009</v>
      </c>
      <c r="BA22" s="9">
        <v>11.405640262430291</v>
      </c>
      <c r="BB22" s="9">
        <v>13.405566555974973</v>
      </c>
      <c r="BC22" s="11">
        <f t="shared" si="1"/>
        <v>24.811206818405264</v>
      </c>
      <c r="BE22" s="16">
        <f t="shared" si="4"/>
        <v>9.8554335556905244</v>
      </c>
    </row>
    <row r="23" spans="1:57" x14ac:dyDescent="0.7">
      <c r="C23" s="6" t="s">
        <v>132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11">
        <f t="shared" ref="AT23:AW23" si="18">SUM(AT24:AT31)</f>
        <v>38.176028791267115</v>
      </c>
      <c r="AU23" s="11">
        <f>SUM(AU24:AU31)</f>
        <v>99.5952567534694</v>
      </c>
      <c r="AV23" s="11">
        <f t="shared" si="18"/>
        <v>57.607723381032301</v>
      </c>
      <c r="AW23" s="11">
        <f t="shared" si="18"/>
        <v>87.364996366182268</v>
      </c>
      <c r="AX23" s="11">
        <f t="shared" ref="AX23:AY23" si="19">SUM(AR23:AU23)</f>
        <v>137.77128554473651</v>
      </c>
      <c r="AY23" s="11">
        <f t="shared" si="19"/>
        <v>195.3790089257688</v>
      </c>
      <c r="AZ23" s="11">
        <f>SUM(AT23:AW23)</f>
        <v>282.74400529195105</v>
      </c>
      <c r="BA23" s="11">
        <f>SUM(BA24:BA31)</f>
        <v>38.695822482082527</v>
      </c>
      <c r="BB23" s="11">
        <f>SUM(BB24:BB31)</f>
        <v>97.519193255076019</v>
      </c>
      <c r="BC23" s="11">
        <f>BA23+BB23</f>
        <v>136.21501573715855</v>
      </c>
      <c r="BE23" s="16">
        <f t="shared" si="4"/>
        <v>1.3645269721248554</v>
      </c>
    </row>
    <row r="24" spans="1:57" x14ac:dyDescent="0.7">
      <c r="A24" s="8" t="s">
        <v>86</v>
      </c>
      <c r="B24" s="8" t="s">
        <v>87</v>
      </c>
      <c r="C24" s="8" t="s">
        <v>87</v>
      </c>
      <c r="D24" s="8" t="s">
        <v>61</v>
      </c>
      <c r="E24" s="9">
        <v>28.523157494063014</v>
      </c>
      <c r="F24" s="9">
        <v>1.4163433979837023</v>
      </c>
      <c r="G24" s="9">
        <v>2.2450559196017084</v>
      </c>
      <c r="H24" s="9">
        <v>2.6283870367131992</v>
      </c>
      <c r="I24" s="9">
        <v>1.7285779110398101</v>
      </c>
      <c r="J24" s="9">
        <v>0.59028153820842544</v>
      </c>
      <c r="K24" s="9">
        <v>1.1707208905003823</v>
      </c>
      <c r="L24" s="9">
        <v>2.9956615354519531</v>
      </c>
      <c r="M24" s="9">
        <v>3.6787643295209822</v>
      </c>
      <c r="N24" s="9">
        <v>1.0732636467127734</v>
      </c>
      <c r="O24" s="9">
        <v>0.85760897814886716</v>
      </c>
      <c r="P24" s="9">
        <v>1.3686907620321798</v>
      </c>
      <c r="Q24" s="9">
        <v>5.208875214506353</v>
      </c>
      <c r="R24" s="9">
        <v>1.9137595849633764</v>
      </c>
      <c r="S24" s="9">
        <v>4.3204499822182107</v>
      </c>
      <c r="T24" s="9">
        <v>1.4095515958556815</v>
      </c>
      <c r="U24" s="9">
        <v>10.220130192890439</v>
      </c>
      <c r="V24" s="9">
        <v>3.4812007928503923</v>
      </c>
      <c r="W24" s="9">
        <v>6.2890781211080498</v>
      </c>
      <c r="X24" s="9">
        <v>2.2950486452364487</v>
      </c>
      <c r="Y24" s="9">
        <v>4.0168990841553098</v>
      </c>
      <c r="Z24" s="9">
        <v>1.8713037241576176</v>
      </c>
      <c r="AA24" s="9">
        <v>6.4996512549040002</v>
      </c>
      <c r="AB24" s="9">
        <v>1.9480702746172314</v>
      </c>
      <c r="AC24" s="9">
        <v>7.2854064803440348</v>
      </c>
      <c r="AD24" s="9">
        <v>3.2642845494668244</v>
      </c>
      <c r="AE24" s="9">
        <v>10.861285108001002</v>
      </c>
      <c r="AF24" s="9">
        <v>6.3098631687694091</v>
      </c>
      <c r="AG24" s="9">
        <v>9.3655580077368494</v>
      </c>
      <c r="AH24" s="9">
        <v>3.3580722172784436</v>
      </c>
      <c r="AI24" s="9">
        <v>7.2731342785325834</v>
      </c>
      <c r="AJ24" s="9">
        <v>6.9757758622540056</v>
      </c>
      <c r="AK24" s="9">
        <v>9.3926928486097729</v>
      </c>
      <c r="AL24" s="9">
        <v>3.4053675374312391</v>
      </c>
      <c r="AM24" s="9">
        <v>7.6154366931975126</v>
      </c>
      <c r="AN24" s="9">
        <v>7.6342951360507296</v>
      </c>
      <c r="AO24" s="9">
        <v>8.5719215430164741</v>
      </c>
      <c r="AP24" s="9">
        <v>3.0030180043478163</v>
      </c>
      <c r="AQ24" s="9">
        <v>6.0249543747163239</v>
      </c>
      <c r="AR24" s="9">
        <v>4.390528595328286</v>
      </c>
      <c r="AS24" s="9">
        <v>12.265523250568952</v>
      </c>
      <c r="AT24" s="9">
        <v>3.9945948647261176</v>
      </c>
      <c r="AU24" s="9">
        <v>6.2503221264841704</v>
      </c>
      <c r="AV24" s="9">
        <v>7.0372835864336771</v>
      </c>
      <c r="AW24" s="9">
        <v>11.240956916419048</v>
      </c>
      <c r="AX24" s="9">
        <f t="shared" si="5"/>
        <v>10.244916991210289</v>
      </c>
      <c r="AY24" s="9">
        <f t="shared" si="15"/>
        <v>18.278240502852725</v>
      </c>
      <c r="AZ24" s="11">
        <f t="shared" si="3"/>
        <v>28.523157494063014</v>
      </c>
      <c r="BA24" s="9">
        <v>3.7493908306482133</v>
      </c>
      <c r="BB24" s="9">
        <v>6.2373393795865448</v>
      </c>
      <c r="BC24" s="11">
        <f t="shared" si="1"/>
        <v>9.9867302102347573</v>
      </c>
      <c r="BE24" s="16">
        <f t="shared" si="4"/>
        <v>0.41911720446891754</v>
      </c>
    </row>
    <row r="25" spans="1:57" x14ac:dyDescent="0.7">
      <c r="A25" s="8" t="s">
        <v>88</v>
      </c>
      <c r="B25" s="8" t="s">
        <v>89</v>
      </c>
      <c r="C25" s="8" t="s">
        <v>89</v>
      </c>
      <c r="D25" s="8" t="s">
        <v>61</v>
      </c>
      <c r="E25" s="9">
        <v>17.201934832144037</v>
      </c>
      <c r="F25" s="9">
        <v>0.73778005010212566</v>
      </c>
      <c r="G25" s="9">
        <v>1.1604628411926916</v>
      </c>
      <c r="H25" s="9">
        <v>0.46499568397387275</v>
      </c>
      <c r="I25" s="9">
        <v>0.138205264959327</v>
      </c>
      <c r="J25" s="9">
        <v>8.7243290978225682E-2</v>
      </c>
      <c r="K25" s="9">
        <v>0.5955738429049513</v>
      </c>
      <c r="L25" s="9">
        <v>0.48995137645201875</v>
      </c>
      <c r="M25" s="9">
        <v>1.6940418068780643</v>
      </c>
      <c r="N25" s="9">
        <v>0.6497852722189249</v>
      </c>
      <c r="O25" s="9">
        <v>3.0290649288674709</v>
      </c>
      <c r="P25" s="9">
        <v>0.79069932884309935</v>
      </c>
      <c r="Q25" s="9">
        <v>1.7977949682027632</v>
      </c>
      <c r="R25" s="9">
        <v>0.5900449979530944</v>
      </c>
      <c r="S25" s="9">
        <v>2.2666505608885803</v>
      </c>
      <c r="T25" s="9">
        <v>1.4272705689519267</v>
      </c>
      <c r="U25" s="9">
        <v>3.8740995032896031</v>
      </c>
      <c r="V25" s="9">
        <v>0.89036680903410514</v>
      </c>
      <c r="W25" s="9">
        <v>1.108477213187095</v>
      </c>
      <c r="X25" s="9">
        <v>1.2371994944762388</v>
      </c>
      <c r="Y25" s="9">
        <v>6.169789450220077</v>
      </c>
      <c r="Z25" s="9">
        <v>1.6661544182918244</v>
      </c>
      <c r="AA25" s="9">
        <v>4.1855239089529714</v>
      </c>
      <c r="AB25" s="9">
        <v>2.0885468918611059</v>
      </c>
      <c r="AC25" s="9">
        <v>8.8812897710034537</v>
      </c>
      <c r="AD25" s="9">
        <v>2.3581098760572838</v>
      </c>
      <c r="AE25" s="9">
        <v>5.6738289924505265</v>
      </c>
      <c r="AF25" s="9">
        <v>4.1535993789667431</v>
      </c>
      <c r="AG25" s="9">
        <v>6.4053182283682011</v>
      </c>
      <c r="AH25" s="9">
        <v>2.1531180966317534</v>
      </c>
      <c r="AI25" s="9">
        <v>8.5044586448602697</v>
      </c>
      <c r="AJ25" s="9">
        <v>3.2269488811441707</v>
      </c>
      <c r="AK25" s="9">
        <v>5.8901965877698705</v>
      </c>
      <c r="AL25" s="9">
        <v>2.0775458770858415</v>
      </c>
      <c r="AM25" s="9">
        <v>8.7787107985663493</v>
      </c>
      <c r="AN25" s="9">
        <v>3.1977727292039413</v>
      </c>
      <c r="AO25" s="9">
        <v>6.5298181989200659</v>
      </c>
      <c r="AP25" s="9">
        <v>2.2099626929253495</v>
      </c>
      <c r="AQ25" s="9">
        <v>8.809200545355429</v>
      </c>
      <c r="AR25" s="9">
        <v>3.1071804872125477</v>
      </c>
      <c r="AS25" s="9">
        <v>6.8002212227818122</v>
      </c>
      <c r="AT25" s="9">
        <v>2.1910278597935209</v>
      </c>
      <c r="AU25" s="9">
        <v>8.1091976375559174</v>
      </c>
      <c r="AV25" s="9">
        <v>3.5269459980091526</v>
      </c>
      <c r="AW25" s="9">
        <v>3.3747633367854464</v>
      </c>
      <c r="AX25" s="9">
        <f t="shared" si="5"/>
        <v>10.300225497349437</v>
      </c>
      <c r="AY25" s="9">
        <f t="shared" si="15"/>
        <v>6.9017093347945995</v>
      </c>
      <c r="AZ25" s="11">
        <f t="shared" si="3"/>
        <v>17.201934832144037</v>
      </c>
      <c r="BA25" s="9">
        <v>1.5539747815547951</v>
      </c>
      <c r="BB25" s="9">
        <v>8.5378948815088762</v>
      </c>
      <c r="BC25" s="11">
        <f t="shared" si="1"/>
        <v>10.091869663063671</v>
      </c>
      <c r="BE25" s="16">
        <f t="shared" si="4"/>
        <v>1.8613621157682045</v>
      </c>
    </row>
    <row r="26" spans="1:57" x14ac:dyDescent="0.7">
      <c r="A26" s="8" t="s">
        <v>90</v>
      </c>
      <c r="B26" s="8" t="s">
        <v>91</v>
      </c>
      <c r="C26" s="8" t="s">
        <v>91</v>
      </c>
      <c r="D26" s="8" t="s">
        <v>61</v>
      </c>
      <c r="E26" s="9">
        <v>21.47467949813365</v>
      </c>
      <c r="F26" s="9">
        <v>1.4332026896396015</v>
      </c>
      <c r="G26" s="9">
        <v>4.1618362082613665</v>
      </c>
      <c r="H26" s="9">
        <v>0.48584758672303491</v>
      </c>
      <c r="I26" s="9">
        <v>5.5105336077659723</v>
      </c>
      <c r="J26" s="9">
        <v>1.8889544744474884</v>
      </c>
      <c r="K26" s="9">
        <v>3.1251013492556501</v>
      </c>
      <c r="L26" s="9">
        <v>0.36482044771171973</v>
      </c>
      <c r="M26" s="9">
        <v>3.9178835079576397</v>
      </c>
      <c r="N26" s="9">
        <v>1.4354677415609529</v>
      </c>
      <c r="O26" s="9">
        <v>3.0137073116260473</v>
      </c>
      <c r="P26" s="9">
        <v>3.4371758287057737</v>
      </c>
      <c r="Q26" s="9">
        <v>8.2187522977373231</v>
      </c>
      <c r="R26" s="9">
        <v>2.7859286351872727</v>
      </c>
      <c r="S26" s="9">
        <v>4.4562680492563809</v>
      </c>
      <c r="T26" s="9">
        <v>1.0429995170999879</v>
      </c>
      <c r="U26" s="9">
        <v>9.9322305539666491</v>
      </c>
      <c r="V26" s="9">
        <v>3.3089329468708923</v>
      </c>
      <c r="W26" s="9">
        <v>4.9742910420782707</v>
      </c>
      <c r="X26" s="9">
        <v>1.3462605477811649</v>
      </c>
      <c r="Y26" s="9">
        <v>7.2223654985979113</v>
      </c>
      <c r="Z26" s="9">
        <v>2.9057531539951946</v>
      </c>
      <c r="AA26" s="9">
        <v>7.2285510572273024</v>
      </c>
      <c r="AB26" s="9">
        <v>1.7045551025970449</v>
      </c>
      <c r="AC26" s="9">
        <v>9.4998740756964999</v>
      </c>
      <c r="AD26" s="9">
        <v>3.3260489973974972</v>
      </c>
      <c r="AE26" s="9">
        <v>5.9300638794709757</v>
      </c>
      <c r="AF26" s="9">
        <v>1.7041600423146421</v>
      </c>
      <c r="AG26" s="9">
        <v>9.9781140480403945</v>
      </c>
      <c r="AH26" s="9">
        <v>3.5620659675106241</v>
      </c>
      <c r="AI26" s="9">
        <v>6.7647628438507441</v>
      </c>
      <c r="AJ26" s="9">
        <v>2.8866238100277246</v>
      </c>
      <c r="AK26" s="9">
        <v>8.8422916884670411</v>
      </c>
      <c r="AL26" s="9">
        <v>3.3109858257492482</v>
      </c>
      <c r="AM26" s="9">
        <v>7.1071951823822461</v>
      </c>
      <c r="AN26" s="9">
        <v>2.6946590410309508</v>
      </c>
      <c r="AO26" s="9">
        <v>7.5723000734431496</v>
      </c>
      <c r="AP26" s="9">
        <v>3.0419030001902452</v>
      </c>
      <c r="AQ26" s="9">
        <v>7.5610128740747768</v>
      </c>
      <c r="AR26" s="9">
        <v>2.1686767723875167</v>
      </c>
      <c r="AS26" s="9">
        <v>6.442928358662833</v>
      </c>
      <c r="AT26" s="9">
        <v>2.8658507953553185</v>
      </c>
      <c r="AU26" s="9">
        <v>8.4612355762978204</v>
      </c>
      <c r="AV26" s="9">
        <v>2.7675605761736692</v>
      </c>
      <c r="AW26" s="9">
        <v>7.3800325503068436</v>
      </c>
      <c r="AX26" s="9">
        <f t="shared" si="5"/>
        <v>11.327086371653138</v>
      </c>
      <c r="AY26" s="9">
        <f t="shared" si="15"/>
        <v>10.147593126480512</v>
      </c>
      <c r="AZ26" s="11">
        <f t="shared" si="3"/>
        <v>21.47467949813365</v>
      </c>
      <c r="BA26" s="9">
        <v>3.1339281019500289</v>
      </c>
      <c r="BB26" s="9">
        <v>8.5372268472143187</v>
      </c>
      <c r="BC26" s="11">
        <f t="shared" si="1"/>
        <v>11.671154949164347</v>
      </c>
      <c r="BE26" s="16">
        <f t="shared" si="4"/>
        <v>3.2171271876189502</v>
      </c>
    </row>
    <row r="27" spans="1:57" x14ac:dyDescent="0.7">
      <c r="A27" s="8" t="s">
        <v>92</v>
      </c>
      <c r="B27" s="8" t="s">
        <v>93</v>
      </c>
      <c r="C27" s="8" t="s">
        <v>93</v>
      </c>
      <c r="D27" s="8" t="s">
        <v>61</v>
      </c>
      <c r="E27" s="9">
        <v>42.877696825069862</v>
      </c>
      <c r="F27" s="9">
        <v>1.9963975265846337</v>
      </c>
      <c r="G27" s="9">
        <v>4.8170794577162068</v>
      </c>
      <c r="H27" s="9">
        <v>1.9045225318216625</v>
      </c>
      <c r="I27" s="9">
        <v>3.0617011562893701</v>
      </c>
      <c r="J27" s="9">
        <v>1.6233412201187785</v>
      </c>
      <c r="K27" s="9">
        <v>4.6762089715100998</v>
      </c>
      <c r="L27" s="9">
        <v>2.2533858256939445</v>
      </c>
      <c r="M27" s="9">
        <v>6.161979124009572</v>
      </c>
      <c r="N27" s="9">
        <v>3.3975348419303883</v>
      </c>
      <c r="O27" s="9">
        <v>10.054192275498185</v>
      </c>
      <c r="P27" s="9">
        <v>3.4547936776011374</v>
      </c>
      <c r="Q27" s="9">
        <v>5.3771170735245457</v>
      </c>
      <c r="R27" s="9">
        <v>2.3706567045725313</v>
      </c>
      <c r="S27" s="9">
        <v>5.5869029401878336</v>
      </c>
      <c r="T27" s="9">
        <v>1.832269841931585</v>
      </c>
      <c r="U27" s="9">
        <v>7.7402796152752407</v>
      </c>
      <c r="V27" s="9">
        <v>2.7545457053386331</v>
      </c>
      <c r="W27" s="9">
        <v>4.5610540569305664</v>
      </c>
      <c r="X27" s="9">
        <v>2.4636220481613922</v>
      </c>
      <c r="Y27" s="9">
        <v>22.344139185179323</v>
      </c>
      <c r="Z27" s="9">
        <v>8.447835450670695</v>
      </c>
      <c r="AA27" s="9">
        <v>15.616460816775893</v>
      </c>
      <c r="AB27" s="9">
        <v>3.0890172113938084</v>
      </c>
      <c r="AC27" s="9">
        <v>6.8466237610056213</v>
      </c>
      <c r="AD27" s="9">
        <v>5.9618761209129767</v>
      </c>
      <c r="AE27" s="9">
        <v>22.810286225851549</v>
      </c>
      <c r="AF27" s="9">
        <v>6.0492547556977767</v>
      </c>
      <c r="AG27" s="9">
        <v>10.503291779633422</v>
      </c>
      <c r="AH27" s="9">
        <v>6.8130684614016328</v>
      </c>
      <c r="AI27" s="9">
        <v>22.512609689968158</v>
      </c>
      <c r="AJ27" s="9">
        <v>5.4124329892132179</v>
      </c>
      <c r="AK27" s="9">
        <v>10.593435705150567</v>
      </c>
      <c r="AL27" s="9">
        <v>7.0686381728966499</v>
      </c>
      <c r="AM27" s="9">
        <v>7.166439100598307</v>
      </c>
      <c r="AN27" s="9">
        <v>8.8165532707575487</v>
      </c>
      <c r="AO27" s="9">
        <v>10.721369210855888</v>
      </c>
      <c r="AP27" s="9">
        <v>6.0778374123985701</v>
      </c>
      <c r="AQ27" s="9">
        <v>18.441355664150759</v>
      </c>
      <c r="AR27" s="9">
        <v>7.6546912569453625</v>
      </c>
      <c r="AS27" s="9">
        <v>6.2643925810336931</v>
      </c>
      <c r="AT27" s="9">
        <v>4.6216872178876267</v>
      </c>
      <c r="AU27" s="9">
        <v>16.648498331445087</v>
      </c>
      <c r="AV27" s="9">
        <v>9.7267568461549914</v>
      </c>
      <c r="AW27" s="9">
        <v>11.880754429582154</v>
      </c>
      <c r="AX27" s="9">
        <f t="shared" si="5"/>
        <v>21.270185549332712</v>
      </c>
      <c r="AY27" s="9">
        <f t="shared" si="15"/>
        <v>21.607511275737146</v>
      </c>
      <c r="AZ27" s="11">
        <f t="shared" si="3"/>
        <v>42.877696825069862</v>
      </c>
      <c r="BA27" s="9">
        <v>6.156241181672728</v>
      </c>
      <c r="BB27" s="9">
        <v>17.096142140009189</v>
      </c>
      <c r="BC27" s="11">
        <f t="shared" si="1"/>
        <v>23.252383321681918</v>
      </c>
      <c r="BE27" s="16">
        <f t="shared" si="4"/>
        <v>1.3905587123701606</v>
      </c>
    </row>
    <row r="28" spans="1:57" x14ac:dyDescent="0.7">
      <c r="A28" s="8" t="s">
        <v>94</v>
      </c>
      <c r="B28" s="8" t="s">
        <v>95</v>
      </c>
      <c r="C28" s="8" t="s">
        <v>95</v>
      </c>
      <c r="D28" s="8" t="s">
        <v>61</v>
      </c>
      <c r="E28" s="9">
        <v>59.108155289921399</v>
      </c>
      <c r="F28" s="9">
        <v>12.355046985365698</v>
      </c>
      <c r="G28" s="9">
        <v>20.297369263222276</v>
      </c>
      <c r="H28" s="9">
        <v>12.33916613409769</v>
      </c>
      <c r="I28" s="9">
        <v>34.288926646331191</v>
      </c>
      <c r="J28" s="9">
        <v>16.549583953234489</v>
      </c>
      <c r="K28" s="9">
        <v>41.595191274196864</v>
      </c>
      <c r="L28" s="9">
        <v>17.692492990989845</v>
      </c>
      <c r="M28" s="9">
        <v>42.456070394018099</v>
      </c>
      <c r="N28" s="9">
        <v>16.359781825952897</v>
      </c>
      <c r="O28" s="9">
        <v>28.234085966088067</v>
      </c>
      <c r="P28" s="9">
        <v>39.502016917735837</v>
      </c>
      <c r="Q28" s="9">
        <v>27.156222596702193</v>
      </c>
      <c r="R28" s="9">
        <v>10.7842028603497</v>
      </c>
      <c r="S28" s="9">
        <v>19.330786446876495</v>
      </c>
      <c r="T28" s="9">
        <v>9.8483729497649293</v>
      </c>
      <c r="U28" s="9">
        <v>26.270386760139246</v>
      </c>
      <c r="V28" s="9">
        <v>11.188813898938273</v>
      </c>
      <c r="W28" s="9">
        <v>23.219106935199164</v>
      </c>
      <c r="X28" s="9">
        <v>13.168995433628046</v>
      </c>
      <c r="Y28" s="9">
        <v>25.016431548195037</v>
      </c>
      <c r="Z28" s="9">
        <v>11.020912179628706</v>
      </c>
      <c r="AA28" s="9">
        <v>24.221069967520584</v>
      </c>
      <c r="AB28" s="9">
        <v>12.255182916468536</v>
      </c>
      <c r="AC28" s="9">
        <v>19.859148917770113</v>
      </c>
      <c r="AD28" s="9">
        <v>8.7890843327115356</v>
      </c>
      <c r="AE28" s="9">
        <v>19.614140226069772</v>
      </c>
      <c r="AF28" s="9">
        <v>13.795754915779654</v>
      </c>
      <c r="AG28" s="9">
        <v>18.882248904026568</v>
      </c>
      <c r="AH28" s="9">
        <v>8.8200108535899737</v>
      </c>
      <c r="AI28" s="9">
        <v>21.406161645500536</v>
      </c>
      <c r="AJ28" s="9">
        <v>15.060100459322687</v>
      </c>
      <c r="AK28" s="9">
        <v>16.893177476586214</v>
      </c>
      <c r="AL28" s="9">
        <v>7.7951992650442721</v>
      </c>
      <c r="AM28" s="9">
        <v>18.55301237441752</v>
      </c>
      <c r="AN28" s="9">
        <v>12.312457340751482</v>
      </c>
      <c r="AO28" s="9">
        <v>14.37029185077486</v>
      </c>
      <c r="AP28" s="9">
        <v>7.3249050414788979</v>
      </c>
      <c r="AQ28" s="9">
        <v>20.014923224628028</v>
      </c>
      <c r="AR28" s="9">
        <v>16.127610719333873</v>
      </c>
      <c r="AS28" s="9">
        <v>16.142624713191715</v>
      </c>
      <c r="AT28" s="9">
        <v>7.5361967450024565</v>
      </c>
      <c r="AU28" s="9">
        <v>18.290398694179345</v>
      </c>
      <c r="AV28" s="9">
        <v>13.243663545405154</v>
      </c>
      <c r="AW28" s="9">
        <v>20.037896305334446</v>
      </c>
      <c r="AX28" s="9">
        <f t="shared" si="5"/>
        <v>25.826595439181801</v>
      </c>
      <c r="AY28" s="9">
        <f t="shared" si="15"/>
        <v>33.281559850739598</v>
      </c>
      <c r="AZ28" s="11">
        <f t="shared" si="3"/>
        <v>59.108155289921399</v>
      </c>
      <c r="BA28" s="9">
        <v>8.5379431313521081</v>
      </c>
      <c r="BB28" s="9">
        <v>17.440976749014421</v>
      </c>
      <c r="BC28" s="11">
        <f t="shared" si="1"/>
        <v>25.978919880366529</v>
      </c>
      <c r="BE28" s="16">
        <f t="shared" si="4"/>
        <v>0.96161128612934532</v>
      </c>
    </row>
    <row r="29" spans="1:57" x14ac:dyDescent="0.7">
      <c r="A29" s="8" t="s">
        <v>96</v>
      </c>
      <c r="B29" s="8" t="s">
        <v>97</v>
      </c>
      <c r="C29" s="8" t="s">
        <v>97</v>
      </c>
      <c r="D29" s="8" t="s">
        <v>61</v>
      </c>
      <c r="E29" s="9">
        <v>33.845727738044971</v>
      </c>
      <c r="F29" s="9">
        <v>3.4702988925849287</v>
      </c>
      <c r="G29" s="9">
        <v>13.745624113194921</v>
      </c>
      <c r="H29" s="9">
        <v>9.7866967990785572</v>
      </c>
      <c r="I29" s="9">
        <v>10.309972016333521</v>
      </c>
      <c r="J29" s="9">
        <v>2.9610702728985832</v>
      </c>
      <c r="K29" s="9">
        <v>11.430576255083835</v>
      </c>
      <c r="L29" s="9">
        <v>11.818259768791089</v>
      </c>
      <c r="M29" s="9">
        <v>6.0462056239873245</v>
      </c>
      <c r="N29" s="9">
        <v>2.7974320125186267</v>
      </c>
      <c r="O29" s="9">
        <v>13.468671382242253</v>
      </c>
      <c r="P29" s="9">
        <v>1.1425052145394394</v>
      </c>
      <c r="Q29" s="9">
        <v>5.662895368274441</v>
      </c>
      <c r="R29" s="9">
        <v>4.9170968656854646</v>
      </c>
      <c r="S29" s="9">
        <v>28.392235327322791</v>
      </c>
      <c r="T29" s="9">
        <v>8.0874684436147923</v>
      </c>
      <c r="U29" s="9">
        <v>12.74358210535144</v>
      </c>
      <c r="V29" s="9">
        <v>4.6172497713164846</v>
      </c>
      <c r="W29" s="9">
        <v>20.213063833853795</v>
      </c>
      <c r="X29" s="9">
        <v>9.0451140195458422</v>
      </c>
      <c r="Y29" s="9">
        <v>8.3264228404678491</v>
      </c>
      <c r="Z29" s="9">
        <v>2.7865578819654355</v>
      </c>
      <c r="AA29" s="9">
        <v>11.683924270810435</v>
      </c>
      <c r="AB29" s="9">
        <v>6.2222829561763122</v>
      </c>
      <c r="AC29" s="9">
        <v>7.6271194220460732</v>
      </c>
      <c r="AD29" s="9">
        <v>2.8570639311402779</v>
      </c>
      <c r="AE29" s="9">
        <v>12.820767821030595</v>
      </c>
      <c r="AF29" s="9">
        <v>7.0860608860358489</v>
      </c>
      <c r="AG29" s="9">
        <v>8.502363580156457</v>
      </c>
      <c r="AH29" s="9">
        <v>2.9272522992645822</v>
      </c>
      <c r="AI29" s="9">
        <v>12.520160432556647</v>
      </c>
      <c r="AJ29" s="9">
        <v>7.0777526379517024</v>
      </c>
      <c r="AK29" s="9">
        <v>8.0544275096953708</v>
      </c>
      <c r="AL29" s="9">
        <v>2.901684354219336</v>
      </c>
      <c r="AM29" s="9">
        <v>12.75840779235874</v>
      </c>
      <c r="AN29" s="9">
        <v>7.3435130736042646</v>
      </c>
      <c r="AO29" s="9">
        <v>8.4158657591098933</v>
      </c>
      <c r="AP29" s="9">
        <v>3.25940763605655</v>
      </c>
      <c r="AQ29" s="9">
        <v>15.074360759157679</v>
      </c>
      <c r="AR29" s="9">
        <v>11.494665352258259</v>
      </c>
      <c r="AS29" s="9">
        <v>11.175953237232756</v>
      </c>
      <c r="AT29" s="9">
        <v>3.5173174017690325</v>
      </c>
      <c r="AU29" s="9">
        <v>14.243569853957842</v>
      </c>
      <c r="AV29" s="9">
        <v>9.2617013373433608</v>
      </c>
      <c r="AW29" s="9">
        <v>6.8231391449747374</v>
      </c>
      <c r="AX29" s="9">
        <f t="shared" si="5"/>
        <v>17.760887255726875</v>
      </c>
      <c r="AY29" s="9">
        <f t="shared" si="15"/>
        <v>16.0848404823181</v>
      </c>
      <c r="AZ29" s="11">
        <f t="shared" si="3"/>
        <v>33.845727738044971</v>
      </c>
      <c r="BA29" s="9">
        <v>2.9761487889055114</v>
      </c>
      <c r="BB29" s="9">
        <v>13.983822337527755</v>
      </c>
      <c r="BC29" s="11">
        <f t="shared" si="1"/>
        <v>16.959971126433267</v>
      </c>
      <c r="BE29" s="16">
        <f t="shared" si="4"/>
        <v>0.83119391445396018</v>
      </c>
    </row>
    <row r="30" spans="1:57" x14ac:dyDescent="0.7">
      <c r="A30" s="8" t="s">
        <v>98</v>
      </c>
      <c r="B30" s="8" t="s">
        <v>99</v>
      </c>
      <c r="C30" s="8" t="s">
        <v>99</v>
      </c>
      <c r="D30" s="8" t="s">
        <v>61</v>
      </c>
      <c r="E30" s="9">
        <v>74.025181080549515</v>
      </c>
      <c r="F30" s="9">
        <v>0.15336824919935307</v>
      </c>
      <c r="G30" s="9">
        <v>1.2354366101707244</v>
      </c>
      <c r="H30" s="9">
        <v>0.14903582182721428</v>
      </c>
      <c r="I30" s="9">
        <v>1.4351579595538608</v>
      </c>
      <c r="J30" s="9">
        <v>0.67727397252947097</v>
      </c>
      <c r="K30" s="9">
        <v>1.457420356757873</v>
      </c>
      <c r="L30" s="9">
        <v>0.17581463818455695</v>
      </c>
      <c r="M30" s="9">
        <v>0</v>
      </c>
      <c r="N30" s="9">
        <v>0</v>
      </c>
      <c r="O30" s="9">
        <v>0</v>
      </c>
      <c r="P30" s="9">
        <v>0</v>
      </c>
      <c r="Q30" s="9">
        <v>5.5827516843124041</v>
      </c>
      <c r="R30" s="9">
        <v>3.0340045690888076</v>
      </c>
      <c r="S30" s="9">
        <v>8.9689040269176505</v>
      </c>
      <c r="T30" s="9">
        <v>3.6826744658070392</v>
      </c>
      <c r="U30" s="9">
        <v>5.0795513242351094</v>
      </c>
      <c r="V30" s="9">
        <v>3.9154019669999949</v>
      </c>
      <c r="W30" s="9">
        <v>17.521124784524378</v>
      </c>
      <c r="X30" s="9">
        <v>6.3092263905911068</v>
      </c>
      <c r="Y30" s="9">
        <v>33.081597610601797</v>
      </c>
      <c r="Z30" s="9">
        <v>13.424700570443596</v>
      </c>
      <c r="AA30" s="9">
        <v>16.170199780685145</v>
      </c>
      <c r="AB30" s="9">
        <v>8.0559857379128648</v>
      </c>
      <c r="AC30" s="9">
        <v>27.62169335610098</v>
      </c>
      <c r="AD30" s="9">
        <v>13.969557308408984</v>
      </c>
      <c r="AE30" s="9">
        <v>35.910618902319726</v>
      </c>
      <c r="AF30" s="9">
        <v>14.884618265091625</v>
      </c>
      <c r="AG30" s="9">
        <v>24.919395772678001</v>
      </c>
      <c r="AH30" s="9">
        <v>12.019501393526852</v>
      </c>
      <c r="AI30" s="9">
        <v>27.677532036540264</v>
      </c>
      <c r="AJ30" s="9">
        <v>12.208985897701238</v>
      </c>
      <c r="AK30" s="9">
        <v>19.066256336507681</v>
      </c>
      <c r="AL30" s="9">
        <v>10.927501591518716</v>
      </c>
      <c r="AM30" s="9">
        <v>17.565310375365012</v>
      </c>
      <c r="AN30" s="9">
        <v>11.304129287597947</v>
      </c>
      <c r="AO30" s="9">
        <v>21.385212770807684</v>
      </c>
      <c r="AP30" s="9">
        <v>8.155309780250283</v>
      </c>
      <c r="AQ30" s="9">
        <v>7.5671672442266082</v>
      </c>
      <c r="AR30" s="9">
        <v>46.869889976438188</v>
      </c>
      <c r="AS30" s="9">
        <v>28.688870429417605</v>
      </c>
      <c r="AT30" s="9">
        <v>12.845019231468269</v>
      </c>
      <c r="AU30" s="9">
        <v>23.823295631530396</v>
      </c>
      <c r="AV30" s="9">
        <v>11.663432318351672</v>
      </c>
      <c r="AW30" s="9">
        <v>25.693433899199174</v>
      </c>
      <c r="AX30" s="9">
        <f t="shared" si="5"/>
        <v>36.668314862998663</v>
      </c>
      <c r="AY30" s="9">
        <f t="shared" si="15"/>
        <v>37.356866217550845</v>
      </c>
      <c r="AZ30" s="11">
        <f t="shared" si="3"/>
        <v>74.025181080549515</v>
      </c>
      <c r="BA30" s="9">
        <v>11.654175882418707</v>
      </c>
      <c r="BB30" s="9">
        <v>22.298192462511064</v>
      </c>
      <c r="BC30" s="11">
        <f t="shared" si="1"/>
        <v>33.952368344929774</v>
      </c>
      <c r="BE30" s="16">
        <f t="shared" si="4"/>
        <v>1.911010019881358</v>
      </c>
    </row>
    <row r="31" spans="1:57" ht="12" customHeight="1" x14ac:dyDescent="0.7">
      <c r="A31" s="8" t="s">
        <v>106</v>
      </c>
      <c r="B31" s="8" t="s">
        <v>107</v>
      </c>
      <c r="C31" s="8" t="s">
        <v>107</v>
      </c>
      <c r="D31" s="8" t="s">
        <v>62</v>
      </c>
      <c r="E31" s="9">
        <v>5.6874725340246499</v>
      </c>
      <c r="F31" s="9">
        <v>4.2667810497335603</v>
      </c>
      <c r="G31" s="9">
        <v>2.611263847936502</v>
      </c>
      <c r="H31" s="9">
        <v>0.26355510668309368</v>
      </c>
      <c r="I31" s="9">
        <v>0.38371993154728196</v>
      </c>
      <c r="J31" s="9">
        <v>0.38371993154728196</v>
      </c>
      <c r="K31" s="9">
        <v>0.81216647553378585</v>
      </c>
      <c r="L31" s="9">
        <v>8.1972039046490155E-2</v>
      </c>
      <c r="M31" s="9">
        <v>2.5740883699740609</v>
      </c>
      <c r="N31" s="9">
        <v>2.5740883699740609</v>
      </c>
      <c r="O31" s="9">
        <v>2.0327836179320862</v>
      </c>
      <c r="P31" s="9">
        <v>0.20516904245854053</v>
      </c>
      <c r="Q31" s="9">
        <v>2.3693370907949056</v>
      </c>
      <c r="R31" s="9">
        <v>2.3693370907949056</v>
      </c>
      <c r="S31" s="9">
        <v>0.5414805417364581</v>
      </c>
      <c r="T31" s="9">
        <v>5.4651682194790545E-2</v>
      </c>
      <c r="U31" s="9">
        <v>0.81048927031638152</v>
      </c>
      <c r="V31" s="9">
        <v>0.81048927031638152</v>
      </c>
      <c r="W31" s="9">
        <v>3.1441083267199916</v>
      </c>
      <c r="X31" s="9">
        <v>0.31733515022877179</v>
      </c>
      <c r="Y31" s="9">
        <v>0.9959099161547148</v>
      </c>
      <c r="Z31" s="9">
        <v>0.9959099161547148</v>
      </c>
      <c r="AA31" s="9">
        <v>3.5017791007863948</v>
      </c>
      <c r="AB31" s="9">
        <v>0.3534348952204498</v>
      </c>
      <c r="AC31" s="9">
        <v>1.1995602457265178</v>
      </c>
      <c r="AD31" s="9">
        <v>1.1995602457265178</v>
      </c>
      <c r="AE31" s="9">
        <v>3.888326919467906</v>
      </c>
      <c r="AF31" s="9">
        <v>0.39244920305120723</v>
      </c>
      <c r="AG31" s="9">
        <v>1.6300513617362662</v>
      </c>
      <c r="AH31" s="9">
        <v>1.6300513617362662</v>
      </c>
      <c r="AI31" s="9">
        <v>4.2651399042857676</v>
      </c>
      <c r="AJ31" s="9">
        <v>0.43048097318110995</v>
      </c>
      <c r="AK31" s="9">
        <v>1.0813455646619348</v>
      </c>
      <c r="AL31" s="9">
        <v>1.0813455646619348</v>
      </c>
      <c r="AM31" s="9">
        <v>4.3449475607153527</v>
      </c>
      <c r="AN31" s="9">
        <v>0.43853596747862167</v>
      </c>
      <c r="AO31" s="9">
        <v>0.69140397334970061</v>
      </c>
      <c r="AP31" s="9">
        <v>0.69140397334970061</v>
      </c>
      <c r="AQ31" s="9">
        <v>3.495325885836114</v>
      </c>
      <c r="AR31" s="9">
        <v>0.35278357162631574</v>
      </c>
      <c r="AS31" s="9">
        <v>0.60433467526477458</v>
      </c>
      <c r="AT31" s="9">
        <v>0.60433467526477458</v>
      </c>
      <c r="AU31" s="9">
        <v>3.7687389020188284</v>
      </c>
      <c r="AV31" s="9">
        <v>0.38037917316061692</v>
      </c>
      <c r="AW31" s="9">
        <v>0.93401978358043036</v>
      </c>
      <c r="AX31" s="9">
        <f t="shared" si="5"/>
        <v>4.3730735772836029</v>
      </c>
      <c r="AY31" s="9">
        <f t="shared" si="15"/>
        <v>1.3143989567410472</v>
      </c>
      <c r="AZ31" s="11">
        <f>SUM(AT31:AW31)</f>
        <v>5.6874725340246499</v>
      </c>
      <c r="BA31" s="9">
        <v>0.93401978358043036</v>
      </c>
      <c r="BB31" s="9">
        <v>3.3875984577038385</v>
      </c>
      <c r="BC31" s="11">
        <f>SUM(BA31:BB31)</f>
        <v>4.321618241284269</v>
      </c>
      <c r="BE31" s="16">
        <f t="shared" si="4"/>
        <v>10.361342960434495</v>
      </c>
    </row>
    <row r="32" spans="1:57" ht="14.75" x14ac:dyDescent="0.75">
      <c r="C32" s="14" t="s">
        <v>130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15">
        <f>SUM(AT33:AT35)</f>
        <v>162.66360785049574</v>
      </c>
      <c r="AU32" s="15">
        <f>SUM(AU33:AU35)</f>
        <v>40.2833916144357</v>
      </c>
      <c r="AV32" s="15">
        <f t="shared" ref="AV32:AY32" si="20">SUM(AV33:AV35)</f>
        <v>40.744118115276066</v>
      </c>
      <c r="AW32" s="15">
        <f t="shared" si="20"/>
        <v>108.34982920667312</v>
      </c>
      <c r="AX32" s="15">
        <f t="shared" si="20"/>
        <v>202.94699946493142</v>
      </c>
      <c r="AY32" s="15">
        <f t="shared" si="20"/>
        <v>149.0939473219492</v>
      </c>
      <c r="AZ32" s="15">
        <f>SUM(AZ33:AZ35)</f>
        <v>352.04094678688062</v>
      </c>
      <c r="BA32" s="15">
        <f t="shared" ref="BA32:BB32" si="21">SUM(BA33:BA35)</f>
        <v>163.48050028322996</v>
      </c>
      <c r="BB32" s="15">
        <f t="shared" si="21"/>
        <v>41.136374178993599</v>
      </c>
      <c r="BC32" s="15">
        <f>SUM(BC33:BC35)</f>
        <v>204.61687446222356</v>
      </c>
      <c r="BE32" s="16">
        <f t="shared" si="4"/>
        <v>4.0219978717739675</v>
      </c>
    </row>
    <row r="33" spans="1:57" ht="12" customHeight="1" x14ac:dyDescent="0.7">
      <c r="A33" s="8" t="s">
        <v>100</v>
      </c>
      <c r="B33" s="8" t="s">
        <v>101</v>
      </c>
      <c r="C33" s="8" t="s">
        <v>101</v>
      </c>
      <c r="D33" s="8" t="s">
        <v>62</v>
      </c>
      <c r="E33" s="9">
        <v>77.192479309695898</v>
      </c>
      <c r="F33" s="9">
        <v>31.897025711546302</v>
      </c>
      <c r="G33" s="9">
        <v>6.7282263956516308</v>
      </c>
      <c r="H33" s="9">
        <v>6.8051780146662422</v>
      </c>
      <c r="I33" s="9">
        <v>19.131546238066456</v>
      </c>
      <c r="J33" s="9">
        <v>33.985379615500392</v>
      </c>
      <c r="K33" s="9">
        <v>7.1936795891815137</v>
      </c>
      <c r="L33" s="9">
        <v>7.2759546581978638</v>
      </c>
      <c r="M33" s="9">
        <v>19.925975854839859</v>
      </c>
      <c r="N33" s="9">
        <v>37.026291038933493</v>
      </c>
      <c r="O33" s="9">
        <v>8.2716292996086</v>
      </c>
      <c r="P33" s="9">
        <v>8.3662330226499275</v>
      </c>
      <c r="Q33" s="9">
        <v>17.141871172063446</v>
      </c>
      <c r="R33" s="9">
        <v>29.118210698262189</v>
      </c>
      <c r="S33" s="9">
        <v>5.8517624927907308</v>
      </c>
      <c r="T33" s="9">
        <v>5.9186898777253765</v>
      </c>
      <c r="U33" s="9">
        <v>16.345701700492601</v>
      </c>
      <c r="V33" s="9">
        <v>29.13483643537236</v>
      </c>
      <c r="W33" s="9">
        <v>6.1948166263011055</v>
      </c>
      <c r="X33" s="9">
        <v>6.2656675669294666</v>
      </c>
      <c r="Y33" s="9">
        <v>16.971124585079885</v>
      </c>
      <c r="Z33" s="9">
        <v>29.69159556257863</v>
      </c>
      <c r="AA33" s="9">
        <v>6.1683509061816642</v>
      </c>
      <c r="AB33" s="9">
        <v>6.2388991548535113</v>
      </c>
      <c r="AC33" s="9">
        <v>17.912483253052844</v>
      </c>
      <c r="AD33" s="9">
        <v>32.092459016307821</v>
      </c>
      <c r="AE33" s="9">
        <v>6.8627120214098403</v>
      </c>
      <c r="AF33" s="9">
        <v>6.9412017703903182</v>
      </c>
      <c r="AG33" s="9">
        <v>18.74774117715776</v>
      </c>
      <c r="AH33" s="9">
        <v>33.888420363244435</v>
      </c>
      <c r="AI33" s="9">
        <v>7.3326810406577225</v>
      </c>
      <c r="AJ33" s="9">
        <v>7.4165458877385246</v>
      </c>
      <c r="AK33" s="9">
        <v>19.577560341611402</v>
      </c>
      <c r="AL33" s="9">
        <v>35.07767172938901</v>
      </c>
      <c r="AM33" s="9">
        <v>7.5123258157109607</v>
      </c>
      <c r="AN33" s="9">
        <v>7.5982452839467234</v>
      </c>
      <c r="AO33" s="9">
        <v>20.11000858484017</v>
      </c>
      <c r="AP33" s="9">
        <v>36.591090386379683</v>
      </c>
      <c r="AQ33" s="9">
        <v>7.9826054974897573</v>
      </c>
      <c r="AR33" s="9">
        <v>8.07390361691448</v>
      </c>
      <c r="AS33" s="9">
        <v>21.587491494753593</v>
      </c>
      <c r="AT33" s="9">
        <v>39.004478741361027</v>
      </c>
      <c r="AU33" s="9">
        <v>8.4367033777380165</v>
      </c>
      <c r="AV33" s="9">
        <v>8.5331950749381189</v>
      </c>
      <c r="AW33" s="9">
        <v>21.218102115658741</v>
      </c>
      <c r="AX33" s="9">
        <f t="shared" si="5"/>
        <v>47.441182119099039</v>
      </c>
      <c r="AY33" s="9">
        <f t="shared" si="15"/>
        <v>29.751297190596858</v>
      </c>
      <c r="AZ33" s="11">
        <f t="shared" si="3"/>
        <v>77.192479309695898</v>
      </c>
      <c r="BA33" s="9">
        <v>39.11350758123492</v>
      </c>
      <c r="BB33" s="9">
        <v>8.6727070977075158</v>
      </c>
      <c r="BC33" s="11">
        <f t="shared" si="1"/>
        <v>47.786214678942436</v>
      </c>
      <c r="BE33" s="17">
        <f t="shared" si="4"/>
        <v>4.6000377653723064</v>
      </c>
    </row>
    <row r="34" spans="1:57" ht="12" customHeight="1" x14ac:dyDescent="0.7">
      <c r="A34" s="8" t="s">
        <v>102</v>
      </c>
      <c r="B34" s="8" t="s">
        <v>103</v>
      </c>
      <c r="C34" s="8" t="s">
        <v>103</v>
      </c>
      <c r="D34" s="8" t="s">
        <v>62</v>
      </c>
      <c r="E34" s="9">
        <v>223.19552767854248</v>
      </c>
      <c r="F34" s="9">
        <v>68.518474166882697</v>
      </c>
      <c r="G34" s="9">
        <v>19.325592715480656</v>
      </c>
      <c r="H34" s="9">
        <v>19.546622086435576</v>
      </c>
      <c r="I34" s="9">
        <v>48.49107142906756</v>
      </c>
      <c r="J34" s="9">
        <v>68.244608656609032</v>
      </c>
      <c r="K34" s="9">
        <v>18.834276683964497</v>
      </c>
      <c r="L34" s="9">
        <v>19.049686808204196</v>
      </c>
      <c r="M34" s="9">
        <v>48.560347262609646</v>
      </c>
      <c r="N34" s="9">
        <v>62.727438218793232</v>
      </c>
      <c r="O34" s="9">
        <v>16.182497803790902</v>
      </c>
      <c r="P34" s="9">
        <v>16.367579180735483</v>
      </c>
      <c r="Q34" s="9">
        <v>52.227533873514808</v>
      </c>
      <c r="R34" s="9">
        <v>63.267771205426811</v>
      </c>
      <c r="S34" s="9">
        <v>15.362196609570647</v>
      </c>
      <c r="T34" s="9">
        <v>15.537896092794224</v>
      </c>
      <c r="U34" s="9">
        <v>51.815397890131372</v>
      </c>
      <c r="V34" s="9">
        <v>66.919422776008261</v>
      </c>
      <c r="W34" s="9">
        <v>17.209588614555702</v>
      </c>
      <c r="X34" s="9">
        <v>17.406416965534103</v>
      </c>
      <c r="Y34" s="9">
        <v>58.232908383939225</v>
      </c>
      <c r="Z34" s="9">
        <v>71.60186241995568</v>
      </c>
      <c r="AA34" s="9">
        <v>17.623823193996124</v>
      </c>
      <c r="AB34" s="9">
        <v>17.825389200883425</v>
      </c>
      <c r="AC34" s="9">
        <v>64.130854609037797</v>
      </c>
      <c r="AD34" s="9">
        <v>80.050924306118986</v>
      </c>
      <c r="AE34" s="9">
        <v>19.964226328651126</v>
      </c>
      <c r="AF34" s="9">
        <v>20.192559837071215</v>
      </c>
      <c r="AG34" s="9">
        <v>67.603391237383633</v>
      </c>
      <c r="AH34" s="9">
        <v>84.999528176774149</v>
      </c>
      <c r="AI34" s="9">
        <v>21.352675830972924</v>
      </c>
      <c r="AJ34" s="9">
        <v>21.596889220782373</v>
      </c>
      <c r="AK34" s="9">
        <v>69.649780590904271</v>
      </c>
      <c r="AL34" s="9">
        <v>87.386261743123143</v>
      </c>
      <c r="AM34" s="9">
        <v>21.918908896216127</v>
      </c>
      <c r="AN34" s="9">
        <v>22.169598368806948</v>
      </c>
      <c r="AO34" s="9">
        <v>70.982108735408374</v>
      </c>
      <c r="AP34" s="9">
        <v>92.613474435493586</v>
      </c>
      <c r="AQ34" s="9">
        <v>24.032666726933435</v>
      </c>
      <c r="AR34" s="9">
        <v>24.307531528610038</v>
      </c>
      <c r="AS34" s="9">
        <v>75.100482663400257</v>
      </c>
      <c r="AT34" s="9">
        <v>97.28070162619693</v>
      </c>
      <c r="AU34" s="9">
        <v>25.100008867434536</v>
      </c>
      <c r="AV34" s="9">
        <v>25.387081002949834</v>
      </c>
      <c r="AW34" s="9">
        <v>75.42773618196118</v>
      </c>
      <c r="AX34" s="9">
        <f t="shared" si="5"/>
        <v>122.38071049363147</v>
      </c>
      <c r="AY34" s="9">
        <f t="shared" si="15"/>
        <v>100.81481718491102</v>
      </c>
      <c r="AZ34" s="11">
        <f t="shared" si="3"/>
        <v>223.19552767854248</v>
      </c>
      <c r="BA34" s="9">
        <v>98.622798082324152</v>
      </c>
      <c r="BB34" s="9">
        <v>25.657005651046383</v>
      </c>
      <c r="BC34" s="11">
        <f t="shared" si="1"/>
        <v>124.27980373337053</v>
      </c>
      <c r="BE34" s="17">
        <f t="shared" si="4"/>
        <v>3.8953955643395917</v>
      </c>
    </row>
    <row r="35" spans="1:57" ht="12" customHeight="1" x14ac:dyDescent="0.7">
      <c r="A35" s="8" t="s">
        <v>104</v>
      </c>
      <c r="B35" s="8" t="s">
        <v>105</v>
      </c>
      <c r="C35" s="8" t="s">
        <v>105</v>
      </c>
      <c r="D35" s="8" t="s">
        <v>62</v>
      </c>
      <c r="E35" s="9">
        <v>51.652939798642237</v>
      </c>
      <c r="F35" s="9">
        <v>16.977686671132872</v>
      </c>
      <c r="G35" s="9">
        <v>3.9795679052962232</v>
      </c>
      <c r="H35" s="9">
        <v>4.0250827520452912</v>
      </c>
      <c r="I35" s="9">
        <v>9.0317435893551998</v>
      </c>
      <c r="J35" s="9">
        <v>17.209094730398462</v>
      </c>
      <c r="K35" s="9">
        <v>3.9652724003503792</v>
      </c>
      <c r="L35" s="9">
        <v>4.0106237475104738</v>
      </c>
      <c r="M35" s="9">
        <v>9.0607420351320105</v>
      </c>
      <c r="N35" s="9">
        <v>17.978607021329321</v>
      </c>
      <c r="O35" s="9">
        <v>4.3175569931564697</v>
      </c>
      <c r="P35" s="9">
        <v>4.366937465999353</v>
      </c>
      <c r="Q35" s="9">
        <v>10.466820130703073</v>
      </c>
      <c r="R35" s="9">
        <v>20.631202599115976</v>
      </c>
      <c r="S35" s="9">
        <v>4.9173904171723564</v>
      </c>
      <c r="T35" s="9">
        <v>4.9736312645631191</v>
      </c>
      <c r="U35" s="9">
        <v>10.468610817619901</v>
      </c>
      <c r="V35" s="9">
        <v>21.131068239034878</v>
      </c>
      <c r="W35" s="9">
        <v>5.165396270909631</v>
      </c>
      <c r="X35" s="9">
        <v>5.2244735941928377</v>
      </c>
      <c r="Y35" s="9">
        <v>10.537935978531403</v>
      </c>
      <c r="Z35" s="9">
        <v>21.788353520883391</v>
      </c>
      <c r="AA35" s="9">
        <v>5.4498117683101741</v>
      </c>
      <c r="AB35" s="9">
        <v>5.5121419894167918</v>
      </c>
      <c r="AC35" s="9">
        <v>11.274975201727862</v>
      </c>
      <c r="AD35" s="9">
        <v>23.866725539952007</v>
      </c>
      <c r="AE35" s="9">
        <v>6.093553591430986</v>
      </c>
      <c r="AF35" s="9">
        <v>6.1632463732785085</v>
      </c>
      <c r="AG35" s="9">
        <v>11.636206589164365</v>
      </c>
      <c r="AH35" s="9">
        <v>24.588656990251273</v>
      </c>
      <c r="AI35" s="9">
        <v>6.2769545784256584</v>
      </c>
      <c r="AJ35" s="9">
        <v>6.348744941723063</v>
      </c>
      <c r="AK35" s="9">
        <v>11.853138026725563</v>
      </c>
      <c r="AL35" s="9">
        <v>25.1236224622448</v>
      </c>
      <c r="AM35" s="9">
        <v>6.4316915538911124</v>
      </c>
      <c r="AN35" s="9">
        <v>6.5052516645310261</v>
      </c>
      <c r="AO35" s="9">
        <v>12.090859327833574</v>
      </c>
      <c r="AP35" s="9">
        <v>25.681077615236276</v>
      </c>
      <c r="AQ35" s="9">
        <v>6.5867177525482523</v>
      </c>
      <c r="AR35" s="9">
        <v>6.6620509184147334</v>
      </c>
      <c r="AS35" s="9">
        <v>12.458119585452424</v>
      </c>
      <c r="AT35" s="9">
        <v>26.378427482937774</v>
      </c>
      <c r="AU35" s="9">
        <v>6.746679369263151</v>
      </c>
      <c r="AV35" s="9">
        <v>6.8238420373881121</v>
      </c>
      <c r="AW35" s="9">
        <v>11.703990909053202</v>
      </c>
      <c r="AX35" s="9">
        <f t="shared" si="5"/>
        <v>33.125106852200922</v>
      </c>
      <c r="AY35" s="9">
        <f t="shared" si="15"/>
        <v>18.527832946441315</v>
      </c>
      <c r="AZ35" s="11">
        <f t="shared" si="3"/>
        <v>51.652939798642237</v>
      </c>
      <c r="BA35" s="9">
        <v>25.744194619670893</v>
      </c>
      <c r="BB35" s="9">
        <v>6.8066614302397008</v>
      </c>
      <c r="BC35" s="11">
        <f t="shared" si="1"/>
        <v>32.550856049910593</v>
      </c>
      <c r="BE35" s="17">
        <f t="shared" si="4"/>
        <v>3.7701655272151831</v>
      </c>
    </row>
    <row r="36" spans="1:57" ht="14.75" x14ac:dyDescent="0.75">
      <c r="C36" s="14" t="s">
        <v>133</v>
      </c>
      <c r="AT36" s="15">
        <f>SUM(AT37:AT41)</f>
        <v>28.109459642811224</v>
      </c>
      <c r="AU36" s="15">
        <f t="shared" ref="AU36:AY36" si="22">SUM(AU37:AU41)</f>
        <v>30.89394870880728</v>
      </c>
      <c r="AV36" s="15">
        <f t="shared" si="22"/>
        <v>17.890311035659192</v>
      </c>
      <c r="AW36" s="15">
        <f t="shared" si="22"/>
        <v>30.213609727051598</v>
      </c>
      <c r="AX36" s="15">
        <f t="shared" si="22"/>
        <v>59.003408351618504</v>
      </c>
      <c r="AY36" s="15">
        <f t="shared" si="22"/>
        <v>48.103920762710786</v>
      </c>
      <c r="AZ36" s="15">
        <f>SUM(AZ37:AZ41)</f>
        <v>107.1073291143293</v>
      </c>
      <c r="BA36" s="15">
        <f>SUM(BA37:BA41)</f>
        <v>47.312890804831582</v>
      </c>
      <c r="BB36" s="15">
        <f>SUM(BB37:BB41)</f>
        <v>63.929315956779192</v>
      </c>
      <c r="BC36" s="15">
        <f>SUM(BC37:BC41)</f>
        <v>111.24220676161079</v>
      </c>
      <c r="BE36" s="16">
        <f t="shared" si="4"/>
        <v>5.2180141273050777</v>
      </c>
    </row>
    <row r="37" spans="1:57" ht="12" customHeight="1" x14ac:dyDescent="0.7">
      <c r="A37" s="8" t="s">
        <v>108</v>
      </c>
      <c r="B37" s="8" t="s">
        <v>109</v>
      </c>
      <c r="C37" s="8" t="s">
        <v>109</v>
      </c>
      <c r="D37" s="8" t="s">
        <v>62</v>
      </c>
      <c r="E37" s="9">
        <v>53.16924175718389</v>
      </c>
      <c r="F37" s="9">
        <v>32.348598403553133</v>
      </c>
      <c r="G37" s="9">
        <v>10.778642032795807</v>
      </c>
      <c r="H37" s="9">
        <v>10.778642032795807</v>
      </c>
      <c r="I37" s="9">
        <v>55.063224452100371</v>
      </c>
      <c r="J37" s="9">
        <v>55.063224452100371</v>
      </c>
      <c r="K37" s="9">
        <v>10.369845483292325</v>
      </c>
      <c r="L37" s="9">
        <v>10.369845483292325</v>
      </c>
      <c r="M37" s="9">
        <v>13.975203201459719</v>
      </c>
      <c r="N37" s="9">
        <v>13.975203201459719</v>
      </c>
      <c r="O37" s="9">
        <v>10.464119166221939</v>
      </c>
      <c r="P37" s="9">
        <v>10.464119166221939</v>
      </c>
      <c r="Q37" s="9">
        <v>13.106033050036864</v>
      </c>
      <c r="R37" s="9">
        <v>13.106033050036864</v>
      </c>
      <c r="S37" s="9">
        <v>5.0259591297945088</v>
      </c>
      <c r="T37" s="9">
        <v>5.0259591297945088</v>
      </c>
      <c r="U37" s="9">
        <v>21.983068214176857</v>
      </c>
      <c r="V37" s="9">
        <v>21.983068214176857</v>
      </c>
      <c r="W37" s="9">
        <v>0.50488364328749946</v>
      </c>
      <c r="X37" s="9">
        <v>0.50488364328749946</v>
      </c>
      <c r="Y37" s="9">
        <v>9.066422691100458</v>
      </c>
      <c r="Z37" s="9">
        <v>9.066422691100458</v>
      </c>
      <c r="AA37" s="9">
        <v>8.1981970174566321</v>
      </c>
      <c r="AB37" s="9">
        <v>8.1981970174566321</v>
      </c>
      <c r="AC37" s="9">
        <v>8.3288253877421141</v>
      </c>
      <c r="AD37" s="9">
        <v>8.3288253877421141</v>
      </c>
      <c r="AE37" s="9">
        <v>8.6140404827986927</v>
      </c>
      <c r="AF37" s="9">
        <v>8.6140404827986927</v>
      </c>
      <c r="AG37" s="9">
        <v>5.690581730818483</v>
      </c>
      <c r="AH37" s="9">
        <v>5.690581730818483</v>
      </c>
      <c r="AI37" s="9">
        <v>9.8734186888252804</v>
      </c>
      <c r="AJ37" s="9">
        <v>9.8734186888252804</v>
      </c>
      <c r="AK37" s="9">
        <v>3.4251855030742853</v>
      </c>
      <c r="AL37" s="9">
        <v>3.4251855030742853</v>
      </c>
      <c r="AM37" s="9">
        <v>11.843996714773693</v>
      </c>
      <c r="AN37" s="9">
        <v>11.843996714773693</v>
      </c>
      <c r="AO37" s="9">
        <v>5.4947686463732985</v>
      </c>
      <c r="AP37" s="9">
        <v>5.4947686463732985</v>
      </c>
      <c r="AQ37" s="9">
        <v>12.204810035030803</v>
      </c>
      <c r="AR37" s="9">
        <v>12.204810035030803</v>
      </c>
      <c r="AS37" s="9">
        <v>6.8644085933714276</v>
      </c>
      <c r="AT37" s="9">
        <v>6.8644085933714276</v>
      </c>
      <c r="AU37" s="9">
        <v>17.890311035659192</v>
      </c>
      <c r="AV37" s="9">
        <v>17.890311035659192</v>
      </c>
      <c r="AW37" s="9">
        <v>10.524211092494076</v>
      </c>
      <c r="AX37" s="9">
        <f t="shared" si="5"/>
        <v>24.754719629030618</v>
      </c>
      <c r="AY37" s="9">
        <f t="shared" si="15"/>
        <v>28.414522128153266</v>
      </c>
      <c r="AZ37" s="11">
        <f t="shared" si="3"/>
        <v>53.16924175718389</v>
      </c>
      <c r="BA37" s="9">
        <v>10.524211092494076</v>
      </c>
      <c r="BB37" s="9">
        <v>10.609745589816688</v>
      </c>
      <c r="BC37" s="11">
        <f t="shared" si="1"/>
        <v>21.133956682310764</v>
      </c>
      <c r="BE37" s="16">
        <f t="shared" si="4"/>
        <v>0.18130739259850182</v>
      </c>
    </row>
    <row r="38" spans="1:57" ht="12" customHeight="1" x14ac:dyDescent="0.7">
      <c r="A38" s="8" t="s">
        <v>110</v>
      </c>
      <c r="B38" s="8" t="s">
        <v>111</v>
      </c>
      <c r="C38" s="8" t="s">
        <v>111</v>
      </c>
      <c r="D38" s="8" t="s">
        <v>62</v>
      </c>
      <c r="E38" s="9">
        <v>12.465415699962588</v>
      </c>
      <c r="F38" s="9">
        <v>0</v>
      </c>
      <c r="G38" s="9">
        <v>3.7891486446636473</v>
      </c>
      <c r="H38" s="9">
        <v>0</v>
      </c>
      <c r="I38" s="9">
        <v>1.8183191158395613</v>
      </c>
      <c r="J38" s="9">
        <v>1.8183191158395613</v>
      </c>
      <c r="K38" s="9">
        <v>5.1711027973353385</v>
      </c>
      <c r="L38" s="9">
        <v>0</v>
      </c>
      <c r="M38" s="9">
        <v>10.953967158867648</v>
      </c>
      <c r="N38" s="9">
        <v>10.953967158867648</v>
      </c>
      <c r="O38" s="9">
        <v>0</v>
      </c>
      <c r="P38" s="9">
        <v>0</v>
      </c>
      <c r="Q38" s="9">
        <v>31.221567642651991</v>
      </c>
      <c r="R38" s="9">
        <v>31.221567642651991</v>
      </c>
      <c r="S38" s="9">
        <v>1.8813884862033496</v>
      </c>
      <c r="T38" s="9">
        <v>0</v>
      </c>
      <c r="U38" s="9">
        <v>10.062879787326251</v>
      </c>
      <c r="V38" s="9">
        <v>10.062879787326251</v>
      </c>
      <c r="W38" s="9">
        <v>5.8776565071991825E-2</v>
      </c>
      <c r="X38" s="9">
        <v>0</v>
      </c>
      <c r="Y38" s="9">
        <v>2.968274270826277</v>
      </c>
      <c r="Z38" s="9">
        <v>2.968274270826277</v>
      </c>
      <c r="AA38" s="9">
        <v>1.580661898828801</v>
      </c>
      <c r="AB38" s="9">
        <v>0</v>
      </c>
      <c r="AC38" s="9">
        <v>2.1523374115224514</v>
      </c>
      <c r="AD38" s="9">
        <v>2.1523374115224514</v>
      </c>
      <c r="AE38" s="9">
        <v>3.7300732544920823E-3</v>
      </c>
      <c r="AF38" s="9">
        <v>0</v>
      </c>
      <c r="AG38" s="9">
        <v>1.8720386294444098</v>
      </c>
      <c r="AH38" s="9">
        <v>1.8720386294444098</v>
      </c>
      <c r="AI38" s="9">
        <v>7.0189550487754241E-3</v>
      </c>
      <c r="AJ38" s="9">
        <v>0</v>
      </c>
      <c r="AK38" s="9">
        <v>1.113878601232458</v>
      </c>
      <c r="AL38" s="9">
        <v>1.113878601232458</v>
      </c>
      <c r="AM38" s="9">
        <v>4.1879858710427355E-2</v>
      </c>
      <c r="AN38" s="9">
        <v>0</v>
      </c>
      <c r="AO38" s="9">
        <v>0.27071613967638825</v>
      </c>
      <c r="AP38" s="9">
        <v>0.27071613967638825</v>
      </c>
      <c r="AQ38" s="9">
        <v>0.42416388098091518</v>
      </c>
      <c r="AR38" s="9">
        <v>0</v>
      </c>
      <c r="AS38" s="9">
        <v>5.2600204637585053</v>
      </c>
      <c r="AT38" s="9">
        <v>5.2600204637585053</v>
      </c>
      <c r="AU38" s="9">
        <v>8.1419878565794912E-3</v>
      </c>
      <c r="AV38" s="9">
        <v>0</v>
      </c>
      <c r="AW38" s="9">
        <v>7.1972532483475034</v>
      </c>
      <c r="AX38" s="9">
        <f t="shared" si="5"/>
        <v>5.2681624516150851</v>
      </c>
      <c r="AY38" s="9">
        <f t="shared" si="15"/>
        <v>7.1972532483475034</v>
      </c>
      <c r="AZ38" s="11">
        <f t="shared" si="3"/>
        <v>12.465415699962588</v>
      </c>
      <c r="BA38" s="9">
        <v>7.1972532483475034</v>
      </c>
      <c r="BB38" s="9">
        <v>1.0123553634823308</v>
      </c>
      <c r="BC38" s="11">
        <f t="shared" si="1"/>
        <v>8.2096086118298341</v>
      </c>
      <c r="BE38" s="16" t="e">
        <f t="shared" si="4"/>
        <v>#DIV/0!</v>
      </c>
    </row>
    <row r="39" spans="1:57" ht="12" customHeight="1" x14ac:dyDescent="0.7">
      <c r="A39" s="8" t="s">
        <v>112</v>
      </c>
      <c r="B39" s="8" t="s">
        <v>113</v>
      </c>
      <c r="C39" s="8" t="s">
        <v>113</v>
      </c>
      <c r="D39" s="8" t="s">
        <v>62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R39" s="9">
        <v>0</v>
      </c>
      <c r="AS39" s="9">
        <v>0</v>
      </c>
      <c r="AT39" s="9">
        <v>0</v>
      </c>
      <c r="AU39" s="9">
        <v>0</v>
      </c>
      <c r="AV39" s="9">
        <v>0</v>
      </c>
      <c r="AW39" s="9">
        <v>0</v>
      </c>
      <c r="AX39" s="9">
        <f t="shared" si="5"/>
        <v>0</v>
      </c>
      <c r="AY39" s="9">
        <f t="shared" si="15"/>
        <v>0</v>
      </c>
      <c r="AZ39" s="11">
        <f t="shared" si="3"/>
        <v>0</v>
      </c>
      <c r="BA39" s="9">
        <v>0</v>
      </c>
      <c r="BB39" s="9">
        <v>0</v>
      </c>
      <c r="BC39" s="11">
        <f t="shared" si="1"/>
        <v>0</v>
      </c>
    </row>
    <row r="40" spans="1:57" ht="12" customHeight="1" x14ac:dyDescent="0.7">
      <c r="A40" s="8" t="s">
        <v>114</v>
      </c>
      <c r="B40" s="8" t="s">
        <v>115</v>
      </c>
      <c r="C40" s="8" t="s">
        <v>115</v>
      </c>
      <c r="D40" s="8" t="s">
        <v>62</v>
      </c>
      <c r="E40" s="9">
        <v>9.3371734119616363</v>
      </c>
      <c r="F40" s="9">
        <v>1.2933623674860844</v>
      </c>
      <c r="G40" s="9">
        <v>3.1145013409248774</v>
      </c>
      <c r="H40" s="9">
        <v>0</v>
      </c>
      <c r="I40" s="9">
        <v>1.9311489857458763</v>
      </c>
      <c r="J40" s="9">
        <v>2.2646538038900732</v>
      </c>
      <c r="K40" s="9">
        <v>1.06568064472279</v>
      </c>
      <c r="L40" s="9">
        <v>0</v>
      </c>
      <c r="M40" s="9">
        <v>1.6273441435011711</v>
      </c>
      <c r="N40" s="9">
        <v>1.9083825908930276</v>
      </c>
      <c r="O40" s="9">
        <v>1.2313043890691486</v>
      </c>
      <c r="P40" s="9">
        <v>0</v>
      </c>
      <c r="Q40" s="9">
        <v>1.6381521765934821</v>
      </c>
      <c r="R40" s="9">
        <v>1.9210571454901815</v>
      </c>
      <c r="S40" s="9">
        <v>4.9880149554169622</v>
      </c>
      <c r="T40" s="9">
        <v>0</v>
      </c>
      <c r="U40" s="9">
        <v>1.9613690998960212</v>
      </c>
      <c r="V40" s="9">
        <v>2.3000928595865888</v>
      </c>
      <c r="W40" s="9">
        <v>3.3093654904993937</v>
      </c>
      <c r="X40" s="9">
        <v>0</v>
      </c>
      <c r="Y40" s="9">
        <v>6.040454249896765</v>
      </c>
      <c r="Z40" s="9">
        <v>7.0836262739040601</v>
      </c>
      <c r="AA40" s="9">
        <v>2.356584369701658</v>
      </c>
      <c r="AB40" s="9">
        <v>0</v>
      </c>
      <c r="AC40" s="9">
        <v>2.1667373715161453</v>
      </c>
      <c r="AD40" s="9">
        <v>2.5409277412843423</v>
      </c>
      <c r="AE40" s="9">
        <v>2.8806669031589021</v>
      </c>
      <c r="AF40" s="9">
        <v>0</v>
      </c>
      <c r="AG40" s="9">
        <v>2.4045495710765294</v>
      </c>
      <c r="AH40" s="9">
        <v>2.819809539799683</v>
      </c>
      <c r="AI40" s="9">
        <v>3.6230438228539028</v>
      </c>
      <c r="AJ40" s="9">
        <v>0</v>
      </c>
      <c r="AK40" s="9">
        <v>2.4289538596340838</v>
      </c>
      <c r="AL40" s="9">
        <v>2.8484283907122929</v>
      </c>
      <c r="AM40" s="9">
        <v>3.6255089351798016</v>
      </c>
      <c r="AN40" s="9">
        <v>0</v>
      </c>
      <c r="AO40" s="9">
        <v>2.4865880979589279</v>
      </c>
      <c r="AP40" s="9">
        <v>2.9160159243619832</v>
      </c>
      <c r="AQ40" s="9">
        <v>4.531984201543013</v>
      </c>
      <c r="AR40" s="9">
        <v>0</v>
      </c>
      <c r="AS40" s="9">
        <v>2.4056716319213627</v>
      </c>
      <c r="AT40" s="9">
        <v>2.8211253778728742</v>
      </c>
      <c r="AU40" s="9">
        <v>4.318901800362938</v>
      </c>
      <c r="AV40" s="9">
        <v>0</v>
      </c>
      <c r="AW40" s="9">
        <v>2.1971462337258245</v>
      </c>
      <c r="AX40" s="9">
        <f t="shared" si="5"/>
        <v>7.1400271782358118</v>
      </c>
      <c r="AY40" s="9">
        <f t="shared" si="15"/>
        <v>2.1971462337258245</v>
      </c>
      <c r="AZ40" s="11">
        <f t="shared" si="3"/>
        <v>9.3371734119616363</v>
      </c>
      <c r="BA40" s="9">
        <v>2.5765881413795326</v>
      </c>
      <c r="BB40" s="9">
        <v>4.5881256787795168</v>
      </c>
      <c r="BC40" s="11">
        <f t="shared" si="1"/>
        <v>7.164713820159049</v>
      </c>
    </row>
    <row r="41" spans="1:57" ht="12" customHeight="1" x14ac:dyDescent="0.7">
      <c r="A41" s="8" t="s">
        <v>116</v>
      </c>
      <c r="B41" s="8" t="s">
        <v>117</v>
      </c>
      <c r="C41" s="8" t="s">
        <v>117</v>
      </c>
      <c r="D41" s="8" t="s">
        <v>62</v>
      </c>
      <c r="E41" s="9">
        <v>32.135498245221186</v>
      </c>
      <c r="F41" s="9">
        <v>0</v>
      </c>
      <c r="G41" s="9">
        <v>0</v>
      </c>
      <c r="H41" s="9">
        <v>0</v>
      </c>
      <c r="I41" s="9">
        <v>0</v>
      </c>
      <c r="J41" s="9">
        <v>2.1608252758846768E-2</v>
      </c>
      <c r="K41" s="9">
        <v>8.0322408330931613E-2</v>
      </c>
      <c r="L41" s="9">
        <v>0</v>
      </c>
      <c r="M41" s="9">
        <v>1.3512109963984003</v>
      </c>
      <c r="N41" s="9">
        <v>3.5341818986078919</v>
      </c>
      <c r="O41" s="9">
        <v>6.2203635786355127</v>
      </c>
      <c r="P41" s="9">
        <v>0</v>
      </c>
      <c r="Q41" s="9">
        <v>9.8643927124507211</v>
      </c>
      <c r="R41" s="9">
        <v>15.726068101183818</v>
      </c>
      <c r="S41" s="9">
        <v>7.9606630942607479</v>
      </c>
      <c r="T41" s="9">
        <v>0</v>
      </c>
      <c r="U41" s="9">
        <v>0.82626212587896197</v>
      </c>
      <c r="V41" s="9">
        <v>4.3557132312284157</v>
      </c>
      <c r="W41" s="9">
        <v>11.961413322374055</v>
      </c>
      <c r="X41" s="9">
        <v>0</v>
      </c>
      <c r="Y41" s="9">
        <v>1.0158461060734092</v>
      </c>
      <c r="Z41" s="9">
        <v>9.5894820391988684</v>
      </c>
      <c r="AA41" s="9">
        <v>30.445937869249743</v>
      </c>
      <c r="AB41" s="9">
        <v>0</v>
      </c>
      <c r="AC41" s="9">
        <v>15.797140231065699</v>
      </c>
      <c r="AD41" s="9">
        <v>29.540702707261083</v>
      </c>
      <c r="AE41" s="9">
        <v>28.942459660886229</v>
      </c>
      <c r="AF41" s="9">
        <v>0</v>
      </c>
      <c r="AG41" s="9">
        <v>0.58553130457245717</v>
      </c>
      <c r="AH41" s="9">
        <v>1.0304468299985585</v>
      </c>
      <c r="AI41" s="9">
        <v>0.83301638821791502</v>
      </c>
      <c r="AJ41" s="9">
        <v>0</v>
      </c>
      <c r="AK41" s="9">
        <v>1.0189162680590285</v>
      </c>
      <c r="AL41" s="9">
        <v>3.7039691305885833</v>
      </c>
      <c r="AM41" s="9">
        <v>8.5525354193186036</v>
      </c>
      <c r="AN41" s="9">
        <v>0</v>
      </c>
      <c r="AO41" s="9">
        <v>15.591692963820165</v>
      </c>
      <c r="AP41" s="9">
        <v>25.544879118092648</v>
      </c>
      <c r="AQ41" s="9">
        <v>15.140842318449913</v>
      </c>
      <c r="AR41" s="9">
        <v>0</v>
      </c>
      <c r="AS41" s="9">
        <v>7.8640205453702299</v>
      </c>
      <c r="AT41" s="9">
        <v>13.163905207808414</v>
      </c>
      <c r="AU41" s="9">
        <v>8.6765938849285735</v>
      </c>
      <c r="AV41" s="9">
        <v>0</v>
      </c>
      <c r="AW41" s="9">
        <v>10.294999152484197</v>
      </c>
      <c r="AX41" s="9">
        <f t="shared" si="5"/>
        <v>21.840499092736987</v>
      </c>
      <c r="AY41" s="9">
        <f t="shared" si="15"/>
        <v>10.294999152484197</v>
      </c>
      <c r="AZ41" s="11">
        <f t="shared" si="3"/>
        <v>32.135498245221186</v>
      </c>
      <c r="BA41" s="9">
        <v>27.014838322610469</v>
      </c>
      <c r="BB41" s="9">
        <v>47.719089324700661</v>
      </c>
      <c r="BC41" s="11">
        <f t="shared" si="1"/>
        <v>74.733927647311134</v>
      </c>
    </row>
    <row r="42" spans="1:57" ht="12" customHeight="1" x14ac:dyDescent="0.75">
      <c r="C42" s="14" t="s">
        <v>131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15">
        <f>SUM(AT43:AT45)</f>
        <v>6.5097212143107859</v>
      </c>
      <c r="AU42" s="15">
        <f>SUM(AU43:AU45)</f>
        <v>19.184226205924936</v>
      </c>
      <c r="AV42" s="15">
        <f>SUM(AV43:AV45)</f>
        <v>4.2118996821051526</v>
      </c>
      <c r="AW42" s="15">
        <f>SUM(AW43:AW45)</f>
        <v>12.164243000995352</v>
      </c>
      <c r="AX42" s="15">
        <f t="shared" ref="AX42:AY42" si="23">SUM(AX43:AX45)</f>
        <v>25.693947420235727</v>
      </c>
      <c r="AY42" s="15">
        <f t="shared" si="23"/>
        <v>16.376142683100507</v>
      </c>
      <c r="AZ42" s="15">
        <f>SUM(AZ43:AZ45)</f>
        <v>42.070090103336227</v>
      </c>
      <c r="BA42" s="15">
        <f>SUM(BA43:BA45)</f>
        <v>5.373039722677281</v>
      </c>
      <c r="BB42" s="15">
        <f>SUM(BB43:BB45)</f>
        <v>14.57231759109901</v>
      </c>
      <c r="BC42" s="15">
        <f>SUM(BC43:BC45)</f>
        <v>19.945357313776292</v>
      </c>
    </row>
    <row r="43" spans="1:57" ht="12" customHeight="1" x14ac:dyDescent="0.7">
      <c r="A43" s="8" t="s">
        <v>118</v>
      </c>
      <c r="B43" s="8" t="s">
        <v>119</v>
      </c>
      <c r="C43" s="8" t="s">
        <v>119</v>
      </c>
      <c r="D43" s="8" t="s">
        <v>63</v>
      </c>
      <c r="E43" s="9">
        <v>25.06600366415865</v>
      </c>
      <c r="F43" s="9">
        <v>3.1302699287247782</v>
      </c>
      <c r="G43" s="9">
        <v>6.5854341508632483</v>
      </c>
      <c r="H43" s="9">
        <v>1.0760354609832052</v>
      </c>
      <c r="I43" s="9">
        <v>7.9726266948369036</v>
      </c>
      <c r="J43" s="9">
        <v>3.3728967739245301</v>
      </c>
      <c r="K43" s="9">
        <v>7.7837572243158002</v>
      </c>
      <c r="L43" s="9">
        <v>1.2718369967984717</v>
      </c>
      <c r="M43" s="9">
        <v>8.154154117525632</v>
      </c>
      <c r="N43" s="9">
        <v>3.4103062159369775</v>
      </c>
      <c r="O43" s="9">
        <v>7.5070278977218976</v>
      </c>
      <c r="P43" s="9">
        <v>1.2266204534867435</v>
      </c>
      <c r="Q43" s="9">
        <v>16.01486963427179</v>
      </c>
      <c r="R43" s="9">
        <v>6.5214629388503953</v>
      </c>
      <c r="S43" s="9">
        <v>12.710538394281894</v>
      </c>
      <c r="T43" s="9">
        <v>2.0768547262207471</v>
      </c>
      <c r="U43" s="9">
        <v>16.89955589019927</v>
      </c>
      <c r="V43" s="9">
        <v>6.9358084896737946</v>
      </c>
      <c r="W43" s="9">
        <v>14.036094823260397</v>
      </c>
      <c r="X43" s="9">
        <v>2.2934457193792106</v>
      </c>
      <c r="Y43" s="9">
        <v>12.6101266259132</v>
      </c>
      <c r="Z43" s="9">
        <v>5.5428201688184995</v>
      </c>
      <c r="AA43" s="9">
        <v>14.708496641964386</v>
      </c>
      <c r="AB43" s="9">
        <v>2.4033136771144266</v>
      </c>
      <c r="AC43" s="9">
        <v>7.7613914638533181</v>
      </c>
      <c r="AD43" s="9">
        <v>3.9450258482309883</v>
      </c>
      <c r="AE43" s="9">
        <v>15.20150863028881</v>
      </c>
      <c r="AF43" s="9">
        <v>2.4838700033905581</v>
      </c>
      <c r="AG43" s="9">
        <v>8.5037733355942962</v>
      </c>
      <c r="AH43" s="9">
        <v>4.2239433187345794</v>
      </c>
      <c r="AI43" s="9">
        <v>15.521135796301422</v>
      </c>
      <c r="AJ43" s="9">
        <v>2.5360958942041578</v>
      </c>
      <c r="AK43" s="9">
        <v>7.3342524002446341</v>
      </c>
      <c r="AL43" s="9">
        <v>3.7542273872026959</v>
      </c>
      <c r="AM43" s="9">
        <v>14.668160803538493</v>
      </c>
      <c r="AN43" s="9">
        <v>2.3967229510513528</v>
      </c>
      <c r="AO43" s="9">
        <v>6.3128263096025563</v>
      </c>
      <c r="AP43" s="9">
        <v>3.2006002618871738</v>
      </c>
      <c r="AQ43" s="9">
        <v>12.270562435979359</v>
      </c>
      <c r="AR43" s="9">
        <v>2.0049642901055305</v>
      </c>
      <c r="AS43" s="9">
        <v>7.1768266622399022</v>
      </c>
      <c r="AT43" s="9">
        <v>3.5621099435012091</v>
      </c>
      <c r="AU43" s="9">
        <v>13.067831699570569</v>
      </c>
      <c r="AV43" s="9">
        <v>2.1352351241800998</v>
      </c>
      <c r="AW43" s="9">
        <v>6.3008268969067718</v>
      </c>
      <c r="AX43" s="9">
        <f t="shared" si="5"/>
        <v>16.629941643071778</v>
      </c>
      <c r="AY43" s="9">
        <f t="shared" si="15"/>
        <v>8.4360620210868724</v>
      </c>
      <c r="AZ43" s="11">
        <f t="shared" si="3"/>
        <v>25.06600366415865</v>
      </c>
      <c r="BA43" s="9">
        <v>2.8816347165351988</v>
      </c>
      <c r="BB43" s="9">
        <v>8.6411512929276064</v>
      </c>
      <c r="BC43" s="11">
        <f t="shared" si="1"/>
        <v>11.522786009462806</v>
      </c>
    </row>
    <row r="44" spans="1:57" ht="12" customHeight="1" x14ac:dyDescent="0.7">
      <c r="A44" s="8" t="s">
        <v>120</v>
      </c>
      <c r="B44" s="8" t="s">
        <v>121</v>
      </c>
      <c r="C44" s="8" t="s">
        <v>121</v>
      </c>
      <c r="D44" s="8" t="s">
        <v>63</v>
      </c>
      <c r="E44" s="9">
        <v>15.533011723778102</v>
      </c>
      <c r="F44" s="9">
        <v>1.2678201564590887</v>
      </c>
      <c r="G44" s="9">
        <v>2.6686508023026354</v>
      </c>
      <c r="H44" s="9">
        <v>0.90607179325379061</v>
      </c>
      <c r="I44" s="9">
        <v>4.1197103459949815</v>
      </c>
      <c r="J44" s="9">
        <v>1.7113103929525997</v>
      </c>
      <c r="K44" s="9">
        <v>3.7094034033822432</v>
      </c>
      <c r="L44" s="9">
        <v>1.2594325906949868</v>
      </c>
      <c r="M44" s="9">
        <v>4.2649677515400635</v>
      </c>
      <c r="N44" s="9">
        <v>1.6979725328747191</v>
      </c>
      <c r="O44" s="9">
        <v>2.9791555073729881</v>
      </c>
      <c r="P44" s="9">
        <v>1.0114956856169584</v>
      </c>
      <c r="Q44" s="9">
        <v>3.7132508748916244</v>
      </c>
      <c r="R44" s="9">
        <v>1.6170825297332021</v>
      </c>
      <c r="S44" s="9">
        <v>4.2154086851666781</v>
      </c>
      <c r="T44" s="9">
        <v>1.4312336793449958</v>
      </c>
      <c r="U44" s="9">
        <v>4.1992881204412109</v>
      </c>
      <c r="V44" s="9">
        <v>1.7102978077258648</v>
      </c>
      <c r="W44" s="9">
        <v>3.3829052442160821</v>
      </c>
      <c r="X44" s="9">
        <v>1.1485785320393964</v>
      </c>
      <c r="Y44" s="9">
        <v>4.71138965944668</v>
      </c>
      <c r="Z44" s="9">
        <v>1.8880466751611091</v>
      </c>
      <c r="AA44" s="9">
        <v>3.4352521864356333</v>
      </c>
      <c r="AB44" s="9">
        <v>1.1663515909076818</v>
      </c>
      <c r="AC44" s="9">
        <v>4.2436989238518699</v>
      </c>
      <c r="AD44" s="9">
        <v>1.7399678192337882</v>
      </c>
      <c r="AE44" s="9">
        <v>3.5540397352585957</v>
      </c>
      <c r="AF44" s="9">
        <v>1.2066828501662463</v>
      </c>
      <c r="AG44" s="9">
        <v>4.9184032603493817</v>
      </c>
      <c r="AH44" s="9">
        <v>2.0026610109506668</v>
      </c>
      <c r="AI44" s="9">
        <v>3.9561400302784717</v>
      </c>
      <c r="AJ44" s="9">
        <v>1.3432056710097131</v>
      </c>
      <c r="AK44" s="9">
        <v>4.7470130706660845</v>
      </c>
      <c r="AL44" s="9">
        <v>2.1483290307085503</v>
      </c>
      <c r="AM44" s="9">
        <v>6.3362157338769594</v>
      </c>
      <c r="AN44" s="9">
        <v>2.1512992061318488</v>
      </c>
      <c r="AO44" s="9">
        <v>4.0665448983880408</v>
      </c>
      <c r="AP44" s="9">
        <v>1.8558433216899202</v>
      </c>
      <c r="AQ44" s="9">
        <v>5.6087323944064034</v>
      </c>
      <c r="AR44" s="9">
        <v>1.9043009351750053</v>
      </c>
      <c r="AS44" s="9">
        <v>6.6227056673659641</v>
      </c>
      <c r="AT44" s="9">
        <v>2.7141448195604023</v>
      </c>
      <c r="AU44" s="9">
        <v>5.5318812764759162</v>
      </c>
      <c r="AV44" s="9">
        <v>1.8782081132228965</v>
      </c>
      <c r="AW44" s="9">
        <v>5.4087775145188877</v>
      </c>
      <c r="AX44" s="9">
        <f t="shared" si="5"/>
        <v>8.246026096036319</v>
      </c>
      <c r="AY44" s="9">
        <f t="shared" si="15"/>
        <v>7.2869856277417844</v>
      </c>
      <c r="AZ44" s="11">
        <f t="shared" si="3"/>
        <v>15.533011723778102</v>
      </c>
      <c r="BA44" s="9">
        <v>2.270131602436571</v>
      </c>
      <c r="BB44" s="9">
        <v>5.1429454522116655</v>
      </c>
      <c r="BC44" s="11">
        <f t="shared" si="1"/>
        <v>7.4130770546482365</v>
      </c>
    </row>
    <row r="45" spans="1:57" ht="12" customHeight="1" x14ac:dyDescent="0.7">
      <c r="A45" s="8" t="s">
        <v>122</v>
      </c>
      <c r="B45" s="8" t="s">
        <v>123</v>
      </c>
      <c r="C45" s="8" t="s">
        <v>123</v>
      </c>
      <c r="D45" s="8" t="s">
        <v>63</v>
      </c>
      <c r="E45" s="9">
        <v>1.4710747153994777</v>
      </c>
      <c r="F45" s="9">
        <v>0.70114262019161433</v>
      </c>
      <c r="G45" s="9">
        <v>0.5850258151438773</v>
      </c>
      <c r="H45" s="9">
        <v>0.19863047985513876</v>
      </c>
      <c r="I45" s="9">
        <v>0.99282648759146408</v>
      </c>
      <c r="J45" s="9">
        <v>0.36160813727179014</v>
      </c>
      <c r="K45" s="9">
        <v>0.30017245300665979</v>
      </c>
      <c r="L45" s="9">
        <v>0.10191584172288799</v>
      </c>
      <c r="M45" s="9">
        <v>0.417066714385532</v>
      </c>
      <c r="N45" s="9">
        <v>0.1609700655971705</v>
      </c>
      <c r="O45" s="9">
        <v>0.23204354524620113</v>
      </c>
      <c r="P45" s="9">
        <v>7.8784422065554902E-2</v>
      </c>
      <c r="Q45" s="9">
        <v>1.8568855233257511</v>
      </c>
      <c r="R45" s="9">
        <v>0.63874713306029529</v>
      </c>
      <c r="S45" s="9">
        <v>0.12235396328226343</v>
      </c>
      <c r="T45" s="9">
        <v>4.1542143628238104E-2</v>
      </c>
      <c r="U45" s="9">
        <v>1.0845992354729415</v>
      </c>
      <c r="V45" s="9">
        <v>0.42024264591109711</v>
      </c>
      <c r="W45" s="9">
        <v>0.62252701827490697</v>
      </c>
      <c r="X45" s="9">
        <v>0.21136304956444216</v>
      </c>
      <c r="Y45" s="9">
        <v>0.8112570218296753</v>
      </c>
      <c r="Z45" s="9">
        <v>0.33422250090701783</v>
      </c>
      <c r="AA45" s="9">
        <v>0.69808397206373418</v>
      </c>
      <c r="AB45" s="9">
        <v>0.23701647134340476</v>
      </c>
      <c r="AC45" s="9">
        <v>0.64727819668516695</v>
      </c>
      <c r="AD45" s="9">
        <v>0.28292632929696226</v>
      </c>
      <c r="AE45" s="9">
        <v>0.74700533438881067</v>
      </c>
      <c r="AF45" s="9">
        <v>0.25362646259893129</v>
      </c>
      <c r="AG45" s="9">
        <v>0.46534124960826417</v>
      </c>
      <c r="AH45" s="9">
        <v>0.22499399714004181</v>
      </c>
      <c r="AI45" s="9">
        <v>0.78938187076710642</v>
      </c>
      <c r="AJ45" s="9">
        <v>0.26801432641200001</v>
      </c>
      <c r="AK45" s="9">
        <v>0.4460082336720827</v>
      </c>
      <c r="AL45" s="9">
        <v>0.22415663431961402</v>
      </c>
      <c r="AM45" s="9">
        <v>0.85604204572515241</v>
      </c>
      <c r="AN45" s="9">
        <v>0.29064707559399611</v>
      </c>
      <c r="AO45" s="9">
        <v>0.28118462355757523</v>
      </c>
      <c r="AP45" s="9">
        <v>0.13837052090124849</v>
      </c>
      <c r="AQ45" s="9">
        <v>0.50523249271667092</v>
      </c>
      <c r="AR45" s="9">
        <v>0.17153870798340706</v>
      </c>
      <c r="AS45" s="9">
        <v>0.54219245514759351</v>
      </c>
      <c r="AT45" s="9">
        <v>0.23346645124917362</v>
      </c>
      <c r="AU45" s="9">
        <v>0.58451322987845511</v>
      </c>
      <c r="AV45" s="9">
        <v>0.19845644470215595</v>
      </c>
      <c r="AW45" s="9">
        <v>0.45463858956969283</v>
      </c>
      <c r="AX45" s="9">
        <f t="shared" si="5"/>
        <v>0.81797968112762875</v>
      </c>
      <c r="AY45" s="9">
        <f t="shared" si="15"/>
        <v>0.65309503427184878</v>
      </c>
      <c r="AZ45" s="11">
        <f t="shared" si="3"/>
        <v>1.4710747153994777</v>
      </c>
      <c r="BA45" s="9">
        <v>0.22127340370551118</v>
      </c>
      <c r="BB45" s="9">
        <v>0.78822084595973663</v>
      </c>
      <c r="BC45" s="11">
        <f t="shared" si="1"/>
        <v>1.0094942496652477</v>
      </c>
    </row>
    <row r="46" spans="1:57" ht="12" customHeight="1" x14ac:dyDescent="0.7"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12">
        <f t="shared" ref="AX46:AY46" si="24">AX43+AX45</f>
        <v>17.447921324199406</v>
      </c>
      <c r="AY46" s="12">
        <f t="shared" si="24"/>
        <v>9.0891570553587204</v>
      </c>
      <c r="AZ46" s="12">
        <f>AZ43+AZ45</f>
        <v>26.537078379558128</v>
      </c>
      <c r="BA46" s="12">
        <f t="shared" ref="BA46:BC46" si="25">BA43+BA45</f>
        <v>3.1029081202407101</v>
      </c>
      <c r="BB46" s="12">
        <f t="shared" si="25"/>
        <v>9.4293721388873433</v>
      </c>
      <c r="BC46" s="12">
        <f t="shared" si="25"/>
        <v>12.532280259128054</v>
      </c>
    </row>
    <row r="47" spans="1:57" ht="12" customHeight="1" x14ac:dyDescent="0.7"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12"/>
      <c r="BA47" s="9"/>
      <c r="BB47" s="9"/>
    </row>
    <row r="48" spans="1:57" x14ac:dyDescent="0.7"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12"/>
      <c r="BA48" s="9"/>
      <c r="BB48" s="9"/>
    </row>
    <row r="49" spans="5:54" x14ac:dyDescent="0.7"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12"/>
      <c r="BA49" s="9"/>
      <c r="BB49" s="9"/>
    </row>
    <row r="50" spans="5:54" x14ac:dyDescent="0.7"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12"/>
      <c r="BA50" s="9"/>
      <c r="BB50" s="9"/>
    </row>
    <row r="51" spans="5:54" x14ac:dyDescent="0.7"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12"/>
      <c r="BA51" s="9"/>
      <c r="BB51" s="9"/>
    </row>
    <row r="52" spans="5:54" x14ac:dyDescent="0.7"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12"/>
      <c r="BA52" s="9"/>
      <c r="BB52" s="9"/>
    </row>
    <row r="53" spans="5:54" x14ac:dyDescent="0.7"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12"/>
      <c r="BA53" s="9"/>
      <c r="BB53" s="9"/>
    </row>
    <row r="54" spans="5:54" x14ac:dyDescent="0.7"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12"/>
      <c r="BA54" s="9"/>
      <c r="BB54" s="9"/>
    </row>
    <row r="55" spans="5:54" x14ac:dyDescent="0.7"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12"/>
      <c r="BA55" s="9"/>
      <c r="BB55" s="9"/>
    </row>
  </sheetData>
  <mergeCells count="2">
    <mergeCell ref="AT1:AZ1"/>
    <mergeCell ref="BA1:B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GVAKP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Fabien MPAYIMANA</dc:creator>
  <cp:lastModifiedBy>Evariste MANIRUMVA</cp:lastModifiedBy>
  <dcterms:created xsi:type="dcterms:W3CDTF">2025-09-23T05:39:35Z</dcterms:created>
  <dcterms:modified xsi:type="dcterms:W3CDTF">2026-02-18T12:48:18Z</dcterms:modified>
</cp:coreProperties>
</file>