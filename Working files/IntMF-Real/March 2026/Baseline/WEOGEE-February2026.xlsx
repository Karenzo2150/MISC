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Downloads\"/>
    </mc:Choice>
  </mc:AlternateContent>
  <xr:revisionPtr revIDLastSave="0" documentId="13_ncr:1_{77DF2D55-5072-48A6-87FD-30CF58550016}" xr6:coauthVersionLast="47" xr6:coauthVersionMax="47" xr10:uidLastSave="{00000000-0000-0000-0000-000000000000}"/>
  <bookViews>
    <workbookView xWindow="-28920" yWindow="2025" windowWidth="29040" windowHeight="15720" firstSheet="2" activeTab="7" xr2:uid="{00000000-000D-0000-FFFF-FFFF00000000}"/>
  </bookViews>
  <sheets>
    <sheet name="Definitions" sheetId="1" r:id="rId1"/>
    <sheet name="Introduction" sheetId="2" r:id="rId2"/>
    <sheet name="EcOS indicators names" sheetId="3" r:id="rId3"/>
    <sheet name="CompareDataSheet" sheetId="4" state="hidden" r:id="rId4"/>
    <sheet name="Compare" sheetId="5" state="hidden" r:id="rId5"/>
    <sheet name="AnnualDataSheet" sheetId="7" state="hidden" r:id="rId6"/>
    <sheet name="QuarterlyDataSheet" sheetId="9" state="hidden" r:id="rId7"/>
    <sheet name="Annual" sheetId="18" r:id="rId8"/>
    <sheet name="Quarterly" sheetId="20" r:id="rId9"/>
    <sheet name="Weights_New" sheetId="16" r:id="rId10"/>
    <sheet name="Weights_03-11-2022" sheetId="15" r:id="rId11"/>
    <sheet name="Weights_01-10-2021" sheetId="14" r:id="rId12"/>
    <sheet name="Weights_25-01-2016" sheetId="10" r:id="rId13"/>
    <sheet name="Weights_05-02-2020" sheetId="13" r:id="rId14"/>
    <sheet name="WeightsDataSheet" sheetId="11" state="hidden" r:id="rId15"/>
    <sheet name="Sheet1" sheetId="12" state="hidden" r:id="rId16"/>
  </sheets>
  <definedNames>
    <definedName name="GEE_ALL" localSheetId="7">Annual!$X$79:$BB$91</definedName>
    <definedName name="GEE_ALL">#REF!</definedName>
    <definedName name="_xlnm.Print_Area" localSheetId="8">Quarterly!$C$78:$CF$92</definedName>
    <definedName name="WEOGEE_Rwametric_Qdata" localSheetId="8">Quarterly!$D$79:$CD$91</definedName>
    <definedName name="WEOGEE_Rwametric_Qdata">#REF!</definedName>
  </definedNames>
  <calcPr calcId="191029"/>
</workbook>
</file>

<file path=xl/calcChain.xml><?xml version="1.0" encoding="utf-8"?>
<calcChain xmlns="http://schemas.openxmlformats.org/spreadsheetml/2006/main">
  <c r="BC90" i="18" l="1"/>
  <c r="BD90" i="18" s="1"/>
  <c r="BE90" i="18" s="1"/>
  <c r="BF90" i="18" s="1"/>
  <c r="BG90" i="18" s="1"/>
  <c r="BC89" i="18"/>
  <c r="BD89" i="18" s="1"/>
  <c r="BE89" i="18" s="1"/>
  <c r="BF89" i="18" s="1"/>
  <c r="BG89" i="18" s="1"/>
  <c r="BC87" i="18"/>
  <c r="BD87" i="18" s="1"/>
  <c r="BE87" i="18" s="1"/>
  <c r="BF87" i="18" s="1"/>
  <c r="BG87" i="18" s="1"/>
  <c r="BC86" i="18"/>
  <c r="BD86" i="18" s="1"/>
  <c r="BE86" i="18" s="1"/>
  <c r="BF86" i="18" s="1"/>
  <c r="BG86" i="18" s="1"/>
  <c r="BC85" i="18"/>
  <c r="BD85" i="18" s="1"/>
  <c r="BE85" i="18" s="1"/>
  <c r="BF85" i="18" s="1"/>
  <c r="BG85" i="18" s="1"/>
  <c r="BC84" i="18"/>
  <c r="BD84" i="18" s="1"/>
  <c r="BE84" i="18" s="1"/>
  <c r="BF84" i="18" s="1"/>
  <c r="BG84" i="18" s="1"/>
  <c r="BC82" i="18"/>
  <c r="BD82" i="18" s="1"/>
  <c r="BE82" i="18" s="1"/>
  <c r="BF82" i="18" s="1"/>
  <c r="BG82" i="18" s="1"/>
  <c r="BC81" i="18"/>
  <c r="BD81" i="18" s="1"/>
  <c r="BE81" i="18" s="1"/>
  <c r="BF81" i="18" s="1"/>
  <c r="BG81" i="18" s="1"/>
  <c r="CI84" i="20"/>
  <c r="CJ84" i="20"/>
  <c r="CK84" i="20"/>
  <c r="CL84" i="20"/>
  <c r="CM84" i="20"/>
  <c r="CI85" i="20"/>
  <c r="CJ85" i="20"/>
  <c r="BS85" i="20" s="1"/>
  <c r="CK85" i="20"/>
  <c r="BU85" i="20" s="1"/>
  <c r="CL85" i="20"/>
  <c r="BZ85" i="20" s="1"/>
  <c r="CM85" i="20"/>
  <c r="CD85" i="20" s="1"/>
  <c r="CI86" i="20"/>
  <c r="CJ86" i="20"/>
  <c r="BS86" i="20" s="1"/>
  <c r="CK86" i="20"/>
  <c r="CL86" i="20"/>
  <c r="CM86" i="20"/>
  <c r="CI87" i="20"/>
  <c r="CJ87" i="20"/>
  <c r="CK87" i="20"/>
  <c r="CL87" i="20"/>
  <c r="CM87" i="20"/>
  <c r="CI89" i="20"/>
  <c r="CJ89" i="20"/>
  <c r="CK89" i="20"/>
  <c r="BV89" i="20" s="1"/>
  <c r="CL89" i="20"/>
  <c r="CA89" i="20" s="1"/>
  <c r="CM89" i="20"/>
  <c r="CI90" i="20"/>
  <c r="CJ90" i="20"/>
  <c r="BR90" i="20" s="1"/>
  <c r="CK90" i="20"/>
  <c r="BT90" i="20" s="1"/>
  <c r="CL90" i="20"/>
  <c r="CM90" i="20"/>
  <c r="CD90" i="20" s="1"/>
  <c r="CH82" i="20"/>
  <c r="CH84" i="20"/>
  <c r="CH85" i="20"/>
  <c r="CH86" i="20"/>
  <c r="CH87" i="20"/>
  <c r="CH89" i="20"/>
  <c r="CH90" i="20"/>
  <c r="CI82" i="20"/>
  <c r="CJ82" i="20"/>
  <c r="BS82" i="20" s="1"/>
  <c r="CK82" i="20"/>
  <c r="BU82" i="20" s="1"/>
  <c r="CL82" i="20"/>
  <c r="BZ82" i="20" s="1"/>
  <c r="CM82" i="20"/>
  <c r="CD82" i="20" s="1"/>
  <c r="CI81" i="20"/>
  <c r="CJ81" i="20"/>
  <c r="CK81" i="20"/>
  <c r="CL81" i="20"/>
  <c r="CM81" i="20"/>
  <c r="CB81" i="20" s="1"/>
  <c r="CH81" i="20"/>
  <c r="BR81" i="20"/>
  <c r="BY82" i="20"/>
  <c r="BS84" i="20"/>
  <c r="CA86" i="20"/>
  <c r="CE86" i="20"/>
  <c r="BR87" i="20"/>
  <c r="BW87" i="20"/>
  <c r="CA87" i="20"/>
  <c r="CD87" i="20"/>
  <c r="BS89" i="20"/>
  <c r="BY90" i="20"/>
  <c r="BU90" i="20"/>
  <c r="BW90" i="20"/>
  <c r="BV90" i="20"/>
  <c r="BP90" i="20"/>
  <c r="BO90" i="20"/>
  <c r="BN90" i="20"/>
  <c r="BM90" i="20"/>
  <c r="BL90" i="20"/>
  <c r="BK90" i="20"/>
  <c r="BJ90" i="20"/>
  <c r="BI90" i="20"/>
  <c r="BH90" i="20"/>
  <c r="BG90" i="20"/>
  <c r="BF90" i="20"/>
  <c r="BE90" i="20"/>
  <c r="BD90" i="20"/>
  <c r="BC90" i="20"/>
  <c r="BB90" i="20"/>
  <c r="BA90" i="20"/>
  <c r="AZ90" i="20"/>
  <c r="AY90" i="20"/>
  <c r="AX90" i="20"/>
  <c r="AW90" i="20"/>
  <c r="AV90" i="20"/>
  <c r="AU90" i="20"/>
  <c r="AT90" i="20"/>
  <c r="AS90" i="20"/>
  <c r="AR90" i="20"/>
  <c r="AQ90" i="20"/>
  <c r="AP90" i="20"/>
  <c r="AO90" i="20"/>
  <c r="AN90" i="20"/>
  <c r="AM90" i="20"/>
  <c r="AL90" i="20"/>
  <c r="AK90" i="20"/>
  <c r="AJ90" i="20"/>
  <c r="AI90" i="20"/>
  <c r="AH90" i="20"/>
  <c r="AG90" i="20"/>
  <c r="AF90" i="20"/>
  <c r="AE90" i="20"/>
  <c r="AD90" i="20"/>
  <c r="AC90" i="20"/>
  <c r="AB90" i="20"/>
  <c r="AA90" i="20"/>
  <c r="Z90" i="20"/>
  <c r="Y90" i="20"/>
  <c r="X90" i="20"/>
  <c r="W90" i="20"/>
  <c r="V90" i="20"/>
  <c r="U90" i="20"/>
  <c r="T90" i="20"/>
  <c r="S90" i="20"/>
  <c r="R90" i="20"/>
  <c r="Q90" i="20"/>
  <c r="P90" i="20"/>
  <c r="O90" i="20"/>
  <c r="N90" i="20"/>
  <c r="M90" i="20"/>
  <c r="L90" i="20"/>
  <c r="K90" i="20"/>
  <c r="J90" i="20"/>
  <c r="I90" i="20"/>
  <c r="H90" i="20"/>
  <c r="G90" i="20"/>
  <c r="F90" i="20"/>
  <c r="E90" i="20"/>
  <c r="D90" i="20"/>
  <c r="CE89" i="20"/>
  <c r="BO89" i="20"/>
  <c r="BN89" i="20"/>
  <c r="BM89" i="20"/>
  <c r="BL89" i="20"/>
  <c r="BK89" i="20"/>
  <c r="BJ89" i="20"/>
  <c r="BI89" i="20"/>
  <c r="BH89" i="20"/>
  <c r="BG89" i="20"/>
  <c r="BF89" i="20"/>
  <c r="BE89" i="20"/>
  <c r="BD89" i="20"/>
  <c r="BC89" i="20"/>
  <c r="BB89" i="20"/>
  <c r="BA89" i="20"/>
  <c r="AZ89" i="20"/>
  <c r="AY89" i="20"/>
  <c r="AX89" i="20"/>
  <c r="AW89" i="20"/>
  <c r="AV89" i="20"/>
  <c r="AU89" i="20"/>
  <c r="AT89" i="20"/>
  <c r="AS89" i="20"/>
  <c r="AR89" i="20"/>
  <c r="AQ89" i="20"/>
  <c r="AP89" i="20"/>
  <c r="AO89" i="20"/>
  <c r="AN89" i="20"/>
  <c r="AM89" i="20"/>
  <c r="AL89" i="20"/>
  <c r="AK89" i="20"/>
  <c r="AJ89" i="20"/>
  <c r="AI89" i="20"/>
  <c r="AH89" i="20"/>
  <c r="AG89" i="20"/>
  <c r="AF89" i="20"/>
  <c r="AE89" i="20"/>
  <c r="AD89" i="20"/>
  <c r="AC89" i="20"/>
  <c r="AB89" i="20"/>
  <c r="AA89" i="20"/>
  <c r="Z89" i="20"/>
  <c r="Y89" i="20"/>
  <c r="X89" i="20"/>
  <c r="W89" i="20"/>
  <c r="V89" i="20"/>
  <c r="U89" i="20"/>
  <c r="T89" i="20"/>
  <c r="S89" i="20"/>
  <c r="R89" i="20"/>
  <c r="Q89" i="20"/>
  <c r="P89" i="20"/>
  <c r="O89" i="20"/>
  <c r="N89" i="20"/>
  <c r="M89" i="20"/>
  <c r="L89" i="20"/>
  <c r="K89" i="20"/>
  <c r="J89" i="20"/>
  <c r="I89" i="20"/>
  <c r="H89" i="20"/>
  <c r="G89" i="20"/>
  <c r="F89" i="20"/>
  <c r="E89" i="20"/>
  <c r="D89" i="20"/>
  <c r="BO87" i="20"/>
  <c r="BN87" i="20"/>
  <c r="BM87" i="20"/>
  <c r="BL87" i="20"/>
  <c r="BK87" i="20"/>
  <c r="BJ87" i="20"/>
  <c r="BI87" i="20"/>
  <c r="BH87" i="20"/>
  <c r="BG87" i="20"/>
  <c r="BF87" i="20"/>
  <c r="BE87" i="20"/>
  <c r="BD87" i="20"/>
  <c r="BC87" i="20"/>
  <c r="BB87" i="20"/>
  <c r="BA87" i="20"/>
  <c r="AZ87" i="20"/>
  <c r="AY87" i="20"/>
  <c r="AX87" i="20"/>
  <c r="AW87" i="20"/>
  <c r="AV87" i="20"/>
  <c r="AU87" i="20"/>
  <c r="AT87" i="20"/>
  <c r="AS87" i="20"/>
  <c r="AR87" i="20"/>
  <c r="AQ87" i="20"/>
  <c r="AP87" i="20"/>
  <c r="AO87" i="20"/>
  <c r="AN87" i="20"/>
  <c r="AM87" i="20"/>
  <c r="AL87" i="20"/>
  <c r="AK87" i="20"/>
  <c r="AJ87" i="20"/>
  <c r="AI87" i="20"/>
  <c r="AH87" i="20"/>
  <c r="AG87" i="20"/>
  <c r="AF87" i="20"/>
  <c r="AE87" i="20"/>
  <c r="AD87" i="20"/>
  <c r="AC87" i="20"/>
  <c r="AB87" i="20"/>
  <c r="AA87" i="20"/>
  <c r="Z87" i="20"/>
  <c r="Y87" i="20"/>
  <c r="X87" i="20"/>
  <c r="W87" i="20"/>
  <c r="V87" i="20"/>
  <c r="U87" i="20"/>
  <c r="T87" i="20"/>
  <c r="S87" i="20"/>
  <c r="R87" i="20"/>
  <c r="Q87" i="20"/>
  <c r="P87" i="20"/>
  <c r="O87" i="20"/>
  <c r="N87" i="20"/>
  <c r="M87" i="20"/>
  <c r="L87" i="20"/>
  <c r="K87" i="20"/>
  <c r="J87" i="20"/>
  <c r="I87" i="20"/>
  <c r="H87" i="20"/>
  <c r="G87" i="20"/>
  <c r="F87" i="20"/>
  <c r="E87" i="20"/>
  <c r="D87" i="20"/>
  <c r="BT86" i="20"/>
  <c r="BZ86" i="20"/>
  <c r="BY86" i="20"/>
  <c r="BX86" i="20"/>
  <c r="BW86" i="20"/>
  <c r="BV86" i="20"/>
  <c r="BU86" i="20"/>
  <c r="BO86" i="20"/>
  <c r="BN86" i="20"/>
  <c r="BM86" i="20"/>
  <c r="BL86" i="20"/>
  <c r="BK86" i="20"/>
  <c r="BJ86" i="20"/>
  <c r="BI86" i="20"/>
  <c r="BH86" i="20"/>
  <c r="BG86" i="20"/>
  <c r="BF86" i="20"/>
  <c r="BE86" i="20"/>
  <c r="BD86" i="20"/>
  <c r="BC86" i="20"/>
  <c r="BB86" i="20"/>
  <c r="BA86" i="20"/>
  <c r="AZ86" i="20"/>
  <c r="AY86" i="20"/>
  <c r="AX86" i="20"/>
  <c r="AW86" i="20"/>
  <c r="AV86" i="20"/>
  <c r="AU86" i="20"/>
  <c r="AT86" i="20"/>
  <c r="AS86" i="20"/>
  <c r="AR86" i="20"/>
  <c r="AQ86" i="20"/>
  <c r="AP86" i="20"/>
  <c r="AO86" i="20"/>
  <c r="AN86" i="20"/>
  <c r="AM86" i="20"/>
  <c r="AL86" i="20"/>
  <c r="AK86" i="20"/>
  <c r="AJ86" i="20"/>
  <c r="AI86" i="20"/>
  <c r="AH86" i="20"/>
  <c r="AG86" i="20"/>
  <c r="AF86" i="20"/>
  <c r="AE86" i="20"/>
  <c r="AD86" i="20"/>
  <c r="AC86" i="20"/>
  <c r="AB86" i="20"/>
  <c r="AA86" i="20"/>
  <c r="Z86" i="20"/>
  <c r="Y86" i="20"/>
  <c r="X86" i="20"/>
  <c r="W86" i="20"/>
  <c r="V86" i="20"/>
  <c r="U86" i="20"/>
  <c r="T86" i="20"/>
  <c r="S86" i="20"/>
  <c r="R86" i="20"/>
  <c r="Q86" i="20"/>
  <c r="P86" i="20"/>
  <c r="O86" i="20"/>
  <c r="N86" i="20"/>
  <c r="M86" i="20"/>
  <c r="L86" i="20"/>
  <c r="K86" i="20"/>
  <c r="J86" i="20"/>
  <c r="I86" i="20"/>
  <c r="H86" i="20"/>
  <c r="G86" i="20"/>
  <c r="F86" i="20"/>
  <c r="E86" i="20"/>
  <c r="D86" i="20"/>
  <c r="BO85" i="20"/>
  <c r="BN85" i="20"/>
  <c r="BM85" i="20"/>
  <c r="BL85" i="20"/>
  <c r="BK85" i="20"/>
  <c r="BJ85" i="20"/>
  <c r="BI85" i="20"/>
  <c r="BH85" i="20"/>
  <c r="BG85" i="20"/>
  <c r="BF85" i="20"/>
  <c r="BE85" i="20"/>
  <c r="BD85" i="20"/>
  <c r="BC85" i="20"/>
  <c r="BB85" i="20"/>
  <c r="BA85" i="20"/>
  <c r="AZ85" i="20"/>
  <c r="AY85" i="20"/>
  <c r="AX85" i="20"/>
  <c r="AW85" i="20"/>
  <c r="AV85" i="20"/>
  <c r="AU85" i="20"/>
  <c r="AT85" i="20"/>
  <c r="AS85" i="20"/>
  <c r="AR85" i="20"/>
  <c r="AQ85" i="20"/>
  <c r="AP85" i="20"/>
  <c r="AO85" i="20"/>
  <c r="AN85" i="20"/>
  <c r="AM85" i="20"/>
  <c r="AL85" i="20"/>
  <c r="AK85" i="20"/>
  <c r="AJ85" i="20"/>
  <c r="AI85" i="20"/>
  <c r="AH85" i="20"/>
  <c r="AG85" i="20"/>
  <c r="AF85" i="20"/>
  <c r="AE85" i="20"/>
  <c r="AD85" i="20"/>
  <c r="AC85" i="20"/>
  <c r="AB85" i="20"/>
  <c r="AA85" i="20"/>
  <c r="Z85" i="20"/>
  <c r="Y85" i="20"/>
  <c r="X85" i="20"/>
  <c r="W85" i="20"/>
  <c r="V85" i="20"/>
  <c r="U85" i="20"/>
  <c r="T85" i="20"/>
  <c r="S85" i="20"/>
  <c r="R85" i="20"/>
  <c r="Q85" i="20"/>
  <c r="P85" i="20"/>
  <c r="O85" i="20"/>
  <c r="N85" i="20"/>
  <c r="M85" i="20"/>
  <c r="L85" i="20"/>
  <c r="K85" i="20"/>
  <c r="J85" i="20"/>
  <c r="I85" i="20"/>
  <c r="H85" i="20"/>
  <c r="G85" i="20"/>
  <c r="F85" i="20"/>
  <c r="E85" i="20"/>
  <c r="D85" i="20"/>
  <c r="CE84" i="20"/>
  <c r="CA84" i="20"/>
  <c r="BV84" i="20"/>
  <c r="BR84" i="20"/>
  <c r="BQ84" i="20"/>
  <c r="BO84" i="20"/>
  <c r="BN84" i="20"/>
  <c r="BM84" i="20"/>
  <c r="BL84" i="20"/>
  <c r="BK84" i="20"/>
  <c r="BJ84" i="20"/>
  <c r="BI84" i="20"/>
  <c r="BH84" i="20"/>
  <c r="BG84" i="20"/>
  <c r="BF84" i="20"/>
  <c r="BE84" i="20"/>
  <c r="BD84" i="20"/>
  <c r="BC84" i="20"/>
  <c r="BB84" i="20"/>
  <c r="BA84" i="20"/>
  <c r="AZ84" i="20"/>
  <c r="AY84" i="20"/>
  <c r="AX84" i="20"/>
  <c r="AW84" i="20"/>
  <c r="AV84" i="20"/>
  <c r="AU84" i="20"/>
  <c r="AT84" i="20"/>
  <c r="AS84" i="20"/>
  <c r="AR84" i="20"/>
  <c r="AQ84" i="20"/>
  <c r="AP84" i="20"/>
  <c r="AO84" i="20"/>
  <c r="AN84" i="20"/>
  <c r="AM84" i="20"/>
  <c r="AL84" i="20"/>
  <c r="AK84" i="20"/>
  <c r="AJ84" i="20"/>
  <c r="AI84" i="20"/>
  <c r="AH84" i="20"/>
  <c r="AG84" i="20"/>
  <c r="AF84" i="20"/>
  <c r="AE84" i="20"/>
  <c r="AD84" i="20"/>
  <c r="AC84" i="20"/>
  <c r="AB84" i="20"/>
  <c r="AA84" i="20"/>
  <c r="Z84" i="20"/>
  <c r="Y84" i="20"/>
  <c r="X84" i="20"/>
  <c r="W84" i="20"/>
  <c r="V84" i="20"/>
  <c r="U84" i="20"/>
  <c r="T84" i="20"/>
  <c r="S84" i="20"/>
  <c r="R84" i="20"/>
  <c r="Q84" i="20"/>
  <c r="P84" i="20"/>
  <c r="O84" i="20"/>
  <c r="N84" i="20"/>
  <c r="M84" i="20"/>
  <c r="L84" i="20"/>
  <c r="K84" i="20"/>
  <c r="J84" i="20"/>
  <c r="I84" i="20"/>
  <c r="H84" i="20"/>
  <c r="G84" i="20"/>
  <c r="F84" i="20"/>
  <c r="E84" i="20"/>
  <c r="D84" i="20"/>
  <c r="CA82" i="20"/>
  <c r="BO82" i="20"/>
  <c r="BN82" i="20"/>
  <c r="BM82" i="20"/>
  <c r="BL82" i="20"/>
  <c r="BK82" i="20"/>
  <c r="BJ82" i="20"/>
  <c r="BI82" i="20"/>
  <c r="BH82" i="20"/>
  <c r="BG82" i="20"/>
  <c r="BF82" i="20"/>
  <c r="BE82" i="20"/>
  <c r="BD82" i="20"/>
  <c r="BC82" i="20"/>
  <c r="BB82" i="20"/>
  <c r="BA82" i="20"/>
  <c r="AZ82" i="20"/>
  <c r="AY82" i="20"/>
  <c r="AX82" i="20"/>
  <c r="AW82" i="20"/>
  <c r="AV82" i="20"/>
  <c r="AU82" i="20"/>
  <c r="AT82" i="20"/>
  <c r="AS82" i="20"/>
  <c r="AR82" i="20"/>
  <c r="AQ82" i="20"/>
  <c r="AP82" i="20"/>
  <c r="AO82" i="20"/>
  <c r="AN82" i="20"/>
  <c r="AM82" i="20"/>
  <c r="AL82" i="20"/>
  <c r="AK82" i="20"/>
  <c r="AJ82" i="20"/>
  <c r="AI82" i="20"/>
  <c r="AH82" i="20"/>
  <c r="AG82" i="20"/>
  <c r="AF82" i="20"/>
  <c r="AE82" i="20"/>
  <c r="AD82" i="20"/>
  <c r="AC82" i="20"/>
  <c r="AB82" i="20"/>
  <c r="AA82" i="20"/>
  <c r="Z82" i="20"/>
  <c r="Y82" i="20"/>
  <c r="X82" i="20"/>
  <c r="W82" i="20"/>
  <c r="V82" i="20"/>
  <c r="U82" i="20"/>
  <c r="T82" i="20"/>
  <c r="S82" i="20"/>
  <c r="R82" i="20"/>
  <c r="Q82" i="20"/>
  <c r="P82" i="20"/>
  <c r="O82" i="20"/>
  <c r="N82" i="20"/>
  <c r="M82" i="20"/>
  <c r="L82" i="20"/>
  <c r="K82" i="20"/>
  <c r="J82" i="20"/>
  <c r="I82" i="20"/>
  <c r="H82" i="20"/>
  <c r="G82" i="20"/>
  <c r="F82" i="20"/>
  <c r="E82" i="20"/>
  <c r="D82" i="20"/>
  <c r="CA81" i="20"/>
  <c r="BS81" i="20"/>
  <c r="BW81" i="20"/>
  <c r="BV81" i="20"/>
  <c r="BU81" i="20"/>
  <c r="BT81" i="20"/>
  <c r="BO81" i="20"/>
  <c r="BN81" i="20"/>
  <c r="BM81" i="20"/>
  <c r="BL81" i="20"/>
  <c r="BK81" i="20"/>
  <c r="BJ81" i="20"/>
  <c r="BI81" i="20"/>
  <c r="BH81" i="20"/>
  <c r="BG81" i="20"/>
  <c r="BF81" i="20"/>
  <c r="BE81" i="20"/>
  <c r="BD81" i="20"/>
  <c r="BC81" i="20"/>
  <c r="BB81" i="20"/>
  <c r="BA81" i="20"/>
  <c r="AZ81" i="20"/>
  <c r="AY81" i="20"/>
  <c r="AX81" i="20"/>
  <c r="AW81" i="20"/>
  <c r="AV81" i="20"/>
  <c r="AU81" i="20"/>
  <c r="AT81" i="20"/>
  <c r="AS81" i="20"/>
  <c r="AR81" i="20"/>
  <c r="AQ81" i="20"/>
  <c r="AP81" i="20"/>
  <c r="AO81" i="20"/>
  <c r="AN81" i="20"/>
  <c r="AM81" i="20"/>
  <c r="AL81" i="20"/>
  <c r="AK81" i="20"/>
  <c r="AJ81" i="20"/>
  <c r="AI81" i="20"/>
  <c r="AH81" i="20"/>
  <c r="AG81" i="20"/>
  <c r="AF81" i="20"/>
  <c r="AE81" i="20"/>
  <c r="AD81" i="20"/>
  <c r="AC81" i="20"/>
  <c r="AB81" i="20"/>
  <c r="AA81" i="20"/>
  <c r="Z81" i="20"/>
  <c r="Y81" i="20"/>
  <c r="X81" i="20"/>
  <c r="W81" i="20"/>
  <c r="V81" i="20"/>
  <c r="U81" i="20"/>
  <c r="T81" i="20"/>
  <c r="S81" i="20"/>
  <c r="R81" i="20"/>
  <c r="Q81" i="20"/>
  <c r="P81" i="20"/>
  <c r="O81" i="20"/>
  <c r="N81" i="20"/>
  <c r="M81" i="20"/>
  <c r="L81" i="20"/>
  <c r="K81" i="20"/>
  <c r="J81" i="20"/>
  <c r="I81" i="20"/>
  <c r="H81" i="20"/>
  <c r="G81" i="20"/>
  <c r="F81" i="20"/>
  <c r="E81" i="20"/>
  <c r="D81" i="20"/>
  <c r="BG79" i="20"/>
  <c r="BF79" i="20"/>
  <c r="BE79" i="20"/>
  <c r="BD79" i="20"/>
  <c r="BC79" i="20"/>
  <c r="BB79" i="20"/>
  <c r="BA79" i="20"/>
  <c r="AZ79" i="20"/>
  <c r="AY79" i="20"/>
  <c r="AX79" i="20"/>
  <c r="AW79" i="20"/>
  <c r="AV79" i="20"/>
  <c r="AU79" i="20"/>
  <c r="AT79" i="20"/>
  <c r="AS79" i="20"/>
  <c r="AR79" i="20"/>
  <c r="AQ79" i="20"/>
  <c r="AP79" i="20"/>
  <c r="AO79" i="20"/>
  <c r="AN79" i="20"/>
  <c r="AM79" i="20"/>
  <c r="AL79" i="20"/>
  <c r="AK79" i="20"/>
  <c r="AJ79" i="20"/>
  <c r="AI79" i="20"/>
  <c r="AH79" i="20"/>
  <c r="AG79" i="20"/>
  <c r="AF79" i="20"/>
  <c r="AE79" i="20"/>
  <c r="AD79" i="20"/>
  <c r="AC79" i="20"/>
  <c r="AB79" i="20"/>
  <c r="AA79" i="20"/>
  <c r="Z79" i="20"/>
  <c r="Y79" i="20"/>
  <c r="X79" i="20"/>
  <c r="W79" i="20"/>
  <c r="V79" i="20"/>
  <c r="U79" i="20"/>
  <c r="T79" i="20"/>
  <c r="S79" i="20"/>
  <c r="R79" i="20"/>
  <c r="Q79" i="20"/>
  <c r="P79" i="20"/>
  <c r="O79" i="20"/>
  <c r="N79" i="20"/>
  <c r="M79" i="20"/>
  <c r="L79" i="20"/>
  <c r="K79" i="20"/>
  <c r="J79" i="20"/>
  <c r="I79" i="20"/>
  <c r="H79" i="20"/>
  <c r="G79" i="20"/>
  <c r="F79" i="20"/>
  <c r="E79" i="20"/>
  <c r="D79" i="20"/>
  <c r="C77" i="20"/>
  <c r="AK152" i="18"/>
  <c r="Y152" i="18"/>
  <c r="AL151" i="18"/>
  <c r="AK151" i="18"/>
  <c r="AF151" i="18"/>
  <c r="AP149" i="18"/>
  <c r="AF149" i="18"/>
  <c r="AE149" i="18"/>
  <c r="AN148" i="18"/>
  <c r="AC148" i="18"/>
  <c r="AP147" i="18"/>
  <c r="AD147" i="18"/>
  <c r="AP146" i="18"/>
  <c r="AK146" i="18"/>
  <c r="X146" i="18"/>
  <c r="AO144" i="18"/>
  <c r="AJ144" i="18"/>
  <c r="AI144" i="18"/>
  <c r="AB144" i="18"/>
  <c r="AS143" i="18"/>
  <c r="AR143" i="18"/>
  <c r="AJ143" i="18"/>
  <c r="AG143" i="18"/>
  <c r="BB90" i="18"/>
  <c r="BA90" i="18"/>
  <c r="AZ90" i="18"/>
  <c r="AY90" i="18"/>
  <c r="AX90" i="18"/>
  <c r="AW90" i="18"/>
  <c r="AV90" i="18"/>
  <c r="AU90" i="18"/>
  <c r="AT90" i="18"/>
  <c r="AS90" i="18"/>
  <c r="AS152" i="18" s="1"/>
  <c r="AR90" i="18"/>
  <c r="AR152" i="18" s="1"/>
  <c r="AQ90" i="18"/>
  <c r="AQ152" i="18" s="1"/>
  <c r="AP90" i="18"/>
  <c r="AP152" i="18" s="1"/>
  <c r="AO90" i="18"/>
  <c r="AO152" i="18" s="1"/>
  <c r="AN90" i="18"/>
  <c r="AN152" i="18" s="1"/>
  <c r="AM90" i="18"/>
  <c r="AM152" i="18" s="1"/>
  <c r="AL90" i="18"/>
  <c r="AL152" i="18" s="1"/>
  <c r="AK90" i="18"/>
  <c r="AJ90" i="18"/>
  <c r="AJ152" i="18" s="1"/>
  <c r="AI90" i="18"/>
  <c r="AI152" i="18" s="1"/>
  <c r="AH90" i="18"/>
  <c r="AH152" i="18" s="1"/>
  <c r="AG90" i="18"/>
  <c r="AG152" i="18" s="1"/>
  <c r="AF90" i="18"/>
  <c r="AF152" i="18" s="1"/>
  <c r="AE90" i="18"/>
  <c r="AE152" i="18" s="1"/>
  <c r="AD90" i="18"/>
  <c r="AD152" i="18" s="1"/>
  <c r="AC90" i="18"/>
  <c r="AC152" i="18" s="1"/>
  <c r="AB90" i="18"/>
  <c r="AB152" i="18" s="1"/>
  <c r="AA90" i="18"/>
  <c r="AA152" i="18" s="1"/>
  <c r="Z90" i="18"/>
  <c r="Z152" i="18" s="1"/>
  <c r="Y90" i="18"/>
  <c r="X90" i="18"/>
  <c r="X152" i="18" s="1"/>
  <c r="BB89" i="18"/>
  <c r="BA89" i="18"/>
  <c r="AZ89" i="18"/>
  <c r="AY89" i="18"/>
  <c r="AX89" i="18"/>
  <c r="AW89" i="18"/>
  <c r="AV89" i="18"/>
  <c r="AU89" i="18"/>
  <c r="AT89" i="18"/>
  <c r="AS89" i="18"/>
  <c r="AS151" i="18" s="1"/>
  <c r="AR89" i="18"/>
  <c r="AR151" i="18" s="1"/>
  <c r="AQ89" i="18"/>
  <c r="AQ151" i="18" s="1"/>
  <c r="AP89" i="18"/>
  <c r="AP151" i="18" s="1"/>
  <c r="AO89" i="18"/>
  <c r="AO151" i="18" s="1"/>
  <c r="AN89" i="18"/>
  <c r="AN151" i="18" s="1"/>
  <c r="AM89" i="18"/>
  <c r="AM151" i="18" s="1"/>
  <c r="AL89" i="18"/>
  <c r="AK89" i="18"/>
  <c r="AJ89" i="18"/>
  <c r="AJ151" i="18" s="1"/>
  <c r="AI89" i="18"/>
  <c r="AI151" i="18" s="1"/>
  <c r="AH89" i="18"/>
  <c r="AH151" i="18" s="1"/>
  <c r="AG89" i="18"/>
  <c r="AG151" i="18" s="1"/>
  <c r="AF89" i="18"/>
  <c r="AE89" i="18"/>
  <c r="AE151" i="18" s="1"/>
  <c r="AD89" i="18"/>
  <c r="AD151" i="18" s="1"/>
  <c r="AC89" i="18"/>
  <c r="AC151" i="18" s="1"/>
  <c r="AB89" i="18"/>
  <c r="AB151" i="18" s="1"/>
  <c r="AA89" i="18"/>
  <c r="AA151" i="18" s="1"/>
  <c r="Z89" i="18"/>
  <c r="Z151" i="18" s="1"/>
  <c r="Y89" i="18"/>
  <c r="Y151" i="18" s="1"/>
  <c r="X89" i="18"/>
  <c r="X151" i="18" s="1"/>
  <c r="BB87" i="18"/>
  <c r="BA87" i="18"/>
  <c r="AZ87" i="18"/>
  <c r="AY87" i="18"/>
  <c r="AX87" i="18"/>
  <c r="AW87" i="18"/>
  <c r="AV87" i="18"/>
  <c r="AU87" i="18"/>
  <c r="AT87" i="18"/>
  <c r="AS87" i="18"/>
  <c r="AS149" i="18" s="1"/>
  <c r="AR87" i="18"/>
  <c r="AR149" i="18" s="1"/>
  <c r="AQ87" i="18"/>
  <c r="AQ149" i="18" s="1"/>
  <c r="AP87" i="18"/>
  <c r="AO87" i="18"/>
  <c r="AO149" i="18" s="1"/>
  <c r="AN87" i="18"/>
  <c r="AN149" i="18" s="1"/>
  <c r="AM87" i="18"/>
  <c r="AM149" i="18" s="1"/>
  <c r="AL87" i="18"/>
  <c r="AL149" i="18" s="1"/>
  <c r="AK87" i="18"/>
  <c r="AK149" i="18" s="1"/>
  <c r="AJ87" i="18"/>
  <c r="AJ149" i="18" s="1"/>
  <c r="AI87" i="18"/>
  <c r="AI149" i="18" s="1"/>
  <c r="AH87" i="18"/>
  <c r="AH149" i="18" s="1"/>
  <c r="AG87" i="18"/>
  <c r="AG149" i="18" s="1"/>
  <c r="AF87" i="18"/>
  <c r="AE87" i="18"/>
  <c r="AD87" i="18"/>
  <c r="AD149" i="18" s="1"/>
  <c r="AC87" i="18"/>
  <c r="AC149" i="18" s="1"/>
  <c r="AB87" i="18"/>
  <c r="AB149" i="18" s="1"/>
  <c r="AA87" i="18"/>
  <c r="AA149" i="18" s="1"/>
  <c r="Z87" i="18"/>
  <c r="Z149" i="18" s="1"/>
  <c r="Y87" i="18"/>
  <c r="Y149" i="18" s="1"/>
  <c r="X87" i="18"/>
  <c r="X149" i="18" s="1"/>
  <c r="BB86" i="18"/>
  <c r="BA86" i="18"/>
  <c r="AZ86" i="18"/>
  <c r="AY86" i="18"/>
  <c r="AX86" i="18"/>
  <c r="AW86" i="18"/>
  <c r="AV86" i="18"/>
  <c r="AU86" i="18"/>
  <c r="AT86" i="18"/>
  <c r="AS86" i="18"/>
  <c r="AS148" i="18" s="1"/>
  <c r="AR86" i="18"/>
  <c r="AR148" i="18" s="1"/>
  <c r="AQ86" i="18"/>
  <c r="AQ148" i="18" s="1"/>
  <c r="AP86" i="18"/>
  <c r="AP148" i="18" s="1"/>
  <c r="AO86" i="18"/>
  <c r="AO148" i="18" s="1"/>
  <c r="AN86" i="18"/>
  <c r="AM86" i="18"/>
  <c r="AM148" i="18" s="1"/>
  <c r="AL86" i="18"/>
  <c r="AL148" i="18" s="1"/>
  <c r="AK86" i="18"/>
  <c r="AK148" i="18" s="1"/>
  <c r="AJ86" i="18"/>
  <c r="AJ148" i="18" s="1"/>
  <c r="AI86" i="18"/>
  <c r="AI148" i="18" s="1"/>
  <c r="AH86" i="18"/>
  <c r="AH148" i="18" s="1"/>
  <c r="AG86" i="18"/>
  <c r="AG148" i="18" s="1"/>
  <c r="AF86" i="18"/>
  <c r="AF148" i="18" s="1"/>
  <c r="AE86" i="18"/>
  <c r="AE148" i="18" s="1"/>
  <c r="AD86" i="18"/>
  <c r="AD148" i="18" s="1"/>
  <c r="AC86" i="18"/>
  <c r="AB86" i="18"/>
  <c r="AB148" i="18" s="1"/>
  <c r="AA86" i="18"/>
  <c r="AA148" i="18" s="1"/>
  <c r="Z86" i="18"/>
  <c r="Z148" i="18" s="1"/>
  <c r="Y86" i="18"/>
  <c r="Y148" i="18" s="1"/>
  <c r="X86" i="18"/>
  <c r="X148" i="18" s="1"/>
  <c r="BB85" i="18"/>
  <c r="BA85" i="18"/>
  <c r="AZ85" i="18"/>
  <c r="AY85" i="18"/>
  <c r="AX85" i="18"/>
  <c r="AW85" i="18"/>
  <c r="AV85" i="18"/>
  <c r="AU85" i="18"/>
  <c r="AT85" i="18"/>
  <c r="AS85" i="18"/>
  <c r="AS147" i="18" s="1"/>
  <c r="AR85" i="18"/>
  <c r="AR147" i="18" s="1"/>
  <c r="AQ85" i="18"/>
  <c r="AQ147" i="18" s="1"/>
  <c r="AP85" i="18"/>
  <c r="AO85" i="18"/>
  <c r="AO147" i="18" s="1"/>
  <c r="AN85" i="18"/>
  <c r="AN147" i="18" s="1"/>
  <c r="AM85" i="18"/>
  <c r="AM147" i="18" s="1"/>
  <c r="AL85" i="18"/>
  <c r="AL147" i="18" s="1"/>
  <c r="AK85" i="18"/>
  <c r="AK147" i="18" s="1"/>
  <c r="AJ85" i="18"/>
  <c r="AJ147" i="18" s="1"/>
  <c r="AI85" i="18"/>
  <c r="AI147" i="18" s="1"/>
  <c r="AH85" i="18"/>
  <c r="AH147" i="18" s="1"/>
  <c r="AG85" i="18"/>
  <c r="AG147" i="18" s="1"/>
  <c r="AF85" i="18"/>
  <c r="AF147" i="18" s="1"/>
  <c r="AE85" i="18"/>
  <c r="AE147" i="18" s="1"/>
  <c r="AD85" i="18"/>
  <c r="AC85" i="18"/>
  <c r="AC147" i="18" s="1"/>
  <c r="AB85" i="18"/>
  <c r="AB147" i="18" s="1"/>
  <c r="AA85" i="18"/>
  <c r="AA147" i="18" s="1"/>
  <c r="Z85" i="18"/>
  <c r="Z147" i="18" s="1"/>
  <c r="Y85" i="18"/>
  <c r="Y147" i="18" s="1"/>
  <c r="X85" i="18"/>
  <c r="X147" i="18" s="1"/>
  <c r="BB84" i="18"/>
  <c r="BA84" i="18"/>
  <c r="AZ84" i="18"/>
  <c r="AY84" i="18"/>
  <c r="AX84" i="18"/>
  <c r="AW84" i="18"/>
  <c r="AV84" i="18"/>
  <c r="AU84" i="18"/>
  <c r="AT84" i="18"/>
  <c r="AS84" i="18"/>
  <c r="AS146" i="18" s="1"/>
  <c r="AR84" i="18"/>
  <c r="AR146" i="18" s="1"/>
  <c r="AQ84" i="18"/>
  <c r="AQ146" i="18" s="1"/>
  <c r="AP84" i="18"/>
  <c r="AO84" i="18"/>
  <c r="AO146" i="18" s="1"/>
  <c r="AN84" i="18"/>
  <c r="AN146" i="18" s="1"/>
  <c r="AM84" i="18"/>
  <c r="AM146" i="18" s="1"/>
  <c r="AL84" i="18"/>
  <c r="AL146" i="18" s="1"/>
  <c r="AK84" i="18"/>
  <c r="AJ84" i="18"/>
  <c r="AJ146" i="18" s="1"/>
  <c r="AI84" i="18"/>
  <c r="AI146" i="18" s="1"/>
  <c r="AH84" i="18"/>
  <c r="AH146" i="18" s="1"/>
  <c r="AG84" i="18"/>
  <c r="AG146" i="18" s="1"/>
  <c r="AF84" i="18"/>
  <c r="AF146" i="18" s="1"/>
  <c r="AE84" i="18"/>
  <c r="AE146" i="18" s="1"/>
  <c r="AD84" i="18"/>
  <c r="AD146" i="18" s="1"/>
  <c r="AC84" i="18"/>
  <c r="AC146" i="18" s="1"/>
  <c r="AB84" i="18"/>
  <c r="AB146" i="18" s="1"/>
  <c r="AA84" i="18"/>
  <c r="AA146" i="18" s="1"/>
  <c r="Z84" i="18"/>
  <c r="Z146" i="18" s="1"/>
  <c r="Y84" i="18"/>
  <c r="Y146" i="18" s="1"/>
  <c r="X84" i="18"/>
  <c r="BB82" i="18"/>
  <c r="BA82" i="18"/>
  <c r="AZ82" i="18"/>
  <c r="AY82" i="18"/>
  <c r="AX82" i="18"/>
  <c r="AW82" i="18"/>
  <c r="AV82" i="18"/>
  <c r="AU82" i="18"/>
  <c r="AT82" i="18"/>
  <c r="AS82" i="18"/>
  <c r="AS144" i="18" s="1"/>
  <c r="AR82" i="18"/>
  <c r="AR144" i="18" s="1"/>
  <c r="AQ82" i="18"/>
  <c r="AQ144" i="18" s="1"/>
  <c r="AP82" i="18"/>
  <c r="AP144" i="18" s="1"/>
  <c r="AO82" i="18"/>
  <c r="AN82" i="18"/>
  <c r="AN144" i="18" s="1"/>
  <c r="AM82" i="18"/>
  <c r="AM144" i="18" s="1"/>
  <c r="AL82" i="18"/>
  <c r="AL144" i="18" s="1"/>
  <c r="AK82" i="18"/>
  <c r="AK144" i="18" s="1"/>
  <c r="AJ82" i="18"/>
  <c r="AI82" i="18"/>
  <c r="AH82" i="18"/>
  <c r="AH144" i="18" s="1"/>
  <c r="AG82" i="18"/>
  <c r="AG144" i="18" s="1"/>
  <c r="AF82" i="18"/>
  <c r="AF144" i="18" s="1"/>
  <c r="AE82" i="18"/>
  <c r="AE144" i="18" s="1"/>
  <c r="AD82" i="18"/>
  <c r="AD144" i="18" s="1"/>
  <c r="AC82" i="18"/>
  <c r="AC144" i="18" s="1"/>
  <c r="AB82" i="18"/>
  <c r="AA82" i="18"/>
  <c r="AA144" i="18" s="1"/>
  <c r="Z82" i="18"/>
  <c r="Z144" i="18" s="1"/>
  <c r="Y82" i="18"/>
  <c r="Y144" i="18" s="1"/>
  <c r="X82" i="18"/>
  <c r="X144" i="18" s="1"/>
  <c r="BB81" i="18"/>
  <c r="BA81" i="18"/>
  <c r="AZ81" i="18"/>
  <c r="AY81" i="18"/>
  <c r="AX81" i="18"/>
  <c r="AW81" i="18"/>
  <c r="AV81" i="18"/>
  <c r="AU81" i="18"/>
  <c r="AT81" i="18"/>
  <c r="AS81" i="18"/>
  <c r="AR81" i="18"/>
  <c r="AQ81" i="18"/>
  <c r="AQ143" i="18" s="1"/>
  <c r="AP81" i="18"/>
  <c r="AP143" i="18" s="1"/>
  <c r="AO81" i="18"/>
  <c r="AO143" i="18" s="1"/>
  <c r="AN81" i="18"/>
  <c r="AN143" i="18" s="1"/>
  <c r="AM81" i="18"/>
  <c r="AM143" i="18" s="1"/>
  <c r="AL81" i="18"/>
  <c r="AL143" i="18" s="1"/>
  <c r="AK81" i="18"/>
  <c r="AK143" i="18" s="1"/>
  <c r="AJ81" i="18"/>
  <c r="AI81" i="18"/>
  <c r="AI143" i="18" s="1"/>
  <c r="AH81" i="18"/>
  <c r="AH143" i="18" s="1"/>
  <c r="AG81" i="18"/>
  <c r="AF81" i="18"/>
  <c r="AF143" i="18" s="1"/>
  <c r="AE81" i="18"/>
  <c r="AE143" i="18" s="1"/>
  <c r="AD81" i="18"/>
  <c r="AD143" i="18" s="1"/>
  <c r="AC81" i="18"/>
  <c r="AC143" i="18" s="1"/>
  <c r="AB81" i="18"/>
  <c r="AB143" i="18" s="1"/>
  <c r="AA81" i="18"/>
  <c r="AA143" i="18" s="1"/>
  <c r="Z81" i="18"/>
  <c r="Z143" i="18" s="1"/>
  <c r="Y81" i="18"/>
  <c r="Y143" i="18" s="1"/>
  <c r="X81" i="18"/>
  <c r="X143" i="18" s="1"/>
  <c r="AS79" i="18"/>
  <c r="AR79" i="18"/>
  <c r="AQ79" i="18"/>
  <c r="AP79" i="18"/>
  <c r="AO79" i="18"/>
  <c r="AN79" i="18"/>
  <c r="AM79" i="18"/>
  <c r="AL79" i="18"/>
  <c r="AK79" i="18"/>
  <c r="AJ79" i="18"/>
  <c r="AI79" i="18"/>
  <c r="AH79" i="18"/>
  <c r="AG79" i="18"/>
  <c r="AF79" i="18"/>
  <c r="AE79" i="18"/>
  <c r="AD79" i="18"/>
  <c r="AC79" i="18"/>
  <c r="AB79" i="18"/>
  <c r="AA79" i="18"/>
  <c r="Z79" i="18"/>
  <c r="Y79" i="18"/>
  <c r="X79" i="18"/>
  <c r="C77" i="18"/>
  <c r="BC67" i="18"/>
  <c r="BC66" i="18"/>
  <c r="BC62" i="18"/>
  <c r="BC61" i="18"/>
  <c r="BC57" i="18"/>
  <c r="BC56" i="18"/>
  <c r="BC53" i="18"/>
  <c r="BC49" i="18"/>
  <c r="BC48" i="18"/>
  <c r="BC47" i="18"/>
  <c r="BC44" i="18"/>
  <c r="BC43" i="18"/>
  <c r="BC42" i="18"/>
  <c r="BC37" i="18"/>
  <c r="BC36" i="18"/>
  <c r="BC33" i="18"/>
  <c r="BC32" i="18"/>
  <c r="BC25" i="18"/>
  <c r="BC24" i="18"/>
  <c r="BC23" i="18"/>
  <c r="BC20" i="18"/>
  <c r="BC19" i="18"/>
  <c r="BC18" i="18"/>
  <c r="BC17" i="18"/>
  <c r="BB17" i="18" s="1"/>
  <c r="BC16" i="18"/>
  <c r="BC12" i="18"/>
  <c r="BC11" i="18"/>
  <c r="BT89" i="20" l="1"/>
  <c r="BV82" i="20"/>
  <c r="CE85" i="20"/>
  <c r="CB82" i="20"/>
  <c r="CC82" i="20"/>
  <c r="CE82" i="20"/>
  <c r="BR82" i="20"/>
  <c r="CE87" i="20"/>
  <c r="BP81" i="20"/>
  <c r="BQ81" i="20"/>
  <c r="BP82" i="20"/>
  <c r="BX82" i="20"/>
  <c r="BS90" i="20"/>
  <c r="BR89" i="20"/>
  <c r="CA90" i="20"/>
  <c r="CC81" i="20"/>
  <c r="BQ87" i="20"/>
  <c r="BW89" i="20"/>
  <c r="CB90" i="20"/>
  <c r="CC90" i="20"/>
  <c r="CE81" i="20"/>
  <c r="BW84" i="20"/>
  <c r="BV85" i="20"/>
  <c r="BS87" i="20"/>
  <c r="CB89" i="20"/>
  <c r="CE90" i="20"/>
  <c r="BT82" i="20"/>
  <c r="BX84" i="20"/>
  <c r="BW85" i="20"/>
  <c r="BX87" i="20"/>
  <c r="CC89" i="20"/>
  <c r="BX90" i="20"/>
  <c r="BX81" i="20"/>
  <c r="BU89" i="20"/>
  <c r="BZ90" i="20"/>
  <c r="BP87" i="20"/>
  <c r="CD81" i="20"/>
  <c r="BT84" i="20"/>
  <c r="BX89" i="20"/>
  <c r="BX85" i="20"/>
  <c r="CB87" i="20"/>
  <c r="CD89" i="20"/>
  <c r="BW82" i="20"/>
  <c r="CA85" i="20"/>
  <c r="CC87" i="20"/>
  <c r="CB85" i="20"/>
  <c r="BP89" i="20"/>
  <c r="BQ89" i="20"/>
  <c r="BY84" i="20"/>
  <c r="BZ84" i="20"/>
  <c r="BQ82" i="20"/>
  <c r="BY85" i="20"/>
  <c r="BU87" i="20"/>
  <c r="BQ90" i="20"/>
  <c r="BT87" i="20"/>
  <c r="BP84" i="20"/>
  <c r="CB84" i="20"/>
  <c r="BV87" i="20"/>
  <c r="CC84" i="20"/>
  <c r="CD84" i="20"/>
  <c r="BP85" i="20"/>
  <c r="BQ85" i="20"/>
  <c r="CC85" i="20"/>
  <c r="BY87" i="20"/>
  <c r="BR85" i="20"/>
  <c r="BP86" i="20"/>
  <c r="CB86" i="20"/>
  <c r="BZ87" i="20"/>
  <c r="BY81" i="20"/>
  <c r="BU84" i="20"/>
  <c r="BQ86" i="20"/>
  <c r="CC86" i="20"/>
  <c r="BY89" i="20"/>
  <c r="BZ81" i="20"/>
  <c r="BT85" i="20"/>
  <c r="BR86" i="20"/>
  <c r="CD86" i="20"/>
  <c r="BZ89"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Jankulov Suljagic, Irena</author>
  </authors>
  <commentList>
    <comment ref="A6" authorId="0" shapeId="0" xr:uid="{0239AC69-6EB4-4387-A13E-87AD824B7027}">
      <text>
        <r>
          <rPr>
            <b/>
            <sz val="9"/>
            <color indexed="81"/>
            <rFont val="Tahoma"/>
            <family val="2"/>
          </rPr>
          <t>Updated by IMFNT\IJANKULOV on 9/9/2024 1:44:16 PM
Latest revision date 8/29/2024 1:47:56 PM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Jankulov Suljagic, Irena</author>
  </authors>
  <commentList>
    <comment ref="A6" authorId="0" shapeId="0" xr:uid="{90CAFEE0-4F2F-46C1-8454-C7786787E9D7}">
      <text>
        <r>
          <rPr>
            <b/>
            <sz val="9"/>
            <color indexed="81"/>
            <rFont val="Tahoma"/>
            <family val="2"/>
          </rPr>
          <t>Updated by IMFNT\IJANKULOV on 9/9/2024 3:54:56 PM
Latest revision date 9/9/2024 5:33:37 AM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Chueca Montuenga, Jesus Enrique</author>
  </authors>
  <commentList>
    <comment ref="A4" authorId="0" shapeId="0" xr:uid="{978BFD9D-551B-4E0D-95A7-ECA1102C6BC0}">
      <text>
        <r>
          <rPr>
            <b/>
            <sz val="9"/>
            <color indexed="81"/>
            <rFont val="Tahoma"/>
            <family val="2"/>
          </rPr>
          <t>Updated by IMFNT\JCHUECAMONTUENGA on 9/4/2023 6:14:47 PM</t>
        </r>
      </text>
    </comment>
    <comment ref="H4" authorId="0" shapeId="0" xr:uid="{742F0F93-0AC0-4BD8-8E1A-E9980B5B679D}">
      <text>
        <r>
          <rPr>
            <b/>
            <sz val="9"/>
            <color indexed="81"/>
            <rFont val="Tahoma"/>
            <family val="2"/>
          </rPr>
          <t>Updated by IMFNT\JCHUECAMONTUENGA on 9/4/2023 6:14:49 PM</t>
        </r>
      </text>
    </comment>
    <comment ref="O4" authorId="0" shapeId="0" xr:uid="{741DC691-479D-4810-B6E5-3F1B60F646D8}">
      <text>
        <r>
          <rPr>
            <b/>
            <sz val="9"/>
            <color indexed="81"/>
            <rFont val="Tahoma"/>
            <family val="2"/>
          </rPr>
          <t>Updated by IMFNT\JCHUECAMONTUENGA on 9/4/2023 6:14:49 PM</t>
        </r>
      </text>
    </comment>
    <comment ref="U4" authorId="0" shapeId="0" xr:uid="{486B5A88-7A29-400E-A1CA-AF1F7832249B}">
      <text>
        <r>
          <rPr>
            <b/>
            <sz val="9"/>
            <color indexed="81"/>
            <rFont val="Tahoma"/>
            <family val="2"/>
          </rPr>
          <t>Updated by IMFNT\JCHUECAMONTUENGA on 9/4/2023 6:14:50 PM</t>
        </r>
      </text>
    </comment>
    <comment ref="B5" authorId="0" shapeId="0" xr:uid="{9FC3FE7F-7D7B-4E43-A01D-1840B0F614DE}">
      <text>
        <r>
          <rPr>
            <b/>
            <sz val="9"/>
            <color indexed="81"/>
            <rFont val="Tahoma"/>
            <family val="2"/>
          </rPr>
          <t>Time series code was not found in the database</t>
        </r>
      </text>
    </comment>
    <comment ref="I5" authorId="0" shapeId="0" xr:uid="{46B21934-1C03-417D-8E68-72662B30B001}">
      <text>
        <r>
          <rPr>
            <b/>
            <sz val="9"/>
            <color indexed="81"/>
            <rFont val="Tahoma"/>
            <family val="2"/>
          </rPr>
          <t>Time series code was not found in the database</t>
        </r>
      </text>
    </comment>
    <comment ref="P5" authorId="0" shapeId="0" xr:uid="{677593D7-5151-40FB-8B61-E49EA7712D2C}">
      <text>
        <r>
          <rPr>
            <b/>
            <sz val="9"/>
            <color indexed="81"/>
            <rFont val="Tahoma"/>
            <family val="2"/>
          </rPr>
          <t>Time series code was not found in the database</t>
        </r>
      </text>
    </comment>
    <comment ref="V5" authorId="0" shapeId="0" xr:uid="{29A83ACA-042E-4496-B682-81862BECE17D}">
      <text>
        <r>
          <rPr>
            <b/>
            <sz val="9"/>
            <color indexed="81"/>
            <rFont val="Tahoma"/>
            <family val="2"/>
          </rPr>
          <t>Time series code was not found in the database</t>
        </r>
      </text>
    </comment>
    <comment ref="B6" authorId="0" shapeId="0" xr:uid="{7DB5A6A7-6CA9-42DD-9B81-371C3C5B6427}">
      <text>
        <r>
          <rPr>
            <b/>
            <sz val="9"/>
            <color indexed="81"/>
            <rFont val="Tahoma"/>
            <family val="2"/>
          </rPr>
          <t>The time series code is required.</t>
        </r>
      </text>
    </comment>
    <comment ref="B7" authorId="0" shapeId="0" xr:uid="{188359A1-4479-4355-B4EE-275FFD9B45A1}">
      <text>
        <r>
          <rPr>
            <b/>
            <sz val="9"/>
            <color indexed="81"/>
            <rFont val="Tahoma"/>
            <family val="2"/>
          </rPr>
          <t>The time series code is required.</t>
        </r>
      </text>
    </comment>
    <comment ref="B8" authorId="0" shapeId="0" xr:uid="{1B9C2140-3DE9-4C26-A6F0-F27A9A1BD22A}">
      <text>
        <r>
          <rPr>
            <b/>
            <sz val="9"/>
            <color indexed="81"/>
            <rFont val="Tahoma"/>
            <family val="2"/>
          </rPr>
          <t>The time series code is required.</t>
        </r>
      </text>
    </comment>
    <comment ref="B9" authorId="0" shapeId="0" xr:uid="{7EBA1793-2B97-46C3-9E23-88D37960EF7D}">
      <text>
        <r>
          <rPr>
            <b/>
            <sz val="9"/>
            <color indexed="81"/>
            <rFont val="Tahoma"/>
            <family val="2"/>
          </rPr>
          <t>The time series code is required.</t>
        </r>
      </text>
    </comment>
    <comment ref="B10" authorId="0" shapeId="0" xr:uid="{E0BD1B47-5A85-401A-8AFE-D08FD2C7C0BC}">
      <text>
        <r>
          <rPr>
            <b/>
            <sz val="9"/>
            <color indexed="81"/>
            <rFont val="Tahoma"/>
            <family val="2"/>
          </rPr>
          <t>The time series code is required.</t>
        </r>
      </text>
    </comment>
    <comment ref="B11" authorId="0" shapeId="0" xr:uid="{BDD798D3-6945-420A-BD0A-28C2C69D7E42}">
      <text>
        <r>
          <rPr>
            <b/>
            <sz val="9"/>
            <color indexed="81"/>
            <rFont val="Tahoma"/>
            <family val="2"/>
          </rPr>
          <t>The time series code is required.</t>
        </r>
      </text>
    </comment>
    <comment ref="B12" authorId="0" shapeId="0" xr:uid="{8CDC2A81-B988-4556-AC1B-E2F18E5D5D3A}">
      <text>
        <r>
          <rPr>
            <b/>
            <sz val="9"/>
            <color indexed="81"/>
            <rFont val="Tahoma"/>
            <family val="2"/>
          </rPr>
          <t>The time series code is required.</t>
        </r>
      </text>
    </comment>
    <comment ref="B13" authorId="0" shapeId="0" xr:uid="{C9E34429-C37A-4754-ACEA-AFCEFC3F9683}">
      <text>
        <r>
          <rPr>
            <b/>
            <sz val="9"/>
            <color indexed="81"/>
            <rFont val="Tahoma"/>
            <family val="2"/>
          </rPr>
          <t>The time series code is required.</t>
        </r>
      </text>
    </comment>
    <comment ref="B14" authorId="0" shapeId="0" xr:uid="{6DF4C63B-A8D2-4FA6-8B2A-6B3FC7A66A44}">
      <text>
        <r>
          <rPr>
            <b/>
            <sz val="9"/>
            <color indexed="81"/>
            <rFont val="Tahoma"/>
            <family val="2"/>
          </rPr>
          <t>The time series code is required.</t>
        </r>
      </text>
    </comment>
    <comment ref="B15" authorId="0" shapeId="0" xr:uid="{052CB1DE-5E83-4C27-BCFB-0D8DA273D89D}">
      <text>
        <r>
          <rPr>
            <b/>
            <sz val="9"/>
            <color indexed="81"/>
            <rFont val="Tahoma"/>
            <family val="2"/>
          </rPr>
          <t>The time series code is required.</t>
        </r>
      </text>
    </comment>
    <comment ref="B16" authorId="0" shapeId="0" xr:uid="{D2EAED65-D163-45C1-9128-136AECBF212A}">
      <text>
        <r>
          <rPr>
            <b/>
            <sz val="9"/>
            <color indexed="81"/>
            <rFont val="Tahoma"/>
            <family val="2"/>
          </rPr>
          <t>The time series code is required.</t>
        </r>
      </text>
    </comment>
    <comment ref="B17" authorId="0" shapeId="0" xr:uid="{622C66C4-13F2-4038-BE11-C2812979CB8D}">
      <text>
        <r>
          <rPr>
            <b/>
            <sz val="9"/>
            <color indexed="81"/>
            <rFont val="Tahoma"/>
            <family val="2"/>
          </rPr>
          <t>The time series code is required.</t>
        </r>
      </text>
    </comment>
    <comment ref="B18" authorId="0" shapeId="0" xr:uid="{594EB7BC-32AD-428C-AA29-66857B8ED250}">
      <text>
        <r>
          <rPr>
            <b/>
            <sz val="9"/>
            <color indexed="81"/>
            <rFont val="Tahoma"/>
            <family val="2"/>
          </rPr>
          <t>The time series code is required.</t>
        </r>
      </text>
    </comment>
    <comment ref="B19" authorId="0" shapeId="0" xr:uid="{D49CF301-2044-4D4E-B349-E294C695FE47}">
      <text>
        <r>
          <rPr>
            <b/>
            <sz val="9"/>
            <color indexed="81"/>
            <rFont val="Tahoma"/>
            <family val="2"/>
          </rPr>
          <t>The time series code is required.</t>
        </r>
      </text>
    </comment>
    <comment ref="B20" authorId="0" shapeId="0" xr:uid="{6A4DAC0F-9F24-48B2-A2B1-010B9E9C8808}">
      <text>
        <r>
          <rPr>
            <b/>
            <sz val="9"/>
            <color indexed="81"/>
            <rFont val="Tahoma"/>
            <family val="2"/>
          </rPr>
          <t>The time series code is required.</t>
        </r>
      </text>
    </comment>
    <comment ref="B21" authorId="0" shapeId="0" xr:uid="{F3BCB56F-B256-4997-BDEE-559992101191}">
      <text>
        <r>
          <rPr>
            <b/>
            <sz val="9"/>
            <color indexed="81"/>
            <rFont val="Tahoma"/>
            <family val="2"/>
          </rPr>
          <t>The time series code is required.</t>
        </r>
      </text>
    </comment>
    <comment ref="B22" authorId="0" shapeId="0" xr:uid="{EDA648B6-90BF-4C6C-BB80-2ACB7C158F2A}">
      <text>
        <r>
          <rPr>
            <b/>
            <sz val="9"/>
            <color indexed="81"/>
            <rFont val="Tahoma"/>
            <family val="2"/>
          </rPr>
          <t>The time series code is required.</t>
        </r>
      </text>
    </comment>
    <comment ref="B23" authorId="0" shapeId="0" xr:uid="{DBED6896-9D23-4817-9B7A-1ED8C64865F7}">
      <text>
        <r>
          <rPr>
            <b/>
            <sz val="9"/>
            <color indexed="81"/>
            <rFont val="Tahoma"/>
            <family val="2"/>
          </rPr>
          <t>The time series code is required.</t>
        </r>
      </text>
    </comment>
    <comment ref="B24" authorId="0" shapeId="0" xr:uid="{562FFE87-5340-44FB-A948-12369AA309B4}">
      <text>
        <r>
          <rPr>
            <b/>
            <sz val="9"/>
            <color indexed="81"/>
            <rFont val="Tahoma"/>
            <family val="2"/>
          </rPr>
          <t>The time series code is required.</t>
        </r>
      </text>
    </comment>
    <comment ref="B25" authorId="0" shapeId="0" xr:uid="{CFF87783-9B64-4FC0-A538-7CC8CC4E5688}">
      <text>
        <r>
          <rPr>
            <b/>
            <sz val="9"/>
            <color indexed="81"/>
            <rFont val="Tahoma"/>
            <family val="2"/>
          </rPr>
          <t>The time series code is required.</t>
        </r>
      </text>
    </comment>
    <comment ref="B26" authorId="0" shapeId="0" xr:uid="{28F53371-CF93-4CFB-93FC-2DCB7F721971}">
      <text>
        <r>
          <rPr>
            <b/>
            <sz val="9"/>
            <color indexed="81"/>
            <rFont val="Tahoma"/>
            <family val="2"/>
          </rPr>
          <t>The time series code is required.</t>
        </r>
      </text>
    </comment>
    <comment ref="B27" authorId="0" shapeId="0" xr:uid="{1E4A6A87-8692-4839-BF64-BDCC3A804FDE}">
      <text>
        <r>
          <rPr>
            <b/>
            <sz val="9"/>
            <color indexed="81"/>
            <rFont val="Tahoma"/>
            <family val="2"/>
          </rPr>
          <t>The time series code is required.</t>
        </r>
      </text>
    </comment>
    <comment ref="B28" authorId="0" shapeId="0" xr:uid="{1D4817CE-C730-4584-9A60-36AFF9425939}">
      <text>
        <r>
          <rPr>
            <b/>
            <sz val="9"/>
            <color indexed="81"/>
            <rFont val="Tahoma"/>
            <family val="2"/>
          </rPr>
          <t>The time series code is required.</t>
        </r>
      </text>
    </comment>
    <comment ref="B29" authorId="0" shapeId="0" xr:uid="{186F9F64-A7E1-4E70-8785-771B9AB86B87}">
      <text>
        <r>
          <rPr>
            <b/>
            <sz val="9"/>
            <color indexed="81"/>
            <rFont val="Tahoma"/>
            <family val="2"/>
          </rPr>
          <t>The time series code is required.</t>
        </r>
      </text>
    </comment>
    <comment ref="B30" authorId="0" shapeId="0" xr:uid="{4DF3F730-5173-4490-8ABA-2111F827EA3D}">
      <text>
        <r>
          <rPr>
            <b/>
            <sz val="9"/>
            <color indexed="81"/>
            <rFont val="Tahoma"/>
            <family val="2"/>
          </rPr>
          <t>The time series code is required.</t>
        </r>
      </text>
    </comment>
    <comment ref="B31" authorId="0" shapeId="0" xr:uid="{D685EECC-5830-41A3-820A-22E891884511}">
      <text>
        <r>
          <rPr>
            <b/>
            <sz val="9"/>
            <color indexed="81"/>
            <rFont val="Tahoma"/>
            <family val="2"/>
          </rPr>
          <t>The time series code is required.</t>
        </r>
      </text>
    </comment>
    <comment ref="B32" authorId="0" shapeId="0" xr:uid="{696B1F5D-888C-46D0-B175-E1DA925B8471}">
      <text>
        <r>
          <rPr>
            <b/>
            <sz val="9"/>
            <color indexed="81"/>
            <rFont val="Tahoma"/>
            <family val="2"/>
          </rPr>
          <t>The time series code is required.</t>
        </r>
      </text>
    </comment>
    <comment ref="B33" authorId="0" shapeId="0" xr:uid="{4EC85560-14A6-4E92-A13A-69CCC9394D2C}">
      <text>
        <r>
          <rPr>
            <b/>
            <sz val="9"/>
            <color indexed="81"/>
            <rFont val="Tahoma"/>
            <family val="2"/>
          </rPr>
          <t>The time series code is required.</t>
        </r>
      </text>
    </comment>
    <comment ref="B34" authorId="0" shapeId="0" xr:uid="{DF048B37-C921-4D70-867C-EB0D3EF2A9A6}">
      <text>
        <r>
          <rPr>
            <b/>
            <sz val="9"/>
            <color indexed="81"/>
            <rFont val="Tahoma"/>
            <family val="2"/>
          </rPr>
          <t>The time series code is required.</t>
        </r>
      </text>
    </comment>
    <comment ref="B35" authorId="0" shapeId="0" xr:uid="{12CD029C-8579-441B-970C-C57A4F19FCBB}">
      <text>
        <r>
          <rPr>
            <b/>
            <sz val="9"/>
            <color indexed="81"/>
            <rFont val="Tahoma"/>
            <family val="2"/>
          </rPr>
          <t>The time series code is required.</t>
        </r>
      </text>
    </comment>
    <comment ref="B36" authorId="0" shapeId="0" xr:uid="{A4A2E8B8-3EA4-49DE-BB5A-360B41802A7F}">
      <text>
        <r>
          <rPr>
            <b/>
            <sz val="9"/>
            <color indexed="81"/>
            <rFont val="Tahoma"/>
            <family val="2"/>
          </rPr>
          <t>The time series code is required.</t>
        </r>
      </text>
    </comment>
    <comment ref="B37" authorId="0" shapeId="0" xr:uid="{20C78A5E-106C-4CBA-BEF8-2C379ED67AED}">
      <text>
        <r>
          <rPr>
            <b/>
            <sz val="9"/>
            <color indexed="81"/>
            <rFont val="Tahoma"/>
            <family val="2"/>
          </rPr>
          <t>The time series code is required.</t>
        </r>
      </text>
    </comment>
    <comment ref="B38" authorId="0" shapeId="0" xr:uid="{8ECD0F33-9CCA-446C-801C-F57906A21354}">
      <text>
        <r>
          <rPr>
            <b/>
            <sz val="9"/>
            <color indexed="81"/>
            <rFont val="Tahoma"/>
            <family val="2"/>
          </rPr>
          <t>The time series code is required.</t>
        </r>
      </text>
    </comment>
    <comment ref="B39" authorId="0" shapeId="0" xr:uid="{AEEDC6AF-06A6-42BD-9A2C-89056704DAB6}">
      <text>
        <r>
          <rPr>
            <b/>
            <sz val="9"/>
            <color indexed="81"/>
            <rFont val="Tahoma"/>
            <family val="2"/>
          </rPr>
          <t>The time series code is required.</t>
        </r>
      </text>
    </comment>
    <comment ref="B40" authorId="0" shapeId="0" xr:uid="{11158B8D-6E66-426D-8277-12EAE3421E7E}">
      <text>
        <r>
          <rPr>
            <b/>
            <sz val="9"/>
            <color indexed="81"/>
            <rFont val="Tahoma"/>
            <family val="2"/>
          </rPr>
          <t>The time series code is required.</t>
        </r>
      </text>
    </comment>
    <comment ref="B41" authorId="0" shapeId="0" xr:uid="{79320430-847D-4A0C-90C6-407CCF866286}">
      <text>
        <r>
          <rPr>
            <b/>
            <sz val="9"/>
            <color indexed="81"/>
            <rFont val="Tahoma"/>
            <family val="2"/>
          </rPr>
          <t>The time series code is required.</t>
        </r>
      </text>
    </comment>
    <comment ref="B42" authorId="0" shapeId="0" xr:uid="{33F45A55-E10F-425C-94A4-24D8B1CE5CD8}">
      <text>
        <r>
          <rPr>
            <b/>
            <sz val="9"/>
            <color indexed="81"/>
            <rFont val="Tahoma"/>
            <family val="2"/>
          </rPr>
          <t>The time series code is required.</t>
        </r>
      </text>
    </comment>
    <comment ref="B43" authorId="0" shapeId="0" xr:uid="{D9AD894C-5638-4255-9752-92BF00297272}">
      <text>
        <r>
          <rPr>
            <b/>
            <sz val="9"/>
            <color indexed="81"/>
            <rFont val="Tahoma"/>
            <family val="2"/>
          </rPr>
          <t>The time series code is required.</t>
        </r>
      </text>
    </comment>
    <comment ref="B44" authorId="0" shapeId="0" xr:uid="{FE371C53-A1C7-44A4-8EAA-33AA3249048C}">
      <text>
        <r>
          <rPr>
            <b/>
            <sz val="9"/>
            <color indexed="81"/>
            <rFont val="Tahoma"/>
            <family val="2"/>
          </rPr>
          <t>The time series code is required.</t>
        </r>
      </text>
    </comment>
    <comment ref="B45" authorId="0" shapeId="0" xr:uid="{389E3A9B-83FA-4A80-8785-0CB45205F894}">
      <text>
        <r>
          <rPr>
            <b/>
            <sz val="9"/>
            <color indexed="81"/>
            <rFont val="Tahoma"/>
            <family val="2"/>
          </rPr>
          <t>The time series code is required.</t>
        </r>
      </text>
    </comment>
    <comment ref="B46" authorId="0" shapeId="0" xr:uid="{686EAC37-E07F-4199-A32C-F4B889DCDBB7}">
      <text>
        <r>
          <rPr>
            <b/>
            <sz val="9"/>
            <color indexed="81"/>
            <rFont val="Tahoma"/>
            <family val="2"/>
          </rPr>
          <t>The time series code is required.</t>
        </r>
      </text>
    </comment>
    <comment ref="B47" authorId="0" shapeId="0" xr:uid="{C6B13FD6-0E1E-4E1D-AB08-BF708BEBBD08}">
      <text>
        <r>
          <rPr>
            <b/>
            <sz val="9"/>
            <color indexed="81"/>
            <rFont val="Tahoma"/>
            <family val="2"/>
          </rPr>
          <t>The time series code is required.</t>
        </r>
      </text>
    </comment>
    <comment ref="B48" authorId="0" shapeId="0" xr:uid="{17860ED0-FBFE-4CD6-A454-61992167DB5A}">
      <text>
        <r>
          <rPr>
            <b/>
            <sz val="9"/>
            <color indexed="81"/>
            <rFont val="Tahoma"/>
            <family val="2"/>
          </rPr>
          <t>The time series code is required.</t>
        </r>
      </text>
    </comment>
    <comment ref="B49" authorId="0" shapeId="0" xr:uid="{1FDB8AAE-713F-415E-B132-F4FDA54D99F2}">
      <text>
        <r>
          <rPr>
            <b/>
            <sz val="9"/>
            <color indexed="81"/>
            <rFont val="Tahoma"/>
            <family val="2"/>
          </rPr>
          <t>The time series code is required.</t>
        </r>
      </text>
    </comment>
    <comment ref="B50" authorId="0" shapeId="0" xr:uid="{87FF7689-4170-4AF4-909A-1675B4528741}">
      <text>
        <r>
          <rPr>
            <b/>
            <sz val="9"/>
            <color indexed="81"/>
            <rFont val="Tahoma"/>
            <family val="2"/>
          </rPr>
          <t>The time series code is required.</t>
        </r>
      </text>
    </comment>
    <comment ref="B51" authorId="0" shapeId="0" xr:uid="{C60E7B3A-C0EE-4B3B-B920-C87FC6E156A4}">
      <text>
        <r>
          <rPr>
            <b/>
            <sz val="9"/>
            <color indexed="81"/>
            <rFont val="Tahoma"/>
            <family val="2"/>
          </rPr>
          <t>The time series code is required.</t>
        </r>
      </text>
    </comment>
    <comment ref="B52" authorId="0" shapeId="0" xr:uid="{4ED650A0-9A2C-4C3D-91FF-ED63D367BB56}">
      <text>
        <r>
          <rPr>
            <b/>
            <sz val="9"/>
            <color indexed="81"/>
            <rFont val="Tahoma"/>
            <family val="2"/>
          </rPr>
          <t>The time series code is required.</t>
        </r>
      </text>
    </comment>
    <comment ref="B53" authorId="0" shapeId="0" xr:uid="{6DB1785D-CF7E-4431-9B5E-F831A5053C54}">
      <text>
        <r>
          <rPr>
            <b/>
            <sz val="9"/>
            <color indexed="81"/>
            <rFont val="Tahoma"/>
            <family val="2"/>
          </rPr>
          <t>The time series code is required.</t>
        </r>
      </text>
    </comment>
    <comment ref="B54" authorId="0" shapeId="0" xr:uid="{929CC743-8B81-43F0-827D-37901C664C6D}">
      <text>
        <r>
          <rPr>
            <b/>
            <sz val="9"/>
            <color indexed="81"/>
            <rFont val="Tahoma"/>
            <family val="2"/>
          </rPr>
          <t>The time series code is required.</t>
        </r>
      </text>
    </comment>
    <comment ref="B55" authorId="0" shapeId="0" xr:uid="{35738832-33F0-4DD1-B7C0-75319179F92C}">
      <text>
        <r>
          <rPr>
            <b/>
            <sz val="9"/>
            <color indexed="81"/>
            <rFont val="Tahoma"/>
            <family val="2"/>
          </rPr>
          <t>The time series code is required.</t>
        </r>
      </text>
    </comment>
    <comment ref="B56" authorId="0" shapeId="0" xr:uid="{5DFA0E91-7F0E-453E-A7D3-FDEE8D5F475E}">
      <text>
        <r>
          <rPr>
            <b/>
            <sz val="9"/>
            <color indexed="81"/>
            <rFont val="Tahoma"/>
            <family val="2"/>
          </rPr>
          <t>The time series code is required.</t>
        </r>
      </text>
    </comment>
    <comment ref="B57" authorId="0" shapeId="0" xr:uid="{9A834853-9C0E-483F-87BA-BF25761E7510}">
      <text>
        <r>
          <rPr>
            <b/>
            <sz val="9"/>
            <color indexed="81"/>
            <rFont val="Tahoma"/>
            <family val="2"/>
          </rPr>
          <t>The time series code is required.</t>
        </r>
      </text>
    </comment>
    <comment ref="B58" authorId="0" shapeId="0" xr:uid="{D7D0CE34-32CF-4156-BBF2-B5599EB8FE6B}">
      <text>
        <r>
          <rPr>
            <b/>
            <sz val="9"/>
            <color indexed="81"/>
            <rFont val="Tahoma"/>
            <family val="2"/>
          </rPr>
          <t>The time series code is required.</t>
        </r>
      </text>
    </comment>
    <comment ref="B59" authorId="0" shapeId="0" xr:uid="{75C5EB53-923C-4F19-9657-E3152C74DDA7}">
      <text>
        <r>
          <rPr>
            <b/>
            <sz val="9"/>
            <color indexed="81"/>
            <rFont val="Tahoma"/>
            <family val="2"/>
          </rPr>
          <t>The time series code is required.</t>
        </r>
      </text>
    </comment>
    <comment ref="B60" authorId="0" shapeId="0" xr:uid="{B14FE43F-BB63-4EEF-8EEE-BEB0370D58DC}">
      <text>
        <r>
          <rPr>
            <b/>
            <sz val="9"/>
            <color indexed="81"/>
            <rFont val="Tahoma"/>
            <family val="2"/>
          </rPr>
          <t>The time series code is required.</t>
        </r>
      </text>
    </comment>
    <comment ref="B61" authorId="0" shapeId="0" xr:uid="{32CF74BD-7C7D-4734-8737-4273CE3BE2D2}">
      <text>
        <r>
          <rPr>
            <b/>
            <sz val="9"/>
            <color indexed="81"/>
            <rFont val="Tahoma"/>
            <family val="2"/>
          </rPr>
          <t>The time series code is required.</t>
        </r>
      </text>
    </comment>
    <comment ref="B62" authorId="0" shapeId="0" xr:uid="{7A3FE10D-0D29-4FE9-A161-0EC1C98783F5}">
      <text>
        <r>
          <rPr>
            <b/>
            <sz val="9"/>
            <color indexed="81"/>
            <rFont val="Tahoma"/>
            <family val="2"/>
          </rPr>
          <t>The time series code is required.</t>
        </r>
      </text>
    </comment>
    <comment ref="O62" authorId="0" shapeId="0" xr:uid="{0FEDA1F9-1EAA-4543-956C-6680B05352B7}">
      <text>
        <r>
          <rPr>
            <b/>
            <sz val="9"/>
            <color indexed="81"/>
            <rFont val="Tahoma"/>
            <family val="2"/>
          </rPr>
          <t>Updated by IMFNT\JCHUECAMONTUENGA on 9/4/2023 6:14:51 PM</t>
        </r>
      </text>
    </comment>
    <comment ref="U62" authorId="0" shapeId="0" xr:uid="{EA6E402E-05C8-408B-B241-B42930A2D1CB}">
      <text>
        <r>
          <rPr>
            <b/>
            <sz val="9"/>
            <color indexed="81"/>
            <rFont val="Tahoma"/>
            <family val="2"/>
          </rPr>
          <t>Updated by IMFNT\JCHUECAMONTUENGA on 9/4/2023 6:14:52 PM</t>
        </r>
      </text>
    </comment>
    <comment ref="B63" authorId="0" shapeId="0" xr:uid="{1F0D3025-39FC-46A9-A7EC-B0E14F05B194}">
      <text>
        <r>
          <rPr>
            <b/>
            <sz val="9"/>
            <color indexed="81"/>
            <rFont val="Tahoma"/>
            <family val="2"/>
          </rPr>
          <t>The time series code is required.</t>
        </r>
      </text>
    </comment>
    <comment ref="P63" authorId="0" shapeId="0" xr:uid="{83FE82D4-F2FD-4681-8FA8-3A8632E335B2}">
      <text>
        <r>
          <rPr>
            <b/>
            <sz val="9"/>
            <color indexed="81"/>
            <rFont val="Tahoma"/>
            <family val="2"/>
          </rPr>
          <t>Time series code was not found in the database</t>
        </r>
      </text>
    </comment>
    <comment ref="V63" authorId="0" shapeId="0" xr:uid="{F473932E-38C2-4F13-B6C9-EBC3025BC83D}">
      <text>
        <r>
          <rPr>
            <b/>
            <sz val="9"/>
            <color indexed="81"/>
            <rFont val="Tahoma"/>
            <family val="2"/>
          </rPr>
          <t>Time series code was not found in the database</t>
        </r>
      </text>
    </comment>
    <comment ref="B64" authorId="0" shapeId="0" xr:uid="{81F32B98-DCA1-443D-8FA4-E163E229664D}">
      <text>
        <r>
          <rPr>
            <b/>
            <sz val="9"/>
            <color indexed="81"/>
            <rFont val="Tahoma"/>
            <family val="2"/>
          </rPr>
          <t>The time series code is required.</t>
        </r>
      </text>
    </comment>
    <comment ref="B65" authorId="0" shapeId="0" xr:uid="{F99FC25F-1BAC-4477-BD79-AD7C29B40901}">
      <text>
        <r>
          <rPr>
            <b/>
            <sz val="9"/>
            <color indexed="81"/>
            <rFont val="Tahoma"/>
            <family val="2"/>
          </rPr>
          <t>The time series code is required.</t>
        </r>
      </text>
    </comment>
    <comment ref="B66" authorId="0" shapeId="0" xr:uid="{CD3D2A12-B76C-4F82-9C87-67D2A9F0AF2F}">
      <text>
        <r>
          <rPr>
            <b/>
            <sz val="9"/>
            <color indexed="81"/>
            <rFont val="Tahoma"/>
            <family val="2"/>
          </rPr>
          <t>The time series code is required.</t>
        </r>
      </text>
    </comment>
    <comment ref="B67" authorId="0" shapeId="0" xr:uid="{02791288-9D93-44CF-91C4-3B0575A6FD9F}">
      <text>
        <r>
          <rPr>
            <b/>
            <sz val="9"/>
            <color indexed="81"/>
            <rFont val="Tahoma"/>
            <family val="2"/>
          </rPr>
          <t>The time series code is required.</t>
        </r>
      </text>
    </comment>
    <comment ref="B68" authorId="0" shapeId="0" xr:uid="{BCCF54D1-414D-4CD9-B770-4F27298F92FF}">
      <text>
        <r>
          <rPr>
            <b/>
            <sz val="9"/>
            <color indexed="81"/>
            <rFont val="Tahoma"/>
            <family val="2"/>
          </rPr>
          <t>The time series code is required.</t>
        </r>
      </text>
    </comment>
    <comment ref="B69" authorId="0" shapeId="0" xr:uid="{A0AF163B-0B4A-4321-912A-58869F255F7C}">
      <text>
        <r>
          <rPr>
            <b/>
            <sz val="9"/>
            <color indexed="81"/>
            <rFont val="Tahoma"/>
            <family val="2"/>
          </rPr>
          <t>The time series code is required.</t>
        </r>
      </text>
    </comment>
    <comment ref="B70" authorId="0" shapeId="0" xr:uid="{190B061F-A1FD-489E-8016-5CB0A26DEB3A}">
      <text>
        <r>
          <rPr>
            <b/>
            <sz val="9"/>
            <color indexed="81"/>
            <rFont val="Tahoma"/>
            <family val="2"/>
          </rPr>
          <t>The time series code is required.</t>
        </r>
      </text>
    </comment>
    <comment ref="B71" authorId="0" shapeId="0" xr:uid="{B8D28E25-90E7-49F3-BFE5-5F86ACC3D2FD}">
      <text>
        <r>
          <rPr>
            <b/>
            <sz val="9"/>
            <color indexed="81"/>
            <rFont val="Tahoma"/>
            <family val="2"/>
          </rPr>
          <t>The time series code is required.</t>
        </r>
      </text>
    </comment>
    <comment ref="B72" authorId="0" shapeId="0" xr:uid="{C37F5C60-BC7D-4A86-A72A-94E61DB37853}">
      <text>
        <r>
          <rPr>
            <b/>
            <sz val="9"/>
            <color indexed="81"/>
            <rFont val="Tahoma"/>
            <family val="2"/>
          </rPr>
          <t>The time series code is required.</t>
        </r>
      </text>
    </comment>
    <comment ref="B73" authorId="0" shapeId="0" xr:uid="{6F14F7AB-623C-4C7D-95B9-DB11FF1C20D1}">
      <text>
        <r>
          <rPr>
            <b/>
            <sz val="9"/>
            <color indexed="81"/>
            <rFont val="Tahoma"/>
            <family val="2"/>
          </rPr>
          <t>The time series code is required.</t>
        </r>
      </text>
    </comment>
    <comment ref="B74" authorId="0" shapeId="0" xr:uid="{C410BB9E-A522-4D28-A6C4-1DA4B88D305E}">
      <text>
        <r>
          <rPr>
            <b/>
            <sz val="9"/>
            <color indexed="81"/>
            <rFont val="Tahoma"/>
            <family val="2"/>
          </rPr>
          <t>The time series code is required.</t>
        </r>
      </text>
    </comment>
    <comment ref="B75" authorId="0" shapeId="0" xr:uid="{1BC2E262-ADC3-498E-9D2D-D716857A5AF0}">
      <text>
        <r>
          <rPr>
            <b/>
            <sz val="9"/>
            <color indexed="81"/>
            <rFont val="Tahoma"/>
            <family val="2"/>
          </rPr>
          <t>The time series code is required.</t>
        </r>
      </text>
    </comment>
    <comment ref="B76" authorId="0" shapeId="0" xr:uid="{3AB0749B-6167-4A33-A397-D1A6CC672269}">
      <text>
        <r>
          <rPr>
            <b/>
            <sz val="9"/>
            <color indexed="81"/>
            <rFont val="Tahoma"/>
            <family val="2"/>
          </rPr>
          <t>The time series code is required.</t>
        </r>
      </text>
    </comment>
    <comment ref="B77" authorId="0" shapeId="0" xr:uid="{37636FCC-9C22-428C-B108-265526F8F27E}">
      <text>
        <r>
          <rPr>
            <b/>
            <sz val="9"/>
            <color indexed="81"/>
            <rFont val="Tahoma"/>
            <family val="2"/>
          </rPr>
          <t>The time series code is required.</t>
        </r>
      </text>
    </comment>
    <comment ref="B78" authorId="0" shapeId="0" xr:uid="{A66430A0-12F6-439F-AA6C-830396DE7228}">
      <text>
        <r>
          <rPr>
            <b/>
            <sz val="9"/>
            <color indexed="81"/>
            <rFont val="Tahoma"/>
            <family val="2"/>
          </rPr>
          <t>The time series code is required.</t>
        </r>
      </text>
    </comment>
    <comment ref="B79" authorId="0" shapeId="0" xr:uid="{5BEB3411-0731-48CD-BEF6-872CF1BF5F82}">
      <text>
        <r>
          <rPr>
            <b/>
            <sz val="9"/>
            <color indexed="81"/>
            <rFont val="Tahoma"/>
            <family val="2"/>
          </rPr>
          <t>The time series code is required.</t>
        </r>
      </text>
    </comment>
    <comment ref="B80" authorId="0" shapeId="0" xr:uid="{F6806874-D1A2-4643-8392-61F8000DC4BA}">
      <text>
        <r>
          <rPr>
            <b/>
            <sz val="9"/>
            <color indexed="81"/>
            <rFont val="Tahoma"/>
            <family val="2"/>
          </rPr>
          <t>The time series code is required.</t>
        </r>
      </text>
    </comment>
    <comment ref="B81" authorId="0" shapeId="0" xr:uid="{46D4B5EB-1A74-42D8-B0B9-E5CFA2678145}">
      <text>
        <r>
          <rPr>
            <b/>
            <sz val="9"/>
            <color indexed="81"/>
            <rFont val="Tahoma"/>
            <family val="2"/>
          </rPr>
          <t>The time series code is required.</t>
        </r>
      </text>
    </comment>
    <comment ref="B82" authorId="0" shapeId="0" xr:uid="{B80B573D-0FB9-45B4-B8D9-600E573E74A1}">
      <text>
        <r>
          <rPr>
            <b/>
            <sz val="9"/>
            <color indexed="81"/>
            <rFont val="Tahoma"/>
            <family val="2"/>
          </rPr>
          <t>The time series code is required.</t>
        </r>
      </text>
    </comment>
    <comment ref="B83" authorId="0" shapeId="0" xr:uid="{CCF877DB-6885-4FFA-94FE-D7EFB4FB8EDB}">
      <text>
        <r>
          <rPr>
            <b/>
            <sz val="9"/>
            <color indexed="81"/>
            <rFont val="Tahoma"/>
            <family val="2"/>
          </rPr>
          <t>The time series code is required.</t>
        </r>
      </text>
    </comment>
    <comment ref="B84" authorId="0" shapeId="0" xr:uid="{032EE711-174C-402F-8DD8-FDD7D44AF2B5}">
      <text>
        <r>
          <rPr>
            <b/>
            <sz val="9"/>
            <color indexed="81"/>
            <rFont val="Tahoma"/>
            <family val="2"/>
          </rPr>
          <t>The time series code is required.</t>
        </r>
      </text>
    </comment>
    <comment ref="B85" authorId="0" shapeId="0" xr:uid="{C0582EC3-2D73-46B8-87BC-8BF69B3BB46F}">
      <text>
        <r>
          <rPr>
            <b/>
            <sz val="9"/>
            <color indexed="81"/>
            <rFont val="Tahoma"/>
            <family val="2"/>
          </rPr>
          <t>The time series code is required.</t>
        </r>
      </text>
    </comment>
    <comment ref="B86" authorId="0" shapeId="0" xr:uid="{57346CE8-AC1D-4417-B3CA-12960D64E632}">
      <text>
        <r>
          <rPr>
            <b/>
            <sz val="9"/>
            <color indexed="81"/>
            <rFont val="Tahoma"/>
            <family val="2"/>
          </rPr>
          <t>The time series code is required.</t>
        </r>
      </text>
    </comment>
    <comment ref="B87" authorId="0" shapeId="0" xr:uid="{31815F0A-35C2-4A2F-A83C-6DF542CACBFB}">
      <text>
        <r>
          <rPr>
            <b/>
            <sz val="9"/>
            <color indexed="81"/>
            <rFont val="Tahoma"/>
            <family val="2"/>
          </rPr>
          <t>The time series code is required.</t>
        </r>
      </text>
    </comment>
    <comment ref="B88" authorId="0" shapeId="0" xr:uid="{29148074-7EDA-40FF-B00F-2B610FB9E9FB}">
      <text>
        <r>
          <rPr>
            <b/>
            <sz val="9"/>
            <color indexed="81"/>
            <rFont val="Tahoma"/>
            <family val="2"/>
          </rPr>
          <t>The time series code is required.</t>
        </r>
      </text>
    </comment>
    <comment ref="B89" authorId="0" shapeId="0" xr:uid="{F83B240A-236F-4A60-AD71-09E7D7FBBD67}">
      <text>
        <r>
          <rPr>
            <b/>
            <sz val="9"/>
            <color indexed="81"/>
            <rFont val="Tahoma"/>
            <family val="2"/>
          </rPr>
          <t>The time series code is required.</t>
        </r>
      </text>
    </comment>
    <comment ref="B90" authorId="0" shapeId="0" xr:uid="{008D6C36-668C-4F8A-903F-67CC12C1D9CB}">
      <text>
        <r>
          <rPr>
            <b/>
            <sz val="9"/>
            <color indexed="81"/>
            <rFont val="Tahoma"/>
            <family val="2"/>
          </rPr>
          <t>The time series code is required.</t>
        </r>
      </text>
    </comment>
    <comment ref="B91" authorId="0" shapeId="0" xr:uid="{6A5639C7-5F30-4F02-931A-72FD6667D982}">
      <text>
        <r>
          <rPr>
            <b/>
            <sz val="9"/>
            <color indexed="81"/>
            <rFont val="Tahoma"/>
            <family val="2"/>
          </rPr>
          <t>The time series code is required.</t>
        </r>
      </text>
    </comment>
    <comment ref="B92" authorId="0" shapeId="0" xr:uid="{70CD9855-4C8A-4650-9741-778850EE558E}">
      <text>
        <r>
          <rPr>
            <b/>
            <sz val="9"/>
            <color indexed="81"/>
            <rFont val="Tahoma"/>
            <family val="2"/>
          </rPr>
          <t>The time series code is required.</t>
        </r>
      </text>
    </comment>
    <comment ref="B93" authorId="0" shapeId="0" xr:uid="{41315896-FFC4-448F-8BAE-94907779A05F}">
      <text>
        <r>
          <rPr>
            <b/>
            <sz val="9"/>
            <color indexed="81"/>
            <rFont val="Tahoma"/>
            <family val="2"/>
          </rPr>
          <t>The time series code is required.</t>
        </r>
      </text>
    </comment>
    <comment ref="B94" authorId="0" shapeId="0" xr:uid="{A2C04146-8822-4F4E-8183-C8495A9D126E}">
      <text>
        <r>
          <rPr>
            <b/>
            <sz val="9"/>
            <color indexed="81"/>
            <rFont val="Tahoma"/>
            <family val="2"/>
          </rPr>
          <t>The time series code is required.</t>
        </r>
      </text>
    </comment>
    <comment ref="B95" authorId="0" shapeId="0" xr:uid="{43DCD8A2-A4C5-459D-A00C-9F7EF5C4F393}">
      <text>
        <r>
          <rPr>
            <b/>
            <sz val="9"/>
            <color indexed="81"/>
            <rFont val="Tahoma"/>
            <family val="2"/>
          </rPr>
          <t>The time series code is required.</t>
        </r>
      </text>
    </comment>
    <comment ref="B96" authorId="0" shapeId="0" xr:uid="{D36D4B59-6FC2-4B8C-860A-184C672EBEB7}">
      <text>
        <r>
          <rPr>
            <b/>
            <sz val="9"/>
            <color indexed="81"/>
            <rFont val="Tahoma"/>
            <family val="2"/>
          </rPr>
          <t>The time series code is required.</t>
        </r>
      </text>
    </comment>
    <comment ref="B97" authorId="0" shapeId="0" xr:uid="{E7F761F1-AB84-4ABC-AF7B-D98E6F521625}">
      <text>
        <r>
          <rPr>
            <b/>
            <sz val="9"/>
            <color indexed="81"/>
            <rFont val="Tahoma"/>
            <family val="2"/>
          </rPr>
          <t>The time series code is required.</t>
        </r>
      </text>
    </comment>
    <comment ref="B98" authorId="0" shapeId="0" xr:uid="{1A4AAE8D-D40B-407E-BD6E-2BA7250037C0}">
      <text>
        <r>
          <rPr>
            <b/>
            <sz val="9"/>
            <color indexed="81"/>
            <rFont val="Tahoma"/>
            <family val="2"/>
          </rPr>
          <t>The time series code is required.</t>
        </r>
      </text>
    </comment>
    <comment ref="B99" authorId="0" shapeId="0" xr:uid="{4450C7B1-F18A-414D-8BC4-1801325CE753}">
      <text>
        <r>
          <rPr>
            <b/>
            <sz val="9"/>
            <color indexed="81"/>
            <rFont val="Tahoma"/>
            <family val="2"/>
          </rPr>
          <t>The time series code is required.</t>
        </r>
      </text>
    </comment>
    <comment ref="B100" authorId="0" shapeId="0" xr:uid="{97FA633C-69E6-4593-BAE3-C5B6981A23D9}">
      <text>
        <r>
          <rPr>
            <b/>
            <sz val="9"/>
            <color indexed="81"/>
            <rFont val="Tahoma"/>
            <family val="2"/>
          </rPr>
          <t>The time series code is required.</t>
        </r>
      </text>
    </comment>
    <comment ref="B101" authorId="0" shapeId="0" xr:uid="{CC273257-C67A-4EEF-8C53-D740E8CEF03C}">
      <text>
        <r>
          <rPr>
            <b/>
            <sz val="9"/>
            <color indexed="81"/>
            <rFont val="Tahoma"/>
            <family val="2"/>
          </rPr>
          <t>The time series code is required.</t>
        </r>
      </text>
    </comment>
    <comment ref="B102" authorId="0" shapeId="0" xr:uid="{DFA592DE-6C79-4F43-B354-E513A2BF2B26}">
      <text>
        <r>
          <rPr>
            <b/>
            <sz val="9"/>
            <color indexed="81"/>
            <rFont val="Tahoma"/>
            <family val="2"/>
          </rPr>
          <t>The time series code is required.</t>
        </r>
      </text>
    </comment>
    <comment ref="B103" authorId="0" shapeId="0" xr:uid="{3142ADAE-B797-46F6-8D52-F9A284EEBDFD}">
      <text>
        <r>
          <rPr>
            <b/>
            <sz val="9"/>
            <color indexed="81"/>
            <rFont val="Tahoma"/>
            <family val="2"/>
          </rPr>
          <t>The time series code is required.</t>
        </r>
      </text>
    </comment>
    <comment ref="B104" authorId="0" shapeId="0" xr:uid="{CED2068B-4047-4E17-AB1C-DCC89893D212}">
      <text>
        <r>
          <rPr>
            <b/>
            <sz val="9"/>
            <color indexed="81"/>
            <rFont val="Tahoma"/>
            <family val="2"/>
          </rPr>
          <t>The time series code is required.</t>
        </r>
      </text>
    </comment>
    <comment ref="B105" authorId="0" shapeId="0" xr:uid="{144A6C7B-9513-41DA-8EB8-6EC9AD4F37A7}">
      <text>
        <r>
          <rPr>
            <b/>
            <sz val="9"/>
            <color indexed="81"/>
            <rFont val="Tahoma"/>
            <family val="2"/>
          </rPr>
          <t>The time series code is required.</t>
        </r>
      </text>
    </comment>
    <comment ref="B106" authorId="0" shapeId="0" xr:uid="{08D3B4C3-19FA-457D-87E1-411CBCED3EBE}">
      <text>
        <r>
          <rPr>
            <b/>
            <sz val="9"/>
            <color indexed="81"/>
            <rFont val="Tahoma"/>
            <family val="2"/>
          </rPr>
          <t>The time series code is required.</t>
        </r>
      </text>
    </comment>
    <comment ref="B107" authorId="0" shapeId="0" xr:uid="{9320944E-AEE3-4EF0-B1EA-AD55739F85BE}">
      <text>
        <r>
          <rPr>
            <b/>
            <sz val="9"/>
            <color indexed="81"/>
            <rFont val="Tahoma"/>
            <family val="2"/>
          </rPr>
          <t>The time series code is required.</t>
        </r>
      </text>
    </comment>
    <comment ref="B108" authorId="0" shapeId="0" xr:uid="{26CC286B-873E-4499-A1E6-2B9F8A5C6161}">
      <text>
        <r>
          <rPr>
            <b/>
            <sz val="9"/>
            <color indexed="81"/>
            <rFont val="Tahoma"/>
            <family val="2"/>
          </rPr>
          <t>The time series code is required.</t>
        </r>
      </text>
    </comment>
    <comment ref="B109" authorId="0" shapeId="0" xr:uid="{C9DA3DC7-5734-43F1-AD66-B16F73D901FB}">
      <text>
        <r>
          <rPr>
            <b/>
            <sz val="9"/>
            <color indexed="81"/>
            <rFont val="Tahoma"/>
            <family val="2"/>
          </rPr>
          <t>The time series code is required.</t>
        </r>
      </text>
    </comment>
    <comment ref="B110" authorId="0" shapeId="0" xr:uid="{D9F58135-6F30-446B-90E6-3AA50C7975F9}">
      <text>
        <r>
          <rPr>
            <b/>
            <sz val="9"/>
            <color indexed="81"/>
            <rFont val="Tahoma"/>
            <family val="2"/>
          </rPr>
          <t>The time series code is required.</t>
        </r>
      </text>
    </comment>
    <comment ref="B111" authorId="0" shapeId="0" xr:uid="{0010BB32-3EFF-46F6-83F5-72DE20D246B9}">
      <text>
        <r>
          <rPr>
            <b/>
            <sz val="9"/>
            <color indexed="81"/>
            <rFont val="Tahoma"/>
            <family val="2"/>
          </rPr>
          <t>The time series code is required.</t>
        </r>
      </text>
    </comment>
    <comment ref="B112" authorId="0" shapeId="0" xr:uid="{FC7C4270-AA15-4A98-AB24-3A25FC06B0DA}">
      <text>
        <r>
          <rPr>
            <b/>
            <sz val="9"/>
            <color indexed="81"/>
            <rFont val="Tahoma"/>
            <family val="2"/>
          </rPr>
          <t>The time series code is required.</t>
        </r>
      </text>
    </comment>
    <comment ref="B113" authorId="0" shapeId="0" xr:uid="{F66FF90D-4BB1-4A0A-AA12-E61FA90F7FAD}">
      <text>
        <r>
          <rPr>
            <b/>
            <sz val="9"/>
            <color indexed="81"/>
            <rFont val="Tahoma"/>
            <family val="2"/>
          </rPr>
          <t>The time series code is required.</t>
        </r>
      </text>
    </comment>
    <comment ref="B114" authorId="0" shapeId="0" xr:uid="{F7B0BFA5-EA3A-456F-AFEF-D246C1DADF1E}">
      <text>
        <r>
          <rPr>
            <b/>
            <sz val="9"/>
            <color indexed="81"/>
            <rFont val="Tahoma"/>
            <family val="2"/>
          </rPr>
          <t>The time series code is required.</t>
        </r>
      </text>
    </comment>
    <comment ref="B115" authorId="0" shapeId="0" xr:uid="{03B0F9C0-82E0-482F-B3E1-29F838B9D082}">
      <text>
        <r>
          <rPr>
            <b/>
            <sz val="9"/>
            <color indexed="81"/>
            <rFont val="Tahoma"/>
            <family val="2"/>
          </rPr>
          <t>The time series code is required.</t>
        </r>
      </text>
    </comment>
    <comment ref="B116" authorId="0" shapeId="0" xr:uid="{D286D73C-1909-468B-88EE-3B252D5A74EA}">
      <text>
        <r>
          <rPr>
            <b/>
            <sz val="9"/>
            <color indexed="81"/>
            <rFont val="Tahoma"/>
            <family val="2"/>
          </rPr>
          <t>The time series code is required.</t>
        </r>
      </text>
    </comment>
    <comment ref="B117" authorId="0" shapeId="0" xr:uid="{874FBA7C-442B-4614-9048-8B9F9FCFB74D}">
      <text>
        <r>
          <rPr>
            <b/>
            <sz val="9"/>
            <color indexed="81"/>
            <rFont val="Tahoma"/>
            <family val="2"/>
          </rPr>
          <t>The time series code is required.</t>
        </r>
      </text>
    </comment>
    <comment ref="B118" authorId="0" shapeId="0" xr:uid="{CE9E8153-B5AB-4D8B-A00C-A4B5FD8377AF}">
      <text>
        <r>
          <rPr>
            <b/>
            <sz val="9"/>
            <color indexed="81"/>
            <rFont val="Tahoma"/>
            <family val="2"/>
          </rPr>
          <t>The time series code is required.</t>
        </r>
      </text>
    </comment>
    <comment ref="B119" authorId="0" shapeId="0" xr:uid="{4D9ABEB2-03CB-4981-A680-8565279D52B7}">
      <text>
        <r>
          <rPr>
            <b/>
            <sz val="9"/>
            <color indexed="81"/>
            <rFont val="Tahoma"/>
            <family val="2"/>
          </rPr>
          <t>The time series code is required.</t>
        </r>
      </text>
    </comment>
    <comment ref="B120" authorId="0" shapeId="0" xr:uid="{F05E51C3-CDBF-4790-89F3-F5167AA99565}">
      <text>
        <r>
          <rPr>
            <b/>
            <sz val="9"/>
            <color indexed="81"/>
            <rFont val="Tahoma"/>
            <family val="2"/>
          </rPr>
          <t>The time series code is required.</t>
        </r>
      </text>
    </comment>
    <comment ref="B121" authorId="0" shapeId="0" xr:uid="{FBC98340-D8F8-46B9-A7AE-892B9B596012}">
      <text>
        <r>
          <rPr>
            <b/>
            <sz val="9"/>
            <color indexed="81"/>
            <rFont val="Tahoma"/>
            <family val="2"/>
          </rPr>
          <t>The time series code is required.</t>
        </r>
      </text>
    </comment>
    <comment ref="B122" authorId="0" shapeId="0" xr:uid="{83226A8A-FACC-40B1-9387-EB375126DA69}">
      <text>
        <r>
          <rPr>
            <b/>
            <sz val="9"/>
            <color indexed="81"/>
            <rFont val="Tahoma"/>
            <family val="2"/>
          </rPr>
          <t>The time series code is required.</t>
        </r>
      </text>
    </comment>
    <comment ref="B123" authorId="0" shapeId="0" xr:uid="{BD1FBA15-8693-4820-8337-60D6D1AE4C86}">
      <text>
        <r>
          <rPr>
            <b/>
            <sz val="9"/>
            <color indexed="81"/>
            <rFont val="Tahoma"/>
            <family val="2"/>
          </rPr>
          <t>The time series code is required.</t>
        </r>
      </text>
    </comment>
    <comment ref="B124" authorId="0" shapeId="0" xr:uid="{ED69F442-6A6A-48E9-9244-73EEE9008AD4}">
      <text>
        <r>
          <rPr>
            <b/>
            <sz val="9"/>
            <color indexed="81"/>
            <rFont val="Tahoma"/>
            <family val="2"/>
          </rPr>
          <t>The time series code is required.</t>
        </r>
      </text>
    </comment>
    <comment ref="B125" authorId="0" shapeId="0" xr:uid="{C4BA46ED-EDDC-4133-9479-16CAFDA9160A}">
      <text>
        <r>
          <rPr>
            <b/>
            <sz val="9"/>
            <color indexed="81"/>
            <rFont val="Tahoma"/>
            <family val="2"/>
          </rPr>
          <t>The time series code is required.</t>
        </r>
      </text>
    </comment>
    <comment ref="B126" authorId="0" shapeId="0" xr:uid="{D98872ED-DFCD-49AC-96EF-A05D6A30ECF4}">
      <text>
        <r>
          <rPr>
            <b/>
            <sz val="9"/>
            <color indexed="81"/>
            <rFont val="Tahoma"/>
            <family val="2"/>
          </rPr>
          <t>The time series code is required.</t>
        </r>
      </text>
    </comment>
    <comment ref="B127" authorId="0" shapeId="0" xr:uid="{C7AE2AE9-9BDB-46F0-A08C-945248B9504C}">
      <text>
        <r>
          <rPr>
            <b/>
            <sz val="9"/>
            <color indexed="81"/>
            <rFont val="Tahoma"/>
            <family val="2"/>
          </rPr>
          <t>The time series code is required.</t>
        </r>
      </text>
    </comment>
    <comment ref="B128" authorId="0" shapeId="0" xr:uid="{1D798212-0569-4482-A5EB-6C2C2596F31C}">
      <text>
        <r>
          <rPr>
            <b/>
            <sz val="9"/>
            <color indexed="81"/>
            <rFont val="Tahoma"/>
            <family val="2"/>
          </rPr>
          <t>The time series code is required.</t>
        </r>
      </text>
    </comment>
    <comment ref="B129" authorId="0" shapeId="0" xr:uid="{42F94B36-7779-416A-B222-423547826E02}">
      <text>
        <r>
          <rPr>
            <b/>
            <sz val="9"/>
            <color indexed="81"/>
            <rFont val="Tahoma"/>
            <family val="2"/>
          </rPr>
          <t>The time series code is required.</t>
        </r>
      </text>
    </comment>
    <comment ref="B130" authorId="0" shapeId="0" xr:uid="{B2D3F3D1-F70F-4A55-AFE5-C58AF3D88495}">
      <text>
        <r>
          <rPr>
            <b/>
            <sz val="9"/>
            <color indexed="81"/>
            <rFont val="Tahoma"/>
            <family val="2"/>
          </rPr>
          <t>The time series code is required.</t>
        </r>
      </text>
    </comment>
    <comment ref="B131" authorId="0" shapeId="0" xr:uid="{809EC67D-4AB0-4671-BF6F-4D7F84CBE74F}">
      <text>
        <r>
          <rPr>
            <b/>
            <sz val="9"/>
            <color indexed="81"/>
            <rFont val="Tahoma"/>
            <family val="2"/>
          </rPr>
          <t>The time series code is required.</t>
        </r>
      </text>
    </comment>
    <comment ref="B132" authorId="0" shapeId="0" xr:uid="{7326F1FB-EDCC-45B8-BBC3-C85855C2758A}">
      <text>
        <r>
          <rPr>
            <b/>
            <sz val="9"/>
            <color indexed="81"/>
            <rFont val="Tahoma"/>
            <family val="2"/>
          </rPr>
          <t>The time series code is required.</t>
        </r>
      </text>
    </comment>
    <comment ref="B133" authorId="0" shapeId="0" xr:uid="{73FAA57C-EF8B-41FB-81CD-4FF284BBB52F}">
      <text>
        <r>
          <rPr>
            <b/>
            <sz val="9"/>
            <color indexed="81"/>
            <rFont val="Tahoma"/>
            <family val="2"/>
          </rPr>
          <t>The time series code is required.</t>
        </r>
      </text>
    </comment>
    <comment ref="B134" authorId="0" shapeId="0" xr:uid="{F92866C9-91F0-4116-8D2A-F7CCABD1577E}">
      <text>
        <r>
          <rPr>
            <b/>
            <sz val="9"/>
            <color indexed="81"/>
            <rFont val="Tahoma"/>
            <family val="2"/>
          </rPr>
          <t>The time series code is required.</t>
        </r>
      </text>
    </comment>
    <comment ref="B135" authorId="0" shapeId="0" xr:uid="{C2F9100D-CF38-4568-9002-9A88200FFE0F}">
      <text>
        <r>
          <rPr>
            <b/>
            <sz val="9"/>
            <color indexed="81"/>
            <rFont val="Tahoma"/>
            <family val="2"/>
          </rPr>
          <t>The time series code is required.</t>
        </r>
      </text>
    </comment>
    <comment ref="B136" authorId="0" shapeId="0" xr:uid="{ED6FC189-421F-4F74-9856-0E76D76C45FF}">
      <text>
        <r>
          <rPr>
            <b/>
            <sz val="9"/>
            <color indexed="81"/>
            <rFont val="Tahoma"/>
            <family val="2"/>
          </rPr>
          <t>The time series code is required.</t>
        </r>
      </text>
    </comment>
    <comment ref="B137" authorId="0" shapeId="0" xr:uid="{6BD16584-613E-4066-A352-6E2A8A449B6E}">
      <text>
        <r>
          <rPr>
            <b/>
            <sz val="9"/>
            <color indexed="81"/>
            <rFont val="Tahoma"/>
            <family val="2"/>
          </rPr>
          <t>The time series code is required.</t>
        </r>
      </text>
    </comment>
    <comment ref="B138" authorId="0" shapeId="0" xr:uid="{E73305A2-97EB-4175-B35F-207DEB7EF2AF}">
      <text>
        <r>
          <rPr>
            <b/>
            <sz val="9"/>
            <color indexed="81"/>
            <rFont val="Tahoma"/>
            <family val="2"/>
          </rPr>
          <t>The time series code is required.</t>
        </r>
      </text>
    </comment>
    <comment ref="B139" authorId="0" shapeId="0" xr:uid="{B665758C-16DB-4CAD-9541-D9C4A55B1173}">
      <text>
        <r>
          <rPr>
            <b/>
            <sz val="9"/>
            <color indexed="81"/>
            <rFont val="Tahoma"/>
            <family val="2"/>
          </rPr>
          <t>The time series code is required.</t>
        </r>
      </text>
    </comment>
    <comment ref="B140" authorId="0" shapeId="0" xr:uid="{EB72E8D0-0BC9-4A95-A020-22323C5E6510}">
      <text>
        <r>
          <rPr>
            <b/>
            <sz val="9"/>
            <color indexed="81"/>
            <rFont val="Tahoma"/>
            <family val="2"/>
          </rPr>
          <t>The time series code is required.</t>
        </r>
      </text>
    </comment>
    <comment ref="B141" authorId="0" shapeId="0" xr:uid="{0C196C0E-25FD-4E03-9C29-B063152A3BB9}">
      <text>
        <r>
          <rPr>
            <b/>
            <sz val="9"/>
            <color indexed="81"/>
            <rFont val="Tahoma"/>
            <family val="2"/>
          </rPr>
          <t>The time series code is required.</t>
        </r>
      </text>
    </comment>
    <comment ref="B142" authorId="0" shapeId="0" xr:uid="{867A072E-E2A8-45C4-8F4C-68B5AC5E5A87}">
      <text>
        <r>
          <rPr>
            <b/>
            <sz val="9"/>
            <color indexed="81"/>
            <rFont val="Tahoma"/>
            <family val="2"/>
          </rPr>
          <t>The time series code is required.</t>
        </r>
      </text>
    </comment>
    <comment ref="B143" authorId="0" shapeId="0" xr:uid="{AF73A6EE-46EE-4104-A827-B7F38A0F4574}">
      <text>
        <r>
          <rPr>
            <b/>
            <sz val="9"/>
            <color indexed="81"/>
            <rFont val="Tahoma"/>
            <family val="2"/>
          </rPr>
          <t>The time series code is required.</t>
        </r>
      </text>
    </comment>
    <comment ref="B144" authorId="0" shapeId="0" xr:uid="{012E6E5D-A4FD-490E-952E-30CB9E16431B}">
      <text>
        <r>
          <rPr>
            <b/>
            <sz val="9"/>
            <color indexed="81"/>
            <rFont val="Tahoma"/>
            <family val="2"/>
          </rPr>
          <t>The time series code is required.</t>
        </r>
      </text>
    </comment>
    <comment ref="B145" authorId="0" shapeId="0" xr:uid="{581F0506-45EE-4CA1-A5DB-49B03440A94E}">
      <text>
        <r>
          <rPr>
            <b/>
            <sz val="9"/>
            <color indexed="81"/>
            <rFont val="Tahoma"/>
            <family val="2"/>
          </rPr>
          <t>The time series code is required.</t>
        </r>
      </text>
    </comment>
    <comment ref="B146" authorId="0" shapeId="0" xr:uid="{EFA8A659-C6C4-4F30-8E40-264410C667BD}">
      <text>
        <r>
          <rPr>
            <b/>
            <sz val="9"/>
            <color indexed="81"/>
            <rFont val="Tahoma"/>
            <family val="2"/>
          </rPr>
          <t>The time series code is required.</t>
        </r>
      </text>
    </comment>
    <comment ref="B147" authorId="0" shapeId="0" xr:uid="{48FC5BE3-D3A0-47C1-B3BD-39C3F405201D}">
      <text>
        <r>
          <rPr>
            <b/>
            <sz val="9"/>
            <color indexed="81"/>
            <rFont val="Tahoma"/>
            <family val="2"/>
          </rPr>
          <t>The time series code is required.</t>
        </r>
      </text>
    </comment>
    <comment ref="B148" authorId="0" shapeId="0" xr:uid="{3352F922-456D-4938-8A98-076EBF6ECDA2}">
      <text>
        <r>
          <rPr>
            <b/>
            <sz val="9"/>
            <color indexed="81"/>
            <rFont val="Tahoma"/>
            <family val="2"/>
          </rPr>
          <t>The time series code is required.</t>
        </r>
      </text>
    </comment>
    <comment ref="B149" authorId="0" shapeId="0" xr:uid="{43A232AF-A7D0-47F8-9443-74D18E61F6DA}">
      <text>
        <r>
          <rPr>
            <b/>
            <sz val="9"/>
            <color indexed="81"/>
            <rFont val="Tahoma"/>
            <family val="2"/>
          </rPr>
          <t>The time series code is required.</t>
        </r>
      </text>
    </comment>
    <comment ref="B150" authorId="0" shapeId="0" xr:uid="{8726572C-0EB2-428C-9580-40C5A48DE323}">
      <text>
        <r>
          <rPr>
            <b/>
            <sz val="9"/>
            <color indexed="81"/>
            <rFont val="Tahoma"/>
            <family val="2"/>
          </rPr>
          <t>The time series code is required.</t>
        </r>
      </text>
    </comment>
    <comment ref="B151" authorId="0" shapeId="0" xr:uid="{75F99059-C070-4305-9EF8-A172AFC714B3}">
      <text>
        <r>
          <rPr>
            <b/>
            <sz val="9"/>
            <color indexed="81"/>
            <rFont val="Tahoma"/>
            <family val="2"/>
          </rPr>
          <t>The time series code is required.</t>
        </r>
      </text>
    </comment>
    <comment ref="B152" authorId="0" shapeId="0" xr:uid="{3E3AD244-7DC1-4586-861D-81905BB0A3D4}">
      <text>
        <r>
          <rPr>
            <b/>
            <sz val="9"/>
            <color indexed="81"/>
            <rFont val="Tahoma"/>
            <family val="2"/>
          </rPr>
          <t>The time series code is required.</t>
        </r>
      </text>
    </comment>
    <comment ref="B153" authorId="0" shapeId="0" xr:uid="{0824DF6C-A821-4F99-BDBA-A55AF61289ED}">
      <text>
        <r>
          <rPr>
            <b/>
            <sz val="9"/>
            <color indexed="81"/>
            <rFont val="Tahoma"/>
            <family val="2"/>
          </rPr>
          <t>The time series code is required.</t>
        </r>
      </text>
    </comment>
    <comment ref="B154" authorId="0" shapeId="0" xr:uid="{D6D38A42-B3D7-4CE5-A46D-C7CE3F803FD1}">
      <text>
        <r>
          <rPr>
            <b/>
            <sz val="9"/>
            <color indexed="81"/>
            <rFont val="Tahoma"/>
            <family val="2"/>
          </rPr>
          <t>The time series code is required.</t>
        </r>
      </text>
    </comment>
    <comment ref="B155" authorId="0" shapeId="0" xr:uid="{FF3E283D-7808-46E8-9EA9-3165D140CB5C}">
      <text>
        <r>
          <rPr>
            <b/>
            <sz val="9"/>
            <color indexed="81"/>
            <rFont val="Tahoma"/>
            <family val="2"/>
          </rPr>
          <t>The time series code is required.</t>
        </r>
      </text>
    </comment>
    <comment ref="B156" authorId="0" shapeId="0" xr:uid="{B473B91D-8EBE-45C9-AEE3-B480A22D28C7}">
      <text>
        <r>
          <rPr>
            <b/>
            <sz val="9"/>
            <color indexed="81"/>
            <rFont val="Tahoma"/>
            <family val="2"/>
          </rPr>
          <t>The time series code is required.</t>
        </r>
      </text>
    </comment>
    <comment ref="B157" authorId="0" shapeId="0" xr:uid="{B9AE8165-1BE8-4575-A7AA-4CCC458EFF25}">
      <text>
        <r>
          <rPr>
            <b/>
            <sz val="9"/>
            <color indexed="81"/>
            <rFont val="Tahoma"/>
            <family val="2"/>
          </rPr>
          <t>The time series code is required.</t>
        </r>
      </text>
    </comment>
    <comment ref="B158" authorId="0" shapeId="0" xr:uid="{DE03A661-DB27-45D3-8420-888836A24795}">
      <text>
        <r>
          <rPr>
            <b/>
            <sz val="9"/>
            <color indexed="81"/>
            <rFont val="Tahoma"/>
            <family val="2"/>
          </rPr>
          <t>The time series code is required.</t>
        </r>
      </text>
    </comment>
    <comment ref="B159" authorId="0" shapeId="0" xr:uid="{C6B4EF7A-9F62-4C6E-8E84-B14209401455}">
      <text>
        <r>
          <rPr>
            <b/>
            <sz val="9"/>
            <color indexed="81"/>
            <rFont val="Tahoma"/>
            <family val="2"/>
          </rPr>
          <t>The time series code is required.</t>
        </r>
      </text>
    </comment>
    <comment ref="B160" authorId="0" shapeId="0" xr:uid="{CF9BD642-30B5-43A2-B652-60B0E1671B94}">
      <text>
        <r>
          <rPr>
            <b/>
            <sz val="9"/>
            <color indexed="81"/>
            <rFont val="Tahoma"/>
            <family val="2"/>
          </rPr>
          <t>The time series code is required.</t>
        </r>
      </text>
    </comment>
    <comment ref="B161" authorId="0" shapeId="0" xr:uid="{5450F38A-9E43-4316-BEB1-181AA222B432}">
      <text>
        <r>
          <rPr>
            <b/>
            <sz val="9"/>
            <color indexed="81"/>
            <rFont val="Tahoma"/>
            <family val="2"/>
          </rPr>
          <t>The time series code is required.</t>
        </r>
      </text>
    </comment>
    <comment ref="B162" authorId="0" shapeId="0" xr:uid="{45EEFF29-75D4-4B23-9EEB-D03211965B49}">
      <text>
        <r>
          <rPr>
            <b/>
            <sz val="9"/>
            <color indexed="81"/>
            <rFont val="Tahoma"/>
            <family val="2"/>
          </rPr>
          <t>The time series code is required.</t>
        </r>
      </text>
    </comment>
    <comment ref="B163" authorId="0" shapeId="0" xr:uid="{2AD2C8BC-7D14-4392-91C9-9A5CA48FF193}">
      <text>
        <r>
          <rPr>
            <b/>
            <sz val="9"/>
            <color indexed="81"/>
            <rFont val="Tahoma"/>
            <family val="2"/>
          </rPr>
          <t>The time series code is required.</t>
        </r>
      </text>
    </comment>
    <comment ref="B164" authorId="0" shapeId="0" xr:uid="{C0980DB2-A895-45E6-BC1B-0FE83EE00AD6}">
      <text>
        <r>
          <rPr>
            <b/>
            <sz val="9"/>
            <color indexed="81"/>
            <rFont val="Tahoma"/>
            <family val="2"/>
          </rPr>
          <t>The time series code is required.</t>
        </r>
      </text>
    </comment>
    <comment ref="B165" authorId="0" shapeId="0" xr:uid="{1A4BF461-E22F-4D4F-9B0E-3E045EA70AE6}">
      <text>
        <r>
          <rPr>
            <b/>
            <sz val="9"/>
            <color indexed="81"/>
            <rFont val="Tahoma"/>
            <family val="2"/>
          </rPr>
          <t>The time series code is required.</t>
        </r>
      </text>
    </comment>
    <comment ref="B166" authorId="0" shapeId="0" xr:uid="{1876C0C1-7CED-4F7A-8354-1696335EF68D}">
      <text>
        <r>
          <rPr>
            <b/>
            <sz val="9"/>
            <color indexed="81"/>
            <rFont val="Tahoma"/>
            <family val="2"/>
          </rPr>
          <t>The time series code is required.</t>
        </r>
      </text>
    </comment>
    <comment ref="B167" authorId="0" shapeId="0" xr:uid="{7B741D42-6D10-489C-B35D-AB804DD1FF78}">
      <text>
        <r>
          <rPr>
            <b/>
            <sz val="9"/>
            <color indexed="81"/>
            <rFont val="Tahoma"/>
            <family val="2"/>
          </rPr>
          <t>The time series code is required.</t>
        </r>
      </text>
    </comment>
    <comment ref="B168" authorId="0" shapeId="0" xr:uid="{D8F11C87-1523-4FF4-AAC3-87164D0028D8}">
      <text>
        <r>
          <rPr>
            <b/>
            <sz val="9"/>
            <color indexed="81"/>
            <rFont val="Tahoma"/>
            <family val="2"/>
          </rPr>
          <t>The time series code is required.</t>
        </r>
      </text>
    </comment>
    <comment ref="B169" authorId="0" shapeId="0" xr:uid="{15F20B08-6CB9-47D7-A2F5-B093A66F7735}">
      <text>
        <r>
          <rPr>
            <b/>
            <sz val="9"/>
            <color indexed="81"/>
            <rFont val="Tahoma"/>
            <family val="2"/>
          </rPr>
          <t>The time series code is required.</t>
        </r>
      </text>
    </comment>
    <comment ref="B170" authorId="0" shapeId="0" xr:uid="{2151E16B-C848-4D64-B962-8FF68EC72068}">
      <text>
        <r>
          <rPr>
            <b/>
            <sz val="9"/>
            <color indexed="81"/>
            <rFont val="Tahoma"/>
            <family val="2"/>
          </rPr>
          <t>The time series code is required.</t>
        </r>
      </text>
    </comment>
    <comment ref="B171" authorId="0" shapeId="0" xr:uid="{F185F71E-BE77-4866-8EE0-BD96C4D68CE1}">
      <text>
        <r>
          <rPr>
            <b/>
            <sz val="9"/>
            <color indexed="81"/>
            <rFont val="Tahoma"/>
            <family val="2"/>
          </rPr>
          <t>The time series code is required.</t>
        </r>
      </text>
    </comment>
    <comment ref="B172" authorId="0" shapeId="0" xr:uid="{262FFC5D-D6CE-4790-8013-DC256B30F197}">
      <text>
        <r>
          <rPr>
            <b/>
            <sz val="9"/>
            <color indexed="81"/>
            <rFont val="Tahoma"/>
            <family val="2"/>
          </rPr>
          <t>The time series code is required.</t>
        </r>
      </text>
    </comment>
    <comment ref="B173" authorId="0" shapeId="0" xr:uid="{72FE3ED4-9375-47BC-9D65-7C28A210B9FB}">
      <text>
        <r>
          <rPr>
            <b/>
            <sz val="9"/>
            <color indexed="81"/>
            <rFont val="Tahoma"/>
            <family val="2"/>
          </rPr>
          <t>The time series code is required.</t>
        </r>
      </text>
    </comment>
    <comment ref="B174" authorId="0" shapeId="0" xr:uid="{F0052DAE-9BEF-435D-B9E7-B31BBE108495}">
      <text>
        <r>
          <rPr>
            <b/>
            <sz val="9"/>
            <color indexed="81"/>
            <rFont val="Tahoma"/>
            <family val="2"/>
          </rPr>
          <t>The time series code is required.</t>
        </r>
      </text>
    </comment>
    <comment ref="B175" authorId="0" shapeId="0" xr:uid="{A72274CF-F6CD-48DC-A3A1-40084FB04128}">
      <text>
        <r>
          <rPr>
            <b/>
            <sz val="9"/>
            <color indexed="81"/>
            <rFont val="Tahoma"/>
            <family val="2"/>
          </rPr>
          <t>The time series code is required.</t>
        </r>
      </text>
    </comment>
    <comment ref="B176" authorId="0" shapeId="0" xr:uid="{954B25AE-85B3-4F50-AB6D-F0051D306285}">
      <text>
        <r>
          <rPr>
            <b/>
            <sz val="9"/>
            <color indexed="81"/>
            <rFont val="Tahoma"/>
            <family val="2"/>
          </rPr>
          <t>The time series code is required.</t>
        </r>
      </text>
    </comment>
    <comment ref="B177" authorId="0" shapeId="0" xr:uid="{046BA210-A3D4-458E-B241-AF3D5DDAC072}">
      <text>
        <r>
          <rPr>
            <b/>
            <sz val="9"/>
            <color indexed="81"/>
            <rFont val="Tahoma"/>
            <family val="2"/>
          </rPr>
          <t>The time series code is required.</t>
        </r>
      </text>
    </comment>
    <comment ref="B178" authorId="0" shapeId="0" xr:uid="{22F45D62-2984-4702-B08F-6F3E44F0E8AD}">
      <text>
        <r>
          <rPr>
            <b/>
            <sz val="9"/>
            <color indexed="81"/>
            <rFont val="Tahoma"/>
            <family val="2"/>
          </rPr>
          <t>The time series code is required.</t>
        </r>
      </text>
    </comment>
    <comment ref="B179" authorId="0" shapeId="0" xr:uid="{B7A1B53F-36C6-404E-BE64-4F11C216D38B}">
      <text>
        <r>
          <rPr>
            <b/>
            <sz val="9"/>
            <color indexed="81"/>
            <rFont val="Tahoma"/>
            <family val="2"/>
          </rPr>
          <t>The time series code is required.</t>
        </r>
      </text>
    </comment>
    <comment ref="B180" authorId="0" shapeId="0" xr:uid="{95EEF9DA-C849-405C-8707-B673EEC1FC20}">
      <text>
        <r>
          <rPr>
            <b/>
            <sz val="9"/>
            <color indexed="81"/>
            <rFont val="Tahoma"/>
            <family val="2"/>
          </rPr>
          <t>The time series code is required.</t>
        </r>
      </text>
    </comment>
    <comment ref="B181" authorId="0" shapeId="0" xr:uid="{869B438F-38FC-4E78-83D1-90002051D8D8}">
      <text>
        <r>
          <rPr>
            <b/>
            <sz val="9"/>
            <color indexed="81"/>
            <rFont val="Tahoma"/>
            <family val="2"/>
          </rPr>
          <t>The time series code is required.</t>
        </r>
      </text>
    </comment>
    <comment ref="B182" authorId="0" shapeId="0" xr:uid="{449603AA-D7E4-4DC6-9C45-2F7C4B68A6FE}">
      <text>
        <r>
          <rPr>
            <b/>
            <sz val="9"/>
            <color indexed="81"/>
            <rFont val="Tahoma"/>
            <family val="2"/>
          </rPr>
          <t>The time series code is required.</t>
        </r>
      </text>
    </comment>
    <comment ref="B183" authorId="0" shapeId="0" xr:uid="{1701B154-D2C6-42DA-B8A5-C6515F3CF7A2}">
      <text>
        <r>
          <rPr>
            <b/>
            <sz val="9"/>
            <color indexed="81"/>
            <rFont val="Tahoma"/>
            <family val="2"/>
          </rPr>
          <t>The time series code is required.</t>
        </r>
      </text>
    </comment>
    <comment ref="B184" authorId="0" shapeId="0" xr:uid="{A1A2E299-2894-4B3B-B07D-3518E4B81045}">
      <text>
        <r>
          <rPr>
            <b/>
            <sz val="9"/>
            <color indexed="81"/>
            <rFont val="Tahoma"/>
            <family val="2"/>
          </rPr>
          <t>The time series code is required.</t>
        </r>
      </text>
    </comment>
    <comment ref="B185" authorId="0" shapeId="0" xr:uid="{47FB96F7-D3A9-4267-8A4F-72E129A6BD7F}">
      <text>
        <r>
          <rPr>
            <b/>
            <sz val="9"/>
            <color indexed="81"/>
            <rFont val="Tahoma"/>
            <family val="2"/>
          </rPr>
          <t>The time series code is required.</t>
        </r>
      </text>
    </comment>
    <comment ref="B186" authorId="0" shapeId="0" xr:uid="{749CB388-14D6-4205-875B-EB26A364B388}">
      <text>
        <r>
          <rPr>
            <b/>
            <sz val="9"/>
            <color indexed="81"/>
            <rFont val="Tahoma"/>
            <family val="2"/>
          </rPr>
          <t>The time series code is required.</t>
        </r>
      </text>
    </comment>
    <comment ref="B187" authorId="0" shapeId="0" xr:uid="{D95C7990-90CA-47C6-951F-599AF7A4E3DC}">
      <text>
        <r>
          <rPr>
            <b/>
            <sz val="9"/>
            <color indexed="81"/>
            <rFont val="Tahoma"/>
            <family val="2"/>
          </rPr>
          <t>The time series code is required.</t>
        </r>
      </text>
    </comment>
    <comment ref="B188" authorId="0" shapeId="0" xr:uid="{A818AAA8-A902-4D61-813B-2A61AD2C5BCC}">
      <text>
        <r>
          <rPr>
            <b/>
            <sz val="9"/>
            <color indexed="81"/>
            <rFont val="Tahoma"/>
            <family val="2"/>
          </rPr>
          <t>The time series code is required.</t>
        </r>
      </text>
    </comment>
    <comment ref="B189" authorId="0" shapeId="0" xr:uid="{8B2CFD43-E4A0-47D5-BE06-E24847272115}">
      <text>
        <r>
          <rPr>
            <b/>
            <sz val="9"/>
            <color indexed="81"/>
            <rFont val="Tahoma"/>
            <family val="2"/>
          </rPr>
          <t>The time series code is required.</t>
        </r>
      </text>
    </comment>
    <comment ref="B190" authorId="0" shapeId="0" xr:uid="{52B36EFA-A838-4267-AD45-186A23CD59F2}">
      <text>
        <r>
          <rPr>
            <b/>
            <sz val="9"/>
            <color indexed="81"/>
            <rFont val="Tahoma"/>
            <family val="2"/>
          </rPr>
          <t>The time series code is required.</t>
        </r>
      </text>
    </comment>
    <comment ref="B191" authorId="0" shapeId="0" xr:uid="{14E6143E-3ABC-49FD-8829-3A3A8B9CD179}">
      <text>
        <r>
          <rPr>
            <b/>
            <sz val="9"/>
            <color indexed="81"/>
            <rFont val="Tahoma"/>
            <family val="2"/>
          </rPr>
          <t>The time series code is required.</t>
        </r>
      </text>
    </comment>
    <comment ref="B192" authorId="0" shapeId="0" xr:uid="{82F77CF8-D752-4170-897C-8D27ED39EAD8}">
      <text>
        <r>
          <rPr>
            <b/>
            <sz val="9"/>
            <color indexed="81"/>
            <rFont val="Tahoma"/>
            <family val="2"/>
          </rPr>
          <t>The time series code is required.</t>
        </r>
      </text>
    </comment>
    <comment ref="B193" authorId="0" shapeId="0" xr:uid="{B104056B-B750-4CFD-8D8B-503B08F1DC67}">
      <text>
        <r>
          <rPr>
            <b/>
            <sz val="9"/>
            <color indexed="81"/>
            <rFont val="Tahoma"/>
            <family val="2"/>
          </rPr>
          <t>The time series code is required.</t>
        </r>
      </text>
    </comment>
    <comment ref="B194" authorId="0" shapeId="0" xr:uid="{341B170B-E82A-4F16-AD6F-DE2B1B330C2C}">
      <text>
        <r>
          <rPr>
            <b/>
            <sz val="9"/>
            <color indexed="81"/>
            <rFont val="Tahoma"/>
            <family val="2"/>
          </rPr>
          <t>The time series code is required.</t>
        </r>
      </text>
    </comment>
    <comment ref="B195" authorId="0" shapeId="0" xr:uid="{8A18BFF7-804C-44F7-8042-8F822E31AE62}">
      <text>
        <r>
          <rPr>
            <b/>
            <sz val="9"/>
            <color indexed="81"/>
            <rFont val="Tahoma"/>
            <family val="2"/>
          </rPr>
          <t>The time series code is required.</t>
        </r>
      </text>
    </comment>
    <comment ref="B196" authorId="0" shapeId="0" xr:uid="{D5C7A684-072A-45C2-B8D7-BB205DE8FEEC}">
      <text>
        <r>
          <rPr>
            <b/>
            <sz val="9"/>
            <color indexed="81"/>
            <rFont val="Tahoma"/>
            <family val="2"/>
          </rPr>
          <t>The time series code is required.</t>
        </r>
      </text>
    </comment>
    <comment ref="B197" authorId="0" shapeId="0" xr:uid="{97F16F4F-2E40-4D9F-A956-4092E5777868}">
      <text>
        <r>
          <rPr>
            <b/>
            <sz val="9"/>
            <color indexed="81"/>
            <rFont val="Tahoma"/>
            <family val="2"/>
          </rPr>
          <t>The time series code is required.</t>
        </r>
      </text>
    </comment>
    <comment ref="B198" authorId="0" shapeId="0" xr:uid="{397FE1B3-CBB1-41BC-94B9-C0DFF8F5D61D}">
      <text>
        <r>
          <rPr>
            <b/>
            <sz val="9"/>
            <color indexed="81"/>
            <rFont val="Tahoma"/>
            <family val="2"/>
          </rPr>
          <t>The time series code is required.</t>
        </r>
      </text>
    </comment>
    <comment ref="B199" authorId="0" shapeId="0" xr:uid="{BB907EAC-BFB8-43BC-9BA9-8B9ABAD9DDBA}">
      <text>
        <r>
          <rPr>
            <b/>
            <sz val="9"/>
            <color indexed="81"/>
            <rFont val="Tahoma"/>
            <family val="2"/>
          </rPr>
          <t>The time series code is required.</t>
        </r>
      </text>
    </comment>
    <comment ref="B200" authorId="0" shapeId="0" xr:uid="{E2CD860E-4BBE-4088-852D-A329DA468E5E}">
      <text>
        <r>
          <rPr>
            <b/>
            <sz val="9"/>
            <color indexed="81"/>
            <rFont val="Tahoma"/>
            <family val="2"/>
          </rPr>
          <t>The time series code is required.</t>
        </r>
      </text>
    </comment>
    <comment ref="B201" authorId="0" shapeId="0" xr:uid="{FBE2937C-1799-4B29-A7CC-8320B9F5BD92}">
      <text>
        <r>
          <rPr>
            <b/>
            <sz val="9"/>
            <color indexed="81"/>
            <rFont val="Tahoma"/>
            <family val="2"/>
          </rPr>
          <t>The time series code is required.</t>
        </r>
      </text>
    </comment>
  </commentList>
</comments>
</file>

<file path=xl/sharedStrings.xml><?xml version="1.0" encoding="utf-8"?>
<sst xmlns="http://schemas.openxmlformats.org/spreadsheetml/2006/main" count="6195" uniqueCount="1020">
  <si>
    <t>Rwanda</t>
  </si>
  <si>
    <t xml:space="preserve">   Advanced economy partners</t>
  </si>
  <si>
    <t xml:space="preserve">  Real GDP</t>
  </si>
  <si>
    <t>Real GDP, 2005=100, Weighted by trade exports to advanced economies. Source of the Real GDP is desk submitted data for Real GDP (NGDP_R).</t>
  </si>
  <si>
    <t xml:space="preserve">  Real total dometic demand</t>
  </si>
  <si>
    <t>Real total domestic demand, 2005=100, Weighted by trade exports to advanced economies. Source of the Real total domestic demand  is desk submitted data for (NTDD_R).</t>
  </si>
  <si>
    <t xml:space="preserve">  All countries </t>
  </si>
  <si>
    <t>Real GDP, 2005=100, Weighted by trade exports to all partner countries. Source of the Real GDP is desk submitted data for Real GDP (NGDP_R).</t>
  </si>
  <si>
    <t xml:space="preserve">  Real imports</t>
  </si>
  <si>
    <t xml:space="preserve">    Goods and services</t>
  </si>
  <si>
    <t>Imports volume of goods and services, 2005=100, Weighted by trade exports to all partner countries. Source of the Volume of total imports of goods and services (TM_R) is desk submitted data.</t>
  </si>
  <si>
    <t xml:space="preserve">         Goods</t>
  </si>
  <si>
    <t>Imports volume of goods, 2005=100, Weighted by trade exports to all partner countries. Source of the Volume of imports of goods  (TMG_R) is desk submitted data.</t>
  </si>
  <si>
    <t xml:space="preserve">            Excluding oil</t>
  </si>
  <si>
    <t>Imports volume of goods excl. oil, 2005=100, Weighted by trade exports to all partner countries. The Volume of non-oil imports is calculated by TMG_R-TMGO_R which are provided by desk.</t>
  </si>
  <si>
    <t xml:space="preserve">  Real exports</t>
  </si>
  <si>
    <t>Exports volume of goods and services, 2005=100, Weighted by trade imports from all partner countries. Source of the Volume of total exports of goods and services (TX_R) is desk submitted data.</t>
  </si>
  <si>
    <t>Exports volume of goods, 2005=100, Weighted by trade imports from all partner countries. Source of the Volume of exports of goods  (TXG_R) is desk submitted data.</t>
  </si>
  <si>
    <t>Exports volume of goods excl. oil, 2005=100, Weighted by trade imports from all partner countries. The Volume of non-oil imports is calculated by TXG_R-TMGO_R which are provided by desk.</t>
  </si>
  <si>
    <t>Foreign Prices and Costs</t>
  </si>
  <si>
    <t xml:space="preserve">  Advanced economy partners</t>
  </si>
  <si>
    <t xml:space="preserve">  GDP deflators</t>
  </si>
  <si>
    <t xml:space="preserve">      In national currency</t>
  </si>
  <si>
    <t>GDP deflator, 2005=100, Weighted by trade imports from advanced economies. Source of the GDP deflator is desk submitted data for Nominal GDP (NGDP) divided by Real GDP (NGDP_R).</t>
  </si>
  <si>
    <t xml:space="preserve">      In U.S. dollars</t>
  </si>
  <si>
    <t>GDP deflator, US$, 2005=100, Weighted by trade imports from advanced economies. Source of the GDP deflator is desk submitted data for Nominal GDP (NGDP) divided by Real GDP (NGDP_R) converted to US$.</t>
  </si>
  <si>
    <t xml:space="preserve">  Consumer prices</t>
  </si>
  <si>
    <t>CPI, 2005=100, Weighted by trade imports from advanced economies. Source of the consumer price index is desk submitted data (PCPI).</t>
  </si>
  <si>
    <t>CPI, US$, 2005=100, Weighted by trade imports from advanced economies. Source of the consumer price index is desk submitted data (PCPI) converted to US$.</t>
  </si>
  <si>
    <t xml:space="preserve">  All countries</t>
  </si>
  <si>
    <t xml:space="preserve">  Export deflators in U.S. dollars</t>
  </si>
  <si>
    <t xml:space="preserve">      Goods and services</t>
  </si>
  <si>
    <t>Exports deflator of goods and services, 2005=100, Weighted by trade imports from all partner countries. Source of the exports deflator of goods and services is WEO calculated data (TX_D).</t>
  </si>
  <si>
    <t xml:space="preserve">           Goods</t>
  </si>
  <si>
    <t>Exports deflator of goods, 2005=100, Weighted by trade imports from all partner countries. Source of the exports deflator of goods is WEO calculated data (TXG_D).</t>
  </si>
  <si>
    <t xml:space="preserve">                Excluding oil</t>
  </si>
  <si>
    <t>Exports deflator of goods excl. oil, 2005=100, Weighted by trade imports from all partner countries. Source of the exports deflator of goods excluding oil is WEO calculated data (TXGXO_D).</t>
  </si>
  <si>
    <t xml:space="preserve">  Import deflators in U.S. dollars</t>
  </si>
  <si>
    <t>Imports deflator of goods and services, 2005=100, Weighted by trade exports to all partner countries. Source of the imports deflator of goods and services is WEO calculated data (TM_D).</t>
  </si>
  <si>
    <t>Imports deflator of goods, 2005=100, Weighted by trade exports to all partner countries. Source of the imports deflator of goods is WEO calculated data (TMG_D).</t>
  </si>
  <si>
    <t xml:space="preserve">  Unit labor costs in manufacturing</t>
  </si>
  <si>
    <t xml:space="preserve">Unit labor costs in manufacturing, US$, 2005=100, Weighted by trade exports to advanced economies. For advanced economies, unit labor costs in manufacturing is desk submitted data (LULCM). </t>
  </si>
  <si>
    <t>World Prices</t>
  </si>
  <si>
    <t xml:space="preserve">  Export unit value for manufactures (MUV)</t>
  </si>
  <si>
    <t>Deflator of exports of manufactures for the advanced economies. Source of the exports of manufactures is WEO calculated data (TXGM_D).</t>
  </si>
  <si>
    <t xml:space="preserve">  Petroleum spot price (APSP)</t>
  </si>
  <si>
    <t>Crude Oil (petroleum), simple average of three spot prices; Dated Brent, West Texas Intermediate, and the Dubai Fateh, US$ per barrel</t>
  </si>
  <si>
    <t xml:space="preserve">   Average of nonfuel commodity market prices weighted by the 2011-13 composition of nonfuel commodity trade of reporting  country</t>
  </si>
  <si>
    <t xml:space="preserve">    Nonfuel commodity export price</t>
  </si>
  <si>
    <t>Nonfuel commodity exports price, 2005=100, Average of nonfuel commodity market prices weighted by the 2011-13 composition of nonfuel commodity export trade of country</t>
  </si>
  <si>
    <t>Nonfuel commodity exports price, 2005=100, Average of nonfuel commodity market prices weighted by the 2008-10 composition of nonfuel commodity export trade of country</t>
  </si>
  <si>
    <t xml:space="preserve">    Nonfuel commodity import price</t>
  </si>
  <si>
    <t>Nonfuel commodity imports price, 2005=100, Average of nonfuel commodity market prices weighted by the 2011-13 composition of nonfuel commodity import trade of country</t>
  </si>
  <si>
    <t>Nonfuel commodity imports price, 2005=100, Average of nonfuel commodity market prices weighted by the 2008-10 composition of nonfuel commodity import trade of country</t>
  </si>
  <si>
    <t>Component-Based Goods Trade Deflators</t>
  </si>
  <si>
    <t xml:space="preserve">  Export deflator</t>
  </si>
  <si>
    <t>Component-based goods trade exports deflator, 2005=100</t>
  </si>
  <si>
    <t>Please refer to introduction sheet for more information.</t>
  </si>
  <si>
    <t xml:space="preserve">  Import deflator</t>
  </si>
  <si>
    <t>Component-based goods trade imports deflator, 2005=100</t>
  </si>
  <si>
    <t>GEE data are group composites, based on weighted averages of selected WEO variables from the country databases. The latest GEE data are available for access from EcOS/EcXL and DMX.</t>
  </si>
  <si>
    <t>The GEE tables present three types of information:</t>
  </si>
  <si>
    <t>1. A comparison of the current GEE data with that of the previous WEO.</t>
  </si>
  <si>
    <t>2. Historical annual and quarterly GEE data and projections.</t>
  </si>
  <si>
    <t>3. The weights used to calculate the GEE table group composites.</t>
  </si>
  <si>
    <t>For each country weighted averages of output, demand, prices, and costs are calculated by combining data for each of its trading partners with corresponding fixed-year weights that are proportional to the country's geographical distribution of exports (or origin of imports, as the case may be). The relative importance of trading partners currently reflects the average trade in 2011-13, the latest three years for which the IMF's Direction of Trade Statistics (DOTS) provides the highest coverage of trade statistics. The trade weights are generally updated every other year. It should be noted that the weights reflect trade in goods only; complete information on bilateral trade in services is not generally available.</t>
  </si>
  <si>
    <t>Given a reasonably stable geographic pattern of a country's foreign trade, composites of foreign demand and inflation calculated in this fashion tend to be more meaningful for purposes of analyzing effects on the country from economic developments outside its borders than the conventional WEO group composites based on GDP or total trade weights. An extreme example may clarify the point: in Canada with its foreign trade so concentrated on the United States, a major recession in Germany would tend to have a small impact relative to that on a country such as Austria whose export share to Germany is substantial.</t>
  </si>
  <si>
    <t>Foreign output and demand measured by GDP or imports may be particularly useful information to guide desks in their projections of exports. Similarly, the composites of partner country export prices may serve to guide the projections of a country's import prices. In general, consistent use of the GEE information will diminish any tendency for the WEO projections to generate inconsistencies at the global level.</t>
  </si>
  <si>
    <t>Data on non-fuel commodity prices, maintained by the Research Department’s, Commodities Unit, are used in the GEE tables to provide, for each country, an average of non-fuel commodity prices, weighted by its export as well as import composition of average 2011-13 non-fuel commodity trade. The GEE tables also include a set of "component-based" trade deflators. These pre-calculated average foreign trade prices are based on countries' 2011-13 composition of trade in manufactures, oil, and non-fuel commodities using world price indicators (also shown in the GEE tables). The indicators, which at most can be counted upon to approximate recorded trade prices or unit values, may nevertheless be of value for countries lacking reliable statistics on trade unit values, or for desks in their formulation of projections.</t>
  </si>
  <si>
    <t>Weighting Procedures</t>
  </si>
  <si>
    <t>1). The trade weights are derived from the IMF’s Direction of Trade (DOT) database. Every country has four sets of trade weights, i.e., the imports and exports weights for all countries as partners, and the imports and exports weights for only the advanced economies. The weights are calculated from the GEE reporting country’s trade with partner which comprise 100% of the reporter’s total exports or imports. The GEE calculates a reporting country's series not from the reporting country's data but from the aggregated sum of the weighted percentage changes of its partners' data for a given WEO series. The following example demonstrates the process for the exports trade-weighted GEE data series.</t>
  </si>
  <si>
    <t>The calculation of GEE partner series Real Imports of Goods and Services, for the reporter i is approximately equal to the following:</t>
  </si>
  <si>
    <t xml:space="preserve">                                                   N</t>
  </si>
  <si>
    <t xml:space="preserve">                            Exports% i = ∑ Imports% j * i Weights j</t>
  </si>
  <si>
    <t xml:space="preserve">                                                 j=1</t>
  </si>
  <si>
    <t>where,</t>
  </si>
  <si>
    <t>i = Reporter</t>
  </si>
  <si>
    <t>j = Partner</t>
  </si>
  <si>
    <t>N = Number of partner countries</t>
  </si>
  <si>
    <t>Imports% j = Partner’s j real imports in percent</t>
  </si>
  <si>
    <t>i Weights j = Normalized average of 20de exports weights between reporter i and partner j</t>
  </si>
  <si>
    <t>Exports% i = Weighted reporter’s i partner real imports in percent</t>
  </si>
  <si>
    <t>The approximation is because there is another term in the formula which re-normalizes the aggregate series for any missing partner country data.</t>
  </si>
  <si>
    <t>2). The commodity weights are derived from the United Nation’s Comtrade database (WITS) and are calculated from the composition of the non-fuel commodities of the GEE reporter’s total exports or imports. Each country has two sets of commodity trade weights, i.e., the total exports and imports of non-fuel commodities. In order to collect information that is more recent and which reflects fewer data anomalies, only 16 major commodities are chosen.</t>
  </si>
  <si>
    <t xml:space="preserve">The remaining commodities are distributed to their respective food, metals, or raw materials category in accordance with the new classification by Commodities Unit. Most GEE reporting countries reported trade in at least ten of the commodity groups but for some only two or three primary commodities are reported. Although the revised commodity trade weights have been updated to an average years of 2011-13, commodity price indices however  at 2005 based year. </t>
  </si>
  <si>
    <t>The following example demonstrates the process for calculating the non-fuel commodity export price:</t>
  </si>
  <si>
    <t xml:space="preserve">                                                  N</t>
  </si>
  <si>
    <t xml:space="preserve">                            Exports  i =  ∑ Price j * Weights j</t>
  </si>
  <si>
    <t>j = Commodity</t>
  </si>
  <si>
    <t>N = Number of commodities</t>
  </si>
  <si>
    <t>Price i  = Index of commodity price j</t>
  </si>
  <si>
    <t>Weights j = Normalized average of 2011-13, exports of commodity weights to the world</t>
  </si>
  <si>
    <t>Exports i = Weighted index of reporter i non-fuel commodity export price</t>
  </si>
  <si>
    <t>3). The component-based trade deflators, using the export deflator as illustration are derived as follows:</t>
  </si>
  <si>
    <t xml:space="preserve"> W1 x 110TXGM_D_PCH + W2 x 001PZPIOIL_PCH + W3 x PXPNF_PCH_WX001</t>
  </si>
  <si>
    <t>110TXGM_D_PCH = Advanced economies export unit value for manufactures in percent</t>
  </si>
  <si>
    <t>001PZPIOIL_PCH = Average world petroleum spot oil price (APSP) in percent</t>
  </si>
  <si>
    <t>PXPNF_PCH_WX001= Non-fuel commodity export price index for a given reporting country in percent</t>
  </si>
  <si>
    <t>W1 = Normalized average of 2011-13, exports of goods (less oil and commodity exports) weights</t>
  </si>
  <si>
    <t>W2 = Normalized average of 2011-13, exports of oil weights</t>
  </si>
  <si>
    <t>W3 = Normalized average of 2011-13, exports of commodity weights</t>
  </si>
  <si>
    <t>Note: If any of the three components of the equations is missing, the calculation is done without that component.</t>
  </si>
  <si>
    <t xml:space="preserve">The table below illustrates the series names of the variables in the GEE Live. </t>
  </si>
  <si>
    <t>EcOS: Current GEE Codes</t>
  </si>
  <si>
    <t>Previous Aremos Codes</t>
  </si>
  <si>
    <t xml:space="preserve">Series Description  (Series Names)  </t>
  </si>
  <si>
    <t xml:space="preserve"> </t>
  </si>
  <si>
    <t xml:space="preserve">Foreign Output and Demand   </t>
  </si>
  <si>
    <t xml:space="preserve">  Advanced Economy Countries </t>
  </si>
  <si>
    <t xml:space="preserve"> Export-weighted averages</t>
  </si>
  <si>
    <t xml:space="preserve">    Real GDP (NGDP_R_WX) </t>
  </si>
  <si>
    <t>IcccNGDP_R</t>
  </si>
  <si>
    <t xml:space="preserve">    Real total domestic demand (NTDD_R_WX) </t>
  </si>
  <si>
    <t xml:space="preserve">  All Countries  </t>
  </si>
  <si>
    <t xml:space="preserve">    Real Imports  </t>
  </si>
  <si>
    <t xml:space="preserve">      Goods and Services (TM_R_WX) </t>
  </si>
  <si>
    <t>XcccTM_R</t>
  </si>
  <si>
    <t xml:space="preserve">           Goods (TMG_R_WX) </t>
  </si>
  <si>
    <t>XcccTMG_R</t>
  </si>
  <si>
    <t xml:space="preserve">                Excluding Oil (TMGXO_R_WX) </t>
  </si>
  <si>
    <t>XcccTMGXO_R</t>
  </si>
  <si>
    <t>Import-weighted averages</t>
  </si>
  <si>
    <t xml:space="preserve">Foreign Prices and Costs  </t>
  </si>
  <si>
    <t xml:space="preserve">  Advanced Economy Countries  </t>
  </si>
  <si>
    <t xml:space="preserve">      In national currency (NGDP_D_WM) </t>
  </si>
  <si>
    <t>McccNGDP_D</t>
  </si>
  <si>
    <t xml:space="preserve">      In U.S. dollars (NGDP_D_USD_WM) </t>
  </si>
  <si>
    <t>McccNGDP_DUS</t>
  </si>
  <si>
    <t xml:space="preserve">    Consumer Prices  </t>
  </si>
  <si>
    <t xml:space="preserve">      In national currency (PCPI_WM) </t>
  </si>
  <si>
    <t>McccPCPI</t>
  </si>
  <si>
    <t xml:space="preserve">      In U.S. dollars (PCPI_USD_WM) </t>
  </si>
  <si>
    <t>McccPCPIUS</t>
  </si>
  <si>
    <t xml:space="preserve">    Export deflators in U.S. dollars   </t>
  </si>
  <si>
    <t xml:space="preserve">      Goods and Services (TX_D_WM) </t>
  </si>
  <si>
    <t>McccTX_D</t>
  </si>
  <si>
    <t xml:space="preserve">           Goods (TXG_D_WM) </t>
  </si>
  <si>
    <t>McccTXG_D</t>
  </si>
  <si>
    <t xml:space="preserve">                   Excluding Oil (TXGXO_D_WM) </t>
  </si>
  <si>
    <t>McccTXGXO_D</t>
  </si>
  <si>
    <t>Export-weighted averages</t>
  </si>
  <si>
    <t xml:space="preserve">  Advanced Economy Countries   </t>
  </si>
  <si>
    <t xml:space="preserve">      Unit labor costs in manufacturing (LULCM_USD_WX) </t>
  </si>
  <si>
    <t>XcccLULCMUS</t>
  </si>
  <si>
    <t xml:space="preserve">  </t>
  </si>
  <si>
    <t xml:space="preserve">World Prices    </t>
  </si>
  <si>
    <t xml:space="preserve">    Export unit value for manufactures - MUV  (110TXGM_D001) </t>
  </si>
  <si>
    <t>W110TXGM_D</t>
  </si>
  <si>
    <t xml:space="preserve">    Petroleum spot price (APSP) (001PZPIOIL) </t>
  </si>
  <si>
    <t>W001POILAPSP</t>
  </si>
  <si>
    <t xml:space="preserve">    Non-fuel commodity export price1 (PXPNF_WX) </t>
  </si>
  <si>
    <t>XcccPNFUELW</t>
  </si>
  <si>
    <t xml:space="preserve">    Non-fuel commodity import price1 (PMPNF_WM) </t>
  </si>
  <si>
    <t>McccPNFUELW</t>
  </si>
  <si>
    <t>Average of non-fuel commodity market prices weighted by the 2011-13 composition of non-fuel commodity trade of reporting country.</t>
  </si>
  <si>
    <t xml:space="preserve">Component-Based Goods Trade Deflators    </t>
  </si>
  <si>
    <t xml:space="preserve">  Export deflator (TXGCB_D) </t>
  </si>
  <si>
    <t>WcccTXG_DER</t>
  </si>
  <si>
    <t xml:space="preserve">  Import deflator (TMGCB_D) </t>
  </si>
  <si>
    <t>WcccTMG_DER</t>
  </si>
  <si>
    <t>GEE Code Map</t>
  </si>
  <si>
    <t xml:space="preserve">The GEE database is available in EcOS and DMX. Below is the reference guide to the GEE series codes. The GEE data codes complied with the Catalogue of Economic Time Series (CTS) standards.  The "ccc" refers to the 3-digits IMF country code.  Should you need assistance, please write to IMFEcOSSupport. </t>
  </si>
  <si>
    <t>Indicator</t>
  </si>
  <si>
    <t>Descriptor</t>
  </si>
  <si>
    <t>cccNGDP_R_WX110</t>
  </si>
  <si>
    <t>Partner countries' real GDP, 2005=100, local currency, Weighted by trade exports to advanced economy</t>
  </si>
  <si>
    <t>cccNTDD_R_WX110</t>
  </si>
  <si>
    <t>Partner countries' real total domestic demand, 2005=100, Weighted by trade exports to advanced economy</t>
  </si>
  <si>
    <t>cccNGDP_R_WX001</t>
  </si>
  <si>
    <t>Partner countries' real GDP, 2005=100, local currency, Weighted by trade exports to all economies</t>
  </si>
  <si>
    <t>cccTM_R_WX001</t>
  </si>
  <si>
    <t>Partner countries' imports volume of goods and services, 2005=100, Weighted by trade exports to all partner countries</t>
  </si>
  <si>
    <t>cccTMG_R_WX001</t>
  </si>
  <si>
    <t>Partner countries' imports volume of goods, 2005=100, Weighted by trade exports to all partner countries</t>
  </si>
  <si>
    <t>cccTMGXO_R_WX001</t>
  </si>
  <si>
    <t>Partner countries' imports volume of goods excl. oil, 2005=100, Weighted by trade exports to all partner countries</t>
  </si>
  <si>
    <t>cccTX_R_WM001</t>
  </si>
  <si>
    <t>Partner countries' exports volume of goods and services, 2005=100, Weighted by trade imports from all partner countries</t>
  </si>
  <si>
    <t>cccTXG_R_WM001</t>
  </si>
  <si>
    <t>Partner countries' exports volume of goods, 2005=100, Weighted by trade imports from all partner countries</t>
  </si>
  <si>
    <t>cccTXGXO_R_WM001</t>
  </si>
  <si>
    <t>Partner countries' exports volume of goods excl. oil, 2005=100, Weighted by trade imports from all partner countries</t>
  </si>
  <si>
    <t>cccNGDP_D_WM110</t>
  </si>
  <si>
    <t>Partner countries' GDP deflator, 2005=100, local currency, Weighted by trade imports from advanced economy</t>
  </si>
  <si>
    <t>cccNGDP_D_USD_WM110</t>
  </si>
  <si>
    <t>Partner countries' GDP deflator, US$, 2005=100, Weighted by trade imports from advanced economy</t>
  </si>
  <si>
    <t>cccPCPI_WM110</t>
  </si>
  <si>
    <t>Partner countries' CPI, 2005=100, , local currency, Weighted by trade imports from advanced economy</t>
  </si>
  <si>
    <t>cccPCPI_USD_WM110</t>
  </si>
  <si>
    <t>Partner countries' CPI, US$, 2005=100, Weighted by trade imports from advanced economy</t>
  </si>
  <si>
    <t>cccTX_D_WM001</t>
  </si>
  <si>
    <t>Partner countries' exports deflator of goods and services, 2005=100, Weighted by trade imports from all partner countries</t>
  </si>
  <si>
    <t>cccTXG_D_WM001</t>
  </si>
  <si>
    <t>Partner countries' exports deflator of goods, 2005=100, Weighted by trade imports from all partner countries</t>
  </si>
  <si>
    <t>cccTXGXO_D_WM001</t>
  </si>
  <si>
    <t>Partner countries' exports deflator of goods excl. oil, US$, 2005=100, Weighted by trade imports from all partner countries</t>
  </si>
  <si>
    <t>cccTMGXO_D_WX001</t>
  </si>
  <si>
    <t>Partner countries' imports deflator of goods excl. oil, US$, 2005=100, Weighted by trade exports from all partner countries</t>
  </si>
  <si>
    <t>cccTM_D_WX001</t>
  </si>
  <si>
    <t>Partner countries' imports deflator of goods and services, 2005=100, Weighted by trade exports to all partner countries</t>
  </si>
  <si>
    <t>cccTMG_D_WX001</t>
  </si>
  <si>
    <t>Partner countries' imports deflator of goods, 2005=100, Weighted by trade exports to all partner countries</t>
  </si>
  <si>
    <t>cccLULCM_USD_WX110</t>
  </si>
  <si>
    <t>Partner countries' unit labor costs in manufacturing, US$, 2005=100, Weighted by trade exports to advanced economy</t>
  </si>
  <si>
    <t>cccPXPNF_WX001</t>
  </si>
  <si>
    <t>Nonfuel commodity exports price, 2005=100</t>
  </si>
  <si>
    <t>cccPMPNF_WM001</t>
  </si>
  <si>
    <t>Nonfuel commodity imports price, 2005=100</t>
  </si>
  <si>
    <t>cccTXGCB_D001</t>
  </si>
  <si>
    <t>cccTMGCB_D001</t>
  </si>
  <si>
    <t>CURRENT</t>
  </si>
  <si>
    <t>714</t>
  </si>
  <si>
    <t>Frequency</t>
  </si>
  <si>
    <t>2012</t>
  </si>
  <si>
    <t>2013</t>
  </si>
  <si>
    <t>2014</t>
  </si>
  <si>
    <t>2015</t>
  </si>
  <si>
    <t>2016</t>
  </si>
  <si>
    <t>2017</t>
  </si>
  <si>
    <t>2018</t>
  </si>
  <si>
    <t>2019</t>
  </si>
  <si>
    <t>2020</t>
  </si>
  <si>
    <t>\\RES\GEE\GEE Live</t>
  </si>
  <si>
    <t>714LULCM_USD_PCH_WX110.A</t>
  </si>
  <si>
    <t>Annual</t>
  </si>
  <si>
    <t>Advanced Economies</t>
  </si>
  <si>
    <t>LULCM_USD_PCH_WX</t>
  </si>
  <si>
    <t>714NGDP_D_PCH_WM110.A</t>
  </si>
  <si>
    <t>NGDP_D_PCH_WM</t>
  </si>
  <si>
    <t>714NGDP_D_USD_PCH_WM110.A</t>
  </si>
  <si>
    <t>NGDP_D_USD_PCH_WM</t>
  </si>
  <si>
    <t>714NGDP_R_PCH_WX110.A</t>
  </si>
  <si>
    <t>NGDP_R_PCH_WX</t>
  </si>
  <si>
    <t>714NTDD_R_PCH_WX110.A</t>
  </si>
  <si>
    <t>NTDD_R_PCH_WX</t>
  </si>
  <si>
    <t>714PCPI_PCH_WM110.A</t>
  </si>
  <si>
    <t>PCPI_PCH_WM</t>
  </si>
  <si>
    <t>714PCPI_USD_PCH_WM110.A</t>
  </si>
  <si>
    <t>PCPI_USD_PCH_WM</t>
  </si>
  <si>
    <t>714TM_D_PCH_WX110.A</t>
  </si>
  <si>
    <t>TM_D_PCH_WX</t>
  </si>
  <si>
    <t>714TM_R_PCH_WX110.A</t>
  </si>
  <si>
    <t>TM_R_PCH_WX</t>
  </si>
  <si>
    <t>714TMG_D_PCH_WX110.A</t>
  </si>
  <si>
    <t>TMG_D_PCH_WX</t>
  </si>
  <si>
    <t>714TMG_R_PCH_WX110.A</t>
  </si>
  <si>
    <t>TMG_R_PCH_WX</t>
  </si>
  <si>
    <t>714TMGXO_D_PCH_WX110.A</t>
  </si>
  <si>
    <t>TMGXO_D_PCH_WX</t>
  </si>
  <si>
    <t>714TMGXO_R_PCH_WX110.A</t>
  </si>
  <si>
    <t>TMGXO_R_PCH_WX</t>
  </si>
  <si>
    <t>714TX_D_PCH_WM110.A</t>
  </si>
  <si>
    <t>TX_D_PCH_WM</t>
  </si>
  <si>
    <t>714TX_R_PCH_WM110.A</t>
  </si>
  <si>
    <t>TX_R_PCH_WM</t>
  </si>
  <si>
    <t>714TXG_D_PCH_WM110.A</t>
  </si>
  <si>
    <t>TXG_D_PCH_WM</t>
  </si>
  <si>
    <t>714TXG_R_PCH_WM110.A</t>
  </si>
  <si>
    <t>TXG_R_PCH_WM</t>
  </si>
  <si>
    <t>714TXGXO_D_PCH_WM110.A</t>
  </si>
  <si>
    <t>TXGXO_D_PCH_WM</t>
  </si>
  <si>
    <t>714TXGXO_R_PCH_WM001.A</t>
  </si>
  <si>
    <t>TXGXO_R_PCH_WM</t>
  </si>
  <si>
    <t>714LULCM_USD_PCH_WX001.A</t>
  </si>
  <si>
    <t>World</t>
  </si>
  <si>
    <t>714NGDP_D_PCH_WM001.A</t>
  </si>
  <si>
    <t>714NGDP_D_USD_PCH_WM001.A</t>
  </si>
  <si>
    <t>714NGDP_R_PCH_WX001.A</t>
  </si>
  <si>
    <t>714NTDD_R_PCH_WX001.A</t>
  </si>
  <si>
    <t>714PCPI_PCH_WM001.A</t>
  </si>
  <si>
    <t>714PCPI_USD_PCH_WM001.A</t>
  </si>
  <si>
    <t>714TM_D_PCH_WX001.A</t>
  </si>
  <si>
    <t>714TM_R_PCH_WX001.A</t>
  </si>
  <si>
    <t>714TMG_D_PCH_WX001.A</t>
  </si>
  <si>
    <t>714TMG_R_PCH_WX001.A</t>
  </si>
  <si>
    <t>714TMGXO_D_PCH_WX001.A</t>
  </si>
  <si>
    <t>714TMGXO_R_PCH_WX001.A</t>
  </si>
  <si>
    <t>714TX_D_PCH_WM001.A</t>
  </si>
  <si>
    <t>714TX_R_PCH_WM001.A</t>
  </si>
  <si>
    <t>714TXG_D_PCH_WM001.A</t>
  </si>
  <si>
    <t>714TXG_R_PCH_WM001.A</t>
  </si>
  <si>
    <t>714TXGXO_D_PCH_WM001.A</t>
  </si>
  <si>
    <t>2013Q1</t>
  </si>
  <si>
    <t>2013Q2</t>
  </si>
  <si>
    <t>2013Q3</t>
  </si>
  <si>
    <t>2013Q4</t>
  </si>
  <si>
    <t>2014Q1</t>
  </si>
  <si>
    <t>2014Q2</t>
  </si>
  <si>
    <t>2014Q3</t>
  </si>
  <si>
    <t>2014Q4</t>
  </si>
  <si>
    <t>2015Q1</t>
  </si>
  <si>
    <t>2015Q2</t>
  </si>
  <si>
    <t>2015Q3</t>
  </si>
  <si>
    <t>2015Q4</t>
  </si>
  <si>
    <t>2016Q1</t>
  </si>
  <si>
    <t>2016Q2</t>
  </si>
  <si>
    <t>2016Q3</t>
  </si>
  <si>
    <t>2016Q4</t>
  </si>
  <si>
    <t>714LULCM_USD_YOY_WX110.Q</t>
  </si>
  <si>
    <t>Quarterly</t>
  </si>
  <si>
    <t>LULCM_USD_YOY_WX</t>
  </si>
  <si>
    <t>714NGDP_D_USD_YOY_WM110.Q</t>
  </si>
  <si>
    <t>NGDP_D_USD_YOY_WM</t>
  </si>
  <si>
    <t>714NGDP_D_YOY_WM110.Q</t>
  </si>
  <si>
    <t>NGDP_D_YOY_WM</t>
  </si>
  <si>
    <t>714NGDP_R_YOY_WX110.Q</t>
  </si>
  <si>
    <t>NGDP_R_YOY_WX</t>
  </si>
  <si>
    <t>714NTDD_R_YOY_WX110.Q</t>
  </si>
  <si>
    <t>NTDD_R_YOY_WX</t>
  </si>
  <si>
    <t>714PCPI_USD_YOY_WM110.Q</t>
  </si>
  <si>
    <t>PCPI_USD_YOY_WM</t>
  </si>
  <si>
    <t>714PCPI_YOY_WM110.Q</t>
  </si>
  <si>
    <t>PCPI_YOY_WM</t>
  </si>
  <si>
    <t>714TM_D_YOY_WX110.Q</t>
  </si>
  <si>
    <t>TM_D_YOY_WX</t>
  </si>
  <si>
    <t>714TM_R_YOY_WX110.Q</t>
  </si>
  <si>
    <t>TM_R_YOY_WX</t>
  </si>
  <si>
    <t>714TMG_D_YOY_WX110.Q</t>
  </si>
  <si>
    <t>TMG_D_YOY_WX</t>
  </si>
  <si>
    <t>714TMG_R_YOY_WX110.Q</t>
  </si>
  <si>
    <t>TMG_R_YOY_WX</t>
  </si>
  <si>
    <t>714TMGXO_D_YOY_WX110.Q</t>
  </si>
  <si>
    <t>TMGXO_D_YOY_WX</t>
  </si>
  <si>
    <t>714TMGXO_R_YOY_WX110.Q</t>
  </si>
  <si>
    <t>TMGXO_R_YOY_WX</t>
  </si>
  <si>
    <t>714TX_D_YOY_WM110.Q</t>
  </si>
  <si>
    <t>TX_D_YOY_WM</t>
  </si>
  <si>
    <t>714TX_R_YOY_WM110.Q</t>
  </si>
  <si>
    <t>TX_R_YOY_WM</t>
  </si>
  <si>
    <t>714TXG_D_YOY_WM110.Q</t>
  </si>
  <si>
    <t>TXG_D_YOY_WM</t>
  </si>
  <si>
    <t>714TXG_R_YOY_WM110.Q</t>
  </si>
  <si>
    <t>TXG_R_YOY_WM</t>
  </si>
  <si>
    <t>714TXGXO_D_YOY_WM110.Q</t>
  </si>
  <si>
    <t>TXGXO_D_YOY_WM</t>
  </si>
  <si>
    <t>714TXGXO_R_PCH_WM001.Q</t>
  </si>
  <si>
    <t>714TXGXO_R_YOY_WM001.Q</t>
  </si>
  <si>
    <t>TXGXO_R_YOY_WM</t>
  </si>
  <si>
    <t>714LULCM_USD_YOY_WX001.Q</t>
  </si>
  <si>
    <t>714NGDP_D_USD_YOY_WM001.Q</t>
  </si>
  <si>
    <t>714NGDP_D_YOY_WM001.Q</t>
  </si>
  <si>
    <t>714NGDP_R_YOY_WX001.Q</t>
  </si>
  <si>
    <t>714NTDD_R_YOY_WX001.Q</t>
  </si>
  <si>
    <t>714PCPI_USD_YOY_WM001.Q</t>
  </si>
  <si>
    <t>714PCPI_YOY_WM001.Q</t>
  </si>
  <si>
    <t>714TM_D_YOY_WX001.Q</t>
  </si>
  <si>
    <t>714TM_R_YOY_WX001.Q</t>
  </si>
  <si>
    <t>714TMG_D_YOY_WX001.Q</t>
  </si>
  <si>
    <t>714TMG_R_YOY_WX001.Q</t>
  </si>
  <si>
    <t>714TMGXO_D_YOY_WX001.Q</t>
  </si>
  <si>
    <t>714TMGXO_R_YOY_WX001.Q</t>
  </si>
  <si>
    <t>714TX_D_YOY_WM001.Q</t>
  </si>
  <si>
    <t>714TX_R_YOY_WM001.Q</t>
  </si>
  <si>
    <t>714TXG_D_YOY_WM001.Q</t>
  </si>
  <si>
    <t>714TXG_R_YOY_WM001.Q</t>
  </si>
  <si>
    <t>714TXGXO_D_YOY_WM001.Q</t>
  </si>
  <si>
    <t>714PMPNF_PCH_WM001.A</t>
  </si>
  <si>
    <t>PMPNF_PCH_WM</t>
  </si>
  <si>
    <t>714PXPNF_PCH_WX001.A</t>
  </si>
  <si>
    <t>PXPNF_PCH_WX</t>
  </si>
  <si>
    <t>714TMGCB_D_PCH001.A</t>
  </si>
  <si>
    <t>TMGCB_D_PCH</t>
  </si>
  <si>
    <t>714TXGCB_D_PCH001.A</t>
  </si>
  <si>
    <t>TXGCB_D_PCH</t>
  </si>
  <si>
    <t>110TXGM_D_PCH001.A</t>
  </si>
  <si>
    <t>TXGM_D_PCH</t>
  </si>
  <si>
    <t>001POILAPSP_PCH001.A</t>
  </si>
  <si>
    <t>POILAPSP_PCH</t>
  </si>
  <si>
    <t>714PMPNF_YOY_WM001.Q</t>
  </si>
  <si>
    <t>PMPNF_YOY_WM</t>
  </si>
  <si>
    <t>714PXPNF_YOY_WX001.Q</t>
  </si>
  <si>
    <t>PXPNF_YOY_WX</t>
  </si>
  <si>
    <t>714TMGCB_D_YOY001.Q</t>
  </si>
  <si>
    <t>TMGCB_D_YOY</t>
  </si>
  <si>
    <t>714TXGCB_D_YOY001.Q</t>
  </si>
  <si>
    <t>TXGCB_D_YOY</t>
  </si>
  <si>
    <t>110TXGM_D_YOY001.Q</t>
  </si>
  <si>
    <t>TXGM_D_YOY</t>
  </si>
  <si>
    <t>001POILAPSP_YOY001.Q</t>
  </si>
  <si>
    <t>POILAPSP_YOY</t>
  </si>
  <si>
    <t>ARCHIVE</t>
  </si>
  <si>
    <t>2012A1</t>
  </si>
  <si>
    <t>2013A1</t>
  </si>
  <si>
    <t>2014A1</t>
  </si>
  <si>
    <t>2015A1</t>
  </si>
  <si>
    <t>2016A1</t>
  </si>
  <si>
    <t>2017A1</t>
  </si>
  <si>
    <t>2018A1</t>
  </si>
  <si>
    <t>2019A1</t>
  </si>
  <si>
    <t>2020A1</t>
  </si>
  <si>
    <t>\\RES\GEE\GEE Production</t>
  </si>
  <si>
    <t>Refresh Step:</t>
  </si>
  <si>
    <t>This sheet is not refreshable.</t>
  </si>
  <si>
    <t xml:space="preserve">On EcXL Refresh tab, click on refresh WORKBOOK. Note that all worksheets will be updated simultaneously. </t>
  </si>
  <si>
    <t>Rwanda: Selected Composite Indicators of Trading Partners (GEE)</t>
  </si>
  <si>
    <t>(Current [S2015Rev] - [S2015Board])</t>
  </si>
  <si>
    <t>1) Foreign Output and Demand of Trading Partners  1/</t>
  </si>
  <si>
    <t>Annual percent change</t>
  </si>
  <si>
    <t>Percent change from four quarters earlier</t>
  </si>
  <si>
    <t>Advanced economy partners</t>
  </si>
  <si>
    <t>Real GDP</t>
  </si>
  <si>
    <t>Real total domestic demand</t>
  </si>
  <si>
    <t>All countries 2/</t>
  </si>
  <si>
    <t>Real imports</t>
  </si>
  <si>
    <t>Goods and services</t>
  </si>
  <si>
    <t>Goods</t>
  </si>
  <si>
    <t>Excluding oil</t>
  </si>
  <si>
    <t>Real exports</t>
  </si>
  <si>
    <t>2) Foreign Prices and Costs of Trading Partners 1/</t>
  </si>
  <si>
    <t>GDP deflators</t>
  </si>
  <si>
    <t>In national currency</t>
  </si>
  <si>
    <t>In U.S. dollars</t>
  </si>
  <si>
    <t>Consumer Prices</t>
  </si>
  <si>
    <t>Export deflators in U.S. dollars</t>
  </si>
  <si>
    <t>Import deflators in U.S. dollars</t>
  </si>
  <si>
    <t>Export-weighted averages in U.S. dollars</t>
  </si>
  <si>
    <t>Unit labor costs in manufacturing</t>
  </si>
  <si>
    <t>3) World Prices</t>
  </si>
  <si>
    <t>Export unit value for manufactures (MUV)</t>
  </si>
  <si>
    <t>Petroleum spot price (APSP)</t>
  </si>
  <si>
    <t>Average of nonfuel commodity market prices weighted by the 2011-2013 composition of nonfuel commodity trade of reporting country.</t>
  </si>
  <si>
    <t>Nonfuel commodity export price</t>
  </si>
  <si>
    <t>Nonfuel commodity import price</t>
  </si>
  <si>
    <t>Component-Based Goods Trade Deflators 3/</t>
  </si>
  <si>
    <t>Export deflators</t>
  </si>
  <si>
    <t>Import deflators</t>
  </si>
  <si>
    <t xml:space="preserve">      1/ Averages of percent changes of data for individual trading partners weighted by their share in total exports or imports, as applicable, of reporting country. Note that the relative importance of trading partners reflects trade in goods only; complete information on bilateral trade in services is not generally available.</t>
  </si>
  <si>
    <t xml:space="preserve">      2/ Based on data for partner countries that together account for 100 percent of trade of reporting country.</t>
  </si>
  <si>
    <t xml:space="preserve">      3/ Average of the export unit value for manufactures (MUV), the petroleum price (APSP), and the nonfuel commodity price, weighted by the 2011-13 composition of trade of reporting country.</t>
  </si>
  <si>
    <t>Current Vintage: S2015Rev</t>
  </si>
  <si>
    <t xml:space="preserve">On EcXL Refresh tab, click on refresh WORKSHEEET. Note that all worksheets will be updated simultaneously. </t>
  </si>
  <si>
    <t>(Annual Percent Change)</t>
  </si>
  <si>
    <t>Series_code</t>
  </si>
  <si>
    <t>2000</t>
  </si>
  <si>
    <t>2001</t>
  </si>
  <si>
    <t>2002</t>
  </si>
  <si>
    <t>2003</t>
  </si>
  <si>
    <t>2004</t>
  </si>
  <si>
    <t>2005</t>
  </si>
  <si>
    <t>2006</t>
  </si>
  <si>
    <t>2007</t>
  </si>
  <si>
    <t>2008</t>
  </si>
  <si>
    <t>2009</t>
  </si>
  <si>
    <t>2010</t>
  </si>
  <si>
    <t>2011</t>
  </si>
  <si>
    <t>2) Foreign Prices and Costs of Tading Partners  1/</t>
  </si>
  <si>
    <t>Average of nonfuel commodity market prices weighted by the 2011-13 composition of nonfuel commodity trade of reporting country.</t>
  </si>
  <si>
    <t>ANNUAL</t>
  </si>
  <si>
    <t>WORLD PRICES</t>
  </si>
  <si>
    <t xml:space="preserve">On EcXL Refresh tab, click on refresh WORKSHEET. Note that all worksheets will be updated simultaneously. </t>
  </si>
  <si>
    <t>(Percent change from four quarters earlier)</t>
  </si>
  <si>
    <t>2011Q1</t>
  </si>
  <si>
    <t>2011Q2</t>
  </si>
  <si>
    <t>2011Q3</t>
  </si>
  <si>
    <t>2011Q4</t>
  </si>
  <si>
    <t>2012Q1</t>
  </si>
  <si>
    <t>2012Q2</t>
  </si>
  <si>
    <t>2012Q3</t>
  </si>
  <si>
    <t>2012Q4</t>
  </si>
  <si>
    <t>QUARTERLY</t>
  </si>
  <si>
    <t>Rwanda: Weights Used For the Calculation Of The GEE Composites</t>
  </si>
  <si>
    <t>(In percent of total trade) 1/</t>
  </si>
  <si>
    <t>(In percent of trade with advanced economies) 1/</t>
  </si>
  <si>
    <t>Exports to:</t>
  </si>
  <si>
    <t>%</t>
  </si>
  <si>
    <t>Imports from:</t>
  </si>
  <si>
    <t>1.</t>
  </si>
  <si>
    <t>924</t>
  </si>
  <si>
    <t>TXG_DOT_110SH</t>
  </si>
  <si>
    <t>111</t>
  </si>
  <si>
    <t>2.</t>
  </si>
  <si>
    <t>636</t>
  </si>
  <si>
    <t>664</t>
  </si>
  <si>
    <t>3.</t>
  </si>
  <si>
    <t>548</t>
  </si>
  <si>
    <t>4.</t>
  </si>
  <si>
    <t>5.</t>
  </si>
  <si>
    <t>112</t>
  </si>
  <si>
    <t>6.</t>
  </si>
  <si>
    <t>132</t>
  </si>
  <si>
    <t>7.</t>
  </si>
  <si>
    <t>8.</t>
  </si>
  <si>
    <t>158</t>
  </si>
  <si>
    <t>9.</t>
  </si>
  <si>
    <t>10.</t>
  </si>
  <si>
    <t>11.</t>
  </si>
  <si>
    <t>12.</t>
  </si>
  <si>
    <t>193</t>
  </si>
  <si>
    <t>13.</t>
  </si>
  <si>
    <t>14.</t>
  </si>
  <si>
    <t>15.</t>
  </si>
  <si>
    <t>16.</t>
  </si>
  <si>
    <t>17.</t>
  </si>
  <si>
    <t>18.</t>
  </si>
  <si>
    <t>922</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</si>
  <si>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</si>
  <si>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</si>
  <si>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</si>
  <si>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</si>
  <si>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</si>
  <si>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</si>
  <si>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</si>
  <si>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</si>
  <si>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</si>
  <si>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</si>
  <si>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</si>
  <si>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</si>
  <si>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</si>
  <si>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</si>
  <si>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</si>
  <si>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</si>
  <si>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</si>
  <si>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</si>
  <si>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</si>
  <si>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</si>
  <si>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</si>
  <si>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</si>
  <si>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</si>
  <si>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</si>
  <si>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</si>
  <si>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(In percent of 15 nonfuel commodties trade) 2/</t>
  </si>
  <si>
    <t>Exports of:</t>
  </si>
  <si>
    <t>Imports of:</t>
  </si>
  <si>
    <t>Other Metal</t>
  </si>
  <si>
    <t>Other Food</t>
  </si>
  <si>
    <t>Tea</t>
  </si>
  <si>
    <t>Coffee Arabica</t>
  </si>
  <si>
    <t>Other Raw Materials</t>
  </si>
  <si>
    <t>Wheat</t>
  </si>
  <si>
    <t>Rice</t>
  </si>
  <si>
    <t>Coarse Grains</t>
  </si>
  <si>
    <t>Coarse Grain</t>
  </si>
  <si>
    <t>Coffee</t>
  </si>
  <si>
    <t>Sawnwood</t>
  </si>
  <si>
    <t>Tin</t>
  </si>
  <si>
    <t>Copper</t>
  </si>
  <si>
    <t>Cotton</t>
  </si>
  <si>
    <t>Soyabean</t>
  </si>
  <si>
    <t>Fish Meal</t>
  </si>
  <si>
    <t>Logs</t>
  </si>
  <si>
    <t>Database</t>
  </si>
  <si>
    <t>Series_Code</t>
  </si>
  <si>
    <t>Partner Country.Code</t>
  </si>
  <si>
    <t>714.A</t>
  </si>
  <si>
    <t>Partner Country</t>
  </si>
  <si>
    <t>714TXGOTHMETAL_SH001.A</t>
  </si>
  <si>
    <t>001</t>
  </si>
  <si>
    <t>714TMGOTHFOOD_SH001.A</t>
  </si>
  <si>
    <t>Imports of Other Food and Beverages, share of the country's commodity imports</t>
  </si>
  <si>
    <t>Exports of Tea, share of country's total exports</t>
  </si>
  <si>
    <t>TXGTEA_SH</t>
  </si>
  <si>
    <t>Imports of Other Metals, share of the country's commodity imports</t>
  </si>
  <si>
    <t>TMGOTHMETAL_SH</t>
  </si>
  <si>
    <t>Exports of Coffee Arabica, share of country's total exports</t>
  </si>
  <si>
    <t>TXGCFA_SH</t>
  </si>
  <si>
    <t>Imports of Other Raw Materials, share of the country's commodity imports</t>
  </si>
  <si>
    <t>TMGOTHRAW_SH</t>
  </si>
  <si>
    <t>Exports of Other Raw Materials, share of the country's commodity exports</t>
  </si>
  <si>
    <t>TXGOTHRAW_SH</t>
  </si>
  <si>
    <t>Imports of Wheat, share of country's total imports</t>
  </si>
  <si>
    <t>TMGWHE_SH</t>
  </si>
  <si>
    <t>Exports of Other Food and Beverages, share of the country's commodity exports</t>
  </si>
  <si>
    <t>TXGOTHFOOD_SH</t>
  </si>
  <si>
    <t>Imports of Rice, share of country's total imports</t>
  </si>
  <si>
    <t>TMGRIN_SH</t>
  </si>
  <si>
    <t>Exports of Wheat, share of country's total exports</t>
  </si>
  <si>
    <t>TXGWHE_SH</t>
  </si>
  <si>
    <t>Imports of CoarseGrains, share of country's total imports</t>
  </si>
  <si>
    <t>TMGCERW_SH</t>
  </si>
  <si>
    <t>Exports of CoarseGrains, share of country's total exports</t>
  </si>
  <si>
    <t>TXGCERW_SH</t>
  </si>
  <si>
    <t>Imports of Coffee, share of country's total imports</t>
  </si>
  <si>
    <t>TMGCF_SH</t>
  </si>
  <si>
    <t>Exports of Rice, share of country's total exports</t>
  </si>
  <si>
    <t>TXGRIN_SH</t>
  </si>
  <si>
    <t>Imports of SawWood, share of country's total imports</t>
  </si>
  <si>
    <t>TMGTISWS_SH</t>
  </si>
  <si>
    <t>Exports of Tin, share of country's total exports</t>
  </si>
  <si>
    <t>TXGSN_SH</t>
  </si>
  <si>
    <t>Imports of Copper, share of country's total imports</t>
  </si>
  <si>
    <t>TMGCU_SH</t>
  </si>
  <si>
    <t>Exports of Copper, share of country's total exports</t>
  </si>
  <si>
    <t>TXGCU_SH</t>
  </si>
  <si>
    <t>Imports of Tea, share of country's total imports</t>
  </si>
  <si>
    <t>TMGTEA_SH</t>
  </si>
  <si>
    <t>Exports of Cotton, share of country's total exports</t>
  </si>
  <si>
    <t>TXGCOT_SH</t>
  </si>
  <si>
    <t>Imports of Cotton, share of country's total imports</t>
  </si>
  <si>
    <t>TMGCOT_SH</t>
  </si>
  <si>
    <t>Imports of Soybeans, share of country's total imports</t>
  </si>
  <si>
    <t>TMGSOYB_SH</t>
  </si>
  <si>
    <t>Imports of FishMeal, share of country's total imports</t>
  </si>
  <si>
    <t>TMGFISH_SH</t>
  </si>
  <si>
    <t>Imports of Log, share of country's total imports</t>
  </si>
  <si>
    <t>TMGLOGSK_SH</t>
  </si>
  <si>
    <t>World growth (Rwa export weigthed 2011-13)</t>
  </si>
  <si>
    <t>Rwanda's import prices (import weighted 2011-13)</t>
  </si>
  <si>
    <t>Rwanda's export prices (export weighted 2011-13)</t>
  </si>
  <si>
    <r>
      <t>Real GDP growth all trading partners</t>
    </r>
    <r>
      <rPr>
        <sz val="8"/>
        <rFont val="Arial"/>
        <family val="2"/>
      </rPr>
      <t xml:space="preserve"> (100% of trade of reporting country)</t>
    </r>
  </si>
  <si>
    <r>
      <t>Real imports</t>
    </r>
    <r>
      <rPr>
        <sz val="8"/>
        <rFont val="Arial"/>
        <family val="2"/>
      </rPr>
      <t>, goods excl. oil all trading partners (100% of trade of reporting country)</t>
    </r>
  </si>
  <si>
    <r>
      <t>Export unit value for manuf (MUV)</t>
    </r>
    <r>
      <rPr>
        <sz val="8"/>
        <rFont val="Arial"/>
        <family val="2"/>
      </rPr>
      <t xml:space="preserve"> world in US $ (for </t>
    </r>
    <r>
      <rPr>
        <b/>
        <sz val="8"/>
        <rFont val="Arial"/>
        <family val="2"/>
      </rPr>
      <t>PMmanuf or PEmanuf</t>
    </r>
    <r>
      <rPr>
        <sz val="8"/>
        <rFont val="Arial"/>
        <family val="2"/>
      </rPr>
      <t>)</t>
    </r>
  </si>
  <si>
    <r>
      <t>Export deflator goods (excluding oil) in US $ (</t>
    </r>
    <r>
      <rPr>
        <b/>
        <sz val="9"/>
        <rFont val="Arial"/>
        <family val="2"/>
      </rPr>
      <t>PMnonoil)</t>
    </r>
  </si>
  <si>
    <r>
      <t>CPI of advanced economy trading partners in US $ (for</t>
    </r>
    <r>
      <rPr>
        <b/>
        <sz val="9"/>
        <rFont val="Arial"/>
        <family val="2"/>
      </rPr>
      <t xml:space="preserve"> RER</t>
    </r>
    <r>
      <rPr>
        <sz val="9"/>
        <rFont val="Arial"/>
        <family val="2"/>
      </rPr>
      <t xml:space="preserve"> calc)</t>
    </r>
  </si>
  <si>
    <r>
      <t>Petroleum spot price (APSP) in US $ (in % change) (</t>
    </r>
    <r>
      <rPr>
        <b/>
        <sz val="9"/>
        <rFont val="Arial"/>
        <family val="2"/>
      </rPr>
      <t>PMoil)</t>
    </r>
  </si>
  <si>
    <r>
      <t>Import deflator  goods (excluding oil) in US  $ (</t>
    </r>
    <r>
      <rPr>
        <b/>
        <sz val="9"/>
        <rFont val="Arial"/>
        <family val="2"/>
      </rPr>
      <t>PEnonoil</t>
    </r>
    <r>
      <rPr>
        <sz val="9"/>
        <rFont val="Arial"/>
        <family val="2"/>
      </rPr>
      <t>)</t>
    </r>
  </si>
  <si>
    <r>
      <t>Nonfuel commodity export price in US $ (</t>
    </r>
    <r>
      <rPr>
        <b/>
        <sz val="9"/>
        <rFont val="Arial"/>
        <family val="2"/>
      </rPr>
      <t>PEcommodity-nonoil)</t>
    </r>
  </si>
  <si>
    <t>end of GEE_ALL</t>
  </si>
  <si>
    <t>from 2011 GEE_ALL</t>
  </si>
  <si>
    <t>1) Foreign Output and Demand of Tading Partners  1/</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</si>
  <si>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</si>
  <si>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</si>
  <si>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</si>
  <si>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</si>
  <si>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</si>
  <si>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</si>
  <si>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</si>
  <si>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</si>
  <si>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</si>
  <si>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</si>
  <si>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</si>
  <si>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</si>
  <si>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</si>
  <si>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</si>
  <si>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</si>
  <si>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</si>
  <si>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</si>
  <si>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</si>
  <si>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</si>
  <si>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</si>
  <si>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 xml:space="preserve">    China,P.R.: Mainland</t>
  </si>
  <si>
    <t xml:space="preserve">    Congo, Dem. Rep. of</t>
  </si>
  <si>
    <t xml:space="preserve">    Malaysia</t>
  </si>
  <si>
    <t xml:space="preserve">    Thailand</t>
  </si>
  <si>
    <t xml:space="preserve">  United States</t>
  </si>
  <si>
    <t xml:space="preserve">    Swaziland</t>
  </si>
  <si>
    <t xml:space="preserve">    Germany</t>
  </si>
  <si>
    <t xml:space="preserve">    Pakistan</t>
  </si>
  <si>
    <t xml:space="preserve">    Burundi</t>
  </si>
  <si>
    <t xml:space="preserve">    Belgium</t>
  </si>
  <si>
    <t xml:space="preserve">    Uganda</t>
  </si>
  <si>
    <t xml:space="preserve">    Kenya</t>
  </si>
  <si>
    <t xml:space="preserve">    Kazakhstan</t>
  </si>
  <si>
    <t xml:space="preserve">  United Kingdom</t>
  </si>
  <si>
    <t xml:space="preserve">    France</t>
  </si>
  <si>
    <t xml:space="preserve">    Austria</t>
  </si>
  <si>
    <t xml:space="preserve">    United Arab Emirates</t>
  </si>
  <si>
    <t xml:space="preserve">    Russia</t>
  </si>
  <si>
    <t xml:space="preserve">  Sweden</t>
  </si>
  <si>
    <t xml:space="preserve">  Japan</t>
  </si>
  <si>
    <t xml:space="preserve">    Italy</t>
  </si>
  <si>
    <t xml:space="preserve">    Tanzania</t>
  </si>
  <si>
    <t xml:space="preserve">  Korea</t>
  </si>
  <si>
    <t xml:space="preserve">  China,P.R.: Hong Kong</t>
  </si>
  <si>
    <t xml:space="preserve">    Netherlands</t>
  </si>
  <si>
    <t xml:space="preserve">    Poland</t>
  </si>
  <si>
    <t xml:space="preserve">  Canada</t>
  </si>
  <si>
    <t xml:space="preserve">  Australia</t>
  </si>
  <si>
    <t xml:space="preserve">    Sudan</t>
  </si>
  <si>
    <t xml:space="preserve">    South Africa</t>
  </si>
  <si>
    <t xml:space="preserve">    Bulgaria</t>
  </si>
  <si>
    <t xml:space="preserve">    Djibouti</t>
  </si>
  <si>
    <t xml:space="preserve">    India</t>
  </si>
  <si>
    <t xml:space="preserve">  Norway</t>
  </si>
  <si>
    <t xml:space="preserve">  Singapore</t>
  </si>
  <si>
    <t xml:space="preserve">    Finland</t>
  </si>
  <si>
    <t xml:space="preserve">  Taiwan, Province of China</t>
  </si>
  <si>
    <t xml:space="preserve">  Czech Republic</t>
  </si>
  <si>
    <t xml:space="preserve">    Portugal</t>
  </si>
  <si>
    <t xml:space="preserve">    Turkey</t>
  </si>
  <si>
    <t xml:space="preserve">    Egypt</t>
  </si>
  <si>
    <t xml:space="preserve">    Saudi Arabia</t>
  </si>
  <si>
    <t xml:space="preserve">  Israel</t>
  </si>
  <si>
    <t xml:space="preserve">    Zambia</t>
  </si>
  <si>
    <t xml:space="preserve">    U.S.S.R. n.s.</t>
  </si>
  <si>
    <t xml:space="preserve">    Spain</t>
  </si>
  <si>
    <t xml:space="preserve">  Switzerland</t>
  </si>
  <si>
    <t xml:space="preserve">    Malawi</t>
  </si>
  <si>
    <t xml:space="preserve">    Mauritius</t>
  </si>
  <si>
    <t xml:space="preserve">    Morocco</t>
  </si>
  <si>
    <t xml:space="preserve">    Bahrain</t>
  </si>
  <si>
    <t xml:space="preserve">    Indonesia</t>
  </si>
  <si>
    <t xml:space="preserve">    Kuwait</t>
  </si>
  <si>
    <t xml:space="preserve">  Denmark</t>
  </si>
  <si>
    <t xml:space="preserve">    Ireland</t>
  </si>
  <si>
    <t xml:space="preserve">    Slovenia</t>
  </si>
  <si>
    <t>range GEE_ALL  below this, updated March 2016</t>
  </si>
  <si>
    <t>Previous Editions</t>
  </si>
  <si>
    <t>Real GDP growth all trading partners (100% of trade of reporting country)</t>
  </si>
  <si>
    <t>Real imports, goods excl. oil all trading partners (100% of trade of reporting country)</t>
  </si>
  <si>
    <t>CPI of advanced economy trading partners in US $ (for RER calc)</t>
  </si>
  <si>
    <t>Export deflator goods (excluding oil) in US $ (PMnonoil)</t>
  </si>
  <si>
    <t>Export unit value for manuf (MUV) world in US $ (for PMmanuf or PEmanuf)</t>
  </si>
  <si>
    <t>Petroleum spot price (APSP) in US $ (in % change) (PMoil)</t>
  </si>
  <si>
    <t>Import deflator  goods (excluding oil) in US  $ (PEnonoil)</t>
  </si>
  <si>
    <t>Nonfuel commodity export price in US $ (PEcommodity-nonoil)</t>
  </si>
  <si>
    <t>range GEE_ALL  below this, updated August 2016</t>
  </si>
  <si>
    <t>GEE_ALL Rwanda August 31, 2016</t>
  </si>
  <si>
    <t>Percentage point difference</t>
  </si>
  <si>
    <t>GEE_ALL Rwanda March 2016</t>
  </si>
  <si>
    <t>Difference between March 2017 - August 2016</t>
  </si>
  <si>
    <t>2022Q1</t>
  </si>
  <si>
    <t>2022Q2</t>
  </si>
  <si>
    <t>2022Q3</t>
  </si>
  <si>
    <t>2022Q4</t>
  </si>
  <si>
    <t>2023Q1</t>
  </si>
  <si>
    <t>2023Q2</t>
  </si>
  <si>
    <t>2023Q3</t>
  </si>
  <si>
    <t>2023Q4</t>
  </si>
  <si>
    <t>2024Q1</t>
  </si>
  <si>
    <t>2024Q2</t>
  </si>
  <si>
    <t>2024Q3</t>
  </si>
  <si>
    <t>2024Q4</t>
  </si>
  <si>
    <t>(In percent of total trade)</t>
  </si>
  <si>
    <t>(In percent of trade with advanced economies)</t>
  </si>
  <si>
    <t>(In percent of 59 nonfuel commodties trade)</t>
  </si>
  <si>
    <t>110</t>
  </si>
  <si>
    <t>Gold</t>
  </si>
  <si>
    <t>Other Food&amp;Beverages</t>
  </si>
  <si>
    <t>466</t>
  </si>
  <si>
    <t>United Arab Emirates</t>
  </si>
  <si>
    <t>China</t>
  </si>
  <si>
    <t>146</t>
  </si>
  <si>
    <t>Switzerland</t>
  </si>
  <si>
    <t>134</t>
  </si>
  <si>
    <t>Germany</t>
  </si>
  <si>
    <t>Iron Ore</t>
  </si>
  <si>
    <t>Congo, Democratic Republic of the</t>
  </si>
  <si>
    <t>746</t>
  </si>
  <si>
    <t>Uganda</t>
  </si>
  <si>
    <t>576</t>
  </si>
  <si>
    <t>Singapore</t>
  </si>
  <si>
    <t>Japan</t>
  </si>
  <si>
    <t>Sugar</t>
  </si>
  <si>
    <t>Kenya</t>
  </si>
  <si>
    <t>534</t>
  </si>
  <si>
    <t>India</t>
  </si>
  <si>
    <t>United States</t>
  </si>
  <si>
    <t>124</t>
  </si>
  <si>
    <t>Belgium</t>
  </si>
  <si>
    <t>Molybdenum</t>
  </si>
  <si>
    <t>Palm Oil</t>
  </si>
  <si>
    <t>532</t>
  </si>
  <si>
    <t>Hong Kong SAR</t>
  </si>
  <si>
    <t>144</t>
  </si>
  <si>
    <t>Sweden</t>
  </si>
  <si>
    <t>738</t>
  </si>
  <si>
    <t>Tanzania</t>
  </si>
  <si>
    <t>156</t>
  </si>
  <si>
    <t>Canada</t>
  </si>
  <si>
    <t>Fish</t>
  </si>
  <si>
    <t>United Kingdom</t>
  </si>
  <si>
    <t>France</t>
  </si>
  <si>
    <t>Other Metals</t>
  </si>
  <si>
    <t>Maize (Corn)</t>
  </si>
  <si>
    <t>136</t>
  </si>
  <si>
    <t>Italy</t>
  </si>
  <si>
    <t>Hides</t>
  </si>
  <si>
    <t>199</t>
  </si>
  <si>
    <t>South Africa</t>
  </si>
  <si>
    <t>137</t>
  </si>
  <si>
    <t>Luxembourg</t>
  </si>
  <si>
    <t>138</t>
  </si>
  <si>
    <t>Netherlands</t>
  </si>
  <si>
    <t>Beef</t>
  </si>
  <si>
    <t>Other Fertilizers</t>
  </si>
  <si>
    <t>916</t>
  </si>
  <si>
    <t>Kazakhstan</t>
  </si>
  <si>
    <t>Aluminum</t>
  </si>
  <si>
    <t>Russia</t>
  </si>
  <si>
    <t>542</t>
  </si>
  <si>
    <t>Korea</t>
  </si>
  <si>
    <t>Sorghum</t>
  </si>
  <si>
    <t>Dairy Products (Milk)</t>
  </si>
  <si>
    <t>172</t>
  </si>
  <si>
    <t>Finland</t>
  </si>
  <si>
    <t>Lead</t>
  </si>
  <si>
    <t>Hard Sawnwood</t>
  </si>
  <si>
    <t>618</t>
  </si>
  <si>
    <t>Burundi</t>
  </si>
  <si>
    <t>456</t>
  </si>
  <si>
    <t>Saudi Arabia</t>
  </si>
  <si>
    <t>122</t>
  </si>
  <si>
    <t>Austria</t>
  </si>
  <si>
    <t>Citrus Fruit + Orange Juice</t>
  </si>
  <si>
    <t>754</t>
  </si>
  <si>
    <t>Zambia</t>
  </si>
  <si>
    <t>Legumes (Chickpea)</t>
  </si>
  <si>
    <t>Soybean</t>
  </si>
  <si>
    <t>186</t>
  </si>
  <si>
    <t>Turkey</t>
  </si>
  <si>
    <t>Sunflower Seed Oil</t>
  </si>
  <si>
    <t>182</t>
  </si>
  <si>
    <t>Portugal</t>
  </si>
  <si>
    <t>Soybean Meal</t>
  </si>
  <si>
    <t>Australia</t>
  </si>
  <si>
    <t>142</t>
  </si>
  <si>
    <t>Norway</t>
  </si>
  <si>
    <t>Potassium</t>
  </si>
  <si>
    <t>Malaysia</t>
  </si>
  <si>
    <t>564</t>
  </si>
  <si>
    <t>Pakistan</t>
  </si>
  <si>
    <t>935</t>
  </si>
  <si>
    <t>Czech Republic</t>
  </si>
  <si>
    <t>128</t>
  </si>
  <si>
    <t>Denmark</t>
  </si>
  <si>
    <t>Soybean Oil</t>
  </si>
  <si>
    <t>196</t>
  </si>
  <si>
    <t>New Zealand</t>
  </si>
  <si>
    <t>436</t>
  </si>
  <si>
    <t>Israel</t>
  </si>
  <si>
    <t>Groundnuts + Tree Nuts</t>
  </si>
  <si>
    <t>Nitrogen</t>
  </si>
  <si>
    <t>178</t>
  </si>
  <si>
    <t>Ireland</t>
  </si>
  <si>
    <t>184</t>
  </si>
  <si>
    <t>Spain</t>
  </si>
  <si>
    <t>453</t>
  </si>
  <si>
    <t>Qatar</t>
  </si>
  <si>
    <t>946</t>
  </si>
  <si>
    <t>Lithuania</t>
  </si>
  <si>
    <t>Poultry</t>
  </si>
  <si>
    <t>469</t>
  </si>
  <si>
    <t>Egypt</t>
  </si>
  <si>
    <t>528</t>
  </si>
  <si>
    <t>Taiwan Province of China</t>
  </si>
  <si>
    <t>Non-Citrus Fruit (Apple)</t>
  </si>
  <si>
    <t>536</t>
  </si>
  <si>
    <t>Indonesia</t>
  </si>
  <si>
    <t>644</t>
  </si>
  <si>
    <t>Ethiopia</t>
  </si>
  <si>
    <t>578</t>
  </si>
  <si>
    <t>Thailand</t>
  </si>
  <si>
    <t>Hardwood Logs</t>
  </si>
  <si>
    <t>941</t>
  </si>
  <si>
    <t>Latvia</t>
  </si>
  <si>
    <t>939</t>
  </si>
  <si>
    <t>Estonia</t>
  </si>
  <si>
    <t>582</t>
  </si>
  <si>
    <t>Vietnam</t>
  </si>
  <si>
    <t>Vegetables (Tomato)</t>
  </si>
  <si>
    <t>733</t>
  </si>
  <si>
    <t>South Sudan</t>
  </si>
  <si>
    <t>176</t>
  </si>
  <si>
    <t>Iceland</t>
  </si>
  <si>
    <t>961</t>
  </si>
  <si>
    <t>Slovenia</t>
  </si>
  <si>
    <t>Olive Oil</t>
  </si>
  <si>
    <t>Bananas</t>
  </si>
  <si>
    <t>Rubber</t>
  </si>
  <si>
    <t>686</t>
  </si>
  <si>
    <t>Morocco</t>
  </si>
  <si>
    <t>Swine (Pork)</t>
  </si>
  <si>
    <t>223</t>
  </si>
  <si>
    <t>Brazil</t>
  </si>
  <si>
    <t xml:space="preserve">Lamb </t>
  </si>
  <si>
    <t>449</t>
  </si>
  <si>
    <t>Oman</t>
  </si>
  <si>
    <t>429</t>
  </si>
  <si>
    <t>Iran</t>
  </si>
  <si>
    <t>Sawn Softwood</t>
  </si>
  <si>
    <t>Shrimp</t>
  </si>
  <si>
    <t>684</t>
  </si>
  <si>
    <t>Mauritius</t>
  </si>
  <si>
    <t>44.</t>
  </si>
  <si>
    <t>688</t>
  </si>
  <si>
    <t>Mozambique</t>
  </si>
  <si>
    <t>45.</t>
  </si>
  <si>
    <t>46.</t>
  </si>
  <si>
    <t>676</t>
  </si>
  <si>
    <t>Malawi</t>
  </si>
  <si>
    <t>47.</t>
  </si>
  <si>
    <t>48.</t>
  </si>
  <si>
    <t>964</t>
  </si>
  <si>
    <t>Poland</t>
  </si>
  <si>
    <t>49.</t>
  </si>
  <si>
    <t>734</t>
  </si>
  <si>
    <t>Eswatini</t>
  </si>
  <si>
    <t>50.</t>
  </si>
  <si>
    <t>926</t>
  </si>
  <si>
    <t>Ukraine</t>
  </si>
  <si>
    <t>51.</t>
  </si>
  <si>
    <t>258</t>
  </si>
  <si>
    <t>Guatemala</t>
  </si>
  <si>
    <t>52.</t>
  </si>
  <si>
    <t>419</t>
  </si>
  <si>
    <t>Bahrain</t>
  </si>
  <si>
    <t>53.</t>
  </si>
  <si>
    <t>213</t>
  </si>
  <si>
    <t>Argentina</t>
  </si>
  <si>
    <t>54.</t>
  </si>
  <si>
    <t>744</t>
  </si>
  <si>
    <t>Tunisia</t>
  </si>
  <si>
    <t>Other Food &amp; Beverages</t>
  </si>
  <si>
    <t xml:space="preserve">Molybdenum </t>
  </si>
  <si>
    <t>Softwood Logs</t>
  </si>
  <si>
    <t>936</t>
  </si>
  <si>
    <t>Slovak Republic</t>
  </si>
  <si>
    <t/>
  </si>
  <si>
    <t>518</t>
  </si>
  <si>
    <t>Myanmar</t>
  </si>
  <si>
    <t>622</t>
  </si>
  <si>
    <t>Cameroon</t>
  </si>
  <si>
    <t>732</t>
  </si>
  <si>
    <t>Sudan</t>
  </si>
  <si>
    <t>634</t>
  </si>
  <si>
    <t>Congo, Republic of</t>
  </si>
  <si>
    <t>748</t>
  </si>
  <si>
    <t>Burkina Faso</t>
  </si>
  <si>
    <t>963</t>
  </si>
  <si>
    <t>Bosnia and Herzegovina</t>
  </si>
  <si>
    <t>55.</t>
  </si>
  <si>
    <t>Vintage:</t>
  </si>
  <si>
    <t>726</t>
  </si>
  <si>
    <t>Somalia</t>
  </si>
  <si>
    <t>Barley</t>
  </si>
  <si>
    <t>Türkiye</t>
  </si>
  <si>
    <t>Silver</t>
  </si>
  <si>
    <t>181</t>
  </si>
  <si>
    <t>Malta</t>
  </si>
  <si>
    <t>174</t>
  </si>
  <si>
    <t>Greece</t>
  </si>
  <si>
    <t>2) Foreign Prices and Costs of Trading Partners   1/</t>
  </si>
  <si>
    <t>Average of nonfuel commodity market prices weighted by the 2019-2021 composition of nonfuel commodity trade of reporting country.</t>
  </si>
  <si>
    <t xml:space="preserve">      3/ Average of the export unit value for manufactures (MUV), the petroleum price (APSP), and the nonfuel commodity price, weighted by the 2019-21 composition of trade of reporting country.</t>
  </si>
  <si>
    <t>Current Vintage: GASJul2023Start</t>
  </si>
  <si>
    <t>WEOGEE</t>
  </si>
  <si>
    <t>end WEOGEE_Rwametric_Qdata</t>
  </si>
  <si>
    <t>WEOGEE_Rwametric_Qdata   above this</t>
  </si>
  <si>
    <t>2025Q1</t>
  </si>
  <si>
    <t>2025Q2</t>
  </si>
  <si>
    <t>2025Q3</t>
  </si>
  <si>
    <t>2025Q4</t>
  </si>
  <si>
    <t>2026Q1</t>
  </si>
  <si>
    <t>2026Q2</t>
  </si>
  <si>
    <t>2026Q3</t>
  </si>
  <si>
    <t>2026Q4</t>
  </si>
  <si>
    <t>naïve extrapolation</t>
  </si>
  <si>
    <t>range GEE_ALL  below this, updated Oct 2023</t>
  </si>
  <si>
    <t>fr Q1 2011 WEOGEE_Rwametric_Qdata</t>
  </si>
  <si>
    <t>GEE_ALL  vintage IMF-WEO Oct 2023</t>
  </si>
  <si>
    <t>GEE_ALL IMF-WEO Feb, 2019</t>
  </si>
  <si>
    <t>2027Q1</t>
  </si>
  <si>
    <t>2027Q2</t>
  </si>
  <si>
    <t>2027Q3</t>
  </si>
  <si>
    <t>2027Q4</t>
  </si>
  <si>
    <t>2028Q1</t>
  </si>
  <si>
    <t>2028Q2</t>
  </si>
  <si>
    <t>2028Q3</t>
  </si>
  <si>
    <t>2028Q4</t>
  </si>
  <si>
    <t>2029Q1</t>
  </si>
  <si>
    <t>2029Q2</t>
  </si>
  <si>
    <t>2029Q3</t>
  </si>
  <si>
    <t>2029Q4</t>
  </si>
  <si>
    <t>2030Q1</t>
  </si>
  <si>
    <t>2030Q2</t>
  </si>
  <si>
    <t>2030Q3</t>
  </si>
  <si>
    <t>2030Q4</t>
  </si>
  <si>
    <t>Keep this block as it is link to other files and linked to the above block</t>
  </si>
  <si>
    <t>kept this block intact/linked, range extended 2011-28; plse keep vintage labels up to date</t>
  </si>
  <si>
    <t>use annual growth rates for each Q</t>
  </si>
  <si>
    <t>extrapolation with WEOGEE annual growth rates for each Q</t>
  </si>
  <si>
    <r>
      <t xml:space="preserve">WEOGEE_Rwametric_Qdata   below this </t>
    </r>
    <r>
      <rPr>
        <b/>
        <sz val="8"/>
        <rFont val="Arial"/>
        <family val="2"/>
      </rPr>
      <t>(Vintage: September 2024 Start)</t>
    </r>
  </si>
  <si>
    <t>range GEE_ALL  below this, updated Sept 2024</t>
  </si>
  <si>
    <t>s</t>
  </si>
  <si>
    <t>DATASET</t>
  </si>
  <si>
    <t>IMF.RES.GEE:GEE_LIVE</t>
  </si>
  <si>
    <t>IMF.RES.GAS:GAS_LIVE</t>
  </si>
  <si>
    <t>RWA.NGDP_R_PCH_WX.G110.A</t>
  </si>
  <si>
    <t>RWA.NTDD_R_PCH_WX.G110.A</t>
  </si>
  <si>
    <t>RWA.NGDP_R_PCH_WX.G001.A</t>
  </si>
  <si>
    <t>RWA.TM_R_PCH_WX.G001.A</t>
  </si>
  <si>
    <t>RWA.TMG_R_PCH_WX.G001.A</t>
  </si>
  <si>
    <t>RWA.TMGXO_R_PCH_WX.G001.A</t>
  </si>
  <si>
    <t>RWA.TX_R_PCH_WM.G001.A</t>
  </si>
  <si>
    <t>RWA.TXG_R_PCH_WM.G001.A</t>
  </si>
  <si>
    <t>RWA.TXGXO_R_PCH_WM.G001.A</t>
  </si>
  <si>
    <t>RWA.NGDP_D_PCH_WM.G110.A</t>
  </si>
  <si>
    <t>RWA.NGDP_D_USD_PCH_WM.G110.A</t>
  </si>
  <si>
    <t>RWA.PCPI_PCH_WM.G110.A</t>
  </si>
  <si>
    <t>RWA.PCPI_USD_PCH_WM.G110.A</t>
  </si>
  <si>
    <t>RWA.TX_D_PCH_WM.G001.A</t>
  </si>
  <si>
    <t>RWA.TXG_D_PCH_WM.G001.A</t>
  </si>
  <si>
    <t>RWA.TXGXO_D_PCH_WM.G001.A</t>
  </si>
  <si>
    <t>RWA.TM_D_PCH_WX.G001.A</t>
  </si>
  <si>
    <t>RWA.TMG_D_PCH_WX.G001.A</t>
  </si>
  <si>
    <t>RWA.TMGXO_D_PCH_WX.G001.A</t>
  </si>
  <si>
    <t>RWA.LULCM_USD_PCH_WX.G110.A</t>
  </si>
  <si>
    <t>G110.TXGM_D_PCH.A</t>
  </si>
  <si>
    <t>G001.PZPIOIL_PCH.A</t>
  </si>
  <si>
    <t>RWA.PXPNF_PCH_WX.G001.A</t>
  </si>
  <si>
    <t>RWA.PMPNF_PCH_WM.G001.A</t>
  </si>
  <si>
    <t>RWA.TXGCB_D_PCH.G001.A</t>
  </si>
  <si>
    <t>RWA.TMGCB_D_PCH.G001.A</t>
  </si>
  <si>
    <t>RWA.NGDP_R_YOY_WX.G110.Q</t>
  </si>
  <si>
    <t>RWA.NTDD_R_YOY_WX.G110.Q</t>
  </si>
  <si>
    <t>RWA.NGDP_R_YOY_WX.G001.Q</t>
  </si>
  <si>
    <t>RWA.TM_R_YOY_WX.G001.Q</t>
  </si>
  <si>
    <t>RWA.TMG_R_YOY_WX.G001.Q</t>
  </si>
  <si>
    <t>RWA.TMGXO_R_YOY_WX.G001.Q</t>
  </si>
  <si>
    <t>RWA.TX_R_YOY_WM.G001.Q</t>
  </si>
  <si>
    <t>RWA.TXG_R_YOY_WM.G001.Q</t>
  </si>
  <si>
    <t>RWA.TXGXO_R_YOY_WM.G001.Q</t>
  </si>
  <si>
    <t>RWA.NGDP_D_YOY_WM.G110.Q</t>
  </si>
  <si>
    <t>RWA.NGDP_D_USD_YOY_WM.G110.Q</t>
  </si>
  <si>
    <t>RWA.PCPI_YOY_WM.G110.Q</t>
  </si>
  <si>
    <t>RWA.PCPI_USD_YOY_WM.G110.Q</t>
  </si>
  <si>
    <t>RWA.TX_D_YOY_WM.G001.Q</t>
  </si>
  <si>
    <t>RWA.TXG_D_YOY_WM.G001.Q</t>
  </si>
  <si>
    <t>RWA.TXGXO_D_YOY_WM.G001.Q</t>
  </si>
  <si>
    <t>RWA.TM_D_YOY_WX.G001.Q</t>
  </si>
  <si>
    <t>RWA.TMG_D_YOY_WX.G001.Q</t>
  </si>
  <si>
    <t>RWA.TMGXO_D_YOY_WX.G001.Q</t>
  </si>
  <si>
    <t>RWA.LULCM_USD_YOY_WX.G110.Q</t>
  </si>
  <si>
    <t>G110.TXGM_D_YOY.Q</t>
  </si>
  <si>
    <t>G001.PZPIOIL_YOY.Q</t>
  </si>
  <si>
    <t>RWA.PXPNF_YOY_WX.G001.Q</t>
  </si>
  <si>
    <t>RWA.PMPNF_YOY_WM.G001.Q</t>
  </si>
  <si>
    <t>RWA.TXGCB_D_YOY.G001.Q</t>
  </si>
  <si>
    <t>RWA.TMGCB_D_YOY.G001.Q</t>
  </si>
  <si>
    <t>Naïve extrapolation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</si>
</sst>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dd\,\ mmmm\ d\,\ yyyy"/>
    <numFmt numFmtId="165" formatCode="0.0"/>
    <numFmt numFmtId="166" formatCode="0.0%"/>
  </numFmts>
  <fonts count="68" x14ac:knownFonts="1">
    <font>
      <sz val="10"/>
      <name val="Arial"/>
    </font>
    <font>
      <sz val="9"/>
      <name val="Times New Roman"/>
      <family val="1"/>
    </font>
    <font>
      <sz val="8"/>
      <name val="Arial"/>
      <family val="2"/>
    </font>
    <font>
      <b/>
      <sz val="9"/>
      <name val="Times New Roman"/>
      <family val="1"/>
    </font>
    <font>
      <i/>
      <sz val="9"/>
      <name val="Times New Roman"/>
      <family val="1"/>
    </font>
    <font>
      <u/>
      <sz val="9"/>
      <color rgb="FF0000FF"/>
      <name val="Times New Roman"/>
      <family val="1"/>
    </font>
    <font>
      <b/>
      <sz val="9"/>
      <name val="Arial"/>
      <family val="2"/>
    </font>
    <font>
      <b/>
      <sz val="8"/>
      <name val="Arial"/>
      <family val="2"/>
    </font>
    <font>
      <i/>
      <sz val="8"/>
      <name val="Arial"/>
      <family val="2"/>
    </font>
    <font>
      <sz val="12"/>
      <name val="Times New Roman"/>
      <family val="1"/>
    </font>
    <font>
      <b/>
      <sz val="10"/>
      <name val="Arial"/>
      <family val="2"/>
    </font>
    <font>
      <b/>
      <sz val="10"/>
      <color rgb="FFFFFFFF"/>
      <name val="Arial"/>
      <family val="2"/>
    </font>
    <font>
      <sz val="10"/>
      <name val="Times New Roman"/>
      <family val="1"/>
    </font>
    <font>
      <b/>
      <sz val="11"/>
      <name val="Arial"/>
      <family val="2"/>
    </font>
    <font>
      <b/>
      <u/>
      <sz val="10"/>
      <name val="Arial"/>
      <family val="2"/>
    </font>
    <font>
      <b/>
      <sz val="10"/>
      <color rgb="FF1F497D"/>
      <name val="Arial"/>
      <family val="2"/>
    </font>
    <font>
      <sz val="10"/>
      <color rgb="FF1F497D"/>
      <name val="Arial"/>
      <family val="2"/>
    </font>
    <font>
      <b/>
      <sz val="14"/>
      <color rgb="FF1F497D"/>
      <name val="Arial"/>
      <family val="2"/>
    </font>
    <font>
      <b/>
      <i/>
      <sz val="10"/>
      <color rgb="FFFF1418"/>
      <name val="Arial"/>
      <family val="2"/>
    </font>
    <font>
      <sz val="9"/>
      <color rgb="FF1F497D"/>
      <name val="Arial"/>
      <family val="2"/>
    </font>
    <font>
      <b/>
      <sz val="11"/>
      <color rgb="FF1F497D"/>
      <name val="Arial"/>
      <family val="2"/>
    </font>
    <font>
      <i/>
      <sz val="10"/>
      <color rgb="FF1F497D"/>
      <name val="Arial"/>
      <family val="2"/>
    </font>
    <font>
      <i/>
      <sz val="10"/>
      <color rgb="FFFF1418"/>
      <name val="Arial"/>
      <family val="2"/>
    </font>
    <font>
      <sz val="10"/>
      <color rgb="FF000080"/>
      <name val="Times New Roman"/>
      <family val="1"/>
    </font>
    <font>
      <sz val="10"/>
      <color rgb="FFFFFFFF"/>
      <name val="Arial"/>
      <family val="2"/>
    </font>
    <font>
      <sz val="8"/>
      <color rgb="FF1F497D"/>
      <name val="Arial"/>
      <family val="2"/>
    </font>
    <font>
      <b/>
      <sz val="8"/>
      <color rgb="FF1F497D"/>
      <name val="Arial"/>
      <family val="2"/>
    </font>
    <font>
      <sz val="8"/>
      <name val="Calibri"/>
      <family val="2"/>
    </font>
    <font>
      <sz val="9"/>
      <name val="Arial"/>
      <family val="2"/>
    </font>
    <font>
      <sz val="10"/>
      <name val="Arial"/>
      <family val="2"/>
    </font>
    <font>
      <sz val="10"/>
      <color rgb="FF1F497D"/>
      <name val="Arial"/>
      <family val="2"/>
    </font>
    <font>
      <b/>
      <sz val="10"/>
      <color rgb="FF1F497D"/>
      <name val="Arial"/>
      <family val="2"/>
    </font>
    <font>
      <b/>
      <sz val="10"/>
      <name val="Arial"/>
      <family val="2"/>
    </font>
    <font>
      <b/>
      <sz val="14"/>
      <color rgb="FF1F497D"/>
      <name val="Arial"/>
      <family val="2"/>
    </font>
    <font>
      <sz val="9"/>
      <color rgb="FF1F497D"/>
      <name val="Arial"/>
      <family val="2"/>
    </font>
    <font>
      <i/>
      <sz val="10"/>
      <color rgb="FF1F497D"/>
      <name val="Arial"/>
      <family val="2"/>
    </font>
    <font>
      <b/>
      <i/>
      <sz val="10"/>
      <color rgb="FF1F497D"/>
      <name val="Arial"/>
      <family val="2"/>
    </font>
    <font>
      <sz val="10"/>
      <color rgb="FFFFFFFF"/>
      <name val="Arial"/>
      <family val="2"/>
    </font>
    <font>
      <i/>
      <sz val="10"/>
      <name val="Arial"/>
      <family val="2"/>
    </font>
    <font>
      <u/>
      <sz val="10"/>
      <color theme="10"/>
      <name val="Arial"/>
      <family val="2"/>
    </font>
    <font>
      <sz val="10"/>
      <color rgb="FF1F497D"/>
      <name val="Arial"/>
      <family val="2"/>
    </font>
    <font>
      <b/>
      <sz val="14"/>
      <color rgb="FF1F497D"/>
      <name val="Arial"/>
      <family val="2"/>
    </font>
    <font>
      <b/>
      <sz val="10"/>
      <color rgb="FF1F497D"/>
      <name val="Arial"/>
      <family val="2"/>
    </font>
    <font>
      <sz val="9"/>
      <color rgb="FF1F497D"/>
      <name val="Arial"/>
      <family val="2"/>
    </font>
    <font>
      <b/>
      <i/>
      <sz val="10"/>
      <color rgb="FF1F497D"/>
      <name val="Arial"/>
      <family val="2"/>
    </font>
    <font>
      <i/>
      <sz val="10"/>
      <color rgb="FF1F497D"/>
      <name val="Arial"/>
      <family val="2"/>
    </font>
    <font>
      <sz val="10"/>
      <color rgb="FF0080FF"/>
      <name val="Arial"/>
      <family val="2"/>
    </font>
    <font>
      <b/>
      <sz val="9"/>
      <color indexed="81"/>
      <name val="Tahoma"/>
      <family val="2"/>
    </font>
    <font>
      <sz val="10"/>
      <color rgb="FF1F497D"/>
      <name val="Arial"/>
      <family val="2"/>
    </font>
    <font>
      <b/>
      <sz val="14"/>
      <color rgb="FF1F497D"/>
      <name val="Arial"/>
      <family val="2"/>
    </font>
    <font>
      <b/>
      <sz val="10"/>
      <color rgb="FF1F497D"/>
      <name val="Arial"/>
      <family val="2"/>
    </font>
    <font>
      <sz val="9"/>
      <color rgb="FF1F497D"/>
      <name val="Arial"/>
      <family val="2"/>
    </font>
    <font>
      <b/>
      <i/>
      <sz val="10"/>
      <color rgb="FF1F497D"/>
      <name val="Arial"/>
      <family val="2"/>
    </font>
    <font>
      <i/>
      <sz val="10"/>
      <color rgb="FF1F497D"/>
      <name val="Arial"/>
      <family val="2"/>
    </font>
    <font>
      <b/>
      <sz val="11"/>
      <color rgb="FF1F497D"/>
      <name val="Arial"/>
      <family val="2"/>
    </font>
    <font>
      <b/>
      <u/>
      <sz val="10"/>
      <name val="Arial"/>
      <family val="2"/>
    </font>
    <font>
      <b/>
      <sz val="10"/>
      <name val="Arial"/>
      <family val="2"/>
    </font>
    <font>
      <i/>
      <sz val="10"/>
      <color rgb="FFFF1418"/>
      <name val="Arial"/>
      <family val="2"/>
    </font>
    <font>
      <sz val="9"/>
      <color rgb="FFC00000"/>
      <name val="Arial"/>
      <family val="2"/>
    </font>
    <font>
      <sz val="8"/>
      <color rgb="FFC00000"/>
      <name val="Arial"/>
      <family val="2"/>
    </font>
    <font>
      <sz val="10"/>
      <color rgb="FFFF0000"/>
      <name val="Arial"/>
      <family val="2"/>
    </font>
    <font>
      <b/>
      <u/>
      <sz val="8"/>
      <color rgb="FFFF0000"/>
      <name val="Arial"/>
      <family val="2"/>
    </font>
    <font>
      <b/>
      <sz val="8"/>
      <color rgb="FFFF0000"/>
      <name val="Arial"/>
      <family val="2"/>
    </font>
    <font>
      <sz val="9"/>
      <color rgb="FFFF0000"/>
      <name val="Arial"/>
      <family val="2"/>
    </font>
    <font>
      <b/>
      <sz val="8"/>
      <color rgb="FFC00000"/>
      <name val="Arial"/>
      <family val="2"/>
    </font>
    <font>
      <sz val="10"/>
      <color rgb="FF000000"/>
      <name val="Arial"/>
      <family val="2"/>
    </font>
    <font>
      <b/>
      <sz val="10"/>
      <color rgb="FF000000"/>
      <name val="Arial"/>
      <family val="2"/>
    </font>
    <font>
      <sz val="10"/>
      <color rgb="FFC00000"/>
      <name val="Arial"/>
      <family val="2"/>
    </font>
  </fonts>
  <fills count="20">
    <fill>
      <patternFill patternType="none"/>
    </fill>
    <fill>
      <patternFill patternType="gray125"/>
    </fill>
    <fill>
      <patternFill patternType="solid">
        <fgColor rgb="FF57FFFF"/>
      </patternFill>
    </fill>
    <fill>
      <patternFill patternType="solid">
        <fgColor rgb="FFFFFF00"/>
      </patternFill>
    </fill>
    <fill>
      <patternFill patternType="solid">
        <fgColor rgb="FF4BACC6"/>
      </patternFill>
    </fill>
    <fill>
      <patternFill patternType="solid">
        <fgColor rgb="FFD8D8D8"/>
      </patternFill>
    </fill>
    <fill>
      <patternFill patternType="solid">
        <fgColor rgb="FFE5E0EC"/>
      </patternFill>
    </fill>
    <fill>
      <patternFill patternType="solid">
        <fgColor rgb="FFC0D59B"/>
      </patternFill>
    </fill>
    <fill>
      <patternFill patternType="solid">
        <fgColor rgb="FFFFFF31"/>
      </patternFill>
    </fill>
    <fill>
      <patternFill patternType="solid">
        <fgColor rgb="FFFFFFA0"/>
      </patternFill>
    </fill>
    <fill>
      <patternFill patternType="solid">
        <fgColor rgb="FF57C0FF"/>
      </patternFill>
    </fill>
    <fill>
      <patternFill patternType="solid">
        <fgColor rgb="FFF2F2F2"/>
      </patternFill>
    </fill>
    <fill>
      <patternFill patternType="solid">
        <fgColor theme="4" tint="0.79998168889431442"/>
        <bgColor indexed="64"/>
      </patternFill>
    </fill>
    <fill>
      <patternFill patternType="solid">
        <fgColor rgb="FFDCE6F1"/>
        <bgColor indexed="64"/>
      </patternFill>
    </fill>
    <fill>
      <patternFill patternType="solid">
        <fgColor rgb="FFDCE6F1"/>
        <bgColor rgb="FF000000"/>
      </patternFill>
    </fill>
    <fill>
      <patternFill patternType="solid">
        <fgColor theme="0"/>
        <bgColor rgb="FF000000"/>
      </patternFill>
    </fill>
    <fill>
      <patternFill patternType="solid">
        <fgColor theme="0"/>
        <bgColor indexed="64"/>
      </patternFill>
    </fill>
    <fill>
      <patternFill patternType="solid">
        <fgColor rgb="FF00B0F0"/>
        <bgColor indexed="64"/>
      </patternFill>
    </fill>
    <fill>
      <patternFill patternType="solid">
        <fgColor rgb="FFEEEEEE"/>
      </patternFill>
    </fill>
    <fill>
      <patternFill patternType="solid">
        <fgColor rgb="FFCCCC00"/>
        <bgColor indexed="64"/>
      </patternFill>
    </fill>
  </fills>
  <borders count="31">
    <border>
      <left/>
      <right/>
      <top/>
      <bottom/>
      <diagonal/>
    </border>
    <border>
      <left/>
      <right/>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top/>
      <bottom/>
      <diagonal/>
    </border>
    <border>
      <left/>
      <right/>
      <top style="thick">
        <color rgb="FF000000"/>
      </top>
      <bottom/>
      <diagonal/>
    </border>
    <border>
      <left/>
      <right/>
      <top/>
      <bottom style="thin">
        <color rgb="FF000000"/>
      </bottom>
      <diagonal/>
    </border>
    <border>
      <left/>
      <right/>
      <top style="thin">
        <color rgb="FF000000"/>
      </top>
      <bottom/>
      <diagonal/>
    </border>
    <border>
      <left/>
      <right/>
      <top/>
      <bottom style="medium">
        <color rgb="FF000000"/>
      </bottom>
      <diagonal/>
    </border>
    <border>
      <left/>
      <right/>
      <top style="medium">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mediumDashed">
        <color auto="1"/>
      </top>
      <bottom/>
      <diagonal/>
    </border>
    <border>
      <left/>
      <right style="mediumDashed">
        <color auto="1"/>
      </right>
      <top style="mediumDashed">
        <color auto="1"/>
      </top>
      <bottom/>
      <diagonal/>
    </border>
    <border>
      <left/>
      <right style="mediumDashed">
        <color auto="1"/>
      </right>
      <top/>
      <bottom/>
      <diagonal/>
    </border>
    <border>
      <left/>
      <right/>
      <top/>
      <bottom style="mediumDashed">
        <color auto="1"/>
      </bottom>
      <diagonal/>
    </border>
    <border>
      <left/>
      <right style="mediumDashed">
        <color auto="1"/>
      </right>
      <top/>
      <bottom style="mediumDashed">
        <color auto="1"/>
      </bottom>
      <diagonal/>
    </border>
    <border>
      <left/>
      <right/>
      <top/>
      <bottom style="thin">
        <color indexed="64"/>
      </bottom>
      <diagonal/>
    </border>
    <border>
      <left/>
      <right style="thin">
        <color rgb="FFFFFFFF"/>
      </right>
      <top style="thin">
        <color rgb="FFBBBBBB"/>
      </top>
      <bottom style="thin">
        <color rgb="FFFFFFFF"/>
      </bottom>
      <diagonal/>
    </border>
    <border>
      <left style="thin">
        <color rgb="FFFFFFFF"/>
      </left>
      <right style="thin">
        <color rgb="FFBBBBBB"/>
      </right>
      <top style="thin">
        <color rgb="FFBBBBBB"/>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BBBBBB"/>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BBBBBB"/>
      </right>
      <top style="thin">
        <color rgb="FFFFFFFF"/>
      </top>
      <bottom/>
      <diagonal/>
    </border>
    <border>
      <left style="mediumDashed">
        <color auto="1"/>
      </left>
      <right/>
      <top/>
      <bottom/>
      <diagonal/>
    </border>
    <border>
      <left style="mediumDashed">
        <color auto="1"/>
      </left>
      <right/>
      <top/>
      <bottom style="mediumDashed">
        <color auto="1"/>
      </bottom>
      <diagonal/>
    </border>
    <border>
      <left/>
      <right style="thin">
        <color indexed="64"/>
      </right>
      <top/>
      <bottom/>
      <diagonal/>
    </border>
  </borders>
  <cellStyleXfs count="2">
    <xf numFmtId="0" fontId="0" fillId="0" borderId="0"/>
    <xf numFmtId="0" fontId="39" fillId="0" borderId="0" applyNumberFormat="0" applyFill="0" applyBorder="0" applyAlignment="0" applyProtection="0"/>
  </cellStyleXfs>
  <cellXfs count="330">
    <xf numFmtId="0" fontId="0" fillId="0" borderId="0" xfId="0" applyProtection="1">
      <protection locked="0"/>
    </xf>
    <xf numFmtId="0" fontId="1" fillId="0" borderId="1" xfId="0" applyFont="1" applyBorder="1" applyAlignment="1" applyProtection="1">
      <alignment vertical="top" wrapText="1"/>
      <protection locked="0"/>
    </xf>
    <xf numFmtId="0" fontId="2" fillId="0" borderId="0" xfId="0" applyFont="1" applyAlignment="1" applyProtection="1">
      <alignment vertical="top" wrapText="1"/>
      <protection locked="0"/>
    </xf>
    <xf numFmtId="0" fontId="2" fillId="0" borderId="3" xfId="0" applyFont="1" applyBorder="1" applyAlignment="1" applyProtection="1">
      <alignment vertical="top" wrapText="1"/>
      <protection locked="0"/>
    </xf>
    <xf numFmtId="0" fontId="3" fillId="0" borderId="4" xfId="0" applyFont="1" applyBorder="1" applyAlignment="1" applyProtection="1">
      <alignment horizontal="left" wrapText="1"/>
      <protection locked="0"/>
    </xf>
    <xf numFmtId="0" fontId="1" fillId="0" borderId="4" xfId="0" applyFont="1" applyBorder="1" applyAlignment="1" applyProtection="1">
      <alignment horizontal="center" wrapText="1"/>
      <protection locked="0"/>
    </xf>
    <xf numFmtId="0" fontId="1" fillId="0" borderId="4" xfId="0" applyFont="1" applyBorder="1" applyAlignment="1" applyProtection="1">
      <alignment horizontal="left" wrapText="1"/>
      <protection locked="0"/>
    </xf>
    <xf numFmtId="0" fontId="1" fillId="0" borderId="0" xfId="0" applyFont="1" applyAlignment="1" applyProtection="1">
      <alignment horizontal="left" wrapText="1"/>
      <protection locked="0"/>
    </xf>
    <xf numFmtId="0" fontId="1" fillId="0" borderId="0" xfId="0" applyFont="1" applyAlignment="1" applyProtection="1">
      <alignment horizontal="center" wrapText="1"/>
      <protection locked="0"/>
    </xf>
    <xf numFmtId="0" fontId="3" fillId="0" borderId="0" xfId="0" applyFont="1" applyAlignment="1" applyProtection="1">
      <alignment horizontal="left" wrapText="1"/>
      <protection locked="0"/>
    </xf>
    <xf numFmtId="0" fontId="1" fillId="0" borderId="0" xfId="0" applyFont="1" applyAlignment="1" applyProtection="1">
      <alignment vertical="top" wrapText="1"/>
      <protection locked="0"/>
    </xf>
    <xf numFmtId="0" fontId="2" fillId="0" borderId="4" xfId="0" applyFont="1" applyBorder="1" applyAlignment="1" applyProtection="1">
      <alignment vertical="top" wrapText="1"/>
      <protection locked="0"/>
    </xf>
    <xf numFmtId="0" fontId="2" fillId="0" borderId="0" xfId="0" applyFont="1" applyAlignment="1" applyProtection="1">
      <alignment horizontal="left" vertical="top" wrapText="1"/>
      <protection locked="0"/>
    </xf>
    <xf numFmtId="0" fontId="2" fillId="0" borderId="0" xfId="0" applyFont="1" applyAlignment="1" applyProtection="1">
      <alignment horizontal="left" vertical="top"/>
      <protection locked="0"/>
    </xf>
    <xf numFmtId="0" fontId="6" fillId="0" borderId="0" xfId="0" applyFont="1" applyAlignment="1" applyProtection="1">
      <alignment horizontal="left" vertical="top" wrapText="1"/>
      <protection locked="0"/>
    </xf>
    <xf numFmtId="0" fontId="7" fillId="0" borderId="0" xfId="0" applyFont="1" applyAlignment="1" applyProtection="1">
      <alignment horizontal="left" vertical="top" wrapText="1"/>
      <protection locked="0"/>
    </xf>
    <xf numFmtId="0" fontId="7" fillId="0" borderId="0" xfId="0" applyFont="1" applyAlignment="1" applyProtection="1">
      <alignment horizontal="left" vertical="top"/>
      <protection locked="0"/>
    </xf>
    <xf numFmtId="0" fontId="7" fillId="0" borderId="5" xfId="0" applyFont="1" applyBorder="1" applyAlignment="1" applyProtection="1">
      <alignment horizontal="left" vertical="top" wrapText="1"/>
      <protection locked="0"/>
    </xf>
    <xf numFmtId="0" fontId="7" fillId="0" borderId="5" xfId="0" applyFont="1" applyBorder="1" applyAlignment="1" applyProtection="1">
      <alignment horizontal="left" vertical="top"/>
      <protection locked="0"/>
    </xf>
    <xf numFmtId="0" fontId="2" fillId="0" borderId="6" xfId="0" applyFont="1" applyBorder="1" applyAlignment="1" applyProtection="1">
      <alignment horizontal="left" vertical="top" wrapText="1"/>
      <protection locked="0"/>
    </xf>
    <xf numFmtId="0" fontId="2" fillId="0" borderId="6" xfId="0" applyFont="1" applyBorder="1" applyAlignment="1" applyProtection="1">
      <alignment horizontal="left" vertical="top"/>
      <protection locked="0"/>
    </xf>
    <xf numFmtId="0" fontId="8" fillId="0" borderId="0" xfId="0" applyFont="1" applyAlignment="1" applyProtection="1">
      <alignment horizontal="left" vertical="top" wrapText="1"/>
      <protection locked="0"/>
    </xf>
    <xf numFmtId="0" fontId="8" fillId="0" borderId="0" xfId="0" applyFont="1" applyAlignment="1" applyProtection="1">
      <alignment horizontal="left" vertical="center" wrapText="1"/>
      <protection locked="0"/>
    </xf>
    <xf numFmtId="0" fontId="2" fillId="0" borderId="0" xfId="0" applyFont="1" applyAlignment="1" applyProtection="1">
      <alignment horizontal="left" vertical="center"/>
      <protection locked="0"/>
    </xf>
    <xf numFmtId="0" fontId="2" fillId="0" borderId="0" xfId="0" applyFont="1" applyAlignment="1" applyProtection="1">
      <alignment vertical="top"/>
      <protection locked="0"/>
    </xf>
    <xf numFmtId="0" fontId="7" fillId="0" borderId="0" xfId="0" applyFont="1" applyAlignment="1" applyProtection="1">
      <alignment vertical="top" wrapText="1"/>
      <protection locked="0"/>
    </xf>
    <xf numFmtId="0" fontId="9" fillId="0" borderId="0" xfId="0" applyFont="1" applyAlignment="1" applyProtection="1">
      <alignment horizontal="left"/>
      <protection locked="0"/>
    </xf>
    <xf numFmtId="0" fontId="10" fillId="0" borderId="4" xfId="0" applyFont="1" applyBorder="1" applyAlignment="1" applyProtection="1">
      <alignment horizontal="center"/>
      <protection locked="0"/>
    </xf>
    <xf numFmtId="0" fontId="0" fillId="0" borderId="7" xfId="0" applyBorder="1" applyAlignment="1" applyProtection="1">
      <alignment horizontal="left"/>
      <protection locked="0"/>
    </xf>
    <xf numFmtId="0" fontId="11" fillId="4" borderId="8" xfId="0" applyFont="1" applyFill="1" applyBorder="1" applyAlignment="1" applyProtection="1">
      <alignment horizontal="left"/>
      <protection locked="0"/>
    </xf>
    <xf numFmtId="0" fontId="9" fillId="0" borderId="9" xfId="0" applyFont="1" applyBorder="1" applyAlignment="1" applyProtection="1">
      <alignment horizontal="left"/>
      <protection locked="0"/>
    </xf>
    <xf numFmtId="0" fontId="0" fillId="0" borderId="10" xfId="0" applyBorder="1" applyAlignment="1" applyProtection="1">
      <alignment horizontal="left" vertical="center"/>
      <protection locked="0"/>
    </xf>
    <xf numFmtId="0" fontId="0" fillId="5" borderId="11" xfId="0" applyFill="1" applyBorder="1" applyAlignment="1" applyProtection="1">
      <alignment horizontal="left" vertical="center"/>
      <protection locked="0"/>
    </xf>
    <xf numFmtId="0" fontId="0" fillId="0" borderId="11" xfId="0" applyBorder="1" applyAlignment="1" applyProtection="1">
      <alignment horizontal="left" vertical="center"/>
      <protection locked="0"/>
    </xf>
    <xf numFmtId="0" fontId="0" fillId="6" borderId="11" xfId="0" applyFill="1" applyBorder="1" applyAlignment="1" applyProtection="1">
      <alignment horizontal="left" vertical="center"/>
      <protection locked="0"/>
    </xf>
    <xf numFmtId="0" fontId="12" fillId="0" borderId="9" xfId="0" applyFont="1" applyBorder="1" applyAlignment="1" applyProtection="1">
      <alignment horizontal="left"/>
      <protection locked="0"/>
    </xf>
    <xf numFmtId="0" fontId="0" fillId="6" borderId="12" xfId="0" applyFill="1" applyBorder="1" applyAlignment="1" applyProtection="1">
      <alignment horizontal="left" vertical="center"/>
      <protection locked="0"/>
    </xf>
    <xf numFmtId="0" fontId="10" fillId="0" borderId="6" xfId="0" applyFont="1" applyBorder="1" applyAlignment="1" applyProtection="1">
      <alignment horizontal="left" vertical="top"/>
      <protection locked="0"/>
    </xf>
    <xf numFmtId="0" fontId="0" fillId="0" borderId="6" xfId="0" applyBorder="1" applyAlignment="1" applyProtection="1">
      <alignment horizontal="left" vertical="top"/>
      <protection locked="0"/>
    </xf>
    <xf numFmtId="0" fontId="10" fillId="0" borderId="0" xfId="0" applyFont="1" applyAlignment="1" applyProtection="1">
      <alignment horizontal="left" vertical="top"/>
      <protection locked="0"/>
    </xf>
    <xf numFmtId="0" fontId="0" fillId="0" borderId="0" xfId="0" applyAlignment="1" applyProtection="1">
      <alignment horizontal="left" vertical="top"/>
      <protection locked="0"/>
    </xf>
    <xf numFmtId="49" fontId="10" fillId="0" borderId="0" xfId="0" applyNumberFormat="1" applyFont="1" applyAlignment="1" applyProtection="1">
      <alignment horizontal="left" vertical="top"/>
      <protection locked="0"/>
    </xf>
    <xf numFmtId="0" fontId="13" fillId="0" borderId="0" xfId="0" applyFont="1" applyAlignment="1" applyProtection="1">
      <alignment vertical="top"/>
      <protection locked="0"/>
    </xf>
    <xf numFmtId="0" fontId="2" fillId="0" borderId="0" xfId="0" applyFont="1" applyAlignment="1" applyProtection="1">
      <alignment horizontal="left"/>
      <protection locked="0"/>
    </xf>
    <xf numFmtId="0" fontId="2" fillId="0" borderId="0" xfId="0" applyFont="1" applyAlignment="1" applyProtection="1">
      <alignment vertical="top" indent="2"/>
      <protection locked="0"/>
    </xf>
    <xf numFmtId="0" fontId="2" fillId="0" borderId="0" xfId="0" applyFont="1" applyAlignment="1" applyProtection="1">
      <alignment horizontal="center" vertical="center" wrapText="1"/>
      <protection locked="0"/>
    </xf>
    <xf numFmtId="0" fontId="2" fillId="0" borderId="0" xfId="0" applyFont="1" applyAlignment="1" applyProtection="1">
      <alignment horizontal="left" vertical="center" wrapText="1"/>
      <protection locked="0"/>
    </xf>
    <xf numFmtId="4" fontId="2" fillId="0" borderId="0" xfId="0" applyNumberFormat="1" applyFont="1" applyAlignment="1" applyProtection="1">
      <alignment horizontal="right" vertical="center" wrapText="1"/>
      <protection locked="0"/>
    </xf>
    <xf numFmtId="0" fontId="6" fillId="7" borderId="0" xfId="0" applyFont="1" applyFill="1" applyAlignment="1" applyProtection="1">
      <alignment horizontal="left" vertical="center" wrapText="1"/>
      <protection locked="0"/>
    </xf>
    <xf numFmtId="0" fontId="2" fillId="8" borderId="0" xfId="0" applyFont="1" applyFill="1" applyAlignment="1" applyProtection="1">
      <alignment vertical="top"/>
      <protection locked="0"/>
    </xf>
    <xf numFmtId="0" fontId="14" fillId="0" borderId="0" xfId="0" applyFont="1" applyAlignment="1" applyProtection="1">
      <alignment vertical="top"/>
      <protection locked="0"/>
    </xf>
    <xf numFmtId="0" fontId="15" fillId="0" borderId="0" xfId="0" applyFont="1" applyAlignment="1" applyProtection="1">
      <alignment vertical="top"/>
      <protection locked="0"/>
    </xf>
    <xf numFmtId="0" fontId="16" fillId="0" borderId="0" xfId="0" applyFont="1" applyAlignment="1" applyProtection="1">
      <alignment vertical="top"/>
      <protection locked="0"/>
    </xf>
    <xf numFmtId="0" fontId="10" fillId="0" borderId="0" xfId="0" applyFont="1" applyAlignment="1" applyProtection="1">
      <alignment vertical="top"/>
      <protection locked="0"/>
    </xf>
    <xf numFmtId="164" fontId="19" fillId="0" borderId="5" xfId="0" applyNumberFormat="1" applyFont="1" applyBorder="1" applyAlignment="1" applyProtection="1">
      <alignment horizontal="left" vertical="top"/>
      <protection locked="0"/>
    </xf>
    <xf numFmtId="0" fontId="16" fillId="0" borderId="5" xfId="0" applyFont="1" applyBorder="1" applyAlignment="1" applyProtection="1">
      <alignment vertical="top"/>
      <protection locked="0"/>
    </xf>
    <xf numFmtId="0" fontId="16" fillId="10" borderId="13" xfId="0" applyFont="1" applyFill="1" applyBorder="1" applyAlignment="1" applyProtection="1">
      <alignment vertical="top"/>
      <protection locked="0"/>
    </xf>
    <xf numFmtId="0" fontId="15" fillId="10" borderId="13" xfId="0" applyFont="1" applyFill="1" applyBorder="1" applyAlignment="1" applyProtection="1">
      <alignment horizontal="right" vertical="center"/>
      <protection locked="0"/>
    </xf>
    <xf numFmtId="0" fontId="15" fillId="10" borderId="14" xfId="0" applyFont="1" applyFill="1" applyBorder="1" applyAlignment="1" applyProtection="1">
      <alignment horizontal="right" vertical="center"/>
      <protection locked="0"/>
    </xf>
    <xf numFmtId="0" fontId="15" fillId="10" borderId="15" xfId="0" applyFont="1" applyFill="1" applyBorder="1" applyAlignment="1" applyProtection="1">
      <alignment horizontal="right" vertical="center"/>
      <protection locked="0"/>
    </xf>
    <xf numFmtId="0" fontId="20" fillId="0" borderId="6" xfId="0" applyFont="1" applyBorder="1" applyProtection="1">
      <protection locked="0"/>
    </xf>
    <xf numFmtId="0" fontId="21" fillId="0" borderId="6" xfId="0" applyFont="1" applyBorder="1" applyAlignment="1" applyProtection="1">
      <alignment horizontal="center" vertical="center"/>
      <protection locked="0"/>
    </xf>
    <xf numFmtId="0" fontId="16" fillId="0" borderId="6" xfId="0" applyFont="1" applyBorder="1" applyAlignment="1" applyProtection="1">
      <alignment vertical="top"/>
      <protection locked="0"/>
    </xf>
    <xf numFmtId="0" fontId="15" fillId="0" borderId="0" xfId="0" applyFont="1" applyAlignment="1" applyProtection="1">
      <alignment vertical="top" indent="1"/>
      <protection locked="0"/>
    </xf>
    <xf numFmtId="0" fontId="16" fillId="0" borderId="0" xfId="0" applyFont="1" applyAlignment="1" applyProtection="1">
      <alignment vertical="top" indent="1"/>
      <protection locked="0"/>
    </xf>
    <xf numFmtId="165" fontId="16" fillId="0" borderId="0" xfId="0" applyNumberFormat="1" applyFont="1" applyAlignment="1" applyProtection="1">
      <alignment horizontal="right" vertical="top"/>
      <protection locked="0"/>
    </xf>
    <xf numFmtId="0" fontId="16" fillId="0" borderId="0" xfId="0" applyFont="1" applyAlignment="1" applyProtection="1">
      <alignment vertical="top" indent="2"/>
      <protection locked="0"/>
    </xf>
    <xf numFmtId="0" fontId="16" fillId="0" borderId="0" xfId="0" applyFont="1" applyAlignment="1" applyProtection="1">
      <alignment vertical="top" indent="3"/>
      <protection locked="0"/>
    </xf>
    <xf numFmtId="0" fontId="16" fillId="0" borderId="0" xfId="0" applyFont="1" applyAlignment="1" applyProtection="1">
      <alignment vertical="top" indent="4"/>
      <protection locked="0"/>
    </xf>
    <xf numFmtId="0" fontId="20" fillId="0" borderId="0" xfId="0" applyFont="1" applyAlignment="1" applyProtection="1">
      <alignment vertical="top"/>
      <protection locked="0"/>
    </xf>
    <xf numFmtId="2" fontId="16" fillId="0" borderId="0" xfId="0" applyNumberFormat="1" applyFont="1" applyAlignment="1" applyProtection="1">
      <alignment vertical="top"/>
      <protection locked="0"/>
    </xf>
    <xf numFmtId="0" fontId="21" fillId="10" borderId="0" xfId="0" applyFont="1" applyFill="1" applyAlignment="1" applyProtection="1">
      <alignment horizontal="center" vertical="top"/>
      <protection locked="0"/>
    </xf>
    <xf numFmtId="0" fontId="12" fillId="0" borderId="0" xfId="0" applyFont="1" applyAlignment="1" applyProtection="1">
      <alignment horizontal="left"/>
      <protection locked="0"/>
    </xf>
    <xf numFmtId="0" fontId="15" fillId="0" borderId="0" xfId="0" applyFont="1" applyAlignment="1" applyProtection="1">
      <alignment horizontal="right" vertical="center"/>
      <protection locked="0"/>
    </xf>
    <xf numFmtId="0" fontId="20" fillId="0" borderId="6" xfId="0" applyFont="1" applyBorder="1" applyAlignment="1" applyProtection="1">
      <alignment vertical="top"/>
      <protection locked="0"/>
    </xf>
    <xf numFmtId="0" fontId="23" fillId="0" borderId="0" xfId="0" applyFont="1" applyAlignment="1" applyProtection="1">
      <alignment horizontal="left"/>
      <protection locked="0"/>
    </xf>
    <xf numFmtId="0" fontId="13" fillId="0" borderId="0" xfId="0" applyFont="1" applyAlignment="1" applyProtection="1">
      <alignment horizontal="left" vertical="top"/>
      <protection locked="0"/>
    </xf>
    <xf numFmtId="0" fontId="21" fillId="0" borderId="0" xfId="0" applyFont="1" applyAlignment="1" applyProtection="1">
      <alignment horizontal="center" vertical="top"/>
      <protection locked="0"/>
    </xf>
    <xf numFmtId="0" fontId="16" fillId="0" borderId="0" xfId="0" applyFont="1" applyProtection="1">
      <protection locked="0"/>
    </xf>
    <xf numFmtId="0" fontId="15" fillId="0" borderId="0" xfId="0" applyFont="1" applyAlignment="1" applyProtection="1">
      <alignment vertical="center"/>
      <protection locked="0"/>
    </xf>
    <xf numFmtId="164" fontId="16" fillId="0" borderId="0" xfId="0" applyNumberFormat="1" applyFont="1" applyAlignment="1" applyProtection="1">
      <alignment horizontal="left" vertical="top"/>
      <protection locked="0"/>
    </xf>
    <xf numFmtId="0" fontId="16" fillId="10" borderId="0" xfId="0" applyFont="1" applyFill="1" applyAlignment="1" applyProtection="1">
      <alignment horizontal="center" vertical="top"/>
      <protection locked="0"/>
    </xf>
    <xf numFmtId="0" fontId="16" fillId="0" borderId="0" xfId="0" applyFont="1" applyAlignment="1" applyProtection="1">
      <alignment horizontal="center" vertical="top"/>
      <protection locked="0"/>
    </xf>
    <xf numFmtId="0" fontId="15" fillId="10" borderId="0" xfId="0" applyFont="1" applyFill="1" applyAlignment="1" applyProtection="1">
      <alignment vertical="top"/>
      <protection locked="0"/>
    </xf>
    <xf numFmtId="0" fontId="16" fillId="0" borderId="0" xfId="0" applyFont="1" applyAlignment="1" applyProtection="1">
      <alignment horizontal="right" vertical="top"/>
      <protection locked="0"/>
    </xf>
    <xf numFmtId="2" fontId="0" fillId="0" borderId="0" xfId="0" applyNumberFormat="1" applyAlignment="1" applyProtection="1">
      <alignment horizontal="left" vertical="top"/>
      <protection locked="0"/>
    </xf>
    <xf numFmtId="2" fontId="0" fillId="0" borderId="0" xfId="0" applyNumberFormat="1" applyAlignment="1" applyProtection="1">
      <alignment horizontal="right" vertical="top"/>
      <protection locked="0"/>
    </xf>
    <xf numFmtId="0" fontId="0" fillId="0" borderId="0" xfId="0" applyAlignment="1" applyProtection="1">
      <alignment vertical="top"/>
      <protection locked="0"/>
    </xf>
    <xf numFmtId="0" fontId="24" fillId="0" borderId="0" xfId="0" applyFont="1" applyAlignment="1" applyProtection="1">
      <alignment vertical="top" indent="1"/>
      <protection locked="0"/>
    </xf>
    <xf numFmtId="2" fontId="0" fillId="0" borderId="0" xfId="0" applyNumberFormat="1" applyAlignment="1" applyProtection="1">
      <alignment vertical="top"/>
      <protection locked="0"/>
    </xf>
    <xf numFmtId="0" fontId="24" fillId="0" borderId="0" xfId="0" applyFont="1" applyAlignment="1" applyProtection="1">
      <alignment vertical="top"/>
      <protection locked="0"/>
    </xf>
    <xf numFmtId="0" fontId="21" fillId="0" borderId="0" xfId="0" applyFont="1" applyAlignment="1" applyProtection="1">
      <alignment horizontal="center"/>
      <protection locked="0"/>
    </xf>
    <xf numFmtId="0" fontId="15" fillId="10" borderId="0" xfId="0" applyFont="1" applyFill="1" applyAlignment="1" applyProtection="1">
      <alignment horizontal="left" vertical="top"/>
      <protection locked="0"/>
    </xf>
    <xf numFmtId="0" fontId="15" fillId="11" borderId="0" xfId="0" applyFont="1" applyFill="1" applyAlignment="1" applyProtection="1">
      <alignment vertical="top"/>
      <protection locked="0"/>
    </xf>
    <xf numFmtId="0" fontId="15" fillId="0" borderId="0" xfId="0" applyFont="1" applyAlignment="1" applyProtection="1">
      <alignment horizontal="left" vertical="top"/>
      <protection locked="0"/>
    </xf>
    <xf numFmtId="4" fontId="0" fillId="0" borderId="0" xfId="0" applyNumberFormat="1" applyAlignment="1" applyProtection="1">
      <alignment vertical="top"/>
      <protection locked="0"/>
    </xf>
    <xf numFmtId="2" fontId="24" fillId="0" borderId="0" xfId="0" applyNumberFormat="1" applyFont="1" applyAlignment="1" applyProtection="1">
      <alignment vertical="top"/>
      <protection locked="0"/>
    </xf>
    <xf numFmtId="0" fontId="25" fillId="0" borderId="0" xfId="0" applyFont="1" applyAlignment="1" applyProtection="1">
      <alignment horizontal="right" vertical="top"/>
      <protection locked="0"/>
    </xf>
    <xf numFmtId="0" fontId="25" fillId="0" borderId="0" xfId="0" applyFont="1" applyAlignment="1" applyProtection="1">
      <alignment vertical="top"/>
      <protection locked="0"/>
    </xf>
    <xf numFmtId="0" fontId="26" fillId="10" borderId="0" xfId="0" applyFont="1" applyFill="1" applyAlignment="1" applyProtection="1">
      <alignment vertical="top"/>
      <protection locked="0"/>
    </xf>
    <xf numFmtId="0" fontId="2" fillId="0" borderId="0" xfId="0" applyFont="1" applyAlignment="1" applyProtection="1">
      <alignment horizontal="right" vertical="top"/>
      <protection locked="0"/>
    </xf>
    <xf numFmtId="2" fontId="2" fillId="0" borderId="0" xfId="0" applyNumberFormat="1" applyFont="1" applyAlignment="1" applyProtection="1">
      <alignment vertical="top"/>
      <protection locked="0"/>
    </xf>
    <xf numFmtId="0" fontId="27" fillId="0" borderId="0" xfId="0" applyFont="1" applyAlignment="1" applyProtection="1">
      <alignment vertical="top"/>
      <protection locked="0"/>
    </xf>
    <xf numFmtId="0" fontId="7" fillId="0" borderId="0" xfId="0" applyFont="1" applyAlignment="1" applyProtection="1">
      <alignment vertical="top"/>
      <protection locked="0"/>
    </xf>
    <xf numFmtId="0" fontId="2" fillId="0" borderId="0" xfId="0" applyFont="1"/>
    <xf numFmtId="0" fontId="0" fillId="0" borderId="0" xfId="0"/>
    <xf numFmtId="0" fontId="28" fillId="0" borderId="0" xfId="0" applyFont="1"/>
    <xf numFmtId="0" fontId="28" fillId="12" borderId="0" xfId="0" applyFont="1" applyFill="1"/>
    <xf numFmtId="0" fontId="7" fillId="13" borderId="0" xfId="0" applyFont="1" applyFill="1" applyAlignment="1">
      <alignment horizontal="right"/>
    </xf>
    <xf numFmtId="0" fontId="7" fillId="13" borderId="16" xfId="0" applyFont="1" applyFill="1" applyBorder="1" applyAlignment="1">
      <alignment horizontal="right"/>
    </xf>
    <xf numFmtId="0" fontId="6" fillId="12" borderId="0" xfId="0" applyFont="1" applyFill="1"/>
    <xf numFmtId="0" fontId="0" fillId="13" borderId="0" xfId="0" applyFill="1"/>
    <xf numFmtId="0" fontId="28" fillId="13" borderId="0" xfId="0" applyFont="1" applyFill="1"/>
    <xf numFmtId="0" fontId="28" fillId="13" borderId="18" xfId="0" applyFont="1" applyFill="1" applyBorder="1"/>
    <xf numFmtId="166" fontId="0" fillId="13" borderId="0" xfId="0" applyNumberFormat="1" applyFill="1"/>
    <xf numFmtId="166" fontId="28" fillId="13" borderId="0" xfId="0" applyNumberFormat="1" applyFont="1" applyFill="1"/>
    <xf numFmtId="166" fontId="28" fillId="13" borderId="18" xfId="0" applyNumberFormat="1" applyFont="1" applyFill="1" applyBorder="1"/>
    <xf numFmtId="166" fontId="0" fillId="13" borderId="19" xfId="0" applyNumberFormat="1" applyFill="1" applyBorder="1"/>
    <xf numFmtId="166" fontId="0" fillId="13" borderId="20" xfId="0" applyNumberFormat="1" applyFill="1" applyBorder="1"/>
    <xf numFmtId="0" fontId="7" fillId="13" borderId="18" xfId="0" applyFont="1" applyFill="1" applyBorder="1" applyAlignment="1">
      <alignment horizontal="right"/>
    </xf>
    <xf numFmtId="166" fontId="0" fillId="13" borderId="18" xfId="0" applyNumberFormat="1" applyFill="1" applyBorder="1"/>
    <xf numFmtId="2" fontId="0" fillId="0" borderId="0" xfId="0" applyNumberFormat="1"/>
    <xf numFmtId="1" fontId="0" fillId="0" borderId="0" xfId="0" applyNumberFormat="1" applyAlignment="1" applyProtection="1">
      <alignment horizontal="left" vertical="top"/>
      <protection locked="0"/>
    </xf>
    <xf numFmtId="2" fontId="16" fillId="0" borderId="0" xfId="0" applyNumberFormat="1" applyFont="1" applyAlignment="1" applyProtection="1">
      <alignment horizontal="center" vertical="top"/>
      <protection locked="0"/>
    </xf>
    <xf numFmtId="2" fontId="16" fillId="0" borderId="0" xfId="0" applyNumberFormat="1" applyFont="1" applyAlignment="1" applyProtection="1">
      <alignment horizontal="right" vertical="top"/>
      <protection locked="0"/>
    </xf>
    <xf numFmtId="0" fontId="10" fillId="0" borderId="0" xfId="0" applyFont="1" applyProtection="1">
      <protection locked="0"/>
    </xf>
    <xf numFmtId="0" fontId="28" fillId="14" borderId="0" xfId="0" applyFont="1" applyFill="1"/>
    <xf numFmtId="0" fontId="7" fillId="14" borderId="0" xfId="0" applyFont="1" applyFill="1" applyAlignment="1">
      <alignment horizontal="right"/>
    </xf>
    <xf numFmtId="0" fontId="7" fillId="14" borderId="18" xfId="0" applyFont="1" applyFill="1" applyBorder="1" applyAlignment="1">
      <alignment horizontal="right"/>
    </xf>
    <xf numFmtId="0" fontId="6" fillId="14" borderId="0" xfId="0" applyFont="1" applyFill="1"/>
    <xf numFmtId="0" fontId="29" fillId="14" borderId="0" xfId="0" applyFont="1" applyFill="1"/>
    <xf numFmtId="0" fontId="28" fillId="14" borderId="18" xfId="0" applyFont="1" applyFill="1" applyBorder="1"/>
    <xf numFmtId="166" fontId="29" fillId="14" borderId="0" xfId="0" applyNumberFormat="1" applyFont="1" applyFill="1"/>
    <xf numFmtId="166" fontId="28" fillId="14" borderId="0" xfId="0" applyNumberFormat="1" applyFont="1" applyFill="1"/>
    <xf numFmtId="166" fontId="28" fillId="14" borderId="18" xfId="0" applyNumberFormat="1" applyFont="1" applyFill="1" applyBorder="1"/>
    <xf numFmtId="166" fontId="29" fillId="14" borderId="18" xfId="0" applyNumberFormat="1" applyFont="1" applyFill="1" applyBorder="1"/>
    <xf numFmtId="166" fontId="29" fillId="14" borderId="19" xfId="0" applyNumberFormat="1" applyFont="1" applyFill="1" applyBorder="1"/>
    <xf numFmtId="0" fontId="29" fillId="0" borderId="0" xfId="0" applyFont="1"/>
    <xf numFmtId="0" fontId="29" fillId="0" borderId="0" xfId="0" applyFont="1" applyProtection="1">
      <protection locked="0"/>
    </xf>
    <xf numFmtId="0" fontId="7" fillId="14" borderId="16" xfId="0" applyFont="1" applyFill="1" applyBorder="1" applyAlignment="1">
      <alignment horizontal="right"/>
    </xf>
    <xf numFmtId="0" fontId="7" fillId="14" borderId="17" xfId="0" applyFont="1" applyFill="1" applyBorder="1" applyAlignment="1">
      <alignment horizontal="right"/>
    </xf>
    <xf numFmtId="0" fontId="28" fillId="15" borderId="0" xfId="0" applyFont="1" applyFill="1"/>
    <xf numFmtId="0" fontId="0" fillId="16" borderId="0" xfId="0" applyFill="1" applyProtection="1">
      <protection locked="0"/>
    </xf>
    <xf numFmtId="0" fontId="6" fillId="15" borderId="0" xfId="0" applyFont="1" applyFill="1"/>
    <xf numFmtId="166" fontId="29" fillId="15" borderId="0" xfId="0" applyNumberFormat="1" applyFont="1" applyFill="1"/>
    <xf numFmtId="0" fontId="10" fillId="0" borderId="13" xfId="0" applyFont="1" applyBorder="1" applyAlignment="1" applyProtection="1">
      <alignment horizontal="right" vertical="center"/>
      <protection locked="0"/>
    </xf>
    <xf numFmtId="0" fontId="16" fillId="0" borderId="0" xfId="0" applyFont="1" applyAlignment="1" applyProtection="1">
      <alignment vertical="center"/>
      <protection locked="0"/>
    </xf>
    <xf numFmtId="0" fontId="0" fillId="0" borderId="0" xfId="0" applyAlignment="1" applyProtection="1">
      <alignment vertical="center"/>
      <protection locked="0"/>
    </xf>
    <xf numFmtId="165" fontId="16" fillId="0" borderId="0" xfId="0" applyNumberFormat="1" applyFont="1" applyAlignment="1" applyProtection="1">
      <alignment horizontal="right" vertical="center"/>
      <protection locked="0"/>
    </xf>
    <xf numFmtId="0" fontId="20" fillId="0" borderId="0" xfId="0" applyFont="1" applyAlignment="1" applyProtection="1">
      <alignment vertical="center"/>
      <protection locked="0"/>
    </xf>
    <xf numFmtId="0" fontId="16" fillId="0" borderId="5" xfId="0" applyFont="1" applyBorder="1" applyAlignment="1" applyProtection="1">
      <alignment vertical="center"/>
      <protection locked="0"/>
    </xf>
    <xf numFmtId="0" fontId="16" fillId="0" borderId="21" xfId="0" applyFont="1" applyBorder="1" applyAlignment="1" applyProtection="1">
      <alignment vertical="center"/>
      <protection locked="0"/>
    </xf>
    <xf numFmtId="165" fontId="0" fillId="0" borderId="0" xfId="0" applyNumberFormat="1" applyAlignment="1" applyProtection="1">
      <alignment vertical="center"/>
      <protection locked="0"/>
    </xf>
    <xf numFmtId="0" fontId="31" fillId="0" borderId="0" xfId="0" applyFont="1" applyAlignment="1" applyProtection="1">
      <alignment vertical="top"/>
      <protection locked="0"/>
    </xf>
    <xf numFmtId="0" fontId="30" fillId="0" borderId="0" xfId="0" applyFont="1" applyAlignment="1" applyProtection="1">
      <alignment vertical="top"/>
      <protection locked="0"/>
    </xf>
    <xf numFmtId="0" fontId="35" fillId="10" borderId="0" xfId="0" applyFont="1" applyFill="1" applyAlignment="1" applyProtection="1">
      <alignment horizontal="center" vertical="top"/>
      <protection locked="0"/>
    </xf>
    <xf numFmtId="0" fontId="30" fillId="0" borderId="0" xfId="0" applyFont="1" applyAlignment="1" applyProtection="1">
      <alignment horizontal="left" vertical="top"/>
      <protection locked="0"/>
    </xf>
    <xf numFmtId="0" fontId="30" fillId="0" borderId="0" xfId="0" applyFont="1" applyProtection="1">
      <protection locked="0"/>
    </xf>
    <xf numFmtId="0" fontId="30" fillId="0" borderId="0" xfId="0" applyFont="1" applyAlignment="1" applyProtection="1">
      <alignment horizontal="left"/>
      <protection locked="0"/>
    </xf>
    <xf numFmtId="0" fontId="31" fillId="0" borderId="0" xfId="0" applyFont="1" applyAlignment="1" applyProtection="1">
      <alignment vertical="center"/>
      <protection locked="0"/>
    </xf>
    <xf numFmtId="164" fontId="30" fillId="0" borderId="0" xfId="0" applyNumberFormat="1" applyFont="1" applyAlignment="1" applyProtection="1">
      <alignment horizontal="left" vertical="top"/>
      <protection locked="0"/>
    </xf>
    <xf numFmtId="0" fontId="30" fillId="10" borderId="0" xfId="0" applyFont="1" applyFill="1" applyAlignment="1" applyProtection="1">
      <alignment horizontal="center" vertical="center"/>
      <protection locked="0"/>
    </xf>
    <xf numFmtId="0" fontId="30" fillId="0" borderId="0" xfId="0" applyFont="1" applyAlignment="1" applyProtection="1">
      <alignment vertical="center"/>
      <protection locked="0"/>
    </xf>
    <xf numFmtId="0" fontId="30" fillId="0" borderId="0" xfId="0" applyFont="1" applyAlignment="1" applyProtection="1">
      <alignment horizontal="center" vertical="top"/>
      <protection locked="0"/>
    </xf>
    <xf numFmtId="0" fontId="35" fillId="0" borderId="0" xfId="0" applyFont="1" applyAlignment="1" applyProtection="1">
      <alignment horizontal="center" vertical="top"/>
      <protection locked="0"/>
    </xf>
    <xf numFmtId="0" fontId="31" fillId="10" borderId="0" xfId="0" applyFont="1" applyFill="1" applyAlignment="1" applyProtection="1">
      <alignment vertical="top"/>
      <protection locked="0"/>
    </xf>
    <xf numFmtId="0" fontId="0" fillId="0" borderId="0" xfId="0" applyAlignment="1" applyProtection="1">
      <alignment horizontal="right" vertical="top"/>
      <protection locked="0"/>
    </xf>
    <xf numFmtId="4" fontId="37" fillId="0" borderId="0" xfId="0" applyNumberFormat="1" applyFont="1" applyAlignment="1" applyProtection="1">
      <alignment horizontal="right" vertical="top"/>
      <protection locked="0"/>
    </xf>
    <xf numFmtId="4" fontId="37" fillId="0" borderId="0" xfId="0" applyNumberFormat="1" applyFont="1" applyAlignment="1" applyProtection="1">
      <alignment vertical="top"/>
      <protection locked="0"/>
    </xf>
    <xf numFmtId="4" fontId="37" fillId="0" borderId="0" xfId="0" applyNumberFormat="1" applyFont="1" applyAlignment="1" applyProtection="1">
      <alignment horizontal="left" vertical="top"/>
      <protection locked="0"/>
    </xf>
    <xf numFmtId="4" fontId="0" fillId="0" borderId="0" xfId="0" applyNumberFormat="1" applyAlignment="1" applyProtection="1">
      <alignment horizontal="right" vertical="top"/>
      <protection locked="0"/>
    </xf>
    <xf numFmtId="4" fontId="0" fillId="0" borderId="0" xfId="0" applyNumberFormat="1" applyAlignment="1" applyProtection="1">
      <alignment horizontal="left" vertical="top"/>
      <protection locked="0"/>
    </xf>
    <xf numFmtId="0" fontId="38" fillId="0" borderId="0" xfId="0" applyFont="1" applyAlignment="1" applyProtection="1">
      <alignment horizontal="center"/>
      <protection locked="0"/>
    </xf>
    <xf numFmtId="0" fontId="32" fillId="0" borderId="0" xfId="0" applyFont="1" applyAlignment="1" applyProtection="1">
      <alignment horizontal="left" vertical="top"/>
      <protection locked="0"/>
    </xf>
    <xf numFmtId="4" fontId="30" fillId="0" borderId="0" xfId="0" applyNumberFormat="1" applyFont="1" applyAlignment="1" applyProtection="1">
      <alignment vertical="top"/>
      <protection locked="0"/>
    </xf>
    <xf numFmtId="0" fontId="30" fillId="0" borderId="0" xfId="0" applyFont="1" applyAlignment="1" applyProtection="1">
      <alignment horizontal="right" vertical="top"/>
      <protection locked="0"/>
    </xf>
    <xf numFmtId="0" fontId="16" fillId="17" borderId="13" xfId="0" applyFont="1" applyFill="1" applyBorder="1" applyAlignment="1" applyProtection="1">
      <alignment vertical="top"/>
      <protection locked="0"/>
    </xf>
    <xf numFmtId="165" fontId="16" fillId="0" borderId="0" xfId="0" applyNumberFormat="1" applyFont="1" applyAlignment="1" applyProtection="1">
      <alignment vertical="center"/>
      <protection locked="0"/>
    </xf>
    <xf numFmtId="165" fontId="15" fillId="0" borderId="0" xfId="0" applyNumberFormat="1" applyFont="1" applyAlignment="1" applyProtection="1">
      <alignment vertical="center"/>
      <protection locked="0"/>
    </xf>
    <xf numFmtId="165" fontId="20" fillId="0" borderId="0" xfId="0" applyNumberFormat="1" applyFont="1" applyAlignment="1" applyProtection="1">
      <alignment vertical="center"/>
      <protection locked="0"/>
    </xf>
    <xf numFmtId="0" fontId="40" fillId="0" borderId="0" xfId="0" applyFont="1" applyAlignment="1" applyProtection="1">
      <alignment vertical="top"/>
      <protection locked="0"/>
    </xf>
    <xf numFmtId="0" fontId="40" fillId="0" borderId="0" xfId="0" applyFont="1" applyAlignment="1" applyProtection="1">
      <alignment horizontal="left" vertical="top"/>
      <protection locked="0"/>
    </xf>
    <xf numFmtId="0" fontId="40" fillId="0" borderId="0" xfId="0" applyFont="1" applyProtection="1">
      <protection locked="0"/>
    </xf>
    <xf numFmtId="0" fontId="40" fillId="0" borderId="0" xfId="0" applyFont="1" applyAlignment="1" applyProtection="1">
      <alignment horizontal="left"/>
      <protection locked="0"/>
    </xf>
    <xf numFmtId="0" fontId="42" fillId="0" borderId="0" xfId="0" applyFont="1" applyAlignment="1" applyProtection="1">
      <alignment vertical="center"/>
      <protection locked="0"/>
    </xf>
    <xf numFmtId="164" fontId="40" fillId="0" borderId="0" xfId="0" applyNumberFormat="1" applyFont="1" applyAlignment="1" applyProtection="1">
      <alignment horizontal="left" vertical="top"/>
      <protection locked="0"/>
    </xf>
    <xf numFmtId="0" fontId="40" fillId="10" borderId="0" xfId="0" applyFont="1" applyFill="1" applyAlignment="1" applyProtection="1">
      <alignment horizontal="center" vertical="center"/>
      <protection locked="0"/>
    </xf>
    <xf numFmtId="0" fontId="40" fillId="0" borderId="0" xfId="0" applyFont="1" applyAlignment="1" applyProtection="1">
      <alignment vertical="center"/>
      <protection locked="0"/>
    </xf>
    <xf numFmtId="0" fontId="40" fillId="0" borderId="0" xfId="0" applyFont="1" applyAlignment="1" applyProtection="1">
      <alignment horizontal="center" vertical="top"/>
      <protection locked="0"/>
    </xf>
    <xf numFmtId="0" fontId="45" fillId="0" borderId="0" xfId="0" applyFont="1" applyAlignment="1" applyProtection="1">
      <alignment horizontal="center" vertical="top"/>
      <protection locked="0"/>
    </xf>
    <xf numFmtId="0" fontId="42" fillId="10" borderId="0" xfId="0" applyFont="1" applyFill="1" applyAlignment="1" applyProtection="1">
      <alignment vertical="top"/>
      <protection locked="0"/>
    </xf>
    <xf numFmtId="0" fontId="42" fillId="0" borderId="0" xfId="0" applyFont="1" applyAlignment="1" applyProtection="1">
      <alignment vertical="top"/>
      <protection locked="0"/>
    </xf>
    <xf numFmtId="0" fontId="45" fillId="10" borderId="0" xfId="0" applyFont="1" applyFill="1" applyAlignment="1" applyProtection="1">
      <alignment horizontal="center" vertical="top"/>
      <protection locked="0"/>
    </xf>
    <xf numFmtId="2" fontId="40" fillId="0" borderId="0" xfId="0" applyNumberFormat="1" applyFont="1" applyAlignment="1" applyProtection="1">
      <alignment vertical="top"/>
      <protection locked="0"/>
    </xf>
    <xf numFmtId="0" fontId="0" fillId="18" borderId="22" xfId="0" applyFill="1" applyBorder="1" applyAlignment="1" applyProtection="1">
      <alignment horizontal="left" vertical="top" wrapText="1"/>
      <protection locked="0"/>
    </xf>
    <xf numFmtId="0" fontId="0" fillId="18" borderId="23" xfId="0" applyFill="1" applyBorder="1" applyAlignment="1" applyProtection="1">
      <alignment horizontal="left" vertical="top" wrapText="1"/>
      <protection locked="0"/>
    </xf>
    <xf numFmtId="4" fontId="0" fillId="0" borderId="0" xfId="0" applyNumberFormat="1" applyAlignment="1" applyProtection="1">
      <alignment horizontal="right" vertical="top" wrapText="1"/>
      <protection locked="0"/>
    </xf>
    <xf numFmtId="0" fontId="0" fillId="18" borderId="24" xfId="0" applyFill="1" applyBorder="1" applyAlignment="1" applyProtection="1">
      <alignment horizontal="left" vertical="top" wrapText="1"/>
      <protection locked="0"/>
    </xf>
    <xf numFmtId="0" fontId="0" fillId="18" borderId="25" xfId="0" applyFill="1" applyBorder="1" applyAlignment="1" applyProtection="1">
      <alignment horizontal="left" vertical="top" wrapText="1"/>
      <protection locked="0"/>
    </xf>
    <xf numFmtId="4" fontId="0" fillId="18" borderId="0" xfId="0" applyNumberFormat="1" applyFill="1" applyAlignment="1" applyProtection="1">
      <alignment horizontal="right" vertical="top" wrapText="1"/>
      <protection locked="0"/>
    </xf>
    <xf numFmtId="0" fontId="0" fillId="18" borderId="26" xfId="0" applyFill="1" applyBorder="1" applyAlignment="1" applyProtection="1">
      <alignment horizontal="left" vertical="top" wrapText="1"/>
      <protection locked="0"/>
    </xf>
    <xf numFmtId="0" fontId="0" fillId="18" borderId="27" xfId="0" applyFill="1" applyBorder="1" applyAlignment="1" applyProtection="1">
      <alignment horizontal="left" vertical="top" wrapText="1"/>
      <protection locked="0"/>
    </xf>
    <xf numFmtId="165" fontId="46" fillId="0" borderId="0" xfId="0" applyNumberFormat="1" applyFont="1" applyAlignment="1" applyProtection="1">
      <alignment vertical="center"/>
      <protection locked="0"/>
    </xf>
    <xf numFmtId="0" fontId="46" fillId="0" borderId="0" xfId="0" applyFont="1" applyAlignment="1" applyProtection="1">
      <alignment vertical="center"/>
      <protection locked="0"/>
    </xf>
    <xf numFmtId="0" fontId="48" fillId="0" borderId="0" xfId="0" applyFont="1" applyAlignment="1" applyProtection="1">
      <alignment vertical="top"/>
      <protection locked="0"/>
    </xf>
    <xf numFmtId="0" fontId="48" fillId="0" borderId="0" xfId="0" applyFont="1" applyAlignment="1" applyProtection="1">
      <alignment horizontal="left" vertical="top"/>
      <protection locked="0"/>
    </xf>
    <xf numFmtId="0" fontId="48" fillId="0" borderId="0" xfId="0" applyFont="1" applyProtection="1">
      <protection locked="0"/>
    </xf>
    <xf numFmtId="0" fontId="48" fillId="0" borderId="0" xfId="0" applyFont="1" applyAlignment="1" applyProtection="1">
      <alignment horizontal="left"/>
      <protection locked="0"/>
    </xf>
    <xf numFmtId="0" fontId="50" fillId="0" borderId="0" xfId="0" applyFont="1" applyAlignment="1" applyProtection="1">
      <alignment vertical="center"/>
      <protection locked="0"/>
    </xf>
    <xf numFmtId="164" fontId="48" fillId="0" borderId="0" xfId="0" applyNumberFormat="1" applyFont="1" applyAlignment="1" applyProtection="1">
      <alignment horizontal="left" vertical="top"/>
      <protection locked="0"/>
    </xf>
    <xf numFmtId="0" fontId="48" fillId="10" borderId="0" xfId="0" applyFont="1" applyFill="1" applyAlignment="1" applyProtection="1">
      <alignment horizontal="center" vertical="center"/>
      <protection locked="0"/>
    </xf>
    <xf numFmtId="0" fontId="48" fillId="0" borderId="0" xfId="0" applyFont="1" applyAlignment="1" applyProtection="1">
      <alignment vertical="center"/>
      <protection locked="0"/>
    </xf>
    <xf numFmtId="0" fontId="48" fillId="0" borderId="0" xfId="0" applyFont="1" applyAlignment="1" applyProtection="1">
      <alignment horizontal="center" vertical="top"/>
      <protection locked="0"/>
    </xf>
    <xf numFmtId="0" fontId="53" fillId="0" borderId="0" xfId="0" applyFont="1" applyAlignment="1" applyProtection="1">
      <alignment horizontal="center" vertical="top"/>
      <protection locked="0"/>
    </xf>
    <xf numFmtId="0" fontId="50" fillId="0" borderId="0" xfId="0" applyFont="1" applyAlignment="1" applyProtection="1">
      <alignment vertical="top"/>
      <protection locked="0"/>
    </xf>
    <xf numFmtId="0" fontId="53" fillId="10" borderId="0" xfId="0" applyFont="1" applyFill="1" applyAlignment="1" applyProtection="1">
      <alignment horizontal="center" vertical="top"/>
      <protection locked="0"/>
    </xf>
    <xf numFmtId="0" fontId="50" fillId="10" borderId="0" xfId="0" applyFont="1" applyFill="1" applyAlignment="1" applyProtection="1">
      <alignment vertical="top"/>
      <protection locked="0"/>
    </xf>
    <xf numFmtId="2" fontId="48" fillId="0" borderId="0" xfId="0" applyNumberFormat="1" applyFont="1" applyAlignment="1" applyProtection="1">
      <alignment vertical="top"/>
      <protection locked="0"/>
    </xf>
    <xf numFmtId="0" fontId="54" fillId="0" borderId="0" xfId="0" applyFont="1" applyAlignment="1" applyProtection="1">
      <alignment vertical="top"/>
      <protection locked="0"/>
    </xf>
    <xf numFmtId="0" fontId="50" fillId="0" borderId="0" xfId="0" applyFont="1" applyAlignment="1" applyProtection="1">
      <alignment vertical="top" indent="1"/>
      <protection locked="0"/>
    </xf>
    <xf numFmtId="0" fontId="48" fillId="0" borderId="0" xfId="0" applyFont="1" applyAlignment="1" applyProtection="1">
      <alignment vertical="top" indent="1"/>
      <protection locked="0"/>
    </xf>
    <xf numFmtId="0" fontId="48" fillId="0" borderId="0" xfId="0" applyFont="1" applyAlignment="1" applyProtection="1">
      <alignment vertical="top" indent="2"/>
      <protection locked="0"/>
    </xf>
    <xf numFmtId="0" fontId="48" fillId="0" borderId="0" xfId="0" applyFont="1" applyAlignment="1" applyProtection="1">
      <alignment vertical="top" indent="3"/>
      <protection locked="0"/>
    </xf>
    <xf numFmtId="0" fontId="55" fillId="0" borderId="0" xfId="0" applyFont="1" applyAlignment="1" applyProtection="1">
      <alignment vertical="top"/>
      <protection locked="0"/>
    </xf>
    <xf numFmtId="0" fontId="48" fillId="10" borderId="13" xfId="0" applyFont="1" applyFill="1" applyBorder="1" applyAlignment="1" applyProtection="1">
      <alignment vertical="top"/>
      <protection locked="0"/>
    </xf>
    <xf numFmtId="0" fontId="50" fillId="10" borderId="13" xfId="0" applyFont="1" applyFill="1" applyBorder="1" applyAlignment="1" applyProtection="1">
      <alignment horizontal="right" vertical="center"/>
      <protection locked="0"/>
    </xf>
    <xf numFmtId="0" fontId="53" fillId="0" borderId="0" xfId="0" applyFont="1" applyAlignment="1" applyProtection="1">
      <alignment horizontal="center" vertical="center"/>
      <protection locked="0"/>
    </xf>
    <xf numFmtId="165" fontId="48" fillId="0" borderId="0" xfId="0" applyNumberFormat="1" applyFont="1" applyAlignment="1" applyProtection="1">
      <alignment horizontal="right" vertical="top"/>
      <protection locked="0"/>
    </xf>
    <xf numFmtId="0" fontId="53" fillId="0" borderId="0" xfId="0" applyFont="1" applyAlignment="1" applyProtection="1">
      <alignment vertical="top"/>
      <protection locked="0"/>
    </xf>
    <xf numFmtId="0" fontId="48" fillId="0" borderId="5" xfId="0" applyFont="1" applyBorder="1" applyAlignment="1" applyProtection="1">
      <alignment vertical="top"/>
      <protection locked="0"/>
    </xf>
    <xf numFmtId="0" fontId="48" fillId="0" borderId="6" xfId="0" applyFont="1" applyBorder="1" applyAlignment="1" applyProtection="1">
      <alignment vertical="top"/>
      <protection locked="0"/>
    </xf>
    <xf numFmtId="0" fontId="52" fillId="0" borderId="0" xfId="0" applyFont="1" applyAlignment="1" applyProtection="1">
      <alignment vertical="top"/>
      <protection locked="0"/>
    </xf>
    <xf numFmtId="0" fontId="7" fillId="13" borderId="28" xfId="0" applyFont="1" applyFill="1" applyBorder="1" applyAlignment="1">
      <alignment horizontal="right"/>
    </xf>
    <xf numFmtId="0" fontId="28" fillId="13" borderId="28" xfId="0" applyFont="1" applyFill="1" applyBorder="1"/>
    <xf numFmtId="166" fontId="28" fillId="13" borderId="28" xfId="0" applyNumberFormat="1" applyFont="1" applyFill="1" applyBorder="1"/>
    <xf numFmtId="166" fontId="0" fillId="13" borderId="29" xfId="0" applyNumberFormat="1" applyFill="1" applyBorder="1"/>
    <xf numFmtId="0" fontId="7" fillId="0" borderId="0" xfId="0" applyFont="1"/>
    <xf numFmtId="0" fontId="59" fillId="0" borderId="0" xfId="0" applyFont="1" applyProtection="1">
      <protection locked="0"/>
    </xf>
    <xf numFmtId="164" fontId="2" fillId="0" borderId="0" xfId="0" applyNumberFormat="1" applyFont="1" applyAlignment="1" applyProtection="1">
      <alignment horizontal="left"/>
      <protection locked="0"/>
    </xf>
    <xf numFmtId="0" fontId="58" fillId="13" borderId="0" xfId="0" applyFont="1" applyFill="1"/>
    <xf numFmtId="0" fontId="7" fillId="13" borderId="17" xfId="0" applyFont="1" applyFill="1" applyBorder="1" applyAlignment="1">
      <alignment horizontal="right"/>
    </xf>
    <xf numFmtId="165" fontId="60" fillId="0" borderId="0" xfId="0" applyNumberFormat="1" applyFont="1" applyAlignment="1" applyProtection="1">
      <alignment horizontal="right" vertical="top"/>
      <protection locked="0"/>
    </xf>
    <xf numFmtId="0" fontId="62" fillId="13" borderId="16" xfId="0" applyFont="1" applyFill="1" applyBorder="1" applyAlignment="1">
      <alignment horizontal="right"/>
    </xf>
    <xf numFmtId="166" fontId="63" fillId="13" borderId="0" xfId="0" applyNumberFormat="1" applyFont="1" applyFill="1"/>
    <xf numFmtId="166" fontId="60" fillId="13" borderId="19" xfId="0" applyNumberFormat="1" applyFont="1" applyFill="1" applyBorder="1"/>
    <xf numFmtId="0" fontId="64" fillId="13" borderId="0" xfId="0" applyFont="1" applyFill="1"/>
    <xf numFmtId="166" fontId="63" fillId="13" borderId="18" xfId="0" applyNumberFormat="1" applyFont="1" applyFill="1" applyBorder="1"/>
    <xf numFmtId="0" fontId="62" fillId="14" borderId="17" xfId="0" applyFont="1" applyFill="1" applyBorder="1" applyAlignment="1">
      <alignment horizontal="right"/>
    </xf>
    <xf numFmtId="0" fontId="39" fillId="0" borderId="0" xfId="1" applyAlignment="1" applyProtection="1">
      <alignment vertical="top"/>
      <protection locked="0"/>
    </xf>
    <xf numFmtId="0" fontId="12" fillId="19" borderId="0" xfId="0" applyFont="1" applyFill="1" applyAlignment="1" applyProtection="1">
      <alignment horizontal="left"/>
      <protection locked="0"/>
    </xf>
    <xf numFmtId="0" fontId="39" fillId="19" borderId="0" xfId="1" applyFill="1" applyAlignment="1" applyProtection="1">
      <alignment vertical="top" indent="1"/>
      <protection locked="0"/>
    </xf>
    <xf numFmtId="0" fontId="29" fillId="19" borderId="0" xfId="0" applyFont="1" applyFill="1" applyAlignment="1" applyProtection="1">
      <alignment vertical="top" indent="1"/>
      <protection locked="0"/>
    </xf>
    <xf numFmtId="0" fontId="65" fillId="0" borderId="0" xfId="0" applyFont="1" applyAlignment="1" applyProtection="1">
      <alignment vertical="center"/>
      <protection locked="0"/>
    </xf>
    <xf numFmtId="165" fontId="65" fillId="0" borderId="0" xfId="0" applyNumberFormat="1" applyFont="1" applyAlignment="1" applyProtection="1">
      <alignment vertical="center"/>
      <protection locked="0"/>
    </xf>
    <xf numFmtId="165" fontId="65" fillId="0" borderId="0" xfId="0" applyNumberFormat="1" applyFont="1" applyAlignment="1" applyProtection="1">
      <alignment horizontal="right" vertical="center"/>
      <protection locked="0"/>
    </xf>
    <xf numFmtId="165" fontId="66" fillId="0" borderId="0" xfId="0" applyNumberFormat="1" applyFont="1" applyAlignment="1" applyProtection="1">
      <alignment horizontal="right" vertical="center"/>
      <protection locked="0"/>
    </xf>
    <xf numFmtId="0" fontId="48" fillId="19" borderId="0" xfId="0" applyFont="1" applyFill="1" applyAlignment="1" applyProtection="1">
      <alignment vertical="top" indent="1"/>
      <protection locked="0"/>
    </xf>
    <xf numFmtId="0" fontId="61" fillId="0" borderId="0" xfId="0" applyFont="1"/>
    <xf numFmtId="0" fontId="62" fillId="0" borderId="0" xfId="0" applyFont="1"/>
    <xf numFmtId="166" fontId="62" fillId="0" borderId="0" xfId="0" applyNumberFormat="1" applyFont="1"/>
    <xf numFmtId="0" fontId="65" fillId="0" borderId="0" xfId="0" applyFont="1" applyAlignment="1" applyProtection="1">
      <alignment vertical="top" indent="1"/>
      <protection locked="0"/>
    </xf>
    <xf numFmtId="165" fontId="65" fillId="0" borderId="0" xfId="0" applyNumberFormat="1" applyFont="1" applyAlignment="1" applyProtection="1">
      <alignment horizontal="right" vertical="top"/>
      <protection locked="0"/>
    </xf>
    <xf numFmtId="0" fontId="65" fillId="0" borderId="0" xfId="0" applyFont="1" applyProtection="1">
      <protection locked="0"/>
    </xf>
    <xf numFmtId="0" fontId="65" fillId="0" borderId="0" xfId="0" applyFont="1" applyAlignment="1" applyProtection="1">
      <alignment vertical="top" indent="2"/>
      <protection locked="0"/>
    </xf>
    <xf numFmtId="0" fontId="65" fillId="0" borderId="0" xfId="0" applyFont="1" applyAlignment="1" applyProtection="1">
      <alignment vertical="top" indent="3"/>
      <protection locked="0"/>
    </xf>
    <xf numFmtId="0" fontId="5" fillId="0" borderId="0" xfId="0" applyFont="1" applyAlignment="1" applyProtection="1">
      <alignment horizontal="left" wrapText="1"/>
      <protection locked="0"/>
    </xf>
    <xf numFmtId="0" fontId="1" fillId="0" borderId="0" xfId="0" applyFont="1" applyAlignment="1" applyProtection="1">
      <alignment horizontal="left" wrapText="1"/>
      <protection locked="0"/>
    </xf>
    <xf numFmtId="0" fontId="5" fillId="0" borderId="4" xfId="0" applyFont="1" applyBorder="1" applyAlignment="1" applyProtection="1">
      <alignment horizontal="left" wrapText="1"/>
      <protection locked="0"/>
    </xf>
    <xf numFmtId="0" fontId="3" fillId="2" borderId="2" xfId="0" applyFont="1" applyFill="1" applyBorder="1" applyAlignment="1" applyProtection="1">
      <alignment horizontal="center" vertical="top" wrapText="1"/>
      <protection locked="0"/>
    </xf>
    <xf numFmtId="0" fontId="4" fillId="0" borderId="0" xfId="0" applyFont="1" applyAlignment="1" applyProtection="1">
      <alignment horizontal="left" wrapText="1"/>
      <protection locked="0"/>
    </xf>
    <xf numFmtId="0" fontId="1" fillId="0" borderId="4" xfId="0" applyFont="1" applyBorder="1" applyAlignment="1" applyProtection="1">
      <alignment horizontal="left" wrapText="1"/>
      <protection locked="0"/>
    </xf>
    <xf numFmtId="0" fontId="10" fillId="0" borderId="1" xfId="0" applyFont="1" applyBorder="1" applyAlignment="1" applyProtection="1">
      <alignment horizontal="center"/>
      <protection locked="0"/>
    </xf>
    <xf numFmtId="0" fontId="10" fillId="3" borderId="0" xfId="0" applyFont="1" applyFill="1" applyAlignment="1" applyProtection="1">
      <alignment horizontal="left" wrapText="1"/>
      <protection locked="0"/>
    </xf>
    <xf numFmtId="0" fontId="2" fillId="0" borderId="0" xfId="0" applyFont="1" applyAlignment="1" applyProtection="1">
      <alignment vertical="top" indent="1"/>
      <protection locked="0"/>
    </xf>
    <xf numFmtId="0" fontId="2" fillId="0" borderId="0" xfId="0" applyFont="1" applyAlignment="1" applyProtection="1">
      <alignment vertical="top"/>
      <protection locked="0"/>
    </xf>
    <xf numFmtId="0" fontId="2" fillId="0" borderId="0" xfId="0" applyFont="1" applyAlignment="1" applyProtection="1">
      <alignment horizontal="center" vertical="center" wrapText="1"/>
      <protection locked="0"/>
    </xf>
    <xf numFmtId="0" fontId="10" fillId="9" borderId="0" xfId="0" applyFont="1" applyFill="1" applyAlignment="1" applyProtection="1">
      <alignment vertical="top"/>
      <protection locked="0"/>
    </xf>
    <xf numFmtId="0" fontId="16" fillId="0" borderId="0" xfId="0" applyFont="1" applyAlignment="1" applyProtection="1">
      <alignment vertical="top"/>
      <protection locked="0"/>
    </xf>
    <xf numFmtId="0" fontId="21" fillId="10" borderId="0" xfId="0" applyFont="1" applyFill="1" applyAlignment="1" applyProtection="1">
      <alignment horizontal="center" vertical="center"/>
      <protection locked="0"/>
    </xf>
    <xf numFmtId="0" fontId="21" fillId="0" borderId="6" xfId="0" applyFont="1" applyBorder="1" applyAlignment="1" applyProtection="1">
      <alignment horizontal="center" vertical="center"/>
      <protection locked="0"/>
    </xf>
    <xf numFmtId="0" fontId="21" fillId="0" borderId="0" xfId="0" applyFont="1" applyAlignment="1" applyProtection="1">
      <alignment vertical="top" indent="1"/>
      <protection locked="0"/>
    </xf>
    <xf numFmtId="0" fontId="17" fillId="0" borderId="0" xfId="0" applyFont="1" applyAlignment="1" applyProtection="1">
      <alignment horizontal="left" vertical="top"/>
      <protection locked="0"/>
    </xf>
    <xf numFmtId="0" fontId="18" fillId="0" borderId="0" xfId="0" applyFont="1" applyAlignment="1" applyProtection="1">
      <alignment vertical="top"/>
      <protection locked="0"/>
    </xf>
    <xf numFmtId="0" fontId="21" fillId="10" borderId="0" xfId="0" applyFont="1" applyFill="1" applyAlignment="1" applyProtection="1">
      <alignment horizontal="center" vertical="top"/>
      <protection locked="0"/>
    </xf>
    <xf numFmtId="0" fontId="16" fillId="0" borderId="0" xfId="0" applyFont="1" applyAlignment="1" applyProtection="1">
      <alignment vertical="top" wrapText="1"/>
      <protection locked="0"/>
    </xf>
    <xf numFmtId="165" fontId="21" fillId="10" borderId="0" xfId="0" applyNumberFormat="1" applyFont="1" applyFill="1" applyAlignment="1" applyProtection="1">
      <alignment horizontal="center" vertical="center"/>
      <protection locked="0"/>
    </xf>
    <xf numFmtId="0" fontId="21" fillId="0" borderId="0" xfId="0" applyFont="1" applyAlignment="1" applyProtection="1">
      <alignment horizontal="center" vertical="center"/>
      <protection locked="0"/>
    </xf>
    <xf numFmtId="0" fontId="22" fillId="0" borderId="0" xfId="0" applyFont="1" applyAlignment="1" applyProtection="1">
      <alignment vertical="top"/>
      <protection locked="0"/>
    </xf>
    <xf numFmtId="164" fontId="19" fillId="0" borderId="5" xfId="0" applyNumberFormat="1" applyFont="1" applyBorder="1" applyAlignment="1" applyProtection="1">
      <alignment horizontal="left" vertical="top"/>
      <protection locked="0"/>
    </xf>
    <xf numFmtId="0" fontId="21" fillId="17" borderId="0" xfId="0" applyFont="1" applyFill="1" applyAlignment="1" applyProtection="1">
      <alignment horizontal="center" vertical="center"/>
      <protection locked="0"/>
    </xf>
    <xf numFmtId="0" fontId="48" fillId="0" borderId="0" xfId="0" applyFont="1" applyAlignment="1" applyProtection="1">
      <alignment vertical="top"/>
      <protection locked="0"/>
    </xf>
    <xf numFmtId="0" fontId="53" fillId="10" borderId="0" xfId="0" applyFont="1" applyFill="1" applyAlignment="1" applyProtection="1">
      <alignment horizontal="center" vertical="center"/>
      <protection locked="0"/>
    </xf>
    <xf numFmtId="0" fontId="48" fillId="0" borderId="0" xfId="0" applyFont="1" applyAlignment="1" applyProtection="1">
      <alignment vertical="top" wrapText="1"/>
      <protection locked="0"/>
    </xf>
    <xf numFmtId="0" fontId="56" fillId="9" borderId="0" xfId="0" applyFont="1" applyFill="1" applyAlignment="1" applyProtection="1">
      <alignment vertical="top"/>
      <protection locked="0"/>
    </xf>
    <xf numFmtId="0" fontId="49" fillId="0" borderId="0" xfId="0" applyFont="1" applyAlignment="1" applyProtection="1">
      <alignment horizontal="left" vertical="top"/>
      <protection locked="0"/>
    </xf>
    <xf numFmtId="0" fontId="57" fillId="0" borderId="0" xfId="0" applyFont="1" applyAlignment="1" applyProtection="1">
      <alignment vertical="top"/>
      <protection locked="0"/>
    </xf>
    <xf numFmtId="164" fontId="51" fillId="0" borderId="0" xfId="0" applyNumberFormat="1" applyFont="1" applyAlignment="1" applyProtection="1">
      <alignment horizontal="left" vertical="top"/>
      <protection locked="0"/>
    </xf>
    <xf numFmtId="0" fontId="50" fillId="10" borderId="0" xfId="0" applyFont="1" applyFill="1" applyAlignment="1" applyProtection="1">
      <alignment horizontal="left" vertical="top"/>
      <protection locked="0"/>
    </xf>
    <xf numFmtId="0" fontId="49" fillId="0" borderId="0" xfId="0" applyFont="1" applyAlignment="1" applyProtection="1">
      <alignment horizontal="left" vertical="center"/>
      <protection locked="0"/>
    </xf>
    <xf numFmtId="0" fontId="52" fillId="10" borderId="0" xfId="0" applyFont="1" applyFill="1" applyAlignment="1" applyProtection="1">
      <alignment horizontal="center" vertical="center"/>
      <protection locked="0"/>
    </xf>
    <xf numFmtId="0" fontId="50" fillId="10" borderId="0" xfId="0" applyFont="1" applyFill="1" applyAlignment="1" applyProtection="1">
      <alignment vertical="top" wrapText="1"/>
      <protection locked="0"/>
    </xf>
    <xf numFmtId="0" fontId="50" fillId="10" borderId="0" xfId="0" applyFont="1" applyFill="1" applyAlignment="1" applyProtection="1">
      <alignment vertical="top"/>
      <protection locked="0"/>
    </xf>
    <xf numFmtId="0" fontId="42" fillId="10" borderId="0" xfId="0" applyFont="1" applyFill="1" applyAlignment="1" applyProtection="1">
      <alignment horizontal="left" vertical="top"/>
      <protection locked="0"/>
    </xf>
    <xf numFmtId="0" fontId="41" fillId="0" borderId="0" xfId="0" applyFont="1" applyAlignment="1" applyProtection="1">
      <alignment horizontal="left" vertical="center"/>
      <protection locked="0"/>
    </xf>
    <xf numFmtId="164" fontId="43" fillId="0" borderId="0" xfId="0" applyNumberFormat="1" applyFont="1" applyAlignment="1" applyProtection="1">
      <alignment horizontal="left" vertical="top"/>
      <protection locked="0"/>
    </xf>
    <xf numFmtId="0" fontId="44" fillId="10" borderId="0" xfId="0" applyFont="1" applyFill="1" applyAlignment="1" applyProtection="1">
      <alignment horizontal="center" vertical="center"/>
      <protection locked="0"/>
    </xf>
    <xf numFmtId="0" fontId="42" fillId="10" borderId="0" xfId="0" applyFont="1" applyFill="1" applyAlignment="1" applyProtection="1">
      <alignment vertical="top" wrapText="1"/>
      <protection locked="0"/>
    </xf>
    <xf numFmtId="0" fontId="42" fillId="10" borderId="0" xfId="0" applyFont="1" applyFill="1" applyAlignment="1" applyProtection="1">
      <alignment vertical="top"/>
      <protection locked="0"/>
    </xf>
    <xf numFmtId="0" fontId="17" fillId="0" borderId="0" xfId="0" applyFont="1" applyAlignment="1" applyProtection="1">
      <alignment horizontal="left" vertical="center"/>
      <protection locked="0"/>
    </xf>
    <xf numFmtId="0" fontId="15" fillId="10" borderId="0" xfId="0" applyFont="1" applyFill="1" applyAlignment="1" applyProtection="1">
      <alignment vertical="top"/>
      <protection locked="0"/>
    </xf>
    <xf numFmtId="0" fontId="21" fillId="10" borderId="0" xfId="0" applyFont="1" applyFill="1" applyAlignment="1" applyProtection="1">
      <alignment horizontal="center"/>
      <protection locked="0"/>
    </xf>
    <xf numFmtId="164" fontId="19" fillId="0" borderId="0" xfId="0" applyNumberFormat="1" applyFont="1" applyAlignment="1" applyProtection="1">
      <alignment horizontal="left" vertical="top"/>
      <protection locked="0"/>
    </xf>
    <xf numFmtId="0" fontId="15" fillId="10" borderId="0" xfId="0" applyFont="1" applyFill="1" applyAlignment="1" applyProtection="1">
      <alignment vertical="top" wrapText="1"/>
      <protection locked="0"/>
    </xf>
    <xf numFmtId="164" fontId="34" fillId="0" borderId="0" xfId="0" applyNumberFormat="1" applyFont="1" applyAlignment="1" applyProtection="1">
      <alignment horizontal="left" vertical="top"/>
      <protection locked="0"/>
    </xf>
    <xf numFmtId="0" fontId="31" fillId="10" borderId="0" xfId="0" applyFont="1" applyFill="1" applyAlignment="1" applyProtection="1">
      <alignment horizontal="left" vertical="top"/>
      <protection locked="0"/>
    </xf>
    <xf numFmtId="0" fontId="33" fillId="0" borderId="0" xfId="0" applyFont="1" applyAlignment="1" applyProtection="1">
      <alignment horizontal="left" vertical="center"/>
      <protection locked="0"/>
    </xf>
    <xf numFmtId="0" fontId="36" fillId="10" borderId="0" xfId="0" applyFont="1" applyFill="1" applyAlignment="1" applyProtection="1">
      <alignment horizontal="center" vertical="center"/>
      <protection locked="0"/>
    </xf>
    <xf numFmtId="0" fontId="31" fillId="10" borderId="0" xfId="0" applyFont="1" applyFill="1" applyAlignment="1" applyProtection="1">
      <alignment vertical="top"/>
      <protection locked="0"/>
    </xf>
    <xf numFmtId="0" fontId="31" fillId="10" borderId="0" xfId="0" applyFont="1" applyFill="1" applyAlignment="1" applyProtection="1">
      <alignment vertical="top" wrapText="1"/>
      <protection locked="0"/>
    </xf>
    <xf numFmtId="0" fontId="25" fillId="10" borderId="0" xfId="0" applyFont="1" applyFill="1" applyAlignment="1" applyProtection="1">
      <alignment horizontal="center" vertical="top"/>
      <protection locked="0"/>
    </xf>
    <xf numFmtId="0" fontId="26" fillId="10" borderId="0" xfId="0" applyFont="1" applyFill="1" applyAlignment="1" applyProtection="1">
      <alignment horizontal="left" vertical="top"/>
      <protection locked="0"/>
    </xf>
    <xf numFmtId="0" fontId="10" fillId="3" borderId="0" xfId="0" applyFont="1" applyFill="1" applyAlignment="1" applyProtection="1">
      <alignment horizontal="center"/>
      <protection locked="0"/>
    </xf>
    <xf numFmtId="0" fontId="7" fillId="0" borderId="0" xfId="0" applyFont="1" applyAlignment="1" applyProtection="1">
      <alignment vertical="top"/>
      <protection locked="0"/>
    </xf>
    <xf numFmtId="0" fontId="64" fillId="14" borderId="16" xfId="0" applyFont="1" applyFill="1" applyBorder="1" applyAlignment="1">
      <alignment horizontal="right"/>
    </xf>
    <xf numFmtId="0" fontId="58" fillId="13" borderId="28" xfId="0" applyFont="1" applyFill="1" applyBorder="1" applyAlignment="1">
      <alignment horizontal="center"/>
    </xf>
    <xf numFmtId="0" fontId="58" fillId="13" borderId="0" xfId="0" applyFont="1" applyFill="1" applyAlignment="1">
      <alignment horizontal="center"/>
    </xf>
    <xf numFmtId="166" fontId="58" fillId="13" borderId="0" xfId="0" applyNumberFormat="1" applyFont="1" applyFill="1"/>
    <xf numFmtId="166" fontId="67" fillId="13" borderId="19" xfId="0" applyNumberFormat="1" applyFont="1" applyFill="1" applyBorder="1"/>
    <xf numFmtId="0" fontId="28" fillId="12" borderId="30" xfId="0" applyFont="1" applyFill="1" applyBorder="1"/>
    <xf numFmtId="0" fontId="6" fillId="12" borderId="30"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a:ea typeface=""/>
        <a:cs typeface=""/>
      </a:majorFont>
      <a:minorFont>
        <a:latin typeface="Arial"/>
        <a:ea typeface=""/>
        <a:cs typeface=""/>
      </a:minorFont>
    </a:fontScheme>
    <a:fmtScheme name="Office">
      <a:fillStyleLst>
        <a:solidFill>
          <a:schemeClr val="phClr"/>
        </a:solidFill>
        <a:solidFill>
          <a:schemeClr val="phClr"/>
        </a:solidFill>
        <a:solidFill>
          <a:schemeClr val="phClr"/>
        </a:solidFill>
      </a:fillStyleLst>
      <a:lnStyleLst>
        <a:ln w="9525" cap="flat" cmpd="sng" algn="ctr">
          <a:solidFill>
            <a:schemeClr val="phClr"/>
          </a:solidFill>
        </a:ln>
        <a:ln w="25400" cap="flat" cmpd="sng" algn="ctr">
          <a:solidFill>
            <a:schemeClr val="phClr"/>
          </a:solidFill>
        </a:ln>
        <a:ln w="38100" cap="flat" cmpd="sng" algn="ctr">
          <a:solidFill>
            <a:schemeClr val="phClr"/>
          </a:solidFill>
        </a:ln>
      </a:lnStyleLst>
      <a:effectStyleLst>
        <a:effectStyle>
          <a:effectLst>
            <a:fillOverlay blend="over">
              <a:noFill/>
            </a:fillOverlay>
          </a:effectLst>
        </a:effectStyle>
        <a:effectStyle>
          <a:effectLst>
            <a:fillOverlay blend="over">
              <a:noFill/>
            </a:fillOverlay>
          </a:effectLst>
        </a:effectStyle>
        <a:effectStyle>
          <a:effectLst>
            <a:fillOverlay blend="over">
              <a:noFill/>
            </a:fillOverlay>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7B628E6-3D9B-4086-B61E-51038CD826AF}">
  <we:reference id="b5d16a25-7e47-475c-99b1-f60b6ed33524" version="1.7.6.2" store="EXCatalog" storeType="EXCatalog"/>
  <we:alternateReferences/>
  <we:properties/>
  <we:bindings/>
  <we:snapshot xmlns:r="http://schemas.openxmlformats.org/officeDocument/2006/relationships"/>
  <we:extLst>
    <a:ext xmlns:a="http://schemas.openxmlformats.org/drawingml/2006/main" uri="{0858819E-0033-43BF-8937-05EC82904868}">
      <we:backgroundApp state="1" runtimeId="Taskpane.Url"/>
    </a:ext>
  </we:extLst>
</we:webextension>
</file>

<file path=xl/worksheets/_rels/sheet8.xml.rels><?xml version="1.0" encoding="UTF-8" standalone="yes"?>
<Relationships xmlns="http://schemas.openxmlformats.org/package/2006/relationships"><Relationship Id="rId3" Type="http://schemas.openxmlformats.org/officeDocument/2006/relationships/hyperlink" Target="file:///\\RES\GEE\GEE%20Live" TargetMode="External"/><Relationship Id="rId2" Type="http://schemas.openxmlformats.org/officeDocument/2006/relationships/hyperlink" Target="file:///\\RES\GEE\GEE%20Live" TargetMode="External"/><Relationship Id="rId1" Type="http://schemas.openxmlformats.org/officeDocument/2006/relationships/hyperlink" Target="file:///\\RES\GEE\Archives\2021\GEEOct2021Pub"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file:///\\RES\GEE\GEE%20Live" TargetMode="External"/><Relationship Id="rId4" Type="http://schemas.openxmlformats.org/officeDocument/2006/relationships/comments" Target="../comments2.xml"/></Relationships>
</file>

<file path=xl/worksheets/_rels/sheet1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62"/>
  <sheetViews>
    <sheetView zoomScale="85" workbookViewId="0">
      <selection activeCell="A28" sqref="A28"/>
    </sheetView>
  </sheetViews>
  <sheetFormatPr defaultColWidth="10.1328125" defaultRowHeight="14.45" customHeight="1" x14ac:dyDescent="0.6"/>
  <cols>
    <col min="1" max="1" width="32" customWidth="1"/>
    <col min="2" max="2" width="46.54296875" customWidth="1"/>
    <col min="3" max="16" width="10.26953125" customWidth="1"/>
  </cols>
  <sheetData>
    <row r="1" spans="1:16" ht="15" customHeight="1" x14ac:dyDescent="0.6">
      <c r="A1" s="1"/>
      <c r="B1" s="1"/>
      <c r="C1" s="1"/>
      <c r="D1" s="1"/>
      <c r="E1" s="1"/>
      <c r="F1" s="1"/>
      <c r="G1" s="1"/>
      <c r="H1" s="1"/>
      <c r="I1" s="1"/>
      <c r="J1" s="1"/>
      <c r="K1" s="1"/>
      <c r="L1" s="1"/>
      <c r="M1" s="1"/>
      <c r="N1" s="1"/>
      <c r="O1" s="1"/>
      <c r="P1" s="2"/>
    </row>
    <row r="2" spans="1:16" ht="15.75" customHeight="1" x14ac:dyDescent="0.6">
      <c r="A2" s="268" t="s">
        <v>0</v>
      </c>
      <c r="B2" s="268"/>
      <c r="C2" s="268"/>
      <c r="D2" s="268"/>
      <c r="E2" s="268"/>
      <c r="F2" s="268"/>
      <c r="G2" s="268"/>
      <c r="H2" s="268"/>
      <c r="I2" s="268"/>
      <c r="J2" s="268"/>
      <c r="K2" s="268"/>
      <c r="L2" s="268"/>
      <c r="M2" s="268"/>
      <c r="N2" s="268"/>
      <c r="O2" s="268"/>
      <c r="P2" s="3"/>
    </row>
    <row r="3" spans="1:16" ht="19.5" customHeight="1" x14ac:dyDescent="0.6">
      <c r="A3" s="4" t="s">
        <v>1</v>
      </c>
      <c r="B3" s="5"/>
      <c r="C3" s="6"/>
      <c r="D3" s="6"/>
      <c r="E3" s="6"/>
      <c r="F3" s="6"/>
      <c r="G3" s="6"/>
      <c r="H3" s="6"/>
      <c r="I3" s="6"/>
      <c r="J3" s="6"/>
      <c r="K3" s="6"/>
      <c r="L3" s="6"/>
      <c r="M3" s="6"/>
      <c r="N3" s="6"/>
      <c r="O3" s="6"/>
      <c r="P3" s="2"/>
    </row>
    <row r="4" spans="1:16" ht="15" customHeight="1" x14ac:dyDescent="0.6">
      <c r="A4" s="7"/>
      <c r="B4" s="8"/>
      <c r="C4" s="7"/>
      <c r="D4" s="7"/>
      <c r="E4" s="7"/>
      <c r="F4" s="7"/>
      <c r="G4" s="7"/>
      <c r="H4" s="7"/>
      <c r="I4" s="7"/>
      <c r="J4" s="7"/>
      <c r="K4" s="7"/>
      <c r="L4" s="7"/>
      <c r="M4" s="7"/>
      <c r="N4" s="7"/>
      <c r="O4" s="7"/>
      <c r="P4" s="2"/>
    </row>
    <row r="5" spans="1:16" ht="18" customHeight="1" x14ac:dyDescent="0.6">
      <c r="A5" s="7" t="s">
        <v>2</v>
      </c>
      <c r="B5" s="266" t="s">
        <v>3</v>
      </c>
      <c r="C5" s="266" t="s">
        <v>3</v>
      </c>
      <c r="D5" s="266" t="s">
        <v>3</v>
      </c>
      <c r="E5" s="266" t="s">
        <v>3</v>
      </c>
      <c r="F5" s="266" t="s">
        <v>3</v>
      </c>
      <c r="G5" s="266" t="s">
        <v>3</v>
      </c>
      <c r="H5" s="266" t="s">
        <v>3</v>
      </c>
      <c r="I5" s="266" t="s">
        <v>3</v>
      </c>
      <c r="J5" s="266" t="s">
        <v>3</v>
      </c>
      <c r="K5" s="266" t="s">
        <v>3</v>
      </c>
      <c r="L5" s="7"/>
      <c r="M5" s="7"/>
      <c r="N5" s="7"/>
      <c r="O5" s="7"/>
      <c r="P5" s="2"/>
    </row>
    <row r="6" spans="1:16" ht="18" customHeight="1" x14ac:dyDescent="0.6">
      <c r="A6" s="7" t="s">
        <v>4</v>
      </c>
      <c r="B6" s="266" t="s">
        <v>5</v>
      </c>
      <c r="C6" s="266" t="s">
        <v>5</v>
      </c>
      <c r="D6" s="266" t="s">
        <v>5</v>
      </c>
      <c r="E6" s="266" t="s">
        <v>5</v>
      </c>
      <c r="F6" s="266" t="s">
        <v>5</v>
      </c>
      <c r="G6" s="266" t="s">
        <v>5</v>
      </c>
      <c r="H6" s="266" t="s">
        <v>5</v>
      </c>
      <c r="I6" s="266" t="s">
        <v>5</v>
      </c>
      <c r="J6" s="266" t="s">
        <v>5</v>
      </c>
      <c r="K6" s="266" t="s">
        <v>5</v>
      </c>
      <c r="L6" s="266" t="s">
        <v>5</v>
      </c>
      <c r="M6" s="266" t="s">
        <v>5</v>
      </c>
      <c r="N6" s="7"/>
      <c r="O6" s="7"/>
      <c r="P6" s="2"/>
    </row>
    <row r="7" spans="1:16" ht="15" customHeight="1" x14ac:dyDescent="0.6">
      <c r="A7" s="7"/>
      <c r="B7" s="7"/>
      <c r="C7" s="7"/>
      <c r="D7" s="7"/>
      <c r="E7" s="7"/>
      <c r="F7" s="7"/>
      <c r="G7" s="7"/>
      <c r="H7" s="7"/>
      <c r="I7" s="7"/>
      <c r="J7" s="7"/>
      <c r="K7" s="7"/>
      <c r="L7" s="7"/>
      <c r="M7" s="7"/>
      <c r="N7" s="7"/>
      <c r="O7" s="7"/>
      <c r="P7" s="2"/>
    </row>
    <row r="8" spans="1:16" ht="13.5" customHeight="1" x14ac:dyDescent="0.6">
      <c r="A8" s="9" t="s">
        <v>6</v>
      </c>
      <c r="B8" s="7"/>
      <c r="C8" s="7"/>
      <c r="D8" s="7"/>
      <c r="E8" s="7"/>
      <c r="F8" s="7"/>
      <c r="G8" s="7"/>
      <c r="H8" s="7"/>
      <c r="I8" s="7"/>
      <c r="J8" s="7"/>
      <c r="K8" s="7"/>
      <c r="L8" s="7"/>
      <c r="M8" s="7"/>
      <c r="N8" s="7"/>
      <c r="O8" s="7"/>
      <c r="P8" s="2"/>
    </row>
    <row r="9" spans="1:16" ht="15" customHeight="1" x14ac:dyDescent="0.6">
      <c r="A9" s="7"/>
      <c r="B9" s="7"/>
      <c r="C9" s="7"/>
      <c r="D9" s="7"/>
      <c r="E9" s="7"/>
      <c r="F9" s="7"/>
      <c r="G9" s="7"/>
      <c r="H9" s="7"/>
      <c r="I9" s="7"/>
      <c r="J9" s="7"/>
      <c r="K9" s="7"/>
      <c r="L9" s="7"/>
      <c r="M9" s="7"/>
      <c r="N9" s="7"/>
      <c r="O9" s="7"/>
      <c r="P9" s="2"/>
    </row>
    <row r="10" spans="1:16" ht="24" customHeight="1" x14ac:dyDescent="0.6">
      <c r="A10" s="7" t="s">
        <v>2</v>
      </c>
      <c r="B10" s="266" t="s">
        <v>7</v>
      </c>
      <c r="C10" s="266" t="s">
        <v>7</v>
      </c>
      <c r="D10" s="266" t="s">
        <v>7</v>
      </c>
      <c r="E10" s="266" t="s">
        <v>7</v>
      </c>
      <c r="F10" s="266" t="s">
        <v>7</v>
      </c>
      <c r="G10" s="266" t="s">
        <v>7</v>
      </c>
      <c r="H10" s="266" t="s">
        <v>7</v>
      </c>
      <c r="I10" s="266" t="s">
        <v>7</v>
      </c>
      <c r="J10" s="266" t="s">
        <v>7</v>
      </c>
      <c r="K10" s="266" t="s">
        <v>7</v>
      </c>
      <c r="L10" s="7"/>
      <c r="M10" s="7"/>
      <c r="N10" s="7"/>
      <c r="O10" s="7"/>
      <c r="P10" s="2"/>
    </row>
    <row r="11" spans="1:16" ht="13.5" customHeight="1" x14ac:dyDescent="0.6">
      <c r="A11" s="7" t="s">
        <v>8</v>
      </c>
      <c r="B11" s="7"/>
      <c r="C11" s="7"/>
      <c r="D11" s="7"/>
      <c r="E11" s="7"/>
      <c r="F11" s="7"/>
      <c r="G11" s="7"/>
      <c r="H11" s="7"/>
      <c r="I11" s="7"/>
      <c r="J11" s="7"/>
      <c r="K11" s="7"/>
      <c r="L11" s="7"/>
      <c r="M11" s="7"/>
      <c r="N11" s="7"/>
      <c r="O11" s="7"/>
      <c r="P11" s="2"/>
    </row>
    <row r="12" spans="1:16" ht="15" customHeight="1" x14ac:dyDescent="0.6">
      <c r="A12" s="7" t="s">
        <v>9</v>
      </c>
      <c r="B12" s="266" t="s">
        <v>10</v>
      </c>
      <c r="C12" s="266"/>
      <c r="D12" s="266"/>
      <c r="E12" s="266"/>
      <c r="F12" s="266"/>
      <c r="G12" s="266"/>
      <c r="H12" s="266"/>
      <c r="I12" s="266"/>
      <c r="J12" s="266"/>
      <c r="K12" s="266"/>
      <c r="L12" s="266"/>
      <c r="M12" s="266"/>
      <c r="N12" s="266"/>
      <c r="O12" s="266"/>
      <c r="P12" s="2"/>
    </row>
    <row r="13" spans="1:16" ht="15" customHeight="1" x14ac:dyDescent="0.6">
      <c r="A13" s="7" t="s">
        <v>11</v>
      </c>
      <c r="B13" s="266" t="s">
        <v>12</v>
      </c>
      <c r="C13" s="266" t="s">
        <v>12</v>
      </c>
      <c r="D13" s="266" t="s">
        <v>12</v>
      </c>
      <c r="E13" s="266" t="s">
        <v>12</v>
      </c>
      <c r="F13" s="266" t="s">
        <v>12</v>
      </c>
      <c r="G13" s="266" t="s">
        <v>12</v>
      </c>
      <c r="H13" s="266" t="s">
        <v>12</v>
      </c>
      <c r="I13" s="266" t="s">
        <v>12</v>
      </c>
      <c r="J13" s="266" t="s">
        <v>12</v>
      </c>
      <c r="K13" s="266" t="s">
        <v>12</v>
      </c>
      <c r="L13" s="266" t="s">
        <v>12</v>
      </c>
      <c r="M13" s="7"/>
      <c r="N13" s="7"/>
      <c r="O13" s="7"/>
      <c r="P13" s="2"/>
    </row>
    <row r="14" spans="1:16" ht="15" customHeight="1" x14ac:dyDescent="0.6">
      <c r="A14" s="7" t="s">
        <v>13</v>
      </c>
      <c r="B14" s="266" t="s">
        <v>14</v>
      </c>
      <c r="C14" s="266" t="s">
        <v>14</v>
      </c>
      <c r="D14" s="266" t="s">
        <v>14</v>
      </c>
      <c r="E14" s="266" t="s">
        <v>14</v>
      </c>
      <c r="F14" s="266" t="s">
        <v>14</v>
      </c>
      <c r="G14" s="266" t="s">
        <v>14</v>
      </c>
      <c r="H14" s="266" t="s">
        <v>14</v>
      </c>
      <c r="I14" s="266" t="s">
        <v>14</v>
      </c>
      <c r="J14" s="266" t="s">
        <v>14</v>
      </c>
      <c r="K14" s="266" t="s">
        <v>14</v>
      </c>
      <c r="L14" s="266" t="s">
        <v>14</v>
      </c>
      <c r="M14" s="266" t="s">
        <v>14</v>
      </c>
      <c r="N14" s="266" t="s">
        <v>14</v>
      </c>
      <c r="O14" s="266" t="s">
        <v>14</v>
      </c>
      <c r="P14" s="2"/>
    </row>
    <row r="15" spans="1:16" ht="15" customHeight="1" x14ac:dyDescent="0.6">
      <c r="A15" s="7"/>
      <c r="B15" s="7"/>
      <c r="C15" s="7"/>
      <c r="D15" s="7"/>
      <c r="E15" s="7"/>
      <c r="F15" s="7"/>
      <c r="G15" s="7"/>
      <c r="H15" s="7"/>
      <c r="I15" s="7"/>
      <c r="J15" s="7"/>
      <c r="K15" s="7"/>
      <c r="L15" s="7"/>
      <c r="M15" s="7"/>
      <c r="N15" s="7"/>
      <c r="O15" s="7"/>
      <c r="P15" s="2"/>
    </row>
    <row r="16" spans="1:16" ht="13.5" customHeight="1" x14ac:dyDescent="0.6">
      <c r="A16" s="7" t="s">
        <v>15</v>
      </c>
      <c r="B16" s="7"/>
      <c r="C16" s="7"/>
      <c r="D16" s="7"/>
      <c r="E16" s="7"/>
      <c r="F16" s="7"/>
      <c r="G16" s="7"/>
      <c r="H16" s="7"/>
      <c r="I16" s="7"/>
      <c r="J16" s="7"/>
      <c r="K16" s="7"/>
      <c r="L16" s="7"/>
      <c r="M16" s="7"/>
      <c r="N16" s="7"/>
      <c r="O16" s="7"/>
      <c r="P16" s="2"/>
    </row>
    <row r="17" spans="1:16" ht="13.5" customHeight="1" x14ac:dyDescent="0.6">
      <c r="A17" s="7" t="s">
        <v>9</v>
      </c>
      <c r="B17" s="266" t="s">
        <v>16</v>
      </c>
      <c r="C17" s="266"/>
      <c r="D17" s="266"/>
      <c r="E17" s="266"/>
      <c r="F17" s="266"/>
      <c r="G17" s="266"/>
      <c r="H17" s="266"/>
      <c r="I17" s="266"/>
      <c r="J17" s="266"/>
      <c r="K17" s="266"/>
      <c r="L17" s="266"/>
      <c r="M17" s="266"/>
      <c r="N17" s="266"/>
      <c r="O17" s="266"/>
      <c r="P17" s="2"/>
    </row>
    <row r="18" spans="1:16" ht="13.5" customHeight="1" x14ac:dyDescent="0.6">
      <c r="A18" s="7" t="s">
        <v>11</v>
      </c>
      <c r="B18" s="266" t="s">
        <v>17</v>
      </c>
      <c r="C18" s="266" t="s">
        <v>12</v>
      </c>
      <c r="D18" s="266" t="s">
        <v>12</v>
      </c>
      <c r="E18" s="266" t="s">
        <v>12</v>
      </c>
      <c r="F18" s="266" t="s">
        <v>12</v>
      </c>
      <c r="G18" s="266" t="s">
        <v>12</v>
      </c>
      <c r="H18" s="266" t="s">
        <v>12</v>
      </c>
      <c r="I18" s="266" t="s">
        <v>12</v>
      </c>
      <c r="J18" s="266" t="s">
        <v>12</v>
      </c>
      <c r="K18" s="266" t="s">
        <v>12</v>
      </c>
      <c r="L18" s="266" t="s">
        <v>12</v>
      </c>
      <c r="M18" s="7"/>
      <c r="N18" s="7"/>
      <c r="O18" s="7"/>
      <c r="P18" s="2"/>
    </row>
    <row r="19" spans="1:16" ht="13.5" customHeight="1" x14ac:dyDescent="0.6">
      <c r="A19" s="7" t="s">
        <v>13</v>
      </c>
      <c r="B19" s="266" t="s">
        <v>18</v>
      </c>
      <c r="C19" s="266" t="s">
        <v>14</v>
      </c>
      <c r="D19" s="266" t="s">
        <v>14</v>
      </c>
      <c r="E19" s="266" t="s">
        <v>14</v>
      </c>
      <c r="F19" s="266" t="s">
        <v>14</v>
      </c>
      <c r="G19" s="266" t="s">
        <v>14</v>
      </c>
      <c r="H19" s="266" t="s">
        <v>14</v>
      </c>
      <c r="I19" s="266" t="s">
        <v>14</v>
      </c>
      <c r="J19" s="266" t="s">
        <v>14</v>
      </c>
      <c r="K19" s="266" t="s">
        <v>14</v>
      </c>
      <c r="L19" s="266" t="s">
        <v>14</v>
      </c>
      <c r="M19" s="266" t="s">
        <v>14</v>
      </c>
      <c r="N19" s="266" t="s">
        <v>14</v>
      </c>
      <c r="O19" s="266" t="s">
        <v>14</v>
      </c>
      <c r="P19" s="2"/>
    </row>
    <row r="20" spans="1:16" ht="15" customHeight="1" x14ac:dyDescent="0.6">
      <c r="A20" s="10"/>
      <c r="B20" s="10"/>
      <c r="C20" s="10"/>
      <c r="D20" s="10"/>
      <c r="E20" s="10"/>
      <c r="F20" s="10"/>
      <c r="G20" s="10"/>
      <c r="H20" s="10"/>
      <c r="I20" s="10"/>
      <c r="J20" s="10"/>
      <c r="K20" s="10"/>
      <c r="L20" s="10"/>
      <c r="M20" s="10"/>
      <c r="N20" s="10"/>
      <c r="O20" s="10"/>
      <c r="P20" s="2"/>
    </row>
    <row r="21" spans="1:16" ht="15" customHeight="1" x14ac:dyDescent="0.6">
      <c r="A21" s="1"/>
      <c r="B21" s="1"/>
      <c r="C21" s="1"/>
      <c r="D21" s="1"/>
      <c r="E21" s="1"/>
      <c r="F21" s="1"/>
      <c r="G21" s="1"/>
      <c r="H21" s="1"/>
      <c r="I21" s="1"/>
      <c r="J21" s="1"/>
      <c r="K21" s="1"/>
      <c r="L21" s="1"/>
      <c r="M21" s="1"/>
      <c r="N21" s="1"/>
      <c r="O21" s="1"/>
      <c r="P21" s="2"/>
    </row>
    <row r="22" spans="1:16" ht="15.75" customHeight="1" x14ac:dyDescent="0.6">
      <c r="A22" s="268" t="s">
        <v>19</v>
      </c>
      <c r="B22" s="268" t="s">
        <v>19</v>
      </c>
      <c r="C22" s="268" t="s">
        <v>19</v>
      </c>
      <c r="D22" s="268" t="s">
        <v>19</v>
      </c>
      <c r="E22" s="268" t="s">
        <v>19</v>
      </c>
      <c r="F22" s="268" t="s">
        <v>19</v>
      </c>
      <c r="G22" s="268" t="s">
        <v>19</v>
      </c>
      <c r="H22" s="268" t="s">
        <v>19</v>
      </c>
      <c r="I22" s="268" t="s">
        <v>19</v>
      </c>
      <c r="J22" s="268" t="s">
        <v>19</v>
      </c>
      <c r="K22" s="268" t="s">
        <v>19</v>
      </c>
      <c r="L22" s="268" t="s">
        <v>19</v>
      </c>
      <c r="M22" s="268" t="s">
        <v>19</v>
      </c>
      <c r="N22" s="268" t="s">
        <v>19</v>
      </c>
      <c r="O22" s="268" t="s">
        <v>19</v>
      </c>
      <c r="P22" s="3"/>
    </row>
    <row r="23" spans="1:16" ht="18.75" customHeight="1" x14ac:dyDescent="0.6">
      <c r="A23" s="4" t="s">
        <v>20</v>
      </c>
      <c r="B23" s="6"/>
      <c r="C23" s="6"/>
      <c r="D23" s="6"/>
      <c r="E23" s="6"/>
      <c r="F23" s="6"/>
      <c r="G23" s="6"/>
      <c r="H23" s="6"/>
      <c r="I23" s="6"/>
      <c r="J23" s="6"/>
      <c r="K23" s="6"/>
      <c r="L23" s="6"/>
      <c r="M23" s="6"/>
      <c r="N23" s="6"/>
      <c r="O23" s="6"/>
      <c r="P23" s="2"/>
    </row>
    <row r="24" spans="1:16" ht="15" customHeight="1" x14ac:dyDescent="0.6">
      <c r="A24" s="7"/>
      <c r="B24" s="7"/>
      <c r="C24" s="7"/>
      <c r="D24" s="7"/>
      <c r="E24" s="7"/>
      <c r="F24" s="7"/>
      <c r="G24" s="7"/>
      <c r="H24" s="7"/>
      <c r="I24" s="7"/>
      <c r="J24" s="7"/>
      <c r="K24" s="7"/>
      <c r="L24" s="7"/>
      <c r="M24" s="7"/>
      <c r="N24" s="7"/>
      <c r="O24" s="7"/>
      <c r="P24" s="2"/>
    </row>
    <row r="25" spans="1:16" ht="13.5" customHeight="1" x14ac:dyDescent="0.6">
      <c r="A25" s="7" t="s">
        <v>21</v>
      </c>
      <c r="B25" s="7"/>
      <c r="C25" s="7"/>
      <c r="D25" s="7"/>
      <c r="E25" s="7"/>
      <c r="F25" s="7"/>
      <c r="G25" s="7"/>
      <c r="H25" s="7"/>
      <c r="I25" s="7"/>
      <c r="J25" s="7"/>
      <c r="K25" s="7"/>
      <c r="L25" s="7"/>
      <c r="M25" s="7"/>
      <c r="N25" s="7"/>
      <c r="O25" s="7"/>
      <c r="P25" s="2"/>
    </row>
    <row r="26" spans="1:16" ht="24" customHeight="1" x14ac:dyDescent="0.6">
      <c r="A26" s="7" t="s">
        <v>22</v>
      </c>
      <c r="B26" s="266" t="s">
        <v>23</v>
      </c>
      <c r="C26" s="266" t="s">
        <v>23</v>
      </c>
      <c r="D26" s="266" t="s">
        <v>23</v>
      </c>
      <c r="E26" s="266" t="s">
        <v>23</v>
      </c>
      <c r="F26" s="266" t="s">
        <v>23</v>
      </c>
      <c r="G26" s="266" t="s">
        <v>23</v>
      </c>
      <c r="H26" s="266" t="s">
        <v>23</v>
      </c>
      <c r="I26" s="266" t="s">
        <v>23</v>
      </c>
      <c r="J26" s="266" t="s">
        <v>23</v>
      </c>
      <c r="K26" s="266" t="s">
        <v>23</v>
      </c>
      <c r="L26" s="266" t="s">
        <v>23</v>
      </c>
      <c r="M26" s="266" t="s">
        <v>23</v>
      </c>
      <c r="N26" s="266" t="s">
        <v>23</v>
      </c>
      <c r="O26" s="7"/>
      <c r="P26" s="2"/>
    </row>
    <row r="27" spans="1:16" ht="24" customHeight="1" x14ac:dyDescent="0.6">
      <c r="A27" s="7" t="s">
        <v>24</v>
      </c>
      <c r="B27" s="266" t="s">
        <v>25</v>
      </c>
      <c r="C27" s="266" t="s">
        <v>25</v>
      </c>
      <c r="D27" s="266" t="s">
        <v>25</v>
      </c>
      <c r="E27" s="266" t="s">
        <v>25</v>
      </c>
      <c r="F27" s="266" t="s">
        <v>25</v>
      </c>
      <c r="G27" s="266" t="s">
        <v>25</v>
      </c>
      <c r="H27" s="266" t="s">
        <v>25</v>
      </c>
      <c r="I27" s="266" t="s">
        <v>25</v>
      </c>
      <c r="J27" s="266" t="s">
        <v>25</v>
      </c>
      <c r="K27" s="266" t="s">
        <v>25</v>
      </c>
      <c r="L27" s="266" t="s">
        <v>25</v>
      </c>
      <c r="M27" s="266" t="s">
        <v>25</v>
      </c>
      <c r="N27" s="266" t="s">
        <v>25</v>
      </c>
      <c r="O27" s="266" t="s">
        <v>25</v>
      </c>
      <c r="P27" s="2"/>
    </row>
    <row r="28" spans="1:16" ht="15" customHeight="1" x14ac:dyDescent="0.6">
      <c r="A28" s="7"/>
      <c r="B28" s="7"/>
      <c r="C28" s="7"/>
      <c r="D28" s="7"/>
      <c r="E28" s="7"/>
      <c r="F28" s="7"/>
      <c r="G28" s="7"/>
      <c r="H28" s="7"/>
      <c r="I28" s="7"/>
      <c r="J28" s="7"/>
      <c r="K28" s="7"/>
      <c r="L28" s="7"/>
      <c r="M28" s="7"/>
      <c r="N28" s="7"/>
      <c r="O28" s="7"/>
      <c r="P28" s="2"/>
    </row>
    <row r="29" spans="1:16" ht="13.5" customHeight="1" x14ac:dyDescent="0.6">
      <c r="A29" s="7" t="s">
        <v>26</v>
      </c>
      <c r="B29" s="7"/>
      <c r="C29" s="7"/>
      <c r="D29" s="7"/>
      <c r="E29" s="7"/>
      <c r="F29" s="7"/>
      <c r="G29" s="7"/>
      <c r="H29" s="7"/>
      <c r="I29" s="7"/>
      <c r="J29" s="7"/>
      <c r="K29" s="7"/>
      <c r="L29" s="7"/>
      <c r="M29" s="7"/>
      <c r="N29" s="7"/>
      <c r="O29" s="7"/>
      <c r="P29" s="2"/>
    </row>
    <row r="30" spans="1:16" ht="24" customHeight="1" x14ac:dyDescent="0.6">
      <c r="A30" s="7" t="s">
        <v>22</v>
      </c>
      <c r="B30" s="266" t="s">
        <v>27</v>
      </c>
      <c r="C30" s="266" t="s">
        <v>27</v>
      </c>
      <c r="D30" s="266" t="s">
        <v>27</v>
      </c>
      <c r="E30" s="266" t="s">
        <v>27</v>
      </c>
      <c r="F30" s="266" t="s">
        <v>27</v>
      </c>
      <c r="G30" s="266" t="s">
        <v>27</v>
      </c>
      <c r="H30" s="266" t="s">
        <v>27</v>
      </c>
      <c r="I30" s="266" t="s">
        <v>27</v>
      </c>
      <c r="J30" s="266" t="s">
        <v>27</v>
      </c>
      <c r="K30" s="7"/>
      <c r="L30" s="7"/>
      <c r="M30" s="7"/>
      <c r="N30" s="7"/>
      <c r="O30" s="7"/>
      <c r="P30" s="2"/>
    </row>
    <row r="31" spans="1:16" ht="21" customHeight="1" x14ac:dyDescent="0.6">
      <c r="A31" s="7" t="s">
        <v>24</v>
      </c>
      <c r="B31" s="266" t="s">
        <v>28</v>
      </c>
      <c r="C31" s="266" t="s">
        <v>28</v>
      </c>
      <c r="D31" s="266" t="s">
        <v>28</v>
      </c>
      <c r="E31" s="266" t="s">
        <v>28</v>
      </c>
      <c r="F31" s="266" t="s">
        <v>28</v>
      </c>
      <c r="G31" s="266" t="s">
        <v>28</v>
      </c>
      <c r="H31" s="266" t="s">
        <v>28</v>
      </c>
      <c r="I31" s="266" t="s">
        <v>28</v>
      </c>
      <c r="J31" s="266" t="s">
        <v>28</v>
      </c>
      <c r="K31" s="266" t="s">
        <v>28</v>
      </c>
      <c r="L31" s="266" t="s">
        <v>28</v>
      </c>
      <c r="M31" s="266" t="s">
        <v>28</v>
      </c>
      <c r="N31" s="266" t="s">
        <v>28</v>
      </c>
      <c r="O31" s="266" t="s">
        <v>28</v>
      </c>
      <c r="P31" s="2"/>
    </row>
    <row r="32" spans="1:16" ht="15" customHeight="1" x14ac:dyDescent="0.6">
      <c r="A32" s="7"/>
      <c r="B32" s="7"/>
      <c r="C32" s="7"/>
      <c r="D32" s="7"/>
      <c r="E32" s="7"/>
      <c r="F32" s="7"/>
      <c r="G32" s="7"/>
      <c r="H32" s="7"/>
      <c r="I32" s="7"/>
      <c r="J32" s="7"/>
      <c r="K32" s="7"/>
      <c r="L32" s="7"/>
      <c r="M32" s="7"/>
      <c r="N32" s="7"/>
      <c r="O32" s="7"/>
      <c r="P32" s="2"/>
    </row>
    <row r="33" spans="1:16" ht="13.5" customHeight="1" x14ac:dyDescent="0.6">
      <c r="A33" s="9" t="s">
        <v>29</v>
      </c>
      <c r="B33" s="7"/>
      <c r="C33" s="7"/>
      <c r="D33" s="7"/>
      <c r="E33" s="7"/>
      <c r="F33" s="7"/>
      <c r="G33" s="7"/>
      <c r="H33" s="7"/>
      <c r="I33" s="7"/>
      <c r="J33" s="7"/>
      <c r="K33" s="7"/>
      <c r="L33" s="7"/>
      <c r="M33" s="7"/>
      <c r="N33" s="7"/>
      <c r="O33" s="7"/>
      <c r="P33" s="2"/>
    </row>
    <row r="34" spans="1:16" ht="15" customHeight="1" x14ac:dyDescent="0.6">
      <c r="A34" s="7"/>
      <c r="B34" s="7"/>
      <c r="C34" s="7"/>
      <c r="D34" s="7"/>
      <c r="E34" s="7"/>
      <c r="F34" s="7"/>
      <c r="G34" s="7"/>
      <c r="H34" s="7"/>
      <c r="I34" s="7"/>
      <c r="J34" s="7"/>
      <c r="K34" s="7"/>
      <c r="L34" s="7"/>
      <c r="M34" s="7"/>
      <c r="N34" s="7"/>
      <c r="O34" s="7"/>
      <c r="P34" s="2"/>
    </row>
    <row r="35" spans="1:16" ht="13.5" customHeight="1" x14ac:dyDescent="0.6">
      <c r="A35" s="7" t="s">
        <v>30</v>
      </c>
      <c r="B35" s="7"/>
      <c r="C35" s="7"/>
      <c r="D35" s="7"/>
      <c r="E35" s="7"/>
      <c r="F35" s="7"/>
      <c r="G35" s="7"/>
      <c r="H35" s="7"/>
      <c r="I35" s="7"/>
      <c r="J35" s="7"/>
      <c r="K35" s="7"/>
      <c r="L35" s="7"/>
      <c r="M35" s="7"/>
      <c r="N35" s="7"/>
      <c r="O35" s="7"/>
      <c r="P35" s="2"/>
    </row>
    <row r="36" spans="1:16" ht="13.5" customHeight="1" x14ac:dyDescent="0.6">
      <c r="A36" s="7" t="s">
        <v>31</v>
      </c>
      <c r="B36" s="266" t="s">
        <v>32</v>
      </c>
      <c r="C36" s="266" t="s">
        <v>32</v>
      </c>
      <c r="D36" s="266" t="s">
        <v>32</v>
      </c>
      <c r="E36" s="266" t="s">
        <v>32</v>
      </c>
      <c r="F36" s="266" t="s">
        <v>32</v>
      </c>
      <c r="G36" s="266" t="s">
        <v>32</v>
      </c>
      <c r="H36" s="266" t="s">
        <v>32</v>
      </c>
      <c r="I36" s="266" t="s">
        <v>32</v>
      </c>
      <c r="J36" s="266" t="s">
        <v>32</v>
      </c>
      <c r="K36" s="266" t="s">
        <v>32</v>
      </c>
      <c r="L36" s="266" t="s">
        <v>32</v>
      </c>
      <c r="M36" s="266" t="s">
        <v>32</v>
      </c>
      <c r="N36" s="266" t="s">
        <v>32</v>
      </c>
      <c r="O36" s="266" t="s">
        <v>32</v>
      </c>
      <c r="P36" s="2"/>
    </row>
    <row r="37" spans="1:16" ht="15.75" customHeight="1" x14ac:dyDescent="0.6">
      <c r="A37" s="7" t="s">
        <v>33</v>
      </c>
      <c r="B37" s="266" t="s">
        <v>34</v>
      </c>
      <c r="C37" s="266" t="s">
        <v>34</v>
      </c>
      <c r="D37" s="266" t="s">
        <v>34</v>
      </c>
      <c r="E37" s="266" t="s">
        <v>34</v>
      </c>
      <c r="F37" s="266" t="s">
        <v>34</v>
      </c>
      <c r="G37" s="266" t="s">
        <v>34</v>
      </c>
      <c r="H37" s="266" t="s">
        <v>34</v>
      </c>
      <c r="I37" s="266" t="s">
        <v>34</v>
      </c>
      <c r="J37" s="266" t="s">
        <v>34</v>
      </c>
      <c r="K37" s="266" t="s">
        <v>34</v>
      </c>
      <c r="L37" s="266" t="s">
        <v>34</v>
      </c>
      <c r="M37" s="7"/>
      <c r="N37" s="7"/>
      <c r="O37" s="7"/>
      <c r="P37" s="2"/>
    </row>
    <row r="38" spans="1:16" ht="15" customHeight="1" x14ac:dyDescent="0.6">
      <c r="A38" s="7" t="s">
        <v>35</v>
      </c>
      <c r="B38" s="266" t="s">
        <v>36</v>
      </c>
      <c r="C38" s="266" t="s">
        <v>36</v>
      </c>
      <c r="D38" s="266" t="s">
        <v>36</v>
      </c>
      <c r="E38" s="266" t="s">
        <v>36</v>
      </c>
      <c r="F38" s="266" t="s">
        <v>36</v>
      </c>
      <c r="G38" s="266" t="s">
        <v>36</v>
      </c>
      <c r="H38" s="266" t="s">
        <v>36</v>
      </c>
      <c r="I38" s="266" t="s">
        <v>36</v>
      </c>
      <c r="J38" s="266" t="s">
        <v>36</v>
      </c>
      <c r="K38" s="266" t="s">
        <v>36</v>
      </c>
      <c r="L38" s="266" t="s">
        <v>36</v>
      </c>
      <c r="M38" s="266" t="s">
        <v>36</v>
      </c>
      <c r="N38" s="266" t="s">
        <v>36</v>
      </c>
      <c r="O38" s="266" t="s">
        <v>36</v>
      </c>
      <c r="P38" s="2"/>
    </row>
    <row r="39" spans="1:16" ht="15" customHeight="1" x14ac:dyDescent="0.6">
      <c r="A39" s="7"/>
      <c r="B39" s="7"/>
      <c r="C39" s="7"/>
      <c r="D39" s="7"/>
      <c r="E39" s="7"/>
      <c r="F39" s="7"/>
      <c r="G39" s="7"/>
      <c r="H39" s="7"/>
      <c r="I39" s="7"/>
      <c r="J39" s="7"/>
      <c r="K39" s="7"/>
      <c r="L39" s="7"/>
      <c r="M39" s="7"/>
      <c r="N39" s="7"/>
      <c r="O39" s="7"/>
      <c r="P39" s="2"/>
    </row>
    <row r="40" spans="1:16" ht="13.5" customHeight="1" x14ac:dyDescent="0.6">
      <c r="A40" s="7" t="s">
        <v>37</v>
      </c>
      <c r="B40" s="7"/>
      <c r="C40" s="7"/>
      <c r="D40" s="7"/>
      <c r="E40" s="7"/>
      <c r="F40" s="7"/>
      <c r="G40" s="7"/>
      <c r="H40" s="7"/>
      <c r="I40" s="7"/>
      <c r="J40" s="7"/>
      <c r="K40" s="7"/>
      <c r="L40" s="7"/>
      <c r="M40" s="7"/>
      <c r="N40" s="7"/>
      <c r="O40" s="7"/>
      <c r="P40" s="2"/>
    </row>
    <row r="41" spans="1:16" ht="13.5" customHeight="1" x14ac:dyDescent="0.6">
      <c r="A41" s="7" t="s">
        <v>31</v>
      </c>
      <c r="B41" s="266" t="s">
        <v>38</v>
      </c>
      <c r="C41" s="266" t="s">
        <v>32</v>
      </c>
      <c r="D41" s="266" t="s">
        <v>32</v>
      </c>
      <c r="E41" s="266" t="s">
        <v>32</v>
      </c>
      <c r="F41" s="266" t="s">
        <v>32</v>
      </c>
      <c r="G41" s="266" t="s">
        <v>32</v>
      </c>
      <c r="H41" s="266" t="s">
        <v>32</v>
      </c>
      <c r="I41" s="266" t="s">
        <v>32</v>
      </c>
      <c r="J41" s="266" t="s">
        <v>32</v>
      </c>
      <c r="K41" s="266" t="s">
        <v>32</v>
      </c>
      <c r="L41" s="266" t="s">
        <v>32</v>
      </c>
      <c r="M41" s="266" t="s">
        <v>32</v>
      </c>
      <c r="N41" s="266" t="s">
        <v>32</v>
      </c>
      <c r="O41" s="266" t="s">
        <v>32</v>
      </c>
      <c r="P41" s="2"/>
    </row>
    <row r="42" spans="1:16" ht="13.5" customHeight="1" x14ac:dyDescent="0.6">
      <c r="A42" s="7" t="s">
        <v>33</v>
      </c>
      <c r="B42" s="266" t="s">
        <v>39</v>
      </c>
      <c r="C42" s="266" t="s">
        <v>34</v>
      </c>
      <c r="D42" s="266" t="s">
        <v>34</v>
      </c>
      <c r="E42" s="266" t="s">
        <v>34</v>
      </c>
      <c r="F42" s="266" t="s">
        <v>34</v>
      </c>
      <c r="G42" s="266" t="s">
        <v>34</v>
      </c>
      <c r="H42" s="266" t="s">
        <v>34</v>
      </c>
      <c r="I42" s="266" t="s">
        <v>34</v>
      </c>
      <c r="J42" s="266" t="s">
        <v>34</v>
      </c>
      <c r="K42" s="266" t="s">
        <v>34</v>
      </c>
      <c r="L42" s="266" t="s">
        <v>34</v>
      </c>
      <c r="M42" s="7"/>
      <c r="N42" s="7"/>
      <c r="O42" s="7"/>
      <c r="P42" s="2"/>
    </row>
    <row r="43" spans="1:16" ht="15" customHeight="1" x14ac:dyDescent="0.6">
      <c r="A43" s="7"/>
      <c r="B43" s="7"/>
      <c r="C43" s="7"/>
      <c r="D43" s="7"/>
      <c r="E43" s="7"/>
      <c r="F43" s="7"/>
      <c r="G43" s="7"/>
      <c r="H43" s="7"/>
      <c r="I43" s="7"/>
      <c r="J43" s="7"/>
      <c r="K43" s="7"/>
      <c r="L43" s="7"/>
      <c r="M43" s="7"/>
      <c r="N43" s="7"/>
      <c r="O43" s="7"/>
      <c r="P43" s="2"/>
    </row>
    <row r="44" spans="1:16" ht="13.5" customHeight="1" x14ac:dyDescent="0.6">
      <c r="A44" s="9" t="s">
        <v>20</v>
      </c>
      <c r="B44" s="7"/>
      <c r="C44" s="7"/>
      <c r="D44" s="7"/>
      <c r="E44" s="7"/>
      <c r="F44" s="7"/>
      <c r="G44" s="7"/>
      <c r="H44" s="7"/>
      <c r="I44" s="7"/>
      <c r="J44" s="7"/>
      <c r="K44" s="7"/>
      <c r="L44" s="7"/>
      <c r="M44" s="7"/>
      <c r="N44" s="7"/>
      <c r="O44" s="7"/>
      <c r="P44" s="2"/>
    </row>
    <row r="45" spans="1:16" ht="15" customHeight="1" x14ac:dyDescent="0.6">
      <c r="A45" s="7"/>
      <c r="B45" s="7"/>
      <c r="C45" s="7"/>
      <c r="D45" s="7"/>
      <c r="E45" s="7"/>
      <c r="F45" s="7"/>
      <c r="G45" s="7"/>
      <c r="H45" s="7"/>
      <c r="I45" s="7"/>
      <c r="J45" s="7"/>
      <c r="K45" s="7"/>
      <c r="L45" s="7"/>
      <c r="M45" s="7"/>
      <c r="N45" s="7"/>
      <c r="O45" s="7"/>
      <c r="P45" s="2"/>
    </row>
    <row r="46" spans="1:16" ht="13.5" customHeight="1" x14ac:dyDescent="0.6">
      <c r="A46" s="7" t="s">
        <v>40</v>
      </c>
      <c r="B46" s="266" t="s">
        <v>41</v>
      </c>
      <c r="C46" s="266" t="s">
        <v>41</v>
      </c>
      <c r="D46" s="266" t="s">
        <v>41</v>
      </c>
      <c r="E46" s="266" t="s">
        <v>41</v>
      </c>
      <c r="F46" s="266" t="s">
        <v>41</v>
      </c>
      <c r="G46" s="266" t="s">
        <v>41</v>
      </c>
      <c r="H46" s="266" t="s">
        <v>41</v>
      </c>
      <c r="I46" s="266" t="s">
        <v>41</v>
      </c>
      <c r="J46" s="266" t="s">
        <v>41</v>
      </c>
      <c r="K46" s="266" t="s">
        <v>41</v>
      </c>
      <c r="L46" s="266" t="s">
        <v>41</v>
      </c>
      <c r="M46" s="266" t="s">
        <v>41</v>
      </c>
      <c r="N46" s="266" t="s">
        <v>41</v>
      </c>
      <c r="O46" s="266" t="s">
        <v>41</v>
      </c>
      <c r="P46" s="2"/>
    </row>
    <row r="47" spans="1:16" ht="15" customHeight="1" x14ac:dyDescent="0.6">
      <c r="A47" s="10"/>
      <c r="B47" s="10"/>
      <c r="C47" s="10"/>
      <c r="D47" s="10"/>
      <c r="E47" s="10"/>
      <c r="F47" s="10"/>
      <c r="G47" s="10"/>
      <c r="H47" s="10"/>
      <c r="I47" s="10"/>
      <c r="J47" s="10"/>
      <c r="K47" s="10"/>
      <c r="L47" s="10"/>
      <c r="M47" s="10"/>
      <c r="N47" s="10"/>
      <c r="O47" s="10"/>
      <c r="P47" s="2"/>
    </row>
    <row r="48" spans="1:16" ht="15" customHeight="1" x14ac:dyDescent="0.6">
      <c r="A48" s="1"/>
      <c r="B48" s="1"/>
      <c r="C48" s="1"/>
      <c r="D48" s="1"/>
      <c r="E48" s="1"/>
      <c r="F48" s="1"/>
      <c r="G48" s="1"/>
      <c r="H48" s="1"/>
      <c r="I48" s="1"/>
      <c r="J48" s="1"/>
      <c r="K48" s="1"/>
      <c r="L48" s="1"/>
      <c r="M48" s="1"/>
      <c r="N48" s="1"/>
      <c r="O48" s="1"/>
      <c r="P48" s="2"/>
    </row>
    <row r="49" spans="1:16" ht="15.75" customHeight="1" x14ac:dyDescent="0.6">
      <c r="A49" s="268" t="s">
        <v>42</v>
      </c>
      <c r="B49" s="268"/>
      <c r="C49" s="268"/>
      <c r="D49" s="268"/>
      <c r="E49" s="268"/>
      <c r="F49" s="268"/>
      <c r="G49" s="268"/>
      <c r="H49" s="268"/>
      <c r="I49" s="268"/>
      <c r="J49" s="268"/>
      <c r="K49" s="268"/>
      <c r="L49" s="268"/>
      <c r="M49" s="268"/>
      <c r="N49" s="268"/>
      <c r="O49" s="268"/>
      <c r="P49" s="3"/>
    </row>
    <row r="50" spans="1:16" ht="28.5" customHeight="1" x14ac:dyDescent="0.6">
      <c r="A50" s="6" t="s">
        <v>43</v>
      </c>
      <c r="B50" s="270" t="s">
        <v>44</v>
      </c>
      <c r="C50" s="270"/>
      <c r="D50" s="270"/>
      <c r="E50" s="270"/>
      <c r="F50" s="270"/>
      <c r="G50" s="270"/>
      <c r="H50" s="270"/>
      <c r="I50" s="270"/>
      <c r="J50" s="270"/>
      <c r="K50" s="270"/>
      <c r="L50" s="270"/>
      <c r="M50" s="270"/>
      <c r="N50" s="270"/>
      <c r="O50" s="270"/>
      <c r="P50" s="2"/>
    </row>
    <row r="51" spans="1:16" ht="18" customHeight="1" x14ac:dyDescent="0.6">
      <c r="A51" s="7" t="s">
        <v>45</v>
      </c>
      <c r="B51" s="266" t="s">
        <v>46</v>
      </c>
      <c r="C51" s="266"/>
      <c r="D51" s="266"/>
      <c r="E51" s="266"/>
      <c r="F51" s="266"/>
      <c r="G51" s="266"/>
      <c r="H51" s="266"/>
      <c r="I51" s="266"/>
      <c r="J51" s="266"/>
      <c r="K51" s="266"/>
      <c r="L51" s="266"/>
      <c r="M51" s="266"/>
      <c r="N51" s="266"/>
      <c r="O51" s="266"/>
      <c r="P51" s="2"/>
    </row>
    <row r="52" spans="1:16" ht="15" customHeight="1" x14ac:dyDescent="0.6">
      <c r="A52" s="7"/>
      <c r="B52" s="7"/>
      <c r="C52" s="7"/>
      <c r="D52" s="7"/>
      <c r="E52" s="7"/>
      <c r="F52" s="7"/>
      <c r="G52" s="7"/>
      <c r="H52" s="7"/>
      <c r="I52" s="7"/>
      <c r="J52" s="7"/>
      <c r="K52" s="7"/>
      <c r="L52" s="7"/>
      <c r="M52" s="7"/>
      <c r="N52" s="10"/>
      <c r="O52" s="10"/>
      <c r="P52" s="2"/>
    </row>
    <row r="53" spans="1:16" ht="13.5" customHeight="1" x14ac:dyDescent="0.6">
      <c r="A53" s="269" t="s">
        <v>47</v>
      </c>
      <c r="B53" s="269"/>
      <c r="C53" s="269"/>
      <c r="D53" s="269"/>
      <c r="E53" s="269"/>
      <c r="F53" s="269"/>
      <c r="G53" s="269"/>
      <c r="H53" s="269"/>
      <c r="I53" s="269"/>
      <c r="J53" s="269"/>
      <c r="K53" s="269"/>
      <c r="L53" s="269"/>
      <c r="M53" s="269"/>
      <c r="N53" s="269"/>
      <c r="O53" s="269"/>
      <c r="P53" s="2"/>
    </row>
    <row r="54" spans="1:16" ht="15" customHeight="1" x14ac:dyDescent="0.6">
      <c r="A54" s="7"/>
      <c r="B54" s="7"/>
      <c r="C54" s="7"/>
      <c r="D54" s="7"/>
      <c r="E54" s="7"/>
      <c r="F54" s="7"/>
      <c r="G54" s="7"/>
      <c r="H54" s="7"/>
      <c r="I54" s="7"/>
      <c r="J54" s="7"/>
      <c r="K54" s="7"/>
      <c r="L54" s="7"/>
      <c r="M54" s="7"/>
      <c r="N54" s="10"/>
      <c r="O54" s="10"/>
      <c r="P54" s="2"/>
    </row>
    <row r="55" spans="1:16" ht="16.5" customHeight="1" x14ac:dyDescent="0.6">
      <c r="A55" s="7" t="s">
        <v>48</v>
      </c>
      <c r="B55" s="266" t="s">
        <v>49</v>
      </c>
      <c r="C55" s="266" t="s">
        <v>50</v>
      </c>
      <c r="D55" s="266" t="s">
        <v>50</v>
      </c>
      <c r="E55" s="266" t="s">
        <v>50</v>
      </c>
      <c r="F55" s="266" t="s">
        <v>50</v>
      </c>
      <c r="G55" s="266" t="s">
        <v>50</v>
      </c>
      <c r="H55" s="266" t="s">
        <v>50</v>
      </c>
      <c r="I55" s="266" t="s">
        <v>50</v>
      </c>
      <c r="J55" s="266" t="s">
        <v>50</v>
      </c>
      <c r="K55" s="266" t="s">
        <v>50</v>
      </c>
      <c r="L55" s="266" t="s">
        <v>50</v>
      </c>
      <c r="M55" s="266" t="s">
        <v>50</v>
      </c>
      <c r="N55" s="266" t="s">
        <v>50</v>
      </c>
      <c r="O55" s="266" t="s">
        <v>50</v>
      </c>
      <c r="P55" s="2"/>
    </row>
    <row r="56" spans="1:16" ht="16.5" customHeight="1" x14ac:dyDescent="0.6">
      <c r="A56" s="7" t="s">
        <v>51</v>
      </c>
      <c r="B56" s="266" t="s">
        <v>52</v>
      </c>
      <c r="C56" s="266" t="s">
        <v>53</v>
      </c>
      <c r="D56" s="266" t="s">
        <v>53</v>
      </c>
      <c r="E56" s="266" t="s">
        <v>53</v>
      </c>
      <c r="F56" s="266" t="s">
        <v>53</v>
      </c>
      <c r="G56" s="266" t="s">
        <v>53</v>
      </c>
      <c r="H56" s="266" t="s">
        <v>53</v>
      </c>
      <c r="I56" s="266" t="s">
        <v>53</v>
      </c>
      <c r="J56" s="266" t="s">
        <v>53</v>
      </c>
      <c r="K56" s="266" t="s">
        <v>53</v>
      </c>
      <c r="L56" s="266" t="s">
        <v>53</v>
      </c>
      <c r="M56" s="266" t="s">
        <v>53</v>
      </c>
      <c r="N56" s="266" t="s">
        <v>53</v>
      </c>
      <c r="O56" s="266" t="s">
        <v>53</v>
      </c>
      <c r="P56" s="2"/>
    </row>
    <row r="57" spans="1:16" ht="15" customHeight="1" x14ac:dyDescent="0.6">
      <c r="A57" s="10"/>
      <c r="B57" s="10"/>
      <c r="C57" s="10"/>
      <c r="D57" s="10"/>
      <c r="E57" s="10"/>
      <c r="F57" s="10"/>
      <c r="G57" s="10"/>
      <c r="H57" s="10"/>
      <c r="I57" s="10"/>
      <c r="J57" s="10"/>
      <c r="K57" s="10"/>
      <c r="L57" s="10"/>
      <c r="M57" s="10"/>
      <c r="N57" s="10"/>
      <c r="O57" s="10"/>
      <c r="P57" s="2"/>
    </row>
    <row r="58" spans="1:16" ht="15" customHeight="1" x14ac:dyDescent="0.6">
      <c r="A58" s="1"/>
      <c r="B58" s="1"/>
      <c r="C58" s="1"/>
      <c r="D58" s="1"/>
      <c r="E58" s="1"/>
      <c r="F58" s="1"/>
      <c r="G58" s="1"/>
      <c r="H58" s="1"/>
      <c r="I58" s="1"/>
      <c r="J58" s="1"/>
      <c r="K58" s="1"/>
      <c r="L58" s="1"/>
      <c r="M58" s="1"/>
      <c r="N58" s="1"/>
      <c r="O58" s="1"/>
      <c r="P58" s="2"/>
    </row>
    <row r="59" spans="1:16" ht="15.75" customHeight="1" x14ac:dyDescent="0.6">
      <c r="A59" s="268" t="s">
        <v>54</v>
      </c>
      <c r="B59" s="268"/>
      <c r="C59" s="268"/>
      <c r="D59" s="268"/>
      <c r="E59" s="268"/>
      <c r="F59" s="268"/>
      <c r="G59" s="268"/>
      <c r="H59" s="268"/>
      <c r="I59" s="268"/>
      <c r="J59" s="268"/>
      <c r="K59" s="268"/>
      <c r="L59" s="268"/>
      <c r="M59" s="268"/>
      <c r="N59" s="268"/>
      <c r="O59" s="268"/>
      <c r="P59" s="3"/>
    </row>
    <row r="60" spans="1:16" ht="18.75" customHeight="1" x14ac:dyDescent="0.6">
      <c r="A60" s="6" t="s">
        <v>55</v>
      </c>
      <c r="B60" s="6" t="s">
        <v>56</v>
      </c>
      <c r="C60" s="267" t="s">
        <v>57</v>
      </c>
      <c r="D60" s="267"/>
      <c r="E60" s="267"/>
      <c r="F60" s="267"/>
      <c r="G60" s="267"/>
      <c r="H60" s="11"/>
      <c r="I60" s="11"/>
      <c r="J60" s="11"/>
      <c r="K60" s="11"/>
      <c r="L60" s="11"/>
      <c r="M60" s="11"/>
      <c r="N60" s="11"/>
      <c r="O60" s="11"/>
      <c r="P60" s="2"/>
    </row>
    <row r="61" spans="1:16" ht="18.75" customHeight="1" x14ac:dyDescent="0.6">
      <c r="A61" s="7" t="s">
        <v>58</v>
      </c>
      <c r="B61" s="7" t="s">
        <v>59</v>
      </c>
      <c r="C61" s="265" t="s">
        <v>57</v>
      </c>
      <c r="D61" s="265"/>
      <c r="E61" s="265"/>
      <c r="F61" s="265"/>
      <c r="G61" s="265"/>
      <c r="H61" s="10"/>
      <c r="I61" s="10"/>
      <c r="J61" s="10"/>
      <c r="K61" s="10"/>
      <c r="L61" s="10"/>
      <c r="M61" s="10"/>
      <c r="N61" s="10"/>
      <c r="O61" s="10"/>
      <c r="P61" s="2"/>
    </row>
    <row r="62" spans="1:16" ht="15" customHeight="1" x14ac:dyDescent="0.6">
      <c r="A62" s="10"/>
      <c r="B62" s="10"/>
      <c r="C62" s="10"/>
      <c r="D62" s="10"/>
      <c r="E62" s="10"/>
      <c r="F62" s="10"/>
      <c r="G62" s="10"/>
      <c r="H62" s="10"/>
      <c r="I62" s="10"/>
      <c r="J62" s="10"/>
      <c r="K62" s="10"/>
      <c r="L62" s="10"/>
      <c r="M62" s="10"/>
      <c r="N62" s="10"/>
      <c r="O62" s="10"/>
      <c r="P62" s="2"/>
    </row>
  </sheetData>
  <mergeCells count="30">
    <mergeCell ref="A2:O2"/>
    <mergeCell ref="B46:O46"/>
    <mergeCell ref="B42:L42"/>
    <mergeCell ref="B26:N26"/>
    <mergeCell ref="B5:K5"/>
    <mergeCell ref="B14:O14"/>
    <mergeCell ref="B41:O41"/>
    <mergeCell ref="B37:L37"/>
    <mergeCell ref="B19:O19"/>
    <mergeCell ref="B13:L13"/>
    <mergeCell ref="B10:K10"/>
    <mergeCell ref="B31:O31"/>
    <mergeCell ref="B30:J30"/>
    <mergeCell ref="B18:L18"/>
    <mergeCell ref="C61:G61"/>
    <mergeCell ref="B36:O36"/>
    <mergeCell ref="B27:O27"/>
    <mergeCell ref="C60:G60"/>
    <mergeCell ref="B6:M6"/>
    <mergeCell ref="A22:O22"/>
    <mergeCell ref="B12:O12"/>
    <mergeCell ref="A49:O49"/>
    <mergeCell ref="B17:O17"/>
    <mergeCell ref="A59:O59"/>
    <mergeCell ref="B56:O56"/>
    <mergeCell ref="B38:O38"/>
    <mergeCell ref="A53:O53"/>
    <mergeCell ref="B55:O55"/>
    <mergeCell ref="B51:O51"/>
    <mergeCell ref="B50:O50"/>
  </mergeCells>
  <pageMargins left="0.39" right="0.39" top="0.39" bottom="0.39" header="0.39" footer="0.39"/>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133"/>
  <sheetViews>
    <sheetView showGridLines="0" topLeftCell="A43" zoomScale="114" workbookViewId="0">
      <selection activeCell="A66" sqref="A66"/>
    </sheetView>
  </sheetViews>
  <sheetFormatPr defaultColWidth="10.1328125" defaultRowHeight="14.45" customHeight="1" x14ac:dyDescent="0.6"/>
  <cols>
    <col min="1" max="1" width="83.54296875" customWidth="1"/>
    <col min="2" max="2" width="24.54296875" customWidth="1"/>
  </cols>
  <sheetData>
    <row r="1" spans="1:2" ht="14.25" customHeight="1" x14ac:dyDescent="0.6">
      <c r="A1" s="12"/>
      <c r="B1" s="13"/>
    </row>
    <row r="2" spans="1:2" ht="14.25" customHeight="1" x14ac:dyDescent="0.6">
      <c r="A2" s="12"/>
      <c r="B2" s="13"/>
    </row>
    <row r="3" spans="1:2" ht="23.25" customHeight="1" x14ac:dyDescent="0.6">
      <c r="A3" s="14" t="s">
        <v>60</v>
      </c>
      <c r="B3" s="13"/>
    </row>
    <row r="4" spans="1:2" ht="14.25" customHeight="1" x14ac:dyDescent="0.6">
      <c r="A4" s="12"/>
      <c r="B4" s="13"/>
    </row>
    <row r="5" spans="1:2" ht="10.5" customHeight="1" x14ac:dyDescent="0.6">
      <c r="A5" s="15" t="s">
        <v>61</v>
      </c>
      <c r="B5" s="16"/>
    </row>
    <row r="6" spans="1:2" ht="10.5" customHeight="1" x14ac:dyDescent="0.6">
      <c r="A6" s="12"/>
      <c r="B6" s="13"/>
    </row>
    <row r="7" spans="1:2" ht="10.5" customHeight="1" x14ac:dyDescent="0.6">
      <c r="A7" s="12" t="s">
        <v>62</v>
      </c>
      <c r="B7" s="13"/>
    </row>
    <row r="8" spans="1:2" ht="10.5" customHeight="1" x14ac:dyDescent="0.6">
      <c r="A8" s="12"/>
      <c r="B8" s="13"/>
    </row>
    <row r="9" spans="1:2" ht="10.5" customHeight="1" x14ac:dyDescent="0.6">
      <c r="A9" s="12" t="s">
        <v>63</v>
      </c>
      <c r="B9" s="13"/>
    </row>
    <row r="10" spans="1:2" ht="10.5" customHeight="1" x14ac:dyDescent="0.6">
      <c r="A10" s="12"/>
      <c r="B10" s="13"/>
    </row>
    <row r="11" spans="1:2" ht="10.5" customHeight="1" x14ac:dyDescent="0.6">
      <c r="A11" s="12" t="s">
        <v>64</v>
      </c>
      <c r="B11" s="13"/>
    </row>
    <row r="12" spans="1:2" ht="14.25" customHeight="1" x14ac:dyDescent="0.6">
      <c r="A12" s="12"/>
      <c r="B12" s="13"/>
    </row>
    <row r="13" spans="1:2" ht="57.75" customHeight="1" x14ac:dyDescent="0.6">
      <c r="A13" s="12" t="s">
        <v>65</v>
      </c>
      <c r="B13" s="13"/>
    </row>
    <row r="14" spans="1:2" ht="7.5" customHeight="1" x14ac:dyDescent="0.6">
      <c r="A14" s="12"/>
      <c r="B14" s="13"/>
    </row>
    <row r="15" spans="1:2" ht="57.75" customHeight="1" x14ac:dyDescent="0.6">
      <c r="A15" s="12" t="s">
        <v>66</v>
      </c>
      <c r="B15" s="13"/>
    </row>
    <row r="16" spans="1:2" ht="9.75" customHeight="1" x14ac:dyDescent="0.6">
      <c r="A16" s="12"/>
      <c r="B16" s="13"/>
    </row>
    <row r="17" spans="1:2" ht="48" customHeight="1" x14ac:dyDescent="0.6">
      <c r="A17" s="12" t="s">
        <v>67</v>
      </c>
      <c r="B17" s="13"/>
    </row>
    <row r="18" spans="1:2" ht="8.25" customHeight="1" x14ac:dyDescent="0.6">
      <c r="A18" s="12"/>
      <c r="B18" s="13"/>
    </row>
    <row r="19" spans="1:2" ht="73.5" customHeight="1" x14ac:dyDescent="0.6">
      <c r="A19" s="12" t="s">
        <v>68</v>
      </c>
      <c r="B19" s="13"/>
    </row>
    <row r="20" spans="1:2" ht="11.25" customHeight="1" x14ac:dyDescent="0.6">
      <c r="A20" s="12"/>
      <c r="B20" s="13"/>
    </row>
    <row r="21" spans="1:2" ht="12" customHeight="1" x14ac:dyDescent="0.6">
      <c r="A21" s="15" t="s">
        <v>69</v>
      </c>
      <c r="B21" s="13"/>
    </row>
    <row r="22" spans="1:2" ht="6" customHeight="1" x14ac:dyDescent="0.6">
      <c r="A22" s="12"/>
      <c r="B22" s="13"/>
    </row>
    <row r="23" spans="1:2" ht="67.5" customHeight="1" x14ac:dyDescent="0.6">
      <c r="A23" s="12" t="s">
        <v>70</v>
      </c>
      <c r="B23" s="13"/>
    </row>
    <row r="24" spans="1:2" ht="14.25" customHeight="1" x14ac:dyDescent="0.6">
      <c r="A24" s="12"/>
      <c r="B24" s="13"/>
    </row>
    <row r="25" spans="1:2" ht="21.75" customHeight="1" x14ac:dyDescent="0.6">
      <c r="A25" s="12" t="s">
        <v>71</v>
      </c>
      <c r="B25" s="13"/>
    </row>
    <row r="26" spans="1:2" ht="14.25" customHeight="1" x14ac:dyDescent="0.6">
      <c r="A26" s="12" t="s">
        <v>72</v>
      </c>
      <c r="B26" s="13"/>
    </row>
    <row r="27" spans="1:2" ht="12" customHeight="1" x14ac:dyDescent="0.6">
      <c r="A27" s="12" t="s">
        <v>73</v>
      </c>
      <c r="B27" s="13"/>
    </row>
    <row r="28" spans="1:2" ht="12" customHeight="1" x14ac:dyDescent="0.6">
      <c r="A28" s="12" t="s">
        <v>74</v>
      </c>
      <c r="B28" s="13"/>
    </row>
    <row r="29" spans="1:2" ht="9" customHeight="1" x14ac:dyDescent="0.6">
      <c r="A29" s="12" t="s">
        <v>75</v>
      </c>
      <c r="B29" s="13"/>
    </row>
    <row r="30" spans="1:2" ht="9" customHeight="1" x14ac:dyDescent="0.6">
      <c r="A30" s="12"/>
      <c r="B30" s="13"/>
    </row>
    <row r="31" spans="1:2" ht="9" customHeight="1" x14ac:dyDescent="0.6">
      <c r="A31" s="12" t="s">
        <v>76</v>
      </c>
      <c r="B31" s="13"/>
    </row>
    <row r="32" spans="1:2" ht="9" customHeight="1" x14ac:dyDescent="0.6">
      <c r="A32" s="12"/>
      <c r="B32" s="13"/>
    </row>
    <row r="33" spans="1:2" ht="9" customHeight="1" x14ac:dyDescent="0.6">
      <c r="A33" s="12" t="s">
        <v>77</v>
      </c>
      <c r="B33" s="13"/>
    </row>
    <row r="34" spans="1:2" ht="9" customHeight="1" x14ac:dyDescent="0.6">
      <c r="A34" s="12"/>
      <c r="B34" s="13"/>
    </row>
    <row r="35" spans="1:2" ht="9" customHeight="1" x14ac:dyDescent="0.6">
      <c r="A35" s="12" t="s">
        <v>78</v>
      </c>
      <c r="B35" s="13"/>
    </row>
    <row r="36" spans="1:2" ht="9" customHeight="1" x14ac:dyDescent="0.6">
      <c r="A36" s="12"/>
      <c r="B36" s="13"/>
    </row>
    <row r="37" spans="1:2" ht="9" customHeight="1" x14ac:dyDescent="0.6">
      <c r="A37" s="12" t="s">
        <v>79</v>
      </c>
      <c r="B37" s="13"/>
    </row>
    <row r="38" spans="1:2" ht="9" customHeight="1" x14ac:dyDescent="0.6">
      <c r="A38" s="12"/>
      <c r="B38" s="13"/>
    </row>
    <row r="39" spans="1:2" ht="9" customHeight="1" x14ac:dyDescent="0.6">
      <c r="A39" s="12" t="s">
        <v>80</v>
      </c>
      <c r="B39" s="13"/>
    </row>
    <row r="40" spans="1:2" ht="9" customHeight="1" x14ac:dyDescent="0.6">
      <c r="A40" s="12"/>
      <c r="B40" s="13"/>
    </row>
    <row r="41" spans="1:2" ht="9" customHeight="1" x14ac:dyDescent="0.6">
      <c r="A41" s="12" t="s">
        <v>81</v>
      </c>
      <c r="B41" s="13"/>
    </row>
    <row r="42" spans="1:2" ht="14.25" customHeight="1" x14ac:dyDescent="0.6">
      <c r="A42" s="12"/>
      <c r="B42" s="13"/>
    </row>
    <row r="43" spans="1:2" ht="21.75" customHeight="1" x14ac:dyDescent="0.6">
      <c r="A43" s="12" t="s">
        <v>82</v>
      </c>
      <c r="B43" s="13"/>
    </row>
    <row r="44" spans="1:2" ht="14.25" customHeight="1" x14ac:dyDescent="0.6">
      <c r="A44" s="12"/>
      <c r="B44" s="13"/>
    </row>
    <row r="45" spans="1:2" ht="49.5" customHeight="1" x14ac:dyDescent="0.6">
      <c r="A45" s="12" t="s">
        <v>83</v>
      </c>
      <c r="B45" s="13"/>
    </row>
    <row r="46" spans="1:2" ht="21" customHeight="1" x14ac:dyDescent="0.6">
      <c r="A46" s="12"/>
      <c r="B46" s="13"/>
    </row>
    <row r="47" spans="1:2" ht="57" customHeight="1" x14ac:dyDescent="0.6">
      <c r="A47" s="12" t="s">
        <v>84</v>
      </c>
      <c r="B47" s="13"/>
    </row>
    <row r="48" spans="1:2" ht="14.25" customHeight="1" x14ac:dyDescent="0.6">
      <c r="A48" s="12"/>
      <c r="B48" s="13"/>
    </row>
    <row r="49" spans="1:2" ht="12" customHeight="1" x14ac:dyDescent="0.6">
      <c r="A49" s="12" t="s">
        <v>85</v>
      </c>
      <c r="B49" s="13"/>
    </row>
    <row r="50" spans="1:2" ht="14.25" customHeight="1" x14ac:dyDescent="0.6">
      <c r="A50" s="12" t="s">
        <v>86</v>
      </c>
      <c r="B50" s="13"/>
    </row>
    <row r="51" spans="1:2" ht="12" customHeight="1" x14ac:dyDescent="0.6">
      <c r="A51" s="12" t="s">
        <v>87</v>
      </c>
      <c r="B51" s="13"/>
    </row>
    <row r="52" spans="1:2" ht="14.25" customHeight="1" x14ac:dyDescent="0.6">
      <c r="A52" s="12" t="s">
        <v>74</v>
      </c>
      <c r="B52" s="13"/>
    </row>
    <row r="53" spans="1:2" ht="9.75" customHeight="1" x14ac:dyDescent="0.6">
      <c r="A53" s="12" t="s">
        <v>75</v>
      </c>
      <c r="B53" s="13"/>
    </row>
    <row r="54" spans="1:2" ht="9.75" customHeight="1" x14ac:dyDescent="0.6">
      <c r="A54" s="12"/>
      <c r="B54" s="13"/>
    </row>
    <row r="55" spans="1:2" ht="9.75" customHeight="1" x14ac:dyDescent="0.6">
      <c r="A55" s="12" t="s">
        <v>76</v>
      </c>
      <c r="B55" s="13"/>
    </row>
    <row r="56" spans="1:2" ht="9.75" customHeight="1" x14ac:dyDescent="0.6">
      <c r="A56" s="12"/>
      <c r="B56" s="13"/>
    </row>
    <row r="57" spans="1:2" ht="9.75" customHeight="1" x14ac:dyDescent="0.6">
      <c r="A57" s="12" t="s">
        <v>88</v>
      </c>
      <c r="B57" s="13"/>
    </row>
    <row r="58" spans="1:2" ht="9.75" customHeight="1" x14ac:dyDescent="0.6">
      <c r="A58" s="12"/>
      <c r="B58" s="13"/>
    </row>
    <row r="59" spans="1:2" ht="9.75" customHeight="1" x14ac:dyDescent="0.6">
      <c r="A59" s="12" t="s">
        <v>89</v>
      </c>
      <c r="B59" s="13"/>
    </row>
    <row r="60" spans="1:2" ht="9.75" customHeight="1" x14ac:dyDescent="0.6">
      <c r="A60" s="12"/>
      <c r="B60" s="13"/>
    </row>
    <row r="61" spans="1:2" ht="9.75" customHeight="1" x14ac:dyDescent="0.6">
      <c r="A61" s="12" t="s">
        <v>90</v>
      </c>
      <c r="B61" s="13"/>
    </row>
    <row r="62" spans="1:2" ht="9.75" customHeight="1" x14ac:dyDescent="0.6">
      <c r="A62" s="12"/>
      <c r="B62" s="13"/>
    </row>
    <row r="63" spans="1:2" ht="9.75" customHeight="1" x14ac:dyDescent="0.6">
      <c r="A63" s="12" t="s">
        <v>91</v>
      </c>
      <c r="B63" s="13"/>
    </row>
    <row r="64" spans="1:2" ht="9.75" customHeight="1" x14ac:dyDescent="0.6">
      <c r="A64" s="12"/>
      <c r="B64" s="13"/>
    </row>
    <row r="65" spans="1:2" ht="9.75" customHeight="1" x14ac:dyDescent="0.6">
      <c r="A65" s="12" t="s">
        <v>92</v>
      </c>
      <c r="B65" s="13"/>
    </row>
    <row r="66" spans="1:2" ht="9.75" customHeight="1" x14ac:dyDescent="0.6">
      <c r="A66" s="12"/>
      <c r="B66" s="13"/>
    </row>
    <row r="67" spans="1:2" ht="9.75" customHeight="1" x14ac:dyDescent="0.6">
      <c r="A67" s="12" t="s">
        <v>93</v>
      </c>
      <c r="B67" s="13"/>
    </row>
    <row r="68" spans="1:2" ht="14.25" customHeight="1" x14ac:dyDescent="0.6">
      <c r="A68" s="12"/>
      <c r="B68" s="13"/>
    </row>
    <row r="69" spans="1:2" ht="14.25" customHeight="1" x14ac:dyDescent="0.6">
      <c r="A69" s="12" t="s">
        <v>94</v>
      </c>
      <c r="B69" s="13"/>
    </row>
    <row r="70" spans="1:2" ht="14.25" customHeight="1" x14ac:dyDescent="0.6">
      <c r="A70" s="12"/>
      <c r="B70" s="13"/>
    </row>
    <row r="71" spans="1:2" ht="9" customHeight="1" x14ac:dyDescent="0.6">
      <c r="A71" s="12" t="s">
        <v>75</v>
      </c>
      <c r="B71" s="13"/>
    </row>
    <row r="72" spans="1:2" ht="9" customHeight="1" x14ac:dyDescent="0.6">
      <c r="A72" s="12"/>
      <c r="B72" s="13"/>
    </row>
    <row r="73" spans="1:2" ht="9" customHeight="1" x14ac:dyDescent="0.6">
      <c r="A73" s="12" t="s">
        <v>95</v>
      </c>
      <c r="B73" s="13"/>
    </row>
    <row r="74" spans="1:2" ht="9" customHeight="1" x14ac:dyDescent="0.6">
      <c r="A74" s="12"/>
      <c r="B74" s="13"/>
    </row>
    <row r="75" spans="1:2" ht="9" customHeight="1" x14ac:dyDescent="0.6">
      <c r="A75" s="12" t="s">
        <v>96</v>
      </c>
      <c r="B75" s="13"/>
    </row>
    <row r="76" spans="1:2" ht="9" customHeight="1" x14ac:dyDescent="0.6">
      <c r="A76" s="12"/>
      <c r="B76" s="13"/>
    </row>
    <row r="77" spans="1:2" ht="9" customHeight="1" x14ac:dyDescent="0.6">
      <c r="A77" s="12" t="s">
        <v>97</v>
      </c>
      <c r="B77" s="13"/>
    </row>
    <row r="78" spans="1:2" ht="9" customHeight="1" x14ac:dyDescent="0.6">
      <c r="A78" s="12"/>
      <c r="B78" s="13"/>
    </row>
    <row r="79" spans="1:2" ht="9" customHeight="1" x14ac:dyDescent="0.6">
      <c r="A79" s="12" t="s">
        <v>98</v>
      </c>
      <c r="B79" s="13"/>
    </row>
    <row r="80" spans="1:2" ht="9" customHeight="1" x14ac:dyDescent="0.6">
      <c r="A80" s="12"/>
      <c r="B80" s="13"/>
    </row>
    <row r="81" spans="1:2" ht="9" customHeight="1" x14ac:dyDescent="0.6">
      <c r="A81" s="12" t="s">
        <v>99</v>
      </c>
      <c r="B81" s="13"/>
    </row>
    <row r="82" spans="1:2" ht="9" customHeight="1" x14ac:dyDescent="0.6">
      <c r="A82" s="12"/>
      <c r="B82" s="13"/>
    </row>
    <row r="83" spans="1:2" ht="9" customHeight="1" x14ac:dyDescent="0.6">
      <c r="A83" s="12" t="s">
        <v>100</v>
      </c>
      <c r="B83" s="13"/>
    </row>
    <row r="84" spans="1:2" ht="14.25" customHeight="1" x14ac:dyDescent="0.6">
      <c r="A84" s="12"/>
      <c r="B84" s="13"/>
    </row>
    <row r="85" spans="1:2" ht="14.25" customHeight="1" x14ac:dyDescent="0.6">
      <c r="A85" s="12" t="s">
        <v>101</v>
      </c>
      <c r="B85" s="13"/>
    </row>
    <row r="86" spans="1:2" ht="14.25" customHeight="1" x14ac:dyDescent="0.6">
      <c r="A86" s="12"/>
      <c r="B86" s="13"/>
    </row>
    <row r="87" spans="1:2" ht="21.75" customHeight="1" x14ac:dyDescent="0.6">
      <c r="A87" s="12" t="s">
        <v>102</v>
      </c>
      <c r="B87" s="13"/>
    </row>
    <row r="88" spans="1:2" ht="14.25" customHeight="1" x14ac:dyDescent="0.6">
      <c r="A88" s="17" t="s">
        <v>103</v>
      </c>
      <c r="B88" s="18" t="s">
        <v>104</v>
      </c>
    </row>
    <row r="89" spans="1:2" ht="14.25" customHeight="1" x14ac:dyDescent="0.6">
      <c r="A89" s="19" t="s">
        <v>105</v>
      </c>
      <c r="B89" s="20" t="s">
        <v>106</v>
      </c>
    </row>
    <row r="90" spans="1:2" ht="14.25" customHeight="1" x14ac:dyDescent="0.6">
      <c r="A90" s="12" t="s">
        <v>107</v>
      </c>
      <c r="B90" s="13"/>
    </row>
    <row r="91" spans="1:2" ht="23.25" customHeight="1" x14ac:dyDescent="0.6">
      <c r="A91" s="12" t="s">
        <v>108</v>
      </c>
      <c r="B91" s="13"/>
    </row>
    <row r="92" spans="1:2" ht="15.75" customHeight="1" x14ac:dyDescent="0.6">
      <c r="A92" s="21" t="s">
        <v>109</v>
      </c>
      <c r="B92" s="13"/>
    </row>
    <row r="93" spans="1:2" ht="14.25" customHeight="1" x14ac:dyDescent="0.6">
      <c r="A93" s="12" t="s">
        <v>110</v>
      </c>
      <c r="B93" s="13" t="s">
        <v>111</v>
      </c>
    </row>
    <row r="94" spans="1:2" ht="14.25" customHeight="1" x14ac:dyDescent="0.6">
      <c r="A94" s="12" t="s">
        <v>112</v>
      </c>
      <c r="B94" s="13" t="s">
        <v>111</v>
      </c>
    </row>
    <row r="95" spans="1:2" ht="14.25" customHeight="1" x14ac:dyDescent="0.6">
      <c r="A95" s="12" t="s">
        <v>113</v>
      </c>
      <c r="B95" s="13"/>
    </row>
    <row r="96" spans="1:2" ht="14.25" customHeight="1" x14ac:dyDescent="0.6">
      <c r="A96" s="12" t="s">
        <v>110</v>
      </c>
      <c r="B96" s="13" t="s">
        <v>111</v>
      </c>
    </row>
    <row r="97" spans="1:2" ht="14.25" customHeight="1" x14ac:dyDescent="0.6">
      <c r="A97" s="12" t="s">
        <v>114</v>
      </c>
      <c r="B97" s="13"/>
    </row>
    <row r="98" spans="1:2" ht="14.25" customHeight="1" x14ac:dyDescent="0.6">
      <c r="A98" s="12" t="s">
        <v>115</v>
      </c>
      <c r="B98" s="13" t="s">
        <v>116</v>
      </c>
    </row>
    <row r="99" spans="1:2" ht="14.25" customHeight="1" x14ac:dyDescent="0.6">
      <c r="A99" s="12" t="s">
        <v>117</v>
      </c>
      <c r="B99" s="13" t="s">
        <v>118</v>
      </c>
    </row>
    <row r="100" spans="1:2" ht="14.25" customHeight="1" x14ac:dyDescent="0.6">
      <c r="A100" s="12" t="s">
        <v>119</v>
      </c>
      <c r="B100" s="13" t="s">
        <v>120</v>
      </c>
    </row>
    <row r="101" spans="1:2" ht="21.75" customHeight="1" x14ac:dyDescent="0.6">
      <c r="A101" s="22" t="s">
        <v>121</v>
      </c>
      <c r="B101" s="23"/>
    </row>
    <row r="102" spans="1:2" ht="14.25" customHeight="1" x14ac:dyDescent="0.6">
      <c r="A102" s="12" t="s">
        <v>122</v>
      </c>
      <c r="B102" s="13"/>
    </row>
    <row r="103" spans="1:2" ht="14.25" customHeight="1" x14ac:dyDescent="0.6">
      <c r="A103" s="12" t="s">
        <v>123</v>
      </c>
      <c r="B103" s="13"/>
    </row>
    <row r="104" spans="1:2" ht="14.25" customHeight="1" x14ac:dyDescent="0.6">
      <c r="A104" s="12" t="s">
        <v>124</v>
      </c>
      <c r="B104" s="13" t="s">
        <v>125</v>
      </c>
    </row>
    <row r="105" spans="1:2" ht="14.25" customHeight="1" x14ac:dyDescent="0.6">
      <c r="A105" s="12" t="s">
        <v>126</v>
      </c>
      <c r="B105" s="13" t="s">
        <v>127</v>
      </c>
    </row>
    <row r="106" spans="1:2" ht="14.25" customHeight="1" x14ac:dyDescent="0.6">
      <c r="A106" s="12" t="s">
        <v>128</v>
      </c>
      <c r="B106" s="13"/>
    </row>
    <row r="107" spans="1:2" ht="14.25" customHeight="1" x14ac:dyDescent="0.6">
      <c r="A107" s="12" t="s">
        <v>129</v>
      </c>
      <c r="B107" s="13" t="s">
        <v>130</v>
      </c>
    </row>
    <row r="108" spans="1:2" ht="14.25" customHeight="1" x14ac:dyDescent="0.6">
      <c r="A108" s="12" t="s">
        <v>131</v>
      </c>
      <c r="B108" s="13" t="s">
        <v>132</v>
      </c>
    </row>
    <row r="109" spans="1:2" ht="21.75" customHeight="1" x14ac:dyDescent="0.6">
      <c r="A109" s="22" t="s">
        <v>121</v>
      </c>
      <c r="B109" s="13"/>
    </row>
    <row r="110" spans="1:2" ht="14.25" customHeight="1" x14ac:dyDescent="0.6">
      <c r="A110" s="12" t="s">
        <v>113</v>
      </c>
      <c r="B110" s="13"/>
    </row>
    <row r="111" spans="1:2" ht="14.25" customHeight="1" x14ac:dyDescent="0.6">
      <c r="A111" s="12" t="s">
        <v>133</v>
      </c>
      <c r="B111" s="13"/>
    </row>
    <row r="112" spans="1:2" ht="14.25" customHeight="1" x14ac:dyDescent="0.6">
      <c r="A112" s="12" t="s">
        <v>134</v>
      </c>
      <c r="B112" s="13" t="s">
        <v>135</v>
      </c>
    </row>
    <row r="113" spans="1:2" ht="14.25" customHeight="1" x14ac:dyDescent="0.6">
      <c r="A113" s="12" t="s">
        <v>136</v>
      </c>
      <c r="B113" s="13" t="s">
        <v>137</v>
      </c>
    </row>
    <row r="114" spans="1:2" ht="14.25" customHeight="1" x14ac:dyDescent="0.6">
      <c r="A114" s="12" t="s">
        <v>138</v>
      </c>
      <c r="B114" s="13" t="s">
        <v>139</v>
      </c>
    </row>
    <row r="115" spans="1:2" ht="23.25" customHeight="1" x14ac:dyDescent="0.6">
      <c r="A115" s="22" t="s">
        <v>140</v>
      </c>
      <c r="B115" s="13"/>
    </row>
    <row r="116" spans="1:2" ht="14.25" customHeight="1" x14ac:dyDescent="0.6">
      <c r="A116" s="12" t="s">
        <v>141</v>
      </c>
      <c r="B116" s="13"/>
    </row>
    <row r="117" spans="1:2" ht="14.25" customHeight="1" x14ac:dyDescent="0.6">
      <c r="A117" s="12" t="s">
        <v>142</v>
      </c>
      <c r="B117" s="13" t="s">
        <v>143</v>
      </c>
    </row>
    <row r="118" spans="1:2" ht="14.25" customHeight="1" x14ac:dyDescent="0.6">
      <c r="A118" s="12" t="s">
        <v>144</v>
      </c>
      <c r="B118" s="13"/>
    </row>
    <row r="119" spans="1:2" ht="14.25" customHeight="1" x14ac:dyDescent="0.6">
      <c r="A119" s="12" t="s">
        <v>145</v>
      </c>
      <c r="B119" s="13"/>
    </row>
    <row r="120" spans="1:2" ht="14.25" customHeight="1" x14ac:dyDescent="0.6">
      <c r="A120" s="12" t="s">
        <v>146</v>
      </c>
      <c r="B120" s="13" t="s">
        <v>147</v>
      </c>
    </row>
    <row r="121" spans="1:2" ht="14.25" customHeight="1" x14ac:dyDescent="0.6">
      <c r="A121" s="12" t="s">
        <v>148</v>
      </c>
      <c r="B121" s="13" t="s">
        <v>149</v>
      </c>
    </row>
    <row r="122" spans="1:2" ht="14.25" customHeight="1" x14ac:dyDescent="0.6">
      <c r="A122" s="22" t="s">
        <v>140</v>
      </c>
      <c r="B122" s="13"/>
    </row>
    <row r="123" spans="1:2" ht="14.25" customHeight="1" x14ac:dyDescent="0.6">
      <c r="A123" s="12" t="s">
        <v>150</v>
      </c>
      <c r="B123" s="13" t="s">
        <v>151</v>
      </c>
    </row>
    <row r="124" spans="1:2" ht="14.25" customHeight="1" x14ac:dyDescent="0.6">
      <c r="A124" s="22" t="s">
        <v>121</v>
      </c>
      <c r="B124" s="13"/>
    </row>
    <row r="125" spans="1:2" ht="14.25" customHeight="1" x14ac:dyDescent="0.6">
      <c r="A125" s="12" t="s">
        <v>152</v>
      </c>
      <c r="B125" s="13" t="s">
        <v>153</v>
      </c>
    </row>
    <row r="126" spans="1:2" ht="14.25" customHeight="1" x14ac:dyDescent="0.6">
      <c r="A126" s="12"/>
      <c r="B126" s="13"/>
    </row>
    <row r="127" spans="1:2" ht="21.75" customHeight="1" x14ac:dyDescent="0.6">
      <c r="A127" s="12" t="s">
        <v>154</v>
      </c>
      <c r="B127" s="13"/>
    </row>
    <row r="128" spans="1:2" ht="14.25" customHeight="1" x14ac:dyDescent="0.6">
      <c r="A128" s="12" t="s">
        <v>144</v>
      </c>
      <c r="B128" s="13"/>
    </row>
    <row r="129" spans="1:2" ht="14.25" customHeight="1" x14ac:dyDescent="0.6">
      <c r="A129" s="12" t="s">
        <v>155</v>
      </c>
      <c r="B129" s="13"/>
    </row>
    <row r="130" spans="1:2" ht="14.25" customHeight="1" x14ac:dyDescent="0.6">
      <c r="A130" s="12" t="s">
        <v>156</v>
      </c>
      <c r="B130" s="13" t="s">
        <v>157</v>
      </c>
    </row>
    <row r="131" spans="1:2" ht="12" customHeight="1" x14ac:dyDescent="0.6">
      <c r="A131" s="12" t="s">
        <v>158</v>
      </c>
      <c r="B131" s="13" t="s">
        <v>159</v>
      </c>
    </row>
    <row r="132" spans="1:2" ht="14.25" customHeight="1" x14ac:dyDescent="0.6">
      <c r="A132" s="2"/>
      <c r="B132" s="24"/>
    </row>
    <row r="133" spans="1:2" ht="14.25" customHeight="1" x14ac:dyDescent="0.6">
      <c r="A133" s="25"/>
      <c r="B133" s="24"/>
    </row>
  </sheetData>
  <pageMargins left="0.39" right="0.39" top="0.39" bottom="0.39" header="0.39" footer="0.39"/>
  <pageSetup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C40"/>
  <sheetViews>
    <sheetView workbookViewId="0">
      <selection activeCell="C45" sqref="C45"/>
    </sheetView>
  </sheetViews>
  <sheetFormatPr defaultColWidth="10.1328125" defaultRowHeight="14.45" customHeight="1" x14ac:dyDescent="0.6"/>
  <cols>
    <col min="1" max="1" width="2.40625" customWidth="1"/>
    <col min="2" max="2" width="28.40625" customWidth="1"/>
    <col min="3" max="3" width="106.54296875" customWidth="1"/>
  </cols>
  <sheetData>
    <row r="1" spans="1:3" ht="9.75" customHeight="1" x14ac:dyDescent="0.75">
      <c r="A1" s="26"/>
      <c r="B1" s="26"/>
      <c r="C1" s="26"/>
    </row>
    <row r="2" spans="1:3" ht="12" customHeight="1" x14ac:dyDescent="0.75">
      <c r="A2" s="26"/>
      <c r="B2" s="26"/>
      <c r="C2" s="26"/>
    </row>
    <row r="3" spans="1:3" ht="14.25" customHeight="1" x14ac:dyDescent="0.75">
      <c r="A3" s="26"/>
      <c r="B3" s="271" t="s">
        <v>160</v>
      </c>
      <c r="C3" s="271"/>
    </row>
    <row r="4" spans="1:3" ht="14.25" customHeight="1" x14ac:dyDescent="0.75">
      <c r="A4" s="26"/>
      <c r="B4" s="27"/>
      <c r="C4" s="27"/>
    </row>
    <row r="5" spans="1:3" ht="37.5" customHeight="1" x14ac:dyDescent="0.75">
      <c r="A5" s="26"/>
      <c r="B5" s="272" t="s">
        <v>161</v>
      </c>
      <c r="C5" s="272"/>
    </row>
    <row r="6" spans="1:3" ht="14.25" customHeight="1" x14ac:dyDescent="0.75">
      <c r="A6" s="26"/>
      <c r="B6" s="28"/>
      <c r="C6" s="28"/>
    </row>
    <row r="7" spans="1:3" ht="14.25" customHeight="1" x14ac:dyDescent="0.75">
      <c r="A7" s="26"/>
      <c r="B7" s="29" t="s">
        <v>162</v>
      </c>
      <c r="C7" s="29" t="s">
        <v>163</v>
      </c>
    </row>
    <row r="8" spans="1:3" ht="14.25" customHeight="1" x14ac:dyDescent="0.75">
      <c r="A8" s="30"/>
      <c r="B8" s="31" t="s">
        <v>164</v>
      </c>
      <c r="C8" s="31" t="s">
        <v>165</v>
      </c>
    </row>
    <row r="9" spans="1:3" ht="14.25" customHeight="1" x14ac:dyDescent="0.75">
      <c r="A9" s="30"/>
      <c r="B9" s="32" t="s">
        <v>166</v>
      </c>
      <c r="C9" s="32" t="s">
        <v>167</v>
      </c>
    </row>
    <row r="10" spans="1:3" ht="14.25" customHeight="1" x14ac:dyDescent="0.75">
      <c r="A10" s="30"/>
      <c r="B10" s="33" t="s">
        <v>168</v>
      </c>
      <c r="C10" s="33" t="s">
        <v>169</v>
      </c>
    </row>
    <row r="11" spans="1:3" ht="14.25" customHeight="1" x14ac:dyDescent="0.75">
      <c r="A11" s="30"/>
      <c r="B11" s="32" t="s">
        <v>170</v>
      </c>
      <c r="C11" s="32" t="s">
        <v>171</v>
      </c>
    </row>
    <row r="12" spans="1:3" ht="14.25" customHeight="1" x14ac:dyDescent="0.75">
      <c r="A12" s="30"/>
      <c r="B12" s="33" t="s">
        <v>172</v>
      </c>
      <c r="C12" s="33" t="s">
        <v>173</v>
      </c>
    </row>
    <row r="13" spans="1:3" ht="14.25" customHeight="1" x14ac:dyDescent="0.75">
      <c r="A13" s="30"/>
      <c r="B13" s="32" t="s">
        <v>174</v>
      </c>
      <c r="C13" s="32" t="s">
        <v>175</v>
      </c>
    </row>
    <row r="14" spans="1:3" ht="14.25" customHeight="1" x14ac:dyDescent="0.75">
      <c r="A14" s="30"/>
      <c r="B14" s="33" t="s">
        <v>176</v>
      </c>
      <c r="C14" s="33" t="s">
        <v>177</v>
      </c>
    </row>
    <row r="15" spans="1:3" ht="14.25" customHeight="1" x14ac:dyDescent="0.75">
      <c r="A15" s="30"/>
      <c r="B15" s="34" t="s">
        <v>178</v>
      </c>
      <c r="C15" s="34" t="s">
        <v>179</v>
      </c>
    </row>
    <row r="16" spans="1:3" ht="14.25" customHeight="1" x14ac:dyDescent="0.75">
      <c r="A16" s="30"/>
      <c r="B16" s="33" t="s">
        <v>180</v>
      </c>
      <c r="C16" s="33" t="s">
        <v>181</v>
      </c>
    </row>
    <row r="17" spans="1:3" ht="14.25" customHeight="1" x14ac:dyDescent="0.75">
      <c r="A17" s="30"/>
      <c r="B17" s="34" t="s">
        <v>182</v>
      </c>
      <c r="C17" s="34" t="s">
        <v>183</v>
      </c>
    </row>
    <row r="18" spans="1:3" ht="14.25" customHeight="1" x14ac:dyDescent="0.75">
      <c r="A18" s="30"/>
      <c r="B18" s="33" t="s">
        <v>184</v>
      </c>
      <c r="C18" s="33" t="s">
        <v>185</v>
      </c>
    </row>
    <row r="19" spans="1:3" ht="14.25" customHeight="1" x14ac:dyDescent="0.75">
      <c r="A19" s="30"/>
      <c r="B19" s="34" t="s">
        <v>186</v>
      </c>
      <c r="C19" s="34" t="s">
        <v>187</v>
      </c>
    </row>
    <row r="20" spans="1:3" ht="14.25" customHeight="1" x14ac:dyDescent="0.75">
      <c r="A20" s="30"/>
      <c r="B20" s="33" t="s">
        <v>188</v>
      </c>
      <c r="C20" s="33" t="s">
        <v>189</v>
      </c>
    </row>
    <row r="21" spans="1:3" ht="14.25" customHeight="1" x14ac:dyDescent="0.75">
      <c r="A21" s="30"/>
      <c r="B21" s="34" t="s">
        <v>190</v>
      </c>
      <c r="C21" s="34" t="s">
        <v>191</v>
      </c>
    </row>
    <row r="22" spans="1:3" ht="14.25" customHeight="1" x14ac:dyDescent="0.75">
      <c r="A22" s="30"/>
      <c r="B22" s="33" t="s">
        <v>192</v>
      </c>
      <c r="C22" s="33" t="s">
        <v>193</v>
      </c>
    </row>
    <row r="23" spans="1:3" ht="14.25" customHeight="1" x14ac:dyDescent="0.75">
      <c r="A23" s="30"/>
      <c r="B23" s="34" t="s">
        <v>194</v>
      </c>
      <c r="C23" s="34" t="s">
        <v>195</v>
      </c>
    </row>
    <row r="24" spans="1:3" ht="14.25" customHeight="1" x14ac:dyDescent="0.75">
      <c r="A24" s="30"/>
      <c r="B24" s="33" t="s">
        <v>196</v>
      </c>
      <c r="C24" s="33" t="s">
        <v>197</v>
      </c>
    </row>
    <row r="25" spans="1:3" ht="14.25" customHeight="1" x14ac:dyDescent="0.75">
      <c r="A25" s="30"/>
      <c r="B25" s="34" t="s">
        <v>198</v>
      </c>
      <c r="C25" s="34" t="s">
        <v>199</v>
      </c>
    </row>
    <row r="26" spans="1:3" ht="14.25" customHeight="1" x14ac:dyDescent="0.75">
      <c r="A26" s="30"/>
      <c r="B26" s="33" t="s">
        <v>200</v>
      </c>
      <c r="C26" s="33" t="s">
        <v>201</v>
      </c>
    </row>
    <row r="27" spans="1:3" ht="14.25" customHeight="1" x14ac:dyDescent="0.65">
      <c r="A27" s="35"/>
      <c r="B27" s="34" t="s">
        <v>202</v>
      </c>
      <c r="C27" s="34" t="s">
        <v>203</v>
      </c>
    </row>
    <row r="28" spans="1:3" ht="14.25" customHeight="1" x14ac:dyDescent="0.75">
      <c r="A28" s="30"/>
      <c r="B28" s="33" t="s">
        <v>204</v>
      </c>
      <c r="C28" s="33" t="s">
        <v>205</v>
      </c>
    </row>
    <row r="29" spans="1:3" ht="14.25" customHeight="1" x14ac:dyDescent="0.75">
      <c r="A29" s="30"/>
      <c r="B29" s="34" t="s">
        <v>206</v>
      </c>
      <c r="C29" s="34" t="s">
        <v>207</v>
      </c>
    </row>
    <row r="30" spans="1:3" ht="14.25" customHeight="1" x14ac:dyDescent="0.75">
      <c r="A30" s="30"/>
      <c r="B30" s="33" t="s">
        <v>208</v>
      </c>
      <c r="C30" s="33" t="s">
        <v>56</v>
      </c>
    </row>
    <row r="31" spans="1:3" ht="14.25" customHeight="1" x14ac:dyDescent="0.75">
      <c r="A31" s="30"/>
      <c r="B31" s="36" t="s">
        <v>209</v>
      </c>
      <c r="C31" s="36" t="s">
        <v>59</v>
      </c>
    </row>
    <row r="32" spans="1:3" ht="14.25" customHeight="1" x14ac:dyDescent="0.75">
      <c r="A32" s="26"/>
      <c r="B32" s="37"/>
      <c r="C32" s="38"/>
    </row>
    <row r="33" spans="1:3" ht="14.25" customHeight="1" x14ac:dyDescent="0.75">
      <c r="A33" s="26"/>
      <c r="B33" s="39"/>
      <c r="C33" s="40"/>
    </row>
    <row r="34" spans="1:3" ht="14.25" customHeight="1" x14ac:dyDescent="0.75">
      <c r="A34" s="26"/>
      <c r="B34" s="39"/>
      <c r="C34" s="40"/>
    </row>
    <row r="35" spans="1:3" ht="14.25" customHeight="1" x14ac:dyDescent="0.75">
      <c r="A35" s="26"/>
      <c r="B35" s="41"/>
      <c r="C35" s="40"/>
    </row>
    <row r="36" spans="1:3" ht="14.25" customHeight="1" x14ac:dyDescent="0.75">
      <c r="A36" s="26"/>
      <c r="B36" s="39"/>
      <c r="C36" s="40"/>
    </row>
    <row r="37" spans="1:3" ht="14.25" customHeight="1" x14ac:dyDescent="0.75">
      <c r="A37" s="26"/>
      <c r="B37" s="39"/>
      <c r="C37" s="40"/>
    </row>
    <row r="38" spans="1:3" ht="14.25" customHeight="1" x14ac:dyDescent="0.75">
      <c r="A38" s="26"/>
      <c r="B38" s="39"/>
      <c r="C38" s="40"/>
    </row>
    <row r="39" spans="1:3" ht="14.25" customHeight="1" x14ac:dyDescent="0.75">
      <c r="A39" s="26"/>
      <c r="B39" s="26"/>
      <c r="C39" s="26"/>
    </row>
    <row r="40" spans="1:3" ht="14.25" customHeight="1" x14ac:dyDescent="0.75">
      <c r="A40" s="26"/>
      <c r="B40" s="26"/>
      <c r="C40" s="26"/>
    </row>
  </sheetData>
  <mergeCells count="2">
    <mergeCell ref="B3:C3"/>
    <mergeCell ref="B5:C5"/>
  </mergeCells>
  <pageMargins left="0.39" right="0.39" top="0.39" bottom="0.39" header="0.39" footer="0.39"/>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T222"/>
  <sheetViews>
    <sheetView workbookViewId="0"/>
  </sheetViews>
  <sheetFormatPr defaultColWidth="10.1328125" defaultRowHeight="14.45" customHeight="1" x14ac:dyDescent="0.6"/>
  <cols>
    <col min="1" max="1" width="21.54296875" customWidth="1"/>
    <col min="2" max="2" width="26.86328125" customWidth="1"/>
    <col min="3" max="3" width="8" customWidth="1"/>
    <col min="4" max="4" width="18.1328125" customWidth="1"/>
    <col min="5" max="5" width="32.40625" customWidth="1"/>
    <col min="6" max="15" width="13.54296875" customWidth="1"/>
    <col min="16" max="21" width="14.1328125" customWidth="1"/>
    <col min="22" max="25" width="25.26953125" customWidth="1"/>
    <col min="26" max="26" width="22.26953125" customWidth="1"/>
    <col min="27" max="46" width="10.1328125" customWidth="1"/>
  </cols>
  <sheetData>
    <row r="1" spans="1:46" ht="14.25" customHeight="1" x14ac:dyDescent="0.6">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row>
    <row r="2" spans="1:46" ht="18" customHeight="1" x14ac:dyDescent="0.6">
      <c r="A2" s="24"/>
      <c r="B2" s="24"/>
      <c r="C2" s="24"/>
      <c r="D2" s="42" t="s">
        <v>210</v>
      </c>
      <c r="E2" s="42" t="s">
        <v>211</v>
      </c>
      <c r="F2" s="42" t="s">
        <v>0</v>
      </c>
      <c r="G2" s="42"/>
      <c r="H2" s="42"/>
      <c r="I2" s="42"/>
      <c r="J2" s="42"/>
      <c r="K2" s="42"/>
      <c r="L2" s="42"/>
      <c r="M2" s="42"/>
      <c r="N2" s="42"/>
      <c r="O2" s="42"/>
      <c r="P2" s="42"/>
      <c r="Q2" s="42"/>
      <c r="R2" s="42"/>
      <c r="S2" s="42"/>
      <c r="T2" s="42"/>
      <c r="U2" s="42"/>
      <c r="V2" s="42"/>
      <c r="W2" s="42"/>
      <c r="X2" s="42"/>
      <c r="Y2" s="42"/>
      <c r="Z2" s="24"/>
      <c r="AA2" s="24"/>
      <c r="AB2" s="24"/>
      <c r="AC2" s="24"/>
      <c r="AD2" s="24"/>
      <c r="AE2" s="24"/>
      <c r="AF2" s="24"/>
      <c r="AG2" s="24"/>
      <c r="AH2" s="24"/>
      <c r="AI2" s="24"/>
      <c r="AJ2" s="24"/>
      <c r="AK2" s="24"/>
      <c r="AL2" s="24"/>
      <c r="AM2" s="24"/>
      <c r="AN2" s="24"/>
      <c r="AO2" s="24"/>
      <c r="AP2" s="24"/>
      <c r="AQ2" s="24"/>
      <c r="AR2" s="24"/>
      <c r="AS2" s="24"/>
      <c r="AT2" s="24"/>
    </row>
    <row r="3" spans="1:46" ht="14.25" customHeight="1" x14ac:dyDescent="0.6">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row>
    <row r="4" spans="1:46" ht="14.25" customHeight="1" x14ac:dyDescent="0.6">
      <c r="A4" s="24"/>
      <c r="B4" s="24"/>
      <c r="C4" s="43" t="s">
        <v>212</v>
      </c>
      <c r="D4" s="24"/>
      <c r="E4" s="24"/>
      <c r="F4" s="24" t="s">
        <v>213</v>
      </c>
      <c r="G4" s="24" t="s">
        <v>214</v>
      </c>
      <c r="H4" s="24" t="s">
        <v>215</v>
      </c>
      <c r="I4" s="24" t="s">
        <v>216</v>
      </c>
      <c r="J4" s="24" t="s">
        <v>217</v>
      </c>
      <c r="K4" s="24" t="s">
        <v>218</v>
      </c>
      <c r="L4" s="24" t="s">
        <v>219</v>
      </c>
      <c r="M4" s="24" t="s">
        <v>220</v>
      </c>
      <c r="N4" s="24" t="s">
        <v>221</v>
      </c>
      <c r="O4" s="24"/>
      <c r="P4" s="24"/>
      <c r="Q4" s="24"/>
      <c r="R4" s="24"/>
      <c r="S4" s="24"/>
      <c r="T4" s="24"/>
      <c r="U4" s="24"/>
      <c r="V4" s="24"/>
      <c r="W4" s="24"/>
      <c r="X4" s="24"/>
      <c r="Y4" s="24"/>
      <c r="Z4" s="24"/>
      <c r="AA4" s="24"/>
      <c r="AB4" s="24"/>
      <c r="AC4" s="24"/>
      <c r="AD4" s="24"/>
      <c r="AE4" s="24"/>
      <c r="AF4" s="24"/>
      <c r="AG4" s="24"/>
      <c r="AH4" s="24"/>
      <c r="AI4" s="44"/>
      <c r="AJ4" s="44"/>
      <c r="AK4" s="44"/>
      <c r="AL4" s="44"/>
      <c r="AM4" s="44"/>
      <c r="AN4" s="44"/>
      <c r="AO4" s="44"/>
      <c r="AP4" s="44"/>
      <c r="AQ4" s="44"/>
      <c r="AR4" s="44"/>
      <c r="AS4" s="44"/>
      <c r="AT4" s="44"/>
    </row>
    <row r="5" spans="1:46" ht="14.25" customHeight="1" x14ac:dyDescent="0.6">
      <c r="A5" s="24" t="s">
        <v>222</v>
      </c>
      <c r="B5" s="24" t="s">
        <v>223</v>
      </c>
      <c r="C5" s="24" t="s">
        <v>224</v>
      </c>
      <c r="D5" s="273" t="s">
        <v>225</v>
      </c>
      <c r="E5" s="24" t="s">
        <v>226</v>
      </c>
      <c r="F5" s="24">
        <v>-0.98557483230305643</v>
      </c>
      <c r="G5" s="24">
        <v>1.8669116831822825</v>
      </c>
      <c r="H5" s="24">
        <v>0.46550080017963502</v>
      </c>
      <c r="I5" s="24">
        <v>-7.6909844760966299</v>
      </c>
      <c r="J5" s="24">
        <v>1.2531023463945128</v>
      </c>
      <c r="K5" s="24">
        <v>2.1415023964902318</v>
      </c>
      <c r="L5" s="24">
        <v>2.1017424647135292</v>
      </c>
      <c r="M5" s="24">
        <v>1.8077851797789863</v>
      </c>
      <c r="N5" s="24">
        <v>2.3428211785032627</v>
      </c>
      <c r="O5" s="24"/>
      <c r="P5" s="24"/>
      <c r="Q5" s="24"/>
      <c r="R5" s="24"/>
      <c r="S5" s="24"/>
      <c r="T5" s="24"/>
      <c r="U5" s="24"/>
      <c r="V5" s="24"/>
      <c r="W5" s="24"/>
      <c r="X5" s="24"/>
      <c r="Y5" s="24"/>
      <c r="Z5" s="24"/>
      <c r="AA5" s="24"/>
      <c r="AB5" s="24"/>
      <c r="AC5" s="24"/>
      <c r="AD5" s="24"/>
      <c r="AE5" s="24"/>
      <c r="AF5" s="24"/>
      <c r="AG5" s="24"/>
      <c r="AH5" s="24"/>
      <c r="AI5" s="44"/>
      <c r="AJ5" s="44"/>
      <c r="AK5" s="44"/>
      <c r="AL5" s="44"/>
      <c r="AM5" s="44"/>
      <c r="AN5" s="44"/>
      <c r="AO5" s="44"/>
      <c r="AP5" s="44"/>
      <c r="AQ5" s="44"/>
      <c r="AR5" s="44"/>
      <c r="AS5" s="44"/>
      <c r="AT5" s="44"/>
    </row>
    <row r="6" spans="1:46" ht="14.25" customHeight="1" x14ac:dyDescent="0.6">
      <c r="A6" s="24" t="s">
        <v>222</v>
      </c>
      <c r="B6" s="24" t="s">
        <v>227</v>
      </c>
      <c r="C6" s="24" t="s">
        <v>224</v>
      </c>
      <c r="D6" s="274"/>
      <c r="E6" s="24" t="s">
        <v>228</v>
      </c>
      <c r="F6" s="24">
        <v>1.4498998506247895</v>
      </c>
      <c r="G6" s="24">
        <v>1.3474440144474802</v>
      </c>
      <c r="H6" s="24">
        <v>1.1453251067889823</v>
      </c>
      <c r="I6" s="24">
        <v>0.84705262789037439</v>
      </c>
      <c r="J6" s="24">
        <v>1.3371999630149238</v>
      </c>
      <c r="K6" s="24">
        <v>1.4862498689848065</v>
      </c>
      <c r="L6" s="24">
        <v>1.6658316524523569</v>
      </c>
      <c r="M6" s="24">
        <v>1.7652250798333733</v>
      </c>
      <c r="N6" s="24">
        <v>1.8079974375804408</v>
      </c>
      <c r="O6" s="24"/>
      <c r="P6" s="24"/>
      <c r="Q6" s="24"/>
      <c r="R6" s="24"/>
      <c r="S6" s="24"/>
      <c r="T6" s="24"/>
      <c r="U6" s="24"/>
      <c r="V6" s="24"/>
      <c r="W6" s="24"/>
      <c r="X6" s="24"/>
      <c r="Y6" s="24"/>
      <c r="Z6" s="24"/>
      <c r="AA6" s="24"/>
      <c r="AB6" s="24"/>
      <c r="AC6" s="24"/>
      <c r="AD6" s="24"/>
      <c r="AE6" s="24"/>
      <c r="AF6" s="24"/>
      <c r="AG6" s="24"/>
      <c r="AH6" s="24"/>
      <c r="AI6" s="44"/>
      <c r="AJ6" s="44"/>
      <c r="AK6" s="44"/>
      <c r="AL6" s="44"/>
      <c r="AM6" s="44"/>
      <c r="AN6" s="44"/>
      <c r="AO6" s="44"/>
      <c r="AP6" s="44"/>
      <c r="AQ6" s="44"/>
      <c r="AR6" s="44"/>
      <c r="AS6" s="44"/>
      <c r="AT6" s="44"/>
    </row>
    <row r="7" spans="1:46" ht="14.25" customHeight="1" x14ac:dyDescent="0.6">
      <c r="A7" s="24" t="s">
        <v>222</v>
      </c>
      <c r="B7" s="24" t="s">
        <v>229</v>
      </c>
      <c r="C7" s="24" t="s">
        <v>224</v>
      </c>
      <c r="D7" s="274"/>
      <c r="E7" s="24" t="s">
        <v>230</v>
      </c>
      <c r="F7" s="24">
        <v>-3.3156393258251975</v>
      </c>
      <c r="G7" s="24">
        <v>2.3647716722497605</v>
      </c>
      <c r="H7" s="24">
        <v>0.30301287006153294</v>
      </c>
      <c r="I7" s="24">
        <v>-11.450199601794749</v>
      </c>
      <c r="J7" s="24">
        <v>1.4162709712956023</v>
      </c>
      <c r="K7" s="24">
        <v>2.3578999522817177</v>
      </c>
      <c r="L7" s="24">
        <v>2.3998669536865784</v>
      </c>
      <c r="M7" s="24">
        <v>2.3106744623122708</v>
      </c>
      <c r="N7" s="24">
        <v>2.8904062057948958</v>
      </c>
      <c r="O7" s="24"/>
      <c r="P7" s="24"/>
      <c r="Q7" s="24"/>
      <c r="R7" s="24"/>
      <c r="S7" s="24"/>
      <c r="T7" s="24"/>
      <c r="U7" s="24"/>
      <c r="V7" s="24"/>
      <c r="W7" s="24"/>
      <c r="X7" s="24"/>
      <c r="Y7" s="24"/>
      <c r="Z7" s="24"/>
      <c r="AA7" s="24"/>
      <c r="AB7" s="24"/>
      <c r="AC7" s="24"/>
      <c r="AD7" s="24"/>
      <c r="AE7" s="24"/>
      <c r="AF7" s="24"/>
      <c r="AG7" s="24"/>
      <c r="AH7" s="24"/>
      <c r="AI7" s="44"/>
      <c r="AJ7" s="44"/>
      <c r="AK7" s="44"/>
      <c r="AL7" s="44"/>
      <c r="AM7" s="44"/>
      <c r="AN7" s="44"/>
      <c r="AO7" s="44"/>
      <c r="AP7" s="44"/>
      <c r="AQ7" s="44"/>
      <c r="AR7" s="44"/>
      <c r="AS7" s="44"/>
      <c r="AT7" s="44"/>
    </row>
    <row r="8" spans="1:46" ht="14.25" customHeight="1" x14ac:dyDescent="0.6">
      <c r="A8" s="24" t="s">
        <v>222</v>
      </c>
      <c r="B8" s="24" t="s">
        <v>231</v>
      </c>
      <c r="C8" s="24" t="s">
        <v>224</v>
      </c>
      <c r="D8" s="274"/>
      <c r="E8" s="24" t="s">
        <v>232</v>
      </c>
      <c r="F8" s="24">
        <v>1.0636319124395994</v>
      </c>
      <c r="G8" s="24">
        <v>1.2502206980324804</v>
      </c>
      <c r="H8" s="24">
        <v>1.7440202588471945</v>
      </c>
      <c r="I8" s="24">
        <v>1.9273074899036995</v>
      </c>
      <c r="J8" s="24">
        <v>2.2413203155787125</v>
      </c>
      <c r="K8" s="24">
        <v>2.1130838277810837</v>
      </c>
      <c r="L8" s="24">
        <v>2.0325399430141378</v>
      </c>
      <c r="M8" s="24">
        <v>1.9911378274109373</v>
      </c>
      <c r="N8" s="24">
        <v>1.8914638175296037</v>
      </c>
      <c r="O8" s="24"/>
      <c r="P8" s="24"/>
      <c r="Q8" s="24"/>
      <c r="R8" s="24"/>
      <c r="S8" s="24"/>
      <c r="T8" s="24"/>
      <c r="U8" s="24"/>
      <c r="V8" s="24"/>
      <c r="W8" s="24"/>
      <c r="X8" s="24"/>
      <c r="Y8" s="24"/>
      <c r="Z8" s="24"/>
      <c r="AA8" s="24"/>
      <c r="AB8" s="24"/>
      <c r="AC8" s="24"/>
      <c r="AD8" s="24"/>
      <c r="AE8" s="24"/>
      <c r="AF8" s="24"/>
      <c r="AG8" s="24"/>
      <c r="AH8" s="24"/>
      <c r="AI8" s="44"/>
      <c r="AJ8" s="44"/>
      <c r="AK8" s="44"/>
      <c r="AL8" s="44"/>
      <c r="AM8" s="44"/>
      <c r="AN8" s="44"/>
      <c r="AO8" s="44"/>
      <c r="AP8" s="44"/>
      <c r="AQ8" s="44"/>
      <c r="AR8" s="44"/>
      <c r="AS8" s="44"/>
      <c r="AT8" s="44"/>
    </row>
    <row r="9" spans="1:46" ht="14.25" customHeight="1" x14ac:dyDescent="0.6">
      <c r="A9" s="24" t="s">
        <v>222</v>
      </c>
      <c r="B9" s="24" t="s">
        <v>233</v>
      </c>
      <c r="C9" s="24" t="s">
        <v>224</v>
      </c>
      <c r="D9" s="274"/>
      <c r="E9" s="24" t="s">
        <v>234</v>
      </c>
      <c r="F9" s="24">
        <v>0.96590349268687192</v>
      </c>
      <c r="G9" s="24">
        <v>1.0616451535195637</v>
      </c>
      <c r="H9" s="24">
        <v>1.7366033812918724</v>
      </c>
      <c r="I9" s="24">
        <v>2.20047236043309</v>
      </c>
      <c r="J9" s="24">
        <v>2.4334338536301026</v>
      </c>
      <c r="K9" s="24">
        <v>2.2512915582335493</v>
      </c>
      <c r="L9" s="24">
        <v>2.1665498861825383</v>
      </c>
      <c r="M9" s="24">
        <v>2.1319711611512333</v>
      </c>
      <c r="N9" s="24">
        <v>2.0313772224101525</v>
      </c>
      <c r="O9" s="24"/>
      <c r="P9" s="24"/>
      <c r="Q9" s="24"/>
      <c r="R9" s="24"/>
      <c r="S9" s="24"/>
      <c r="T9" s="24"/>
      <c r="U9" s="24"/>
      <c r="V9" s="24"/>
      <c r="W9" s="24"/>
      <c r="X9" s="24"/>
      <c r="Y9" s="24"/>
      <c r="Z9" s="24"/>
      <c r="AA9" s="24"/>
      <c r="AB9" s="24"/>
      <c r="AC9" s="24"/>
      <c r="AD9" s="24"/>
      <c r="AE9" s="24"/>
      <c r="AF9" s="24"/>
      <c r="AG9" s="24"/>
      <c r="AH9" s="24"/>
      <c r="AI9" s="44"/>
      <c r="AJ9" s="44"/>
      <c r="AK9" s="44"/>
      <c r="AL9" s="44"/>
      <c r="AM9" s="44"/>
      <c r="AN9" s="44"/>
      <c r="AO9" s="44"/>
      <c r="AP9" s="44"/>
      <c r="AQ9" s="44"/>
      <c r="AR9" s="44"/>
      <c r="AS9" s="44"/>
      <c r="AT9" s="44"/>
    </row>
    <row r="10" spans="1:46" ht="14.25" customHeight="1" x14ac:dyDescent="0.6">
      <c r="A10" s="24" t="s">
        <v>222</v>
      </c>
      <c r="B10" s="24" t="s">
        <v>235</v>
      </c>
      <c r="C10" s="24" t="s">
        <v>224</v>
      </c>
      <c r="D10" s="274"/>
      <c r="E10" s="24" t="s">
        <v>236</v>
      </c>
      <c r="F10" s="24">
        <v>2.2015136018559462</v>
      </c>
      <c r="G10" s="24">
        <v>1.4634035712107916</v>
      </c>
      <c r="H10" s="24">
        <v>0.99119605913012632</v>
      </c>
      <c r="I10" s="24">
        <v>0.33850563457316546</v>
      </c>
      <c r="J10" s="24">
        <v>1.3347293347799345</v>
      </c>
      <c r="K10" s="24">
        <v>1.658313841713579</v>
      </c>
      <c r="L10" s="24">
        <v>1.8172027069453045</v>
      </c>
      <c r="M10" s="24">
        <v>1.9261979344748146</v>
      </c>
      <c r="N10" s="24">
        <v>1.9674989426077447</v>
      </c>
      <c r="O10" s="24"/>
      <c r="P10" s="24"/>
      <c r="Q10" s="24"/>
      <c r="R10" s="24"/>
      <c r="S10" s="24"/>
      <c r="T10" s="24"/>
      <c r="U10" s="24"/>
      <c r="V10" s="24"/>
      <c r="W10" s="24"/>
      <c r="X10" s="24"/>
      <c r="Y10" s="24"/>
      <c r="Z10" s="24"/>
      <c r="AA10" s="24"/>
      <c r="AB10" s="24"/>
      <c r="AC10" s="24"/>
      <c r="AD10" s="24"/>
      <c r="AE10" s="24"/>
      <c r="AF10" s="24"/>
      <c r="AG10" s="24"/>
      <c r="AH10" s="24"/>
      <c r="AI10" s="44"/>
      <c r="AJ10" s="44"/>
      <c r="AK10" s="44"/>
      <c r="AL10" s="44"/>
      <c r="AM10" s="44"/>
      <c r="AN10" s="44"/>
      <c r="AO10" s="44"/>
      <c r="AP10" s="44"/>
      <c r="AQ10" s="44"/>
      <c r="AR10" s="44"/>
      <c r="AS10" s="44"/>
      <c r="AT10" s="44"/>
    </row>
    <row r="11" spans="1:46" ht="14.25" customHeight="1" x14ac:dyDescent="0.6">
      <c r="A11" s="24" t="s">
        <v>222</v>
      </c>
      <c r="B11" s="24" t="s">
        <v>237</v>
      </c>
      <c r="C11" s="24" t="s">
        <v>224</v>
      </c>
      <c r="D11" s="274"/>
      <c r="E11" s="24" t="s">
        <v>238</v>
      </c>
      <c r="F11" s="24">
        <v>-2.6055764140672184</v>
      </c>
      <c r="G11" s="24">
        <v>2.4706152934886316</v>
      </c>
      <c r="H11" s="24">
        <v>0.14682948654216516</v>
      </c>
      <c r="I11" s="24">
        <v>-11.904569848526279</v>
      </c>
      <c r="J11" s="24">
        <v>1.4131868170114492</v>
      </c>
      <c r="K11" s="24">
        <v>2.5323886149518664</v>
      </c>
      <c r="L11" s="24">
        <v>2.5527734916338138</v>
      </c>
      <c r="M11" s="24">
        <v>2.4730851855937543</v>
      </c>
      <c r="N11" s="24">
        <v>3.051901098361204</v>
      </c>
      <c r="O11" s="24"/>
      <c r="P11" s="24"/>
      <c r="Q11" s="24"/>
      <c r="R11" s="24"/>
      <c r="S11" s="24"/>
      <c r="T11" s="24"/>
      <c r="U11" s="24"/>
      <c r="V11" s="24"/>
      <c r="W11" s="24"/>
      <c r="X11" s="24"/>
      <c r="Y11" s="24"/>
      <c r="Z11" s="24"/>
      <c r="AA11" s="24"/>
      <c r="AB11" s="24"/>
      <c r="AC11" s="24"/>
      <c r="AD11" s="24"/>
      <c r="AE11" s="24"/>
      <c r="AF11" s="24"/>
      <c r="AG11" s="24"/>
      <c r="AH11" s="24"/>
      <c r="AI11" s="44"/>
      <c r="AJ11" s="44"/>
      <c r="AK11" s="44"/>
      <c r="AL11" s="44"/>
      <c r="AM11" s="44"/>
      <c r="AN11" s="44"/>
      <c r="AO11" s="44"/>
      <c r="AP11" s="44"/>
      <c r="AQ11" s="44"/>
      <c r="AR11" s="44"/>
      <c r="AS11" s="44"/>
      <c r="AT11" s="44"/>
    </row>
    <row r="12" spans="1:46" ht="14.25" customHeight="1" x14ac:dyDescent="0.6">
      <c r="A12" s="24" t="s">
        <v>222</v>
      </c>
      <c r="B12" s="24" t="s">
        <v>239</v>
      </c>
      <c r="C12" s="24" t="s">
        <v>224</v>
      </c>
      <c r="D12" s="274"/>
      <c r="E12" s="24" t="s">
        <v>240</v>
      </c>
      <c r="F12" s="24">
        <v>-1.5675550179870277</v>
      </c>
      <c r="G12" s="24">
        <v>0.89269619852014548</v>
      </c>
      <c r="H12" s="24">
        <v>-0.43134805484576794</v>
      </c>
      <c r="I12" s="24">
        <v>-11.134424377464963</v>
      </c>
      <c r="J12" s="24">
        <v>0.19584133353357322</v>
      </c>
      <c r="K12" s="24">
        <v>0.8813045683822851</v>
      </c>
      <c r="L12" s="24">
        <v>0.80574123186062385</v>
      </c>
      <c r="M12" s="24">
        <v>0.63271142990349494</v>
      </c>
      <c r="N12" s="24">
        <v>1.1166566382626684</v>
      </c>
      <c r="O12" s="24"/>
      <c r="P12" s="24"/>
      <c r="Q12" s="24"/>
      <c r="R12" s="24"/>
      <c r="S12" s="24"/>
      <c r="T12" s="24"/>
      <c r="U12" s="24"/>
      <c r="V12" s="24"/>
      <c r="W12" s="24"/>
      <c r="X12" s="24"/>
      <c r="Y12" s="24"/>
      <c r="Z12" s="24"/>
      <c r="AA12" s="24"/>
      <c r="AB12" s="24"/>
      <c r="AC12" s="24"/>
      <c r="AD12" s="24"/>
      <c r="AE12" s="24"/>
      <c r="AF12" s="24"/>
      <c r="AG12" s="24"/>
      <c r="AH12" s="24"/>
      <c r="AI12" s="44"/>
      <c r="AJ12" s="44"/>
      <c r="AK12" s="44"/>
      <c r="AL12" s="44"/>
      <c r="AM12" s="44"/>
      <c r="AN12" s="44"/>
      <c r="AO12" s="44"/>
      <c r="AP12" s="44"/>
      <c r="AQ12" s="44"/>
      <c r="AR12" s="44"/>
      <c r="AS12" s="44"/>
      <c r="AT12" s="44"/>
    </row>
    <row r="13" spans="1:46" ht="14.25" customHeight="1" x14ac:dyDescent="0.6">
      <c r="A13" s="24" t="s">
        <v>222</v>
      </c>
      <c r="B13" s="24" t="s">
        <v>241</v>
      </c>
      <c r="C13" s="24" t="s">
        <v>224</v>
      </c>
      <c r="D13" s="274"/>
      <c r="E13" s="24" t="s">
        <v>242</v>
      </c>
      <c r="F13" s="24">
        <v>1.0331273158957344</v>
      </c>
      <c r="G13" s="24">
        <v>1.6732216294578188</v>
      </c>
      <c r="H13" s="24">
        <v>2.9944281015034555</v>
      </c>
      <c r="I13" s="24">
        <v>4.6657827762738071</v>
      </c>
      <c r="J13" s="24">
        <v>4.7976499140234532</v>
      </c>
      <c r="K13" s="24">
        <v>4.7667950878147645</v>
      </c>
      <c r="L13" s="24">
        <v>4.8228974928648567</v>
      </c>
      <c r="M13" s="24">
        <v>4.9708661079592336</v>
      </c>
      <c r="N13" s="24">
        <v>5.0037764880955544</v>
      </c>
      <c r="O13" s="24"/>
      <c r="P13" s="24"/>
      <c r="Q13" s="24"/>
      <c r="R13" s="24"/>
      <c r="S13" s="24"/>
      <c r="T13" s="24"/>
      <c r="U13" s="24"/>
      <c r="V13" s="24"/>
      <c r="W13" s="24"/>
      <c r="X13" s="24"/>
      <c r="Y13" s="24"/>
      <c r="Z13" s="24"/>
      <c r="AA13" s="24"/>
      <c r="AB13" s="24"/>
      <c r="AC13" s="24"/>
      <c r="AD13" s="24"/>
      <c r="AE13" s="24"/>
      <c r="AF13" s="24"/>
      <c r="AG13" s="24"/>
      <c r="AH13" s="24"/>
      <c r="AI13" s="44"/>
      <c r="AJ13" s="44"/>
      <c r="AK13" s="44"/>
      <c r="AL13" s="44"/>
      <c r="AM13" s="44"/>
      <c r="AN13" s="44"/>
      <c r="AO13" s="44"/>
      <c r="AP13" s="44"/>
      <c r="AQ13" s="44"/>
      <c r="AR13" s="44"/>
      <c r="AS13" s="44"/>
      <c r="AT13" s="44"/>
    </row>
    <row r="14" spans="1:46" ht="14.25" customHeight="1" x14ac:dyDescent="0.6">
      <c r="A14" s="24" t="s">
        <v>222</v>
      </c>
      <c r="B14" s="24" t="s">
        <v>243</v>
      </c>
      <c r="C14" s="24" t="s">
        <v>224</v>
      </c>
      <c r="D14" s="274"/>
      <c r="E14" s="24" t="s">
        <v>244</v>
      </c>
      <c r="F14" s="24">
        <v>-1.8307519354550903</v>
      </c>
      <c r="G14" s="24">
        <v>0.60537728799576562</v>
      </c>
      <c r="H14" s="24">
        <v>-1.2348247748286716</v>
      </c>
      <c r="I14" s="24">
        <v>-11.325628233336515</v>
      </c>
      <c r="J14" s="24">
        <v>0.26641762252481133</v>
      </c>
      <c r="K14" s="24">
        <v>0.86833556935603184</v>
      </c>
      <c r="L14" s="24">
        <v>0.79974369794006428</v>
      </c>
      <c r="M14" s="24">
        <v>0.60042265605372191</v>
      </c>
      <c r="N14" s="24">
        <v>1.037440120811284</v>
      </c>
      <c r="O14" s="24"/>
      <c r="P14" s="24"/>
      <c r="Q14" s="24"/>
      <c r="R14" s="24"/>
      <c r="S14" s="24"/>
      <c r="T14" s="24"/>
      <c r="U14" s="24"/>
      <c r="V14" s="24"/>
      <c r="W14" s="24"/>
      <c r="X14" s="24"/>
      <c r="Y14" s="24"/>
      <c r="Z14" s="24"/>
      <c r="AA14" s="24"/>
      <c r="AB14" s="24"/>
      <c r="AC14" s="24"/>
      <c r="AD14" s="24"/>
      <c r="AE14" s="24"/>
      <c r="AF14" s="24"/>
      <c r="AG14" s="24"/>
      <c r="AH14" s="24"/>
      <c r="AI14" s="44"/>
      <c r="AJ14" s="44"/>
      <c r="AK14" s="44"/>
      <c r="AL14" s="44"/>
      <c r="AM14" s="44"/>
      <c r="AN14" s="44"/>
      <c r="AO14" s="44"/>
      <c r="AP14" s="44"/>
      <c r="AQ14" s="44"/>
      <c r="AR14" s="44"/>
      <c r="AS14" s="44"/>
      <c r="AT14" s="44"/>
    </row>
    <row r="15" spans="1:46" ht="14.25" customHeight="1" x14ac:dyDescent="0.6">
      <c r="A15" s="24" t="s">
        <v>222</v>
      </c>
      <c r="B15" s="24" t="s">
        <v>245</v>
      </c>
      <c r="C15" s="24" t="s">
        <v>224</v>
      </c>
      <c r="D15" s="274"/>
      <c r="E15" s="24" t="s">
        <v>246</v>
      </c>
      <c r="F15" s="24">
        <v>0.57273841811784432</v>
      </c>
      <c r="G15" s="24">
        <v>1.3281047705422007</v>
      </c>
      <c r="H15" s="24">
        <v>3.0937209184540748</v>
      </c>
      <c r="I15" s="24">
        <v>4.5286887458042875</v>
      </c>
      <c r="J15" s="24">
        <v>4.899204419528683</v>
      </c>
      <c r="K15" s="24">
        <v>4.9343135654877939</v>
      </c>
      <c r="L15" s="24">
        <v>4.9866684043757452</v>
      </c>
      <c r="M15" s="24">
        <v>5.1315873227511943</v>
      </c>
      <c r="N15" s="24">
        <v>5.1795196474230103</v>
      </c>
      <c r="O15" s="24"/>
      <c r="P15" s="24"/>
      <c r="Q15" s="24"/>
      <c r="R15" s="24"/>
      <c r="S15" s="24"/>
      <c r="T15" s="24"/>
      <c r="U15" s="24"/>
      <c r="V15" s="24"/>
      <c r="W15" s="24"/>
      <c r="X15" s="24"/>
      <c r="Y15" s="24"/>
      <c r="Z15" s="24"/>
      <c r="AA15" s="24"/>
      <c r="AB15" s="24"/>
      <c r="AC15" s="24"/>
      <c r="AD15" s="24"/>
      <c r="AE15" s="24"/>
      <c r="AF15" s="24"/>
      <c r="AG15" s="24"/>
      <c r="AH15" s="24"/>
      <c r="AI15" s="44"/>
      <c r="AJ15" s="44"/>
      <c r="AK15" s="44"/>
      <c r="AL15" s="44"/>
      <c r="AM15" s="44"/>
      <c r="AN15" s="44"/>
      <c r="AO15" s="44"/>
      <c r="AP15" s="44"/>
      <c r="AQ15" s="44"/>
      <c r="AR15" s="44"/>
      <c r="AS15" s="44"/>
      <c r="AT15" s="44"/>
    </row>
    <row r="16" spans="1:46" ht="14.25" customHeight="1" x14ac:dyDescent="0.6">
      <c r="A16" s="24" t="s">
        <v>222</v>
      </c>
      <c r="B16" s="24" t="s">
        <v>247</v>
      </c>
      <c r="C16" s="24" t="s">
        <v>224</v>
      </c>
      <c r="D16" s="274"/>
      <c r="E16" s="24" t="s">
        <v>248</v>
      </c>
      <c r="F16" s="24">
        <v>-2.5810960358140749</v>
      </c>
      <c r="G16" s="24">
        <v>1.1289042979279473</v>
      </c>
      <c r="H16" s="24">
        <v>-0.1998825491903638</v>
      </c>
      <c r="I16" s="24">
        <v>-6.8269782960412551</v>
      </c>
      <c r="J16" s="24">
        <v>-0.37898525152222051</v>
      </c>
      <c r="K16" s="24">
        <v>0.29950054069669763</v>
      </c>
      <c r="L16" s="24">
        <v>0.30637417022655639</v>
      </c>
      <c r="M16" s="24">
        <v>0.39402207977537484</v>
      </c>
      <c r="N16" s="24">
        <v>1.0817565233867446</v>
      </c>
      <c r="O16" s="24"/>
      <c r="P16" s="24"/>
      <c r="Q16" s="24"/>
      <c r="R16" s="24"/>
      <c r="S16" s="24"/>
      <c r="T16" s="24"/>
      <c r="U16" s="24"/>
      <c r="V16" s="24"/>
      <c r="W16" s="24"/>
      <c r="X16" s="24"/>
      <c r="Y16" s="24"/>
      <c r="Z16" s="24"/>
      <c r="AA16" s="24"/>
      <c r="AB16" s="24"/>
      <c r="AC16" s="24"/>
      <c r="AD16" s="24"/>
      <c r="AE16" s="24"/>
      <c r="AF16" s="24"/>
      <c r="AG16" s="24"/>
      <c r="AH16" s="24"/>
      <c r="AI16" s="44"/>
      <c r="AJ16" s="44"/>
      <c r="AK16" s="44"/>
      <c r="AL16" s="44"/>
      <c r="AM16" s="44"/>
      <c r="AN16" s="44"/>
      <c r="AO16" s="44"/>
      <c r="AP16" s="44"/>
      <c r="AQ16" s="44"/>
      <c r="AR16" s="44"/>
      <c r="AS16" s="44"/>
      <c r="AT16" s="44"/>
    </row>
    <row r="17" spans="1:46" ht="14.25" customHeight="1" x14ac:dyDescent="0.6">
      <c r="A17" s="24" t="s">
        <v>222</v>
      </c>
      <c r="B17" s="24" t="s">
        <v>249</v>
      </c>
      <c r="C17" s="24" t="s">
        <v>224</v>
      </c>
      <c r="D17" s="274"/>
      <c r="E17" s="24" t="s">
        <v>250</v>
      </c>
      <c r="F17" s="24">
        <v>1.2840104175807947</v>
      </c>
      <c r="G17" s="24">
        <v>1.794892960974976</v>
      </c>
      <c r="H17" s="24">
        <v>3.8867431016995333</v>
      </c>
      <c r="I17" s="24">
        <v>3.5760385755588531</v>
      </c>
      <c r="J17" s="24">
        <v>5.7547100879031197</v>
      </c>
      <c r="K17" s="24">
        <v>5.4403153612718382</v>
      </c>
      <c r="L17" s="24">
        <v>5.5076977536743152</v>
      </c>
      <c r="M17" s="24">
        <v>5.4778191163070478</v>
      </c>
      <c r="N17" s="24">
        <v>5.3679663944495726</v>
      </c>
      <c r="O17" s="24"/>
      <c r="P17" s="24"/>
      <c r="Q17" s="24"/>
      <c r="R17" s="24"/>
      <c r="S17" s="24"/>
      <c r="T17" s="24"/>
      <c r="U17" s="24"/>
      <c r="V17" s="24"/>
      <c r="W17" s="24"/>
      <c r="X17" s="24"/>
      <c r="Y17" s="24"/>
      <c r="Z17" s="24"/>
      <c r="AA17" s="24"/>
      <c r="AB17" s="24"/>
      <c r="AC17" s="24"/>
      <c r="AD17" s="24"/>
      <c r="AE17" s="24"/>
      <c r="AF17" s="24"/>
      <c r="AG17" s="24"/>
      <c r="AH17" s="24"/>
      <c r="AI17" s="44"/>
      <c r="AJ17" s="44"/>
      <c r="AK17" s="44"/>
      <c r="AL17" s="44"/>
      <c r="AM17" s="44"/>
      <c r="AN17" s="44"/>
      <c r="AO17" s="44"/>
      <c r="AP17" s="44"/>
      <c r="AQ17" s="44"/>
      <c r="AR17" s="44"/>
      <c r="AS17" s="44"/>
      <c r="AT17" s="44"/>
    </row>
    <row r="18" spans="1:46" ht="14.25" customHeight="1" x14ac:dyDescent="0.6">
      <c r="A18" s="24" t="s">
        <v>222</v>
      </c>
      <c r="B18" s="24" t="s">
        <v>251</v>
      </c>
      <c r="C18" s="24" t="s">
        <v>224</v>
      </c>
      <c r="D18" s="274"/>
      <c r="E18" s="24" t="s">
        <v>252</v>
      </c>
      <c r="F18" s="24">
        <v>-3.3478399722878516</v>
      </c>
      <c r="G18" s="24">
        <v>1.0158064947834917</v>
      </c>
      <c r="H18" s="24">
        <v>-0.79229624548296962</v>
      </c>
      <c r="I18" s="24">
        <v>-12.081240721052266</v>
      </c>
      <c r="J18" s="24">
        <v>0.83676784202964394</v>
      </c>
      <c r="K18" s="24">
        <v>1.265872140530824</v>
      </c>
      <c r="L18" s="24">
        <v>1.2951190689605003</v>
      </c>
      <c r="M18" s="24">
        <v>1.1215131556565763</v>
      </c>
      <c r="N18" s="24">
        <v>1.6709035981851081</v>
      </c>
      <c r="O18" s="24"/>
      <c r="P18" s="24"/>
      <c r="Q18" s="24"/>
      <c r="R18" s="24"/>
      <c r="S18" s="24"/>
      <c r="T18" s="24"/>
      <c r="U18" s="24"/>
      <c r="V18" s="24"/>
      <c r="W18" s="24"/>
      <c r="X18" s="24"/>
      <c r="Y18" s="24"/>
      <c r="Z18" s="24"/>
      <c r="AA18" s="24"/>
      <c r="AB18" s="24"/>
      <c r="AC18" s="24"/>
      <c r="AD18" s="24"/>
      <c r="AE18" s="24"/>
      <c r="AF18" s="24"/>
      <c r="AG18" s="24"/>
      <c r="AH18" s="24"/>
      <c r="AI18" s="44"/>
      <c r="AJ18" s="44"/>
      <c r="AK18" s="44"/>
      <c r="AL18" s="44"/>
      <c r="AM18" s="44"/>
      <c r="AN18" s="44"/>
      <c r="AO18" s="44"/>
      <c r="AP18" s="44"/>
      <c r="AQ18" s="44"/>
      <c r="AR18" s="44"/>
      <c r="AS18" s="44"/>
      <c r="AT18" s="44"/>
    </row>
    <row r="19" spans="1:46" ht="14.25" customHeight="1" x14ac:dyDescent="0.6">
      <c r="A19" s="24" t="s">
        <v>222</v>
      </c>
      <c r="B19" s="24" t="s">
        <v>253</v>
      </c>
      <c r="C19" s="24" t="s">
        <v>224</v>
      </c>
      <c r="D19" s="274"/>
      <c r="E19" s="24" t="s">
        <v>254</v>
      </c>
      <c r="F19" s="24">
        <v>2.0299510223138171</v>
      </c>
      <c r="G19" s="24">
        <v>2.3237133835874801</v>
      </c>
      <c r="H19" s="24">
        <v>3.140549790071558</v>
      </c>
      <c r="I19" s="24">
        <v>3.6073157738830561</v>
      </c>
      <c r="J19" s="24">
        <v>3.9425613414207872</v>
      </c>
      <c r="K19" s="24">
        <v>4.1061529578605933</v>
      </c>
      <c r="L19" s="24">
        <v>4.2006383208008904</v>
      </c>
      <c r="M19" s="24">
        <v>4.328092550936975</v>
      </c>
      <c r="N19" s="24">
        <v>4.2720158102038557</v>
      </c>
      <c r="O19" s="24"/>
      <c r="P19" s="24"/>
      <c r="Q19" s="24"/>
      <c r="R19" s="24"/>
      <c r="S19" s="24"/>
      <c r="T19" s="24"/>
      <c r="U19" s="24"/>
      <c r="V19" s="24"/>
      <c r="W19" s="24"/>
      <c r="X19" s="24"/>
      <c r="Y19" s="24"/>
      <c r="Z19" s="24"/>
      <c r="AA19" s="24"/>
      <c r="AB19" s="24"/>
      <c r="AC19" s="24"/>
      <c r="AD19" s="24"/>
      <c r="AE19" s="24"/>
      <c r="AF19" s="24"/>
      <c r="AG19" s="24"/>
      <c r="AH19" s="24"/>
      <c r="AI19" s="44"/>
      <c r="AJ19" s="44"/>
      <c r="AK19" s="44"/>
      <c r="AL19" s="44"/>
      <c r="AM19" s="44"/>
      <c r="AN19" s="44"/>
      <c r="AO19" s="44"/>
      <c r="AP19" s="44"/>
      <c r="AQ19" s="44"/>
      <c r="AR19" s="44"/>
      <c r="AS19" s="44"/>
      <c r="AT19" s="44"/>
    </row>
    <row r="20" spans="1:46" ht="14.25" customHeight="1" x14ac:dyDescent="0.6">
      <c r="A20" s="24" t="s">
        <v>222</v>
      </c>
      <c r="B20" s="24" t="s">
        <v>255</v>
      </c>
      <c r="C20" s="24" t="s">
        <v>224</v>
      </c>
      <c r="D20" s="274"/>
      <c r="E20" s="24" t="s">
        <v>256</v>
      </c>
      <c r="F20" s="24">
        <v>-3.6967764797159663</v>
      </c>
      <c r="G20" s="24">
        <v>0.6929148500719039</v>
      </c>
      <c r="H20" s="24">
        <v>-1.5637121614046317</v>
      </c>
      <c r="I20" s="24">
        <v>-12.182194634744418</v>
      </c>
      <c r="J20" s="24">
        <v>0.93845292038547756</v>
      </c>
      <c r="K20" s="24">
        <v>1.2524107505118223</v>
      </c>
      <c r="L20" s="24">
        <v>1.2264012294894127</v>
      </c>
      <c r="M20" s="24">
        <v>1.0391657580416624</v>
      </c>
      <c r="N20" s="24">
        <v>1.5753549966647822</v>
      </c>
      <c r="O20" s="24"/>
      <c r="P20" s="24"/>
      <c r="Q20" s="24"/>
      <c r="R20" s="24"/>
      <c r="S20" s="24"/>
      <c r="T20" s="24"/>
      <c r="U20" s="24"/>
      <c r="V20" s="24"/>
      <c r="W20" s="24"/>
      <c r="X20" s="24"/>
      <c r="Y20" s="24"/>
      <c r="Z20" s="24"/>
      <c r="AA20" s="24"/>
      <c r="AB20" s="24"/>
      <c r="AC20" s="24"/>
      <c r="AD20" s="24"/>
      <c r="AE20" s="24"/>
      <c r="AF20" s="24"/>
      <c r="AG20" s="24"/>
      <c r="AH20" s="24"/>
      <c r="AI20" s="44"/>
      <c r="AJ20" s="44"/>
      <c r="AK20" s="44"/>
      <c r="AL20" s="44"/>
      <c r="AM20" s="44"/>
      <c r="AN20" s="44"/>
      <c r="AO20" s="44"/>
      <c r="AP20" s="44"/>
      <c r="AQ20" s="44"/>
      <c r="AR20" s="44"/>
      <c r="AS20" s="44"/>
      <c r="AT20" s="44"/>
    </row>
    <row r="21" spans="1:46" ht="14.25" customHeight="1" x14ac:dyDescent="0.6">
      <c r="A21" s="24" t="s">
        <v>222</v>
      </c>
      <c r="B21" s="24" t="s">
        <v>257</v>
      </c>
      <c r="C21" s="24" t="s">
        <v>224</v>
      </c>
      <c r="D21" s="274"/>
      <c r="E21" s="24" t="s">
        <v>258</v>
      </c>
      <c r="F21" s="24">
        <v>1.714693493498179</v>
      </c>
      <c r="G21" s="24">
        <v>1.8876740541851194</v>
      </c>
      <c r="H21" s="24">
        <v>3.0091871284612286</v>
      </c>
      <c r="I21" s="24">
        <v>3.0263230734176387</v>
      </c>
      <c r="J21" s="24">
        <v>3.8467848621363907</v>
      </c>
      <c r="K21" s="24">
        <v>3.9485366525375958</v>
      </c>
      <c r="L21" s="24">
        <v>4.0054607045296118</v>
      </c>
      <c r="M21" s="24">
        <v>4.1729679146540786</v>
      </c>
      <c r="N21" s="24">
        <v>4.1098283280143777</v>
      </c>
      <c r="O21" s="24"/>
      <c r="P21" s="24"/>
      <c r="Q21" s="24"/>
      <c r="R21" s="24"/>
      <c r="S21" s="24"/>
      <c r="T21" s="24"/>
      <c r="U21" s="24"/>
      <c r="V21" s="24"/>
      <c r="W21" s="24"/>
      <c r="X21" s="24"/>
      <c r="Y21" s="24"/>
      <c r="Z21" s="24"/>
      <c r="AA21" s="24"/>
      <c r="AB21" s="24"/>
      <c r="AC21" s="24"/>
      <c r="AD21" s="24"/>
      <c r="AE21" s="24"/>
      <c r="AF21" s="24"/>
      <c r="AG21" s="24"/>
      <c r="AH21" s="24"/>
      <c r="AI21" s="44"/>
      <c r="AJ21" s="44"/>
      <c r="AK21" s="44"/>
      <c r="AL21" s="44"/>
      <c r="AM21" s="44"/>
      <c r="AN21" s="44"/>
      <c r="AO21" s="44"/>
      <c r="AP21" s="44"/>
      <c r="AQ21" s="44"/>
      <c r="AR21" s="44"/>
      <c r="AS21" s="44"/>
      <c r="AT21" s="44"/>
    </row>
    <row r="22" spans="1:46" ht="14.25" customHeight="1" x14ac:dyDescent="0.6">
      <c r="A22" s="24" t="s">
        <v>222</v>
      </c>
      <c r="B22" s="24" t="s">
        <v>259</v>
      </c>
      <c r="C22" s="24" t="s">
        <v>224</v>
      </c>
      <c r="D22" s="274"/>
      <c r="E22" s="24" t="s">
        <v>260</v>
      </c>
      <c r="F22" s="24">
        <v>-4.2235303940460307</v>
      </c>
      <c r="G22" s="24">
        <v>0.67703683204081222</v>
      </c>
      <c r="H22" s="24">
        <v>-1.0481955918630459</v>
      </c>
      <c r="I22" s="24">
        <v>-9.4181505132497385</v>
      </c>
      <c r="J22" s="24">
        <v>0.50598031273825406</v>
      </c>
      <c r="K22" s="24">
        <v>0.85045414867455771</v>
      </c>
      <c r="L22" s="24">
        <v>0.90150401207310116</v>
      </c>
      <c r="M22" s="24">
        <v>0.91275776847599821</v>
      </c>
      <c r="N22" s="24">
        <v>1.6440274690669219</v>
      </c>
      <c r="O22" s="24"/>
      <c r="P22" s="24"/>
      <c r="Q22" s="24"/>
      <c r="R22" s="24"/>
      <c r="S22" s="24"/>
      <c r="T22" s="24"/>
      <c r="U22" s="24"/>
      <c r="V22" s="24"/>
      <c r="W22" s="24"/>
      <c r="X22" s="24"/>
      <c r="Y22" s="24"/>
      <c r="Z22" s="24"/>
      <c r="AA22" s="24"/>
      <c r="AB22" s="24"/>
      <c r="AC22" s="24"/>
      <c r="AD22" s="24"/>
      <c r="AE22" s="24"/>
      <c r="AF22" s="24"/>
      <c r="AG22" s="24"/>
      <c r="AH22" s="24"/>
      <c r="AI22" s="44"/>
      <c r="AJ22" s="44"/>
      <c r="AK22" s="44"/>
      <c r="AL22" s="44"/>
      <c r="AM22" s="44"/>
      <c r="AN22" s="44"/>
      <c r="AO22" s="44"/>
      <c r="AP22" s="44"/>
      <c r="AQ22" s="44"/>
      <c r="AR22" s="44"/>
      <c r="AS22" s="44"/>
      <c r="AT22" s="44"/>
    </row>
    <row r="23" spans="1:46" ht="14.25" customHeight="1" x14ac:dyDescent="0.6">
      <c r="A23" s="24" t="s">
        <v>222</v>
      </c>
      <c r="B23" s="24" t="s">
        <v>261</v>
      </c>
      <c r="C23" s="24" t="s">
        <v>224</v>
      </c>
      <c r="D23" s="274"/>
      <c r="E23" s="24" t="s">
        <v>262</v>
      </c>
      <c r="F23" s="24">
        <v>1.3613039047636761</v>
      </c>
      <c r="G23" s="24">
        <v>1.6433003322246518</v>
      </c>
      <c r="H23" s="24">
        <v>3.0224367256396376</v>
      </c>
      <c r="I23" s="24">
        <v>1.8825945093688545</v>
      </c>
      <c r="J23" s="24">
        <v>4.0750274854273378</v>
      </c>
      <c r="K23" s="24">
        <v>4.0934567343648434</v>
      </c>
      <c r="L23" s="24">
        <v>4.183384018114495</v>
      </c>
      <c r="M23" s="24">
        <v>4.3366668133697228</v>
      </c>
      <c r="N23" s="24">
        <v>4.1769681284496558</v>
      </c>
      <c r="O23" s="24"/>
      <c r="P23" s="24"/>
      <c r="Q23" s="24"/>
      <c r="R23" s="24"/>
      <c r="S23" s="24"/>
      <c r="T23" s="24"/>
      <c r="U23" s="24"/>
      <c r="V23" s="24"/>
      <c r="W23" s="24"/>
      <c r="X23" s="24"/>
      <c r="Y23" s="24"/>
      <c r="Z23" s="24"/>
      <c r="AA23" s="24"/>
      <c r="AB23" s="24"/>
      <c r="AC23" s="24"/>
      <c r="AD23" s="24"/>
      <c r="AE23" s="24"/>
      <c r="AF23" s="24"/>
      <c r="AG23" s="24"/>
      <c r="AH23" s="24"/>
      <c r="AI23" s="44"/>
      <c r="AJ23" s="44"/>
      <c r="AK23" s="44"/>
      <c r="AL23" s="44"/>
      <c r="AM23" s="44"/>
      <c r="AN23" s="44"/>
      <c r="AO23" s="44"/>
      <c r="AP23" s="44"/>
      <c r="AQ23" s="44"/>
      <c r="AR23" s="44"/>
      <c r="AS23" s="44"/>
      <c r="AT23" s="44"/>
    </row>
    <row r="24" spans="1:46" ht="14.25" customHeight="1" x14ac:dyDescent="0.6">
      <c r="A24" s="24" t="s">
        <v>222</v>
      </c>
      <c r="B24" s="24" t="s">
        <v>263</v>
      </c>
      <c r="C24" s="24" t="s">
        <v>224</v>
      </c>
      <c r="D24" s="273" t="s">
        <v>264</v>
      </c>
      <c r="E24" s="24" t="s">
        <v>226</v>
      </c>
      <c r="F24" s="24">
        <v>-1.0809918399244844</v>
      </c>
      <c r="G24" s="24">
        <v>1.7302049646857705</v>
      </c>
      <c r="H24" s="24">
        <v>0.26881520862580222</v>
      </c>
      <c r="I24" s="24">
        <v>-7.9293130533779985</v>
      </c>
      <c r="J24" s="24">
        <v>1.2649076009134359</v>
      </c>
      <c r="K24" s="24">
        <v>2.2018988397494179</v>
      </c>
      <c r="L24" s="24">
        <v>2.1594756871060863</v>
      </c>
      <c r="M24" s="24">
        <v>1.8827493873987367</v>
      </c>
      <c r="N24" s="24">
        <v>2.395506235294472</v>
      </c>
      <c r="O24" s="24"/>
      <c r="P24" s="24"/>
      <c r="Q24" s="24"/>
      <c r="R24" s="24"/>
      <c r="S24" s="24"/>
      <c r="T24" s="24"/>
      <c r="U24" s="24"/>
      <c r="V24" s="24"/>
      <c r="W24" s="24"/>
      <c r="X24" s="24"/>
      <c r="Y24" s="24"/>
      <c r="Z24" s="24"/>
      <c r="AA24" s="24"/>
      <c r="AB24" s="24"/>
      <c r="AC24" s="24"/>
      <c r="AD24" s="24"/>
      <c r="AE24" s="24"/>
      <c r="AF24" s="24"/>
      <c r="AG24" s="24"/>
      <c r="AH24" s="24"/>
      <c r="AI24" s="44"/>
      <c r="AJ24" s="44"/>
      <c r="AK24" s="44"/>
      <c r="AL24" s="44"/>
      <c r="AM24" s="44"/>
      <c r="AN24" s="44"/>
      <c r="AO24" s="44"/>
      <c r="AP24" s="44"/>
      <c r="AQ24" s="44"/>
      <c r="AR24" s="44"/>
      <c r="AS24" s="44"/>
      <c r="AT24" s="44"/>
    </row>
    <row r="25" spans="1:46" ht="14.25" customHeight="1" x14ac:dyDescent="0.6">
      <c r="A25" s="24" t="s">
        <v>222</v>
      </c>
      <c r="B25" s="24" t="s">
        <v>265</v>
      </c>
      <c r="C25" s="24" t="s">
        <v>224</v>
      </c>
      <c r="D25" s="274"/>
      <c r="E25" s="24" t="s">
        <v>228</v>
      </c>
      <c r="F25" s="24">
        <v>5.9841284519690596</v>
      </c>
      <c r="G25" s="24">
        <v>3.225412041994042</v>
      </c>
      <c r="H25" s="24">
        <v>3.1584375649909813</v>
      </c>
      <c r="I25" s="24">
        <v>1.8628596684596559</v>
      </c>
      <c r="J25" s="24">
        <v>3.7600899642570438</v>
      </c>
      <c r="K25" s="24">
        <v>3.5574661323886065</v>
      </c>
      <c r="L25" s="24">
        <v>3.5459377719448066</v>
      </c>
      <c r="M25" s="24">
        <v>3.467457353053411</v>
      </c>
      <c r="N25" s="24">
        <v>3.5259031007427835</v>
      </c>
      <c r="O25" s="24"/>
      <c r="P25" s="24"/>
      <c r="Q25" s="24"/>
      <c r="R25" s="24"/>
      <c r="S25" s="24"/>
      <c r="T25" s="24"/>
      <c r="U25" s="24"/>
      <c r="V25" s="24"/>
      <c r="W25" s="24"/>
      <c r="X25" s="24"/>
      <c r="Y25" s="24"/>
      <c r="Z25" s="24"/>
      <c r="AA25" s="24"/>
      <c r="AB25" s="24"/>
      <c r="AC25" s="24"/>
      <c r="AD25" s="24"/>
      <c r="AE25" s="24"/>
      <c r="AF25" s="24"/>
      <c r="AG25" s="24"/>
      <c r="AH25" s="24"/>
      <c r="AI25" s="44"/>
      <c r="AJ25" s="44"/>
      <c r="AK25" s="44"/>
      <c r="AL25" s="44"/>
      <c r="AM25" s="44"/>
      <c r="AN25" s="44"/>
      <c r="AO25" s="44"/>
      <c r="AP25" s="44"/>
      <c r="AQ25" s="44"/>
      <c r="AR25" s="44"/>
      <c r="AS25" s="44"/>
      <c r="AT25" s="44"/>
    </row>
    <row r="26" spans="1:46" ht="14.25" customHeight="1" x14ac:dyDescent="0.6">
      <c r="A26" s="24" t="s">
        <v>222</v>
      </c>
      <c r="B26" s="24" t="s">
        <v>266</v>
      </c>
      <c r="C26" s="24" t="s">
        <v>224</v>
      </c>
      <c r="D26" s="274"/>
      <c r="E26" s="24" t="s">
        <v>230</v>
      </c>
      <c r="F26" s="24">
        <v>4.0674484191665119</v>
      </c>
      <c r="G26" s="24">
        <v>1.3242871588754677</v>
      </c>
      <c r="H26" s="24">
        <v>1.3522730993272742</v>
      </c>
      <c r="I26" s="24">
        <v>-7.5659238170891214</v>
      </c>
      <c r="J26" s="24">
        <v>1.6280539777069962</v>
      </c>
      <c r="K26" s="24">
        <v>2.5095923086805016</v>
      </c>
      <c r="L26" s="24">
        <v>2.4593593895157029</v>
      </c>
      <c r="M26" s="24">
        <v>2.499062362253694</v>
      </c>
      <c r="N26" s="24">
        <v>2.9924631738955765</v>
      </c>
      <c r="O26" s="24"/>
      <c r="P26" s="24"/>
      <c r="Q26" s="24"/>
      <c r="R26" s="24"/>
      <c r="S26" s="24"/>
      <c r="T26" s="24"/>
      <c r="U26" s="24"/>
      <c r="V26" s="24"/>
      <c r="W26" s="24"/>
      <c r="X26" s="24"/>
      <c r="Y26" s="24"/>
      <c r="Z26" s="24"/>
      <c r="AA26" s="24"/>
      <c r="AB26" s="24"/>
      <c r="AC26" s="24"/>
      <c r="AD26" s="24"/>
      <c r="AE26" s="24"/>
      <c r="AF26" s="24"/>
      <c r="AG26" s="24"/>
      <c r="AH26" s="24"/>
      <c r="AI26" s="44"/>
      <c r="AJ26" s="44"/>
      <c r="AK26" s="44"/>
      <c r="AL26" s="44"/>
      <c r="AM26" s="44"/>
      <c r="AN26" s="44"/>
      <c r="AO26" s="44"/>
      <c r="AP26" s="44"/>
      <c r="AQ26" s="44"/>
      <c r="AR26" s="44"/>
      <c r="AS26" s="44"/>
      <c r="AT26" s="44"/>
    </row>
    <row r="27" spans="1:46" ht="14.25" customHeight="1" x14ac:dyDescent="0.6">
      <c r="A27" s="24" t="s">
        <v>222</v>
      </c>
      <c r="B27" s="24" t="s">
        <v>267</v>
      </c>
      <c r="C27" s="24" t="s">
        <v>224</v>
      </c>
      <c r="D27" s="274"/>
      <c r="E27" s="24" t="s">
        <v>232</v>
      </c>
      <c r="F27" s="24">
        <v>4.7504048476914384</v>
      </c>
      <c r="G27" s="24">
        <v>5.0131781194623271</v>
      </c>
      <c r="H27" s="24">
        <v>5.3151312992822692</v>
      </c>
      <c r="I27" s="24">
        <v>4.9559147063991809</v>
      </c>
      <c r="J27" s="24">
        <v>4.825648513699103</v>
      </c>
      <c r="K27" s="24">
        <v>4.8536002497664912</v>
      </c>
      <c r="L27" s="24">
        <v>4.7998265183308471</v>
      </c>
      <c r="M27" s="24">
        <v>4.6614286467680435</v>
      </c>
      <c r="N27" s="24">
        <v>4.4379531405133825</v>
      </c>
      <c r="O27" s="24"/>
      <c r="P27" s="24"/>
      <c r="Q27" s="24"/>
      <c r="R27" s="24"/>
      <c r="S27" s="24"/>
      <c r="T27" s="24"/>
      <c r="U27" s="24"/>
      <c r="V27" s="24"/>
      <c r="W27" s="24"/>
      <c r="X27" s="24"/>
      <c r="Y27" s="24"/>
      <c r="Z27" s="24"/>
      <c r="AA27" s="24"/>
      <c r="AB27" s="24"/>
      <c r="AC27" s="24"/>
      <c r="AD27" s="24"/>
      <c r="AE27" s="24"/>
      <c r="AF27" s="24"/>
      <c r="AG27" s="24"/>
      <c r="AH27" s="24"/>
      <c r="AI27" s="44"/>
      <c r="AJ27" s="44"/>
      <c r="AK27" s="44"/>
      <c r="AL27" s="44"/>
      <c r="AM27" s="44"/>
      <c r="AN27" s="44"/>
      <c r="AO27" s="44"/>
      <c r="AP27" s="44"/>
      <c r="AQ27" s="44"/>
      <c r="AR27" s="44"/>
      <c r="AS27" s="44"/>
      <c r="AT27" s="44"/>
    </row>
    <row r="28" spans="1:46" ht="14.25" customHeight="1" x14ac:dyDescent="0.6">
      <c r="A28" s="24" t="s">
        <v>222</v>
      </c>
      <c r="B28" s="24" t="s">
        <v>268</v>
      </c>
      <c r="C28" s="24" t="s">
        <v>224</v>
      </c>
      <c r="D28" s="274"/>
      <c r="E28" s="24" t="s">
        <v>234</v>
      </c>
      <c r="F28" s="24">
        <v>5.3832785190840617</v>
      </c>
      <c r="G28" s="24">
        <v>5.4782280051111512</v>
      </c>
      <c r="H28" s="24">
        <v>5.1801669636610965</v>
      </c>
      <c r="I28" s="24">
        <v>5.4324568779635829</v>
      </c>
      <c r="J28" s="24">
        <v>4.8130243692799421</v>
      </c>
      <c r="K28" s="24">
        <v>4.9285492623349993</v>
      </c>
      <c r="L28" s="24">
        <v>4.9476908006002693</v>
      </c>
      <c r="M28" s="24">
        <v>4.7481554590737769</v>
      </c>
      <c r="N28" s="24">
        <v>4.5958426982215572</v>
      </c>
      <c r="O28" s="24"/>
      <c r="P28" s="24"/>
      <c r="Q28" s="24"/>
      <c r="R28" s="24"/>
      <c r="S28" s="24"/>
      <c r="T28" s="24"/>
      <c r="U28" s="24"/>
      <c r="V28" s="24"/>
      <c r="W28" s="24"/>
      <c r="X28" s="24"/>
      <c r="Y28" s="24"/>
      <c r="Z28" s="24"/>
      <c r="AA28" s="24"/>
      <c r="AB28" s="24"/>
      <c r="AC28" s="24"/>
      <c r="AD28" s="24"/>
      <c r="AE28" s="24"/>
      <c r="AF28" s="24"/>
      <c r="AG28" s="24"/>
      <c r="AH28" s="24"/>
      <c r="AI28" s="44"/>
      <c r="AJ28" s="44"/>
      <c r="AK28" s="44"/>
      <c r="AL28" s="44"/>
      <c r="AM28" s="44"/>
      <c r="AN28" s="44"/>
      <c r="AO28" s="44"/>
      <c r="AP28" s="44"/>
      <c r="AQ28" s="44"/>
      <c r="AR28" s="44"/>
      <c r="AS28" s="44"/>
      <c r="AT28" s="44"/>
    </row>
    <row r="29" spans="1:46" ht="14.25" customHeight="1" x14ac:dyDescent="0.6">
      <c r="A29" s="24" t="s">
        <v>222</v>
      </c>
      <c r="B29" s="24" t="s">
        <v>269</v>
      </c>
      <c r="C29" s="24" t="s">
        <v>224</v>
      </c>
      <c r="D29" s="274"/>
      <c r="E29" s="24" t="s">
        <v>236</v>
      </c>
      <c r="F29" s="24">
        <v>6.7191247776823593</v>
      </c>
      <c r="G29" s="24">
        <v>3.9884892854579737</v>
      </c>
      <c r="H29" s="24">
        <v>3.7839932347295395</v>
      </c>
      <c r="I29" s="24">
        <v>3.7022051360404014</v>
      </c>
      <c r="J29" s="24">
        <v>3.8546730797605679</v>
      </c>
      <c r="K29" s="24">
        <v>3.7101175598599836</v>
      </c>
      <c r="L29" s="24">
        <v>3.6858241224753652</v>
      </c>
      <c r="M29" s="24">
        <v>3.7256815491094715</v>
      </c>
      <c r="N29" s="24">
        <v>3.7623841238401519</v>
      </c>
      <c r="O29" s="24"/>
      <c r="P29" s="24"/>
      <c r="Q29" s="24"/>
      <c r="R29" s="24"/>
      <c r="S29" s="24"/>
      <c r="T29" s="24"/>
      <c r="U29" s="24"/>
      <c r="V29" s="24"/>
      <c r="W29" s="24"/>
      <c r="X29" s="24"/>
      <c r="Y29" s="24"/>
      <c r="Z29" s="24"/>
      <c r="AA29" s="24"/>
      <c r="AB29" s="24"/>
      <c r="AC29" s="24"/>
      <c r="AD29" s="24"/>
      <c r="AE29" s="24"/>
      <c r="AF29" s="24"/>
      <c r="AG29" s="24"/>
      <c r="AH29" s="24"/>
      <c r="AI29" s="44"/>
      <c r="AJ29" s="44"/>
      <c r="AK29" s="44"/>
      <c r="AL29" s="44"/>
      <c r="AM29" s="44"/>
      <c r="AN29" s="44"/>
      <c r="AO29" s="44"/>
      <c r="AP29" s="44"/>
      <c r="AQ29" s="44"/>
      <c r="AR29" s="44"/>
      <c r="AS29" s="44"/>
      <c r="AT29" s="44"/>
    </row>
    <row r="30" spans="1:46" ht="14.25" customHeight="1" x14ac:dyDescent="0.6">
      <c r="A30" s="24" t="s">
        <v>222</v>
      </c>
      <c r="B30" s="24" t="s">
        <v>270</v>
      </c>
      <c r="C30" s="24" t="s">
        <v>224</v>
      </c>
      <c r="D30" s="274"/>
      <c r="E30" s="24" t="s">
        <v>238</v>
      </c>
      <c r="F30" s="24">
        <v>4.7690614793872115</v>
      </c>
      <c r="G30" s="24">
        <v>2.0567482483181294</v>
      </c>
      <c r="H30" s="24">
        <v>2.0422141113502459</v>
      </c>
      <c r="I30" s="24">
        <v>-5.7408407852977312</v>
      </c>
      <c r="J30" s="24">
        <v>1.7166453949234681</v>
      </c>
      <c r="K30" s="24">
        <v>2.6619207339303967</v>
      </c>
      <c r="L30" s="24">
        <v>2.5982741594355923</v>
      </c>
      <c r="M30" s="24">
        <v>2.7561881646308213</v>
      </c>
      <c r="N30" s="24">
        <v>3.2293345140795355</v>
      </c>
      <c r="O30" s="24"/>
      <c r="P30" s="24"/>
      <c r="Q30" s="24"/>
      <c r="R30" s="24"/>
      <c r="S30" s="24"/>
      <c r="T30" s="24"/>
      <c r="U30" s="24"/>
      <c r="V30" s="24"/>
      <c r="W30" s="24"/>
      <c r="X30" s="24"/>
      <c r="Y30" s="24"/>
      <c r="Z30" s="24"/>
      <c r="AA30" s="24"/>
      <c r="AB30" s="24"/>
      <c r="AC30" s="24"/>
      <c r="AD30" s="24"/>
      <c r="AE30" s="24"/>
      <c r="AF30" s="24"/>
      <c r="AG30" s="24"/>
      <c r="AH30" s="24"/>
      <c r="AI30" s="44"/>
      <c r="AJ30" s="44"/>
      <c r="AK30" s="44"/>
      <c r="AL30" s="44"/>
      <c r="AM30" s="44"/>
      <c r="AN30" s="44"/>
      <c r="AO30" s="44"/>
      <c r="AP30" s="44"/>
      <c r="AQ30" s="44"/>
      <c r="AR30" s="44"/>
      <c r="AS30" s="44"/>
      <c r="AT30" s="44"/>
    </row>
    <row r="31" spans="1:46" ht="14.25" customHeight="1" x14ac:dyDescent="0.6">
      <c r="A31" s="24" t="s">
        <v>222</v>
      </c>
      <c r="B31" s="24" t="s">
        <v>271</v>
      </c>
      <c r="C31" s="24" t="s">
        <v>224</v>
      </c>
      <c r="D31" s="274"/>
      <c r="E31" s="24" t="s">
        <v>240</v>
      </c>
      <c r="F31" s="24">
        <v>0.47038139903678328</v>
      </c>
      <c r="G31" s="24">
        <v>-1.6097154067769646</v>
      </c>
      <c r="H31" s="24">
        <v>-2.0318040976094687</v>
      </c>
      <c r="I31" s="24">
        <v>-9.8365069549522559</v>
      </c>
      <c r="J31" s="24">
        <v>0.45408175046877797</v>
      </c>
      <c r="K31" s="24">
        <v>1.7665518879684465</v>
      </c>
      <c r="L31" s="24">
        <v>1.5788321155036145</v>
      </c>
      <c r="M31" s="24">
        <v>1.2907937550126027</v>
      </c>
      <c r="N31" s="24">
        <v>1.2328554358396384</v>
      </c>
      <c r="O31" s="24"/>
      <c r="P31" s="24"/>
      <c r="Q31" s="24"/>
      <c r="R31" s="24"/>
      <c r="S31" s="24"/>
      <c r="T31" s="24"/>
      <c r="U31" s="24"/>
      <c r="V31" s="24"/>
      <c r="W31" s="24"/>
      <c r="X31" s="24"/>
      <c r="Y31" s="24"/>
      <c r="Z31" s="24"/>
      <c r="AA31" s="24"/>
      <c r="AB31" s="24"/>
      <c r="AC31" s="24"/>
      <c r="AD31" s="24"/>
      <c r="AE31" s="24"/>
      <c r="AF31" s="24"/>
      <c r="AG31" s="24"/>
      <c r="AH31" s="24"/>
      <c r="AI31" s="44"/>
      <c r="AJ31" s="44"/>
      <c r="AK31" s="44"/>
      <c r="AL31" s="44"/>
      <c r="AM31" s="44"/>
      <c r="AN31" s="44"/>
      <c r="AO31" s="44"/>
      <c r="AP31" s="44"/>
      <c r="AQ31" s="44"/>
      <c r="AR31" s="44"/>
      <c r="AS31" s="44"/>
      <c r="AT31" s="44"/>
    </row>
    <row r="32" spans="1:46" ht="14.25" customHeight="1" x14ac:dyDescent="0.6">
      <c r="A32" s="24" t="s">
        <v>222</v>
      </c>
      <c r="B32" s="24" t="s">
        <v>272</v>
      </c>
      <c r="C32" s="24" t="s">
        <v>224</v>
      </c>
      <c r="D32" s="274"/>
      <c r="E32" s="24" t="s">
        <v>242</v>
      </c>
      <c r="F32" s="24">
        <v>1.3648582680965606</v>
      </c>
      <c r="G32" s="24">
        <v>5.3828373256423241</v>
      </c>
      <c r="H32" s="24">
        <v>7.8730369520298664</v>
      </c>
      <c r="I32" s="24">
        <v>7.6238725633227613</v>
      </c>
      <c r="J32" s="24">
        <v>4.9180280994905274</v>
      </c>
      <c r="K32" s="24">
        <v>5.6670291243442819</v>
      </c>
      <c r="L32" s="24">
        <v>5.6430817348881197</v>
      </c>
      <c r="M32" s="24">
        <v>5.3655171044992622</v>
      </c>
      <c r="N32" s="24">
        <v>5.3811062829842067</v>
      </c>
      <c r="O32" s="24"/>
      <c r="P32" s="24"/>
      <c r="Q32" s="24"/>
      <c r="R32" s="24"/>
      <c r="S32" s="24"/>
      <c r="T32" s="24"/>
      <c r="U32" s="24"/>
      <c r="V32" s="24"/>
      <c r="W32" s="24"/>
      <c r="X32" s="24"/>
      <c r="Y32" s="24"/>
      <c r="Z32" s="24"/>
      <c r="AA32" s="24"/>
      <c r="AB32" s="24"/>
      <c r="AC32" s="24"/>
      <c r="AD32" s="24"/>
      <c r="AE32" s="24"/>
      <c r="AF32" s="24"/>
      <c r="AG32" s="24"/>
      <c r="AH32" s="24"/>
      <c r="AI32" s="44"/>
      <c r="AJ32" s="44"/>
      <c r="AK32" s="44"/>
      <c r="AL32" s="44"/>
      <c r="AM32" s="44"/>
      <c r="AN32" s="44"/>
      <c r="AO32" s="44"/>
      <c r="AP32" s="44"/>
      <c r="AQ32" s="44"/>
      <c r="AR32" s="44"/>
      <c r="AS32" s="44"/>
      <c r="AT32" s="44"/>
    </row>
    <row r="33" spans="1:46" ht="14.25" customHeight="1" x14ac:dyDescent="0.6">
      <c r="A33" s="24" t="s">
        <v>222</v>
      </c>
      <c r="B33" s="24" t="s">
        <v>273</v>
      </c>
      <c r="C33" s="24" t="s">
        <v>224</v>
      </c>
      <c r="D33" s="274"/>
      <c r="E33" s="24" t="s">
        <v>244</v>
      </c>
      <c r="F33" s="24">
        <v>-1.6092963276724125E-2</v>
      </c>
      <c r="G33" s="24">
        <v>-2.7948406399866332</v>
      </c>
      <c r="H33" s="24">
        <v>-2.19233633188471</v>
      </c>
      <c r="I33" s="24">
        <v>-9.4620105033347706</v>
      </c>
      <c r="J33" s="24">
        <v>-0.11153088165217043</v>
      </c>
      <c r="K33" s="24">
        <v>1.5185747455334411</v>
      </c>
      <c r="L33" s="24">
        <v>1.3164747449482685</v>
      </c>
      <c r="M33" s="24">
        <v>0.79634718412941408</v>
      </c>
      <c r="N33" s="24">
        <v>0.55092310569915837</v>
      </c>
      <c r="O33" s="24"/>
      <c r="P33" s="24"/>
      <c r="Q33" s="24"/>
      <c r="R33" s="24"/>
      <c r="S33" s="24"/>
      <c r="T33" s="24"/>
      <c r="U33" s="24"/>
      <c r="V33" s="24"/>
      <c r="W33" s="24"/>
      <c r="X33" s="24"/>
      <c r="Y33" s="24"/>
      <c r="Z33" s="24"/>
      <c r="AA33" s="24"/>
      <c r="AB33" s="24"/>
      <c r="AC33" s="24"/>
      <c r="AD33" s="24"/>
      <c r="AE33" s="24"/>
      <c r="AF33" s="24"/>
      <c r="AG33" s="24"/>
      <c r="AH33" s="24"/>
      <c r="AI33" s="44"/>
      <c r="AJ33" s="44"/>
      <c r="AK33" s="44"/>
      <c r="AL33" s="44"/>
      <c r="AM33" s="44"/>
      <c r="AN33" s="44"/>
      <c r="AO33" s="44"/>
      <c r="AP33" s="44"/>
      <c r="AQ33" s="44"/>
      <c r="AR33" s="44"/>
      <c r="AS33" s="44"/>
      <c r="AT33" s="44"/>
    </row>
    <row r="34" spans="1:46" ht="14.25" customHeight="1" x14ac:dyDescent="0.6">
      <c r="A34" s="24" t="s">
        <v>222</v>
      </c>
      <c r="B34" s="24" t="s">
        <v>274</v>
      </c>
      <c r="C34" s="24" t="s">
        <v>224</v>
      </c>
      <c r="D34" s="274"/>
      <c r="E34" s="24" t="s">
        <v>246</v>
      </c>
      <c r="F34" s="24">
        <v>1.519506945832916</v>
      </c>
      <c r="G34" s="24">
        <v>6.9148759014560426</v>
      </c>
      <c r="H34" s="24">
        <v>6.7764160573934848</v>
      </c>
      <c r="I34" s="24">
        <v>5.2105953997889012</v>
      </c>
      <c r="J34" s="24">
        <v>4.8024203169000144</v>
      </c>
      <c r="K34" s="24">
        <v>5.87324380139661</v>
      </c>
      <c r="L34" s="24">
        <v>5.8448797699851047</v>
      </c>
      <c r="M34" s="24">
        <v>5.5792608568239253</v>
      </c>
      <c r="N34" s="24">
        <v>5.6168605864951164</v>
      </c>
      <c r="O34" s="24"/>
      <c r="P34" s="24"/>
      <c r="Q34" s="24"/>
      <c r="R34" s="24"/>
      <c r="S34" s="24"/>
      <c r="T34" s="24"/>
      <c r="U34" s="24"/>
      <c r="V34" s="24"/>
      <c r="W34" s="24"/>
      <c r="X34" s="24"/>
      <c r="Y34" s="24"/>
      <c r="Z34" s="24"/>
      <c r="AA34" s="24"/>
      <c r="AB34" s="24"/>
      <c r="AC34" s="24"/>
      <c r="AD34" s="24"/>
      <c r="AE34" s="24"/>
      <c r="AF34" s="24"/>
      <c r="AG34" s="24"/>
      <c r="AH34" s="24"/>
      <c r="AI34" s="44"/>
      <c r="AJ34" s="44"/>
      <c r="AK34" s="44"/>
      <c r="AL34" s="44"/>
      <c r="AM34" s="44"/>
      <c r="AN34" s="44"/>
      <c r="AO34" s="44"/>
      <c r="AP34" s="44"/>
      <c r="AQ34" s="44"/>
      <c r="AR34" s="44"/>
      <c r="AS34" s="44"/>
      <c r="AT34" s="44"/>
    </row>
    <row r="35" spans="1:46" ht="14.25" customHeight="1" x14ac:dyDescent="0.6">
      <c r="A35" s="24" t="s">
        <v>222</v>
      </c>
      <c r="B35" s="24" t="s">
        <v>275</v>
      </c>
      <c r="C35" s="24" t="s">
        <v>224</v>
      </c>
      <c r="D35" s="274"/>
      <c r="E35" s="24" t="s">
        <v>248</v>
      </c>
      <c r="F35" s="24">
        <v>-0.39309746868787465</v>
      </c>
      <c r="G35" s="24">
        <v>-2.9648723427228787</v>
      </c>
      <c r="H35" s="24">
        <v>-1.5747080877771471</v>
      </c>
      <c r="I35" s="24">
        <v>-4.5562934352377038</v>
      </c>
      <c r="J35" s="24">
        <v>-0.39246589343580263</v>
      </c>
      <c r="K35" s="24">
        <v>0.96712037512751869</v>
      </c>
      <c r="L35" s="24">
        <v>0.87779512254747893</v>
      </c>
      <c r="M35" s="24">
        <v>0.58388015725700837</v>
      </c>
      <c r="N35" s="24">
        <v>0.44635835858842138</v>
      </c>
      <c r="O35" s="24"/>
      <c r="P35" s="24"/>
      <c r="Q35" s="24"/>
      <c r="R35" s="24"/>
      <c r="S35" s="24"/>
      <c r="T35" s="24"/>
      <c r="U35" s="24"/>
      <c r="V35" s="24"/>
      <c r="W35" s="24"/>
      <c r="X35" s="24"/>
      <c r="Y35" s="24"/>
      <c r="Z35" s="24"/>
      <c r="AA35" s="24"/>
      <c r="AB35" s="24"/>
      <c r="AC35" s="24"/>
      <c r="AD35" s="24"/>
      <c r="AE35" s="24"/>
      <c r="AF35" s="24"/>
      <c r="AG35" s="24"/>
      <c r="AH35" s="24"/>
      <c r="AI35" s="44"/>
      <c r="AJ35" s="44"/>
      <c r="AK35" s="44"/>
      <c r="AL35" s="44"/>
      <c r="AM35" s="44"/>
      <c r="AN35" s="44"/>
      <c r="AO35" s="44"/>
      <c r="AP35" s="44"/>
      <c r="AQ35" s="44"/>
      <c r="AR35" s="44"/>
      <c r="AS35" s="44"/>
      <c r="AT35" s="44"/>
    </row>
    <row r="36" spans="1:46" ht="14.25" customHeight="1" x14ac:dyDescent="0.6">
      <c r="A36" s="24" t="s">
        <v>222</v>
      </c>
      <c r="B36" s="24" t="s">
        <v>276</v>
      </c>
      <c r="C36" s="24" t="s">
        <v>224</v>
      </c>
      <c r="D36" s="274"/>
      <c r="E36" s="24" t="s">
        <v>250</v>
      </c>
      <c r="F36" s="24">
        <v>1.5107180005632708</v>
      </c>
      <c r="G36" s="24">
        <v>6.9179514675310427</v>
      </c>
      <c r="H36" s="24">
        <v>6.7268005178216219</v>
      </c>
      <c r="I36" s="24">
        <v>4.318775483635914</v>
      </c>
      <c r="J36" s="24">
        <v>5.4361159017610881</v>
      </c>
      <c r="K36" s="24">
        <v>6.2082582335220611</v>
      </c>
      <c r="L36" s="24">
        <v>6.183900655161592</v>
      </c>
      <c r="M36" s="24">
        <v>5.8586953838385334</v>
      </c>
      <c r="N36" s="24">
        <v>5.7897186051075229</v>
      </c>
      <c r="O36" s="24"/>
      <c r="P36" s="24"/>
      <c r="Q36" s="24"/>
      <c r="R36" s="24"/>
      <c r="S36" s="24"/>
      <c r="T36" s="24"/>
      <c r="U36" s="24"/>
      <c r="V36" s="24"/>
      <c r="W36" s="24"/>
      <c r="X36" s="24"/>
      <c r="Y36" s="24"/>
      <c r="Z36" s="24"/>
      <c r="AA36" s="24"/>
      <c r="AB36" s="24"/>
      <c r="AC36" s="24"/>
      <c r="AD36" s="24"/>
      <c r="AE36" s="24"/>
      <c r="AF36" s="24"/>
      <c r="AG36" s="24"/>
      <c r="AH36" s="24"/>
      <c r="AI36" s="44"/>
      <c r="AJ36" s="44"/>
      <c r="AK36" s="44"/>
      <c r="AL36" s="44"/>
      <c r="AM36" s="44"/>
      <c r="AN36" s="44"/>
      <c r="AO36" s="44"/>
      <c r="AP36" s="44"/>
      <c r="AQ36" s="44"/>
      <c r="AR36" s="44"/>
      <c r="AS36" s="44"/>
      <c r="AT36" s="44"/>
    </row>
    <row r="37" spans="1:46" ht="14.25" customHeight="1" x14ac:dyDescent="0.6">
      <c r="A37" s="24" t="s">
        <v>222</v>
      </c>
      <c r="B37" s="24" t="s">
        <v>277</v>
      </c>
      <c r="C37" s="24" t="s">
        <v>224</v>
      </c>
      <c r="D37" s="274"/>
      <c r="E37" s="24" t="s">
        <v>252</v>
      </c>
      <c r="F37" s="24">
        <v>-1.7721226814143245</v>
      </c>
      <c r="G37" s="24">
        <v>-1.6719885076624013</v>
      </c>
      <c r="H37" s="24">
        <v>-1.088684854019359</v>
      </c>
      <c r="I37" s="24">
        <v>-8.4402213505967119</v>
      </c>
      <c r="J37" s="24">
        <v>-0.61925158948524373</v>
      </c>
      <c r="K37" s="24">
        <v>0.58685568218679296</v>
      </c>
      <c r="L37" s="24">
        <v>0.59983744786658233</v>
      </c>
      <c r="M37" s="24">
        <v>0.53255328460503981</v>
      </c>
      <c r="N37" s="24">
        <v>0.79107181770461432</v>
      </c>
      <c r="O37" s="24"/>
      <c r="P37" s="24"/>
      <c r="Q37" s="24"/>
      <c r="R37" s="24"/>
      <c r="S37" s="24"/>
      <c r="T37" s="24"/>
      <c r="U37" s="24"/>
      <c r="V37" s="24"/>
      <c r="W37" s="24"/>
      <c r="X37" s="24"/>
      <c r="Y37" s="24"/>
      <c r="Z37" s="24"/>
      <c r="AA37" s="24"/>
      <c r="AB37" s="24"/>
      <c r="AC37" s="24"/>
      <c r="AD37" s="24"/>
      <c r="AE37" s="24"/>
      <c r="AF37" s="24"/>
      <c r="AG37" s="24"/>
      <c r="AH37" s="24"/>
      <c r="AI37" s="44"/>
      <c r="AJ37" s="44"/>
      <c r="AK37" s="44"/>
      <c r="AL37" s="44"/>
      <c r="AM37" s="44"/>
      <c r="AN37" s="44"/>
      <c r="AO37" s="44"/>
      <c r="AP37" s="44"/>
      <c r="AQ37" s="44"/>
      <c r="AR37" s="44"/>
      <c r="AS37" s="44"/>
      <c r="AT37" s="44"/>
    </row>
    <row r="38" spans="1:46" ht="14.25" customHeight="1" x14ac:dyDescent="0.6">
      <c r="A38" s="24" t="s">
        <v>222</v>
      </c>
      <c r="B38" s="24" t="s">
        <v>278</v>
      </c>
      <c r="C38" s="24" t="s">
        <v>224</v>
      </c>
      <c r="D38" s="274"/>
      <c r="E38" s="24" t="s">
        <v>254</v>
      </c>
      <c r="F38" s="24">
        <v>8.2951389690964223</v>
      </c>
      <c r="G38" s="24">
        <v>4.9111276101236463</v>
      </c>
      <c r="H38" s="24">
        <v>3.1522118369099505</v>
      </c>
      <c r="I38" s="24">
        <v>6.3892841370716944</v>
      </c>
      <c r="J38" s="24">
        <v>6.6673177005542588</v>
      </c>
      <c r="K38" s="24">
        <v>7.3419296255895299</v>
      </c>
      <c r="L38" s="24">
        <v>7.2032337049890511</v>
      </c>
      <c r="M38" s="24">
        <v>6.5766942625653915</v>
      </c>
      <c r="N38" s="24">
        <v>6.3972515488662962</v>
      </c>
      <c r="O38" s="24"/>
      <c r="P38" s="24"/>
      <c r="Q38" s="24"/>
      <c r="R38" s="24"/>
      <c r="S38" s="24"/>
      <c r="T38" s="24"/>
      <c r="U38" s="24"/>
      <c r="V38" s="24"/>
      <c r="W38" s="24"/>
      <c r="X38" s="24"/>
      <c r="Y38" s="24"/>
      <c r="Z38" s="24"/>
      <c r="AA38" s="24"/>
      <c r="AB38" s="24"/>
      <c r="AC38" s="24"/>
      <c r="AD38" s="24"/>
      <c r="AE38" s="24"/>
      <c r="AF38" s="24"/>
      <c r="AG38" s="24"/>
      <c r="AH38" s="24"/>
      <c r="AI38" s="44"/>
      <c r="AJ38" s="44"/>
      <c r="AK38" s="44"/>
      <c r="AL38" s="44"/>
      <c r="AM38" s="44"/>
      <c r="AN38" s="44"/>
      <c r="AO38" s="44"/>
      <c r="AP38" s="44"/>
      <c r="AQ38" s="44"/>
      <c r="AR38" s="44"/>
      <c r="AS38" s="44"/>
      <c r="AT38" s="44"/>
    </row>
    <row r="39" spans="1:46" ht="14.25" customHeight="1" x14ac:dyDescent="0.6">
      <c r="A39" s="24" t="s">
        <v>222</v>
      </c>
      <c r="B39" s="24" t="s">
        <v>279</v>
      </c>
      <c r="C39" s="24" t="s">
        <v>224</v>
      </c>
      <c r="D39" s="274"/>
      <c r="E39" s="24" t="s">
        <v>256</v>
      </c>
      <c r="F39" s="24">
        <v>-1.1902005990741353</v>
      </c>
      <c r="G39" s="24">
        <v>-1.1768679344550574</v>
      </c>
      <c r="H39" s="24">
        <v>-1.9667314296101543</v>
      </c>
      <c r="I39" s="24">
        <v>-8.4960186995726694</v>
      </c>
      <c r="J39" s="24">
        <v>0.19628925350758658</v>
      </c>
      <c r="K39" s="24">
        <v>0.98790780187674565</v>
      </c>
      <c r="L39" s="24">
        <v>0.95870126119378718</v>
      </c>
      <c r="M39" s="24">
        <v>0.47226010611209812</v>
      </c>
      <c r="N39" s="24">
        <v>0.69797944595417716</v>
      </c>
      <c r="O39" s="24"/>
      <c r="P39" s="24"/>
      <c r="Q39" s="24"/>
      <c r="R39" s="24"/>
      <c r="S39" s="24"/>
      <c r="T39" s="24"/>
      <c r="U39" s="24"/>
      <c r="V39" s="24"/>
      <c r="W39" s="24"/>
      <c r="X39" s="24"/>
      <c r="Y39" s="24"/>
      <c r="Z39" s="24"/>
      <c r="AA39" s="24"/>
      <c r="AB39" s="24"/>
      <c r="AC39" s="24"/>
      <c r="AD39" s="24"/>
      <c r="AE39" s="24"/>
      <c r="AF39" s="24"/>
      <c r="AG39" s="24"/>
      <c r="AH39" s="24"/>
      <c r="AI39" s="44"/>
      <c r="AJ39" s="44"/>
      <c r="AK39" s="44"/>
      <c r="AL39" s="44"/>
      <c r="AM39" s="44"/>
      <c r="AN39" s="44"/>
      <c r="AO39" s="44"/>
      <c r="AP39" s="44"/>
      <c r="AQ39" s="44"/>
      <c r="AR39" s="44"/>
      <c r="AS39" s="44"/>
      <c r="AT39" s="44"/>
    </row>
    <row r="40" spans="1:46" ht="14.25" customHeight="1" x14ac:dyDescent="0.6">
      <c r="A40" s="24" t="s">
        <v>222</v>
      </c>
      <c r="B40" s="24" t="s">
        <v>280</v>
      </c>
      <c r="C40" s="24" t="s">
        <v>224</v>
      </c>
      <c r="D40" s="274"/>
      <c r="E40" s="24" t="s">
        <v>258</v>
      </c>
      <c r="F40" s="24">
        <v>6.2134509099783228</v>
      </c>
      <c r="G40" s="24">
        <v>3.0125445493948715</v>
      </c>
      <c r="H40" s="24">
        <v>3.834052121867944</v>
      </c>
      <c r="I40" s="24">
        <v>5.9466950288577358</v>
      </c>
      <c r="J40" s="24">
        <v>5.5334995559583815</v>
      </c>
      <c r="K40" s="24">
        <v>7.2928381478879736</v>
      </c>
      <c r="L40" s="24">
        <v>7.1088130383684636</v>
      </c>
      <c r="M40" s="24">
        <v>6.4701838016004478</v>
      </c>
      <c r="N40" s="24">
        <v>6.2967221960080453</v>
      </c>
      <c r="O40" s="24"/>
      <c r="P40" s="24"/>
      <c r="Q40" s="24"/>
      <c r="R40" s="24"/>
      <c r="S40" s="24"/>
      <c r="T40" s="24"/>
      <c r="U40" s="24"/>
      <c r="V40" s="24"/>
      <c r="W40" s="24"/>
      <c r="X40" s="24"/>
      <c r="Y40" s="24"/>
      <c r="Z40" s="24"/>
      <c r="AA40" s="24"/>
      <c r="AB40" s="24"/>
      <c r="AC40" s="24"/>
      <c r="AD40" s="24"/>
      <c r="AE40" s="24"/>
      <c r="AF40" s="24"/>
      <c r="AG40" s="24"/>
      <c r="AH40" s="24"/>
      <c r="AI40" s="44"/>
      <c r="AJ40" s="44"/>
      <c r="AK40" s="44"/>
      <c r="AL40" s="44"/>
      <c r="AM40" s="44"/>
      <c r="AN40" s="44"/>
      <c r="AO40" s="44"/>
      <c r="AP40" s="44"/>
      <c r="AQ40" s="44"/>
      <c r="AR40" s="44"/>
      <c r="AS40" s="44"/>
      <c r="AT40" s="44"/>
    </row>
    <row r="41" spans="1:46" ht="14.25" customHeight="1" x14ac:dyDescent="0.6">
      <c r="A41" s="24" t="s">
        <v>222</v>
      </c>
      <c r="B41" s="24" t="s">
        <v>281</v>
      </c>
      <c r="C41" s="24" t="s">
        <v>224</v>
      </c>
      <c r="D41" s="274"/>
      <c r="E41" s="24" t="s">
        <v>260</v>
      </c>
      <c r="F41" s="24">
        <v>-1.6986484140709472</v>
      </c>
      <c r="G41" s="24">
        <v>-1.1733551453175934</v>
      </c>
      <c r="H41" s="24">
        <v>-1.4887371457236191</v>
      </c>
      <c r="I41" s="24">
        <v>-6.0948888141793729</v>
      </c>
      <c r="J41" s="24">
        <v>-0.21412755546327392</v>
      </c>
      <c r="K41" s="24">
        <v>0.63198232313722258</v>
      </c>
      <c r="L41" s="24">
        <v>0.63345911950814693</v>
      </c>
      <c r="M41" s="24">
        <v>0.34205062790801399</v>
      </c>
      <c r="N41" s="24">
        <v>0.71166672723159619</v>
      </c>
      <c r="O41" s="24"/>
      <c r="P41" s="24"/>
      <c r="Q41" s="24"/>
      <c r="R41" s="24"/>
      <c r="S41" s="24"/>
      <c r="T41" s="24"/>
      <c r="U41" s="24"/>
      <c r="V41" s="24"/>
      <c r="W41" s="24"/>
      <c r="X41" s="24"/>
      <c r="Y41" s="24"/>
      <c r="Z41" s="24"/>
      <c r="AA41" s="24"/>
      <c r="AB41" s="24"/>
      <c r="AC41" s="24"/>
      <c r="AD41" s="24"/>
      <c r="AE41" s="24"/>
      <c r="AF41" s="24"/>
      <c r="AG41" s="24"/>
      <c r="AH41" s="24"/>
      <c r="AI41" s="44"/>
      <c r="AJ41" s="44"/>
      <c r="AK41" s="44"/>
      <c r="AL41" s="44"/>
      <c r="AM41" s="44"/>
      <c r="AN41" s="44"/>
      <c r="AO41" s="44"/>
      <c r="AP41" s="44"/>
      <c r="AQ41" s="44"/>
      <c r="AR41" s="44"/>
      <c r="AS41" s="44"/>
      <c r="AT41" s="44"/>
    </row>
    <row r="42" spans="1:46" ht="14.25" customHeight="1" x14ac:dyDescent="0.6">
      <c r="A42" s="24" t="s">
        <v>222</v>
      </c>
      <c r="B42" s="24" t="s">
        <v>261</v>
      </c>
      <c r="C42" s="24" t="s">
        <v>224</v>
      </c>
      <c r="D42" s="274"/>
      <c r="E42" s="24" t="s">
        <v>262</v>
      </c>
      <c r="F42" s="24">
        <v>6.8177887879078067</v>
      </c>
      <c r="G42" s="24">
        <v>3.09522019432685</v>
      </c>
      <c r="H42" s="24">
        <v>4.5711330465597158</v>
      </c>
      <c r="I42" s="24">
        <v>5.9636982670682626</v>
      </c>
      <c r="J42" s="24">
        <v>5.7877375720064403</v>
      </c>
      <c r="K42" s="24">
        <v>7.5701630997960043</v>
      </c>
      <c r="L42" s="24">
        <v>7.4513149636007672</v>
      </c>
      <c r="M42" s="24">
        <v>6.7527534010763652</v>
      </c>
      <c r="N42" s="24">
        <v>6.5364294726198997</v>
      </c>
      <c r="O42" s="24"/>
      <c r="P42" s="24"/>
      <c r="Q42" s="24"/>
      <c r="R42" s="24"/>
      <c r="S42" s="24"/>
      <c r="T42" s="24"/>
      <c r="U42" s="24"/>
      <c r="V42" s="24"/>
      <c r="W42" s="24"/>
      <c r="X42" s="24"/>
      <c r="Y42" s="24"/>
      <c r="Z42" s="24"/>
      <c r="AA42" s="24"/>
      <c r="AB42" s="24"/>
      <c r="AC42" s="24"/>
      <c r="AD42" s="24"/>
      <c r="AE42" s="24"/>
      <c r="AF42" s="24"/>
      <c r="AG42" s="24"/>
      <c r="AH42" s="24"/>
      <c r="AI42" s="44"/>
      <c r="AJ42" s="44"/>
      <c r="AK42" s="44"/>
      <c r="AL42" s="44"/>
      <c r="AM42" s="44"/>
      <c r="AN42" s="44"/>
      <c r="AO42" s="44"/>
      <c r="AP42" s="44"/>
      <c r="AQ42" s="44"/>
      <c r="AR42" s="44"/>
      <c r="AS42" s="44"/>
      <c r="AT42" s="44"/>
    </row>
    <row r="43" spans="1:46" ht="14.25" customHeight="1" x14ac:dyDescent="0.6">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44"/>
      <c r="AJ43" s="44"/>
      <c r="AK43" s="44"/>
      <c r="AL43" s="44"/>
      <c r="AM43" s="44"/>
      <c r="AN43" s="44"/>
      <c r="AO43" s="44"/>
      <c r="AP43" s="44"/>
      <c r="AQ43" s="44"/>
      <c r="AR43" s="44"/>
      <c r="AS43" s="44"/>
      <c r="AT43" s="44"/>
    </row>
    <row r="44" spans="1:46" ht="14.25" customHeight="1" x14ac:dyDescent="0.6">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44"/>
      <c r="AJ44" s="44"/>
      <c r="AK44" s="44"/>
      <c r="AL44" s="44"/>
      <c r="AM44" s="44"/>
      <c r="AN44" s="44"/>
      <c r="AO44" s="44"/>
      <c r="AP44" s="44"/>
      <c r="AQ44" s="44"/>
      <c r="AR44" s="44"/>
      <c r="AS44" s="44"/>
      <c r="AT44" s="44"/>
    </row>
    <row r="45" spans="1:46" ht="14.25" customHeight="1" x14ac:dyDescent="0.6">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44"/>
      <c r="AJ45" s="44"/>
      <c r="AK45" s="44"/>
      <c r="AL45" s="44"/>
      <c r="AM45" s="44"/>
      <c r="AN45" s="44"/>
      <c r="AO45" s="44"/>
      <c r="AP45" s="44"/>
      <c r="AQ45" s="44"/>
      <c r="AR45" s="44"/>
      <c r="AS45" s="44"/>
      <c r="AT45" s="44"/>
    </row>
    <row r="46" spans="1:46" ht="14.25" customHeight="1" x14ac:dyDescent="0.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44"/>
      <c r="AJ46" s="44"/>
      <c r="AK46" s="44"/>
      <c r="AL46" s="44"/>
      <c r="AM46" s="44"/>
      <c r="AN46" s="44"/>
      <c r="AO46" s="44"/>
      <c r="AP46" s="44"/>
      <c r="AQ46" s="44"/>
      <c r="AR46" s="44"/>
      <c r="AS46" s="44"/>
      <c r="AT46" s="44"/>
    </row>
    <row r="47" spans="1:46" ht="14.25" customHeight="1" x14ac:dyDescent="0.6">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44"/>
      <c r="AJ47" s="44"/>
      <c r="AK47" s="44"/>
      <c r="AL47" s="44"/>
      <c r="AM47" s="44"/>
      <c r="AN47" s="44"/>
      <c r="AO47" s="44"/>
      <c r="AP47" s="44"/>
      <c r="AQ47" s="44"/>
      <c r="AR47" s="44"/>
      <c r="AS47" s="44"/>
      <c r="AT47" s="44"/>
    </row>
    <row r="48" spans="1:46" ht="14.25" customHeight="1" x14ac:dyDescent="0.6">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44"/>
      <c r="AJ48" s="44"/>
      <c r="AK48" s="44"/>
      <c r="AL48" s="44"/>
      <c r="AM48" s="44"/>
      <c r="AN48" s="44"/>
      <c r="AO48" s="44"/>
      <c r="AP48" s="44"/>
      <c r="AQ48" s="44"/>
      <c r="AR48" s="44"/>
      <c r="AS48" s="44"/>
      <c r="AT48" s="44"/>
    </row>
    <row r="49" spans="1:46" ht="14.25" customHeight="1" x14ac:dyDescent="0.6">
      <c r="A49" s="24"/>
      <c r="B49" s="24"/>
      <c r="C49" s="24"/>
      <c r="D49" s="24"/>
      <c r="E49" s="24"/>
      <c r="F49" s="24" t="s">
        <v>282</v>
      </c>
      <c r="G49" s="24" t="s">
        <v>283</v>
      </c>
      <c r="H49" s="24" t="s">
        <v>284</v>
      </c>
      <c r="I49" s="24" t="s">
        <v>285</v>
      </c>
      <c r="J49" s="24" t="s">
        <v>286</v>
      </c>
      <c r="K49" s="24" t="s">
        <v>287</v>
      </c>
      <c r="L49" s="24" t="s">
        <v>288</v>
      </c>
      <c r="M49" s="24" t="s">
        <v>289</v>
      </c>
      <c r="N49" s="24" t="s">
        <v>290</v>
      </c>
      <c r="O49" s="24" t="s">
        <v>291</v>
      </c>
      <c r="P49" s="24" t="s">
        <v>292</v>
      </c>
      <c r="Q49" s="24" t="s">
        <v>293</v>
      </c>
      <c r="R49" s="24" t="s">
        <v>294</v>
      </c>
      <c r="S49" s="24" t="s">
        <v>295</v>
      </c>
      <c r="T49" s="24" t="s">
        <v>296</v>
      </c>
      <c r="U49" s="24" t="s">
        <v>297</v>
      </c>
      <c r="V49" s="24"/>
      <c r="W49" s="24"/>
      <c r="X49" s="24"/>
      <c r="Y49" s="24"/>
      <c r="Z49" s="24"/>
      <c r="AA49" s="24"/>
      <c r="AB49" s="24"/>
      <c r="AC49" s="24"/>
      <c r="AD49" s="24"/>
      <c r="AE49" s="24"/>
      <c r="AF49" s="24"/>
      <c r="AG49" s="24"/>
      <c r="AH49" s="24"/>
      <c r="AI49" s="44"/>
      <c r="AJ49" s="44"/>
      <c r="AK49" s="44"/>
      <c r="AL49" s="44"/>
      <c r="AM49" s="44"/>
      <c r="AN49" s="44"/>
      <c r="AO49" s="44"/>
      <c r="AP49" s="44"/>
      <c r="AQ49" s="44"/>
      <c r="AR49" s="44"/>
      <c r="AS49" s="44"/>
      <c r="AT49" s="44"/>
    </row>
    <row r="50" spans="1:46" ht="14.25" customHeight="1" x14ac:dyDescent="0.6">
      <c r="A50" s="24" t="s">
        <v>222</v>
      </c>
      <c r="B50" s="24" t="s">
        <v>298</v>
      </c>
      <c r="C50" s="24" t="s">
        <v>299</v>
      </c>
      <c r="D50" s="273" t="s">
        <v>225</v>
      </c>
      <c r="E50" s="24" t="s">
        <v>300</v>
      </c>
      <c r="F50" s="24">
        <v>1.9826799724776418</v>
      </c>
      <c r="G50" s="24">
        <v>1.0624198684549371</v>
      </c>
      <c r="H50" s="24">
        <v>2.7469386199636721</v>
      </c>
      <c r="I50" s="24">
        <v>1.8057310575033065</v>
      </c>
      <c r="J50" s="24">
        <v>2.070511629423113</v>
      </c>
      <c r="K50" s="24">
        <v>3.2629394930540969</v>
      </c>
      <c r="L50" s="24">
        <v>0.61213786118470104</v>
      </c>
      <c r="M50" s="24">
        <v>-3.8026465605330553</v>
      </c>
      <c r="N50" s="24">
        <v>-8.9394337530460923</v>
      </c>
      <c r="O50" s="24">
        <v>-9.6866813222980532</v>
      </c>
      <c r="P50" s="24">
        <v>-7.9113741101465545</v>
      </c>
      <c r="Q50" s="24">
        <v>-4.6496211612198302</v>
      </c>
      <c r="R50" s="24">
        <v>0.22863393969739812</v>
      </c>
      <c r="S50" s="24">
        <v>1.4177108801435117</v>
      </c>
      <c r="T50" s="24">
        <v>1.7570950697674381</v>
      </c>
      <c r="U50" s="24">
        <v>1.7663828672019295</v>
      </c>
      <c r="V50" s="24"/>
      <c r="W50" s="24"/>
      <c r="X50" s="24"/>
      <c r="Y50" s="24"/>
      <c r="Z50" s="24"/>
      <c r="AA50" s="24"/>
      <c r="AB50" s="24"/>
      <c r="AC50" s="24"/>
      <c r="AD50" s="24"/>
      <c r="AE50" s="24"/>
      <c r="AF50" s="24"/>
      <c r="AG50" s="24"/>
      <c r="AH50" s="24"/>
      <c r="AI50" s="44"/>
      <c r="AJ50" s="44"/>
      <c r="AK50" s="44"/>
      <c r="AL50" s="44"/>
      <c r="AM50" s="44"/>
      <c r="AN50" s="44"/>
      <c r="AO50" s="44"/>
      <c r="AP50" s="44"/>
      <c r="AQ50" s="44"/>
      <c r="AR50" s="44"/>
      <c r="AS50" s="44"/>
      <c r="AT50" s="44"/>
    </row>
    <row r="51" spans="1:46" ht="14.25" customHeight="1" x14ac:dyDescent="0.6">
      <c r="A51" s="24" t="s">
        <v>222</v>
      </c>
      <c r="B51" s="24" t="s">
        <v>301</v>
      </c>
      <c r="C51" s="24" t="s">
        <v>299</v>
      </c>
      <c r="D51" s="274"/>
      <c r="E51" s="24" t="s">
        <v>302</v>
      </c>
      <c r="F51" s="24">
        <v>1.2797406600017249</v>
      </c>
      <c r="G51" s="24">
        <v>1.9191920174329362</v>
      </c>
      <c r="H51" s="24">
        <v>3.4832424060025415</v>
      </c>
      <c r="I51" s="24">
        <v>2.6699821945511748</v>
      </c>
      <c r="J51" s="24">
        <v>2.4111121604157049</v>
      </c>
      <c r="K51" s="24">
        <v>3.8219395709868293</v>
      </c>
      <c r="L51" s="24">
        <v>0.93807429057358938</v>
      </c>
      <c r="M51" s="24">
        <v>-5.7406274637611627</v>
      </c>
      <c r="N51" s="24">
        <v>-12.669570901622439</v>
      </c>
      <c r="O51" s="24">
        <v>-13.818823100774342</v>
      </c>
      <c r="P51" s="24">
        <v>-12.194317494744679</v>
      </c>
      <c r="Q51" s="24">
        <v>-7.2652929027481727</v>
      </c>
      <c r="R51" s="24">
        <v>0.32596515152927164</v>
      </c>
      <c r="S51" s="24">
        <v>1.3694483100229609</v>
      </c>
      <c r="T51" s="24">
        <v>2.0853939991829487</v>
      </c>
      <c r="U51" s="24">
        <v>2.0434211402159521</v>
      </c>
      <c r="V51" s="24"/>
      <c r="W51" s="24"/>
      <c r="X51" s="24"/>
      <c r="Y51" s="24"/>
      <c r="Z51" s="24"/>
      <c r="AA51" s="24"/>
      <c r="AB51" s="24"/>
      <c r="AC51" s="24"/>
      <c r="AD51" s="24"/>
      <c r="AE51" s="24"/>
      <c r="AF51" s="24"/>
      <c r="AG51" s="24"/>
      <c r="AH51" s="24"/>
      <c r="AI51" s="44"/>
      <c r="AJ51" s="44"/>
      <c r="AK51" s="44"/>
      <c r="AL51" s="44"/>
      <c r="AM51" s="44"/>
      <c r="AN51" s="44"/>
      <c r="AO51" s="44"/>
      <c r="AP51" s="44"/>
      <c r="AQ51" s="44"/>
      <c r="AR51" s="44"/>
      <c r="AS51" s="44"/>
      <c r="AT51" s="44"/>
    </row>
    <row r="52" spans="1:46" ht="14.25" customHeight="1" x14ac:dyDescent="0.6">
      <c r="A52" s="24" t="s">
        <v>222</v>
      </c>
      <c r="B52" s="24" t="s">
        <v>303</v>
      </c>
      <c r="C52" s="24" t="s">
        <v>299</v>
      </c>
      <c r="D52" s="274"/>
      <c r="E52" s="24" t="s">
        <v>304</v>
      </c>
      <c r="F52" s="24">
        <v>1.2330619873845656</v>
      </c>
      <c r="G52" s="24">
        <v>1.5444257967531134</v>
      </c>
      <c r="H52" s="24">
        <v>1.5075411023842007</v>
      </c>
      <c r="I52" s="24">
        <v>1.1564323233660503</v>
      </c>
      <c r="J52" s="24">
        <v>1.2828650842265552</v>
      </c>
      <c r="K52" s="24">
        <v>1.0505530569671007</v>
      </c>
      <c r="L52" s="24">
        <v>1.2164409192279075</v>
      </c>
      <c r="M52" s="24">
        <v>1.0542718902223958</v>
      </c>
      <c r="N52" s="24">
        <v>0.78017748514488094</v>
      </c>
      <c r="O52" s="24">
        <v>0.87640367908969519</v>
      </c>
      <c r="P52" s="24">
        <v>0.80188212736197662</v>
      </c>
      <c r="Q52" s="24">
        <v>1.0693775885419434</v>
      </c>
      <c r="R52" s="24">
        <v>1.5485508292561778</v>
      </c>
      <c r="S52" s="24">
        <v>1.275815283650896</v>
      </c>
      <c r="T52" s="24">
        <v>1.3196164053013177</v>
      </c>
      <c r="U52" s="24">
        <v>1.3407118927265231</v>
      </c>
      <c r="V52" s="24"/>
      <c r="W52" s="24"/>
      <c r="X52" s="24"/>
      <c r="Y52" s="24"/>
      <c r="Z52" s="24"/>
      <c r="AA52" s="24"/>
      <c r="AB52" s="24"/>
      <c r="AC52" s="24"/>
      <c r="AD52" s="24"/>
      <c r="AE52" s="24"/>
      <c r="AF52" s="24"/>
      <c r="AG52" s="24"/>
      <c r="AH52" s="24"/>
      <c r="AI52" s="44"/>
      <c r="AJ52" s="44"/>
      <c r="AK52" s="44"/>
      <c r="AL52" s="44"/>
      <c r="AM52" s="44"/>
      <c r="AN52" s="44"/>
      <c r="AO52" s="44"/>
      <c r="AP52" s="44"/>
      <c r="AQ52" s="44"/>
      <c r="AR52" s="44"/>
      <c r="AS52" s="44"/>
      <c r="AT52" s="44"/>
    </row>
    <row r="53" spans="1:46" ht="14.25" customHeight="1" x14ac:dyDescent="0.6">
      <c r="A53" s="24" t="s">
        <v>222</v>
      </c>
      <c r="B53" s="24" t="s">
        <v>305</v>
      </c>
      <c r="C53" s="24" t="s">
        <v>299</v>
      </c>
      <c r="D53" s="274"/>
      <c r="E53" s="24" t="s">
        <v>306</v>
      </c>
      <c r="F53" s="24">
        <v>0.67951244758768592</v>
      </c>
      <c r="G53" s="24">
        <v>1.0555215658418751</v>
      </c>
      <c r="H53" s="24">
        <v>1.3712422220256906</v>
      </c>
      <c r="I53" s="24">
        <v>1.8884712670489818</v>
      </c>
      <c r="J53" s="24">
        <v>1.7618572123817147</v>
      </c>
      <c r="K53" s="24">
        <v>1.7459692106225253</v>
      </c>
      <c r="L53" s="24">
        <v>1.7786029626826738</v>
      </c>
      <c r="M53" s="24">
        <v>1.692494288370255</v>
      </c>
      <c r="N53" s="24">
        <v>1.8071793815126518</v>
      </c>
      <c r="O53" s="24">
        <v>1.9658726055952536</v>
      </c>
      <c r="P53" s="24">
        <v>1.8833507762911088</v>
      </c>
      <c r="Q53" s="24">
        <v>2.0577019425189746</v>
      </c>
      <c r="R53" s="24">
        <v>2.3734945027372003</v>
      </c>
      <c r="S53" s="24">
        <v>2.3099345821625481</v>
      </c>
      <c r="T53" s="24">
        <v>2.2547406969273305</v>
      </c>
      <c r="U53" s="24">
        <v>2.0529329495098709</v>
      </c>
      <c r="V53" s="24"/>
      <c r="W53" s="24"/>
      <c r="X53" s="24"/>
      <c r="Y53" s="24"/>
      <c r="Z53" s="24"/>
      <c r="AA53" s="24"/>
      <c r="AB53" s="24"/>
      <c r="AC53" s="24"/>
      <c r="AD53" s="24"/>
      <c r="AE53" s="24"/>
      <c r="AF53" s="24"/>
      <c r="AG53" s="24"/>
      <c r="AH53" s="24"/>
      <c r="AI53" s="44"/>
      <c r="AJ53" s="44"/>
      <c r="AK53" s="44"/>
      <c r="AL53" s="44"/>
      <c r="AM53" s="44"/>
      <c r="AN53" s="44"/>
      <c r="AO53" s="44"/>
      <c r="AP53" s="44"/>
      <c r="AQ53" s="44"/>
      <c r="AR53" s="44"/>
      <c r="AS53" s="44"/>
      <c r="AT53" s="44"/>
    </row>
    <row r="54" spans="1:46" ht="14.25" customHeight="1" x14ac:dyDescent="0.6">
      <c r="A54" s="24" t="s">
        <v>222</v>
      </c>
      <c r="B54" s="24" t="s">
        <v>307</v>
      </c>
      <c r="C54" s="24" t="s">
        <v>299</v>
      </c>
      <c r="D54" s="274"/>
      <c r="E54" s="24" t="s">
        <v>308</v>
      </c>
      <c r="F54" s="24">
        <v>0.33855031058836377</v>
      </c>
      <c r="G54" s="24">
        <v>0.99371195944594415</v>
      </c>
      <c r="H54" s="24">
        <v>1.2560391160981403</v>
      </c>
      <c r="I54" s="24">
        <v>1.5940641347525535</v>
      </c>
      <c r="J54" s="24">
        <v>1.6517689180746791</v>
      </c>
      <c r="K54" s="24">
        <v>1.4522614082381349</v>
      </c>
      <c r="L54" s="24">
        <v>1.8932204461793778</v>
      </c>
      <c r="M54" s="24">
        <v>1.9714301893070056</v>
      </c>
      <c r="N54" s="24">
        <v>2.085096983973552</v>
      </c>
      <c r="O54" s="24">
        <v>2.167636845490422</v>
      </c>
      <c r="P54" s="24">
        <v>2.0275443112835982</v>
      </c>
      <c r="Q54" s="24">
        <v>2.6222956904973453</v>
      </c>
      <c r="R54" s="24">
        <v>2.8933623815788061</v>
      </c>
      <c r="S54" s="24">
        <v>3.0100230470391662</v>
      </c>
      <c r="T54" s="24">
        <v>2.8437308502907261</v>
      </c>
      <c r="U54" s="24">
        <v>1.1413057875506869</v>
      </c>
      <c r="V54" s="24"/>
      <c r="W54" s="24"/>
      <c r="X54" s="24"/>
      <c r="Y54" s="24"/>
      <c r="Z54" s="24"/>
      <c r="AA54" s="24"/>
      <c r="AB54" s="24"/>
      <c r="AC54" s="24"/>
      <c r="AD54" s="24"/>
      <c r="AE54" s="24"/>
      <c r="AF54" s="24"/>
      <c r="AG54" s="24"/>
      <c r="AH54" s="24"/>
      <c r="AI54" s="44"/>
      <c r="AJ54" s="44"/>
      <c r="AK54" s="44"/>
      <c r="AL54" s="44"/>
      <c r="AM54" s="44"/>
      <c r="AN54" s="44"/>
      <c r="AO54" s="44"/>
      <c r="AP54" s="44"/>
      <c r="AQ54" s="44"/>
      <c r="AR54" s="44"/>
      <c r="AS54" s="44"/>
      <c r="AT54" s="44"/>
    </row>
    <row r="55" spans="1:46" ht="14.25" customHeight="1" x14ac:dyDescent="0.6">
      <c r="A55" s="24" t="s">
        <v>222</v>
      </c>
      <c r="B55" s="24" t="s">
        <v>309</v>
      </c>
      <c r="C55" s="24" t="s">
        <v>299</v>
      </c>
      <c r="D55" s="274"/>
      <c r="E55" s="24" t="s">
        <v>310</v>
      </c>
      <c r="F55" s="24">
        <v>1.7297068587960509</v>
      </c>
      <c r="G55" s="24">
        <v>1.8306029310789835</v>
      </c>
      <c r="H55" s="24">
        <v>3.5326810154461876</v>
      </c>
      <c r="I55" s="24">
        <v>2.6643108813859189</v>
      </c>
      <c r="J55" s="24">
        <v>2.1641332790026873</v>
      </c>
      <c r="K55" s="24">
        <v>4.0037000270658121</v>
      </c>
      <c r="L55" s="24">
        <v>0.72430922840655643</v>
      </c>
      <c r="M55" s="24">
        <v>-6.0723301181126814</v>
      </c>
      <c r="N55" s="24">
        <v>-13.265905256064295</v>
      </c>
      <c r="O55" s="24">
        <v>-14.466408989917056</v>
      </c>
      <c r="P55" s="24">
        <v>-12.607928113266276</v>
      </c>
      <c r="Q55" s="24">
        <v>-7.5105165244626848</v>
      </c>
      <c r="R55" s="24">
        <v>0.2613236528056988</v>
      </c>
      <c r="S55" s="24">
        <v>1.333984646452357</v>
      </c>
      <c r="T55" s="24">
        <v>2.0606913441180397</v>
      </c>
      <c r="U55" s="24">
        <v>2.0148259959191019</v>
      </c>
      <c r="V55" s="24"/>
      <c r="W55" s="24"/>
      <c r="X55" s="24"/>
      <c r="Y55" s="24"/>
      <c r="Z55" s="24"/>
      <c r="AA55" s="24"/>
      <c r="AB55" s="24"/>
      <c r="AC55" s="24"/>
      <c r="AD55" s="24"/>
      <c r="AE55" s="24"/>
      <c r="AF55" s="24"/>
      <c r="AG55" s="24"/>
      <c r="AH55" s="24"/>
      <c r="AI55" s="44"/>
      <c r="AJ55" s="44"/>
      <c r="AK55" s="44"/>
      <c r="AL55" s="44"/>
      <c r="AM55" s="44"/>
      <c r="AN55" s="44"/>
      <c r="AO55" s="44"/>
      <c r="AP55" s="44"/>
      <c r="AQ55" s="44"/>
      <c r="AR55" s="44"/>
      <c r="AS55" s="44"/>
      <c r="AT55" s="44"/>
    </row>
    <row r="56" spans="1:46" ht="14.25" customHeight="1" x14ac:dyDescent="0.6">
      <c r="A56" s="24" t="s">
        <v>222</v>
      </c>
      <c r="B56" s="24" t="s">
        <v>311</v>
      </c>
      <c r="C56" s="24" t="s">
        <v>299</v>
      </c>
      <c r="D56" s="274"/>
      <c r="E56" s="24" t="s">
        <v>312</v>
      </c>
      <c r="F56" s="24">
        <v>1.6874764276880609</v>
      </c>
      <c r="G56" s="24">
        <v>1.4602780742387549</v>
      </c>
      <c r="H56" s="24">
        <v>1.5588888187973529</v>
      </c>
      <c r="I56" s="24">
        <v>1.1521538365299091</v>
      </c>
      <c r="J56" s="24">
        <v>1.0378742356856607</v>
      </c>
      <c r="K56" s="24">
        <v>1.2248521890350477</v>
      </c>
      <c r="L56" s="24">
        <v>0.99838242629687513</v>
      </c>
      <c r="M56" s="24">
        <v>0.69811767589943852</v>
      </c>
      <c r="N56" s="24">
        <v>9.0559076087479803E-2</v>
      </c>
      <c r="O56" s="24">
        <v>0.119794154910748</v>
      </c>
      <c r="P56" s="24">
        <v>0.33063257034217869</v>
      </c>
      <c r="Q56" s="24">
        <v>0.80331443086622056</v>
      </c>
      <c r="R56" s="24">
        <v>1.4857650520022458</v>
      </c>
      <c r="S56" s="24">
        <v>1.241388495791373</v>
      </c>
      <c r="T56" s="24">
        <v>1.2952122310357479</v>
      </c>
      <c r="U56" s="24">
        <v>1.3119917714529425</v>
      </c>
      <c r="V56" s="24"/>
      <c r="W56" s="24"/>
      <c r="X56" s="24"/>
      <c r="Y56" s="24"/>
      <c r="Z56" s="24"/>
      <c r="AA56" s="24"/>
      <c r="AB56" s="24"/>
      <c r="AC56" s="24"/>
      <c r="AD56" s="24"/>
      <c r="AE56" s="24"/>
      <c r="AF56" s="24"/>
      <c r="AG56" s="24"/>
      <c r="AH56" s="24"/>
      <c r="AI56" s="44"/>
      <c r="AJ56" s="44"/>
      <c r="AK56" s="44"/>
      <c r="AL56" s="44"/>
      <c r="AM56" s="44"/>
      <c r="AN56" s="44"/>
      <c r="AO56" s="44"/>
      <c r="AP56" s="44"/>
      <c r="AQ56" s="44"/>
      <c r="AR56" s="44"/>
      <c r="AS56" s="44"/>
      <c r="AT56" s="44"/>
    </row>
    <row r="57" spans="1:46" ht="14.25" customHeight="1" x14ac:dyDescent="0.6">
      <c r="A57" s="24" t="s">
        <v>222</v>
      </c>
      <c r="B57" s="24" t="s">
        <v>313</v>
      </c>
      <c r="C57" s="24" t="s">
        <v>299</v>
      </c>
      <c r="D57" s="274"/>
      <c r="E57" s="24" t="s">
        <v>314</v>
      </c>
      <c r="F57" s="24">
        <v>1.3706630725418787</v>
      </c>
      <c r="G57" s="24">
        <v>1.0411523924292052</v>
      </c>
      <c r="H57" s="24">
        <v>0.71271280413952964</v>
      </c>
      <c r="I57" s="24">
        <v>0.38534082603244446</v>
      </c>
      <c r="J57" s="24">
        <v>3.9122523322855698</v>
      </c>
      <c r="K57" s="24">
        <v>0.968867507184757</v>
      </c>
      <c r="L57" s="24">
        <v>-1.8911439520791637</v>
      </c>
      <c r="M57" s="24">
        <v>-4.6701436524805189</v>
      </c>
      <c r="N57" s="24">
        <v>-15.089956943676183</v>
      </c>
      <c r="O57" s="24">
        <v>-12.4779653295933</v>
      </c>
      <c r="P57" s="24">
        <v>-9.7856239718703595</v>
      </c>
      <c r="Q57" s="24">
        <v>-7.010461162226167</v>
      </c>
      <c r="R57" s="24">
        <v>-6.9342349606436413E-2</v>
      </c>
      <c r="S57" s="24">
        <v>0.10181719584922211</v>
      </c>
      <c r="T57" s="24">
        <v>0.27326990048827776</v>
      </c>
      <c r="U57" s="24">
        <v>0.44501626642896397</v>
      </c>
      <c r="V57" s="24"/>
      <c r="W57" s="24"/>
      <c r="X57" s="24"/>
      <c r="Y57" s="24"/>
      <c r="Z57" s="24"/>
      <c r="AA57" s="24"/>
      <c r="AB57" s="24"/>
      <c r="AC57" s="24"/>
      <c r="AD57" s="24"/>
      <c r="AE57" s="24"/>
      <c r="AF57" s="24"/>
      <c r="AG57" s="24"/>
      <c r="AH57" s="24"/>
      <c r="AI57" s="44"/>
      <c r="AJ57" s="44"/>
      <c r="AK57" s="44"/>
      <c r="AL57" s="44"/>
      <c r="AM57" s="44"/>
      <c r="AN57" s="44"/>
      <c r="AO57" s="44"/>
      <c r="AP57" s="44"/>
      <c r="AQ57" s="44"/>
      <c r="AR57" s="44"/>
      <c r="AS57" s="44"/>
      <c r="AT57" s="44"/>
    </row>
    <row r="58" spans="1:46" ht="14.25" customHeight="1" x14ac:dyDescent="0.6">
      <c r="A58" s="24" t="s">
        <v>222</v>
      </c>
      <c r="B58" s="24" t="s">
        <v>315</v>
      </c>
      <c r="C58" s="24" t="s">
        <v>299</v>
      </c>
      <c r="D58" s="274"/>
      <c r="E58" s="24" t="s">
        <v>316</v>
      </c>
      <c r="F58" s="24">
        <v>1.1727104467767828</v>
      </c>
      <c r="G58" s="24">
        <v>1.5008147948758657</v>
      </c>
      <c r="H58" s="24">
        <v>1.8299831894235248</v>
      </c>
      <c r="I58" s="24">
        <v>2.1602190811354731</v>
      </c>
      <c r="J58" s="24">
        <v>2.3605903741649685</v>
      </c>
      <c r="K58" s="24">
        <v>2.7732934030853409</v>
      </c>
      <c r="L58" s="24">
        <v>3.1876603906587171</v>
      </c>
      <c r="M58" s="24">
        <v>3.6036980457246384</v>
      </c>
      <c r="N58" s="24">
        <v>4.6034665061061508</v>
      </c>
      <c r="O58" s="24">
        <v>4.6378166446512479</v>
      </c>
      <c r="P58" s="24">
        <v>4.6721780632432752</v>
      </c>
      <c r="Q58" s="24">
        <v>4.7065507655865684</v>
      </c>
      <c r="R58" s="24">
        <v>4.8025619058460896</v>
      </c>
      <c r="S58" s="24">
        <v>4.7957572033878559</v>
      </c>
      <c r="T58" s="24">
        <v>4.7889529427506643</v>
      </c>
      <c r="U58" s="24">
        <v>4.7821491239057723</v>
      </c>
      <c r="V58" s="24"/>
      <c r="W58" s="24"/>
      <c r="X58" s="24"/>
      <c r="Y58" s="24"/>
      <c r="Z58" s="24"/>
      <c r="AA58" s="24"/>
      <c r="AB58" s="24"/>
      <c r="AC58" s="24"/>
      <c r="AD58" s="24"/>
      <c r="AE58" s="24"/>
      <c r="AF58" s="24"/>
      <c r="AG58" s="24"/>
      <c r="AH58" s="24"/>
      <c r="AI58" s="44"/>
      <c r="AJ58" s="44"/>
      <c r="AK58" s="44"/>
      <c r="AL58" s="44"/>
      <c r="AM58" s="44"/>
      <c r="AN58" s="44"/>
      <c r="AO58" s="44"/>
      <c r="AP58" s="44"/>
      <c r="AQ58" s="44"/>
      <c r="AR58" s="44"/>
      <c r="AS58" s="44"/>
      <c r="AT58" s="44"/>
    </row>
    <row r="59" spans="1:46" ht="14.25" customHeight="1" x14ac:dyDescent="0.6">
      <c r="A59" s="24" t="s">
        <v>222</v>
      </c>
      <c r="B59" s="24" t="s">
        <v>317</v>
      </c>
      <c r="C59" s="24" t="s">
        <v>299</v>
      </c>
      <c r="D59" s="274"/>
      <c r="E59" s="24" t="s">
        <v>318</v>
      </c>
      <c r="F59" s="24">
        <v>1.2877915475964112</v>
      </c>
      <c r="G59" s="24">
        <v>0.82497365297519287</v>
      </c>
      <c r="H59" s="24">
        <v>0.36427052855786979</v>
      </c>
      <c r="I59" s="24">
        <v>-9.43274887500197E-2</v>
      </c>
      <c r="J59" s="24">
        <v>2.8290684681305631</v>
      </c>
      <c r="K59" s="24">
        <v>6.7278468201063174E-2</v>
      </c>
      <c r="L59" s="24">
        <v>-2.6203351911533757</v>
      </c>
      <c r="M59" s="24">
        <v>-5.2357647430500878</v>
      </c>
      <c r="N59" s="24">
        <v>-15.356177467917215</v>
      </c>
      <c r="O59" s="24">
        <v>-12.691124912406751</v>
      </c>
      <c r="P59" s="24">
        <v>-9.9421618609951725</v>
      </c>
      <c r="Q59" s="24">
        <v>-7.1066463502781199</v>
      </c>
      <c r="R59" s="24">
        <v>3.3639845918714301E-2</v>
      </c>
      <c r="S59" s="24">
        <v>0.18398756379301762</v>
      </c>
      <c r="T59" s="24">
        <v>0.33456125001466452</v>
      </c>
      <c r="U59" s="24">
        <v>0.4853612442075898</v>
      </c>
      <c r="V59" s="24"/>
      <c r="W59" s="24"/>
      <c r="X59" s="24"/>
      <c r="Y59" s="24"/>
      <c r="Z59" s="24"/>
      <c r="AA59" s="24"/>
      <c r="AB59" s="24"/>
      <c r="AC59" s="24"/>
      <c r="AD59" s="24"/>
      <c r="AE59" s="24"/>
      <c r="AF59" s="24"/>
      <c r="AG59" s="24"/>
      <c r="AH59" s="24"/>
      <c r="AI59" s="44"/>
      <c r="AJ59" s="44"/>
      <c r="AK59" s="44"/>
      <c r="AL59" s="44"/>
      <c r="AM59" s="44"/>
      <c r="AN59" s="44"/>
      <c r="AO59" s="44"/>
      <c r="AP59" s="44"/>
      <c r="AQ59" s="44"/>
      <c r="AR59" s="44"/>
      <c r="AS59" s="44"/>
      <c r="AT59" s="44"/>
    </row>
    <row r="60" spans="1:46" ht="14.25" customHeight="1" x14ac:dyDescent="0.6">
      <c r="A60" s="24" t="s">
        <v>222</v>
      </c>
      <c r="B60" s="24" t="s">
        <v>319</v>
      </c>
      <c r="C60" s="24" t="s">
        <v>299</v>
      </c>
      <c r="D60" s="274"/>
      <c r="E60" s="24" t="s">
        <v>320</v>
      </c>
      <c r="F60" s="24">
        <v>0.66158446562271322</v>
      </c>
      <c r="G60" s="24">
        <v>1.0995582462899303</v>
      </c>
      <c r="H60" s="24">
        <v>1.5394376301082444</v>
      </c>
      <c r="I60" s="24">
        <v>1.9812309082666131</v>
      </c>
      <c r="J60" s="24">
        <v>2.5634864433216666</v>
      </c>
      <c r="K60" s="24">
        <v>2.9128611545352796</v>
      </c>
      <c r="L60" s="24">
        <v>3.2634259841143223</v>
      </c>
      <c r="M60" s="24">
        <v>3.6151849861063865</v>
      </c>
      <c r="N60" s="24">
        <v>4.3567177192565367</v>
      </c>
      <c r="O60" s="24">
        <v>4.4551129109863528</v>
      </c>
      <c r="P60" s="24">
        <v>4.5536008769425322</v>
      </c>
      <c r="Q60" s="24">
        <v>4.6521817045994913</v>
      </c>
      <c r="R60" s="24">
        <v>4.8765492825487096</v>
      </c>
      <c r="S60" s="24">
        <v>4.8865964669059574</v>
      </c>
      <c r="T60" s="24">
        <v>4.8966446137845576</v>
      </c>
      <c r="U60" s="24">
        <v>4.9066937232766321</v>
      </c>
      <c r="V60" s="24"/>
      <c r="W60" s="24"/>
      <c r="X60" s="24"/>
      <c r="Y60" s="24"/>
      <c r="Z60" s="24"/>
      <c r="AA60" s="24"/>
      <c r="AB60" s="24"/>
      <c r="AC60" s="24"/>
      <c r="AD60" s="24"/>
      <c r="AE60" s="24"/>
      <c r="AF60" s="24"/>
      <c r="AG60" s="24"/>
      <c r="AH60" s="24"/>
      <c r="AI60" s="44"/>
      <c r="AJ60" s="44"/>
      <c r="AK60" s="44"/>
      <c r="AL60" s="44"/>
      <c r="AM60" s="44"/>
      <c r="AN60" s="44"/>
      <c r="AO60" s="44"/>
      <c r="AP60" s="44"/>
      <c r="AQ60" s="44"/>
      <c r="AR60" s="44"/>
      <c r="AS60" s="44"/>
      <c r="AT60" s="44"/>
    </row>
    <row r="61" spans="1:46" ht="14.25" customHeight="1" x14ac:dyDescent="0.6">
      <c r="A61" s="24" t="s">
        <v>222</v>
      </c>
      <c r="B61" s="24" t="s">
        <v>321</v>
      </c>
      <c r="C61" s="24" t="s">
        <v>299</v>
      </c>
      <c r="D61" s="274"/>
      <c r="E61" s="24" t="s">
        <v>322</v>
      </c>
      <c r="F61" s="24">
        <v>1.6124228474682338</v>
      </c>
      <c r="G61" s="24">
        <v>1.281762492271681</v>
      </c>
      <c r="H61" s="24">
        <v>0.95217814990340255</v>
      </c>
      <c r="I61" s="24">
        <v>0.62366631887439183</v>
      </c>
      <c r="J61" s="24">
        <v>2.4298030321792035</v>
      </c>
      <c r="K61" s="24">
        <v>0.66115663495133215</v>
      </c>
      <c r="L61" s="24">
        <v>-1.0769507005403325</v>
      </c>
      <c r="M61" s="24">
        <v>-2.7850462895879473</v>
      </c>
      <c r="N61" s="24">
        <v>-9.1910322049626245</v>
      </c>
      <c r="O61" s="24">
        <v>-7.637628097676223</v>
      </c>
      <c r="P61" s="24">
        <v>-6.0576510166061839</v>
      </c>
      <c r="Q61" s="24">
        <v>-4.4506463968828269</v>
      </c>
      <c r="R61" s="24">
        <v>-0.64269267607859115</v>
      </c>
      <c r="S61" s="24">
        <v>-0.47305112679783595</v>
      </c>
      <c r="T61" s="24">
        <v>-0.30311993344344001</v>
      </c>
      <c r="U61" s="24">
        <v>-0.1328986014803116</v>
      </c>
      <c r="V61" s="24"/>
      <c r="W61" s="24"/>
      <c r="X61" s="24"/>
      <c r="Y61" s="24"/>
      <c r="Z61" s="24"/>
      <c r="AA61" s="24"/>
      <c r="AB61" s="24"/>
      <c r="AC61" s="24"/>
      <c r="AD61" s="24"/>
      <c r="AE61" s="24"/>
      <c r="AF61" s="24"/>
      <c r="AG61" s="24"/>
      <c r="AH61" s="24"/>
      <c r="AI61" s="44"/>
      <c r="AJ61" s="44"/>
      <c r="AK61" s="44"/>
      <c r="AL61" s="44"/>
      <c r="AM61" s="44"/>
      <c r="AN61" s="44"/>
      <c r="AO61" s="44"/>
      <c r="AP61" s="44"/>
      <c r="AQ61" s="44"/>
      <c r="AR61" s="44"/>
      <c r="AS61" s="44"/>
      <c r="AT61" s="44"/>
    </row>
    <row r="62" spans="1:46" ht="14.25" customHeight="1" x14ac:dyDescent="0.6">
      <c r="A62" s="24" t="s">
        <v>222</v>
      </c>
      <c r="B62" s="24" t="s">
        <v>323</v>
      </c>
      <c r="C62" s="24" t="s">
        <v>299</v>
      </c>
      <c r="D62" s="274"/>
      <c r="E62" s="24" t="s">
        <v>324</v>
      </c>
      <c r="F62" s="24">
        <v>1.00368057851306</v>
      </c>
      <c r="G62" s="24">
        <v>1.5206198013981822</v>
      </c>
      <c r="H62" s="24">
        <v>2.0402047314359928</v>
      </c>
      <c r="I62" s="24">
        <v>2.5624489094182792</v>
      </c>
      <c r="J62" s="24">
        <v>4.0438642806001308</v>
      </c>
      <c r="K62" s="24">
        <v>3.9401040884222831</v>
      </c>
      <c r="L62" s="24">
        <v>3.8364473735379323</v>
      </c>
      <c r="M62" s="24">
        <v>3.732894032751858</v>
      </c>
      <c r="N62" s="24">
        <v>2.6434194121643646</v>
      </c>
      <c r="O62" s="24">
        <v>3.2054211288313388</v>
      </c>
      <c r="P62" s="24">
        <v>3.7704999636550127</v>
      </c>
      <c r="Q62" s="24">
        <v>4.3386727647265531</v>
      </c>
      <c r="R62" s="24">
        <v>5.8597273796739247</v>
      </c>
      <c r="S62" s="24">
        <v>5.783360300398801</v>
      </c>
      <c r="T62" s="24">
        <v>5.7070483122422768</v>
      </c>
      <c r="U62" s="24">
        <v>5.6307913754616399</v>
      </c>
      <c r="V62" s="24"/>
      <c r="W62" s="24"/>
      <c r="X62" s="24"/>
      <c r="Y62" s="24"/>
      <c r="Z62" s="24"/>
      <c r="AA62" s="24"/>
      <c r="AB62" s="24"/>
      <c r="AC62" s="24"/>
      <c r="AD62" s="24"/>
      <c r="AE62" s="24"/>
      <c r="AF62" s="24"/>
      <c r="AG62" s="24"/>
      <c r="AH62" s="24"/>
      <c r="AI62" s="44"/>
      <c r="AJ62" s="44"/>
      <c r="AK62" s="44"/>
      <c r="AL62" s="44"/>
      <c r="AM62" s="44"/>
      <c r="AN62" s="44"/>
      <c r="AO62" s="44"/>
      <c r="AP62" s="44"/>
      <c r="AQ62" s="44"/>
      <c r="AR62" s="44"/>
      <c r="AS62" s="44"/>
      <c r="AT62" s="44"/>
    </row>
    <row r="63" spans="1:46" ht="14.25" customHeight="1" x14ac:dyDescent="0.6">
      <c r="A63" s="24" t="s">
        <v>222</v>
      </c>
      <c r="B63" s="24" t="s">
        <v>325</v>
      </c>
      <c r="C63" s="24" t="s">
        <v>299</v>
      </c>
      <c r="D63" s="274"/>
      <c r="E63" s="24" t="s">
        <v>326</v>
      </c>
      <c r="F63" s="24">
        <v>1.6632786715270786</v>
      </c>
      <c r="G63" s="24">
        <v>1.2104623025364132</v>
      </c>
      <c r="H63" s="24">
        <v>0.7596628138461603</v>
      </c>
      <c r="I63" s="24">
        <v>0.31087122211021667</v>
      </c>
      <c r="J63" s="24">
        <v>3.7865641916084889</v>
      </c>
      <c r="K63" s="24">
        <v>0.66998743937353422</v>
      </c>
      <c r="L63" s="24">
        <v>-2.3530025299457238</v>
      </c>
      <c r="M63" s="24">
        <v>-5.2852160068162197</v>
      </c>
      <c r="N63" s="24">
        <v>-16.537444460113971</v>
      </c>
      <c r="O63" s="24">
        <v>-13.599181967332871</v>
      </c>
      <c r="P63" s="24">
        <v>-10.557479238141086</v>
      </c>
      <c r="Q63" s="24">
        <v>-7.4086947045933149</v>
      </c>
      <c r="R63" s="24">
        <v>0.67023659645790334</v>
      </c>
      <c r="S63" s="24">
        <v>0.77797366898025522</v>
      </c>
      <c r="T63" s="24">
        <v>0.88582604148786348</v>
      </c>
      <c r="U63" s="24">
        <v>0.99379383737452398</v>
      </c>
      <c r="V63" s="24"/>
      <c r="W63" s="24"/>
      <c r="X63" s="24"/>
      <c r="Y63" s="24"/>
      <c r="Z63" s="24"/>
      <c r="AA63" s="24"/>
      <c r="AB63" s="24"/>
      <c r="AC63" s="24"/>
      <c r="AD63" s="24"/>
      <c r="AE63" s="24"/>
      <c r="AF63" s="24"/>
      <c r="AG63" s="24"/>
      <c r="AH63" s="24"/>
      <c r="AI63" s="44"/>
      <c r="AJ63" s="44"/>
      <c r="AK63" s="44"/>
      <c r="AL63" s="44"/>
      <c r="AM63" s="44"/>
      <c r="AN63" s="44"/>
      <c r="AO63" s="44"/>
      <c r="AP63" s="44"/>
      <c r="AQ63" s="44"/>
      <c r="AR63" s="44"/>
      <c r="AS63" s="44"/>
      <c r="AT63" s="44"/>
    </row>
    <row r="64" spans="1:46" ht="14.25" customHeight="1" x14ac:dyDescent="0.6">
      <c r="A64" s="24" t="s">
        <v>222</v>
      </c>
      <c r="B64" s="24" t="s">
        <v>327</v>
      </c>
      <c r="C64" s="24" t="s">
        <v>299</v>
      </c>
      <c r="D64" s="274"/>
      <c r="E64" s="24" t="s">
        <v>328</v>
      </c>
      <c r="F64" s="24">
        <v>2.0176710867431127</v>
      </c>
      <c r="G64" s="24">
        <v>2.2194786979603034</v>
      </c>
      <c r="H64" s="24">
        <v>2.4216855175843399</v>
      </c>
      <c r="I64" s="24">
        <v>2.6242923353146397</v>
      </c>
      <c r="J64" s="24">
        <v>2.9469992917420531</v>
      </c>
      <c r="K64" s="24">
        <v>3.0658154742714108</v>
      </c>
      <c r="L64" s="24">
        <v>3.1847687883862443</v>
      </c>
      <c r="M64" s="24">
        <v>3.3038593923567943</v>
      </c>
      <c r="N64" s="24">
        <v>3.4701745387927243</v>
      </c>
      <c r="O64" s="24">
        <v>3.5554231139254004</v>
      </c>
      <c r="P64" s="24">
        <v>3.6407419249457709</v>
      </c>
      <c r="Q64" s="24">
        <v>3.7261310297209067</v>
      </c>
      <c r="R64" s="24">
        <v>3.8770869548570328</v>
      </c>
      <c r="S64" s="24">
        <v>3.9184229014048242</v>
      </c>
      <c r="T64" s="24">
        <v>3.9597752968204509</v>
      </c>
      <c r="U64" s="24">
        <v>4.0011441476494776</v>
      </c>
      <c r="V64" s="24"/>
      <c r="W64" s="24"/>
      <c r="X64" s="24"/>
      <c r="Y64" s="24"/>
      <c r="Z64" s="24"/>
      <c r="AA64" s="24"/>
      <c r="AB64" s="24"/>
      <c r="AC64" s="24"/>
      <c r="AD64" s="24"/>
      <c r="AE64" s="24"/>
      <c r="AF64" s="24"/>
      <c r="AG64" s="24"/>
      <c r="AH64" s="24"/>
      <c r="AI64" s="44"/>
      <c r="AJ64" s="44"/>
      <c r="AK64" s="44"/>
      <c r="AL64" s="44"/>
      <c r="AM64" s="44"/>
      <c r="AN64" s="44"/>
      <c r="AO64" s="44"/>
      <c r="AP64" s="44"/>
      <c r="AQ64" s="44"/>
      <c r="AR64" s="44"/>
      <c r="AS64" s="44"/>
      <c r="AT64" s="44"/>
    </row>
    <row r="65" spans="1:46" ht="14.25" customHeight="1" x14ac:dyDescent="0.6">
      <c r="A65" s="24" t="s">
        <v>222</v>
      </c>
      <c r="B65" s="24" t="s">
        <v>329</v>
      </c>
      <c r="C65" s="24" t="s">
        <v>299</v>
      </c>
      <c r="D65" s="274"/>
      <c r="E65" s="24" t="s">
        <v>330</v>
      </c>
      <c r="F65" s="24">
        <v>1.5127846901535213</v>
      </c>
      <c r="G65" s="24">
        <v>0.9449292742825256</v>
      </c>
      <c r="H65" s="24">
        <v>0.38025040188157239</v>
      </c>
      <c r="I65" s="24">
        <v>-0.18126969641126511</v>
      </c>
      <c r="J65" s="24">
        <v>2.7231325373317548</v>
      </c>
      <c r="K65" s="24">
        <v>-0.19489692662396704</v>
      </c>
      <c r="L65" s="24">
        <v>-3.0300346821379249</v>
      </c>
      <c r="M65" s="24">
        <v>-5.7846354125377193</v>
      </c>
      <c r="N65" s="24">
        <v>-16.692664066226509</v>
      </c>
      <c r="O65" s="24">
        <v>-13.714635851876286</v>
      </c>
      <c r="P65" s="24">
        <v>-10.630150601707301</v>
      </c>
      <c r="Q65" s="24">
        <v>-7.4354027438245112</v>
      </c>
      <c r="R65" s="24">
        <v>0.81632801341595418</v>
      </c>
      <c r="S65" s="24">
        <v>0.89502395136177948</v>
      </c>
      <c r="T65" s="24">
        <v>0.97378131835162696</v>
      </c>
      <c r="U65" s="24">
        <v>1.0526001623362313</v>
      </c>
      <c r="V65" s="24"/>
      <c r="W65" s="24"/>
      <c r="X65" s="24"/>
      <c r="Y65" s="24"/>
      <c r="Z65" s="24"/>
      <c r="AA65" s="24"/>
      <c r="AB65" s="24"/>
      <c r="AC65" s="24"/>
      <c r="AD65" s="24"/>
      <c r="AE65" s="24"/>
      <c r="AF65" s="24"/>
      <c r="AG65" s="24"/>
      <c r="AH65" s="24"/>
      <c r="AI65" s="44"/>
      <c r="AJ65" s="44"/>
      <c r="AK65" s="44"/>
      <c r="AL65" s="44"/>
      <c r="AM65" s="44"/>
      <c r="AN65" s="44"/>
      <c r="AO65" s="44"/>
      <c r="AP65" s="44"/>
      <c r="AQ65" s="44"/>
      <c r="AR65" s="44"/>
      <c r="AS65" s="44"/>
      <c r="AT65" s="44"/>
    </row>
    <row r="66" spans="1:46" ht="14.25" customHeight="1" x14ac:dyDescent="0.6">
      <c r="A66" s="24" t="s">
        <v>222</v>
      </c>
      <c r="B66" s="24" t="s">
        <v>331</v>
      </c>
      <c r="C66" s="24" t="s">
        <v>299</v>
      </c>
      <c r="D66" s="274"/>
      <c r="E66" s="24" t="s">
        <v>332</v>
      </c>
      <c r="F66" s="24">
        <v>1.4593172074207399</v>
      </c>
      <c r="G66" s="24">
        <v>1.7391660776255209</v>
      </c>
      <c r="H66" s="24">
        <v>2.0197868374143177</v>
      </c>
      <c r="I66" s="24">
        <v>2.3011816158417413</v>
      </c>
      <c r="J66" s="24">
        <v>2.9887765422975305</v>
      </c>
      <c r="K66" s="24">
        <v>2.9958573031620546</v>
      </c>
      <c r="L66" s="24">
        <v>3.002938550848314</v>
      </c>
      <c r="M66" s="24">
        <v>3.0100202853897651</v>
      </c>
      <c r="N66" s="24">
        <v>2.709248833811063</v>
      </c>
      <c r="O66" s="24">
        <v>2.9148810291656915</v>
      </c>
      <c r="P66" s="24">
        <v>3.1209249167510325</v>
      </c>
      <c r="Q66" s="24">
        <v>3.3273813208081338</v>
      </c>
      <c r="R66" s="24">
        <v>3.8061630400024069</v>
      </c>
      <c r="S66" s="24">
        <v>3.8317447774411089</v>
      </c>
      <c r="T66" s="24">
        <v>3.8573328191807268</v>
      </c>
      <c r="U66" s="24">
        <v>3.882927166774893</v>
      </c>
      <c r="V66" s="24"/>
      <c r="W66" s="24"/>
      <c r="X66" s="24"/>
      <c r="Y66" s="24"/>
      <c r="Z66" s="24"/>
      <c r="AA66" s="24"/>
      <c r="AB66" s="24"/>
      <c r="AC66" s="24"/>
      <c r="AD66" s="24"/>
      <c r="AE66" s="24"/>
      <c r="AF66" s="24"/>
      <c r="AG66" s="24"/>
      <c r="AH66" s="24"/>
      <c r="AI66" s="44"/>
      <c r="AJ66" s="44"/>
      <c r="AK66" s="44"/>
      <c r="AL66" s="44"/>
      <c r="AM66" s="44"/>
      <c r="AN66" s="44"/>
      <c r="AO66" s="44"/>
      <c r="AP66" s="44"/>
      <c r="AQ66" s="44"/>
      <c r="AR66" s="44"/>
      <c r="AS66" s="44"/>
      <c r="AT66" s="44"/>
    </row>
    <row r="67" spans="1:46" ht="14.25" customHeight="1" x14ac:dyDescent="0.6">
      <c r="A67" s="24" t="s">
        <v>222</v>
      </c>
      <c r="B67" s="24" t="s">
        <v>333</v>
      </c>
      <c r="C67" s="24" t="s">
        <v>299</v>
      </c>
      <c r="D67" s="274"/>
      <c r="E67" s="24" t="s">
        <v>334</v>
      </c>
      <c r="F67" s="24">
        <v>1.2857039891006738</v>
      </c>
      <c r="G67" s="24">
        <v>0.85506695488747919</v>
      </c>
      <c r="H67" s="24">
        <v>0.42626086273160396</v>
      </c>
      <c r="I67" s="24">
        <v>-7.2207199436065427E-4</v>
      </c>
      <c r="J67" s="24">
        <v>2.2845661454619428</v>
      </c>
      <c r="K67" s="24">
        <v>2.7033600924774213E-2</v>
      </c>
      <c r="L67" s="24">
        <v>-2.1806727246460467</v>
      </c>
      <c r="M67" s="24">
        <v>-4.3396525505446535</v>
      </c>
      <c r="N67" s="24">
        <v>-12.934326017427283</v>
      </c>
      <c r="O67" s="24">
        <v>-10.618365989232634</v>
      </c>
      <c r="P67" s="24">
        <v>-8.2408010758191548</v>
      </c>
      <c r="Q67" s="24">
        <v>-5.7999925779707047</v>
      </c>
      <c r="R67" s="24">
        <v>0.37151310493711576</v>
      </c>
      <c r="S67" s="24">
        <v>0.45791226204297142</v>
      </c>
      <c r="T67" s="24">
        <v>0.54438579099117568</v>
      </c>
      <c r="U67" s="24">
        <v>0.63093375580050859</v>
      </c>
      <c r="V67" s="24"/>
      <c r="W67" s="24"/>
      <c r="X67" s="24"/>
      <c r="Y67" s="24"/>
      <c r="Z67" s="24"/>
      <c r="AA67" s="24"/>
      <c r="AB67" s="24"/>
      <c r="AC67" s="24"/>
      <c r="AD67" s="24"/>
      <c r="AE67" s="24"/>
      <c r="AF67" s="24"/>
      <c r="AG67" s="24"/>
      <c r="AH67" s="24"/>
      <c r="AI67" s="44"/>
      <c r="AJ67" s="44"/>
      <c r="AK67" s="44"/>
      <c r="AL67" s="44"/>
      <c r="AM67" s="44"/>
      <c r="AN67" s="44"/>
      <c r="AO67" s="44"/>
      <c r="AP67" s="44"/>
      <c r="AQ67" s="44"/>
      <c r="AR67" s="44"/>
      <c r="AS67" s="44"/>
      <c r="AT67" s="44"/>
    </row>
    <row r="68" spans="1:46" ht="14.25" customHeight="1" x14ac:dyDescent="0.6">
      <c r="A68" s="24" t="s">
        <v>222</v>
      </c>
      <c r="B68" s="24" t="s">
        <v>335</v>
      </c>
      <c r="C68" s="24" t="s">
        <v>299</v>
      </c>
      <c r="D68" s="274"/>
      <c r="E68" s="24" t="s">
        <v>262</v>
      </c>
      <c r="F68" s="24">
        <v>-9.0082829462098335E-2</v>
      </c>
      <c r="G68" s="24">
        <v>0.74245358776723636</v>
      </c>
      <c r="H68" s="24">
        <v>0.74245358776723469</v>
      </c>
      <c r="I68" s="24">
        <v>0.74245358776723502</v>
      </c>
      <c r="J68" s="24">
        <v>1.1801379095849165</v>
      </c>
      <c r="K68" s="24">
        <v>0.46015756220798526</v>
      </c>
      <c r="L68" s="24">
        <v>0.46015756220798604</v>
      </c>
      <c r="M68" s="24">
        <v>0.46015756220798842</v>
      </c>
      <c r="N68" s="24">
        <v>-0.34157786030733711</v>
      </c>
      <c r="O68" s="24">
        <v>1.0028531052232352</v>
      </c>
      <c r="P68" s="24">
        <v>1.0028531052232343</v>
      </c>
      <c r="Q68" s="24">
        <v>1.0028531052232303</v>
      </c>
      <c r="R68" s="24">
        <v>0.99629839689279831</v>
      </c>
      <c r="S68" s="24">
        <v>1.0074050968703243</v>
      </c>
      <c r="T68" s="24">
        <v>1.0074050968703243</v>
      </c>
      <c r="U68" s="24">
        <v>1.0074050968703241</v>
      </c>
      <c r="V68" s="24"/>
      <c r="W68" s="24"/>
      <c r="X68" s="24"/>
      <c r="Y68" s="24"/>
      <c r="Z68" s="24"/>
      <c r="AA68" s="24"/>
      <c r="AB68" s="24"/>
      <c r="AC68" s="24"/>
      <c r="AD68" s="24"/>
      <c r="AE68" s="24"/>
      <c r="AF68" s="24"/>
      <c r="AG68" s="24"/>
      <c r="AH68" s="24"/>
      <c r="AI68" s="44"/>
      <c r="AJ68" s="44"/>
      <c r="AK68" s="44"/>
      <c r="AL68" s="44"/>
      <c r="AM68" s="44"/>
      <c r="AN68" s="44"/>
      <c r="AO68" s="44"/>
      <c r="AP68" s="44"/>
      <c r="AQ68" s="44"/>
      <c r="AR68" s="44"/>
      <c r="AS68" s="44"/>
      <c r="AT68" s="44"/>
    </row>
    <row r="69" spans="1:46" ht="14.25" customHeight="1" x14ac:dyDescent="0.6">
      <c r="A69" s="24" t="s">
        <v>222</v>
      </c>
      <c r="B69" s="24" t="s">
        <v>336</v>
      </c>
      <c r="C69" s="24" t="s">
        <v>299</v>
      </c>
      <c r="D69" s="274"/>
      <c r="E69" s="24" t="s">
        <v>337</v>
      </c>
      <c r="F69" s="24">
        <v>1.1182801678613774</v>
      </c>
      <c r="G69" s="24">
        <v>1.4616311234666632</v>
      </c>
      <c r="H69" s="24">
        <v>1.8061479402646166</v>
      </c>
      <c r="I69" s="24">
        <v>2.1518345769810971</v>
      </c>
      <c r="J69" s="24">
        <v>3.4505582921644287</v>
      </c>
      <c r="K69" s="24">
        <v>3.1606737359746333</v>
      </c>
      <c r="L69" s="24">
        <v>2.8716014814031592</v>
      </c>
      <c r="M69" s="24">
        <v>2.5833392522544942</v>
      </c>
      <c r="N69" s="24">
        <v>1.0405197988173525</v>
      </c>
      <c r="O69" s="24">
        <v>1.5863505150872159</v>
      </c>
      <c r="P69" s="24">
        <v>2.1351298619798404</v>
      </c>
      <c r="Q69" s="24">
        <v>2.686873768284761</v>
      </c>
      <c r="R69" s="24">
        <v>4.0654058320186541</v>
      </c>
      <c r="S69" s="24">
        <v>4.0700958466423307</v>
      </c>
      <c r="T69" s="24">
        <v>4.0747860726353879</v>
      </c>
      <c r="U69" s="24">
        <v>4.0794765100073116</v>
      </c>
      <c r="V69" s="24"/>
      <c r="W69" s="24"/>
      <c r="X69" s="24"/>
      <c r="Y69" s="24"/>
      <c r="Z69" s="24"/>
      <c r="AA69" s="24"/>
      <c r="AB69" s="24"/>
      <c r="AC69" s="24"/>
      <c r="AD69" s="24"/>
      <c r="AE69" s="24"/>
      <c r="AF69" s="24"/>
      <c r="AG69" s="24"/>
      <c r="AH69" s="24"/>
      <c r="AI69" s="44"/>
      <c r="AJ69" s="44"/>
      <c r="AK69" s="44"/>
      <c r="AL69" s="44"/>
      <c r="AM69" s="44"/>
      <c r="AN69" s="44"/>
      <c r="AO69" s="44"/>
      <c r="AP69" s="44"/>
      <c r="AQ69" s="44"/>
      <c r="AR69" s="44"/>
      <c r="AS69" s="44"/>
      <c r="AT69" s="44"/>
    </row>
    <row r="70" spans="1:46" ht="14.25" customHeight="1" x14ac:dyDescent="0.6">
      <c r="A70" s="24" t="s">
        <v>222</v>
      </c>
      <c r="B70" s="24" t="s">
        <v>338</v>
      </c>
      <c r="C70" s="24" t="s">
        <v>299</v>
      </c>
      <c r="D70" s="273" t="s">
        <v>264</v>
      </c>
      <c r="E70" s="24" t="s">
        <v>300</v>
      </c>
      <c r="F70" s="24">
        <v>1.8857770942648768</v>
      </c>
      <c r="G70" s="24">
        <v>0.97254672257930264</v>
      </c>
      <c r="H70" s="24">
        <v>2.5590360802670067</v>
      </c>
      <c r="I70" s="24">
        <v>1.6261109162132501</v>
      </c>
      <c r="J70" s="24">
        <v>1.9656619221080713</v>
      </c>
      <c r="K70" s="24">
        <v>3.0085113590234123</v>
      </c>
      <c r="L70" s="24">
        <v>0.36581542960724067</v>
      </c>
      <c r="M70" s="24">
        <v>-3.9666714720602214</v>
      </c>
      <c r="N70" s="24">
        <v>-9.3533173280069306</v>
      </c>
      <c r="O70" s="24">
        <v>-9.9246824832145784</v>
      </c>
      <c r="P70" s="24">
        <v>-8.0765745918776926</v>
      </c>
      <c r="Q70" s="24">
        <v>-4.7974773166191875</v>
      </c>
      <c r="R70" s="24">
        <v>0.25078672482023168</v>
      </c>
      <c r="S70" s="24">
        <v>1.4132400791816446</v>
      </c>
      <c r="T70" s="24">
        <v>1.7597526046165113</v>
      </c>
      <c r="U70" s="24">
        <v>1.7891573486696022</v>
      </c>
      <c r="V70" s="24"/>
      <c r="W70" s="24"/>
      <c r="X70" s="24"/>
      <c r="Y70" s="24"/>
      <c r="Z70" s="24"/>
      <c r="AA70" s="24"/>
      <c r="AB70" s="24"/>
      <c r="AC70" s="24"/>
      <c r="AD70" s="24"/>
      <c r="AE70" s="24"/>
      <c r="AF70" s="24"/>
      <c r="AG70" s="24"/>
      <c r="AH70" s="24"/>
      <c r="AI70" s="44"/>
      <c r="AJ70" s="44"/>
      <c r="AK70" s="44"/>
      <c r="AL70" s="44"/>
      <c r="AM70" s="44"/>
      <c r="AN70" s="44"/>
      <c r="AO70" s="44"/>
      <c r="AP70" s="44"/>
      <c r="AQ70" s="44"/>
      <c r="AR70" s="44"/>
      <c r="AS70" s="44"/>
      <c r="AT70" s="44"/>
    </row>
    <row r="71" spans="1:46" ht="14.25" customHeight="1" x14ac:dyDescent="0.6">
      <c r="A71" s="24" t="s">
        <v>222</v>
      </c>
      <c r="B71" s="24" t="s">
        <v>339</v>
      </c>
      <c r="C71" s="24" t="s">
        <v>299</v>
      </c>
      <c r="D71" s="274"/>
      <c r="E71" s="24" t="s">
        <v>302</v>
      </c>
      <c r="F71" s="24">
        <v>0.68851174740306575</v>
      </c>
      <c r="G71" s="24">
        <v>1.1602198155002692</v>
      </c>
      <c r="H71" s="24">
        <v>1.8891800276967436</v>
      </c>
      <c r="I71" s="24">
        <v>1.6618097029668006</v>
      </c>
      <c r="J71" s="24">
        <v>4.4218801236472025</v>
      </c>
      <c r="K71" s="24">
        <v>3.3643296368727689</v>
      </c>
      <c r="L71" s="24">
        <v>0.78461970461056318</v>
      </c>
      <c r="M71" s="24">
        <v>-2.7396414996972225</v>
      </c>
      <c r="N71" s="24">
        <v>-9.939624268863966</v>
      </c>
      <c r="O71" s="24">
        <v>-8.9764744123486206</v>
      </c>
      <c r="P71" s="24">
        <v>-7.2442499835686753</v>
      </c>
      <c r="Q71" s="24">
        <v>-4.3364890345678662</v>
      </c>
      <c r="R71" s="24">
        <v>1.0813104227144448</v>
      </c>
      <c r="S71" s="24">
        <v>1.5519610502252084</v>
      </c>
      <c r="T71" s="24">
        <v>1.8722513101286495</v>
      </c>
      <c r="U71" s="24">
        <v>2.0082453681562193</v>
      </c>
      <c r="V71" s="24"/>
      <c r="W71" s="24"/>
      <c r="X71" s="24"/>
      <c r="Y71" s="24"/>
      <c r="Z71" s="24"/>
      <c r="AA71" s="24"/>
      <c r="AB71" s="24"/>
      <c r="AC71" s="24"/>
      <c r="AD71" s="24"/>
      <c r="AE71" s="24"/>
      <c r="AF71" s="24"/>
      <c r="AG71" s="24"/>
      <c r="AH71" s="24"/>
      <c r="AI71" s="44"/>
      <c r="AJ71" s="44"/>
      <c r="AK71" s="44"/>
      <c r="AL71" s="44"/>
      <c r="AM71" s="44"/>
      <c r="AN71" s="44"/>
      <c r="AO71" s="44"/>
      <c r="AP71" s="44"/>
      <c r="AQ71" s="44"/>
      <c r="AR71" s="44"/>
      <c r="AS71" s="44"/>
      <c r="AT71" s="44"/>
    </row>
    <row r="72" spans="1:46" ht="14.25" customHeight="1" x14ac:dyDescent="0.6">
      <c r="A72" s="24" t="s">
        <v>222</v>
      </c>
      <c r="B72" s="24" t="s">
        <v>340</v>
      </c>
      <c r="C72" s="24" t="s">
        <v>299</v>
      </c>
      <c r="D72" s="274"/>
      <c r="E72" s="24" t="s">
        <v>304</v>
      </c>
      <c r="F72" s="24">
        <v>3.0979628305189202</v>
      </c>
      <c r="G72" s="24">
        <v>3.3099782964364568</v>
      </c>
      <c r="H72" s="24">
        <v>3.3920284876235178</v>
      </c>
      <c r="I72" s="24">
        <v>3.1264295801773567</v>
      </c>
      <c r="J72" s="24">
        <v>3.9009061724193725</v>
      </c>
      <c r="K72" s="24">
        <v>3.4613415972922121</v>
      </c>
      <c r="L72" s="24">
        <v>2.8897098687778451</v>
      </c>
      <c r="M72" s="24">
        <v>2.400244801736223</v>
      </c>
      <c r="N72" s="24">
        <v>1.0611588507580176</v>
      </c>
      <c r="O72" s="24">
        <v>1.6336368987827705</v>
      </c>
      <c r="P72" s="24">
        <v>2.0102171022589888</v>
      </c>
      <c r="Q72" s="24">
        <v>2.6236700982675356</v>
      </c>
      <c r="R72" s="24">
        <v>3.9111590445270163</v>
      </c>
      <c r="S72" s="24">
        <v>3.7727524101839722</v>
      </c>
      <c r="T72" s="24">
        <v>3.6791440770212578</v>
      </c>
      <c r="U72" s="24">
        <v>3.6228031071376359</v>
      </c>
      <c r="V72" s="24"/>
      <c r="W72" s="24"/>
      <c r="X72" s="24"/>
      <c r="Y72" s="24"/>
      <c r="Z72" s="24"/>
      <c r="AA72" s="24"/>
      <c r="AB72" s="24"/>
      <c r="AC72" s="24"/>
      <c r="AD72" s="24"/>
      <c r="AE72" s="24"/>
      <c r="AF72" s="24"/>
      <c r="AG72" s="24"/>
      <c r="AH72" s="24"/>
      <c r="AI72" s="44"/>
      <c r="AJ72" s="44"/>
      <c r="AK72" s="44"/>
      <c r="AL72" s="44"/>
      <c r="AM72" s="44"/>
      <c r="AN72" s="44"/>
      <c r="AO72" s="44"/>
      <c r="AP72" s="44"/>
      <c r="AQ72" s="44"/>
      <c r="AR72" s="44"/>
      <c r="AS72" s="44"/>
      <c r="AT72" s="44"/>
    </row>
    <row r="73" spans="1:46" ht="14.25" customHeight="1" x14ac:dyDescent="0.6">
      <c r="A73" s="24" t="s">
        <v>222</v>
      </c>
      <c r="B73" s="24" t="s">
        <v>341</v>
      </c>
      <c r="C73" s="24" t="s">
        <v>299</v>
      </c>
      <c r="D73" s="274"/>
      <c r="E73" s="24" t="s">
        <v>306</v>
      </c>
      <c r="F73" s="24">
        <v>4.8018062677371933</v>
      </c>
      <c r="G73" s="24">
        <v>4.9091064989864979</v>
      </c>
      <c r="H73" s="24">
        <v>5.1200318666596472</v>
      </c>
      <c r="I73" s="24">
        <v>5.1413357059237974</v>
      </c>
      <c r="J73" s="24">
        <v>5.379256023403137</v>
      </c>
      <c r="K73" s="24">
        <v>5.3950532134159239</v>
      </c>
      <c r="L73" s="24">
        <v>5.2314961528421167</v>
      </c>
      <c r="M73" s="24">
        <v>5.1802917004473192</v>
      </c>
      <c r="N73" s="24">
        <v>5.2040768761334455</v>
      </c>
      <c r="O73" s="24">
        <v>5.0174468437163355</v>
      </c>
      <c r="P73" s="24">
        <v>4.8416447158863658</v>
      </c>
      <c r="Q73" s="24">
        <v>4.7020946993131494</v>
      </c>
      <c r="R73" s="24">
        <v>4.5907623577625598</v>
      </c>
      <c r="S73" s="24">
        <v>4.7468538144640222</v>
      </c>
      <c r="T73" s="24">
        <v>4.8782673262171583</v>
      </c>
      <c r="U73" s="24">
        <v>5.0081430233929458</v>
      </c>
      <c r="V73" s="24"/>
      <c r="W73" s="24"/>
      <c r="X73" s="24"/>
      <c r="Y73" s="24"/>
      <c r="Z73" s="24"/>
      <c r="AA73" s="24"/>
      <c r="AB73" s="24"/>
      <c r="AC73" s="24"/>
      <c r="AD73" s="24"/>
      <c r="AE73" s="24"/>
      <c r="AF73" s="24"/>
      <c r="AG73" s="24"/>
      <c r="AH73" s="24"/>
      <c r="AI73" s="44"/>
      <c r="AJ73" s="44"/>
      <c r="AK73" s="44"/>
      <c r="AL73" s="44"/>
      <c r="AM73" s="44"/>
      <c r="AN73" s="44"/>
      <c r="AO73" s="44"/>
      <c r="AP73" s="44"/>
      <c r="AQ73" s="44"/>
      <c r="AR73" s="44"/>
      <c r="AS73" s="44"/>
      <c r="AT73" s="44"/>
    </row>
    <row r="74" spans="1:46" ht="14.25" customHeight="1" x14ac:dyDescent="0.6">
      <c r="A74" s="24" t="s">
        <v>222</v>
      </c>
      <c r="B74" s="24" t="s">
        <v>342</v>
      </c>
      <c r="C74" s="24" t="s">
        <v>299</v>
      </c>
      <c r="D74" s="274"/>
      <c r="E74" s="24" t="s">
        <v>308</v>
      </c>
      <c r="F74" s="24">
        <v>5.2797021332552765</v>
      </c>
      <c r="G74" s="24">
        <v>5.9059703830027939</v>
      </c>
      <c r="H74" s="24">
        <v>5.4650214684630729</v>
      </c>
      <c r="I74" s="24">
        <v>5.3948221028785888</v>
      </c>
      <c r="J74" s="24">
        <v>5.4152857806273884</v>
      </c>
      <c r="K74" s="24">
        <v>4.5963410350058744</v>
      </c>
      <c r="L74" s="24">
        <v>5.0067494821172644</v>
      </c>
      <c r="M74" s="24">
        <v>5.7540698407944753</v>
      </c>
      <c r="N74" s="24">
        <v>6.0937205503259229</v>
      </c>
      <c r="O74" s="24">
        <v>5.816908393507001</v>
      </c>
      <c r="P74" s="24">
        <v>5.3189496806724463</v>
      </c>
      <c r="Q74" s="24">
        <v>4.6529305098746514</v>
      </c>
      <c r="R74" s="24">
        <v>4.2275602469971876</v>
      </c>
      <c r="S74" s="24">
        <v>4.6183738476529292</v>
      </c>
      <c r="T74" s="24">
        <v>5.0716589585750977</v>
      </c>
      <c r="U74" s="24">
        <v>5.4239363722884759</v>
      </c>
      <c r="V74" s="24"/>
      <c r="W74" s="24"/>
      <c r="X74" s="24"/>
      <c r="Y74" s="24"/>
      <c r="Z74" s="24"/>
      <c r="AA74" s="24"/>
      <c r="AB74" s="24"/>
      <c r="AC74" s="24"/>
      <c r="AD74" s="24"/>
      <c r="AE74" s="24"/>
      <c r="AF74" s="24"/>
      <c r="AG74" s="24"/>
      <c r="AH74" s="24"/>
      <c r="AI74" s="44"/>
      <c r="AJ74" s="44"/>
      <c r="AK74" s="44"/>
      <c r="AL74" s="44"/>
      <c r="AM74" s="44"/>
      <c r="AN74" s="44"/>
      <c r="AO74" s="44"/>
      <c r="AP74" s="44"/>
      <c r="AQ74" s="44"/>
      <c r="AR74" s="44"/>
      <c r="AS74" s="44"/>
      <c r="AT74" s="44"/>
    </row>
    <row r="75" spans="1:46" ht="14.25" customHeight="1" x14ac:dyDescent="0.6">
      <c r="A75" s="24" t="s">
        <v>222</v>
      </c>
      <c r="B75" s="24" t="s">
        <v>343</v>
      </c>
      <c r="C75" s="24" t="s">
        <v>299</v>
      </c>
      <c r="D75" s="274"/>
      <c r="E75" s="24" t="s">
        <v>310</v>
      </c>
      <c r="F75" s="24">
        <v>1.4653745697942855</v>
      </c>
      <c r="G75" s="24">
        <v>1.7507137211739601</v>
      </c>
      <c r="H75" s="24">
        <v>2.5725355530690353</v>
      </c>
      <c r="I75" s="24">
        <v>2.3776331665598218</v>
      </c>
      <c r="J75" s="24">
        <v>4.3973193052022204</v>
      </c>
      <c r="K75" s="24">
        <v>3.8395736176238855</v>
      </c>
      <c r="L75" s="24">
        <v>1.6187840838379886</v>
      </c>
      <c r="M75" s="24">
        <v>-1.4733417238649515</v>
      </c>
      <c r="N75" s="24">
        <v>-7.6397144352761295</v>
      </c>
      <c r="O75" s="24">
        <v>-7.1241366065219189</v>
      </c>
      <c r="P75" s="24">
        <v>-5.6507963158789734</v>
      </c>
      <c r="Q75" s="24">
        <v>-3.1680371526850526</v>
      </c>
      <c r="R75" s="24">
        <v>1.220393297980108</v>
      </c>
      <c r="S75" s="24">
        <v>1.5762210905763501</v>
      </c>
      <c r="T75" s="24">
        <v>1.9708571537774424</v>
      </c>
      <c r="U75" s="24">
        <v>2.0938790798374094</v>
      </c>
      <c r="V75" s="24"/>
      <c r="W75" s="24"/>
      <c r="X75" s="24"/>
      <c r="Y75" s="24"/>
      <c r="Z75" s="24"/>
      <c r="AA75" s="24"/>
      <c r="AB75" s="24"/>
      <c r="AC75" s="24"/>
      <c r="AD75" s="24"/>
      <c r="AE75" s="24"/>
      <c r="AF75" s="24"/>
      <c r="AG75" s="24"/>
      <c r="AH75" s="24"/>
      <c r="AI75" s="44"/>
      <c r="AJ75" s="44"/>
      <c r="AK75" s="44"/>
      <c r="AL75" s="44"/>
      <c r="AM75" s="44"/>
      <c r="AN75" s="44"/>
      <c r="AO75" s="44"/>
      <c r="AP75" s="44"/>
      <c r="AQ75" s="44"/>
      <c r="AR75" s="44"/>
      <c r="AS75" s="44"/>
      <c r="AT75" s="44"/>
    </row>
    <row r="76" spans="1:46" ht="14.25" customHeight="1" x14ac:dyDescent="0.6">
      <c r="A76" s="24" t="s">
        <v>222</v>
      </c>
      <c r="B76" s="24" t="s">
        <v>344</v>
      </c>
      <c r="C76" s="24" t="s">
        <v>299</v>
      </c>
      <c r="D76" s="274"/>
      <c r="E76" s="24" t="s">
        <v>312</v>
      </c>
      <c r="F76" s="24">
        <v>3.9156124813737323</v>
      </c>
      <c r="G76" s="24">
        <v>3.9324588782732692</v>
      </c>
      <c r="H76" s="24">
        <v>4.1084593441327648</v>
      </c>
      <c r="I76" s="24">
        <v>3.8779081316913162</v>
      </c>
      <c r="J76" s="24">
        <v>3.8351322280085158</v>
      </c>
      <c r="K76" s="24">
        <v>3.8886248402178025</v>
      </c>
      <c r="L76" s="24">
        <v>3.6837249142011301</v>
      </c>
      <c r="M76" s="24">
        <v>3.6609815221739286</v>
      </c>
      <c r="N76" s="24">
        <v>3.5569268065056643</v>
      </c>
      <c r="O76" s="24">
        <v>3.6245657920234717</v>
      </c>
      <c r="P76" s="24">
        <v>3.6951996825955997</v>
      </c>
      <c r="Q76" s="24">
        <v>3.8254751998765317</v>
      </c>
      <c r="R76" s="24">
        <v>4.056867635751451</v>
      </c>
      <c r="S76" s="24">
        <v>3.7994970665742542</v>
      </c>
      <c r="T76" s="24">
        <v>3.7814877884220741</v>
      </c>
      <c r="U76" s="24">
        <v>3.711428598068383</v>
      </c>
      <c r="V76" s="24"/>
      <c r="W76" s="24"/>
      <c r="X76" s="24"/>
      <c r="Y76" s="24"/>
      <c r="Z76" s="24"/>
      <c r="AA76" s="24"/>
      <c r="AB76" s="24"/>
      <c r="AC76" s="24"/>
      <c r="AD76" s="24"/>
      <c r="AE76" s="24"/>
      <c r="AF76" s="24"/>
      <c r="AG76" s="24"/>
      <c r="AH76" s="24"/>
      <c r="AI76" s="44"/>
      <c r="AJ76" s="44"/>
      <c r="AK76" s="44"/>
      <c r="AL76" s="44"/>
      <c r="AM76" s="44"/>
      <c r="AN76" s="44"/>
      <c r="AO76" s="44"/>
      <c r="AP76" s="44"/>
      <c r="AQ76" s="44"/>
      <c r="AR76" s="44"/>
      <c r="AS76" s="44"/>
      <c r="AT76" s="44"/>
    </row>
    <row r="77" spans="1:46" ht="14.25" customHeight="1" x14ac:dyDescent="0.6">
      <c r="A77" s="24" t="s">
        <v>222</v>
      </c>
      <c r="B77" s="24" t="s">
        <v>345</v>
      </c>
      <c r="C77" s="24" t="s">
        <v>299</v>
      </c>
      <c r="D77" s="274"/>
      <c r="E77" s="24" t="s">
        <v>314</v>
      </c>
      <c r="F77" s="24">
        <v>-1.4833622988596873</v>
      </c>
      <c r="G77" s="24">
        <v>-1.581406640795384</v>
      </c>
      <c r="H77" s="24">
        <v>-1.6793534084206412</v>
      </c>
      <c r="I77" s="24">
        <v>-1.7772026988420799</v>
      </c>
      <c r="J77" s="24">
        <v>1.0444245374049468</v>
      </c>
      <c r="K77" s="24">
        <v>-1.0406504430807861</v>
      </c>
      <c r="L77" s="24">
        <v>-3.0826994209528116</v>
      </c>
      <c r="M77" s="24">
        <v>-5.0826102476880655</v>
      </c>
      <c r="N77" s="24">
        <v>-13.401128621221062</v>
      </c>
      <c r="O77" s="24">
        <v>-11.023968812590235</v>
      </c>
      <c r="P77" s="24">
        <v>-8.5815553965416882</v>
      </c>
      <c r="Q77" s="24">
        <v>-6.0720971458867181</v>
      </c>
      <c r="R77" s="24">
        <v>-5.6424767009710955E-2</v>
      </c>
      <c r="S77" s="24">
        <v>0.2723480949204109</v>
      </c>
      <c r="T77" s="24">
        <v>0.60220248304659485</v>
      </c>
      <c r="U77" s="24">
        <v>0.93314195514091236</v>
      </c>
      <c r="V77" s="24"/>
      <c r="W77" s="24"/>
      <c r="X77" s="24"/>
      <c r="Y77" s="24"/>
      <c r="Z77" s="24"/>
      <c r="AA77" s="24"/>
      <c r="AB77" s="24"/>
      <c r="AC77" s="24"/>
      <c r="AD77" s="24"/>
      <c r="AE77" s="24"/>
      <c r="AF77" s="24"/>
      <c r="AG77" s="24"/>
      <c r="AH77" s="24"/>
      <c r="AI77" s="44"/>
      <c r="AJ77" s="44"/>
      <c r="AK77" s="44"/>
      <c r="AL77" s="44"/>
      <c r="AM77" s="44"/>
      <c r="AN77" s="44"/>
      <c r="AO77" s="44"/>
      <c r="AP77" s="44"/>
      <c r="AQ77" s="44"/>
      <c r="AR77" s="44"/>
      <c r="AS77" s="44"/>
      <c r="AT77" s="44"/>
    </row>
    <row r="78" spans="1:46" ht="14.25" customHeight="1" x14ac:dyDescent="0.6">
      <c r="A78" s="24" t="s">
        <v>222</v>
      </c>
      <c r="B78" s="24" t="s">
        <v>346</v>
      </c>
      <c r="C78" s="24" t="s">
        <v>299</v>
      </c>
      <c r="D78" s="274"/>
      <c r="E78" s="24" t="s">
        <v>316</v>
      </c>
      <c r="F78" s="24">
        <v>4.4983447900535047</v>
      </c>
      <c r="G78" s="24">
        <v>5.0578784483908841</v>
      </c>
      <c r="H78" s="24">
        <v>5.6204081150903287</v>
      </c>
      <c r="I78" s="24">
        <v>6.1859498322003468</v>
      </c>
      <c r="J78" s="24">
        <v>7.6988438664158094</v>
      </c>
      <c r="K78" s="24">
        <v>7.6873994060638244</v>
      </c>
      <c r="L78" s="24">
        <v>7.6759561618406744</v>
      </c>
      <c r="M78" s="24">
        <v>7.6645141336172173</v>
      </c>
      <c r="N78" s="24">
        <v>8.599968538837528</v>
      </c>
      <c r="O78" s="24">
        <v>7.9243006610070834</v>
      </c>
      <c r="P78" s="24">
        <v>7.2528365328395283</v>
      </c>
      <c r="Q78" s="24">
        <v>6.5855500001963287</v>
      </c>
      <c r="R78" s="24">
        <v>4.6207966064932027</v>
      </c>
      <c r="S78" s="24">
        <v>4.80519508670245</v>
      </c>
      <c r="T78" s="24">
        <v>4.9899185768581624</v>
      </c>
      <c r="U78" s="24">
        <v>5.1749676498038095</v>
      </c>
      <c r="V78" s="24"/>
      <c r="W78" s="24"/>
      <c r="X78" s="24"/>
      <c r="Y78" s="24"/>
      <c r="Z78" s="24"/>
      <c r="AA78" s="24"/>
      <c r="AB78" s="24"/>
      <c r="AC78" s="24"/>
      <c r="AD78" s="24"/>
      <c r="AE78" s="24"/>
      <c r="AF78" s="24"/>
      <c r="AG78" s="24"/>
      <c r="AH78" s="24"/>
      <c r="AI78" s="44"/>
      <c r="AJ78" s="44"/>
      <c r="AK78" s="44"/>
      <c r="AL78" s="44"/>
      <c r="AM78" s="44"/>
      <c r="AN78" s="44"/>
      <c r="AO78" s="44"/>
      <c r="AP78" s="44"/>
      <c r="AQ78" s="44"/>
      <c r="AR78" s="44"/>
      <c r="AS78" s="44"/>
      <c r="AT78" s="44"/>
    </row>
    <row r="79" spans="1:46" ht="14.25" customHeight="1" x14ac:dyDescent="0.6">
      <c r="A79" s="24" t="s">
        <v>222</v>
      </c>
      <c r="B79" s="24" t="s">
        <v>347</v>
      </c>
      <c r="C79" s="24" t="s">
        <v>299</v>
      </c>
      <c r="D79" s="274"/>
      <c r="E79" s="24" t="s">
        <v>318</v>
      </c>
      <c r="F79" s="24">
        <v>-3.0777061469640454</v>
      </c>
      <c r="G79" s="24">
        <v>-2.9128046694812708</v>
      </c>
      <c r="H79" s="24">
        <v>-2.7476226322201778</v>
      </c>
      <c r="I79" s="24">
        <v>-2.5821595578425138</v>
      </c>
      <c r="J79" s="24">
        <v>0.72569631849616201</v>
      </c>
      <c r="K79" s="24">
        <v>-1.2374127335166825</v>
      </c>
      <c r="L79" s="24">
        <v>-3.1622614677462053</v>
      </c>
      <c r="M79" s="24">
        <v>-5.0495955645789854</v>
      </c>
      <c r="N79" s="24">
        <v>-12.817605452153428</v>
      </c>
      <c r="O79" s="24">
        <v>-10.619639450515084</v>
      </c>
      <c r="P79" s="24">
        <v>-8.3662602594430826</v>
      </c>
      <c r="Q79" s="24">
        <v>-6.0560708502477762</v>
      </c>
      <c r="R79" s="24">
        <v>-0.74146103949279873</v>
      </c>
      <c r="S79" s="24">
        <v>-0.33292478047983476</v>
      </c>
      <c r="T79" s="24">
        <v>7.7292964848293011E-2</v>
      </c>
      <c r="U79" s="24">
        <v>0.4891991172879252</v>
      </c>
      <c r="V79" s="24"/>
      <c r="W79" s="24"/>
      <c r="X79" s="24"/>
      <c r="Y79" s="24"/>
      <c r="Z79" s="24"/>
      <c r="AA79" s="24"/>
      <c r="AB79" s="24"/>
      <c r="AC79" s="24"/>
      <c r="AD79" s="24"/>
      <c r="AE79" s="24"/>
      <c r="AF79" s="24"/>
      <c r="AG79" s="24"/>
      <c r="AH79" s="24"/>
      <c r="AI79" s="44"/>
      <c r="AJ79" s="44"/>
      <c r="AK79" s="44"/>
      <c r="AL79" s="44"/>
      <c r="AM79" s="44"/>
      <c r="AN79" s="44"/>
      <c r="AO79" s="44"/>
      <c r="AP79" s="44"/>
      <c r="AQ79" s="44"/>
      <c r="AR79" s="44"/>
      <c r="AS79" s="44"/>
      <c r="AT79" s="44"/>
    </row>
    <row r="80" spans="1:46" ht="14.25" customHeight="1" x14ac:dyDescent="0.6">
      <c r="A80" s="24" t="s">
        <v>222</v>
      </c>
      <c r="B80" s="24" t="s">
        <v>348</v>
      </c>
      <c r="C80" s="24" t="s">
        <v>299</v>
      </c>
      <c r="D80" s="274"/>
      <c r="E80" s="24" t="s">
        <v>320</v>
      </c>
      <c r="F80" s="24">
        <v>6.9443920447675014</v>
      </c>
      <c r="G80" s="24">
        <v>6.8792635036816208</v>
      </c>
      <c r="H80" s="24">
        <v>6.8141746255157454</v>
      </c>
      <c r="I80" s="24">
        <v>6.7491253861153249</v>
      </c>
      <c r="J80" s="24">
        <v>7.1723653666107046</v>
      </c>
      <c r="K80" s="24">
        <v>6.816311605565609</v>
      </c>
      <c r="L80" s="24">
        <v>6.461440745358014</v>
      </c>
      <c r="M80" s="24">
        <v>6.1077488560915878</v>
      </c>
      <c r="N80" s="24">
        <v>5.3229027279405861</v>
      </c>
      <c r="O80" s="24">
        <v>5.2286874954179492</v>
      </c>
      <c r="P80" s="24">
        <v>5.1345565419060026</v>
      </c>
      <c r="Q80" s="24">
        <v>5.0405097920139932</v>
      </c>
      <c r="R80" s="24">
        <v>4.3927646296480303</v>
      </c>
      <c r="S80" s="24">
        <v>4.6536013816745543</v>
      </c>
      <c r="T80" s="24">
        <v>4.9150898628841029</v>
      </c>
      <c r="U80" s="24">
        <v>5.1772317016934144</v>
      </c>
      <c r="V80" s="24"/>
      <c r="W80" s="24"/>
      <c r="X80" s="24"/>
      <c r="Y80" s="24"/>
      <c r="Z80" s="24"/>
      <c r="AA80" s="24"/>
      <c r="AB80" s="24"/>
      <c r="AC80" s="24"/>
      <c r="AD80" s="24"/>
      <c r="AE80" s="24"/>
      <c r="AF80" s="24"/>
      <c r="AG80" s="24"/>
      <c r="AH80" s="24"/>
      <c r="AI80" s="44"/>
      <c r="AJ80" s="44"/>
      <c r="AK80" s="44"/>
      <c r="AL80" s="44"/>
      <c r="AM80" s="44"/>
      <c r="AN80" s="44"/>
      <c r="AO80" s="44"/>
      <c r="AP80" s="44"/>
      <c r="AQ80" s="44"/>
      <c r="AR80" s="44"/>
      <c r="AS80" s="44"/>
      <c r="AT80" s="44"/>
    </row>
    <row r="81" spans="1:46" ht="14.25" customHeight="1" x14ac:dyDescent="0.6">
      <c r="A81" s="24" t="s">
        <v>222</v>
      </c>
      <c r="B81" s="24" t="s">
        <v>349</v>
      </c>
      <c r="C81" s="24" t="s">
        <v>299</v>
      </c>
      <c r="D81" s="274"/>
      <c r="E81" s="24" t="s">
        <v>322</v>
      </c>
      <c r="F81" s="24">
        <v>-3.5497660424722501</v>
      </c>
      <c r="G81" s="24">
        <v>-3.1889089703929905</v>
      </c>
      <c r="H81" s="24">
        <v>-2.8267017945231081</v>
      </c>
      <c r="I81" s="24">
        <v>-2.4631394636100259</v>
      </c>
      <c r="J81" s="24">
        <v>-0.30379449930056668</v>
      </c>
      <c r="K81" s="24">
        <v>-1.1274265938110688</v>
      </c>
      <c r="L81" s="24">
        <v>-1.9442543187500487</v>
      </c>
      <c r="M81" s="24">
        <v>-2.7543338878633339</v>
      </c>
      <c r="N81" s="24">
        <v>-6.285859743450894</v>
      </c>
      <c r="O81" s="24">
        <v>-5.2218797782274198</v>
      </c>
      <c r="P81" s="24">
        <v>-4.1458199565031011</v>
      </c>
      <c r="Q81" s="24">
        <v>-3.0575431300817151</v>
      </c>
      <c r="R81" s="24">
        <v>-0.90473539622988419</v>
      </c>
      <c r="S81" s="24">
        <v>-0.56702735892783807</v>
      </c>
      <c r="T81" s="24">
        <v>-0.22816844202609871</v>
      </c>
      <c r="U81" s="24">
        <v>0.11184527657283289</v>
      </c>
      <c r="V81" s="24"/>
      <c r="W81" s="24"/>
      <c r="X81" s="24"/>
      <c r="Y81" s="24"/>
      <c r="Z81" s="24"/>
      <c r="AA81" s="24"/>
      <c r="AB81" s="24"/>
      <c r="AC81" s="24"/>
      <c r="AD81" s="24"/>
      <c r="AE81" s="24"/>
      <c r="AF81" s="24"/>
      <c r="AG81" s="24"/>
      <c r="AH81" s="24"/>
      <c r="AI81" s="44"/>
      <c r="AJ81" s="44"/>
      <c r="AK81" s="44"/>
      <c r="AL81" s="44"/>
      <c r="AM81" s="44"/>
      <c r="AN81" s="44"/>
      <c r="AO81" s="44"/>
      <c r="AP81" s="44"/>
      <c r="AQ81" s="44"/>
      <c r="AR81" s="44"/>
      <c r="AS81" s="44"/>
      <c r="AT81" s="44"/>
    </row>
    <row r="82" spans="1:46" ht="14.25" customHeight="1" x14ac:dyDescent="0.6">
      <c r="A82" s="24" t="s">
        <v>222</v>
      </c>
      <c r="B82" s="24" t="s">
        <v>350</v>
      </c>
      <c r="C82" s="24" t="s">
        <v>299</v>
      </c>
      <c r="D82" s="274"/>
      <c r="E82" s="24" t="s">
        <v>324</v>
      </c>
      <c r="F82" s="24">
        <v>6.9518110559535371</v>
      </c>
      <c r="G82" s="24">
        <v>6.8794892486611428</v>
      </c>
      <c r="H82" s="24">
        <v>6.8072163460460677</v>
      </c>
      <c r="I82" s="24">
        <v>6.7349923150385491</v>
      </c>
      <c r="J82" s="24">
        <v>7.4784615995550388</v>
      </c>
      <c r="K82" s="24">
        <v>6.8998788499374575</v>
      </c>
      <c r="L82" s="24">
        <v>6.3244107522527013</v>
      </c>
      <c r="M82" s="24">
        <v>5.7520405395704151</v>
      </c>
      <c r="N82" s="24">
        <v>3.855371887571001</v>
      </c>
      <c r="O82" s="24">
        <v>4.1401902968033397</v>
      </c>
      <c r="P82" s="24">
        <v>4.4257898069528689</v>
      </c>
      <c r="Q82" s="24">
        <v>4.7121725601516253</v>
      </c>
      <c r="R82" s="24">
        <v>5.1281882824364029</v>
      </c>
      <c r="S82" s="24">
        <v>5.3170093221940835</v>
      </c>
      <c r="T82" s="24">
        <v>5.5061695039614662</v>
      </c>
      <c r="U82" s="24">
        <v>5.6956694368725724</v>
      </c>
      <c r="V82" s="24"/>
      <c r="W82" s="24"/>
      <c r="X82" s="24"/>
      <c r="Y82" s="24"/>
      <c r="Z82" s="24"/>
      <c r="AA82" s="24"/>
      <c r="AB82" s="24"/>
      <c r="AC82" s="24"/>
      <c r="AD82" s="24"/>
      <c r="AE82" s="24"/>
      <c r="AF82" s="24"/>
      <c r="AG82" s="24"/>
      <c r="AH82" s="24"/>
      <c r="AI82" s="44"/>
      <c r="AJ82" s="44"/>
      <c r="AK82" s="44"/>
      <c r="AL82" s="44"/>
      <c r="AM82" s="44"/>
      <c r="AN82" s="44"/>
      <c r="AO82" s="44"/>
      <c r="AP82" s="44"/>
      <c r="AQ82" s="44"/>
      <c r="AR82" s="44"/>
      <c r="AS82" s="44"/>
      <c r="AT82" s="44"/>
    </row>
    <row r="83" spans="1:46" ht="14.25" customHeight="1" x14ac:dyDescent="0.6">
      <c r="A83" s="24" t="s">
        <v>222</v>
      </c>
      <c r="B83" s="24" t="s">
        <v>351</v>
      </c>
      <c r="C83" s="24" t="s">
        <v>299</v>
      </c>
      <c r="D83" s="274"/>
      <c r="E83" s="24" t="s">
        <v>326</v>
      </c>
      <c r="F83" s="24">
        <v>-1.9262533344358961</v>
      </c>
      <c r="G83" s="24">
        <v>-1.7736477492463907</v>
      </c>
      <c r="H83" s="24">
        <v>-1.6208047053544161</v>
      </c>
      <c r="I83" s="24">
        <v>-1.4677238332673535</v>
      </c>
      <c r="J83" s="24">
        <v>1.8463801327205924</v>
      </c>
      <c r="K83" s="24">
        <v>-0.13702786468032821</v>
      </c>
      <c r="L83" s="24">
        <v>-2.0818099700364723</v>
      </c>
      <c r="M83" s="24">
        <v>-3.9887184035357035</v>
      </c>
      <c r="N83" s="24">
        <v>-11.292815739217412</v>
      </c>
      <c r="O83" s="24">
        <v>-9.4249346724848593</v>
      </c>
      <c r="P83" s="24">
        <v>-7.5177221839679964</v>
      </c>
      <c r="Q83" s="24">
        <v>-5.5703500834960824</v>
      </c>
      <c r="R83" s="24">
        <v>-1.0940899730615639</v>
      </c>
      <c r="S83" s="24">
        <v>-0.79195650751851465</v>
      </c>
      <c r="T83" s="24">
        <v>-0.48890009782608657</v>
      </c>
      <c r="U83" s="24">
        <v>-0.18491792461464138</v>
      </c>
      <c r="V83" s="24"/>
      <c r="W83" s="24"/>
      <c r="X83" s="24"/>
      <c r="Y83" s="24"/>
      <c r="Z83" s="24"/>
      <c r="AA83" s="24"/>
      <c r="AB83" s="24"/>
      <c r="AC83" s="24"/>
      <c r="AD83" s="24"/>
      <c r="AE83" s="24"/>
      <c r="AF83" s="24"/>
      <c r="AG83" s="24"/>
      <c r="AH83" s="24"/>
      <c r="AI83" s="44"/>
      <c r="AJ83" s="44"/>
      <c r="AK83" s="44"/>
      <c r="AL83" s="44"/>
      <c r="AM83" s="44"/>
      <c r="AN83" s="44"/>
      <c r="AO83" s="44"/>
      <c r="AP83" s="44"/>
      <c r="AQ83" s="44"/>
      <c r="AR83" s="44"/>
      <c r="AS83" s="44"/>
      <c r="AT83" s="44"/>
    </row>
    <row r="84" spans="1:46" ht="14.25" customHeight="1" x14ac:dyDescent="0.6">
      <c r="A84" s="24" t="s">
        <v>222</v>
      </c>
      <c r="B84" s="24" t="s">
        <v>352</v>
      </c>
      <c r="C84" s="24" t="s">
        <v>299</v>
      </c>
      <c r="D84" s="274"/>
      <c r="E84" s="24" t="s">
        <v>328</v>
      </c>
      <c r="F84" s="24">
        <v>5.5708994630086508</v>
      </c>
      <c r="G84" s="24">
        <v>5.1248191970562411</v>
      </c>
      <c r="H84" s="24">
        <v>4.6806238028316098</v>
      </c>
      <c r="I84" s="24">
        <v>4.2383053159800923</v>
      </c>
      <c r="J84" s="24">
        <v>1.9290126303857458</v>
      </c>
      <c r="K84" s="24">
        <v>2.7209593021510567</v>
      </c>
      <c r="L84" s="24">
        <v>3.5190590751261084</v>
      </c>
      <c r="M84" s="24">
        <v>4.323359756386572</v>
      </c>
      <c r="N84" s="24">
        <v>6.2539327611554372</v>
      </c>
      <c r="O84" s="24">
        <v>6.3231388810193287</v>
      </c>
      <c r="P84" s="24">
        <v>6.3923900767397317</v>
      </c>
      <c r="Q84" s="24">
        <v>6.4616863776757931</v>
      </c>
      <c r="R84" s="24">
        <v>6.3853276876035228</v>
      </c>
      <c r="S84" s="24">
        <v>6.5477247564390311</v>
      </c>
      <c r="T84" s="24">
        <v>6.7103697241956928</v>
      </c>
      <c r="U84" s="24">
        <v>6.8732629692909972</v>
      </c>
      <c r="V84" s="24"/>
      <c r="W84" s="24"/>
      <c r="X84" s="24"/>
      <c r="Y84" s="24"/>
      <c r="Z84" s="24"/>
      <c r="AA84" s="24"/>
      <c r="AB84" s="24"/>
      <c r="AC84" s="24"/>
      <c r="AD84" s="24"/>
      <c r="AE84" s="24"/>
      <c r="AF84" s="24"/>
      <c r="AG84" s="24"/>
      <c r="AH84" s="24"/>
      <c r="AI84" s="44"/>
      <c r="AJ84" s="44"/>
      <c r="AK84" s="44"/>
      <c r="AL84" s="44"/>
      <c r="AM84" s="44"/>
      <c r="AN84" s="44"/>
      <c r="AO84" s="44"/>
      <c r="AP84" s="44"/>
      <c r="AQ84" s="44"/>
      <c r="AR84" s="44"/>
      <c r="AS84" s="44"/>
      <c r="AT84" s="44"/>
    </row>
    <row r="85" spans="1:46" ht="14.25" customHeight="1" x14ac:dyDescent="0.6">
      <c r="A85" s="24" t="s">
        <v>222</v>
      </c>
      <c r="B85" s="24" t="s">
        <v>353</v>
      </c>
      <c r="C85" s="24" t="s">
        <v>299</v>
      </c>
      <c r="D85" s="274"/>
      <c r="E85" s="24" t="s">
        <v>330</v>
      </c>
      <c r="F85" s="24">
        <v>-0.9159444310185475</v>
      </c>
      <c r="G85" s="24">
        <v>-1.1101819570648497</v>
      </c>
      <c r="H85" s="24">
        <v>-1.3040387133060873</v>
      </c>
      <c r="I85" s="24">
        <v>-1.4975154461770188</v>
      </c>
      <c r="J85" s="24">
        <v>0.63762667055622424</v>
      </c>
      <c r="K85" s="24">
        <v>-1.1216410721659738</v>
      </c>
      <c r="L85" s="24">
        <v>-2.8501546815388976</v>
      </c>
      <c r="M85" s="24">
        <v>-4.5484517771044706</v>
      </c>
      <c r="N85" s="24">
        <v>-11.670422865768479</v>
      </c>
      <c r="O85" s="24">
        <v>-9.6059190151087854</v>
      </c>
      <c r="P85" s="24">
        <v>-7.493162061834191</v>
      </c>
      <c r="Q85" s="24">
        <v>-5.3310241989362011</v>
      </c>
      <c r="R85" s="24">
        <v>-0.12324219940974541</v>
      </c>
      <c r="S85" s="24">
        <v>7.7867575157488239E-2</v>
      </c>
      <c r="T85" s="24">
        <v>0.27938230020884808</v>
      </c>
      <c r="U85" s="24">
        <v>0.48130279114432983</v>
      </c>
      <c r="V85" s="24"/>
      <c r="W85" s="24"/>
      <c r="X85" s="24"/>
      <c r="Y85" s="24"/>
      <c r="Z85" s="24"/>
      <c r="AA85" s="24"/>
      <c r="AB85" s="24"/>
      <c r="AC85" s="24"/>
      <c r="AD85" s="24"/>
      <c r="AE85" s="24"/>
      <c r="AF85" s="24"/>
      <c r="AG85" s="24"/>
      <c r="AH85" s="24"/>
      <c r="AI85" s="44"/>
      <c r="AJ85" s="44"/>
      <c r="AK85" s="44"/>
      <c r="AL85" s="44"/>
      <c r="AM85" s="44"/>
      <c r="AN85" s="44"/>
      <c r="AO85" s="44"/>
      <c r="AP85" s="44"/>
      <c r="AQ85" s="44"/>
      <c r="AR85" s="44"/>
      <c r="AS85" s="44"/>
      <c r="AT85" s="44"/>
    </row>
    <row r="86" spans="1:46" ht="14.25" customHeight="1" x14ac:dyDescent="0.6">
      <c r="A86" s="24" t="s">
        <v>222</v>
      </c>
      <c r="B86" s="24" t="s">
        <v>354</v>
      </c>
      <c r="C86" s="24" t="s">
        <v>299</v>
      </c>
      <c r="D86" s="274"/>
      <c r="E86" s="24" t="s">
        <v>332</v>
      </c>
      <c r="F86" s="24">
        <v>2.5957009007473215</v>
      </c>
      <c r="G86" s="24">
        <v>2.8259265847241206</v>
      </c>
      <c r="H86" s="24">
        <v>3.0566688972252369</v>
      </c>
      <c r="I86" s="24">
        <v>3.2879289975698445</v>
      </c>
      <c r="J86" s="24">
        <v>3.0237801352084919</v>
      </c>
      <c r="K86" s="24">
        <v>3.5448168987933744</v>
      </c>
      <c r="L86" s="24">
        <v>4.0684887754429342</v>
      </c>
      <c r="M86" s="24">
        <v>4.594809092087929</v>
      </c>
      <c r="N86" s="24">
        <v>6.0675331187044357</v>
      </c>
      <c r="O86" s="24">
        <v>5.9666886868118949</v>
      </c>
      <c r="P86" s="24">
        <v>5.8659401334520922</v>
      </c>
      <c r="Q86" s="24">
        <v>5.7652873674678418</v>
      </c>
      <c r="R86" s="24">
        <v>4.8581074867493159</v>
      </c>
      <c r="S86" s="24">
        <v>5.2841303434468738</v>
      </c>
      <c r="T86" s="24">
        <v>5.7118840674924547</v>
      </c>
      <c r="U86" s="24">
        <v>6.1413756911420956</v>
      </c>
      <c r="V86" s="24"/>
      <c r="W86" s="24"/>
      <c r="X86" s="24"/>
      <c r="Y86" s="24"/>
      <c r="Z86" s="24"/>
      <c r="AA86" s="24"/>
      <c r="AB86" s="24"/>
      <c r="AC86" s="24"/>
      <c r="AD86" s="24"/>
      <c r="AE86" s="24"/>
      <c r="AF86" s="24"/>
      <c r="AG86" s="24"/>
      <c r="AH86" s="24"/>
      <c r="AI86" s="44"/>
      <c r="AJ86" s="44"/>
      <c r="AK86" s="44"/>
      <c r="AL86" s="44"/>
      <c r="AM86" s="44"/>
      <c r="AN86" s="44"/>
      <c r="AO86" s="44"/>
      <c r="AP86" s="44"/>
      <c r="AQ86" s="44"/>
      <c r="AR86" s="44"/>
      <c r="AS86" s="44"/>
      <c r="AT86" s="44"/>
    </row>
    <row r="87" spans="1:46" ht="14.25" customHeight="1" x14ac:dyDescent="0.6">
      <c r="A87" s="24" t="s">
        <v>222</v>
      </c>
      <c r="B87" s="24" t="s">
        <v>355</v>
      </c>
      <c r="C87" s="24" t="s">
        <v>299</v>
      </c>
      <c r="D87" s="274"/>
      <c r="E87" s="24" t="s">
        <v>334</v>
      </c>
      <c r="F87" s="24">
        <v>-1.0956119489879781</v>
      </c>
      <c r="G87" s="24">
        <v>-1.1689628278794528</v>
      </c>
      <c r="H87" s="24">
        <v>-1.2422593072489334</v>
      </c>
      <c r="I87" s="24">
        <v>-1.3155014274409187</v>
      </c>
      <c r="J87" s="24">
        <v>0.30059217334086824</v>
      </c>
      <c r="K87" s="24">
        <v>-0.90718171225237454</v>
      </c>
      <c r="L87" s="24">
        <v>-2.1004121367641049</v>
      </c>
      <c r="M87" s="24">
        <v>-3.2792742259052425</v>
      </c>
      <c r="N87" s="24">
        <v>-8.2601710983281968</v>
      </c>
      <c r="O87" s="24">
        <v>-6.8404803901212548</v>
      </c>
      <c r="P87" s="24">
        <v>-5.3988197073558162</v>
      </c>
      <c r="Q87" s="24">
        <v>-3.934849060638923</v>
      </c>
      <c r="R87" s="24">
        <v>-0.54426921724812993</v>
      </c>
      <c r="S87" s="24">
        <v>-0.33174939391614738</v>
      </c>
      <c r="T87" s="24">
        <v>-0.11877545220455742</v>
      </c>
      <c r="U87" s="24">
        <v>9.4653578259697446E-2</v>
      </c>
      <c r="V87" s="24"/>
      <c r="W87" s="24"/>
      <c r="X87" s="24"/>
      <c r="Y87" s="24"/>
      <c r="Z87" s="24"/>
      <c r="AA87" s="24"/>
      <c r="AB87" s="24"/>
      <c r="AC87" s="24"/>
      <c r="AD87" s="24"/>
      <c r="AE87" s="24"/>
      <c r="AF87" s="24"/>
      <c r="AG87" s="24"/>
      <c r="AH87" s="24"/>
      <c r="AI87" s="44"/>
      <c r="AJ87" s="44"/>
      <c r="AK87" s="44"/>
      <c r="AL87" s="44"/>
      <c r="AM87" s="44"/>
      <c r="AN87" s="44"/>
      <c r="AO87" s="44"/>
      <c r="AP87" s="44"/>
      <c r="AQ87" s="44"/>
      <c r="AR87" s="44"/>
      <c r="AS87" s="44"/>
      <c r="AT87" s="44"/>
    </row>
    <row r="88" spans="1:46" ht="18" customHeight="1" x14ac:dyDescent="0.6">
      <c r="A88" s="24" t="s">
        <v>222</v>
      </c>
      <c r="B88" s="24" t="s">
        <v>335</v>
      </c>
      <c r="C88" s="24" t="s">
        <v>299</v>
      </c>
      <c r="D88" s="274"/>
      <c r="E88" s="42" t="s">
        <v>262</v>
      </c>
      <c r="F88" s="42">
        <v>0.22335403999263301</v>
      </c>
      <c r="G88" s="42">
        <v>1.1110170880914838</v>
      </c>
      <c r="H88" s="42">
        <v>1.1110170880914862</v>
      </c>
      <c r="I88" s="42">
        <v>1.1110170880914845</v>
      </c>
      <c r="J88" s="42">
        <v>0.63633762858276344</v>
      </c>
      <c r="K88" s="42">
        <v>1.4424370034816498</v>
      </c>
      <c r="L88" s="42">
        <v>1.4424370034816489</v>
      </c>
      <c r="M88" s="42">
        <v>1.4424370034816467</v>
      </c>
      <c r="N88" s="42">
        <v>1.5118883994469061</v>
      </c>
      <c r="O88" s="42">
        <v>1.4096171619463216</v>
      </c>
      <c r="P88" s="42">
        <v>1.4096171619463203</v>
      </c>
      <c r="Q88" s="42">
        <v>1.4096171619463187</v>
      </c>
      <c r="R88" s="42">
        <v>0.78560701960813228</v>
      </c>
      <c r="S88" s="42">
        <v>1.8258580360913403</v>
      </c>
      <c r="T88" s="42">
        <v>1.8258580360913412</v>
      </c>
      <c r="U88" s="42">
        <v>1.8258580360913412</v>
      </c>
      <c r="V88" s="42"/>
      <c r="W88" s="42"/>
      <c r="X88" s="42"/>
      <c r="Y88" s="24"/>
      <c r="Z88" s="24"/>
      <c r="AA88" s="24"/>
      <c r="AB88" s="24"/>
      <c r="AC88" s="24"/>
      <c r="AD88" s="24"/>
      <c r="AE88" s="24"/>
      <c r="AF88" s="24"/>
      <c r="AG88" s="24"/>
      <c r="AH88" s="24"/>
      <c r="AI88" s="44"/>
      <c r="AJ88" s="44"/>
      <c r="AK88" s="44"/>
      <c r="AL88" s="44"/>
      <c r="AM88" s="44"/>
      <c r="AN88" s="44"/>
      <c r="AO88" s="44"/>
      <c r="AP88" s="44"/>
      <c r="AQ88" s="44"/>
      <c r="AR88" s="44"/>
      <c r="AS88" s="44"/>
      <c r="AT88" s="44"/>
    </row>
    <row r="89" spans="1:46" ht="18" customHeight="1" x14ac:dyDescent="0.6">
      <c r="A89" s="24" t="s">
        <v>222</v>
      </c>
      <c r="B89" s="24" t="s">
        <v>336</v>
      </c>
      <c r="C89" s="24" t="s">
        <v>299</v>
      </c>
      <c r="D89" s="274"/>
      <c r="E89" s="42" t="s">
        <v>337</v>
      </c>
      <c r="F89" s="42">
        <v>2.4233658882924702</v>
      </c>
      <c r="G89" s="42">
        <v>2.8144489968988018</v>
      </c>
      <c r="H89" s="42">
        <v>3.2070253780265818</v>
      </c>
      <c r="I89" s="42">
        <v>3.6011007334378586</v>
      </c>
      <c r="J89" s="42">
        <v>4.028002774111056</v>
      </c>
      <c r="K89" s="42">
        <v>4.3689839339342864</v>
      </c>
      <c r="L89" s="42">
        <v>4.7110827558124733</v>
      </c>
      <c r="M89" s="42">
        <v>5.0543029031987015</v>
      </c>
      <c r="N89" s="42">
        <v>5.9682906143668157</v>
      </c>
      <c r="O89" s="42">
        <v>5.9340065158330191</v>
      </c>
      <c r="P89" s="42">
        <v>5.8997335092910657</v>
      </c>
      <c r="Q89" s="42">
        <v>5.8654715911522866</v>
      </c>
      <c r="R89" s="42">
        <v>5.1080418753149388</v>
      </c>
      <c r="S89" s="42">
        <v>5.539463119712166</v>
      </c>
      <c r="T89" s="42">
        <v>5.9726551543058086</v>
      </c>
      <c r="U89" s="42">
        <v>6.4076252473932751</v>
      </c>
      <c r="V89" s="42"/>
      <c r="W89" s="42"/>
      <c r="X89" s="42"/>
      <c r="Y89" s="24"/>
      <c r="Z89" s="24"/>
      <c r="AA89" s="24"/>
      <c r="AB89" s="24"/>
      <c r="AC89" s="24"/>
      <c r="AD89" s="24"/>
      <c r="AE89" s="24"/>
      <c r="AF89" s="24"/>
      <c r="AG89" s="24"/>
      <c r="AH89" s="24"/>
      <c r="AI89" s="44"/>
      <c r="AJ89" s="44"/>
      <c r="AK89" s="44"/>
      <c r="AL89" s="44"/>
      <c r="AM89" s="44"/>
      <c r="AN89" s="44"/>
      <c r="AO89" s="44"/>
      <c r="AP89" s="44"/>
      <c r="AQ89" s="44"/>
      <c r="AR89" s="44"/>
      <c r="AS89" s="44"/>
      <c r="AT89" s="44"/>
    </row>
    <row r="90" spans="1:46" ht="18" customHeight="1" x14ac:dyDescent="0.6">
      <c r="A90" s="24"/>
      <c r="B90" s="24"/>
      <c r="C90" s="24"/>
      <c r="D90" s="24"/>
      <c r="E90" s="42"/>
      <c r="F90" s="42"/>
      <c r="G90" s="42"/>
      <c r="H90" s="42"/>
      <c r="I90" s="42"/>
      <c r="J90" s="42"/>
      <c r="K90" s="42"/>
      <c r="L90" s="42"/>
      <c r="M90" s="42"/>
      <c r="N90" s="42"/>
      <c r="O90" s="42"/>
      <c r="P90" s="42"/>
      <c r="Q90" s="42"/>
      <c r="R90" s="42"/>
      <c r="S90" s="42"/>
      <c r="T90" s="42"/>
      <c r="U90" s="42"/>
      <c r="V90" s="42"/>
      <c r="W90" s="42"/>
      <c r="X90" s="42"/>
      <c r="Y90" s="24"/>
      <c r="Z90" s="24"/>
      <c r="AA90" s="24"/>
      <c r="AB90" s="24"/>
      <c r="AC90" s="24"/>
      <c r="AD90" s="24"/>
      <c r="AE90" s="24"/>
      <c r="AF90" s="24"/>
      <c r="AG90" s="24"/>
      <c r="AH90" s="24"/>
      <c r="AI90" s="44"/>
      <c r="AJ90" s="44"/>
      <c r="AK90" s="44"/>
      <c r="AL90" s="44"/>
      <c r="AM90" s="44"/>
      <c r="AN90" s="44"/>
      <c r="AO90" s="44"/>
      <c r="AP90" s="44"/>
      <c r="AQ90" s="44"/>
      <c r="AR90" s="44"/>
      <c r="AS90" s="44"/>
      <c r="AT90" s="44"/>
    </row>
    <row r="91" spans="1:46" ht="18" customHeight="1" x14ac:dyDescent="0.6">
      <c r="A91" s="24"/>
      <c r="B91" s="24"/>
      <c r="C91" s="24"/>
      <c r="D91" s="24"/>
      <c r="E91" s="42"/>
      <c r="F91" s="42"/>
      <c r="G91" s="42"/>
      <c r="H91" s="42"/>
      <c r="I91" s="42"/>
      <c r="J91" s="42"/>
      <c r="K91" s="42"/>
      <c r="L91" s="42"/>
      <c r="M91" s="42"/>
      <c r="N91" s="42"/>
      <c r="O91" s="42"/>
      <c r="P91" s="42"/>
      <c r="Q91" s="42"/>
      <c r="R91" s="42"/>
      <c r="S91" s="42"/>
      <c r="T91" s="42"/>
      <c r="U91" s="42"/>
      <c r="V91" s="42"/>
      <c r="W91" s="42"/>
      <c r="X91" s="42"/>
      <c r="Y91" s="24"/>
      <c r="Z91" s="24"/>
      <c r="AA91" s="24"/>
      <c r="AB91" s="24"/>
      <c r="AC91" s="24"/>
      <c r="AD91" s="24"/>
      <c r="AE91" s="24"/>
      <c r="AF91" s="24"/>
      <c r="AG91" s="24"/>
      <c r="AH91" s="24"/>
      <c r="AI91" s="44"/>
      <c r="AJ91" s="44"/>
      <c r="AK91" s="44"/>
      <c r="AL91" s="44"/>
      <c r="AM91" s="44"/>
      <c r="AN91" s="44"/>
      <c r="AO91" s="44"/>
      <c r="AP91" s="44"/>
      <c r="AQ91" s="44"/>
      <c r="AR91" s="44"/>
      <c r="AS91" s="44"/>
      <c r="AT91" s="44"/>
    </row>
    <row r="92" spans="1:46" ht="18" customHeight="1" x14ac:dyDescent="0.6">
      <c r="A92" s="24"/>
      <c r="B92" s="24"/>
      <c r="C92" s="24"/>
      <c r="D92" s="24"/>
      <c r="E92" s="42"/>
      <c r="F92" s="42"/>
      <c r="G92" s="42"/>
      <c r="H92" s="42"/>
      <c r="I92" s="42"/>
      <c r="J92" s="42"/>
      <c r="K92" s="42"/>
      <c r="L92" s="42"/>
      <c r="M92" s="42"/>
      <c r="N92" s="42"/>
      <c r="O92" s="42"/>
      <c r="P92" s="42"/>
      <c r="Q92" s="42"/>
      <c r="R92" s="42"/>
      <c r="S92" s="42"/>
      <c r="T92" s="42"/>
      <c r="U92" s="42"/>
      <c r="V92" s="42"/>
      <c r="W92" s="42"/>
      <c r="X92" s="42"/>
      <c r="Y92" s="24"/>
      <c r="Z92" s="24"/>
      <c r="AA92" s="24"/>
      <c r="AB92" s="24"/>
      <c r="AC92" s="24"/>
      <c r="AD92" s="24"/>
      <c r="AE92" s="24"/>
      <c r="AF92" s="24"/>
      <c r="AG92" s="24"/>
      <c r="AH92" s="24"/>
      <c r="AI92" s="44"/>
      <c r="AJ92" s="44"/>
      <c r="AK92" s="44"/>
      <c r="AL92" s="44"/>
      <c r="AM92" s="44"/>
      <c r="AN92" s="44"/>
      <c r="AO92" s="44"/>
      <c r="AP92" s="44"/>
      <c r="AQ92" s="44"/>
      <c r="AR92" s="44"/>
      <c r="AS92" s="44"/>
      <c r="AT92" s="44"/>
    </row>
    <row r="93" spans="1:46" ht="18" customHeight="1" x14ac:dyDescent="0.6">
      <c r="A93" s="24"/>
      <c r="B93" s="24"/>
      <c r="C93" s="24"/>
      <c r="D93" s="24"/>
      <c r="E93" s="42"/>
      <c r="F93" s="42"/>
      <c r="G93" s="42"/>
      <c r="H93" s="42"/>
      <c r="I93" s="42"/>
      <c r="J93" s="42"/>
      <c r="K93" s="42"/>
      <c r="L93" s="42"/>
      <c r="M93" s="42"/>
      <c r="N93" s="42"/>
      <c r="O93" s="42"/>
      <c r="P93" s="42"/>
      <c r="Q93" s="42"/>
      <c r="R93" s="42"/>
      <c r="S93" s="42"/>
      <c r="T93" s="42"/>
      <c r="U93" s="42"/>
      <c r="V93" s="42"/>
      <c r="W93" s="42"/>
      <c r="X93" s="42"/>
      <c r="Y93" s="24"/>
      <c r="Z93" s="24"/>
      <c r="AA93" s="24"/>
      <c r="AB93" s="24"/>
      <c r="AC93" s="24"/>
      <c r="AD93" s="24"/>
      <c r="AE93" s="24"/>
      <c r="AF93" s="24"/>
      <c r="AG93" s="24"/>
      <c r="AH93" s="24"/>
      <c r="AI93" s="44"/>
      <c r="AJ93" s="44"/>
      <c r="AK93" s="44"/>
      <c r="AL93" s="44"/>
      <c r="AM93" s="44"/>
      <c r="AN93" s="44"/>
      <c r="AO93" s="44"/>
      <c r="AP93" s="44"/>
      <c r="AQ93" s="44"/>
      <c r="AR93" s="44"/>
      <c r="AS93" s="44"/>
      <c r="AT93" s="44"/>
    </row>
    <row r="94" spans="1:46" ht="18" customHeight="1" x14ac:dyDescent="0.6">
      <c r="A94" s="24"/>
      <c r="B94" s="24"/>
      <c r="C94" s="24"/>
      <c r="D94" s="24"/>
      <c r="E94" s="42"/>
      <c r="F94" s="42"/>
      <c r="G94" s="42"/>
      <c r="H94" s="42"/>
      <c r="I94" s="42"/>
      <c r="J94" s="42"/>
      <c r="K94" s="42"/>
      <c r="L94" s="42"/>
      <c r="M94" s="42"/>
      <c r="N94" s="42"/>
      <c r="O94" s="42"/>
      <c r="P94" s="42"/>
      <c r="Q94" s="42"/>
      <c r="R94" s="42"/>
      <c r="S94" s="42"/>
      <c r="T94" s="42"/>
      <c r="U94" s="42"/>
      <c r="V94" s="42"/>
      <c r="W94" s="42"/>
      <c r="X94" s="42"/>
      <c r="Y94" s="24"/>
      <c r="Z94" s="24"/>
      <c r="AA94" s="24"/>
      <c r="AB94" s="24"/>
      <c r="AC94" s="24"/>
      <c r="AD94" s="24"/>
      <c r="AE94" s="24"/>
      <c r="AF94" s="24"/>
      <c r="AG94" s="24"/>
      <c r="AH94" s="24"/>
      <c r="AI94" s="44"/>
      <c r="AJ94" s="44"/>
      <c r="AK94" s="44"/>
      <c r="AL94" s="44"/>
      <c r="AM94" s="44"/>
      <c r="AN94" s="44"/>
      <c r="AO94" s="44"/>
      <c r="AP94" s="44"/>
      <c r="AQ94" s="44"/>
      <c r="AR94" s="44"/>
      <c r="AS94" s="44"/>
      <c r="AT94" s="44"/>
    </row>
    <row r="95" spans="1:46" ht="18" customHeight="1" x14ac:dyDescent="0.6">
      <c r="A95" s="24"/>
      <c r="B95" s="24"/>
      <c r="C95" s="24"/>
      <c r="D95" s="24"/>
      <c r="E95" s="42"/>
      <c r="F95" s="42"/>
      <c r="G95" s="42"/>
      <c r="H95" s="42"/>
      <c r="I95" s="42"/>
      <c r="J95" s="42"/>
      <c r="K95" s="42"/>
      <c r="L95" s="42"/>
      <c r="M95" s="42"/>
      <c r="N95" s="42"/>
      <c r="O95" s="42"/>
      <c r="P95" s="42"/>
      <c r="Q95" s="42"/>
      <c r="R95" s="42"/>
      <c r="S95" s="42"/>
      <c r="T95" s="42"/>
      <c r="U95" s="42"/>
      <c r="V95" s="42"/>
      <c r="W95" s="42"/>
      <c r="X95" s="42"/>
      <c r="Y95" s="24"/>
      <c r="Z95" s="24"/>
      <c r="AA95" s="24"/>
      <c r="AB95" s="24"/>
      <c r="AC95" s="24"/>
      <c r="AD95" s="24"/>
      <c r="AE95" s="24"/>
      <c r="AF95" s="24"/>
      <c r="AG95" s="24"/>
      <c r="AH95" s="24"/>
      <c r="AI95" s="44"/>
      <c r="AJ95" s="44"/>
      <c r="AK95" s="44"/>
      <c r="AL95" s="44"/>
      <c r="AM95" s="44"/>
      <c r="AN95" s="44"/>
      <c r="AO95" s="44"/>
      <c r="AP95" s="44"/>
      <c r="AQ95" s="44"/>
      <c r="AR95" s="44"/>
      <c r="AS95" s="44"/>
      <c r="AT95" s="44"/>
    </row>
    <row r="96" spans="1:46" ht="14.25" customHeight="1" x14ac:dyDescent="0.6">
      <c r="A96" s="24"/>
      <c r="B96" s="24"/>
      <c r="C96" s="24"/>
      <c r="D96" s="2"/>
      <c r="E96" s="24"/>
      <c r="F96" s="24" t="s">
        <v>213</v>
      </c>
      <c r="G96" s="24" t="s">
        <v>214</v>
      </c>
      <c r="H96" s="24" t="s">
        <v>215</v>
      </c>
      <c r="I96" s="24" t="s">
        <v>216</v>
      </c>
      <c r="J96" s="24" t="s">
        <v>217</v>
      </c>
      <c r="K96" s="24" t="s">
        <v>218</v>
      </c>
      <c r="L96" s="24" t="s">
        <v>219</v>
      </c>
      <c r="M96" s="24" t="s">
        <v>220</v>
      </c>
      <c r="N96" s="24" t="s">
        <v>221</v>
      </c>
      <c r="O96" s="24"/>
      <c r="P96" s="24"/>
      <c r="Q96" s="24"/>
      <c r="R96" s="24"/>
      <c r="S96" s="24"/>
      <c r="T96" s="24"/>
      <c r="U96" s="24"/>
      <c r="V96" s="24"/>
      <c r="W96" s="24"/>
      <c r="X96" s="24"/>
      <c r="Y96" s="24"/>
      <c r="Z96" s="24"/>
      <c r="AA96" s="24"/>
      <c r="AB96" s="24"/>
      <c r="AC96" s="24"/>
      <c r="AD96" s="24"/>
      <c r="AE96" s="24"/>
      <c r="AF96" s="24"/>
      <c r="AG96" s="24"/>
      <c r="AH96" s="24"/>
      <c r="AI96" s="44"/>
      <c r="AJ96" s="44"/>
      <c r="AK96" s="44"/>
      <c r="AL96" s="44"/>
      <c r="AM96" s="44"/>
      <c r="AN96" s="44"/>
      <c r="AO96" s="44"/>
      <c r="AP96" s="44"/>
      <c r="AQ96" s="44"/>
      <c r="AR96" s="44"/>
      <c r="AS96" s="44"/>
      <c r="AT96" s="44"/>
    </row>
    <row r="97" spans="1:46" ht="14.25" customHeight="1" x14ac:dyDescent="0.6">
      <c r="A97" s="24" t="s">
        <v>222</v>
      </c>
      <c r="B97" s="24" t="s">
        <v>356</v>
      </c>
      <c r="C97" s="24" t="s">
        <v>224</v>
      </c>
      <c r="D97" s="2"/>
      <c r="E97" s="24" t="s">
        <v>357</v>
      </c>
      <c r="F97" s="24">
        <v>-8.121451952173901</v>
      </c>
      <c r="G97" s="24">
        <v>-3.0334140190324184</v>
      </c>
      <c r="H97" s="24">
        <v>-7.2138344968016019</v>
      </c>
      <c r="I97" s="24">
        <v>-17.586012983255049</v>
      </c>
      <c r="J97" s="24">
        <v>-6.1221617455848873</v>
      </c>
      <c r="K97" s="24">
        <v>0.9906648200724405</v>
      </c>
      <c r="L97" s="24">
        <v>0.37838183974803336</v>
      </c>
      <c r="M97" s="24">
        <v>-0.3729356672310663</v>
      </c>
      <c r="N97" s="24">
        <v>-0.38265744567221693</v>
      </c>
      <c r="O97" s="24"/>
      <c r="P97" s="24"/>
      <c r="Q97" s="24"/>
      <c r="R97" s="24"/>
      <c r="S97" s="24"/>
      <c r="T97" s="24"/>
      <c r="U97" s="24"/>
      <c r="V97" s="24"/>
      <c r="W97" s="24"/>
      <c r="X97" s="24"/>
      <c r="Y97" s="24"/>
      <c r="Z97" s="24"/>
      <c r="AA97" s="24"/>
      <c r="AB97" s="24"/>
      <c r="AC97" s="24"/>
      <c r="AD97" s="24"/>
      <c r="AE97" s="24"/>
      <c r="AF97" s="24"/>
      <c r="AG97" s="24"/>
      <c r="AH97" s="24"/>
      <c r="AI97" s="44"/>
      <c r="AJ97" s="44"/>
      <c r="AK97" s="44"/>
      <c r="AL97" s="44"/>
      <c r="AM97" s="44"/>
      <c r="AN97" s="44"/>
      <c r="AO97" s="44"/>
      <c r="AP97" s="44"/>
      <c r="AQ97" s="44"/>
      <c r="AR97" s="44"/>
      <c r="AS97" s="44"/>
      <c r="AT97" s="44"/>
    </row>
    <row r="98" spans="1:46" ht="14.25" customHeight="1" x14ac:dyDescent="0.6">
      <c r="A98" s="24" t="s">
        <v>222</v>
      </c>
      <c r="B98" s="24" t="s">
        <v>358</v>
      </c>
      <c r="C98" s="24" t="s">
        <v>224</v>
      </c>
      <c r="D98" s="2"/>
      <c r="E98" s="24" t="s">
        <v>359</v>
      </c>
      <c r="F98" s="24">
        <v>-15.347390512220366</v>
      </c>
      <c r="G98" s="24">
        <v>-10.146088031396665</v>
      </c>
      <c r="H98" s="24">
        <v>-2.5049690402473996</v>
      </c>
      <c r="I98" s="24">
        <v>-12.847093454141699</v>
      </c>
      <c r="J98" s="24">
        <v>-3.9316147900569796</v>
      </c>
      <c r="K98" s="24">
        <v>1.6862303866698829</v>
      </c>
      <c r="L98" s="24">
        <v>1.2030755250673482</v>
      </c>
      <c r="M98" s="24">
        <v>0.24548668501616885</v>
      </c>
      <c r="N98" s="24">
        <v>0.2210217920209844</v>
      </c>
      <c r="O98" s="24"/>
      <c r="P98" s="24"/>
      <c r="Q98" s="24"/>
      <c r="R98" s="24"/>
      <c r="S98" s="24"/>
      <c r="T98" s="24"/>
      <c r="U98" s="24"/>
      <c r="V98" s="24"/>
      <c r="W98" s="24"/>
      <c r="X98" s="24"/>
      <c r="Y98" s="24"/>
      <c r="Z98" s="24"/>
      <c r="AA98" s="24"/>
      <c r="AB98" s="24"/>
      <c r="AC98" s="24"/>
      <c r="AD98" s="24"/>
      <c r="AE98" s="24"/>
      <c r="AF98" s="24"/>
      <c r="AG98" s="24"/>
      <c r="AH98" s="24"/>
      <c r="AI98" s="44"/>
      <c r="AJ98" s="44"/>
      <c r="AK98" s="44"/>
      <c r="AL98" s="44"/>
      <c r="AM98" s="44"/>
      <c r="AN98" s="44"/>
      <c r="AO98" s="44"/>
      <c r="AP98" s="44"/>
      <c r="AQ98" s="44"/>
      <c r="AR98" s="44"/>
      <c r="AS98" s="44"/>
      <c r="AT98" s="44"/>
    </row>
    <row r="99" spans="1:46" ht="14.25" customHeight="1" x14ac:dyDescent="0.6">
      <c r="A99" s="24" t="s">
        <v>222</v>
      </c>
      <c r="B99" s="24" t="s">
        <v>360</v>
      </c>
      <c r="C99" s="24" t="s">
        <v>224</v>
      </c>
      <c r="D99" s="2"/>
      <c r="E99" s="24" t="s">
        <v>361</v>
      </c>
      <c r="F99" s="24">
        <v>-0.97714227501594531</v>
      </c>
      <c r="G99" s="24">
        <v>-1.4142920546021154</v>
      </c>
      <c r="H99" s="24">
        <v>-3.2263025427335528</v>
      </c>
      <c r="I99" s="24">
        <v>-14.803352196019285</v>
      </c>
      <c r="J99" s="24">
        <v>-1.3016193959549576</v>
      </c>
      <c r="K99" s="24">
        <v>2.7405150851407898</v>
      </c>
      <c r="L99" s="24">
        <v>2.1671131353007222</v>
      </c>
      <c r="M99" s="24">
        <v>1.1515789191224726</v>
      </c>
      <c r="N99" s="24">
        <v>0.56670033086152438</v>
      </c>
      <c r="O99" s="24"/>
      <c r="P99" s="24"/>
      <c r="Q99" s="24"/>
      <c r="R99" s="24"/>
      <c r="S99" s="24"/>
      <c r="T99" s="24"/>
      <c r="U99" s="24"/>
      <c r="V99" s="24"/>
      <c r="W99" s="24"/>
      <c r="X99" s="24"/>
      <c r="Y99" s="24"/>
      <c r="Z99" s="24"/>
      <c r="AA99" s="24"/>
      <c r="AB99" s="24"/>
      <c r="AC99" s="24"/>
      <c r="AD99" s="24"/>
      <c r="AE99" s="24"/>
      <c r="AF99" s="24"/>
      <c r="AG99" s="24"/>
      <c r="AH99" s="24"/>
      <c r="AI99" s="44"/>
      <c r="AJ99" s="44"/>
      <c r="AK99" s="44"/>
      <c r="AL99" s="44"/>
      <c r="AM99" s="44"/>
      <c r="AN99" s="44"/>
      <c r="AO99" s="44"/>
      <c r="AP99" s="44"/>
      <c r="AQ99" s="44"/>
      <c r="AR99" s="44"/>
      <c r="AS99" s="44"/>
      <c r="AT99" s="44"/>
    </row>
    <row r="100" spans="1:46" ht="14.25" customHeight="1" x14ac:dyDescent="0.6">
      <c r="A100" s="24" t="s">
        <v>222</v>
      </c>
      <c r="B100" s="24" t="s">
        <v>362</v>
      </c>
      <c r="C100" s="24" t="s">
        <v>224</v>
      </c>
      <c r="D100" s="2"/>
      <c r="E100" s="24" t="s">
        <v>363</v>
      </c>
      <c r="F100" s="24">
        <v>-9.3949427512684469</v>
      </c>
      <c r="G100" s="24">
        <v>-6.7591321230460517</v>
      </c>
      <c r="H100" s="24">
        <v>-1.7854912361040478</v>
      </c>
      <c r="I100" s="24">
        <v>-9.3392098130603252</v>
      </c>
      <c r="J100" s="24">
        <v>-2.253702328220315</v>
      </c>
      <c r="K100" s="24">
        <v>1.3725056513906098</v>
      </c>
      <c r="L100" s="24">
        <v>1.0475505827770057</v>
      </c>
      <c r="M100" s="24">
        <v>0.41608717796165301</v>
      </c>
      <c r="N100" s="24">
        <v>0.37182575829808373</v>
      </c>
      <c r="O100" s="24"/>
      <c r="P100" s="24"/>
      <c r="Q100" s="24"/>
      <c r="R100" s="24"/>
      <c r="S100" s="24"/>
      <c r="T100" s="24"/>
      <c r="U100" s="24"/>
      <c r="V100" s="24"/>
      <c r="W100" s="24"/>
      <c r="X100" s="24"/>
      <c r="Y100" s="24"/>
      <c r="Z100" s="24"/>
      <c r="AA100" s="24"/>
      <c r="AB100" s="24"/>
      <c r="AC100" s="24"/>
      <c r="AD100" s="24"/>
      <c r="AE100" s="24"/>
      <c r="AF100" s="24"/>
      <c r="AG100" s="24"/>
      <c r="AH100" s="24"/>
      <c r="AI100" s="44"/>
      <c r="AJ100" s="44"/>
      <c r="AK100" s="44"/>
      <c r="AL100" s="44"/>
      <c r="AM100" s="44"/>
      <c r="AN100" s="44"/>
      <c r="AO100" s="44"/>
      <c r="AP100" s="44"/>
      <c r="AQ100" s="44"/>
      <c r="AR100" s="44"/>
      <c r="AS100" s="44"/>
      <c r="AT100" s="44"/>
    </row>
    <row r="101" spans="1:46" ht="14.25" customHeight="1" x14ac:dyDescent="0.6">
      <c r="A101" s="24" t="s">
        <v>222</v>
      </c>
      <c r="B101" s="24" t="s">
        <v>364</v>
      </c>
      <c r="C101" s="24" t="s">
        <v>224</v>
      </c>
      <c r="D101" s="2"/>
      <c r="E101" s="24" t="s">
        <v>365</v>
      </c>
      <c r="F101" s="24">
        <v>0.56478820586349887</v>
      </c>
      <c r="G101" s="24">
        <v>-1.0920232351478194</v>
      </c>
      <c r="H101" s="24">
        <v>-0.58164944753707093</v>
      </c>
      <c r="I101" s="24">
        <v>-3.4697627053871507</v>
      </c>
      <c r="J101" s="24">
        <v>0.55380768457475338</v>
      </c>
      <c r="K101" s="24">
        <v>0.84757639817204555</v>
      </c>
      <c r="L101" s="24">
        <v>0.78732375768890661</v>
      </c>
      <c r="M101" s="24">
        <v>0.70153865592966469</v>
      </c>
      <c r="N101" s="24">
        <v>0.62415337068658983</v>
      </c>
      <c r="O101" s="24"/>
      <c r="P101" s="24"/>
      <c r="Q101" s="24"/>
      <c r="R101" s="24"/>
      <c r="S101" s="24"/>
      <c r="T101" s="24"/>
      <c r="U101" s="24"/>
      <c r="V101" s="24"/>
      <c r="W101" s="24"/>
      <c r="X101" s="24"/>
      <c r="Y101" s="24"/>
      <c r="Z101" s="24"/>
      <c r="AA101" s="24"/>
      <c r="AB101" s="24"/>
      <c r="AC101" s="24"/>
      <c r="AD101" s="24"/>
      <c r="AE101" s="24"/>
      <c r="AF101" s="24"/>
      <c r="AG101" s="24"/>
      <c r="AH101" s="24"/>
      <c r="AI101" s="44"/>
      <c r="AJ101" s="44"/>
      <c r="AK101" s="44"/>
      <c r="AL101" s="44"/>
      <c r="AM101" s="44"/>
      <c r="AN101" s="44"/>
      <c r="AO101" s="44"/>
      <c r="AP101" s="44"/>
      <c r="AQ101" s="44"/>
      <c r="AR101" s="44"/>
      <c r="AS101" s="44"/>
      <c r="AT101" s="44"/>
    </row>
    <row r="102" spans="1:46" ht="14.25" customHeight="1" x14ac:dyDescent="0.6">
      <c r="A102" s="24" t="s">
        <v>222</v>
      </c>
      <c r="B102" s="24" t="s">
        <v>366</v>
      </c>
      <c r="C102" s="24" t="s">
        <v>224</v>
      </c>
      <c r="D102" s="2"/>
      <c r="E102" s="2" t="s">
        <v>367</v>
      </c>
      <c r="F102" s="24">
        <v>0.96068657279177427</v>
      </c>
      <c r="G102" s="24">
        <v>-0.89328371724338074</v>
      </c>
      <c r="H102" s="24">
        <v>-7.5162019992282323</v>
      </c>
      <c r="I102" s="24">
        <v>-46.364140501449128</v>
      </c>
      <c r="J102" s="24">
        <v>-2.4480189472442193</v>
      </c>
      <c r="K102" s="24">
        <v>10.051600803539099</v>
      </c>
      <c r="L102" s="24">
        <v>7.9689926041786681</v>
      </c>
      <c r="M102" s="24">
        <v>3.9107585178045885</v>
      </c>
      <c r="N102" s="24">
        <v>1.2681356872697931</v>
      </c>
      <c r="O102" s="24"/>
      <c r="P102" s="24"/>
      <c r="Q102" s="24"/>
      <c r="R102" s="24"/>
      <c r="S102" s="24"/>
      <c r="T102" s="24"/>
      <c r="U102" s="24"/>
      <c r="V102" s="24"/>
      <c r="W102" s="24"/>
      <c r="X102" s="24"/>
      <c r="Y102" s="24"/>
      <c r="Z102" s="24"/>
      <c r="AA102" s="24"/>
      <c r="AB102" s="24"/>
      <c r="AC102" s="24"/>
      <c r="AD102" s="24"/>
      <c r="AE102" s="24"/>
      <c r="AF102" s="24"/>
      <c r="AG102" s="24"/>
      <c r="AH102" s="24"/>
      <c r="AI102" s="44"/>
      <c r="AJ102" s="44"/>
      <c r="AK102" s="44"/>
      <c r="AL102" s="44"/>
      <c r="AM102" s="44"/>
      <c r="AN102" s="44"/>
      <c r="AO102" s="44"/>
      <c r="AP102" s="44"/>
      <c r="AQ102" s="44"/>
      <c r="AR102" s="44"/>
      <c r="AS102" s="44"/>
      <c r="AT102" s="44"/>
    </row>
    <row r="103" spans="1:46" ht="14.25" customHeight="1" x14ac:dyDescent="0.6">
      <c r="A103" s="24"/>
      <c r="B103" s="24"/>
      <c r="C103" s="24"/>
      <c r="D103" s="2"/>
      <c r="E103" s="2"/>
      <c r="F103" s="24" t="s">
        <v>282</v>
      </c>
      <c r="G103" s="24" t="s">
        <v>283</v>
      </c>
      <c r="H103" s="24" t="s">
        <v>284</v>
      </c>
      <c r="I103" s="24" t="s">
        <v>285</v>
      </c>
      <c r="J103" s="24" t="s">
        <v>286</v>
      </c>
      <c r="K103" s="24" t="s">
        <v>287</v>
      </c>
      <c r="L103" s="24" t="s">
        <v>288</v>
      </c>
      <c r="M103" s="24" t="s">
        <v>289</v>
      </c>
      <c r="N103" s="24" t="s">
        <v>290</v>
      </c>
      <c r="O103" s="24" t="s">
        <v>291</v>
      </c>
      <c r="P103" s="24" t="s">
        <v>292</v>
      </c>
      <c r="Q103" s="24" t="s">
        <v>293</v>
      </c>
      <c r="R103" s="24" t="s">
        <v>294</v>
      </c>
      <c r="S103" s="24" t="s">
        <v>295</v>
      </c>
      <c r="T103" s="24" t="s">
        <v>296</v>
      </c>
      <c r="U103" s="24" t="s">
        <v>297</v>
      </c>
      <c r="V103" s="24"/>
      <c r="W103" s="24"/>
      <c r="X103" s="24"/>
      <c r="Y103" s="24"/>
      <c r="Z103" s="24"/>
      <c r="AA103" s="24"/>
      <c r="AB103" s="24"/>
      <c r="AC103" s="24"/>
      <c r="AD103" s="24"/>
      <c r="AE103" s="24"/>
      <c r="AF103" s="24"/>
      <c r="AG103" s="24"/>
      <c r="AH103" s="24"/>
      <c r="AI103" s="44"/>
      <c r="AJ103" s="44"/>
      <c r="AK103" s="44"/>
      <c r="AL103" s="44"/>
      <c r="AM103" s="44"/>
      <c r="AN103" s="44"/>
      <c r="AO103" s="44"/>
      <c r="AP103" s="44"/>
      <c r="AQ103" s="44"/>
      <c r="AR103" s="44"/>
      <c r="AS103" s="44"/>
      <c r="AT103" s="44"/>
    </row>
    <row r="104" spans="1:46" ht="14.25" customHeight="1" x14ac:dyDescent="0.6">
      <c r="A104" s="24" t="s">
        <v>222</v>
      </c>
      <c r="B104" s="24" t="s">
        <v>368</v>
      </c>
      <c r="C104" s="24" t="s">
        <v>299</v>
      </c>
      <c r="D104" s="2"/>
      <c r="E104" s="2" t="s">
        <v>369</v>
      </c>
      <c r="F104" s="24">
        <v>2.4945465088509517</v>
      </c>
      <c r="G104" s="24">
        <v>0.17587881718228962</v>
      </c>
      <c r="H104" s="24">
        <v>-6.387140884485583</v>
      </c>
      <c r="I104" s="24">
        <v>-8.2564309810686893</v>
      </c>
      <c r="J104" s="24">
        <v>-8.8841343812597362</v>
      </c>
      <c r="K104" s="24">
        <v>-4.6392797453336163</v>
      </c>
      <c r="L104" s="24">
        <v>-6.4800618791696314</v>
      </c>
      <c r="M104" s="24">
        <v>-8.8545669971987291</v>
      </c>
      <c r="N104" s="24">
        <v>-15.438245555109884</v>
      </c>
      <c r="O104" s="24">
        <v>-18.963018992313856</v>
      </c>
      <c r="P104" s="24">
        <v>-19.001828795185986</v>
      </c>
      <c r="Q104" s="24">
        <v>-16.940597696314342</v>
      </c>
      <c r="R104" s="24">
        <v>-11.123926181615715</v>
      </c>
      <c r="S104" s="24">
        <v>-8.5947905351488796</v>
      </c>
      <c r="T104" s="24">
        <v>-3.3114676991601075</v>
      </c>
      <c r="U104" s="24">
        <v>-0.69754116081471051</v>
      </c>
      <c r="V104" s="24"/>
      <c r="W104" s="24"/>
      <c r="X104" s="24"/>
      <c r="Y104" s="24"/>
      <c r="Z104" s="24"/>
      <c r="AA104" s="24"/>
      <c r="AB104" s="24"/>
      <c r="AC104" s="24"/>
      <c r="AD104" s="24"/>
      <c r="AE104" s="24"/>
      <c r="AF104" s="24"/>
      <c r="AG104" s="24"/>
      <c r="AH104" s="24"/>
      <c r="AI104" s="44"/>
      <c r="AJ104" s="44"/>
      <c r="AK104" s="44"/>
      <c r="AL104" s="44"/>
      <c r="AM104" s="44"/>
      <c r="AN104" s="44"/>
      <c r="AO104" s="44"/>
      <c r="AP104" s="44"/>
      <c r="AQ104" s="44"/>
      <c r="AR104" s="44"/>
      <c r="AS104" s="44"/>
      <c r="AT104" s="44"/>
    </row>
    <row r="105" spans="1:46" ht="14.25" customHeight="1" x14ac:dyDescent="0.6">
      <c r="A105" s="24" t="s">
        <v>222</v>
      </c>
      <c r="B105" s="24" t="s">
        <v>370</v>
      </c>
      <c r="C105" s="24" t="s">
        <v>299</v>
      </c>
      <c r="D105" s="2"/>
      <c r="E105" s="24" t="s">
        <v>371</v>
      </c>
      <c r="F105" s="24">
        <v>-6.7093940689918057</v>
      </c>
      <c r="G105" s="24">
        <v>-10.032232159112722</v>
      </c>
      <c r="H105" s="24">
        <v>-11.089105404692903</v>
      </c>
      <c r="I105" s="24">
        <v>-13.028067058209055</v>
      </c>
      <c r="J105" s="24">
        <v>-10.411021530242669</v>
      </c>
      <c r="K105" s="24">
        <v>-3.9693315216144262E-2</v>
      </c>
      <c r="L105" s="24">
        <v>1.5507366663418058</v>
      </c>
      <c r="M105" s="24">
        <v>-6.6077562451540978E-2</v>
      </c>
      <c r="N105" s="24">
        <v>-10.52650116347939</v>
      </c>
      <c r="O105" s="24">
        <v>-13.087226730262817</v>
      </c>
      <c r="P105" s="24">
        <v>-14.288420991259299</v>
      </c>
      <c r="Q105" s="24">
        <v>-13.513401056555715</v>
      </c>
      <c r="R105" s="24">
        <v>-7.8838695109420769</v>
      </c>
      <c r="S105" s="24">
        <v>-6.4241004628217873</v>
      </c>
      <c r="T105" s="24">
        <v>-2.3789955495826796</v>
      </c>
      <c r="U105" s="24">
        <v>1.3422147090948351</v>
      </c>
      <c r="V105" s="24"/>
      <c r="W105" s="24"/>
      <c r="X105" s="24"/>
      <c r="Y105" s="24"/>
      <c r="Z105" s="24"/>
      <c r="AA105" s="24"/>
      <c r="AB105" s="24"/>
      <c r="AC105" s="24"/>
      <c r="AD105" s="24"/>
      <c r="AE105" s="24"/>
      <c r="AF105" s="24"/>
      <c r="AG105" s="24"/>
      <c r="AH105" s="24"/>
      <c r="AI105" s="44"/>
      <c r="AJ105" s="44"/>
      <c r="AK105" s="44"/>
      <c r="AL105" s="44"/>
      <c r="AM105" s="44"/>
      <c r="AN105" s="44"/>
      <c r="AO105" s="44"/>
      <c r="AP105" s="44"/>
      <c r="AQ105" s="44"/>
      <c r="AR105" s="44"/>
      <c r="AS105" s="44"/>
      <c r="AT105" s="44"/>
    </row>
    <row r="106" spans="1:46" ht="14.25" customHeight="1" x14ac:dyDescent="0.6">
      <c r="A106" s="24" t="s">
        <v>222</v>
      </c>
      <c r="B106" s="24" t="s">
        <v>372</v>
      </c>
      <c r="C106" s="24" t="s">
        <v>299</v>
      </c>
      <c r="D106" s="2"/>
      <c r="E106" s="24" t="s">
        <v>373</v>
      </c>
      <c r="F106" s="24">
        <v>-1.420545697932573</v>
      </c>
      <c r="G106" s="24">
        <v>-1.3640571834252004</v>
      </c>
      <c r="H106" s="24">
        <v>-0.97405993635996535</v>
      </c>
      <c r="I106" s="24">
        <v>-1.5832880036624795</v>
      </c>
      <c r="J106" s="24">
        <v>-2.0928213873663246</v>
      </c>
      <c r="K106" s="24">
        <v>0.43762938725553968</v>
      </c>
      <c r="L106" s="24">
        <v>-2.8396487057699438</v>
      </c>
      <c r="M106" s="24">
        <v>-8.3125023010182382</v>
      </c>
      <c r="N106" s="24">
        <v>-16.011647395355698</v>
      </c>
      <c r="O106" s="24">
        <v>-14.688630278016504</v>
      </c>
      <c r="P106" s="24">
        <v>-17.457880379425401</v>
      </c>
      <c r="Q106" s="24">
        <v>-12.9112443075973</v>
      </c>
      <c r="R106" s="24">
        <v>-3.9491767063442875</v>
      </c>
      <c r="S106" s="24">
        <v>-5.0634691137184076</v>
      </c>
      <c r="T106" s="24">
        <v>1.5467512170756788</v>
      </c>
      <c r="U106" s="24">
        <v>3.9315671119417508</v>
      </c>
      <c r="V106" s="24"/>
      <c r="W106" s="24"/>
      <c r="X106" s="24"/>
      <c r="Y106" s="24"/>
      <c r="Z106" s="24"/>
      <c r="AA106" s="24"/>
      <c r="AB106" s="24"/>
      <c r="AC106" s="24"/>
      <c r="AD106" s="24"/>
      <c r="AE106" s="24"/>
      <c r="AF106" s="24"/>
      <c r="AG106" s="24"/>
      <c r="AH106" s="24"/>
      <c r="AI106" s="44"/>
      <c r="AJ106" s="44"/>
      <c r="AK106" s="44"/>
      <c r="AL106" s="44"/>
      <c r="AM106" s="44"/>
      <c r="AN106" s="44"/>
      <c r="AO106" s="44"/>
      <c r="AP106" s="44"/>
      <c r="AQ106" s="44"/>
      <c r="AR106" s="44"/>
      <c r="AS106" s="44"/>
      <c r="AT106" s="44"/>
    </row>
    <row r="107" spans="1:46" ht="14.25" customHeight="1" x14ac:dyDescent="0.6">
      <c r="A107" s="24" t="s">
        <v>222</v>
      </c>
      <c r="B107" s="24" t="s">
        <v>374</v>
      </c>
      <c r="C107" s="24" t="s">
        <v>299</v>
      </c>
      <c r="D107" s="2"/>
      <c r="E107" s="24" t="s">
        <v>375</v>
      </c>
      <c r="F107" s="24">
        <v>-4.5548383352891628</v>
      </c>
      <c r="G107" s="24">
        <v>-6.7176748971288847</v>
      </c>
      <c r="H107" s="24">
        <v>-7.3996540131282558</v>
      </c>
      <c r="I107" s="24">
        <v>-8.5991265557242436</v>
      </c>
      <c r="J107" s="24">
        <v>-6.6471458008154887</v>
      </c>
      <c r="K107" s="24">
        <v>-8.9512256824808817E-2</v>
      </c>
      <c r="L107" s="24">
        <v>0.79026043479457408</v>
      </c>
      <c r="M107" s="24">
        <v>-0.47653307442767817</v>
      </c>
      <c r="N107" s="24">
        <v>-7.6723659766382237</v>
      </c>
      <c r="O107" s="24">
        <v>-9.6229729405305715</v>
      </c>
      <c r="P107" s="24">
        <v>-10.504448724584368</v>
      </c>
      <c r="Q107" s="24">
        <v>-9.8313311169631383</v>
      </c>
      <c r="R107" s="24">
        <v>-5.5519172314881198</v>
      </c>
      <c r="S107" s="24">
        <v>-4.0387169829738045</v>
      </c>
      <c r="T107" s="24">
        <v>-0.94027410886998675</v>
      </c>
      <c r="U107" s="24">
        <v>1.6969845000518391</v>
      </c>
      <c r="V107" s="24"/>
      <c r="W107" s="24"/>
      <c r="X107" s="24"/>
      <c r="Y107" s="24"/>
      <c r="Z107" s="24"/>
      <c r="AA107" s="24"/>
      <c r="AB107" s="24"/>
      <c r="AC107" s="24"/>
      <c r="AD107" s="24"/>
      <c r="AE107" s="24"/>
      <c r="AF107" s="24"/>
      <c r="AG107" s="24"/>
      <c r="AH107" s="24"/>
      <c r="AI107" s="44"/>
      <c r="AJ107" s="44"/>
      <c r="AK107" s="44"/>
      <c r="AL107" s="44"/>
      <c r="AM107" s="44"/>
      <c r="AN107" s="44"/>
      <c r="AO107" s="44"/>
      <c r="AP107" s="44"/>
      <c r="AQ107" s="44"/>
      <c r="AR107" s="44"/>
      <c r="AS107" s="44"/>
      <c r="AT107" s="44"/>
    </row>
    <row r="108" spans="1:46" ht="14.25" customHeight="1" x14ac:dyDescent="0.6">
      <c r="A108" s="24" t="s">
        <v>222</v>
      </c>
      <c r="B108" s="24" t="s">
        <v>376</v>
      </c>
      <c r="C108" s="24" t="s">
        <v>299</v>
      </c>
      <c r="D108" s="2"/>
      <c r="E108" s="24" t="s">
        <v>377</v>
      </c>
      <c r="F108" s="24">
        <v>-0.97190333314455934</v>
      </c>
      <c r="G108" s="24">
        <v>-1.1969531689774093</v>
      </c>
      <c r="H108" s="24">
        <v>-1.1989574828868226</v>
      </c>
      <c r="I108" s="24">
        <v>-1.0001222957423628</v>
      </c>
      <c r="J108" s="24">
        <v>-0.34683692717715958</v>
      </c>
      <c r="K108" s="24">
        <v>-0.24550712046785744</v>
      </c>
      <c r="L108" s="24">
        <v>-0.51821336132986306</v>
      </c>
      <c r="M108" s="24">
        <v>-1.2182554495412561</v>
      </c>
      <c r="N108" s="24">
        <v>-2.8317860363860921</v>
      </c>
      <c r="O108" s="24">
        <v>-3.6504421099211601</v>
      </c>
      <c r="P108" s="24">
        <v>-3.9417953250147386</v>
      </c>
      <c r="Q108" s="24">
        <v>-3.4582197149982847</v>
      </c>
      <c r="R108" s="24">
        <v>-1.5550585017185425</v>
      </c>
      <c r="S108" s="24">
        <v>5.0697384286186718E-2</v>
      </c>
      <c r="T108" s="24">
        <v>1.4899360874929846</v>
      </c>
      <c r="U108" s="24">
        <v>2.2764455495079043</v>
      </c>
      <c r="V108" s="24"/>
      <c r="W108" s="24"/>
      <c r="X108" s="24"/>
      <c r="Y108" s="24"/>
      <c r="Z108" s="24"/>
      <c r="AA108" s="24"/>
      <c r="AB108" s="24"/>
      <c r="AC108" s="24"/>
      <c r="AD108" s="24"/>
      <c r="AE108" s="24"/>
      <c r="AF108" s="24"/>
      <c r="AG108" s="24"/>
      <c r="AH108" s="24"/>
      <c r="AI108" s="44"/>
      <c r="AJ108" s="44"/>
      <c r="AK108" s="44"/>
      <c r="AL108" s="44"/>
      <c r="AM108" s="44"/>
      <c r="AN108" s="44"/>
      <c r="AO108" s="44"/>
      <c r="AP108" s="44"/>
      <c r="AQ108" s="44"/>
      <c r="AR108" s="44"/>
      <c r="AS108" s="44"/>
      <c r="AT108" s="44"/>
    </row>
    <row r="109" spans="1:46" ht="14.25" customHeight="1" x14ac:dyDescent="0.6">
      <c r="A109" s="24" t="s">
        <v>222</v>
      </c>
      <c r="B109" s="24" t="s">
        <v>378</v>
      </c>
      <c r="C109" s="24" t="s">
        <v>299</v>
      </c>
      <c r="D109" s="2"/>
      <c r="E109" s="2" t="s">
        <v>379</v>
      </c>
      <c r="F109" s="24">
        <v>-6.541519395149642</v>
      </c>
      <c r="G109" s="24">
        <v>-3.4649963097391585</v>
      </c>
      <c r="H109" s="24">
        <v>4.4422957962370315</v>
      </c>
      <c r="I109" s="24">
        <v>2.5546919653108677</v>
      </c>
      <c r="J109" s="24">
        <v>-1.3313377180922004</v>
      </c>
      <c r="K109" s="24">
        <v>7.083452112912525</v>
      </c>
      <c r="L109" s="24">
        <v>-6.4828941495670183</v>
      </c>
      <c r="M109" s="24">
        <v>-28.671315967331601</v>
      </c>
      <c r="N109" s="24">
        <v>-50.110738196618534</v>
      </c>
      <c r="O109" s="24">
        <v>-43.199029289672602</v>
      </c>
      <c r="P109" s="24">
        <v>-52.025619538919528</v>
      </c>
      <c r="Q109" s="24">
        <v>-38.043296756365187</v>
      </c>
      <c r="R109" s="24">
        <v>-7.1048343883547433</v>
      </c>
      <c r="S109" s="24">
        <v>-17.63255565597736</v>
      </c>
      <c r="T109" s="24">
        <v>6.2182391007803073</v>
      </c>
      <c r="U109" s="24">
        <v>13.591655125712313</v>
      </c>
      <c r="V109" s="24"/>
      <c r="W109" s="24"/>
      <c r="X109" s="24"/>
      <c r="Y109" s="24"/>
      <c r="Z109" s="24"/>
      <c r="AA109" s="24"/>
      <c r="AB109" s="24"/>
      <c r="AC109" s="24"/>
      <c r="AD109" s="24"/>
      <c r="AE109" s="24"/>
      <c r="AF109" s="24"/>
      <c r="AG109" s="24"/>
      <c r="AH109" s="24"/>
      <c r="AI109" s="44"/>
      <c r="AJ109" s="44"/>
      <c r="AK109" s="44"/>
      <c r="AL109" s="44"/>
      <c r="AM109" s="44"/>
      <c r="AN109" s="44"/>
      <c r="AO109" s="44"/>
      <c r="AP109" s="44"/>
      <c r="AQ109" s="44"/>
      <c r="AR109" s="44"/>
      <c r="AS109" s="44"/>
      <c r="AT109" s="44"/>
    </row>
    <row r="110" spans="1:46" ht="14.25" customHeight="1" x14ac:dyDescent="0.6">
      <c r="A110" s="24"/>
      <c r="B110" s="24"/>
      <c r="C110" s="24"/>
      <c r="D110" s="2"/>
      <c r="E110" s="2"/>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44"/>
      <c r="AJ110" s="44"/>
      <c r="AK110" s="44"/>
      <c r="AL110" s="44"/>
      <c r="AM110" s="44"/>
      <c r="AN110" s="44"/>
      <c r="AO110" s="44"/>
      <c r="AP110" s="44"/>
      <c r="AQ110" s="44"/>
      <c r="AR110" s="44"/>
      <c r="AS110" s="44"/>
      <c r="AT110" s="44"/>
    </row>
    <row r="111" spans="1:46" ht="14.25" customHeight="1" x14ac:dyDescent="0.6">
      <c r="A111" s="24"/>
      <c r="B111" s="24"/>
      <c r="C111" s="24"/>
      <c r="D111" s="2"/>
      <c r="E111" s="2"/>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44"/>
      <c r="AJ111" s="44"/>
      <c r="AK111" s="44"/>
      <c r="AL111" s="44"/>
      <c r="AM111" s="44"/>
      <c r="AN111" s="44"/>
      <c r="AO111" s="44"/>
      <c r="AP111" s="44"/>
      <c r="AQ111" s="44"/>
      <c r="AR111" s="44"/>
      <c r="AS111" s="44"/>
      <c r="AT111" s="44"/>
    </row>
    <row r="112" spans="1:46" ht="14.25" customHeight="1" x14ac:dyDescent="0.6">
      <c r="A112" s="24"/>
      <c r="B112" s="24"/>
      <c r="C112" s="24"/>
      <c r="D112" s="2"/>
      <c r="E112" s="2"/>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44"/>
      <c r="AJ112" s="44"/>
      <c r="AK112" s="44"/>
      <c r="AL112" s="44"/>
      <c r="AM112" s="44"/>
      <c r="AN112" s="44"/>
      <c r="AO112" s="44"/>
      <c r="AP112" s="44"/>
      <c r="AQ112" s="44"/>
      <c r="AR112" s="44"/>
      <c r="AS112" s="44"/>
      <c r="AT112" s="44"/>
    </row>
    <row r="113" spans="1:46" ht="14.25" customHeight="1" x14ac:dyDescent="0.6">
      <c r="A113" s="24"/>
      <c r="B113" s="24"/>
      <c r="C113" s="24"/>
      <c r="D113" s="2"/>
      <c r="E113" s="2"/>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44"/>
      <c r="AJ113" s="44"/>
      <c r="AK113" s="44"/>
      <c r="AL113" s="44"/>
      <c r="AM113" s="44"/>
      <c r="AN113" s="44"/>
      <c r="AO113" s="44"/>
      <c r="AP113" s="44"/>
      <c r="AQ113" s="44"/>
      <c r="AR113" s="44"/>
      <c r="AS113" s="44"/>
      <c r="AT113" s="44"/>
    </row>
    <row r="114" spans="1:46" ht="14.25" customHeight="1" x14ac:dyDescent="0.6">
      <c r="A114" s="24"/>
      <c r="B114" s="24"/>
      <c r="C114" s="24"/>
      <c r="D114" s="2"/>
      <c r="E114" s="2"/>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44"/>
      <c r="AJ114" s="44"/>
      <c r="AK114" s="44"/>
      <c r="AL114" s="44"/>
      <c r="AM114" s="44"/>
      <c r="AN114" s="44"/>
      <c r="AO114" s="44"/>
      <c r="AP114" s="44"/>
      <c r="AQ114" s="44"/>
      <c r="AR114" s="44"/>
      <c r="AS114" s="44"/>
      <c r="AT114" s="44"/>
    </row>
    <row r="115" spans="1:46" ht="18.75" customHeight="1" x14ac:dyDescent="0.6">
      <c r="A115" s="24"/>
      <c r="B115" s="24"/>
      <c r="C115" s="24"/>
      <c r="D115" s="275"/>
      <c r="E115" s="275"/>
      <c r="F115" s="45"/>
      <c r="G115" s="45"/>
      <c r="H115" s="45"/>
      <c r="I115" s="45"/>
      <c r="J115" s="45"/>
      <c r="K115" s="45"/>
      <c r="L115" s="45"/>
      <c r="M115" s="45"/>
      <c r="N115" s="45"/>
      <c r="O115" s="24"/>
      <c r="P115" s="24"/>
      <c r="Q115" s="24"/>
      <c r="R115" s="24"/>
      <c r="S115" s="24"/>
      <c r="T115" s="24"/>
      <c r="U115" s="24"/>
      <c r="V115" s="24"/>
      <c r="W115" s="24"/>
      <c r="X115" s="24"/>
      <c r="Y115" s="24"/>
      <c r="Z115" s="24"/>
      <c r="AA115" s="24"/>
      <c r="AB115" s="24"/>
      <c r="AC115" s="24"/>
      <c r="AD115" s="24"/>
      <c r="AE115" s="24"/>
      <c r="AF115" s="24"/>
      <c r="AG115" s="24"/>
      <c r="AH115" s="24"/>
      <c r="AI115" s="44"/>
      <c r="AJ115" s="44"/>
      <c r="AK115" s="44"/>
      <c r="AL115" s="44"/>
      <c r="AM115" s="44"/>
      <c r="AN115" s="44"/>
      <c r="AO115" s="44"/>
      <c r="AP115" s="44"/>
      <c r="AQ115" s="44"/>
      <c r="AR115" s="44"/>
      <c r="AS115" s="44"/>
      <c r="AT115" s="44"/>
    </row>
    <row r="116" spans="1:46" ht="20.25" customHeight="1" x14ac:dyDescent="0.6">
      <c r="A116" s="24"/>
      <c r="B116" s="24"/>
      <c r="C116" s="24"/>
      <c r="D116" s="24"/>
      <c r="E116" s="46"/>
      <c r="F116" s="47"/>
      <c r="G116" s="47"/>
      <c r="H116" s="47"/>
      <c r="I116" s="47"/>
      <c r="J116" s="47"/>
      <c r="K116" s="47"/>
      <c r="L116" s="47"/>
      <c r="M116" s="47"/>
      <c r="N116" s="47"/>
      <c r="O116" s="24"/>
      <c r="P116" s="42"/>
      <c r="Q116" s="42"/>
      <c r="R116" s="42"/>
      <c r="S116" s="42"/>
      <c r="T116" s="42"/>
      <c r="U116" s="42"/>
      <c r="V116" s="42"/>
      <c r="W116" s="42"/>
      <c r="X116" s="42"/>
      <c r="Y116" s="42"/>
      <c r="Z116" s="24"/>
      <c r="AA116" s="24"/>
      <c r="AB116" s="24"/>
      <c r="AC116" s="24"/>
      <c r="AD116" s="24"/>
      <c r="AE116" s="24"/>
      <c r="AF116" s="24"/>
      <c r="AG116" s="24"/>
      <c r="AH116" s="24"/>
      <c r="AI116" s="24"/>
      <c r="AJ116" s="24"/>
      <c r="AK116" s="24"/>
      <c r="AL116" s="24"/>
      <c r="AM116" s="24"/>
      <c r="AN116" s="24"/>
      <c r="AO116" s="24"/>
      <c r="AP116" s="24"/>
      <c r="AQ116" s="24"/>
      <c r="AR116" s="24"/>
      <c r="AS116" s="24"/>
      <c r="AT116" s="24"/>
    </row>
    <row r="117" spans="1:46" ht="18.75" customHeight="1" x14ac:dyDescent="0.6">
      <c r="A117" s="24"/>
      <c r="B117" s="24"/>
      <c r="C117" s="24"/>
      <c r="D117" s="48" t="s">
        <v>380</v>
      </c>
      <c r="E117" s="46"/>
      <c r="F117" s="47"/>
      <c r="G117" s="47"/>
      <c r="H117" s="47"/>
      <c r="I117" s="47"/>
      <c r="J117" s="47"/>
      <c r="K117" s="47"/>
      <c r="L117" s="47"/>
      <c r="M117" s="47"/>
      <c r="N117" s="47"/>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row>
    <row r="118" spans="1:46" ht="14.25" customHeight="1" x14ac:dyDescent="0.6">
      <c r="A118" s="24"/>
      <c r="B118" s="24"/>
      <c r="C118" s="24"/>
      <c r="D118" s="24"/>
      <c r="E118" s="24"/>
      <c r="F118" s="24" t="s">
        <v>381</v>
      </c>
      <c r="G118" s="24" t="s">
        <v>382</v>
      </c>
      <c r="H118" s="24" t="s">
        <v>383</v>
      </c>
      <c r="I118" s="24" t="s">
        <v>384</v>
      </c>
      <c r="J118" s="24" t="s">
        <v>385</v>
      </c>
      <c r="K118" s="24" t="s">
        <v>386</v>
      </c>
      <c r="L118" s="24" t="s">
        <v>387</v>
      </c>
      <c r="M118" s="24" t="s">
        <v>388</v>
      </c>
      <c r="N118" s="24" t="s">
        <v>389</v>
      </c>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row>
    <row r="119" spans="1:46" ht="14.25" customHeight="1" x14ac:dyDescent="0.6">
      <c r="A119" s="24" t="s">
        <v>390</v>
      </c>
      <c r="B119" s="24" t="s">
        <v>223</v>
      </c>
      <c r="C119" s="24" t="s">
        <v>224</v>
      </c>
      <c r="D119" s="273" t="s">
        <v>225</v>
      </c>
      <c r="E119" s="24" t="s">
        <v>226</v>
      </c>
      <c r="F119" s="24">
        <v>-0.98557483230305643</v>
      </c>
      <c r="G119" s="24">
        <v>1.8669116831822825</v>
      </c>
      <c r="H119" s="24">
        <v>0.46550080017963502</v>
      </c>
      <c r="I119" s="24">
        <v>-7.3836770279372868</v>
      </c>
      <c r="J119" s="24">
        <v>1.5187449687506436</v>
      </c>
      <c r="K119" s="24">
        <v>2.1193704456233631</v>
      </c>
      <c r="L119" s="24">
        <v>2.1864989961285795</v>
      </c>
      <c r="M119" s="24">
        <v>1.7634737220966097</v>
      </c>
      <c r="N119" s="24">
        <v>2.4034979486138548</v>
      </c>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row>
    <row r="120" spans="1:46" ht="14.25" customHeight="1" x14ac:dyDescent="0.6">
      <c r="A120" s="24" t="s">
        <v>390</v>
      </c>
      <c r="B120" s="24" t="s">
        <v>227</v>
      </c>
      <c r="C120" s="24" t="s">
        <v>224</v>
      </c>
      <c r="D120" s="274"/>
      <c r="E120" s="24" t="s">
        <v>228</v>
      </c>
      <c r="F120" s="24">
        <v>1.4498998506247895</v>
      </c>
      <c r="G120" s="24">
        <v>1.3474440144474802</v>
      </c>
      <c r="H120" s="24">
        <v>1.1453251067889823</v>
      </c>
      <c r="I120" s="24">
        <v>0.84705262789037439</v>
      </c>
      <c r="J120" s="24">
        <v>1.3371999630149238</v>
      </c>
      <c r="K120" s="24">
        <v>1.4862498689848065</v>
      </c>
      <c r="L120" s="24">
        <v>1.6658316524523569</v>
      </c>
      <c r="M120" s="24">
        <v>1.7652250798333733</v>
      </c>
      <c r="N120" s="24">
        <v>1.8079974375804408</v>
      </c>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row>
    <row r="121" spans="1:46" ht="14.25" customHeight="1" x14ac:dyDescent="0.6">
      <c r="A121" s="24" t="s">
        <v>390</v>
      </c>
      <c r="B121" s="24" t="s">
        <v>229</v>
      </c>
      <c r="C121" s="24" t="s">
        <v>224</v>
      </c>
      <c r="D121" s="274"/>
      <c r="E121" s="24" t="s">
        <v>230</v>
      </c>
      <c r="F121" s="24">
        <v>-3.3156393258251975</v>
      </c>
      <c r="G121" s="24">
        <v>2.3647716722497605</v>
      </c>
      <c r="H121" s="24">
        <v>0.30301287006153294</v>
      </c>
      <c r="I121" s="24">
        <v>-10.911658729771808</v>
      </c>
      <c r="J121" s="24">
        <v>2.0477326706118277</v>
      </c>
      <c r="K121" s="24">
        <v>2.3287857567389847</v>
      </c>
      <c r="L121" s="24">
        <v>2.5876848057341819</v>
      </c>
      <c r="M121" s="24">
        <v>2.3840617138143174</v>
      </c>
      <c r="N121" s="24">
        <v>3.0967017907900902</v>
      </c>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row>
    <row r="122" spans="1:46" ht="14.25" customHeight="1" x14ac:dyDescent="0.6">
      <c r="A122" s="24" t="s">
        <v>390</v>
      </c>
      <c r="B122" s="24" t="s">
        <v>231</v>
      </c>
      <c r="C122" s="24" t="s">
        <v>224</v>
      </c>
      <c r="D122" s="274"/>
      <c r="E122" s="24" t="s">
        <v>232</v>
      </c>
      <c r="F122" s="24">
        <v>1.0636319124395994</v>
      </c>
      <c r="G122" s="24">
        <v>1.2502206980324804</v>
      </c>
      <c r="H122" s="24">
        <v>1.7440202588471945</v>
      </c>
      <c r="I122" s="24">
        <v>1.9273074899036995</v>
      </c>
      <c r="J122" s="24">
        <v>2.2413203155787125</v>
      </c>
      <c r="K122" s="24">
        <v>2.1130838277810837</v>
      </c>
      <c r="L122" s="24">
        <v>2.0325399430141378</v>
      </c>
      <c r="M122" s="24">
        <v>1.9911378274109373</v>
      </c>
      <c r="N122" s="24">
        <v>1.8914638175296037</v>
      </c>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row>
    <row r="123" spans="1:46" ht="14.25" customHeight="1" x14ac:dyDescent="0.6">
      <c r="A123" s="24" t="s">
        <v>390</v>
      </c>
      <c r="B123" s="24" t="s">
        <v>233</v>
      </c>
      <c r="C123" s="24" t="s">
        <v>224</v>
      </c>
      <c r="D123" s="274"/>
      <c r="E123" s="24" t="s">
        <v>234</v>
      </c>
      <c r="F123" s="24">
        <v>0.96590349268687192</v>
      </c>
      <c r="G123" s="24">
        <v>1.0616451535195637</v>
      </c>
      <c r="H123" s="24">
        <v>1.7366033812918724</v>
      </c>
      <c r="I123" s="24">
        <v>2.20047236043309</v>
      </c>
      <c r="J123" s="24">
        <v>2.4334338536301026</v>
      </c>
      <c r="K123" s="24">
        <v>2.2512915582335493</v>
      </c>
      <c r="L123" s="24">
        <v>2.1665498861825383</v>
      </c>
      <c r="M123" s="24">
        <v>2.1319711611512333</v>
      </c>
      <c r="N123" s="24">
        <v>2.0313772224101525</v>
      </c>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row>
    <row r="124" spans="1:46" ht="14.25" customHeight="1" x14ac:dyDescent="0.6">
      <c r="A124" s="24" t="s">
        <v>390</v>
      </c>
      <c r="B124" s="24" t="s">
        <v>235</v>
      </c>
      <c r="C124" s="24" t="s">
        <v>224</v>
      </c>
      <c r="D124" s="274"/>
      <c r="E124" s="24" t="s">
        <v>236</v>
      </c>
      <c r="F124" s="24">
        <v>2.2015136018559462</v>
      </c>
      <c r="G124" s="24">
        <v>1.4634035712107916</v>
      </c>
      <c r="H124" s="24">
        <v>0.99119605913012632</v>
      </c>
      <c r="I124" s="24">
        <v>0.33850563457316546</v>
      </c>
      <c r="J124" s="24">
        <v>1.3347293347799345</v>
      </c>
      <c r="K124" s="24">
        <v>1.658313841713579</v>
      </c>
      <c r="L124" s="24">
        <v>1.8172027069453045</v>
      </c>
      <c r="M124" s="24">
        <v>1.9261979344748146</v>
      </c>
      <c r="N124" s="24">
        <v>1.9674989426077447</v>
      </c>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row>
    <row r="125" spans="1:46" ht="14.25" customHeight="1" x14ac:dyDescent="0.6">
      <c r="A125" s="24" t="s">
        <v>390</v>
      </c>
      <c r="B125" s="24" t="s">
        <v>237</v>
      </c>
      <c r="C125" s="24" t="s">
        <v>224</v>
      </c>
      <c r="D125" s="274"/>
      <c r="E125" s="24" t="s">
        <v>238</v>
      </c>
      <c r="F125" s="24">
        <v>-2.6055764140672184</v>
      </c>
      <c r="G125" s="24">
        <v>2.4706152934886316</v>
      </c>
      <c r="H125" s="24">
        <v>0.14682948654216516</v>
      </c>
      <c r="I125" s="24">
        <v>-11.366816128874381</v>
      </c>
      <c r="J125" s="24">
        <v>2.0436731947839526</v>
      </c>
      <c r="K125" s="24">
        <v>2.5031439100487347</v>
      </c>
      <c r="L125" s="24">
        <v>2.7404408785442786</v>
      </c>
      <c r="M125" s="24">
        <v>2.5462275653585622</v>
      </c>
      <c r="N125" s="24">
        <v>3.258171894806738</v>
      </c>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row>
    <row r="126" spans="1:46" ht="14.25" customHeight="1" x14ac:dyDescent="0.6">
      <c r="A126" s="24" t="s">
        <v>390</v>
      </c>
      <c r="B126" s="24" t="s">
        <v>239</v>
      </c>
      <c r="C126" s="24" t="s">
        <v>224</v>
      </c>
      <c r="D126" s="274"/>
      <c r="E126" s="24" t="s">
        <v>240</v>
      </c>
      <c r="F126" s="24">
        <v>-1.190282110501989</v>
      </c>
      <c r="G126" s="24">
        <v>0.73325273811664771</v>
      </c>
      <c r="H126" s="24">
        <v>-0.43380624920758321</v>
      </c>
      <c r="I126" s="24">
        <v>-10.249883470872943</v>
      </c>
      <c r="J126" s="24">
        <v>0.18579082232543179</v>
      </c>
      <c r="K126" s="24">
        <v>0.8280316081332284</v>
      </c>
      <c r="L126" s="24">
        <v>0.7556921750448572</v>
      </c>
      <c r="M126" s="24">
        <v>0.59593862828659916</v>
      </c>
      <c r="N126" s="24">
        <v>1.0379059319850807</v>
      </c>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row>
    <row r="127" spans="1:46" ht="14.25" customHeight="1" x14ac:dyDescent="0.6">
      <c r="A127" s="24" t="s">
        <v>390</v>
      </c>
      <c r="B127" s="24" t="s">
        <v>241</v>
      </c>
      <c r="C127" s="24" t="s">
        <v>224</v>
      </c>
      <c r="D127" s="274"/>
      <c r="E127" s="24" t="s">
        <v>242</v>
      </c>
      <c r="F127" s="24">
        <v>0.65975721609837346</v>
      </c>
      <c r="G127" s="24">
        <v>1.8374502274037863</v>
      </c>
      <c r="H127" s="24">
        <v>2.9970418441474065</v>
      </c>
      <c r="I127" s="24">
        <v>3.8285781426874133</v>
      </c>
      <c r="J127" s="24">
        <v>4.8080105820269958</v>
      </c>
      <c r="K127" s="24">
        <v>4.8222506032458483</v>
      </c>
      <c r="L127" s="24">
        <v>4.8751769453448244</v>
      </c>
      <c r="M127" s="24">
        <v>5.0092318664906479</v>
      </c>
      <c r="N127" s="24">
        <v>5.0859201491738943</v>
      </c>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row>
    <row r="128" spans="1:46" ht="14.25" customHeight="1" x14ac:dyDescent="0.6">
      <c r="A128" s="24" t="s">
        <v>390</v>
      </c>
      <c r="B128" s="24" t="s">
        <v>243</v>
      </c>
      <c r="C128" s="24" t="s">
        <v>224</v>
      </c>
      <c r="D128" s="274"/>
      <c r="E128" s="24" t="s">
        <v>244</v>
      </c>
      <c r="F128" s="24">
        <v>-1.4525665600098279</v>
      </c>
      <c r="G128" s="24">
        <v>0.4467197997612769</v>
      </c>
      <c r="H128" s="24">
        <v>-1.2372665000764069</v>
      </c>
      <c r="I128" s="24">
        <v>-10.440545506654304</v>
      </c>
      <c r="J128" s="24">
        <v>0.25636095493786898</v>
      </c>
      <c r="K128" s="24">
        <v>0.81502997708293556</v>
      </c>
      <c r="L128" s="24">
        <v>0.74966398388244393</v>
      </c>
      <c r="M128" s="24">
        <v>0.56362732948344518</v>
      </c>
      <c r="N128" s="24">
        <v>0.95864117627311374</v>
      </c>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row>
    <row r="129" spans="1:46" ht="14.25" customHeight="1" x14ac:dyDescent="0.6">
      <c r="A129" s="24" t="s">
        <v>390</v>
      </c>
      <c r="B129" s="24" t="s">
        <v>245</v>
      </c>
      <c r="C129" s="24" t="s">
        <v>224</v>
      </c>
      <c r="D129" s="274"/>
      <c r="E129" s="24" t="s">
        <v>246</v>
      </c>
      <c r="F129" s="24">
        <v>0.20436521135073049</v>
      </c>
      <c r="G129" s="24">
        <v>1.4897196482842803</v>
      </c>
      <c r="H129" s="24">
        <v>3.0963090237418123</v>
      </c>
      <c r="I129" s="24">
        <v>3.6983693677360994</v>
      </c>
      <c r="J129" s="24">
        <v>4.9095671851296956</v>
      </c>
      <c r="K129" s="24">
        <v>4.9898030498536654</v>
      </c>
      <c r="L129" s="24">
        <v>5.0389798803127075</v>
      </c>
      <c r="M129" s="24">
        <v>5.1699765819919463</v>
      </c>
      <c r="N129" s="24">
        <v>5.2617136250955197</v>
      </c>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row>
    <row r="130" spans="1:46" ht="14.25" customHeight="1" x14ac:dyDescent="0.6">
      <c r="A130" s="24" t="s">
        <v>390</v>
      </c>
      <c r="B130" s="24" t="s">
        <v>247</v>
      </c>
      <c r="C130" s="24" t="s">
        <v>224</v>
      </c>
      <c r="D130" s="274"/>
      <c r="E130" s="24" t="s">
        <v>248</v>
      </c>
      <c r="F130" s="24">
        <v>-2.1646301956467076</v>
      </c>
      <c r="G130" s="24">
        <v>0.953617781508595</v>
      </c>
      <c r="H130" s="24">
        <v>-0.20249966418712237</v>
      </c>
      <c r="I130" s="24">
        <v>-5.8347251780690721</v>
      </c>
      <c r="J130" s="24">
        <v>-0.39170648045747575</v>
      </c>
      <c r="K130" s="24">
        <v>0.24087366843513558</v>
      </c>
      <c r="L130" s="24">
        <v>0.25146495374542804</v>
      </c>
      <c r="M130" s="24">
        <v>0.35343787212397237</v>
      </c>
      <c r="N130" s="24">
        <v>0.99663632894375098</v>
      </c>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row>
    <row r="131" spans="1:46" ht="14.25" customHeight="1" x14ac:dyDescent="0.6">
      <c r="A131" s="24" t="s">
        <v>390</v>
      </c>
      <c r="B131" s="24" t="s">
        <v>249</v>
      </c>
      <c r="C131" s="24" t="s">
        <v>224</v>
      </c>
      <c r="D131" s="274"/>
      <c r="E131" s="24" t="s">
        <v>250</v>
      </c>
      <c r="F131" s="24">
        <v>0.87587415402913338</v>
      </c>
      <c r="G131" s="24">
        <v>1.9737520492491749</v>
      </c>
      <c r="H131" s="24">
        <v>3.8895261054327865</v>
      </c>
      <c r="I131" s="24">
        <v>2.6735435219025887</v>
      </c>
      <c r="J131" s="24">
        <v>5.7678839525218226</v>
      </c>
      <c r="K131" s="24">
        <v>5.5016456943433223</v>
      </c>
      <c r="L131" s="24">
        <v>5.5653167309454163</v>
      </c>
      <c r="M131" s="24">
        <v>5.5202915980736114</v>
      </c>
      <c r="N131" s="24">
        <v>5.45688961219094</v>
      </c>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row>
    <row r="132" spans="1:46" ht="14.25" customHeight="1" x14ac:dyDescent="0.6">
      <c r="A132" s="24" t="s">
        <v>390</v>
      </c>
      <c r="B132" s="24" t="s">
        <v>251</v>
      </c>
      <c r="C132" s="24" t="s">
        <v>224</v>
      </c>
      <c r="D132" s="274"/>
      <c r="E132" s="24" t="s">
        <v>252</v>
      </c>
      <c r="F132" s="24">
        <v>-2.9343624165370517</v>
      </c>
      <c r="G132" s="24">
        <v>0.83877588136408965</v>
      </c>
      <c r="H132" s="24">
        <v>-0.7950399152618457</v>
      </c>
      <c r="I132" s="24">
        <v>-11.08440366766995</v>
      </c>
      <c r="J132" s="24">
        <v>0.82578393481287571</v>
      </c>
      <c r="K132" s="24">
        <v>1.2073982303997082</v>
      </c>
      <c r="L132" s="24">
        <v>1.2402159671485202</v>
      </c>
      <c r="M132" s="24">
        <v>1.0811041744703478</v>
      </c>
      <c r="N132" s="24">
        <v>1.5843015211104081</v>
      </c>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row>
    <row r="133" spans="1:46" ht="14.25" customHeight="1" x14ac:dyDescent="0.6">
      <c r="A133" s="24" t="s">
        <v>390</v>
      </c>
      <c r="B133" s="24" t="s">
        <v>253</v>
      </c>
      <c r="C133" s="24" t="s">
        <v>224</v>
      </c>
      <c r="D133" s="274"/>
      <c r="E133" s="24" t="s">
        <v>254</v>
      </c>
      <c r="F133" s="24">
        <v>1.611769949879609</v>
      </c>
      <c r="G133" s="24">
        <v>2.5042750235991487</v>
      </c>
      <c r="H133" s="24">
        <v>3.1433836995162237</v>
      </c>
      <c r="I133" s="24">
        <v>2.6794712564301122</v>
      </c>
      <c r="J133" s="24">
        <v>3.9539824343637129</v>
      </c>
      <c r="K133" s="24">
        <v>4.1672083629904515</v>
      </c>
      <c r="L133" s="24">
        <v>4.2581969446174108</v>
      </c>
      <c r="M133" s="24">
        <v>4.3703358357827629</v>
      </c>
      <c r="N133" s="24">
        <v>4.3624543264469571</v>
      </c>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row>
    <row r="134" spans="1:46" ht="14.25" customHeight="1" x14ac:dyDescent="0.6">
      <c r="A134" s="24" t="s">
        <v>390</v>
      </c>
      <c r="B134" s="24" t="s">
        <v>255</v>
      </c>
      <c r="C134" s="24" t="s">
        <v>224</v>
      </c>
      <c r="D134" s="274"/>
      <c r="E134" s="24" t="s">
        <v>256</v>
      </c>
      <c r="F134" s="24">
        <v>-3.2809169718967768</v>
      </c>
      <c r="G134" s="24">
        <v>0.51540851993917458</v>
      </c>
      <c r="H134" s="24">
        <v>-1.5664541244044639</v>
      </c>
      <c r="I134" s="24">
        <v>-11.181096500202605</v>
      </c>
      <c r="J134" s="24">
        <v>0.92742206134249572</v>
      </c>
      <c r="K134" s="24">
        <v>1.193686887716978</v>
      </c>
      <c r="L134" s="24">
        <v>1.1712634387963035</v>
      </c>
      <c r="M134" s="24">
        <v>0.99858404456399519</v>
      </c>
      <c r="N134" s="24">
        <v>1.4883827302218859</v>
      </c>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row>
    <row r="135" spans="1:46" ht="14.25" customHeight="1" x14ac:dyDescent="0.6">
      <c r="A135" s="24" t="s">
        <v>390</v>
      </c>
      <c r="B135" s="24" t="s">
        <v>257</v>
      </c>
      <c r="C135" s="24" t="s">
        <v>224</v>
      </c>
      <c r="D135" s="274"/>
      <c r="E135" s="24" t="s">
        <v>258</v>
      </c>
      <c r="F135" s="24">
        <v>1.2988598866677323</v>
      </c>
      <c r="G135" s="24">
        <v>2.0686553650589805</v>
      </c>
      <c r="H135" s="24">
        <v>3.0120270777198535</v>
      </c>
      <c r="I135" s="24">
        <v>2.0964424510286963</v>
      </c>
      <c r="J135" s="24">
        <v>3.8582666954783091</v>
      </c>
      <c r="K135" s="24">
        <v>4.0098530451935659</v>
      </c>
      <c r="L135" s="24">
        <v>4.0632653685255935</v>
      </c>
      <c r="M135" s="24">
        <v>4.2153917727084727</v>
      </c>
      <c r="N135" s="24">
        <v>4.2006534328742822</v>
      </c>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row>
    <row r="136" spans="1:46" ht="14.25" customHeight="1" x14ac:dyDescent="0.6">
      <c r="A136" s="24" t="s">
        <v>390</v>
      </c>
      <c r="B136" s="24" t="s">
        <v>259</v>
      </c>
      <c r="C136" s="24" t="s">
        <v>224</v>
      </c>
      <c r="D136" s="274"/>
      <c r="E136" s="24" t="s">
        <v>260</v>
      </c>
      <c r="F136" s="24">
        <v>-3.8053942494913011</v>
      </c>
      <c r="G136" s="24">
        <v>0.49846817930258241</v>
      </c>
      <c r="H136" s="24">
        <v>-1.05095899649489</v>
      </c>
      <c r="I136" s="24">
        <v>-8.4094521642133166</v>
      </c>
      <c r="J136" s="24">
        <v>0.49475298284280539</v>
      </c>
      <c r="K136" s="24">
        <v>0.79135706033488251</v>
      </c>
      <c r="L136" s="24">
        <v>0.84602742053003155</v>
      </c>
      <c r="M136" s="24">
        <v>0.87190948976155591</v>
      </c>
      <c r="N136" s="24">
        <v>1.55660955766956</v>
      </c>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row>
    <row r="137" spans="1:46" ht="14.25" customHeight="1" x14ac:dyDescent="0.6">
      <c r="A137" s="24" t="s">
        <v>390</v>
      </c>
      <c r="B137" s="24" t="s">
        <v>261</v>
      </c>
      <c r="C137" s="24" t="s">
        <v>224</v>
      </c>
      <c r="D137" s="274"/>
      <c r="E137" s="24" t="s">
        <v>262</v>
      </c>
      <c r="F137" s="24">
        <v>0.94304873988030136</v>
      </c>
      <c r="G137" s="24">
        <v>1.825483264858992</v>
      </c>
      <c r="H137" s="24">
        <v>3.0252953771276534</v>
      </c>
      <c r="I137" s="24">
        <v>0.94751479471031075</v>
      </c>
      <c r="J137" s="24">
        <v>4.0867180666855765</v>
      </c>
      <c r="K137" s="24">
        <v>4.1551830617849257</v>
      </c>
      <c r="L137" s="24">
        <v>4.2415617151700351</v>
      </c>
      <c r="M137" s="24">
        <v>4.3793781146275697</v>
      </c>
      <c r="N137" s="24">
        <v>4.2682681005311753</v>
      </c>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row>
    <row r="138" spans="1:46" ht="14.25" customHeight="1" x14ac:dyDescent="0.6">
      <c r="A138" s="24" t="s">
        <v>390</v>
      </c>
      <c r="B138" s="24" t="s">
        <v>263</v>
      </c>
      <c r="C138" s="24" t="s">
        <v>224</v>
      </c>
      <c r="D138" s="273" t="s">
        <v>264</v>
      </c>
      <c r="E138" s="24" t="s">
        <v>226</v>
      </c>
      <c r="F138" s="24">
        <v>-1.0809918399244844</v>
      </c>
      <c r="G138" s="24">
        <v>1.7302049646857705</v>
      </c>
      <c r="H138" s="24">
        <v>0.26881520862580222</v>
      </c>
      <c r="I138" s="24">
        <v>-7.6341152528331291</v>
      </c>
      <c r="J138" s="24">
        <v>1.5200824049092057</v>
      </c>
      <c r="K138" s="24">
        <v>2.1806390126388204</v>
      </c>
      <c r="L138" s="24">
        <v>2.2408923328964661</v>
      </c>
      <c r="M138" s="24">
        <v>1.8401840512016387</v>
      </c>
      <c r="N138" s="24">
        <v>2.4537919982595331</v>
      </c>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row>
    <row r="139" spans="1:46" ht="14.25" customHeight="1" x14ac:dyDescent="0.6">
      <c r="A139" s="24" t="s">
        <v>390</v>
      </c>
      <c r="B139" s="24" t="s">
        <v>265</v>
      </c>
      <c r="C139" s="24" t="s">
        <v>224</v>
      </c>
      <c r="D139" s="274"/>
      <c r="E139" s="24" t="s">
        <v>228</v>
      </c>
      <c r="F139" s="24">
        <v>5.9841284519690596</v>
      </c>
      <c r="G139" s="24">
        <v>3.225412041994042</v>
      </c>
      <c r="H139" s="24">
        <v>3.1584375649909813</v>
      </c>
      <c r="I139" s="24">
        <v>1.8628596684596559</v>
      </c>
      <c r="J139" s="24">
        <v>3.7600899642570438</v>
      </c>
      <c r="K139" s="24">
        <v>3.5574661323886065</v>
      </c>
      <c r="L139" s="24">
        <v>3.5459377719448066</v>
      </c>
      <c r="M139" s="24">
        <v>3.467457353053411</v>
      </c>
      <c r="N139" s="24">
        <v>3.5259031007427835</v>
      </c>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row>
    <row r="140" spans="1:46" ht="14.25" customHeight="1" x14ac:dyDescent="0.6">
      <c r="A140" s="24" t="s">
        <v>390</v>
      </c>
      <c r="B140" s="24" t="s">
        <v>266</v>
      </c>
      <c r="C140" s="24" t="s">
        <v>224</v>
      </c>
      <c r="D140" s="274"/>
      <c r="E140" s="24" t="s">
        <v>230</v>
      </c>
      <c r="F140" s="24">
        <v>4.0674484191665119</v>
      </c>
      <c r="G140" s="24">
        <v>1.3242871588754677</v>
      </c>
      <c r="H140" s="24">
        <v>1.3522730993272742</v>
      </c>
      <c r="I140" s="24">
        <v>-7.4038552509797384</v>
      </c>
      <c r="J140" s="24">
        <v>1.818086150709487</v>
      </c>
      <c r="K140" s="24">
        <v>2.5008306785607406</v>
      </c>
      <c r="L140" s="24">
        <v>2.5158813204450281</v>
      </c>
      <c r="M140" s="24">
        <v>2.5211475320885635</v>
      </c>
      <c r="N140" s="24">
        <v>3.0545457963886076</v>
      </c>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row>
    <row r="141" spans="1:46" ht="14.25" customHeight="1" x14ac:dyDescent="0.6">
      <c r="A141" s="24" t="s">
        <v>390</v>
      </c>
      <c r="B141" s="24" t="s">
        <v>267</v>
      </c>
      <c r="C141" s="24" t="s">
        <v>224</v>
      </c>
      <c r="D141" s="274"/>
      <c r="E141" s="24" t="s">
        <v>232</v>
      </c>
      <c r="F141" s="24">
        <v>4.7504048476914384</v>
      </c>
      <c r="G141" s="24">
        <v>5.0131781194623271</v>
      </c>
      <c r="H141" s="24">
        <v>5.3151312992822692</v>
      </c>
      <c r="I141" s="24">
        <v>4.9559147063991809</v>
      </c>
      <c r="J141" s="24">
        <v>4.825648513699103</v>
      </c>
      <c r="K141" s="24">
        <v>4.8536002497664912</v>
      </c>
      <c r="L141" s="24">
        <v>4.7998265183308471</v>
      </c>
      <c r="M141" s="24">
        <v>4.6614286467680435</v>
      </c>
      <c r="N141" s="24">
        <v>4.4379531405133825</v>
      </c>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row>
    <row r="142" spans="1:46" ht="14.25" customHeight="1" x14ac:dyDescent="0.6">
      <c r="A142" s="24" t="s">
        <v>390</v>
      </c>
      <c r="B142" s="24" t="s">
        <v>268</v>
      </c>
      <c r="C142" s="24" t="s">
        <v>224</v>
      </c>
      <c r="D142" s="274"/>
      <c r="E142" s="24" t="s">
        <v>234</v>
      </c>
      <c r="F142" s="24">
        <v>5.3832785190840617</v>
      </c>
      <c r="G142" s="24">
        <v>5.4782280051111512</v>
      </c>
      <c r="H142" s="24">
        <v>5.1801669636610965</v>
      </c>
      <c r="I142" s="24">
        <v>5.4324568779635829</v>
      </c>
      <c r="J142" s="24">
        <v>4.8130243692799421</v>
      </c>
      <c r="K142" s="24">
        <v>4.9285492623349993</v>
      </c>
      <c r="L142" s="24">
        <v>4.9476908006002693</v>
      </c>
      <c r="M142" s="24">
        <v>4.7481554590737769</v>
      </c>
      <c r="N142" s="24">
        <v>4.5958426982215572</v>
      </c>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row>
    <row r="143" spans="1:46" ht="14.25" customHeight="1" x14ac:dyDescent="0.6">
      <c r="A143" s="24" t="s">
        <v>390</v>
      </c>
      <c r="B143" s="24" t="s">
        <v>269</v>
      </c>
      <c r="C143" s="24" t="s">
        <v>224</v>
      </c>
      <c r="D143" s="274"/>
      <c r="E143" s="24" t="s">
        <v>236</v>
      </c>
      <c r="F143" s="24">
        <v>6.7191247776823593</v>
      </c>
      <c r="G143" s="24">
        <v>3.9884892854579737</v>
      </c>
      <c r="H143" s="24">
        <v>3.7839932347295395</v>
      </c>
      <c r="I143" s="24">
        <v>3.7022051360404014</v>
      </c>
      <c r="J143" s="24">
        <v>3.8546730797605679</v>
      </c>
      <c r="K143" s="24">
        <v>3.7101175598599836</v>
      </c>
      <c r="L143" s="24">
        <v>3.6858241224753652</v>
      </c>
      <c r="M143" s="24">
        <v>3.7256815491094715</v>
      </c>
      <c r="N143" s="24">
        <v>3.7623841238401519</v>
      </c>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row>
    <row r="144" spans="1:46" ht="14.25" customHeight="1" x14ac:dyDescent="0.6">
      <c r="A144" s="24" t="s">
        <v>390</v>
      </c>
      <c r="B144" s="24" t="s">
        <v>270</v>
      </c>
      <c r="C144" s="24" t="s">
        <v>224</v>
      </c>
      <c r="D144" s="274"/>
      <c r="E144" s="24" t="s">
        <v>238</v>
      </c>
      <c r="F144" s="24">
        <v>4.7690614793872115</v>
      </c>
      <c r="G144" s="24">
        <v>2.0567482483181294</v>
      </c>
      <c r="H144" s="24">
        <v>2.0422141113502459</v>
      </c>
      <c r="I144" s="24">
        <v>-5.5787488445392723</v>
      </c>
      <c r="J144" s="24">
        <v>1.906384054522801</v>
      </c>
      <c r="K144" s="24">
        <v>2.6531198283052788</v>
      </c>
      <c r="L144" s="24">
        <v>2.6547508093652912</v>
      </c>
      <c r="M144" s="24">
        <v>2.7781996427304922</v>
      </c>
      <c r="N144" s="24">
        <v>3.2914096767029282</v>
      </c>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row>
    <row r="145" spans="1:46" ht="14.25" customHeight="1" x14ac:dyDescent="0.6">
      <c r="A145" s="24" t="s">
        <v>390</v>
      </c>
      <c r="B145" s="24" t="s">
        <v>271</v>
      </c>
      <c r="C145" s="24" t="s">
        <v>224</v>
      </c>
      <c r="D145" s="274"/>
      <c r="E145" s="24" t="s">
        <v>240</v>
      </c>
      <c r="F145" s="24">
        <v>0.55066678680106518</v>
      </c>
      <c r="G145" s="24">
        <v>-1.6436456991223845</v>
      </c>
      <c r="H145" s="24">
        <v>-2.03232721253138</v>
      </c>
      <c r="I145" s="24">
        <v>-9.6482726336687268</v>
      </c>
      <c r="J145" s="24">
        <v>0.45194295604817197</v>
      </c>
      <c r="K145" s="24">
        <v>1.7552151601353823</v>
      </c>
      <c r="L145" s="24">
        <v>1.5681814489596626</v>
      </c>
      <c r="M145" s="24">
        <v>1.2829683358573496</v>
      </c>
      <c r="N145" s="24">
        <v>1.2160969279670368</v>
      </c>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row>
    <row r="146" spans="1:46" ht="14.25" customHeight="1" x14ac:dyDescent="0.6">
      <c r="A146" s="24" t="s">
        <v>390</v>
      </c>
      <c r="B146" s="24" t="s">
        <v>272</v>
      </c>
      <c r="C146" s="24" t="s">
        <v>224</v>
      </c>
      <c r="D146" s="274"/>
      <c r="E146" s="24" t="s">
        <v>242</v>
      </c>
      <c r="F146" s="24">
        <v>1.2854034155293683</v>
      </c>
      <c r="G146" s="24">
        <v>5.4177859169842542</v>
      </c>
      <c r="H146" s="24">
        <v>7.8735931683325004</v>
      </c>
      <c r="I146" s="24">
        <v>7.4457116158706755</v>
      </c>
      <c r="J146" s="24">
        <v>4.9202328966854987</v>
      </c>
      <c r="K146" s="24">
        <v>5.6788303098302269</v>
      </c>
      <c r="L146" s="24">
        <v>5.6542070397567832</v>
      </c>
      <c r="M146" s="24">
        <v>5.3736815121189299</v>
      </c>
      <c r="N146" s="24">
        <v>5.3985868270445136</v>
      </c>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row>
    <row r="147" spans="1:46" ht="14.25" customHeight="1" x14ac:dyDescent="0.6">
      <c r="A147" s="24" t="s">
        <v>390</v>
      </c>
      <c r="B147" s="24" t="s">
        <v>273</v>
      </c>
      <c r="C147" s="24" t="s">
        <v>224</v>
      </c>
      <c r="D147" s="274"/>
      <c r="E147" s="24" t="s">
        <v>244</v>
      </c>
      <c r="F147" s="24">
        <v>6.4347813934698322E-2</v>
      </c>
      <c r="G147" s="24">
        <v>-2.8285874014762022</v>
      </c>
      <c r="H147" s="24">
        <v>-2.1928556916733672</v>
      </c>
      <c r="I147" s="24">
        <v>-9.2737516571356089</v>
      </c>
      <c r="J147" s="24">
        <v>-0.11366995473477737</v>
      </c>
      <c r="K147" s="24">
        <v>1.5072365406461827</v>
      </c>
      <c r="L147" s="24">
        <v>1.3058226907365531</v>
      </c>
      <c r="M147" s="24">
        <v>0.7885207454058748</v>
      </c>
      <c r="N147" s="24">
        <v>0.53416241437251133</v>
      </c>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row>
    <row r="148" spans="1:46" ht="14.25" customHeight="1" x14ac:dyDescent="0.6">
      <c r="A148" s="24" t="s">
        <v>390</v>
      </c>
      <c r="B148" s="24" t="s">
        <v>274</v>
      </c>
      <c r="C148" s="24" t="s">
        <v>224</v>
      </c>
      <c r="D148" s="274"/>
      <c r="E148" s="24" t="s">
        <v>246</v>
      </c>
      <c r="F148" s="24">
        <v>1.4411532363027084</v>
      </c>
      <c r="G148" s="24">
        <v>6.9492517055420571</v>
      </c>
      <c r="H148" s="24">
        <v>6.7769665525061162</v>
      </c>
      <c r="I148" s="24">
        <v>5.0339848261333975</v>
      </c>
      <c r="J148" s="24">
        <v>4.8046244976355164</v>
      </c>
      <c r="K148" s="24">
        <v>5.8850465244506047</v>
      </c>
      <c r="L148" s="24">
        <v>5.8560065243618213</v>
      </c>
      <c r="M148" s="24">
        <v>5.5874263281784451</v>
      </c>
      <c r="N148" s="24">
        <v>5.6343434080830486</v>
      </c>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row>
    <row r="149" spans="1:46" ht="14.25" customHeight="1" x14ac:dyDescent="0.6">
      <c r="A149" s="24" t="s">
        <v>390</v>
      </c>
      <c r="B149" s="24" t="s">
        <v>275</v>
      </c>
      <c r="C149" s="24" t="s">
        <v>224</v>
      </c>
      <c r="D149" s="274"/>
      <c r="E149" s="24" t="s">
        <v>248</v>
      </c>
      <c r="F149" s="24">
        <v>-0.30451436093118661</v>
      </c>
      <c r="G149" s="24">
        <v>-3.0021561313909477</v>
      </c>
      <c r="H149" s="24">
        <v>-1.5752647533122517</v>
      </c>
      <c r="I149" s="24">
        <v>-4.3452392348838025</v>
      </c>
      <c r="J149" s="24">
        <v>-0.39517172398631389</v>
      </c>
      <c r="K149" s="24">
        <v>0.95465032346398626</v>
      </c>
      <c r="L149" s="24">
        <v>0.8661158236200367</v>
      </c>
      <c r="M149" s="24">
        <v>0.57524781603507469</v>
      </c>
      <c r="N149" s="24">
        <v>0.42825312490686973</v>
      </c>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row>
    <row r="150" spans="1:46" ht="14.25" customHeight="1" x14ac:dyDescent="0.6">
      <c r="A150" s="24" t="s">
        <v>390</v>
      </c>
      <c r="B150" s="24" t="s">
        <v>276</v>
      </c>
      <c r="C150" s="24" t="s">
        <v>224</v>
      </c>
      <c r="D150" s="274"/>
      <c r="E150" s="24" t="s">
        <v>250</v>
      </c>
      <c r="F150" s="24">
        <v>1.4239066102243192</v>
      </c>
      <c r="G150" s="24">
        <v>6.9559951492973298</v>
      </c>
      <c r="H150" s="24">
        <v>6.7273924682190209</v>
      </c>
      <c r="I150" s="24">
        <v>4.1268130010568331</v>
      </c>
      <c r="J150" s="24">
        <v>5.4389180088165467</v>
      </c>
      <c r="K150" s="24">
        <v>6.2213033166459049</v>
      </c>
      <c r="L150" s="24">
        <v>6.1961563255675607</v>
      </c>
      <c r="M150" s="24">
        <v>5.8677293646987874</v>
      </c>
      <c r="N150" s="24">
        <v>5.8086327493650431</v>
      </c>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row>
    <row r="151" spans="1:46" ht="14.25" customHeight="1" x14ac:dyDescent="0.6">
      <c r="A151" s="24" t="s">
        <v>390</v>
      </c>
      <c r="B151" s="24" t="s">
        <v>277</v>
      </c>
      <c r="C151" s="24" t="s">
        <v>224</v>
      </c>
      <c r="D151" s="274"/>
      <c r="E151" s="24" t="s">
        <v>252</v>
      </c>
      <c r="F151" s="24">
        <v>-1.6476906873723005</v>
      </c>
      <c r="G151" s="24">
        <v>-1.7252641254749808</v>
      </c>
      <c r="H151" s="24">
        <v>-1.089510534390228</v>
      </c>
      <c r="I151" s="24">
        <v>-8.1402330669228711</v>
      </c>
      <c r="J151" s="24">
        <v>-0.62255708807481858</v>
      </c>
      <c r="K151" s="24">
        <v>0.56925853541098581</v>
      </c>
      <c r="L151" s="24">
        <v>0.58331490065080449</v>
      </c>
      <c r="M151" s="24">
        <v>0.52039260009804444</v>
      </c>
      <c r="N151" s="24">
        <v>0.76500977639497536</v>
      </c>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row>
    <row r="152" spans="1:46" ht="14.25" customHeight="1" x14ac:dyDescent="0.6">
      <c r="A152" s="24" t="s">
        <v>390</v>
      </c>
      <c r="B152" s="24" t="s">
        <v>278</v>
      </c>
      <c r="C152" s="24" t="s">
        <v>224</v>
      </c>
      <c r="D152" s="274"/>
      <c r="E152" s="24" t="s">
        <v>254</v>
      </c>
      <c r="F152" s="24">
        <v>8.1692914980792004</v>
      </c>
      <c r="G152" s="24">
        <v>4.96546585557775</v>
      </c>
      <c r="H152" s="24">
        <v>3.1530646740185917</v>
      </c>
      <c r="I152" s="24">
        <v>6.1100584769074171</v>
      </c>
      <c r="J152" s="24">
        <v>6.6707547658780273</v>
      </c>
      <c r="K152" s="24">
        <v>7.3603036478349599</v>
      </c>
      <c r="L152" s="24">
        <v>7.2205554053720356</v>
      </c>
      <c r="M152" s="24">
        <v>6.5894069626748379</v>
      </c>
      <c r="N152" s="24">
        <v>6.4244681287212702</v>
      </c>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row>
    <row r="153" spans="1:46" ht="14.25" customHeight="1" x14ac:dyDescent="0.6">
      <c r="A153" s="24" t="s">
        <v>390</v>
      </c>
      <c r="B153" s="24" t="s">
        <v>279</v>
      </c>
      <c r="C153" s="24" t="s">
        <v>224</v>
      </c>
      <c r="D153" s="274"/>
      <c r="E153" s="24" t="s">
        <v>256</v>
      </c>
      <c r="F153" s="24">
        <v>-1.0654246358626109</v>
      </c>
      <c r="G153" s="24">
        <v>-1.2301275639741787</v>
      </c>
      <c r="H153" s="24">
        <v>-1.9675541379238071</v>
      </c>
      <c r="I153" s="24">
        <v>-8.1956456609429384</v>
      </c>
      <c r="J153" s="24">
        <v>0.19297951539589459</v>
      </c>
      <c r="K153" s="24">
        <v>0.97028808558805635</v>
      </c>
      <c r="L153" s="24">
        <v>0.94215752271064668</v>
      </c>
      <c r="M153" s="24">
        <v>0.46008382471720066</v>
      </c>
      <c r="N153" s="24">
        <v>0.671883978340581</v>
      </c>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row>
    <row r="154" spans="1:46" ht="14.25" customHeight="1" x14ac:dyDescent="0.6">
      <c r="A154" s="24" t="s">
        <v>390</v>
      </c>
      <c r="B154" s="24" t="s">
        <v>280</v>
      </c>
      <c r="C154" s="24" t="s">
        <v>224</v>
      </c>
      <c r="D154" s="274"/>
      <c r="E154" s="24" t="s">
        <v>258</v>
      </c>
      <c r="F154" s="24">
        <v>6.0886827181914205</v>
      </c>
      <c r="G154" s="24">
        <v>3.0668468244732825</v>
      </c>
      <c r="H154" s="24">
        <v>3.834904230326579</v>
      </c>
      <c r="I154" s="24">
        <v>5.667690345428066</v>
      </c>
      <c r="J154" s="24">
        <v>5.536944605999885</v>
      </c>
      <c r="K154" s="24">
        <v>7.3112357360408238</v>
      </c>
      <c r="L154" s="24">
        <v>7.12615695498598</v>
      </c>
      <c r="M154" s="24">
        <v>6.4829128065945758</v>
      </c>
      <c r="N154" s="24">
        <v>6.3239736829395641</v>
      </c>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row>
    <row r="155" spans="1:46" ht="14.25" customHeight="1" x14ac:dyDescent="0.6">
      <c r="A155" s="24" t="s">
        <v>390</v>
      </c>
      <c r="B155" s="24" t="s">
        <v>281</v>
      </c>
      <c r="C155" s="24" t="s">
        <v>224</v>
      </c>
      <c r="D155" s="274"/>
      <c r="E155" s="24" t="s">
        <v>260</v>
      </c>
      <c r="F155" s="24">
        <v>-1.5731893606902227</v>
      </c>
      <c r="G155" s="24">
        <v>-1.2269335178829848</v>
      </c>
      <c r="H155" s="24">
        <v>-1.4895662874606681</v>
      </c>
      <c r="I155" s="24">
        <v>-5.7922353802085498</v>
      </c>
      <c r="J155" s="24">
        <v>-0.21749624338709858</v>
      </c>
      <c r="K155" s="24">
        <v>0.61425062293094634</v>
      </c>
      <c r="L155" s="24">
        <v>0.61681372601509132</v>
      </c>
      <c r="M155" s="24">
        <v>0.32979436533304962</v>
      </c>
      <c r="N155" s="24">
        <v>0.685437546723625</v>
      </c>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row>
    <row r="156" spans="1:46" ht="14.25" customHeight="1" x14ac:dyDescent="0.6">
      <c r="A156" s="24" t="s">
        <v>390</v>
      </c>
      <c r="B156" s="24" t="s">
        <v>261</v>
      </c>
      <c r="C156" s="24" t="s">
        <v>224</v>
      </c>
      <c r="D156" s="274"/>
      <c r="E156" s="24" t="s">
        <v>262</v>
      </c>
      <c r="F156" s="24">
        <v>6.6922940232451005</v>
      </c>
      <c r="G156" s="24">
        <v>3.149883008264565</v>
      </c>
      <c r="H156" s="24">
        <v>4.571990766501659</v>
      </c>
      <c r="I156" s="24">
        <v>5.6831336295349395</v>
      </c>
      <c r="J156" s="24">
        <v>5.7912452555139042</v>
      </c>
      <c r="K156" s="24">
        <v>7.5886836862309295</v>
      </c>
      <c r="L156" s="24">
        <v>7.4687708063819054</v>
      </c>
      <c r="M156" s="24">
        <v>6.7655686515498088</v>
      </c>
      <c r="N156" s="24">
        <v>6.56382344039858</v>
      </c>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row>
    <row r="157" spans="1:46" ht="14.25" customHeight="1" x14ac:dyDescent="0.6">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row>
    <row r="158" spans="1:46" ht="14.25" customHeight="1" x14ac:dyDescent="0.6">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row>
    <row r="159" spans="1:46" ht="14.25" customHeight="1" x14ac:dyDescent="0.6">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row>
    <row r="160" spans="1:46" ht="14.25" customHeight="1" x14ac:dyDescent="0.6">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row>
    <row r="161" spans="1:46" ht="14.25" customHeight="1" x14ac:dyDescent="0.6">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row>
    <row r="162" spans="1:46" ht="14.25" customHeight="1" x14ac:dyDescent="0.6">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row>
    <row r="163" spans="1:46" ht="14.25" customHeight="1" x14ac:dyDescent="0.6">
      <c r="A163" s="24" t="s">
        <v>390</v>
      </c>
      <c r="B163" s="24" t="s">
        <v>298</v>
      </c>
      <c r="C163" s="24" t="s">
        <v>299</v>
      </c>
      <c r="D163" s="273" t="s">
        <v>225</v>
      </c>
      <c r="E163" s="24" t="s">
        <v>300</v>
      </c>
      <c r="F163" s="24">
        <v>1.9826799724776418</v>
      </c>
      <c r="G163" s="24">
        <v>1.0624198684549371</v>
      </c>
      <c r="H163" s="24">
        <v>2.7469386199636721</v>
      </c>
      <c r="I163" s="24">
        <v>1.8057310575033065</v>
      </c>
      <c r="J163" s="24">
        <v>2.070511629423113</v>
      </c>
      <c r="K163" s="24">
        <v>3.2629394930540969</v>
      </c>
      <c r="L163" s="24">
        <v>0.61213786118470104</v>
      </c>
      <c r="M163" s="24">
        <v>-3.8026465605330553</v>
      </c>
      <c r="N163" s="24">
        <v>-8.9394337530460923</v>
      </c>
      <c r="O163" s="24">
        <v>-9.6861674461174907</v>
      </c>
      <c r="P163" s="24">
        <v>-7.1773622817318987</v>
      </c>
      <c r="Q163" s="24">
        <v>-4.0279230596588782</v>
      </c>
      <c r="R163" s="24">
        <v>0.8744206042271182</v>
      </c>
      <c r="S163" s="24">
        <v>2.0558834828451666</v>
      </c>
      <c r="T163" s="24">
        <v>1.5771197729337789</v>
      </c>
      <c r="U163" s="24">
        <v>1.7294245514564333</v>
      </c>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row>
    <row r="164" spans="1:46" ht="14.25" customHeight="1" x14ac:dyDescent="0.6">
      <c r="A164" s="24" t="s">
        <v>390</v>
      </c>
      <c r="B164" s="24" t="s">
        <v>301</v>
      </c>
      <c r="C164" s="24" t="s">
        <v>299</v>
      </c>
      <c r="D164" s="274"/>
      <c r="E164" s="24" t="s">
        <v>302</v>
      </c>
      <c r="F164" s="24">
        <v>1.2797406600017249</v>
      </c>
      <c r="G164" s="24">
        <v>1.9191920174329362</v>
      </c>
      <c r="H164" s="24">
        <v>3.4832424060025415</v>
      </c>
      <c r="I164" s="24">
        <v>2.6699821945511748</v>
      </c>
      <c r="J164" s="24">
        <v>2.4111121604157049</v>
      </c>
      <c r="K164" s="24">
        <v>3.8219395709868293</v>
      </c>
      <c r="L164" s="24">
        <v>0.93807429057358938</v>
      </c>
      <c r="M164" s="24">
        <v>-5.7406274637611627</v>
      </c>
      <c r="N164" s="24">
        <v>-12.669570901622439</v>
      </c>
      <c r="O164" s="24">
        <v>-13.818556020912457</v>
      </c>
      <c r="P164" s="24">
        <v>-11.035874752337508</v>
      </c>
      <c r="Q164" s="24">
        <v>-6.15763579271339</v>
      </c>
      <c r="R164" s="24">
        <v>1.6001821880550704</v>
      </c>
      <c r="S164" s="24">
        <v>2.6501954871695586</v>
      </c>
      <c r="T164" s="24">
        <v>2.0124582296532298</v>
      </c>
      <c r="U164" s="24">
        <v>2.083926135787006</v>
      </c>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row>
    <row r="165" spans="1:46" ht="14.25" customHeight="1" x14ac:dyDescent="0.6">
      <c r="A165" s="24" t="s">
        <v>390</v>
      </c>
      <c r="B165" s="24" t="s">
        <v>303</v>
      </c>
      <c r="C165" s="24" t="s">
        <v>299</v>
      </c>
      <c r="D165" s="274"/>
      <c r="E165" s="24" t="s">
        <v>304</v>
      </c>
      <c r="F165" s="24">
        <v>1.2330619873845656</v>
      </c>
      <c r="G165" s="24">
        <v>1.5444257967531134</v>
      </c>
      <c r="H165" s="24">
        <v>1.5075411023842007</v>
      </c>
      <c r="I165" s="24">
        <v>1.1564323233660503</v>
      </c>
      <c r="J165" s="24">
        <v>1.2828650842265552</v>
      </c>
      <c r="K165" s="24">
        <v>1.0505530569671007</v>
      </c>
      <c r="L165" s="24">
        <v>1.2164409192279075</v>
      </c>
      <c r="M165" s="24">
        <v>1.0542718902223958</v>
      </c>
      <c r="N165" s="24">
        <v>0.78017748514488094</v>
      </c>
      <c r="O165" s="24">
        <v>0.87640367908969519</v>
      </c>
      <c r="P165" s="24">
        <v>0.80188212736197662</v>
      </c>
      <c r="Q165" s="24">
        <v>1.0693775885419434</v>
      </c>
      <c r="R165" s="24">
        <v>1.5485508292561778</v>
      </c>
      <c r="S165" s="24">
        <v>1.275815283650896</v>
      </c>
      <c r="T165" s="24">
        <v>1.3196164053013177</v>
      </c>
      <c r="U165" s="24">
        <v>1.3407118927265231</v>
      </c>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row>
    <row r="166" spans="1:46" ht="14.25" customHeight="1" x14ac:dyDescent="0.6">
      <c r="A166" s="24" t="s">
        <v>390</v>
      </c>
      <c r="B166" s="24" t="s">
        <v>305</v>
      </c>
      <c r="C166" s="24" t="s">
        <v>299</v>
      </c>
      <c r="D166" s="274"/>
      <c r="E166" s="24" t="s">
        <v>306</v>
      </c>
      <c r="F166" s="24">
        <v>0.67951244758768592</v>
      </c>
      <c r="G166" s="24">
        <v>1.0555215658418751</v>
      </c>
      <c r="H166" s="24">
        <v>1.3712422220256906</v>
      </c>
      <c r="I166" s="24">
        <v>1.8884712670489818</v>
      </c>
      <c r="J166" s="24">
        <v>1.7618572123817147</v>
      </c>
      <c r="K166" s="24">
        <v>1.7459692106225253</v>
      </c>
      <c r="L166" s="24">
        <v>1.7786029626826738</v>
      </c>
      <c r="M166" s="24">
        <v>1.692494288370255</v>
      </c>
      <c r="N166" s="24">
        <v>1.8071793815126518</v>
      </c>
      <c r="O166" s="24">
        <v>1.9658726055952536</v>
      </c>
      <c r="P166" s="24">
        <v>1.8833507762911088</v>
      </c>
      <c r="Q166" s="24">
        <v>2.0577019425189746</v>
      </c>
      <c r="R166" s="24">
        <v>2.3734945027372003</v>
      </c>
      <c r="S166" s="24">
        <v>2.3099345821625481</v>
      </c>
      <c r="T166" s="24">
        <v>2.2547406969273305</v>
      </c>
      <c r="U166" s="24">
        <v>2.0529329495098709</v>
      </c>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row>
    <row r="167" spans="1:46" ht="14.25" customHeight="1" x14ac:dyDescent="0.6">
      <c r="A167" s="24" t="s">
        <v>390</v>
      </c>
      <c r="B167" s="24" t="s">
        <v>307</v>
      </c>
      <c r="C167" s="24" t="s">
        <v>299</v>
      </c>
      <c r="D167" s="274"/>
      <c r="E167" s="24" t="s">
        <v>308</v>
      </c>
      <c r="F167" s="24">
        <v>0.33855031058836377</v>
      </c>
      <c r="G167" s="24">
        <v>0.99371195944594415</v>
      </c>
      <c r="H167" s="24">
        <v>1.2560391160981403</v>
      </c>
      <c r="I167" s="24">
        <v>1.5940641347525535</v>
      </c>
      <c r="J167" s="24">
        <v>1.6517689180746791</v>
      </c>
      <c r="K167" s="24">
        <v>1.4522614082381349</v>
      </c>
      <c r="L167" s="24">
        <v>1.8932204461793778</v>
      </c>
      <c r="M167" s="24">
        <v>1.9714301893070056</v>
      </c>
      <c r="N167" s="24">
        <v>2.085096983973552</v>
      </c>
      <c r="O167" s="24">
        <v>2.167636845490422</v>
      </c>
      <c r="P167" s="24">
        <v>2.0275443112835982</v>
      </c>
      <c r="Q167" s="24">
        <v>2.6222956904973453</v>
      </c>
      <c r="R167" s="24">
        <v>2.8933623815788061</v>
      </c>
      <c r="S167" s="24">
        <v>3.0100230470391662</v>
      </c>
      <c r="T167" s="24">
        <v>2.8437308502907261</v>
      </c>
      <c r="U167" s="24">
        <v>1.1413057875506869</v>
      </c>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row>
    <row r="168" spans="1:46" ht="14.25" customHeight="1" x14ac:dyDescent="0.6">
      <c r="A168" s="24" t="s">
        <v>390</v>
      </c>
      <c r="B168" s="24" t="s">
        <v>309</v>
      </c>
      <c r="C168" s="24" t="s">
        <v>299</v>
      </c>
      <c r="D168" s="274"/>
      <c r="E168" s="24" t="s">
        <v>310</v>
      </c>
      <c r="F168" s="24">
        <v>1.7297068587960509</v>
      </c>
      <c r="G168" s="24">
        <v>1.8306029310789835</v>
      </c>
      <c r="H168" s="24">
        <v>3.5326810154461876</v>
      </c>
      <c r="I168" s="24">
        <v>2.6643108813859189</v>
      </c>
      <c r="J168" s="24">
        <v>2.1641332790026873</v>
      </c>
      <c r="K168" s="24">
        <v>4.0037000270658121</v>
      </c>
      <c r="L168" s="24">
        <v>0.72430922840655643</v>
      </c>
      <c r="M168" s="24">
        <v>-6.0723301181126814</v>
      </c>
      <c r="N168" s="24">
        <v>-13.265905256064295</v>
      </c>
      <c r="O168" s="24">
        <v>-14.466142999069856</v>
      </c>
      <c r="P168" s="24">
        <v>-11.454281063382485</v>
      </c>
      <c r="Q168" s="24">
        <v>-6.4052938147077993</v>
      </c>
      <c r="R168" s="24">
        <v>1.5347415261628332</v>
      </c>
      <c r="S168" s="24">
        <v>2.6138022309454727</v>
      </c>
      <c r="T168" s="24">
        <v>1.9864284036023676</v>
      </c>
      <c r="U168" s="24">
        <v>2.0537109117443801</v>
      </c>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row>
    <row r="169" spans="1:46" ht="14.25" customHeight="1" x14ac:dyDescent="0.6">
      <c r="A169" s="24" t="s">
        <v>390</v>
      </c>
      <c r="B169" s="24" t="s">
        <v>311</v>
      </c>
      <c r="C169" s="24" t="s">
        <v>299</v>
      </c>
      <c r="D169" s="274"/>
      <c r="E169" s="24" t="s">
        <v>312</v>
      </c>
      <c r="F169" s="24">
        <v>1.6874764276880609</v>
      </c>
      <c r="G169" s="24">
        <v>1.4602780742387549</v>
      </c>
      <c r="H169" s="24">
        <v>1.5588888187973529</v>
      </c>
      <c r="I169" s="24">
        <v>1.1521538365299091</v>
      </c>
      <c r="J169" s="24">
        <v>1.0378742356856607</v>
      </c>
      <c r="K169" s="24">
        <v>1.2248521890350477</v>
      </c>
      <c r="L169" s="24">
        <v>0.99838242629687513</v>
      </c>
      <c r="M169" s="24">
        <v>0.69811767589943852</v>
      </c>
      <c r="N169" s="24">
        <v>9.0559076087479803E-2</v>
      </c>
      <c r="O169" s="24">
        <v>0.119794154910748</v>
      </c>
      <c r="P169" s="24">
        <v>0.33063257034217869</v>
      </c>
      <c r="Q169" s="24">
        <v>0.80331443086622056</v>
      </c>
      <c r="R169" s="24">
        <v>1.4857650520022458</v>
      </c>
      <c r="S169" s="24">
        <v>1.241388495791373</v>
      </c>
      <c r="T169" s="24">
        <v>1.2952122310357479</v>
      </c>
      <c r="U169" s="24">
        <v>1.3119917714529425</v>
      </c>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row>
    <row r="170" spans="1:46" ht="14.25" customHeight="1" x14ac:dyDescent="0.6">
      <c r="A170" s="24" t="s">
        <v>390</v>
      </c>
      <c r="B170" s="24" t="s">
        <v>313</v>
      </c>
      <c r="C170" s="24" t="s">
        <v>299</v>
      </c>
      <c r="D170" s="274"/>
      <c r="E170" s="24" t="s">
        <v>314</v>
      </c>
      <c r="F170" s="24">
        <v>1.1500195059007086</v>
      </c>
      <c r="G170" s="24">
        <v>0.86060991629424499</v>
      </c>
      <c r="H170" s="24">
        <v>0.57202838298439695</v>
      </c>
      <c r="I170" s="24">
        <v>0.28427253674342701</v>
      </c>
      <c r="J170" s="24">
        <v>3.589851525709352</v>
      </c>
      <c r="K170" s="24">
        <v>0.88239841685513254</v>
      </c>
      <c r="L170" s="24">
        <v>-1.7542919461443343</v>
      </c>
      <c r="M170" s="24">
        <v>-4.3220690380535531</v>
      </c>
      <c r="N170" s="24">
        <v>-14.009048227929878</v>
      </c>
      <c r="O170" s="24">
        <v>-11.564717156530282</v>
      </c>
      <c r="P170" s="24">
        <v>-9.0509048866616961</v>
      </c>
      <c r="Q170" s="24">
        <v>-6.465636384337528</v>
      </c>
      <c r="R170" s="24">
        <v>-6.3107486087937745E-2</v>
      </c>
      <c r="S170" s="24">
        <v>9.7357047989753961E-2</v>
      </c>
      <c r="T170" s="24">
        <v>0.25807923333161292</v>
      </c>
      <c r="U170" s="24">
        <v>0.4190594836376984</v>
      </c>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row>
    <row r="171" spans="1:46" ht="14.25" customHeight="1" x14ac:dyDescent="0.6">
      <c r="A171" s="24" t="s">
        <v>390</v>
      </c>
      <c r="B171" s="24" t="s">
        <v>315</v>
      </c>
      <c r="C171" s="24" t="s">
        <v>299</v>
      </c>
      <c r="D171" s="274"/>
      <c r="E171" s="24" t="s">
        <v>316</v>
      </c>
      <c r="F171" s="24">
        <v>1.3946068929856943</v>
      </c>
      <c r="G171" s="24">
        <v>1.6835104493584778</v>
      </c>
      <c r="H171" s="24">
        <v>1.9732371783579079</v>
      </c>
      <c r="I171" s="24">
        <v>2.263789425448993</v>
      </c>
      <c r="J171" s="24">
        <v>2.7072215374963902</v>
      </c>
      <c r="K171" s="24">
        <v>2.9013547478692905</v>
      </c>
      <c r="L171" s="24">
        <v>3.0958549013140302</v>
      </c>
      <c r="M171" s="24">
        <v>3.290722691412141</v>
      </c>
      <c r="N171" s="24">
        <v>3.3999833157529684</v>
      </c>
      <c r="O171" s="24">
        <v>3.6569562281354511</v>
      </c>
      <c r="P171" s="24">
        <v>3.914567777736039</v>
      </c>
      <c r="Q171" s="24">
        <v>4.1728195517162145</v>
      </c>
      <c r="R171" s="24">
        <v>4.7959875712112394</v>
      </c>
      <c r="S171" s="24">
        <v>4.800406507081286</v>
      </c>
      <c r="T171" s="24">
        <v>4.8048256292847595</v>
      </c>
      <c r="U171" s="24">
        <v>4.8092449378294679</v>
      </c>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row>
    <row r="172" spans="1:46" ht="14.25" customHeight="1" x14ac:dyDescent="0.6">
      <c r="A172" s="24" t="s">
        <v>390</v>
      </c>
      <c r="B172" s="24" t="s">
        <v>317</v>
      </c>
      <c r="C172" s="24" t="s">
        <v>299</v>
      </c>
      <c r="D172" s="274"/>
      <c r="E172" s="24" t="s">
        <v>318</v>
      </c>
      <c r="F172" s="24">
        <v>1.0675478555523215</v>
      </c>
      <c r="G172" s="24">
        <v>0.64503277981742591</v>
      </c>
      <c r="H172" s="24">
        <v>0.22428403752002496</v>
      </c>
      <c r="I172" s="24">
        <v>-0.19470575553513914</v>
      </c>
      <c r="J172" s="24">
        <v>2.5098924462018664</v>
      </c>
      <c r="K172" s="24">
        <v>-1.8296094150193971E-2</v>
      </c>
      <c r="L172" s="24">
        <v>-2.4841322395963412</v>
      </c>
      <c r="M172" s="24">
        <v>-4.8891537793830757</v>
      </c>
      <c r="N172" s="24">
        <v>-14.2768967719682</v>
      </c>
      <c r="O172" s="24">
        <v>-11.778514142481718</v>
      </c>
      <c r="P172" s="24">
        <v>-9.2073166529601718</v>
      </c>
      <c r="Q172" s="24">
        <v>-6.5611821289298407</v>
      </c>
      <c r="R172" s="24">
        <v>3.9879559896519222E-2</v>
      </c>
      <c r="S172" s="24">
        <v>0.17951477105074909</v>
      </c>
      <c r="T172" s="24">
        <v>0.31934488440073988</v>
      </c>
      <c r="U172" s="24">
        <v>0.45937017199015223</v>
      </c>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row>
    <row r="173" spans="1:46" ht="14.25" customHeight="1" x14ac:dyDescent="0.6">
      <c r="A173" s="24" t="s">
        <v>390</v>
      </c>
      <c r="B173" s="24" t="s">
        <v>319</v>
      </c>
      <c r="C173" s="24" t="s">
        <v>299</v>
      </c>
      <c r="D173" s="274"/>
      <c r="E173" s="24" t="s">
        <v>320</v>
      </c>
      <c r="F173" s="24">
        <v>0.88148927807667876</v>
      </c>
      <c r="G173" s="24">
        <v>1.2807648094097819</v>
      </c>
      <c r="H173" s="24">
        <v>1.6816206202476727</v>
      </c>
      <c r="I173" s="24">
        <v>2.0840629651267251</v>
      </c>
      <c r="J173" s="24">
        <v>2.9088149098931151</v>
      </c>
      <c r="K173" s="24">
        <v>3.0393750997369926</v>
      </c>
      <c r="L173" s="24">
        <v>3.1701009310100079</v>
      </c>
      <c r="M173" s="24">
        <v>3.3009926138610979</v>
      </c>
      <c r="N173" s="24">
        <v>3.1593575029080814</v>
      </c>
      <c r="O173" s="24">
        <v>3.478989420287923</v>
      </c>
      <c r="P173" s="24">
        <v>3.7996116943846121</v>
      </c>
      <c r="Q173" s="24">
        <v>4.1212273937478212</v>
      </c>
      <c r="R173" s="24">
        <v>4.8699669323453394</v>
      </c>
      <c r="S173" s="24">
        <v>4.8912486868118714</v>
      </c>
      <c r="T173" s="24">
        <v>4.9125347600846698</v>
      </c>
      <c r="U173" s="24">
        <v>4.9338251530402104</v>
      </c>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row>
    <row r="174" spans="1:46" ht="14.25" customHeight="1" x14ac:dyDescent="0.6">
      <c r="A174" s="24" t="s">
        <v>390</v>
      </c>
      <c r="B174" s="24" t="s">
        <v>321</v>
      </c>
      <c r="C174" s="24" t="s">
        <v>299</v>
      </c>
      <c r="D174" s="274"/>
      <c r="E174" s="24" t="s">
        <v>322</v>
      </c>
      <c r="F174" s="24">
        <v>1.3689554677541789</v>
      </c>
      <c r="G174" s="24">
        <v>1.0826008223190915</v>
      </c>
      <c r="H174" s="24">
        <v>0.79705509301202104</v>
      </c>
      <c r="I174" s="24">
        <v>0.51231599474595579</v>
      </c>
      <c r="J174" s="24">
        <v>2.0842581269665086</v>
      </c>
      <c r="K174" s="24">
        <v>0.56462890989840864</v>
      </c>
      <c r="L174" s="24">
        <v>-0.93237906272177939</v>
      </c>
      <c r="M174" s="24">
        <v>-2.4071025313928422</v>
      </c>
      <c r="N174" s="24">
        <v>-7.9458388375769449</v>
      </c>
      <c r="O174" s="24">
        <v>-6.5997475657962701</v>
      </c>
      <c r="P174" s="24">
        <v>-5.2339726459427638</v>
      </c>
      <c r="Q174" s="24">
        <v>-3.8482262476072573</v>
      </c>
      <c r="R174" s="24">
        <v>-0.63810847926446956</v>
      </c>
      <c r="S174" s="24">
        <v>-0.47980774557177103</v>
      </c>
      <c r="T174" s="24">
        <v>-0.32125481134317474</v>
      </c>
      <c r="U174" s="24">
        <v>-0.16244927477950194</v>
      </c>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row>
    <row r="175" spans="1:46" ht="14.25" customHeight="1" x14ac:dyDescent="0.6">
      <c r="A175" s="24" t="s">
        <v>390</v>
      </c>
      <c r="B175" s="24" t="s">
        <v>323</v>
      </c>
      <c r="C175" s="24" t="s">
        <v>299</v>
      </c>
      <c r="D175" s="274"/>
      <c r="E175" s="24" t="s">
        <v>324</v>
      </c>
      <c r="F175" s="24">
        <v>1.2468659754299127</v>
      </c>
      <c r="G175" s="24">
        <v>1.7211145082263675</v>
      </c>
      <c r="H175" s="24">
        <v>2.197584459618763</v>
      </c>
      <c r="I175" s="24">
        <v>2.6762862349120193</v>
      </c>
      <c r="J175" s="24">
        <v>4.4197645146783007</v>
      </c>
      <c r="K175" s="24">
        <v>4.0752263093414465</v>
      </c>
      <c r="L175" s="24">
        <v>3.7318249249454372</v>
      </c>
      <c r="M175" s="24">
        <v>3.3895566104929928</v>
      </c>
      <c r="N175" s="24">
        <v>1.3630978569869105</v>
      </c>
      <c r="O175" s="24">
        <v>2.1560296772496956</v>
      </c>
      <c r="P175" s="24">
        <v>2.9551643552080114</v>
      </c>
      <c r="Q175" s="24">
        <v>3.7605504138781174</v>
      </c>
      <c r="R175" s="24">
        <v>5.8548022952130339</v>
      </c>
      <c r="S175" s="24">
        <v>5.7905005450651865</v>
      </c>
      <c r="T175" s="24">
        <v>5.7262378551676534</v>
      </c>
      <c r="U175" s="24">
        <v>5.6620142017931423</v>
      </c>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row>
    <row r="176" spans="1:46" ht="14.25" customHeight="1" x14ac:dyDescent="0.6">
      <c r="A176" s="24" t="s">
        <v>390</v>
      </c>
      <c r="B176" s="24" t="s">
        <v>325</v>
      </c>
      <c r="C176" s="24" t="s">
        <v>299</v>
      </c>
      <c r="D176" s="274"/>
      <c r="E176" s="24" t="s">
        <v>326</v>
      </c>
      <c r="F176" s="24">
        <v>1.4197498922019611</v>
      </c>
      <c r="G176" s="24">
        <v>1.0114787956668077</v>
      </c>
      <c r="H176" s="24">
        <v>0.60485121815480158</v>
      </c>
      <c r="I176" s="24">
        <v>0.19986054358451691</v>
      </c>
      <c r="J176" s="24">
        <v>3.4312579645323646</v>
      </c>
      <c r="K176" s="24">
        <v>0.57611041636569837</v>
      </c>
      <c r="L176" s="24">
        <v>-2.2002227802961638</v>
      </c>
      <c r="M176" s="24">
        <v>-4.8999172405127744</v>
      </c>
      <c r="N176" s="24">
        <v>-15.346517055428974</v>
      </c>
      <c r="O176" s="24">
        <v>-12.586595362527309</v>
      </c>
      <c r="P176" s="24">
        <v>-9.7366931102204699</v>
      </c>
      <c r="Q176" s="24">
        <v>-6.7938767003952458</v>
      </c>
      <c r="R176" s="24">
        <v>0.67707923309887386</v>
      </c>
      <c r="S176" s="24">
        <v>0.77298471396681279</v>
      </c>
      <c r="T176" s="24">
        <v>0.86898155486757189</v>
      </c>
      <c r="U176" s="24">
        <v>0.96506984283110608</v>
      </c>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row>
    <row r="177" spans="1:46" ht="14.25" customHeight="1" x14ac:dyDescent="0.6">
      <c r="A177" s="24" t="s">
        <v>390</v>
      </c>
      <c r="B177" s="24" t="s">
        <v>327</v>
      </c>
      <c r="C177" s="24" t="s">
        <v>299</v>
      </c>
      <c r="D177" s="274"/>
      <c r="E177" s="24" t="s">
        <v>328</v>
      </c>
      <c r="F177" s="24">
        <v>2.2636827363002556</v>
      </c>
      <c r="G177" s="24">
        <v>2.4218348954667195</v>
      </c>
      <c r="H177" s="24">
        <v>2.5802316390719593</v>
      </c>
      <c r="I177" s="24">
        <v>2.7388733453691398</v>
      </c>
      <c r="J177" s="24">
        <v>3.3247016190874952</v>
      </c>
      <c r="K177" s="24">
        <v>3.2002478656498106</v>
      </c>
      <c r="L177" s="24">
        <v>3.0759440157347386</v>
      </c>
      <c r="M177" s="24">
        <v>2.9517898887846927</v>
      </c>
      <c r="N177" s="24">
        <v>2.1537101612031249</v>
      </c>
      <c r="O177" s="24">
        <v>2.4813960994452109</v>
      </c>
      <c r="P177" s="24">
        <v>2.8101331798724605</v>
      </c>
      <c r="Q177" s="24">
        <v>3.1399247743106615</v>
      </c>
      <c r="R177" s="24">
        <v>3.8698804454573805</v>
      </c>
      <c r="S177" s="24">
        <v>3.9234713702073321</v>
      </c>
      <c r="T177" s="24">
        <v>3.977089944813033</v>
      </c>
      <c r="U177" s="24">
        <v>4.0307361835402835</v>
      </c>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row>
    <row r="178" spans="1:46" ht="14.25" customHeight="1" x14ac:dyDescent="0.6">
      <c r="A178" s="24" t="s">
        <v>390</v>
      </c>
      <c r="B178" s="24" t="s">
        <v>329</v>
      </c>
      <c r="C178" s="24" t="s">
        <v>299</v>
      </c>
      <c r="D178" s="274"/>
      <c r="E178" s="24" t="s">
        <v>330</v>
      </c>
      <c r="F178" s="24">
        <v>1.2685527357173774</v>
      </c>
      <c r="G178" s="24">
        <v>0.74561219682533342</v>
      </c>
      <c r="H178" s="24">
        <v>0.22537206985613761</v>
      </c>
      <c r="I178" s="24">
        <v>-0.29218158984362341</v>
      </c>
      <c r="J178" s="24">
        <v>2.3694623022550045</v>
      </c>
      <c r="K178" s="24">
        <v>-0.28878950407612514</v>
      </c>
      <c r="L178" s="24">
        <v>-2.878013863091041</v>
      </c>
      <c r="M178" s="24">
        <v>-5.4000032266829372</v>
      </c>
      <c r="N178" s="24">
        <v>-15.498078552589831</v>
      </c>
      <c r="O178" s="24">
        <v>-12.698331032988916</v>
      </c>
      <c r="P178" s="24">
        <v>-9.8058212892959951</v>
      </c>
      <c r="Q178" s="24">
        <v>-6.8174758907254693</v>
      </c>
      <c r="R178" s="24">
        <v>0.82320155535040662</v>
      </c>
      <c r="S178" s="24">
        <v>0.88999830762686716</v>
      </c>
      <c r="T178" s="24">
        <v>0.95683931366682939</v>
      </c>
      <c r="U178" s="24">
        <v>1.0237246027889675</v>
      </c>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row>
    <row r="179" spans="1:46" ht="14.25" customHeight="1" x14ac:dyDescent="0.6">
      <c r="A179" s="24" t="s">
        <v>390</v>
      </c>
      <c r="B179" s="24" t="s">
        <v>331</v>
      </c>
      <c r="C179" s="24" t="s">
        <v>299</v>
      </c>
      <c r="D179" s="274"/>
      <c r="E179" s="24" t="s">
        <v>332</v>
      </c>
      <c r="F179" s="24">
        <v>1.7052835944222096</v>
      </c>
      <c r="G179" s="24">
        <v>1.9416603727947506</v>
      </c>
      <c r="H179" s="24">
        <v>2.1785865226392769</v>
      </c>
      <c r="I179" s="24">
        <v>2.4160633207690294</v>
      </c>
      <c r="J179" s="24">
        <v>3.367356124073182</v>
      </c>
      <c r="K179" s="24">
        <v>3.1296638610956893</v>
      </c>
      <c r="L179" s="24">
        <v>2.8925181692408408</v>
      </c>
      <c r="M179" s="24">
        <v>2.6559177916734584</v>
      </c>
      <c r="N179" s="24">
        <v>1.3955459268310344</v>
      </c>
      <c r="O179" s="24">
        <v>1.8417987331992638</v>
      </c>
      <c r="P179" s="24">
        <v>2.290015546618938</v>
      </c>
      <c r="Q179" s="24">
        <v>2.7402050108984315</v>
      </c>
      <c r="R179" s="24">
        <v>3.798925422393217</v>
      </c>
      <c r="S179" s="24">
        <v>3.836809696669583</v>
      </c>
      <c r="T179" s="24">
        <v>3.8747077978543647</v>
      </c>
      <c r="U179" s="24">
        <v>3.912619730994086</v>
      </c>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row>
    <row r="180" spans="1:46" ht="14.25" customHeight="1" x14ac:dyDescent="0.6">
      <c r="A180" s="24" t="s">
        <v>390</v>
      </c>
      <c r="B180" s="24" t="s">
        <v>333</v>
      </c>
      <c r="C180" s="24" t="s">
        <v>299</v>
      </c>
      <c r="D180" s="274"/>
      <c r="E180" s="24" t="s">
        <v>334</v>
      </c>
      <c r="F180" s="24">
        <v>1.0403862143011922</v>
      </c>
      <c r="G180" s="24">
        <v>0.65454996922852993</v>
      </c>
      <c r="H180" s="24">
        <v>0.27018709152499831</v>
      </c>
      <c r="I180" s="24">
        <v>-0.11270804506002279</v>
      </c>
      <c r="J180" s="24">
        <v>1.9279191735406074</v>
      </c>
      <c r="K180" s="24">
        <v>-7.2021818206042337E-2</v>
      </c>
      <c r="L180" s="24">
        <v>-2.0327217069958081</v>
      </c>
      <c r="M180" s="24">
        <v>-3.9549504476261781</v>
      </c>
      <c r="N180" s="24">
        <v>-11.695385743614018</v>
      </c>
      <c r="O180" s="24">
        <v>-9.5748995030578588</v>
      </c>
      <c r="P180" s="24">
        <v>-7.403493365118627</v>
      </c>
      <c r="Q180" s="24">
        <v>-5.1799445744207171</v>
      </c>
      <c r="R180" s="24">
        <v>0.37823593958468549</v>
      </c>
      <c r="S180" s="24">
        <v>0.45273058705878005</v>
      </c>
      <c r="T180" s="24">
        <v>0.52728051994857783</v>
      </c>
      <c r="U180" s="24">
        <v>0.60188577928355791</v>
      </c>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row>
    <row r="181" spans="1:46" ht="14.25" customHeight="1" x14ac:dyDescent="0.6">
      <c r="A181" s="24" t="s">
        <v>390</v>
      </c>
      <c r="B181" s="24" t="s">
        <v>335</v>
      </c>
      <c r="C181" s="24" t="s">
        <v>299</v>
      </c>
      <c r="D181" s="274"/>
      <c r="E181" s="24" t="s">
        <v>262</v>
      </c>
      <c r="F181" s="24">
        <v>2.0950143545297749E-2</v>
      </c>
      <c r="G181" s="24">
        <v>0.74315745458480009</v>
      </c>
      <c r="H181" s="24">
        <v>0.74315745458479743</v>
      </c>
      <c r="I181" s="24">
        <v>0.74315745458479765</v>
      </c>
      <c r="J181" s="24">
        <v>1.5498625822257617</v>
      </c>
      <c r="K181" s="24">
        <v>0.22107546795054792</v>
      </c>
      <c r="L181" s="24">
        <v>0.22107546795054972</v>
      </c>
      <c r="M181" s="24">
        <v>0.221075467950551</v>
      </c>
      <c r="N181" s="24">
        <v>-0.92374226257591807</v>
      </c>
      <c r="O181" s="24">
        <v>1.0056711090034096</v>
      </c>
      <c r="P181" s="24">
        <v>1.0056711090034085</v>
      </c>
      <c r="Q181" s="24">
        <v>1.005671109003405</v>
      </c>
      <c r="R181" s="24">
        <v>0.98094060686244522</v>
      </c>
      <c r="S181" s="24">
        <v>1.0222375888856192</v>
      </c>
      <c r="T181" s="24">
        <v>1.0222375888856186</v>
      </c>
      <c r="U181" s="24">
        <v>1.0222375888856192</v>
      </c>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row>
    <row r="182" spans="1:46" ht="14.25" customHeight="1" x14ac:dyDescent="0.6">
      <c r="A182" s="24" t="s">
        <v>390</v>
      </c>
      <c r="B182" s="24" t="s">
        <v>336</v>
      </c>
      <c r="C182" s="24" t="s">
        <v>299</v>
      </c>
      <c r="D182" s="274"/>
      <c r="E182" s="24" t="s">
        <v>337</v>
      </c>
      <c r="F182" s="24">
        <v>1.3652105993772532</v>
      </c>
      <c r="G182" s="24">
        <v>1.6650865794664238</v>
      </c>
      <c r="H182" s="24">
        <v>1.9658497041972751</v>
      </c>
      <c r="I182" s="24">
        <v>2.2675025980734556</v>
      </c>
      <c r="J182" s="24">
        <v>3.8307556622623427</v>
      </c>
      <c r="K182" s="24">
        <v>3.2926727933158526</v>
      </c>
      <c r="L182" s="24">
        <v>2.7573784350761432</v>
      </c>
      <c r="M182" s="24">
        <v>2.2248581366241811</v>
      </c>
      <c r="N182" s="24">
        <v>-0.26518860412026973</v>
      </c>
      <c r="O182" s="24">
        <v>0.51560024609974364</v>
      </c>
      <c r="P182" s="24">
        <v>1.3025016183178182</v>
      </c>
      <c r="Q182" s="24">
        <v>2.0955633653242609</v>
      </c>
      <c r="R182" s="24">
        <v>4.0582906122793947</v>
      </c>
      <c r="S182" s="24">
        <v>4.0753577685992477</v>
      </c>
      <c r="T182" s="24">
        <v>4.0924277241945699</v>
      </c>
      <c r="U182" s="24">
        <v>4.1095004795245833</v>
      </c>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row>
    <row r="183" spans="1:46" ht="14.25" customHeight="1" x14ac:dyDescent="0.6">
      <c r="A183" s="24" t="s">
        <v>390</v>
      </c>
      <c r="B183" s="24" t="s">
        <v>338</v>
      </c>
      <c r="C183" s="24" t="s">
        <v>299</v>
      </c>
      <c r="D183" s="273" t="s">
        <v>264</v>
      </c>
      <c r="E183" s="24" t="s">
        <v>300</v>
      </c>
      <c r="F183" s="24">
        <v>1.8857770942648768</v>
      </c>
      <c r="G183" s="24">
        <v>0.97254672257930264</v>
      </c>
      <c r="H183" s="24">
        <v>2.5590360802670067</v>
      </c>
      <c r="I183" s="24">
        <v>1.6261109162132501</v>
      </c>
      <c r="J183" s="24">
        <v>1.9656619221080713</v>
      </c>
      <c r="K183" s="24">
        <v>3.0085113590234123</v>
      </c>
      <c r="L183" s="24">
        <v>0.36581542960724067</v>
      </c>
      <c r="M183" s="24">
        <v>-3.9666714720602214</v>
      </c>
      <c r="N183" s="24">
        <v>-9.3533173280069306</v>
      </c>
      <c r="O183" s="24">
        <v>-9.9241903731402328</v>
      </c>
      <c r="P183" s="24">
        <v>-7.3728212504475223</v>
      </c>
      <c r="Q183" s="24">
        <v>-4.2012574562608558</v>
      </c>
      <c r="R183" s="24">
        <v>0.87120709904312665</v>
      </c>
      <c r="S183" s="24">
        <v>2.0261880409860766</v>
      </c>
      <c r="T183" s="24">
        <v>1.5868413197269509</v>
      </c>
      <c r="U183" s="24">
        <v>1.753650543181589</v>
      </c>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row>
    <row r="184" spans="1:46" ht="14.25" customHeight="1" x14ac:dyDescent="0.6">
      <c r="A184" s="24" t="s">
        <v>390</v>
      </c>
      <c r="B184" s="24" t="s">
        <v>339</v>
      </c>
      <c r="C184" s="24" t="s">
        <v>299</v>
      </c>
      <c r="D184" s="274"/>
      <c r="E184" s="24" t="s">
        <v>302</v>
      </c>
      <c r="F184" s="24">
        <v>0.68851174740306575</v>
      </c>
      <c r="G184" s="24">
        <v>1.1602198155002694</v>
      </c>
      <c r="H184" s="24">
        <v>1.8891800276967838</v>
      </c>
      <c r="I184" s="24">
        <v>1.6618097029668009</v>
      </c>
      <c r="J184" s="24">
        <v>4.421880123647183</v>
      </c>
      <c r="K184" s="24">
        <v>3.3643296368727502</v>
      </c>
      <c r="L184" s="24">
        <v>0.78461970461054387</v>
      </c>
      <c r="M184" s="24">
        <v>-2.7396414996972038</v>
      </c>
      <c r="N184" s="24">
        <v>-9.9396242688639855</v>
      </c>
      <c r="O184" s="24">
        <v>-8.9763903367363564</v>
      </c>
      <c r="P184" s="24">
        <v>-6.8768720898580549</v>
      </c>
      <c r="Q184" s="24">
        <v>-3.9932709029876849</v>
      </c>
      <c r="R184" s="24">
        <v>1.4668586979043963</v>
      </c>
      <c r="S184" s="24">
        <v>1.9373039094661777</v>
      </c>
      <c r="T184" s="24">
        <v>1.8503854266881441</v>
      </c>
      <c r="U184" s="24">
        <v>2.0205103084858469</v>
      </c>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row>
    <row r="185" spans="1:46" ht="14.25" customHeight="1" x14ac:dyDescent="0.6">
      <c r="A185" s="24" t="s">
        <v>390</v>
      </c>
      <c r="B185" s="24" t="s">
        <v>340</v>
      </c>
      <c r="C185" s="24" t="s">
        <v>299</v>
      </c>
      <c r="D185" s="274"/>
      <c r="E185" s="24" t="s">
        <v>304</v>
      </c>
      <c r="F185" s="24">
        <v>3.0979628305189184</v>
      </c>
      <c r="G185" s="24">
        <v>3.3099782964364555</v>
      </c>
      <c r="H185" s="24">
        <v>3.3920284876234974</v>
      </c>
      <c r="I185" s="24">
        <v>3.1264295801773549</v>
      </c>
      <c r="J185" s="24">
        <v>3.9009061724193521</v>
      </c>
      <c r="K185" s="24">
        <v>3.4613415972922112</v>
      </c>
      <c r="L185" s="24">
        <v>2.8897098687778269</v>
      </c>
      <c r="M185" s="24">
        <v>2.400244801736187</v>
      </c>
      <c r="N185" s="24">
        <v>1.0611588507580172</v>
      </c>
      <c r="O185" s="24">
        <v>1.6336368987827699</v>
      </c>
      <c r="P185" s="24">
        <v>2.0102171022590052</v>
      </c>
      <c r="Q185" s="24">
        <v>2.623670098267552</v>
      </c>
      <c r="R185" s="24">
        <v>3.9111590445269981</v>
      </c>
      <c r="S185" s="24">
        <v>3.772752410183954</v>
      </c>
      <c r="T185" s="24">
        <v>3.679144077021256</v>
      </c>
      <c r="U185" s="24">
        <v>3.6228031071376341</v>
      </c>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row>
    <row r="186" spans="1:46" ht="14.25" customHeight="1" x14ac:dyDescent="0.6">
      <c r="A186" s="24" t="s">
        <v>390</v>
      </c>
      <c r="B186" s="24" t="s">
        <v>341</v>
      </c>
      <c r="C186" s="24" t="s">
        <v>299</v>
      </c>
      <c r="D186" s="274"/>
      <c r="E186" s="24" t="s">
        <v>306</v>
      </c>
      <c r="F186" s="24">
        <v>4.8018062677371933</v>
      </c>
      <c r="G186" s="24">
        <v>4.9091064989864979</v>
      </c>
      <c r="H186" s="24">
        <v>5.1200318666596472</v>
      </c>
      <c r="I186" s="24">
        <v>5.1413357059237974</v>
      </c>
      <c r="J186" s="24">
        <v>5.379256023403137</v>
      </c>
      <c r="K186" s="24">
        <v>5.3950532134159239</v>
      </c>
      <c r="L186" s="24">
        <v>5.2314961528421167</v>
      </c>
      <c r="M186" s="24">
        <v>5.1802917004473192</v>
      </c>
      <c r="N186" s="24">
        <v>5.2040768761334455</v>
      </c>
      <c r="O186" s="24">
        <v>5.0174468437163355</v>
      </c>
      <c r="P186" s="24">
        <v>4.8416447158863658</v>
      </c>
      <c r="Q186" s="24">
        <v>4.7020946993131494</v>
      </c>
      <c r="R186" s="24">
        <v>4.5907623577625598</v>
      </c>
      <c r="S186" s="24">
        <v>4.7468538144640222</v>
      </c>
      <c r="T186" s="24">
        <v>4.8782673262171583</v>
      </c>
      <c r="U186" s="24">
        <v>5.0081430233929458</v>
      </c>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row>
    <row r="187" spans="1:46" ht="14.25" customHeight="1" x14ac:dyDescent="0.6">
      <c r="A187" s="24" t="s">
        <v>390</v>
      </c>
      <c r="B187" s="24" t="s">
        <v>342</v>
      </c>
      <c r="C187" s="24" t="s">
        <v>299</v>
      </c>
      <c r="D187" s="274"/>
      <c r="E187" s="24" t="s">
        <v>308</v>
      </c>
      <c r="F187" s="24">
        <v>5.2797021332552765</v>
      </c>
      <c r="G187" s="24">
        <v>5.9059703830027939</v>
      </c>
      <c r="H187" s="24">
        <v>5.4650214684630729</v>
      </c>
      <c r="I187" s="24">
        <v>5.3948221028785888</v>
      </c>
      <c r="J187" s="24">
        <v>5.4152857806273884</v>
      </c>
      <c r="K187" s="24">
        <v>4.5963410350058744</v>
      </c>
      <c r="L187" s="24">
        <v>5.0067494821172644</v>
      </c>
      <c r="M187" s="24">
        <v>5.7540698407944753</v>
      </c>
      <c r="N187" s="24">
        <v>6.0937205503259229</v>
      </c>
      <c r="O187" s="24">
        <v>5.816908393507001</v>
      </c>
      <c r="P187" s="24">
        <v>5.3189496806724463</v>
      </c>
      <c r="Q187" s="24">
        <v>4.6529305098746514</v>
      </c>
      <c r="R187" s="24">
        <v>4.2275602469971876</v>
      </c>
      <c r="S187" s="24">
        <v>4.6183738476529292</v>
      </c>
      <c r="T187" s="24">
        <v>5.0716589585750977</v>
      </c>
      <c r="U187" s="24">
        <v>5.4239363722884759</v>
      </c>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row>
    <row r="188" spans="1:46" ht="14.25" customHeight="1" x14ac:dyDescent="0.6">
      <c r="A188" s="24" t="s">
        <v>390</v>
      </c>
      <c r="B188" s="24" t="s">
        <v>343</v>
      </c>
      <c r="C188" s="24" t="s">
        <v>299</v>
      </c>
      <c r="D188" s="274"/>
      <c r="E188" s="24" t="s">
        <v>310</v>
      </c>
      <c r="F188" s="24">
        <v>1.4653745697942855</v>
      </c>
      <c r="G188" s="24">
        <v>1.7507137211739601</v>
      </c>
      <c r="H188" s="24">
        <v>2.5725355530690353</v>
      </c>
      <c r="I188" s="24">
        <v>2.3776331665598218</v>
      </c>
      <c r="J188" s="24">
        <v>4.3973193052022204</v>
      </c>
      <c r="K188" s="24">
        <v>3.8395736176238855</v>
      </c>
      <c r="L188" s="24">
        <v>1.6187840838379886</v>
      </c>
      <c r="M188" s="24">
        <v>-1.4733417238649515</v>
      </c>
      <c r="N188" s="24">
        <v>-7.6397144352761295</v>
      </c>
      <c r="O188" s="24">
        <v>-7.1240503893842986</v>
      </c>
      <c r="P188" s="24">
        <v>-5.2775538479353612</v>
      </c>
      <c r="Q188" s="24">
        <v>-2.8211490441530622</v>
      </c>
      <c r="R188" s="24">
        <v>1.6057295343871316</v>
      </c>
      <c r="S188" s="24">
        <v>1.9607546057706304</v>
      </c>
      <c r="T188" s="24">
        <v>1.9485303810294279</v>
      </c>
      <c r="U188" s="24">
        <v>2.1056345618586336</v>
      </c>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row>
    <row r="189" spans="1:46" ht="14.25" customHeight="1" x14ac:dyDescent="0.6">
      <c r="A189" s="24" t="s">
        <v>390</v>
      </c>
      <c r="B189" s="24" t="s">
        <v>344</v>
      </c>
      <c r="C189" s="24" t="s">
        <v>299</v>
      </c>
      <c r="D189" s="274"/>
      <c r="E189" s="24" t="s">
        <v>312</v>
      </c>
      <c r="F189" s="24">
        <v>3.9156124813737323</v>
      </c>
      <c r="G189" s="24">
        <v>3.9324588782732692</v>
      </c>
      <c r="H189" s="24">
        <v>4.1084593441327648</v>
      </c>
      <c r="I189" s="24">
        <v>3.8779081316913162</v>
      </c>
      <c r="J189" s="24">
        <v>3.8351322280085158</v>
      </c>
      <c r="K189" s="24">
        <v>3.8886248402178025</v>
      </c>
      <c r="L189" s="24">
        <v>3.6837249142011301</v>
      </c>
      <c r="M189" s="24">
        <v>3.6609815221739286</v>
      </c>
      <c r="N189" s="24">
        <v>3.5569268065056643</v>
      </c>
      <c r="O189" s="24">
        <v>3.6245657920234717</v>
      </c>
      <c r="P189" s="24">
        <v>3.6951996825955997</v>
      </c>
      <c r="Q189" s="24">
        <v>3.8254751998765317</v>
      </c>
      <c r="R189" s="24">
        <v>4.056867635751451</v>
      </c>
      <c r="S189" s="24">
        <v>3.7994970665742542</v>
      </c>
      <c r="T189" s="24">
        <v>3.7814877884220741</v>
      </c>
      <c r="U189" s="24">
        <v>3.711428598068383</v>
      </c>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row>
    <row r="190" spans="1:46" ht="14.25" customHeight="1" x14ac:dyDescent="0.6">
      <c r="A190" s="24" t="s">
        <v>390</v>
      </c>
      <c r="B190" s="24" t="s">
        <v>345</v>
      </c>
      <c r="C190" s="24" t="s">
        <v>299</v>
      </c>
      <c r="D190" s="274"/>
      <c r="E190" s="24" t="s">
        <v>314</v>
      </c>
      <c r="F190" s="24">
        <v>-1.5293792198865097</v>
      </c>
      <c r="G190" s="24">
        <v>-1.6191506397146345</v>
      </c>
      <c r="H190" s="24">
        <v>-1.7088402188094196</v>
      </c>
      <c r="I190" s="24">
        <v>-1.7984480317815115</v>
      </c>
      <c r="J190" s="24">
        <v>0.9766512148333214</v>
      </c>
      <c r="K190" s="24">
        <v>-1.0597864547535438</v>
      </c>
      <c r="L190" s="24">
        <v>-3.0551544480121167</v>
      </c>
      <c r="M190" s="24">
        <v>-5.0102810340020492</v>
      </c>
      <c r="N190" s="24">
        <v>-13.168705760740842</v>
      </c>
      <c r="O190" s="24">
        <v>-10.82811314103037</v>
      </c>
      <c r="P190" s="24">
        <v>-8.4244283624451324</v>
      </c>
      <c r="Q190" s="24">
        <v>-5.9559507358186581</v>
      </c>
      <c r="R190" s="24">
        <v>-5.5091804465512602E-2</v>
      </c>
      <c r="S190" s="24">
        <v>0.27140928910224132</v>
      </c>
      <c r="T190" s="24">
        <v>0.59897699992971754</v>
      </c>
      <c r="U190" s="24">
        <v>0.92761481245353483</v>
      </c>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row>
    <row r="191" spans="1:46" ht="14.25" customHeight="1" x14ac:dyDescent="0.6">
      <c r="A191" s="24" t="s">
        <v>390</v>
      </c>
      <c r="B191" s="24" t="s">
        <v>346</v>
      </c>
      <c r="C191" s="24" t="s">
        <v>299</v>
      </c>
      <c r="D191" s="274"/>
      <c r="E191" s="24" t="s">
        <v>316</v>
      </c>
      <c r="F191" s="24">
        <v>4.5467254015395859</v>
      </c>
      <c r="G191" s="24">
        <v>5.0978145228398049</v>
      </c>
      <c r="H191" s="24">
        <v>5.6518085578850163</v>
      </c>
      <c r="I191" s="24">
        <v>6.2087228191238895</v>
      </c>
      <c r="J191" s="24">
        <v>7.7750711841803852</v>
      </c>
      <c r="K191" s="24">
        <v>7.7150335418939839</v>
      </c>
      <c r="L191" s="24">
        <v>7.6550293444335376</v>
      </c>
      <c r="M191" s="24">
        <v>7.5950585731680329</v>
      </c>
      <c r="N191" s="24">
        <v>8.3362500791474172</v>
      </c>
      <c r="O191" s="24">
        <v>7.7112084862376609</v>
      </c>
      <c r="P191" s="24">
        <v>7.0897730454014818</v>
      </c>
      <c r="Q191" s="24">
        <v>6.471922951091023</v>
      </c>
      <c r="R191" s="24">
        <v>4.6193922465910324</v>
      </c>
      <c r="S191" s="24">
        <v>4.806171047212195</v>
      </c>
      <c r="T191" s="24">
        <v>4.9932833072390226</v>
      </c>
      <c r="U191" s="24">
        <v>5.1807296220023513</v>
      </c>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row>
    <row r="192" spans="1:46" ht="14.25" customHeight="1" x14ac:dyDescent="0.6">
      <c r="A192" s="24" t="s">
        <v>390</v>
      </c>
      <c r="B192" s="24" t="s">
        <v>347</v>
      </c>
      <c r="C192" s="24" t="s">
        <v>299</v>
      </c>
      <c r="D192" s="274"/>
      <c r="E192" s="24" t="s">
        <v>318</v>
      </c>
      <c r="F192" s="24">
        <v>-3.1231419514984879</v>
      </c>
      <c r="G192" s="24">
        <v>-2.9501865932723881</v>
      </c>
      <c r="H192" s="24">
        <v>-2.7769224558750847</v>
      </c>
      <c r="I192" s="24">
        <v>-2.6033489880395853</v>
      </c>
      <c r="J192" s="24">
        <v>0.65830466044193214</v>
      </c>
      <c r="K192" s="24">
        <v>-1.2563760070647711</v>
      </c>
      <c r="L192" s="24">
        <v>-3.1346364102833992</v>
      </c>
      <c r="M192" s="24">
        <v>-4.9771693204280956</v>
      </c>
      <c r="N192" s="24">
        <v>-12.584163824022074</v>
      </c>
      <c r="O192" s="24">
        <v>-10.423428314319663</v>
      </c>
      <c r="P192" s="24">
        <v>-8.2092839699354982</v>
      </c>
      <c r="Q192" s="24">
        <v>-5.9404106368714968</v>
      </c>
      <c r="R192" s="24">
        <v>-0.74013164766018624</v>
      </c>
      <c r="S192" s="24">
        <v>-0.33385353482699054</v>
      </c>
      <c r="T192" s="24">
        <v>7.4087504904144855E-2</v>
      </c>
      <c r="U192" s="24">
        <v>0.48369827801817361</v>
      </c>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row>
    <row r="193" spans="1:46" ht="14.25" customHeight="1" x14ac:dyDescent="0.6">
      <c r="A193" s="24" t="s">
        <v>390</v>
      </c>
      <c r="B193" s="24" t="s">
        <v>348</v>
      </c>
      <c r="C193" s="24" t="s">
        <v>299</v>
      </c>
      <c r="D193" s="274"/>
      <c r="E193" s="24" t="s">
        <v>320</v>
      </c>
      <c r="F193" s="24">
        <v>6.9932349366960942</v>
      </c>
      <c r="G193" s="24">
        <v>6.9192901697335856</v>
      </c>
      <c r="H193" s="24">
        <v>6.8453965072036329</v>
      </c>
      <c r="I193" s="24">
        <v>6.7715539137871623</v>
      </c>
      <c r="J193" s="24">
        <v>7.2476711853776816</v>
      </c>
      <c r="K193" s="24">
        <v>6.8430053287259751</v>
      </c>
      <c r="L193" s="24">
        <v>6.439866353299065</v>
      </c>
      <c r="M193" s="24">
        <v>6.038248497883826</v>
      </c>
      <c r="N193" s="24">
        <v>5.0657906334643146</v>
      </c>
      <c r="O193" s="24">
        <v>5.0197341644754934</v>
      </c>
      <c r="P193" s="24">
        <v>4.9736978847254791</v>
      </c>
      <c r="Q193" s="24">
        <v>4.9276817853641113</v>
      </c>
      <c r="R193" s="24">
        <v>4.3913600053171828</v>
      </c>
      <c r="S193" s="24">
        <v>4.6545714650301697</v>
      </c>
      <c r="T193" s="24">
        <v>4.918446583809609</v>
      </c>
      <c r="U193" s="24">
        <v>5.1829870349996119</v>
      </c>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row>
    <row r="194" spans="1:46" ht="14.25" customHeight="1" x14ac:dyDescent="0.6">
      <c r="A194" s="24" t="s">
        <v>390</v>
      </c>
      <c r="B194" s="24" t="s">
        <v>349</v>
      </c>
      <c r="C194" s="24" t="s">
        <v>299</v>
      </c>
      <c r="D194" s="274"/>
      <c r="E194" s="24" t="s">
        <v>322</v>
      </c>
      <c r="F194" s="24">
        <v>-3.599703169826928</v>
      </c>
      <c r="G194" s="24">
        <v>-3.2300782244731852</v>
      </c>
      <c r="H194" s="24">
        <v>-2.8590360365929901</v>
      </c>
      <c r="I194" s="24">
        <v>-2.4865711720932788</v>
      </c>
      <c r="J194" s="24">
        <v>-0.37652516195488001</v>
      </c>
      <c r="K194" s="24">
        <v>-1.1489284271091065</v>
      </c>
      <c r="L194" s="24">
        <v>-1.9153430755744705</v>
      </c>
      <c r="M194" s="24">
        <v>-2.6758155384464932</v>
      </c>
      <c r="N194" s="24">
        <v>-6.0161984452942114</v>
      </c>
      <c r="O194" s="24">
        <v>-4.9983411885248286</v>
      </c>
      <c r="P194" s="24">
        <v>-3.9694604002742642</v>
      </c>
      <c r="Q194" s="24">
        <v>-2.9294366942086465</v>
      </c>
      <c r="R194" s="24">
        <v>-0.90375518895047902</v>
      </c>
      <c r="S194" s="24">
        <v>-0.56845011351424168</v>
      </c>
      <c r="T194" s="24">
        <v>-0.23201048960113879</v>
      </c>
      <c r="U194" s="24">
        <v>0.10556752168165769</v>
      </c>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row>
    <row r="195" spans="1:46" ht="14.25" customHeight="1" x14ac:dyDescent="0.6">
      <c r="A195" s="24" t="s">
        <v>390</v>
      </c>
      <c r="B195" s="24" t="s">
        <v>350</v>
      </c>
      <c r="C195" s="24" t="s">
        <v>299</v>
      </c>
      <c r="D195" s="274"/>
      <c r="E195" s="24" t="s">
        <v>324</v>
      </c>
      <c r="F195" s="24">
        <v>7.0056731801239644</v>
      </c>
      <c r="G195" s="24">
        <v>6.9236107426413911</v>
      </c>
      <c r="H195" s="24">
        <v>6.8416112386785661</v>
      </c>
      <c r="I195" s="24">
        <v>6.7596746199718991</v>
      </c>
      <c r="J195" s="24">
        <v>7.5599461358700601</v>
      </c>
      <c r="K195" s="24">
        <v>6.9285844418426317</v>
      </c>
      <c r="L195" s="24">
        <v>6.300928751797195</v>
      </c>
      <c r="M195" s="24">
        <v>5.6769573120137817</v>
      </c>
      <c r="N195" s="24">
        <v>3.5799151797783759</v>
      </c>
      <c r="O195" s="24">
        <v>3.9153650827203639</v>
      </c>
      <c r="P195" s="24">
        <v>4.2519013607302352</v>
      </c>
      <c r="Q195" s="24">
        <v>4.58952753210019</v>
      </c>
      <c r="R195" s="24">
        <v>5.1271356640526555</v>
      </c>
      <c r="S195" s="24">
        <v>5.3185031070693167</v>
      </c>
      <c r="T195" s="24">
        <v>5.5102189044667869</v>
      </c>
      <c r="U195" s="24">
        <v>5.7022836903694509</v>
      </c>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row>
    <row r="196" spans="1:46" ht="14.25" customHeight="1" x14ac:dyDescent="0.6">
      <c r="A196" s="24" t="s">
        <v>390</v>
      </c>
      <c r="B196" s="24" t="s">
        <v>351</v>
      </c>
      <c r="C196" s="24" t="s">
        <v>299</v>
      </c>
      <c r="D196" s="274"/>
      <c r="E196" s="24" t="s">
        <v>326</v>
      </c>
      <c r="F196" s="24">
        <v>-1.997761632507699</v>
      </c>
      <c r="G196" s="24">
        <v>-1.8324688891101393</v>
      </c>
      <c r="H196" s="24">
        <v>-1.6668973593147025</v>
      </c>
      <c r="I196" s="24">
        <v>-1.5010465729140352</v>
      </c>
      <c r="J196" s="24">
        <v>1.7397063884768416</v>
      </c>
      <c r="K196" s="24">
        <v>-0.16733633466987596</v>
      </c>
      <c r="L196" s="24">
        <v>-2.0386328179559916</v>
      </c>
      <c r="M196" s="24">
        <v>-3.87485310073028</v>
      </c>
      <c r="N196" s="24">
        <v>-10.920639277699689</v>
      </c>
      <c r="O196" s="24">
        <v>-9.1131614198372546</v>
      </c>
      <c r="P196" s="24">
        <v>-7.2690086669130087</v>
      </c>
      <c r="Q196" s="24">
        <v>-5.3874368615798032</v>
      </c>
      <c r="R196" s="24">
        <v>-1.092046211368793</v>
      </c>
      <c r="S196" s="24">
        <v>-0.79341799020503112</v>
      </c>
      <c r="T196" s="24">
        <v>-0.49388813463213499</v>
      </c>
      <c r="U196" s="24">
        <v>-0.19345392238685871</v>
      </c>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row>
    <row r="197" spans="1:46" ht="14.25" customHeight="1" x14ac:dyDescent="0.6">
      <c r="A197" s="24" t="s">
        <v>390</v>
      </c>
      <c r="B197" s="24" t="s">
        <v>352</v>
      </c>
      <c r="C197" s="24" t="s">
        <v>299</v>
      </c>
      <c r="D197" s="274"/>
      <c r="E197" s="49" t="s">
        <v>328</v>
      </c>
      <c r="F197" s="24">
        <v>5.6466682392248941</v>
      </c>
      <c r="G197" s="24">
        <v>5.1867103907180061</v>
      </c>
      <c r="H197" s="24">
        <v>4.7287550778890211</v>
      </c>
      <c r="I197" s="24">
        <v>4.2727935822235805</v>
      </c>
      <c r="J197" s="24">
        <v>2.0426592558279113</v>
      </c>
      <c r="K197" s="24">
        <v>2.7630538998180363</v>
      </c>
      <c r="L197" s="24">
        <v>3.488534342697343</v>
      </c>
      <c r="M197" s="24">
        <v>4.2191364888836285</v>
      </c>
      <c r="N197" s="24">
        <v>5.8485502171825363</v>
      </c>
      <c r="O197" s="24">
        <v>5.9927953966756675</v>
      </c>
      <c r="P197" s="24">
        <v>6.1372371463793725</v>
      </c>
      <c r="Q197" s="24">
        <v>6.2818757341698648</v>
      </c>
      <c r="R197" s="24">
        <v>6.3831129378551381</v>
      </c>
      <c r="S197" s="24">
        <v>6.5492598217476914</v>
      </c>
      <c r="T197" s="24">
        <v>6.7156661903108876</v>
      </c>
      <c r="U197" s="24">
        <v>6.8823324488024626</v>
      </c>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row>
    <row r="198" spans="1:46" ht="14.25" customHeight="1" x14ac:dyDescent="0.6">
      <c r="A198" s="24" t="s">
        <v>390</v>
      </c>
      <c r="B198" s="24" t="s">
        <v>353</v>
      </c>
      <c r="C198" s="24" t="s">
        <v>299</v>
      </c>
      <c r="D198" s="274"/>
      <c r="E198" s="24" t="s">
        <v>330</v>
      </c>
      <c r="F198" s="24">
        <v>-0.98802710095836976</v>
      </c>
      <c r="G198" s="24">
        <v>-1.1692440802157003</v>
      </c>
      <c r="H198" s="24">
        <v>-1.3501293865186206</v>
      </c>
      <c r="I198" s="24">
        <v>-1.5306836269126505</v>
      </c>
      <c r="J198" s="24">
        <v>0.53185409317361654</v>
      </c>
      <c r="K198" s="24">
        <v>-1.1518999317363054</v>
      </c>
      <c r="L198" s="24">
        <v>-2.8074536648882131</v>
      </c>
      <c r="M198" s="24">
        <v>-4.4352794178213806</v>
      </c>
      <c r="N198" s="24">
        <v>-11.298677879448894</v>
      </c>
      <c r="O198" s="24">
        <v>-9.2936893896450954</v>
      </c>
      <c r="P198" s="24">
        <v>-7.2433805060958294</v>
      </c>
      <c r="Q198" s="24">
        <v>-5.1467268148956515</v>
      </c>
      <c r="R198" s="24">
        <v>-0.12118686671276017</v>
      </c>
      <c r="S198" s="24">
        <v>7.6383000034541099E-2</v>
      </c>
      <c r="T198" s="24">
        <v>0.27434367891726524</v>
      </c>
      <c r="U198" s="24">
        <v>0.47269594299933343</v>
      </c>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row>
    <row r="199" spans="1:46" ht="14.25" customHeight="1" x14ac:dyDescent="0.6">
      <c r="A199" s="24" t="s">
        <v>390</v>
      </c>
      <c r="B199" s="24" t="s">
        <v>354</v>
      </c>
      <c r="C199" s="24" t="s">
        <v>299</v>
      </c>
      <c r="D199" s="274"/>
      <c r="E199" s="24" t="s">
        <v>332</v>
      </c>
      <c r="F199" s="24">
        <v>2.6700561971494778</v>
      </c>
      <c r="G199" s="24">
        <v>2.8871115097218767</v>
      </c>
      <c r="H199" s="24">
        <v>3.1046257000865296</v>
      </c>
      <c r="I199" s="24">
        <v>3.3225997383593615</v>
      </c>
      <c r="J199" s="24">
        <v>3.1380248842424621</v>
      </c>
      <c r="K199" s="24">
        <v>3.5864921579994684</v>
      </c>
      <c r="L199" s="24">
        <v>4.0369094680874822</v>
      </c>
      <c r="M199" s="24">
        <v>4.4892852937019851</v>
      </c>
      <c r="N199" s="24">
        <v>5.6628286226352822</v>
      </c>
      <c r="O199" s="24">
        <v>5.6375577581484864</v>
      </c>
      <c r="P199" s="24">
        <v>5.6122929375713193</v>
      </c>
      <c r="Q199" s="24">
        <v>5.5870341594583932</v>
      </c>
      <c r="R199" s="24">
        <v>4.8558953063965777</v>
      </c>
      <c r="S199" s="24">
        <v>5.285620660218199</v>
      </c>
      <c r="T199" s="24">
        <v>5.7171071346633138</v>
      </c>
      <c r="U199" s="24">
        <v>6.1503619472390927</v>
      </c>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row>
    <row r="200" spans="1:46" ht="14.25" customHeight="1" x14ac:dyDescent="0.6">
      <c r="A200" s="24" t="s">
        <v>390</v>
      </c>
      <c r="B200" s="24" t="s">
        <v>355</v>
      </c>
      <c r="C200" s="24" t="s">
        <v>299</v>
      </c>
      <c r="D200" s="274"/>
      <c r="E200" s="24" t="s">
        <v>334</v>
      </c>
      <c r="F200" s="24">
        <v>-1.1680356788357777</v>
      </c>
      <c r="G200" s="24">
        <v>-1.2283885634511604</v>
      </c>
      <c r="H200" s="24">
        <v>-1.2887045928779732</v>
      </c>
      <c r="I200" s="24">
        <v>-1.3489837896222563</v>
      </c>
      <c r="J200" s="24">
        <v>0.19395154706914783</v>
      </c>
      <c r="K200" s="24">
        <v>-0.93880124197945858</v>
      </c>
      <c r="L200" s="24">
        <v>-2.0587475805259516</v>
      </c>
      <c r="M200" s="24">
        <v>-3.1660322531836078</v>
      </c>
      <c r="N200" s="24">
        <v>-7.8762276316707167</v>
      </c>
      <c r="O200" s="24">
        <v>-6.520815949471416</v>
      </c>
      <c r="P200" s="24">
        <v>-5.1454621743572044</v>
      </c>
      <c r="Q200" s="24">
        <v>-3.7498728994797683</v>
      </c>
      <c r="R200" s="24">
        <v>-0.54225810070011848</v>
      </c>
      <c r="S200" s="24">
        <v>-0.33328012929639628</v>
      </c>
      <c r="T200" s="24">
        <v>-0.12386305891757987</v>
      </c>
      <c r="U200" s="24">
        <v>8.5994033059432221E-2</v>
      </c>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row>
    <row r="201" spans="1:46" ht="18" customHeight="1" x14ac:dyDescent="0.6">
      <c r="A201" s="24" t="s">
        <v>390</v>
      </c>
      <c r="B201" s="24" t="s">
        <v>335</v>
      </c>
      <c r="C201" s="24" t="s">
        <v>299</v>
      </c>
      <c r="D201" s="274"/>
      <c r="E201" s="42" t="s">
        <v>262</v>
      </c>
      <c r="F201" s="42">
        <v>0.2566687674300076</v>
      </c>
      <c r="G201" s="42">
        <v>1.1112282787904646</v>
      </c>
      <c r="H201" s="42">
        <v>1.1112282787904668</v>
      </c>
      <c r="I201" s="42">
        <v>1.111228278790465</v>
      </c>
      <c r="J201" s="42">
        <v>0.74727113204827744</v>
      </c>
      <c r="K201" s="42">
        <v>1.3707019630733142</v>
      </c>
      <c r="L201" s="42">
        <v>1.3707019630733135</v>
      </c>
      <c r="M201" s="42">
        <v>1.370701963073311</v>
      </c>
      <c r="N201" s="42">
        <v>1.3372137252487477</v>
      </c>
      <c r="O201" s="42">
        <v>1.4104626858056868</v>
      </c>
      <c r="P201" s="42">
        <v>1.4104626858056855</v>
      </c>
      <c r="Q201" s="42">
        <v>1.4104626858056839</v>
      </c>
      <c r="R201" s="42">
        <v>0.78099901376046799</v>
      </c>
      <c r="S201" s="42">
        <v>1.830308429657526</v>
      </c>
      <c r="T201" s="42">
        <v>1.8303084296575265</v>
      </c>
      <c r="U201" s="42">
        <v>1.8303084296575269</v>
      </c>
      <c r="V201" s="42"/>
      <c r="W201" s="42"/>
      <c r="X201" s="42"/>
      <c r="Y201" s="42"/>
      <c r="Z201" s="24"/>
      <c r="AA201" s="24"/>
      <c r="AB201" s="24"/>
      <c r="AC201" s="24"/>
      <c r="AD201" s="24"/>
      <c r="AE201" s="24"/>
      <c r="AF201" s="24"/>
      <c r="AG201" s="24"/>
      <c r="AH201" s="24"/>
      <c r="AI201" s="24"/>
      <c r="AJ201" s="24"/>
      <c r="AK201" s="24"/>
      <c r="AL201" s="24"/>
      <c r="AM201" s="24"/>
      <c r="AN201" s="24"/>
      <c r="AO201" s="24"/>
      <c r="AP201" s="24"/>
      <c r="AQ201" s="24"/>
      <c r="AR201" s="24"/>
      <c r="AS201" s="24"/>
      <c r="AT201" s="24"/>
    </row>
    <row r="202" spans="1:46" ht="14.25" customHeight="1" x14ac:dyDescent="0.6">
      <c r="A202" s="24" t="s">
        <v>390</v>
      </c>
      <c r="B202" s="24" t="s">
        <v>336</v>
      </c>
      <c r="C202" s="24" t="s">
        <v>299</v>
      </c>
      <c r="D202" s="274"/>
      <c r="E202" s="24" t="s">
        <v>337</v>
      </c>
      <c r="F202" s="24">
        <v>2.4981289560063109</v>
      </c>
      <c r="G202" s="24">
        <v>2.8760864330525915</v>
      </c>
      <c r="H202" s="24">
        <v>3.2554376121684303</v>
      </c>
      <c r="I202" s="24">
        <v>3.636187632570794</v>
      </c>
      <c r="J202" s="24">
        <v>4.1433275499214286</v>
      </c>
      <c r="K202" s="24">
        <v>4.410582268836972</v>
      </c>
      <c r="L202" s="24">
        <v>4.6785228222314439</v>
      </c>
      <c r="M202" s="24">
        <v>4.947150970107157</v>
      </c>
      <c r="N202" s="24">
        <v>5.5616866661773567</v>
      </c>
      <c r="O202" s="24">
        <v>5.6030912226558751</v>
      </c>
      <c r="P202" s="24">
        <v>5.644512019281251</v>
      </c>
      <c r="Q202" s="24">
        <v>5.6859490624234263</v>
      </c>
      <c r="R202" s="24">
        <v>5.105865226434986</v>
      </c>
      <c r="S202" s="24">
        <v>5.5410101710537907</v>
      </c>
      <c r="T202" s="24">
        <v>5.9779566433268636</v>
      </c>
      <c r="U202" s="24">
        <v>6.4167121016928199</v>
      </c>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row>
    <row r="203" spans="1:46" ht="14.25" customHeight="1" x14ac:dyDescent="0.6">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row>
    <row r="204" spans="1:46" ht="14.25" customHeight="1" x14ac:dyDescent="0.6">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row>
    <row r="205" spans="1:46" ht="14.25" customHeight="1" x14ac:dyDescent="0.6">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row>
    <row r="206" spans="1:46" ht="14.25" customHeight="1" x14ac:dyDescent="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row>
    <row r="207" spans="1:46" ht="14.25" customHeight="1" x14ac:dyDescent="0.6">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row>
    <row r="208" spans="1:46" ht="14.25" customHeight="1" x14ac:dyDescent="0.6">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row>
    <row r="209" spans="1:46" ht="14.25" customHeight="1" x14ac:dyDescent="0.6">
      <c r="A209" s="24"/>
      <c r="B209" s="24"/>
      <c r="C209" s="24"/>
      <c r="D209" s="24"/>
      <c r="E209" s="24"/>
      <c r="F209" s="24" t="s">
        <v>381</v>
      </c>
      <c r="G209" s="24" t="s">
        <v>382</v>
      </c>
      <c r="H209" s="24" t="s">
        <v>383</v>
      </c>
      <c r="I209" s="24" t="s">
        <v>384</v>
      </c>
      <c r="J209" s="24" t="s">
        <v>385</v>
      </c>
      <c r="K209" s="24" t="s">
        <v>386</v>
      </c>
      <c r="L209" s="24" t="s">
        <v>387</v>
      </c>
      <c r="M209" s="24" t="s">
        <v>388</v>
      </c>
      <c r="N209" s="24" t="s">
        <v>389</v>
      </c>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row>
    <row r="210" spans="1:46" ht="14.25" customHeight="1" x14ac:dyDescent="0.6">
      <c r="A210" s="24" t="s">
        <v>390</v>
      </c>
      <c r="B210" s="24" t="s">
        <v>356</v>
      </c>
      <c r="C210" s="24" t="s">
        <v>224</v>
      </c>
      <c r="D210" s="24"/>
      <c r="E210" s="24" t="s">
        <v>357</v>
      </c>
      <c r="F210" s="24">
        <v>-8.121451952173901</v>
      </c>
      <c r="G210" s="24">
        <v>-3.0342654915260865</v>
      </c>
      <c r="H210" s="24">
        <v>-7.2130109169995942</v>
      </c>
      <c r="I210" s="24">
        <v>-16.039333439220432</v>
      </c>
      <c r="J210" s="24">
        <v>-3.3417154193716714</v>
      </c>
      <c r="K210" s="24">
        <v>-1.0067984615819987E-2</v>
      </c>
      <c r="L210" s="24">
        <v>-0.42103312277776078</v>
      </c>
      <c r="M210" s="24">
        <v>-0.42738089173444438</v>
      </c>
      <c r="N210" s="24">
        <v>-0.4548458031242566</v>
      </c>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row>
    <row r="211" spans="1:46" ht="14.25" customHeight="1" x14ac:dyDescent="0.6">
      <c r="A211" s="24" t="s">
        <v>390</v>
      </c>
      <c r="B211" s="24" t="s">
        <v>358</v>
      </c>
      <c r="C211" s="24" t="s">
        <v>224</v>
      </c>
      <c r="D211" s="24"/>
      <c r="E211" s="24" t="s">
        <v>359</v>
      </c>
      <c r="F211" s="24">
        <v>-15.347390512220366</v>
      </c>
      <c r="G211" s="24">
        <v>-10.147462886789153</v>
      </c>
      <c r="H211" s="24">
        <v>-2.5034618958028823</v>
      </c>
      <c r="I211" s="24">
        <v>-13.942916300959284</v>
      </c>
      <c r="J211" s="24">
        <v>-3.8508045033946177</v>
      </c>
      <c r="K211" s="24">
        <v>1.5543749788773278</v>
      </c>
      <c r="L211" s="24">
        <v>0.84307229786485682</v>
      </c>
      <c r="M211" s="24">
        <v>0.18480328717176212</v>
      </c>
      <c r="N211" s="24">
        <v>0.13456388854756671</v>
      </c>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row>
    <row r="212" spans="1:46" ht="14.25" customHeight="1" x14ac:dyDescent="0.6">
      <c r="A212" s="24" t="s">
        <v>390</v>
      </c>
      <c r="B212" s="24" t="s">
        <v>360</v>
      </c>
      <c r="C212" s="24" t="s">
        <v>224</v>
      </c>
      <c r="D212" s="24"/>
      <c r="E212" s="24" t="s">
        <v>361</v>
      </c>
      <c r="F212" s="24">
        <v>-0.7654103217847783</v>
      </c>
      <c r="G212" s="24">
        <v>-1.5516014130972011</v>
      </c>
      <c r="H212" s="24">
        <v>-3.2569306268910179</v>
      </c>
      <c r="I212" s="24">
        <v>-13.305130987133321</v>
      </c>
      <c r="J212" s="24">
        <v>0.98053664914969774</v>
      </c>
      <c r="K212" s="24">
        <v>1.6887065259100345</v>
      </c>
      <c r="L212" s="24">
        <v>1.3875487880794055</v>
      </c>
      <c r="M212" s="24">
        <v>0.78660871520776443</v>
      </c>
      <c r="N212" s="24">
        <v>0.33575487981587421</v>
      </c>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row>
    <row r="213" spans="1:46" ht="14.25" customHeight="1" x14ac:dyDescent="0.6">
      <c r="A213" s="24" t="s">
        <v>390</v>
      </c>
      <c r="B213" s="24" t="s">
        <v>362</v>
      </c>
      <c r="C213" s="24" t="s">
        <v>224</v>
      </c>
      <c r="D213" s="24"/>
      <c r="E213" s="24" t="s">
        <v>363</v>
      </c>
      <c r="F213" s="24">
        <v>-9.2652014224924066</v>
      </c>
      <c r="G213" s="24">
        <v>-6.8440332100536185</v>
      </c>
      <c r="H213" s="24">
        <v>-1.803409864875738</v>
      </c>
      <c r="I213" s="24">
        <v>-9.8769245077878054</v>
      </c>
      <c r="J213" s="24">
        <v>-2.1653027078229652</v>
      </c>
      <c r="K213" s="24">
        <v>1.234895390998767</v>
      </c>
      <c r="L213" s="24">
        <v>0.75742945100520531</v>
      </c>
      <c r="M213" s="24">
        <v>0.31829048948467403</v>
      </c>
      <c r="N213" s="24">
        <v>0.23705515708542854</v>
      </c>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row>
    <row r="214" spans="1:46" ht="14.25" customHeight="1" x14ac:dyDescent="0.6">
      <c r="A214" s="24" t="s">
        <v>390</v>
      </c>
      <c r="B214" s="24" t="s">
        <v>364</v>
      </c>
      <c r="C214" s="24" t="s">
        <v>224</v>
      </c>
      <c r="D214" s="24"/>
      <c r="E214" s="24" t="s">
        <v>365</v>
      </c>
      <c r="F214" s="24">
        <v>0.91161480451908594</v>
      </c>
      <c r="G214" s="24">
        <v>-1.3166817510582531</v>
      </c>
      <c r="H214" s="24">
        <v>-0.63207159127228363</v>
      </c>
      <c r="I214" s="24">
        <v>-3.0736418986484968</v>
      </c>
      <c r="J214" s="24">
        <v>0.65490589976536107</v>
      </c>
      <c r="K214" s="24">
        <v>0.70033702621321847</v>
      </c>
      <c r="L214" s="24">
        <v>0.6141304675650594</v>
      </c>
      <c r="M214" s="24">
        <v>0.54164341497834168</v>
      </c>
      <c r="N214" s="24">
        <v>0.40854518960425573</v>
      </c>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row>
    <row r="215" spans="1:46" ht="14.25" customHeight="1" x14ac:dyDescent="0.6">
      <c r="A215" s="24" t="s">
        <v>390</v>
      </c>
      <c r="B215" s="24" t="s">
        <v>366</v>
      </c>
      <c r="C215" s="24" t="s">
        <v>224</v>
      </c>
      <c r="D215" s="24"/>
      <c r="E215" s="2" t="s">
        <v>367</v>
      </c>
      <c r="F215" s="24">
        <v>0.96068657279177427</v>
      </c>
      <c r="G215" s="24">
        <v>-0.89328371724338074</v>
      </c>
      <c r="H215" s="24">
        <v>-7.5162019992282323</v>
      </c>
      <c r="I215" s="24">
        <v>-41.592288049834487</v>
      </c>
      <c r="J215" s="24">
        <v>5.9420291467844129</v>
      </c>
      <c r="K215" s="24">
        <v>6.2292216841770003</v>
      </c>
      <c r="L215" s="24">
        <v>5.3820166427786784</v>
      </c>
      <c r="M215" s="24">
        <v>2.6423243494472484</v>
      </c>
      <c r="N215" s="24">
        <v>0.84478668979360594</v>
      </c>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row>
    <row r="216" spans="1:46" ht="14.25" customHeight="1" x14ac:dyDescent="0.6">
      <c r="A216" s="24" t="s">
        <v>390</v>
      </c>
      <c r="B216" s="24" t="s">
        <v>368</v>
      </c>
      <c r="C216" s="24" t="s">
        <v>299</v>
      </c>
      <c r="D216" s="24"/>
      <c r="E216" s="24" t="s">
        <v>369</v>
      </c>
      <c r="F216" s="24">
        <v>2.4945465088509517</v>
      </c>
      <c r="G216" s="24">
        <v>0.17587881718228962</v>
      </c>
      <c r="H216" s="24">
        <v>-6.3867443595482341</v>
      </c>
      <c r="I216" s="24">
        <v>-8.2602031492164461</v>
      </c>
      <c r="J216" s="24">
        <v>-8.8833376671594753</v>
      </c>
      <c r="K216" s="24">
        <v>-4.6360219894467143</v>
      </c>
      <c r="L216" s="24">
        <v>-6.4840251543322012</v>
      </c>
      <c r="M216" s="24">
        <v>-8.8514734591044828</v>
      </c>
      <c r="N216" s="24">
        <v>-15.441937076490703</v>
      </c>
      <c r="O216" s="24">
        <v>-18.907566338526916</v>
      </c>
      <c r="P216" s="24">
        <v>-16.429073228872106</v>
      </c>
      <c r="Q216" s="24">
        <v>-13.102398345066781</v>
      </c>
      <c r="R216" s="24">
        <v>-6.6093126970271987</v>
      </c>
      <c r="S216" s="24">
        <v>-3.91586977681433</v>
      </c>
      <c r="T216" s="24">
        <v>-1.751099536206878</v>
      </c>
      <c r="U216" s="24">
        <v>-0.84214232003199752</v>
      </c>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row>
    <row r="217" spans="1:46" ht="14.25" customHeight="1" x14ac:dyDescent="0.6">
      <c r="A217" s="24" t="s">
        <v>390</v>
      </c>
      <c r="B217" s="24" t="s">
        <v>370</v>
      </c>
      <c r="C217" s="24" t="s">
        <v>299</v>
      </c>
      <c r="D217" s="24"/>
      <c r="E217" s="24" t="s">
        <v>371</v>
      </c>
      <c r="F217" s="24">
        <v>-6.7093940689918057</v>
      </c>
      <c r="G217" s="24">
        <v>-10.032232159112722</v>
      </c>
      <c r="H217" s="24">
        <v>-11.088439434688876</v>
      </c>
      <c r="I217" s="24">
        <v>-13.034341437692397</v>
      </c>
      <c r="J217" s="24">
        <v>-10.409686075492299</v>
      </c>
      <c r="K217" s="24">
        <v>-3.3897598791591543E-2</v>
      </c>
      <c r="L217" s="24">
        <v>1.5436681358375339</v>
      </c>
      <c r="M217" s="24">
        <v>-6.001542553231462E-2</v>
      </c>
      <c r="N217" s="24">
        <v>-10.531881829654019</v>
      </c>
      <c r="O217" s="24">
        <v>-13.06302953244527</v>
      </c>
      <c r="P217" s="24">
        <v>-17.019100203348778</v>
      </c>
      <c r="Q217" s="24">
        <v>-15.226824248716586</v>
      </c>
      <c r="R217" s="24">
        <v>-8.9853364085200678</v>
      </c>
      <c r="S217" s="24">
        <v>-7.3798460446522869</v>
      </c>
      <c r="T217" s="24">
        <v>-0.35005447467006334</v>
      </c>
      <c r="U217" s="24">
        <v>2.0222138316816336</v>
      </c>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row>
    <row r="218" spans="1:46" ht="14.25" customHeight="1" x14ac:dyDescent="0.6">
      <c r="A218" s="24" t="s">
        <v>390</v>
      </c>
      <c r="B218" s="24" t="s">
        <v>372</v>
      </c>
      <c r="C218" s="24" t="s">
        <v>299</v>
      </c>
      <c r="D218" s="24"/>
      <c r="E218" s="24" t="s">
        <v>373</v>
      </c>
      <c r="F218" s="24">
        <v>-1.3344181860506463</v>
      </c>
      <c r="G218" s="24">
        <v>-1.4512585474171618</v>
      </c>
      <c r="H218" s="24">
        <v>-1.2123429315871035</v>
      </c>
      <c r="I218" s="24">
        <v>-1.8917148099564292</v>
      </c>
      <c r="J218" s="24">
        <v>-2.3338723401208945</v>
      </c>
      <c r="K218" s="24">
        <v>0.32109611836068808</v>
      </c>
      <c r="L218" s="24">
        <v>-2.7916796330128477</v>
      </c>
      <c r="M218" s="24">
        <v>-8.1300886989533758</v>
      </c>
      <c r="N218" s="24">
        <v>-15.755062109867612</v>
      </c>
      <c r="O218" s="24">
        <v>-14.417194501943092</v>
      </c>
      <c r="P218" s="24">
        <v>-14.464258821478069</v>
      </c>
      <c r="Q218" s="24">
        <v>-8.5597775976073702</v>
      </c>
      <c r="R218" s="24">
        <v>0.46983967733688997</v>
      </c>
      <c r="S218" s="24">
        <v>-1.0565235338326431</v>
      </c>
      <c r="T218" s="24">
        <v>2.0946192696133963</v>
      </c>
      <c r="U218" s="24">
        <v>2.7857416204482104</v>
      </c>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row>
    <row r="219" spans="1:46" ht="14.25" customHeight="1" x14ac:dyDescent="0.6">
      <c r="A219" s="24" t="s">
        <v>390</v>
      </c>
      <c r="B219" s="24" t="s">
        <v>374</v>
      </c>
      <c r="C219" s="24" t="s">
        <v>299</v>
      </c>
      <c r="D219" s="24"/>
      <c r="E219" s="24" t="s">
        <v>375</v>
      </c>
      <c r="F219" s="24">
        <v>-4.5023927971097377</v>
      </c>
      <c r="G219" s="24">
        <v>-6.7698989749311513</v>
      </c>
      <c r="H219" s="24">
        <v>-7.5396353854185207</v>
      </c>
      <c r="I219" s="24">
        <v>-8.7820736057002939</v>
      </c>
      <c r="J219" s="24">
        <v>-6.7905989385364185</v>
      </c>
      <c r="K219" s="24">
        <v>-0.15867426419432223</v>
      </c>
      <c r="L219" s="24">
        <v>0.81646969775359779</v>
      </c>
      <c r="M219" s="24">
        <v>-0.3547027317978908</v>
      </c>
      <c r="N219" s="24">
        <v>-7.5072895132785451</v>
      </c>
      <c r="O219" s="24">
        <v>-9.4414773529286879</v>
      </c>
      <c r="P219" s="24">
        <v>-12.141043330934309</v>
      </c>
      <c r="Q219" s="24">
        <v>-10.833829978734309</v>
      </c>
      <c r="R219" s="24">
        <v>-6.1845285688372673</v>
      </c>
      <c r="S219" s="24">
        <v>-4.5930668434703446</v>
      </c>
      <c r="T219" s="24">
        <v>0.36870118470744467</v>
      </c>
      <c r="U219" s="24">
        <v>2.1418495990934039</v>
      </c>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row>
    <row r="220" spans="1:46" ht="14.25" customHeight="1" x14ac:dyDescent="0.6">
      <c r="A220" s="24" t="s">
        <v>390</v>
      </c>
      <c r="B220" s="24" t="s">
        <v>376</v>
      </c>
      <c r="C220" s="24" t="s">
        <v>299</v>
      </c>
      <c r="D220" s="24"/>
      <c r="E220" s="24" t="s">
        <v>377</v>
      </c>
      <c r="F220" s="24">
        <v>-0.83383817749717537</v>
      </c>
      <c r="G220" s="24">
        <v>-1.3383797922551932</v>
      </c>
      <c r="H220" s="24">
        <v>-1.5887309965845802</v>
      </c>
      <c r="I220" s="24">
        <v>-1.5062174118704406</v>
      </c>
      <c r="J220" s="24">
        <v>-0.74693233621727895</v>
      </c>
      <c r="K220" s="24">
        <v>-0.43621494829836716</v>
      </c>
      <c r="L220" s="24">
        <v>-0.43772159279198358</v>
      </c>
      <c r="M220" s="24">
        <v>-0.90767454019753979</v>
      </c>
      <c r="N220" s="24">
        <v>-2.3649870458509876</v>
      </c>
      <c r="O220" s="24">
        <v>-3.1861908401752412</v>
      </c>
      <c r="P220" s="24">
        <v>-3.5617073774758854</v>
      </c>
      <c r="Q220" s="24">
        <v>-3.1851971883627157</v>
      </c>
      <c r="R220" s="24">
        <v>-1.4054006097913858</v>
      </c>
      <c r="S220" s="24">
        <v>0.15646172846958475</v>
      </c>
      <c r="T220" s="24">
        <v>1.5766575424668032</v>
      </c>
      <c r="U220" s="24">
        <v>2.3347383205068182</v>
      </c>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row>
    <row r="221" spans="1:46" ht="14.25" customHeight="1" x14ac:dyDescent="0.6">
      <c r="A221" s="24" t="s">
        <v>390</v>
      </c>
      <c r="B221" s="24" t="s">
        <v>378</v>
      </c>
      <c r="C221" s="24" t="s">
        <v>299</v>
      </c>
      <c r="D221" s="24"/>
      <c r="E221" s="2" t="s">
        <v>379</v>
      </c>
      <c r="F221" s="24">
        <v>-6.541519395149642</v>
      </c>
      <c r="G221" s="24">
        <v>-3.4649963097391585</v>
      </c>
      <c r="H221" s="24">
        <v>4.4422957962370315</v>
      </c>
      <c r="I221" s="24">
        <v>2.5546919653108677</v>
      </c>
      <c r="J221" s="24">
        <v>-1.3313377180922004</v>
      </c>
      <c r="K221" s="24">
        <v>7.083452112912525</v>
      </c>
      <c r="L221" s="24">
        <v>-6.4828941495670183</v>
      </c>
      <c r="M221" s="24">
        <v>-28.671315967331601</v>
      </c>
      <c r="N221" s="24">
        <v>-50.110738196618534</v>
      </c>
      <c r="O221" s="24">
        <v>-43.199029289672602</v>
      </c>
      <c r="P221" s="24">
        <v>-44.257689763815392</v>
      </c>
      <c r="Q221" s="24">
        <v>-23.860188340085312</v>
      </c>
      <c r="R221" s="24">
        <v>12.127198525267296</v>
      </c>
      <c r="S221" s="24">
        <v>-2.2244845285036026</v>
      </c>
      <c r="T221" s="24">
        <v>7.3454246458584631</v>
      </c>
      <c r="U221" s="24">
        <v>7.6118765202826042</v>
      </c>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row>
    <row r="222" spans="1:46" ht="18.75" customHeight="1" x14ac:dyDescent="0.6">
      <c r="A222" s="24"/>
      <c r="B222" s="24"/>
      <c r="C222" s="24"/>
      <c r="D222" s="275"/>
      <c r="E222" s="275"/>
      <c r="F222" s="45"/>
      <c r="G222" s="45"/>
      <c r="H222" s="45"/>
      <c r="I222" s="45"/>
      <c r="J222" s="45"/>
      <c r="K222" s="45"/>
      <c r="L222" s="45"/>
      <c r="M222" s="45"/>
      <c r="N222" s="45"/>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row>
  </sheetData>
  <mergeCells count="10">
    <mergeCell ref="D5:D23"/>
    <mergeCell ref="D222:E222"/>
    <mergeCell ref="D115:E115"/>
    <mergeCell ref="D24:D42"/>
    <mergeCell ref="D163:D182"/>
    <mergeCell ref="D119:D137"/>
    <mergeCell ref="D70:D89"/>
    <mergeCell ref="D183:D202"/>
    <mergeCell ref="D138:D156"/>
    <mergeCell ref="D50:D69"/>
  </mergeCells>
  <pageMargins left="0.39" right="0.39" top="0.39" bottom="0.39" header="0.39" footer="0.39"/>
  <pageSetup paperSize="9" fitToWidth="0"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Z75"/>
  <sheetViews>
    <sheetView showGridLines="0" workbookViewId="0">
      <pane xSplit="1" ySplit="6" topLeftCell="B7" activePane="bottomRight" state="frozen"/>
      <selection pane="topRight"/>
      <selection pane="bottomLeft"/>
      <selection pane="bottomRight" activeCell="B33" sqref="B33"/>
    </sheetView>
  </sheetViews>
  <sheetFormatPr defaultColWidth="10.1328125" defaultRowHeight="14.45" customHeight="1" x14ac:dyDescent="0.6"/>
  <cols>
    <col min="1" max="1" width="61.54296875" customWidth="1"/>
    <col min="2" max="10" width="9.86328125" customWidth="1"/>
    <col min="11" max="22" width="11.54296875" customWidth="1"/>
    <col min="23" max="26" width="10.1328125" customWidth="1"/>
  </cols>
  <sheetData>
    <row r="1" spans="1:26" ht="24.75" customHeight="1" x14ac:dyDescent="0.6">
      <c r="A1" s="50" t="s">
        <v>391</v>
      </c>
      <c r="B1" s="50"/>
      <c r="C1" s="51"/>
      <c r="D1" s="52"/>
      <c r="E1" s="52"/>
      <c r="F1" s="52"/>
      <c r="G1" s="52"/>
      <c r="H1" s="52"/>
      <c r="I1" s="52"/>
      <c r="J1" s="52"/>
      <c r="K1" s="52"/>
      <c r="L1" s="52"/>
      <c r="M1" s="52"/>
      <c r="N1" s="52"/>
      <c r="O1" s="52"/>
      <c r="P1" s="52"/>
      <c r="Q1" s="52"/>
      <c r="R1" s="52"/>
      <c r="S1" s="52"/>
      <c r="T1" s="52"/>
      <c r="U1" s="52"/>
      <c r="V1" s="52"/>
      <c r="W1" s="52"/>
      <c r="X1" s="52"/>
      <c r="Y1" s="52"/>
      <c r="Z1" s="52"/>
    </row>
    <row r="2" spans="1:26" ht="16.5" customHeight="1" x14ac:dyDescent="0.6">
      <c r="A2" s="276" t="s">
        <v>392</v>
      </c>
      <c r="B2" s="276"/>
      <c r="C2" s="276"/>
      <c r="D2" s="276" t="s">
        <v>393</v>
      </c>
      <c r="E2" s="276"/>
      <c r="F2" s="276"/>
      <c r="G2" s="276"/>
      <c r="H2" s="53"/>
      <c r="I2" s="52"/>
      <c r="J2" s="52"/>
      <c r="K2" s="52"/>
      <c r="L2" s="52"/>
      <c r="M2" s="52"/>
      <c r="N2" s="52"/>
      <c r="O2" s="52"/>
      <c r="P2" s="52"/>
      <c r="Q2" s="52"/>
      <c r="R2" s="52"/>
      <c r="S2" s="52"/>
      <c r="T2" s="52"/>
      <c r="U2" s="52"/>
      <c r="V2" s="52"/>
      <c r="W2" s="52"/>
      <c r="X2" s="52"/>
      <c r="Y2" s="52"/>
      <c r="Z2" s="52"/>
    </row>
    <row r="3" spans="1:26" ht="21.75" customHeight="1" x14ac:dyDescent="0.6">
      <c r="A3" s="281" t="s">
        <v>394</v>
      </c>
      <c r="B3" s="281"/>
      <c r="C3" s="281"/>
      <c r="D3" s="281"/>
      <c r="E3" s="281"/>
      <c r="F3" s="281"/>
      <c r="G3" s="281"/>
      <c r="H3" s="281"/>
      <c r="I3" s="281"/>
      <c r="J3" s="281"/>
      <c r="K3" s="281"/>
      <c r="L3" s="281"/>
      <c r="M3" s="281"/>
      <c r="N3" s="281"/>
      <c r="O3" s="281"/>
      <c r="P3" s="281"/>
      <c r="Q3" s="281"/>
      <c r="R3" s="281"/>
      <c r="S3" s="281"/>
      <c r="T3" s="281"/>
      <c r="U3" s="281"/>
      <c r="V3" s="281"/>
      <c r="W3" s="52"/>
      <c r="X3" s="52"/>
      <c r="Y3" s="52"/>
      <c r="Z3" s="52"/>
    </row>
    <row r="4" spans="1:26" ht="16.5" customHeight="1" x14ac:dyDescent="0.6">
      <c r="A4" s="282" t="s">
        <v>395</v>
      </c>
      <c r="B4" s="282"/>
      <c r="C4" s="52"/>
      <c r="D4" s="52"/>
      <c r="E4" s="52"/>
      <c r="F4" s="52"/>
      <c r="G4" s="52"/>
      <c r="H4" s="52"/>
      <c r="I4" s="52"/>
      <c r="J4" s="52"/>
      <c r="K4" s="52"/>
      <c r="L4" s="52"/>
      <c r="M4" s="52"/>
      <c r="N4" s="52"/>
      <c r="O4" s="52"/>
      <c r="P4" s="52"/>
      <c r="Q4" s="52"/>
      <c r="R4" s="52"/>
      <c r="S4" s="52"/>
      <c r="T4" s="52"/>
      <c r="U4" s="52"/>
      <c r="V4" s="52"/>
      <c r="W4" s="52"/>
      <c r="X4" s="52"/>
      <c r="Y4" s="52"/>
      <c r="Z4" s="52"/>
    </row>
    <row r="5" spans="1:26" ht="15.75" customHeight="1" x14ac:dyDescent="0.6">
      <c r="A5" s="54">
        <v>42242.443822673609</v>
      </c>
      <c r="B5" s="54"/>
      <c r="C5" s="55"/>
      <c r="D5" s="55"/>
      <c r="E5" s="55"/>
      <c r="F5" s="55"/>
      <c r="G5" s="55"/>
      <c r="H5" s="55"/>
      <c r="I5" s="55"/>
      <c r="J5" s="55"/>
      <c r="K5" s="55"/>
      <c r="L5" s="55"/>
      <c r="M5" s="55"/>
      <c r="N5" s="55"/>
      <c r="O5" s="55"/>
      <c r="P5" s="55"/>
      <c r="Q5" s="55"/>
      <c r="R5" s="55"/>
      <c r="S5" s="55"/>
      <c r="T5" s="55"/>
      <c r="U5" s="55"/>
      <c r="V5" s="55"/>
      <c r="W5" s="55"/>
      <c r="X5" s="55"/>
      <c r="Y5" s="55"/>
      <c r="Z5" s="55"/>
    </row>
    <row r="6" spans="1:26" ht="17.25" customHeight="1" x14ac:dyDescent="0.6">
      <c r="A6" s="56"/>
      <c r="B6" s="57" t="s">
        <v>213</v>
      </c>
      <c r="C6" s="57" t="s">
        <v>214</v>
      </c>
      <c r="D6" s="57" t="s">
        <v>215</v>
      </c>
      <c r="E6" s="57" t="s">
        <v>216</v>
      </c>
      <c r="F6" s="57" t="s">
        <v>217</v>
      </c>
      <c r="G6" s="57" t="s">
        <v>218</v>
      </c>
      <c r="H6" s="57" t="s">
        <v>219</v>
      </c>
      <c r="I6" s="57" t="s">
        <v>220</v>
      </c>
      <c r="J6" s="58" t="s">
        <v>221</v>
      </c>
      <c r="K6" s="59" t="s">
        <v>282</v>
      </c>
      <c r="L6" s="57" t="s">
        <v>283</v>
      </c>
      <c r="M6" s="57" t="s">
        <v>284</v>
      </c>
      <c r="N6" s="57" t="s">
        <v>285</v>
      </c>
      <c r="O6" s="57" t="s">
        <v>286</v>
      </c>
      <c r="P6" s="57" t="s">
        <v>287</v>
      </c>
      <c r="Q6" s="57" t="s">
        <v>288</v>
      </c>
      <c r="R6" s="57" t="s">
        <v>289</v>
      </c>
      <c r="S6" s="57" t="s">
        <v>290</v>
      </c>
      <c r="T6" s="57" t="s">
        <v>291</v>
      </c>
      <c r="U6" s="57" t="s">
        <v>292</v>
      </c>
      <c r="V6" s="57" t="s">
        <v>293</v>
      </c>
      <c r="W6" s="57" t="s">
        <v>294</v>
      </c>
      <c r="X6" s="57" t="s">
        <v>295</v>
      </c>
      <c r="Y6" s="57" t="s">
        <v>296</v>
      </c>
      <c r="Z6" s="57" t="s">
        <v>297</v>
      </c>
    </row>
    <row r="7" spans="1:26" ht="18" customHeight="1" x14ac:dyDescent="0.7">
      <c r="A7" s="60" t="s">
        <v>396</v>
      </c>
      <c r="B7" s="279" t="s">
        <v>397</v>
      </c>
      <c r="C7" s="279"/>
      <c r="D7" s="279"/>
      <c r="E7" s="279"/>
      <c r="F7" s="279"/>
      <c r="G7" s="279"/>
      <c r="H7" s="279"/>
      <c r="I7" s="279"/>
      <c r="J7" s="52"/>
      <c r="K7" s="279" t="s">
        <v>398</v>
      </c>
      <c r="L7" s="279"/>
      <c r="M7" s="279"/>
      <c r="N7" s="279"/>
      <c r="O7" s="279"/>
      <c r="P7" s="279"/>
      <c r="Q7" s="279"/>
      <c r="R7" s="279"/>
      <c r="S7" s="279"/>
      <c r="T7" s="279"/>
      <c r="U7" s="279"/>
      <c r="V7" s="279"/>
      <c r="W7" s="62"/>
      <c r="X7" s="62"/>
      <c r="Y7" s="62"/>
      <c r="Z7" s="62"/>
    </row>
    <row r="8" spans="1:26" ht="14.25" customHeight="1" x14ac:dyDescent="0.6">
      <c r="A8" s="52"/>
      <c r="B8" s="52"/>
      <c r="C8" s="52"/>
      <c r="D8" s="52"/>
      <c r="E8" s="52"/>
      <c r="F8" s="52"/>
      <c r="G8" s="52"/>
      <c r="H8" s="52"/>
      <c r="I8" s="52"/>
      <c r="J8" s="52"/>
      <c r="K8" s="52"/>
      <c r="L8" s="52"/>
      <c r="M8" s="52"/>
      <c r="N8" s="52"/>
      <c r="O8" s="52"/>
      <c r="P8" s="52"/>
      <c r="Q8" s="52"/>
      <c r="R8" s="52"/>
      <c r="S8" s="52"/>
      <c r="T8" s="52"/>
      <c r="U8" s="52"/>
      <c r="V8" s="52"/>
      <c r="W8" s="52"/>
      <c r="X8" s="52"/>
      <c r="Y8" s="52"/>
      <c r="Z8" s="52"/>
    </row>
    <row r="9" spans="1:26" ht="16.5" customHeight="1" x14ac:dyDescent="0.6">
      <c r="A9" s="63" t="s">
        <v>399</v>
      </c>
      <c r="B9" s="278" t="s">
        <v>140</v>
      </c>
      <c r="C9" s="278"/>
      <c r="D9" s="278"/>
      <c r="E9" s="278"/>
      <c r="F9" s="278"/>
      <c r="G9" s="278"/>
      <c r="H9" s="278"/>
      <c r="I9" s="278"/>
      <c r="J9" s="278"/>
      <c r="K9" s="278"/>
      <c r="L9" s="278"/>
      <c r="M9" s="278"/>
      <c r="N9" s="278"/>
      <c r="O9" s="278"/>
      <c r="P9" s="278"/>
      <c r="Q9" s="278"/>
      <c r="R9" s="278"/>
      <c r="S9" s="278"/>
      <c r="T9" s="278"/>
      <c r="U9" s="278"/>
      <c r="V9" s="278"/>
      <c r="W9" s="278"/>
      <c r="X9" s="278"/>
      <c r="Y9" s="278"/>
      <c r="Z9" s="278"/>
    </row>
    <row r="10" spans="1:26" ht="14.25" customHeight="1" x14ac:dyDescent="0.6">
      <c r="A10" s="64"/>
      <c r="B10" s="52"/>
      <c r="C10" s="52"/>
      <c r="D10" s="52"/>
      <c r="E10" s="52"/>
      <c r="F10" s="52"/>
      <c r="G10" s="52"/>
      <c r="H10" s="52"/>
      <c r="I10" s="52"/>
      <c r="J10" s="52"/>
      <c r="K10" s="52"/>
      <c r="L10" s="52"/>
      <c r="M10" s="52"/>
      <c r="N10" s="52"/>
      <c r="O10" s="52"/>
      <c r="P10" s="52"/>
      <c r="Q10" s="52"/>
      <c r="R10" s="52"/>
      <c r="S10" s="52"/>
      <c r="T10" s="52"/>
      <c r="U10" s="52"/>
      <c r="V10" s="52"/>
      <c r="W10" s="52"/>
      <c r="X10" s="52"/>
      <c r="Y10" s="52"/>
      <c r="Z10" s="52"/>
    </row>
    <row r="11" spans="1:26" ht="16.5" customHeight="1" x14ac:dyDescent="0.6">
      <c r="A11" s="64" t="s">
        <v>400</v>
      </c>
      <c r="B11" s="65">
        <v>0</v>
      </c>
      <c r="C11" s="65">
        <v>0</v>
      </c>
      <c r="D11" s="65">
        <v>0</v>
      </c>
      <c r="E11" s="65">
        <v>0</v>
      </c>
      <c r="F11" s="65">
        <v>0</v>
      </c>
      <c r="G11" s="65">
        <v>0</v>
      </c>
      <c r="H11" s="65">
        <v>0</v>
      </c>
      <c r="I11" s="65">
        <v>0</v>
      </c>
      <c r="J11" s="65">
        <v>0</v>
      </c>
      <c r="K11" s="65">
        <v>0</v>
      </c>
      <c r="L11" s="65">
        <v>0</v>
      </c>
      <c r="M11" s="65">
        <v>0</v>
      </c>
      <c r="N11" s="65">
        <v>0</v>
      </c>
      <c r="O11" s="65">
        <v>0</v>
      </c>
      <c r="P11" s="65">
        <v>0</v>
      </c>
      <c r="Q11" s="65">
        <v>0</v>
      </c>
      <c r="R11" s="65">
        <v>0</v>
      </c>
      <c r="S11" s="65">
        <v>0</v>
      </c>
      <c r="T11" s="65">
        <v>0</v>
      </c>
      <c r="U11" s="65">
        <v>0</v>
      </c>
      <c r="V11" s="65">
        <v>0</v>
      </c>
      <c r="W11" s="65">
        <v>0</v>
      </c>
      <c r="X11" s="65">
        <v>0</v>
      </c>
      <c r="Y11" s="65">
        <v>0</v>
      </c>
      <c r="Z11" s="65">
        <v>0</v>
      </c>
    </row>
    <row r="12" spans="1:26" ht="16.5" customHeight="1" x14ac:dyDescent="0.6">
      <c r="A12" s="64" t="s">
        <v>401</v>
      </c>
      <c r="B12" s="65">
        <v>0</v>
      </c>
      <c r="C12" s="65">
        <v>0</v>
      </c>
      <c r="D12" s="65">
        <v>0</v>
      </c>
      <c r="E12" s="65">
        <v>0</v>
      </c>
      <c r="F12" s="65">
        <v>0</v>
      </c>
      <c r="G12" s="65">
        <v>0</v>
      </c>
      <c r="H12" s="65">
        <v>0</v>
      </c>
      <c r="I12" s="65">
        <v>0</v>
      </c>
      <c r="J12" s="65">
        <v>0</v>
      </c>
      <c r="K12" s="65">
        <v>0</v>
      </c>
      <c r="L12" s="65">
        <v>0</v>
      </c>
      <c r="M12" s="65">
        <v>0</v>
      </c>
      <c r="N12" s="65">
        <v>0</v>
      </c>
      <c r="O12" s="65">
        <v>0</v>
      </c>
      <c r="P12" s="65">
        <v>0</v>
      </c>
      <c r="Q12" s="65">
        <v>0</v>
      </c>
      <c r="R12" s="65">
        <v>0</v>
      </c>
      <c r="S12" s="65">
        <v>0</v>
      </c>
      <c r="T12" s="65">
        <v>0</v>
      </c>
      <c r="U12" s="65">
        <v>0</v>
      </c>
      <c r="V12" s="65">
        <v>0</v>
      </c>
      <c r="W12" s="65">
        <v>0</v>
      </c>
      <c r="X12" s="65">
        <v>0</v>
      </c>
      <c r="Y12" s="65">
        <v>0</v>
      </c>
      <c r="Z12" s="65">
        <v>0</v>
      </c>
    </row>
    <row r="13" spans="1:26" ht="14.25" customHeight="1" x14ac:dyDescent="0.6">
      <c r="A13" s="64"/>
      <c r="B13" s="65"/>
      <c r="C13" s="65"/>
      <c r="D13" s="65"/>
      <c r="E13" s="65"/>
      <c r="F13" s="65"/>
      <c r="G13" s="65"/>
      <c r="H13" s="65"/>
      <c r="I13" s="65"/>
      <c r="J13" s="65"/>
      <c r="K13" s="65"/>
      <c r="L13" s="65"/>
      <c r="M13" s="65"/>
      <c r="N13" s="65"/>
      <c r="O13" s="65"/>
      <c r="P13" s="65"/>
      <c r="Q13" s="65"/>
      <c r="R13" s="65"/>
      <c r="S13" s="65"/>
      <c r="T13" s="65"/>
      <c r="U13" s="65"/>
      <c r="V13" s="65"/>
      <c r="W13" s="65"/>
      <c r="X13" s="65"/>
      <c r="Y13" s="65"/>
      <c r="Z13" s="65"/>
    </row>
    <row r="14" spans="1:26" ht="16.5" customHeight="1" x14ac:dyDescent="0.6">
      <c r="A14" s="63" t="s">
        <v>402</v>
      </c>
      <c r="B14" s="65"/>
      <c r="C14" s="65"/>
      <c r="D14" s="65"/>
      <c r="E14" s="65"/>
      <c r="F14" s="65"/>
      <c r="G14" s="65"/>
      <c r="H14" s="65"/>
      <c r="I14" s="65"/>
      <c r="J14" s="65"/>
      <c r="K14" s="65"/>
      <c r="L14" s="65"/>
      <c r="M14" s="65"/>
      <c r="N14" s="65"/>
      <c r="O14" s="65"/>
      <c r="P14" s="65"/>
      <c r="Q14" s="65"/>
      <c r="R14" s="65"/>
      <c r="S14" s="65"/>
      <c r="T14" s="65"/>
      <c r="U14" s="65"/>
      <c r="V14" s="65"/>
      <c r="W14" s="65"/>
      <c r="X14" s="65"/>
      <c r="Y14" s="65"/>
      <c r="Z14" s="65"/>
    </row>
    <row r="15" spans="1:26" ht="14.25" customHeight="1" x14ac:dyDescent="0.6">
      <c r="A15" s="64"/>
      <c r="B15" s="65"/>
      <c r="C15" s="65"/>
      <c r="D15" s="65"/>
      <c r="E15" s="65"/>
      <c r="F15" s="65"/>
      <c r="G15" s="65"/>
      <c r="H15" s="65"/>
      <c r="I15" s="65"/>
      <c r="J15" s="65"/>
      <c r="K15" s="65"/>
      <c r="L15" s="65"/>
      <c r="M15" s="65"/>
      <c r="N15" s="65"/>
      <c r="O15" s="65"/>
      <c r="P15" s="65"/>
      <c r="Q15" s="65"/>
      <c r="R15" s="65"/>
      <c r="S15" s="65"/>
      <c r="T15" s="65"/>
      <c r="U15" s="65"/>
      <c r="V15" s="65"/>
      <c r="W15" s="65"/>
      <c r="X15" s="65"/>
      <c r="Y15" s="65"/>
      <c r="Z15" s="65"/>
    </row>
    <row r="16" spans="1:26" ht="16.5" customHeight="1" x14ac:dyDescent="0.6">
      <c r="A16" s="64" t="s">
        <v>400</v>
      </c>
      <c r="B16" s="65">
        <v>0</v>
      </c>
      <c r="C16" s="65">
        <v>0</v>
      </c>
      <c r="D16" s="65">
        <v>0</v>
      </c>
      <c r="E16" s="65">
        <v>0</v>
      </c>
      <c r="F16" s="65">
        <v>0</v>
      </c>
      <c r="G16" s="65">
        <v>0</v>
      </c>
      <c r="H16" s="65">
        <v>0</v>
      </c>
      <c r="I16" s="65">
        <v>0</v>
      </c>
      <c r="J16" s="65">
        <v>0</v>
      </c>
      <c r="K16" s="65">
        <v>0</v>
      </c>
      <c r="L16" s="65">
        <v>0</v>
      </c>
      <c r="M16" s="65">
        <v>0</v>
      </c>
      <c r="N16" s="65">
        <v>0</v>
      </c>
      <c r="O16" s="65">
        <v>0</v>
      </c>
      <c r="P16" s="65">
        <v>0</v>
      </c>
      <c r="Q16" s="65">
        <v>0</v>
      </c>
      <c r="R16" s="65">
        <v>0</v>
      </c>
      <c r="S16" s="65">
        <v>0</v>
      </c>
      <c r="T16" s="65">
        <v>0</v>
      </c>
      <c r="U16" s="65">
        <v>0</v>
      </c>
      <c r="V16" s="65">
        <v>0</v>
      </c>
      <c r="W16" s="65">
        <v>0</v>
      </c>
      <c r="X16" s="65">
        <v>0</v>
      </c>
      <c r="Y16" s="65">
        <v>0</v>
      </c>
      <c r="Z16" s="65">
        <v>0</v>
      </c>
    </row>
    <row r="17" spans="1:26" ht="16.5" customHeight="1" x14ac:dyDescent="0.6">
      <c r="A17" s="64" t="s">
        <v>403</v>
      </c>
      <c r="B17" s="65"/>
      <c r="C17" s="65"/>
      <c r="D17" s="65"/>
      <c r="E17" s="65"/>
      <c r="F17" s="65"/>
      <c r="G17" s="65"/>
      <c r="H17" s="65"/>
      <c r="I17" s="65"/>
      <c r="J17" s="65"/>
      <c r="K17" s="65"/>
      <c r="L17" s="65"/>
      <c r="M17" s="65"/>
      <c r="N17" s="65"/>
      <c r="O17" s="65"/>
      <c r="P17" s="65"/>
      <c r="Q17" s="65"/>
      <c r="R17" s="65"/>
      <c r="S17" s="65"/>
      <c r="T17" s="65"/>
      <c r="U17" s="65"/>
      <c r="V17" s="65"/>
      <c r="W17" s="65"/>
      <c r="X17" s="65"/>
      <c r="Y17" s="65"/>
      <c r="Z17" s="65"/>
    </row>
    <row r="18" spans="1:26" ht="16.5" customHeight="1" x14ac:dyDescent="0.6">
      <c r="A18" s="66" t="s">
        <v>404</v>
      </c>
      <c r="B18" s="65">
        <v>7.9454852567192313E-2</v>
      </c>
      <c r="C18" s="65">
        <v>-3.4948591341930069E-2</v>
      </c>
      <c r="D18" s="65">
        <v>-5.5621630263402722E-4</v>
      </c>
      <c r="E18" s="65">
        <v>0.17816094745208577</v>
      </c>
      <c r="F18" s="65">
        <v>-2.2047971949712419E-3</v>
      </c>
      <c r="G18" s="65">
        <v>-1.1801185485944998E-2</v>
      </c>
      <c r="H18" s="65">
        <v>-1.1125304868663477E-2</v>
      </c>
      <c r="I18" s="65">
        <v>-8.1644076196676352E-3</v>
      </c>
      <c r="J18" s="65">
        <v>-1.7480544060306968E-2</v>
      </c>
      <c r="K18" s="65">
        <v>-4.8380611486081193E-2</v>
      </c>
      <c r="L18" s="65">
        <v>-3.9936074448920778E-2</v>
      </c>
      <c r="M18" s="65">
        <v>-3.1400442794687677E-2</v>
      </c>
      <c r="N18" s="65">
        <v>-2.2772986923542682E-2</v>
      </c>
      <c r="O18" s="65">
        <v>-7.6227317764575808E-2</v>
      </c>
      <c r="P18" s="65">
        <v>-2.7634135830159501E-2</v>
      </c>
      <c r="Q18" s="65">
        <v>2.0926817407136866E-2</v>
      </c>
      <c r="R18" s="65">
        <v>6.9455560449184439E-2</v>
      </c>
      <c r="S18" s="65">
        <v>0.26371845969011076</v>
      </c>
      <c r="T18" s="65">
        <v>0.21309217476942255</v>
      </c>
      <c r="U18" s="65">
        <v>0.16306348743804655</v>
      </c>
      <c r="V18" s="65">
        <v>0.11362704910530574</v>
      </c>
      <c r="W18" s="65">
        <v>1.4043599021702491E-3</v>
      </c>
      <c r="X18" s="65">
        <v>-9.7596050974502191E-4</v>
      </c>
      <c r="Y18" s="65">
        <v>-3.3647303808601592E-3</v>
      </c>
      <c r="Z18" s="65">
        <v>-5.7619721985417982E-3</v>
      </c>
    </row>
    <row r="19" spans="1:26" ht="16.5" customHeight="1" x14ac:dyDescent="0.6">
      <c r="A19" s="67" t="s">
        <v>405</v>
      </c>
      <c r="B19" s="65">
        <v>7.8353709530207594E-2</v>
      </c>
      <c r="C19" s="65">
        <v>-3.4375804086014483E-2</v>
      </c>
      <c r="D19" s="65">
        <v>-5.5049511263138839E-4</v>
      </c>
      <c r="E19" s="65">
        <v>0.1766105736555037</v>
      </c>
      <c r="F19" s="65">
        <v>-2.2041807355019927E-3</v>
      </c>
      <c r="G19" s="65">
        <v>-1.1802723053994768E-2</v>
      </c>
      <c r="H19" s="65">
        <v>-1.1126754376716619E-2</v>
      </c>
      <c r="I19" s="65">
        <v>-8.1654713545198376E-3</v>
      </c>
      <c r="J19" s="65">
        <v>-1.7482821587932129E-2</v>
      </c>
      <c r="K19" s="65">
        <v>-4.8842891928592813E-2</v>
      </c>
      <c r="L19" s="65">
        <v>-4.002666605196481E-2</v>
      </c>
      <c r="M19" s="65">
        <v>-3.1221881687887532E-2</v>
      </c>
      <c r="N19" s="65">
        <v>-2.242852767183745E-2</v>
      </c>
      <c r="O19" s="65">
        <v>-7.5305818766977062E-2</v>
      </c>
      <c r="P19" s="65">
        <v>-2.6693723160366112E-2</v>
      </c>
      <c r="Q19" s="65">
        <v>2.1574392058949066E-2</v>
      </c>
      <c r="R19" s="65">
        <v>6.9500358207761792E-2</v>
      </c>
      <c r="S19" s="65">
        <v>0.25711209447627148</v>
      </c>
      <c r="T19" s="65">
        <v>0.20895333094245583</v>
      </c>
      <c r="U19" s="65">
        <v>0.1608586571805235</v>
      </c>
      <c r="V19" s="65">
        <v>0.11282800664988191</v>
      </c>
      <c r="W19" s="65">
        <v>1.404624330847426E-3</v>
      </c>
      <c r="X19" s="65">
        <v>-9.7008335561543646E-4</v>
      </c>
      <c r="Y19" s="65">
        <v>-3.3567209255060959E-3</v>
      </c>
      <c r="Z19" s="65">
        <v>-5.7553333061974854E-3</v>
      </c>
    </row>
    <row r="20" spans="1:26" ht="16.5" customHeight="1" x14ac:dyDescent="0.6">
      <c r="A20" s="68" t="s">
        <v>406</v>
      </c>
      <c r="B20" s="65">
        <v>8.6811390338951577E-2</v>
      </c>
      <c r="C20" s="65">
        <v>-3.804368176628703E-2</v>
      </c>
      <c r="D20" s="65">
        <v>-5.9195039739901034E-4</v>
      </c>
      <c r="E20" s="65">
        <v>0.19196248257908088</v>
      </c>
      <c r="F20" s="65">
        <v>-2.8021070554586913E-3</v>
      </c>
      <c r="G20" s="65">
        <v>-1.3045083123843781E-2</v>
      </c>
      <c r="H20" s="65">
        <v>-1.2255670405968644E-2</v>
      </c>
      <c r="I20" s="65">
        <v>-9.0339808602539762E-3</v>
      </c>
      <c r="J20" s="65">
        <v>-1.8914144257520249E-2</v>
      </c>
      <c r="K20" s="65">
        <v>-5.386212417042735E-2</v>
      </c>
      <c r="L20" s="65">
        <v>-4.4121493980248339E-2</v>
      </c>
      <c r="M20" s="65">
        <v>-3.4394892632498397E-2</v>
      </c>
      <c r="N20" s="65">
        <v>-2.4682304933349997E-2</v>
      </c>
      <c r="O20" s="65">
        <v>-8.1484536315021394E-2</v>
      </c>
      <c r="P20" s="65">
        <v>-2.8705591905174188E-2</v>
      </c>
      <c r="Q20" s="65">
        <v>2.3482000455506302E-2</v>
      </c>
      <c r="R20" s="65">
        <v>7.5083227556633325E-2</v>
      </c>
      <c r="S20" s="65">
        <v>0.2754567077926251</v>
      </c>
      <c r="T20" s="65">
        <v>0.22482521408297584</v>
      </c>
      <c r="U20" s="65">
        <v>0.17388844622263377</v>
      </c>
      <c r="V20" s="65">
        <v>0.12264502805143529</v>
      </c>
      <c r="W20" s="65">
        <v>1.0526183837473724E-3</v>
      </c>
      <c r="X20" s="65">
        <v>-1.4937848752332172E-3</v>
      </c>
      <c r="Y20" s="65">
        <v>-4.049400505320655E-3</v>
      </c>
      <c r="Z20" s="65">
        <v>-6.6142534968784972E-3</v>
      </c>
    </row>
    <row r="21" spans="1:26" ht="14.25" customHeight="1" x14ac:dyDescent="0.6">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row>
    <row r="22" spans="1:26" ht="16.5" customHeight="1" x14ac:dyDescent="0.6">
      <c r="A22" s="64" t="s">
        <v>407</v>
      </c>
      <c r="B22" s="278" t="s">
        <v>121</v>
      </c>
      <c r="C22" s="278"/>
      <c r="D22" s="278"/>
      <c r="E22" s="278"/>
      <c r="F22" s="278"/>
      <c r="G22" s="278"/>
      <c r="H22" s="278"/>
      <c r="I22" s="278"/>
      <c r="J22" s="278"/>
      <c r="K22" s="278"/>
      <c r="L22" s="278"/>
      <c r="M22" s="278"/>
      <c r="N22" s="278"/>
      <c r="O22" s="278"/>
      <c r="P22" s="278"/>
      <c r="Q22" s="278"/>
      <c r="R22" s="278"/>
      <c r="S22" s="278"/>
      <c r="T22" s="278"/>
      <c r="U22" s="278"/>
      <c r="V22" s="278"/>
      <c r="W22" s="278"/>
      <c r="X22" s="278"/>
      <c r="Y22" s="278"/>
      <c r="Z22" s="278"/>
    </row>
    <row r="23" spans="1:26" ht="16.5" customHeight="1" x14ac:dyDescent="0.6">
      <c r="A23" s="66" t="s">
        <v>404</v>
      </c>
      <c r="B23" s="65">
        <v>0.12584747101722193</v>
      </c>
      <c r="C23" s="65">
        <v>-5.4338245454103706E-2</v>
      </c>
      <c r="D23" s="65">
        <v>-8.5283710864114681E-4</v>
      </c>
      <c r="E23" s="65">
        <v>0.2792256601642773</v>
      </c>
      <c r="F23" s="65">
        <v>-3.4370653237685289E-3</v>
      </c>
      <c r="G23" s="65">
        <v>-1.8374022245430055E-2</v>
      </c>
      <c r="H23" s="65">
        <v>-1.7321700382984417E-2</v>
      </c>
      <c r="I23" s="65">
        <v>-1.2712700109446473E-2</v>
      </c>
      <c r="J23" s="65">
        <v>-2.7216579854973943E-2</v>
      </c>
      <c r="K23" s="65">
        <v>-7.5768776216243339E-2</v>
      </c>
      <c r="L23" s="65">
        <v>-6.1891193661764987E-2</v>
      </c>
      <c r="M23" s="65">
        <v>-4.8131275057411216E-2</v>
      </c>
      <c r="N23" s="65">
        <v>-3.4488266243488219E-2</v>
      </c>
      <c r="O23" s="65">
        <v>-0.11364662544216553</v>
      </c>
      <c r="P23" s="65">
        <v>-4.2094597666979539E-2</v>
      </c>
      <c r="Q23" s="65">
        <v>3.0524732428765411E-2</v>
      </c>
      <c r="R23" s="65">
        <v>0.10422326750294353</v>
      </c>
      <c r="S23" s="65">
        <v>0.40538254397290086</v>
      </c>
      <c r="T23" s="65">
        <v>0.33034348434366123</v>
      </c>
      <c r="U23" s="65">
        <v>0.25515293036035924</v>
      </c>
      <c r="V23" s="65">
        <v>0.17981064350592835</v>
      </c>
      <c r="W23" s="65">
        <v>2.2147497483846479E-3</v>
      </c>
      <c r="X23" s="65">
        <v>-1.5350653086603216E-3</v>
      </c>
      <c r="Y23" s="65">
        <v>-5.2964661151948533E-3</v>
      </c>
      <c r="Z23" s="65">
        <v>-9.069479511465417E-3</v>
      </c>
    </row>
    <row r="24" spans="1:26" ht="16.5" customHeight="1" x14ac:dyDescent="0.6">
      <c r="A24" s="67" t="s">
        <v>405</v>
      </c>
      <c r="B24" s="65">
        <v>0.12476819178690235</v>
      </c>
      <c r="C24" s="65">
        <v>-5.4302275078411011E-2</v>
      </c>
      <c r="D24" s="65">
        <v>-8.5210845863503692E-4</v>
      </c>
      <c r="E24" s="65">
        <v>0.27900468342966978</v>
      </c>
      <c r="F24" s="65">
        <v>-3.4450500415035279E-3</v>
      </c>
      <c r="G24" s="65">
        <v>-1.8397588152850197E-2</v>
      </c>
      <c r="H24" s="65">
        <v>-1.7343916617516442E-2</v>
      </c>
      <c r="I24" s="65">
        <v>-1.272900499412799E-2</v>
      </c>
      <c r="J24" s="65">
        <v>-2.7251486931518798E-2</v>
      </c>
      <c r="K24" s="65">
        <v>-7.4355296402156323E-2</v>
      </c>
      <c r="L24" s="65">
        <v>-6.1184924997756074E-2</v>
      </c>
      <c r="M24" s="65">
        <v>-4.7956802861292669E-2</v>
      </c>
      <c r="N24" s="65">
        <v>-3.4670740789517041E-2</v>
      </c>
      <c r="O24" s="65">
        <v>-0.11424474903397019</v>
      </c>
      <c r="P24" s="65">
        <v>-4.1675259206094051E-2</v>
      </c>
      <c r="Q24" s="65">
        <v>3.1579307355452002E-2</v>
      </c>
      <c r="R24" s="65">
        <v>0.10552379838594383</v>
      </c>
      <c r="S24" s="65">
        <v>0.40470449606915349</v>
      </c>
      <c r="T24" s="65">
        <v>0.32913092866340854</v>
      </c>
      <c r="U24" s="65">
        <v>0.25364719588077289</v>
      </c>
      <c r="V24" s="65">
        <v>0.17825320800944855</v>
      </c>
      <c r="W24" s="65">
        <v>2.21218035273818E-3</v>
      </c>
      <c r="X24" s="65">
        <v>-1.4903167713251619E-3</v>
      </c>
      <c r="Y24" s="65">
        <v>-5.2230671708590748E-3</v>
      </c>
      <c r="Z24" s="65">
        <v>-8.9862560969971028E-3</v>
      </c>
    </row>
    <row r="25" spans="1:26" ht="16.5" customHeight="1" x14ac:dyDescent="0.6">
      <c r="A25" s="68" t="s">
        <v>406</v>
      </c>
      <c r="B25" s="65">
        <v>0.12549476466270626</v>
      </c>
      <c r="C25" s="65">
        <v>-5.4662813937714994E-2</v>
      </c>
      <c r="D25" s="65">
        <v>-8.5771994194328016E-4</v>
      </c>
      <c r="E25" s="65">
        <v>0.28056463753332306</v>
      </c>
      <c r="F25" s="65">
        <v>-3.5076835074638879E-3</v>
      </c>
      <c r="G25" s="65">
        <v>-1.8520586434925157E-2</v>
      </c>
      <c r="H25" s="65">
        <v>-1.7455842781138209E-2</v>
      </c>
      <c r="I25" s="65">
        <v>-1.2815250473443562E-2</v>
      </c>
      <c r="J25" s="65">
        <v>-2.7393967778680306E-2</v>
      </c>
      <c r="K25" s="65">
        <v>-7.476306771384067E-2</v>
      </c>
      <c r="L25" s="65">
        <v>-6.1637436153789693E-2</v>
      </c>
      <c r="M25" s="65">
        <v>-4.8412234141848476E-2</v>
      </c>
      <c r="N25" s="65">
        <v>-3.508689913293539E-2</v>
      </c>
      <c r="O25" s="65">
        <v>-0.11532477581037259</v>
      </c>
      <c r="P25" s="65">
        <v>-4.1598334902685608E-2</v>
      </c>
      <c r="Q25" s="65">
        <v>3.2559933581029377E-2</v>
      </c>
      <c r="R25" s="65">
        <v>0.10715193309154447</v>
      </c>
      <c r="S25" s="65">
        <v>0.406603948189459</v>
      </c>
      <c r="T25" s="65">
        <v>0.33091529317714397</v>
      </c>
      <c r="U25" s="65">
        <v>0.25522149000981464</v>
      </c>
      <c r="V25" s="65">
        <v>0.17952252872886021</v>
      </c>
      <c r="W25" s="65">
        <v>2.1766488799528361E-3</v>
      </c>
      <c r="X25" s="65">
        <v>-1.5470513416246945E-3</v>
      </c>
      <c r="Y25" s="65">
        <v>-5.3014890210549837E-3</v>
      </c>
      <c r="Z25" s="65">
        <v>-9.0868542995448109E-3</v>
      </c>
    </row>
    <row r="26" spans="1:26" ht="14.25" customHeight="1" x14ac:dyDescent="0.6">
      <c r="A26" s="52"/>
      <c r="B26" s="65"/>
      <c r="C26" s="65"/>
      <c r="D26" s="65"/>
      <c r="E26" s="65"/>
      <c r="F26" s="65"/>
      <c r="G26" s="65"/>
      <c r="H26" s="65"/>
      <c r="I26" s="65"/>
      <c r="J26" s="65"/>
      <c r="K26" s="52"/>
      <c r="L26" s="52"/>
      <c r="M26" s="52"/>
      <c r="N26" s="52"/>
      <c r="O26" s="52"/>
      <c r="P26" s="52"/>
      <c r="Q26" s="52"/>
      <c r="R26" s="52"/>
      <c r="S26" s="52"/>
      <c r="T26" s="52"/>
      <c r="U26" s="52"/>
      <c r="V26" s="52"/>
      <c r="W26" s="52"/>
      <c r="X26" s="52"/>
      <c r="Y26" s="52"/>
      <c r="Z26" s="52"/>
    </row>
    <row r="27" spans="1:26" ht="18" customHeight="1" x14ac:dyDescent="0.6">
      <c r="A27" s="69" t="s">
        <v>408</v>
      </c>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spans="1:26" ht="14.25" customHeight="1" x14ac:dyDescent="0.6">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spans="1:26" ht="16.5" customHeight="1" x14ac:dyDescent="0.6">
      <c r="A29" s="63" t="s">
        <v>399</v>
      </c>
      <c r="B29" s="278" t="s">
        <v>121</v>
      </c>
      <c r="C29" s="278"/>
      <c r="D29" s="278"/>
      <c r="E29" s="278"/>
      <c r="F29" s="278"/>
      <c r="G29" s="278"/>
      <c r="H29" s="278"/>
      <c r="I29" s="278"/>
      <c r="J29" s="278"/>
      <c r="K29" s="278"/>
      <c r="L29" s="278"/>
      <c r="M29" s="278"/>
      <c r="N29" s="278"/>
      <c r="O29" s="278"/>
      <c r="P29" s="278"/>
      <c r="Q29" s="278"/>
      <c r="R29" s="278"/>
      <c r="S29" s="278"/>
      <c r="T29" s="278"/>
      <c r="U29" s="278"/>
      <c r="V29" s="278"/>
      <c r="W29" s="278"/>
      <c r="X29" s="278"/>
      <c r="Y29" s="278"/>
      <c r="Z29" s="278"/>
    </row>
    <row r="30" spans="1:26" ht="14.25" customHeight="1" x14ac:dyDescent="0.6">
      <c r="A30" s="52"/>
      <c r="B30" s="70"/>
      <c r="C30" s="52"/>
      <c r="D30" s="52"/>
      <c r="E30" s="52"/>
      <c r="F30" s="52"/>
      <c r="G30" s="52"/>
      <c r="H30" s="52"/>
      <c r="I30" s="52"/>
      <c r="J30" s="52"/>
      <c r="K30" s="52"/>
      <c r="L30" s="52"/>
      <c r="M30" s="52"/>
      <c r="N30" s="52"/>
      <c r="O30" s="52"/>
      <c r="P30" s="52"/>
      <c r="Q30" s="52"/>
      <c r="R30" s="52"/>
      <c r="S30" s="52"/>
      <c r="T30" s="52"/>
      <c r="U30" s="52"/>
      <c r="V30" s="52"/>
      <c r="W30" s="52"/>
      <c r="X30" s="52"/>
      <c r="Y30" s="52"/>
      <c r="Z30" s="52"/>
    </row>
    <row r="31" spans="1:26" ht="16.5" customHeight="1" x14ac:dyDescent="0.6">
      <c r="A31" s="64" t="s">
        <v>409</v>
      </c>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spans="1:26" ht="16.5" customHeight="1" x14ac:dyDescent="0.6">
      <c r="A32" s="67" t="s">
        <v>410</v>
      </c>
      <c r="B32" s="65">
        <v>0</v>
      </c>
      <c r="C32" s="65">
        <v>0</v>
      </c>
      <c r="D32" s="65">
        <v>0</v>
      </c>
      <c r="E32" s="65">
        <v>0</v>
      </c>
      <c r="F32" s="65">
        <v>0</v>
      </c>
      <c r="G32" s="65">
        <v>0</v>
      </c>
      <c r="H32" s="65">
        <v>0</v>
      </c>
      <c r="I32" s="65">
        <v>0</v>
      </c>
      <c r="J32" s="65">
        <v>0</v>
      </c>
      <c r="K32" s="65">
        <v>0</v>
      </c>
      <c r="L32" s="65">
        <v>0</v>
      </c>
      <c r="M32" s="65">
        <v>0</v>
      </c>
      <c r="N32" s="65">
        <v>0</v>
      </c>
      <c r="O32" s="65">
        <v>0</v>
      </c>
      <c r="P32" s="65">
        <v>0</v>
      </c>
      <c r="Q32" s="65">
        <v>0</v>
      </c>
      <c r="R32" s="65">
        <v>0</v>
      </c>
      <c r="S32" s="65">
        <v>0</v>
      </c>
      <c r="T32" s="65">
        <v>0</v>
      </c>
      <c r="U32" s="65">
        <v>0</v>
      </c>
      <c r="V32" s="65">
        <v>0</v>
      </c>
      <c r="W32" s="65">
        <v>0</v>
      </c>
      <c r="X32" s="65">
        <v>0</v>
      </c>
      <c r="Y32" s="65">
        <v>0</v>
      </c>
      <c r="Z32" s="65">
        <v>0</v>
      </c>
    </row>
    <row r="33" spans="1:26" ht="16.5" customHeight="1" x14ac:dyDescent="0.6">
      <c r="A33" s="67" t="s">
        <v>411</v>
      </c>
      <c r="B33" s="65">
        <v>0</v>
      </c>
      <c r="C33" s="65">
        <v>0</v>
      </c>
      <c r="D33" s="65">
        <v>0</v>
      </c>
      <c r="E33" s="65">
        <v>-0.53854087202294032</v>
      </c>
      <c r="F33" s="65">
        <v>-0.63146169931622542</v>
      </c>
      <c r="G33" s="65">
        <v>2.9114195542732979E-2</v>
      </c>
      <c r="H33" s="65">
        <v>-0.18781785204760348</v>
      </c>
      <c r="I33" s="65">
        <v>-7.3387251502046613E-2</v>
      </c>
      <c r="J33" s="65">
        <v>-0.2062955849951944</v>
      </c>
      <c r="K33" s="65">
        <v>0</v>
      </c>
      <c r="L33" s="65">
        <v>0</v>
      </c>
      <c r="M33" s="65">
        <v>0</v>
      </c>
      <c r="N33" s="65">
        <v>0</v>
      </c>
      <c r="O33" s="65">
        <v>0</v>
      </c>
      <c r="P33" s="65">
        <v>0</v>
      </c>
      <c r="Q33" s="65">
        <v>0</v>
      </c>
      <c r="R33" s="65">
        <v>0</v>
      </c>
      <c r="S33" s="65">
        <v>0</v>
      </c>
      <c r="T33" s="65">
        <v>-2.6707986188512223E-4</v>
      </c>
      <c r="U33" s="65">
        <v>-1.1584427424071713</v>
      </c>
      <c r="V33" s="65">
        <v>-1.1076571100347827</v>
      </c>
      <c r="W33" s="65">
        <v>-1.2742170365257988</v>
      </c>
      <c r="X33" s="65">
        <v>-1.2807471771465977</v>
      </c>
      <c r="Y33" s="65">
        <v>7.2935769529718808E-2</v>
      </c>
      <c r="Z33" s="65">
        <v>-4.0504995571053914E-2</v>
      </c>
    </row>
    <row r="34" spans="1:26" ht="14.25" customHeight="1" x14ac:dyDescent="0.6">
      <c r="A34" s="52"/>
      <c r="B34" s="65"/>
      <c r="C34" s="65"/>
      <c r="D34" s="65"/>
      <c r="E34" s="65"/>
      <c r="F34" s="65"/>
      <c r="G34" s="65"/>
      <c r="H34" s="65"/>
      <c r="I34" s="65"/>
      <c r="J34" s="65"/>
      <c r="K34" s="65"/>
      <c r="L34" s="65"/>
      <c r="M34" s="65"/>
      <c r="N34" s="65"/>
      <c r="O34" s="65"/>
      <c r="P34" s="65"/>
      <c r="Q34" s="65"/>
      <c r="R34" s="65"/>
      <c r="S34" s="65"/>
      <c r="T34" s="65"/>
      <c r="U34" s="65"/>
      <c r="V34" s="65"/>
      <c r="W34" s="65"/>
      <c r="X34" s="65"/>
      <c r="Y34" s="65"/>
      <c r="Z34" s="65"/>
    </row>
    <row r="35" spans="1:26" ht="16.5" customHeight="1" x14ac:dyDescent="0.6">
      <c r="A35" s="64" t="s">
        <v>412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row>
    <row r="36" spans="1:26" ht="16.5" customHeight="1" x14ac:dyDescent="0.6">
      <c r="A36" s="67" t="s">
        <v>410</v>
      </c>
      <c r="B36" s="65">
        <v>0</v>
      </c>
      <c r="C36" s="65">
        <v>0</v>
      </c>
      <c r="D36" s="65">
        <v>0</v>
      </c>
      <c r="E36" s="65">
        <v>0</v>
      </c>
      <c r="F36" s="65">
        <v>0</v>
      </c>
      <c r="G36" s="65">
        <v>0</v>
      </c>
      <c r="H36" s="65">
        <v>0</v>
      </c>
      <c r="I36" s="65">
        <v>0</v>
      </c>
      <c r="J36" s="65">
        <v>0</v>
      </c>
      <c r="K36" s="65">
        <v>0</v>
      </c>
      <c r="L36" s="65">
        <v>0</v>
      </c>
      <c r="M36" s="65">
        <v>0</v>
      </c>
      <c r="N36" s="65">
        <v>0</v>
      </c>
      <c r="O36" s="65">
        <v>0</v>
      </c>
      <c r="P36" s="65">
        <v>0</v>
      </c>
      <c r="Q36" s="65">
        <v>0</v>
      </c>
      <c r="R36" s="65">
        <v>0</v>
      </c>
      <c r="S36" s="65">
        <v>0</v>
      </c>
      <c r="T36" s="65">
        <v>0</v>
      </c>
      <c r="U36" s="65">
        <v>0</v>
      </c>
      <c r="V36" s="65">
        <v>0</v>
      </c>
      <c r="W36" s="65">
        <v>0</v>
      </c>
      <c r="X36" s="65">
        <v>0</v>
      </c>
      <c r="Y36" s="65">
        <v>0</v>
      </c>
      <c r="Z36" s="65">
        <v>0</v>
      </c>
    </row>
    <row r="37" spans="1:26" ht="16.5" customHeight="1" x14ac:dyDescent="0.6">
      <c r="A37" s="67" t="s">
        <v>411</v>
      </c>
      <c r="B37" s="65">
        <v>0</v>
      </c>
      <c r="C37" s="65">
        <v>0</v>
      </c>
      <c r="D37" s="65">
        <v>0</v>
      </c>
      <c r="E37" s="65">
        <v>-0.53775371965189755</v>
      </c>
      <c r="F37" s="65">
        <v>-0.63048637777250338</v>
      </c>
      <c r="G37" s="65">
        <v>2.9244704903131691E-2</v>
      </c>
      <c r="H37" s="65">
        <v>-0.18766738691046481</v>
      </c>
      <c r="I37" s="65">
        <v>-7.3142379764807863E-2</v>
      </c>
      <c r="J37" s="65">
        <v>-0.20627079644553392</v>
      </c>
      <c r="K37" s="65">
        <v>0</v>
      </c>
      <c r="L37" s="65">
        <v>0</v>
      </c>
      <c r="M37" s="65">
        <v>0</v>
      </c>
      <c r="N37" s="65">
        <v>0</v>
      </c>
      <c r="O37" s="65">
        <v>0</v>
      </c>
      <c r="P37" s="65">
        <v>0</v>
      </c>
      <c r="Q37" s="65">
        <v>0</v>
      </c>
      <c r="R37" s="65">
        <v>0</v>
      </c>
      <c r="S37" s="65">
        <v>0</v>
      </c>
      <c r="T37" s="65">
        <v>-2.6599084720047017E-4</v>
      </c>
      <c r="U37" s="65">
        <v>-1.1536470498837907</v>
      </c>
      <c r="V37" s="65">
        <v>-1.1052227097548855</v>
      </c>
      <c r="W37" s="65">
        <v>-1.2734178733571344</v>
      </c>
      <c r="X37" s="65">
        <v>-1.2798175844931157</v>
      </c>
      <c r="Y37" s="65">
        <v>7.426294051567206E-2</v>
      </c>
      <c r="Z37" s="65">
        <v>-3.8884915825278199E-2</v>
      </c>
    </row>
    <row r="38" spans="1:26" ht="14.25" customHeight="1" x14ac:dyDescent="0.6">
      <c r="A38" s="52"/>
      <c r="B38" s="65"/>
      <c r="C38" s="65"/>
      <c r="D38" s="65"/>
      <c r="E38" s="65"/>
      <c r="F38" s="65"/>
      <c r="G38" s="65"/>
      <c r="H38" s="65"/>
      <c r="I38" s="65"/>
      <c r="J38" s="65"/>
      <c r="K38" s="65"/>
      <c r="L38" s="65"/>
      <c r="M38" s="65"/>
      <c r="N38" s="65"/>
      <c r="O38" s="65"/>
      <c r="P38" s="65"/>
      <c r="Q38" s="65"/>
      <c r="R38" s="65"/>
      <c r="S38" s="65"/>
      <c r="T38" s="65"/>
      <c r="U38" s="65"/>
      <c r="V38" s="65"/>
      <c r="W38" s="65"/>
      <c r="X38" s="65"/>
      <c r="Y38" s="65"/>
      <c r="Z38" s="65"/>
    </row>
    <row r="39" spans="1:26" ht="16.5" customHeight="1" x14ac:dyDescent="0.6">
      <c r="A39" s="63" t="s">
        <v>402</v>
      </c>
      <c r="B39" s="65"/>
      <c r="C39" s="65"/>
      <c r="D39" s="65"/>
      <c r="E39" s="65"/>
      <c r="F39" s="65"/>
      <c r="G39" s="65"/>
      <c r="H39" s="65"/>
      <c r="I39" s="65"/>
      <c r="J39" s="65"/>
      <c r="K39" s="65"/>
      <c r="L39" s="65"/>
      <c r="M39" s="65"/>
      <c r="N39" s="65"/>
      <c r="O39" s="65"/>
      <c r="P39" s="65"/>
      <c r="Q39" s="65"/>
      <c r="R39" s="65"/>
      <c r="S39" s="65"/>
      <c r="T39" s="65"/>
      <c r="U39" s="65"/>
      <c r="V39" s="65"/>
      <c r="W39" s="65"/>
      <c r="X39" s="65"/>
      <c r="Y39" s="65"/>
      <c r="Z39" s="65"/>
    </row>
    <row r="40" spans="1:26" ht="14.25" customHeight="1" x14ac:dyDescent="0.6">
      <c r="A40" s="52"/>
      <c r="B40" s="65"/>
      <c r="C40" s="65"/>
      <c r="D40" s="65"/>
      <c r="E40" s="65"/>
      <c r="F40" s="65"/>
      <c r="G40" s="65"/>
      <c r="H40" s="65"/>
      <c r="I40" s="65"/>
      <c r="J40" s="65"/>
      <c r="K40" s="65"/>
      <c r="L40" s="65"/>
      <c r="M40" s="65"/>
      <c r="N40" s="65"/>
      <c r="O40" s="65"/>
      <c r="P40" s="65"/>
      <c r="Q40" s="65"/>
      <c r="R40" s="65"/>
      <c r="S40" s="65"/>
      <c r="T40" s="65"/>
      <c r="U40" s="65"/>
      <c r="V40" s="65"/>
      <c r="W40" s="65"/>
      <c r="X40" s="65"/>
      <c r="Y40" s="65"/>
      <c r="Z40" s="65"/>
    </row>
    <row r="41" spans="1:26" ht="16.5" customHeight="1" x14ac:dyDescent="0.6">
      <c r="A41" s="64" t="s">
        <v>413</v>
      </c>
      <c r="B41" s="65"/>
      <c r="C41" s="65"/>
      <c r="D41" s="65"/>
      <c r="E41" s="65"/>
      <c r="F41" s="65"/>
      <c r="G41" s="65"/>
      <c r="H41" s="65"/>
      <c r="I41" s="65"/>
      <c r="J41" s="65"/>
      <c r="K41" s="65"/>
      <c r="L41" s="65"/>
      <c r="M41" s="65"/>
      <c r="N41" s="65"/>
      <c r="O41" s="65"/>
      <c r="P41" s="65"/>
      <c r="Q41" s="65"/>
      <c r="R41" s="65"/>
      <c r="S41" s="65"/>
      <c r="T41" s="65"/>
      <c r="U41" s="65"/>
      <c r="V41" s="65"/>
      <c r="W41" s="65"/>
      <c r="X41" s="65"/>
      <c r="Y41" s="65"/>
      <c r="Z41" s="65"/>
    </row>
    <row r="42" spans="1:26" ht="16.5" customHeight="1" x14ac:dyDescent="0.6">
      <c r="A42" s="66" t="s">
        <v>404</v>
      </c>
      <c r="B42" s="65">
        <v>-0.12443199404202399</v>
      </c>
      <c r="C42" s="65">
        <v>5.3275617812579501E-2</v>
      </c>
      <c r="D42" s="65">
        <v>8.2568037086905299E-4</v>
      </c>
      <c r="E42" s="65">
        <v>-0.29998828367384078</v>
      </c>
      <c r="F42" s="65">
        <v>3.3054985895748512E-3</v>
      </c>
      <c r="G42" s="65">
        <v>1.7597146775807149E-2</v>
      </c>
      <c r="H42" s="65">
        <v>1.6522547215777839E-2</v>
      </c>
      <c r="I42" s="65">
        <v>1.2160684506995367E-2</v>
      </c>
      <c r="J42" s="65">
        <v>2.6062041309638961E-2</v>
      </c>
      <c r="K42" s="65">
        <v>7.1508298071802923E-2</v>
      </c>
      <c r="L42" s="65">
        <v>5.8821139863748595E-2</v>
      </c>
      <c r="M42" s="65">
        <v>4.6092653960286389E-2</v>
      </c>
      <c r="N42" s="65">
        <v>3.3322739646681754E-2</v>
      </c>
      <c r="O42" s="65">
        <v>0.10667374424375087</v>
      </c>
      <c r="P42" s="65">
        <v>3.0308469989547754E-2</v>
      </c>
      <c r="Q42" s="65">
        <v>-4.3177152080480674E-2</v>
      </c>
      <c r="R42" s="65">
        <v>-0.11386530280542351</v>
      </c>
      <c r="S42" s="65">
        <v>-0.37217646151772321</v>
      </c>
      <c r="T42" s="65">
        <v>-0.31177325264760469</v>
      </c>
      <c r="U42" s="65">
        <v>-0.24871351705498768</v>
      </c>
      <c r="V42" s="65">
        <v>-0.18291322191627923</v>
      </c>
      <c r="W42" s="65">
        <v>-2.0437616927708735E-3</v>
      </c>
      <c r="X42" s="65">
        <v>1.4614826865164687E-3</v>
      </c>
      <c r="Y42" s="65">
        <v>4.9880368060484237E-3</v>
      </c>
      <c r="Z42" s="65">
        <v>8.5359977722173352E-3</v>
      </c>
    </row>
    <row r="43" spans="1:26" ht="16.5" customHeight="1" x14ac:dyDescent="0.6">
      <c r="A43" s="67" t="s">
        <v>405</v>
      </c>
      <c r="B43" s="65">
        <v>-0.1247759632115244</v>
      </c>
      <c r="C43" s="65">
        <v>5.3259629519121221E-2</v>
      </c>
      <c r="D43" s="65">
        <v>8.2270831365272024E-4</v>
      </c>
      <c r="E43" s="65">
        <v>-0.30037303862973097</v>
      </c>
      <c r="F43" s="65">
        <v>3.3097381116919955E-3</v>
      </c>
      <c r="G43" s="65">
        <v>1.7619716288689302E-2</v>
      </c>
      <c r="H43" s="65">
        <v>1.6543738483140502E-2</v>
      </c>
      <c r="I43" s="65">
        <v>1.2176281394897459E-2</v>
      </c>
      <c r="J43" s="65">
        <v>2.6095467613596157E-2</v>
      </c>
      <c r="K43" s="65">
        <v>7.2082669939822264E-2</v>
      </c>
      <c r="L43" s="65">
        <v>5.9062123150850576E-2</v>
      </c>
      <c r="M43" s="65">
        <v>4.609067321253324E-2</v>
      </c>
      <c r="N43" s="65">
        <v>3.3168180735631658E-2</v>
      </c>
      <c r="O43" s="65">
        <v>0.1057725773826077</v>
      </c>
      <c r="P43" s="65">
        <v>3.0258859570331698E-2</v>
      </c>
      <c r="Q43" s="65">
        <v>-4.2701016650684487E-2</v>
      </c>
      <c r="R43" s="65">
        <v>-0.11317235928309</v>
      </c>
      <c r="S43" s="65">
        <v>-0.37174498631958564</v>
      </c>
      <c r="T43" s="65">
        <v>-0.31222962546369004</v>
      </c>
      <c r="U43" s="65">
        <v>-0.24978155573836158</v>
      </c>
      <c r="V43" s="65">
        <v>-0.18429738404054952</v>
      </c>
      <c r="W43" s="65">
        <v>-2.0553326969852403E-3</v>
      </c>
      <c r="X43" s="65">
        <v>1.4845751229471404E-3</v>
      </c>
      <c r="Y43" s="65">
        <v>5.0386212915828343E-3</v>
      </c>
      <c r="Z43" s="65">
        <v>8.606848144996404E-3</v>
      </c>
    </row>
    <row r="44" spans="1:26" ht="16.5" customHeight="1" x14ac:dyDescent="0.6">
      <c r="A44" s="68" t="s">
        <v>406</v>
      </c>
      <c r="B44" s="65">
        <v>-0.12545905338072449</v>
      </c>
      <c r="C44" s="65">
        <v>5.357837256539133E-2</v>
      </c>
      <c r="D44" s="65">
        <v>8.2914173704895511E-4</v>
      </c>
      <c r="E44" s="65">
        <v>-0.30265343397082312</v>
      </c>
      <c r="F44" s="65">
        <v>3.3686879238246648E-3</v>
      </c>
      <c r="G44" s="65">
        <v>1.7731700206276235E-2</v>
      </c>
      <c r="H44" s="65">
        <v>1.6645393493055605E-2</v>
      </c>
      <c r="I44" s="65">
        <v>1.2256262574964372E-2</v>
      </c>
      <c r="J44" s="65">
        <v>2.6229180507971184E-2</v>
      </c>
      <c r="K44" s="65">
        <v>7.2423729847799656E-2</v>
      </c>
      <c r="L44" s="65">
        <v>5.9425735571707605E-2</v>
      </c>
      <c r="M44" s="65">
        <v>4.6445285629039823E-2</v>
      </c>
      <c r="N44" s="65">
        <v>3.3482362181337599E-2</v>
      </c>
      <c r="O44" s="65">
        <v>0.10664062627172041</v>
      </c>
      <c r="P44" s="65">
        <v>3.1619529727084039E-2</v>
      </c>
      <c r="Q44" s="65">
        <v>-4.1664556238153239E-2</v>
      </c>
      <c r="R44" s="65">
        <v>-0.11324197272163472</v>
      </c>
      <c r="S44" s="65">
        <v>-0.38394346665748014</v>
      </c>
      <c r="T44" s="65">
        <v>-0.31966444064983879</v>
      </c>
      <c r="U44" s="65">
        <v>-0.25335753299861175</v>
      </c>
      <c r="V44" s="65">
        <v>-0.18497616115915472</v>
      </c>
      <c r="W44" s="65">
        <v>-2.011116548011449E-3</v>
      </c>
      <c r="X44" s="65">
        <v>1.5307353802488932E-3</v>
      </c>
      <c r="Y44" s="65">
        <v>5.087606713022455E-3</v>
      </c>
      <c r="Z44" s="65">
        <v>8.6595452002652257E-3</v>
      </c>
    </row>
    <row r="45" spans="1:26" ht="14.25" customHeight="1" x14ac:dyDescent="0.6">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spans="1:26" ht="16.5" customHeight="1" x14ac:dyDescent="0.6">
      <c r="A46" s="64" t="s">
        <v>414</v>
      </c>
      <c r="B46" s="283" t="s">
        <v>415</v>
      </c>
      <c r="C46" s="283"/>
      <c r="D46" s="283"/>
      <c r="E46" s="283"/>
      <c r="F46" s="283"/>
      <c r="G46" s="283"/>
      <c r="H46" s="283"/>
      <c r="I46" s="283"/>
      <c r="J46" s="283"/>
      <c r="K46" s="283"/>
      <c r="L46" s="283"/>
      <c r="M46" s="283"/>
      <c r="N46" s="283"/>
      <c r="O46" s="283"/>
      <c r="P46" s="283"/>
      <c r="Q46" s="283"/>
      <c r="R46" s="283"/>
      <c r="S46" s="283"/>
      <c r="T46" s="283"/>
      <c r="U46" s="283"/>
      <c r="V46" s="283" t="s">
        <v>415</v>
      </c>
      <c r="W46" s="283"/>
      <c r="X46" s="283"/>
      <c r="Y46" s="283"/>
      <c r="Z46" s="283"/>
    </row>
    <row r="47" spans="1:26" ht="16.5" customHeight="1" x14ac:dyDescent="0.6">
      <c r="A47" s="66" t="s">
        <v>404</v>
      </c>
      <c r="B47" s="65">
        <v>-8.0285387764281901E-2</v>
      </c>
      <c r="C47" s="65">
        <v>3.3930292345419888E-2</v>
      </c>
      <c r="D47" s="65">
        <v>5.2311492191137177E-4</v>
      </c>
      <c r="E47" s="65">
        <v>-0.18823432128352913</v>
      </c>
      <c r="F47" s="65">
        <v>2.1387944206059939E-3</v>
      </c>
      <c r="G47" s="65">
        <v>1.1336727833064275E-2</v>
      </c>
      <c r="H47" s="65">
        <v>1.0650666543951859E-2</v>
      </c>
      <c r="I47" s="65">
        <v>7.8254191552531438E-3</v>
      </c>
      <c r="J47" s="65">
        <v>1.675850787260158E-2</v>
      </c>
      <c r="K47" s="65">
        <v>4.6016921026822422E-2</v>
      </c>
      <c r="L47" s="65">
        <v>3.774399891925051E-2</v>
      </c>
      <c r="M47" s="65">
        <v>2.9486810388778428E-2</v>
      </c>
      <c r="N47" s="65">
        <v>2.1245332939431538E-2</v>
      </c>
      <c r="O47" s="65">
        <v>6.7773322571625383E-2</v>
      </c>
      <c r="P47" s="65">
        <v>1.9136011672757691E-2</v>
      </c>
      <c r="Q47" s="65">
        <v>-2.7544972940694912E-2</v>
      </c>
      <c r="R47" s="65">
        <v>-7.2329213686016303E-2</v>
      </c>
      <c r="S47" s="65">
        <v>-0.23242286048022009</v>
      </c>
      <c r="T47" s="65">
        <v>-0.19585567155986539</v>
      </c>
      <c r="U47" s="65">
        <v>-0.15712703409655582</v>
      </c>
      <c r="V47" s="65">
        <v>-0.11614641006806004</v>
      </c>
      <c r="W47" s="65">
        <v>-1.3329625441983531E-3</v>
      </c>
      <c r="X47" s="65">
        <v>9.3880581816957465E-4</v>
      </c>
      <c r="Y47" s="65">
        <v>3.2254831168773146E-3</v>
      </c>
      <c r="Z47" s="65">
        <v>5.5271426873775287E-3</v>
      </c>
    </row>
    <row r="48" spans="1:26" ht="16.5" customHeight="1" x14ac:dyDescent="0.6">
      <c r="A48" s="67" t="s">
        <v>405</v>
      </c>
      <c r="B48" s="65">
        <v>-8.0440777211422454E-2</v>
      </c>
      <c r="C48" s="65">
        <v>3.374676148956901E-2</v>
      </c>
      <c r="D48" s="65">
        <v>5.1935978865724763E-4</v>
      </c>
      <c r="E48" s="65">
        <v>-0.18825884619916167</v>
      </c>
      <c r="F48" s="65">
        <v>2.1390730826069404E-3</v>
      </c>
      <c r="G48" s="65">
        <v>1.1338204887258341E-2</v>
      </c>
      <c r="H48" s="65">
        <v>1.0652054211715445E-2</v>
      </c>
      <c r="I48" s="65">
        <v>7.8264387235392752E-3</v>
      </c>
      <c r="J48" s="65">
        <v>1.6760691326647037E-2</v>
      </c>
      <c r="K48" s="65">
        <v>4.5435804534442514E-2</v>
      </c>
      <c r="L48" s="65">
        <v>3.7381923791117266E-2</v>
      </c>
      <c r="M48" s="65">
        <v>2.9299823654906909E-2</v>
      </c>
      <c r="N48" s="65">
        <v>2.1189430197071424E-2</v>
      </c>
      <c r="O48" s="65">
        <v>6.7391658054229864E-2</v>
      </c>
      <c r="P48" s="65">
        <v>1.8963273548088688E-2</v>
      </c>
      <c r="Q48" s="65">
        <v>-2.762505746280608E-2</v>
      </c>
      <c r="R48" s="65">
        <v>-7.2426244150889829E-2</v>
      </c>
      <c r="S48" s="65">
        <v>-0.23344162813135405</v>
      </c>
      <c r="T48" s="65">
        <v>-0.19621113619542108</v>
      </c>
      <c r="U48" s="65">
        <v>-0.15697628950758435</v>
      </c>
      <c r="V48" s="65">
        <v>-0.11566021337627941</v>
      </c>
      <c r="W48" s="65">
        <v>-1.3293918326124921E-3</v>
      </c>
      <c r="X48" s="65">
        <v>9.287543471557802E-4</v>
      </c>
      <c r="Y48" s="65">
        <v>3.2054599441481563E-3</v>
      </c>
      <c r="Z48" s="65">
        <v>5.5008392697515895E-3</v>
      </c>
    </row>
    <row r="49" spans="1:26" ht="16.5" customHeight="1" x14ac:dyDescent="0.6">
      <c r="A49" s="68" t="s">
        <v>406</v>
      </c>
      <c r="B49" s="65">
        <v>-8.858310775668804E-2</v>
      </c>
      <c r="C49" s="65">
        <v>3.7283788668069029E-2</v>
      </c>
      <c r="D49" s="65">
        <v>5.566655351045835E-4</v>
      </c>
      <c r="E49" s="65">
        <v>-0.21105420035390132</v>
      </c>
      <c r="F49" s="65">
        <v>2.7058305505112679E-3</v>
      </c>
      <c r="G49" s="65">
        <v>1.2470051663532433E-2</v>
      </c>
      <c r="H49" s="65">
        <v>1.1679298927442239E-2</v>
      </c>
      <c r="I49" s="65">
        <v>8.6323412219336815E-3</v>
      </c>
      <c r="J49" s="65">
        <v>1.8105233681551647E-2</v>
      </c>
      <c r="K49" s="65">
        <v>4.9937127354677813E-2</v>
      </c>
      <c r="L49" s="65">
        <v>4.1169254080194673E-2</v>
      </c>
      <c r="M49" s="65">
        <v>3.2334242069882002E-2</v>
      </c>
      <c r="N49" s="65">
        <v>2.3431708483252933E-2</v>
      </c>
      <c r="O49" s="65">
        <v>7.2730662654313327E-2</v>
      </c>
      <c r="P49" s="65">
        <v>2.1501833298037676E-2</v>
      </c>
      <c r="Q49" s="65">
        <v>-2.891124317557825E-2</v>
      </c>
      <c r="R49" s="65">
        <v>-7.851834941684066E-2</v>
      </c>
      <c r="S49" s="65">
        <v>-0.26966129815668261</v>
      </c>
      <c r="T49" s="65">
        <v>-0.22353858970259122</v>
      </c>
      <c r="U49" s="65">
        <v>-0.17635955622883692</v>
      </c>
      <c r="V49" s="65">
        <v>-0.12810643587306858</v>
      </c>
      <c r="W49" s="65">
        <v>-9.8020727940517638E-4</v>
      </c>
      <c r="X49" s="65">
        <v>1.4227545864036184E-3</v>
      </c>
      <c r="Y49" s="65">
        <v>3.8420475750400862E-3</v>
      </c>
      <c r="Z49" s="65">
        <v>6.2777548911751996E-3</v>
      </c>
    </row>
    <row r="50" spans="1:26" ht="14.25" customHeight="1" x14ac:dyDescent="0.6">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spans="1:26" ht="16.5" customHeight="1" x14ac:dyDescent="0.6">
      <c r="A51" s="63" t="s">
        <v>399</v>
      </c>
      <c r="B51" s="283" t="s">
        <v>415</v>
      </c>
      <c r="C51" s="283"/>
      <c r="D51" s="283"/>
      <c r="E51" s="283"/>
      <c r="F51" s="283"/>
      <c r="G51" s="283"/>
      <c r="H51" s="283"/>
      <c r="I51" s="283"/>
      <c r="J51" s="283"/>
      <c r="K51" s="283"/>
      <c r="L51" s="283"/>
      <c r="M51" s="283"/>
      <c r="N51" s="283"/>
      <c r="O51" s="283"/>
      <c r="P51" s="283"/>
      <c r="Q51" s="283"/>
      <c r="R51" s="283"/>
      <c r="S51" s="283"/>
      <c r="T51" s="283"/>
      <c r="U51" s="283"/>
      <c r="V51" s="283" t="s">
        <v>415</v>
      </c>
      <c r="W51" s="283"/>
      <c r="X51" s="283"/>
      <c r="Y51" s="283"/>
      <c r="Z51" s="283"/>
    </row>
    <row r="52" spans="1:26" ht="14.25" customHeight="1" x14ac:dyDescent="0.6">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spans="1:26" ht="16.5" customHeight="1" x14ac:dyDescent="0.6">
      <c r="A53" s="64" t="s">
        <v>416</v>
      </c>
      <c r="B53" s="65">
        <v>0</v>
      </c>
      <c r="C53" s="65">
        <v>0</v>
      </c>
      <c r="D53" s="65">
        <v>0</v>
      </c>
      <c r="E53" s="65">
        <v>-0.30730744815934319</v>
      </c>
      <c r="F53" s="65">
        <v>-0.26564262235613079</v>
      </c>
      <c r="G53" s="65">
        <v>2.2131950866868699E-2</v>
      </c>
      <c r="H53" s="65">
        <v>-8.475653141505024E-2</v>
      </c>
      <c r="I53" s="65">
        <v>4.4311457682376654E-2</v>
      </c>
      <c r="J53" s="65">
        <v>-6.0676770110592138E-2</v>
      </c>
      <c r="K53" s="65">
        <v>0</v>
      </c>
      <c r="L53" s="65">
        <v>0</v>
      </c>
      <c r="M53" s="65">
        <v>0</v>
      </c>
      <c r="N53" s="65">
        <v>0</v>
      </c>
      <c r="O53" s="65">
        <v>0</v>
      </c>
      <c r="P53" s="65">
        <v>0</v>
      </c>
      <c r="Q53" s="65">
        <v>0</v>
      </c>
      <c r="R53" s="65">
        <v>0</v>
      </c>
      <c r="S53" s="65">
        <v>0</v>
      </c>
      <c r="T53" s="65">
        <v>-5.1387618056253359E-4</v>
      </c>
      <c r="U53" s="65">
        <v>-0.73401182841465573</v>
      </c>
      <c r="V53" s="65">
        <v>-0.62169810156095195</v>
      </c>
      <c r="W53" s="65">
        <v>-0.64578666452972011</v>
      </c>
      <c r="X53" s="65">
        <v>-0.63817260270165499</v>
      </c>
      <c r="Y53" s="65">
        <v>0.1799752968336592</v>
      </c>
      <c r="Z53" s="65">
        <v>3.695831574549624E-2</v>
      </c>
    </row>
    <row r="54" spans="1:26" ht="14.25" customHeight="1" x14ac:dyDescent="0.6">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spans="1:26" ht="18" customHeight="1" x14ac:dyDescent="0.6">
      <c r="A55" s="69" t="s">
        <v>417</v>
      </c>
      <c r="B55" s="283" t="s">
        <v>411</v>
      </c>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spans="1:26" ht="16.5" customHeight="1" x14ac:dyDescent="0.6">
      <c r="A56" s="64" t="s">
        <v>418</v>
      </c>
      <c r="B56" s="65">
        <v>-0.34682659865558707</v>
      </c>
      <c r="C56" s="65">
        <v>0.22465851591043373</v>
      </c>
      <c r="D56" s="65">
        <v>5.0422143735212699E-2</v>
      </c>
      <c r="E56" s="65">
        <v>-0.39612080673865391</v>
      </c>
      <c r="F56" s="65">
        <v>-0.10109821519060769</v>
      </c>
      <c r="G56" s="65">
        <v>0.14723937195882708</v>
      </c>
      <c r="H56" s="65">
        <v>0.17319329012384721</v>
      </c>
      <c r="I56" s="65">
        <v>0.15989524095132301</v>
      </c>
      <c r="J56" s="65">
        <v>0.21560818108233409</v>
      </c>
      <c r="K56" s="65">
        <v>-0.13806515564738397</v>
      </c>
      <c r="L56" s="65">
        <v>0.14142662327778388</v>
      </c>
      <c r="M56" s="65">
        <v>0.38977351369775759</v>
      </c>
      <c r="N56" s="65">
        <v>0.50609511612807778</v>
      </c>
      <c r="O56" s="65">
        <v>0.40009540904011937</v>
      </c>
      <c r="P56" s="65">
        <v>0.19070782783050971</v>
      </c>
      <c r="Q56" s="65">
        <v>-8.0491768537879482E-2</v>
      </c>
      <c r="R56" s="65">
        <v>-0.31058090934371629</v>
      </c>
      <c r="S56" s="65">
        <v>-0.46679899053510443</v>
      </c>
      <c r="T56" s="65">
        <v>-0.4642512697459189</v>
      </c>
      <c r="U56" s="65">
        <v>-0.38008794753885322</v>
      </c>
      <c r="V56" s="65">
        <v>-0.27302252663556903</v>
      </c>
      <c r="W56" s="65">
        <v>-0.14965789192715673</v>
      </c>
      <c r="X56" s="65">
        <v>-0.10576434418339803</v>
      </c>
      <c r="Y56" s="65">
        <v>-8.6721454973818668E-2</v>
      </c>
      <c r="Z56" s="65">
        <v>-5.8292770998913834E-2</v>
      </c>
    </row>
    <row r="57" spans="1:26" ht="16.5" customHeight="1" x14ac:dyDescent="0.6">
      <c r="A57" s="64" t="s">
        <v>419</v>
      </c>
      <c r="B57" s="65">
        <v>0</v>
      </c>
      <c r="C57" s="65">
        <v>0</v>
      </c>
      <c r="D57" s="65">
        <v>0</v>
      </c>
      <c r="E57" s="65">
        <v>-4.7718524516146417</v>
      </c>
      <c r="F57" s="65">
        <v>-8.3900480940286322</v>
      </c>
      <c r="G57" s="65">
        <v>3.8223791193620986</v>
      </c>
      <c r="H57" s="65">
        <v>2.5869759613999896</v>
      </c>
      <c r="I57" s="65">
        <v>1.2684341683573401</v>
      </c>
      <c r="J57" s="65">
        <v>0.42334899747618715</v>
      </c>
      <c r="K57" s="65">
        <v>0</v>
      </c>
      <c r="L57" s="65">
        <v>0</v>
      </c>
      <c r="M57" s="65">
        <v>0</v>
      </c>
      <c r="N57" s="65">
        <v>0</v>
      </c>
      <c r="O57" s="65">
        <v>0</v>
      </c>
      <c r="P57" s="65">
        <v>0</v>
      </c>
      <c r="Q57" s="65">
        <v>0</v>
      </c>
      <c r="R57" s="65">
        <v>0</v>
      </c>
      <c r="S57" s="65">
        <v>0</v>
      </c>
      <c r="T57" s="65">
        <v>0</v>
      </c>
      <c r="U57" s="65">
        <v>-7.7679297751041361</v>
      </c>
      <c r="V57" s="65">
        <v>-14.183108416279875</v>
      </c>
      <c r="W57" s="65">
        <v>-19.232032913622039</v>
      </c>
      <c r="X57" s="65">
        <v>-15.408071127473757</v>
      </c>
      <c r="Y57" s="65">
        <v>-1.1271855450781558</v>
      </c>
      <c r="Z57" s="65">
        <v>5.9797786054297086</v>
      </c>
    </row>
    <row r="58" spans="1:26" ht="14.25" customHeight="1" x14ac:dyDescent="0.6">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spans="1:26" ht="16.5" customHeight="1" x14ac:dyDescent="0.6">
      <c r="A59" s="280" t="s">
        <v>420</v>
      </c>
      <c r="B59" s="280"/>
      <c r="C59" s="280"/>
      <c r="D59" s="280"/>
      <c r="E59" s="280"/>
      <c r="F59" s="280"/>
      <c r="G59" s="280"/>
      <c r="H59" s="280"/>
      <c r="I59" s="280"/>
      <c r="J59" s="280"/>
      <c r="K59" s="280"/>
      <c r="L59" s="280"/>
      <c r="M59" s="280"/>
      <c r="N59" s="280"/>
      <c r="O59" s="280"/>
      <c r="P59" s="280"/>
      <c r="Q59" s="280"/>
      <c r="R59" s="280"/>
      <c r="S59" s="280"/>
      <c r="T59" s="280"/>
      <c r="U59" s="280"/>
      <c r="V59" s="280"/>
      <c r="W59" s="52"/>
      <c r="X59" s="52"/>
      <c r="Y59" s="52"/>
      <c r="Z59" s="52"/>
    </row>
    <row r="60" spans="1:26" ht="14.25" customHeight="1" x14ac:dyDescent="0.6">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spans="1:26" ht="16.5" customHeight="1" x14ac:dyDescent="0.6">
      <c r="A61" s="66" t="s">
        <v>421</v>
      </c>
      <c r="B61" s="65">
        <v>0</v>
      </c>
      <c r="C61" s="65">
        <v>1.3748553924877172E-3</v>
      </c>
      <c r="D61" s="65">
        <v>-1.5071444445173832E-3</v>
      </c>
      <c r="E61" s="65">
        <v>1.095822846817585</v>
      </c>
      <c r="F61" s="65">
        <v>-8.0810286662361897E-2</v>
      </c>
      <c r="G61" s="65">
        <v>0.13185540779255511</v>
      </c>
      <c r="H61" s="65">
        <v>0.36000322720249134</v>
      </c>
      <c r="I61" s="65">
        <v>6.0683397844406739E-2</v>
      </c>
      <c r="J61" s="65">
        <v>8.6457903473417697E-2</v>
      </c>
      <c r="K61" s="65">
        <v>0</v>
      </c>
      <c r="L61" s="65">
        <v>0</v>
      </c>
      <c r="M61" s="65">
        <v>-6.6597000402701667E-4</v>
      </c>
      <c r="N61" s="65">
        <v>6.2743794833419742E-3</v>
      </c>
      <c r="O61" s="65">
        <v>-1.335454750369891E-3</v>
      </c>
      <c r="P61" s="65">
        <v>-5.7957164245527187E-3</v>
      </c>
      <c r="Q61" s="65">
        <v>7.0685305042719193E-3</v>
      </c>
      <c r="R61" s="65">
        <v>-6.0621369192263574E-3</v>
      </c>
      <c r="S61" s="65">
        <v>5.3806661746289564E-3</v>
      </c>
      <c r="T61" s="65">
        <v>-2.4197197817546368E-2</v>
      </c>
      <c r="U61" s="65">
        <v>2.7306792120894787</v>
      </c>
      <c r="V61" s="65">
        <v>1.7134231921608709</v>
      </c>
      <c r="W61" s="65">
        <v>1.1014668975779909</v>
      </c>
      <c r="X61" s="65">
        <v>0.95574558183049962</v>
      </c>
      <c r="Y61" s="65">
        <v>-2.0289410749126162</v>
      </c>
      <c r="Z61" s="65">
        <v>-0.67999912258679851</v>
      </c>
    </row>
    <row r="62" spans="1:26" ht="16.5" customHeight="1" x14ac:dyDescent="0.6">
      <c r="A62" s="66" t="s">
        <v>422</v>
      </c>
      <c r="B62" s="65">
        <v>0</v>
      </c>
      <c r="C62" s="65">
        <v>8.5147249366812616E-4</v>
      </c>
      <c r="D62" s="65">
        <v>-8.2357980200775671E-4</v>
      </c>
      <c r="E62" s="65">
        <v>-1.5466795440346175</v>
      </c>
      <c r="F62" s="65">
        <v>-2.780446326213216</v>
      </c>
      <c r="G62" s="65">
        <v>1.0007328046882604</v>
      </c>
      <c r="H62" s="65">
        <v>0.79941496252579414</v>
      </c>
      <c r="I62" s="65">
        <v>5.4445224503378076E-2</v>
      </c>
      <c r="J62" s="65">
        <v>7.2188357452039664E-2</v>
      </c>
      <c r="K62" s="65">
        <v>0</v>
      </c>
      <c r="L62" s="65">
        <v>0</v>
      </c>
      <c r="M62" s="65">
        <v>-3.9652493734898542E-4</v>
      </c>
      <c r="N62" s="65">
        <v>3.7721681477567159E-3</v>
      </c>
      <c r="O62" s="65">
        <v>-7.9671410026094236E-4</v>
      </c>
      <c r="P62" s="65">
        <v>-3.2577558869020251E-3</v>
      </c>
      <c r="Q62" s="65">
        <v>3.9632751625697793E-3</v>
      </c>
      <c r="R62" s="65">
        <v>-3.0935380942462842E-3</v>
      </c>
      <c r="S62" s="65">
        <v>3.6915213808192959E-3</v>
      </c>
      <c r="T62" s="65">
        <v>-5.5452653786939976E-2</v>
      </c>
      <c r="U62" s="65">
        <v>-2.5727555663138801</v>
      </c>
      <c r="V62" s="65">
        <v>-3.8381993512475603</v>
      </c>
      <c r="W62" s="65">
        <v>-4.5146134845885166</v>
      </c>
      <c r="X62" s="65">
        <v>-4.6789207583345496</v>
      </c>
      <c r="Y62" s="65">
        <v>-1.5603681629532296</v>
      </c>
      <c r="Z62" s="65">
        <v>0.144601159217287</v>
      </c>
    </row>
    <row r="63" spans="1:26" ht="14.25" customHeight="1" x14ac:dyDescent="0.6">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spans="1:26" ht="17.25" customHeight="1" x14ac:dyDescent="0.6">
      <c r="A64" s="69" t="s">
        <v>423</v>
      </c>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spans="1:26" ht="14.25" customHeight="1" x14ac:dyDescent="0.6">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spans="1:26" ht="16.5" customHeight="1" x14ac:dyDescent="0.6">
      <c r="A66" s="64" t="s">
        <v>424</v>
      </c>
      <c r="B66" s="65">
        <v>-0.12974132877604028</v>
      </c>
      <c r="C66" s="65">
        <v>8.4901087007566822E-2</v>
      </c>
      <c r="D66" s="65">
        <v>1.7918628771690148E-2</v>
      </c>
      <c r="E66" s="65">
        <v>0.53771469472748024</v>
      </c>
      <c r="F66" s="65">
        <v>-8.8399620397349832E-2</v>
      </c>
      <c r="G66" s="65">
        <v>0.13761026039184276</v>
      </c>
      <c r="H66" s="65">
        <v>0.29012113177180043</v>
      </c>
      <c r="I66" s="65">
        <v>9.7796688476978977E-2</v>
      </c>
      <c r="J66" s="65">
        <v>0.13477060121265519</v>
      </c>
      <c r="K66" s="65">
        <v>-5.24455381794251E-2</v>
      </c>
      <c r="L66" s="65">
        <v>5.2224077802266677E-2</v>
      </c>
      <c r="M66" s="65">
        <v>0.13998137229026497</v>
      </c>
      <c r="N66" s="65">
        <v>0.18294704997605038</v>
      </c>
      <c r="O66" s="65">
        <v>0.14345313772092982</v>
      </c>
      <c r="P66" s="65">
        <v>6.9162007369513417E-2</v>
      </c>
      <c r="Q66" s="65">
        <v>-2.6209262959023705E-2</v>
      </c>
      <c r="R66" s="65">
        <v>-0.12183034262978737</v>
      </c>
      <c r="S66" s="65">
        <v>-0.16507646335967863</v>
      </c>
      <c r="T66" s="65">
        <v>-0.18149558760188356</v>
      </c>
      <c r="U66" s="65">
        <v>1.6365946063499415</v>
      </c>
      <c r="V66" s="65">
        <v>1.002498861771171</v>
      </c>
      <c r="W66" s="65">
        <v>0.63261133734914754</v>
      </c>
      <c r="X66" s="65">
        <v>0.55434986049654</v>
      </c>
      <c r="Y66" s="65">
        <v>-1.3089752935774315</v>
      </c>
      <c r="Z66" s="65">
        <v>-0.44486509904156479</v>
      </c>
    </row>
    <row r="67" spans="1:26" ht="16.5" customHeight="1" x14ac:dyDescent="0.6">
      <c r="A67" s="64" t="s">
        <v>425</v>
      </c>
      <c r="B67" s="65">
        <v>-0.211731953231167</v>
      </c>
      <c r="C67" s="65">
        <v>0.13730935849508574</v>
      </c>
      <c r="D67" s="65">
        <v>3.0628084157465096E-2</v>
      </c>
      <c r="E67" s="65">
        <v>-1.4982212088859637</v>
      </c>
      <c r="F67" s="65">
        <v>-2.2821560451046552</v>
      </c>
      <c r="G67" s="65">
        <v>1.0518085592307553</v>
      </c>
      <c r="H67" s="65">
        <v>0.77956434722131673</v>
      </c>
      <c r="I67" s="65">
        <v>0.36497020391470814</v>
      </c>
      <c r="J67" s="65">
        <v>0.23094545104565017</v>
      </c>
      <c r="K67" s="65">
        <v>-8.6127511881926688E-2</v>
      </c>
      <c r="L67" s="65">
        <v>8.7201363991961323E-2</v>
      </c>
      <c r="M67" s="65">
        <v>0.23828299522713814</v>
      </c>
      <c r="N67" s="65">
        <v>0.3084268062939497</v>
      </c>
      <c r="O67" s="65">
        <v>0.24105095275456989</v>
      </c>
      <c r="P67" s="65">
        <v>0.1165332688948516</v>
      </c>
      <c r="Q67" s="65">
        <v>-4.7969072757096054E-2</v>
      </c>
      <c r="R67" s="65">
        <v>-0.18241360206486235</v>
      </c>
      <c r="S67" s="65">
        <v>-0.2565852854880859</v>
      </c>
      <c r="T67" s="65">
        <v>-0.27143577607341207</v>
      </c>
      <c r="U67" s="65">
        <v>-2.993621557947332</v>
      </c>
      <c r="V67" s="65">
        <v>-4.3514667099899302</v>
      </c>
      <c r="W67" s="65">
        <v>-4.4190163836811776</v>
      </c>
      <c r="X67" s="65">
        <v>-4.0069455798857643</v>
      </c>
      <c r="Y67" s="65">
        <v>-0.54786805253771753</v>
      </c>
      <c r="Z67" s="65">
        <v>1.1458254914935404</v>
      </c>
    </row>
    <row r="68" spans="1:26" ht="14.25" customHeight="1" x14ac:dyDescent="0.6">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spans="1:26" ht="14.25" customHeight="1" x14ac:dyDescent="0.6">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spans="1:26" ht="16.5" customHeight="1" x14ac:dyDescent="0.6">
      <c r="A70" s="284" t="s">
        <v>426</v>
      </c>
      <c r="B70" s="284"/>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row>
    <row r="71" spans="1:26" ht="16.5" customHeight="1" x14ac:dyDescent="0.6">
      <c r="A71" s="277" t="s">
        <v>427</v>
      </c>
      <c r="B71" s="277"/>
      <c r="C71" s="277"/>
      <c r="D71" s="277"/>
      <c r="E71" s="277"/>
      <c r="F71" s="277"/>
      <c r="G71" s="277"/>
      <c r="H71" s="277"/>
      <c r="I71" s="277"/>
      <c r="J71" s="277"/>
      <c r="K71" s="277"/>
      <c r="L71" s="277"/>
      <c r="M71" s="277"/>
      <c r="N71" s="277"/>
      <c r="O71" s="277"/>
      <c r="P71" s="277"/>
      <c r="Q71" s="277"/>
      <c r="R71" s="277"/>
      <c r="S71" s="277"/>
      <c r="T71" s="277"/>
      <c r="U71" s="277"/>
      <c r="V71" s="277"/>
      <c r="W71" s="52"/>
      <c r="X71" s="52"/>
      <c r="Y71" s="52"/>
      <c r="Z71" s="52"/>
    </row>
    <row r="72" spans="1:26" ht="16.5" customHeight="1" x14ac:dyDescent="0.6">
      <c r="A72" s="277" t="s">
        <v>428</v>
      </c>
      <c r="B72" s="277"/>
      <c r="C72" s="277"/>
      <c r="D72" s="277"/>
      <c r="E72" s="277"/>
      <c r="F72" s="277"/>
      <c r="G72" s="277"/>
      <c r="H72" s="277"/>
      <c r="I72" s="277"/>
      <c r="J72" s="277"/>
      <c r="K72" s="277"/>
      <c r="L72" s="277"/>
      <c r="M72" s="277"/>
      <c r="N72" s="277"/>
      <c r="O72" s="277"/>
      <c r="P72" s="277"/>
      <c r="Q72" s="277"/>
      <c r="R72" s="277"/>
      <c r="S72" s="277"/>
      <c r="T72" s="277"/>
      <c r="U72" s="277"/>
      <c r="V72" s="277"/>
      <c r="W72" s="52"/>
      <c r="X72" s="52"/>
      <c r="Y72" s="52"/>
      <c r="Z72" s="52"/>
    </row>
    <row r="73" spans="1:26" ht="14.25" customHeight="1" x14ac:dyDescent="0.6">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4.25" customHeight="1" x14ac:dyDescent="0.6">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6.5" customHeight="1" x14ac:dyDescent="0.6">
      <c r="A75" s="51" t="s">
        <v>429</v>
      </c>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sheetData>
  <mergeCells count="15">
    <mergeCell ref="A2:G2"/>
    <mergeCell ref="A72:V72"/>
    <mergeCell ref="B29:Z29"/>
    <mergeCell ref="B7:I7"/>
    <mergeCell ref="A59:V59"/>
    <mergeCell ref="B22:Z22"/>
    <mergeCell ref="B9:Z9"/>
    <mergeCell ref="A3:V3"/>
    <mergeCell ref="A4:B4"/>
    <mergeCell ref="A71:V71"/>
    <mergeCell ref="K7:V7"/>
    <mergeCell ref="B55:Z55"/>
    <mergeCell ref="B46:Z46"/>
    <mergeCell ref="A70:Z70"/>
    <mergeCell ref="B51:Z51"/>
  </mergeCells>
  <pageMargins left="0.39" right="0.39" top="0.39" bottom="0.39" header="0.39" footer="0.39"/>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W50"/>
  <sheetViews>
    <sheetView workbookViewId="0"/>
  </sheetViews>
  <sheetFormatPr defaultColWidth="10.1328125" defaultRowHeight="14.45" customHeight="1" x14ac:dyDescent="0.6"/>
  <cols>
    <col min="1" max="22" width="21.40625" customWidth="1"/>
    <col min="23" max="23" width="10.1328125" customWidth="1"/>
  </cols>
  <sheetData>
    <row r="1" spans="1:23" ht="14.25" customHeight="1" x14ac:dyDescent="0.6">
      <c r="A1" s="24"/>
      <c r="B1" s="24"/>
      <c r="C1" s="24"/>
      <c r="D1" s="24"/>
      <c r="E1" s="24"/>
      <c r="F1" s="24"/>
      <c r="G1" s="24"/>
      <c r="H1" s="24"/>
      <c r="I1" s="24"/>
      <c r="J1" s="24"/>
      <c r="K1" s="24"/>
      <c r="L1" s="24"/>
      <c r="M1" s="24"/>
      <c r="N1" s="24"/>
      <c r="O1" s="24"/>
      <c r="P1" s="24"/>
      <c r="Q1" s="24"/>
      <c r="R1" s="24"/>
      <c r="S1" s="24"/>
      <c r="T1" s="24"/>
      <c r="U1" s="24"/>
      <c r="V1" s="24"/>
      <c r="W1" s="24"/>
    </row>
    <row r="2" spans="1:23" ht="19.5" customHeight="1" x14ac:dyDescent="0.6">
      <c r="A2" s="42" t="s">
        <v>447</v>
      </c>
      <c r="B2" s="42"/>
      <c r="C2" s="42"/>
      <c r="D2" s="42"/>
      <c r="E2" s="42"/>
      <c r="F2" s="42"/>
      <c r="G2" s="42"/>
      <c r="H2" s="42"/>
      <c r="I2" s="42"/>
      <c r="J2" s="42"/>
      <c r="K2" s="42"/>
      <c r="L2" s="42"/>
      <c r="M2" s="42"/>
      <c r="N2" s="42"/>
      <c r="O2" s="42"/>
      <c r="P2" s="42"/>
      <c r="Q2" s="42"/>
      <c r="R2" s="42"/>
      <c r="S2" s="42"/>
      <c r="T2" s="42"/>
      <c r="U2" s="42"/>
      <c r="V2" s="42"/>
      <c r="W2" s="24"/>
    </row>
    <row r="3" spans="1:23" ht="14.25" customHeight="1" x14ac:dyDescent="0.6">
      <c r="A3" s="24"/>
      <c r="B3" s="24"/>
      <c r="C3" s="24"/>
      <c r="D3" s="24"/>
      <c r="E3" s="24"/>
      <c r="F3" s="24"/>
      <c r="G3" s="24"/>
      <c r="H3" s="24"/>
      <c r="I3" s="24"/>
      <c r="J3" s="24"/>
      <c r="K3" s="24"/>
      <c r="L3" s="24"/>
      <c r="M3" s="24"/>
      <c r="N3" s="24"/>
      <c r="O3" s="24"/>
      <c r="P3" s="24"/>
      <c r="Q3" s="24"/>
      <c r="R3" s="24"/>
      <c r="S3" s="24"/>
      <c r="T3" s="24"/>
      <c r="U3" s="24"/>
      <c r="V3" s="24"/>
      <c r="W3" s="24"/>
    </row>
    <row r="4" spans="1:23" ht="14.25" customHeight="1" x14ac:dyDescent="0.6">
      <c r="A4" s="24"/>
      <c r="B4" s="24"/>
      <c r="C4" s="24" t="s">
        <v>433</v>
      </c>
      <c r="D4" s="24" t="s">
        <v>434</v>
      </c>
      <c r="E4" s="24" t="s">
        <v>435</v>
      </c>
      <c r="F4" s="24" t="s">
        <v>436</v>
      </c>
      <c r="G4" s="24" t="s">
        <v>437</v>
      </c>
      <c r="H4" s="24" t="s">
        <v>438</v>
      </c>
      <c r="I4" s="24" t="s">
        <v>439</v>
      </c>
      <c r="J4" s="24" t="s">
        <v>440</v>
      </c>
      <c r="K4" s="24" t="s">
        <v>441</v>
      </c>
      <c r="L4" s="24" t="s">
        <v>442</v>
      </c>
      <c r="M4" s="24" t="s">
        <v>443</v>
      </c>
      <c r="N4" s="24" t="s">
        <v>444</v>
      </c>
      <c r="O4" s="24" t="s">
        <v>213</v>
      </c>
      <c r="P4" s="24" t="s">
        <v>214</v>
      </c>
      <c r="Q4" s="24" t="s">
        <v>215</v>
      </c>
      <c r="R4" s="24" t="s">
        <v>216</v>
      </c>
      <c r="S4" s="24" t="s">
        <v>217</v>
      </c>
      <c r="T4" s="24" t="s">
        <v>218</v>
      </c>
      <c r="U4" s="24" t="s">
        <v>219</v>
      </c>
      <c r="V4" s="24" t="s">
        <v>220</v>
      </c>
      <c r="W4" s="24" t="s">
        <v>221</v>
      </c>
    </row>
    <row r="5" spans="1:23" ht="14.25" customHeight="1" x14ac:dyDescent="0.6">
      <c r="A5" s="273" t="s">
        <v>225</v>
      </c>
      <c r="B5" s="24" t="s">
        <v>226</v>
      </c>
      <c r="C5" s="24">
        <v>-6.9554754467705093</v>
      </c>
      <c r="D5" s="24">
        <v>-0.68871672599660805</v>
      </c>
      <c r="E5" s="24">
        <v>1.8841139917050844</v>
      </c>
      <c r="F5" s="24">
        <v>9.9604797808122516</v>
      </c>
      <c r="G5" s="24">
        <v>4.7272028180080685</v>
      </c>
      <c r="H5" s="24">
        <v>-0.22988558494168687</v>
      </c>
      <c r="I5" s="24">
        <v>0.3234806722405133</v>
      </c>
      <c r="J5" s="24">
        <v>5.4384197946033632</v>
      </c>
      <c r="K5" s="24">
        <v>7.2315268320945396</v>
      </c>
      <c r="L5" s="24">
        <v>2.8783891809409243</v>
      </c>
      <c r="M5" s="24">
        <v>-6.3447311027987467</v>
      </c>
      <c r="N5" s="24">
        <v>4.0011138715265941</v>
      </c>
      <c r="O5" s="24">
        <v>-0.98557483230305643</v>
      </c>
      <c r="P5" s="24">
        <v>1.8669116831822825</v>
      </c>
      <c r="Q5" s="24">
        <v>0.46550080017963502</v>
      </c>
      <c r="R5" s="24">
        <v>-7.6909844760966299</v>
      </c>
      <c r="S5" s="24">
        <v>1.2531023463945128</v>
      </c>
      <c r="T5" s="24">
        <v>2.1415023964902318</v>
      </c>
      <c r="U5" s="24">
        <v>2.1017424647135292</v>
      </c>
      <c r="V5" s="24">
        <v>1.8077851797789863</v>
      </c>
      <c r="W5" s="24">
        <v>2.3428211785032627</v>
      </c>
    </row>
    <row r="6" spans="1:23" ht="14.25" customHeight="1" x14ac:dyDescent="0.6">
      <c r="A6" s="274"/>
      <c r="B6" s="24" t="s">
        <v>228</v>
      </c>
      <c r="C6" s="24">
        <v>2.0192483278997515</v>
      </c>
      <c r="D6" s="24">
        <v>2.2098070251788013</v>
      </c>
      <c r="E6" s="24">
        <v>1.9155716373966136</v>
      </c>
      <c r="F6" s="24">
        <v>1.7744114211037523</v>
      </c>
      <c r="G6" s="24">
        <v>1.8716787600956999</v>
      </c>
      <c r="H6" s="24">
        <v>2.0135432902097974</v>
      </c>
      <c r="I6" s="24">
        <v>2.1032469520140329</v>
      </c>
      <c r="J6" s="24">
        <v>2.4628901854814287</v>
      </c>
      <c r="K6" s="24">
        <v>2.2830565200078357</v>
      </c>
      <c r="L6" s="24">
        <v>0.84325917821684993</v>
      </c>
      <c r="M6" s="24">
        <v>1.2679762360392246</v>
      </c>
      <c r="N6" s="24">
        <v>1.5214751656261685</v>
      </c>
      <c r="O6" s="24">
        <v>1.4498998506247895</v>
      </c>
      <c r="P6" s="24">
        <v>1.3474440144474802</v>
      </c>
      <c r="Q6" s="24">
        <v>1.1453251067889823</v>
      </c>
      <c r="R6" s="24">
        <v>0.84705262789037439</v>
      </c>
      <c r="S6" s="24">
        <v>1.3371999630149238</v>
      </c>
      <c r="T6" s="24">
        <v>1.4862498689848065</v>
      </c>
      <c r="U6" s="24">
        <v>1.6658316524523569</v>
      </c>
      <c r="V6" s="24">
        <v>1.7652250798333733</v>
      </c>
      <c r="W6" s="24">
        <v>1.8079974375804408</v>
      </c>
    </row>
    <row r="7" spans="1:23" ht="14.25" customHeight="1" x14ac:dyDescent="0.6">
      <c r="A7" s="274"/>
      <c r="B7" s="24" t="s">
        <v>230</v>
      </c>
      <c r="C7" s="24">
        <v>-6.206546757529523</v>
      </c>
      <c r="D7" s="24">
        <v>-1.7382942297291883</v>
      </c>
      <c r="E7" s="24">
        <v>5.5378263136085728</v>
      </c>
      <c r="F7" s="24">
        <v>16.17889273628872</v>
      </c>
      <c r="G7" s="24">
        <v>9.8051284101605365</v>
      </c>
      <c r="H7" s="24">
        <v>2.7291775577392796</v>
      </c>
      <c r="I7" s="24">
        <v>3.0086614158293776</v>
      </c>
      <c r="J7" s="24">
        <v>9.2821187111686392</v>
      </c>
      <c r="K7" s="24">
        <v>6.8290982273733123</v>
      </c>
      <c r="L7" s="24">
        <v>-4.0750777563511971</v>
      </c>
      <c r="M7" s="24">
        <v>0.65218753720567813</v>
      </c>
      <c r="N7" s="24">
        <v>6.4048359898057319</v>
      </c>
      <c r="O7" s="24">
        <v>-3.3156393258251975</v>
      </c>
      <c r="P7" s="24">
        <v>2.3647716722497605</v>
      </c>
      <c r="Q7" s="24">
        <v>0.30301287006153294</v>
      </c>
      <c r="R7" s="24">
        <v>-11.450199601794749</v>
      </c>
      <c r="S7" s="24">
        <v>1.4162709712956023</v>
      </c>
      <c r="T7" s="24">
        <v>2.3578999522817177</v>
      </c>
      <c r="U7" s="24">
        <v>2.3998669536865784</v>
      </c>
      <c r="V7" s="24">
        <v>2.3106744623122708</v>
      </c>
      <c r="W7" s="24">
        <v>2.8904062057948958</v>
      </c>
    </row>
    <row r="8" spans="1:23" ht="14.25" customHeight="1" x14ac:dyDescent="0.6">
      <c r="A8" s="274"/>
      <c r="B8" s="24" t="s">
        <v>232</v>
      </c>
      <c r="C8" s="24">
        <v>4.1951161696775818</v>
      </c>
      <c r="D8" s="24">
        <v>1.3230842029523429</v>
      </c>
      <c r="E8" s="24">
        <v>1.4770955251761806</v>
      </c>
      <c r="F8" s="24">
        <v>1.7429181536496565</v>
      </c>
      <c r="G8" s="24">
        <v>3.4805245263767115</v>
      </c>
      <c r="H8" s="24">
        <v>2.816860830000484</v>
      </c>
      <c r="I8" s="24">
        <v>3.2976304567233066</v>
      </c>
      <c r="J8" s="24">
        <v>2.9474895637375389</v>
      </c>
      <c r="K8" s="24">
        <v>0.44924881247660631</v>
      </c>
      <c r="L8" s="24">
        <v>-3.4354520037166938</v>
      </c>
      <c r="M8" s="24">
        <v>3.1218484993066697</v>
      </c>
      <c r="N8" s="24">
        <v>2.2213747898295773</v>
      </c>
      <c r="O8" s="24">
        <v>1.0636319124395994</v>
      </c>
      <c r="P8" s="24">
        <v>1.2502206980324804</v>
      </c>
      <c r="Q8" s="24">
        <v>1.7440202588471945</v>
      </c>
      <c r="R8" s="24">
        <v>1.9273074899036995</v>
      </c>
      <c r="S8" s="24">
        <v>2.2413203155787125</v>
      </c>
      <c r="T8" s="24">
        <v>2.1130838277810837</v>
      </c>
      <c r="U8" s="24">
        <v>2.0325399430141378</v>
      </c>
      <c r="V8" s="24">
        <v>1.9911378274109373</v>
      </c>
      <c r="W8" s="24">
        <v>1.8914638175296037</v>
      </c>
    </row>
    <row r="9" spans="1:23" ht="14.25" customHeight="1" x14ac:dyDescent="0.6">
      <c r="A9" s="274"/>
      <c r="B9" s="24" t="s">
        <v>234</v>
      </c>
      <c r="C9" s="24">
        <v>4.2435342174772259</v>
      </c>
      <c r="D9" s="24">
        <v>0.9999376223164228</v>
      </c>
      <c r="E9" s="24">
        <v>0.89992972597156828</v>
      </c>
      <c r="F9" s="24">
        <v>1.8044260502013754</v>
      </c>
      <c r="G9" s="24">
        <v>3.1249394987560191</v>
      </c>
      <c r="H9" s="24">
        <v>2.5199806532552853</v>
      </c>
      <c r="I9" s="24">
        <v>2.9245869494294134</v>
      </c>
      <c r="J9" s="24">
        <v>2.6974293724730698</v>
      </c>
      <c r="K9" s="24">
        <v>0.31807982337253787</v>
      </c>
      <c r="L9" s="24">
        <v>-3.027503864489633</v>
      </c>
      <c r="M9" s="24">
        <v>3.0459235908661104</v>
      </c>
      <c r="N9" s="24">
        <v>2.2348845967437314</v>
      </c>
      <c r="O9" s="24">
        <v>0.96590349268687192</v>
      </c>
      <c r="P9" s="24">
        <v>1.0616451535195637</v>
      </c>
      <c r="Q9" s="24">
        <v>1.7366033812918724</v>
      </c>
      <c r="R9" s="24">
        <v>2.20047236043309</v>
      </c>
      <c r="S9" s="24">
        <v>2.4334338536301026</v>
      </c>
      <c r="T9" s="24">
        <v>2.2512915582335493</v>
      </c>
      <c r="U9" s="24">
        <v>2.1665498861825383</v>
      </c>
      <c r="V9" s="24">
        <v>2.1319711611512333</v>
      </c>
      <c r="W9" s="24">
        <v>2.0313772224101525</v>
      </c>
    </row>
    <row r="10" spans="1:23" ht="14.25" customHeight="1" x14ac:dyDescent="0.6">
      <c r="A10" s="274"/>
      <c r="B10" s="24" t="s">
        <v>236</v>
      </c>
      <c r="C10" s="24">
        <v>2.1936777894157706</v>
      </c>
      <c r="D10" s="24">
        <v>2.6001864426730892</v>
      </c>
      <c r="E10" s="24">
        <v>1.9447989656276465</v>
      </c>
      <c r="F10" s="24">
        <v>1.81913654237591</v>
      </c>
      <c r="G10" s="24">
        <v>1.7845186481639825</v>
      </c>
      <c r="H10" s="24">
        <v>2.081888114479074</v>
      </c>
      <c r="I10" s="24">
        <v>2.1656247399467863</v>
      </c>
      <c r="J10" s="24">
        <v>2.0778247153929321</v>
      </c>
      <c r="K10" s="24">
        <v>3.480053172959976</v>
      </c>
      <c r="L10" s="24">
        <v>0.36875951396901036</v>
      </c>
      <c r="M10" s="24">
        <v>1.6031410236888335</v>
      </c>
      <c r="N10" s="24">
        <v>2.8656452862583115</v>
      </c>
      <c r="O10" s="24">
        <v>2.2015136018559462</v>
      </c>
      <c r="P10" s="24">
        <v>1.4634035712107916</v>
      </c>
      <c r="Q10" s="24">
        <v>0.99119605913012632</v>
      </c>
      <c r="R10" s="24">
        <v>0.33850563457316546</v>
      </c>
      <c r="S10" s="24">
        <v>1.3347293347799345</v>
      </c>
      <c r="T10" s="24">
        <v>1.658313841713579</v>
      </c>
      <c r="U10" s="24">
        <v>1.8172027069453045</v>
      </c>
      <c r="V10" s="24">
        <v>1.9261979344748146</v>
      </c>
      <c r="W10" s="24">
        <v>1.9674989426077447</v>
      </c>
    </row>
    <row r="11" spans="1:23" ht="14.25" customHeight="1" x14ac:dyDescent="0.6">
      <c r="A11" s="274"/>
      <c r="B11" s="24" t="s">
        <v>238</v>
      </c>
      <c r="C11" s="24">
        <v>-6.0457699110511136</v>
      </c>
      <c r="D11" s="24">
        <v>-1.361042085234746</v>
      </c>
      <c r="E11" s="24">
        <v>5.5615563470974747</v>
      </c>
      <c r="F11" s="24">
        <v>16.208776224020212</v>
      </c>
      <c r="G11" s="24">
        <v>9.7031438319453702</v>
      </c>
      <c r="H11" s="24">
        <v>2.7982566928190091</v>
      </c>
      <c r="I11" s="24">
        <v>3.0699970917887454</v>
      </c>
      <c r="J11" s="24">
        <v>8.8580214389503205</v>
      </c>
      <c r="K11" s="24">
        <v>8.0933363572885764</v>
      </c>
      <c r="L11" s="24">
        <v>-4.5265069848706334</v>
      </c>
      <c r="M11" s="24">
        <v>0.9670746796883084</v>
      </c>
      <c r="N11" s="24">
        <v>7.8122599424985548</v>
      </c>
      <c r="O11" s="24">
        <v>-2.6055764140672184</v>
      </c>
      <c r="P11" s="24">
        <v>2.4706152934886316</v>
      </c>
      <c r="Q11" s="24">
        <v>0.14682948654216516</v>
      </c>
      <c r="R11" s="24">
        <v>-11.904569848526279</v>
      </c>
      <c r="S11" s="24">
        <v>1.4131868170114492</v>
      </c>
      <c r="T11" s="24">
        <v>2.5323886149518664</v>
      </c>
      <c r="U11" s="24">
        <v>2.5527734916338138</v>
      </c>
      <c r="V11" s="24">
        <v>2.4730851855937543</v>
      </c>
      <c r="W11" s="24">
        <v>3.051901098361204</v>
      </c>
    </row>
    <row r="12" spans="1:23" ht="14.25" customHeight="1" x14ac:dyDescent="0.6">
      <c r="A12" s="274"/>
      <c r="B12" s="24" t="s">
        <v>240</v>
      </c>
      <c r="C12" s="24">
        <v>-1.2232061871523854</v>
      </c>
      <c r="D12" s="24">
        <v>-2.6873276254407115</v>
      </c>
      <c r="E12" s="24">
        <v>0.61484095512088521</v>
      </c>
      <c r="F12" s="24">
        <v>9.257182398157056</v>
      </c>
      <c r="G12" s="24">
        <v>8.1673486130272046</v>
      </c>
      <c r="H12" s="24">
        <v>4.924356150759114</v>
      </c>
      <c r="I12" s="24">
        <v>3.8931291549050666</v>
      </c>
      <c r="J12" s="24">
        <v>7.1460320705303628</v>
      </c>
      <c r="K12" s="24">
        <v>11.808839884249638</v>
      </c>
      <c r="L12" s="24">
        <v>-10.179495116945763</v>
      </c>
      <c r="M12" s="24">
        <v>3.9741400203160508</v>
      </c>
      <c r="N12" s="24">
        <v>10.136012571006939</v>
      </c>
      <c r="O12" s="24">
        <v>-1.5675550179870277</v>
      </c>
      <c r="P12" s="24">
        <v>0.89269619852014548</v>
      </c>
      <c r="Q12" s="24">
        <v>-0.43134805484576794</v>
      </c>
      <c r="R12" s="24">
        <v>-11.134424377464963</v>
      </c>
      <c r="S12" s="24">
        <v>0.19584133353357322</v>
      </c>
      <c r="T12" s="24">
        <v>0.8813045683822851</v>
      </c>
      <c r="U12" s="24">
        <v>0.80574123186062385</v>
      </c>
      <c r="V12" s="24">
        <v>0.63271142990349494</v>
      </c>
      <c r="W12" s="24">
        <v>1.1166566382626684</v>
      </c>
    </row>
    <row r="13" spans="1:23" ht="14.25" customHeight="1" x14ac:dyDescent="0.6">
      <c r="A13" s="274"/>
      <c r="B13" s="24" t="s">
        <v>242</v>
      </c>
      <c r="C13" s="24">
        <v>12.504518973763236</v>
      </c>
      <c r="D13" s="24">
        <v>-0.24975561462285245</v>
      </c>
      <c r="E13" s="24">
        <v>3.6978140767487697</v>
      </c>
      <c r="F13" s="24">
        <v>4.148904450215948</v>
      </c>
      <c r="G13" s="24">
        <v>9.5049293743140275</v>
      </c>
      <c r="H13" s="24">
        <v>6.2034373038297517</v>
      </c>
      <c r="I13" s="24">
        <v>7.2203346922213374</v>
      </c>
      <c r="J13" s="24">
        <v>4.9549957300699701</v>
      </c>
      <c r="K13" s="24">
        <v>-0.46021701416979388</v>
      </c>
      <c r="L13" s="24">
        <v>-11.868361075456921</v>
      </c>
      <c r="M13" s="24">
        <v>11.340355285129499</v>
      </c>
      <c r="N13" s="24">
        <v>5.3606141538168819</v>
      </c>
      <c r="O13" s="24">
        <v>1.0331273158957344</v>
      </c>
      <c r="P13" s="24">
        <v>1.6732216294578188</v>
      </c>
      <c r="Q13" s="24">
        <v>2.9944281015034555</v>
      </c>
      <c r="R13" s="24">
        <v>4.6657827762738071</v>
      </c>
      <c r="S13" s="24">
        <v>4.7976499140234532</v>
      </c>
      <c r="T13" s="24">
        <v>4.7667950878147645</v>
      </c>
      <c r="U13" s="24">
        <v>4.8228974928648567</v>
      </c>
      <c r="V13" s="24">
        <v>4.9708661079592336</v>
      </c>
      <c r="W13" s="24">
        <v>5.0037764880955544</v>
      </c>
    </row>
    <row r="14" spans="1:23" ht="14.25" customHeight="1" x14ac:dyDescent="0.6">
      <c r="A14" s="274"/>
      <c r="B14" s="24" t="s">
        <v>244</v>
      </c>
      <c r="C14" s="24">
        <v>-0.33782147671981894</v>
      </c>
      <c r="D14" s="24">
        <v>-3.2837285167776664</v>
      </c>
      <c r="E14" s="24">
        <v>0.10556480677394717</v>
      </c>
      <c r="F14" s="24">
        <v>8.5977672799420208</v>
      </c>
      <c r="G14" s="24">
        <v>8.8047432423217291</v>
      </c>
      <c r="H14" s="24">
        <v>5.4547484840961245</v>
      </c>
      <c r="I14" s="24">
        <v>4.3284669870736092</v>
      </c>
      <c r="J14" s="24">
        <v>6.8518117259482221</v>
      </c>
      <c r="K14" s="24">
        <v>11.850879127331609</v>
      </c>
      <c r="L14" s="24">
        <v>-11.945275176282317</v>
      </c>
      <c r="M14" s="24">
        <v>4.8434853028056475</v>
      </c>
      <c r="N14" s="24">
        <v>11.714548483330558</v>
      </c>
      <c r="O14" s="24">
        <v>-1.8307519354550903</v>
      </c>
      <c r="P14" s="24">
        <v>0.60537728799576562</v>
      </c>
      <c r="Q14" s="24">
        <v>-1.2348247748286716</v>
      </c>
      <c r="R14" s="24">
        <v>-11.325628233336515</v>
      </c>
      <c r="S14" s="24">
        <v>0.26641762252481133</v>
      </c>
      <c r="T14" s="24">
        <v>0.86833556935603184</v>
      </c>
      <c r="U14" s="24">
        <v>0.79974369794006428</v>
      </c>
      <c r="V14" s="24">
        <v>0.60042265605372191</v>
      </c>
      <c r="W14" s="24">
        <v>1.037440120811284</v>
      </c>
    </row>
    <row r="15" spans="1:23" ht="14.25" customHeight="1" x14ac:dyDescent="0.6">
      <c r="A15" s="274"/>
      <c r="B15" s="24" t="s">
        <v>246</v>
      </c>
      <c r="C15" s="24">
        <v>12.684378878621974</v>
      </c>
      <c r="D15" s="24">
        <v>-0.46226358630363368</v>
      </c>
      <c r="E15" s="24">
        <v>3.8566738899849833</v>
      </c>
      <c r="F15" s="24">
        <v>4.9535928016772148</v>
      </c>
      <c r="G15" s="24">
        <v>9.3861126372519603</v>
      </c>
      <c r="H15" s="24">
        <v>6.5110056215152818</v>
      </c>
      <c r="I15" s="24">
        <v>7.4916234007801972</v>
      </c>
      <c r="J15" s="24">
        <v>4.5793736506177938</v>
      </c>
      <c r="K15" s="24">
        <v>-0.94888685766186676</v>
      </c>
      <c r="L15" s="24">
        <v>-13.074796190963268</v>
      </c>
      <c r="M15" s="24">
        <v>12.847310266151959</v>
      </c>
      <c r="N15" s="24">
        <v>5.6474279678365509</v>
      </c>
      <c r="O15" s="24">
        <v>0.57273841811784432</v>
      </c>
      <c r="P15" s="24">
        <v>1.3281047705422007</v>
      </c>
      <c r="Q15" s="24">
        <v>3.0937209184540748</v>
      </c>
      <c r="R15" s="24">
        <v>4.5286887458042875</v>
      </c>
      <c r="S15" s="24">
        <v>4.899204419528683</v>
      </c>
      <c r="T15" s="24">
        <v>4.9343135654877939</v>
      </c>
      <c r="U15" s="24">
        <v>4.9866684043757452</v>
      </c>
      <c r="V15" s="24">
        <v>5.1315873227511943</v>
      </c>
      <c r="W15" s="24">
        <v>5.1795196474230103</v>
      </c>
    </row>
    <row r="16" spans="1:23" ht="14.25" customHeight="1" x14ac:dyDescent="0.6">
      <c r="A16" s="274"/>
      <c r="B16" s="24" t="s">
        <v>248</v>
      </c>
      <c r="C16" s="24">
        <v>-3.7949309637120874</v>
      </c>
      <c r="D16" s="24">
        <v>-2.0254948573585705</v>
      </c>
      <c r="E16" s="24">
        <v>-0.43861342847575563</v>
      </c>
      <c r="F16" s="24">
        <v>8.0746012951166204</v>
      </c>
      <c r="G16" s="24">
        <v>6.7769748908798437</v>
      </c>
      <c r="H16" s="24">
        <v>2.1592271354850077</v>
      </c>
      <c r="I16" s="24">
        <v>2.2265929166500729</v>
      </c>
      <c r="J16" s="24">
        <v>6.3069626086173063</v>
      </c>
      <c r="K16" s="24">
        <v>8.0289297123743246</v>
      </c>
      <c r="L16" s="24">
        <v>-7.1889656497368142</v>
      </c>
      <c r="M16" s="24">
        <v>1.9221953457343253</v>
      </c>
      <c r="N16" s="24">
        <v>8.6021632491168596</v>
      </c>
      <c r="O16" s="24">
        <v>-2.5810960358140749</v>
      </c>
      <c r="P16" s="24">
        <v>1.1289042979279473</v>
      </c>
      <c r="Q16" s="24">
        <v>-0.1998825491903638</v>
      </c>
      <c r="R16" s="24">
        <v>-6.8269782960412551</v>
      </c>
      <c r="S16" s="24">
        <v>-0.37898525152222051</v>
      </c>
      <c r="T16" s="24">
        <v>0.29950054069669763</v>
      </c>
      <c r="U16" s="24">
        <v>0.30637417022655639</v>
      </c>
      <c r="V16" s="24">
        <v>0.39402207977537484</v>
      </c>
      <c r="W16" s="24">
        <v>1.0817565233867446</v>
      </c>
    </row>
    <row r="17" spans="1:23" ht="14.25" customHeight="1" x14ac:dyDescent="0.6">
      <c r="A17" s="274"/>
      <c r="B17" s="24" t="s">
        <v>250</v>
      </c>
      <c r="C17" s="24">
        <v>13.083889471775032</v>
      </c>
      <c r="D17" s="24">
        <v>-1.2255229663117801</v>
      </c>
      <c r="E17" s="24">
        <v>4.849454122728118</v>
      </c>
      <c r="F17" s="24">
        <v>4.4034543002904503</v>
      </c>
      <c r="G17" s="24">
        <v>10.447292496624877</v>
      </c>
      <c r="H17" s="24">
        <v>7.364453270941552</v>
      </c>
      <c r="I17" s="24">
        <v>8.36519414306672</v>
      </c>
      <c r="J17" s="24">
        <v>5.2962002476795211</v>
      </c>
      <c r="K17" s="24">
        <v>-1.1871457455107512</v>
      </c>
      <c r="L17" s="24">
        <v>-14.230709975123636</v>
      </c>
      <c r="M17" s="24">
        <v>14.788847588656294</v>
      </c>
      <c r="N17" s="24">
        <v>6.1709275062079714</v>
      </c>
      <c r="O17" s="24">
        <v>1.2840104175807947</v>
      </c>
      <c r="P17" s="24">
        <v>1.794892960974976</v>
      </c>
      <c r="Q17" s="24">
        <v>3.8867431016995333</v>
      </c>
      <c r="R17" s="24">
        <v>3.5760385755588531</v>
      </c>
      <c r="S17" s="24">
        <v>5.7547100879031197</v>
      </c>
      <c r="T17" s="24">
        <v>5.4403153612718382</v>
      </c>
      <c r="U17" s="24">
        <v>5.5076977536743152</v>
      </c>
      <c r="V17" s="24">
        <v>5.4778191163070478</v>
      </c>
      <c r="W17" s="24">
        <v>5.3679663944495726</v>
      </c>
    </row>
    <row r="18" spans="1:23" ht="14.25" customHeight="1" x14ac:dyDescent="0.6">
      <c r="A18" s="274"/>
      <c r="B18" s="24" t="s">
        <v>252</v>
      </c>
      <c r="C18" s="24">
        <v>-4.1758482005779411</v>
      </c>
      <c r="D18" s="24">
        <v>-3.0003780841176102</v>
      </c>
      <c r="E18" s="24">
        <v>2.099947946346941</v>
      </c>
      <c r="F18" s="24">
        <v>12.041897115769169</v>
      </c>
      <c r="G18" s="24">
        <v>10.072075644875927</v>
      </c>
      <c r="H18" s="24">
        <v>3.6859432004041675</v>
      </c>
      <c r="I18" s="24">
        <v>3.2605777129711018</v>
      </c>
      <c r="J18" s="24">
        <v>8.4816403750500999</v>
      </c>
      <c r="K18" s="24">
        <v>10.345153295502918</v>
      </c>
      <c r="L18" s="24">
        <v>-9.0147337502043268</v>
      </c>
      <c r="M18" s="24">
        <v>2.9812084623449859</v>
      </c>
      <c r="N18" s="24">
        <v>9.4191029890644753</v>
      </c>
      <c r="O18" s="24">
        <v>-3.3478399722878516</v>
      </c>
      <c r="P18" s="24">
        <v>1.0158064947834917</v>
      </c>
      <c r="Q18" s="24">
        <v>-0.79229624548296962</v>
      </c>
      <c r="R18" s="24">
        <v>-12.081240721052266</v>
      </c>
      <c r="S18" s="24">
        <v>0.83676784202964394</v>
      </c>
      <c r="T18" s="24">
        <v>1.265872140530824</v>
      </c>
      <c r="U18" s="24">
        <v>1.2951190689605003</v>
      </c>
      <c r="V18" s="24">
        <v>1.1215131556565763</v>
      </c>
      <c r="W18" s="24">
        <v>1.6709035981851081</v>
      </c>
    </row>
    <row r="19" spans="1:23" ht="14.25" customHeight="1" x14ac:dyDescent="0.6">
      <c r="A19" s="274"/>
      <c r="B19" s="24" t="s">
        <v>254</v>
      </c>
      <c r="C19" s="24">
        <v>11.689459169652187</v>
      </c>
      <c r="D19" s="24">
        <v>0.60432092035425</v>
      </c>
      <c r="E19" s="24">
        <v>3.1876929754437411</v>
      </c>
      <c r="F19" s="24">
        <v>2.6232656992845462</v>
      </c>
      <c r="G19" s="24">
        <v>9.8730170844733234</v>
      </c>
      <c r="H19" s="24">
        <v>5.7283771045543315</v>
      </c>
      <c r="I19" s="24">
        <v>8.2564418359545755</v>
      </c>
      <c r="J19" s="24">
        <v>6.8778893397777869</v>
      </c>
      <c r="K19" s="24">
        <v>1.5379895366619398</v>
      </c>
      <c r="L19" s="24">
        <v>-11.300820172947795</v>
      </c>
      <c r="M19" s="24">
        <v>10.952455100127979</v>
      </c>
      <c r="N19" s="24">
        <v>5.7123882590247836</v>
      </c>
      <c r="O19" s="24">
        <v>2.0299510223138171</v>
      </c>
      <c r="P19" s="24">
        <v>2.3237133835874801</v>
      </c>
      <c r="Q19" s="24">
        <v>3.140549790071558</v>
      </c>
      <c r="R19" s="24">
        <v>3.6073157738830561</v>
      </c>
      <c r="S19" s="24">
        <v>3.9425613414207872</v>
      </c>
      <c r="T19" s="24">
        <v>4.1061529578605933</v>
      </c>
      <c r="U19" s="24">
        <v>4.2006383208008904</v>
      </c>
      <c r="V19" s="24">
        <v>4.328092550936975</v>
      </c>
      <c r="W19" s="24">
        <v>4.2720158102038557</v>
      </c>
    </row>
    <row r="20" spans="1:23" ht="14.25" customHeight="1" x14ac:dyDescent="0.6">
      <c r="A20" s="274"/>
      <c r="B20" s="24" t="s">
        <v>256</v>
      </c>
      <c r="C20" s="24">
        <v>-3.5970993534616662</v>
      </c>
      <c r="D20" s="24">
        <v>-3.5891183449400876</v>
      </c>
      <c r="E20" s="24">
        <v>1.3972258944193232</v>
      </c>
      <c r="F20" s="24">
        <v>11.579189314997313</v>
      </c>
      <c r="G20" s="24">
        <v>10.542954440216629</v>
      </c>
      <c r="H20" s="24">
        <v>3.812480196174945</v>
      </c>
      <c r="I20" s="24">
        <v>3.4739680236941992</v>
      </c>
      <c r="J20" s="24">
        <v>8.3627090542988984</v>
      </c>
      <c r="K20" s="24">
        <v>9.6914553612857457</v>
      </c>
      <c r="L20" s="24">
        <v>-10.565249663715894</v>
      </c>
      <c r="M20" s="24">
        <v>3.6299409076673941</v>
      </c>
      <c r="N20" s="24">
        <v>10.628403590653701</v>
      </c>
      <c r="O20" s="24">
        <v>-3.6967764797159663</v>
      </c>
      <c r="P20" s="24">
        <v>0.6929148500719039</v>
      </c>
      <c r="Q20" s="24">
        <v>-1.5637121614046317</v>
      </c>
      <c r="R20" s="24">
        <v>-12.182194634744418</v>
      </c>
      <c r="S20" s="24">
        <v>0.93845292038547756</v>
      </c>
      <c r="T20" s="24">
        <v>1.2524107505118223</v>
      </c>
      <c r="U20" s="24">
        <v>1.2264012294894127</v>
      </c>
      <c r="V20" s="24">
        <v>1.0391657580416624</v>
      </c>
      <c r="W20" s="24">
        <v>1.5753549966647822</v>
      </c>
    </row>
    <row r="21" spans="1:23" ht="14.25" customHeight="1" x14ac:dyDescent="0.6">
      <c r="A21" s="274"/>
      <c r="B21" s="24" t="s">
        <v>258</v>
      </c>
      <c r="C21" s="24">
        <v>11.469756779717352</v>
      </c>
      <c r="D21" s="24">
        <v>0.62822341150745331</v>
      </c>
      <c r="E21" s="24">
        <v>2.8947689035757693</v>
      </c>
      <c r="F21" s="24">
        <v>3.0134839673912892</v>
      </c>
      <c r="G21" s="24">
        <v>8.9664052505258915</v>
      </c>
      <c r="H21" s="24">
        <v>5.6956058613391427</v>
      </c>
      <c r="I21" s="24">
        <v>8.5412635075937331</v>
      </c>
      <c r="J21" s="24">
        <v>5.9714672190644231</v>
      </c>
      <c r="K21" s="24">
        <v>1.0286777214413325</v>
      </c>
      <c r="L21" s="24">
        <v>-13.064460977763842</v>
      </c>
      <c r="M21" s="24">
        <v>12.88181742778481</v>
      </c>
      <c r="N21" s="24">
        <v>5.7880040509693007</v>
      </c>
      <c r="O21" s="24">
        <v>1.714693493498179</v>
      </c>
      <c r="P21" s="24">
        <v>1.8876740541851194</v>
      </c>
      <c r="Q21" s="24">
        <v>3.0091871284612286</v>
      </c>
      <c r="R21" s="24">
        <v>3.0263230734176387</v>
      </c>
      <c r="S21" s="24">
        <v>3.8467848621363907</v>
      </c>
      <c r="T21" s="24">
        <v>3.9485366525375958</v>
      </c>
      <c r="U21" s="24">
        <v>4.0054607045296118</v>
      </c>
      <c r="V21" s="24">
        <v>4.1729679146540786</v>
      </c>
      <c r="W21" s="24">
        <v>4.1098283280143777</v>
      </c>
    </row>
    <row r="22" spans="1:23" ht="14.25" customHeight="1" x14ac:dyDescent="0.6">
      <c r="A22" s="274"/>
      <c r="B22" s="24" t="s">
        <v>260</v>
      </c>
      <c r="C22" s="24">
        <v>-5.1161455736643662</v>
      </c>
      <c r="D22" s="24">
        <v>-3.3124167345358133</v>
      </c>
      <c r="E22" s="24">
        <v>1.2724090449754961</v>
      </c>
      <c r="F22" s="24">
        <v>11.493369017173487</v>
      </c>
      <c r="G22" s="24">
        <v>9.6858639151446493</v>
      </c>
      <c r="H22" s="24">
        <v>2.2336211001356028</v>
      </c>
      <c r="I22" s="24">
        <v>2.8650050956280584</v>
      </c>
      <c r="J22" s="24">
        <v>8.5521910481759758</v>
      </c>
      <c r="K22" s="24">
        <v>8.4515048702019051</v>
      </c>
      <c r="L22" s="24">
        <v>-8.7896814968150618</v>
      </c>
      <c r="M22" s="24">
        <v>2.5039071340547818</v>
      </c>
      <c r="N22" s="24">
        <v>9.3834995453422501</v>
      </c>
      <c r="O22" s="24">
        <v>-4.2235303940460307</v>
      </c>
      <c r="P22" s="24">
        <v>0.67703683204081222</v>
      </c>
      <c r="Q22" s="24">
        <v>-1.0481955918630459</v>
      </c>
      <c r="R22" s="24">
        <v>-9.4181505132497385</v>
      </c>
      <c r="S22" s="24">
        <v>0.50598031273825406</v>
      </c>
      <c r="T22" s="24">
        <v>0.85045414867455771</v>
      </c>
      <c r="U22" s="24">
        <v>0.90150401207310116</v>
      </c>
      <c r="V22" s="24">
        <v>0.91275776847599821</v>
      </c>
      <c r="W22" s="24">
        <v>1.6440274690669219</v>
      </c>
    </row>
    <row r="23" spans="1:23" ht="14.25" customHeight="1" x14ac:dyDescent="0.6">
      <c r="A23" s="274"/>
      <c r="B23" s="24" t="s">
        <v>262</v>
      </c>
      <c r="C23" s="24">
        <v>11.772710233595346</v>
      </c>
      <c r="D23" s="24">
        <v>0.39200413941055429</v>
      </c>
      <c r="E23" s="24">
        <v>3.0790959630219441</v>
      </c>
      <c r="F23" s="24">
        <v>2.811091539724516</v>
      </c>
      <c r="G23" s="24">
        <v>9.4776144595640819</v>
      </c>
      <c r="H23" s="24">
        <v>6.1714438490014913</v>
      </c>
      <c r="I23" s="24">
        <v>8.6994482377827484</v>
      </c>
      <c r="J23" s="24">
        <v>6.0715855609111822</v>
      </c>
      <c r="K23" s="24">
        <v>0.70518676566622163</v>
      </c>
      <c r="L23" s="24">
        <v>-13.824839715970642</v>
      </c>
      <c r="M23" s="24">
        <v>13.320808277452132</v>
      </c>
      <c r="N23" s="24">
        <v>5.5440297327593182</v>
      </c>
      <c r="O23" s="24">
        <v>1.3613039047636761</v>
      </c>
      <c r="P23" s="24">
        <v>1.6433003322246518</v>
      </c>
      <c r="Q23" s="24">
        <v>3.0224367256396376</v>
      </c>
      <c r="R23" s="24">
        <v>1.8825945093688545</v>
      </c>
      <c r="S23" s="24">
        <v>4.0750274854273378</v>
      </c>
      <c r="T23" s="24">
        <v>4.0934567343648434</v>
      </c>
      <c r="U23" s="24">
        <v>4.183384018114495</v>
      </c>
      <c r="V23" s="24">
        <v>4.3366668133697228</v>
      </c>
      <c r="W23" s="24">
        <v>4.1769681284496558</v>
      </c>
    </row>
    <row r="24" spans="1:23" ht="14.25" customHeight="1" x14ac:dyDescent="0.6">
      <c r="A24" s="273" t="s">
        <v>264</v>
      </c>
      <c r="B24" s="24" t="s">
        <v>226</v>
      </c>
      <c r="C24" s="24">
        <v>-7.0538332681601927</v>
      </c>
      <c r="D24" s="24">
        <v>-0.86721556503180308</v>
      </c>
      <c r="E24" s="24">
        <v>1.5336540736733282</v>
      </c>
      <c r="F24" s="24">
        <v>10.306128863847722</v>
      </c>
      <c r="G24" s="24">
        <v>5.1347881944692428</v>
      </c>
      <c r="H24" s="24">
        <v>0.22999774695022165</v>
      </c>
      <c r="I24" s="24">
        <v>0.29708134692174171</v>
      </c>
      <c r="J24" s="24">
        <v>5.525277398859088</v>
      </c>
      <c r="K24" s="24">
        <v>7.217843087900472</v>
      </c>
      <c r="L24" s="24">
        <v>2.5533598124774559</v>
      </c>
      <c r="M24" s="24">
        <v>-5.4751055000989837</v>
      </c>
      <c r="N24" s="24">
        <v>4.0160946671649693</v>
      </c>
      <c r="O24" s="24">
        <v>-1.0809918399244844</v>
      </c>
      <c r="P24" s="24">
        <v>1.7302049646857705</v>
      </c>
      <c r="Q24" s="24">
        <v>0.26881520862580222</v>
      </c>
      <c r="R24" s="24">
        <v>-7.9293130533779985</v>
      </c>
      <c r="S24" s="24">
        <v>1.2649076009134359</v>
      </c>
      <c r="T24" s="24">
        <v>2.2018988397494179</v>
      </c>
      <c r="U24" s="24">
        <v>2.1594756871060863</v>
      </c>
      <c r="V24" s="24">
        <v>1.8827493873987367</v>
      </c>
      <c r="W24" s="24">
        <v>2.395506235294472</v>
      </c>
    </row>
    <row r="25" spans="1:23" ht="14.25" customHeight="1" x14ac:dyDescent="0.6">
      <c r="A25" s="274"/>
      <c r="B25" s="24" t="s">
        <v>228</v>
      </c>
      <c r="C25" s="24">
        <v>12.149271664889984</v>
      </c>
      <c r="D25" s="24">
        <v>3.2219976422541503</v>
      </c>
      <c r="E25" s="24">
        <v>3.7274193746302307</v>
      </c>
      <c r="F25" s="24">
        <v>4.8247503694595464</v>
      </c>
      <c r="G25" s="24">
        <v>5.9040152181595253</v>
      </c>
      <c r="H25" s="24">
        <v>5.6053743536772265</v>
      </c>
      <c r="I25" s="24">
        <v>6.9658694926273332</v>
      </c>
      <c r="J25" s="24">
        <v>6.5563528193266141</v>
      </c>
      <c r="K25" s="24">
        <v>9.149647427176566</v>
      </c>
      <c r="L25" s="24">
        <v>4.0588983165810477</v>
      </c>
      <c r="M25" s="24">
        <v>5.5689510597609573</v>
      </c>
      <c r="N25" s="24">
        <v>8.3025504436531055</v>
      </c>
      <c r="O25" s="24">
        <v>5.9841284519690596</v>
      </c>
      <c r="P25" s="24">
        <v>3.225412041994042</v>
      </c>
      <c r="Q25" s="24">
        <v>3.1584375649909813</v>
      </c>
      <c r="R25" s="24">
        <v>1.8628596684596559</v>
      </c>
      <c r="S25" s="24">
        <v>3.7600899642570438</v>
      </c>
      <c r="T25" s="24">
        <v>3.5574661323886065</v>
      </c>
      <c r="U25" s="24">
        <v>3.5459377719448066</v>
      </c>
      <c r="V25" s="24">
        <v>3.467457353053411</v>
      </c>
      <c r="W25" s="24">
        <v>3.5259031007427835</v>
      </c>
    </row>
    <row r="26" spans="1:23" ht="14.25" customHeight="1" x14ac:dyDescent="0.6">
      <c r="A26" s="274"/>
      <c r="B26" s="24" t="s">
        <v>230</v>
      </c>
      <c r="C26" s="24">
        <v>-2.5667471267947559</v>
      </c>
      <c r="D26" s="24">
        <v>-3.4246158530364204</v>
      </c>
      <c r="E26" s="24">
        <v>2.0150471639150909</v>
      </c>
      <c r="F26" s="24">
        <v>8.7465000345991832</v>
      </c>
      <c r="G26" s="24">
        <v>9.3301704426219256</v>
      </c>
      <c r="H26" s="24">
        <v>6.658218459903658</v>
      </c>
      <c r="I26" s="24">
        <v>7.0028353215187487</v>
      </c>
      <c r="J26" s="24">
        <v>11.961966969872876</v>
      </c>
      <c r="K26" s="24">
        <v>10.084044098721067</v>
      </c>
      <c r="L26" s="24">
        <v>-3.6375508414751243</v>
      </c>
      <c r="M26" s="24">
        <v>4.0884950939266691</v>
      </c>
      <c r="N26" s="24">
        <v>4.9345931815335655</v>
      </c>
      <c r="O26" s="24">
        <v>4.0674484191665119</v>
      </c>
      <c r="P26" s="24">
        <v>1.3242871588754677</v>
      </c>
      <c r="Q26" s="24">
        <v>1.3522730993272742</v>
      </c>
      <c r="R26" s="24">
        <v>-7.5659238170891214</v>
      </c>
      <c r="S26" s="24">
        <v>1.6280539777069962</v>
      </c>
      <c r="T26" s="24">
        <v>2.5095923086805016</v>
      </c>
      <c r="U26" s="24">
        <v>2.4593593895157029</v>
      </c>
      <c r="V26" s="24">
        <v>2.499062362253694</v>
      </c>
      <c r="W26" s="24">
        <v>2.9924631738955765</v>
      </c>
    </row>
    <row r="27" spans="1:23" ht="14.25" customHeight="1" x14ac:dyDescent="0.6">
      <c r="A27" s="274"/>
      <c r="B27" s="24" t="s">
        <v>232</v>
      </c>
      <c r="C27" s="24">
        <v>3.7666416715626432</v>
      </c>
      <c r="D27" s="24">
        <v>2.7463392913701252</v>
      </c>
      <c r="E27" s="24">
        <v>4.5058311999596166</v>
      </c>
      <c r="F27" s="24">
        <v>5.4396667451675729</v>
      </c>
      <c r="G27" s="24">
        <v>6.4591565916255256</v>
      </c>
      <c r="H27" s="24">
        <v>6.2701954421987667</v>
      </c>
      <c r="I27" s="24">
        <v>6.567914447193405</v>
      </c>
      <c r="J27" s="24">
        <v>6.9839703982462895</v>
      </c>
      <c r="K27" s="24">
        <v>4.8731270032726384</v>
      </c>
      <c r="L27" s="24">
        <v>1.7412602976095124</v>
      </c>
      <c r="M27" s="24">
        <v>6.3323287682418625</v>
      </c>
      <c r="N27" s="24">
        <v>5.2911687490497687</v>
      </c>
      <c r="O27" s="24">
        <v>4.7504048476914384</v>
      </c>
      <c r="P27" s="24">
        <v>5.0131781194623271</v>
      </c>
      <c r="Q27" s="24">
        <v>5.3151312992822692</v>
      </c>
      <c r="R27" s="24">
        <v>4.9559147063991809</v>
      </c>
      <c r="S27" s="24">
        <v>4.825648513699103</v>
      </c>
      <c r="T27" s="24">
        <v>4.8536002497664912</v>
      </c>
      <c r="U27" s="24">
        <v>4.7998265183308471</v>
      </c>
      <c r="V27" s="24">
        <v>4.6614286467680435</v>
      </c>
      <c r="W27" s="24">
        <v>4.4379531405133825</v>
      </c>
    </row>
    <row r="28" spans="1:23" ht="14.25" customHeight="1" x14ac:dyDescent="0.6">
      <c r="A28" s="274"/>
      <c r="B28" s="24" t="s">
        <v>234</v>
      </c>
      <c r="C28" s="24">
        <v>4.2452048301476006</v>
      </c>
      <c r="D28" s="24">
        <v>3.6662942957125808</v>
      </c>
      <c r="E28" s="24">
        <v>3.4528754200933349</v>
      </c>
      <c r="F28" s="24">
        <v>5.5150374017066675</v>
      </c>
      <c r="G28" s="24">
        <v>6.4616845622879318</v>
      </c>
      <c r="H28" s="24">
        <v>7.5295594583051546</v>
      </c>
      <c r="I28" s="24">
        <v>7.4075750545702848</v>
      </c>
      <c r="J28" s="24">
        <v>7.6676634170608837</v>
      </c>
      <c r="K28" s="24">
        <v>5.6761607735511186</v>
      </c>
      <c r="L28" s="24">
        <v>2.4521053663257071</v>
      </c>
      <c r="M28" s="24">
        <v>7.6630866437946858</v>
      </c>
      <c r="N28" s="24">
        <v>5.8810541263720193</v>
      </c>
      <c r="O28" s="24">
        <v>5.3832785190840617</v>
      </c>
      <c r="P28" s="24">
        <v>5.4782280051111512</v>
      </c>
      <c r="Q28" s="24">
        <v>5.1801669636610965</v>
      </c>
      <c r="R28" s="24">
        <v>5.4324568779635829</v>
      </c>
      <c r="S28" s="24">
        <v>4.8130243692799421</v>
      </c>
      <c r="T28" s="24">
        <v>4.9285492623349993</v>
      </c>
      <c r="U28" s="24">
        <v>4.9476908006002693</v>
      </c>
      <c r="V28" s="24">
        <v>4.7481554590737769</v>
      </c>
      <c r="W28" s="24">
        <v>4.5958426982215572</v>
      </c>
    </row>
    <row r="29" spans="1:23" ht="14.25" customHeight="1" x14ac:dyDescent="0.6">
      <c r="A29" s="274"/>
      <c r="B29" s="24" t="s">
        <v>236</v>
      </c>
      <c r="C29" s="24">
        <v>10.218141841652622</v>
      </c>
      <c r="D29" s="24">
        <v>7.8456469185650235</v>
      </c>
      <c r="E29" s="24">
        <v>2.8731896153385232</v>
      </c>
      <c r="F29" s="24">
        <v>4.6389372538769571</v>
      </c>
      <c r="G29" s="24">
        <v>4.13891605865419</v>
      </c>
      <c r="H29" s="24">
        <v>5.2619372708810008</v>
      </c>
      <c r="I29" s="24">
        <v>5.1705386332202661</v>
      </c>
      <c r="J29" s="24">
        <v>5.298686811980506</v>
      </c>
      <c r="K29" s="24">
        <v>9.0763508841943903</v>
      </c>
      <c r="L29" s="24">
        <v>6.3996808873238047</v>
      </c>
      <c r="M29" s="24">
        <v>3.8978763148199858</v>
      </c>
      <c r="N29" s="24">
        <v>8.4473859951566688</v>
      </c>
      <c r="O29" s="24">
        <v>6.7191247776823593</v>
      </c>
      <c r="P29" s="24">
        <v>3.9884892854579737</v>
      </c>
      <c r="Q29" s="24">
        <v>3.7839932347295395</v>
      </c>
      <c r="R29" s="24">
        <v>3.7022051360404014</v>
      </c>
      <c r="S29" s="24">
        <v>3.8546730797605679</v>
      </c>
      <c r="T29" s="24">
        <v>3.7101175598599836</v>
      </c>
      <c r="U29" s="24">
        <v>3.6858241224753652</v>
      </c>
      <c r="V29" s="24">
        <v>3.7256815491094715</v>
      </c>
      <c r="W29" s="24">
        <v>3.7623841238401519</v>
      </c>
    </row>
    <row r="30" spans="1:23" ht="14.25" customHeight="1" x14ac:dyDescent="0.6">
      <c r="A30" s="274"/>
      <c r="B30" s="24" t="s">
        <v>238</v>
      </c>
      <c r="C30" s="24">
        <v>-4.5810231222295528</v>
      </c>
      <c r="D30" s="24">
        <v>-1.2148726008077346</v>
      </c>
      <c r="E30" s="24">
        <v>1.2090060048805145</v>
      </c>
      <c r="F30" s="24">
        <v>8.5439186919777157</v>
      </c>
      <c r="G30" s="24">
        <v>7.4922824707389655</v>
      </c>
      <c r="H30" s="24">
        <v>6.364950310704903</v>
      </c>
      <c r="I30" s="24">
        <v>5.210442023023405</v>
      </c>
      <c r="J30" s="24">
        <v>10.638435543152752</v>
      </c>
      <c r="K30" s="24">
        <v>9.997369548493495</v>
      </c>
      <c r="L30" s="24">
        <v>-1.3996940915186777</v>
      </c>
      <c r="M30" s="24">
        <v>2.4408433781896979</v>
      </c>
      <c r="N30" s="24">
        <v>4.9067564530512957</v>
      </c>
      <c r="O30" s="24">
        <v>4.7690614793872115</v>
      </c>
      <c r="P30" s="24">
        <v>2.0567482483181294</v>
      </c>
      <c r="Q30" s="24">
        <v>2.0422141113502459</v>
      </c>
      <c r="R30" s="24">
        <v>-5.7408407852977312</v>
      </c>
      <c r="S30" s="24">
        <v>1.7166453949234681</v>
      </c>
      <c r="T30" s="24">
        <v>2.6619207339303967</v>
      </c>
      <c r="U30" s="24">
        <v>2.5982741594355923</v>
      </c>
      <c r="V30" s="24">
        <v>2.7561881646308213</v>
      </c>
      <c r="W30" s="24">
        <v>3.2293345140795355</v>
      </c>
    </row>
    <row r="31" spans="1:23" ht="14.25" customHeight="1" x14ac:dyDescent="0.6">
      <c r="A31" s="274"/>
      <c r="B31" s="24" t="s">
        <v>240</v>
      </c>
      <c r="C31" s="24">
        <v>1.587551354115861</v>
      </c>
      <c r="D31" s="24">
        <v>19.984051573103287</v>
      </c>
      <c r="E31" s="24">
        <v>12.712992018516166</v>
      </c>
      <c r="F31" s="24">
        <v>11.148423209948467</v>
      </c>
      <c r="G31" s="24">
        <v>10.590348894454396</v>
      </c>
      <c r="H31" s="24">
        <v>6.1243696528537113</v>
      </c>
      <c r="I31" s="24">
        <v>4.9242421813839519</v>
      </c>
      <c r="J31" s="24">
        <v>7.5177886021379532</v>
      </c>
      <c r="K31" s="24">
        <v>12.159416398936006</v>
      </c>
      <c r="L31" s="24">
        <v>-8.1757434465166554</v>
      </c>
      <c r="M31" s="24">
        <v>8.1886006438092203</v>
      </c>
      <c r="N31" s="24">
        <v>11.820349856396032</v>
      </c>
      <c r="O31" s="24">
        <v>0.47038139903678328</v>
      </c>
      <c r="P31" s="24">
        <v>-1.6097154067769646</v>
      </c>
      <c r="Q31" s="24">
        <v>-2.0318040976094687</v>
      </c>
      <c r="R31" s="24">
        <v>-9.8365069549522559</v>
      </c>
      <c r="S31" s="24">
        <v>0.45408175046877797</v>
      </c>
      <c r="T31" s="24">
        <v>1.7665518879684465</v>
      </c>
      <c r="U31" s="24">
        <v>1.5788321155036145</v>
      </c>
      <c r="V31" s="24">
        <v>1.2907937550126027</v>
      </c>
      <c r="W31" s="24">
        <v>1.2328554358396384</v>
      </c>
    </row>
    <row r="32" spans="1:23" ht="14.25" customHeight="1" x14ac:dyDescent="0.6">
      <c r="A32" s="274"/>
      <c r="B32" s="24" t="s">
        <v>242</v>
      </c>
      <c r="C32" s="24">
        <v>18.133279081817999</v>
      </c>
      <c r="D32" s="24">
        <v>-5.2313076127534348</v>
      </c>
      <c r="E32" s="24">
        <v>2.2142298098426267</v>
      </c>
      <c r="F32" s="24">
        <v>11.524491509704001</v>
      </c>
      <c r="G32" s="24">
        <v>15.610035295613054</v>
      </c>
      <c r="H32" s="24">
        <v>15.085332464769856</v>
      </c>
      <c r="I32" s="24">
        <v>10.178257805486778</v>
      </c>
      <c r="J32" s="24">
        <v>19.892857695713076</v>
      </c>
      <c r="K32" s="24">
        <v>3.6235536344007264</v>
      </c>
      <c r="L32" s="24">
        <v>-7.6039432696628442</v>
      </c>
      <c r="M32" s="24">
        <v>20.492313475823849</v>
      </c>
      <c r="N32" s="24">
        <v>5.8969854586106702</v>
      </c>
      <c r="O32" s="24">
        <v>1.3648582680965606</v>
      </c>
      <c r="P32" s="24">
        <v>5.3828373256423241</v>
      </c>
      <c r="Q32" s="24">
        <v>7.8730369520298664</v>
      </c>
      <c r="R32" s="24">
        <v>7.6238725633227613</v>
      </c>
      <c r="S32" s="24">
        <v>4.9180280994905274</v>
      </c>
      <c r="T32" s="24">
        <v>5.6670291243442819</v>
      </c>
      <c r="U32" s="24">
        <v>5.6430817348881197</v>
      </c>
      <c r="V32" s="24">
        <v>5.3655171044992622</v>
      </c>
      <c r="W32" s="24">
        <v>5.3811062829842067</v>
      </c>
    </row>
    <row r="33" spans="1:23" ht="14.25" customHeight="1" x14ac:dyDescent="0.6">
      <c r="A33" s="274"/>
      <c r="B33" s="24" t="s">
        <v>244</v>
      </c>
      <c r="C33" s="24">
        <v>3.9446906795237835</v>
      </c>
      <c r="D33" s="24">
        <v>-3.0413258668755967</v>
      </c>
      <c r="E33" s="24">
        <v>-0.58352376661170646</v>
      </c>
      <c r="F33" s="24">
        <v>8.3796694258388964</v>
      </c>
      <c r="G33" s="24">
        <v>10.093198131357875</v>
      </c>
      <c r="H33" s="24">
        <v>5.9953012174311926</v>
      </c>
      <c r="I33" s="24">
        <v>5.0977993554523975</v>
      </c>
      <c r="J33" s="24">
        <v>7.4019174111126018</v>
      </c>
      <c r="K33" s="24">
        <v>12.155713919709356</v>
      </c>
      <c r="L33" s="24">
        <v>-8.2446772052028248</v>
      </c>
      <c r="M33" s="24">
        <v>9.6377810956013121</v>
      </c>
      <c r="N33" s="24">
        <v>12.194919787636151</v>
      </c>
      <c r="O33" s="24">
        <v>-1.6092963276724125E-2</v>
      </c>
      <c r="P33" s="24">
        <v>-2.7948406399866332</v>
      </c>
      <c r="Q33" s="24">
        <v>-2.19233633188471</v>
      </c>
      <c r="R33" s="24">
        <v>-9.4620105033347706</v>
      </c>
      <c r="S33" s="24">
        <v>-0.11153088165217043</v>
      </c>
      <c r="T33" s="24">
        <v>1.5185747455334411</v>
      </c>
      <c r="U33" s="24">
        <v>1.3164747449482685</v>
      </c>
      <c r="V33" s="24">
        <v>0.79634718412941408</v>
      </c>
      <c r="W33" s="24">
        <v>0.55092310569915837</v>
      </c>
    </row>
    <row r="34" spans="1:23" ht="14.25" customHeight="1" x14ac:dyDescent="0.6">
      <c r="A34" s="274"/>
      <c r="B34" s="24" t="s">
        <v>246</v>
      </c>
      <c r="C34" s="24">
        <v>19.123396854231576</v>
      </c>
      <c r="D34" s="24">
        <v>6.820178930314718</v>
      </c>
      <c r="E34" s="24">
        <v>12.288283741727231</v>
      </c>
      <c r="F34" s="24">
        <v>12.701186745752379</v>
      </c>
      <c r="G34" s="24">
        <v>16.837434198831538</v>
      </c>
      <c r="H34" s="24">
        <v>14.393182719020659</v>
      </c>
      <c r="I34" s="24">
        <v>10.783070305554638</v>
      </c>
      <c r="J34" s="24">
        <v>19.258939232853386</v>
      </c>
      <c r="K34" s="24">
        <v>2.8711970988901738</v>
      </c>
      <c r="L34" s="24">
        <v>-8.5086847896983802</v>
      </c>
      <c r="M34" s="24">
        <v>20.326173532392897</v>
      </c>
      <c r="N34" s="24">
        <v>6.8659373850735452</v>
      </c>
      <c r="O34" s="24">
        <v>1.519506945832916</v>
      </c>
      <c r="P34" s="24">
        <v>6.9148759014560426</v>
      </c>
      <c r="Q34" s="24">
        <v>6.7764160573934848</v>
      </c>
      <c r="R34" s="24">
        <v>5.2105953997889012</v>
      </c>
      <c r="S34" s="24">
        <v>4.8024203169000144</v>
      </c>
      <c r="T34" s="24">
        <v>5.87324380139661</v>
      </c>
      <c r="U34" s="24">
        <v>5.8448797699851047</v>
      </c>
      <c r="V34" s="24">
        <v>5.5792608568239253</v>
      </c>
      <c r="W34" s="24">
        <v>5.6168605864951164</v>
      </c>
    </row>
    <row r="35" spans="1:23" ht="14.25" customHeight="1" x14ac:dyDescent="0.6">
      <c r="A35" s="274"/>
      <c r="B35" s="24" t="s">
        <v>248</v>
      </c>
      <c r="C35" s="24">
        <v>-2.2554655108096662</v>
      </c>
      <c r="D35" s="24">
        <v>-2.8903360449307489</v>
      </c>
      <c r="E35" s="24">
        <v>-1.0232470342800382</v>
      </c>
      <c r="F35" s="24">
        <v>7.1977005087742549</v>
      </c>
      <c r="G35" s="24">
        <v>8.3764590426165721</v>
      </c>
      <c r="H35" s="24">
        <v>2.5497908509896718</v>
      </c>
      <c r="I35" s="24">
        <v>2.9674340312735383</v>
      </c>
      <c r="J35" s="24">
        <v>7.2703597036505778</v>
      </c>
      <c r="K35" s="24">
        <v>8.6196563891201965</v>
      </c>
      <c r="L35" s="24">
        <v>-4.1091490722972308</v>
      </c>
      <c r="M35" s="24">
        <v>7.7452197612963198</v>
      </c>
      <c r="N35" s="24">
        <v>9.312754134719885</v>
      </c>
      <c r="O35" s="24">
        <v>-0.39309746868787465</v>
      </c>
      <c r="P35" s="24">
        <v>-2.9648723427228787</v>
      </c>
      <c r="Q35" s="24">
        <v>-1.5747080877771471</v>
      </c>
      <c r="R35" s="24">
        <v>-4.5562934352377038</v>
      </c>
      <c r="S35" s="24">
        <v>-0.39246589343580263</v>
      </c>
      <c r="T35" s="24">
        <v>0.96712037512751869</v>
      </c>
      <c r="U35" s="24">
        <v>0.87779512254747893</v>
      </c>
      <c r="V35" s="24">
        <v>0.58388015725700837</v>
      </c>
      <c r="W35" s="24">
        <v>0.44635835858842138</v>
      </c>
    </row>
    <row r="36" spans="1:23" ht="14.25" customHeight="1" x14ac:dyDescent="0.6">
      <c r="A36" s="274"/>
      <c r="B36" s="24" t="s">
        <v>250</v>
      </c>
      <c r="C36" s="24">
        <v>21.491632912507626</v>
      </c>
      <c r="D36" s="24">
        <v>7.4967174322900094</v>
      </c>
      <c r="E36" s="24">
        <v>13.808611689958573</v>
      </c>
      <c r="F36" s="24">
        <v>12.698988241469706</v>
      </c>
      <c r="G36" s="24">
        <v>18.209683081830178</v>
      </c>
      <c r="H36" s="24">
        <v>15.496804110860397</v>
      </c>
      <c r="I36" s="24">
        <v>10.657108272026493</v>
      </c>
      <c r="J36" s="24">
        <v>20.796189975556516</v>
      </c>
      <c r="K36" s="24">
        <v>2.9429545940418884</v>
      </c>
      <c r="L36" s="24">
        <v>-9.5125661245825182</v>
      </c>
      <c r="M36" s="24">
        <v>21.248847509732016</v>
      </c>
      <c r="N36" s="24">
        <v>7.4008843258719477</v>
      </c>
      <c r="O36" s="24">
        <v>1.5107180005632708</v>
      </c>
      <c r="P36" s="24">
        <v>6.9179514675310427</v>
      </c>
      <c r="Q36" s="24">
        <v>6.7268005178216219</v>
      </c>
      <c r="R36" s="24">
        <v>4.318775483635914</v>
      </c>
      <c r="S36" s="24">
        <v>5.4361159017610881</v>
      </c>
      <c r="T36" s="24">
        <v>6.2082582335220611</v>
      </c>
      <c r="U36" s="24">
        <v>6.183900655161592</v>
      </c>
      <c r="V36" s="24">
        <v>5.8586953838385334</v>
      </c>
      <c r="W36" s="24">
        <v>5.7897186051075229</v>
      </c>
    </row>
    <row r="37" spans="1:23" ht="14.25" customHeight="1" x14ac:dyDescent="0.6">
      <c r="A37" s="274"/>
      <c r="B37" s="24" t="s">
        <v>252</v>
      </c>
      <c r="C37" s="24">
        <v>1.2510469251111542</v>
      </c>
      <c r="D37" s="24">
        <v>-6.6963556407204656</v>
      </c>
      <c r="E37" s="24">
        <v>1.3234609952768588</v>
      </c>
      <c r="F37" s="24">
        <v>12.073370075125125</v>
      </c>
      <c r="G37" s="24">
        <v>10.649285429952835</v>
      </c>
      <c r="H37" s="24">
        <v>7.5477023643103163</v>
      </c>
      <c r="I37" s="24">
        <v>8.9917136912226461</v>
      </c>
      <c r="J37" s="24">
        <v>8.336899283495141</v>
      </c>
      <c r="K37" s="24">
        <v>10.99534485270148</v>
      </c>
      <c r="L37" s="24">
        <v>-5.3530760881771302</v>
      </c>
      <c r="M37" s="24">
        <v>10.711163131281879</v>
      </c>
      <c r="N37" s="24">
        <v>13.521421778137345</v>
      </c>
      <c r="O37" s="24">
        <v>-1.7721226814143245</v>
      </c>
      <c r="P37" s="24">
        <v>-1.6719885076624013</v>
      </c>
      <c r="Q37" s="24">
        <v>-1.088684854019359</v>
      </c>
      <c r="R37" s="24">
        <v>-8.4402213505967119</v>
      </c>
      <c r="S37" s="24">
        <v>-0.61925158948524373</v>
      </c>
      <c r="T37" s="24">
        <v>0.58685568218679296</v>
      </c>
      <c r="U37" s="24">
        <v>0.59983744786658233</v>
      </c>
      <c r="V37" s="24">
        <v>0.53255328460503981</v>
      </c>
      <c r="W37" s="24">
        <v>0.79107181770461432</v>
      </c>
    </row>
    <row r="38" spans="1:23" ht="14.25" customHeight="1" x14ac:dyDescent="0.6">
      <c r="A38" s="274"/>
      <c r="B38" s="24" t="s">
        <v>254</v>
      </c>
      <c r="C38" s="24">
        <v>8.9269555864599397</v>
      </c>
      <c r="D38" s="24">
        <v>9.9867776480257948</v>
      </c>
      <c r="E38" s="24">
        <v>7.8845042467753528</v>
      </c>
      <c r="F38" s="24">
        <v>7.1850941581105561</v>
      </c>
      <c r="G38" s="24">
        <v>14.640495566785676</v>
      </c>
      <c r="H38" s="24">
        <v>11.6276824011741</v>
      </c>
      <c r="I38" s="24">
        <v>8.8212916643515129</v>
      </c>
      <c r="J38" s="24">
        <v>13.633492974084357</v>
      </c>
      <c r="K38" s="24">
        <v>6.5778799453103662</v>
      </c>
      <c r="L38" s="24">
        <v>-5.4995872904997203</v>
      </c>
      <c r="M38" s="24">
        <v>7.8898680337271943</v>
      </c>
      <c r="N38" s="24">
        <v>4.4657785777096679</v>
      </c>
      <c r="O38" s="24">
        <v>8.2951389690964223</v>
      </c>
      <c r="P38" s="24">
        <v>4.9111276101236463</v>
      </c>
      <c r="Q38" s="24">
        <v>3.1522118369099505</v>
      </c>
      <c r="R38" s="24">
        <v>6.3892841370716944</v>
      </c>
      <c r="S38" s="24">
        <v>6.6673177005542588</v>
      </c>
      <c r="T38" s="24">
        <v>7.3419296255895299</v>
      </c>
      <c r="U38" s="24">
        <v>7.2032337049890511</v>
      </c>
      <c r="V38" s="24">
        <v>6.5766942625653915</v>
      </c>
      <c r="W38" s="24">
        <v>6.3972515488662962</v>
      </c>
    </row>
    <row r="39" spans="1:23" ht="14.25" customHeight="1" x14ac:dyDescent="0.6">
      <c r="A39" s="274"/>
      <c r="B39" s="24" t="s">
        <v>256</v>
      </c>
      <c r="C39" s="24">
        <v>0.50127200738543698</v>
      </c>
      <c r="D39" s="24">
        <v>-7.2337519166426665</v>
      </c>
      <c r="E39" s="24">
        <v>0.88092805423367171</v>
      </c>
      <c r="F39" s="24">
        <v>11.724264770387675</v>
      </c>
      <c r="G39" s="24">
        <v>11.341476824760736</v>
      </c>
      <c r="H39" s="24">
        <v>7.5131265831293126</v>
      </c>
      <c r="I39" s="24">
        <v>10.065011174524205</v>
      </c>
      <c r="J39" s="24">
        <v>9.9548468339289276</v>
      </c>
      <c r="K39" s="24">
        <v>12.094944472329146</v>
      </c>
      <c r="L39" s="24">
        <v>-7.042816132183491</v>
      </c>
      <c r="M39" s="24">
        <v>12.061445631033937</v>
      </c>
      <c r="N39" s="24">
        <v>9.6223063745667261</v>
      </c>
      <c r="O39" s="24">
        <v>-1.1902005990741353</v>
      </c>
      <c r="P39" s="24">
        <v>-1.1768679344550574</v>
      </c>
      <c r="Q39" s="24">
        <v>-1.9667314296101543</v>
      </c>
      <c r="R39" s="24">
        <v>-8.4960186995726694</v>
      </c>
      <c r="S39" s="24">
        <v>0.19628925350758658</v>
      </c>
      <c r="T39" s="24">
        <v>0.98790780187674565</v>
      </c>
      <c r="U39" s="24">
        <v>0.95870126119378718</v>
      </c>
      <c r="V39" s="24">
        <v>0.47226010611209812</v>
      </c>
      <c r="W39" s="24">
        <v>0.69797944595417716</v>
      </c>
    </row>
    <row r="40" spans="1:23" ht="18" customHeight="1" x14ac:dyDescent="0.6">
      <c r="A40" s="274"/>
      <c r="B40" s="24" t="s">
        <v>258</v>
      </c>
      <c r="C40" s="24">
        <v>10.166534813355561</v>
      </c>
      <c r="D40" s="24">
        <v>10.406656267636569</v>
      </c>
      <c r="E40" s="24">
        <v>8.7872852666977703</v>
      </c>
      <c r="F40" s="24">
        <v>7.7321686081235548</v>
      </c>
      <c r="G40" s="24">
        <v>12.810515607068332</v>
      </c>
      <c r="H40" s="24">
        <v>11.841384283246883</v>
      </c>
      <c r="I40" s="24">
        <v>7.376551298013017</v>
      </c>
      <c r="J40" s="24">
        <v>13.329613451702679</v>
      </c>
      <c r="K40" s="24">
        <v>6.1263632328565434</v>
      </c>
      <c r="L40" s="24">
        <v>-5.6981597912388775</v>
      </c>
      <c r="M40" s="24">
        <v>6.0850278982767323</v>
      </c>
      <c r="N40" s="24">
        <v>8.2239573735589602</v>
      </c>
      <c r="O40" s="24">
        <v>6.2134509099783228</v>
      </c>
      <c r="P40" s="24">
        <v>3.0125445493948715</v>
      </c>
      <c r="Q40" s="24">
        <v>3.834052121867944</v>
      </c>
      <c r="R40" s="24">
        <v>5.9466950288577358</v>
      </c>
      <c r="S40" s="24">
        <v>5.5334995559583815</v>
      </c>
      <c r="T40" s="24">
        <v>7.2928381478879736</v>
      </c>
      <c r="U40" s="24">
        <v>7.1088130383684636</v>
      </c>
      <c r="V40" s="24">
        <v>6.4701838016004478</v>
      </c>
      <c r="W40" s="24">
        <v>6.2967221960080453</v>
      </c>
    </row>
    <row r="41" spans="1:23" ht="14.25" customHeight="1" x14ac:dyDescent="0.6">
      <c r="A41" s="274"/>
      <c r="B41" s="24" t="s">
        <v>260</v>
      </c>
      <c r="C41" s="24">
        <v>-3.0441591844337181</v>
      </c>
      <c r="D41" s="24">
        <v>-6.8497636590766087</v>
      </c>
      <c r="E41" s="24">
        <v>1.8826278475140275</v>
      </c>
      <c r="F41" s="24">
        <v>11.318999088834076</v>
      </c>
      <c r="G41" s="24">
        <v>10.628012230181652</v>
      </c>
      <c r="H41" s="24">
        <v>4.9955664633949919</v>
      </c>
      <c r="I41" s="24">
        <v>9.6019702137360152</v>
      </c>
      <c r="J41" s="24">
        <v>10.100029557776521</v>
      </c>
      <c r="K41" s="24">
        <v>10.847614678886153</v>
      </c>
      <c r="L41" s="24">
        <v>-4.9070703101133759</v>
      </c>
      <c r="M41" s="24">
        <v>10.92011023513254</v>
      </c>
      <c r="N41" s="24">
        <v>8.1699527774156184</v>
      </c>
      <c r="O41" s="24">
        <v>-1.6986484140709472</v>
      </c>
      <c r="P41" s="24">
        <v>-1.1733551453175934</v>
      </c>
      <c r="Q41" s="24">
        <v>-1.4887371457236191</v>
      </c>
      <c r="R41" s="24">
        <v>-6.0948888141793729</v>
      </c>
      <c r="S41" s="24">
        <v>-0.21412755546327392</v>
      </c>
      <c r="T41" s="24">
        <v>0.63198232313722258</v>
      </c>
      <c r="U41" s="24">
        <v>0.63345911950814693</v>
      </c>
      <c r="V41" s="24">
        <v>0.34205062790801399</v>
      </c>
      <c r="W41" s="24">
        <v>0.71166672723159619</v>
      </c>
    </row>
    <row r="42" spans="1:23" ht="14.25" customHeight="1" x14ac:dyDescent="0.6">
      <c r="A42" s="274"/>
      <c r="B42" s="24" t="s">
        <v>262</v>
      </c>
      <c r="C42" s="24">
        <v>11.194923549285303</v>
      </c>
      <c r="D42" s="24">
        <v>11.095185569085109</v>
      </c>
      <c r="E42" s="24">
        <v>10.391047113574809</v>
      </c>
      <c r="F42" s="24">
        <v>8.1867738877502454</v>
      </c>
      <c r="G42" s="24">
        <v>13.592819504930587</v>
      </c>
      <c r="H42" s="24">
        <v>12.378609260503444</v>
      </c>
      <c r="I42" s="24">
        <v>7.3653230018076963</v>
      </c>
      <c r="J42" s="24">
        <v>14.839893767020941</v>
      </c>
      <c r="K42" s="24">
        <v>6.9125950087729002</v>
      </c>
      <c r="L42" s="24">
        <v>-5.9998918250645827</v>
      </c>
      <c r="M42" s="24">
        <v>6.9588077500516698</v>
      </c>
      <c r="N42" s="24">
        <v>8.288196256221152</v>
      </c>
      <c r="O42" s="24">
        <v>6.8177887879078067</v>
      </c>
      <c r="P42" s="24">
        <v>3.09522019432685</v>
      </c>
      <c r="Q42" s="24">
        <v>4.5711330465597158</v>
      </c>
      <c r="R42" s="24">
        <v>5.9636982670682626</v>
      </c>
      <c r="S42" s="24">
        <v>5.7877375720064403</v>
      </c>
      <c r="T42" s="24">
        <v>7.5701630997960043</v>
      </c>
      <c r="U42" s="24">
        <v>7.4513149636007672</v>
      </c>
      <c r="V42" s="24">
        <v>6.7527534010763652</v>
      </c>
      <c r="W42" s="24">
        <v>6.5364294726198997</v>
      </c>
    </row>
    <row r="43" spans="1:23" ht="14.25" customHeight="1" x14ac:dyDescent="0.6">
      <c r="A43" s="76" t="s">
        <v>448</v>
      </c>
      <c r="B43" s="24"/>
      <c r="C43" s="24"/>
      <c r="D43" s="24"/>
      <c r="E43" s="24"/>
      <c r="F43" s="24"/>
      <c r="G43" s="24"/>
      <c r="H43" s="24"/>
      <c r="I43" s="24"/>
      <c r="J43" s="24"/>
      <c r="K43" s="24"/>
      <c r="L43" s="24"/>
      <c r="M43" s="24"/>
      <c r="N43" s="24"/>
      <c r="O43" s="24"/>
      <c r="P43" s="24"/>
      <c r="Q43" s="24"/>
      <c r="R43" s="24"/>
      <c r="S43" s="24"/>
      <c r="T43" s="24"/>
      <c r="U43" s="24"/>
      <c r="V43" s="24"/>
      <c r="W43" s="24"/>
    </row>
    <row r="44" spans="1:23" ht="14.25" customHeight="1" x14ac:dyDescent="0.6">
      <c r="A44" s="24"/>
      <c r="B44" s="2" t="s">
        <v>433</v>
      </c>
      <c r="C44" s="2" t="s">
        <v>434</v>
      </c>
      <c r="D44" s="2" t="s">
        <v>435</v>
      </c>
      <c r="E44" s="2" t="s">
        <v>436</v>
      </c>
      <c r="F44" s="2" t="s">
        <v>437</v>
      </c>
      <c r="G44" s="2" t="s">
        <v>438</v>
      </c>
      <c r="H44" s="2" t="s">
        <v>439</v>
      </c>
      <c r="I44" s="2" t="s">
        <v>440</v>
      </c>
      <c r="J44" s="2" t="s">
        <v>441</v>
      </c>
      <c r="K44" s="2" t="s">
        <v>442</v>
      </c>
      <c r="L44" s="2" t="s">
        <v>443</v>
      </c>
      <c r="M44" s="2" t="s">
        <v>444</v>
      </c>
      <c r="N44" s="2" t="s">
        <v>213</v>
      </c>
      <c r="O44" s="2" t="s">
        <v>214</v>
      </c>
      <c r="P44" s="2" t="s">
        <v>215</v>
      </c>
      <c r="Q44" s="2" t="s">
        <v>216</v>
      </c>
      <c r="R44" s="2" t="s">
        <v>217</v>
      </c>
      <c r="S44" s="2" t="s">
        <v>218</v>
      </c>
      <c r="T44" s="2" t="s">
        <v>219</v>
      </c>
      <c r="U44" s="2" t="s">
        <v>220</v>
      </c>
      <c r="V44" s="2" t="s">
        <v>221</v>
      </c>
      <c r="W44" s="24"/>
    </row>
    <row r="45" spans="1:23" ht="14.25" customHeight="1" x14ac:dyDescent="0.6">
      <c r="A45" s="2" t="s">
        <v>357</v>
      </c>
      <c r="B45" s="24">
        <v>1.9973737891474292</v>
      </c>
      <c r="C45" s="24">
        <v>-3.7784236522542853</v>
      </c>
      <c r="D45" s="24">
        <v>3.2535700052731897</v>
      </c>
      <c r="E45" s="24">
        <v>6.0057335875115418</v>
      </c>
      <c r="F45" s="24">
        <v>16.055311254274997</v>
      </c>
      <c r="G45" s="24">
        <v>6.5539897193090004</v>
      </c>
      <c r="H45" s="24">
        <v>24.988696140266189</v>
      </c>
      <c r="I45" s="24">
        <v>16.459544020148812</v>
      </c>
      <c r="J45" s="24">
        <v>15.231602202731743</v>
      </c>
      <c r="K45" s="24">
        <v>-17.901434559095755</v>
      </c>
      <c r="L45" s="24">
        <v>21.379801641489514</v>
      </c>
      <c r="M45" s="24">
        <v>19.948315064097354</v>
      </c>
      <c r="N45" s="24">
        <v>-8.121451952173901</v>
      </c>
      <c r="O45" s="24">
        <v>-3.0334140190324184</v>
      </c>
      <c r="P45" s="24">
        <v>-7.2138344968016019</v>
      </c>
      <c r="Q45" s="24">
        <v>-17.586012983255049</v>
      </c>
      <c r="R45" s="24">
        <v>-6.1221617455848873</v>
      </c>
      <c r="S45" s="24">
        <v>0.9906648200724405</v>
      </c>
      <c r="T45" s="24">
        <v>0.37838183974803336</v>
      </c>
      <c r="U45" s="24">
        <v>-0.3729356672310663</v>
      </c>
      <c r="V45" s="24">
        <v>-0.38265744567221693</v>
      </c>
      <c r="W45" s="24"/>
    </row>
    <row r="46" spans="1:23" ht="14.25" customHeight="1" x14ac:dyDescent="0.6">
      <c r="A46" s="2" t="s">
        <v>359</v>
      </c>
      <c r="B46" s="24">
        <v>2.984789564891007</v>
      </c>
      <c r="C46" s="24">
        <v>-13.770718815137291</v>
      </c>
      <c r="D46" s="24">
        <v>-2.693673552689388</v>
      </c>
      <c r="E46" s="24">
        <v>8.074876785532707</v>
      </c>
      <c r="F46" s="24">
        <v>20.372992901518781</v>
      </c>
      <c r="G46" s="24">
        <v>17.739216402824049</v>
      </c>
      <c r="H46" s="24">
        <v>30.962577571841056</v>
      </c>
      <c r="I46" s="24">
        <v>12.105071125313884</v>
      </c>
      <c r="J46" s="24">
        <v>4.5301857358788897</v>
      </c>
      <c r="K46" s="24">
        <v>-11.615009916273966</v>
      </c>
      <c r="L46" s="24">
        <v>31.31996380181366</v>
      </c>
      <c r="M46" s="24">
        <v>19.718485326517481</v>
      </c>
      <c r="N46" s="24">
        <v>-15.347390512220366</v>
      </c>
      <c r="O46" s="24">
        <v>-10.146088031396665</v>
      </c>
      <c r="P46" s="24">
        <v>-2.5049690402473996</v>
      </c>
      <c r="Q46" s="24">
        <v>-12.847093454141699</v>
      </c>
      <c r="R46" s="24">
        <v>-3.9316147900569796</v>
      </c>
      <c r="S46" s="24">
        <v>1.6862303866698829</v>
      </c>
      <c r="T46" s="24">
        <v>1.2030755250673482</v>
      </c>
      <c r="U46" s="24">
        <v>0.24548668501616885</v>
      </c>
      <c r="V46" s="24">
        <v>0.2210217920209844</v>
      </c>
      <c r="W46" s="24"/>
    </row>
    <row r="47" spans="1:23" ht="14.25" customHeight="1" x14ac:dyDescent="0.6">
      <c r="A47" s="2" t="s">
        <v>361</v>
      </c>
      <c r="B47" s="24">
        <v>10.223721958553185</v>
      </c>
      <c r="C47" s="24">
        <v>-4.731174062989715</v>
      </c>
      <c r="D47" s="24">
        <v>1.1936690010708424</v>
      </c>
      <c r="E47" s="24">
        <v>9.1218724538911999</v>
      </c>
      <c r="F47" s="24">
        <v>12.886417388256255</v>
      </c>
      <c r="G47" s="24">
        <v>11.043202215069506</v>
      </c>
      <c r="H47" s="24">
        <v>10.358164622468021</v>
      </c>
      <c r="I47" s="24">
        <v>8.7161621204168025</v>
      </c>
      <c r="J47" s="24">
        <v>13.986883479516653</v>
      </c>
      <c r="K47" s="24">
        <v>-14.161336002424282</v>
      </c>
      <c r="L47" s="24">
        <v>11.149352488492958</v>
      </c>
      <c r="M47" s="24">
        <v>13.989954213298645</v>
      </c>
      <c r="N47" s="24">
        <v>-0.97714227501594531</v>
      </c>
      <c r="O47" s="24">
        <v>-1.4142920546021154</v>
      </c>
      <c r="P47" s="24">
        <v>-3.2263025427335528</v>
      </c>
      <c r="Q47" s="24">
        <v>-14.803352196019285</v>
      </c>
      <c r="R47" s="24">
        <v>-1.3016193959549576</v>
      </c>
      <c r="S47" s="24">
        <v>2.7405150851407898</v>
      </c>
      <c r="T47" s="24">
        <v>2.1671131353007222</v>
      </c>
      <c r="U47" s="24">
        <v>1.1515789191224726</v>
      </c>
      <c r="V47" s="24">
        <v>0.56670033086152438</v>
      </c>
      <c r="W47" s="24"/>
    </row>
    <row r="48" spans="1:23" ht="14.25" customHeight="1" x14ac:dyDescent="0.6">
      <c r="A48" s="2" t="s">
        <v>363</v>
      </c>
      <c r="B48" s="24">
        <v>0.81951109973315484</v>
      </c>
      <c r="C48" s="24">
        <v>-9.3683867885803878</v>
      </c>
      <c r="D48" s="24">
        <v>-1.6430878167601759</v>
      </c>
      <c r="E48" s="24">
        <v>7.9936360984747692</v>
      </c>
      <c r="F48" s="24">
        <v>14.997138919098775</v>
      </c>
      <c r="G48" s="24">
        <v>11.989096864199896</v>
      </c>
      <c r="H48" s="24">
        <v>20.325006428884784</v>
      </c>
      <c r="I48" s="24">
        <v>9.709019553118285</v>
      </c>
      <c r="J48" s="24">
        <v>5.1376326378169779</v>
      </c>
      <c r="K48" s="24">
        <v>-9.3845386700750328</v>
      </c>
      <c r="L48" s="24">
        <v>20.519099572474364</v>
      </c>
      <c r="M48" s="24">
        <v>14.705032092873502</v>
      </c>
      <c r="N48" s="24">
        <v>-9.3949427512684469</v>
      </c>
      <c r="O48" s="24">
        <v>-6.7591321230460517</v>
      </c>
      <c r="P48" s="24">
        <v>-1.7854912361040478</v>
      </c>
      <c r="Q48" s="24">
        <v>-9.3392098130603252</v>
      </c>
      <c r="R48" s="24">
        <v>-2.253702328220315</v>
      </c>
      <c r="S48" s="24">
        <v>1.3725056513906098</v>
      </c>
      <c r="T48" s="24">
        <v>1.0475505827770057</v>
      </c>
      <c r="U48" s="24">
        <v>0.41608717796165301</v>
      </c>
      <c r="V48" s="24">
        <v>0.37182575829808373</v>
      </c>
      <c r="W48" s="24"/>
    </row>
    <row r="49" spans="1:23" ht="14.25" customHeight="1" x14ac:dyDescent="0.6">
      <c r="A49" s="13" t="s">
        <v>365</v>
      </c>
      <c r="B49" s="24">
        <v>-2.8034675178557569</v>
      </c>
      <c r="C49" s="24">
        <v>-2.0023343124709094</v>
      </c>
      <c r="D49" s="24">
        <v>0.11476906791445456</v>
      </c>
      <c r="E49" s="24">
        <v>7.8577028793413621</v>
      </c>
      <c r="F49" s="24">
        <v>6.0021739097515718</v>
      </c>
      <c r="G49" s="24">
        <v>2.3679047301448408</v>
      </c>
      <c r="H49" s="24">
        <v>2.5260519691396581</v>
      </c>
      <c r="I49" s="24">
        <v>5.6999076756433888</v>
      </c>
      <c r="J49" s="24">
        <v>6.1540225259794132</v>
      </c>
      <c r="K49" s="24">
        <v>-5.6524784468018465</v>
      </c>
      <c r="L49" s="24">
        <v>2.4469205044926992</v>
      </c>
      <c r="M49" s="24">
        <v>6.3164418223606651</v>
      </c>
      <c r="N49" s="24">
        <v>0.56478820586349887</v>
      </c>
      <c r="O49" s="24">
        <v>-1.0920232351478194</v>
      </c>
      <c r="P49" s="24">
        <v>-0.58164944753707093</v>
      </c>
      <c r="Q49" s="24">
        <v>-3.4697627053871507</v>
      </c>
      <c r="R49" s="24">
        <v>0.55380768457475338</v>
      </c>
      <c r="S49" s="24">
        <v>0.84757639817204555</v>
      </c>
      <c r="T49" s="24">
        <v>0.78732375768890661</v>
      </c>
      <c r="U49" s="24">
        <v>0.70153865592966469</v>
      </c>
      <c r="V49" s="24">
        <v>0.62415337068658983</v>
      </c>
      <c r="W49" s="24"/>
    </row>
    <row r="50" spans="1:23" ht="14.25" customHeight="1" x14ac:dyDescent="0.6">
      <c r="A50" s="13" t="s">
        <v>367</v>
      </c>
      <c r="B50" s="24">
        <v>57.023682625017379</v>
      </c>
      <c r="C50" s="24">
        <v>-13.824857589799588</v>
      </c>
      <c r="D50" s="24">
        <v>2.5447819981504876</v>
      </c>
      <c r="E50" s="24">
        <v>15.798263193052772</v>
      </c>
      <c r="F50" s="24">
        <v>30.69512546870493</v>
      </c>
      <c r="G50" s="24">
        <v>41.298110875706215</v>
      </c>
      <c r="H50" s="24">
        <v>20.463881296368626</v>
      </c>
      <c r="I50" s="24">
        <v>10.665525691392103</v>
      </c>
      <c r="J50" s="24">
        <v>36.424027274963969</v>
      </c>
      <c r="K50" s="24">
        <v>-36.335405974410818</v>
      </c>
      <c r="L50" s="24">
        <v>27.928226541865044</v>
      </c>
      <c r="M50" s="24">
        <v>31.605762230061462</v>
      </c>
      <c r="N50" s="24">
        <v>0.96068657279177427</v>
      </c>
      <c r="O50" s="24">
        <v>-0.89328371724338074</v>
      </c>
      <c r="P50" s="24">
        <v>-7.5162019992282323</v>
      </c>
      <c r="Q50" s="24">
        <v>-46.364140501449128</v>
      </c>
      <c r="R50" s="24">
        <v>-2.4480189472442193</v>
      </c>
      <c r="S50" s="24">
        <v>10.051600803539099</v>
      </c>
      <c r="T50" s="24">
        <v>7.9689926041786681</v>
      </c>
      <c r="U50" s="24">
        <v>3.9107585178045885</v>
      </c>
      <c r="V50" s="24">
        <v>1.2681356872697931</v>
      </c>
      <c r="W50" s="24"/>
    </row>
  </sheetData>
  <mergeCells count="2">
    <mergeCell ref="A5:A23"/>
    <mergeCell ref="A24:A42"/>
  </mergeCells>
  <pageMargins left="0.39" right="0.39" top="0.39" bottom="0.39" header="0.39" footer="0.39"/>
  <pageSetup paperSize="9" fitToWidth="0"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Z53"/>
  <sheetViews>
    <sheetView workbookViewId="0"/>
  </sheetViews>
  <sheetFormatPr defaultColWidth="10.1328125" defaultRowHeight="14.45" customHeight="1" x14ac:dyDescent="0.6"/>
  <cols>
    <col min="1" max="1" width="39.26953125" customWidth="1"/>
    <col min="2" max="22" width="20.40625" customWidth="1"/>
    <col min="23" max="23" width="12.40625" customWidth="1"/>
    <col min="24" max="24" width="13" customWidth="1"/>
    <col min="25" max="26" width="10.1328125" customWidth="1"/>
  </cols>
  <sheetData>
    <row r="1" spans="1:26" ht="14.25" customHeight="1" x14ac:dyDescent="0.6">
      <c r="A1" s="24"/>
      <c r="B1" s="24"/>
      <c r="C1" s="24"/>
      <c r="D1" s="24"/>
      <c r="E1" s="24"/>
      <c r="F1" s="24"/>
      <c r="G1" s="24"/>
      <c r="H1" s="24"/>
      <c r="I1" s="24"/>
      <c r="J1" s="24"/>
      <c r="K1" s="24"/>
      <c r="L1" s="24"/>
      <c r="M1" s="24"/>
      <c r="N1" s="24"/>
      <c r="O1" s="24"/>
      <c r="P1" s="24"/>
      <c r="Q1" s="24"/>
      <c r="R1" s="24"/>
      <c r="S1" s="24"/>
      <c r="T1" s="24"/>
      <c r="U1" s="24"/>
      <c r="V1" s="24"/>
      <c r="W1" s="24"/>
      <c r="X1" s="24"/>
      <c r="Y1" s="24"/>
      <c r="Z1" s="24"/>
    </row>
    <row r="2" spans="1:26" ht="17.25" customHeight="1" x14ac:dyDescent="0.6">
      <c r="A2" s="42" t="s">
        <v>459</v>
      </c>
      <c r="B2" s="42"/>
      <c r="C2" s="42"/>
      <c r="D2" s="42"/>
      <c r="E2" s="42"/>
      <c r="F2" s="42"/>
      <c r="G2" s="42"/>
      <c r="H2" s="42"/>
      <c r="I2" s="42"/>
      <c r="J2" s="42"/>
      <c r="K2" s="42"/>
      <c r="L2" s="42"/>
      <c r="M2" s="42"/>
      <c r="N2" s="42"/>
      <c r="O2" s="42"/>
      <c r="P2" s="42"/>
      <c r="Q2" s="42"/>
      <c r="R2" s="42"/>
      <c r="S2" s="42"/>
      <c r="T2" s="42"/>
      <c r="U2" s="42"/>
      <c r="V2" s="42"/>
      <c r="W2" s="24"/>
      <c r="X2" s="24"/>
      <c r="Y2" s="24"/>
      <c r="Z2" s="24"/>
    </row>
    <row r="3" spans="1:26" ht="14.25" customHeight="1" x14ac:dyDescent="0.6">
      <c r="A3" s="24"/>
      <c r="B3" s="24"/>
      <c r="C3" s="24"/>
      <c r="D3" s="24"/>
      <c r="E3" s="24"/>
      <c r="F3" s="24"/>
      <c r="G3" s="24"/>
      <c r="H3" s="24"/>
      <c r="I3" s="24"/>
      <c r="J3" s="24"/>
      <c r="K3" s="24"/>
      <c r="L3" s="24"/>
      <c r="M3" s="24"/>
      <c r="N3" s="24"/>
      <c r="O3" s="24"/>
      <c r="P3" s="24"/>
      <c r="Q3" s="24"/>
      <c r="R3" s="24"/>
      <c r="S3" s="24"/>
      <c r="T3" s="24"/>
      <c r="U3" s="24"/>
      <c r="V3" s="24"/>
      <c r="W3" s="24"/>
      <c r="X3" s="24"/>
      <c r="Y3" s="24"/>
      <c r="Z3" s="24"/>
    </row>
    <row r="4" spans="1:26" ht="14.25" customHeight="1" x14ac:dyDescent="0.6">
      <c r="A4" s="24"/>
      <c r="B4" s="24"/>
      <c r="C4" s="24" t="s">
        <v>451</v>
      </c>
      <c r="D4" s="24" t="s">
        <v>452</v>
      </c>
      <c r="E4" s="24" t="s">
        <v>453</v>
      </c>
      <c r="F4" s="24" t="s">
        <v>454</v>
      </c>
      <c r="G4" s="24" t="s">
        <v>455</v>
      </c>
      <c r="H4" s="24" t="s">
        <v>456</v>
      </c>
      <c r="I4" s="24" t="s">
        <v>457</v>
      </c>
      <c r="J4" s="24" t="s">
        <v>458</v>
      </c>
      <c r="K4" s="24" t="s">
        <v>282</v>
      </c>
      <c r="L4" s="24" t="s">
        <v>283</v>
      </c>
      <c r="M4" s="24" t="s">
        <v>284</v>
      </c>
      <c r="N4" s="24" t="s">
        <v>285</v>
      </c>
      <c r="O4" s="24" t="s">
        <v>286</v>
      </c>
      <c r="P4" s="24" t="s">
        <v>287</v>
      </c>
      <c r="Q4" s="24" t="s">
        <v>288</v>
      </c>
      <c r="R4" s="24" t="s">
        <v>289</v>
      </c>
      <c r="S4" s="24" t="s">
        <v>290</v>
      </c>
      <c r="T4" s="24" t="s">
        <v>291</v>
      </c>
      <c r="U4" s="24" t="s">
        <v>292</v>
      </c>
      <c r="V4" s="24" t="s">
        <v>293</v>
      </c>
      <c r="W4" s="24" t="s">
        <v>294</v>
      </c>
      <c r="X4" s="24" t="s">
        <v>295</v>
      </c>
      <c r="Y4" s="24" t="s">
        <v>296</v>
      </c>
      <c r="Z4" s="24" t="s">
        <v>297</v>
      </c>
    </row>
    <row r="5" spans="1:26" ht="14.25" customHeight="1" x14ac:dyDescent="0.6">
      <c r="A5" s="273" t="s">
        <v>225</v>
      </c>
      <c r="B5" s="24" t="s">
        <v>300</v>
      </c>
      <c r="C5" s="24">
        <v>0.18753058387617685</v>
      </c>
      <c r="D5" s="24">
        <v>8.6329068140981899</v>
      </c>
      <c r="E5" s="24">
        <v>6.4252605492831361</v>
      </c>
      <c r="F5" s="24">
        <v>1.3252699478740926</v>
      </c>
      <c r="G5" s="24">
        <v>0.51882943317446195</v>
      </c>
      <c r="H5" s="24">
        <v>-2.791583913642024</v>
      </c>
      <c r="I5" s="24">
        <v>-2.8989414716651205</v>
      </c>
      <c r="J5" s="24">
        <v>1.4707676305206281</v>
      </c>
      <c r="K5" s="24">
        <v>1.9826799724776418</v>
      </c>
      <c r="L5" s="24">
        <v>1.0624198684549371</v>
      </c>
      <c r="M5" s="24">
        <v>2.7469386199636721</v>
      </c>
      <c r="N5" s="24">
        <v>1.8057310575033065</v>
      </c>
      <c r="O5" s="24">
        <v>2.070511629423113</v>
      </c>
      <c r="P5" s="24">
        <v>3.2629394930540969</v>
      </c>
      <c r="Q5" s="24">
        <v>0.61213786118470104</v>
      </c>
      <c r="R5" s="24">
        <v>-3.8026465605330553</v>
      </c>
      <c r="S5" s="24">
        <v>-8.9394337530460923</v>
      </c>
      <c r="T5" s="24">
        <v>-9.6866813222980532</v>
      </c>
      <c r="U5" s="24">
        <v>-7.9113741101465545</v>
      </c>
      <c r="V5" s="24">
        <v>-4.6496211612198302</v>
      </c>
      <c r="W5" s="24">
        <v>0.22863393969739812</v>
      </c>
      <c r="X5" s="24">
        <v>1.4177108801435117</v>
      </c>
      <c r="Y5" s="24">
        <v>1.7570950697674381</v>
      </c>
      <c r="Z5" s="24">
        <v>1.7663828672019295</v>
      </c>
    </row>
    <row r="6" spans="1:26" ht="14.25" customHeight="1" x14ac:dyDescent="0.6">
      <c r="A6" s="274"/>
      <c r="B6" s="24" t="s">
        <v>302</v>
      </c>
      <c r="C6" s="24">
        <v>2.9569204113232814</v>
      </c>
      <c r="D6" s="24">
        <v>12.424891149935503</v>
      </c>
      <c r="E6" s="24">
        <v>9.3879364267101657</v>
      </c>
      <c r="F6" s="24">
        <v>1.4912686312009427</v>
      </c>
      <c r="G6" s="24">
        <v>-0.78102366405521562</v>
      </c>
      <c r="H6" s="24">
        <v>-6.0567251690745731</v>
      </c>
      <c r="I6" s="24">
        <v>-5.9808454391112988</v>
      </c>
      <c r="J6" s="24">
        <v>-0.30331999752719674</v>
      </c>
      <c r="K6" s="24">
        <v>1.2797406600017249</v>
      </c>
      <c r="L6" s="24">
        <v>1.9191920174329362</v>
      </c>
      <c r="M6" s="24">
        <v>3.4832424060025415</v>
      </c>
      <c r="N6" s="24">
        <v>2.6699821945511748</v>
      </c>
      <c r="O6" s="24">
        <v>2.4111121604157049</v>
      </c>
      <c r="P6" s="24">
        <v>3.8219395709868293</v>
      </c>
      <c r="Q6" s="24">
        <v>0.93807429057358938</v>
      </c>
      <c r="R6" s="24">
        <v>-5.7406274637611627</v>
      </c>
      <c r="S6" s="24">
        <v>-12.669570901622439</v>
      </c>
      <c r="T6" s="24">
        <v>-13.818823100774342</v>
      </c>
      <c r="U6" s="24">
        <v>-12.194317494744679</v>
      </c>
      <c r="V6" s="24">
        <v>-7.2652929027481727</v>
      </c>
      <c r="W6" s="24">
        <v>0.32596515152927164</v>
      </c>
      <c r="X6" s="24">
        <v>1.3694483100229609</v>
      </c>
      <c r="Y6" s="24">
        <v>2.0853939991829487</v>
      </c>
      <c r="Z6" s="24">
        <v>2.0434211402159521</v>
      </c>
    </row>
    <row r="7" spans="1:26" ht="14.25" customHeight="1" x14ac:dyDescent="0.6">
      <c r="A7" s="274"/>
      <c r="B7" s="24" t="s">
        <v>304</v>
      </c>
      <c r="C7" s="24">
        <v>1.6064659133258343</v>
      </c>
      <c r="D7" s="24">
        <v>1.5086728632559312</v>
      </c>
      <c r="E7" s="24">
        <v>1.5078847978437633</v>
      </c>
      <c r="F7" s="24">
        <v>1.5164471770540073</v>
      </c>
      <c r="G7" s="24">
        <v>1.6104457724055148</v>
      </c>
      <c r="H7" s="24">
        <v>1.3794057203402283</v>
      </c>
      <c r="I7" s="24">
        <v>1.2837114997594572</v>
      </c>
      <c r="J7" s="24">
        <v>1.4970057865974278</v>
      </c>
      <c r="K7" s="24">
        <v>1.2330619873845656</v>
      </c>
      <c r="L7" s="24">
        <v>1.5444257967531134</v>
      </c>
      <c r="M7" s="24">
        <v>1.5075411023842007</v>
      </c>
      <c r="N7" s="24">
        <v>1.1564323233660503</v>
      </c>
      <c r="O7" s="24">
        <v>1.2828650842265552</v>
      </c>
      <c r="P7" s="24">
        <v>1.0505530569671007</v>
      </c>
      <c r="Q7" s="24">
        <v>1.2164409192279075</v>
      </c>
      <c r="R7" s="24">
        <v>1.0542718902223958</v>
      </c>
      <c r="S7" s="24">
        <v>0.78017748514488094</v>
      </c>
      <c r="T7" s="24">
        <v>0.87640367908969519</v>
      </c>
      <c r="U7" s="24">
        <v>0.80188212736197662</v>
      </c>
      <c r="V7" s="24">
        <v>1.0693775885419434</v>
      </c>
      <c r="W7" s="24">
        <v>1.5485508292561778</v>
      </c>
      <c r="X7" s="24">
        <v>1.275815283650896</v>
      </c>
      <c r="Y7" s="24">
        <v>1.3196164053013177</v>
      </c>
      <c r="Z7" s="24">
        <v>1.3407118927265231</v>
      </c>
    </row>
    <row r="8" spans="1:26" ht="14.25" customHeight="1" x14ac:dyDescent="0.6">
      <c r="A8" s="274"/>
      <c r="B8" s="24" t="s">
        <v>306</v>
      </c>
      <c r="C8" s="24">
        <v>3.2066869799473903</v>
      </c>
      <c r="D8" s="24">
        <v>2.2460512735396163</v>
      </c>
      <c r="E8" s="24">
        <v>1.9035666890683596</v>
      </c>
      <c r="F8" s="24">
        <v>1.5959269819530755</v>
      </c>
      <c r="G8" s="24">
        <v>1.311445409297328</v>
      </c>
      <c r="H8" s="24">
        <v>1.1003879421680329</v>
      </c>
      <c r="I8" s="24">
        <v>1.1058687629550097</v>
      </c>
      <c r="J8" s="24">
        <v>0.74305074732837539</v>
      </c>
      <c r="K8" s="24">
        <v>0.67951244758768592</v>
      </c>
      <c r="L8" s="24">
        <v>1.0555215658418751</v>
      </c>
      <c r="M8" s="24">
        <v>1.3712422220256906</v>
      </c>
      <c r="N8" s="24">
        <v>1.8884712670489818</v>
      </c>
      <c r="O8" s="24">
        <v>1.7618572123817147</v>
      </c>
      <c r="P8" s="24">
        <v>1.7459692106225253</v>
      </c>
      <c r="Q8" s="24">
        <v>1.7786029626826738</v>
      </c>
      <c r="R8" s="24">
        <v>1.692494288370255</v>
      </c>
      <c r="S8" s="24">
        <v>1.8071793815126518</v>
      </c>
      <c r="T8" s="24">
        <v>1.9658726055952536</v>
      </c>
      <c r="U8" s="24">
        <v>1.8833507762911088</v>
      </c>
      <c r="V8" s="24">
        <v>2.0577019425189746</v>
      </c>
      <c r="W8" s="24">
        <v>2.3734945027372003</v>
      </c>
      <c r="X8" s="24">
        <v>2.3099345821625481</v>
      </c>
      <c r="Y8" s="24">
        <v>2.2547406969273305</v>
      </c>
      <c r="Z8" s="24">
        <v>2.0529329495098709</v>
      </c>
    </row>
    <row r="9" spans="1:26" ht="14.25" customHeight="1" x14ac:dyDescent="0.6">
      <c r="A9" s="274"/>
      <c r="B9" s="24" t="s">
        <v>308</v>
      </c>
      <c r="C9" s="24">
        <v>3.0132759275324656</v>
      </c>
      <c r="D9" s="24">
        <v>2.4697250883782136</v>
      </c>
      <c r="E9" s="24">
        <v>2.3852286757506</v>
      </c>
      <c r="F9" s="24">
        <v>2.0691969930967824</v>
      </c>
      <c r="G9" s="24">
        <v>1.7711637681772074</v>
      </c>
      <c r="H9" s="24">
        <v>0.98460709766220988</v>
      </c>
      <c r="I9" s="24">
        <v>0.78679732462675722</v>
      </c>
      <c r="J9" s="24">
        <v>0.391488937452797</v>
      </c>
      <c r="K9" s="24">
        <v>0.33855031058836377</v>
      </c>
      <c r="L9" s="24">
        <v>0.99371195944594415</v>
      </c>
      <c r="M9" s="24">
        <v>1.2560391160981403</v>
      </c>
      <c r="N9" s="24">
        <v>1.5940641347525535</v>
      </c>
      <c r="O9" s="24">
        <v>1.6517689180746791</v>
      </c>
      <c r="P9" s="24">
        <v>1.4522614082381349</v>
      </c>
      <c r="Q9" s="24">
        <v>1.8932204461793778</v>
      </c>
      <c r="R9" s="24">
        <v>1.9714301893070056</v>
      </c>
      <c r="S9" s="24">
        <v>2.085096983973552</v>
      </c>
      <c r="T9" s="24">
        <v>2.167636845490422</v>
      </c>
      <c r="U9" s="24">
        <v>2.0275443112835982</v>
      </c>
      <c r="V9" s="24">
        <v>2.6222956904973453</v>
      </c>
      <c r="W9" s="24">
        <v>2.8933623815788061</v>
      </c>
      <c r="X9" s="24">
        <v>3.0100230470391662</v>
      </c>
      <c r="Y9" s="24">
        <v>2.8437308502907261</v>
      </c>
      <c r="Z9" s="24">
        <v>1.1413057875506869</v>
      </c>
    </row>
    <row r="10" spans="1:26" ht="14.25" customHeight="1" x14ac:dyDescent="0.6">
      <c r="A10" s="274"/>
      <c r="B10" s="24" t="s">
        <v>310</v>
      </c>
      <c r="C10" s="24">
        <v>3.8265390695329922</v>
      </c>
      <c r="D10" s="24">
        <v>13.964213692607636</v>
      </c>
      <c r="E10" s="24">
        <v>11.185981806567218</v>
      </c>
      <c r="F10" s="24">
        <v>2.8907274425162108</v>
      </c>
      <c r="G10" s="24">
        <v>0.22918359040913111</v>
      </c>
      <c r="H10" s="24">
        <v>-5.3310569468471884</v>
      </c>
      <c r="I10" s="24">
        <v>-5.3246447868499125</v>
      </c>
      <c r="J10" s="24">
        <v>0.20478258505262606</v>
      </c>
      <c r="K10" s="24">
        <v>1.7297068587960509</v>
      </c>
      <c r="L10" s="24">
        <v>1.8306029310789835</v>
      </c>
      <c r="M10" s="24">
        <v>3.5326810154461876</v>
      </c>
      <c r="N10" s="24">
        <v>2.6643108813859189</v>
      </c>
      <c r="O10" s="24">
        <v>2.1641332790026873</v>
      </c>
      <c r="P10" s="24">
        <v>4.0037000270658121</v>
      </c>
      <c r="Q10" s="24">
        <v>0.72430922840655643</v>
      </c>
      <c r="R10" s="24">
        <v>-6.0723301181126814</v>
      </c>
      <c r="S10" s="24">
        <v>-13.265905256064295</v>
      </c>
      <c r="T10" s="24">
        <v>-14.466408989917056</v>
      </c>
      <c r="U10" s="24">
        <v>-12.607928113266276</v>
      </c>
      <c r="V10" s="24">
        <v>-7.5105165244626848</v>
      </c>
      <c r="W10" s="24">
        <v>0.2613236528056988</v>
      </c>
      <c r="X10" s="24">
        <v>1.333984646452357</v>
      </c>
      <c r="Y10" s="24">
        <v>2.0606913441180397</v>
      </c>
      <c r="Z10" s="24">
        <v>2.0148259959191019</v>
      </c>
    </row>
    <row r="11" spans="1:26" ht="14.25" customHeight="1" x14ac:dyDescent="0.6">
      <c r="A11" s="274"/>
      <c r="B11" s="24" t="s">
        <v>312</v>
      </c>
      <c r="C11" s="24">
        <v>2.4680241292376297</v>
      </c>
      <c r="D11" s="24">
        <v>2.8940355612322994</v>
      </c>
      <c r="E11" s="24">
        <v>3.1734066768340443</v>
      </c>
      <c r="F11" s="24">
        <v>2.917479573966788</v>
      </c>
      <c r="G11" s="24">
        <v>2.6422730399706698</v>
      </c>
      <c r="H11" s="24">
        <v>2.1608440610038517</v>
      </c>
      <c r="I11" s="24">
        <v>1.9909400425959529</v>
      </c>
      <c r="J11" s="24">
        <v>2.0139979917595054</v>
      </c>
      <c r="K11" s="24">
        <v>1.6874764276880609</v>
      </c>
      <c r="L11" s="24">
        <v>1.4602780742387549</v>
      </c>
      <c r="M11" s="24">
        <v>1.5588888187973529</v>
      </c>
      <c r="N11" s="24">
        <v>1.1521538365299091</v>
      </c>
      <c r="O11" s="24">
        <v>1.0378742356856607</v>
      </c>
      <c r="P11" s="24">
        <v>1.2248521890350477</v>
      </c>
      <c r="Q11" s="24">
        <v>0.99838242629687513</v>
      </c>
      <c r="R11" s="24">
        <v>0.69811767589943852</v>
      </c>
      <c r="S11" s="24">
        <v>9.0559076087479803E-2</v>
      </c>
      <c r="T11" s="24">
        <v>0.119794154910748</v>
      </c>
      <c r="U11" s="24">
        <v>0.33063257034217869</v>
      </c>
      <c r="V11" s="24">
        <v>0.80331443086622056</v>
      </c>
      <c r="W11" s="24">
        <v>1.4857650520022458</v>
      </c>
      <c r="X11" s="24">
        <v>1.241388495791373</v>
      </c>
      <c r="Y11" s="24">
        <v>1.2952122310357479</v>
      </c>
      <c r="Z11" s="24">
        <v>1.3119917714529425</v>
      </c>
    </row>
    <row r="12" spans="1:26" ht="14.25" customHeight="1" x14ac:dyDescent="0.6">
      <c r="A12" s="274"/>
      <c r="B12" s="24" t="s">
        <v>314</v>
      </c>
      <c r="C12" s="24">
        <v>14.934771802619801</v>
      </c>
      <c r="D12" s="24">
        <v>11.744826098086426</v>
      </c>
      <c r="E12" s="24">
        <v>8.6434154246691719</v>
      </c>
      <c r="F12" s="24">
        <v>5.6280825456434203</v>
      </c>
      <c r="G12" s="24">
        <v>-2.4896410614158011</v>
      </c>
      <c r="H12" s="24">
        <v>-1.8824574581564546</v>
      </c>
      <c r="I12" s="24">
        <v>-1.2714930060510947</v>
      </c>
      <c r="J12" s="24">
        <v>-0.65672416227358199</v>
      </c>
      <c r="K12" s="24">
        <v>1.3706630725418787</v>
      </c>
      <c r="L12" s="24">
        <v>1.0411523924292052</v>
      </c>
      <c r="M12" s="24">
        <v>0.71271280413952964</v>
      </c>
      <c r="N12" s="24">
        <v>0.38534082603244446</v>
      </c>
      <c r="O12" s="24">
        <v>3.9122523322855698</v>
      </c>
      <c r="P12" s="24">
        <v>0.968867507184757</v>
      </c>
      <c r="Q12" s="24">
        <v>-1.8911439520791637</v>
      </c>
      <c r="R12" s="24">
        <v>-4.6701436524805189</v>
      </c>
      <c r="S12" s="24">
        <v>-15.089956943676183</v>
      </c>
      <c r="T12" s="24">
        <v>-12.4779653295933</v>
      </c>
      <c r="U12" s="24">
        <v>-9.7856239718703595</v>
      </c>
      <c r="V12" s="24">
        <v>-7.010461162226167</v>
      </c>
      <c r="W12" s="24">
        <v>-6.9342349606436413E-2</v>
      </c>
      <c r="X12" s="24">
        <v>0.10181719584922211</v>
      </c>
      <c r="Y12" s="24">
        <v>0.27326990048827776</v>
      </c>
      <c r="Z12" s="24">
        <v>0.44501626642896397</v>
      </c>
    </row>
    <row r="13" spans="1:26" ht="14.25" customHeight="1" x14ac:dyDescent="0.6">
      <c r="A13" s="274"/>
      <c r="B13" s="24" t="s">
        <v>316</v>
      </c>
      <c r="C13" s="24">
        <v>7.0401898045914253</v>
      </c>
      <c r="D13" s="24">
        <v>5.9210076384708952</v>
      </c>
      <c r="E13" s="24">
        <v>4.8135273267963754</v>
      </c>
      <c r="F13" s="24">
        <v>3.7176265182637716</v>
      </c>
      <c r="G13" s="24">
        <v>0.77628817261195793</v>
      </c>
      <c r="H13" s="24">
        <v>0.93745920466881094</v>
      </c>
      <c r="I13" s="24">
        <v>1.0988879967805711</v>
      </c>
      <c r="J13" s="24">
        <v>1.260574961181681</v>
      </c>
      <c r="K13" s="24">
        <v>1.1727104467767828</v>
      </c>
      <c r="L13" s="24">
        <v>1.5008147948758657</v>
      </c>
      <c r="M13" s="24">
        <v>1.8299831894235248</v>
      </c>
      <c r="N13" s="24">
        <v>2.1602190811354731</v>
      </c>
      <c r="O13" s="24">
        <v>2.3605903741649685</v>
      </c>
      <c r="P13" s="24">
        <v>2.7732934030853409</v>
      </c>
      <c r="Q13" s="24">
        <v>3.1876603906587171</v>
      </c>
      <c r="R13" s="24">
        <v>3.6036980457246384</v>
      </c>
      <c r="S13" s="24">
        <v>4.6034665061061508</v>
      </c>
      <c r="T13" s="24">
        <v>4.6378166446512479</v>
      </c>
      <c r="U13" s="24">
        <v>4.6721780632432752</v>
      </c>
      <c r="V13" s="24">
        <v>4.7065507655865684</v>
      </c>
      <c r="W13" s="24">
        <v>4.8025619058460896</v>
      </c>
      <c r="X13" s="24">
        <v>4.7957572033878559</v>
      </c>
      <c r="Y13" s="24">
        <v>4.7889529427506643</v>
      </c>
      <c r="Z13" s="24">
        <v>4.7821491239057723</v>
      </c>
    </row>
    <row r="14" spans="1:26" ht="14.25" customHeight="1" x14ac:dyDescent="0.6">
      <c r="A14" s="274"/>
      <c r="B14" s="24" t="s">
        <v>318</v>
      </c>
      <c r="C14" s="24">
        <v>17.332973246664274</v>
      </c>
      <c r="D14" s="24">
        <v>13.595480129686788</v>
      </c>
      <c r="E14" s="24">
        <v>9.9770401178418968</v>
      </c>
      <c r="F14" s="24">
        <v>6.4738609253920334</v>
      </c>
      <c r="G14" s="24">
        <v>-2.7561886652995335</v>
      </c>
      <c r="H14" s="24">
        <v>-2.1511211638082157</v>
      </c>
      <c r="I14" s="24">
        <v>-1.5422888296109756</v>
      </c>
      <c r="J14" s="24">
        <v>-0.9296682372796341</v>
      </c>
      <c r="K14" s="24">
        <v>1.2877915475964112</v>
      </c>
      <c r="L14" s="24">
        <v>0.82497365297519287</v>
      </c>
      <c r="M14" s="24">
        <v>0.36427052855786979</v>
      </c>
      <c r="N14" s="24">
        <v>-9.43274887500197E-2</v>
      </c>
      <c r="O14" s="24">
        <v>2.8290684681305631</v>
      </c>
      <c r="P14" s="24">
        <v>6.7278468201063174E-2</v>
      </c>
      <c r="Q14" s="24">
        <v>-2.6203351911533757</v>
      </c>
      <c r="R14" s="24">
        <v>-5.2357647430500878</v>
      </c>
      <c r="S14" s="24">
        <v>-15.356177467917215</v>
      </c>
      <c r="T14" s="24">
        <v>-12.691124912406751</v>
      </c>
      <c r="U14" s="24">
        <v>-9.9421618609951725</v>
      </c>
      <c r="V14" s="24">
        <v>-7.1066463502781199</v>
      </c>
      <c r="W14" s="24">
        <v>3.3639845918714301E-2</v>
      </c>
      <c r="X14" s="24">
        <v>0.18398756379301762</v>
      </c>
      <c r="Y14" s="24">
        <v>0.33456125001466452</v>
      </c>
      <c r="Z14" s="24">
        <v>0.4853612442075898</v>
      </c>
    </row>
    <row r="15" spans="1:26" ht="14.25" customHeight="1" x14ac:dyDescent="0.6">
      <c r="A15" s="274"/>
      <c r="B15" s="24" t="s">
        <v>320</v>
      </c>
      <c r="C15" s="24">
        <v>7.6305834319619876</v>
      </c>
      <c r="D15" s="24">
        <v>6.3105779920698826</v>
      </c>
      <c r="E15" s="24">
        <v>5.0067613928008354</v>
      </c>
      <c r="F15" s="24">
        <v>3.7189350906088188</v>
      </c>
      <c r="G15" s="24">
        <v>0.27325569762046686</v>
      </c>
      <c r="H15" s="24">
        <v>0.46251645771242555</v>
      </c>
      <c r="I15" s="24">
        <v>0.65213443803283522</v>
      </c>
      <c r="J15" s="24">
        <v>0.84211031281708137</v>
      </c>
      <c r="K15" s="24">
        <v>0.66158446562271322</v>
      </c>
      <c r="L15" s="24">
        <v>1.0995582462899303</v>
      </c>
      <c r="M15" s="24">
        <v>1.5394376301082444</v>
      </c>
      <c r="N15" s="24">
        <v>1.9812309082666131</v>
      </c>
      <c r="O15" s="24">
        <v>2.5634864433216666</v>
      </c>
      <c r="P15" s="24">
        <v>2.9128611545352796</v>
      </c>
      <c r="Q15" s="24">
        <v>3.2634259841143223</v>
      </c>
      <c r="R15" s="24">
        <v>3.6151849861063865</v>
      </c>
      <c r="S15" s="24">
        <v>4.3567177192565367</v>
      </c>
      <c r="T15" s="24">
        <v>4.4551129109863528</v>
      </c>
      <c r="U15" s="24">
        <v>4.5536008769425322</v>
      </c>
      <c r="V15" s="24">
        <v>4.6521817045994913</v>
      </c>
      <c r="W15" s="24">
        <v>4.8765492825487096</v>
      </c>
      <c r="X15" s="24">
        <v>4.8865964669059574</v>
      </c>
      <c r="Y15" s="24">
        <v>4.8966446137845576</v>
      </c>
      <c r="Z15" s="24">
        <v>4.9066937232766321</v>
      </c>
    </row>
    <row r="16" spans="1:26" ht="14.25" customHeight="1" x14ac:dyDescent="0.6">
      <c r="A16" s="274"/>
      <c r="B16" s="24" t="s">
        <v>322</v>
      </c>
      <c r="C16" s="24">
        <v>13.15165961354235</v>
      </c>
      <c r="D16" s="24">
        <v>10.114438543799126</v>
      </c>
      <c r="E16" s="24">
        <v>7.1587426753476731</v>
      </c>
      <c r="F16" s="24">
        <v>4.2823837056927054</v>
      </c>
      <c r="G16" s="24">
        <v>-3.9753530827666648</v>
      </c>
      <c r="H16" s="24">
        <v>-3.0632845142444425</v>
      </c>
      <c r="I16" s="24">
        <v>-2.1425528670190563</v>
      </c>
      <c r="J16" s="24">
        <v>-1.2130758567807511</v>
      </c>
      <c r="K16" s="24">
        <v>1.6124228474682338</v>
      </c>
      <c r="L16" s="24">
        <v>1.281762492271681</v>
      </c>
      <c r="M16" s="24">
        <v>0.95217814990340255</v>
      </c>
      <c r="N16" s="24">
        <v>0.62366631887439183</v>
      </c>
      <c r="O16" s="24">
        <v>2.4298030321792035</v>
      </c>
      <c r="P16" s="24">
        <v>0.66115663495133215</v>
      </c>
      <c r="Q16" s="24">
        <v>-1.0769507005403325</v>
      </c>
      <c r="R16" s="24">
        <v>-2.7850462895879473</v>
      </c>
      <c r="S16" s="24">
        <v>-9.1910322049626245</v>
      </c>
      <c r="T16" s="24">
        <v>-7.637628097676223</v>
      </c>
      <c r="U16" s="24">
        <v>-6.0576510166061839</v>
      </c>
      <c r="V16" s="24">
        <v>-4.4506463968828269</v>
      </c>
      <c r="W16" s="24">
        <v>-0.64269267607859115</v>
      </c>
      <c r="X16" s="24">
        <v>-0.47305112679783595</v>
      </c>
      <c r="Y16" s="24">
        <v>-0.30311993344344001</v>
      </c>
      <c r="Z16" s="24">
        <v>-0.1328986014803116</v>
      </c>
    </row>
    <row r="17" spans="1:26" ht="14.25" customHeight="1" x14ac:dyDescent="0.6">
      <c r="A17" s="274"/>
      <c r="B17" s="24" t="s">
        <v>324</v>
      </c>
      <c r="C17" s="24">
        <v>8.0822915442470222</v>
      </c>
      <c r="D17" s="24">
        <v>6.8085814822397674</v>
      </c>
      <c r="E17" s="24">
        <v>5.5498816249467184</v>
      </c>
      <c r="F17" s="24">
        <v>4.306015082624862</v>
      </c>
      <c r="G17" s="24">
        <v>1.0518134824945937</v>
      </c>
      <c r="H17" s="24">
        <v>1.1847639075940195</v>
      </c>
      <c r="I17" s="24">
        <v>1.3178892510340963</v>
      </c>
      <c r="J17" s="24">
        <v>1.451189742948938</v>
      </c>
      <c r="K17" s="24">
        <v>1.00368057851306</v>
      </c>
      <c r="L17" s="24">
        <v>1.5206198013981822</v>
      </c>
      <c r="M17" s="24">
        <v>2.0402047314359928</v>
      </c>
      <c r="N17" s="24">
        <v>2.5624489094182792</v>
      </c>
      <c r="O17" s="24">
        <v>4.0438642806001308</v>
      </c>
      <c r="P17" s="24">
        <v>3.9401040884222831</v>
      </c>
      <c r="Q17" s="24">
        <v>3.8364473735379323</v>
      </c>
      <c r="R17" s="24">
        <v>3.732894032751858</v>
      </c>
      <c r="S17" s="24">
        <v>2.6434194121643646</v>
      </c>
      <c r="T17" s="24">
        <v>3.2054211288313388</v>
      </c>
      <c r="U17" s="24">
        <v>3.7704999636550127</v>
      </c>
      <c r="V17" s="24">
        <v>4.3386727647265531</v>
      </c>
      <c r="W17" s="24">
        <v>5.8597273796739247</v>
      </c>
      <c r="X17" s="24">
        <v>5.783360300398801</v>
      </c>
      <c r="Y17" s="24">
        <v>5.7070483122422768</v>
      </c>
      <c r="Z17" s="24">
        <v>5.6307913754616399</v>
      </c>
    </row>
    <row r="18" spans="1:26" ht="14.25" customHeight="1" x14ac:dyDescent="0.6">
      <c r="A18" s="274"/>
      <c r="B18" s="24" t="s">
        <v>326</v>
      </c>
      <c r="C18" s="24">
        <v>14.662033708064277</v>
      </c>
      <c r="D18" s="24">
        <v>11.158700172848905</v>
      </c>
      <c r="E18" s="24">
        <v>7.7624059553750335</v>
      </c>
      <c r="F18" s="24">
        <v>4.4698806232309662</v>
      </c>
      <c r="G18" s="24">
        <v>-4.931140848714759</v>
      </c>
      <c r="H18" s="24">
        <v>-3.877931261379211</v>
      </c>
      <c r="I18" s="24">
        <v>-2.8130538109309775</v>
      </c>
      <c r="J18" s="24">
        <v>-1.7363792362702051</v>
      </c>
      <c r="K18" s="24">
        <v>1.6632786715270786</v>
      </c>
      <c r="L18" s="24">
        <v>1.2104623025364132</v>
      </c>
      <c r="M18" s="24">
        <v>0.7596628138461603</v>
      </c>
      <c r="N18" s="24">
        <v>0.31087122211021667</v>
      </c>
      <c r="O18" s="24">
        <v>3.7865641916084889</v>
      </c>
      <c r="P18" s="24">
        <v>0.66998743937353422</v>
      </c>
      <c r="Q18" s="24">
        <v>-2.3530025299457238</v>
      </c>
      <c r="R18" s="24">
        <v>-5.2852160068162197</v>
      </c>
      <c r="S18" s="24">
        <v>-16.537444460113971</v>
      </c>
      <c r="T18" s="24">
        <v>-13.599181967332871</v>
      </c>
      <c r="U18" s="24">
        <v>-10.557479238141086</v>
      </c>
      <c r="V18" s="24">
        <v>-7.4086947045933149</v>
      </c>
      <c r="W18" s="24">
        <v>0.67023659645790334</v>
      </c>
      <c r="X18" s="24">
        <v>0.77797366898025522</v>
      </c>
      <c r="Y18" s="24">
        <v>0.88582604148786348</v>
      </c>
      <c r="Z18" s="24">
        <v>0.99379383737452398</v>
      </c>
    </row>
    <row r="19" spans="1:26" ht="14.25" customHeight="1" x14ac:dyDescent="0.6">
      <c r="A19" s="274"/>
      <c r="B19" s="24" t="s">
        <v>328</v>
      </c>
      <c r="C19" s="24">
        <v>7.1163444745906066</v>
      </c>
      <c r="D19" s="24">
        <v>6.1740617216413272</v>
      </c>
      <c r="E19" s="24">
        <v>5.2400680565139899</v>
      </c>
      <c r="F19" s="24">
        <v>4.3142905616296838</v>
      </c>
      <c r="G19" s="24">
        <v>1.9127572299686777</v>
      </c>
      <c r="H19" s="24">
        <v>1.9858665654819474</v>
      </c>
      <c r="I19" s="24">
        <v>2.0590283475689666</v>
      </c>
      <c r="J19" s="24">
        <v>2.1322426138534119</v>
      </c>
      <c r="K19" s="24">
        <v>2.0176710867431127</v>
      </c>
      <c r="L19" s="24">
        <v>2.2194786979603034</v>
      </c>
      <c r="M19" s="24">
        <v>2.4216855175843399</v>
      </c>
      <c r="N19" s="24">
        <v>2.6242923353146397</v>
      </c>
      <c r="O19" s="24">
        <v>2.9469992917420531</v>
      </c>
      <c r="P19" s="24">
        <v>3.0658154742714108</v>
      </c>
      <c r="Q19" s="24">
        <v>3.1847687883862443</v>
      </c>
      <c r="R19" s="24">
        <v>3.3038593923567943</v>
      </c>
      <c r="S19" s="24">
        <v>3.4701745387927243</v>
      </c>
      <c r="T19" s="24">
        <v>3.5554231139254004</v>
      </c>
      <c r="U19" s="24">
        <v>3.6407419249457709</v>
      </c>
      <c r="V19" s="24">
        <v>3.7261310297209067</v>
      </c>
      <c r="W19" s="24">
        <v>3.8770869548570328</v>
      </c>
      <c r="X19" s="24">
        <v>3.9184229014048242</v>
      </c>
      <c r="Y19" s="24">
        <v>3.9597752968204509</v>
      </c>
      <c r="Z19" s="24">
        <v>4.0011441476494776</v>
      </c>
    </row>
    <row r="20" spans="1:26" ht="14.25" customHeight="1" x14ac:dyDescent="0.6">
      <c r="A20" s="274"/>
      <c r="B20" s="24" t="s">
        <v>330</v>
      </c>
      <c r="C20" s="24">
        <v>16.572162043413883</v>
      </c>
      <c r="D20" s="24">
        <v>12.598484778797381</v>
      </c>
      <c r="E20" s="24">
        <v>8.7602610455089351</v>
      </c>
      <c r="F20" s="24">
        <v>5.0528735437712458</v>
      </c>
      <c r="G20" s="24">
        <v>-5.2914957298683714</v>
      </c>
      <c r="H20" s="24">
        <v>-4.2301012405327523</v>
      </c>
      <c r="I20" s="24">
        <v>-3.1568117448228072</v>
      </c>
      <c r="J20" s="24">
        <v>-2.0714939358691309</v>
      </c>
      <c r="K20" s="24">
        <v>1.5127846901535213</v>
      </c>
      <c r="L20" s="24">
        <v>0.9449292742825256</v>
      </c>
      <c r="M20" s="24">
        <v>0.38025040188157239</v>
      </c>
      <c r="N20" s="24">
        <v>-0.18126969641126511</v>
      </c>
      <c r="O20" s="24">
        <v>2.7231325373317548</v>
      </c>
      <c r="P20" s="24">
        <v>-0.19489692662396704</v>
      </c>
      <c r="Q20" s="24">
        <v>-3.0300346821379249</v>
      </c>
      <c r="R20" s="24">
        <v>-5.7846354125377193</v>
      </c>
      <c r="S20" s="24">
        <v>-16.692664066226509</v>
      </c>
      <c r="T20" s="24">
        <v>-13.714635851876286</v>
      </c>
      <c r="U20" s="24">
        <v>-10.630150601707301</v>
      </c>
      <c r="V20" s="24">
        <v>-7.4354027438245112</v>
      </c>
      <c r="W20" s="24">
        <v>0.81632801341595418</v>
      </c>
      <c r="X20" s="24">
        <v>0.89502395136177948</v>
      </c>
      <c r="Y20" s="24">
        <v>0.97378131835162696</v>
      </c>
      <c r="Z20" s="24">
        <v>1.0526001623362313</v>
      </c>
    </row>
    <row r="21" spans="1:26" ht="14.25" customHeight="1" x14ac:dyDescent="0.6">
      <c r="A21" s="274"/>
      <c r="B21" s="24" t="s">
        <v>332</v>
      </c>
      <c r="C21" s="24">
        <v>7.3445967275268735</v>
      </c>
      <c r="D21" s="24">
        <v>6.2979963317803769</v>
      </c>
      <c r="E21" s="24">
        <v>5.2616001980253939</v>
      </c>
      <c r="F21" s="24">
        <v>4.2353088356031261</v>
      </c>
      <c r="G21" s="24">
        <v>1.6380118378130941</v>
      </c>
      <c r="H21" s="24">
        <v>1.6803351176682233</v>
      </c>
      <c r="I21" s="24">
        <v>1.722676021441651</v>
      </c>
      <c r="J21" s="24">
        <v>1.7650345564722316</v>
      </c>
      <c r="K21" s="24">
        <v>1.4593172074207399</v>
      </c>
      <c r="L21" s="24">
        <v>1.7391660776255209</v>
      </c>
      <c r="M21" s="24">
        <v>2.0197868374143177</v>
      </c>
      <c r="N21" s="24">
        <v>2.3011816158417413</v>
      </c>
      <c r="O21" s="24">
        <v>2.9887765422975305</v>
      </c>
      <c r="P21" s="24">
        <v>2.9958573031620546</v>
      </c>
      <c r="Q21" s="24">
        <v>3.002938550848314</v>
      </c>
      <c r="R21" s="24">
        <v>3.0100202853897651</v>
      </c>
      <c r="S21" s="24">
        <v>2.709248833811063</v>
      </c>
      <c r="T21" s="24">
        <v>2.9148810291656915</v>
      </c>
      <c r="U21" s="24">
        <v>3.1209249167510325</v>
      </c>
      <c r="V21" s="24">
        <v>3.3273813208081338</v>
      </c>
      <c r="W21" s="24">
        <v>3.8061630400024069</v>
      </c>
      <c r="X21" s="24">
        <v>3.8317447774411089</v>
      </c>
      <c r="Y21" s="24">
        <v>3.8573328191807268</v>
      </c>
      <c r="Z21" s="24">
        <v>3.882927166774893</v>
      </c>
    </row>
    <row r="22" spans="1:26" ht="14.25" customHeight="1" x14ac:dyDescent="0.6">
      <c r="A22" s="274"/>
      <c r="B22" s="24" t="s">
        <v>334</v>
      </c>
      <c r="C22" s="24">
        <v>15.002728442624704</v>
      </c>
      <c r="D22" s="24">
        <v>11.240729575279907</v>
      </c>
      <c r="E22" s="24">
        <v>7.6017941836418466</v>
      </c>
      <c r="F22" s="24">
        <v>4.0818965836028855</v>
      </c>
      <c r="G22" s="24">
        <v>-6.0003322049755496</v>
      </c>
      <c r="H22" s="24">
        <v>-4.8182912822959878</v>
      </c>
      <c r="I22" s="24">
        <v>-3.6213862566290307</v>
      </c>
      <c r="J22" s="24">
        <v>-2.4094302126543576</v>
      </c>
      <c r="K22" s="24">
        <v>1.2857039891006738</v>
      </c>
      <c r="L22" s="24">
        <v>0.85506695488747919</v>
      </c>
      <c r="M22" s="24">
        <v>0.42626086273160396</v>
      </c>
      <c r="N22" s="24">
        <v>-7.2207199436065427E-4</v>
      </c>
      <c r="O22" s="24">
        <v>2.2845661454619428</v>
      </c>
      <c r="P22" s="24">
        <v>2.7033600924774213E-2</v>
      </c>
      <c r="Q22" s="24">
        <v>-2.1806727246460467</v>
      </c>
      <c r="R22" s="24">
        <v>-4.3396525505446535</v>
      </c>
      <c r="S22" s="24">
        <v>-12.934326017427283</v>
      </c>
      <c r="T22" s="24">
        <v>-10.618365989232634</v>
      </c>
      <c r="U22" s="24">
        <v>-8.2408010758191548</v>
      </c>
      <c r="V22" s="24">
        <v>-5.7999925779707047</v>
      </c>
      <c r="W22" s="24">
        <v>0.37151310493711576</v>
      </c>
      <c r="X22" s="24">
        <v>0.45791226204297142</v>
      </c>
      <c r="Y22" s="24">
        <v>0.54438579099117568</v>
      </c>
      <c r="Z22" s="24">
        <v>0.63093375580050859</v>
      </c>
    </row>
    <row r="23" spans="1:26" ht="14.25" customHeight="1" x14ac:dyDescent="0.6">
      <c r="A23" s="274"/>
      <c r="B23" s="24" t="s">
        <v>262</v>
      </c>
      <c r="C23" s="24">
        <v>2.9194246441529401</v>
      </c>
      <c r="D23" s="24">
        <v>0.33220860299213045</v>
      </c>
      <c r="E23" s="24">
        <v>0.33220860299212746</v>
      </c>
      <c r="F23" s="24">
        <v>0.33220860299212956</v>
      </c>
      <c r="G23" s="24">
        <v>0.23777926313006564</v>
      </c>
      <c r="H23" s="24">
        <v>0.40153636293677486</v>
      </c>
      <c r="I23" s="24">
        <v>0.40153636293677281</v>
      </c>
      <c r="J23" s="24">
        <v>0.40153636293677525</v>
      </c>
      <c r="K23" s="24">
        <v>-9.0082829462098335E-2</v>
      </c>
      <c r="L23" s="24">
        <v>0.74245358776723636</v>
      </c>
      <c r="M23" s="24">
        <v>0.74245358776723469</v>
      </c>
      <c r="N23" s="24">
        <v>0.74245358776723502</v>
      </c>
      <c r="O23" s="24">
        <v>1.1801379095849165</v>
      </c>
      <c r="P23" s="24">
        <v>0.46015756220798526</v>
      </c>
      <c r="Q23" s="24">
        <v>0.46015756220798604</v>
      </c>
      <c r="R23" s="24">
        <v>0.46015756220798842</v>
      </c>
      <c r="S23" s="24">
        <v>-0.34157786030733711</v>
      </c>
      <c r="T23" s="24">
        <v>1.0028531052232352</v>
      </c>
      <c r="U23" s="24">
        <v>1.0028531052232343</v>
      </c>
      <c r="V23" s="24">
        <v>1.0028531052232303</v>
      </c>
      <c r="W23" s="24">
        <v>0.99629839689279831</v>
      </c>
      <c r="X23" s="24">
        <v>1.0074050968703243</v>
      </c>
      <c r="Y23" s="24">
        <v>1.0074050968703243</v>
      </c>
      <c r="Z23" s="24">
        <v>1.0074050968703241</v>
      </c>
    </row>
    <row r="24" spans="1:26" ht="14.25" customHeight="1" x14ac:dyDescent="0.6">
      <c r="A24" s="274"/>
      <c r="B24" s="24" t="s">
        <v>337</v>
      </c>
      <c r="C24" s="24">
        <v>7.1420515854054001</v>
      </c>
      <c r="D24" s="24">
        <v>6.0667986656505164</v>
      </c>
      <c r="E24" s="24">
        <v>5.0023367362148745</v>
      </c>
      <c r="F24" s="24">
        <v>3.9485575012083198</v>
      </c>
      <c r="G24" s="24">
        <v>1.2400972659232781</v>
      </c>
      <c r="H24" s="24">
        <v>1.3100523606805126</v>
      </c>
      <c r="I24" s="24">
        <v>1.3800557931558552</v>
      </c>
      <c r="J24" s="24">
        <v>1.450107596749822</v>
      </c>
      <c r="K24" s="24">
        <v>1.1182801678613774</v>
      </c>
      <c r="L24" s="24">
        <v>1.4616311234666632</v>
      </c>
      <c r="M24" s="24">
        <v>1.8061479402646166</v>
      </c>
      <c r="N24" s="24">
        <v>2.1518345769810971</v>
      </c>
      <c r="O24" s="24">
        <v>3.4505582921644287</v>
      </c>
      <c r="P24" s="24">
        <v>3.1606737359746333</v>
      </c>
      <c r="Q24" s="24">
        <v>2.8716014814031592</v>
      </c>
      <c r="R24" s="24">
        <v>2.5833392522544942</v>
      </c>
      <c r="S24" s="24">
        <v>1.0405197988173525</v>
      </c>
      <c r="T24" s="24">
        <v>1.5863505150872159</v>
      </c>
      <c r="U24" s="24">
        <v>2.1351298619798404</v>
      </c>
      <c r="V24" s="24">
        <v>2.686873768284761</v>
      </c>
      <c r="W24" s="24">
        <v>4.0654058320186541</v>
      </c>
      <c r="X24" s="24">
        <v>4.0700958466423307</v>
      </c>
      <c r="Y24" s="24">
        <v>4.0747860726353879</v>
      </c>
      <c r="Z24" s="24">
        <v>4.0794765100073116</v>
      </c>
    </row>
    <row r="25" spans="1:26" ht="14.25" customHeight="1" x14ac:dyDescent="0.6">
      <c r="A25" s="273" t="s">
        <v>264</v>
      </c>
      <c r="B25" s="24" t="s">
        <v>300</v>
      </c>
      <c r="C25" s="24">
        <v>0.47657201915188313</v>
      </c>
      <c r="D25" s="24">
        <v>8.5119492049918009</v>
      </c>
      <c r="E25" s="24">
        <v>6.3110509662270307</v>
      </c>
      <c r="F25" s="24">
        <v>1.3338489245473075</v>
      </c>
      <c r="G25" s="24">
        <v>0.33305036560119305</v>
      </c>
      <c r="H25" s="24">
        <v>-2.8276443706597174</v>
      </c>
      <c r="I25" s="24">
        <v>-2.9122194451322794</v>
      </c>
      <c r="J25" s="24">
        <v>1.3021376464552472</v>
      </c>
      <c r="K25" s="24">
        <v>1.8857770942648768</v>
      </c>
      <c r="L25" s="24">
        <v>0.97254672257930264</v>
      </c>
      <c r="M25" s="24">
        <v>2.5590360802670067</v>
      </c>
      <c r="N25" s="24">
        <v>1.6261109162132501</v>
      </c>
      <c r="O25" s="24">
        <v>1.9656619221080713</v>
      </c>
      <c r="P25" s="24">
        <v>3.0085113590234123</v>
      </c>
      <c r="Q25" s="24">
        <v>0.36581542960724067</v>
      </c>
      <c r="R25" s="24">
        <v>-3.9666714720602214</v>
      </c>
      <c r="S25" s="24">
        <v>-9.3533173280069306</v>
      </c>
      <c r="T25" s="24">
        <v>-9.9246824832145784</v>
      </c>
      <c r="U25" s="24">
        <v>-8.0765745918776926</v>
      </c>
      <c r="V25" s="24">
        <v>-4.7974773166191875</v>
      </c>
      <c r="W25" s="24">
        <v>0.25078672482023168</v>
      </c>
      <c r="X25" s="24">
        <v>1.4132400791816446</v>
      </c>
      <c r="Y25" s="24">
        <v>1.7597526046165113</v>
      </c>
      <c r="Z25" s="24">
        <v>1.7891573486696022</v>
      </c>
    </row>
    <row r="26" spans="1:26" ht="14.25" customHeight="1" x14ac:dyDescent="0.6">
      <c r="A26" s="274"/>
      <c r="B26" s="24" t="s">
        <v>302</v>
      </c>
      <c r="C26" s="24">
        <v>3.2298836949344616</v>
      </c>
      <c r="D26" s="24">
        <v>6.5217100084393227</v>
      </c>
      <c r="E26" s="24">
        <v>6.1508930819695049</v>
      </c>
      <c r="F26" s="24">
        <v>4.2357538007803877</v>
      </c>
      <c r="G26" s="24">
        <v>6.4260665793847274</v>
      </c>
      <c r="H26" s="24">
        <v>3.6175159214025325</v>
      </c>
      <c r="I26" s="24">
        <v>2.5309941548287345</v>
      </c>
      <c r="J26" s="24">
        <v>3.2433614015522529</v>
      </c>
      <c r="K26" s="24">
        <v>0.68851174740306575</v>
      </c>
      <c r="L26" s="24">
        <v>1.1602198155002692</v>
      </c>
      <c r="M26" s="24">
        <v>1.8891800276967436</v>
      </c>
      <c r="N26" s="24">
        <v>1.6618097029668006</v>
      </c>
      <c r="O26" s="24">
        <v>4.4218801236472025</v>
      </c>
      <c r="P26" s="24">
        <v>3.3643296368727689</v>
      </c>
      <c r="Q26" s="24">
        <v>0.78461970461056318</v>
      </c>
      <c r="R26" s="24">
        <v>-2.7396414996972225</v>
      </c>
      <c r="S26" s="24">
        <v>-9.939624268863966</v>
      </c>
      <c r="T26" s="24">
        <v>-8.9764744123486206</v>
      </c>
      <c r="U26" s="24">
        <v>-7.2442499835686753</v>
      </c>
      <c r="V26" s="24">
        <v>-4.3364890345678662</v>
      </c>
      <c r="W26" s="24">
        <v>1.0813104227144448</v>
      </c>
      <c r="X26" s="24">
        <v>1.5519610502252084</v>
      </c>
      <c r="Y26" s="24">
        <v>1.8722513101286495</v>
      </c>
      <c r="Z26" s="24">
        <v>2.0082453681562193</v>
      </c>
    </row>
    <row r="27" spans="1:26" ht="14.25" customHeight="1" x14ac:dyDescent="0.6">
      <c r="A27" s="274"/>
      <c r="B27" s="24" t="s">
        <v>304</v>
      </c>
      <c r="C27" s="24">
        <v>9.1909593936811653</v>
      </c>
      <c r="D27" s="24">
        <v>8.6143206248486628</v>
      </c>
      <c r="E27" s="24">
        <v>8.0306300696436423</v>
      </c>
      <c r="F27" s="24">
        <v>7.3985069372596222</v>
      </c>
      <c r="G27" s="24">
        <v>7.0408516807670711</v>
      </c>
      <c r="H27" s="24">
        <v>6.3077069278339684</v>
      </c>
      <c r="I27" s="24">
        <v>5.5653931970818302</v>
      </c>
      <c r="J27" s="24">
        <v>4.9468903720743178</v>
      </c>
      <c r="K27" s="24">
        <v>3.0979628305189202</v>
      </c>
      <c r="L27" s="24">
        <v>3.3099782964364568</v>
      </c>
      <c r="M27" s="24">
        <v>3.3920284876235178</v>
      </c>
      <c r="N27" s="24">
        <v>3.1264295801773567</v>
      </c>
      <c r="O27" s="24">
        <v>3.9009061724193725</v>
      </c>
      <c r="P27" s="24">
        <v>3.4613415972922121</v>
      </c>
      <c r="Q27" s="24">
        <v>2.8897098687778451</v>
      </c>
      <c r="R27" s="24">
        <v>2.400244801736223</v>
      </c>
      <c r="S27" s="24">
        <v>1.0611588507580176</v>
      </c>
      <c r="T27" s="24">
        <v>1.6336368987827705</v>
      </c>
      <c r="U27" s="24">
        <v>2.0102171022589888</v>
      </c>
      <c r="V27" s="24">
        <v>2.6236700982675356</v>
      </c>
      <c r="W27" s="24">
        <v>3.9111590445270163</v>
      </c>
      <c r="X27" s="24">
        <v>3.7727524101839722</v>
      </c>
      <c r="Y27" s="24">
        <v>3.6791440770212578</v>
      </c>
      <c r="Z27" s="24">
        <v>3.6228031071376359</v>
      </c>
    </row>
    <row r="28" spans="1:26" ht="14.25" customHeight="1" x14ac:dyDescent="0.6">
      <c r="A28" s="274"/>
      <c r="B28" s="24" t="s">
        <v>306</v>
      </c>
      <c r="C28" s="24">
        <v>5.5256792356204079</v>
      </c>
      <c r="D28" s="24">
        <v>5.223937003126097</v>
      </c>
      <c r="E28" s="24">
        <v>5.3451754450689428</v>
      </c>
      <c r="F28" s="24">
        <v>5.0194342384984196</v>
      </c>
      <c r="G28" s="24">
        <v>4.6434871236789812</v>
      </c>
      <c r="H28" s="24">
        <v>4.6731416402085859</v>
      </c>
      <c r="I28" s="24">
        <v>4.6992491884004988</v>
      </c>
      <c r="J28" s="24">
        <v>4.955721002959506</v>
      </c>
      <c r="K28" s="24">
        <v>4.8018062677371933</v>
      </c>
      <c r="L28" s="24">
        <v>4.9091064989864979</v>
      </c>
      <c r="M28" s="24">
        <v>5.1200318666596472</v>
      </c>
      <c r="N28" s="24">
        <v>5.1413357059237974</v>
      </c>
      <c r="O28" s="24">
        <v>5.379256023403137</v>
      </c>
      <c r="P28" s="24">
        <v>5.3950532134159239</v>
      </c>
      <c r="Q28" s="24">
        <v>5.2314961528421167</v>
      </c>
      <c r="R28" s="24">
        <v>5.1802917004473192</v>
      </c>
      <c r="S28" s="24">
        <v>5.2040768761334455</v>
      </c>
      <c r="T28" s="24">
        <v>5.0174468437163355</v>
      </c>
      <c r="U28" s="24">
        <v>4.8416447158863658</v>
      </c>
      <c r="V28" s="24">
        <v>4.7020946993131494</v>
      </c>
      <c r="W28" s="24">
        <v>4.5907623577625598</v>
      </c>
      <c r="X28" s="24">
        <v>4.7468538144640222</v>
      </c>
      <c r="Y28" s="24">
        <v>4.8782673262171583</v>
      </c>
      <c r="Z28" s="24">
        <v>5.0081430233929458</v>
      </c>
    </row>
    <row r="29" spans="1:26" ht="14.25" customHeight="1" x14ac:dyDescent="0.6">
      <c r="A29" s="274"/>
      <c r="B29" s="24" t="s">
        <v>308</v>
      </c>
      <c r="C29" s="24">
        <v>7.3132902473005021</v>
      </c>
      <c r="D29" s="24">
        <v>5.3742554472524553</v>
      </c>
      <c r="E29" s="24">
        <v>5.5823835200295706</v>
      </c>
      <c r="F29" s="24">
        <v>5.6835014114252296</v>
      </c>
      <c r="G29" s="24">
        <v>5.4516666152181772</v>
      </c>
      <c r="H29" s="24">
        <v>5.8648680809542917</v>
      </c>
      <c r="I29" s="24">
        <v>5.7342514469524506</v>
      </c>
      <c r="J29" s="24">
        <v>4.7883107704636201</v>
      </c>
      <c r="K29" s="24">
        <v>5.2797021332552765</v>
      </c>
      <c r="L29" s="24">
        <v>5.9059703830027939</v>
      </c>
      <c r="M29" s="24">
        <v>5.4650214684630729</v>
      </c>
      <c r="N29" s="24">
        <v>5.3948221028785888</v>
      </c>
      <c r="O29" s="24">
        <v>5.4152857806273884</v>
      </c>
      <c r="P29" s="24">
        <v>4.5963410350058744</v>
      </c>
      <c r="Q29" s="24">
        <v>5.0067494821172644</v>
      </c>
      <c r="R29" s="24">
        <v>5.7540698407944753</v>
      </c>
      <c r="S29" s="24">
        <v>6.0937205503259229</v>
      </c>
      <c r="T29" s="24">
        <v>5.816908393507001</v>
      </c>
      <c r="U29" s="24">
        <v>5.3189496806724463</v>
      </c>
      <c r="V29" s="24">
        <v>4.6529305098746514</v>
      </c>
      <c r="W29" s="24">
        <v>4.2275602469971876</v>
      </c>
      <c r="X29" s="24">
        <v>4.6183738476529292</v>
      </c>
      <c r="Y29" s="24">
        <v>5.0716589585750977</v>
      </c>
      <c r="Z29" s="24">
        <v>5.4239363722884759</v>
      </c>
    </row>
    <row r="30" spans="1:26" ht="14.25" customHeight="1" x14ac:dyDescent="0.6">
      <c r="A30" s="274"/>
      <c r="B30" s="24" t="s">
        <v>310</v>
      </c>
      <c r="C30" s="24">
        <v>2.5946948129890068</v>
      </c>
      <c r="D30" s="24">
        <v>6.3787529527420377</v>
      </c>
      <c r="E30" s="24">
        <v>6.4282205882352867</v>
      </c>
      <c r="F30" s="24">
        <v>4.5956137725336088</v>
      </c>
      <c r="G30" s="24">
        <v>7.1785200791094335</v>
      </c>
      <c r="H30" s="24">
        <v>4.2132923206165618</v>
      </c>
      <c r="I30" s="24">
        <v>3.1349365530660069</v>
      </c>
      <c r="J30" s="24">
        <v>3.945882395667466</v>
      </c>
      <c r="K30" s="24">
        <v>1.4653745697942855</v>
      </c>
      <c r="L30" s="24">
        <v>1.7507137211739601</v>
      </c>
      <c r="M30" s="24">
        <v>2.5725355530690353</v>
      </c>
      <c r="N30" s="24">
        <v>2.3776331665598218</v>
      </c>
      <c r="O30" s="24">
        <v>4.3973193052022204</v>
      </c>
      <c r="P30" s="24">
        <v>3.8395736176238855</v>
      </c>
      <c r="Q30" s="24">
        <v>1.6187840838379886</v>
      </c>
      <c r="R30" s="24">
        <v>-1.4733417238649515</v>
      </c>
      <c r="S30" s="24">
        <v>-7.6397144352761295</v>
      </c>
      <c r="T30" s="24">
        <v>-7.1241366065219189</v>
      </c>
      <c r="U30" s="24">
        <v>-5.6507963158789734</v>
      </c>
      <c r="V30" s="24">
        <v>-3.1680371526850526</v>
      </c>
      <c r="W30" s="24">
        <v>1.220393297980108</v>
      </c>
      <c r="X30" s="24">
        <v>1.5762210905763501</v>
      </c>
      <c r="Y30" s="24">
        <v>1.9708571537774424</v>
      </c>
      <c r="Z30" s="24">
        <v>2.0938790798374094</v>
      </c>
    </row>
    <row r="31" spans="1:26" ht="14.25" customHeight="1" x14ac:dyDescent="0.6">
      <c r="A31" s="274"/>
      <c r="B31" s="24" t="s">
        <v>312</v>
      </c>
      <c r="C31" s="24">
        <v>8.6122533727327255</v>
      </c>
      <c r="D31" s="24">
        <v>8.5439244257816807</v>
      </c>
      <c r="E31" s="24">
        <v>8.365322895250765</v>
      </c>
      <c r="F31" s="24">
        <v>7.8157322527793447</v>
      </c>
      <c r="G31" s="24">
        <v>7.8072972103262401</v>
      </c>
      <c r="H31" s="24">
        <v>6.9279840464418863</v>
      </c>
      <c r="I31" s="24">
        <v>6.201437236104681</v>
      </c>
      <c r="J31" s="24">
        <v>5.6756640347942922</v>
      </c>
      <c r="K31" s="24">
        <v>3.9156124813737323</v>
      </c>
      <c r="L31" s="24">
        <v>3.9324588782732692</v>
      </c>
      <c r="M31" s="24">
        <v>4.1084593441327648</v>
      </c>
      <c r="N31" s="24">
        <v>3.8779081316913162</v>
      </c>
      <c r="O31" s="24">
        <v>3.8351322280085158</v>
      </c>
      <c r="P31" s="24">
        <v>3.8886248402178025</v>
      </c>
      <c r="Q31" s="24">
        <v>3.6837249142011301</v>
      </c>
      <c r="R31" s="24">
        <v>3.6609815221739286</v>
      </c>
      <c r="S31" s="24">
        <v>3.5569268065056643</v>
      </c>
      <c r="T31" s="24">
        <v>3.6245657920234717</v>
      </c>
      <c r="U31" s="24">
        <v>3.6951996825955997</v>
      </c>
      <c r="V31" s="24">
        <v>3.8254751998765317</v>
      </c>
      <c r="W31" s="24">
        <v>4.056867635751451</v>
      </c>
      <c r="X31" s="24">
        <v>3.7994970665742542</v>
      </c>
      <c r="Y31" s="24">
        <v>3.7814877884220741</v>
      </c>
      <c r="Z31" s="24">
        <v>3.711428598068383</v>
      </c>
    </row>
    <row r="32" spans="1:26" ht="14.25" customHeight="1" x14ac:dyDescent="0.6">
      <c r="A32" s="274"/>
      <c r="B32" s="24" t="s">
        <v>314</v>
      </c>
      <c r="C32" s="24">
        <v>16.430693061948613</v>
      </c>
      <c r="D32" s="24">
        <v>13.360603904661394</v>
      </c>
      <c r="E32" s="24">
        <v>10.371468035427494</v>
      </c>
      <c r="F32" s="24">
        <v>7.4611508469079437</v>
      </c>
      <c r="G32" s="24">
        <v>1.2582960413485773</v>
      </c>
      <c r="H32" s="24">
        <v>0.72885352490437416</v>
      </c>
      <c r="I32" s="24">
        <v>0.20217926932545624</v>
      </c>
      <c r="J32" s="24">
        <v>-0.32174119960959841</v>
      </c>
      <c r="K32" s="24">
        <v>-1.4833622988596873</v>
      </c>
      <c r="L32" s="24">
        <v>-1.581406640795384</v>
      </c>
      <c r="M32" s="24">
        <v>-1.6793534084206412</v>
      </c>
      <c r="N32" s="24">
        <v>-1.7772026988420799</v>
      </c>
      <c r="O32" s="24">
        <v>1.0444245374049468</v>
      </c>
      <c r="P32" s="24">
        <v>-1.0406504430807861</v>
      </c>
      <c r="Q32" s="24">
        <v>-3.0826994209528116</v>
      </c>
      <c r="R32" s="24">
        <v>-5.0826102476880655</v>
      </c>
      <c r="S32" s="24">
        <v>-13.401128621221062</v>
      </c>
      <c r="T32" s="24">
        <v>-11.023968812590235</v>
      </c>
      <c r="U32" s="24">
        <v>-8.5815553965416882</v>
      </c>
      <c r="V32" s="24">
        <v>-6.0720971458867181</v>
      </c>
      <c r="W32" s="24">
        <v>-5.6424767009710955E-2</v>
      </c>
      <c r="X32" s="24">
        <v>0.2723480949204109</v>
      </c>
      <c r="Y32" s="24">
        <v>0.60220248304659485</v>
      </c>
      <c r="Z32" s="24">
        <v>0.93314195514091236</v>
      </c>
    </row>
    <row r="33" spans="1:26" ht="14.25" customHeight="1" x14ac:dyDescent="0.6">
      <c r="A33" s="274"/>
      <c r="B33" s="24" t="s">
        <v>316</v>
      </c>
      <c r="C33" s="24">
        <v>7.6724821142850255</v>
      </c>
      <c r="D33" s="24">
        <v>6.4706680608598282</v>
      </c>
      <c r="E33" s="24">
        <v>5.2822683635509744</v>
      </c>
      <c r="F33" s="24">
        <v>4.1071332945785768</v>
      </c>
      <c r="G33" s="24">
        <v>-0.28376833993826839</v>
      </c>
      <c r="H33" s="24">
        <v>0.73181612716054834</v>
      </c>
      <c r="I33" s="24">
        <v>1.7577440638494102</v>
      </c>
      <c r="J33" s="24">
        <v>2.7941208157363633</v>
      </c>
      <c r="K33" s="24">
        <v>4.4983447900535047</v>
      </c>
      <c r="L33" s="24">
        <v>5.0578784483908841</v>
      </c>
      <c r="M33" s="24">
        <v>5.6204081150903287</v>
      </c>
      <c r="N33" s="24">
        <v>6.1859498322003468</v>
      </c>
      <c r="O33" s="24">
        <v>7.6988438664158094</v>
      </c>
      <c r="P33" s="24">
        <v>7.6873994060638244</v>
      </c>
      <c r="Q33" s="24">
        <v>7.6759561618406744</v>
      </c>
      <c r="R33" s="24">
        <v>7.6645141336172173</v>
      </c>
      <c r="S33" s="24">
        <v>8.599968538837528</v>
      </c>
      <c r="T33" s="24">
        <v>7.9243006610070834</v>
      </c>
      <c r="U33" s="24">
        <v>7.2528365328395283</v>
      </c>
      <c r="V33" s="24">
        <v>6.5855500001963287</v>
      </c>
      <c r="W33" s="24">
        <v>4.6207966064932027</v>
      </c>
      <c r="X33" s="24">
        <v>4.80519508670245</v>
      </c>
      <c r="Y33" s="24">
        <v>4.9899185768581624</v>
      </c>
      <c r="Z33" s="24">
        <v>5.1749676498038095</v>
      </c>
    </row>
    <row r="34" spans="1:26" ht="14.25" customHeight="1" x14ac:dyDescent="0.6">
      <c r="A34" s="274"/>
      <c r="B34" s="24" t="s">
        <v>318</v>
      </c>
      <c r="C34" s="24">
        <v>17.192702990832206</v>
      </c>
      <c r="D34" s="24">
        <v>13.864301615623024</v>
      </c>
      <c r="E34" s="24">
        <v>10.630430492142539</v>
      </c>
      <c r="F34" s="24">
        <v>7.4884048575017959</v>
      </c>
      <c r="G34" s="24">
        <v>1.0461420479896404</v>
      </c>
      <c r="H34" s="24">
        <v>0.33008116524789161</v>
      </c>
      <c r="I34" s="24">
        <v>-0.38090537049353834</v>
      </c>
      <c r="J34" s="24">
        <v>-1.0868535184639725</v>
      </c>
      <c r="K34" s="24">
        <v>-3.0777061469640454</v>
      </c>
      <c r="L34" s="24">
        <v>-2.9128046694812708</v>
      </c>
      <c r="M34" s="24">
        <v>-2.7476226322201778</v>
      </c>
      <c r="N34" s="24">
        <v>-2.5821595578425138</v>
      </c>
      <c r="O34" s="24">
        <v>0.72569631849616201</v>
      </c>
      <c r="P34" s="24">
        <v>-1.2374127335166825</v>
      </c>
      <c r="Q34" s="24">
        <v>-3.1622614677462053</v>
      </c>
      <c r="R34" s="24">
        <v>-5.0495955645789854</v>
      </c>
      <c r="S34" s="24">
        <v>-12.817605452153428</v>
      </c>
      <c r="T34" s="24">
        <v>-10.619639450515084</v>
      </c>
      <c r="U34" s="24">
        <v>-8.3662602594430826</v>
      </c>
      <c r="V34" s="24">
        <v>-6.0560708502477762</v>
      </c>
      <c r="W34" s="24">
        <v>-0.74146103949279873</v>
      </c>
      <c r="X34" s="24">
        <v>-0.33292478047983476</v>
      </c>
      <c r="Y34" s="24">
        <v>7.7292964848293011E-2</v>
      </c>
      <c r="Z34" s="24">
        <v>0.4891991172879252</v>
      </c>
    </row>
    <row r="35" spans="1:26" ht="14.25" customHeight="1" x14ac:dyDescent="0.6">
      <c r="A35" s="274"/>
      <c r="B35" s="24" t="s">
        <v>320</v>
      </c>
      <c r="C35" s="24">
        <v>8.8982111045055241</v>
      </c>
      <c r="D35" s="24">
        <v>7.5095691819700106</v>
      </c>
      <c r="E35" s="24">
        <v>6.1386348633469829</v>
      </c>
      <c r="F35" s="24">
        <v>4.785182345835052</v>
      </c>
      <c r="G35" s="24">
        <v>-0.54137549434036836</v>
      </c>
      <c r="H35" s="24">
        <v>0.77975560789320986</v>
      </c>
      <c r="I35" s="24">
        <v>2.1184355893513693</v>
      </c>
      <c r="J35" s="24">
        <v>3.4748975557126243</v>
      </c>
      <c r="K35" s="24">
        <v>6.9443920447675014</v>
      </c>
      <c r="L35" s="24">
        <v>6.8792635036816208</v>
      </c>
      <c r="M35" s="24">
        <v>6.8141746255157454</v>
      </c>
      <c r="N35" s="24">
        <v>6.7491253861153249</v>
      </c>
      <c r="O35" s="24">
        <v>7.1723653666107046</v>
      </c>
      <c r="P35" s="24">
        <v>6.816311605565609</v>
      </c>
      <c r="Q35" s="24">
        <v>6.461440745358014</v>
      </c>
      <c r="R35" s="24">
        <v>6.1077488560915878</v>
      </c>
      <c r="S35" s="24">
        <v>5.3229027279405861</v>
      </c>
      <c r="T35" s="24">
        <v>5.2286874954179492</v>
      </c>
      <c r="U35" s="24">
        <v>5.1345565419060026</v>
      </c>
      <c r="V35" s="24">
        <v>5.0405097920139932</v>
      </c>
      <c r="W35" s="24">
        <v>4.3927646296480303</v>
      </c>
      <c r="X35" s="24">
        <v>4.6536013816745543</v>
      </c>
      <c r="Y35" s="24">
        <v>4.9150898628841029</v>
      </c>
      <c r="Z35" s="24">
        <v>5.1772317016934144</v>
      </c>
    </row>
    <row r="36" spans="1:26" ht="14.25" customHeight="1" x14ac:dyDescent="0.6">
      <c r="A36" s="274"/>
      <c r="B36" s="24" t="s">
        <v>322</v>
      </c>
      <c r="C36" s="24">
        <v>13.229473766595559</v>
      </c>
      <c r="D36" s="24">
        <v>10.619712219478249</v>
      </c>
      <c r="E36" s="24">
        <v>8.0701015774764695</v>
      </c>
      <c r="F36" s="24">
        <v>5.5792554566922856</v>
      </c>
      <c r="G36" s="24">
        <v>0.58451638001398654</v>
      </c>
      <c r="H36" s="24">
        <v>-7.3852524167504249E-2</v>
      </c>
      <c r="I36" s="24">
        <v>-0.72791212081748236</v>
      </c>
      <c r="J36" s="24">
        <v>-1.3776906162063731</v>
      </c>
      <c r="K36" s="24">
        <v>-3.5497660424722501</v>
      </c>
      <c r="L36" s="24">
        <v>-3.1889089703929905</v>
      </c>
      <c r="M36" s="24">
        <v>-2.8267017945231081</v>
      </c>
      <c r="N36" s="24">
        <v>-2.4631394636100259</v>
      </c>
      <c r="O36" s="24">
        <v>-0.30379449930056668</v>
      </c>
      <c r="P36" s="24">
        <v>-1.1274265938110688</v>
      </c>
      <c r="Q36" s="24">
        <v>-1.9442543187500487</v>
      </c>
      <c r="R36" s="24">
        <v>-2.7543338878633339</v>
      </c>
      <c r="S36" s="24">
        <v>-6.285859743450894</v>
      </c>
      <c r="T36" s="24">
        <v>-5.2218797782274198</v>
      </c>
      <c r="U36" s="24">
        <v>-4.1458199565031011</v>
      </c>
      <c r="V36" s="24">
        <v>-3.0575431300817151</v>
      </c>
      <c r="W36" s="24">
        <v>-0.90473539622988419</v>
      </c>
      <c r="X36" s="24">
        <v>-0.56702735892783807</v>
      </c>
      <c r="Y36" s="24">
        <v>-0.22816844202609871</v>
      </c>
      <c r="Z36" s="24">
        <v>0.11184527657283289</v>
      </c>
    </row>
    <row r="37" spans="1:26" ht="14.25" customHeight="1" x14ac:dyDescent="0.6">
      <c r="A37" s="274"/>
      <c r="B37" s="24" t="s">
        <v>324</v>
      </c>
      <c r="C37" s="24">
        <v>9.6594854758525042</v>
      </c>
      <c r="D37" s="24">
        <v>8.124387112096537</v>
      </c>
      <c r="E37" s="24">
        <v>6.6107782435372711</v>
      </c>
      <c r="F37" s="24">
        <v>5.1183580435861824</v>
      </c>
      <c r="G37" s="24">
        <v>-0.56626065218480637</v>
      </c>
      <c r="H37" s="24">
        <v>0.75911847703662072</v>
      </c>
      <c r="I37" s="24">
        <v>2.1021639421285396</v>
      </c>
      <c r="J37" s="24">
        <v>3.4631112224463543</v>
      </c>
      <c r="K37" s="24">
        <v>6.9518110559535371</v>
      </c>
      <c r="L37" s="24">
        <v>6.8794892486611428</v>
      </c>
      <c r="M37" s="24">
        <v>6.8072163460460677</v>
      </c>
      <c r="N37" s="24">
        <v>6.7349923150385491</v>
      </c>
      <c r="O37" s="24">
        <v>7.4784615995550388</v>
      </c>
      <c r="P37" s="24">
        <v>6.8998788499374575</v>
      </c>
      <c r="Q37" s="24">
        <v>6.3244107522527013</v>
      </c>
      <c r="R37" s="24">
        <v>5.7520405395704151</v>
      </c>
      <c r="S37" s="24">
        <v>3.855371887571001</v>
      </c>
      <c r="T37" s="24">
        <v>4.1401902968033397</v>
      </c>
      <c r="U37" s="24">
        <v>4.4257898069528689</v>
      </c>
      <c r="V37" s="24">
        <v>4.7121725601516253</v>
      </c>
      <c r="W37" s="24">
        <v>5.1281882824364029</v>
      </c>
      <c r="X37" s="24">
        <v>5.3170093221940835</v>
      </c>
      <c r="Y37" s="24">
        <v>5.5061695039614662</v>
      </c>
      <c r="Z37" s="24">
        <v>5.6956694368725724</v>
      </c>
    </row>
    <row r="38" spans="1:26" ht="14.25" customHeight="1" x14ac:dyDescent="0.6">
      <c r="A38" s="274"/>
      <c r="B38" s="24" t="s">
        <v>326</v>
      </c>
      <c r="C38" s="24">
        <v>19.810719527463991</v>
      </c>
      <c r="D38" s="24">
        <v>15.57942249486827</v>
      </c>
      <c r="E38" s="24">
        <v>11.497560125954319</v>
      </c>
      <c r="F38" s="24">
        <v>7.55985490923148</v>
      </c>
      <c r="G38" s="24">
        <v>-1.8375402000597036</v>
      </c>
      <c r="H38" s="24">
        <v>-1.8126681237799247</v>
      </c>
      <c r="I38" s="24">
        <v>-1.787789745496529</v>
      </c>
      <c r="J38" s="24">
        <v>-1.7629050636126902</v>
      </c>
      <c r="K38" s="24">
        <v>-1.9262533344358961</v>
      </c>
      <c r="L38" s="24">
        <v>-1.7736477492463907</v>
      </c>
      <c r="M38" s="24">
        <v>-1.6208047053544161</v>
      </c>
      <c r="N38" s="24">
        <v>-1.4677238332673535</v>
      </c>
      <c r="O38" s="24">
        <v>1.8463801327205924</v>
      </c>
      <c r="P38" s="24">
        <v>-0.13702786468032821</v>
      </c>
      <c r="Q38" s="24">
        <v>-2.0818099700364723</v>
      </c>
      <c r="R38" s="24">
        <v>-3.9887184035357035</v>
      </c>
      <c r="S38" s="24">
        <v>-11.292815739217412</v>
      </c>
      <c r="T38" s="24">
        <v>-9.4249346724848593</v>
      </c>
      <c r="U38" s="24">
        <v>-7.5177221839679964</v>
      </c>
      <c r="V38" s="24">
        <v>-5.5703500834960824</v>
      </c>
      <c r="W38" s="24">
        <v>-1.0940899730615639</v>
      </c>
      <c r="X38" s="24">
        <v>-0.79195650751851465</v>
      </c>
      <c r="Y38" s="24">
        <v>-0.48890009782608657</v>
      </c>
      <c r="Z38" s="24">
        <v>-0.18491792461464138</v>
      </c>
    </row>
    <row r="39" spans="1:26" ht="14.25" customHeight="1" x14ac:dyDescent="0.6">
      <c r="A39" s="274"/>
      <c r="B39" s="49" t="s">
        <v>328</v>
      </c>
      <c r="C39" s="24">
        <v>2.9477674659490258</v>
      </c>
      <c r="D39" s="24">
        <v>3.8937255020046808</v>
      </c>
      <c r="E39" s="24">
        <v>4.8483756799882887</v>
      </c>
      <c r="F39" s="24">
        <v>5.8117978695435317</v>
      </c>
      <c r="G39" s="24">
        <v>9.4012367136940007</v>
      </c>
      <c r="H39" s="24">
        <v>8.580312344647405</v>
      </c>
      <c r="I39" s="24">
        <v>7.7655480231462919</v>
      </c>
      <c r="J39" s="24">
        <v>6.9568975254614527</v>
      </c>
      <c r="K39" s="24">
        <v>5.5708994630086508</v>
      </c>
      <c r="L39" s="24">
        <v>5.1248191970562411</v>
      </c>
      <c r="M39" s="24">
        <v>4.6806238028316098</v>
      </c>
      <c r="N39" s="24">
        <v>4.2383053159800923</v>
      </c>
      <c r="O39" s="24">
        <v>1.9290126303857458</v>
      </c>
      <c r="P39" s="24">
        <v>2.7209593021510567</v>
      </c>
      <c r="Q39" s="24">
        <v>3.5190590751261084</v>
      </c>
      <c r="R39" s="24">
        <v>4.323359756386572</v>
      </c>
      <c r="S39" s="24">
        <v>6.2539327611554372</v>
      </c>
      <c r="T39" s="24">
        <v>6.3231388810193287</v>
      </c>
      <c r="U39" s="24">
        <v>6.3923900767397317</v>
      </c>
      <c r="V39" s="24">
        <v>6.4616863776757931</v>
      </c>
      <c r="W39" s="24">
        <v>6.3853276876035228</v>
      </c>
      <c r="X39" s="24">
        <v>6.5477247564390311</v>
      </c>
      <c r="Y39" s="24">
        <v>6.7103697241956928</v>
      </c>
      <c r="Z39" s="24">
        <v>6.8732629692909972</v>
      </c>
    </row>
    <row r="40" spans="1:26" ht="14.25" customHeight="1" x14ac:dyDescent="0.6">
      <c r="A40" s="274"/>
      <c r="B40" s="24" t="s">
        <v>330</v>
      </c>
      <c r="C40" s="24">
        <v>13.857278983778306</v>
      </c>
      <c r="D40" s="24">
        <v>10.986767772722578</v>
      </c>
      <c r="E40" s="24">
        <v>8.1886264152795327</v>
      </c>
      <c r="F40" s="24">
        <v>5.4610303598878831</v>
      </c>
      <c r="G40" s="24">
        <v>-1.2803530131917065</v>
      </c>
      <c r="H40" s="24">
        <v>-1.2636762087402993</v>
      </c>
      <c r="I40" s="24">
        <v>-1.2469965870603303</v>
      </c>
      <c r="J40" s="24">
        <v>-1.230314147675919</v>
      </c>
      <c r="K40" s="24">
        <v>-0.9159444310185475</v>
      </c>
      <c r="L40" s="24">
        <v>-1.1101819570648497</v>
      </c>
      <c r="M40" s="24">
        <v>-1.3040387133060873</v>
      </c>
      <c r="N40" s="24">
        <v>-1.4975154461770188</v>
      </c>
      <c r="O40" s="24">
        <v>0.63762667055622424</v>
      </c>
      <c r="P40" s="24">
        <v>-1.1216410721659738</v>
      </c>
      <c r="Q40" s="24">
        <v>-2.8501546815388976</v>
      </c>
      <c r="R40" s="24">
        <v>-4.5484517771044706</v>
      </c>
      <c r="S40" s="24">
        <v>-11.670422865768479</v>
      </c>
      <c r="T40" s="24">
        <v>-9.6059190151087854</v>
      </c>
      <c r="U40" s="24">
        <v>-7.493162061834191</v>
      </c>
      <c r="V40" s="24">
        <v>-5.3310241989362011</v>
      </c>
      <c r="W40" s="24">
        <v>-0.12324219940974541</v>
      </c>
      <c r="X40" s="24">
        <v>7.7867575157488239E-2</v>
      </c>
      <c r="Y40" s="24">
        <v>0.27938230020884808</v>
      </c>
      <c r="Z40" s="24">
        <v>0.48130279114432983</v>
      </c>
    </row>
    <row r="41" spans="1:26" ht="14.25" customHeight="1" x14ac:dyDescent="0.6">
      <c r="A41" s="274"/>
      <c r="B41" s="24" t="s">
        <v>332</v>
      </c>
      <c r="C41" s="24">
        <v>8.8272334953475067</v>
      </c>
      <c r="D41" s="24">
        <v>8.3545267006849251</v>
      </c>
      <c r="E41" s="24">
        <v>7.8838731762061034</v>
      </c>
      <c r="F41" s="24">
        <v>7.4152640032357287</v>
      </c>
      <c r="G41" s="24">
        <v>7.2655416661695158</v>
      </c>
      <c r="H41" s="24">
        <v>6.4702731598264007</v>
      </c>
      <c r="I41" s="24">
        <v>5.6809007873895325</v>
      </c>
      <c r="J41" s="24">
        <v>4.8973808348241112</v>
      </c>
      <c r="K41" s="24">
        <v>2.5957009007473215</v>
      </c>
      <c r="L41" s="24">
        <v>2.8259265847241206</v>
      </c>
      <c r="M41" s="24">
        <v>3.0566688972252369</v>
      </c>
      <c r="N41" s="24">
        <v>3.2879289975698445</v>
      </c>
      <c r="O41" s="24">
        <v>3.0237801352084919</v>
      </c>
      <c r="P41" s="24">
        <v>3.5448168987933744</v>
      </c>
      <c r="Q41" s="24">
        <v>4.0684887754429342</v>
      </c>
      <c r="R41" s="24">
        <v>4.594809092087929</v>
      </c>
      <c r="S41" s="24">
        <v>6.0675331187044357</v>
      </c>
      <c r="T41" s="24">
        <v>5.9666886868118949</v>
      </c>
      <c r="U41" s="24">
        <v>5.8659401334520922</v>
      </c>
      <c r="V41" s="24">
        <v>5.7652873674678418</v>
      </c>
      <c r="W41" s="24">
        <v>4.8581074867493159</v>
      </c>
      <c r="X41" s="24">
        <v>5.2841303434468738</v>
      </c>
      <c r="Y41" s="24">
        <v>5.7118840674924547</v>
      </c>
      <c r="Z41" s="24">
        <v>6.1413756911420956</v>
      </c>
    </row>
    <row r="42" spans="1:26" ht="18" customHeight="1" x14ac:dyDescent="0.6">
      <c r="A42" s="274"/>
      <c r="B42" s="24" t="s">
        <v>334</v>
      </c>
      <c r="C42" s="24">
        <v>12.027738617404035</v>
      </c>
      <c r="D42" s="24">
        <v>9.419050674320566</v>
      </c>
      <c r="E42" s="24">
        <v>6.8711088720444877</v>
      </c>
      <c r="F42" s="24">
        <v>4.3824986705068287</v>
      </c>
      <c r="G42" s="24">
        <v>-1.9840792115964863</v>
      </c>
      <c r="H42" s="24">
        <v>-1.8385628367593891</v>
      </c>
      <c r="I42" s="24">
        <v>-1.6928304254337774</v>
      </c>
      <c r="J42" s="24">
        <v>-1.5468816568876131</v>
      </c>
      <c r="K42" s="24">
        <v>-1.0956119489879781</v>
      </c>
      <c r="L42" s="24">
        <v>-1.1689628278794528</v>
      </c>
      <c r="M42" s="24">
        <v>-1.2422593072489334</v>
      </c>
      <c r="N42" s="24">
        <v>-1.3155014274409187</v>
      </c>
      <c r="O42" s="24">
        <v>0.30059217334086824</v>
      </c>
      <c r="P42" s="24">
        <v>-0.90718171225237454</v>
      </c>
      <c r="Q42" s="24">
        <v>-2.1004121367641049</v>
      </c>
      <c r="R42" s="24">
        <v>-3.2792742259052425</v>
      </c>
      <c r="S42" s="24">
        <v>-8.2601710983281968</v>
      </c>
      <c r="T42" s="24">
        <v>-6.8404803901212548</v>
      </c>
      <c r="U42" s="24">
        <v>-5.3988197073558162</v>
      </c>
      <c r="V42" s="24">
        <v>-3.934849060638923</v>
      </c>
      <c r="W42" s="24">
        <v>-0.54426921724812993</v>
      </c>
      <c r="X42" s="24">
        <v>-0.33174939391614738</v>
      </c>
      <c r="Y42" s="24">
        <v>-0.11877545220455742</v>
      </c>
      <c r="Z42" s="24">
        <v>9.4653578259697446E-2</v>
      </c>
    </row>
    <row r="43" spans="1:26" ht="18" customHeight="1" x14ac:dyDescent="0.6">
      <c r="A43" s="274"/>
      <c r="B43" s="24" t="s">
        <v>262</v>
      </c>
      <c r="C43" s="24">
        <v>2.6687920009236819</v>
      </c>
      <c r="D43" s="24">
        <v>1.5931274011591843</v>
      </c>
      <c r="E43" s="24">
        <v>1.5931274011591836</v>
      </c>
      <c r="F43" s="24">
        <v>1.5931274011591816</v>
      </c>
      <c r="G43" s="24">
        <v>3.0247451543990906</v>
      </c>
      <c r="H43" s="24">
        <v>0.72641345248430744</v>
      </c>
      <c r="I43" s="24">
        <v>0.72641345248430678</v>
      </c>
      <c r="J43" s="24">
        <v>0.72641345248430822</v>
      </c>
      <c r="K43" s="24">
        <v>0.22335403999263301</v>
      </c>
      <c r="L43" s="24">
        <v>1.1110170880914838</v>
      </c>
      <c r="M43" s="24">
        <v>1.1110170880914862</v>
      </c>
      <c r="N43" s="24">
        <v>1.1110170880914845</v>
      </c>
      <c r="O43" s="24">
        <v>0.63633762858276344</v>
      </c>
      <c r="P43" s="24">
        <v>1.4424370034816498</v>
      </c>
      <c r="Q43" s="24">
        <v>1.4424370034816489</v>
      </c>
      <c r="R43" s="24">
        <v>1.4424370034816467</v>
      </c>
      <c r="S43" s="24">
        <v>1.5118883994469061</v>
      </c>
      <c r="T43" s="24">
        <v>1.4096171619463216</v>
      </c>
      <c r="U43" s="24">
        <v>1.4096171619463203</v>
      </c>
      <c r="V43" s="24">
        <v>1.4096171619463187</v>
      </c>
      <c r="W43" s="24">
        <v>0.78560701960813228</v>
      </c>
      <c r="X43" s="24">
        <v>1.8258580360913403</v>
      </c>
      <c r="Y43" s="24">
        <v>1.8258580360913412</v>
      </c>
      <c r="Z43" s="24">
        <v>1.8258580360913412</v>
      </c>
    </row>
    <row r="44" spans="1:26" ht="18" customHeight="1" x14ac:dyDescent="0.6">
      <c r="A44" s="274"/>
      <c r="B44" s="24" t="s">
        <v>337</v>
      </c>
      <c r="C44" s="24">
        <v>8.683810955923601</v>
      </c>
      <c r="D44" s="24">
        <v>8.3395563060390536</v>
      </c>
      <c r="E44" s="24">
        <v>7.9963920785728035</v>
      </c>
      <c r="F44" s="24">
        <v>7.6543148196250117</v>
      </c>
      <c r="G44" s="24">
        <v>8.0275528026426315</v>
      </c>
      <c r="H44" s="24">
        <v>7.1059453154988308</v>
      </c>
      <c r="I44" s="24">
        <v>6.1922002702814023</v>
      </c>
      <c r="J44" s="24">
        <v>5.286250590719936</v>
      </c>
      <c r="K44" s="24">
        <v>2.4233658882924702</v>
      </c>
      <c r="L44" s="24">
        <v>2.8144489968988018</v>
      </c>
      <c r="M44" s="24">
        <v>3.2070253780265818</v>
      </c>
      <c r="N44" s="24">
        <v>3.6011007334378586</v>
      </c>
      <c r="O44" s="24">
        <v>4.028002774111056</v>
      </c>
      <c r="P44" s="24">
        <v>4.3689839339342864</v>
      </c>
      <c r="Q44" s="24">
        <v>4.7110827558124733</v>
      </c>
      <c r="R44" s="24">
        <v>5.0543029031987015</v>
      </c>
      <c r="S44" s="24">
        <v>5.9682906143668157</v>
      </c>
      <c r="T44" s="24">
        <v>5.9340065158330191</v>
      </c>
      <c r="U44" s="24">
        <v>5.8997335092910657</v>
      </c>
      <c r="V44" s="24">
        <v>5.8654715911522866</v>
      </c>
      <c r="W44" s="24">
        <v>5.1080418753149388</v>
      </c>
      <c r="X44" s="24">
        <v>5.539463119712166</v>
      </c>
      <c r="Y44" s="24">
        <v>5.9726551543058086</v>
      </c>
      <c r="Z44" s="24">
        <v>6.4076252473932751</v>
      </c>
    </row>
    <row r="45" spans="1:26" ht="14.25" customHeight="1" x14ac:dyDescent="0.6">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ht="14.25" customHeight="1" x14ac:dyDescent="0.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ht="14.25" customHeight="1" x14ac:dyDescent="0.6">
      <c r="A47" s="24"/>
      <c r="B47" s="24" t="s">
        <v>451</v>
      </c>
      <c r="C47" s="24" t="s">
        <v>452</v>
      </c>
      <c r="D47" s="24" t="s">
        <v>453</v>
      </c>
      <c r="E47" s="24" t="s">
        <v>454</v>
      </c>
      <c r="F47" s="24" t="s">
        <v>455</v>
      </c>
      <c r="G47" s="24" t="s">
        <v>456</v>
      </c>
      <c r="H47" s="24" t="s">
        <v>457</v>
      </c>
      <c r="I47" s="24" t="s">
        <v>458</v>
      </c>
      <c r="J47" s="24" t="s">
        <v>282</v>
      </c>
      <c r="K47" s="24" t="s">
        <v>283</v>
      </c>
      <c r="L47" s="24" t="s">
        <v>284</v>
      </c>
      <c r="M47" s="24" t="s">
        <v>285</v>
      </c>
      <c r="N47" s="24" t="s">
        <v>286</v>
      </c>
      <c r="O47" s="24" t="s">
        <v>287</v>
      </c>
      <c r="P47" s="24" t="s">
        <v>288</v>
      </c>
      <c r="Q47" s="24" t="s">
        <v>289</v>
      </c>
      <c r="R47" s="24" t="s">
        <v>290</v>
      </c>
      <c r="S47" s="24" t="s">
        <v>291</v>
      </c>
      <c r="T47" s="24" t="s">
        <v>292</v>
      </c>
      <c r="U47" s="24" t="s">
        <v>293</v>
      </c>
      <c r="V47" s="24" t="s">
        <v>294</v>
      </c>
      <c r="W47" s="24" t="s">
        <v>295</v>
      </c>
      <c r="X47" s="24" t="s">
        <v>296</v>
      </c>
      <c r="Y47" s="24" t="s">
        <v>297</v>
      </c>
      <c r="Z47" s="24"/>
    </row>
    <row r="48" spans="1:26" ht="14.25" customHeight="1" x14ac:dyDescent="0.6">
      <c r="A48" s="24" t="s">
        <v>369</v>
      </c>
      <c r="B48" s="24">
        <v>33.555510896272004</v>
      </c>
      <c r="C48" s="24">
        <v>32.320800321780503</v>
      </c>
      <c r="D48" s="24">
        <v>23.150918722770498</v>
      </c>
      <c r="E48" s="24">
        <v>-4.5735484908984461</v>
      </c>
      <c r="F48" s="24">
        <v>-12.407241913081799</v>
      </c>
      <c r="G48" s="24">
        <v>-13.727489825116137</v>
      </c>
      <c r="H48" s="24">
        <v>-8.0435593417517346</v>
      </c>
      <c r="I48" s="24">
        <v>3.3168997325535221</v>
      </c>
      <c r="J48" s="24">
        <v>2.4945465088509517</v>
      </c>
      <c r="K48" s="24">
        <v>0.17587881718228962</v>
      </c>
      <c r="L48" s="24">
        <v>-6.387140884485583</v>
      </c>
      <c r="M48" s="24">
        <v>-8.2564309810686893</v>
      </c>
      <c r="N48" s="24">
        <v>-8.8841343812597362</v>
      </c>
      <c r="O48" s="24">
        <v>-4.6392797453336163</v>
      </c>
      <c r="P48" s="24">
        <v>-6.4800618791696314</v>
      </c>
      <c r="Q48" s="24">
        <v>-8.8545669971987291</v>
      </c>
      <c r="R48" s="24">
        <v>-15.438245555109884</v>
      </c>
      <c r="S48" s="24">
        <v>-18.963018992313856</v>
      </c>
      <c r="T48" s="24">
        <v>-19.001828795185986</v>
      </c>
      <c r="U48" s="24">
        <v>-16.940597696314342</v>
      </c>
      <c r="V48" s="24">
        <v>-11.123926181615715</v>
      </c>
      <c r="W48" s="24">
        <v>-8.5947905351488796</v>
      </c>
      <c r="X48" s="24">
        <v>-3.3114676991601075</v>
      </c>
      <c r="Y48" s="24">
        <v>-0.69754116081471051</v>
      </c>
      <c r="Z48" s="24"/>
    </row>
    <row r="49" spans="1:26" ht="14.25" customHeight="1" x14ac:dyDescent="0.6">
      <c r="A49" s="24" t="s">
        <v>371</v>
      </c>
      <c r="B49" s="24">
        <v>35.20474539011304</v>
      </c>
      <c r="C49" s="24">
        <v>30.675126673968762</v>
      </c>
      <c r="D49" s="24">
        <v>22.835037304397414</v>
      </c>
      <c r="E49" s="24">
        <v>-5.2014779410483465</v>
      </c>
      <c r="F49" s="24">
        <v>-15.320426597330105</v>
      </c>
      <c r="G49" s="24">
        <v>-19.425434351401801</v>
      </c>
      <c r="H49" s="24">
        <v>-18.681537792614179</v>
      </c>
      <c r="I49" s="24">
        <v>-6.8102754116886874</v>
      </c>
      <c r="J49" s="24">
        <v>-6.7093940689918057</v>
      </c>
      <c r="K49" s="24">
        <v>-10.032232159112722</v>
      </c>
      <c r="L49" s="24">
        <v>-11.089105404692903</v>
      </c>
      <c r="M49" s="24">
        <v>-13.028067058209055</v>
      </c>
      <c r="N49" s="24">
        <v>-10.411021530242669</v>
      </c>
      <c r="O49" s="24">
        <v>-3.9693315216144262E-2</v>
      </c>
      <c r="P49" s="24">
        <v>1.5507366663418058</v>
      </c>
      <c r="Q49" s="24">
        <v>-6.6077562451540978E-2</v>
      </c>
      <c r="R49" s="24">
        <v>-10.52650116347939</v>
      </c>
      <c r="S49" s="24">
        <v>-13.087226730262817</v>
      </c>
      <c r="T49" s="24">
        <v>-14.288420991259299</v>
      </c>
      <c r="U49" s="24">
        <v>-13.513401056555715</v>
      </c>
      <c r="V49" s="24">
        <v>-7.8838695109420769</v>
      </c>
      <c r="W49" s="24">
        <v>-6.4241004628217873</v>
      </c>
      <c r="X49" s="24">
        <v>-2.3789955495826796</v>
      </c>
      <c r="Y49" s="24">
        <v>1.3422147090948351</v>
      </c>
      <c r="Z49" s="24"/>
    </row>
    <row r="50" spans="1:26" ht="14.25" customHeight="1" x14ac:dyDescent="0.6">
      <c r="A50" s="24" t="s">
        <v>373</v>
      </c>
      <c r="B50" s="24">
        <v>16.892286470474215</v>
      </c>
      <c r="C50" s="24">
        <v>18.45631848404841</v>
      </c>
      <c r="D50" s="24">
        <v>15.175391186759734</v>
      </c>
      <c r="E50" s="24">
        <v>6.0077876989698975</v>
      </c>
      <c r="F50" s="24">
        <v>1.497550601639311</v>
      </c>
      <c r="G50" s="24">
        <v>-3.2946172916934953</v>
      </c>
      <c r="H50" s="24">
        <v>-1.3757730576665594</v>
      </c>
      <c r="I50" s="24">
        <v>0.11672004306139497</v>
      </c>
      <c r="J50" s="24">
        <v>-1.420545697932573</v>
      </c>
      <c r="K50" s="24">
        <v>-1.3640571834252004</v>
      </c>
      <c r="L50" s="24">
        <v>-0.97405993635996535</v>
      </c>
      <c r="M50" s="24">
        <v>-1.5832880036624795</v>
      </c>
      <c r="N50" s="24">
        <v>-2.0928213873663246</v>
      </c>
      <c r="O50" s="24">
        <v>0.43762938725553968</v>
      </c>
      <c r="P50" s="24">
        <v>-2.8396487057699438</v>
      </c>
      <c r="Q50" s="24">
        <v>-8.3125023010182382</v>
      </c>
      <c r="R50" s="24">
        <v>-16.011647395355698</v>
      </c>
      <c r="S50" s="24">
        <v>-14.688630278016504</v>
      </c>
      <c r="T50" s="24">
        <v>-17.457880379425401</v>
      </c>
      <c r="U50" s="24">
        <v>-12.9112443075973</v>
      </c>
      <c r="V50" s="24">
        <v>-3.9491767063442875</v>
      </c>
      <c r="W50" s="24">
        <v>-5.0634691137184076</v>
      </c>
      <c r="X50" s="24">
        <v>1.5467512170756788</v>
      </c>
      <c r="Y50" s="24">
        <v>3.9315671119417508</v>
      </c>
      <c r="Z50" s="24"/>
    </row>
    <row r="51" spans="1:26" ht="14.25" customHeight="1" x14ac:dyDescent="0.6">
      <c r="A51" s="24" t="s">
        <v>375</v>
      </c>
      <c r="B51" s="24">
        <v>24.58058561088486</v>
      </c>
      <c r="C51" s="24">
        <v>21.734561450661037</v>
      </c>
      <c r="D51" s="24">
        <v>16.529593783781397</v>
      </c>
      <c r="E51" s="24">
        <v>-1.4633694193000852</v>
      </c>
      <c r="F51" s="24">
        <v>-8.9940672154261527</v>
      </c>
      <c r="G51" s="24">
        <v>-12.135100468612167</v>
      </c>
      <c r="H51" s="24">
        <v>-11.916537396590407</v>
      </c>
      <c r="I51" s="24">
        <v>-4.485538834609307</v>
      </c>
      <c r="J51" s="24">
        <v>-4.5548383352891628</v>
      </c>
      <c r="K51" s="24">
        <v>-6.7176748971288847</v>
      </c>
      <c r="L51" s="24">
        <v>-7.3996540131282558</v>
      </c>
      <c r="M51" s="24">
        <v>-8.5991265557242436</v>
      </c>
      <c r="N51" s="24">
        <v>-6.6471458008154887</v>
      </c>
      <c r="O51" s="24">
        <v>-8.9512256824808817E-2</v>
      </c>
      <c r="P51" s="24">
        <v>0.79026043479457408</v>
      </c>
      <c r="Q51" s="24">
        <v>-0.47653307442767817</v>
      </c>
      <c r="R51" s="24">
        <v>-7.6723659766382237</v>
      </c>
      <c r="S51" s="24">
        <v>-9.6229729405305715</v>
      </c>
      <c r="T51" s="24">
        <v>-10.504448724584368</v>
      </c>
      <c r="U51" s="24">
        <v>-9.8313311169631383</v>
      </c>
      <c r="V51" s="24">
        <v>-5.5519172314881198</v>
      </c>
      <c r="W51" s="24">
        <v>-4.0387169829738045</v>
      </c>
      <c r="X51" s="24">
        <v>-0.94027410886998675</v>
      </c>
      <c r="Y51" s="24">
        <v>1.6969845000518391</v>
      </c>
      <c r="Z51" s="24"/>
    </row>
    <row r="52" spans="1:26" ht="14.25" customHeight="1" x14ac:dyDescent="0.6">
      <c r="A52" s="24" t="s">
        <v>377</v>
      </c>
      <c r="B52" s="24">
        <v>7.9070544849900086</v>
      </c>
      <c r="C52" s="24">
        <v>7.3768698366285941</v>
      </c>
      <c r="D52" s="24">
        <v>5.9225705631928447</v>
      </c>
      <c r="E52" s="24">
        <v>4.180057412216966</v>
      </c>
      <c r="F52" s="24">
        <v>2.0409718861467945</v>
      </c>
      <c r="G52" s="24">
        <v>0.84743810686013088</v>
      </c>
      <c r="H52" s="24">
        <v>-1.7872078290649823E-5</v>
      </c>
      <c r="I52" s="24">
        <v>-0.59759245110403336</v>
      </c>
      <c r="J52" s="24">
        <v>-0.97190333314455934</v>
      </c>
      <c r="K52" s="24">
        <v>-1.1969531689774093</v>
      </c>
      <c r="L52" s="24">
        <v>-1.1989574828868226</v>
      </c>
      <c r="M52" s="24">
        <v>-1.0001222957423628</v>
      </c>
      <c r="N52" s="24">
        <v>-0.34683692717715958</v>
      </c>
      <c r="O52" s="24">
        <v>-0.24550712046785744</v>
      </c>
      <c r="P52" s="24">
        <v>-0.51821336132986306</v>
      </c>
      <c r="Q52" s="24">
        <v>-1.2182554495412561</v>
      </c>
      <c r="R52" s="24">
        <v>-2.8317860363860921</v>
      </c>
      <c r="S52" s="24">
        <v>-3.6504421099211601</v>
      </c>
      <c r="T52" s="24">
        <v>-3.9417953250147386</v>
      </c>
      <c r="U52" s="24">
        <v>-3.4582197149982847</v>
      </c>
      <c r="V52" s="24">
        <v>-1.5550585017185425</v>
      </c>
      <c r="W52" s="24">
        <v>5.0697384286186718E-2</v>
      </c>
      <c r="X52" s="24">
        <v>1.4899360874929846</v>
      </c>
      <c r="Y52" s="24">
        <v>2.2764455495079043</v>
      </c>
      <c r="Z52" s="24"/>
    </row>
    <row r="53" spans="1:26" ht="14.25" customHeight="1" x14ac:dyDescent="0.6">
      <c r="A53" s="24" t="s">
        <v>379</v>
      </c>
      <c r="B53" s="24">
        <v>29.379747174846599</v>
      </c>
      <c r="C53" s="24">
        <v>40.933256606705889</v>
      </c>
      <c r="D53" s="24">
        <v>36.493292023186513</v>
      </c>
      <c r="E53" s="24">
        <v>20.764326180152544</v>
      </c>
      <c r="F53" s="24">
        <v>12.821252104829691</v>
      </c>
      <c r="G53" s="24">
        <v>-6.5713949344358786</v>
      </c>
      <c r="H53" s="24">
        <v>-0.26453391272656696</v>
      </c>
      <c r="I53" s="24">
        <v>-1.235466318227475</v>
      </c>
      <c r="J53" s="24">
        <v>-6.541519395149642</v>
      </c>
      <c r="K53" s="24">
        <v>-3.4649963097391585</v>
      </c>
      <c r="L53" s="24">
        <v>4.4422957962370315</v>
      </c>
      <c r="M53" s="24">
        <v>2.5546919653108677</v>
      </c>
      <c r="N53" s="24">
        <v>-1.3313377180922004</v>
      </c>
      <c r="O53" s="24">
        <v>7.083452112912525</v>
      </c>
      <c r="P53" s="24">
        <v>-6.4828941495670183</v>
      </c>
      <c r="Q53" s="24">
        <v>-28.671315967331601</v>
      </c>
      <c r="R53" s="24">
        <v>-50.110738196618534</v>
      </c>
      <c r="S53" s="24">
        <v>-43.199029289672602</v>
      </c>
      <c r="T53" s="24">
        <v>-52.025619538919528</v>
      </c>
      <c r="U53" s="24">
        <v>-38.043296756365187</v>
      </c>
      <c r="V53" s="24">
        <v>-7.1048343883547433</v>
      </c>
      <c r="W53" s="24">
        <v>-17.63255565597736</v>
      </c>
      <c r="X53" s="24">
        <v>6.2182391007803073</v>
      </c>
      <c r="Y53" s="24">
        <v>13.591655125712313</v>
      </c>
      <c r="Z53" s="24"/>
    </row>
  </sheetData>
  <mergeCells count="2">
    <mergeCell ref="A25:A44"/>
    <mergeCell ref="A5:A24"/>
  </mergeCells>
  <pageMargins left="0.39" right="0.39" top="0.39" bottom="0.39" header="0.39" footer="0.39"/>
  <pageSetup paperSize="9" fitToWidth="0" fitToHeight="0"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106FE-0E0B-46D5-952D-EB7660F004EF}">
  <sheetPr codeName="Sheet6">
    <pageSetUpPr fitToPage="1"/>
  </sheetPr>
  <dimension ref="A1:BO170"/>
  <sheetViews>
    <sheetView showGridLines="0" tabSelected="1" topLeftCell="X58" zoomScale="93" zoomScaleNormal="93" workbookViewId="0">
      <selection activeCell="AR83" sqref="AR83"/>
    </sheetView>
  </sheetViews>
  <sheetFormatPr defaultColWidth="10.1328125" defaultRowHeight="14.45" customHeight="1" x14ac:dyDescent="0.6"/>
  <cols>
    <col min="1" max="1" width="24.7265625" bestFit="1" customWidth="1"/>
    <col min="2" max="2" width="37.26953125" bestFit="1" customWidth="1"/>
    <col min="3" max="3" width="62.54296875" bestFit="1" customWidth="1"/>
    <col min="4" max="23" width="5.1328125" hidden="1" customWidth="1"/>
    <col min="24" max="25" width="6.86328125" bestFit="1" customWidth="1"/>
    <col min="26" max="26" width="6.26953125" bestFit="1" customWidth="1"/>
    <col min="27" max="29" width="6.86328125" bestFit="1" customWidth="1"/>
    <col min="30" max="30" width="5.7265625" bestFit="1" customWidth="1"/>
    <col min="31" max="31" width="6.26953125" bestFit="1" customWidth="1"/>
    <col min="32" max="32" width="5.7265625" bestFit="1" customWidth="1"/>
    <col min="33" max="33" width="6.1328125" bestFit="1" customWidth="1"/>
    <col min="34" max="34" width="5.7265625" bestFit="1" customWidth="1"/>
    <col min="35" max="35" width="6.6796875" customWidth="1"/>
    <col min="36" max="37" width="6.1328125" bestFit="1" customWidth="1"/>
    <col min="38" max="38" width="5.40625" bestFit="1" customWidth="1"/>
    <col min="39" max="40" width="6.1328125" bestFit="1" customWidth="1"/>
    <col min="41" max="42" width="5.40625" bestFit="1" customWidth="1"/>
    <col min="43" max="44" width="6.1328125" bestFit="1" customWidth="1"/>
    <col min="45" max="46" width="5.40625" bestFit="1" customWidth="1"/>
    <col min="47" max="47" width="6.1328125" bestFit="1" customWidth="1"/>
    <col min="48" max="48" width="5.40625" bestFit="1" customWidth="1"/>
    <col min="49" max="49" width="6.1328125" bestFit="1" customWidth="1"/>
    <col min="50" max="50" width="5.40625" bestFit="1" customWidth="1"/>
    <col min="51" max="54" width="5.1328125" bestFit="1" customWidth="1"/>
  </cols>
  <sheetData>
    <row r="1" spans="1:67" ht="16.5" customHeight="1" x14ac:dyDescent="0.6">
      <c r="A1" s="50" t="s">
        <v>391</v>
      </c>
      <c r="B1" s="50"/>
      <c r="C1" s="52"/>
      <c r="D1" s="52"/>
      <c r="E1" s="52"/>
      <c r="F1" s="52"/>
      <c r="G1" s="52"/>
      <c r="H1" s="52"/>
      <c r="I1" s="52"/>
      <c r="J1" s="52"/>
      <c r="K1" s="52"/>
      <c r="L1" s="52"/>
      <c r="M1" s="52"/>
      <c r="N1" s="52"/>
      <c r="O1" s="52"/>
      <c r="P1" s="52"/>
      <c r="Q1" s="52"/>
      <c r="R1" s="52"/>
      <c r="S1" s="52"/>
      <c r="T1" s="52"/>
      <c r="U1" s="52"/>
      <c r="V1" s="52"/>
      <c r="W1" s="52"/>
      <c r="X1" s="52"/>
      <c r="Y1" s="51"/>
      <c r="Z1" s="52"/>
      <c r="AA1" s="52"/>
      <c r="AB1" s="52"/>
      <c r="AC1" s="52"/>
      <c r="AD1" s="52"/>
      <c r="AE1" s="52"/>
      <c r="AF1" s="52"/>
      <c r="AG1" s="52"/>
      <c r="AH1" s="52"/>
      <c r="AI1" s="52"/>
      <c r="AJ1" s="52"/>
      <c r="AK1" s="52"/>
      <c r="AL1" s="52"/>
      <c r="AM1" s="52"/>
      <c r="AN1" s="52"/>
      <c r="AO1" s="52"/>
      <c r="AP1" s="52"/>
      <c r="AQ1" s="52"/>
      <c r="AR1" s="52"/>
      <c r="AS1" s="52"/>
      <c r="AT1" s="52"/>
    </row>
    <row r="2" spans="1:67" ht="16.5" customHeight="1" x14ac:dyDescent="0.6">
      <c r="A2" s="276" t="s">
        <v>430</v>
      </c>
      <c r="B2" s="276"/>
      <c r="C2" s="276"/>
      <c r="D2" s="276"/>
      <c r="E2" s="276"/>
      <c r="F2" s="276"/>
      <c r="G2" s="276"/>
      <c r="H2" s="276"/>
      <c r="I2" s="276"/>
      <c r="J2" s="276"/>
      <c r="K2" s="276"/>
      <c r="L2" s="276"/>
      <c r="M2" s="276"/>
      <c r="N2" s="276"/>
      <c r="O2" s="276"/>
      <c r="P2" s="276"/>
      <c r="Q2" s="276"/>
      <c r="R2" s="276"/>
      <c r="S2" s="276"/>
      <c r="T2" s="276"/>
      <c r="U2" s="276"/>
      <c r="V2" s="276"/>
      <c r="W2" s="276"/>
      <c r="X2" s="276"/>
      <c r="Y2" s="52"/>
      <c r="Z2" s="52"/>
      <c r="AA2" s="52"/>
      <c r="AB2" s="52"/>
      <c r="AC2" s="52"/>
      <c r="AD2" s="52"/>
      <c r="AE2" s="52"/>
      <c r="AF2" s="52"/>
      <c r="AG2" s="52"/>
      <c r="AH2" s="52"/>
      <c r="AI2" s="52"/>
      <c r="AJ2" s="52"/>
      <c r="AK2" s="52"/>
      <c r="AL2" s="52"/>
      <c r="AM2" s="52"/>
      <c r="AN2" s="52"/>
      <c r="AO2" s="52"/>
      <c r="AP2" s="52"/>
      <c r="AQ2" s="52"/>
      <c r="AR2" s="52"/>
      <c r="AS2" s="52"/>
      <c r="AT2" s="52"/>
    </row>
    <row r="3" spans="1:67" ht="21.75" customHeight="1" x14ac:dyDescent="0.6">
      <c r="A3" s="50"/>
      <c r="B3" s="50"/>
      <c r="C3" s="281" t="s">
        <v>394</v>
      </c>
      <c r="D3" s="281"/>
      <c r="E3" s="281"/>
      <c r="F3" s="281"/>
      <c r="G3" s="281"/>
      <c r="H3" s="281"/>
      <c r="I3" s="281"/>
      <c r="J3" s="281"/>
      <c r="K3" s="281"/>
      <c r="L3" s="281"/>
      <c r="M3" s="281"/>
      <c r="N3" s="281"/>
      <c r="O3" s="281"/>
      <c r="P3" s="281"/>
      <c r="Q3" s="281"/>
      <c r="R3" s="281"/>
      <c r="S3" s="281"/>
      <c r="T3" s="281"/>
      <c r="U3" s="281"/>
      <c r="V3" s="281"/>
      <c r="W3" s="281"/>
      <c r="X3" s="281"/>
      <c r="Y3" s="281"/>
      <c r="Z3" s="281"/>
      <c r="AA3" s="281"/>
      <c r="AB3" s="281"/>
      <c r="AC3" s="281"/>
      <c r="AD3" s="281"/>
      <c r="AE3" s="281"/>
      <c r="AF3" s="281"/>
      <c r="AG3" s="281"/>
      <c r="AH3" s="281"/>
      <c r="AI3" s="281"/>
      <c r="AJ3" s="281"/>
      <c r="AK3" s="281"/>
      <c r="AL3" s="281"/>
      <c r="AM3" s="281"/>
      <c r="AN3" s="281"/>
      <c r="AO3" s="281"/>
      <c r="AP3" s="281"/>
      <c r="AQ3" s="281"/>
      <c r="AR3" s="52"/>
      <c r="AS3" s="52"/>
      <c r="AT3" s="52"/>
    </row>
    <row r="4" spans="1:67" ht="16.5" customHeight="1" x14ac:dyDescent="0.6">
      <c r="A4" s="52" t="s">
        <v>911</v>
      </c>
      <c r="B4" s="248" t="s">
        <v>222</v>
      </c>
      <c r="C4" s="287" t="s">
        <v>431</v>
      </c>
      <c r="D4" s="287"/>
      <c r="E4" s="287"/>
      <c r="F4" s="287"/>
      <c r="G4" s="287"/>
      <c r="H4" s="287"/>
      <c r="I4" s="287"/>
      <c r="J4" s="287"/>
      <c r="K4" s="287"/>
      <c r="L4" s="287"/>
      <c r="M4" s="287"/>
      <c r="N4" s="287"/>
      <c r="O4" s="287"/>
      <c r="P4" s="287"/>
      <c r="Q4" s="287"/>
      <c r="R4" s="287"/>
      <c r="S4" s="287"/>
      <c r="T4" s="287"/>
      <c r="U4" s="287"/>
      <c r="V4" s="287"/>
      <c r="W4" s="287"/>
      <c r="X4" s="287"/>
      <c r="Y4" s="52"/>
      <c r="Z4" s="52"/>
      <c r="AA4" s="52"/>
      <c r="AB4" s="52"/>
      <c r="AC4" s="52"/>
      <c r="AD4" s="52"/>
      <c r="AE4" s="52"/>
      <c r="AF4" s="52"/>
      <c r="AG4" s="52"/>
      <c r="AH4" s="52"/>
      <c r="AI4" s="52"/>
      <c r="AJ4" s="52"/>
      <c r="AK4" s="52"/>
      <c r="AL4" s="52"/>
      <c r="AM4" s="52"/>
      <c r="AN4" s="52"/>
      <c r="AO4" s="52"/>
      <c r="AP4" s="52"/>
      <c r="AQ4" s="52"/>
      <c r="AR4" s="52"/>
      <c r="AS4" s="52"/>
      <c r="AT4" s="52"/>
    </row>
    <row r="5" spans="1:67" ht="15.75" customHeight="1" x14ac:dyDescent="0.6">
      <c r="A5" s="52"/>
      <c r="B5" s="52"/>
      <c r="C5" s="288"/>
      <c r="D5" s="288"/>
      <c r="E5" s="288"/>
      <c r="F5" s="288"/>
      <c r="G5" s="288"/>
      <c r="H5" s="288"/>
      <c r="I5" s="288"/>
      <c r="J5" s="288"/>
      <c r="K5" s="288"/>
      <c r="L5" s="288"/>
      <c r="M5" s="288"/>
      <c r="N5" s="288"/>
      <c r="O5" s="288"/>
      <c r="P5" s="288"/>
      <c r="Q5" s="288"/>
      <c r="R5" s="288"/>
      <c r="S5" s="288"/>
      <c r="T5" s="288"/>
      <c r="U5" s="288"/>
      <c r="V5" s="288"/>
      <c r="W5" s="288"/>
      <c r="X5" s="288"/>
      <c r="Y5" s="55"/>
      <c r="Z5" s="55"/>
      <c r="AA5" s="55"/>
      <c r="AB5" s="55"/>
      <c r="AC5" s="55"/>
      <c r="AD5" s="55"/>
      <c r="AE5" s="55"/>
      <c r="AF5" s="55"/>
      <c r="AG5" s="55"/>
      <c r="AH5" s="55"/>
      <c r="AI5" s="55"/>
      <c r="AJ5" s="55"/>
      <c r="AK5" s="55"/>
      <c r="AL5" s="55"/>
      <c r="AM5" s="55"/>
      <c r="AN5" s="55"/>
      <c r="AO5" s="55"/>
      <c r="AP5" s="55"/>
      <c r="AQ5" s="55"/>
      <c r="AR5" s="55"/>
      <c r="AS5" s="52"/>
      <c r="AT5" s="52"/>
    </row>
    <row r="6" spans="1:67" ht="13.25" x14ac:dyDescent="0.65">
      <c r="A6" s="249" t="s">
        <v>964</v>
      </c>
      <c r="B6" s="72" t="s">
        <v>432</v>
      </c>
      <c r="C6" s="176"/>
      <c r="D6" s="145">
        <v>1980</v>
      </c>
      <c r="E6" s="145">
        <v>1981</v>
      </c>
      <c r="F6" s="145">
        <v>1982</v>
      </c>
      <c r="G6" s="145">
        <v>1983</v>
      </c>
      <c r="H6" s="145">
        <v>1984</v>
      </c>
      <c r="I6" s="145">
        <v>1985</v>
      </c>
      <c r="J6" s="145">
        <v>1986</v>
      </c>
      <c r="K6" s="145">
        <v>1987</v>
      </c>
      <c r="L6" s="145">
        <v>1988</v>
      </c>
      <c r="M6" s="145">
        <v>1989</v>
      </c>
      <c r="N6" s="145">
        <v>1990</v>
      </c>
      <c r="O6" s="145">
        <v>1991</v>
      </c>
      <c r="P6" s="145">
        <v>1992</v>
      </c>
      <c r="Q6" s="145">
        <v>1993</v>
      </c>
      <c r="R6" s="145">
        <v>1994</v>
      </c>
      <c r="S6" s="145">
        <v>1995</v>
      </c>
      <c r="T6" s="145">
        <v>1996</v>
      </c>
      <c r="U6" s="145">
        <v>1997</v>
      </c>
      <c r="V6" s="145">
        <v>1998</v>
      </c>
      <c r="W6" s="145">
        <v>1999</v>
      </c>
      <c r="X6" s="145">
        <v>2000</v>
      </c>
      <c r="Y6" s="145">
        <v>2001</v>
      </c>
      <c r="Z6" s="145">
        <v>2002</v>
      </c>
      <c r="AA6" s="145">
        <v>2003</v>
      </c>
      <c r="AB6" s="145">
        <v>2004</v>
      </c>
      <c r="AC6" s="145">
        <v>2005</v>
      </c>
      <c r="AD6" s="145">
        <v>2006</v>
      </c>
      <c r="AE6" s="145">
        <v>2007</v>
      </c>
      <c r="AF6" s="145">
        <v>2008</v>
      </c>
      <c r="AG6" s="145">
        <v>2009</v>
      </c>
      <c r="AH6" s="145">
        <v>2010</v>
      </c>
      <c r="AI6" s="145">
        <v>2011</v>
      </c>
      <c r="AJ6" s="145">
        <v>2012</v>
      </c>
      <c r="AK6" s="145">
        <v>2013</v>
      </c>
      <c r="AL6" s="145">
        <v>2014</v>
      </c>
      <c r="AM6" s="145">
        <v>2015</v>
      </c>
      <c r="AN6" s="145">
        <v>2016</v>
      </c>
      <c r="AO6" s="145">
        <v>2017</v>
      </c>
      <c r="AP6" s="145">
        <v>2018</v>
      </c>
      <c r="AQ6" s="145">
        <v>2019</v>
      </c>
      <c r="AR6" s="145">
        <v>2020</v>
      </c>
      <c r="AS6" s="145">
        <v>2021</v>
      </c>
      <c r="AT6" s="145">
        <v>2022</v>
      </c>
      <c r="AU6" s="145">
        <v>2023</v>
      </c>
      <c r="AV6" s="145">
        <v>2024</v>
      </c>
      <c r="AW6" s="145">
        <v>2025</v>
      </c>
      <c r="AX6" s="145">
        <v>2026</v>
      </c>
      <c r="AY6" s="145">
        <v>2027</v>
      </c>
      <c r="AZ6" s="145">
        <v>2028</v>
      </c>
      <c r="BA6" s="145">
        <v>2029</v>
      </c>
      <c r="BB6" s="145">
        <v>2030</v>
      </c>
    </row>
    <row r="7" spans="1:67" ht="14.5" x14ac:dyDescent="0.65">
      <c r="A7" s="52" t="s">
        <v>106</v>
      </c>
      <c r="B7" s="72"/>
      <c r="C7" s="74" t="s">
        <v>608</v>
      </c>
      <c r="D7" s="74"/>
      <c r="E7" s="74"/>
      <c r="F7" s="74"/>
      <c r="G7" s="74"/>
      <c r="H7" s="74"/>
      <c r="I7" s="74"/>
      <c r="J7" s="74"/>
      <c r="K7" s="74"/>
      <c r="L7" s="74"/>
      <c r="M7" s="74"/>
      <c r="N7" s="74"/>
      <c r="O7" s="74"/>
      <c r="P7" s="74"/>
      <c r="Q7" s="74"/>
      <c r="R7" s="74"/>
      <c r="S7" s="74"/>
      <c r="T7" s="74"/>
      <c r="U7" s="74"/>
      <c r="V7" s="74"/>
      <c r="W7" s="74"/>
      <c r="X7" s="61"/>
      <c r="Y7" s="61"/>
      <c r="Z7" s="61"/>
      <c r="AA7" s="61"/>
      <c r="AB7" s="61"/>
      <c r="AC7" s="61"/>
      <c r="AD7" s="61"/>
      <c r="AE7" s="61"/>
      <c r="AF7" s="61"/>
      <c r="AG7" s="61"/>
      <c r="AH7" s="61"/>
      <c r="AI7" s="61"/>
      <c r="AJ7" s="61"/>
      <c r="AK7" s="61"/>
      <c r="AL7" s="61"/>
      <c r="AM7" s="61"/>
      <c r="AN7" s="61"/>
      <c r="AO7" s="61"/>
      <c r="AP7" s="61"/>
      <c r="AQ7" s="61"/>
      <c r="AR7" s="61"/>
      <c r="AS7" s="73"/>
      <c r="AT7" s="73"/>
    </row>
    <row r="8" spans="1:67" ht="13.25" x14ac:dyDescent="0.65">
      <c r="A8" s="52" t="s">
        <v>106</v>
      </c>
      <c r="B8" s="75"/>
      <c r="C8" s="52"/>
      <c r="D8" s="52"/>
      <c r="E8" s="52"/>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row>
    <row r="9" spans="1:67" ht="13.25" x14ac:dyDescent="0.65">
      <c r="A9" s="52" t="s">
        <v>106</v>
      </c>
      <c r="B9" s="75"/>
      <c r="C9" s="63" t="s">
        <v>399</v>
      </c>
      <c r="D9" s="289" t="s">
        <v>140</v>
      </c>
      <c r="E9" s="289"/>
      <c r="F9" s="289"/>
      <c r="G9" s="289"/>
      <c r="H9" s="289"/>
      <c r="I9" s="289"/>
      <c r="J9" s="289"/>
      <c r="K9" s="289"/>
      <c r="L9" s="289"/>
      <c r="M9" s="289"/>
      <c r="N9" s="289"/>
      <c r="O9" s="289"/>
      <c r="P9" s="289"/>
      <c r="Q9" s="289"/>
      <c r="R9" s="289"/>
      <c r="S9" s="289"/>
      <c r="T9" s="289"/>
      <c r="U9" s="289"/>
      <c r="V9" s="289"/>
      <c r="W9" s="289"/>
      <c r="X9" s="289"/>
      <c r="Y9" s="289"/>
      <c r="Z9" s="289"/>
      <c r="AA9" s="289"/>
      <c r="AB9" s="289"/>
      <c r="AC9" s="289"/>
      <c r="AD9" s="289"/>
      <c r="AE9" s="289"/>
      <c r="AF9" s="289"/>
      <c r="AG9" s="289"/>
      <c r="AH9" s="289"/>
      <c r="AI9" s="289"/>
      <c r="AJ9" s="289"/>
      <c r="AK9" s="289"/>
      <c r="AL9" s="289"/>
      <c r="AM9" s="289"/>
      <c r="AN9" s="289"/>
      <c r="AO9" s="289"/>
      <c r="AP9" s="289"/>
      <c r="AQ9" s="289"/>
      <c r="AR9" s="289"/>
      <c r="AS9" s="289"/>
      <c r="AT9" s="278" t="s">
        <v>140</v>
      </c>
      <c r="AU9" s="278"/>
      <c r="AV9" s="278"/>
      <c r="AW9" s="278"/>
      <c r="AX9" s="278"/>
      <c r="AY9" s="278"/>
      <c r="AZ9" s="278"/>
      <c r="BA9" s="278"/>
      <c r="BB9" s="278"/>
      <c r="BC9" s="278"/>
      <c r="BD9" s="278"/>
      <c r="BE9" s="278"/>
      <c r="BF9" s="278"/>
      <c r="BG9" s="278"/>
      <c r="BH9" s="278"/>
      <c r="BI9" s="278"/>
      <c r="BJ9" s="278"/>
      <c r="BK9" s="278"/>
      <c r="BL9" s="278"/>
      <c r="BM9" s="278"/>
      <c r="BN9" s="278"/>
      <c r="BO9" s="278"/>
    </row>
    <row r="10" spans="1:67" ht="13.25" x14ac:dyDescent="0.65">
      <c r="A10" s="52" t="s">
        <v>106</v>
      </c>
      <c r="B10" s="75"/>
      <c r="C10" s="146"/>
      <c r="D10" s="146"/>
      <c r="E10" s="146"/>
      <c r="F10" s="146"/>
      <c r="G10" s="146"/>
      <c r="H10" s="146"/>
      <c r="I10" s="146"/>
      <c r="J10" s="146"/>
      <c r="K10" s="146"/>
      <c r="L10" s="146"/>
      <c r="M10" s="146"/>
      <c r="N10" s="146"/>
      <c r="O10" s="146"/>
      <c r="P10" s="146"/>
      <c r="Q10" s="146"/>
      <c r="R10" s="146"/>
      <c r="S10" s="146"/>
      <c r="T10" s="146"/>
      <c r="U10" s="146"/>
      <c r="V10" s="146"/>
      <c r="W10" s="146"/>
      <c r="X10" s="146"/>
      <c r="Y10" s="146"/>
      <c r="Z10" s="146"/>
      <c r="AA10" s="146"/>
      <c r="AB10" s="146"/>
      <c r="AC10" s="146"/>
      <c r="AD10" s="146"/>
      <c r="AE10" s="146"/>
      <c r="AF10" s="146"/>
      <c r="AG10" s="146"/>
      <c r="AH10" s="146"/>
      <c r="AI10" s="146"/>
      <c r="AJ10" s="146"/>
      <c r="AK10" s="146"/>
      <c r="AL10" s="146"/>
      <c r="AM10" s="146"/>
      <c r="AN10" s="146"/>
      <c r="AO10" s="146"/>
      <c r="AP10" s="146"/>
      <c r="AQ10" s="146"/>
      <c r="AR10" s="146"/>
      <c r="AS10" s="146"/>
      <c r="AT10" s="146"/>
      <c r="AU10" s="147"/>
      <c r="AV10" s="147"/>
      <c r="AW10" s="152"/>
      <c r="AX10" s="147"/>
      <c r="AY10" s="147"/>
      <c r="AZ10" s="147"/>
      <c r="BA10" s="147"/>
      <c r="BB10" s="147"/>
      <c r="BC10" s="147"/>
      <c r="BD10" s="147"/>
      <c r="BE10" s="147"/>
      <c r="BF10" s="147"/>
      <c r="BG10" s="147"/>
      <c r="BH10" s="147"/>
      <c r="BI10" s="147"/>
      <c r="BJ10" s="147"/>
      <c r="BK10" s="147"/>
      <c r="BL10" s="147"/>
      <c r="BM10" s="147"/>
      <c r="BN10" s="147"/>
      <c r="BO10" s="147"/>
    </row>
    <row r="11" spans="1:67" ht="13" x14ac:dyDescent="0.6">
      <c r="A11" s="250" t="s">
        <v>965</v>
      </c>
      <c r="B11" s="251" t="s">
        <v>967</v>
      </c>
      <c r="C11" s="252" t="s">
        <v>400</v>
      </c>
      <c r="D11" s="253">
        <v>3.7480061652644698</v>
      </c>
      <c r="E11" s="253">
        <v>2.73459857729378</v>
      </c>
      <c r="F11" s="253">
        <v>1.0496061255506299</v>
      </c>
      <c r="G11" s="253">
        <v>3.1543623329135602</v>
      </c>
      <c r="H11" s="253">
        <v>4.7156230928358296</v>
      </c>
      <c r="I11" s="253">
        <v>2.8127685594935801</v>
      </c>
      <c r="J11" s="253">
        <v>4.7185082428629803</v>
      </c>
      <c r="K11" s="253">
        <v>5.5937763468146304</v>
      </c>
      <c r="L11" s="253">
        <v>5.47185680951576</v>
      </c>
      <c r="M11" s="253">
        <v>3.58742452199649</v>
      </c>
      <c r="N11" s="253">
        <v>3.0231927183437501</v>
      </c>
      <c r="O11" s="253">
        <v>1.7813659494176</v>
      </c>
      <c r="P11" s="253">
        <v>2.07212696501621</v>
      </c>
      <c r="Q11" s="253">
        <v>2.2005445300025102</v>
      </c>
      <c r="R11" s="253">
        <v>3.80585065820806</v>
      </c>
      <c r="S11" s="253">
        <v>2.5795003486958699</v>
      </c>
      <c r="T11" s="253">
        <v>2.8343682029582902</v>
      </c>
      <c r="U11" s="253">
        <v>4.3003738407805603</v>
      </c>
      <c r="V11" s="253">
        <v>1.55792219779549</v>
      </c>
      <c r="W11" s="253">
        <v>3.4767967037088798</v>
      </c>
      <c r="X11" s="254">
        <v>5.2297040194805202</v>
      </c>
      <c r="Y11" s="254">
        <v>1.7177978867324299</v>
      </c>
      <c r="Z11" s="254">
        <v>1.44941034568112</v>
      </c>
      <c r="AA11" s="254">
        <v>1.92023637866568</v>
      </c>
      <c r="AB11" s="254">
        <v>4.11657444462515</v>
      </c>
      <c r="AC11" s="254">
        <v>3.6496526916822098</v>
      </c>
      <c r="AD11" s="254">
        <v>4.1028048009687499</v>
      </c>
      <c r="AE11" s="254">
        <v>4.2086784608414503</v>
      </c>
      <c r="AF11" s="254">
        <v>0.93365129058736995</v>
      </c>
      <c r="AG11" s="254">
        <v>-3.4349496155013002</v>
      </c>
      <c r="AH11" s="254">
        <v>3.6495372037004801</v>
      </c>
      <c r="AI11" s="254">
        <v>2.32676373532819</v>
      </c>
      <c r="AJ11" s="254">
        <v>0.88322274149348201</v>
      </c>
      <c r="AK11" s="254">
        <v>1.64252445724604</v>
      </c>
      <c r="AL11" s="254">
        <v>2.55093405725097</v>
      </c>
      <c r="AM11" s="254">
        <v>2.6254815600679899</v>
      </c>
      <c r="AN11" s="254">
        <v>2.17945774979919</v>
      </c>
      <c r="AO11" s="254">
        <v>2.83227180054867</v>
      </c>
      <c r="AP11" s="254">
        <v>2.3012220819174098</v>
      </c>
      <c r="AQ11" s="254">
        <v>1.0766453562260301</v>
      </c>
      <c r="AR11" s="254">
        <v>-5.3186962900622303</v>
      </c>
      <c r="AS11" s="254">
        <v>6.8699901678702302</v>
      </c>
      <c r="AT11" s="254">
        <v>2.3530090141393298</v>
      </c>
      <c r="AU11" s="253">
        <v>0.99811200112688803</v>
      </c>
      <c r="AV11" s="253">
        <v>1.4426580684975701</v>
      </c>
      <c r="AW11" s="253">
        <v>1.8368516867226301</v>
      </c>
      <c r="AX11" s="253">
        <v>1.6158385480847799</v>
      </c>
      <c r="AY11" s="253">
        <v>1.5939387670652401</v>
      </c>
      <c r="AZ11" s="253">
        <v>1.6720278342138899</v>
      </c>
      <c r="BA11" s="253">
        <v>1.57755961493525</v>
      </c>
      <c r="BB11" s="253">
        <v>1.6250545349079899</v>
      </c>
      <c r="BC11" s="202">
        <f>BA11-AZ11</f>
        <v>-9.4468219278639909E-2</v>
      </c>
      <c r="BD11" s="147"/>
      <c r="BE11" s="147"/>
      <c r="BF11" s="147"/>
      <c r="BG11" s="147"/>
      <c r="BH11" s="147"/>
      <c r="BI11" s="147"/>
      <c r="BJ11" s="147"/>
      <c r="BK11" s="147"/>
      <c r="BL11" s="147"/>
      <c r="BM11" s="147"/>
      <c r="BN11" s="147"/>
      <c r="BO11" s="147"/>
    </row>
    <row r="12" spans="1:67" ht="13" x14ac:dyDescent="0.6">
      <c r="A12" s="250" t="s">
        <v>965</v>
      </c>
      <c r="B12" s="251" t="s">
        <v>968</v>
      </c>
      <c r="C12" s="252" t="s">
        <v>401</v>
      </c>
      <c r="D12" s="253">
        <v>4.1102303735579104</v>
      </c>
      <c r="E12" s="253">
        <v>1.52868145730868</v>
      </c>
      <c r="F12" s="253">
        <v>0.76414838650821804</v>
      </c>
      <c r="G12" s="253">
        <v>2.69722341527708</v>
      </c>
      <c r="H12" s="253">
        <v>3.4764537436721499</v>
      </c>
      <c r="I12" s="253">
        <v>2.6151897063242102</v>
      </c>
      <c r="J12" s="253">
        <v>4.9263697520383296</v>
      </c>
      <c r="K12" s="253">
        <v>5.4056307828051002</v>
      </c>
      <c r="L12" s="253">
        <v>5.8369759479693899</v>
      </c>
      <c r="M12" s="253">
        <v>3.57215073404091</v>
      </c>
      <c r="N12" s="253">
        <v>3.6151903595035502</v>
      </c>
      <c r="O12" s="253">
        <v>2.0392062140036402</v>
      </c>
      <c r="P12" s="253">
        <v>2.4615754717346499</v>
      </c>
      <c r="Q12" s="253">
        <v>1.5506989256305399</v>
      </c>
      <c r="R12" s="253">
        <v>4.6658019168409703</v>
      </c>
      <c r="S12" s="253">
        <v>2.9539292747834902</v>
      </c>
      <c r="T12" s="253">
        <v>2.5160609506024798</v>
      </c>
      <c r="U12" s="253">
        <v>4.0729295678139303</v>
      </c>
      <c r="V12" s="253">
        <v>1.7162392577237</v>
      </c>
      <c r="W12" s="253">
        <v>2.6130232136678302</v>
      </c>
      <c r="X12" s="254">
        <v>4.7638701584924101</v>
      </c>
      <c r="Y12" s="254">
        <v>1.94524452516299</v>
      </c>
      <c r="Z12" s="254">
        <v>0.98113139887248502</v>
      </c>
      <c r="AA12" s="254">
        <v>1.4747322256564399</v>
      </c>
      <c r="AB12" s="254">
        <v>2.9003530236049802</v>
      </c>
      <c r="AC12" s="254">
        <v>2.7896306067910102</v>
      </c>
      <c r="AD12" s="254">
        <v>3.3045069390424602</v>
      </c>
      <c r="AE12" s="254">
        <v>4.0130554042453097</v>
      </c>
      <c r="AF12" s="254">
        <v>0.66444499082455</v>
      </c>
      <c r="AG12" s="254">
        <v>-2.2445783311015299</v>
      </c>
      <c r="AH12" s="254">
        <v>3.28872285879824</v>
      </c>
      <c r="AI12" s="254">
        <v>2.5582238513972402</v>
      </c>
      <c r="AJ12" s="254">
        <v>1.02608475765037</v>
      </c>
      <c r="AK12" s="254">
        <v>1.51118986559721</v>
      </c>
      <c r="AL12" s="254">
        <v>2.7209151371373399</v>
      </c>
      <c r="AM12" s="254">
        <v>2.9935873605430801</v>
      </c>
      <c r="AN12" s="254">
        <v>2.2546916833230699</v>
      </c>
      <c r="AO12" s="254">
        <v>3.0376186014021198</v>
      </c>
      <c r="AP12" s="254">
        <v>2.2744409260082601</v>
      </c>
      <c r="AQ12" s="254">
        <v>1.6571291174315199</v>
      </c>
      <c r="AR12" s="254">
        <v>-5.7991707004787996</v>
      </c>
      <c r="AS12" s="254">
        <v>5.21762811488815</v>
      </c>
      <c r="AT12" s="254">
        <v>2.64253755547655</v>
      </c>
      <c r="AU12" s="253">
        <v>1.7513309362850999</v>
      </c>
      <c r="AV12" s="253">
        <v>1.08063726672237</v>
      </c>
      <c r="AW12" s="253">
        <v>1.96557020515881</v>
      </c>
      <c r="AX12" s="253">
        <v>1.51611110912511</v>
      </c>
      <c r="AY12" s="253">
        <v>1.44472476191822</v>
      </c>
      <c r="AZ12" s="253">
        <v>1.48867386871837</v>
      </c>
      <c r="BA12" s="253">
        <v>1.48045154018831</v>
      </c>
      <c r="BB12" s="253">
        <v>1.4821085389505999</v>
      </c>
      <c r="BC12" s="202">
        <f t="shared" ref="BC12:BC20" si="0">BA12-AZ12</f>
        <v>-8.2223285300599969E-3</v>
      </c>
      <c r="BD12" s="147"/>
      <c r="BE12" s="147"/>
      <c r="BF12" s="147"/>
      <c r="BG12" s="147"/>
      <c r="BH12" s="147"/>
      <c r="BI12" s="147"/>
      <c r="BJ12" s="147"/>
      <c r="BK12" s="147"/>
      <c r="BL12" s="147"/>
      <c r="BM12" s="147"/>
      <c r="BN12" s="147"/>
      <c r="BO12" s="147"/>
    </row>
    <row r="13" spans="1:67" ht="13" x14ac:dyDescent="0.6">
      <c r="A13" s="64"/>
      <c r="B13" s="64"/>
      <c r="C13" s="146"/>
      <c r="D13" s="177"/>
      <c r="E13" s="177"/>
      <c r="F13" s="177"/>
      <c r="G13" s="177"/>
      <c r="H13" s="177"/>
      <c r="I13" s="177"/>
      <c r="J13" s="177"/>
      <c r="K13" s="177"/>
      <c r="L13" s="177"/>
      <c r="M13" s="177"/>
      <c r="N13" s="177"/>
      <c r="O13" s="177"/>
      <c r="P13" s="177"/>
      <c r="Q13" s="177"/>
      <c r="R13" s="177"/>
      <c r="S13" s="177"/>
      <c r="T13" s="177"/>
      <c r="U13" s="177"/>
      <c r="V13" s="177"/>
      <c r="W13" s="177"/>
      <c r="X13" s="148"/>
      <c r="Y13" s="148"/>
      <c r="Z13" s="148"/>
      <c r="AA13" s="148"/>
      <c r="AB13" s="148"/>
      <c r="AC13" s="148"/>
      <c r="AD13" s="148"/>
      <c r="AE13" s="148"/>
      <c r="AF13" s="148"/>
      <c r="AG13" s="148"/>
      <c r="AH13" s="148"/>
      <c r="AI13" s="148"/>
      <c r="AJ13" s="148"/>
      <c r="AK13" s="148"/>
      <c r="AL13" s="148"/>
      <c r="AM13" s="148"/>
      <c r="AN13" s="148"/>
      <c r="AO13" s="148"/>
      <c r="AP13" s="148"/>
      <c r="AQ13" s="148"/>
      <c r="AR13" s="148"/>
      <c r="AS13" s="148"/>
      <c r="AT13" s="148"/>
      <c r="AU13" s="152"/>
      <c r="AV13" s="152"/>
      <c r="AW13" s="152"/>
      <c r="AX13" s="152"/>
      <c r="AY13" s="152"/>
      <c r="AZ13" s="152"/>
      <c r="BA13" s="152"/>
      <c r="BB13" s="202"/>
      <c r="BC13" s="202"/>
      <c r="BD13" s="147"/>
      <c r="BE13" s="147"/>
      <c r="BF13" s="147"/>
      <c r="BG13" s="147"/>
      <c r="BH13" s="147"/>
      <c r="BI13" s="147"/>
      <c r="BJ13" s="147"/>
      <c r="BK13" s="147"/>
      <c r="BL13" s="147"/>
      <c r="BM13" s="147"/>
      <c r="BN13" s="147"/>
      <c r="BO13" s="147"/>
    </row>
    <row r="14" spans="1:67" ht="13" x14ac:dyDescent="0.6">
      <c r="A14" s="64"/>
      <c r="B14" s="64"/>
      <c r="C14" s="79" t="s">
        <v>402</v>
      </c>
      <c r="D14" s="178"/>
      <c r="E14" s="178"/>
      <c r="F14" s="178"/>
      <c r="G14" s="178"/>
      <c r="H14" s="178"/>
      <c r="I14" s="178"/>
      <c r="J14" s="178"/>
      <c r="K14" s="178"/>
      <c r="L14" s="178"/>
      <c r="M14" s="178"/>
      <c r="N14" s="178"/>
      <c r="O14" s="178"/>
      <c r="P14" s="178"/>
      <c r="Q14" s="178"/>
      <c r="R14" s="178"/>
      <c r="S14" s="178"/>
      <c r="T14" s="178"/>
      <c r="U14" s="178"/>
      <c r="V14" s="178"/>
      <c r="W14" s="178"/>
      <c r="X14" s="148"/>
      <c r="Y14" s="148"/>
      <c r="Z14" s="148"/>
      <c r="AA14" s="148"/>
      <c r="AB14" s="148"/>
      <c r="AC14" s="148"/>
      <c r="AD14" s="148"/>
      <c r="AE14" s="148"/>
      <c r="AF14" s="148"/>
      <c r="AG14" s="148"/>
      <c r="AH14" s="148"/>
      <c r="AI14" s="148"/>
      <c r="AJ14" s="148"/>
      <c r="AK14" s="148"/>
      <c r="AL14" s="148"/>
      <c r="AM14" s="148"/>
      <c r="AN14" s="148"/>
      <c r="AO14" s="148"/>
      <c r="AP14" s="148"/>
      <c r="AQ14" s="148"/>
      <c r="AR14" s="148"/>
      <c r="AS14" s="148"/>
      <c r="AT14" s="148"/>
      <c r="AU14" s="152"/>
      <c r="AV14" s="152"/>
      <c r="AW14" s="152"/>
      <c r="AX14" s="152"/>
      <c r="AY14" s="152"/>
      <c r="AZ14" s="152"/>
      <c r="BA14" s="152"/>
      <c r="BB14" s="202"/>
      <c r="BC14" s="202"/>
      <c r="BD14" s="147"/>
      <c r="BE14" s="147"/>
      <c r="BF14" s="147"/>
      <c r="BG14" s="147"/>
      <c r="BH14" s="147"/>
      <c r="BI14" s="147"/>
      <c r="BJ14" s="147"/>
      <c r="BK14" s="147"/>
      <c r="BL14" s="147"/>
      <c r="BM14" s="147"/>
      <c r="BN14" s="147"/>
      <c r="BO14" s="147"/>
    </row>
    <row r="15" spans="1:67" ht="13" x14ac:dyDescent="0.6">
      <c r="A15" s="64"/>
      <c r="B15" s="64"/>
      <c r="C15" s="146"/>
      <c r="D15" s="177"/>
      <c r="E15" s="177"/>
      <c r="F15" s="177"/>
      <c r="G15" s="177"/>
      <c r="H15" s="177"/>
      <c r="I15" s="177"/>
      <c r="J15" s="177"/>
      <c r="K15" s="177"/>
      <c r="L15" s="177"/>
      <c r="M15" s="177"/>
      <c r="N15" s="177"/>
      <c r="O15" s="177"/>
      <c r="P15" s="177"/>
      <c r="Q15" s="177"/>
      <c r="R15" s="177"/>
      <c r="S15" s="177"/>
      <c r="T15" s="177"/>
      <c r="U15" s="177"/>
      <c r="V15" s="177"/>
      <c r="W15" s="177"/>
      <c r="X15" s="148"/>
      <c r="Y15" s="148"/>
      <c r="Z15" s="148"/>
      <c r="AA15" s="148"/>
      <c r="AB15" s="148"/>
      <c r="AC15" s="148"/>
      <c r="AD15" s="148"/>
      <c r="AE15" s="148"/>
      <c r="AF15" s="148"/>
      <c r="AG15" s="148"/>
      <c r="AH15" s="148"/>
      <c r="AI15" s="148"/>
      <c r="AJ15" s="148"/>
      <c r="AK15" s="148"/>
      <c r="AL15" s="148"/>
      <c r="AM15" s="148"/>
      <c r="AN15" s="148"/>
      <c r="AO15" s="148"/>
      <c r="AP15" s="148"/>
      <c r="AQ15" s="148"/>
      <c r="AR15" s="148"/>
      <c r="AS15" s="148"/>
      <c r="AT15" s="148"/>
      <c r="AU15" s="152"/>
      <c r="AV15" s="152"/>
      <c r="AW15" s="152"/>
      <c r="AX15" s="152"/>
      <c r="AY15" s="152"/>
      <c r="AZ15" s="152"/>
      <c r="BA15" s="152"/>
      <c r="BB15" s="202"/>
      <c r="BC15" s="202"/>
      <c r="BD15" s="147"/>
      <c r="BE15" s="147"/>
      <c r="BF15" s="147"/>
      <c r="BG15" s="147"/>
      <c r="BH15" s="147"/>
      <c r="BI15" s="147"/>
      <c r="BJ15" s="147"/>
      <c r="BK15" s="147"/>
      <c r="BL15" s="147"/>
      <c r="BM15" s="147"/>
      <c r="BN15" s="147"/>
      <c r="BO15" s="147"/>
    </row>
    <row r="16" spans="1:67" ht="13" x14ac:dyDescent="0.6">
      <c r="A16" s="251" t="s">
        <v>965</v>
      </c>
      <c r="B16" s="251" t="s">
        <v>969</v>
      </c>
      <c r="C16" s="252" t="s">
        <v>400</v>
      </c>
      <c r="D16" s="253">
        <v>2.4136552125220199</v>
      </c>
      <c r="E16" s="253">
        <v>2.9218870853574401</v>
      </c>
      <c r="F16" s="253">
        <v>0.13114694726277201</v>
      </c>
      <c r="G16" s="253">
        <v>1.8033037401168699</v>
      </c>
      <c r="H16" s="253">
        <v>4.7520086142305997</v>
      </c>
      <c r="I16" s="253">
        <v>1.4700049169167999</v>
      </c>
      <c r="J16" s="253">
        <v>1.65617387953367</v>
      </c>
      <c r="K16" s="253">
        <v>4.3423926553846703</v>
      </c>
      <c r="L16" s="253">
        <v>2.5639666723827799</v>
      </c>
      <c r="M16" s="253">
        <v>3.2435711612552298</v>
      </c>
      <c r="N16" s="253">
        <v>1.47991201494138</v>
      </c>
      <c r="O16" s="253">
        <v>-2.5478863700468701</v>
      </c>
      <c r="P16" s="253">
        <v>-3.0277651143605202</v>
      </c>
      <c r="Q16" s="253">
        <v>-4.8424148127656199</v>
      </c>
      <c r="R16" s="253">
        <v>-0.279978850582705</v>
      </c>
      <c r="S16" s="253">
        <v>3.8776297159165498</v>
      </c>
      <c r="T16" s="253">
        <v>1.6367911103436099</v>
      </c>
      <c r="U16" s="253">
        <v>-0.84260777349717597</v>
      </c>
      <c r="V16" s="253">
        <v>-0.40377937416901699</v>
      </c>
      <c r="W16" s="253">
        <v>0.42504889688825298</v>
      </c>
      <c r="X16" s="254">
        <v>4.6691945609815801E-2</v>
      </c>
      <c r="Y16" s="254">
        <v>0.70385859933152395</v>
      </c>
      <c r="Z16" s="254">
        <v>3.13630672761873</v>
      </c>
      <c r="AA16" s="254">
        <v>5.9415568773087797</v>
      </c>
      <c r="AB16" s="254">
        <v>7.17292341165144</v>
      </c>
      <c r="AC16" s="254">
        <v>7.8165171051688498</v>
      </c>
      <c r="AD16" s="254">
        <v>6.2140821483058</v>
      </c>
      <c r="AE16" s="254">
        <v>6.8938444125291198</v>
      </c>
      <c r="AF16" s="254">
        <v>5.5947677538261296</v>
      </c>
      <c r="AG16" s="254">
        <v>0.26584670641999503</v>
      </c>
      <c r="AH16" s="254">
        <v>7.0178978498954097</v>
      </c>
      <c r="AI16" s="254">
        <v>6.2766948134785903</v>
      </c>
      <c r="AJ16" s="254">
        <v>4.4986283113359402</v>
      </c>
      <c r="AK16" s="254">
        <v>7.1520410709059101</v>
      </c>
      <c r="AL16" s="254">
        <v>5.66319058195013</v>
      </c>
      <c r="AM16" s="254">
        <v>5.3216312292027297</v>
      </c>
      <c r="AN16" s="254">
        <v>1.7331700672671699</v>
      </c>
      <c r="AO16" s="254">
        <v>3.1952430134538701</v>
      </c>
      <c r="AP16" s="254">
        <v>4.4063575367354302</v>
      </c>
      <c r="AQ16" s="254">
        <v>1.6726280104031399</v>
      </c>
      <c r="AR16" s="254">
        <v>-1.8666892932113399</v>
      </c>
      <c r="AS16" s="254">
        <v>6.0746524294048401</v>
      </c>
      <c r="AT16" s="255">
        <v>6.4920203203173497</v>
      </c>
      <c r="AU16" s="255">
        <v>5.5482946656280303</v>
      </c>
      <c r="AV16" s="255">
        <v>3.7481940118382</v>
      </c>
      <c r="AW16" s="255">
        <v>5.23904955442105</v>
      </c>
      <c r="AX16" s="255">
        <v>5.0355391464100299</v>
      </c>
      <c r="AY16" s="255">
        <v>4.6061580238049302</v>
      </c>
      <c r="AZ16" s="255">
        <v>4.5664381993298502</v>
      </c>
      <c r="BA16" s="255">
        <v>4.4862613442822896</v>
      </c>
      <c r="BB16" s="253">
        <v>4.42397184172252</v>
      </c>
      <c r="BC16" s="202">
        <f t="shared" si="0"/>
        <v>-8.0176855047560558E-2</v>
      </c>
      <c r="BD16" s="147"/>
      <c r="BE16" s="147"/>
      <c r="BF16" s="147"/>
      <c r="BG16" s="147"/>
      <c r="BH16" s="147"/>
      <c r="BI16" s="147"/>
      <c r="BJ16" s="147"/>
      <c r="BK16" s="147"/>
      <c r="BL16" s="147"/>
      <c r="BM16" s="147"/>
      <c r="BN16" s="147"/>
      <c r="BO16" s="147"/>
    </row>
    <row r="17" spans="1:67" ht="13" x14ac:dyDescent="0.6">
      <c r="A17" s="64"/>
      <c r="B17" s="64"/>
      <c r="C17" s="146" t="s">
        <v>403</v>
      </c>
      <c r="D17" s="177"/>
      <c r="E17" s="177"/>
      <c r="F17" s="177"/>
      <c r="G17" s="177"/>
      <c r="H17" s="177"/>
      <c r="I17" s="177"/>
      <c r="J17" s="177"/>
      <c r="K17" s="177"/>
      <c r="L17" s="177"/>
      <c r="M17" s="177"/>
      <c r="N17" s="177"/>
      <c r="O17" s="177"/>
      <c r="P17" s="177"/>
      <c r="Q17" s="177"/>
      <c r="R17" s="177"/>
      <c r="S17" s="177"/>
      <c r="T17" s="177"/>
      <c r="U17" s="177"/>
      <c r="V17" s="177"/>
      <c r="W17" s="177"/>
      <c r="X17" s="148"/>
      <c r="Y17" s="148"/>
      <c r="Z17" s="148"/>
      <c r="AA17" s="148"/>
      <c r="AB17" s="148"/>
      <c r="AC17" s="148"/>
      <c r="AD17" s="148"/>
      <c r="AE17" s="148"/>
      <c r="AF17" s="148"/>
      <c r="AG17" s="148"/>
      <c r="AH17" s="148"/>
      <c r="AI17" s="148"/>
      <c r="AJ17" s="148"/>
      <c r="AK17" s="148"/>
      <c r="AL17" s="148"/>
      <c r="AM17" s="148"/>
      <c r="AN17" s="148"/>
      <c r="AO17" s="148"/>
      <c r="AP17" s="148"/>
      <c r="AQ17" s="148"/>
      <c r="AR17" s="148"/>
      <c r="AS17" s="148"/>
      <c r="AT17" s="148"/>
      <c r="AU17" s="148"/>
      <c r="AV17" s="148"/>
      <c r="AW17" s="148"/>
      <c r="AX17" s="148"/>
      <c r="AY17" s="148"/>
      <c r="AZ17" s="148"/>
      <c r="BA17" s="148"/>
      <c r="BB17" s="202">
        <f>BA17+BC17</f>
        <v>0</v>
      </c>
      <c r="BC17" s="202">
        <f t="shared" si="0"/>
        <v>0</v>
      </c>
      <c r="BD17" s="147"/>
      <c r="BE17" s="147"/>
      <c r="BF17" s="147"/>
      <c r="BG17" s="147"/>
      <c r="BH17" s="147"/>
      <c r="BI17" s="147"/>
      <c r="BJ17" s="147"/>
      <c r="BK17" s="147"/>
      <c r="BL17" s="147"/>
      <c r="BM17" s="147"/>
      <c r="BN17" s="147"/>
      <c r="BO17" s="147"/>
    </row>
    <row r="18" spans="1:67" ht="13" x14ac:dyDescent="0.6">
      <c r="A18" s="251" t="s">
        <v>965</v>
      </c>
      <c r="B18" s="251" t="s">
        <v>970</v>
      </c>
      <c r="C18" s="252" t="s">
        <v>404</v>
      </c>
      <c r="D18" s="253">
        <v>9.61409238480854</v>
      </c>
      <c r="E18" s="253">
        <v>1.55404336995149</v>
      </c>
      <c r="F18" s="253">
        <v>-1.7041345032972599</v>
      </c>
      <c r="G18" s="253">
        <v>-1.4699567895929</v>
      </c>
      <c r="H18" s="253">
        <v>-0.82166915709152499</v>
      </c>
      <c r="I18" s="253">
        <v>5.1507591692482997</v>
      </c>
      <c r="J18" s="253">
        <v>0.36013678568837898</v>
      </c>
      <c r="K18" s="253">
        <v>13.788404324894399</v>
      </c>
      <c r="L18" s="253">
        <v>10.371697729160401</v>
      </c>
      <c r="M18" s="253">
        <v>11.290958688428301</v>
      </c>
      <c r="N18" s="253">
        <v>6.70412424376552</v>
      </c>
      <c r="O18" s="253">
        <v>6.57196354154771</v>
      </c>
      <c r="P18" s="253">
        <v>8.3052605322154704</v>
      </c>
      <c r="Q18" s="253">
        <v>8.4284937227698506</v>
      </c>
      <c r="R18" s="253">
        <v>10.657813103755201</v>
      </c>
      <c r="S18" s="253">
        <v>10.433880035545</v>
      </c>
      <c r="T18" s="253">
        <v>4.6590310866099403</v>
      </c>
      <c r="U18" s="253">
        <v>-6.5438029417562502</v>
      </c>
      <c r="V18" s="253">
        <v>36.416056540272201</v>
      </c>
      <c r="W18" s="253">
        <v>29.4436502867846</v>
      </c>
      <c r="X18" s="254">
        <v>4.1058884823824302</v>
      </c>
      <c r="Y18" s="254">
        <v>-7.6409012254593804</v>
      </c>
      <c r="Z18" s="254">
        <v>23.5118235019332</v>
      </c>
      <c r="AA18" s="254">
        <v>56.796379970187999</v>
      </c>
      <c r="AB18" s="254">
        <v>6.9240987872497</v>
      </c>
      <c r="AC18" s="254">
        <v>6.6632413857647004</v>
      </c>
      <c r="AD18" s="254">
        <v>3.7962372061537302</v>
      </c>
      <c r="AE18" s="254">
        <v>34.128912809981998</v>
      </c>
      <c r="AF18" s="254">
        <v>10.268302474165599</v>
      </c>
      <c r="AG18" s="254">
        <v>-5.5540645637039399</v>
      </c>
      <c r="AH18" s="254">
        <v>24.666590198955301</v>
      </c>
      <c r="AI18" s="254">
        <v>4.1085620963342997</v>
      </c>
      <c r="AJ18" s="254">
        <v>-3.7895782615375402</v>
      </c>
      <c r="AK18" s="254">
        <v>12.8750788616805</v>
      </c>
      <c r="AL18" s="254">
        <v>10.090307876095499</v>
      </c>
      <c r="AM18" s="254">
        <v>-6.0761762640612504</v>
      </c>
      <c r="AN18" s="254">
        <v>9.3236542831207903</v>
      </c>
      <c r="AO18" s="254">
        <v>1.4103610736361101</v>
      </c>
      <c r="AP18" s="254">
        <v>8.3719279085542606</v>
      </c>
      <c r="AQ18" s="254">
        <v>-7.7336348249097</v>
      </c>
      <c r="AR18" s="254">
        <v>-5.30030652489629</v>
      </c>
      <c r="AS18" s="254">
        <v>27.288699106849499</v>
      </c>
      <c r="AT18" s="254">
        <v>18.3827505921148</v>
      </c>
      <c r="AU18" s="253">
        <v>1.8006594776898099</v>
      </c>
      <c r="AV18" s="253">
        <v>7.3227253580970704</v>
      </c>
      <c r="AW18" s="253">
        <v>6.2127831946990497</v>
      </c>
      <c r="AX18" s="253">
        <v>5.7576763425684998</v>
      </c>
      <c r="AY18" s="253">
        <v>5.1509140050992102</v>
      </c>
      <c r="AZ18" s="253">
        <v>5.4138611193819797</v>
      </c>
      <c r="BA18" s="253">
        <v>4.8639319259527101</v>
      </c>
      <c r="BB18" s="253">
        <v>4.9109315533893598</v>
      </c>
      <c r="BC18" s="202">
        <f t="shared" si="0"/>
        <v>-0.5499291934292696</v>
      </c>
      <c r="BD18" s="147"/>
      <c r="BE18" s="147"/>
      <c r="BF18" s="147"/>
      <c r="BG18" s="147"/>
      <c r="BH18" s="147"/>
      <c r="BI18" s="147"/>
      <c r="BJ18" s="147"/>
      <c r="BK18" s="147"/>
      <c r="BL18" s="147"/>
      <c r="BM18" s="147"/>
      <c r="BN18" s="147"/>
      <c r="BO18" s="147"/>
    </row>
    <row r="19" spans="1:67" ht="13" x14ac:dyDescent="0.6">
      <c r="A19" s="251" t="s">
        <v>965</v>
      </c>
      <c r="B19" s="251" t="s">
        <v>971</v>
      </c>
      <c r="C19" s="252" t="s">
        <v>405</v>
      </c>
      <c r="D19" s="253">
        <v>1.28783106055503</v>
      </c>
      <c r="E19" s="253">
        <v>-1.3604861660628</v>
      </c>
      <c r="F19" s="253">
        <v>2.6705543502517699</v>
      </c>
      <c r="G19" s="253">
        <v>5.2354593379934098</v>
      </c>
      <c r="H19" s="253">
        <v>1.14854599162301E-3</v>
      </c>
      <c r="I19" s="253">
        <v>1.69390919634957</v>
      </c>
      <c r="J19" s="253">
        <v>5.3027263364861703</v>
      </c>
      <c r="K19" s="253">
        <v>6.1524333248252701</v>
      </c>
      <c r="L19" s="253">
        <v>-2.5689198480510398</v>
      </c>
      <c r="M19" s="253">
        <v>12.9819250399657</v>
      </c>
      <c r="N19" s="253">
        <v>-4.5984394186143698</v>
      </c>
      <c r="O19" s="253">
        <v>-6.5605048012766201</v>
      </c>
      <c r="P19" s="253">
        <v>-10.5789139665885</v>
      </c>
      <c r="Q19" s="253">
        <v>-10.0359016885911</v>
      </c>
      <c r="R19" s="253">
        <v>7.9132230293410402</v>
      </c>
      <c r="S19" s="253">
        <v>23.671399654651101</v>
      </c>
      <c r="T19" s="253">
        <v>3.1169244626763599</v>
      </c>
      <c r="U19" s="253">
        <v>-5.8168153859224203</v>
      </c>
      <c r="V19" s="253">
        <v>35.311013447873499</v>
      </c>
      <c r="W19" s="253">
        <v>29.957922011500798</v>
      </c>
      <c r="X19" s="254">
        <v>4.1410465986145804</v>
      </c>
      <c r="Y19" s="254">
        <v>-7.9096205982805303</v>
      </c>
      <c r="Z19" s="254">
        <v>23.743881762726499</v>
      </c>
      <c r="AA19" s="254">
        <v>57.429489637656502</v>
      </c>
      <c r="AB19" s="254">
        <v>6.8102567799596896</v>
      </c>
      <c r="AC19" s="254">
        <v>6.0207022041228999</v>
      </c>
      <c r="AD19" s="254">
        <v>3.2577217675153398</v>
      </c>
      <c r="AE19" s="254">
        <v>36.237140971861002</v>
      </c>
      <c r="AF19" s="254">
        <v>11.05182634164</v>
      </c>
      <c r="AG19" s="254">
        <v>-6.7485904136644796</v>
      </c>
      <c r="AH19" s="254">
        <v>27.500030511458601</v>
      </c>
      <c r="AI19" s="254">
        <v>3.3072065584446002</v>
      </c>
      <c r="AJ19" s="254">
        <v>-3.4107450054913202</v>
      </c>
      <c r="AK19" s="254">
        <v>14.181168529812499</v>
      </c>
      <c r="AL19" s="254">
        <v>8.6737194329163607</v>
      </c>
      <c r="AM19" s="254">
        <v>-5.9638281426701099</v>
      </c>
      <c r="AN19" s="254">
        <v>9.2540413335194192</v>
      </c>
      <c r="AO19" s="254">
        <v>3.52956546914981</v>
      </c>
      <c r="AP19" s="254">
        <v>5.6389246434550904</v>
      </c>
      <c r="AQ19" s="254">
        <v>-8.0200409874070804</v>
      </c>
      <c r="AR19" s="254">
        <v>-4.0485088556412698</v>
      </c>
      <c r="AS19" s="254">
        <v>19.758813946554699</v>
      </c>
      <c r="AT19" s="254">
        <v>14.1560060255763</v>
      </c>
      <c r="AU19" s="253">
        <v>8.1514102814524296</v>
      </c>
      <c r="AV19" s="253">
        <v>6.2819757544398103</v>
      </c>
      <c r="AW19" s="253">
        <v>6.7930884816994697</v>
      </c>
      <c r="AX19" s="253">
        <v>5.6457754468296502</v>
      </c>
      <c r="AY19" s="253">
        <v>5.2978144179450402</v>
      </c>
      <c r="AZ19" s="253">
        <v>5.4619418707484497</v>
      </c>
      <c r="BA19" s="253">
        <v>4.97262111222574</v>
      </c>
      <c r="BB19" s="253">
        <v>4.98515575817426</v>
      </c>
      <c r="BC19" s="202">
        <f t="shared" si="0"/>
        <v>-0.48932075852270973</v>
      </c>
      <c r="BD19" s="147"/>
      <c r="BE19" s="147"/>
      <c r="BF19" s="147"/>
      <c r="BG19" s="147"/>
      <c r="BH19" s="147"/>
      <c r="BI19" s="147"/>
      <c r="BJ19" s="147"/>
      <c r="BK19" s="147"/>
      <c r="BL19" s="147"/>
      <c r="BM19" s="147"/>
      <c r="BN19" s="147"/>
      <c r="BO19" s="147"/>
    </row>
    <row r="20" spans="1:67" ht="13" x14ac:dyDescent="0.6">
      <c r="A20" s="251" t="s">
        <v>965</v>
      </c>
      <c r="B20" s="251" t="s">
        <v>972</v>
      </c>
      <c r="C20" s="252" t="s">
        <v>406</v>
      </c>
      <c r="D20" s="253">
        <v>-1.7745437066863701</v>
      </c>
      <c r="E20" s="253">
        <v>-1.72403289787957</v>
      </c>
      <c r="F20" s="253">
        <v>2.58954641998108</v>
      </c>
      <c r="G20" s="253">
        <v>5.7923667883275902</v>
      </c>
      <c r="H20" s="253">
        <v>7.6483160782218201E-2</v>
      </c>
      <c r="I20" s="253">
        <v>3.2414491145515099</v>
      </c>
      <c r="J20" s="253">
        <v>2.7973947316759999</v>
      </c>
      <c r="K20" s="253">
        <v>5.5414012144802696</v>
      </c>
      <c r="L20" s="253">
        <v>-3.6179003739067501</v>
      </c>
      <c r="M20" s="253">
        <v>13.541449697176001</v>
      </c>
      <c r="N20" s="253">
        <v>-4.4953813030579903</v>
      </c>
      <c r="O20" s="253">
        <v>-8.1779813005176401</v>
      </c>
      <c r="P20" s="253">
        <v>-9.5969009626672896</v>
      </c>
      <c r="Q20" s="253">
        <v>-9.6298334110697308</v>
      </c>
      <c r="R20" s="253">
        <v>8.0464081895922401</v>
      </c>
      <c r="S20" s="253">
        <v>24.517201066803299</v>
      </c>
      <c r="T20" s="253">
        <v>5.4675171085773204</v>
      </c>
      <c r="U20" s="253">
        <v>-5.5660902145603304</v>
      </c>
      <c r="V20" s="253">
        <v>35.217160743582298</v>
      </c>
      <c r="W20" s="253">
        <v>31.239916996740099</v>
      </c>
      <c r="X20" s="254">
        <v>1.84142406334374</v>
      </c>
      <c r="Y20" s="254">
        <v>-8.7647611927842597</v>
      </c>
      <c r="Z20" s="254">
        <v>24.805093918125799</v>
      </c>
      <c r="AA20" s="254">
        <v>60.014342393934498</v>
      </c>
      <c r="AB20" s="254">
        <v>7.3024190192698697</v>
      </c>
      <c r="AC20" s="254">
        <v>5.23782912886871</v>
      </c>
      <c r="AD20" s="254">
        <v>2.06582215133486</v>
      </c>
      <c r="AE20" s="254">
        <v>38.910607726970703</v>
      </c>
      <c r="AF20" s="254">
        <v>11.6876871048991</v>
      </c>
      <c r="AG20" s="254">
        <v>-7.5430587804076898</v>
      </c>
      <c r="AH20" s="254">
        <v>28.675199043592301</v>
      </c>
      <c r="AI20" s="254">
        <v>3.6133704007554899</v>
      </c>
      <c r="AJ20" s="254">
        <v>-3.8899914144454399</v>
      </c>
      <c r="AK20" s="254">
        <v>14.268375586964099</v>
      </c>
      <c r="AL20" s="254">
        <v>8.4503635515825604</v>
      </c>
      <c r="AM20" s="254">
        <v>-9.1631920468117301</v>
      </c>
      <c r="AN20" s="254">
        <v>8.2726108116971009</v>
      </c>
      <c r="AO20" s="254">
        <v>6.0584651211309497</v>
      </c>
      <c r="AP20" s="254">
        <v>7.8702340799863704</v>
      </c>
      <c r="AQ20" s="254">
        <v>-9.3092503141090699</v>
      </c>
      <c r="AR20" s="254">
        <v>-6.3174301060740401</v>
      </c>
      <c r="AS20" s="254">
        <v>23.714440689916898</v>
      </c>
      <c r="AT20" s="254">
        <v>15.381165678396901</v>
      </c>
      <c r="AU20" s="253">
        <v>6.3523513750795404</v>
      </c>
      <c r="AV20" s="253">
        <v>-1.06954208067755</v>
      </c>
      <c r="AW20" s="253">
        <v>6.7687078383774697</v>
      </c>
      <c r="AX20" s="253">
        <v>5.8325345929024603</v>
      </c>
      <c r="AY20" s="253">
        <v>5.3400438556237901</v>
      </c>
      <c r="AZ20" s="253">
        <v>5.6148023036870001</v>
      </c>
      <c r="BA20" s="253">
        <v>5.2667128111827104</v>
      </c>
      <c r="BB20" s="253">
        <v>5.06255784581524</v>
      </c>
      <c r="BC20" s="202">
        <f t="shared" si="0"/>
        <v>-0.34808949250428967</v>
      </c>
      <c r="BD20" s="147"/>
      <c r="BE20" s="147"/>
      <c r="BF20" s="147"/>
      <c r="BG20" s="147"/>
      <c r="BH20" s="147"/>
      <c r="BI20" s="147"/>
      <c r="BJ20" s="147"/>
      <c r="BK20" s="147"/>
      <c r="BL20" s="147"/>
      <c r="BM20" s="147"/>
      <c r="BN20" s="147"/>
      <c r="BO20" s="147"/>
    </row>
    <row r="21" spans="1:67" ht="13" x14ac:dyDescent="0.6">
      <c r="A21" s="64"/>
      <c r="B21" s="64"/>
      <c r="C21" s="146"/>
      <c r="D21" s="177"/>
      <c r="E21" s="177"/>
      <c r="F21" s="177"/>
      <c r="G21" s="177"/>
      <c r="H21" s="177"/>
      <c r="I21" s="177"/>
      <c r="J21" s="177"/>
      <c r="K21" s="177"/>
      <c r="L21" s="177"/>
      <c r="M21" s="177"/>
      <c r="N21" s="177"/>
      <c r="O21" s="177"/>
      <c r="P21" s="177"/>
      <c r="Q21" s="177"/>
      <c r="R21" s="177"/>
      <c r="S21" s="177"/>
      <c r="T21" s="177"/>
      <c r="U21" s="177"/>
      <c r="V21" s="177"/>
      <c r="W21" s="177"/>
      <c r="X21" s="148"/>
      <c r="Y21" s="148"/>
      <c r="Z21" s="148"/>
      <c r="AA21" s="148"/>
      <c r="AB21" s="148"/>
      <c r="AC21" s="148"/>
      <c r="AD21" s="148"/>
      <c r="AE21" s="148"/>
      <c r="AF21" s="148"/>
      <c r="AG21" s="148"/>
      <c r="AH21" s="148"/>
      <c r="AI21" s="148"/>
      <c r="AJ21" s="148"/>
      <c r="AK21" s="148"/>
      <c r="AL21" s="148"/>
      <c r="AM21" s="148"/>
      <c r="AN21" s="148"/>
      <c r="AO21" s="148"/>
      <c r="AP21" s="148"/>
      <c r="AQ21" s="148"/>
      <c r="AR21" s="148"/>
      <c r="AS21" s="146"/>
      <c r="AT21" s="148"/>
      <c r="AU21" s="147"/>
      <c r="AV21" s="147"/>
      <c r="AW21" s="147"/>
      <c r="AX21" s="147"/>
      <c r="AY21" s="147"/>
      <c r="AZ21" s="147"/>
      <c r="BA21" s="147"/>
      <c r="BB21" s="147"/>
      <c r="BC21" s="147"/>
      <c r="BD21" s="147"/>
      <c r="BE21" s="147"/>
      <c r="BF21" s="147"/>
      <c r="BG21" s="147"/>
      <c r="BH21" s="147"/>
      <c r="BI21" s="147"/>
      <c r="BJ21" s="147"/>
      <c r="BK21" s="147"/>
      <c r="BL21" s="147"/>
      <c r="BM21" s="147"/>
      <c r="BN21" s="147"/>
      <c r="BO21" s="147"/>
    </row>
    <row r="22" spans="1:67" ht="13" x14ac:dyDescent="0.6">
      <c r="A22" s="64"/>
      <c r="B22" s="64"/>
      <c r="C22" s="146" t="s">
        <v>407</v>
      </c>
      <c r="D22" s="177"/>
      <c r="E22" s="177"/>
      <c r="F22" s="177"/>
      <c r="G22" s="177"/>
      <c r="H22" s="177"/>
      <c r="I22" s="177"/>
      <c r="J22" s="177"/>
      <c r="K22" s="177"/>
      <c r="L22" s="177"/>
      <c r="M22" s="177"/>
      <c r="N22" s="177"/>
      <c r="O22" s="177"/>
      <c r="P22" s="177"/>
      <c r="Q22" s="177"/>
      <c r="R22" s="177"/>
      <c r="S22" s="177"/>
      <c r="T22" s="177"/>
      <c r="U22" s="177"/>
      <c r="V22" s="177"/>
      <c r="W22" s="177"/>
      <c r="X22" s="278" t="s">
        <v>121</v>
      </c>
      <c r="Y22" s="278"/>
      <c r="Z22" s="278"/>
      <c r="AA22" s="278"/>
      <c r="AB22" s="278"/>
      <c r="AC22" s="278"/>
      <c r="AD22" s="278"/>
      <c r="AE22" s="278"/>
      <c r="AF22" s="278"/>
      <c r="AG22" s="278"/>
      <c r="AH22" s="278"/>
      <c r="AI22" s="278"/>
      <c r="AJ22" s="278"/>
      <c r="AK22" s="278"/>
      <c r="AL22" s="278"/>
      <c r="AM22" s="278"/>
      <c r="AN22" s="278"/>
      <c r="AO22" s="278"/>
      <c r="AP22" s="278"/>
      <c r="AQ22" s="278"/>
      <c r="AR22" s="278"/>
      <c r="AS22" s="278"/>
      <c r="AT22" s="278" t="s">
        <v>140</v>
      </c>
      <c r="AU22" s="278"/>
      <c r="AV22" s="278"/>
      <c r="AW22" s="278"/>
      <c r="AX22" s="278"/>
      <c r="AY22" s="278"/>
      <c r="AZ22" s="278"/>
      <c r="BA22" s="278"/>
      <c r="BB22" s="278"/>
      <c r="BC22" s="278"/>
      <c r="BD22" s="278"/>
      <c r="BE22" s="278"/>
      <c r="BF22" s="278"/>
      <c r="BG22" s="278"/>
      <c r="BH22" s="278"/>
      <c r="BI22" s="278"/>
      <c r="BJ22" s="278"/>
      <c r="BK22" s="278"/>
      <c r="BL22" s="278"/>
      <c r="BM22" s="278"/>
      <c r="BN22" s="278"/>
      <c r="BO22" s="278"/>
    </row>
    <row r="23" spans="1:67" ht="13" x14ac:dyDescent="0.6">
      <c r="A23" s="251" t="s">
        <v>965</v>
      </c>
      <c r="B23" s="251" t="s">
        <v>973</v>
      </c>
      <c r="C23" s="252" t="s">
        <v>404</v>
      </c>
      <c r="D23" s="253">
        <v>5.3554690903423001</v>
      </c>
      <c r="E23" s="253">
        <v>0.45857511228761</v>
      </c>
      <c r="F23" s="253">
        <v>-2.5457746466332898</v>
      </c>
      <c r="G23" s="253">
        <v>-3.1457388938750799</v>
      </c>
      <c r="H23" s="253">
        <v>3.9387982286005498</v>
      </c>
      <c r="I23" s="253">
        <v>3.0461778893729798</v>
      </c>
      <c r="J23" s="253">
        <v>4.3149585280995204</v>
      </c>
      <c r="K23" s="253">
        <v>26.850185672188001</v>
      </c>
      <c r="L23" s="253">
        <v>14.820568455734699</v>
      </c>
      <c r="M23" s="253">
        <v>6.8172879038314802</v>
      </c>
      <c r="N23" s="253">
        <v>12.1561802260511</v>
      </c>
      <c r="O23" s="253">
        <v>5.1967381750142003</v>
      </c>
      <c r="P23" s="253">
        <v>7.5519799198743396</v>
      </c>
      <c r="Q23" s="253">
        <v>6.11643568833769</v>
      </c>
      <c r="R23" s="253">
        <v>10.720454576529701</v>
      </c>
      <c r="S23" s="253">
        <v>14.475336915182201</v>
      </c>
      <c r="T23" s="253">
        <v>8.7803477314526504</v>
      </c>
      <c r="U23" s="253">
        <v>6.14022750512801</v>
      </c>
      <c r="V23" s="253">
        <v>3.3731468329861398</v>
      </c>
      <c r="W23" s="253">
        <v>0.46109027939833203</v>
      </c>
      <c r="X23" s="254">
        <v>15.0893744812858</v>
      </c>
      <c r="Y23" s="254">
        <v>7.9726582613367203</v>
      </c>
      <c r="Z23" s="254">
        <v>12.299087743812001</v>
      </c>
      <c r="AA23" s="254">
        <v>13.3867949981382</v>
      </c>
      <c r="AB23" s="254">
        <v>16.663965993272502</v>
      </c>
      <c r="AC23" s="254">
        <v>11.684983930287199</v>
      </c>
      <c r="AD23" s="254">
        <v>8.6997792476653597</v>
      </c>
      <c r="AE23" s="254">
        <v>11.1054658435969</v>
      </c>
      <c r="AF23" s="254">
        <v>4.8449056872313001</v>
      </c>
      <c r="AG23" s="254">
        <v>-7.4049928006078103</v>
      </c>
      <c r="AH23" s="254">
        <v>10.762179882206301</v>
      </c>
      <c r="AI23" s="254">
        <v>8.2323752675466704</v>
      </c>
      <c r="AJ23" s="254">
        <v>5.3792926202160203</v>
      </c>
      <c r="AK23" s="254">
        <v>4.5499676545460304</v>
      </c>
      <c r="AL23" s="254">
        <v>4.4998529807130696</v>
      </c>
      <c r="AM23" s="254">
        <v>2.9991671163684601</v>
      </c>
      <c r="AN23" s="254">
        <v>1.7563005980122699</v>
      </c>
      <c r="AO23" s="254">
        <v>2.6480045615132202</v>
      </c>
      <c r="AP23" s="254">
        <v>5.5449394522500102</v>
      </c>
      <c r="AQ23" s="254">
        <v>2.9839878573681</v>
      </c>
      <c r="AR23" s="254">
        <v>-6.54628249007237</v>
      </c>
      <c r="AS23" s="254">
        <v>9.8771116536228298</v>
      </c>
      <c r="AT23" s="254">
        <v>5.3627525636990301</v>
      </c>
      <c r="AU23" s="253">
        <v>4.0568340239476504</v>
      </c>
      <c r="AV23" s="253">
        <v>6.49218174739761</v>
      </c>
      <c r="AW23" s="253">
        <v>6.0252369350245099</v>
      </c>
      <c r="AX23" s="253">
        <v>4.5019135368273702</v>
      </c>
      <c r="AY23" s="253">
        <v>4.3701415051178802</v>
      </c>
      <c r="AZ23" s="253">
        <v>4.5688752839260998</v>
      </c>
      <c r="BA23" s="253">
        <v>3.86176832831163</v>
      </c>
      <c r="BB23" s="253">
        <v>4.0541266223644898</v>
      </c>
      <c r="BC23" s="202">
        <f t="shared" ref="BC23:BC25" si="1">BA23-AZ23</f>
        <v>-0.70710695561446979</v>
      </c>
      <c r="BD23" s="147"/>
      <c r="BE23" s="147"/>
      <c r="BF23" s="147"/>
      <c r="BG23" s="147"/>
      <c r="BH23" s="147"/>
      <c r="BI23" s="147"/>
      <c r="BJ23" s="147"/>
      <c r="BK23" s="147"/>
      <c r="BL23" s="147"/>
      <c r="BM23" s="147"/>
      <c r="BN23" s="147"/>
      <c r="BO23" s="147"/>
    </row>
    <row r="24" spans="1:67" ht="13" x14ac:dyDescent="0.6">
      <c r="A24" s="251" t="s">
        <v>965</v>
      </c>
      <c r="B24" s="251" t="s">
        <v>974</v>
      </c>
      <c r="C24" s="252" t="s">
        <v>405</v>
      </c>
      <c r="D24" s="253">
        <v>4.67991041721712</v>
      </c>
      <c r="E24" s="253">
        <v>4.7279080361002297</v>
      </c>
      <c r="F24" s="253">
        <v>1.25455043566348</v>
      </c>
      <c r="G24" s="253">
        <v>-0.82628503165751899</v>
      </c>
      <c r="H24" s="253">
        <v>5.0538516757881196</v>
      </c>
      <c r="I24" s="253">
        <v>0.790235992220085</v>
      </c>
      <c r="J24" s="253">
        <v>4.4206196586429902</v>
      </c>
      <c r="K24" s="253">
        <v>6.0278264635967798</v>
      </c>
      <c r="L24" s="253">
        <v>7.5684234817932499</v>
      </c>
      <c r="M24" s="253">
        <v>7.55537933106684</v>
      </c>
      <c r="N24" s="253">
        <v>12.2283570623923</v>
      </c>
      <c r="O24" s="253">
        <v>5.6352150053742998</v>
      </c>
      <c r="P24" s="253">
        <v>7.2183833509583302</v>
      </c>
      <c r="Q24" s="253">
        <v>5.7186442104610897</v>
      </c>
      <c r="R24" s="253">
        <v>11.0681747246</v>
      </c>
      <c r="S24" s="253">
        <v>13.9350058285451</v>
      </c>
      <c r="T24" s="253">
        <v>9.4958923845685899</v>
      </c>
      <c r="U24" s="253">
        <v>5.8715932178936496</v>
      </c>
      <c r="V24" s="253">
        <v>4.8581024113525002</v>
      </c>
      <c r="W24" s="253">
        <v>1.2631615987951701</v>
      </c>
      <c r="X24" s="254">
        <v>16.260430193500898</v>
      </c>
      <c r="Y24" s="254">
        <v>8.1758175183712396</v>
      </c>
      <c r="Z24" s="254">
        <v>13.317146857779999</v>
      </c>
      <c r="AA24" s="254">
        <v>13.7640003250095</v>
      </c>
      <c r="AB24" s="254">
        <v>14.4436817881853</v>
      </c>
      <c r="AC24" s="254">
        <v>11.258752787699599</v>
      </c>
      <c r="AD24" s="254">
        <v>7.8199834592908699</v>
      </c>
      <c r="AE24" s="254">
        <v>10.947675862491</v>
      </c>
      <c r="AF24" s="254">
        <v>4.4589133421624396</v>
      </c>
      <c r="AG24" s="254">
        <v>-7.6498483082058701</v>
      </c>
      <c r="AH24" s="254">
        <v>10.3652776193293</v>
      </c>
      <c r="AI24" s="254">
        <v>8.0315237427596298</v>
      </c>
      <c r="AJ24" s="254">
        <v>5.1977509701209703</v>
      </c>
      <c r="AK24" s="254">
        <v>4.8870238590583597</v>
      </c>
      <c r="AL24" s="254">
        <v>3.4622803720918598</v>
      </c>
      <c r="AM24" s="254">
        <v>2.4668054632978</v>
      </c>
      <c r="AN24" s="254">
        <v>2.41209094258853</v>
      </c>
      <c r="AO24" s="254">
        <v>2.61058422947487</v>
      </c>
      <c r="AP24" s="254">
        <v>4.5000823723075998</v>
      </c>
      <c r="AQ24" s="254">
        <v>3.4504595323811</v>
      </c>
      <c r="AR24" s="254">
        <v>-2.99997761769967</v>
      </c>
      <c r="AS24" s="254">
        <v>9.0772064179734198</v>
      </c>
      <c r="AT24" s="254">
        <v>1.8943805765569599</v>
      </c>
      <c r="AU24" s="253">
        <v>4.2316155918343696</v>
      </c>
      <c r="AV24" s="253">
        <v>6.22388062064738</v>
      </c>
      <c r="AW24" s="253">
        <v>6.2446899372115903</v>
      </c>
      <c r="AX24" s="253">
        <v>4.4917086234558301</v>
      </c>
      <c r="AY24" s="253">
        <v>4.3539346303048996</v>
      </c>
      <c r="AZ24" s="253">
        <v>4.5187924197513398</v>
      </c>
      <c r="BA24" s="253">
        <v>3.75873652923261</v>
      </c>
      <c r="BB24" s="253">
        <v>4.0205785868813297</v>
      </c>
      <c r="BC24" s="202">
        <f t="shared" si="1"/>
        <v>-0.76005589051872979</v>
      </c>
      <c r="BD24" s="147"/>
      <c r="BE24" s="147"/>
      <c r="BF24" s="147"/>
      <c r="BG24" s="147"/>
      <c r="BH24" s="147"/>
      <c r="BI24" s="147"/>
      <c r="BJ24" s="147"/>
      <c r="BK24" s="147"/>
      <c r="BL24" s="147"/>
      <c r="BM24" s="147"/>
      <c r="BN24" s="147"/>
      <c r="BO24" s="147"/>
    </row>
    <row r="25" spans="1:67" ht="13" x14ac:dyDescent="0.6">
      <c r="A25" s="251" t="s">
        <v>965</v>
      </c>
      <c r="B25" s="251" t="s">
        <v>975</v>
      </c>
      <c r="C25" s="252" t="s">
        <v>406</v>
      </c>
      <c r="D25" s="253">
        <v>54.584644002570798</v>
      </c>
      <c r="E25" s="253">
        <v>-0.78488192463232298</v>
      </c>
      <c r="F25" s="253">
        <v>-1.4884234160149901</v>
      </c>
      <c r="G25" s="253">
        <v>3.75231457390076</v>
      </c>
      <c r="H25" s="253">
        <v>-28.8498757578481</v>
      </c>
      <c r="I25" s="253">
        <v>7.6247064410849497</v>
      </c>
      <c r="J25" s="253">
        <v>-3.27401330540108</v>
      </c>
      <c r="K25" s="253">
        <v>18.206334062789399</v>
      </c>
      <c r="L25" s="253">
        <v>2.4504820664875799</v>
      </c>
      <c r="M25" s="253">
        <v>11.1759330187597</v>
      </c>
      <c r="N25" s="253">
        <v>13.7768762330063</v>
      </c>
      <c r="O25" s="253">
        <v>6.3171150078929896</v>
      </c>
      <c r="P25" s="253">
        <v>6.3915836819634899</v>
      </c>
      <c r="Q25" s="253">
        <v>13.003581553207299</v>
      </c>
      <c r="R25" s="253">
        <v>14.494849627133499</v>
      </c>
      <c r="S25" s="253">
        <v>17.618187480657699</v>
      </c>
      <c r="T25" s="253">
        <v>9.74823016985113</v>
      </c>
      <c r="U25" s="253">
        <v>8.3231748772622201</v>
      </c>
      <c r="V25" s="253">
        <v>5.95964398771926</v>
      </c>
      <c r="W25" s="253">
        <v>1.3650796915516401</v>
      </c>
      <c r="X25" s="254">
        <v>15.5987929453656</v>
      </c>
      <c r="Y25" s="254">
        <v>9.7274170317464304</v>
      </c>
      <c r="Z25" s="254">
        <v>16.157800437499201</v>
      </c>
      <c r="AA25" s="254">
        <v>14.2048599702619</v>
      </c>
      <c r="AB25" s="254">
        <v>16.278952059160702</v>
      </c>
      <c r="AC25" s="254">
        <v>11.5751147361521</v>
      </c>
      <c r="AD25" s="254">
        <v>8.5766820837380795</v>
      </c>
      <c r="AE25" s="254">
        <v>13.2075124428353</v>
      </c>
      <c r="AF25" s="254">
        <v>4.5077589459274501</v>
      </c>
      <c r="AG25" s="254">
        <v>-6.7789874198133599</v>
      </c>
      <c r="AH25" s="254">
        <v>11.6477516741441</v>
      </c>
      <c r="AI25" s="254">
        <v>7.9889016670101798</v>
      </c>
      <c r="AJ25" s="254">
        <v>6.0151231956011397</v>
      </c>
      <c r="AK25" s="254">
        <v>5.2395480038332698</v>
      </c>
      <c r="AL25" s="254">
        <v>4.6066735140758199</v>
      </c>
      <c r="AM25" s="254">
        <v>2.6500597569636302</v>
      </c>
      <c r="AN25" s="254">
        <v>2.4015298112130301</v>
      </c>
      <c r="AO25" s="254">
        <v>2.9028659928081599</v>
      </c>
      <c r="AP25" s="254">
        <v>5.0036110212686404</v>
      </c>
      <c r="AQ25" s="254">
        <v>3.8256600801070402</v>
      </c>
      <c r="AR25" s="254">
        <v>-2.8959371952225901</v>
      </c>
      <c r="AS25" s="254">
        <v>10.670446494361901</v>
      </c>
      <c r="AT25" s="254">
        <v>1.52144300774649</v>
      </c>
      <c r="AU25" s="253">
        <v>3.4491809713864301</v>
      </c>
      <c r="AV25" s="253">
        <v>7.9772864062320297</v>
      </c>
      <c r="AW25" s="253">
        <v>7.3177619449619096</v>
      </c>
      <c r="AX25" s="253">
        <v>4.1832614131246704</v>
      </c>
      <c r="AY25" s="253">
        <v>4.0395710442139396</v>
      </c>
      <c r="AZ25" s="253">
        <v>4.7872516177269997</v>
      </c>
      <c r="BA25" s="253">
        <v>4.01418178772047</v>
      </c>
      <c r="BB25" s="253">
        <v>4.3131672283365399</v>
      </c>
      <c r="BC25" s="202">
        <f t="shared" si="1"/>
        <v>-0.77306983000652973</v>
      </c>
      <c r="BD25" s="147"/>
      <c r="BE25" s="147"/>
      <c r="BF25" s="147"/>
      <c r="BG25" s="147"/>
      <c r="BH25" s="147"/>
      <c r="BI25" s="147"/>
      <c r="BJ25" s="147"/>
      <c r="BK25" s="147"/>
      <c r="BL25" s="147"/>
      <c r="BM25" s="147"/>
      <c r="BN25" s="147"/>
      <c r="BO25" s="147"/>
    </row>
    <row r="26" spans="1:67" ht="13" x14ac:dyDescent="0.6">
      <c r="A26" s="64"/>
      <c r="B26" s="64"/>
      <c r="C26" s="146"/>
      <c r="D26" s="177"/>
      <c r="E26" s="177"/>
      <c r="F26" s="177"/>
      <c r="G26" s="177"/>
      <c r="H26" s="177"/>
      <c r="I26" s="177"/>
      <c r="J26" s="177"/>
      <c r="K26" s="177"/>
      <c r="L26" s="177"/>
      <c r="M26" s="177"/>
      <c r="N26" s="177"/>
      <c r="O26" s="177"/>
      <c r="P26" s="177"/>
      <c r="Q26" s="177"/>
      <c r="R26" s="177"/>
      <c r="S26" s="177"/>
      <c r="T26" s="177"/>
      <c r="U26" s="177"/>
      <c r="V26" s="177"/>
      <c r="W26" s="177"/>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8"/>
      <c r="AU26" s="147"/>
      <c r="AV26" s="147"/>
      <c r="AW26" s="147"/>
      <c r="AX26" s="147"/>
      <c r="AY26" s="147"/>
      <c r="AZ26" s="147"/>
      <c r="BA26" s="147"/>
      <c r="BB26" s="147"/>
      <c r="BC26" s="147"/>
      <c r="BD26" s="147"/>
      <c r="BE26" s="147"/>
      <c r="BF26" s="147"/>
      <c r="BG26" s="147"/>
      <c r="BH26" s="147"/>
      <c r="BI26" s="147"/>
      <c r="BJ26" s="147"/>
      <c r="BK26" s="147"/>
      <c r="BL26" s="147"/>
      <c r="BM26" s="147"/>
      <c r="BN26" s="147"/>
      <c r="BO26" s="147"/>
    </row>
    <row r="27" spans="1:67" ht="14.5" x14ac:dyDescent="0.6">
      <c r="A27" s="64"/>
      <c r="B27" s="64"/>
      <c r="C27" s="149" t="s">
        <v>445</v>
      </c>
      <c r="D27" s="179"/>
      <c r="E27" s="179"/>
      <c r="F27" s="179"/>
      <c r="G27" s="179"/>
      <c r="H27" s="179"/>
      <c r="I27" s="179"/>
      <c r="J27" s="179"/>
      <c r="K27" s="179"/>
      <c r="L27" s="179"/>
      <c r="M27" s="179"/>
      <c r="N27" s="179"/>
      <c r="O27" s="179"/>
      <c r="P27" s="179"/>
      <c r="Q27" s="179"/>
      <c r="R27" s="179"/>
      <c r="S27" s="179"/>
      <c r="T27" s="179"/>
      <c r="U27" s="179"/>
      <c r="V27" s="179"/>
      <c r="W27" s="179"/>
      <c r="X27" s="146"/>
      <c r="Y27" s="146"/>
      <c r="Z27" s="146"/>
      <c r="AA27" s="146"/>
      <c r="AB27" s="146"/>
      <c r="AC27" s="146"/>
      <c r="AD27" s="146"/>
      <c r="AE27" s="146"/>
      <c r="AF27" s="146"/>
      <c r="AG27" s="146"/>
      <c r="AH27" s="146"/>
      <c r="AI27" s="146"/>
      <c r="AJ27" s="146"/>
      <c r="AK27" s="146"/>
      <c r="AL27" s="146"/>
      <c r="AM27" s="146"/>
      <c r="AN27" s="146"/>
      <c r="AO27" s="146"/>
      <c r="AP27" s="146"/>
      <c r="AQ27" s="146"/>
      <c r="AR27" s="146"/>
      <c r="AS27" s="146"/>
      <c r="AT27" s="148"/>
      <c r="AU27" s="147"/>
      <c r="AV27" s="147"/>
      <c r="AW27" s="147"/>
      <c r="AX27" s="147"/>
      <c r="AY27" s="147"/>
      <c r="AZ27" s="147"/>
      <c r="BA27" s="147"/>
      <c r="BB27" s="147"/>
      <c r="BC27" s="147"/>
      <c r="BD27" s="147"/>
      <c r="BE27" s="147"/>
      <c r="BF27" s="147"/>
      <c r="BG27" s="147"/>
      <c r="BH27" s="147"/>
      <c r="BI27" s="147"/>
      <c r="BJ27" s="147"/>
      <c r="BK27" s="147"/>
      <c r="BL27" s="147"/>
      <c r="BM27" s="147"/>
      <c r="BN27" s="147"/>
      <c r="BO27" s="147"/>
    </row>
    <row r="28" spans="1:67" ht="13" x14ac:dyDescent="0.6">
      <c r="A28" s="64"/>
      <c r="B28" s="64"/>
      <c r="C28" s="146"/>
      <c r="D28" s="177"/>
      <c r="E28" s="177"/>
      <c r="F28" s="177"/>
      <c r="G28" s="177"/>
      <c r="H28" s="177"/>
      <c r="I28" s="177"/>
      <c r="J28" s="177"/>
      <c r="K28" s="177"/>
      <c r="L28" s="177"/>
      <c r="M28" s="177"/>
      <c r="N28" s="177"/>
      <c r="O28" s="177"/>
      <c r="P28" s="177"/>
      <c r="Q28" s="177"/>
      <c r="R28" s="177"/>
      <c r="S28" s="177"/>
      <c r="T28" s="177"/>
      <c r="U28" s="177"/>
      <c r="V28" s="177"/>
      <c r="W28" s="177"/>
      <c r="X28" s="146"/>
      <c r="Y28" s="146"/>
      <c r="Z28" s="146"/>
      <c r="AA28" s="146"/>
      <c r="AB28" s="146"/>
      <c r="AC28" s="146"/>
      <c r="AD28" s="146"/>
      <c r="AE28" s="146"/>
      <c r="AF28" s="146"/>
      <c r="AG28" s="146"/>
      <c r="AH28" s="146"/>
      <c r="AI28" s="146"/>
      <c r="AJ28" s="146"/>
      <c r="AK28" s="146"/>
      <c r="AL28" s="146"/>
      <c r="AM28" s="146"/>
      <c r="AN28" s="146"/>
      <c r="AO28" s="146"/>
      <c r="AP28" s="146"/>
      <c r="AQ28" s="146"/>
      <c r="AR28" s="146"/>
      <c r="AS28" s="146"/>
      <c r="AT28" s="148"/>
      <c r="AU28" s="147"/>
      <c r="AV28" s="147"/>
      <c r="AW28" s="147"/>
      <c r="AX28" s="147"/>
      <c r="AY28" s="147"/>
      <c r="AZ28" s="147"/>
      <c r="BA28" s="147"/>
      <c r="BB28" s="147"/>
      <c r="BC28" s="147"/>
      <c r="BD28" s="147"/>
      <c r="BE28" s="147"/>
      <c r="BF28" s="147"/>
      <c r="BG28" s="147"/>
      <c r="BH28" s="147"/>
      <c r="BI28" s="147"/>
      <c r="BJ28" s="147"/>
      <c r="BK28" s="147"/>
      <c r="BL28" s="147"/>
      <c r="BM28" s="147"/>
      <c r="BN28" s="147"/>
      <c r="BO28" s="147"/>
    </row>
    <row r="29" spans="1:67" ht="13" x14ac:dyDescent="0.6">
      <c r="A29" s="64"/>
      <c r="B29" s="64"/>
      <c r="C29" s="79" t="s">
        <v>399</v>
      </c>
      <c r="D29" s="178"/>
      <c r="E29" s="178"/>
      <c r="F29" s="178"/>
      <c r="G29" s="178"/>
      <c r="H29" s="178"/>
      <c r="I29" s="178"/>
      <c r="J29" s="178"/>
      <c r="K29" s="178"/>
      <c r="L29" s="178"/>
      <c r="M29" s="178"/>
      <c r="N29" s="178"/>
      <c r="O29" s="178"/>
      <c r="P29" s="178"/>
      <c r="Q29" s="178"/>
      <c r="R29" s="178"/>
      <c r="S29" s="178"/>
      <c r="T29" s="178"/>
      <c r="U29" s="178"/>
      <c r="V29" s="178"/>
      <c r="W29" s="178"/>
      <c r="X29" s="278" t="s">
        <v>121</v>
      </c>
      <c r="Y29" s="278"/>
      <c r="Z29" s="278"/>
      <c r="AA29" s="278"/>
      <c r="AB29" s="278"/>
      <c r="AC29" s="278"/>
      <c r="AD29" s="278"/>
      <c r="AE29" s="278"/>
      <c r="AF29" s="278"/>
      <c r="AG29" s="278"/>
      <c r="AH29" s="278"/>
      <c r="AI29" s="278"/>
      <c r="AJ29" s="278"/>
      <c r="AK29" s="278"/>
      <c r="AL29" s="278"/>
      <c r="AM29" s="278"/>
      <c r="AN29" s="278"/>
      <c r="AO29" s="278"/>
      <c r="AP29" s="278"/>
      <c r="AQ29" s="278"/>
      <c r="AR29" s="278"/>
      <c r="AS29" s="278"/>
      <c r="AT29" s="278" t="s">
        <v>140</v>
      </c>
      <c r="AU29" s="278"/>
      <c r="AV29" s="278"/>
      <c r="AW29" s="278"/>
      <c r="AX29" s="278"/>
      <c r="AY29" s="278"/>
      <c r="AZ29" s="278"/>
      <c r="BA29" s="278"/>
      <c r="BB29" s="278"/>
      <c r="BC29" s="278"/>
      <c r="BD29" s="278"/>
      <c r="BE29" s="278"/>
      <c r="BF29" s="278"/>
      <c r="BG29" s="278"/>
      <c r="BH29" s="278"/>
      <c r="BI29" s="278"/>
      <c r="BJ29" s="278"/>
      <c r="BK29" s="278"/>
      <c r="BL29" s="278"/>
      <c r="BM29" s="278"/>
      <c r="BN29" s="278"/>
      <c r="BO29" s="278"/>
    </row>
    <row r="30" spans="1:67" ht="13" x14ac:dyDescent="0.6">
      <c r="A30" s="64"/>
      <c r="B30" s="64"/>
      <c r="C30" s="146"/>
      <c r="D30" s="177"/>
      <c r="E30" s="177"/>
      <c r="F30" s="177"/>
      <c r="G30" s="177"/>
      <c r="H30" s="177"/>
      <c r="I30" s="177"/>
      <c r="J30" s="177"/>
      <c r="K30" s="177"/>
      <c r="L30" s="177"/>
      <c r="M30" s="177"/>
      <c r="N30" s="177"/>
      <c r="O30" s="177"/>
      <c r="P30" s="177"/>
      <c r="Q30" s="177"/>
      <c r="R30" s="177"/>
      <c r="S30" s="177"/>
      <c r="T30" s="177"/>
      <c r="U30" s="177"/>
      <c r="V30" s="177"/>
      <c r="W30" s="177"/>
      <c r="X30" s="146"/>
      <c r="Y30" s="146"/>
      <c r="Z30" s="146"/>
      <c r="AA30" s="146"/>
      <c r="AB30" s="146"/>
      <c r="AC30" s="146"/>
      <c r="AD30" s="146"/>
      <c r="AE30" s="146"/>
      <c r="AF30" s="146"/>
      <c r="AG30" s="146"/>
      <c r="AH30" s="146"/>
      <c r="AI30" s="146"/>
      <c r="AJ30" s="146"/>
      <c r="AK30" s="146"/>
      <c r="AL30" s="146"/>
      <c r="AM30" s="146"/>
      <c r="AN30" s="146"/>
      <c r="AO30" s="146"/>
      <c r="AP30" s="146"/>
      <c r="AQ30" s="146"/>
      <c r="AR30" s="146"/>
      <c r="AS30" s="146"/>
      <c r="AT30" s="148"/>
      <c r="AU30" s="147"/>
      <c r="AV30" s="147"/>
      <c r="AW30" s="147"/>
      <c r="AX30" s="147"/>
      <c r="AY30" s="147"/>
      <c r="AZ30" s="147"/>
      <c r="BA30" s="147"/>
      <c r="BB30" s="147"/>
      <c r="BC30" s="147"/>
      <c r="BD30" s="147"/>
      <c r="BE30" s="147"/>
      <c r="BF30" s="147"/>
      <c r="BG30" s="147"/>
      <c r="BH30" s="147"/>
      <c r="BI30" s="147"/>
      <c r="BJ30" s="147"/>
      <c r="BK30" s="147"/>
      <c r="BL30" s="147"/>
      <c r="BM30" s="147"/>
      <c r="BN30" s="147"/>
      <c r="BO30" s="147"/>
    </row>
    <row r="31" spans="1:67" ht="13" x14ac:dyDescent="0.6">
      <c r="A31" s="64"/>
      <c r="B31" s="64"/>
      <c r="C31" s="146" t="s">
        <v>409</v>
      </c>
      <c r="D31" s="177"/>
      <c r="E31" s="177"/>
      <c r="F31" s="177"/>
      <c r="G31" s="177"/>
      <c r="H31" s="177"/>
      <c r="I31" s="177"/>
      <c r="J31" s="177"/>
      <c r="K31" s="177"/>
      <c r="L31" s="177"/>
      <c r="M31" s="177"/>
      <c r="N31" s="177"/>
      <c r="O31" s="177"/>
      <c r="P31" s="177"/>
      <c r="Q31" s="177"/>
      <c r="R31" s="177"/>
      <c r="S31" s="177"/>
      <c r="T31" s="177"/>
      <c r="U31" s="177"/>
      <c r="V31" s="177"/>
      <c r="W31" s="177"/>
      <c r="X31" s="146"/>
      <c r="Y31" s="146"/>
      <c r="Z31" s="146"/>
      <c r="AA31" s="146"/>
      <c r="AB31" s="146"/>
      <c r="AC31" s="146"/>
      <c r="AD31" s="146"/>
      <c r="AE31" s="146"/>
      <c r="AF31" s="146"/>
      <c r="AG31" s="146"/>
      <c r="AH31" s="146"/>
      <c r="AI31" s="146"/>
      <c r="AJ31" s="146"/>
      <c r="AK31" s="146"/>
      <c r="AL31" s="146"/>
      <c r="AM31" s="146"/>
      <c r="AN31" s="146"/>
      <c r="AO31" s="146"/>
      <c r="AP31" s="146"/>
      <c r="AQ31" s="146"/>
      <c r="AR31" s="146"/>
      <c r="AS31" s="146"/>
      <c r="AT31" s="148"/>
      <c r="AU31" s="147"/>
      <c r="AV31" s="147"/>
      <c r="AW31" s="147"/>
      <c r="AX31" s="147"/>
      <c r="AY31" s="147"/>
      <c r="AZ31" s="147"/>
      <c r="BA31" s="147"/>
      <c r="BB31" s="147"/>
      <c r="BC31" s="147"/>
      <c r="BD31" s="147"/>
      <c r="BE31" s="147"/>
      <c r="BF31" s="147"/>
      <c r="BG31" s="147"/>
      <c r="BH31" s="147"/>
      <c r="BI31" s="147"/>
      <c r="BJ31" s="147"/>
      <c r="BK31" s="147"/>
      <c r="BL31" s="147"/>
      <c r="BM31" s="147"/>
      <c r="BN31" s="147"/>
      <c r="BO31" s="147"/>
    </row>
    <row r="32" spans="1:67" ht="13" x14ac:dyDescent="0.6">
      <c r="A32" s="251" t="s">
        <v>965</v>
      </c>
      <c r="B32" s="251" t="s">
        <v>976</v>
      </c>
      <c r="C32" s="252" t="s">
        <v>410</v>
      </c>
      <c r="D32" s="253">
        <v>14.342426013756899</v>
      </c>
      <c r="E32" s="253">
        <v>11.3327012660238</v>
      </c>
      <c r="F32" s="253">
        <v>9.5639685835843498</v>
      </c>
      <c r="G32" s="253">
        <v>8.2557037198935408</v>
      </c>
      <c r="H32" s="253">
        <v>11.346925969699299</v>
      </c>
      <c r="I32" s="253">
        <v>8.3641227416248292</v>
      </c>
      <c r="J32" s="253">
        <v>4.7820851720375197</v>
      </c>
      <c r="K32" s="253">
        <v>3.5510056288966898</v>
      </c>
      <c r="L32" s="253">
        <v>4.6180729466877599</v>
      </c>
      <c r="M32" s="253">
        <v>5.0550313385088197</v>
      </c>
      <c r="N32" s="253">
        <v>5.5425174361718899</v>
      </c>
      <c r="O32" s="253">
        <v>7.5927156897565604</v>
      </c>
      <c r="P32" s="253">
        <v>4.53509163169005</v>
      </c>
      <c r="Q32" s="253">
        <v>4.4736375399409303</v>
      </c>
      <c r="R32" s="253">
        <v>3.8869528678856202</v>
      </c>
      <c r="S32" s="253">
        <v>3.7487576017553299</v>
      </c>
      <c r="T32" s="253">
        <v>2.3227910257463602</v>
      </c>
      <c r="U32" s="253">
        <v>3.6945233737848602</v>
      </c>
      <c r="V32" s="253">
        <v>1.99035873723141</v>
      </c>
      <c r="W32" s="253">
        <v>0.25777394007239102</v>
      </c>
      <c r="X32" s="254">
        <v>1.28991513852725</v>
      </c>
      <c r="Y32" s="254">
        <v>1.9974303689783199</v>
      </c>
      <c r="Z32" s="254">
        <v>1.65776914358414</v>
      </c>
      <c r="AA32" s="254">
        <v>1.45301143012322</v>
      </c>
      <c r="AB32" s="254">
        <v>1.72498859927751</v>
      </c>
      <c r="AC32" s="254">
        <v>1.46223178152314</v>
      </c>
      <c r="AD32" s="254">
        <v>1.3369896869265201</v>
      </c>
      <c r="AE32" s="254">
        <v>2.3780409423893998</v>
      </c>
      <c r="AF32" s="254">
        <v>1.9339931882899699</v>
      </c>
      <c r="AG32" s="254">
        <v>1.3619035788709399</v>
      </c>
      <c r="AH32" s="254">
        <v>1.0390305282380199</v>
      </c>
      <c r="AI32" s="254">
        <v>1.2970340093792101</v>
      </c>
      <c r="AJ32" s="254">
        <v>1.3437715166444499</v>
      </c>
      <c r="AK32" s="254">
        <v>1.23352892526316</v>
      </c>
      <c r="AL32" s="254">
        <v>1.1781353817832401</v>
      </c>
      <c r="AM32" s="254">
        <v>1.7249620752541099</v>
      </c>
      <c r="AN32" s="254">
        <v>1.13320212380811</v>
      </c>
      <c r="AO32" s="254">
        <v>1.44758340763588</v>
      </c>
      <c r="AP32" s="254">
        <v>1.5262915688022201</v>
      </c>
      <c r="AQ32" s="254">
        <v>1.2127928282086</v>
      </c>
      <c r="AR32" s="254">
        <v>1.4991581474709601</v>
      </c>
      <c r="AS32" s="254">
        <v>2.8111125847564402</v>
      </c>
      <c r="AT32" s="254">
        <v>5.1320797726181198</v>
      </c>
      <c r="AU32" s="253">
        <v>3.9833792297733299</v>
      </c>
      <c r="AV32" s="253">
        <v>3.0509587495808401</v>
      </c>
      <c r="AW32" s="253">
        <v>2.27399713253216</v>
      </c>
      <c r="AX32" s="253">
        <v>1.99086732315119</v>
      </c>
      <c r="AY32" s="253">
        <v>1.9675927375765101</v>
      </c>
      <c r="AZ32" s="253">
        <v>1.9767277283732601</v>
      </c>
      <c r="BA32" s="253">
        <v>1.9852238471044501</v>
      </c>
      <c r="BB32" s="253">
        <v>1.9886910320504401</v>
      </c>
      <c r="BC32" s="203">
        <f t="shared" ref="BC32:BC44" si="2">BA32-AZ32</f>
        <v>8.4961187311900499E-3</v>
      </c>
      <c r="BD32" s="152"/>
      <c r="BE32" s="152"/>
      <c r="BF32" s="152"/>
      <c r="BG32" s="152"/>
      <c r="BH32" s="152"/>
      <c r="BI32" s="152"/>
      <c r="BJ32" s="152"/>
      <c r="BK32" s="152"/>
      <c r="BL32" s="152"/>
      <c r="BM32" s="152"/>
      <c r="BN32" s="152"/>
      <c r="BO32" s="152"/>
    </row>
    <row r="33" spans="1:67" ht="13" x14ac:dyDescent="0.6">
      <c r="A33" s="251" t="s">
        <v>965</v>
      </c>
      <c r="B33" s="251" t="s">
        <v>977</v>
      </c>
      <c r="C33" s="252" t="s">
        <v>411</v>
      </c>
      <c r="D33" s="253">
        <v>7.9744923705703901</v>
      </c>
      <c r="E33" s="253">
        <v>-5.05574597497524</v>
      </c>
      <c r="F33" s="253">
        <v>-2.9202772478308598</v>
      </c>
      <c r="G33" s="253">
        <v>-1.7842720488018999</v>
      </c>
      <c r="H33" s="253">
        <v>-3.30999279797155</v>
      </c>
      <c r="I33" s="253">
        <v>-0.26527565244952001</v>
      </c>
      <c r="J33" s="253">
        <v>25.154917227587202</v>
      </c>
      <c r="K33" s="253">
        <v>16.632923105994301</v>
      </c>
      <c r="L33" s="253">
        <v>9.8874085429026106</v>
      </c>
      <c r="M33" s="253">
        <v>2.0269278536737501</v>
      </c>
      <c r="N33" s="253">
        <v>13.587785830579399</v>
      </c>
      <c r="O33" s="253">
        <v>5.2541472057721101</v>
      </c>
      <c r="P33" s="253">
        <v>6.7260145584028601</v>
      </c>
      <c r="Q33" s="253">
        <v>-1.85028767526492</v>
      </c>
      <c r="R33" s="253">
        <v>6.13756940076793</v>
      </c>
      <c r="S33" s="253">
        <v>12.191587207735401</v>
      </c>
      <c r="T33" s="253">
        <v>-1.4884720355123799</v>
      </c>
      <c r="U33" s="253">
        <v>-8.7457934358991398</v>
      </c>
      <c r="V33" s="253">
        <v>-6.0586318119923002</v>
      </c>
      <c r="W33" s="253">
        <v>1.81383634450763</v>
      </c>
      <c r="X33" s="254">
        <v>-5.1011534979329598</v>
      </c>
      <c r="Y33" s="254">
        <v>-3.3024486007994098</v>
      </c>
      <c r="Z33" s="254">
        <v>5.1583826606780798</v>
      </c>
      <c r="AA33" s="254">
        <v>14.706650864772699</v>
      </c>
      <c r="AB33" s="254">
        <v>9.2613894470821396</v>
      </c>
      <c r="AC33" s="254">
        <v>3.57551892875893</v>
      </c>
      <c r="AD33" s="254">
        <v>2.89808151868109</v>
      </c>
      <c r="AE33" s="254">
        <v>8.6457498056223105</v>
      </c>
      <c r="AF33" s="254">
        <v>5.0691331363714998</v>
      </c>
      <c r="AG33" s="254">
        <v>-3.9244575442140501</v>
      </c>
      <c r="AH33" s="254">
        <v>1.74783865833624</v>
      </c>
      <c r="AI33" s="254">
        <v>6.8014936611274299</v>
      </c>
      <c r="AJ33" s="254">
        <v>-3.2802874509820801</v>
      </c>
      <c r="AK33" s="254">
        <v>1.9651085775953101</v>
      </c>
      <c r="AL33" s="254">
        <v>1.08583329707411</v>
      </c>
      <c r="AM33" s="254">
        <v>-10.5003721413739</v>
      </c>
      <c r="AN33" s="254">
        <v>1.01356332852118</v>
      </c>
      <c r="AO33" s="254">
        <v>2.78606527615166</v>
      </c>
      <c r="AP33" s="254">
        <v>4.7311761478426604</v>
      </c>
      <c r="AQ33" s="254">
        <v>-2.7529593557282901</v>
      </c>
      <c r="AR33" s="254">
        <v>2.70711111966386</v>
      </c>
      <c r="AS33" s="254">
        <v>5.9326990221317999</v>
      </c>
      <c r="AT33" s="254">
        <v>-5.0848850437388604</v>
      </c>
      <c r="AU33" s="253">
        <v>4.6799142967402299</v>
      </c>
      <c r="AV33" s="253">
        <v>1.82821347692059</v>
      </c>
      <c r="AW33" s="253">
        <v>4.4943222818593398</v>
      </c>
      <c r="AX33" s="253">
        <v>4.3901773491009202</v>
      </c>
      <c r="AY33" s="253">
        <v>2.1174594209328301</v>
      </c>
      <c r="AZ33" s="253">
        <v>2.0542573619987201</v>
      </c>
      <c r="BA33" s="253">
        <v>2.0508777360659902</v>
      </c>
      <c r="BB33" s="253">
        <v>2.05341665906592</v>
      </c>
      <c r="BC33" s="203">
        <f t="shared" si="2"/>
        <v>-3.3796259327298905E-3</v>
      </c>
      <c r="BD33" s="152"/>
      <c r="BE33" s="152"/>
      <c r="BF33" s="152"/>
      <c r="BG33" s="152"/>
      <c r="BH33" s="152"/>
      <c r="BI33" s="152"/>
      <c r="BJ33" s="152"/>
      <c r="BK33" s="152"/>
      <c r="BL33" s="152"/>
      <c r="BM33" s="152"/>
      <c r="BN33" s="152"/>
      <c r="BO33" s="152"/>
    </row>
    <row r="34" spans="1:67" ht="13" x14ac:dyDescent="0.6">
      <c r="A34" s="64"/>
      <c r="B34" s="64"/>
      <c r="C34" s="146"/>
      <c r="D34" s="177"/>
      <c r="E34" s="177"/>
      <c r="F34" s="177"/>
      <c r="G34" s="177"/>
      <c r="H34" s="177"/>
      <c r="I34" s="177"/>
      <c r="J34" s="177"/>
      <c r="K34" s="177"/>
      <c r="L34" s="177"/>
      <c r="M34" s="177"/>
      <c r="N34" s="177"/>
      <c r="O34" s="177"/>
      <c r="P34" s="177"/>
      <c r="Q34" s="177"/>
      <c r="R34" s="177"/>
      <c r="S34" s="177"/>
      <c r="T34" s="177"/>
      <c r="U34" s="177"/>
      <c r="V34" s="177"/>
      <c r="W34" s="177"/>
      <c r="X34" s="148"/>
      <c r="Y34" s="148"/>
      <c r="Z34" s="148"/>
      <c r="AA34" s="148"/>
      <c r="AB34" s="148"/>
      <c r="AC34" s="148"/>
      <c r="AD34" s="148"/>
      <c r="AE34" s="148"/>
      <c r="AF34" s="148"/>
      <c r="AG34" s="148"/>
      <c r="AH34" s="148"/>
      <c r="AI34" s="148"/>
      <c r="AJ34" s="148"/>
      <c r="AK34" s="148"/>
      <c r="AL34" s="148"/>
      <c r="AM34" s="148"/>
      <c r="AN34" s="148"/>
      <c r="AO34" s="148"/>
      <c r="AP34" s="148"/>
      <c r="AQ34" s="148"/>
      <c r="AR34" s="148"/>
      <c r="AS34" s="148"/>
      <c r="AT34" s="148"/>
      <c r="AU34" s="152"/>
      <c r="AV34" s="152"/>
      <c r="AW34" s="152"/>
      <c r="AX34" s="152"/>
      <c r="AY34" s="152"/>
      <c r="AZ34" s="152"/>
      <c r="BA34" s="152"/>
      <c r="BB34" s="152"/>
      <c r="BC34" s="203"/>
      <c r="BD34" s="152"/>
      <c r="BE34" s="152"/>
      <c r="BF34" s="152"/>
      <c r="BG34" s="152"/>
      <c r="BH34" s="152"/>
      <c r="BI34" s="152"/>
      <c r="BJ34" s="152"/>
      <c r="BK34" s="152"/>
      <c r="BL34" s="152"/>
      <c r="BM34" s="152"/>
      <c r="BN34" s="152"/>
      <c r="BO34" s="152"/>
    </row>
    <row r="35" spans="1:67" ht="13" x14ac:dyDescent="0.6">
      <c r="A35" s="64"/>
      <c r="B35" s="64"/>
      <c r="C35" s="146" t="s">
        <v>412</v>
      </c>
      <c r="D35" s="177"/>
      <c r="E35" s="177"/>
      <c r="F35" s="177"/>
      <c r="G35" s="177"/>
      <c r="H35" s="177"/>
      <c r="I35" s="177"/>
      <c r="J35" s="177"/>
      <c r="K35" s="177"/>
      <c r="L35" s="177"/>
      <c r="M35" s="177"/>
      <c r="N35" s="177"/>
      <c r="O35" s="177"/>
      <c r="P35" s="177"/>
      <c r="Q35" s="177"/>
      <c r="R35" s="177"/>
      <c r="S35" s="177"/>
      <c r="T35" s="177"/>
      <c r="U35" s="177"/>
      <c r="V35" s="177"/>
      <c r="W35" s="177"/>
      <c r="X35" s="148"/>
      <c r="Y35" s="148"/>
      <c r="Z35" s="148"/>
      <c r="AA35" s="148"/>
      <c r="AB35" s="148"/>
      <c r="AC35" s="148"/>
      <c r="AD35" s="148"/>
      <c r="AE35" s="148"/>
      <c r="AF35" s="148"/>
      <c r="AG35" s="148"/>
      <c r="AH35" s="148"/>
      <c r="AI35" s="148"/>
      <c r="AJ35" s="148"/>
      <c r="AK35" s="148"/>
      <c r="AL35" s="148"/>
      <c r="AM35" s="148"/>
      <c r="AN35" s="148"/>
      <c r="AO35" s="148"/>
      <c r="AP35" s="148"/>
      <c r="AQ35" s="148"/>
      <c r="AR35" s="148"/>
      <c r="AS35" s="148"/>
      <c r="AT35" s="148"/>
      <c r="AU35" s="152"/>
      <c r="AV35" s="152"/>
      <c r="AW35" s="152"/>
      <c r="AX35" s="152"/>
      <c r="AY35" s="152"/>
      <c r="AZ35" s="152"/>
      <c r="BA35" s="152"/>
      <c r="BB35" s="152"/>
      <c r="BC35" s="203"/>
      <c r="BD35" s="152"/>
      <c r="BE35" s="152"/>
      <c r="BF35" s="152"/>
      <c r="BG35" s="152"/>
      <c r="BH35" s="152"/>
      <c r="BI35" s="152"/>
      <c r="BJ35" s="152"/>
      <c r="BK35" s="152"/>
      <c r="BL35" s="152"/>
      <c r="BM35" s="152"/>
      <c r="BN35" s="152"/>
      <c r="BO35" s="152"/>
    </row>
    <row r="36" spans="1:67" ht="13" x14ac:dyDescent="0.6">
      <c r="A36" s="251" t="s">
        <v>965</v>
      </c>
      <c r="B36" s="251" t="s">
        <v>978</v>
      </c>
      <c r="C36" s="252" t="s">
        <v>410</v>
      </c>
      <c r="D36" s="253">
        <v>18.330642426255402</v>
      </c>
      <c r="E36" s="253">
        <v>13.5066246115905</v>
      </c>
      <c r="F36" s="253">
        <v>9.9600869810936903</v>
      </c>
      <c r="G36" s="253">
        <v>8.2022493267184693</v>
      </c>
      <c r="H36" s="253">
        <v>11.219769444104699</v>
      </c>
      <c r="I36" s="253">
        <v>9.0641691451199993</v>
      </c>
      <c r="J36" s="253">
        <v>3.06803538453965</v>
      </c>
      <c r="K36" s="253">
        <v>2.8240510790109399</v>
      </c>
      <c r="L36" s="253">
        <v>3.8818473035232399</v>
      </c>
      <c r="M36" s="253">
        <v>4.9404305538775297</v>
      </c>
      <c r="N36" s="253">
        <v>5.4140102777222401</v>
      </c>
      <c r="O36" s="253">
        <v>6.3109805634552103</v>
      </c>
      <c r="P36" s="253">
        <v>4.5246381808573704</v>
      </c>
      <c r="Q36" s="253">
        <v>4.8147069980839898</v>
      </c>
      <c r="R36" s="253">
        <v>3.9657939986945498</v>
      </c>
      <c r="S36" s="253">
        <v>3.1424351179348302</v>
      </c>
      <c r="T36" s="253">
        <v>3.0417034096056499</v>
      </c>
      <c r="U36" s="253">
        <v>4.4913193025801998</v>
      </c>
      <c r="V36" s="253">
        <v>2.3823828961594899</v>
      </c>
      <c r="W36" s="253">
        <v>0.95709411378532505</v>
      </c>
      <c r="X36" s="254">
        <v>1.8434583289399</v>
      </c>
      <c r="Y36" s="254">
        <v>2.2981036481688699</v>
      </c>
      <c r="Z36" s="254">
        <v>1.68518651398129</v>
      </c>
      <c r="AA36" s="254">
        <v>1.7209552438758899</v>
      </c>
      <c r="AB36" s="254">
        <v>1.87746693020274</v>
      </c>
      <c r="AC36" s="254">
        <v>1.9132495067811699</v>
      </c>
      <c r="AD36" s="254">
        <v>1.96728610801846</v>
      </c>
      <c r="AE36" s="254">
        <v>2.0063213053039499</v>
      </c>
      <c r="AF36" s="254">
        <v>3.7094252572531898</v>
      </c>
      <c r="AG36" s="254">
        <v>0.73597964653351999</v>
      </c>
      <c r="AH36" s="254">
        <v>1.70711443025259</v>
      </c>
      <c r="AI36" s="254">
        <v>2.9092739213975398</v>
      </c>
      <c r="AJ36" s="254">
        <v>2.22940726465337</v>
      </c>
      <c r="AK36" s="254">
        <v>1.4266303563881799</v>
      </c>
      <c r="AL36" s="254">
        <v>1.094989146868</v>
      </c>
      <c r="AM36" s="254">
        <v>0.43809967940271799</v>
      </c>
      <c r="AN36" s="254">
        <v>0.58241627423683695</v>
      </c>
      <c r="AO36" s="254">
        <v>1.5139595958659</v>
      </c>
      <c r="AP36" s="254">
        <v>1.64303741942104</v>
      </c>
      <c r="AQ36" s="254">
        <v>1.11561680082954</v>
      </c>
      <c r="AR36" s="254">
        <v>0.35732321560443497</v>
      </c>
      <c r="AS36" s="254">
        <v>2.3750359646583599</v>
      </c>
      <c r="AT36" s="254">
        <v>7.0441888993450901</v>
      </c>
      <c r="AU36" s="253">
        <v>4.4269384885201699</v>
      </c>
      <c r="AV36" s="253">
        <v>2.4434519925379399</v>
      </c>
      <c r="AW36" s="253">
        <v>2.1959984272953901</v>
      </c>
      <c r="AX36" s="253">
        <v>1.93890710058259</v>
      </c>
      <c r="AY36" s="253">
        <v>1.97745988489302</v>
      </c>
      <c r="AZ36" s="253">
        <v>2.04747175354971</v>
      </c>
      <c r="BA36" s="253">
        <v>2.0092957799804498</v>
      </c>
      <c r="BB36" s="253">
        <v>2.0039947549511998</v>
      </c>
      <c r="BC36" s="203">
        <f t="shared" si="2"/>
        <v>-3.8175973569260169E-2</v>
      </c>
      <c r="BD36" s="152"/>
      <c r="BE36" s="152"/>
      <c r="BF36" s="152"/>
      <c r="BG36" s="152"/>
      <c r="BH36" s="152"/>
      <c r="BI36" s="152"/>
      <c r="BJ36" s="152"/>
      <c r="BK36" s="152"/>
      <c r="BL36" s="152"/>
      <c r="BM36" s="152"/>
      <c r="BN36" s="152"/>
      <c r="BO36" s="152"/>
    </row>
    <row r="37" spans="1:67" ht="13" x14ac:dyDescent="0.6">
      <c r="A37" s="251" t="s">
        <v>965</v>
      </c>
      <c r="B37" s="251" t="s">
        <v>979</v>
      </c>
      <c r="C37" s="252" t="s">
        <v>411</v>
      </c>
      <c r="D37" s="253">
        <v>10.175224771926</v>
      </c>
      <c r="E37" s="253">
        <v>-3.1278024526416002</v>
      </c>
      <c r="F37" s="253">
        <v>-2.5493638361745301</v>
      </c>
      <c r="G37" s="253">
        <v>-1.80018133681523</v>
      </c>
      <c r="H37" s="253">
        <v>-3.3463808245743398</v>
      </c>
      <c r="I37" s="253">
        <v>-0.13156476219826199</v>
      </c>
      <c r="J37" s="253">
        <v>23.045008938674499</v>
      </c>
      <c r="K37" s="253">
        <v>15.808436446507301</v>
      </c>
      <c r="L37" s="253">
        <v>9.1335295960758902</v>
      </c>
      <c r="M37" s="253">
        <v>1.9054897531138699</v>
      </c>
      <c r="N37" s="253">
        <v>13.454409977783101</v>
      </c>
      <c r="O37" s="253">
        <v>3.8321778038027898</v>
      </c>
      <c r="P37" s="253">
        <v>6.7887295530820104</v>
      </c>
      <c r="Q37" s="253">
        <v>-1.5415492159030899</v>
      </c>
      <c r="R37" s="253">
        <v>6.2196686755038701</v>
      </c>
      <c r="S37" s="253">
        <v>11.511620961566001</v>
      </c>
      <c r="T37" s="253">
        <v>-0.86790690953259897</v>
      </c>
      <c r="U37" s="253">
        <v>-8.2531688298168593</v>
      </c>
      <c r="V37" s="253">
        <v>-5.8270078502892897</v>
      </c>
      <c r="W37" s="253">
        <v>2.5860959133164099</v>
      </c>
      <c r="X37" s="254">
        <v>-4.5848033265797996</v>
      </c>
      <c r="Y37" s="254">
        <v>-3.0215965718750799</v>
      </c>
      <c r="Z37" s="254">
        <v>5.1809724197484304</v>
      </c>
      <c r="AA37" s="254">
        <v>14.975003181116699</v>
      </c>
      <c r="AB37" s="254">
        <v>9.4189651393374199</v>
      </c>
      <c r="AC37" s="254">
        <v>4.0556758101233399</v>
      </c>
      <c r="AD37" s="254">
        <v>3.5518247220559398</v>
      </c>
      <c r="AE37" s="254">
        <v>8.2409831317219897</v>
      </c>
      <c r="AF37" s="254">
        <v>6.9140408096673296</v>
      </c>
      <c r="AG37" s="254">
        <v>-4.5235640155203596</v>
      </c>
      <c r="AH37" s="254">
        <v>2.41132787294455</v>
      </c>
      <c r="AI37" s="254">
        <v>8.4956140556022604</v>
      </c>
      <c r="AJ37" s="254">
        <v>-2.4303116158361</v>
      </c>
      <c r="AK37" s="254">
        <v>2.1486689692429</v>
      </c>
      <c r="AL37" s="254">
        <v>0.99639544907830102</v>
      </c>
      <c r="AM37" s="254">
        <v>-11.6484139335656</v>
      </c>
      <c r="AN37" s="254">
        <v>0.46362244701854699</v>
      </c>
      <c r="AO37" s="254">
        <v>2.8521537883216701</v>
      </c>
      <c r="AP37" s="254">
        <v>4.8521447969015004</v>
      </c>
      <c r="AQ37" s="254">
        <v>-2.8440162118538002</v>
      </c>
      <c r="AR37" s="254">
        <v>1.54601798914625</v>
      </c>
      <c r="AS37" s="254">
        <v>5.4782491685913604</v>
      </c>
      <c r="AT37" s="255">
        <v>-3.4174580817133902</v>
      </c>
      <c r="AU37" s="255">
        <v>5.1264361067087503</v>
      </c>
      <c r="AV37" s="255">
        <v>1.23478514612598</v>
      </c>
      <c r="AW37" s="255">
        <v>4.4175478248360296</v>
      </c>
      <c r="AX37" s="255">
        <v>4.3353382199611197</v>
      </c>
      <c r="AY37" s="255">
        <v>2.1273000037140601</v>
      </c>
      <c r="AZ37" s="253">
        <v>2.1250177226456399</v>
      </c>
      <c r="BA37" s="253">
        <v>2.07506964534829</v>
      </c>
      <c r="BB37" s="253">
        <v>2.0689365650781699</v>
      </c>
      <c r="BC37" s="203">
        <f t="shared" si="2"/>
        <v>-4.9948077297349958E-2</v>
      </c>
      <c r="BD37" s="152"/>
      <c r="BE37" s="152"/>
      <c r="BF37" s="152"/>
      <c r="BG37" s="152"/>
      <c r="BH37" s="152"/>
      <c r="BI37" s="152"/>
      <c r="BJ37" s="152"/>
      <c r="BK37" s="152"/>
      <c r="BL37" s="152"/>
      <c r="BM37" s="152"/>
      <c r="BN37" s="152"/>
      <c r="BO37" s="152"/>
    </row>
    <row r="38" spans="1:67" ht="13" x14ac:dyDescent="0.6">
      <c r="A38" s="64"/>
      <c r="B38" s="64"/>
      <c r="C38" s="146"/>
      <c r="D38" s="177"/>
      <c r="E38" s="177"/>
      <c r="F38" s="177"/>
      <c r="G38" s="177"/>
      <c r="H38" s="177"/>
      <c r="I38" s="177"/>
      <c r="J38" s="177"/>
      <c r="K38" s="177"/>
      <c r="L38" s="177"/>
      <c r="M38" s="177"/>
      <c r="N38" s="177"/>
      <c r="O38" s="177"/>
      <c r="P38" s="177"/>
      <c r="Q38" s="177"/>
      <c r="R38" s="177"/>
      <c r="S38" s="177"/>
      <c r="T38" s="177"/>
      <c r="U38" s="177"/>
      <c r="V38" s="177"/>
      <c r="W38" s="177"/>
      <c r="X38" s="148"/>
      <c r="Y38" s="148"/>
      <c r="Z38" s="148"/>
      <c r="AA38" s="148"/>
      <c r="AB38" s="148"/>
      <c r="AC38" s="148"/>
      <c r="AD38" s="148"/>
      <c r="AE38" s="148"/>
      <c r="AF38" s="148"/>
      <c r="AG38" s="148"/>
      <c r="AH38" s="148"/>
      <c r="AI38" s="148"/>
      <c r="AJ38" s="148"/>
      <c r="AK38" s="148"/>
      <c r="AL38" s="148"/>
      <c r="AM38" s="148"/>
      <c r="AN38" s="148"/>
      <c r="AO38" s="148"/>
      <c r="AP38" s="148"/>
      <c r="AQ38" s="148"/>
      <c r="AR38" s="148"/>
      <c r="AS38" s="148"/>
      <c r="AT38" s="148"/>
      <c r="AU38" s="148"/>
      <c r="AV38" s="148"/>
      <c r="AW38" s="148"/>
      <c r="AX38" s="148"/>
      <c r="AY38" s="148"/>
      <c r="AZ38" s="148"/>
      <c r="BA38" s="148"/>
      <c r="BB38" s="148"/>
      <c r="BC38" s="203"/>
      <c r="BD38" s="152"/>
      <c r="BE38" s="152"/>
      <c r="BF38" s="152"/>
      <c r="BG38" s="152"/>
      <c r="BH38" s="152"/>
      <c r="BI38" s="152"/>
      <c r="BJ38" s="152"/>
      <c r="BK38" s="152"/>
      <c r="BL38" s="152"/>
      <c r="BM38" s="152"/>
      <c r="BN38" s="152"/>
      <c r="BO38" s="152"/>
    </row>
    <row r="39" spans="1:67" ht="13" x14ac:dyDescent="0.6">
      <c r="A39" s="64"/>
      <c r="B39" s="64"/>
      <c r="C39" s="79" t="s">
        <v>402</v>
      </c>
      <c r="D39" s="178"/>
      <c r="E39" s="178"/>
      <c r="F39" s="178"/>
      <c r="G39" s="178"/>
      <c r="H39" s="178"/>
      <c r="I39" s="178"/>
      <c r="J39" s="178"/>
      <c r="K39" s="178"/>
      <c r="L39" s="178"/>
      <c r="M39" s="178"/>
      <c r="N39" s="178"/>
      <c r="O39" s="178"/>
      <c r="P39" s="178"/>
      <c r="Q39" s="178"/>
      <c r="R39" s="178"/>
      <c r="S39" s="178"/>
      <c r="T39" s="178"/>
      <c r="U39" s="178"/>
      <c r="V39" s="178"/>
      <c r="W39" s="178"/>
      <c r="X39" s="148"/>
      <c r="Y39" s="148"/>
      <c r="Z39" s="148"/>
      <c r="AA39" s="148"/>
      <c r="AB39" s="148"/>
      <c r="AC39" s="148"/>
      <c r="AD39" s="148"/>
      <c r="AE39" s="148"/>
      <c r="AF39" s="148"/>
      <c r="AG39" s="148"/>
      <c r="AH39" s="148"/>
      <c r="AI39" s="148"/>
      <c r="AJ39" s="148"/>
      <c r="AK39" s="148"/>
      <c r="AL39" s="148"/>
      <c r="AM39" s="148"/>
      <c r="AN39" s="148"/>
      <c r="AO39" s="148"/>
      <c r="AP39" s="148"/>
      <c r="AQ39" s="148"/>
      <c r="AR39" s="148"/>
      <c r="AS39" s="148"/>
      <c r="AT39" s="148"/>
      <c r="AU39" s="148"/>
      <c r="AV39" s="148"/>
      <c r="AW39" s="148"/>
      <c r="AX39" s="148"/>
      <c r="AY39" s="148"/>
      <c r="AZ39" s="148"/>
      <c r="BA39" s="148"/>
      <c r="BB39" s="148"/>
      <c r="BC39" s="203"/>
      <c r="BD39" s="152"/>
      <c r="BE39" s="152"/>
      <c r="BF39" s="152"/>
      <c r="BG39" s="152"/>
      <c r="BH39" s="152"/>
      <c r="BI39" s="152"/>
      <c r="BJ39" s="152"/>
      <c r="BK39" s="152"/>
      <c r="BL39" s="152"/>
      <c r="BM39" s="152"/>
      <c r="BN39" s="152"/>
      <c r="BO39" s="152"/>
    </row>
    <row r="40" spans="1:67" ht="13" x14ac:dyDescent="0.6">
      <c r="A40" s="64"/>
      <c r="B40" s="64"/>
      <c r="C40" s="146"/>
      <c r="D40" s="177"/>
      <c r="E40" s="177"/>
      <c r="F40" s="177"/>
      <c r="G40" s="177"/>
      <c r="H40" s="177"/>
      <c r="I40" s="177"/>
      <c r="J40" s="177"/>
      <c r="K40" s="177"/>
      <c r="L40" s="177"/>
      <c r="M40" s="177"/>
      <c r="N40" s="177"/>
      <c r="O40" s="177"/>
      <c r="P40" s="177"/>
      <c r="Q40" s="177"/>
      <c r="R40" s="177"/>
      <c r="S40" s="177"/>
      <c r="T40" s="177"/>
      <c r="U40" s="177"/>
      <c r="V40" s="177"/>
      <c r="W40" s="177"/>
      <c r="X40" s="148"/>
      <c r="Y40" s="148"/>
      <c r="Z40" s="148"/>
      <c r="AA40" s="148"/>
      <c r="AB40" s="148"/>
      <c r="AC40" s="148"/>
      <c r="AD40" s="148"/>
      <c r="AE40" s="148"/>
      <c r="AF40" s="148"/>
      <c r="AG40" s="148"/>
      <c r="AH40" s="148"/>
      <c r="AI40" s="148"/>
      <c r="AJ40" s="148"/>
      <c r="AK40" s="148"/>
      <c r="AL40" s="148"/>
      <c r="AM40" s="148"/>
      <c r="AN40" s="148"/>
      <c r="AO40" s="148"/>
      <c r="AP40" s="148"/>
      <c r="AQ40" s="148"/>
      <c r="AR40" s="148"/>
      <c r="AS40" s="148"/>
      <c r="AT40" s="148"/>
      <c r="AU40" s="148"/>
      <c r="AV40" s="148"/>
      <c r="AW40" s="148"/>
      <c r="AX40" s="148"/>
      <c r="AY40" s="148"/>
      <c r="AZ40" s="148"/>
      <c r="BA40" s="148"/>
      <c r="BB40" s="148"/>
      <c r="BC40" s="203"/>
      <c r="BD40" s="152"/>
      <c r="BE40" s="152"/>
      <c r="BF40" s="152"/>
      <c r="BG40" s="152"/>
      <c r="BH40" s="152"/>
      <c r="BI40" s="152"/>
      <c r="BJ40" s="152"/>
      <c r="BK40" s="152"/>
      <c r="BL40" s="152"/>
      <c r="BM40" s="152"/>
      <c r="BN40" s="152"/>
      <c r="BO40" s="152"/>
    </row>
    <row r="41" spans="1:67" ht="13" x14ac:dyDescent="0.6">
      <c r="A41" s="64"/>
      <c r="B41" s="64"/>
      <c r="C41" s="146" t="s">
        <v>413</v>
      </c>
      <c r="D41" s="177"/>
      <c r="E41" s="177"/>
      <c r="F41" s="177"/>
      <c r="G41" s="177"/>
      <c r="H41" s="177"/>
      <c r="I41" s="177"/>
      <c r="J41" s="177"/>
      <c r="K41" s="177"/>
      <c r="L41" s="177"/>
      <c r="M41" s="177"/>
      <c r="N41" s="177"/>
      <c r="O41" s="177"/>
      <c r="P41" s="177"/>
      <c r="Q41" s="177"/>
      <c r="R41" s="177"/>
      <c r="S41" s="177"/>
      <c r="T41" s="177"/>
      <c r="U41" s="177"/>
      <c r="V41" s="177"/>
      <c r="W41" s="177"/>
      <c r="X41" s="148"/>
      <c r="Y41" s="148"/>
      <c r="Z41" s="148"/>
      <c r="AA41" s="148"/>
      <c r="AB41" s="148"/>
      <c r="AC41" s="148"/>
      <c r="AD41" s="148"/>
      <c r="AE41" s="148"/>
      <c r="AF41" s="148"/>
      <c r="AG41" s="148"/>
      <c r="AH41" s="148"/>
      <c r="AI41" s="148"/>
      <c r="AJ41" s="148"/>
      <c r="AK41" s="148"/>
      <c r="AL41" s="148"/>
      <c r="AM41" s="148"/>
      <c r="AN41" s="148"/>
      <c r="AO41" s="148"/>
      <c r="AP41" s="148"/>
      <c r="AQ41" s="148"/>
      <c r="AR41" s="148"/>
      <c r="AS41" s="148"/>
      <c r="AT41" s="148"/>
      <c r="AU41" s="148"/>
      <c r="AV41" s="148"/>
      <c r="AW41" s="148"/>
      <c r="AX41" s="148"/>
      <c r="AY41" s="148"/>
      <c r="AZ41" s="148"/>
      <c r="BA41" s="148"/>
      <c r="BB41" s="148"/>
      <c r="BC41" s="203"/>
      <c r="BD41" s="152"/>
      <c r="BE41" s="152"/>
      <c r="BF41" s="152"/>
      <c r="BG41" s="152"/>
      <c r="BH41" s="152"/>
      <c r="BI41" s="152"/>
      <c r="BJ41" s="152"/>
      <c r="BK41" s="152"/>
      <c r="BL41" s="152"/>
      <c r="BM41" s="152"/>
      <c r="BN41" s="152"/>
      <c r="BO41" s="152"/>
    </row>
    <row r="42" spans="1:67" ht="13" x14ac:dyDescent="0.6">
      <c r="A42" s="251" t="s">
        <v>965</v>
      </c>
      <c r="B42" s="251" t="s">
        <v>980</v>
      </c>
      <c r="C42" s="252" t="s">
        <v>404</v>
      </c>
      <c r="D42" s="253">
        <v>19.597721424974601</v>
      </c>
      <c r="E42" s="253">
        <v>2.8494480405539799</v>
      </c>
      <c r="F42" s="253">
        <v>-2.28820305750674</v>
      </c>
      <c r="G42" s="253">
        <v>-1.5384422576779999</v>
      </c>
      <c r="H42" s="253">
        <v>0.18888226626011001</v>
      </c>
      <c r="I42" s="253">
        <v>-4.0444029582559198</v>
      </c>
      <c r="J42" s="253">
        <v>1.7934529474941601</v>
      </c>
      <c r="K42" s="253">
        <v>1.2847664740779601</v>
      </c>
      <c r="L42" s="253">
        <v>-2.7559857619471901</v>
      </c>
      <c r="M42" s="253">
        <v>2.8709995976021299</v>
      </c>
      <c r="N42" s="253">
        <v>17.0386377932061</v>
      </c>
      <c r="O42" s="253">
        <v>-2.6545546414082799</v>
      </c>
      <c r="P42" s="253">
        <v>-0.37392667683407899</v>
      </c>
      <c r="Q42" s="253">
        <v>-0.73318151806661602</v>
      </c>
      <c r="R42" s="253">
        <v>-0.28504562492477598</v>
      </c>
      <c r="S42" s="253">
        <v>4.8686938187375297</v>
      </c>
      <c r="T42" s="253">
        <v>-0.74944592573616897</v>
      </c>
      <c r="U42" s="253">
        <v>-3.0982132798133</v>
      </c>
      <c r="V42" s="253">
        <v>-6.7984977022436599</v>
      </c>
      <c r="W42" s="253">
        <v>5.5591510892599603</v>
      </c>
      <c r="X42" s="254">
        <v>3.6607672404956699</v>
      </c>
      <c r="Y42" s="254">
        <v>-5.0008778671673602</v>
      </c>
      <c r="Z42" s="254">
        <v>-0.72106825400821595</v>
      </c>
      <c r="AA42" s="254">
        <v>7.5462974046908302</v>
      </c>
      <c r="AB42" s="254">
        <v>9.7602576697816605</v>
      </c>
      <c r="AC42" s="254">
        <v>9.1562325851851494</v>
      </c>
      <c r="AD42" s="254">
        <v>9.3140927639839006</v>
      </c>
      <c r="AE42" s="254">
        <v>9.5092727029583806</v>
      </c>
      <c r="AF42" s="254">
        <v>13.739404888805099</v>
      </c>
      <c r="AG42" s="254">
        <v>-6.9399181256137199</v>
      </c>
      <c r="AH42" s="254">
        <v>10.9830562509839</v>
      </c>
      <c r="AI42" s="254">
        <v>11.6614464032025</v>
      </c>
      <c r="AJ42" s="254">
        <v>0.32981984652634799</v>
      </c>
      <c r="AK42" s="254">
        <v>-0.70604633172141795</v>
      </c>
      <c r="AL42" s="254">
        <v>-2.8033443386176198</v>
      </c>
      <c r="AM42" s="254">
        <v>-11.3713633851144</v>
      </c>
      <c r="AN42" s="254">
        <v>-4.7253662446924096</v>
      </c>
      <c r="AO42" s="254">
        <v>5.8956970193676401</v>
      </c>
      <c r="AP42" s="254">
        <v>4.3602874828493299</v>
      </c>
      <c r="AQ42" s="254">
        <v>-1.89651231354492</v>
      </c>
      <c r="AR42" s="254">
        <v>-3.7985178852231898</v>
      </c>
      <c r="AS42" s="254">
        <v>15.7803195773743</v>
      </c>
      <c r="AT42" s="254">
        <v>10.331738397256499</v>
      </c>
      <c r="AU42" s="253">
        <v>-3.1796389225017299</v>
      </c>
      <c r="AV42" s="253">
        <v>0.94801182823637797</v>
      </c>
      <c r="AW42" s="253">
        <v>1.0733704739554699</v>
      </c>
      <c r="AX42" s="253">
        <v>0.30696774057339699</v>
      </c>
      <c r="AY42" s="253">
        <v>0.76981942171023698</v>
      </c>
      <c r="AZ42" s="253">
        <v>0.42449530549640502</v>
      </c>
      <c r="BA42" s="253">
        <v>1.1836776340678099</v>
      </c>
      <c r="BB42" s="253">
        <v>1.18353766379181</v>
      </c>
      <c r="BC42" s="203">
        <f t="shared" si="2"/>
        <v>0.75918232857140489</v>
      </c>
      <c r="BD42" s="152"/>
      <c r="BE42" s="152"/>
      <c r="BF42" s="152"/>
      <c r="BG42" s="152"/>
      <c r="BH42" s="152"/>
      <c r="BI42" s="152"/>
      <c r="BJ42" s="152"/>
      <c r="BK42" s="152"/>
      <c r="BL42" s="152"/>
      <c r="BM42" s="152"/>
      <c r="BN42" s="152"/>
      <c r="BO42" s="152"/>
    </row>
    <row r="43" spans="1:67" ht="13" x14ac:dyDescent="0.6">
      <c r="A43" s="251" t="s">
        <v>965</v>
      </c>
      <c r="B43" s="251" t="s">
        <v>981</v>
      </c>
      <c r="C43" s="252" t="s">
        <v>405</v>
      </c>
      <c r="D43" s="253">
        <v>19.225700927504999</v>
      </c>
      <c r="E43" s="253">
        <v>-2.2541295231746798</v>
      </c>
      <c r="F43" s="253">
        <v>-6.3201783658660702</v>
      </c>
      <c r="G43" s="253">
        <v>-4.0088901120206</v>
      </c>
      <c r="H43" s="253">
        <v>1.29008610535598</v>
      </c>
      <c r="I43" s="253">
        <v>-4.3317330322984002</v>
      </c>
      <c r="J43" s="253">
        <v>-0.68804461286877705</v>
      </c>
      <c r="K43" s="253">
        <v>9.6343480171706002</v>
      </c>
      <c r="L43" s="253">
        <v>2.8173453429403601</v>
      </c>
      <c r="M43" s="253">
        <v>1.22907251795209</v>
      </c>
      <c r="N43" s="253">
        <v>4.8427381005725803</v>
      </c>
      <c r="O43" s="253">
        <v>-2.9215317497862898</v>
      </c>
      <c r="P43" s="253">
        <v>-2.0850383137675599</v>
      </c>
      <c r="Q43" s="253">
        <v>-1.59365079676253</v>
      </c>
      <c r="R43" s="253">
        <v>5.1852720607108198</v>
      </c>
      <c r="S43" s="253">
        <v>8.5925306350919897</v>
      </c>
      <c r="T43" s="253">
        <v>-0.17919328185935299</v>
      </c>
      <c r="U43" s="253">
        <v>-3.46318684281287</v>
      </c>
      <c r="V43" s="253">
        <v>-8.7878547423773306</v>
      </c>
      <c r="W43" s="253">
        <v>3.31781404209613</v>
      </c>
      <c r="X43" s="254">
        <v>3.2320192261491898</v>
      </c>
      <c r="Y43" s="254">
        <v>-5.6737647726081599</v>
      </c>
      <c r="Z43" s="254">
        <v>-0.61695134785268302</v>
      </c>
      <c r="AA43" s="254">
        <v>8.4415782956861705</v>
      </c>
      <c r="AB43" s="254">
        <v>10.975068587539599</v>
      </c>
      <c r="AC43" s="254">
        <v>9.8990490852674302</v>
      </c>
      <c r="AD43" s="254">
        <v>10.1366159279654</v>
      </c>
      <c r="AE43" s="254">
        <v>10.1550503950501</v>
      </c>
      <c r="AF43" s="254">
        <v>15.479790399863001</v>
      </c>
      <c r="AG43" s="254">
        <v>-7.3998271574907504</v>
      </c>
      <c r="AH43" s="254">
        <v>12.1673032543011</v>
      </c>
      <c r="AI43" s="254">
        <v>13.0713771985225</v>
      </c>
      <c r="AJ43" s="254">
        <v>-0.481693167534267</v>
      </c>
      <c r="AK43" s="254">
        <v>-1.7717938740019299</v>
      </c>
      <c r="AL43" s="254">
        <v>-3.3223886263724198</v>
      </c>
      <c r="AM43" s="254">
        <v>-12.9792908467895</v>
      </c>
      <c r="AN43" s="254">
        <v>-5.9007602249839399</v>
      </c>
      <c r="AO43" s="254">
        <v>5.4362288973077098</v>
      </c>
      <c r="AP43" s="254">
        <v>3.9434206182290601</v>
      </c>
      <c r="AQ43" s="254">
        <v>-1.46319516414506</v>
      </c>
      <c r="AR43" s="254">
        <v>-0.78849371668688495</v>
      </c>
      <c r="AS43" s="254">
        <v>16.0305207497338</v>
      </c>
      <c r="AT43" s="254">
        <v>9.6007067487286903</v>
      </c>
      <c r="AU43" s="253">
        <v>-5.1795985659371304</v>
      </c>
      <c r="AV43" s="253">
        <v>0.59412289118355199</v>
      </c>
      <c r="AW43" s="253">
        <v>1.40492092829486</v>
      </c>
      <c r="AX43" s="253">
        <v>0.558327115249175</v>
      </c>
      <c r="AY43" s="253">
        <v>0.67042323417184901</v>
      </c>
      <c r="AZ43" s="253">
        <v>0.220476119774664</v>
      </c>
      <c r="BA43" s="253">
        <v>1.07237361598634</v>
      </c>
      <c r="BB43" s="253">
        <v>1.0265759769979901</v>
      </c>
      <c r="BC43" s="203">
        <f t="shared" si="2"/>
        <v>0.85189749621167599</v>
      </c>
      <c r="BD43" s="152"/>
      <c r="BE43" s="152"/>
      <c r="BF43" s="152"/>
      <c r="BG43" s="152"/>
      <c r="BH43" s="152"/>
      <c r="BI43" s="152"/>
      <c r="BJ43" s="152"/>
      <c r="BK43" s="152"/>
      <c r="BL43" s="152"/>
      <c r="BM43" s="152"/>
      <c r="BN43" s="152"/>
      <c r="BO43" s="152"/>
    </row>
    <row r="44" spans="1:67" ht="13" x14ac:dyDescent="0.6">
      <c r="A44" s="251" t="s">
        <v>965</v>
      </c>
      <c r="B44" s="251" t="s">
        <v>982</v>
      </c>
      <c r="C44" s="252" t="s">
        <v>406</v>
      </c>
      <c r="D44" s="253">
        <v>-22.655069805173099</v>
      </c>
      <c r="E44" s="253">
        <v>16.821947982409501</v>
      </c>
      <c r="F44" s="253">
        <v>-9.6504829699761103</v>
      </c>
      <c r="G44" s="253">
        <v>20.970422368380699</v>
      </c>
      <c r="H44" s="253">
        <v>0.39135796956236302</v>
      </c>
      <c r="I44" s="253">
        <v>-5.1080568426973096</v>
      </c>
      <c r="J44" s="253">
        <v>17.1002791605253</v>
      </c>
      <c r="K44" s="253">
        <v>-0.45920877935757998</v>
      </c>
      <c r="L44" s="253">
        <v>10.659454726574699</v>
      </c>
      <c r="M44" s="253">
        <v>-3.3005037709006202</v>
      </c>
      <c r="N44" s="253">
        <v>-1.5732012211753399</v>
      </c>
      <c r="O44" s="253">
        <v>-0.90418094326836795</v>
      </c>
      <c r="P44" s="253">
        <v>-2.96857161732204</v>
      </c>
      <c r="Q44" s="253">
        <v>9.0412664630694806E-2</v>
      </c>
      <c r="R44" s="253">
        <v>5.3723749086371297</v>
      </c>
      <c r="S44" s="253">
        <v>7.4952577974518304</v>
      </c>
      <c r="T44" s="253">
        <v>-1.87924709249527</v>
      </c>
      <c r="U44" s="253">
        <v>-3.8054471210722198</v>
      </c>
      <c r="V44" s="253">
        <v>-6.6886119579024204</v>
      </c>
      <c r="W44" s="253">
        <v>-5.0983239984440799E-2</v>
      </c>
      <c r="X44" s="254">
        <v>-1.1735878724814499</v>
      </c>
      <c r="Y44" s="254">
        <v>-4.8332074474021898</v>
      </c>
      <c r="Z44" s="254">
        <v>-1.7022315930316601</v>
      </c>
      <c r="AA44" s="254">
        <v>7.7752179127854504</v>
      </c>
      <c r="AB44" s="254">
        <v>9.1358578380289899</v>
      </c>
      <c r="AC44" s="254">
        <v>6.6782683331502</v>
      </c>
      <c r="AD44" s="254">
        <v>8.1514593273930203</v>
      </c>
      <c r="AE44" s="254">
        <v>9.9464277787865107</v>
      </c>
      <c r="AF44" s="254">
        <v>14.478188841668301</v>
      </c>
      <c r="AG44" s="254">
        <v>-5.0183320472402597</v>
      </c>
      <c r="AH44" s="254">
        <v>10.5750179767644</v>
      </c>
      <c r="AI44" s="254">
        <v>10.8476362293706</v>
      </c>
      <c r="AJ44" s="254">
        <v>-0.96569942599987102</v>
      </c>
      <c r="AK44" s="254">
        <v>-1.42062758491814</v>
      </c>
      <c r="AL44" s="254">
        <v>-2.5785958311717798</v>
      </c>
      <c r="AM44" s="254">
        <v>-9.36093924127983</v>
      </c>
      <c r="AN44" s="254">
        <v>-4.46210823370025</v>
      </c>
      <c r="AO44" s="254">
        <v>3.8795425443706799</v>
      </c>
      <c r="AP44" s="254">
        <v>1.8971711515235501</v>
      </c>
      <c r="AQ44" s="254">
        <v>-1.13722405864335</v>
      </c>
      <c r="AR44" s="254">
        <v>2.5726534311110201</v>
      </c>
      <c r="AS44" s="254">
        <v>11.819088152029099</v>
      </c>
      <c r="AT44" s="255">
        <v>6.29237387215053</v>
      </c>
      <c r="AU44" s="255">
        <v>-3.97222920575294</v>
      </c>
      <c r="AV44" s="255">
        <v>0.87020890685685803</v>
      </c>
      <c r="AW44" s="255">
        <v>2.76399732047659</v>
      </c>
      <c r="AX44" s="255">
        <v>1.2304630475253899</v>
      </c>
      <c r="AY44" s="255">
        <v>0.959507607577472</v>
      </c>
      <c r="AZ44" s="253">
        <v>0.108923080399288</v>
      </c>
      <c r="BA44" s="253">
        <v>1.0985717341122501</v>
      </c>
      <c r="BB44" s="253">
        <v>1.00142595590559</v>
      </c>
      <c r="BC44" s="203">
        <f t="shared" si="2"/>
        <v>0.98964865371296207</v>
      </c>
      <c r="BD44" s="152"/>
      <c r="BE44" s="152"/>
      <c r="BF44" s="152"/>
      <c r="BG44" s="152"/>
      <c r="BH44" s="152"/>
      <c r="BI44" s="152"/>
      <c r="BJ44" s="152"/>
      <c r="BK44" s="152"/>
      <c r="BL44" s="152"/>
      <c r="BM44" s="152"/>
      <c r="BN44" s="152"/>
      <c r="BO44" s="152"/>
    </row>
    <row r="45" spans="1:67" ht="13" x14ac:dyDescent="0.6">
      <c r="A45" s="64"/>
      <c r="B45" s="64"/>
      <c r="C45" s="146"/>
      <c r="D45" s="177"/>
      <c r="E45" s="177"/>
      <c r="F45" s="177"/>
      <c r="G45" s="177"/>
      <c r="H45" s="177"/>
      <c r="I45" s="177"/>
      <c r="J45" s="177"/>
      <c r="K45" s="177"/>
      <c r="L45" s="177"/>
      <c r="M45" s="177"/>
      <c r="N45" s="177"/>
      <c r="O45" s="177"/>
      <c r="P45" s="177"/>
      <c r="Q45" s="177"/>
      <c r="R45" s="177"/>
      <c r="S45" s="177"/>
      <c r="T45" s="177"/>
      <c r="U45" s="177"/>
      <c r="V45" s="177"/>
      <c r="W45" s="177"/>
      <c r="X45" s="146"/>
      <c r="Y45" s="146"/>
      <c r="Z45" s="146"/>
      <c r="AA45" s="146"/>
      <c r="AB45" s="146"/>
      <c r="AC45" s="146"/>
      <c r="AD45" s="146"/>
      <c r="AE45" s="146"/>
      <c r="AF45" s="146"/>
      <c r="AG45" s="146"/>
      <c r="AH45" s="146"/>
      <c r="AI45" s="146"/>
      <c r="AJ45" s="146"/>
      <c r="AK45" s="146"/>
      <c r="AL45" s="146"/>
      <c r="AM45" s="146"/>
      <c r="AN45" s="146"/>
      <c r="AO45" s="146"/>
      <c r="AP45" s="146"/>
      <c r="AQ45" s="146"/>
      <c r="AR45" s="146"/>
      <c r="AS45" s="146"/>
      <c r="AT45" s="146"/>
      <c r="AU45" s="146"/>
      <c r="AV45" s="146"/>
      <c r="AW45" s="146"/>
      <c r="AX45" s="146"/>
      <c r="AY45" s="146"/>
      <c r="AZ45" s="146"/>
      <c r="BA45" s="146"/>
      <c r="BB45" s="146"/>
      <c r="BC45" s="146"/>
      <c r="BD45" s="152"/>
      <c r="BE45" s="152"/>
      <c r="BF45" s="152"/>
      <c r="BG45" s="152"/>
      <c r="BH45" s="152"/>
      <c r="BI45" s="152"/>
      <c r="BJ45" s="152"/>
      <c r="BK45" s="152"/>
      <c r="BL45" s="152"/>
      <c r="BM45" s="152"/>
      <c r="BN45" s="152"/>
      <c r="BO45" s="152"/>
    </row>
    <row r="46" spans="1:67" ht="13" x14ac:dyDescent="0.6">
      <c r="A46" s="64"/>
      <c r="B46" s="64"/>
      <c r="C46" s="146" t="s">
        <v>414</v>
      </c>
      <c r="D46" s="177"/>
      <c r="E46" s="177"/>
      <c r="F46" s="177"/>
      <c r="G46" s="177"/>
      <c r="H46" s="177"/>
      <c r="I46" s="177"/>
      <c r="J46" s="177"/>
      <c r="K46" s="177"/>
      <c r="L46" s="177"/>
      <c r="M46" s="177"/>
      <c r="N46" s="177"/>
      <c r="O46" s="177"/>
      <c r="P46" s="177"/>
      <c r="Q46" s="177"/>
      <c r="R46" s="177"/>
      <c r="S46" s="177"/>
      <c r="T46" s="177"/>
      <c r="U46" s="177"/>
      <c r="V46" s="177"/>
      <c r="W46" s="177"/>
      <c r="X46" s="278" t="s">
        <v>415</v>
      </c>
      <c r="Y46" s="278"/>
      <c r="Z46" s="278"/>
      <c r="AA46" s="278"/>
      <c r="AB46" s="278"/>
      <c r="AC46" s="278"/>
      <c r="AD46" s="278"/>
      <c r="AE46" s="278"/>
      <c r="AF46" s="278"/>
      <c r="AG46" s="278"/>
      <c r="AH46" s="278"/>
      <c r="AI46" s="278"/>
      <c r="AJ46" s="278"/>
      <c r="AK46" s="278"/>
      <c r="AL46" s="278"/>
      <c r="AM46" s="278"/>
      <c r="AN46" s="278"/>
      <c r="AO46" s="278"/>
      <c r="AP46" s="278"/>
      <c r="AQ46" s="278"/>
      <c r="AR46" s="278"/>
      <c r="AS46" s="278"/>
      <c r="AT46" s="285" t="s">
        <v>140</v>
      </c>
      <c r="AU46" s="285"/>
      <c r="AV46" s="285"/>
      <c r="AW46" s="285"/>
      <c r="AX46" s="285"/>
      <c r="AY46" s="285"/>
      <c r="AZ46" s="285"/>
      <c r="BA46" s="285"/>
      <c r="BB46" s="285"/>
      <c r="BC46" s="285"/>
      <c r="BD46" s="285"/>
      <c r="BE46" s="285"/>
      <c r="BF46" s="285"/>
      <c r="BG46" s="285"/>
      <c r="BH46" s="285"/>
      <c r="BI46" s="285"/>
      <c r="BJ46" s="285"/>
      <c r="BK46" s="285"/>
      <c r="BL46" s="285"/>
      <c r="BM46" s="285"/>
      <c r="BN46" s="285"/>
      <c r="BO46" s="285"/>
    </row>
    <row r="47" spans="1:67" ht="13" x14ac:dyDescent="0.6">
      <c r="A47" s="251" t="s">
        <v>965</v>
      </c>
      <c r="B47" s="251" t="s">
        <v>983</v>
      </c>
      <c r="C47" s="252" t="s">
        <v>404</v>
      </c>
      <c r="D47" s="253">
        <v>16.069898577309601</v>
      </c>
      <c r="E47" s="253">
        <v>0.73087122662807502</v>
      </c>
      <c r="F47" s="253">
        <v>-1.2417681113093799</v>
      </c>
      <c r="G47" s="253">
        <v>-1.2197391260425601</v>
      </c>
      <c r="H47" s="253">
        <v>0.26166800045907102</v>
      </c>
      <c r="I47" s="253">
        <v>-4.3770661580007699</v>
      </c>
      <c r="J47" s="253">
        <v>9.6824944931386998</v>
      </c>
      <c r="K47" s="253">
        <v>5.8689849586086202</v>
      </c>
      <c r="L47" s="253">
        <v>6.75143228075508</v>
      </c>
      <c r="M47" s="253">
        <v>0.33113259640396697</v>
      </c>
      <c r="N47" s="253">
        <v>10.5846355666969</v>
      </c>
      <c r="O47" s="253">
        <v>1.4851845146145</v>
      </c>
      <c r="P47" s="253">
        <v>2.96045501142352</v>
      </c>
      <c r="Q47" s="253">
        <v>3.3731422981420699E-2</v>
      </c>
      <c r="R47" s="253">
        <v>3.5788902495650401</v>
      </c>
      <c r="S47" s="253">
        <v>9.1199208792897206</v>
      </c>
      <c r="T47" s="253">
        <v>0.96174407719907395</v>
      </c>
      <c r="U47" s="253">
        <v>-6.9319079185756198</v>
      </c>
      <c r="V47" s="253">
        <v>-13.846875056351299</v>
      </c>
      <c r="W47" s="253">
        <v>-32.270865047280999</v>
      </c>
      <c r="X47" s="254">
        <v>9.8484498640354001</v>
      </c>
      <c r="Y47" s="254">
        <v>22.883692581256199</v>
      </c>
      <c r="Z47" s="254">
        <v>-2.3741882193487598</v>
      </c>
      <c r="AA47" s="254">
        <v>-16.420788866194702</v>
      </c>
      <c r="AB47" s="254">
        <v>25.9061615802629</v>
      </c>
      <c r="AC47" s="254">
        <v>37.943179017346502</v>
      </c>
      <c r="AD47" s="254">
        <v>5.4700079890075699</v>
      </c>
      <c r="AE47" s="254">
        <v>13.4011428937301</v>
      </c>
      <c r="AF47" s="254">
        <v>12.6246770858943</v>
      </c>
      <c r="AG47" s="254">
        <v>-12.2516352347855</v>
      </c>
      <c r="AH47" s="254">
        <v>8.7707619319339098</v>
      </c>
      <c r="AI47" s="254">
        <v>10.4583857144252</v>
      </c>
      <c r="AJ47" s="254">
        <v>4.3875061954061403</v>
      </c>
      <c r="AK47" s="254">
        <v>-0.45572718537770501</v>
      </c>
      <c r="AL47" s="254">
        <v>0.69613531203462697</v>
      </c>
      <c r="AM47" s="254">
        <v>-5.49365172526075</v>
      </c>
      <c r="AN47" s="254">
        <v>-4.6683272206082496</v>
      </c>
      <c r="AO47" s="254">
        <v>-1.93501722500548</v>
      </c>
      <c r="AP47" s="254">
        <v>11.4674883893216</v>
      </c>
      <c r="AQ47" s="254">
        <v>1.08804250180743</v>
      </c>
      <c r="AR47" s="254">
        <v>-1.8666334202552799</v>
      </c>
      <c r="AS47" s="254">
        <v>7.0803430845042401</v>
      </c>
      <c r="AT47" s="254">
        <v>7.5263548776447502</v>
      </c>
      <c r="AU47" s="253">
        <v>3.8812540513294098</v>
      </c>
      <c r="AV47" s="253">
        <v>1.38317401259031</v>
      </c>
      <c r="AW47" s="253">
        <v>0.38977735766733301</v>
      </c>
      <c r="AX47" s="253">
        <v>0.94074619881612598</v>
      </c>
      <c r="AY47" s="253">
        <v>1.1482963515059901</v>
      </c>
      <c r="AZ47" s="253">
        <v>1.1444000501931999</v>
      </c>
      <c r="BA47" s="253">
        <v>1.4045666330897399</v>
      </c>
      <c r="BB47" s="253">
        <v>1.3664536957714299</v>
      </c>
      <c r="BC47" s="202">
        <f t="shared" ref="BC47:BC49" si="3">BA47-AZ47</f>
        <v>0.26016658289654004</v>
      </c>
      <c r="BD47" s="152"/>
      <c r="BE47" s="152"/>
      <c r="BF47" s="152"/>
      <c r="BG47" s="152"/>
      <c r="BH47" s="152"/>
      <c r="BI47" s="152"/>
      <c r="BJ47" s="152"/>
      <c r="BK47" s="152"/>
      <c r="BL47" s="152"/>
      <c r="BM47" s="152"/>
      <c r="BN47" s="152"/>
      <c r="BO47" s="152"/>
    </row>
    <row r="48" spans="1:67" ht="13" x14ac:dyDescent="0.6">
      <c r="A48" s="251" t="s">
        <v>965</v>
      </c>
      <c r="B48" s="251" t="s">
        <v>984</v>
      </c>
      <c r="C48" s="252" t="s">
        <v>405</v>
      </c>
      <c r="D48" s="253">
        <v>21.733972763023498</v>
      </c>
      <c r="E48" s="253">
        <v>-3.8869276522316798</v>
      </c>
      <c r="F48" s="253">
        <v>-7.93630909139124</v>
      </c>
      <c r="G48" s="253">
        <v>-5.81675518461451</v>
      </c>
      <c r="H48" s="253">
        <v>-3.1955731676455099</v>
      </c>
      <c r="I48" s="253">
        <v>9.0122779680802303</v>
      </c>
      <c r="J48" s="253">
        <v>7.3868420600590303</v>
      </c>
      <c r="K48" s="253">
        <v>13.378736187645201</v>
      </c>
      <c r="L48" s="253">
        <v>6.6211791450891502</v>
      </c>
      <c r="M48" s="253">
        <v>2.0169796330618399</v>
      </c>
      <c r="N48" s="253">
        <v>7.5464269983066199</v>
      </c>
      <c r="O48" s="253">
        <v>-2.4007984295644</v>
      </c>
      <c r="P48" s="253">
        <v>3.10733019246869</v>
      </c>
      <c r="Q48" s="253">
        <v>-4.7076836597637204</v>
      </c>
      <c r="R48" s="253">
        <v>2.8148674068166399</v>
      </c>
      <c r="S48" s="253">
        <v>10.2097746853996</v>
      </c>
      <c r="T48" s="253">
        <v>-2.0928776451041</v>
      </c>
      <c r="U48" s="253">
        <v>-7.9359846934809903</v>
      </c>
      <c r="V48" s="253">
        <v>-18.837409465304798</v>
      </c>
      <c r="W48" s="253">
        <v>-31.683325624140501</v>
      </c>
      <c r="X48" s="254">
        <v>21.397328709452399</v>
      </c>
      <c r="Y48" s="254">
        <v>25.491667035589298</v>
      </c>
      <c r="Z48" s="254">
        <v>-2.8807953426725699</v>
      </c>
      <c r="AA48" s="254">
        <v>-15.6870025959151</v>
      </c>
      <c r="AB48" s="254">
        <v>27.8321312971201</v>
      </c>
      <c r="AC48" s="254">
        <v>29.7870773235305</v>
      </c>
      <c r="AD48" s="254">
        <v>10.530826113884</v>
      </c>
      <c r="AE48" s="254">
        <v>13.014135514359801</v>
      </c>
      <c r="AF48" s="254">
        <v>12.4354462038007</v>
      </c>
      <c r="AG48" s="254">
        <v>-13.4277174974182</v>
      </c>
      <c r="AH48" s="254">
        <v>8.6282623680052595</v>
      </c>
      <c r="AI48" s="254">
        <v>12.0502585898671</v>
      </c>
      <c r="AJ48" s="254">
        <v>6.2507963003602702</v>
      </c>
      <c r="AK48" s="254">
        <v>-0.64823623929756102</v>
      </c>
      <c r="AL48" s="254">
        <v>0.32308049560532198</v>
      </c>
      <c r="AM48" s="254">
        <v>-4.9478711009225496</v>
      </c>
      <c r="AN48" s="254">
        <v>-3.1035855229912199</v>
      </c>
      <c r="AO48" s="254">
        <v>-3.12584127925239</v>
      </c>
      <c r="AP48" s="254">
        <v>12.0364589553873</v>
      </c>
      <c r="AQ48" s="254">
        <v>1.78786490163984</v>
      </c>
      <c r="AR48" s="254">
        <v>-3.6216792338112</v>
      </c>
      <c r="AS48" s="254">
        <v>13.820785196389799</v>
      </c>
      <c r="AT48" s="254">
        <v>9.7918074140272093</v>
      </c>
      <c r="AU48" s="253">
        <v>-0.86337869279426604</v>
      </c>
      <c r="AV48" s="253">
        <v>1.2992062161440601</v>
      </c>
      <c r="AW48" s="253">
        <v>0.29928721077144999</v>
      </c>
      <c r="AX48" s="253">
        <v>0.80519563679026696</v>
      </c>
      <c r="AY48" s="253">
        <v>1.1138494233922001</v>
      </c>
      <c r="AZ48" s="253">
        <v>1.1613403135625899</v>
      </c>
      <c r="BA48" s="253">
        <v>1.35076006557564</v>
      </c>
      <c r="BB48" s="253">
        <v>1.2979031778347301</v>
      </c>
      <c r="BC48" s="202">
        <f t="shared" si="3"/>
        <v>0.18941975201305006</v>
      </c>
      <c r="BD48" s="152"/>
      <c r="BE48" s="152"/>
      <c r="BF48" s="152"/>
      <c r="BG48" s="152"/>
      <c r="BH48" s="152"/>
      <c r="BI48" s="152"/>
      <c r="BJ48" s="152"/>
      <c r="BK48" s="152"/>
      <c r="BL48" s="152"/>
      <c r="BM48" s="152"/>
      <c r="BN48" s="152"/>
      <c r="BO48" s="152"/>
    </row>
    <row r="49" spans="1:67" ht="13" x14ac:dyDescent="0.6">
      <c r="A49" s="251" t="s">
        <v>965</v>
      </c>
      <c r="B49" s="251" t="s">
        <v>985</v>
      </c>
      <c r="C49" s="252" t="s">
        <v>406</v>
      </c>
      <c r="D49" s="253">
        <v>18.9897302262045</v>
      </c>
      <c r="E49" s="253">
        <v>-3.0362247263000701</v>
      </c>
      <c r="F49" s="253">
        <v>-7.3892662217287901</v>
      </c>
      <c r="G49" s="253">
        <v>-5.7927857531914499</v>
      </c>
      <c r="H49" s="253">
        <v>-3.7854725505937799</v>
      </c>
      <c r="I49" s="253">
        <v>8.8665989952788298</v>
      </c>
      <c r="J49" s="253">
        <v>12.006111524059699</v>
      </c>
      <c r="K49" s="253">
        <v>11.0862938149637</v>
      </c>
      <c r="L49" s="253">
        <v>18.8716481865685</v>
      </c>
      <c r="M49" s="253">
        <v>0.88775060631222402</v>
      </c>
      <c r="N49" s="253">
        <v>6.7557334145815204</v>
      </c>
      <c r="O49" s="253">
        <v>-1.3246895969916499</v>
      </c>
      <c r="P49" s="253">
        <v>3.4302069187240001</v>
      </c>
      <c r="Q49" s="253">
        <v>-4.6048334576753103</v>
      </c>
      <c r="R49" s="253">
        <v>2.9123511620095801</v>
      </c>
      <c r="S49" s="253">
        <v>9.30349294549438</v>
      </c>
      <c r="T49" s="253">
        <v>-2.29711240123775</v>
      </c>
      <c r="U49" s="253">
        <v>-7.6593656161609598</v>
      </c>
      <c r="V49" s="253">
        <v>-18.2606564831535</v>
      </c>
      <c r="W49" s="253">
        <v>-32.6861837000924</v>
      </c>
      <c r="X49" s="254">
        <v>17.332813163511499</v>
      </c>
      <c r="Y49" s="254">
        <v>29.520498429113299</v>
      </c>
      <c r="Z49" s="254">
        <v>-3.2364890136041602</v>
      </c>
      <c r="AA49" s="254">
        <v>-16.805956620764299</v>
      </c>
      <c r="AB49" s="254">
        <v>26.596328401922499</v>
      </c>
      <c r="AC49" s="254">
        <v>27.320838524033899</v>
      </c>
      <c r="AD49" s="254">
        <v>8.0774751957641797</v>
      </c>
      <c r="AE49" s="254">
        <v>15.752606371478899</v>
      </c>
      <c r="AF49" s="254">
        <v>9.9904058511332305</v>
      </c>
      <c r="AG49" s="254">
        <v>-10.6606945388061</v>
      </c>
      <c r="AH49" s="254">
        <v>7.2635638181164097</v>
      </c>
      <c r="AI49" s="254">
        <v>10.3857994590524</v>
      </c>
      <c r="AJ49" s="254">
        <v>6.0712266354448898</v>
      </c>
      <c r="AK49" s="254">
        <v>-0.76705670233828305</v>
      </c>
      <c r="AL49" s="254">
        <v>1.04834525949112</v>
      </c>
      <c r="AM49" s="254">
        <v>0.56958822390851704</v>
      </c>
      <c r="AN49" s="254">
        <v>-1.2650775194141901</v>
      </c>
      <c r="AO49" s="254">
        <v>-5.5534823106658502</v>
      </c>
      <c r="AP49" s="254">
        <v>10.230699178399201</v>
      </c>
      <c r="AQ49" s="254">
        <v>2.67403763466629</v>
      </c>
      <c r="AR49" s="254">
        <v>-0.245939197417223</v>
      </c>
      <c r="AS49" s="254">
        <v>9.9175709922827</v>
      </c>
      <c r="AT49" s="255">
        <v>7.3043355889838004</v>
      </c>
      <c r="AU49" s="255">
        <v>0.38251782992733402</v>
      </c>
      <c r="AV49" s="255">
        <v>0.97256438374028198</v>
      </c>
      <c r="AW49" s="255">
        <v>2.9181537923162302</v>
      </c>
      <c r="AX49" s="255">
        <v>2.4131416387899498</v>
      </c>
      <c r="AY49" s="255">
        <v>1.31916436242782</v>
      </c>
      <c r="AZ49" s="253">
        <v>1.1028727914025001</v>
      </c>
      <c r="BA49" s="253">
        <v>1.2940758326171</v>
      </c>
      <c r="BB49" s="253">
        <v>1.35880055675212</v>
      </c>
      <c r="BC49" s="202">
        <f t="shared" si="3"/>
        <v>0.19120304121459997</v>
      </c>
      <c r="BD49" s="152"/>
      <c r="BE49" s="152"/>
      <c r="BF49" s="152"/>
      <c r="BG49" s="152"/>
      <c r="BH49" s="152"/>
      <c r="BI49" s="152"/>
      <c r="BJ49" s="152"/>
      <c r="BK49" s="152"/>
      <c r="BL49" s="152"/>
      <c r="BM49" s="152"/>
      <c r="BN49" s="152"/>
      <c r="BO49" s="152"/>
    </row>
    <row r="50" spans="1:67" ht="13" x14ac:dyDescent="0.6">
      <c r="A50" s="64"/>
      <c r="B50" s="64"/>
      <c r="C50" s="146"/>
      <c r="D50" s="177"/>
      <c r="E50" s="177"/>
      <c r="F50" s="177"/>
      <c r="G50" s="177"/>
      <c r="H50" s="177"/>
      <c r="I50" s="177"/>
      <c r="J50" s="177"/>
      <c r="K50" s="177"/>
      <c r="L50" s="177"/>
      <c r="M50" s="177"/>
      <c r="N50" s="177"/>
      <c r="O50" s="177"/>
      <c r="P50" s="177"/>
      <c r="Q50" s="177"/>
      <c r="R50" s="177"/>
      <c r="S50" s="177"/>
      <c r="T50" s="177"/>
      <c r="U50" s="177"/>
      <c r="V50" s="177"/>
      <c r="W50" s="177"/>
      <c r="X50" s="146"/>
      <c r="Y50" s="146"/>
      <c r="Z50" s="146"/>
      <c r="AA50" s="146"/>
      <c r="AB50" s="146"/>
      <c r="AC50" s="146"/>
      <c r="AD50" s="146"/>
      <c r="AE50" s="146"/>
      <c r="AF50" s="146"/>
      <c r="AG50" s="146"/>
      <c r="AH50" s="146"/>
      <c r="AI50" s="146"/>
      <c r="AJ50" s="146"/>
      <c r="AK50" s="146"/>
      <c r="AL50" s="146"/>
      <c r="AM50" s="146"/>
      <c r="AN50" s="146"/>
      <c r="AO50" s="146"/>
      <c r="AP50" s="146"/>
      <c r="AQ50" s="146"/>
      <c r="AR50" s="146"/>
      <c r="AS50" s="146"/>
      <c r="AT50" s="146"/>
      <c r="AU50" s="146"/>
      <c r="AV50" s="146"/>
      <c r="AW50" s="146"/>
      <c r="AX50" s="146"/>
      <c r="AY50" s="146"/>
      <c r="AZ50" s="146"/>
      <c r="BA50" s="152"/>
      <c r="BB50" s="152"/>
      <c r="BC50" s="152"/>
      <c r="BD50" s="152"/>
      <c r="BE50" s="152"/>
      <c r="BF50" s="152"/>
      <c r="BG50" s="152"/>
      <c r="BH50" s="152"/>
      <c r="BI50" s="152"/>
      <c r="BJ50" s="152"/>
      <c r="BK50" s="152"/>
      <c r="BL50" s="152"/>
      <c r="BM50" s="152"/>
      <c r="BN50" s="152"/>
      <c r="BO50" s="152"/>
    </row>
    <row r="51" spans="1:67" ht="13" x14ac:dyDescent="0.6">
      <c r="A51" s="64"/>
      <c r="B51" s="64"/>
      <c r="C51" s="79" t="s">
        <v>399</v>
      </c>
      <c r="D51" s="178"/>
      <c r="E51" s="178"/>
      <c r="F51" s="178"/>
      <c r="G51" s="178"/>
      <c r="H51" s="178"/>
      <c r="I51" s="178"/>
      <c r="J51" s="178"/>
      <c r="K51" s="178"/>
      <c r="L51" s="178"/>
      <c r="M51" s="178"/>
      <c r="N51" s="178"/>
      <c r="O51" s="178"/>
      <c r="P51" s="178"/>
      <c r="Q51" s="178"/>
      <c r="R51" s="178"/>
      <c r="S51" s="178"/>
      <c r="T51" s="178"/>
      <c r="U51" s="178"/>
      <c r="V51" s="178"/>
      <c r="W51" s="178"/>
      <c r="X51" s="278" t="s">
        <v>415</v>
      </c>
      <c r="Y51" s="278"/>
      <c r="Z51" s="278"/>
      <c r="AA51" s="278"/>
      <c r="AB51" s="278"/>
      <c r="AC51" s="278"/>
      <c r="AD51" s="278"/>
      <c r="AE51" s="278"/>
      <c r="AF51" s="278"/>
      <c r="AG51" s="278"/>
      <c r="AH51" s="278"/>
      <c r="AI51" s="278"/>
      <c r="AJ51" s="278"/>
      <c r="AK51" s="278"/>
      <c r="AL51" s="278"/>
      <c r="AM51" s="278"/>
      <c r="AN51" s="278"/>
      <c r="AO51" s="278"/>
      <c r="AP51" s="278"/>
      <c r="AQ51" s="278"/>
      <c r="AR51" s="278"/>
      <c r="AS51" s="278"/>
      <c r="AT51" s="285" t="s">
        <v>140</v>
      </c>
      <c r="AU51" s="285"/>
      <c r="AV51" s="285"/>
      <c r="AW51" s="285"/>
      <c r="AX51" s="285"/>
      <c r="AY51" s="285"/>
      <c r="AZ51" s="285"/>
      <c r="BA51" s="285"/>
      <c r="BB51" s="285"/>
      <c r="BC51" s="285"/>
      <c r="BD51" s="285"/>
      <c r="BE51" s="285"/>
      <c r="BF51" s="285"/>
      <c r="BG51" s="285"/>
      <c r="BH51" s="285"/>
      <c r="BI51" s="285"/>
      <c r="BJ51" s="285"/>
      <c r="BK51" s="285"/>
      <c r="BL51" s="285"/>
      <c r="BM51" s="285"/>
      <c r="BN51" s="285"/>
      <c r="BO51" s="285"/>
    </row>
    <row r="52" spans="1:67" ht="13" x14ac:dyDescent="0.6">
      <c r="A52" s="64"/>
      <c r="B52" s="64"/>
      <c r="C52" s="146"/>
      <c r="D52" s="177"/>
      <c r="E52" s="177"/>
      <c r="F52" s="177"/>
      <c r="G52" s="177"/>
      <c r="H52" s="177"/>
      <c r="I52" s="177"/>
      <c r="J52" s="177"/>
      <c r="K52" s="177"/>
      <c r="L52" s="177"/>
      <c r="M52" s="177"/>
      <c r="N52" s="177"/>
      <c r="O52" s="177"/>
      <c r="P52" s="177"/>
      <c r="Q52" s="177"/>
      <c r="R52" s="177"/>
      <c r="S52" s="177"/>
      <c r="T52" s="177"/>
      <c r="U52" s="177"/>
      <c r="V52" s="177"/>
      <c r="W52" s="177"/>
      <c r="X52" s="146"/>
      <c r="Y52" s="146"/>
      <c r="Z52" s="146"/>
      <c r="AA52" s="146"/>
      <c r="AB52" s="146"/>
      <c r="AC52" s="146"/>
      <c r="AD52" s="146"/>
      <c r="AE52" s="146"/>
      <c r="AF52" s="146"/>
      <c r="AG52" s="146"/>
      <c r="AH52" s="146"/>
      <c r="AI52" s="146"/>
      <c r="AJ52" s="146"/>
      <c r="AK52" s="146"/>
      <c r="AL52" s="146"/>
      <c r="AM52" s="146"/>
      <c r="AN52" s="146"/>
      <c r="AO52" s="146"/>
      <c r="AP52" s="146"/>
      <c r="AQ52" s="146"/>
      <c r="AR52" s="146"/>
      <c r="AS52" s="148"/>
      <c r="AT52" s="148"/>
      <c r="AU52" s="152"/>
      <c r="AV52" s="152"/>
      <c r="AW52" s="152"/>
      <c r="AX52" s="152"/>
      <c r="AY52" s="152"/>
      <c r="AZ52" s="152"/>
      <c r="BA52" s="152"/>
      <c r="BB52" s="152"/>
      <c r="BC52" s="152"/>
      <c r="BD52" s="152"/>
      <c r="BE52" s="152"/>
      <c r="BF52" s="152"/>
      <c r="BG52" s="152"/>
      <c r="BH52" s="152"/>
      <c r="BI52" s="152"/>
      <c r="BJ52" s="152"/>
      <c r="BK52" s="152"/>
      <c r="BL52" s="152"/>
      <c r="BM52" s="152"/>
      <c r="BN52" s="152"/>
      <c r="BO52" s="152"/>
    </row>
    <row r="53" spans="1:67" ht="13" x14ac:dyDescent="0.6">
      <c r="A53" s="251" t="s">
        <v>965</v>
      </c>
      <c r="B53" s="251" t="s">
        <v>986</v>
      </c>
      <c r="C53" s="252" t="s">
        <v>416</v>
      </c>
      <c r="D53" s="253">
        <v>14.7365393058815</v>
      </c>
      <c r="E53" s="253">
        <v>-8.4613240121071502</v>
      </c>
      <c r="F53" s="253">
        <v>-5.2876894216223</v>
      </c>
      <c r="G53" s="253">
        <v>-7.65772642564378</v>
      </c>
      <c r="H53" s="253">
        <v>-10.1204270839056</v>
      </c>
      <c r="I53" s="253">
        <v>2.1868463195058898</v>
      </c>
      <c r="J53" s="253">
        <v>21.883818308226399</v>
      </c>
      <c r="K53" s="253">
        <v>15.0286248413005</v>
      </c>
      <c r="L53" s="253">
        <v>5.1375035871517003</v>
      </c>
      <c r="M53" s="253">
        <v>-1.70164328786375</v>
      </c>
      <c r="N53" s="253">
        <v>16.434788761748099</v>
      </c>
      <c r="O53" s="253">
        <v>5.0199224517407304</v>
      </c>
      <c r="P53" s="253">
        <v>4.7074821556661899</v>
      </c>
      <c r="Q53" s="253">
        <v>-7.0117733227420498</v>
      </c>
      <c r="R53" s="253">
        <v>1.97922272596155</v>
      </c>
      <c r="S53" s="253">
        <v>5.9675046340890399</v>
      </c>
      <c r="T53" s="253">
        <v>0.67448176844858299</v>
      </c>
      <c r="U53" s="253">
        <v>-3.6208495599703001</v>
      </c>
      <c r="V53" s="253">
        <v>0.45124169153388799</v>
      </c>
      <c r="W53" s="253">
        <v>-2.2045879488247402</v>
      </c>
      <c r="X53" s="254">
        <v>-8.1011608983201793</v>
      </c>
      <c r="Y53" s="254">
        <v>-0.65604027366723705</v>
      </c>
      <c r="Z53" s="254">
        <v>4.2405705047110898</v>
      </c>
      <c r="AA53" s="254">
        <v>10.2239954205261</v>
      </c>
      <c r="AB53" s="254">
        <v>4.5491247825177199</v>
      </c>
      <c r="AC53" s="254">
        <v>-0.99101511211917304</v>
      </c>
      <c r="AD53" s="254">
        <v>-0.40992690372088397</v>
      </c>
      <c r="AE53" s="254">
        <v>5.6807679275902698</v>
      </c>
      <c r="AF53" s="254">
        <v>7.4584132226826698</v>
      </c>
      <c r="AG53" s="254">
        <v>-0.50704682044601201</v>
      </c>
      <c r="AH53" s="254">
        <v>-5.0001857396506999</v>
      </c>
      <c r="AI53" s="254">
        <v>7.1628446486526496</v>
      </c>
      <c r="AJ53" s="254">
        <v>-0.42707668943572602</v>
      </c>
      <c r="AK53" s="254">
        <v>3.9752124347042299</v>
      </c>
      <c r="AL53" s="254">
        <v>1.19839657643185</v>
      </c>
      <c r="AM53" s="254">
        <v>-8.8352084116028209</v>
      </c>
      <c r="AN53" s="254">
        <v>-2.5095835222073202</v>
      </c>
      <c r="AO53" s="254">
        <v>9.7561509305406996E-2</v>
      </c>
      <c r="AP53" s="254">
        <v>4.2049100557852102</v>
      </c>
      <c r="AQ53" s="254">
        <v>-0.29206990637866498</v>
      </c>
      <c r="AR53" s="254">
        <v>5.62171744294284</v>
      </c>
      <c r="AS53" s="254">
        <v>0.68236552001061601</v>
      </c>
      <c r="AT53" s="254">
        <v>-4.0467681542975997</v>
      </c>
      <c r="AU53" s="253">
        <v>5.3326586324666003</v>
      </c>
      <c r="AV53" s="253">
        <v>2.92503060454627</v>
      </c>
      <c r="AW53" s="253">
        <v>4.7787394322150698</v>
      </c>
      <c r="AX53" s="253">
        <v>5.2069165476411303</v>
      </c>
      <c r="AY53" s="253">
        <v>1.93545296077796</v>
      </c>
      <c r="AZ53" s="253">
        <v>1.85241982360724</v>
      </c>
      <c r="BA53" s="253">
        <v>1.83466447893939</v>
      </c>
      <c r="BB53" s="253">
        <v>1.8752648775651499</v>
      </c>
      <c r="BC53" s="202">
        <f t="shared" ref="BC53" si="4">BA53-AZ53</f>
        <v>-1.7755344667850004E-2</v>
      </c>
      <c r="BD53" s="152"/>
      <c r="BE53" s="152"/>
      <c r="BF53" s="152"/>
      <c r="BG53" s="152"/>
      <c r="BH53" s="152"/>
      <c r="BI53" s="152"/>
      <c r="BJ53" s="152"/>
      <c r="BK53" s="152"/>
      <c r="BL53" s="152"/>
      <c r="BM53" s="152"/>
      <c r="BN53" s="152"/>
      <c r="BO53" s="152"/>
    </row>
    <row r="54" spans="1:67" ht="13" x14ac:dyDescent="0.6">
      <c r="A54" s="64"/>
      <c r="B54" s="64"/>
      <c r="C54" s="146"/>
      <c r="D54" s="177"/>
      <c r="E54" s="177"/>
      <c r="F54" s="177"/>
      <c r="G54" s="177"/>
      <c r="H54" s="177"/>
      <c r="I54" s="177"/>
      <c r="J54" s="177"/>
      <c r="K54" s="177"/>
      <c r="L54" s="177"/>
      <c r="M54" s="177"/>
      <c r="N54" s="177"/>
      <c r="O54" s="177"/>
      <c r="P54" s="177"/>
      <c r="Q54" s="177"/>
      <c r="R54" s="177"/>
      <c r="S54" s="177"/>
      <c r="T54" s="177"/>
      <c r="U54" s="177"/>
      <c r="V54" s="177"/>
      <c r="W54" s="177"/>
      <c r="X54" s="146"/>
      <c r="Y54" s="146"/>
      <c r="Z54" s="146"/>
      <c r="AA54" s="146"/>
      <c r="AB54" s="146"/>
      <c r="AC54" s="146"/>
      <c r="AD54" s="146"/>
      <c r="AE54" s="146"/>
      <c r="AF54" s="146"/>
      <c r="AG54" s="146"/>
      <c r="AH54" s="146"/>
      <c r="AI54" s="146"/>
      <c r="AJ54" s="146"/>
      <c r="AK54" s="146"/>
      <c r="AL54" s="146"/>
      <c r="AM54" s="146"/>
      <c r="AN54" s="146"/>
      <c r="AO54" s="146"/>
      <c r="AP54" s="146"/>
      <c r="AQ54" s="146"/>
      <c r="AR54" s="146"/>
      <c r="AS54" s="146"/>
      <c r="AT54" s="148"/>
      <c r="AU54" s="152"/>
      <c r="AV54" s="152"/>
      <c r="AW54" s="152"/>
      <c r="AX54" s="152"/>
      <c r="AY54" s="152"/>
      <c r="AZ54" s="152"/>
      <c r="BA54" s="152"/>
      <c r="BB54" s="202"/>
      <c r="BC54" s="202"/>
      <c r="BD54" s="152"/>
      <c r="BE54" s="152"/>
      <c r="BF54" s="152"/>
      <c r="BG54" s="152"/>
      <c r="BH54" s="152"/>
      <c r="BI54" s="152"/>
      <c r="BJ54" s="152"/>
      <c r="BK54" s="152"/>
      <c r="BL54" s="152"/>
      <c r="BM54" s="152"/>
      <c r="BN54" s="152"/>
      <c r="BO54" s="152"/>
    </row>
    <row r="55" spans="1:67" ht="14.5" x14ac:dyDescent="0.6">
      <c r="A55" s="64"/>
      <c r="B55" s="64"/>
      <c r="C55" s="149" t="s">
        <v>417</v>
      </c>
      <c r="D55" s="179"/>
      <c r="E55" s="179"/>
      <c r="F55" s="179"/>
      <c r="G55" s="179"/>
      <c r="H55" s="179"/>
      <c r="I55" s="179"/>
      <c r="J55" s="179"/>
      <c r="K55" s="179"/>
      <c r="L55" s="179"/>
      <c r="M55" s="179"/>
      <c r="N55" s="179"/>
      <c r="O55" s="179"/>
      <c r="P55" s="179"/>
      <c r="Q55" s="179"/>
      <c r="R55" s="179"/>
      <c r="S55" s="179"/>
      <c r="T55" s="179"/>
      <c r="U55" s="179"/>
      <c r="V55" s="179"/>
      <c r="W55" s="179"/>
      <c r="X55" s="278" t="s">
        <v>411</v>
      </c>
      <c r="Y55" s="278"/>
      <c r="Z55" s="278"/>
      <c r="AA55" s="278"/>
      <c r="AB55" s="278"/>
      <c r="AC55" s="278"/>
      <c r="AD55" s="278"/>
      <c r="AE55" s="278"/>
      <c r="AF55" s="278"/>
      <c r="AG55" s="278"/>
      <c r="AH55" s="278"/>
      <c r="AI55" s="278"/>
      <c r="AJ55" s="278"/>
      <c r="AK55" s="278"/>
      <c r="AL55" s="278"/>
      <c r="AM55" s="278"/>
      <c r="AN55" s="278"/>
      <c r="AO55" s="278"/>
      <c r="AP55" s="278"/>
      <c r="AQ55" s="278"/>
      <c r="AR55" s="278"/>
      <c r="AS55" s="278"/>
      <c r="AT55" s="285" t="s">
        <v>140</v>
      </c>
      <c r="AU55" s="285"/>
      <c r="AV55" s="285"/>
      <c r="AW55" s="285"/>
      <c r="AX55" s="285"/>
      <c r="AY55" s="285"/>
      <c r="AZ55" s="285"/>
      <c r="BA55" s="285"/>
      <c r="BB55" s="285"/>
      <c r="BC55" s="285"/>
      <c r="BD55" s="285"/>
      <c r="BE55" s="285"/>
      <c r="BF55" s="285"/>
      <c r="BG55" s="285"/>
      <c r="BH55" s="285"/>
      <c r="BI55" s="285"/>
      <c r="BJ55" s="285"/>
      <c r="BK55" s="285"/>
      <c r="BL55" s="285"/>
      <c r="BM55" s="285"/>
      <c r="BN55" s="285"/>
      <c r="BO55" s="285"/>
    </row>
    <row r="56" spans="1:67" ht="13" x14ac:dyDescent="0.6">
      <c r="A56" s="251" t="s">
        <v>966</v>
      </c>
      <c r="B56" s="251" t="s">
        <v>987</v>
      </c>
      <c r="C56" s="252" t="s">
        <v>418</v>
      </c>
      <c r="D56" s="253">
        <v>17.207078654895501</v>
      </c>
      <c r="E56" s="253">
        <v>4.7422243970413804</v>
      </c>
      <c r="F56" s="253">
        <v>-3.7097662432174601</v>
      </c>
      <c r="G56" s="253">
        <v>-0.48177500708946802</v>
      </c>
      <c r="H56" s="253">
        <v>0.77153705744650802</v>
      </c>
      <c r="I56" s="253">
        <v>-1.6826106751426</v>
      </c>
      <c r="J56" s="253">
        <v>5.7849047987972897</v>
      </c>
      <c r="K56" s="253">
        <v>11.137639082589301</v>
      </c>
      <c r="L56" s="253">
        <v>10.863800459200201</v>
      </c>
      <c r="M56" s="253">
        <v>2.2864532277226002</v>
      </c>
      <c r="N56" s="253">
        <v>1.8306982295529799</v>
      </c>
      <c r="O56" s="253">
        <v>3.9753925123811</v>
      </c>
      <c r="P56" s="253">
        <v>-0.59748651816700304</v>
      </c>
      <c r="Q56" s="253">
        <v>-0.33434128088580201</v>
      </c>
      <c r="R56" s="253">
        <v>1.3594958576876</v>
      </c>
      <c r="S56" s="253">
        <v>4.2217360330331601</v>
      </c>
      <c r="T56" s="253">
        <v>1.3966741401902201</v>
      </c>
      <c r="U56" s="253">
        <v>-3.8618219350443299</v>
      </c>
      <c r="V56" s="253">
        <v>-4.3996950652398299</v>
      </c>
      <c r="W56" s="253">
        <v>-1.1011041190689499</v>
      </c>
      <c r="X56" s="254">
        <v>0.212123144742492</v>
      </c>
      <c r="Y56" s="254">
        <v>-3.32112539664569</v>
      </c>
      <c r="Z56" s="254">
        <v>-1.97301748282225</v>
      </c>
      <c r="AA56" s="254">
        <v>2.8207618358465898</v>
      </c>
      <c r="AB56" s="254">
        <v>6.5571160202876104</v>
      </c>
      <c r="AC56" s="254">
        <v>4.0601998911000896</v>
      </c>
      <c r="AD56" s="254">
        <v>2.2664741225392002</v>
      </c>
      <c r="AE56" s="254">
        <v>3.30493416102501</v>
      </c>
      <c r="AF56" s="254">
        <v>6.0514054333207099</v>
      </c>
      <c r="AG56" s="254">
        <v>-1.9391892538660001</v>
      </c>
      <c r="AH56" s="254">
        <v>2.1131214484603298</v>
      </c>
      <c r="AI56" s="254">
        <v>4.5356028254657001</v>
      </c>
      <c r="AJ56" s="254">
        <v>2.4247539167400101</v>
      </c>
      <c r="AK56" s="254">
        <v>-2.9013170745627699</v>
      </c>
      <c r="AL56" s="254">
        <v>-0.54073717223794404</v>
      </c>
      <c r="AM56" s="254">
        <v>-3.0399231279603298</v>
      </c>
      <c r="AN56" s="254">
        <v>-5.0605676275845504</v>
      </c>
      <c r="AO56" s="254">
        <v>0.14050708819148999</v>
      </c>
      <c r="AP56" s="254">
        <v>2.03822040748565</v>
      </c>
      <c r="AQ56" s="254">
        <v>0.376758377532388</v>
      </c>
      <c r="AR56" s="254">
        <v>-3.0921701902266601</v>
      </c>
      <c r="AS56" s="254">
        <v>6.7429480949681304</v>
      </c>
      <c r="AT56" s="254">
        <v>10.2644295815837</v>
      </c>
      <c r="AU56" s="253">
        <v>-1.74006239418416</v>
      </c>
      <c r="AV56" s="253">
        <v>1.19086046930725</v>
      </c>
      <c r="AW56" s="253">
        <v>0.68408940448023403</v>
      </c>
      <c r="AX56" s="253">
        <v>4.8392498259342498E-2</v>
      </c>
      <c r="AY56" s="253">
        <v>-0.173995047204899</v>
      </c>
      <c r="AZ56" s="253">
        <v>0.52612582163462496</v>
      </c>
      <c r="BA56" s="253">
        <v>0.91794537203389803</v>
      </c>
      <c r="BB56" s="253">
        <v>1.22956754655884</v>
      </c>
      <c r="BC56" s="202">
        <f t="shared" ref="BC56:BC62" si="5">BA56-AZ56</f>
        <v>0.39181955039927308</v>
      </c>
      <c r="BD56" s="152"/>
      <c r="BE56" s="152"/>
      <c r="BF56" s="152"/>
      <c r="BG56" s="152"/>
      <c r="BH56" s="152"/>
      <c r="BI56" s="152"/>
      <c r="BJ56" s="152"/>
      <c r="BK56" s="152"/>
      <c r="BL56" s="152"/>
      <c r="BM56" s="152"/>
      <c r="BN56" s="152"/>
      <c r="BO56" s="152"/>
    </row>
    <row r="57" spans="1:67" ht="13" x14ac:dyDescent="0.6">
      <c r="A57" s="251" t="s">
        <v>966</v>
      </c>
      <c r="B57" s="251" t="s">
        <v>988</v>
      </c>
      <c r="C57" s="252" t="s">
        <v>419</v>
      </c>
      <c r="D57" s="253">
        <v>25.630434190031501</v>
      </c>
      <c r="E57" s="253">
        <v>-2.55750223398167</v>
      </c>
      <c r="F57" s="253">
        <v>-10.8294507919074</v>
      </c>
      <c r="G57" s="253">
        <v>-8.6047641608157708</v>
      </c>
      <c r="H57" s="253">
        <v>-3.4939638863437401</v>
      </c>
      <c r="I57" s="253">
        <v>-4.31779864535799</v>
      </c>
      <c r="J57" s="253">
        <v>-48.076369117792702</v>
      </c>
      <c r="K57" s="253">
        <v>25.850523699536499</v>
      </c>
      <c r="L57" s="253">
        <v>-18.913299953933599</v>
      </c>
      <c r="M57" s="253">
        <v>21.130711050871302</v>
      </c>
      <c r="N57" s="253">
        <v>28.284675495319199</v>
      </c>
      <c r="O57" s="253">
        <v>-15.3303237885359</v>
      </c>
      <c r="P57" s="253">
        <v>-1.7852258011259501</v>
      </c>
      <c r="Q57" s="253">
        <v>-11.543425936945001</v>
      </c>
      <c r="R57" s="253">
        <v>-5.3252686192262502</v>
      </c>
      <c r="S57" s="253">
        <v>8.1709224095778605</v>
      </c>
      <c r="T57" s="253">
        <v>18.8344075272969</v>
      </c>
      <c r="U57" s="253">
        <v>-5.5803375268365203</v>
      </c>
      <c r="V57" s="253">
        <v>-31.6043448038604</v>
      </c>
      <c r="W57" s="253">
        <v>37.3496983266417</v>
      </c>
      <c r="X57" s="254">
        <v>56.612614952787503</v>
      </c>
      <c r="Y57" s="254">
        <v>-13.984177100146599</v>
      </c>
      <c r="Z57" s="254">
        <v>2.0864314886887798</v>
      </c>
      <c r="AA57" s="254">
        <v>15.6333100508441</v>
      </c>
      <c r="AB57" s="254">
        <v>30.7786551005895</v>
      </c>
      <c r="AC57" s="254">
        <v>41.525925893414701</v>
      </c>
      <c r="AD57" s="254">
        <v>20.362484445363599</v>
      </c>
      <c r="AE57" s="254">
        <v>10.539632543626899</v>
      </c>
      <c r="AF57" s="254">
        <v>35.929888825102999</v>
      </c>
      <c r="AG57" s="254">
        <v>-36.444019936656197</v>
      </c>
      <c r="AH57" s="254">
        <v>28.687137759303599</v>
      </c>
      <c r="AI57" s="254">
        <v>31.491985732328999</v>
      </c>
      <c r="AJ57" s="254">
        <v>0.98777641391184601</v>
      </c>
      <c r="AK57" s="254">
        <v>-0.87995369677216795</v>
      </c>
      <c r="AL57" s="254">
        <v>-7.5314880179226096</v>
      </c>
      <c r="AM57" s="254">
        <v>-47.1463001797391</v>
      </c>
      <c r="AN57" s="254">
        <v>-15.022149497565101</v>
      </c>
      <c r="AO57" s="254">
        <v>22.452431023357601</v>
      </c>
      <c r="AP57" s="254">
        <v>29.361225338930399</v>
      </c>
      <c r="AQ57" s="254">
        <v>-10.360330409299699</v>
      </c>
      <c r="AR57" s="254">
        <v>-32.013819483552901</v>
      </c>
      <c r="AS57" s="254">
        <v>65.806664046654006</v>
      </c>
      <c r="AT57" s="255">
        <v>39.151032082957101</v>
      </c>
      <c r="AU57" s="255">
        <v>-16.3624065226441</v>
      </c>
      <c r="AV57" s="255">
        <v>-1.7669942173914901</v>
      </c>
      <c r="AW57" s="255">
        <v>-14.4422139156708</v>
      </c>
      <c r="AX57" s="255">
        <v>-4.4191814579039397</v>
      </c>
      <c r="AY57" s="255">
        <v>-2.8048830250052998</v>
      </c>
      <c r="AZ57" s="253">
        <v>0.81472913452045104</v>
      </c>
      <c r="BA57" s="253">
        <v>1.5602293330633199</v>
      </c>
      <c r="BB57" s="253">
        <v>1.1711425055274001</v>
      </c>
      <c r="BC57" s="202">
        <f t="shared" si="5"/>
        <v>0.74550019854286886</v>
      </c>
      <c r="BD57" s="152"/>
      <c r="BE57" s="152"/>
      <c r="BF57" s="152"/>
      <c r="BG57" s="152"/>
      <c r="BH57" s="152"/>
      <c r="BI57" s="152"/>
      <c r="BJ57" s="152"/>
      <c r="BK57" s="152"/>
      <c r="BL57" s="152"/>
      <c r="BM57" s="152"/>
      <c r="BN57" s="152"/>
      <c r="BO57" s="152"/>
    </row>
    <row r="58" spans="1:67" ht="13" x14ac:dyDescent="0.6">
      <c r="A58" s="64"/>
      <c r="B58" s="64"/>
      <c r="C58" s="146"/>
      <c r="D58" s="146"/>
      <c r="E58" s="146"/>
      <c r="F58" s="146"/>
      <c r="G58" s="146"/>
      <c r="H58" s="146"/>
      <c r="I58" s="146"/>
      <c r="J58" s="146"/>
      <c r="K58" s="146"/>
      <c r="L58" s="146"/>
      <c r="M58" s="146"/>
      <c r="N58" s="146"/>
      <c r="O58" s="146"/>
      <c r="P58" s="146"/>
      <c r="Q58" s="146"/>
      <c r="R58" s="146"/>
      <c r="S58" s="146"/>
      <c r="T58" s="146"/>
      <c r="U58" s="146"/>
      <c r="V58" s="146"/>
      <c r="W58" s="146"/>
      <c r="X58" s="148"/>
      <c r="Y58" s="146"/>
      <c r="Z58" s="146"/>
      <c r="AA58" s="146"/>
      <c r="AB58" s="146"/>
      <c r="AC58" s="146"/>
      <c r="AD58" s="146"/>
      <c r="AE58" s="146"/>
      <c r="AF58" s="146"/>
      <c r="AG58" s="146"/>
      <c r="AH58" s="146"/>
      <c r="AI58" s="146"/>
      <c r="AJ58" s="146"/>
      <c r="AK58" s="146"/>
      <c r="AL58" s="146"/>
      <c r="AM58" s="146"/>
      <c r="AN58" s="146"/>
      <c r="AO58" s="146"/>
      <c r="AP58" s="146"/>
      <c r="AQ58" s="146"/>
      <c r="AR58" s="146"/>
      <c r="AS58" s="146"/>
      <c r="AT58" s="146"/>
      <c r="AU58" s="146"/>
      <c r="AV58" s="146"/>
      <c r="AW58" s="146"/>
      <c r="AX58" s="146"/>
      <c r="AY58" s="146"/>
      <c r="AZ58" s="152"/>
      <c r="BA58" s="152"/>
      <c r="BB58" s="202"/>
      <c r="BC58" s="202"/>
      <c r="BD58" s="152"/>
      <c r="BE58" s="152"/>
      <c r="BF58" s="152"/>
      <c r="BG58" s="152"/>
      <c r="BH58" s="152"/>
      <c r="BI58" s="152"/>
      <c r="BJ58" s="152"/>
      <c r="BK58" s="152"/>
      <c r="BL58" s="152"/>
      <c r="BM58" s="152"/>
      <c r="BN58" s="152"/>
      <c r="BO58" s="152"/>
    </row>
    <row r="59" spans="1:67" ht="13" x14ac:dyDescent="0.6">
      <c r="A59" s="64"/>
      <c r="B59" s="64"/>
      <c r="C59" s="286" t="s">
        <v>446</v>
      </c>
      <c r="D59" s="286"/>
      <c r="E59" s="286"/>
      <c r="F59" s="286"/>
      <c r="G59" s="286"/>
      <c r="H59" s="286"/>
      <c r="I59" s="286"/>
      <c r="J59" s="286"/>
      <c r="K59" s="286"/>
      <c r="L59" s="286"/>
      <c r="M59" s="286"/>
      <c r="N59" s="286"/>
      <c r="O59" s="286"/>
      <c r="P59" s="286"/>
      <c r="Q59" s="286"/>
      <c r="R59" s="286"/>
      <c r="S59" s="286"/>
      <c r="T59" s="286"/>
      <c r="U59" s="286"/>
      <c r="V59" s="286"/>
      <c r="W59" s="286"/>
      <c r="X59" s="286"/>
      <c r="Y59" s="286"/>
      <c r="Z59" s="286"/>
      <c r="AA59" s="286"/>
      <c r="AB59" s="286"/>
      <c r="AC59" s="286"/>
      <c r="AD59" s="286"/>
      <c r="AE59" s="286"/>
      <c r="AF59" s="286"/>
      <c r="AG59" s="286"/>
      <c r="AH59" s="286"/>
      <c r="AI59" s="286"/>
      <c r="AJ59" s="286"/>
      <c r="AK59" s="286"/>
      <c r="AL59" s="286"/>
      <c r="AM59" s="286"/>
      <c r="AN59" s="286"/>
      <c r="AO59" s="286"/>
      <c r="AP59" s="286"/>
      <c r="AQ59" s="286"/>
      <c r="AR59" s="286"/>
      <c r="AS59" s="286"/>
      <c r="AT59" s="148"/>
      <c r="AU59" s="152"/>
      <c r="AV59" s="152"/>
      <c r="AW59" s="152"/>
      <c r="AX59" s="152"/>
      <c r="AY59" s="152"/>
      <c r="AZ59" s="152"/>
      <c r="BA59" s="152"/>
      <c r="BB59" s="202"/>
      <c r="BC59" s="202"/>
      <c r="BD59" s="152"/>
      <c r="BE59" s="152"/>
      <c r="BF59" s="152"/>
      <c r="BG59" s="152"/>
      <c r="BH59" s="152"/>
      <c r="BI59" s="152"/>
      <c r="BJ59" s="152"/>
      <c r="BK59" s="152"/>
      <c r="BL59" s="152"/>
      <c r="BM59" s="152"/>
      <c r="BN59" s="152"/>
      <c r="BO59" s="152"/>
    </row>
    <row r="60" spans="1:67" ht="13" x14ac:dyDescent="0.6">
      <c r="A60" s="64"/>
      <c r="B60" s="64"/>
      <c r="C60" s="146"/>
      <c r="D60" s="146"/>
      <c r="E60" s="146"/>
      <c r="F60" s="146"/>
      <c r="G60" s="146"/>
      <c r="H60" s="146"/>
      <c r="I60" s="146"/>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52"/>
      <c r="BA60" s="152"/>
      <c r="BB60" s="202"/>
      <c r="BC60" s="202"/>
      <c r="BD60" s="152"/>
      <c r="BE60" s="152"/>
      <c r="BF60" s="152"/>
      <c r="BG60" s="152"/>
      <c r="BH60" s="152"/>
      <c r="BI60" s="152"/>
      <c r="BJ60" s="152"/>
      <c r="BK60" s="152"/>
      <c r="BL60" s="152"/>
      <c r="BM60" s="152"/>
      <c r="BN60" s="152"/>
      <c r="BO60" s="152"/>
    </row>
    <row r="61" spans="1:67" ht="13" x14ac:dyDescent="0.6">
      <c r="A61" s="251" t="s">
        <v>965</v>
      </c>
      <c r="B61" s="251" t="s">
        <v>989</v>
      </c>
      <c r="C61" s="252" t="s">
        <v>421</v>
      </c>
      <c r="D61" s="252"/>
      <c r="E61" s="253">
        <v>-14.784151106858401</v>
      </c>
      <c r="F61" s="253">
        <v>-6.5823329813433302</v>
      </c>
      <c r="G61" s="253">
        <v>6.1159031349664899</v>
      </c>
      <c r="H61" s="253">
        <v>2.7862443702695199</v>
      </c>
      <c r="I61" s="253">
        <v>-12.980295662515299</v>
      </c>
      <c r="J61" s="253">
        <v>2.6763784144252498</v>
      </c>
      <c r="K61" s="253">
        <v>-2.49273353119789</v>
      </c>
      <c r="L61" s="253">
        <v>2.3387675036074702</v>
      </c>
      <c r="M61" s="253">
        <v>-3.4235381692283702</v>
      </c>
      <c r="N61" s="253">
        <v>-5.6165732899513303</v>
      </c>
      <c r="O61" s="253">
        <v>-4.4412744503169597</v>
      </c>
      <c r="P61" s="253">
        <v>-2.7093715596428898</v>
      </c>
      <c r="Q61" s="253">
        <v>-2.3559478681597401</v>
      </c>
      <c r="R61" s="253">
        <v>17.563524551148902</v>
      </c>
      <c r="S61" s="253">
        <v>5.7813578940289503</v>
      </c>
      <c r="T61" s="253">
        <v>-4.0088817624459798</v>
      </c>
      <c r="U61" s="253">
        <v>-2.3731094720976502</v>
      </c>
      <c r="V61" s="253">
        <v>-8.8925449147434996</v>
      </c>
      <c r="W61" s="253">
        <v>-5.4650681146275604</v>
      </c>
      <c r="X61" s="254">
        <v>2.0670924605161201</v>
      </c>
      <c r="Y61" s="254">
        <v>-12.932836860148401</v>
      </c>
      <c r="Z61" s="254">
        <v>9.5976650538660593</v>
      </c>
      <c r="AA61" s="254">
        <v>12.086372148097301</v>
      </c>
      <c r="AB61" s="254">
        <v>18.2718492141077</v>
      </c>
      <c r="AC61" s="254">
        <v>8.0298753372480398</v>
      </c>
      <c r="AD61" s="254">
        <v>31.871885097018001</v>
      </c>
      <c r="AE61" s="254">
        <v>25.178038860914398</v>
      </c>
      <c r="AF61" s="254">
        <v>3.96371122791796</v>
      </c>
      <c r="AG61" s="254">
        <v>-7.5179331464462997</v>
      </c>
      <c r="AH61" s="254">
        <v>26.380673796040501</v>
      </c>
      <c r="AI61" s="254">
        <v>21.846161442987501</v>
      </c>
      <c r="AJ61" s="254">
        <v>-4.0724479744595996</v>
      </c>
      <c r="AK61" s="254">
        <v>-12.0760422644081</v>
      </c>
      <c r="AL61" s="254">
        <v>-5.1259016315775696</v>
      </c>
      <c r="AM61" s="254">
        <v>-13.4144406635191</v>
      </c>
      <c r="AN61" s="254">
        <v>1.6863530796124899</v>
      </c>
      <c r="AO61" s="254">
        <v>6.2083711660531096</v>
      </c>
      <c r="AP61" s="254">
        <v>1.0847559566521601</v>
      </c>
      <c r="AQ61" s="254">
        <v>3.94684043347555</v>
      </c>
      <c r="AR61" s="254">
        <v>12.1350248854474</v>
      </c>
      <c r="AS61" s="254">
        <v>20.302392886124899</v>
      </c>
      <c r="AT61" s="255">
        <v>3.4998093954841201</v>
      </c>
      <c r="AU61" s="255">
        <v>3.8148837572892398</v>
      </c>
      <c r="AV61" s="255">
        <v>11.5903195956699</v>
      </c>
      <c r="AW61" s="255">
        <v>26.750884536184302</v>
      </c>
      <c r="AX61" s="255">
        <v>27.357124414663399</v>
      </c>
      <c r="AY61" s="255">
        <v>2.1096412890858001</v>
      </c>
      <c r="AZ61" s="253">
        <v>0.65160660069318299</v>
      </c>
      <c r="BA61" s="253">
        <v>-0.11682905243377099</v>
      </c>
      <c r="BB61" s="253">
        <v>-1.8049231691460901E-2</v>
      </c>
      <c r="BC61" s="202">
        <f t="shared" si="5"/>
        <v>-0.76843565312695394</v>
      </c>
      <c r="BD61" s="152"/>
      <c r="BE61" s="152"/>
      <c r="BF61" s="152"/>
      <c r="BG61" s="152"/>
      <c r="BH61" s="152"/>
      <c r="BI61" s="152"/>
      <c r="BJ61" s="152"/>
      <c r="BK61" s="152"/>
      <c r="BL61" s="152"/>
      <c r="BM61" s="152"/>
      <c r="BN61" s="152"/>
      <c r="BO61" s="152"/>
    </row>
    <row r="62" spans="1:67" ht="13" x14ac:dyDescent="0.6">
      <c r="A62" s="251" t="s">
        <v>965</v>
      </c>
      <c r="B62" s="251" t="s">
        <v>990</v>
      </c>
      <c r="C62" s="252" t="s">
        <v>422</v>
      </c>
      <c r="D62" s="252"/>
      <c r="E62" s="253">
        <v>-11.286166485888399</v>
      </c>
      <c r="F62" s="253">
        <v>-18.353684498863199</v>
      </c>
      <c r="G62" s="253">
        <v>2.2982160812469501</v>
      </c>
      <c r="H62" s="253">
        <v>-1.28252985344253</v>
      </c>
      <c r="I62" s="253">
        <v>-11.5843417091525</v>
      </c>
      <c r="J62" s="253">
        <v>-5.0781962813005004</v>
      </c>
      <c r="K62" s="253">
        <v>9.7647774537638306</v>
      </c>
      <c r="L62" s="253">
        <v>12.177247431739501</v>
      </c>
      <c r="M62" s="253">
        <v>-1.82073447818881</v>
      </c>
      <c r="N62" s="253">
        <v>-3.01177942557986</v>
      </c>
      <c r="O62" s="253">
        <v>-2.9676934160598201</v>
      </c>
      <c r="P62" s="253">
        <v>-1.76701865078094</v>
      </c>
      <c r="Q62" s="253">
        <v>-1.5813635092257301</v>
      </c>
      <c r="R62" s="253">
        <v>10.906378138716001</v>
      </c>
      <c r="S62" s="253">
        <v>10.0253686790732</v>
      </c>
      <c r="T62" s="253">
        <v>0.27410602616673602</v>
      </c>
      <c r="U62" s="253">
        <v>-9.3174998219083403</v>
      </c>
      <c r="V62" s="253">
        <v>-0.69753535016566204</v>
      </c>
      <c r="W62" s="253">
        <v>-14.948886118792201</v>
      </c>
      <c r="X62" s="254">
        <v>-2.6918688979796701</v>
      </c>
      <c r="Y62" s="254">
        <v>-4.3940696263432697</v>
      </c>
      <c r="Z62" s="254">
        <v>12.8285498800516</v>
      </c>
      <c r="AA62" s="254">
        <v>6.8364790176458996</v>
      </c>
      <c r="AB62" s="254">
        <v>11.6622210289365</v>
      </c>
      <c r="AC62" s="254">
        <v>9.3351479941253608</v>
      </c>
      <c r="AD62" s="254">
        <v>16.357259162403</v>
      </c>
      <c r="AE62" s="254">
        <v>18.871359054732601</v>
      </c>
      <c r="AF62" s="254">
        <v>33.722093352121099</v>
      </c>
      <c r="AG62" s="254">
        <v>-10.8301186067945</v>
      </c>
      <c r="AH62" s="254">
        <v>24.604325797417999</v>
      </c>
      <c r="AI62" s="254">
        <v>21.5275241547821</v>
      </c>
      <c r="AJ62" s="254">
        <v>-7.5527769996321599</v>
      </c>
      <c r="AK62" s="254">
        <v>-7.3122704659237803</v>
      </c>
      <c r="AL62" s="254">
        <v>-11.197422326193999</v>
      </c>
      <c r="AM62" s="254">
        <v>-19.166828597246798</v>
      </c>
      <c r="AN62" s="254">
        <v>3.9197920796185501</v>
      </c>
      <c r="AO62" s="254">
        <v>3.0972867258462</v>
      </c>
      <c r="AP62" s="254">
        <v>-0.85380825626502399</v>
      </c>
      <c r="AQ62" s="254">
        <v>4.1140378445049199</v>
      </c>
      <c r="AR62" s="254">
        <v>13.0164483339935</v>
      </c>
      <c r="AS62" s="254">
        <v>27.5530830083353</v>
      </c>
      <c r="AT62" s="254">
        <v>6.3495809986455498</v>
      </c>
      <c r="AU62" s="253">
        <v>-5.8729474565860302</v>
      </c>
      <c r="AV62" s="253">
        <v>1.93057800786296</v>
      </c>
      <c r="AW62" s="253">
        <v>8.8450887295874399</v>
      </c>
      <c r="AX62" s="253">
        <v>18.363196918943501</v>
      </c>
      <c r="AY62" s="253">
        <v>2.29709082992489</v>
      </c>
      <c r="AZ62" s="253">
        <v>0.47755517883631599</v>
      </c>
      <c r="BA62" s="253">
        <v>-0.71291053184792097</v>
      </c>
      <c r="BB62" s="253">
        <v>-0.110950859137187</v>
      </c>
      <c r="BC62" s="202">
        <f t="shared" si="5"/>
        <v>-1.1904657106842369</v>
      </c>
      <c r="BD62" s="152"/>
      <c r="BE62" s="152"/>
      <c r="BF62" s="152"/>
      <c r="BG62" s="152"/>
      <c r="BH62" s="152"/>
      <c r="BI62" s="152"/>
      <c r="BJ62" s="152"/>
      <c r="BK62" s="152"/>
      <c r="BL62" s="152"/>
      <c r="BM62" s="152"/>
      <c r="BN62" s="152"/>
      <c r="BO62" s="152"/>
    </row>
    <row r="63" spans="1:67" ht="13" x14ac:dyDescent="0.6">
      <c r="A63" s="64"/>
      <c r="B63" s="64"/>
      <c r="C63" s="146"/>
      <c r="D63" s="146"/>
      <c r="E63" s="177"/>
      <c r="F63" s="177"/>
      <c r="G63" s="177"/>
      <c r="H63" s="177"/>
      <c r="I63" s="177"/>
      <c r="J63" s="177"/>
      <c r="K63" s="177"/>
      <c r="L63" s="177"/>
      <c r="M63" s="177"/>
      <c r="N63" s="177"/>
      <c r="O63" s="177"/>
      <c r="P63" s="177"/>
      <c r="Q63" s="177"/>
      <c r="R63" s="177"/>
      <c r="S63" s="177"/>
      <c r="T63" s="177"/>
      <c r="U63" s="177"/>
      <c r="V63" s="177"/>
      <c r="W63" s="177"/>
      <c r="X63" s="146"/>
      <c r="Y63" s="146"/>
      <c r="Z63" s="146"/>
      <c r="AA63" s="146"/>
      <c r="AB63" s="146"/>
      <c r="AC63" s="146"/>
      <c r="AD63" s="146"/>
      <c r="AE63" s="146"/>
      <c r="AF63" s="146"/>
      <c r="AG63" s="146"/>
      <c r="AH63" s="146"/>
      <c r="AI63" s="146"/>
      <c r="AJ63" s="146"/>
      <c r="AK63" s="146"/>
      <c r="AL63" s="146"/>
      <c r="AM63" s="146"/>
      <c r="AN63" s="146"/>
      <c r="AO63" s="146"/>
      <c r="AP63" s="146"/>
      <c r="AQ63" s="146"/>
      <c r="AR63" s="146"/>
      <c r="AS63" s="148"/>
      <c r="AT63" s="148"/>
      <c r="AU63" s="152"/>
      <c r="AV63" s="152"/>
      <c r="AW63" s="152"/>
      <c r="AX63" s="152"/>
      <c r="AY63" s="152"/>
      <c r="AZ63" s="152"/>
      <c r="BA63" s="152"/>
      <c r="BB63" s="152"/>
      <c r="BC63" s="152"/>
      <c r="BD63" s="152"/>
      <c r="BE63" s="152"/>
      <c r="BF63" s="152"/>
      <c r="BG63" s="152"/>
      <c r="BH63" s="152"/>
      <c r="BI63" s="152"/>
      <c r="BJ63" s="152"/>
      <c r="BK63" s="152"/>
      <c r="BL63" s="152"/>
      <c r="BM63" s="152"/>
      <c r="BN63" s="152"/>
      <c r="BO63" s="152"/>
    </row>
    <row r="64" spans="1:67" ht="14.5" x14ac:dyDescent="0.6">
      <c r="A64" s="64"/>
      <c r="B64" s="64"/>
      <c r="C64" s="149" t="s">
        <v>423</v>
      </c>
      <c r="D64" s="149"/>
      <c r="E64" s="179"/>
      <c r="F64" s="179"/>
      <c r="G64" s="179"/>
      <c r="H64" s="179"/>
      <c r="I64" s="179"/>
      <c r="J64" s="179"/>
      <c r="K64" s="179"/>
      <c r="L64" s="179"/>
      <c r="M64" s="179"/>
      <c r="N64" s="179"/>
      <c r="O64" s="179"/>
      <c r="P64" s="179"/>
      <c r="Q64" s="179"/>
      <c r="R64" s="179"/>
      <c r="S64" s="179"/>
      <c r="T64" s="179"/>
      <c r="U64" s="179"/>
      <c r="V64" s="179"/>
      <c r="W64" s="179"/>
      <c r="X64" s="146"/>
      <c r="Y64" s="146"/>
      <c r="Z64" s="146"/>
      <c r="AA64" s="146"/>
      <c r="AB64" s="146"/>
      <c r="AC64" s="146"/>
      <c r="AD64" s="146"/>
      <c r="AE64" s="146"/>
      <c r="AF64" s="146"/>
      <c r="AG64" s="146"/>
      <c r="AH64" s="146"/>
      <c r="AI64" s="146"/>
      <c r="AJ64" s="146"/>
      <c r="AK64" s="146"/>
      <c r="AL64" s="146"/>
      <c r="AM64" s="146"/>
      <c r="AN64" s="146"/>
      <c r="AO64" s="146"/>
      <c r="AP64" s="146"/>
      <c r="AQ64" s="146"/>
      <c r="AR64" s="146"/>
      <c r="AS64" s="148"/>
      <c r="AT64" s="148"/>
      <c r="AU64" s="152"/>
      <c r="AV64" s="152"/>
      <c r="AW64" s="152"/>
      <c r="AX64" s="152"/>
      <c r="AY64" s="152"/>
      <c r="AZ64" s="152"/>
      <c r="BA64" s="152"/>
      <c r="BB64" s="152"/>
      <c r="BC64" s="152"/>
      <c r="BD64" s="152"/>
      <c r="BE64" s="152"/>
      <c r="BF64" s="152"/>
      <c r="BG64" s="152"/>
      <c r="BH64" s="152"/>
      <c r="BI64" s="152"/>
      <c r="BJ64" s="152"/>
      <c r="BK64" s="152"/>
      <c r="BL64" s="152"/>
      <c r="BM64" s="152"/>
      <c r="BN64" s="152"/>
      <c r="BO64" s="152"/>
    </row>
    <row r="65" spans="1:67" ht="13" x14ac:dyDescent="0.6">
      <c r="A65" s="64"/>
      <c r="B65" s="64"/>
      <c r="C65" s="146"/>
      <c r="D65" s="146"/>
      <c r="E65" s="177"/>
      <c r="F65" s="177"/>
      <c r="G65" s="177"/>
      <c r="H65" s="177"/>
      <c r="I65" s="177"/>
      <c r="J65" s="177"/>
      <c r="K65" s="177"/>
      <c r="L65" s="177"/>
      <c r="M65" s="177"/>
      <c r="N65" s="177"/>
      <c r="O65" s="177"/>
      <c r="P65" s="177"/>
      <c r="Q65" s="177"/>
      <c r="R65" s="177"/>
      <c r="S65" s="177"/>
      <c r="T65" s="177"/>
      <c r="U65" s="177"/>
      <c r="V65" s="177"/>
      <c r="W65" s="177"/>
      <c r="X65" s="146"/>
      <c r="Y65" s="146"/>
      <c r="Z65" s="146"/>
      <c r="AA65" s="146"/>
      <c r="AB65" s="146"/>
      <c r="AC65" s="146"/>
      <c r="AD65" s="146"/>
      <c r="AE65" s="146"/>
      <c r="AF65" s="146"/>
      <c r="AG65" s="146"/>
      <c r="AH65" s="146"/>
      <c r="AI65" s="146"/>
      <c r="AJ65" s="146"/>
      <c r="AK65" s="146"/>
      <c r="AL65" s="146"/>
      <c r="AM65" s="146"/>
      <c r="AN65" s="146"/>
      <c r="AO65" s="146"/>
      <c r="AP65" s="146"/>
      <c r="AQ65" s="146"/>
      <c r="AR65" s="146"/>
      <c r="AS65" s="148"/>
      <c r="AT65" s="148"/>
      <c r="AU65" s="152"/>
      <c r="AV65" s="152"/>
      <c r="AW65" s="152"/>
      <c r="AX65" s="152"/>
      <c r="AY65" s="152"/>
      <c r="AZ65" s="152"/>
      <c r="BA65" s="152"/>
      <c r="BB65" s="152"/>
      <c r="BC65" s="152"/>
      <c r="BD65" s="152"/>
      <c r="BE65" s="152"/>
      <c r="BF65" s="152"/>
      <c r="BG65" s="152"/>
      <c r="BH65" s="152"/>
      <c r="BI65" s="152"/>
      <c r="BJ65" s="152"/>
      <c r="BK65" s="152"/>
      <c r="BL65" s="152"/>
      <c r="BM65" s="152"/>
      <c r="BN65" s="152"/>
      <c r="BO65" s="152"/>
    </row>
    <row r="66" spans="1:67" ht="13" x14ac:dyDescent="0.6">
      <c r="A66" s="251" t="s">
        <v>965</v>
      </c>
      <c r="B66" s="251" t="s">
        <v>991</v>
      </c>
      <c r="C66" s="252" t="s">
        <v>424</v>
      </c>
      <c r="D66" s="253">
        <v>8.9026739047585899</v>
      </c>
      <c r="E66" s="253">
        <v>-4.6815092151373801</v>
      </c>
      <c r="F66" s="253">
        <v>-5.0961117899317996</v>
      </c>
      <c r="G66" s="253">
        <v>2.7023674497229799</v>
      </c>
      <c r="H66" s="253">
        <v>1.7438662548831101</v>
      </c>
      <c r="I66" s="253">
        <v>-7.1350497995489004</v>
      </c>
      <c r="J66" s="253">
        <v>4.2846814436282399</v>
      </c>
      <c r="K66" s="253">
        <v>4.5594084979416998</v>
      </c>
      <c r="L66" s="253">
        <v>6.7494864846223201</v>
      </c>
      <c r="M66" s="253">
        <v>-0.46927774969057401</v>
      </c>
      <c r="N66" s="253">
        <v>-1.7634712528150001</v>
      </c>
      <c r="O66" s="253">
        <v>-8.6622342503327995E-2</v>
      </c>
      <c r="P66" s="253">
        <v>-1.6167152043324999</v>
      </c>
      <c r="Q66" s="253">
        <v>-1.3100001758655999</v>
      </c>
      <c r="R66" s="253">
        <v>9.1798130394801696</v>
      </c>
      <c r="S66" s="253">
        <v>4.9744338878306102</v>
      </c>
      <c r="T66" s="253">
        <v>-1.2121315156269701</v>
      </c>
      <c r="U66" s="253">
        <v>-3.1433460625948801</v>
      </c>
      <c r="V66" s="253">
        <v>-6.5680145330685704</v>
      </c>
      <c r="W66" s="253">
        <v>-3.2072212619596101</v>
      </c>
      <c r="X66" s="254">
        <v>1.10736029139702</v>
      </c>
      <c r="Y66" s="254">
        <v>-7.9598873814843403</v>
      </c>
      <c r="Z66" s="254">
        <v>3.6111745201975798</v>
      </c>
      <c r="AA66" s="254">
        <v>7.2924900026776003</v>
      </c>
      <c r="AB66" s="254">
        <v>12.2108291189761</v>
      </c>
      <c r="AC66" s="254">
        <v>5.9760272254578597</v>
      </c>
      <c r="AD66" s="254">
        <v>16.554507579994802</v>
      </c>
      <c r="AE66" s="254">
        <v>13.861235914101799</v>
      </c>
      <c r="AF66" s="254">
        <v>5.0438516222473</v>
      </c>
      <c r="AG66" s="254">
        <v>-4.6315781369818803</v>
      </c>
      <c r="AH66" s="254">
        <v>13.8250210120801</v>
      </c>
      <c r="AI66" s="254">
        <v>12.889948620820901</v>
      </c>
      <c r="AJ66" s="254">
        <v>-0.71089713304036894</v>
      </c>
      <c r="AK66" s="254">
        <v>-7.3291826626633902</v>
      </c>
      <c r="AL66" s="254">
        <v>-2.7536091117444101</v>
      </c>
      <c r="AM66" s="254">
        <v>-8.0468272300789092</v>
      </c>
      <c r="AN66" s="254">
        <v>-1.80439837925582</v>
      </c>
      <c r="AO66" s="254">
        <v>3.0689530075714702</v>
      </c>
      <c r="AP66" s="254">
        <v>1.5780635805546801</v>
      </c>
      <c r="AQ66" s="254">
        <v>2.0997357043849099</v>
      </c>
      <c r="AR66" s="254">
        <v>4.2567118398855701</v>
      </c>
      <c r="AS66" s="254">
        <v>13.286947805277199</v>
      </c>
      <c r="AT66" s="254">
        <v>6.9997182884593103</v>
      </c>
      <c r="AU66" s="253">
        <v>0.94084132760630101</v>
      </c>
      <c r="AV66" s="253">
        <v>6.2098017724697696</v>
      </c>
      <c r="AW66" s="253">
        <v>13.2643316207255</v>
      </c>
      <c r="AX66" s="253">
        <v>13.2280127926246</v>
      </c>
      <c r="AY66" s="253">
        <v>0.92812349476401002</v>
      </c>
      <c r="AZ66" s="253">
        <v>0.58668480428147296</v>
      </c>
      <c r="BA66" s="253">
        <v>0.41854708263137302</v>
      </c>
      <c r="BB66" s="253">
        <v>0.62744821489038105</v>
      </c>
      <c r="BC66" s="202">
        <f t="shared" ref="BC66:BC67" si="6">BA66-AZ66</f>
        <v>-0.16813772165009994</v>
      </c>
      <c r="BD66" s="152"/>
      <c r="BE66" s="152"/>
      <c r="BF66" s="152"/>
      <c r="BG66" s="152"/>
      <c r="BH66" s="152"/>
      <c r="BI66" s="152"/>
      <c r="BJ66" s="152"/>
      <c r="BK66" s="152"/>
      <c r="BL66" s="152"/>
      <c r="BM66" s="152"/>
      <c r="BN66" s="152"/>
      <c r="BO66" s="152"/>
    </row>
    <row r="67" spans="1:67" ht="13" x14ac:dyDescent="0.6">
      <c r="A67" s="251" t="s">
        <v>965</v>
      </c>
      <c r="B67" s="251" t="s">
        <v>992</v>
      </c>
      <c r="C67" s="252" t="s">
        <v>425</v>
      </c>
      <c r="D67" s="253">
        <v>11.0205325565737</v>
      </c>
      <c r="E67" s="253">
        <v>-3.3040434226572701</v>
      </c>
      <c r="F67" s="253">
        <v>-11.1289443046745</v>
      </c>
      <c r="G67" s="253">
        <v>-0.50176072777362801</v>
      </c>
      <c r="H67" s="253">
        <v>-0.76165869432032296</v>
      </c>
      <c r="I67" s="253">
        <v>-6.3707092847815803</v>
      </c>
      <c r="J67" s="253">
        <v>-7.0429012949046399</v>
      </c>
      <c r="K67" s="253">
        <v>12.7609151551765</v>
      </c>
      <c r="L67" s="253">
        <v>6.9436189502974797</v>
      </c>
      <c r="M67" s="253">
        <v>3.3477068625254902</v>
      </c>
      <c r="N67" s="253">
        <v>3.7206027077616701</v>
      </c>
      <c r="O67" s="253">
        <v>-1.94394513334825</v>
      </c>
      <c r="P67" s="253">
        <v>-1.2833598436212801</v>
      </c>
      <c r="Q67" s="253">
        <v>-2.5646637134536099</v>
      </c>
      <c r="R67" s="253">
        <v>4.4887007066094498</v>
      </c>
      <c r="S67" s="253">
        <v>7.3320748325928298</v>
      </c>
      <c r="T67" s="253">
        <v>3.5392243353137798</v>
      </c>
      <c r="U67" s="253">
        <v>-6.4850710253908099</v>
      </c>
      <c r="V67" s="253">
        <v>-6.8969187827930503</v>
      </c>
      <c r="W67" s="253">
        <v>-1.30484413341817</v>
      </c>
      <c r="X67" s="254">
        <v>7.4569393948095</v>
      </c>
      <c r="Y67" s="254">
        <v>-5.3936903404742402</v>
      </c>
      <c r="Z67" s="254">
        <v>5.0530991739782003</v>
      </c>
      <c r="AA67" s="254">
        <v>6.4926136011965898</v>
      </c>
      <c r="AB67" s="254">
        <v>12.4211200078582</v>
      </c>
      <c r="AC67" s="254">
        <v>11.9945653131248</v>
      </c>
      <c r="AD67" s="254">
        <v>11.1008055151754</v>
      </c>
      <c r="AE67" s="254">
        <v>11.1412102064397</v>
      </c>
      <c r="AF67" s="254">
        <v>22.546821769417299</v>
      </c>
      <c r="AG67" s="254">
        <v>-10.994099770043601</v>
      </c>
      <c r="AH67" s="254">
        <v>15.8658681891483</v>
      </c>
      <c r="AI67" s="254">
        <v>15.9629444997161</v>
      </c>
      <c r="AJ67" s="254">
        <v>-2.1155433404298898</v>
      </c>
      <c r="AK67" s="254">
        <v>-4.50800310542615</v>
      </c>
      <c r="AL67" s="254">
        <v>-6.2126537755137896</v>
      </c>
      <c r="AM67" s="254">
        <v>-16.678041328087399</v>
      </c>
      <c r="AN67" s="254">
        <v>-2.6708888500080699</v>
      </c>
      <c r="AO67" s="254">
        <v>4.78565495432865</v>
      </c>
      <c r="AP67" s="254">
        <v>4.9043491692196399</v>
      </c>
      <c r="AQ67" s="254">
        <v>0.37748771549351501</v>
      </c>
      <c r="AR67" s="254">
        <v>-0.47205781362261501</v>
      </c>
      <c r="AS67" s="254">
        <v>24.665536703715901</v>
      </c>
      <c r="AT67" s="254">
        <v>12.9230668248588</v>
      </c>
      <c r="AU67" s="253">
        <v>-5.7355416998180599</v>
      </c>
      <c r="AV67" s="253">
        <v>1.0654673620103701</v>
      </c>
      <c r="AW67" s="253">
        <v>1.9400475427387101</v>
      </c>
      <c r="AX67" s="253">
        <v>7.3113531393960303</v>
      </c>
      <c r="AY67" s="253">
        <v>0.50017608333339103</v>
      </c>
      <c r="AZ67" s="253">
        <v>0.54858960017793601</v>
      </c>
      <c r="BA67" s="253">
        <v>0.30806629365876098</v>
      </c>
      <c r="BB67" s="253">
        <v>0.63986046884203795</v>
      </c>
      <c r="BC67" s="202">
        <f t="shared" si="6"/>
        <v>-0.24052330651917503</v>
      </c>
      <c r="BD67" s="152"/>
      <c r="BE67" s="152"/>
      <c r="BF67" s="152"/>
      <c r="BG67" s="152"/>
      <c r="BH67" s="152"/>
      <c r="BI67" s="152"/>
      <c r="BJ67" s="152"/>
      <c r="BK67" s="152"/>
      <c r="BL67" s="152"/>
      <c r="BM67" s="152"/>
      <c r="BN67" s="152"/>
      <c r="BO67" s="152"/>
    </row>
    <row r="68" spans="1:67" ht="13" x14ac:dyDescent="0.6">
      <c r="A68" s="52"/>
      <c r="B68" s="52"/>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0"/>
      <c r="AE68" s="150"/>
      <c r="AF68" s="150"/>
      <c r="AG68" s="150"/>
      <c r="AH68" s="150"/>
      <c r="AI68" s="150"/>
      <c r="AJ68" s="150"/>
      <c r="AK68" s="150"/>
      <c r="AL68" s="150"/>
      <c r="AM68" s="150"/>
      <c r="AN68" s="150"/>
      <c r="AO68" s="150"/>
      <c r="AP68" s="150"/>
      <c r="AQ68" s="150"/>
      <c r="AR68" s="150"/>
      <c r="AS68" s="151"/>
      <c r="AT68" s="151"/>
      <c r="AU68" s="151"/>
      <c r="AV68" s="151"/>
      <c r="AW68" s="151"/>
      <c r="AX68" s="151"/>
      <c r="AY68" s="151"/>
      <c r="AZ68" s="151"/>
      <c r="BA68" s="151"/>
      <c r="BB68" s="151"/>
      <c r="BC68" s="151"/>
      <c r="BD68" s="147"/>
      <c r="BE68" s="147"/>
      <c r="BF68" s="147"/>
      <c r="BG68" s="147"/>
      <c r="BH68" s="147"/>
      <c r="BI68" s="147"/>
      <c r="BJ68" s="147"/>
      <c r="BK68" s="147"/>
      <c r="BL68" s="147"/>
      <c r="BM68" s="147"/>
      <c r="BN68" s="147"/>
      <c r="BO68" s="147"/>
    </row>
    <row r="69" spans="1:67" ht="13" x14ac:dyDescent="0.6">
      <c r="A69" s="52"/>
      <c r="B69" s="52"/>
      <c r="C69" s="62"/>
      <c r="D69" s="62"/>
      <c r="E69" s="62"/>
      <c r="F69" s="62"/>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62"/>
      <c r="AG69" s="62"/>
      <c r="AH69" s="62"/>
      <c r="AI69" s="62"/>
      <c r="AJ69" s="62"/>
      <c r="AK69" s="62"/>
      <c r="AL69" s="62"/>
      <c r="AM69" s="62"/>
      <c r="AN69" s="62"/>
      <c r="AO69" s="62"/>
      <c r="AP69" s="62"/>
      <c r="AQ69" s="62"/>
      <c r="AR69" s="62"/>
      <c r="AS69" s="52"/>
      <c r="AT69" s="52"/>
      <c r="AU69" s="52"/>
      <c r="AV69" s="52"/>
    </row>
    <row r="70" spans="1:67" ht="13" x14ac:dyDescent="0.6">
      <c r="A70" s="52"/>
      <c r="B70" s="52"/>
      <c r="C70" s="284" t="s">
        <v>426</v>
      </c>
      <c r="D70" s="284"/>
      <c r="E70" s="284"/>
      <c r="F70" s="284"/>
      <c r="G70" s="284"/>
      <c r="H70" s="284"/>
      <c r="I70" s="284"/>
      <c r="J70" s="284"/>
      <c r="K70" s="284"/>
      <c r="L70" s="284"/>
      <c r="M70" s="284"/>
      <c r="N70" s="284"/>
      <c r="O70" s="284"/>
      <c r="P70" s="284"/>
      <c r="Q70" s="284"/>
      <c r="R70" s="284"/>
      <c r="S70" s="284"/>
      <c r="T70" s="284"/>
      <c r="U70" s="284"/>
      <c r="V70" s="284"/>
      <c r="W70" s="284"/>
      <c r="X70" s="284"/>
      <c r="Y70" s="284"/>
      <c r="Z70" s="284"/>
      <c r="AA70" s="284"/>
      <c r="AB70" s="284"/>
      <c r="AC70" s="284"/>
      <c r="AD70" s="284"/>
      <c r="AE70" s="284"/>
      <c r="AF70" s="284"/>
      <c r="AG70" s="284"/>
      <c r="AH70" s="284"/>
      <c r="AI70" s="284"/>
      <c r="AJ70" s="284"/>
      <c r="AK70" s="284"/>
      <c r="AL70" s="284"/>
      <c r="AM70" s="284"/>
      <c r="AN70" s="284"/>
      <c r="AO70" s="284"/>
      <c r="AP70" s="284"/>
      <c r="AQ70" s="284"/>
      <c r="AR70" s="52"/>
      <c r="AS70" s="52"/>
      <c r="AT70" s="52"/>
    </row>
    <row r="71" spans="1:67" ht="13" x14ac:dyDescent="0.6">
      <c r="A71" s="52"/>
      <c r="B71" s="52"/>
      <c r="C71" s="277" t="s">
        <v>427</v>
      </c>
      <c r="D71" s="277"/>
      <c r="E71" s="277"/>
      <c r="F71" s="277"/>
      <c r="G71" s="277"/>
      <c r="H71" s="277"/>
      <c r="I71" s="277"/>
      <c r="J71" s="277"/>
      <c r="K71" s="277"/>
      <c r="L71" s="277"/>
      <c r="M71" s="277"/>
      <c r="N71" s="277"/>
      <c r="O71" s="277"/>
      <c r="P71" s="277"/>
      <c r="Q71" s="277"/>
      <c r="R71" s="277"/>
      <c r="S71" s="277"/>
      <c r="T71" s="277"/>
      <c r="U71" s="277"/>
      <c r="V71" s="277"/>
      <c r="W71" s="277"/>
      <c r="X71" s="277"/>
      <c r="Y71" s="277"/>
      <c r="Z71" s="277"/>
      <c r="AA71" s="277"/>
      <c r="AB71" s="277"/>
      <c r="AC71" s="277"/>
      <c r="AD71" s="277"/>
      <c r="AE71" s="277"/>
      <c r="AF71" s="277"/>
      <c r="AG71" s="277"/>
      <c r="AH71" s="277"/>
      <c r="AI71" s="277"/>
      <c r="AJ71" s="277"/>
      <c r="AK71" s="277"/>
      <c r="AL71" s="277"/>
      <c r="AM71" s="277"/>
      <c r="AN71" s="277"/>
      <c r="AO71" s="277"/>
      <c r="AP71" s="277"/>
      <c r="AQ71" s="277"/>
      <c r="AR71" s="52"/>
      <c r="AS71" s="52"/>
      <c r="AT71" s="52"/>
    </row>
    <row r="72" spans="1:67" ht="13" x14ac:dyDescent="0.6">
      <c r="A72" s="52"/>
      <c r="B72" s="52"/>
      <c r="C72" s="277" t="s">
        <v>428</v>
      </c>
      <c r="D72" s="277"/>
      <c r="E72" s="277"/>
      <c r="F72" s="277"/>
      <c r="G72" s="277"/>
      <c r="H72" s="277"/>
      <c r="I72" s="277"/>
      <c r="J72" s="277"/>
      <c r="K72" s="277"/>
      <c r="L72" s="277"/>
      <c r="M72" s="277"/>
      <c r="N72" s="277"/>
      <c r="O72" s="277"/>
      <c r="P72" s="277"/>
      <c r="Q72" s="277"/>
      <c r="R72" s="277"/>
      <c r="S72" s="277"/>
      <c r="T72" s="277"/>
      <c r="U72" s="277"/>
      <c r="V72" s="277"/>
      <c r="W72" s="277"/>
      <c r="X72" s="277"/>
      <c r="Y72" s="277"/>
      <c r="Z72" s="277"/>
      <c r="AA72" s="277"/>
      <c r="AB72" s="277"/>
      <c r="AC72" s="277"/>
      <c r="AD72" s="277"/>
      <c r="AE72" s="277"/>
      <c r="AF72" s="277"/>
      <c r="AG72" s="277"/>
      <c r="AH72" s="277"/>
      <c r="AI72" s="277"/>
      <c r="AJ72" s="277"/>
      <c r="AK72" s="277"/>
      <c r="AL72" s="277"/>
      <c r="AM72" s="277"/>
      <c r="AN72" s="277"/>
      <c r="AO72" s="277"/>
      <c r="AP72" s="277"/>
      <c r="AQ72" s="277"/>
      <c r="AR72" s="52"/>
      <c r="AS72" s="52"/>
      <c r="AT72" s="52"/>
    </row>
    <row r="73" spans="1:67" ht="13" x14ac:dyDescent="0.6">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row>
    <row r="74" spans="1:67" ht="13" x14ac:dyDescent="0.6">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row>
    <row r="75" spans="1:67" ht="13" x14ac:dyDescent="0.6">
      <c r="A75" s="52"/>
      <c r="B75" s="52"/>
      <c r="C75" s="51" t="s">
        <v>429</v>
      </c>
      <c r="D75" s="51"/>
      <c r="E75" s="51"/>
      <c r="F75" s="51"/>
      <c r="G75" s="51"/>
      <c r="H75" s="51"/>
      <c r="I75" s="51"/>
      <c r="J75" s="51"/>
      <c r="K75" s="51"/>
      <c r="L75" s="51"/>
      <c r="M75" s="51"/>
      <c r="N75" s="51"/>
      <c r="O75" s="51"/>
      <c r="P75" s="51"/>
      <c r="Q75" s="51"/>
      <c r="R75" s="51"/>
      <c r="S75" s="51"/>
      <c r="T75" s="51"/>
      <c r="U75" s="51"/>
      <c r="V75" s="51"/>
      <c r="W75" s="51"/>
      <c r="X75" s="52"/>
      <c r="Y75" s="52"/>
      <c r="Z75" s="52"/>
      <c r="AA75" s="52"/>
      <c r="AB75" s="52"/>
      <c r="AC75" s="52"/>
      <c r="AD75" s="52"/>
      <c r="AE75" s="52"/>
      <c r="AF75" s="52"/>
      <c r="AG75" s="52"/>
      <c r="AH75" s="52"/>
      <c r="AI75" s="52"/>
      <c r="AJ75" s="52"/>
      <c r="AK75" s="52" t="s">
        <v>963</v>
      </c>
      <c r="AL75" s="52"/>
      <c r="AM75" s="52"/>
      <c r="AN75" s="52"/>
      <c r="AO75" s="52"/>
      <c r="AP75" s="52"/>
      <c r="AQ75" s="52"/>
      <c r="AR75" s="52"/>
      <c r="AS75" s="52"/>
      <c r="AT75" s="52"/>
    </row>
    <row r="76" spans="1:67" ht="13" x14ac:dyDescent="0.6"/>
    <row r="77" spans="1:67" ht="13" x14ac:dyDescent="0.6">
      <c r="C77" s="236" t="str">
        <f>+B4</f>
        <v>\\RES\GEE\GEE Live</v>
      </c>
      <c r="AI77" s="237" t="s">
        <v>958</v>
      </c>
    </row>
    <row r="78" spans="1:67" ht="13.75" thickBot="1" x14ac:dyDescent="0.75">
      <c r="C78" s="104" t="s">
        <v>962</v>
      </c>
      <c r="D78" s="104"/>
      <c r="E78" s="104"/>
      <c r="F78" s="104"/>
      <c r="G78" s="104"/>
      <c r="H78" s="104"/>
      <c r="I78" s="104"/>
      <c r="J78" s="104"/>
      <c r="K78" s="104"/>
      <c r="L78" s="104"/>
      <c r="M78" s="104"/>
      <c r="N78" s="104"/>
      <c r="O78" s="104"/>
      <c r="P78" s="104"/>
      <c r="Q78" s="104"/>
      <c r="R78" s="104"/>
      <c r="S78" s="104"/>
      <c r="T78" s="104"/>
      <c r="U78" s="104"/>
      <c r="V78" s="104"/>
      <c r="W78" s="104"/>
      <c r="X78" s="105"/>
      <c r="Y78" s="105"/>
      <c r="Z78" s="105"/>
      <c r="AA78" s="105"/>
      <c r="AB78" s="105"/>
      <c r="AC78" s="106"/>
      <c r="AD78" s="105"/>
      <c r="AE78" s="105"/>
      <c r="AF78" s="105"/>
      <c r="AG78" s="105"/>
      <c r="AI78" s="104" t="s">
        <v>607</v>
      </c>
      <c r="AJ78" s="105"/>
      <c r="AK78" s="105"/>
      <c r="AL78" s="105"/>
      <c r="AM78" s="105"/>
      <c r="AN78" s="105"/>
      <c r="AO78" s="105"/>
      <c r="AP78" s="105"/>
      <c r="AQ78" s="105"/>
      <c r="AR78" s="105"/>
    </row>
    <row r="79" spans="1:67" ht="13" x14ac:dyDescent="0.6">
      <c r="C79" s="328" t="s">
        <v>939</v>
      </c>
      <c r="D79" s="107"/>
      <c r="E79" s="107"/>
      <c r="F79" s="107"/>
      <c r="G79" s="107"/>
      <c r="H79" s="107"/>
      <c r="I79" s="107"/>
      <c r="J79" s="107"/>
      <c r="K79" s="107"/>
      <c r="L79" s="107"/>
      <c r="M79" s="107"/>
      <c r="N79" s="107"/>
      <c r="O79" s="107"/>
      <c r="P79" s="107"/>
      <c r="Q79" s="107"/>
      <c r="R79" s="107"/>
      <c r="S79" s="107"/>
      <c r="T79" s="107"/>
      <c r="U79" s="107"/>
      <c r="V79" s="107"/>
      <c r="W79" s="107"/>
      <c r="X79" s="108">
        <f>+X6</f>
        <v>2000</v>
      </c>
      <c r="Y79" s="108">
        <f t="shared" ref="Y79:AS79" si="7">+Y6</f>
        <v>2001</v>
      </c>
      <c r="Z79" s="108">
        <f t="shared" si="7"/>
        <v>2002</v>
      </c>
      <c r="AA79" s="108">
        <f t="shared" si="7"/>
        <v>2003</v>
      </c>
      <c r="AB79" s="108">
        <f t="shared" si="7"/>
        <v>2004</v>
      </c>
      <c r="AC79" s="108">
        <f t="shared" si="7"/>
        <v>2005</v>
      </c>
      <c r="AD79" s="108">
        <f t="shared" si="7"/>
        <v>2006</v>
      </c>
      <c r="AE79" s="108">
        <f t="shared" si="7"/>
        <v>2007</v>
      </c>
      <c r="AF79" s="108">
        <f t="shared" si="7"/>
        <v>2008</v>
      </c>
      <c r="AG79" s="108">
        <f t="shared" si="7"/>
        <v>2009</v>
      </c>
      <c r="AH79" s="119">
        <f t="shared" si="7"/>
        <v>2010</v>
      </c>
      <c r="AI79" s="109">
        <f t="shared" si="7"/>
        <v>2011</v>
      </c>
      <c r="AJ79" s="109">
        <f t="shared" si="7"/>
        <v>2012</v>
      </c>
      <c r="AK79" s="109">
        <f t="shared" si="7"/>
        <v>2013</v>
      </c>
      <c r="AL79" s="109">
        <f t="shared" si="7"/>
        <v>2014</v>
      </c>
      <c r="AM79" s="109">
        <f t="shared" si="7"/>
        <v>2015</v>
      </c>
      <c r="AN79" s="109">
        <f t="shared" si="7"/>
        <v>2016</v>
      </c>
      <c r="AO79" s="109">
        <f t="shared" si="7"/>
        <v>2017</v>
      </c>
      <c r="AP79" s="109">
        <f t="shared" si="7"/>
        <v>2018</v>
      </c>
      <c r="AQ79" s="109">
        <f t="shared" si="7"/>
        <v>2019</v>
      </c>
      <c r="AR79" s="109">
        <f t="shared" si="7"/>
        <v>2020</v>
      </c>
      <c r="AS79" s="109">
        <f t="shared" si="7"/>
        <v>2021</v>
      </c>
      <c r="AT79" s="109">
        <v>2022</v>
      </c>
      <c r="AU79" s="139">
        <v>2023</v>
      </c>
      <c r="AV79" s="109">
        <v>2024</v>
      </c>
      <c r="AW79" s="139">
        <v>2025</v>
      </c>
      <c r="AX79" s="139">
        <v>2026</v>
      </c>
      <c r="AY79" s="139">
        <v>2027</v>
      </c>
      <c r="AZ79" s="139">
        <v>2028</v>
      </c>
      <c r="BA79" s="139">
        <v>2029</v>
      </c>
      <c r="BB79" s="247">
        <v>2030</v>
      </c>
      <c r="BC79" s="323">
        <v>2031</v>
      </c>
      <c r="BD79" s="323">
        <v>2032</v>
      </c>
      <c r="BE79" s="323">
        <v>2033</v>
      </c>
      <c r="BF79" s="323">
        <v>2034</v>
      </c>
      <c r="BG79" s="323">
        <v>2035</v>
      </c>
    </row>
    <row r="80" spans="1:67" ht="13" x14ac:dyDescent="0.6">
      <c r="C80" s="329" t="s">
        <v>595</v>
      </c>
      <c r="D80" s="110"/>
      <c r="E80" s="110"/>
      <c r="F80" s="110"/>
      <c r="G80" s="110"/>
      <c r="H80" s="110"/>
      <c r="I80" s="110"/>
      <c r="J80" s="110"/>
      <c r="K80" s="110"/>
      <c r="L80" s="110"/>
      <c r="M80" s="110"/>
      <c r="N80" s="110"/>
      <c r="O80" s="110"/>
      <c r="P80" s="110"/>
      <c r="Q80" s="110"/>
      <c r="R80" s="110"/>
      <c r="S80" s="110"/>
      <c r="T80" s="110"/>
      <c r="U80" s="110"/>
      <c r="V80" s="110"/>
      <c r="W80" s="110"/>
      <c r="X80" s="111"/>
      <c r="Y80" s="111"/>
      <c r="Z80" s="111"/>
      <c r="AA80" s="111"/>
      <c r="AB80" s="111"/>
      <c r="AC80" s="112"/>
      <c r="AD80" s="112"/>
      <c r="AE80" s="112"/>
      <c r="AF80" s="112"/>
      <c r="AG80" s="112"/>
      <c r="AH80" s="113"/>
      <c r="AI80" s="112"/>
      <c r="AJ80" s="112"/>
      <c r="AK80" s="112"/>
      <c r="AL80" s="112"/>
      <c r="AM80" s="112"/>
      <c r="AN80" s="112"/>
      <c r="AO80" s="112"/>
      <c r="AP80" s="112"/>
      <c r="AQ80" s="112"/>
      <c r="AR80" s="112"/>
      <c r="AS80" s="112"/>
      <c r="AT80" s="112"/>
      <c r="AU80" s="112"/>
      <c r="AV80" s="112"/>
      <c r="AW80" s="112"/>
      <c r="AX80" s="112"/>
      <c r="AY80" s="112"/>
      <c r="AZ80" s="112"/>
      <c r="BA80" s="112"/>
      <c r="BB80" s="113"/>
      <c r="BC80" s="324" t="s">
        <v>1019</v>
      </c>
      <c r="BD80" s="325"/>
      <c r="BE80" s="325"/>
      <c r="BF80" s="325"/>
      <c r="BG80" s="325"/>
    </row>
    <row r="81" spans="3:59" ht="13" x14ac:dyDescent="0.6">
      <c r="C81" s="328" t="s">
        <v>598</v>
      </c>
      <c r="D81" s="107"/>
      <c r="E81" s="107"/>
      <c r="F81" s="107"/>
      <c r="G81" s="107"/>
      <c r="H81" s="107"/>
      <c r="I81" s="107"/>
      <c r="J81" s="107"/>
      <c r="K81" s="107"/>
      <c r="L81" s="107"/>
      <c r="M81" s="107"/>
      <c r="N81" s="107"/>
      <c r="O81" s="107"/>
      <c r="P81" s="107"/>
      <c r="Q81" s="107"/>
      <c r="R81" s="107"/>
      <c r="S81" s="107"/>
      <c r="T81" s="107"/>
      <c r="U81" s="107"/>
      <c r="V81" s="107"/>
      <c r="W81" s="107"/>
      <c r="X81" s="114">
        <f>+X11/100</f>
        <v>5.2297040194805203E-2</v>
      </c>
      <c r="Y81" s="115">
        <f t="shared" ref="Y81:AG81" si="8">+Y11/100</f>
        <v>1.7177978867324299E-2</v>
      </c>
      <c r="Z81" s="115">
        <f t="shared" si="8"/>
        <v>1.4494103456811201E-2</v>
      </c>
      <c r="AA81" s="115">
        <f t="shared" si="8"/>
        <v>1.9202363786656799E-2</v>
      </c>
      <c r="AB81" s="115">
        <f t="shared" si="8"/>
        <v>4.1165744446251498E-2</v>
      </c>
      <c r="AC81" s="115">
        <f t="shared" si="8"/>
        <v>3.6496526916822099E-2</v>
      </c>
      <c r="AD81" s="115">
        <f t="shared" si="8"/>
        <v>4.1028048009687498E-2</v>
      </c>
      <c r="AE81" s="115">
        <f t="shared" si="8"/>
        <v>4.2086784608414501E-2</v>
      </c>
      <c r="AF81" s="115">
        <f t="shared" si="8"/>
        <v>9.3365129058736989E-3</v>
      </c>
      <c r="AG81" s="115">
        <f t="shared" si="8"/>
        <v>-3.4349496155013003E-2</v>
      </c>
      <c r="AH81" s="116">
        <f>+AH16/100</f>
        <v>7.0178978498954103E-2</v>
      </c>
      <c r="AI81" s="115">
        <f t="shared" ref="AI81:BB81" si="9">+AI16/100</f>
        <v>6.2766948134785908E-2</v>
      </c>
      <c r="AJ81" s="115">
        <f t="shared" si="9"/>
        <v>4.49862831133594E-2</v>
      </c>
      <c r="AK81" s="115">
        <f t="shared" si="9"/>
        <v>7.1520410709059096E-2</v>
      </c>
      <c r="AL81" s="115">
        <f t="shared" si="9"/>
        <v>5.6631905819501303E-2</v>
      </c>
      <c r="AM81" s="115">
        <f t="shared" si="9"/>
        <v>5.32163122920273E-2</v>
      </c>
      <c r="AN81" s="115">
        <f t="shared" si="9"/>
        <v>1.7331700672671698E-2</v>
      </c>
      <c r="AO81" s="115">
        <f t="shared" si="9"/>
        <v>3.1952430134538704E-2</v>
      </c>
      <c r="AP81" s="115">
        <f t="shared" si="9"/>
        <v>4.40635753673543E-2</v>
      </c>
      <c r="AQ81" s="115">
        <f t="shared" si="9"/>
        <v>1.6726280104031398E-2</v>
      </c>
      <c r="AR81" s="115">
        <f t="shared" si="9"/>
        <v>-1.8666892932113398E-2</v>
      </c>
      <c r="AS81" s="115">
        <f t="shared" si="9"/>
        <v>6.07465242940484E-2</v>
      </c>
      <c r="AT81" s="115">
        <f>+AT16/100</f>
        <v>6.4920203203173502E-2</v>
      </c>
      <c r="AU81" s="115">
        <f t="shared" si="9"/>
        <v>5.5482946656280306E-2</v>
      </c>
      <c r="AV81" s="115">
        <f t="shared" si="9"/>
        <v>3.7481940118381997E-2</v>
      </c>
      <c r="AW81" s="115">
        <f t="shared" si="9"/>
        <v>5.2390495544210498E-2</v>
      </c>
      <c r="AX81" s="115">
        <f t="shared" si="9"/>
        <v>5.0355391464100299E-2</v>
      </c>
      <c r="AY81" s="115">
        <f t="shared" si="9"/>
        <v>4.60615802380493E-2</v>
      </c>
      <c r="AZ81" s="115">
        <f t="shared" si="9"/>
        <v>4.5664381993298503E-2</v>
      </c>
      <c r="BA81" s="115">
        <f t="shared" si="9"/>
        <v>4.4862613442822899E-2</v>
      </c>
      <c r="BB81" s="243">
        <f t="shared" si="9"/>
        <v>4.4239718417225203E-2</v>
      </c>
      <c r="BC81" s="326">
        <f>BB81</f>
        <v>4.4239718417225203E-2</v>
      </c>
      <c r="BD81" s="326">
        <f t="shared" ref="BD81:BG81" si="10">BC81</f>
        <v>4.4239718417225203E-2</v>
      </c>
      <c r="BE81" s="326">
        <f t="shared" si="10"/>
        <v>4.4239718417225203E-2</v>
      </c>
      <c r="BF81" s="326">
        <f t="shared" si="10"/>
        <v>4.4239718417225203E-2</v>
      </c>
      <c r="BG81" s="326">
        <f t="shared" si="10"/>
        <v>4.4239718417225203E-2</v>
      </c>
    </row>
    <row r="82" spans="3:59" ht="13" x14ac:dyDescent="0.6">
      <c r="C82" s="328" t="s">
        <v>599</v>
      </c>
      <c r="D82" s="107"/>
      <c r="E82" s="107"/>
      <c r="F82" s="107"/>
      <c r="G82" s="107"/>
      <c r="H82" s="107"/>
      <c r="I82" s="107"/>
      <c r="J82" s="107"/>
      <c r="K82" s="107"/>
      <c r="L82" s="107"/>
      <c r="M82" s="107"/>
      <c r="N82" s="107"/>
      <c r="O82" s="107"/>
      <c r="P82" s="107"/>
      <c r="Q82" s="107"/>
      <c r="R82" s="107"/>
      <c r="S82" s="107"/>
      <c r="T82" s="107"/>
      <c r="U82" s="107"/>
      <c r="V82" s="107"/>
      <c r="W82" s="107"/>
      <c r="X82" s="114">
        <f>+X20/100</f>
        <v>1.8414240633437398E-2</v>
      </c>
      <c r="Y82" s="115">
        <f t="shared" ref="Y82:BB82" si="11">+Y20/100</f>
        <v>-8.7647611927842595E-2</v>
      </c>
      <c r="Z82" s="115">
        <f t="shared" si="11"/>
        <v>0.24805093918125798</v>
      </c>
      <c r="AA82" s="115">
        <f t="shared" si="11"/>
        <v>0.60014342393934494</v>
      </c>
      <c r="AB82" s="115">
        <f t="shared" si="11"/>
        <v>7.3024190192698693E-2</v>
      </c>
      <c r="AC82" s="115">
        <f t="shared" si="11"/>
        <v>5.2378291288687102E-2</v>
      </c>
      <c r="AD82" s="115">
        <f t="shared" si="11"/>
        <v>2.0658221513348601E-2</v>
      </c>
      <c r="AE82" s="115">
        <f t="shared" si="11"/>
        <v>0.38910607726970703</v>
      </c>
      <c r="AF82" s="115">
        <f t="shared" si="11"/>
        <v>0.116876871048991</v>
      </c>
      <c r="AG82" s="115">
        <f t="shared" si="11"/>
        <v>-7.5430587804076896E-2</v>
      </c>
      <c r="AH82" s="116">
        <f t="shared" si="11"/>
        <v>0.28675199043592303</v>
      </c>
      <c r="AI82" s="115">
        <f t="shared" si="11"/>
        <v>3.6133704007554897E-2</v>
      </c>
      <c r="AJ82" s="115">
        <f t="shared" si="11"/>
        <v>-3.8899914144454401E-2</v>
      </c>
      <c r="AK82" s="115">
        <f t="shared" si="11"/>
        <v>0.14268375586964099</v>
      </c>
      <c r="AL82" s="115">
        <f t="shared" si="11"/>
        <v>8.4503635515825598E-2</v>
      </c>
      <c r="AM82" s="115">
        <f t="shared" si="11"/>
        <v>-9.1631920468117301E-2</v>
      </c>
      <c r="AN82" s="115">
        <f t="shared" si="11"/>
        <v>8.2726108116971009E-2</v>
      </c>
      <c r="AO82" s="115">
        <f t="shared" si="11"/>
        <v>6.0584651211309494E-2</v>
      </c>
      <c r="AP82" s="115">
        <f t="shared" si="11"/>
        <v>7.8702340799863699E-2</v>
      </c>
      <c r="AQ82" s="115">
        <f t="shared" si="11"/>
        <v>-9.3092503141090702E-2</v>
      </c>
      <c r="AR82" s="115">
        <f t="shared" si="11"/>
        <v>-6.3174301060740401E-2</v>
      </c>
      <c r="AS82" s="115">
        <f t="shared" si="11"/>
        <v>0.23714440689916899</v>
      </c>
      <c r="AT82" s="115">
        <f t="shared" si="11"/>
        <v>0.15381165678396902</v>
      </c>
      <c r="AU82" s="115">
        <f t="shared" si="11"/>
        <v>6.3523513750795402E-2</v>
      </c>
      <c r="AV82" s="115">
        <f t="shared" si="11"/>
        <v>-1.0695420806775499E-2</v>
      </c>
      <c r="AW82" s="115">
        <f t="shared" si="11"/>
        <v>6.768707838377469E-2</v>
      </c>
      <c r="AX82" s="115">
        <f t="shared" si="11"/>
        <v>5.8325345929024601E-2</v>
      </c>
      <c r="AY82" s="115">
        <f t="shared" si="11"/>
        <v>5.3400438556237904E-2</v>
      </c>
      <c r="AZ82" s="115">
        <f t="shared" si="11"/>
        <v>5.6148023036869998E-2</v>
      </c>
      <c r="BA82" s="115">
        <f t="shared" si="11"/>
        <v>5.2667128111827104E-2</v>
      </c>
      <c r="BB82" s="246">
        <f t="shared" si="11"/>
        <v>5.0625578458152402E-2</v>
      </c>
      <c r="BC82" s="326">
        <f t="shared" ref="BC82:BG82" si="12">BB82</f>
        <v>5.0625578458152402E-2</v>
      </c>
      <c r="BD82" s="326">
        <f t="shared" si="12"/>
        <v>5.0625578458152402E-2</v>
      </c>
      <c r="BE82" s="326">
        <f t="shared" si="12"/>
        <v>5.0625578458152402E-2</v>
      </c>
      <c r="BF82" s="326">
        <f t="shared" si="12"/>
        <v>5.0625578458152402E-2</v>
      </c>
      <c r="BG82" s="326">
        <f t="shared" si="12"/>
        <v>5.0625578458152402E-2</v>
      </c>
    </row>
    <row r="83" spans="3:59" ht="13" x14ac:dyDescent="0.6">
      <c r="C83" s="329" t="s">
        <v>596</v>
      </c>
      <c r="D83" s="110"/>
      <c r="E83" s="110"/>
      <c r="F83" s="110"/>
      <c r="G83" s="110"/>
      <c r="H83" s="110"/>
      <c r="I83" s="110"/>
      <c r="J83" s="110"/>
      <c r="K83" s="110"/>
      <c r="L83" s="110"/>
      <c r="M83" s="110"/>
      <c r="N83" s="110"/>
      <c r="O83" s="110"/>
      <c r="P83" s="110"/>
      <c r="Q83" s="110"/>
      <c r="R83" s="110"/>
      <c r="S83" s="110"/>
      <c r="T83" s="110"/>
      <c r="U83" s="110"/>
      <c r="V83" s="110"/>
      <c r="W83" s="110"/>
      <c r="X83" s="114"/>
      <c r="Y83" s="115"/>
      <c r="Z83" s="115"/>
      <c r="AA83" s="115"/>
      <c r="AB83" s="115"/>
      <c r="AC83" s="115"/>
      <c r="AD83" s="115"/>
      <c r="AE83" s="115"/>
      <c r="AF83" s="115"/>
      <c r="AG83" s="115"/>
      <c r="AH83" s="116"/>
      <c r="AI83" s="115"/>
      <c r="AJ83" s="115"/>
      <c r="AK83" s="115"/>
      <c r="AL83" s="115"/>
      <c r="AM83" s="115"/>
      <c r="AN83" s="115"/>
      <c r="AO83" s="115"/>
      <c r="AP83" s="115"/>
      <c r="AQ83" s="115"/>
      <c r="AR83" s="115"/>
      <c r="AS83" s="115"/>
      <c r="AT83" s="115"/>
      <c r="AU83" s="115"/>
      <c r="AV83" s="115"/>
      <c r="AW83" s="115"/>
      <c r="AX83" s="115"/>
      <c r="AY83" s="115"/>
      <c r="AZ83" s="115"/>
      <c r="BA83" s="115"/>
      <c r="BB83" s="246"/>
      <c r="BC83" s="326"/>
      <c r="BD83" s="326"/>
      <c r="BE83" s="326"/>
      <c r="BF83" s="326"/>
      <c r="BG83" s="326"/>
    </row>
    <row r="84" spans="3:59" ht="13" x14ac:dyDescent="0.6">
      <c r="C84" s="328" t="s">
        <v>602</v>
      </c>
      <c r="D84" s="107"/>
      <c r="E84" s="107"/>
      <c r="F84" s="107"/>
      <c r="G84" s="107"/>
      <c r="H84" s="107"/>
      <c r="I84" s="107"/>
      <c r="J84" s="107"/>
      <c r="K84" s="107"/>
      <c r="L84" s="107"/>
      <c r="M84" s="107"/>
      <c r="N84" s="107"/>
      <c r="O84" s="107"/>
      <c r="P84" s="107"/>
      <c r="Q84" s="107"/>
      <c r="R84" s="107"/>
      <c r="S84" s="107"/>
      <c r="T84" s="107"/>
      <c r="U84" s="107"/>
      <c r="V84" s="107"/>
      <c r="W84" s="107"/>
      <c r="X84" s="114">
        <f>+X37/100</f>
        <v>-4.5848033265797998E-2</v>
      </c>
      <c r="Y84" s="115">
        <f t="shared" ref="Y84:BB84" si="13">+Y37/100</f>
        <v>-3.0215965718750799E-2</v>
      </c>
      <c r="Z84" s="115">
        <f t="shared" si="13"/>
        <v>5.1809724197484301E-2</v>
      </c>
      <c r="AA84" s="115">
        <f t="shared" si="13"/>
        <v>0.149750031811167</v>
      </c>
      <c r="AB84" s="115">
        <f t="shared" si="13"/>
        <v>9.4189651393374194E-2</v>
      </c>
      <c r="AC84" s="115">
        <f t="shared" si="13"/>
        <v>4.0556758101233402E-2</v>
      </c>
      <c r="AD84" s="115">
        <f t="shared" si="13"/>
        <v>3.55182472205594E-2</v>
      </c>
      <c r="AE84" s="115">
        <f t="shared" si="13"/>
        <v>8.2409831317219892E-2</v>
      </c>
      <c r="AF84" s="115">
        <f t="shared" si="13"/>
        <v>6.9140408096673295E-2</v>
      </c>
      <c r="AG84" s="115">
        <f t="shared" si="13"/>
        <v>-4.5235640155203594E-2</v>
      </c>
      <c r="AH84" s="116">
        <f t="shared" si="13"/>
        <v>2.4113278729445499E-2</v>
      </c>
      <c r="AI84" s="115">
        <f t="shared" si="13"/>
        <v>8.4956140556022602E-2</v>
      </c>
      <c r="AJ84" s="115">
        <f t="shared" si="13"/>
        <v>-2.4303116158361001E-2</v>
      </c>
      <c r="AK84" s="115">
        <f t="shared" si="13"/>
        <v>2.1486689692428999E-2</v>
      </c>
      <c r="AL84" s="115">
        <f t="shared" si="13"/>
        <v>9.9639544907830103E-3</v>
      </c>
      <c r="AM84" s="115">
        <f t="shared" si="13"/>
        <v>-0.11648413933565599</v>
      </c>
      <c r="AN84" s="115">
        <f t="shared" si="13"/>
        <v>4.63622447018547E-3</v>
      </c>
      <c r="AO84" s="115">
        <f t="shared" si="13"/>
        <v>2.8521537883216701E-2</v>
      </c>
      <c r="AP84" s="115">
        <f t="shared" si="13"/>
        <v>4.8521447969015002E-2</v>
      </c>
      <c r="AQ84" s="115">
        <f t="shared" si="13"/>
        <v>-2.8440162118538E-2</v>
      </c>
      <c r="AR84" s="115">
        <f t="shared" si="13"/>
        <v>1.54601798914625E-2</v>
      </c>
      <c r="AS84" s="115">
        <f t="shared" si="13"/>
        <v>5.4782491685913606E-2</v>
      </c>
      <c r="AT84" s="115">
        <f t="shared" si="13"/>
        <v>-3.4174580817133898E-2</v>
      </c>
      <c r="AU84" s="115">
        <f t="shared" si="13"/>
        <v>5.1264361067087504E-2</v>
      </c>
      <c r="AV84" s="115">
        <f t="shared" si="13"/>
        <v>1.2347851461259799E-2</v>
      </c>
      <c r="AW84" s="115">
        <f t="shared" si="13"/>
        <v>4.4175478248360295E-2</v>
      </c>
      <c r="AX84" s="115">
        <f t="shared" si="13"/>
        <v>4.3353382199611198E-2</v>
      </c>
      <c r="AY84" s="115">
        <f t="shared" si="13"/>
        <v>2.12730000371406E-2</v>
      </c>
      <c r="AZ84" s="115">
        <f t="shared" si="13"/>
        <v>2.1250177226456401E-2</v>
      </c>
      <c r="BA84" s="115">
        <f t="shared" si="13"/>
        <v>2.07506964534829E-2</v>
      </c>
      <c r="BB84" s="246">
        <f t="shared" si="13"/>
        <v>2.0689365650781701E-2</v>
      </c>
      <c r="BC84" s="326">
        <f t="shared" ref="BC84:BG87" si="14">BB84</f>
        <v>2.0689365650781701E-2</v>
      </c>
      <c r="BD84" s="326">
        <f t="shared" si="14"/>
        <v>2.0689365650781701E-2</v>
      </c>
      <c r="BE84" s="326">
        <f t="shared" si="14"/>
        <v>2.0689365650781701E-2</v>
      </c>
      <c r="BF84" s="326">
        <f t="shared" si="14"/>
        <v>2.0689365650781701E-2</v>
      </c>
      <c r="BG84" s="326">
        <f t="shared" si="14"/>
        <v>2.0689365650781701E-2</v>
      </c>
    </row>
    <row r="85" spans="3:59" ht="13" x14ac:dyDescent="0.6">
      <c r="C85" s="328" t="s">
        <v>601</v>
      </c>
      <c r="D85" s="107"/>
      <c r="E85" s="107"/>
      <c r="F85" s="107"/>
      <c r="G85" s="107"/>
      <c r="H85" s="107"/>
      <c r="I85" s="107"/>
      <c r="J85" s="107"/>
      <c r="K85" s="107"/>
      <c r="L85" s="107"/>
      <c r="M85" s="107"/>
      <c r="N85" s="107"/>
      <c r="O85" s="107"/>
      <c r="P85" s="107"/>
      <c r="Q85" s="107"/>
      <c r="R85" s="107"/>
      <c r="S85" s="107"/>
      <c r="T85" s="107"/>
      <c r="U85" s="107"/>
      <c r="V85" s="107"/>
      <c r="W85" s="107"/>
      <c r="X85" s="114">
        <f>+X44/100</f>
        <v>-1.1735878724814498E-2</v>
      </c>
      <c r="Y85" s="115">
        <f t="shared" ref="Y85:BB85" si="15">+Y44/100</f>
        <v>-4.8332074474021901E-2</v>
      </c>
      <c r="Z85" s="115">
        <f t="shared" si="15"/>
        <v>-1.7022315930316601E-2</v>
      </c>
      <c r="AA85" s="115">
        <f t="shared" si="15"/>
        <v>7.7752179127854509E-2</v>
      </c>
      <c r="AB85" s="115">
        <f t="shared" si="15"/>
        <v>9.1358578380289893E-2</v>
      </c>
      <c r="AC85" s="115">
        <f t="shared" si="15"/>
        <v>6.6782683331502002E-2</v>
      </c>
      <c r="AD85" s="115">
        <f t="shared" si="15"/>
        <v>8.1514593273930208E-2</v>
      </c>
      <c r="AE85" s="115">
        <f t="shared" si="15"/>
        <v>9.946427778786511E-2</v>
      </c>
      <c r="AF85" s="115">
        <f t="shared" si="15"/>
        <v>0.14478188841668302</v>
      </c>
      <c r="AG85" s="115">
        <f t="shared" si="15"/>
        <v>-5.01833204724026E-2</v>
      </c>
      <c r="AH85" s="116">
        <f t="shared" si="15"/>
        <v>0.105750179767644</v>
      </c>
      <c r="AI85" s="115">
        <f t="shared" si="15"/>
        <v>0.108476362293706</v>
      </c>
      <c r="AJ85" s="115">
        <f t="shared" si="15"/>
        <v>-9.6569942599987104E-3</v>
      </c>
      <c r="AK85" s="115">
        <f t="shared" si="15"/>
        <v>-1.42062758491814E-2</v>
      </c>
      <c r="AL85" s="115">
        <f t="shared" si="15"/>
        <v>-2.5785958311717799E-2</v>
      </c>
      <c r="AM85" s="115">
        <f t="shared" si="15"/>
        <v>-9.3609392412798295E-2</v>
      </c>
      <c r="AN85" s="115">
        <f t="shared" si="15"/>
        <v>-4.4621082337002502E-2</v>
      </c>
      <c r="AO85" s="115">
        <f t="shared" si="15"/>
        <v>3.8795425443706802E-2</v>
      </c>
      <c r="AP85" s="115">
        <f t="shared" si="15"/>
        <v>1.8971711515235502E-2</v>
      </c>
      <c r="AQ85" s="115">
        <f t="shared" si="15"/>
        <v>-1.1372240586433499E-2</v>
      </c>
      <c r="AR85" s="115">
        <f t="shared" si="15"/>
        <v>2.5726534311110202E-2</v>
      </c>
      <c r="AS85" s="115">
        <f t="shared" si="15"/>
        <v>0.11819088152029099</v>
      </c>
      <c r="AT85" s="115">
        <f t="shared" si="15"/>
        <v>6.2923738721505307E-2</v>
      </c>
      <c r="AU85" s="115">
        <f t="shared" si="15"/>
        <v>-3.9722292057529397E-2</v>
      </c>
      <c r="AV85" s="115">
        <f t="shared" si="15"/>
        <v>8.702089068568581E-3</v>
      </c>
      <c r="AW85" s="115">
        <f t="shared" si="15"/>
        <v>2.76399732047659E-2</v>
      </c>
      <c r="AX85" s="115">
        <f t="shared" si="15"/>
        <v>1.2304630475253899E-2</v>
      </c>
      <c r="AY85" s="115">
        <f t="shared" si="15"/>
        <v>9.5950760757747208E-3</v>
      </c>
      <c r="AZ85" s="115">
        <f t="shared" si="15"/>
        <v>1.0892308039928799E-3</v>
      </c>
      <c r="BA85" s="115">
        <f t="shared" si="15"/>
        <v>1.0985717341122501E-2</v>
      </c>
      <c r="BB85" s="246">
        <f t="shared" si="15"/>
        <v>1.00142595590559E-2</v>
      </c>
      <c r="BC85" s="326">
        <f t="shared" si="14"/>
        <v>1.00142595590559E-2</v>
      </c>
      <c r="BD85" s="326">
        <f t="shared" si="14"/>
        <v>1.00142595590559E-2</v>
      </c>
      <c r="BE85" s="326">
        <f t="shared" si="14"/>
        <v>1.00142595590559E-2</v>
      </c>
      <c r="BF85" s="326">
        <f t="shared" si="14"/>
        <v>1.00142595590559E-2</v>
      </c>
      <c r="BG85" s="326">
        <f t="shared" si="14"/>
        <v>1.00142595590559E-2</v>
      </c>
    </row>
    <row r="86" spans="3:59" ht="13" x14ac:dyDescent="0.6">
      <c r="C86" s="328" t="s">
        <v>600</v>
      </c>
      <c r="D86" s="107"/>
      <c r="E86" s="107"/>
      <c r="F86" s="107"/>
      <c r="G86" s="107"/>
      <c r="H86" s="107"/>
      <c r="I86" s="107"/>
      <c r="J86" s="107"/>
      <c r="K86" s="107"/>
      <c r="L86" s="107"/>
      <c r="M86" s="107"/>
      <c r="N86" s="107"/>
      <c r="O86" s="107"/>
      <c r="P86" s="107"/>
      <c r="Q86" s="107"/>
      <c r="R86" s="107"/>
      <c r="S86" s="107"/>
      <c r="T86" s="107"/>
      <c r="U86" s="107"/>
      <c r="V86" s="107"/>
      <c r="W86" s="107"/>
      <c r="X86" s="114">
        <f>+X56/100</f>
        <v>2.1212314474249199E-3</v>
      </c>
      <c r="Y86" s="115">
        <f t="shared" ref="Y86:BB87" si="16">+Y56/100</f>
        <v>-3.3211253966456897E-2</v>
      </c>
      <c r="Z86" s="115">
        <f t="shared" si="16"/>
        <v>-1.9730174828222501E-2</v>
      </c>
      <c r="AA86" s="115">
        <f t="shared" si="16"/>
        <v>2.82076183584659E-2</v>
      </c>
      <c r="AB86" s="115">
        <f t="shared" si="16"/>
        <v>6.5571160202876108E-2</v>
      </c>
      <c r="AC86" s="115">
        <f t="shared" si="16"/>
        <v>4.0601998911000893E-2</v>
      </c>
      <c r="AD86" s="115">
        <f t="shared" si="16"/>
        <v>2.2664741225392002E-2</v>
      </c>
      <c r="AE86" s="115">
        <f t="shared" si="16"/>
        <v>3.3049341610250103E-2</v>
      </c>
      <c r="AF86" s="115">
        <f t="shared" si="16"/>
        <v>6.0514054333207098E-2</v>
      </c>
      <c r="AG86" s="115">
        <f t="shared" si="16"/>
        <v>-1.9391892538659999E-2</v>
      </c>
      <c r="AH86" s="116">
        <f t="shared" si="16"/>
        <v>2.1131214484603297E-2</v>
      </c>
      <c r="AI86" s="115">
        <f t="shared" si="16"/>
        <v>4.5356028254657003E-2</v>
      </c>
      <c r="AJ86" s="115">
        <f t="shared" si="16"/>
        <v>2.4247539167400099E-2</v>
      </c>
      <c r="AK86" s="115">
        <f t="shared" si="16"/>
        <v>-2.90131707456277E-2</v>
      </c>
      <c r="AL86" s="115">
        <f t="shared" si="16"/>
        <v>-5.4073717223794403E-3</v>
      </c>
      <c r="AM86" s="115">
        <f t="shared" si="16"/>
        <v>-3.0399231279603298E-2</v>
      </c>
      <c r="AN86" s="115">
        <f t="shared" si="16"/>
        <v>-5.0605676275845501E-2</v>
      </c>
      <c r="AO86" s="115">
        <f t="shared" si="16"/>
        <v>1.4050708819148998E-3</v>
      </c>
      <c r="AP86" s="115">
        <f t="shared" si="16"/>
        <v>2.03822040748565E-2</v>
      </c>
      <c r="AQ86" s="115">
        <f t="shared" si="16"/>
        <v>3.7675837753238799E-3</v>
      </c>
      <c r="AR86" s="115">
        <f t="shared" si="16"/>
        <v>-3.0921701902266601E-2</v>
      </c>
      <c r="AS86" s="115">
        <f t="shared" si="16"/>
        <v>6.7429480949681306E-2</v>
      </c>
      <c r="AT86" s="115">
        <f t="shared" si="16"/>
        <v>0.10264429581583701</v>
      </c>
      <c r="AU86" s="115">
        <f t="shared" si="16"/>
        <v>-1.7400623941841598E-2</v>
      </c>
      <c r="AV86" s="115">
        <f t="shared" si="16"/>
        <v>1.19086046930725E-2</v>
      </c>
      <c r="AW86" s="115">
        <f t="shared" si="16"/>
        <v>6.8408940448023399E-3</v>
      </c>
      <c r="AX86" s="115">
        <f t="shared" si="16"/>
        <v>4.8392498259342497E-4</v>
      </c>
      <c r="AY86" s="115">
        <f t="shared" si="16"/>
        <v>-1.73995047204899E-3</v>
      </c>
      <c r="AZ86" s="115">
        <f t="shared" si="16"/>
        <v>5.2612582163462495E-3</v>
      </c>
      <c r="BA86" s="115">
        <f t="shared" si="16"/>
        <v>9.17945372033898E-3</v>
      </c>
      <c r="BB86" s="246">
        <f t="shared" si="16"/>
        <v>1.22956754655884E-2</v>
      </c>
      <c r="BC86" s="326">
        <f t="shared" si="14"/>
        <v>1.22956754655884E-2</v>
      </c>
      <c r="BD86" s="326">
        <f t="shared" si="14"/>
        <v>1.22956754655884E-2</v>
      </c>
      <c r="BE86" s="326">
        <f t="shared" si="14"/>
        <v>1.22956754655884E-2</v>
      </c>
      <c r="BF86" s="326">
        <f t="shared" si="14"/>
        <v>1.22956754655884E-2</v>
      </c>
      <c r="BG86" s="326">
        <f t="shared" si="14"/>
        <v>1.22956754655884E-2</v>
      </c>
    </row>
    <row r="87" spans="3:59" ht="13" x14ac:dyDescent="0.6">
      <c r="C87" s="328" t="s">
        <v>603</v>
      </c>
      <c r="D87" s="107"/>
      <c r="E87" s="107"/>
      <c r="F87" s="107"/>
      <c r="G87" s="107"/>
      <c r="H87" s="107"/>
      <c r="I87" s="107"/>
      <c r="J87" s="107"/>
      <c r="K87" s="107"/>
      <c r="L87" s="107"/>
      <c r="M87" s="107"/>
      <c r="N87" s="107"/>
      <c r="O87" s="107"/>
      <c r="P87" s="107"/>
      <c r="Q87" s="107"/>
      <c r="R87" s="107"/>
      <c r="S87" s="107"/>
      <c r="T87" s="107"/>
      <c r="U87" s="107"/>
      <c r="V87" s="107"/>
      <c r="W87" s="107"/>
      <c r="X87" s="114">
        <f>+X57/100</f>
        <v>0.56612614952787499</v>
      </c>
      <c r="Y87" s="115">
        <f t="shared" si="16"/>
        <v>-0.139841771001466</v>
      </c>
      <c r="Z87" s="115">
        <f t="shared" si="16"/>
        <v>2.0864314886887798E-2</v>
      </c>
      <c r="AA87" s="115">
        <f t="shared" si="16"/>
        <v>0.15633310050844101</v>
      </c>
      <c r="AB87" s="115">
        <f t="shared" si="16"/>
        <v>0.30778655100589503</v>
      </c>
      <c r="AC87" s="115">
        <f t="shared" si="16"/>
        <v>0.415259258934147</v>
      </c>
      <c r="AD87" s="115">
        <f t="shared" si="16"/>
        <v>0.20362484445363599</v>
      </c>
      <c r="AE87" s="115">
        <f t="shared" si="16"/>
        <v>0.10539632543626899</v>
      </c>
      <c r="AF87" s="115">
        <f t="shared" si="16"/>
        <v>0.35929888825103001</v>
      </c>
      <c r="AG87" s="115">
        <f t="shared" si="16"/>
        <v>-0.36444019936656197</v>
      </c>
      <c r="AH87" s="116">
        <f t="shared" si="16"/>
        <v>0.28687137759303599</v>
      </c>
      <c r="AI87" s="115">
        <f t="shared" si="16"/>
        <v>0.31491985732328998</v>
      </c>
      <c r="AJ87" s="115">
        <f t="shared" si="16"/>
        <v>9.8777641391184605E-3</v>
      </c>
      <c r="AK87" s="115">
        <f t="shared" si="16"/>
        <v>-8.799536967721679E-3</v>
      </c>
      <c r="AL87" s="115">
        <f t="shared" si="16"/>
        <v>-7.5314880179226093E-2</v>
      </c>
      <c r="AM87" s="115">
        <f t="shared" si="16"/>
        <v>-0.47146300179739098</v>
      </c>
      <c r="AN87" s="115">
        <f t="shared" si="16"/>
        <v>-0.15022149497565102</v>
      </c>
      <c r="AO87" s="115">
        <f t="shared" si="16"/>
        <v>0.224524310233576</v>
      </c>
      <c r="AP87" s="115">
        <f t="shared" si="16"/>
        <v>0.29361225338930397</v>
      </c>
      <c r="AQ87" s="115">
        <f t="shared" si="16"/>
        <v>-0.10360330409299699</v>
      </c>
      <c r="AR87" s="115">
        <f t="shared" si="16"/>
        <v>-0.32013819483552902</v>
      </c>
      <c r="AS87" s="115">
        <f t="shared" si="16"/>
        <v>0.65806664046654006</v>
      </c>
      <c r="AT87" s="115">
        <f t="shared" si="16"/>
        <v>0.39151032082957099</v>
      </c>
      <c r="AU87" s="115">
        <f>+AU57/100</f>
        <v>-0.16362406522644102</v>
      </c>
      <c r="AV87" s="115">
        <f t="shared" si="16"/>
        <v>-1.7669942173914901E-2</v>
      </c>
      <c r="AW87" s="115">
        <f t="shared" si="16"/>
        <v>-0.14442213915670801</v>
      </c>
      <c r="AX87" s="115">
        <f t="shared" si="16"/>
        <v>-4.4191814579039396E-2</v>
      </c>
      <c r="AY87" s="115">
        <f t="shared" si="16"/>
        <v>-2.8048830250052999E-2</v>
      </c>
      <c r="AZ87" s="115">
        <f t="shared" si="16"/>
        <v>8.14729134520451E-3</v>
      </c>
      <c r="BA87" s="115">
        <f t="shared" si="16"/>
        <v>1.5602293330633199E-2</v>
      </c>
      <c r="BB87" s="246">
        <f t="shared" si="16"/>
        <v>1.1711425055274E-2</v>
      </c>
      <c r="BC87" s="326">
        <f t="shared" si="14"/>
        <v>1.1711425055274E-2</v>
      </c>
      <c r="BD87" s="326">
        <f t="shared" si="14"/>
        <v>1.1711425055274E-2</v>
      </c>
      <c r="BE87" s="326">
        <f t="shared" si="14"/>
        <v>1.1711425055274E-2</v>
      </c>
      <c r="BF87" s="326">
        <f t="shared" si="14"/>
        <v>1.1711425055274E-2</v>
      </c>
      <c r="BG87" s="326">
        <f t="shared" si="14"/>
        <v>1.1711425055274E-2</v>
      </c>
    </row>
    <row r="88" spans="3:59" ht="13" x14ac:dyDescent="0.6">
      <c r="C88" s="329" t="s">
        <v>597</v>
      </c>
      <c r="D88" s="110"/>
      <c r="E88" s="110"/>
      <c r="F88" s="110"/>
      <c r="G88" s="110"/>
      <c r="H88" s="110"/>
      <c r="I88" s="110"/>
      <c r="J88" s="110"/>
      <c r="K88" s="110"/>
      <c r="L88" s="110"/>
      <c r="M88" s="110"/>
      <c r="N88" s="110"/>
      <c r="O88" s="110"/>
      <c r="P88" s="110"/>
      <c r="Q88" s="110"/>
      <c r="R88" s="110"/>
      <c r="S88" s="110"/>
      <c r="T88" s="110"/>
      <c r="U88" s="110"/>
      <c r="V88" s="110"/>
      <c r="W88" s="110"/>
      <c r="X88" s="114"/>
      <c r="Y88" s="115"/>
      <c r="Z88" s="115"/>
      <c r="AA88" s="115"/>
      <c r="AB88" s="115"/>
      <c r="AC88" s="115"/>
      <c r="AD88" s="115"/>
      <c r="AE88" s="115"/>
      <c r="AF88" s="115"/>
      <c r="AG88" s="115"/>
      <c r="AH88" s="116"/>
      <c r="AI88" s="115"/>
      <c r="AJ88" s="115"/>
      <c r="AK88" s="115"/>
      <c r="AL88" s="115"/>
      <c r="AM88" s="115"/>
      <c r="AN88" s="115"/>
      <c r="AO88" s="115"/>
      <c r="AP88" s="115"/>
      <c r="AQ88" s="115"/>
      <c r="AR88" s="115"/>
      <c r="AS88" s="115"/>
      <c r="AT88" s="115"/>
      <c r="AU88" s="115"/>
      <c r="AV88" s="115"/>
      <c r="AW88" s="115"/>
      <c r="AX88" s="115"/>
      <c r="AY88" s="115"/>
      <c r="AZ88" s="115"/>
      <c r="BA88" s="115"/>
      <c r="BB88" s="246"/>
      <c r="BC88" s="326"/>
      <c r="BD88" s="326"/>
      <c r="BE88" s="326"/>
      <c r="BF88" s="326"/>
      <c r="BG88" s="326"/>
    </row>
    <row r="89" spans="3:59" ht="13" x14ac:dyDescent="0.6">
      <c r="C89" s="328" t="s">
        <v>604</v>
      </c>
      <c r="D89" s="107"/>
      <c r="E89" s="107"/>
      <c r="F89" s="107"/>
      <c r="G89" s="107"/>
      <c r="H89" s="107"/>
      <c r="I89" s="107"/>
      <c r="J89" s="107"/>
      <c r="K89" s="107"/>
      <c r="L89" s="107"/>
      <c r="M89" s="107"/>
      <c r="N89" s="107"/>
      <c r="O89" s="107"/>
      <c r="P89" s="107"/>
      <c r="Q89" s="107"/>
      <c r="R89" s="107"/>
      <c r="S89" s="107"/>
      <c r="T89" s="107"/>
      <c r="U89" s="107"/>
      <c r="V89" s="107"/>
      <c r="W89" s="107"/>
      <c r="X89" s="114">
        <f>+X49/100</f>
        <v>0.17332813163511498</v>
      </c>
      <c r="Y89" s="115">
        <f t="shared" ref="Y89:BB89" si="17">+Y49/100</f>
        <v>0.29520498429113301</v>
      </c>
      <c r="Z89" s="115">
        <f t="shared" si="17"/>
        <v>-3.2364890136041602E-2</v>
      </c>
      <c r="AA89" s="115">
        <f t="shared" si="17"/>
        <v>-0.16805956620764298</v>
      </c>
      <c r="AB89" s="115">
        <f t="shared" si="17"/>
        <v>0.26596328401922498</v>
      </c>
      <c r="AC89" s="115">
        <f t="shared" si="17"/>
        <v>0.27320838524033897</v>
      </c>
      <c r="AD89" s="115">
        <f t="shared" si="17"/>
        <v>8.0774751957641791E-2</v>
      </c>
      <c r="AE89" s="115">
        <f t="shared" si="17"/>
        <v>0.157526063714789</v>
      </c>
      <c r="AF89" s="115">
        <f t="shared" si="17"/>
        <v>9.99040585113323E-2</v>
      </c>
      <c r="AG89" s="115">
        <f t="shared" si="17"/>
        <v>-0.10660694538806099</v>
      </c>
      <c r="AH89" s="116">
        <f t="shared" si="17"/>
        <v>7.26356381811641E-2</v>
      </c>
      <c r="AI89" s="115">
        <f t="shared" si="17"/>
        <v>0.103857994590524</v>
      </c>
      <c r="AJ89" s="115">
        <f t="shared" si="17"/>
        <v>6.0712266354448902E-2</v>
      </c>
      <c r="AK89" s="115">
        <f t="shared" si="17"/>
        <v>-7.6705670233828301E-3</v>
      </c>
      <c r="AL89" s="115">
        <f t="shared" si="17"/>
        <v>1.0483452594911201E-2</v>
      </c>
      <c r="AM89" s="115">
        <f t="shared" si="17"/>
        <v>5.6958822390851703E-3</v>
      </c>
      <c r="AN89" s="115">
        <f t="shared" si="17"/>
        <v>-1.2650775194141902E-2</v>
      </c>
      <c r="AO89" s="115">
        <f t="shared" si="17"/>
        <v>-5.5534823106658499E-2</v>
      </c>
      <c r="AP89" s="115">
        <f t="shared" si="17"/>
        <v>0.10230699178399201</v>
      </c>
      <c r="AQ89" s="115">
        <f t="shared" si="17"/>
        <v>2.67403763466629E-2</v>
      </c>
      <c r="AR89" s="115">
        <f t="shared" si="17"/>
        <v>-2.4593919741722299E-3</v>
      </c>
      <c r="AS89" s="115">
        <f t="shared" si="17"/>
        <v>9.9175709922826996E-2</v>
      </c>
      <c r="AT89" s="115">
        <f t="shared" si="17"/>
        <v>7.3043355889837999E-2</v>
      </c>
      <c r="AU89" s="115">
        <f t="shared" si="17"/>
        <v>3.8251782992733403E-3</v>
      </c>
      <c r="AV89" s="115">
        <f t="shared" si="17"/>
        <v>9.7256438374028198E-3</v>
      </c>
      <c r="AW89" s="115">
        <f t="shared" si="17"/>
        <v>2.9181537923162301E-2</v>
      </c>
      <c r="AX89" s="115">
        <f t="shared" si="17"/>
        <v>2.4131416387899497E-2</v>
      </c>
      <c r="AY89" s="115">
        <f t="shared" si="17"/>
        <v>1.31916436242782E-2</v>
      </c>
      <c r="AZ89" s="115">
        <f t="shared" si="17"/>
        <v>1.1028727914025E-2</v>
      </c>
      <c r="BA89" s="115">
        <f t="shared" si="17"/>
        <v>1.2940758326171E-2</v>
      </c>
      <c r="BB89" s="246">
        <f t="shared" si="17"/>
        <v>1.35880055675212E-2</v>
      </c>
      <c r="BC89" s="326">
        <f t="shared" ref="BC89:BG90" si="18">BB89</f>
        <v>1.35880055675212E-2</v>
      </c>
      <c r="BD89" s="326">
        <f t="shared" si="18"/>
        <v>1.35880055675212E-2</v>
      </c>
      <c r="BE89" s="326">
        <f t="shared" si="18"/>
        <v>1.35880055675212E-2</v>
      </c>
      <c r="BF89" s="326">
        <f t="shared" si="18"/>
        <v>1.35880055675212E-2</v>
      </c>
      <c r="BG89" s="326">
        <f t="shared" si="18"/>
        <v>1.35880055675212E-2</v>
      </c>
    </row>
    <row r="90" spans="3:59" ht="13" x14ac:dyDescent="0.6">
      <c r="C90" s="328" t="s">
        <v>605</v>
      </c>
      <c r="D90" s="107"/>
      <c r="E90" s="107"/>
      <c r="F90" s="107"/>
      <c r="G90" s="107"/>
      <c r="H90" s="107"/>
      <c r="I90" s="107"/>
      <c r="J90" s="107"/>
      <c r="K90" s="107"/>
      <c r="L90" s="107"/>
      <c r="M90" s="107"/>
      <c r="N90" s="107"/>
      <c r="O90" s="107"/>
      <c r="P90" s="107"/>
      <c r="Q90" s="107"/>
      <c r="R90" s="107"/>
      <c r="S90" s="107"/>
      <c r="T90" s="107"/>
      <c r="U90" s="107"/>
      <c r="V90" s="107"/>
      <c r="W90" s="107"/>
      <c r="X90" s="114">
        <f>+X61/100</f>
        <v>2.0670924605161199E-2</v>
      </c>
      <c r="Y90" s="115">
        <f t="shared" ref="Y90:BB90" si="19">+Y61/100</f>
        <v>-0.129328368601484</v>
      </c>
      <c r="Z90" s="115">
        <f t="shared" si="19"/>
        <v>9.5976650538660599E-2</v>
      </c>
      <c r="AA90" s="115">
        <f t="shared" si="19"/>
        <v>0.120863721480973</v>
      </c>
      <c r="AB90" s="115">
        <f t="shared" si="19"/>
        <v>0.18271849214107699</v>
      </c>
      <c r="AC90" s="115">
        <f t="shared" si="19"/>
        <v>8.0298753372480394E-2</v>
      </c>
      <c r="AD90" s="115">
        <f t="shared" si="19"/>
        <v>0.31871885097017999</v>
      </c>
      <c r="AE90" s="115">
        <f t="shared" si="19"/>
        <v>0.25178038860914398</v>
      </c>
      <c r="AF90" s="115">
        <f t="shared" si="19"/>
        <v>3.9637112279179598E-2</v>
      </c>
      <c r="AG90" s="115">
        <f t="shared" si="19"/>
        <v>-7.5179331464462998E-2</v>
      </c>
      <c r="AH90" s="116">
        <f t="shared" si="19"/>
        <v>0.26380673796040499</v>
      </c>
      <c r="AI90" s="115">
        <f t="shared" si="19"/>
        <v>0.21846161442987502</v>
      </c>
      <c r="AJ90" s="115">
        <f t="shared" si="19"/>
        <v>-4.0724479744595997E-2</v>
      </c>
      <c r="AK90" s="115">
        <f t="shared" si="19"/>
        <v>-0.120760422644081</v>
      </c>
      <c r="AL90" s="115">
        <f t="shared" si="19"/>
        <v>-5.1259016315775695E-2</v>
      </c>
      <c r="AM90" s="115">
        <f t="shared" si="19"/>
        <v>-0.134144406635191</v>
      </c>
      <c r="AN90" s="115">
        <f t="shared" si="19"/>
        <v>1.68635307961249E-2</v>
      </c>
      <c r="AO90" s="115">
        <f t="shared" si="19"/>
        <v>6.2083711660531095E-2</v>
      </c>
      <c r="AP90" s="115">
        <f t="shared" si="19"/>
        <v>1.08475595665216E-2</v>
      </c>
      <c r="AQ90" s="115">
        <f t="shared" si="19"/>
        <v>3.94684043347555E-2</v>
      </c>
      <c r="AR90" s="115">
        <f t="shared" si="19"/>
        <v>0.121350248854474</v>
      </c>
      <c r="AS90" s="115">
        <f t="shared" si="19"/>
        <v>0.20302392886124898</v>
      </c>
      <c r="AT90" s="115">
        <f t="shared" si="19"/>
        <v>3.49980939548412E-2</v>
      </c>
      <c r="AU90" s="115">
        <f t="shared" si="19"/>
        <v>3.8148837572892398E-2</v>
      </c>
      <c r="AV90" s="115">
        <f t="shared" si="19"/>
        <v>0.115903195956699</v>
      </c>
      <c r="AW90" s="115">
        <f t="shared" si="19"/>
        <v>0.267508845361843</v>
      </c>
      <c r="AX90" s="115">
        <f t="shared" si="19"/>
        <v>0.27357124414663397</v>
      </c>
      <c r="AY90" s="115">
        <f t="shared" si="19"/>
        <v>2.1096412890858E-2</v>
      </c>
      <c r="AZ90" s="115">
        <f t="shared" si="19"/>
        <v>6.5160660069318302E-3</v>
      </c>
      <c r="BA90" s="115">
        <f t="shared" si="19"/>
        <v>-1.16829052433771E-3</v>
      </c>
      <c r="BB90" s="246">
        <f t="shared" si="19"/>
        <v>-1.8049231691460901E-4</v>
      </c>
      <c r="BC90" s="326">
        <f t="shared" si="18"/>
        <v>-1.8049231691460901E-4</v>
      </c>
      <c r="BD90" s="326">
        <f t="shared" si="18"/>
        <v>-1.8049231691460901E-4</v>
      </c>
      <c r="BE90" s="326">
        <f t="shared" si="18"/>
        <v>-1.8049231691460901E-4</v>
      </c>
      <c r="BF90" s="326">
        <f t="shared" si="18"/>
        <v>-1.8049231691460901E-4</v>
      </c>
      <c r="BG90" s="326">
        <f t="shared" si="18"/>
        <v>-1.8049231691460901E-4</v>
      </c>
    </row>
    <row r="91" spans="3:59" ht="13.75" thickBot="1" x14ac:dyDescent="0.75">
      <c r="C91" s="328" t="s">
        <v>606</v>
      </c>
      <c r="D91" s="107"/>
      <c r="E91" s="107"/>
      <c r="F91" s="107"/>
      <c r="G91" s="107"/>
      <c r="H91" s="107"/>
      <c r="I91" s="107"/>
      <c r="J91" s="107"/>
      <c r="K91" s="107"/>
      <c r="L91" s="107"/>
      <c r="M91" s="107"/>
      <c r="N91" s="107"/>
      <c r="O91" s="107"/>
      <c r="P91" s="107"/>
      <c r="Q91" s="107"/>
      <c r="R91" s="107"/>
      <c r="S91" s="107"/>
      <c r="T91" s="107"/>
      <c r="U91" s="107"/>
      <c r="V91" s="107"/>
      <c r="W91" s="107"/>
      <c r="X91" s="114"/>
      <c r="Y91" s="114"/>
      <c r="Z91" s="114"/>
      <c r="AA91" s="114"/>
      <c r="AB91" s="114"/>
      <c r="AC91" s="114"/>
      <c r="AD91" s="114"/>
      <c r="AE91" s="114"/>
      <c r="AF91" s="114"/>
      <c r="AG91" s="114"/>
      <c r="AH91" s="120"/>
      <c r="AI91" s="117"/>
      <c r="AJ91" s="117"/>
      <c r="AK91" s="117"/>
      <c r="AL91" s="117"/>
      <c r="AM91" s="117"/>
      <c r="AN91" s="117"/>
      <c r="AO91" s="117"/>
      <c r="AP91" s="117"/>
      <c r="AQ91" s="117"/>
      <c r="AR91" s="117"/>
      <c r="AS91" s="117"/>
      <c r="AT91" s="117"/>
      <c r="AU91" s="117"/>
      <c r="AV91" s="117"/>
      <c r="AW91" s="117"/>
      <c r="AX91" s="117"/>
      <c r="AY91" s="117"/>
      <c r="AZ91" s="117"/>
      <c r="BA91" s="117"/>
      <c r="BB91" s="118"/>
      <c r="BC91" s="327"/>
      <c r="BD91" s="327"/>
      <c r="BE91" s="327"/>
      <c r="BF91" s="327"/>
      <c r="BG91" s="327"/>
    </row>
    <row r="92" spans="3:59" ht="13" x14ac:dyDescent="0.6">
      <c r="C92" s="104"/>
      <c r="D92" s="104"/>
      <c r="E92" s="104"/>
      <c r="F92" s="104"/>
      <c r="G92" s="104"/>
      <c r="H92" s="104"/>
      <c r="I92" s="104"/>
      <c r="J92" s="104"/>
      <c r="K92" s="104"/>
      <c r="L92" s="104"/>
      <c r="M92" s="104"/>
      <c r="N92" s="104"/>
      <c r="O92" s="104"/>
      <c r="P92" s="104"/>
      <c r="Q92" s="104"/>
      <c r="R92" s="104"/>
      <c r="S92" s="104"/>
      <c r="T92" s="104"/>
      <c r="U92" s="104"/>
      <c r="V92" s="104"/>
      <c r="W92" s="104"/>
      <c r="X92" s="105"/>
      <c r="Y92" s="105"/>
      <c r="Z92" s="105"/>
      <c r="AA92" s="105"/>
      <c r="AB92" s="105"/>
      <c r="AC92" s="105"/>
      <c r="AD92" s="105"/>
      <c r="AE92" s="105"/>
      <c r="AF92" s="105"/>
      <c r="AG92" s="105"/>
      <c r="AH92" s="105"/>
      <c r="AI92" s="105"/>
      <c r="AJ92" s="105"/>
      <c r="AK92" s="105"/>
      <c r="AL92" s="105"/>
      <c r="AM92" s="105"/>
      <c r="AN92" s="105"/>
      <c r="AO92" s="105"/>
      <c r="AP92" s="105"/>
      <c r="AQ92" s="105"/>
      <c r="AR92" s="105"/>
    </row>
    <row r="93" spans="3:59" ht="13" x14ac:dyDescent="0.6">
      <c r="C93" s="104"/>
      <c r="D93" s="104"/>
      <c r="E93" s="104"/>
      <c r="F93" s="104"/>
      <c r="G93" s="104"/>
      <c r="H93" s="104"/>
      <c r="I93" s="104"/>
      <c r="J93" s="104"/>
      <c r="K93" s="104"/>
      <c r="L93" s="104"/>
      <c r="M93" s="104"/>
      <c r="N93" s="104"/>
      <c r="O93" s="104"/>
      <c r="P93" s="104"/>
      <c r="Q93" s="104"/>
      <c r="R93" s="104"/>
      <c r="S93" s="104"/>
      <c r="T93" s="104"/>
      <c r="U93" s="104"/>
      <c r="V93" s="104"/>
      <c r="W93" s="104"/>
      <c r="X93" s="105"/>
      <c r="Y93" s="105"/>
      <c r="Z93" s="105"/>
      <c r="AA93" s="105"/>
      <c r="AB93" s="105"/>
      <c r="AC93" s="105"/>
      <c r="AD93" s="105"/>
      <c r="AE93" s="105"/>
      <c r="AF93" s="105"/>
      <c r="AG93" s="105"/>
      <c r="AH93" s="105"/>
      <c r="AI93" s="105"/>
      <c r="AJ93" s="105"/>
      <c r="AK93" s="105"/>
      <c r="AL93" s="105"/>
      <c r="AM93" s="105"/>
      <c r="AN93" s="105"/>
      <c r="AO93" s="105"/>
      <c r="AP93" s="105"/>
      <c r="AQ93" s="105"/>
      <c r="AR93" s="105"/>
    </row>
    <row r="94" spans="3:59" ht="13.75" thickBot="1" x14ac:dyDescent="0.75">
      <c r="C94" s="104" t="s">
        <v>937</v>
      </c>
      <c r="D94" s="104"/>
      <c r="E94" s="104"/>
      <c r="F94" s="104"/>
      <c r="G94" s="104"/>
      <c r="H94" s="104"/>
      <c r="I94" s="104"/>
      <c r="J94" s="104"/>
      <c r="K94" s="104"/>
      <c r="L94" s="104"/>
      <c r="M94" s="104"/>
      <c r="N94" s="104"/>
      <c r="O94" s="104"/>
      <c r="P94" s="104"/>
      <c r="Q94" s="104"/>
      <c r="R94" s="104"/>
      <c r="S94" s="104"/>
      <c r="T94" s="104"/>
      <c r="U94" s="104"/>
      <c r="V94" s="104"/>
      <c r="W94" s="104"/>
      <c r="X94" s="105"/>
      <c r="Y94" s="105"/>
      <c r="Z94" s="105"/>
      <c r="AA94" s="105"/>
      <c r="AB94" s="105"/>
      <c r="AC94" s="105"/>
      <c r="AD94" s="105"/>
      <c r="AE94" s="105"/>
      <c r="AF94" s="105"/>
      <c r="AG94" s="105"/>
      <c r="AH94" s="105"/>
      <c r="AI94" s="105" t="s">
        <v>607</v>
      </c>
      <c r="AJ94" s="105"/>
      <c r="AK94" s="105"/>
      <c r="AL94" s="105"/>
      <c r="AM94" s="105"/>
      <c r="AN94" s="105"/>
      <c r="AO94" s="105"/>
      <c r="AP94" s="105"/>
      <c r="AQ94" s="105"/>
      <c r="AR94" s="105"/>
    </row>
    <row r="95" spans="3:59" ht="13" x14ac:dyDescent="0.6">
      <c r="C95" s="107" t="s">
        <v>940</v>
      </c>
      <c r="D95" s="107"/>
      <c r="E95" s="107"/>
      <c r="F95" s="107"/>
      <c r="G95" s="107"/>
      <c r="H95" s="107"/>
      <c r="I95" s="107"/>
      <c r="J95" s="107"/>
      <c r="K95" s="107"/>
      <c r="L95" s="107"/>
      <c r="M95" s="107"/>
      <c r="N95" s="107"/>
      <c r="O95" s="107"/>
      <c r="P95" s="107"/>
      <c r="Q95" s="107"/>
      <c r="R95" s="107"/>
      <c r="S95" s="107"/>
      <c r="T95" s="107"/>
      <c r="U95" s="107"/>
      <c r="V95" s="107"/>
      <c r="W95" s="107"/>
      <c r="X95" s="108">
        <v>2000</v>
      </c>
      <c r="Y95" s="108">
        <v>2001</v>
      </c>
      <c r="Z95" s="108">
        <v>2002</v>
      </c>
      <c r="AA95" s="108">
        <v>2003</v>
      </c>
      <c r="AB95" s="108">
        <v>2004</v>
      </c>
      <c r="AC95" s="108">
        <v>2005</v>
      </c>
      <c r="AD95" s="108">
        <v>2006</v>
      </c>
      <c r="AE95" s="108">
        <v>2007</v>
      </c>
      <c r="AF95" s="108">
        <v>2008</v>
      </c>
      <c r="AG95" s="108">
        <v>2009</v>
      </c>
      <c r="AH95" s="119">
        <v>2010</v>
      </c>
      <c r="AI95" s="109">
        <v>2011</v>
      </c>
      <c r="AJ95" s="109">
        <v>2012</v>
      </c>
      <c r="AK95" s="109">
        <v>2013</v>
      </c>
      <c r="AL95" s="109">
        <v>2014</v>
      </c>
      <c r="AM95" s="109">
        <v>2015</v>
      </c>
      <c r="AN95" s="109">
        <v>2016</v>
      </c>
      <c r="AO95" s="109">
        <v>2017</v>
      </c>
      <c r="AP95" s="109">
        <v>2018</v>
      </c>
      <c r="AQ95" s="109">
        <v>2019</v>
      </c>
      <c r="AR95" s="109">
        <v>2020</v>
      </c>
      <c r="AS95" s="109">
        <v>2021</v>
      </c>
      <c r="AT95" s="109">
        <v>2022</v>
      </c>
      <c r="AU95" s="139">
        <v>2023</v>
      </c>
      <c r="AV95" s="109">
        <v>2024</v>
      </c>
      <c r="AW95" s="139">
        <v>2025</v>
      </c>
      <c r="AX95" s="139">
        <v>2026</v>
      </c>
      <c r="AY95" s="139">
        <v>2027</v>
      </c>
      <c r="AZ95" s="139">
        <v>2028</v>
      </c>
      <c r="BA95" s="139">
        <v>2029</v>
      </c>
      <c r="BB95" s="140">
        <v>2030</v>
      </c>
    </row>
    <row r="96" spans="3:59" ht="13" x14ac:dyDescent="0.6">
      <c r="C96" s="110" t="s">
        <v>595</v>
      </c>
      <c r="D96" s="110"/>
      <c r="E96" s="110"/>
      <c r="F96" s="110"/>
      <c r="G96" s="110"/>
      <c r="H96" s="110"/>
      <c r="I96" s="110"/>
      <c r="J96" s="110"/>
      <c r="K96" s="110"/>
      <c r="L96" s="110"/>
      <c r="M96" s="110"/>
      <c r="N96" s="110"/>
      <c r="O96" s="110"/>
      <c r="P96" s="110"/>
      <c r="Q96" s="110"/>
      <c r="R96" s="110"/>
      <c r="S96" s="110"/>
      <c r="T96" s="110"/>
      <c r="U96" s="110"/>
      <c r="V96" s="110"/>
      <c r="W96" s="110"/>
      <c r="X96" s="111"/>
      <c r="Y96" s="111"/>
      <c r="Z96" s="111"/>
      <c r="AA96" s="111"/>
      <c r="AB96" s="111"/>
      <c r="AC96" s="112"/>
      <c r="AD96" s="112"/>
      <c r="AE96" s="112"/>
      <c r="AF96" s="112"/>
      <c r="AG96" s="112"/>
      <c r="AH96" s="113"/>
      <c r="AI96" s="112"/>
      <c r="AJ96" s="112"/>
      <c r="AK96" s="112"/>
      <c r="AL96" s="112"/>
      <c r="AM96" s="112"/>
      <c r="AN96" s="112"/>
      <c r="AO96" s="112"/>
      <c r="AP96" s="112"/>
      <c r="AQ96" s="112"/>
      <c r="AR96" s="112"/>
      <c r="AS96" s="112"/>
      <c r="AT96" s="112"/>
      <c r="AU96" s="112"/>
      <c r="AV96" s="112"/>
      <c r="AW96" s="112"/>
      <c r="AX96" s="112"/>
      <c r="AY96" s="112"/>
      <c r="AZ96" s="112"/>
      <c r="BA96" s="112"/>
      <c r="BB96" s="113"/>
    </row>
    <row r="97" spans="3:54" ht="13" x14ac:dyDescent="0.6">
      <c r="C97" s="107" t="s">
        <v>687</v>
      </c>
      <c r="D97" s="107"/>
      <c r="E97" s="107"/>
      <c r="F97" s="107"/>
      <c r="G97" s="107"/>
      <c r="H97" s="107"/>
      <c r="I97" s="107"/>
      <c r="J97" s="107"/>
      <c r="K97" s="107"/>
      <c r="L97" s="107"/>
      <c r="M97" s="107"/>
      <c r="N97" s="107"/>
      <c r="O97" s="107"/>
      <c r="P97" s="107"/>
      <c r="Q97" s="107"/>
      <c r="R97" s="107"/>
      <c r="S97" s="107"/>
      <c r="T97" s="107"/>
      <c r="U97" s="107"/>
      <c r="V97" s="107"/>
      <c r="W97" s="107"/>
      <c r="X97" s="114">
        <v>5.1927484264814326E-2</v>
      </c>
      <c r="Y97" s="115">
        <v>1.0403431642956689E-2</v>
      </c>
      <c r="Z97" s="115">
        <v>1.6361825471041345E-2</v>
      </c>
      <c r="AA97" s="115">
        <v>1.7868178175673034E-2</v>
      </c>
      <c r="AB97" s="115">
        <v>4.425075115567801E-2</v>
      </c>
      <c r="AC97" s="115">
        <v>3.9361602470193831E-2</v>
      </c>
      <c r="AD97" s="115">
        <v>4.5535909396434253E-2</v>
      </c>
      <c r="AE97" s="115">
        <v>4.535645224104657E-2</v>
      </c>
      <c r="AF97" s="115">
        <v>1.208764444988137E-2</v>
      </c>
      <c r="AG97" s="115">
        <v>-2.3601996190983212E-2</v>
      </c>
      <c r="AH97" s="116">
        <v>5.2780420753310998E-2</v>
      </c>
      <c r="AI97" s="115">
        <v>6.2787461812519166E-2</v>
      </c>
      <c r="AJ97" s="115">
        <v>3.9768152268357386E-2</v>
      </c>
      <c r="AK97" s="115">
        <v>6.4928762164608717E-2</v>
      </c>
      <c r="AL97" s="115">
        <v>5.2721598552275581E-2</v>
      </c>
      <c r="AM97" s="115">
        <v>5.7512690526908147E-2</v>
      </c>
      <c r="AN97" s="115">
        <v>2.7686708369549357E-2</v>
      </c>
      <c r="AO97" s="115">
        <v>2.8091269423192653E-2</v>
      </c>
      <c r="AP97" s="115">
        <v>3.3740163035683272E-2</v>
      </c>
      <c r="AQ97" s="115">
        <v>3.0327574547678138E-2</v>
      </c>
      <c r="AR97" s="115">
        <v>-1.7279818231794416E-2</v>
      </c>
      <c r="AS97" s="115">
        <v>5.5215140737248654E-2</v>
      </c>
      <c r="AT97" s="115">
        <v>6.1993968120878533E-2</v>
      </c>
      <c r="AU97" s="115">
        <v>4.2761900110314104E-2</v>
      </c>
      <c r="AV97" s="115">
        <v>4.7117195823841752E-2</v>
      </c>
      <c r="AW97" s="115">
        <v>5.0217290194333145E-2</v>
      </c>
      <c r="AX97" s="115">
        <v>5.0970205188029478E-2</v>
      </c>
      <c r="AY97" s="115">
        <v>5.0365317247622075E-2</v>
      </c>
      <c r="AZ97" s="115">
        <v>4.9654624480375477E-2</v>
      </c>
      <c r="BA97" s="115">
        <v>4.9654624480375477E-2</v>
      </c>
      <c r="BB97" s="116">
        <v>4.9654624480375477E-2</v>
      </c>
    </row>
    <row r="98" spans="3:54" ht="13" x14ac:dyDescent="0.6">
      <c r="C98" s="107" t="s">
        <v>688</v>
      </c>
      <c r="D98" s="107"/>
      <c r="E98" s="107"/>
      <c r="F98" s="107"/>
      <c r="G98" s="107"/>
      <c r="H98" s="107"/>
      <c r="I98" s="107"/>
      <c r="J98" s="107"/>
      <c r="K98" s="107"/>
      <c r="L98" s="107"/>
      <c r="M98" s="107"/>
      <c r="N98" s="107"/>
      <c r="O98" s="107"/>
      <c r="P98" s="107"/>
      <c r="Q98" s="107"/>
      <c r="R98" s="107"/>
      <c r="S98" s="107"/>
      <c r="T98" s="107"/>
      <c r="U98" s="107"/>
      <c r="V98" s="107"/>
      <c r="W98" s="107"/>
      <c r="X98" s="114">
        <v>0.11599646052224381</v>
      </c>
      <c r="Y98" s="115">
        <v>9.7595903054632394E-2</v>
      </c>
      <c r="Z98" s="115">
        <v>0.12366624313793741</v>
      </c>
      <c r="AA98" s="115">
        <v>7.5106928290075106E-2</v>
      </c>
      <c r="AB98" s="115">
        <v>0.19143643804677907</v>
      </c>
      <c r="AC98" s="115">
        <v>0.20852952304566755</v>
      </c>
      <c r="AD98" s="115">
        <v>7.6998522449691659E-2</v>
      </c>
      <c r="AE98" s="115">
        <v>0.31802812695242438</v>
      </c>
      <c r="AF98" s="115">
        <v>0.10437718376011025</v>
      </c>
      <c r="AG98" s="115">
        <v>-7.3427473387567416E-2</v>
      </c>
      <c r="AH98" s="116">
        <v>0.13275803750916379</v>
      </c>
      <c r="AI98" s="115">
        <v>5.8406717069257763E-2</v>
      </c>
      <c r="AJ98" s="115">
        <v>3.828073248948026E-2</v>
      </c>
      <c r="AK98" s="115">
        <v>0.14404266743151548</v>
      </c>
      <c r="AL98" s="115">
        <v>9.996715766252233E-2</v>
      </c>
      <c r="AM98" s="115">
        <v>-8.7045796973809677E-3</v>
      </c>
      <c r="AN98" s="115">
        <v>8.4174549600531112E-2</v>
      </c>
      <c r="AO98" s="115">
        <v>-1.0567066072321803E-2</v>
      </c>
      <c r="AP98" s="115">
        <v>9.5688011265897599E-2</v>
      </c>
      <c r="AQ98" s="115">
        <v>-4.4687061070087374E-2</v>
      </c>
      <c r="AR98" s="115">
        <v>-7.7510986440970736E-2</v>
      </c>
      <c r="AS98" s="115">
        <v>0.16128728300750539</v>
      </c>
      <c r="AT98" s="115">
        <v>9.9041892422867955E-2</v>
      </c>
      <c r="AU98" s="115">
        <v>2.611693940754771E-2</v>
      </c>
      <c r="AV98" s="115">
        <v>7.2416357121332528E-2</v>
      </c>
      <c r="AW98" s="115">
        <v>5.0167777996167603E-2</v>
      </c>
      <c r="AX98" s="115">
        <v>5.8440793660681119E-2</v>
      </c>
      <c r="AY98" s="115">
        <v>5.4686830706945189E-2</v>
      </c>
      <c r="AZ98" s="115">
        <v>4.1012897499179128E-2</v>
      </c>
      <c r="BA98" s="115">
        <v>4.1012897499179128E-2</v>
      </c>
      <c r="BB98" s="116">
        <v>4.1012897499179128E-2</v>
      </c>
    </row>
    <row r="99" spans="3:54" ht="13" x14ac:dyDescent="0.6">
      <c r="C99" s="110" t="s">
        <v>596</v>
      </c>
      <c r="D99" s="110"/>
      <c r="E99" s="110"/>
      <c r="F99" s="110"/>
      <c r="G99" s="110"/>
      <c r="H99" s="110"/>
      <c r="I99" s="110"/>
      <c r="J99" s="110"/>
      <c r="K99" s="110"/>
      <c r="L99" s="110"/>
      <c r="M99" s="110"/>
      <c r="N99" s="110"/>
      <c r="O99" s="110"/>
      <c r="P99" s="110"/>
      <c r="Q99" s="110"/>
      <c r="R99" s="110"/>
      <c r="S99" s="110"/>
      <c r="T99" s="110"/>
      <c r="U99" s="110"/>
      <c r="V99" s="110"/>
      <c r="W99" s="110"/>
      <c r="X99" s="114"/>
      <c r="Y99" s="115"/>
      <c r="Z99" s="115"/>
      <c r="AA99" s="115"/>
      <c r="AB99" s="115"/>
      <c r="AC99" s="115"/>
      <c r="AD99" s="115"/>
      <c r="AE99" s="115"/>
      <c r="AF99" s="115"/>
      <c r="AG99" s="115"/>
      <c r="AH99" s="116"/>
      <c r="AI99" s="115"/>
      <c r="AJ99" s="115"/>
      <c r="AK99" s="115"/>
      <c r="AL99" s="115"/>
      <c r="AM99" s="115"/>
      <c r="AN99" s="115"/>
      <c r="AO99" s="115"/>
      <c r="AP99" s="115"/>
      <c r="AQ99" s="115"/>
      <c r="AR99" s="115"/>
      <c r="AS99" s="115"/>
      <c r="AT99" s="115"/>
      <c r="AU99" s="115"/>
      <c r="AV99" s="115"/>
      <c r="AW99" s="115"/>
      <c r="AX99" s="115"/>
      <c r="AY99" s="115"/>
      <c r="AZ99" s="115"/>
      <c r="BA99" s="115"/>
      <c r="BB99" s="116"/>
    </row>
    <row r="100" spans="3:54" ht="13" x14ac:dyDescent="0.6">
      <c r="C100" s="107" t="s">
        <v>689</v>
      </c>
      <c r="D100" s="107"/>
      <c r="E100" s="107"/>
      <c r="F100" s="107"/>
      <c r="G100" s="107"/>
      <c r="H100" s="107"/>
      <c r="I100" s="107"/>
      <c r="J100" s="107"/>
      <c r="K100" s="107"/>
      <c r="L100" s="107"/>
      <c r="M100" s="107"/>
      <c r="N100" s="107"/>
      <c r="O100" s="107"/>
      <c r="P100" s="107"/>
      <c r="Q100" s="107"/>
      <c r="R100" s="107"/>
      <c r="S100" s="107"/>
      <c r="T100" s="107"/>
      <c r="U100" s="107"/>
      <c r="V100" s="107"/>
      <c r="W100" s="107"/>
      <c r="X100" s="114">
        <v>-5.761511802147487E-2</v>
      </c>
      <c r="Y100" s="115">
        <v>-2.7358147318460545E-2</v>
      </c>
      <c r="Z100" s="115">
        <v>5.0442111899362069E-2</v>
      </c>
      <c r="AA100" s="115">
        <v>0.15568759944401894</v>
      </c>
      <c r="AB100" s="115">
        <v>9.457483940409267E-2</v>
      </c>
      <c r="AC100" s="115">
        <v>2.1131560038751211E-2</v>
      </c>
      <c r="AD100" s="115">
        <v>2.2186340196916086E-2</v>
      </c>
      <c r="AE100" s="115">
        <v>7.9903942345525281E-2</v>
      </c>
      <c r="AF100" s="115">
        <v>9.002119465852769E-2</v>
      </c>
      <c r="AG100" s="115">
        <v>-3.5849518103167492E-2</v>
      </c>
      <c r="AH100" s="116">
        <v>1.5908438976972049E-2</v>
      </c>
      <c r="AI100" s="115">
        <v>9.0618229778008597E-2</v>
      </c>
      <c r="AJ100" s="115">
        <v>-3.008120362204968E-2</v>
      </c>
      <c r="AK100" s="115">
        <v>2.2950478305429886E-2</v>
      </c>
      <c r="AL100" s="115">
        <v>7.0795611042831826E-3</v>
      </c>
      <c r="AM100" s="115">
        <v>-0.10880291570986125</v>
      </c>
      <c r="AN100" s="115">
        <v>1.7211200114246824E-3</v>
      </c>
      <c r="AO100" s="115">
        <v>2.5005180669454518E-2</v>
      </c>
      <c r="AP100" s="115">
        <v>4.3855501256801072E-2</v>
      </c>
      <c r="AQ100" s="115">
        <v>-2.1893925632033961E-2</v>
      </c>
      <c r="AR100" s="115">
        <v>2.2879244193298575E-2</v>
      </c>
      <c r="AS100" s="115">
        <v>5.5263693875492147E-2</v>
      </c>
      <c r="AT100" s="115">
        <v>-2.0375172935192705E-2</v>
      </c>
      <c r="AU100" s="115">
        <v>6.2014131825414563E-2</v>
      </c>
      <c r="AV100" s="115">
        <v>3.7307097027268372E-2</v>
      </c>
      <c r="AW100" s="115">
        <v>2.9457559568781818E-2</v>
      </c>
      <c r="AX100" s="115">
        <v>2.5771748226178958E-2</v>
      </c>
      <c r="AY100" s="115">
        <v>2.1055499794532785E-2</v>
      </c>
      <c r="AZ100" s="115">
        <v>2.3016232493805289E-2</v>
      </c>
      <c r="BA100" s="115">
        <v>2.3016232493805289E-2</v>
      </c>
      <c r="BB100" s="116">
        <v>2.3016232493805289E-2</v>
      </c>
    </row>
    <row r="101" spans="3:54" ht="13" x14ac:dyDescent="0.6">
      <c r="C101" s="107" t="s">
        <v>690</v>
      </c>
      <c r="D101" s="107"/>
      <c r="E101" s="107"/>
      <c r="F101" s="107"/>
      <c r="G101" s="107"/>
      <c r="H101" s="107"/>
      <c r="I101" s="107"/>
      <c r="J101" s="107"/>
      <c r="K101" s="107"/>
      <c r="L101" s="107"/>
      <c r="M101" s="107"/>
      <c r="N101" s="107"/>
      <c r="O101" s="107"/>
      <c r="P101" s="107"/>
      <c r="Q101" s="107"/>
      <c r="R101" s="107"/>
      <c r="S101" s="107"/>
      <c r="T101" s="107"/>
      <c r="U101" s="107"/>
      <c r="V101" s="107"/>
      <c r="W101" s="107"/>
      <c r="X101" s="114">
        <v>-2.1869771467948287E-2</v>
      </c>
      <c r="Y101" s="115">
        <v>-5.5799420847141318E-2</v>
      </c>
      <c r="Z101" s="115">
        <v>-6.6551260704820004E-3</v>
      </c>
      <c r="AA101" s="115">
        <v>8.9277687983678383E-2</v>
      </c>
      <c r="AB101" s="115">
        <v>9.8067122735204612E-2</v>
      </c>
      <c r="AC101" s="115">
        <v>6.2362975638714152E-2</v>
      </c>
      <c r="AD101" s="115">
        <v>7.3004972739529828E-2</v>
      </c>
      <c r="AE101" s="115">
        <v>9.7107688291755187E-2</v>
      </c>
      <c r="AF101" s="115">
        <v>0.11756080850665868</v>
      </c>
      <c r="AG101" s="115">
        <v>-5.004831164021678E-2</v>
      </c>
      <c r="AH101" s="116">
        <v>7.998669158382811E-2</v>
      </c>
      <c r="AI101" s="115">
        <v>0.10230624799368333</v>
      </c>
      <c r="AJ101" s="115">
        <v>-9.68535221364193E-4</v>
      </c>
      <c r="AK101" s="115">
        <v>-1.5722111079050551E-2</v>
      </c>
      <c r="AL101" s="115">
        <v>-2.7741094497770576E-2</v>
      </c>
      <c r="AM101" s="115">
        <v>-7.8150617794130212E-2</v>
      </c>
      <c r="AN101" s="115">
        <v>-4.1836172287279795E-2</v>
      </c>
      <c r="AO101" s="115">
        <v>4.035502414531477E-2</v>
      </c>
      <c r="AP101" s="115">
        <v>1.8406648882324128E-2</v>
      </c>
      <c r="AQ101" s="115">
        <v>-1.5728731181877904E-2</v>
      </c>
      <c r="AR101" s="115">
        <v>2.0059844985769123E-2</v>
      </c>
      <c r="AS101" s="115">
        <v>0.11433000208073445</v>
      </c>
      <c r="AT101" s="115">
        <v>5.8033701205181282E-2</v>
      </c>
      <c r="AU101" s="115">
        <v>-2.5058346111962526E-3</v>
      </c>
      <c r="AV101" s="115">
        <v>1.4450024456662073E-2</v>
      </c>
      <c r="AW101" s="115">
        <v>1.304991362729401E-2</v>
      </c>
      <c r="AX101" s="115">
        <v>8.3885679366566025E-3</v>
      </c>
      <c r="AY101" s="115">
        <v>8.2702355497330845E-3</v>
      </c>
      <c r="AZ101" s="115">
        <v>1.6839881407317469E-2</v>
      </c>
      <c r="BA101" s="115">
        <v>1.6839881407317469E-2</v>
      </c>
      <c r="BB101" s="116">
        <v>1.6839881407317469E-2</v>
      </c>
    </row>
    <row r="102" spans="3:54" ht="13" x14ac:dyDescent="0.6">
      <c r="C102" s="107" t="s">
        <v>691</v>
      </c>
      <c r="D102" s="107"/>
      <c r="E102" s="107"/>
      <c r="F102" s="107"/>
      <c r="G102" s="107"/>
      <c r="H102" s="107"/>
      <c r="I102" s="107"/>
      <c r="J102" s="107"/>
      <c r="K102" s="107"/>
      <c r="L102" s="107"/>
      <c r="M102" s="107"/>
      <c r="N102" s="107"/>
      <c r="O102" s="107"/>
      <c r="P102" s="107"/>
      <c r="Q102" s="107"/>
      <c r="R102" s="107"/>
      <c r="S102" s="107"/>
      <c r="T102" s="107"/>
      <c r="U102" s="107"/>
      <c r="V102" s="107"/>
      <c r="W102" s="107"/>
      <c r="X102" s="114">
        <v>3.8920153331531063E-4</v>
      </c>
      <c r="Y102" s="115">
        <v>-3.338017759329525E-2</v>
      </c>
      <c r="Z102" s="115">
        <v>-1.849183621065402E-2</v>
      </c>
      <c r="AA102" s="115">
        <v>2.9262782172787952E-2</v>
      </c>
      <c r="AB102" s="115">
        <v>6.5453994727631956E-2</v>
      </c>
      <c r="AC102" s="115">
        <v>3.8809693861117989E-2</v>
      </c>
      <c r="AD102" s="115">
        <v>2.0392730091188156E-2</v>
      </c>
      <c r="AE102" s="115">
        <v>3.2698997467834806E-2</v>
      </c>
      <c r="AF102" s="115">
        <v>5.8553092052799662E-2</v>
      </c>
      <c r="AG102" s="115">
        <v>-1.5546913245636933E-2</v>
      </c>
      <c r="AH102" s="116">
        <v>1.844097660952097E-2</v>
      </c>
      <c r="AI102" s="115">
        <v>4.3881595472992106E-2</v>
      </c>
      <c r="AJ102" s="115">
        <v>2.4787023276910927E-2</v>
      </c>
      <c r="AK102" s="115">
        <v>-2.9269547934210008E-2</v>
      </c>
      <c r="AL102" s="115">
        <v>-4.8950709800798719E-3</v>
      </c>
      <c r="AM102" s="115">
        <v>-2.9697321905031757E-2</v>
      </c>
      <c r="AN102" s="115">
        <v>-5.2171841605435046E-2</v>
      </c>
      <c r="AO102" s="115">
        <v>8.6951481259748479E-4</v>
      </c>
      <c r="AP102" s="115">
        <v>2.0105682022200734E-2</v>
      </c>
      <c r="AQ102" s="115">
        <v>4.981097043114651E-3</v>
      </c>
      <c r="AR102" s="115">
        <v>-3.1559186918870281E-2</v>
      </c>
      <c r="AS102" s="115">
        <v>6.6295506352023165E-2</v>
      </c>
      <c r="AT102" s="115">
        <v>0.1008768836399923</v>
      </c>
      <c r="AU102" s="115">
        <v>-4.842808814516584E-3</v>
      </c>
      <c r="AV102" s="115">
        <v>2.9596000469208031E-2</v>
      </c>
      <c r="AW102" s="115">
        <v>2.1112017511670144E-2</v>
      </c>
      <c r="AX102" s="115">
        <v>1.5298689164565348E-2</v>
      </c>
      <c r="AY102" s="115">
        <v>1.4785953111490726E-2</v>
      </c>
      <c r="AZ102" s="115">
        <v>2.0309707469120673E-2</v>
      </c>
      <c r="BA102" s="115">
        <v>2.0309707469120673E-2</v>
      </c>
      <c r="BB102" s="116">
        <v>2.0309707469120673E-2</v>
      </c>
    </row>
    <row r="103" spans="3:54" ht="13" x14ac:dyDescent="0.6">
      <c r="C103" s="107" t="s">
        <v>692</v>
      </c>
      <c r="D103" s="107"/>
      <c r="E103" s="107"/>
      <c r="F103" s="107"/>
      <c r="G103" s="107"/>
      <c r="H103" s="107"/>
      <c r="I103" s="107"/>
      <c r="J103" s="107"/>
      <c r="K103" s="107"/>
      <c r="L103" s="107"/>
      <c r="M103" s="107"/>
      <c r="N103" s="107"/>
      <c r="O103" s="107"/>
      <c r="P103" s="107"/>
      <c r="Q103" s="107"/>
      <c r="R103" s="107"/>
      <c r="S103" s="107"/>
      <c r="T103" s="107"/>
      <c r="U103" s="107"/>
      <c r="V103" s="107"/>
      <c r="W103" s="107"/>
      <c r="X103" s="114">
        <v>0.5702368262501738</v>
      </c>
      <c r="Y103" s="115">
        <v>-0.13824857589799588</v>
      </c>
      <c r="Z103" s="115">
        <v>2.5447819981504874E-2</v>
      </c>
      <c r="AA103" s="115">
        <v>0.15844870199231081</v>
      </c>
      <c r="AB103" s="115">
        <v>0.30492486160399301</v>
      </c>
      <c r="AC103" s="115">
        <v>0.41475990524388001</v>
      </c>
      <c r="AD103" s="115">
        <v>0.20455216774252094</v>
      </c>
      <c r="AE103" s="115">
        <v>0.10713775779533857</v>
      </c>
      <c r="AF103" s="115">
        <v>0.36260806641200266</v>
      </c>
      <c r="AG103" s="115">
        <v>-0.36301068305645789</v>
      </c>
      <c r="AH103" s="116">
        <v>0.27959416418600236</v>
      </c>
      <c r="AI103" s="115">
        <v>0.31491985732328959</v>
      </c>
      <c r="AJ103" s="115">
        <v>9.8777641391187641E-3</v>
      </c>
      <c r="AK103" s="115">
        <v>-8.799536967720966E-3</v>
      </c>
      <c r="AL103" s="115">
        <v>-7.5314880179226454E-2</v>
      </c>
      <c r="AM103" s="115">
        <v>-0.47146300179739115</v>
      </c>
      <c r="AN103" s="115">
        <v>-0.15022149497565174</v>
      </c>
      <c r="AO103" s="115">
        <v>0.22452431023357705</v>
      </c>
      <c r="AP103" s="115">
        <v>0.29361225338930469</v>
      </c>
      <c r="AQ103" s="115">
        <v>-0.10360330409299749</v>
      </c>
      <c r="AR103" s="115">
        <v>-0.32013819483552891</v>
      </c>
      <c r="AS103" s="115">
        <v>0.65806664046654073</v>
      </c>
      <c r="AT103" s="115">
        <v>0.39151032082957182</v>
      </c>
      <c r="AU103" s="115">
        <v>-0.16473186132565573</v>
      </c>
      <c r="AV103" s="115">
        <v>-7.0108918103462927E-3</v>
      </c>
      <c r="AW103" s="115">
        <v>-4.9424233102740904E-2</v>
      </c>
      <c r="AX103" s="115">
        <v>-4.2662032556837183E-2</v>
      </c>
      <c r="AY103" s="115">
        <v>-3.8672566838953093E-2</v>
      </c>
      <c r="AZ103" s="115">
        <v>-3.491602924840629E-2</v>
      </c>
      <c r="BA103" s="115">
        <v>-3.491602924840629E-2</v>
      </c>
      <c r="BB103" s="116">
        <v>-3.491602924840629E-2</v>
      </c>
    </row>
    <row r="104" spans="3:54" ht="13" x14ac:dyDescent="0.6">
      <c r="C104" s="110" t="s">
        <v>597</v>
      </c>
      <c r="D104" s="110"/>
      <c r="E104" s="110"/>
      <c r="F104" s="110"/>
      <c r="G104" s="110"/>
      <c r="H104" s="110"/>
      <c r="I104" s="110"/>
      <c r="J104" s="110"/>
      <c r="K104" s="110"/>
      <c r="L104" s="110"/>
      <c r="M104" s="110"/>
      <c r="N104" s="110"/>
      <c r="O104" s="110"/>
      <c r="P104" s="110"/>
      <c r="Q104" s="110"/>
      <c r="R104" s="110"/>
      <c r="S104" s="110"/>
      <c r="T104" s="110"/>
      <c r="U104" s="110"/>
      <c r="V104" s="110"/>
      <c r="W104" s="110"/>
      <c r="X104" s="114"/>
      <c r="Y104" s="115"/>
      <c r="Z104" s="115"/>
      <c r="AA104" s="115"/>
      <c r="AB104" s="115"/>
      <c r="AC104" s="115"/>
      <c r="AD104" s="115"/>
      <c r="AE104" s="115"/>
      <c r="AF104" s="115"/>
      <c r="AG104" s="115"/>
      <c r="AH104" s="116"/>
      <c r="AI104" s="115"/>
      <c r="AJ104" s="115"/>
      <c r="AK104" s="115"/>
      <c r="AL104" s="115"/>
      <c r="AM104" s="115"/>
      <c r="AN104" s="115"/>
      <c r="AO104" s="115"/>
      <c r="AP104" s="115"/>
      <c r="AQ104" s="115"/>
      <c r="AR104" s="115"/>
      <c r="AS104" s="115"/>
      <c r="AT104" s="115"/>
      <c r="AU104" s="115"/>
      <c r="AV104" s="115"/>
      <c r="AW104" s="115"/>
      <c r="AX104" s="115"/>
      <c r="AY104" s="115"/>
      <c r="AZ104" s="115"/>
      <c r="BA104" s="115"/>
      <c r="BB104" s="116"/>
    </row>
    <row r="105" spans="3:54" ht="13" x14ac:dyDescent="0.6">
      <c r="C105" s="107" t="s">
        <v>693</v>
      </c>
      <c r="D105" s="107"/>
      <c r="E105" s="107"/>
      <c r="F105" s="107"/>
      <c r="G105" s="107"/>
      <c r="H105" s="107"/>
      <c r="I105" s="107"/>
      <c r="J105" s="107"/>
      <c r="K105" s="107"/>
      <c r="L105" s="107"/>
      <c r="M105" s="107"/>
      <c r="N105" s="107"/>
      <c r="O105" s="107"/>
      <c r="P105" s="107"/>
      <c r="Q105" s="107"/>
      <c r="R105" s="107"/>
      <c r="S105" s="107"/>
      <c r="T105" s="107"/>
      <c r="U105" s="107"/>
      <c r="V105" s="107"/>
      <c r="W105" s="107"/>
      <c r="X105" s="114">
        <v>2.9387630772639579E-4</v>
      </c>
      <c r="Y105" s="115">
        <v>-1.63564109387891E-2</v>
      </c>
      <c r="Z105" s="115">
        <v>-1.1079879269820158E-2</v>
      </c>
      <c r="AA105" s="115">
        <v>7.7893988378265139E-2</v>
      </c>
      <c r="AB105" s="115">
        <v>7.8994281102314046E-2</v>
      </c>
      <c r="AC105" s="115">
        <v>2.7223666682883976E-2</v>
      </c>
      <c r="AD105" s="115">
        <v>5.9294805047421663E-2</v>
      </c>
      <c r="AE105" s="115">
        <v>7.0766384570998986E-2</v>
      </c>
      <c r="AF105" s="115">
        <v>0.11346602355150046</v>
      </c>
      <c r="AG105" s="115">
        <v>-7.0107898717130746E-2</v>
      </c>
      <c r="AH105" s="116">
        <v>0.10785163790060454</v>
      </c>
      <c r="AI105" s="115">
        <v>9.9320527389514787E-2</v>
      </c>
      <c r="AJ105" s="115">
        <v>4.9841441167306367E-4</v>
      </c>
      <c r="AK105" s="115">
        <v>-2.7973795660114639E-2</v>
      </c>
      <c r="AL105" s="115">
        <v>-2.5560031809399766E-2</v>
      </c>
      <c r="AM105" s="115">
        <v>-7.4103728717411971E-2</v>
      </c>
      <c r="AN105" s="115">
        <v>-2.7573586841879917E-2</v>
      </c>
      <c r="AO105" s="115">
        <v>2.2894474524306502E-2</v>
      </c>
      <c r="AP105" s="115">
        <v>2.063531856953256E-2</v>
      </c>
      <c r="AQ105" s="115">
        <v>1.1067986722684969E-3</v>
      </c>
      <c r="AR105" s="115">
        <v>1.6561177538698197E-2</v>
      </c>
      <c r="AS105" s="115">
        <v>0.11031108190416351</v>
      </c>
      <c r="AT105" s="115">
        <v>8.2429048970911314E-2</v>
      </c>
      <c r="AU105" s="115">
        <v>1.1194727133603389E-2</v>
      </c>
      <c r="AV105" s="115">
        <v>1.7941975123916327E-2</v>
      </c>
      <c r="AW105" s="115">
        <v>1.2559615401679419E-2</v>
      </c>
      <c r="AX105" s="115">
        <v>1.1071440472821515E-2</v>
      </c>
      <c r="AY105" s="115">
        <v>1.09735204965814E-2</v>
      </c>
      <c r="AZ105" s="115">
        <v>1.5750799123736767E-2</v>
      </c>
      <c r="BA105" s="115">
        <v>1.5750799123736767E-2</v>
      </c>
      <c r="BB105" s="116">
        <v>1.5750799123736767E-2</v>
      </c>
    </row>
    <row r="106" spans="3:54" ht="13" x14ac:dyDescent="0.6">
      <c r="C106" s="107" t="s">
        <v>694</v>
      </c>
      <c r="D106" s="107"/>
      <c r="E106" s="107"/>
      <c r="F106" s="107"/>
      <c r="G106" s="107"/>
      <c r="H106" s="107"/>
      <c r="I106" s="107"/>
      <c r="J106" s="107"/>
      <c r="K106" s="107"/>
      <c r="L106" s="107"/>
      <c r="M106" s="107"/>
      <c r="N106" s="107"/>
      <c r="O106" s="107"/>
      <c r="P106" s="107"/>
      <c r="Q106" s="107"/>
      <c r="R106" s="107"/>
      <c r="S106" s="107"/>
      <c r="T106" s="107"/>
      <c r="U106" s="107"/>
      <c r="V106" s="107"/>
      <c r="W106" s="107"/>
      <c r="X106" s="114">
        <v>3.6633467530689967E-2</v>
      </c>
      <c r="Y106" s="115">
        <v>-0.17173314564492617</v>
      </c>
      <c r="Z106" s="115">
        <v>2.4994996860397346E-2</v>
      </c>
      <c r="AA106" s="115">
        <v>0.16029762233998063</v>
      </c>
      <c r="AB106" s="115">
        <v>0.18765997478579755</v>
      </c>
      <c r="AC106" s="115">
        <v>8.9052925773011549E-2</v>
      </c>
      <c r="AD106" s="115">
        <v>0.30269662253657015</v>
      </c>
      <c r="AE106" s="115">
        <v>0.2702065139440763</v>
      </c>
      <c r="AF106" s="115">
        <v>-5.0954193212587838E-2</v>
      </c>
      <c r="AG106" s="115">
        <v>-0.12188172106997414</v>
      </c>
      <c r="AH106" s="116">
        <v>0.23950544379206345</v>
      </c>
      <c r="AI106" s="115">
        <v>0.22530921096387105</v>
      </c>
      <c r="AJ106" s="115">
        <v>-3.2117325926166854E-2</v>
      </c>
      <c r="AK106" s="115">
        <v>-0.12758953476195437</v>
      </c>
      <c r="AL106" s="115">
        <v>-5.3395235040321426E-2</v>
      </c>
      <c r="AM106" s="115">
        <v>-0.11105929846010289</v>
      </c>
      <c r="AN106" s="115">
        <v>1.456910253944611E-2</v>
      </c>
      <c r="AO106" s="115">
        <v>5.7687782258392134E-2</v>
      </c>
      <c r="AP106" s="115">
        <v>-3.3970930730450825E-3</v>
      </c>
      <c r="AQ106" s="115">
        <v>3.5039088182270306E-2</v>
      </c>
      <c r="AR106" s="115">
        <v>0.12735811602104044</v>
      </c>
      <c r="AS106" s="115">
        <v>0.1664351093078425</v>
      </c>
      <c r="AT106" s="115">
        <v>4.3570836504768756E-2</v>
      </c>
      <c r="AU106" s="115">
        <v>3.7461955253789911E-2</v>
      </c>
      <c r="AV106" s="115">
        <v>-8.3775077023627159E-3</v>
      </c>
      <c r="AW106" s="115">
        <v>2.3202760637586185E-2</v>
      </c>
      <c r="AX106" s="115">
        <v>1.5131802777802343E-2</v>
      </c>
      <c r="AY106" s="115">
        <v>9.2531356609379996E-3</v>
      </c>
      <c r="AZ106" s="115">
        <v>8.7928979571771718E-3</v>
      </c>
      <c r="BA106" s="115">
        <v>8.7928979571771718E-3</v>
      </c>
      <c r="BB106" s="116">
        <v>8.7928979571771718E-3</v>
      </c>
    </row>
    <row r="107" spans="3:54" ht="13.75" thickBot="1" x14ac:dyDescent="0.75">
      <c r="C107" s="107" t="s">
        <v>606</v>
      </c>
      <c r="D107" s="107"/>
      <c r="E107" s="107"/>
      <c r="F107" s="107"/>
      <c r="G107" s="107"/>
      <c r="H107" s="107"/>
      <c r="I107" s="107"/>
      <c r="J107" s="107"/>
      <c r="K107" s="107"/>
      <c r="L107" s="107"/>
      <c r="M107" s="107"/>
      <c r="N107" s="107"/>
      <c r="O107" s="107"/>
      <c r="P107" s="107"/>
      <c r="Q107" s="107"/>
      <c r="R107" s="107"/>
      <c r="S107" s="107"/>
      <c r="T107" s="107"/>
      <c r="U107" s="107"/>
      <c r="V107" s="107"/>
      <c r="W107" s="107"/>
      <c r="X107" s="114"/>
      <c r="Y107" s="114"/>
      <c r="Z107" s="114"/>
      <c r="AA107" s="114"/>
      <c r="AB107" s="114"/>
      <c r="AC107" s="114"/>
      <c r="AD107" s="114"/>
      <c r="AE107" s="114"/>
      <c r="AF107" s="114"/>
      <c r="AG107" s="114"/>
      <c r="AH107" s="120"/>
      <c r="AI107" s="117"/>
      <c r="AJ107" s="117"/>
      <c r="AK107" s="117"/>
      <c r="AL107" s="117"/>
      <c r="AM107" s="117"/>
      <c r="AN107" s="117"/>
      <c r="AO107" s="117"/>
      <c r="AP107" s="117"/>
      <c r="AQ107" s="117"/>
      <c r="AR107" s="117"/>
      <c r="AS107" s="117"/>
      <c r="AT107" s="117"/>
      <c r="AU107" s="117"/>
      <c r="AV107" s="117"/>
      <c r="AW107" s="117"/>
      <c r="AX107" s="117"/>
      <c r="AY107" s="117"/>
      <c r="AZ107" s="117"/>
      <c r="BA107" s="117"/>
      <c r="BB107" s="118"/>
    </row>
    <row r="108" spans="3:54" ht="13" x14ac:dyDescent="0.6">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5"/>
      <c r="Y108" s="105"/>
      <c r="Z108" s="105"/>
      <c r="AA108" s="105"/>
      <c r="AB108" s="105"/>
      <c r="AC108" s="105"/>
      <c r="AD108" s="105"/>
      <c r="AE108" s="105"/>
      <c r="AF108" s="105"/>
      <c r="AG108" s="105"/>
      <c r="AH108" s="105"/>
      <c r="AI108" s="105"/>
      <c r="AJ108" s="105"/>
      <c r="AK108" s="105"/>
      <c r="AL108" s="105"/>
      <c r="AM108" s="105"/>
      <c r="AN108" s="105"/>
      <c r="AO108" s="105"/>
      <c r="AP108" s="105"/>
      <c r="AQ108" s="105"/>
      <c r="AR108" s="105"/>
    </row>
    <row r="109" spans="3:54" ht="13.75" thickBot="1" x14ac:dyDescent="0.75">
      <c r="C109" s="104" t="s">
        <v>695</v>
      </c>
      <c r="D109" s="104"/>
      <c r="E109" s="104"/>
      <c r="F109" s="104"/>
      <c r="G109" s="104"/>
      <c r="H109" s="104"/>
      <c r="I109" s="104"/>
      <c r="J109" s="104"/>
      <c r="K109" s="104"/>
      <c r="L109" s="104"/>
      <c r="M109" s="104"/>
      <c r="N109" s="104"/>
      <c r="O109" s="104"/>
      <c r="P109" s="104"/>
      <c r="Q109" s="104"/>
      <c r="R109" s="104"/>
      <c r="S109" s="104"/>
      <c r="T109" s="104"/>
      <c r="U109" s="104"/>
      <c r="V109" s="104"/>
      <c r="W109" s="104"/>
      <c r="X109" s="105"/>
      <c r="Y109" s="105"/>
      <c r="Z109" s="105"/>
      <c r="AA109" s="105"/>
      <c r="AB109" s="105"/>
      <c r="AC109" s="106"/>
      <c r="AD109" s="105"/>
      <c r="AE109" s="105"/>
      <c r="AF109" s="105"/>
      <c r="AG109" s="105"/>
      <c r="AH109" s="106"/>
      <c r="AI109" s="104" t="s">
        <v>607</v>
      </c>
      <c r="AJ109" s="105"/>
      <c r="AK109" s="105"/>
      <c r="AL109" s="105"/>
      <c r="AM109" s="105"/>
      <c r="AN109" s="105"/>
      <c r="AO109" s="105"/>
      <c r="AP109" s="105"/>
      <c r="AQ109" s="105"/>
      <c r="AR109" s="105"/>
    </row>
    <row r="110" spans="3:54" ht="13" x14ac:dyDescent="0.6">
      <c r="C110" s="107" t="s">
        <v>696</v>
      </c>
      <c r="D110" s="107"/>
      <c r="E110" s="107"/>
      <c r="F110" s="107"/>
      <c r="G110" s="107"/>
      <c r="H110" s="107"/>
      <c r="I110" s="107"/>
      <c r="J110" s="107"/>
      <c r="K110" s="107"/>
      <c r="L110" s="107"/>
      <c r="M110" s="107"/>
      <c r="N110" s="107"/>
      <c r="O110" s="107"/>
      <c r="P110" s="107"/>
      <c r="Q110" s="107"/>
      <c r="R110" s="107"/>
      <c r="S110" s="107"/>
      <c r="T110" s="107"/>
      <c r="U110" s="107"/>
      <c r="V110" s="107"/>
      <c r="W110" s="107"/>
      <c r="X110" s="127">
        <v>2000</v>
      </c>
      <c r="Y110" s="127">
        <v>2001</v>
      </c>
      <c r="Z110" s="127">
        <v>2002</v>
      </c>
      <c r="AA110" s="127">
        <v>2003</v>
      </c>
      <c r="AB110" s="127">
        <v>2004</v>
      </c>
      <c r="AC110" s="127">
        <v>2005</v>
      </c>
      <c r="AD110" s="127">
        <v>2006</v>
      </c>
      <c r="AE110" s="127">
        <v>2007</v>
      </c>
      <c r="AF110" s="127">
        <v>2008</v>
      </c>
      <c r="AG110" s="127">
        <v>2009</v>
      </c>
      <c r="AH110" s="128">
        <v>2010</v>
      </c>
      <c r="AI110" s="139">
        <v>2011</v>
      </c>
      <c r="AJ110" s="139">
        <v>2012</v>
      </c>
      <c r="AK110" s="139">
        <v>2013</v>
      </c>
      <c r="AL110" s="139">
        <v>2014</v>
      </c>
      <c r="AM110" s="139">
        <v>2015</v>
      </c>
      <c r="AN110" s="139">
        <v>2016</v>
      </c>
      <c r="AO110" s="139">
        <v>2017</v>
      </c>
      <c r="AP110" s="139">
        <v>2018</v>
      </c>
      <c r="AQ110" s="109">
        <v>2019</v>
      </c>
      <c r="AR110" s="109">
        <v>2020</v>
      </c>
      <c r="AS110" s="109">
        <v>2021</v>
      </c>
      <c r="AT110" s="109">
        <v>2022</v>
      </c>
      <c r="AU110" s="139">
        <v>2023</v>
      </c>
      <c r="AV110" s="140">
        <v>2024</v>
      </c>
    </row>
    <row r="111" spans="3:54" ht="13" x14ac:dyDescent="0.6">
      <c r="C111" s="110" t="s">
        <v>595</v>
      </c>
      <c r="D111" s="110"/>
      <c r="E111" s="110"/>
      <c r="F111" s="110"/>
      <c r="G111" s="110"/>
      <c r="H111" s="110"/>
      <c r="I111" s="110"/>
      <c r="J111" s="110"/>
      <c r="K111" s="110"/>
      <c r="L111" s="110"/>
      <c r="M111" s="110"/>
      <c r="N111" s="110"/>
      <c r="O111" s="110"/>
      <c r="P111" s="110"/>
      <c r="Q111" s="110"/>
      <c r="R111" s="110"/>
      <c r="S111" s="110"/>
      <c r="T111" s="110"/>
      <c r="U111" s="110"/>
      <c r="V111" s="110"/>
      <c r="W111" s="110"/>
      <c r="X111" s="111"/>
      <c r="Y111" s="111"/>
      <c r="Z111" s="111"/>
      <c r="AA111" s="111"/>
      <c r="AB111" s="111"/>
      <c r="AC111" s="112"/>
      <c r="AD111" s="112"/>
      <c r="AE111" s="112"/>
      <c r="AF111" s="112"/>
      <c r="AG111" s="112"/>
      <c r="AH111" s="113"/>
      <c r="AI111" s="112"/>
      <c r="AJ111" s="112"/>
      <c r="AK111" s="112"/>
      <c r="AL111" s="112"/>
      <c r="AM111" s="112"/>
      <c r="AN111" s="112"/>
      <c r="AO111" s="112"/>
      <c r="AP111" s="112"/>
      <c r="AQ111" s="112"/>
      <c r="AR111" s="112"/>
      <c r="AS111" s="112"/>
      <c r="AT111" s="112"/>
      <c r="AU111" s="112"/>
      <c r="AV111" s="113"/>
    </row>
    <row r="112" spans="3:54" ht="13" x14ac:dyDescent="0.6">
      <c r="C112" s="107" t="s">
        <v>598</v>
      </c>
      <c r="D112" s="107"/>
      <c r="E112" s="107"/>
      <c r="F112" s="107"/>
      <c r="G112" s="107"/>
      <c r="H112" s="107"/>
      <c r="I112" s="107"/>
      <c r="J112" s="107"/>
      <c r="K112" s="107"/>
      <c r="L112" s="107"/>
      <c r="M112" s="107"/>
      <c r="N112" s="107"/>
      <c r="O112" s="107"/>
      <c r="P112" s="107"/>
      <c r="Q112" s="107"/>
      <c r="R112" s="107"/>
      <c r="S112" s="107"/>
      <c r="T112" s="107"/>
      <c r="U112" s="107"/>
      <c r="V112" s="107"/>
      <c r="W112" s="107"/>
      <c r="X112" s="114">
        <v>4.0556583637463166E-2</v>
      </c>
      <c r="Y112" s="115">
        <v>1.3461145159737741E-2</v>
      </c>
      <c r="Z112" s="115">
        <v>1.4901813585171524E-2</v>
      </c>
      <c r="AA112" s="115">
        <v>1.6264999207083731E-2</v>
      </c>
      <c r="AB112" s="115">
        <v>3.2596128299918911E-2</v>
      </c>
      <c r="AC112" s="115">
        <v>2.6960934698835443E-2</v>
      </c>
      <c r="AD112" s="115">
        <v>3.1692297350629881E-2</v>
      </c>
      <c r="AE112" s="115">
        <v>2.8753574715859976E-2</v>
      </c>
      <c r="AF112" s="115">
        <v>3.3940042494280615E-3</v>
      </c>
      <c r="AG112" s="115">
        <v>-3.4379213242762108E-2</v>
      </c>
      <c r="AH112" s="116">
        <v>6.3449025119381081E-2</v>
      </c>
      <c r="AI112" s="115">
        <v>5.3381522370554428E-2</v>
      </c>
      <c r="AJ112" s="115">
        <v>4.994471670828949E-2</v>
      </c>
      <c r="AK112" s="115">
        <v>5.0405990319811904E-2</v>
      </c>
      <c r="AL112" s="115">
        <v>5.2226402676727408E-2</v>
      </c>
      <c r="AM112" s="115">
        <v>4.272632815456167E-2</v>
      </c>
      <c r="AN112" s="115">
        <v>3.5512527695262405E-2</v>
      </c>
      <c r="AO112" s="115">
        <v>3.7829586261099994E-2</v>
      </c>
      <c r="AP112" s="115">
        <v>4.022200335276209E-2</v>
      </c>
      <c r="AQ112" s="115">
        <v>4.0562600460212213E-2</v>
      </c>
      <c r="AR112" s="115">
        <v>4.1225500329602677E-2</v>
      </c>
      <c r="AS112" s="115">
        <v>4.260948914431565E-2</v>
      </c>
      <c r="AT112" s="115"/>
      <c r="AU112" s="115"/>
      <c r="AV112" s="116"/>
    </row>
    <row r="113" spans="3:48" ht="13" x14ac:dyDescent="0.6">
      <c r="C113" s="107" t="s">
        <v>599</v>
      </c>
      <c r="D113" s="107"/>
      <c r="E113" s="107"/>
      <c r="F113" s="107"/>
      <c r="G113" s="107"/>
      <c r="H113" s="107"/>
      <c r="I113" s="107"/>
      <c r="J113" s="107"/>
      <c r="K113" s="107"/>
      <c r="L113" s="107"/>
      <c r="M113" s="107"/>
      <c r="N113" s="107"/>
      <c r="O113" s="107"/>
      <c r="P113" s="107"/>
      <c r="Q113" s="107"/>
      <c r="R113" s="107"/>
      <c r="S113" s="107"/>
      <c r="T113" s="107"/>
      <c r="U113" s="107"/>
      <c r="V113" s="107"/>
      <c r="W113" s="107"/>
      <c r="X113" s="114">
        <v>0.15068553573368168</v>
      </c>
      <c r="Y113" s="115">
        <v>7.9137762395823832E-2</v>
      </c>
      <c r="Z113" s="115">
        <v>0.13104585634358024</v>
      </c>
      <c r="AA113" s="115">
        <v>0.13963166223697795</v>
      </c>
      <c r="AB113" s="115">
        <v>0.17949453936837231</v>
      </c>
      <c r="AC113" s="115">
        <v>0.16317933625240541</v>
      </c>
      <c r="AD113" s="115">
        <v>0.10895153240958962</v>
      </c>
      <c r="AE113" s="115">
        <v>0.20331352068933153</v>
      </c>
      <c r="AF113" s="115">
        <v>3.4565940079802529E-2</v>
      </c>
      <c r="AG113" s="115">
        <v>-9.1865820763929268E-2</v>
      </c>
      <c r="AH113" s="116">
        <v>0.21535806998703741</v>
      </c>
      <c r="AI113" s="115">
        <v>7.162331039184705E-2</v>
      </c>
      <c r="AJ113" s="115">
        <v>2.5454957572366647E-2</v>
      </c>
      <c r="AK113" s="115">
        <v>6.8826439003042986E-2</v>
      </c>
      <c r="AL113" s="115">
        <v>7.1675644761818424E-2</v>
      </c>
      <c r="AM113" s="115">
        <v>-1.3992333338097671E-2</v>
      </c>
      <c r="AN113" s="115">
        <v>-9.3686712121785823E-3</v>
      </c>
      <c r="AO113" s="115">
        <v>6.2626852599060742E-2</v>
      </c>
      <c r="AP113" s="115">
        <v>6.0620747238125744E-2</v>
      </c>
      <c r="AQ113" s="115">
        <v>4.5980482623626202E-2</v>
      </c>
      <c r="AR113" s="115">
        <v>4.4445065293086651E-2</v>
      </c>
      <c r="AS113" s="115">
        <v>2.3131094959755391E-2</v>
      </c>
      <c r="AT113" s="115"/>
      <c r="AU113" s="115"/>
      <c r="AV113" s="116"/>
    </row>
    <row r="114" spans="3:48" ht="13" x14ac:dyDescent="0.6">
      <c r="C114" s="110" t="s">
        <v>596</v>
      </c>
      <c r="D114" s="110"/>
      <c r="E114" s="110"/>
      <c r="F114" s="110"/>
      <c r="G114" s="110"/>
      <c r="H114" s="110"/>
      <c r="I114" s="110"/>
      <c r="J114" s="110"/>
      <c r="K114" s="110"/>
      <c r="L114" s="110"/>
      <c r="M114" s="110"/>
      <c r="N114" s="110"/>
      <c r="O114" s="110"/>
      <c r="P114" s="110"/>
      <c r="Q114" s="110"/>
      <c r="R114" s="110"/>
      <c r="S114" s="110"/>
      <c r="T114" s="110"/>
      <c r="U114" s="110"/>
      <c r="V114" s="110"/>
      <c r="W114" s="110"/>
      <c r="X114" s="114"/>
      <c r="Y114" s="115"/>
      <c r="Z114" s="115"/>
      <c r="AA114" s="115"/>
      <c r="AB114" s="115"/>
      <c r="AC114" s="115"/>
      <c r="AD114" s="115"/>
      <c r="AE114" s="115"/>
      <c r="AF114" s="115"/>
      <c r="AG114" s="115"/>
      <c r="AH114" s="116"/>
      <c r="AI114" s="115"/>
      <c r="AJ114" s="115"/>
      <c r="AK114" s="115"/>
      <c r="AL114" s="115"/>
      <c r="AM114" s="115"/>
      <c r="AN114" s="115"/>
      <c r="AO114" s="115"/>
      <c r="AP114" s="115"/>
      <c r="AQ114" s="115"/>
      <c r="AR114" s="115"/>
      <c r="AS114" s="115"/>
      <c r="AT114" s="115"/>
      <c r="AU114" s="115"/>
      <c r="AV114" s="116"/>
    </row>
    <row r="115" spans="3:48" ht="13" x14ac:dyDescent="0.6">
      <c r="C115" s="107" t="s">
        <v>602</v>
      </c>
      <c r="D115" s="107"/>
      <c r="E115" s="107"/>
      <c r="F115" s="107"/>
      <c r="G115" s="107"/>
      <c r="H115" s="107"/>
      <c r="I115" s="107"/>
      <c r="J115" s="107"/>
      <c r="K115" s="107"/>
      <c r="L115" s="107"/>
      <c r="M115" s="107"/>
      <c r="N115" s="107"/>
      <c r="O115" s="107"/>
      <c r="P115" s="107"/>
      <c r="Q115" s="107"/>
      <c r="R115" s="107"/>
      <c r="S115" s="107"/>
      <c r="T115" s="107"/>
      <c r="U115" s="107"/>
      <c r="V115" s="107"/>
      <c r="W115" s="107"/>
      <c r="X115" s="114">
        <v>-6.5295273237675297E-2</v>
      </c>
      <c r="Y115" s="115">
        <v>-1.8121001937591918E-2</v>
      </c>
      <c r="Z115" s="115">
        <v>5.4704759298245094E-2</v>
      </c>
      <c r="AA115" s="115">
        <v>0.16853925403963779</v>
      </c>
      <c r="AB115" s="115">
        <v>0.10062833801160245</v>
      </c>
      <c r="AC115" s="115">
        <v>3.0183315535969958E-2</v>
      </c>
      <c r="AD115" s="115">
        <v>3.1788229907220238E-2</v>
      </c>
      <c r="AE115" s="115">
        <v>9.0294338335059371E-2</v>
      </c>
      <c r="AF115" s="115">
        <v>8.3205910687189064E-2</v>
      </c>
      <c r="AG115" s="115">
        <v>-4.6512124275418711E-2</v>
      </c>
      <c r="AH115" s="116">
        <v>1.2946996142162992E-2</v>
      </c>
      <c r="AI115" s="115">
        <v>8.0254928039335843E-2</v>
      </c>
      <c r="AJ115" s="115">
        <v>-2.7596470361822695E-2</v>
      </c>
      <c r="AK115" s="115">
        <v>2.4417309194428211E-2</v>
      </c>
      <c r="AL115" s="115">
        <v>7.5079167043444462E-4</v>
      </c>
      <c r="AM115" s="115">
        <v>-0.12738074808641725</v>
      </c>
      <c r="AN115" s="115">
        <v>1.1299188791860959E-2</v>
      </c>
      <c r="AO115" s="115">
        <v>2.5429197170969968E-2</v>
      </c>
      <c r="AP115" s="115">
        <v>1.9527478557496668E-2</v>
      </c>
      <c r="AQ115" s="115">
        <v>2.1563080180522384E-2</v>
      </c>
      <c r="AR115" s="115">
        <v>2.2239224878814377E-2</v>
      </c>
      <c r="AS115" s="115">
        <v>1.4237987664529415E-2</v>
      </c>
      <c r="AT115" s="115"/>
      <c r="AU115" s="115"/>
      <c r="AV115" s="116"/>
    </row>
    <row r="116" spans="3:48" ht="13" x14ac:dyDescent="0.6">
      <c r="C116" s="107" t="s">
        <v>601</v>
      </c>
      <c r="D116" s="107"/>
      <c r="E116" s="107"/>
      <c r="F116" s="107"/>
      <c r="G116" s="107"/>
      <c r="H116" s="107"/>
      <c r="I116" s="107"/>
      <c r="J116" s="107"/>
      <c r="K116" s="107"/>
      <c r="L116" s="107"/>
      <c r="M116" s="107"/>
      <c r="N116" s="107"/>
      <c r="O116" s="107"/>
      <c r="P116" s="107"/>
      <c r="Q116" s="107"/>
      <c r="R116" s="107"/>
      <c r="S116" s="107"/>
      <c r="T116" s="107"/>
      <c r="U116" s="107"/>
      <c r="V116" s="107"/>
      <c r="W116" s="107"/>
      <c r="X116" s="114">
        <v>-4.7858191841511265E-2</v>
      </c>
      <c r="Y116" s="115">
        <v>-6.3302303067361523E-2</v>
      </c>
      <c r="Z116" s="115">
        <v>4.4174361358054106E-3</v>
      </c>
      <c r="AA116" s="115">
        <v>0.11001805747705369</v>
      </c>
      <c r="AB116" s="115">
        <v>9.8034624976616164E-2</v>
      </c>
      <c r="AC116" s="115">
        <v>5.3737428306894895E-2</v>
      </c>
      <c r="AD116" s="115">
        <v>9.4179971049610511E-2</v>
      </c>
      <c r="AE116" s="115">
        <v>9.647987358889959E-2</v>
      </c>
      <c r="AF116" s="115">
        <v>0.11359036980598602</v>
      </c>
      <c r="AG116" s="115">
        <v>-5.0691457500495106E-2</v>
      </c>
      <c r="AH116" s="116">
        <v>0.10858212996656937</v>
      </c>
      <c r="AI116" s="115">
        <v>8.5583151953329134E-2</v>
      </c>
      <c r="AJ116" s="115">
        <v>-1.7275454651535162E-2</v>
      </c>
      <c r="AK116" s="115">
        <v>-1.1131742341398097E-2</v>
      </c>
      <c r="AL116" s="115">
        <v>-7.3570502000640248E-3</v>
      </c>
      <c r="AM116" s="115">
        <v>-6.2817600876057686E-2</v>
      </c>
      <c r="AN116" s="115">
        <v>-2.6279887422682904E-2</v>
      </c>
      <c r="AO116" s="115">
        <v>1.009780731780472E-2</v>
      </c>
      <c r="AP116" s="115">
        <v>8.1371653197375073E-3</v>
      </c>
      <c r="AQ116" s="115">
        <v>8.0458005746363442E-3</v>
      </c>
      <c r="AR116" s="115">
        <v>8.3877038066509733E-3</v>
      </c>
      <c r="AS116" s="115">
        <v>8.7081303705660133E-3</v>
      </c>
      <c r="AT116" s="115"/>
      <c r="AU116" s="115"/>
      <c r="AV116" s="116"/>
    </row>
    <row r="117" spans="3:48" ht="13" x14ac:dyDescent="0.6">
      <c r="C117" s="107" t="s">
        <v>600</v>
      </c>
      <c r="D117" s="107"/>
      <c r="E117" s="107"/>
      <c r="F117" s="107"/>
      <c r="G117" s="107"/>
      <c r="H117" s="107"/>
      <c r="I117" s="107"/>
      <c r="J117" s="107"/>
      <c r="K117" s="107"/>
      <c r="L117" s="107"/>
      <c r="M117" s="107"/>
      <c r="N117" s="107"/>
      <c r="O117" s="107"/>
      <c r="P117" s="107"/>
      <c r="Q117" s="107"/>
      <c r="R117" s="107"/>
      <c r="S117" s="107"/>
      <c r="T117" s="107"/>
      <c r="U117" s="107"/>
      <c r="V117" s="107"/>
      <c r="W117" s="107"/>
      <c r="X117" s="114">
        <v>-2.2876120981911715E-2</v>
      </c>
      <c r="Y117" s="115">
        <v>-1.9258564301775364E-2</v>
      </c>
      <c r="Z117" s="115">
        <v>3.9286714830560015E-4</v>
      </c>
      <c r="AA117" s="115">
        <v>7.3525131512466604E-2</v>
      </c>
      <c r="AB117" s="115">
        <v>5.7650520987641798E-2</v>
      </c>
      <c r="AC117" s="115">
        <v>2.4717858231494073E-2</v>
      </c>
      <c r="AD117" s="115">
        <v>2.6369494827117135E-2</v>
      </c>
      <c r="AE117" s="115">
        <v>5.2681870358138878E-2</v>
      </c>
      <c r="AF117" s="115">
        <v>6.128321372817018E-2</v>
      </c>
      <c r="AG117" s="115">
        <v>-5.2117245620243911E-2</v>
      </c>
      <c r="AH117" s="116">
        <v>2.5872282630536769E-2</v>
      </c>
      <c r="AI117" s="115">
        <v>6.3983431847240216E-2</v>
      </c>
      <c r="AJ117" s="115">
        <v>9.274195599913106E-3</v>
      </c>
      <c r="AK117" s="115">
        <v>-1.4819884940375299E-2</v>
      </c>
      <c r="AL117" s="115">
        <v>-9.7424862496976218E-3</v>
      </c>
      <c r="AM117" s="115">
        <v>-2.9228758156899039E-2</v>
      </c>
      <c r="AN117" s="115">
        <v>-2.1983941110500151E-2</v>
      </c>
      <c r="AO117" s="115">
        <v>9.7211128397865949E-3</v>
      </c>
      <c r="AP117" s="115">
        <v>8.0924165659211206E-3</v>
      </c>
      <c r="AQ117" s="115">
        <v>7.9645570371164164E-3</v>
      </c>
      <c r="AR117" s="115">
        <v>9.6188236506281437E-3</v>
      </c>
      <c r="AS117" s="115">
        <v>5.095578650673005E-3</v>
      </c>
      <c r="AT117" s="115"/>
      <c r="AU117" s="115"/>
      <c r="AV117" s="116"/>
    </row>
    <row r="118" spans="3:48" ht="13" x14ac:dyDescent="0.6">
      <c r="C118" s="107" t="s">
        <v>603</v>
      </c>
      <c r="D118" s="107"/>
      <c r="E118" s="107"/>
      <c r="F118" s="107"/>
      <c r="G118" s="107"/>
      <c r="H118" s="107"/>
      <c r="I118" s="107"/>
      <c r="J118" s="107"/>
      <c r="K118" s="107"/>
      <c r="L118" s="107"/>
      <c r="M118" s="107"/>
      <c r="N118" s="107"/>
      <c r="O118" s="107"/>
      <c r="P118" s="107"/>
      <c r="Q118" s="107"/>
      <c r="R118" s="107"/>
      <c r="S118" s="107"/>
      <c r="T118" s="107"/>
      <c r="U118" s="107"/>
      <c r="V118" s="107"/>
      <c r="W118" s="107"/>
      <c r="X118" s="114">
        <v>0.5702368262501738</v>
      </c>
      <c r="Y118" s="115">
        <v>-0.13824857589799588</v>
      </c>
      <c r="Z118" s="115">
        <v>2.5447819981504874E-2</v>
      </c>
      <c r="AA118" s="115">
        <v>0.15798263193052772</v>
      </c>
      <c r="AB118" s="115">
        <v>0.30695125468704931</v>
      </c>
      <c r="AC118" s="115">
        <v>0.41298110875706212</v>
      </c>
      <c r="AD118" s="115">
        <v>0.20463881296368627</v>
      </c>
      <c r="AE118" s="115">
        <v>0.10665525691392103</v>
      </c>
      <c r="AF118" s="115">
        <v>0.36424027274963966</v>
      </c>
      <c r="AG118" s="115">
        <v>-0.36335405974410817</v>
      </c>
      <c r="AH118" s="116">
        <v>0.27928226541865042</v>
      </c>
      <c r="AI118" s="115">
        <v>0.31605762230061463</v>
      </c>
      <c r="AJ118" s="115">
        <v>9.6068657279177426E-3</v>
      </c>
      <c r="AK118" s="115">
        <v>-8.9328371724338076E-3</v>
      </c>
      <c r="AL118" s="115">
        <v>-7.5162019992282322E-2</v>
      </c>
      <c r="AM118" s="115">
        <v>-0.47226546376847461</v>
      </c>
      <c r="AN118" s="115">
        <v>-0.15422280970008834</v>
      </c>
      <c r="AO118" s="115">
        <v>0.17888206176102261</v>
      </c>
      <c r="AP118" s="115">
        <v>4.8320968417026461E-2</v>
      </c>
      <c r="AQ118" s="115">
        <v>2.5409369364149899E-2</v>
      </c>
      <c r="AR118" s="115">
        <v>3.3921841276255721E-2</v>
      </c>
      <c r="AS118" s="115">
        <v>2.4151929189186152E-2</v>
      </c>
      <c r="AT118" s="115"/>
      <c r="AU118" s="115"/>
      <c r="AV118" s="116"/>
    </row>
    <row r="119" spans="3:48" ht="13" x14ac:dyDescent="0.6">
      <c r="C119" s="110" t="s">
        <v>597</v>
      </c>
      <c r="D119" s="110"/>
      <c r="E119" s="110"/>
      <c r="F119" s="110"/>
      <c r="G119" s="110"/>
      <c r="H119" s="110"/>
      <c r="I119" s="110"/>
      <c r="J119" s="110"/>
      <c r="K119" s="110"/>
      <c r="L119" s="110"/>
      <c r="M119" s="110"/>
      <c r="N119" s="110"/>
      <c r="O119" s="110"/>
      <c r="P119" s="110"/>
      <c r="Q119" s="110"/>
      <c r="R119" s="110"/>
      <c r="S119" s="110"/>
      <c r="T119" s="110"/>
      <c r="U119" s="110"/>
      <c r="V119" s="110"/>
      <c r="W119" s="110"/>
      <c r="X119" s="114"/>
      <c r="Y119" s="115"/>
      <c r="Z119" s="115"/>
      <c r="AA119" s="115"/>
      <c r="AB119" s="115"/>
      <c r="AC119" s="115"/>
      <c r="AD119" s="115"/>
      <c r="AE119" s="115"/>
      <c r="AF119" s="115"/>
      <c r="AG119" s="115"/>
      <c r="AH119" s="116"/>
      <c r="AI119" s="115"/>
      <c r="AJ119" s="115"/>
      <c r="AK119" s="115"/>
      <c r="AL119" s="115"/>
      <c r="AM119" s="115"/>
      <c r="AN119" s="115"/>
      <c r="AO119" s="115"/>
      <c r="AP119" s="115"/>
      <c r="AQ119" s="115"/>
      <c r="AR119" s="115"/>
      <c r="AS119" s="115"/>
      <c r="AT119" s="115"/>
      <c r="AU119" s="115"/>
      <c r="AV119" s="116"/>
    </row>
    <row r="120" spans="3:48" ht="13" x14ac:dyDescent="0.6">
      <c r="C120" s="107" t="s">
        <v>604</v>
      </c>
      <c r="D120" s="107"/>
      <c r="E120" s="107"/>
      <c r="F120" s="107"/>
      <c r="G120" s="107"/>
      <c r="H120" s="107"/>
      <c r="I120" s="107"/>
      <c r="J120" s="107"/>
      <c r="K120" s="107"/>
      <c r="L120" s="107"/>
      <c r="M120" s="107"/>
      <c r="N120" s="107"/>
      <c r="O120" s="107"/>
      <c r="P120" s="107"/>
      <c r="Q120" s="107"/>
      <c r="R120" s="107"/>
      <c r="S120" s="107"/>
      <c r="T120" s="107"/>
      <c r="U120" s="107"/>
      <c r="V120" s="107"/>
      <c r="W120" s="107"/>
      <c r="X120" s="114">
        <v>2.4638960946326342E-2</v>
      </c>
      <c r="Y120" s="115">
        <v>-2.6601473466710813E-2</v>
      </c>
      <c r="Z120" s="115">
        <v>-5.2144352460195154E-3</v>
      </c>
      <c r="AA120" s="115">
        <v>7.2354246489467922E-2</v>
      </c>
      <c r="AB120" s="115">
        <v>8.6762644133531588E-2</v>
      </c>
      <c r="AC120" s="115">
        <v>2.4127977184288513E-2</v>
      </c>
      <c r="AD120" s="115">
        <v>3.1207900533505587E-2</v>
      </c>
      <c r="AE120" s="115">
        <v>7.7125001591599116E-2</v>
      </c>
      <c r="AF120" s="115">
        <v>8.9773003797389311E-2</v>
      </c>
      <c r="AG120" s="115">
        <v>-4.3231887253396967E-2</v>
      </c>
      <c r="AH120" s="116">
        <v>7.6852415758268122E-2</v>
      </c>
      <c r="AI120" s="115">
        <v>9.3129962038509859E-2</v>
      </c>
      <c r="AJ120" s="115">
        <v>1.0651682304735426E-3</v>
      </c>
      <c r="AK120" s="115">
        <v>-2.8779303238392204E-2</v>
      </c>
      <c r="AL120" s="115">
        <v>-2.2715219146942571E-2</v>
      </c>
      <c r="AM120" s="115">
        <v>-8.2917349136339247E-2</v>
      </c>
      <c r="AN120" s="115">
        <v>-2.5540340686551439E-2</v>
      </c>
      <c r="AO120" s="115">
        <v>7.7340581405368472E-3</v>
      </c>
      <c r="AP120" s="115">
        <v>3.8062360425381286E-3</v>
      </c>
      <c r="AQ120" s="115">
        <v>6.3917942425082384E-3</v>
      </c>
      <c r="AR120" s="115">
        <v>8.3456670597424204E-3</v>
      </c>
      <c r="AS120" s="115">
        <v>7.2437829931427588E-3</v>
      </c>
      <c r="AT120" s="115"/>
      <c r="AU120" s="115"/>
      <c r="AV120" s="116"/>
    </row>
    <row r="121" spans="3:48" ht="13" x14ac:dyDescent="0.6">
      <c r="C121" s="107" t="s">
        <v>605</v>
      </c>
      <c r="D121" s="107"/>
      <c r="E121" s="107"/>
      <c r="F121" s="107"/>
      <c r="G121" s="107"/>
      <c r="H121" s="107"/>
      <c r="I121" s="107"/>
      <c r="J121" s="107"/>
      <c r="K121" s="107"/>
      <c r="L121" s="107"/>
      <c r="M121" s="107"/>
      <c r="N121" s="107"/>
      <c r="O121" s="107"/>
      <c r="P121" s="107"/>
      <c r="Q121" s="107"/>
      <c r="R121" s="107"/>
      <c r="S121" s="107"/>
      <c r="T121" s="107"/>
      <c r="U121" s="107"/>
      <c r="V121" s="107"/>
      <c r="W121" s="107"/>
      <c r="X121" s="114">
        <v>3.1964789288102841E-2</v>
      </c>
      <c r="Y121" s="115">
        <v>-0.13094913343481168</v>
      </c>
      <c r="Z121" s="115">
        <v>-1.5689937934065298E-2</v>
      </c>
      <c r="AA121" s="115">
        <v>8.0767824177981548E-2</v>
      </c>
      <c r="AB121" s="115">
        <v>0.19668668368559308</v>
      </c>
      <c r="AC121" s="115">
        <v>0.16688218968000829</v>
      </c>
      <c r="AD121" s="115">
        <v>0.31649970665132304</v>
      </c>
      <c r="AE121" s="115">
        <v>0.12730809722878109</v>
      </c>
      <c r="AF121" s="115">
        <v>5.8202501390626556E-2</v>
      </c>
      <c r="AG121" s="115">
        <v>-0.12421033992912747</v>
      </c>
      <c r="AH121" s="116">
        <v>0.30259121451832977</v>
      </c>
      <c r="AI121" s="115">
        <v>0.19630887036241268</v>
      </c>
      <c r="AJ121" s="115">
        <v>-0.14158282584988807</v>
      </c>
      <c r="AK121" s="115">
        <v>-9.7870346095674826E-2</v>
      </c>
      <c r="AL121" s="115">
        <v>-3.8339572117838762E-2</v>
      </c>
      <c r="AM121" s="115">
        <v>-0.13622832668704019</v>
      </c>
      <c r="AN121" s="115">
        <v>-7.4655853311620196E-2</v>
      </c>
      <c r="AO121" s="115">
        <v>3.3012975907437181E-2</v>
      </c>
      <c r="AP121" s="115">
        <v>1.4060875300412784E-2</v>
      </c>
      <c r="AQ121" s="115">
        <v>2.0891751855178519E-3</v>
      </c>
      <c r="AR121" s="115">
        <v>4.4344397512596674E-3</v>
      </c>
      <c r="AS121" s="115">
        <v>4.6672097247232288E-3</v>
      </c>
      <c r="AT121" s="115"/>
      <c r="AU121" s="115"/>
      <c r="AV121" s="116"/>
    </row>
    <row r="122" spans="3:48" ht="13.75" thickBot="1" x14ac:dyDescent="0.75">
      <c r="C122" s="107" t="s">
        <v>606</v>
      </c>
      <c r="D122" s="107"/>
      <c r="E122" s="107"/>
      <c r="F122" s="107"/>
      <c r="G122" s="107"/>
      <c r="H122" s="107"/>
      <c r="I122" s="107"/>
      <c r="J122" s="107"/>
      <c r="K122" s="107"/>
      <c r="L122" s="107"/>
      <c r="M122" s="107"/>
      <c r="N122" s="107"/>
      <c r="O122" s="107"/>
      <c r="P122" s="107"/>
      <c r="Q122" s="107"/>
      <c r="R122" s="107"/>
      <c r="S122" s="107"/>
      <c r="T122" s="107"/>
      <c r="U122" s="107"/>
      <c r="V122" s="107"/>
      <c r="W122" s="107"/>
      <c r="X122" s="114"/>
      <c r="Y122" s="114"/>
      <c r="Z122" s="114"/>
      <c r="AA122" s="114"/>
      <c r="AB122" s="114"/>
      <c r="AC122" s="114"/>
      <c r="AD122" s="114"/>
      <c r="AE122" s="114"/>
      <c r="AF122" s="114"/>
      <c r="AG122" s="114"/>
      <c r="AH122" s="120"/>
      <c r="AI122" s="117"/>
      <c r="AJ122" s="117"/>
      <c r="AK122" s="117"/>
      <c r="AL122" s="117"/>
      <c r="AM122" s="117"/>
      <c r="AN122" s="117"/>
      <c r="AO122" s="117"/>
      <c r="AP122" s="117"/>
      <c r="AQ122" s="117"/>
      <c r="AR122" s="117"/>
      <c r="AS122" s="117"/>
      <c r="AT122" s="117"/>
      <c r="AU122" s="117"/>
      <c r="AV122" s="118"/>
    </row>
    <row r="123" spans="3:48" ht="13" x14ac:dyDescent="0.6">
      <c r="C123" s="104" t="s">
        <v>606</v>
      </c>
      <c r="D123" s="104"/>
      <c r="E123" s="104"/>
      <c r="F123" s="104"/>
      <c r="G123" s="104"/>
      <c r="H123" s="104"/>
      <c r="I123" s="104"/>
      <c r="J123" s="104"/>
      <c r="K123" s="104"/>
      <c r="L123" s="104"/>
      <c r="M123" s="104"/>
      <c r="N123" s="104"/>
      <c r="O123" s="104"/>
      <c r="P123" s="104"/>
      <c r="Q123" s="104"/>
      <c r="R123" s="104"/>
      <c r="S123" s="104"/>
      <c r="T123" s="104"/>
      <c r="U123" s="104"/>
      <c r="V123" s="104"/>
      <c r="W123" s="104"/>
      <c r="X123" s="105"/>
      <c r="Y123" s="105"/>
      <c r="Z123" s="105"/>
      <c r="AA123" s="105"/>
      <c r="AB123" s="105"/>
      <c r="AC123" s="105"/>
      <c r="AD123" s="105"/>
      <c r="AE123" s="105"/>
      <c r="AF123" s="105"/>
      <c r="AG123" s="105"/>
      <c r="AH123" s="105"/>
      <c r="AI123" s="105"/>
      <c r="AJ123" s="105"/>
      <c r="AK123" s="105"/>
      <c r="AL123" s="105"/>
      <c r="AM123" s="105"/>
      <c r="AN123" s="105"/>
      <c r="AO123" s="105"/>
      <c r="AP123" s="105"/>
      <c r="AQ123" s="105"/>
      <c r="AR123" s="105"/>
    </row>
    <row r="124" spans="3:48" ht="13" x14ac:dyDescent="0.6">
      <c r="C124" s="125" t="s">
        <v>686</v>
      </c>
      <c r="D124" s="125"/>
      <c r="E124" s="125"/>
      <c r="F124" s="125"/>
      <c r="G124" s="125"/>
      <c r="H124" s="125"/>
      <c r="I124" s="125"/>
      <c r="J124" s="125"/>
      <c r="K124" s="125"/>
      <c r="L124" s="125"/>
      <c r="M124" s="125"/>
      <c r="N124" s="125"/>
      <c r="O124" s="125"/>
      <c r="P124" s="125"/>
      <c r="Q124" s="125"/>
      <c r="R124" s="125"/>
      <c r="S124" s="125"/>
      <c r="T124" s="125"/>
      <c r="U124" s="125"/>
      <c r="V124" s="125"/>
      <c r="W124" s="125"/>
    </row>
    <row r="125" spans="3:48" ht="13.75" thickBot="1" x14ac:dyDescent="0.75">
      <c r="C125" s="104" t="s">
        <v>685</v>
      </c>
      <c r="D125" s="104"/>
      <c r="E125" s="104"/>
      <c r="F125" s="104"/>
      <c r="G125" s="104"/>
      <c r="H125" s="104"/>
      <c r="I125" s="104"/>
      <c r="J125" s="104"/>
      <c r="K125" s="104"/>
      <c r="L125" s="104"/>
      <c r="M125" s="104"/>
      <c r="N125" s="104"/>
      <c r="O125" s="104"/>
      <c r="P125" s="104"/>
      <c r="Q125" s="104"/>
      <c r="R125" s="104"/>
      <c r="S125" s="104"/>
      <c r="T125" s="104"/>
      <c r="U125" s="104"/>
      <c r="V125" s="104"/>
      <c r="W125" s="104"/>
      <c r="X125" s="137"/>
      <c r="Y125" s="137"/>
      <c r="Z125" s="137"/>
      <c r="AA125" s="137"/>
      <c r="AB125" s="137"/>
      <c r="AC125" s="106"/>
      <c r="AD125" s="137"/>
      <c r="AE125" s="137"/>
      <c r="AF125" s="137"/>
      <c r="AG125" s="137"/>
      <c r="AH125" s="106"/>
      <c r="AI125" s="104" t="s">
        <v>607</v>
      </c>
      <c r="AJ125" s="137"/>
      <c r="AK125" s="137"/>
      <c r="AL125" s="137"/>
      <c r="AM125" s="137"/>
      <c r="AN125" s="137"/>
      <c r="AO125" s="137"/>
      <c r="AP125" s="137"/>
      <c r="AQ125" s="137"/>
      <c r="AR125" s="137"/>
      <c r="AS125" s="138"/>
    </row>
    <row r="126" spans="3:48" ht="13" x14ac:dyDescent="0.6">
      <c r="C126" s="126" t="s">
        <v>698</v>
      </c>
      <c r="D126" s="126"/>
      <c r="E126" s="126"/>
      <c r="F126" s="126"/>
      <c r="G126" s="126"/>
      <c r="H126" s="126"/>
      <c r="I126" s="126"/>
      <c r="J126" s="126"/>
      <c r="K126" s="126"/>
      <c r="L126" s="126"/>
      <c r="M126" s="126"/>
      <c r="N126" s="126"/>
      <c r="O126" s="126"/>
      <c r="P126" s="126"/>
      <c r="Q126" s="126"/>
      <c r="R126" s="126"/>
      <c r="S126" s="126"/>
      <c r="T126" s="126"/>
      <c r="U126" s="126"/>
      <c r="V126" s="126"/>
      <c r="W126" s="126"/>
      <c r="X126" s="127">
        <v>2000</v>
      </c>
      <c r="Y126" s="127">
        <v>2001</v>
      </c>
      <c r="Z126" s="127">
        <v>2002</v>
      </c>
      <c r="AA126" s="127">
        <v>2003</v>
      </c>
      <c r="AB126" s="127">
        <v>2004</v>
      </c>
      <c r="AC126" s="127">
        <v>2005</v>
      </c>
      <c r="AD126" s="127">
        <v>2006</v>
      </c>
      <c r="AE126" s="127">
        <v>2007</v>
      </c>
      <c r="AF126" s="127">
        <v>2008</v>
      </c>
      <c r="AG126" s="127">
        <v>2009</v>
      </c>
      <c r="AH126" s="128">
        <v>2010</v>
      </c>
      <c r="AI126" s="139">
        <v>2011</v>
      </c>
      <c r="AJ126" s="139">
        <v>2012</v>
      </c>
      <c r="AK126" s="139">
        <v>2013</v>
      </c>
      <c r="AL126" s="139">
        <v>2014</v>
      </c>
      <c r="AM126" s="139">
        <v>2015</v>
      </c>
      <c r="AN126" s="139">
        <v>2016</v>
      </c>
      <c r="AO126" s="139">
        <v>2017</v>
      </c>
      <c r="AP126" s="139">
        <v>2018</v>
      </c>
      <c r="AQ126" s="139">
        <v>2019</v>
      </c>
      <c r="AR126" s="139">
        <v>2020</v>
      </c>
      <c r="AS126" s="109">
        <v>2021</v>
      </c>
      <c r="AT126" s="109"/>
      <c r="AU126" s="139"/>
      <c r="AV126" s="140"/>
    </row>
    <row r="127" spans="3:48" ht="13" x14ac:dyDescent="0.6">
      <c r="C127" s="129" t="s">
        <v>595</v>
      </c>
      <c r="D127" s="129"/>
      <c r="E127" s="129"/>
      <c r="F127" s="129"/>
      <c r="G127" s="129"/>
      <c r="H127" s="129"/>
      <c r="I127" s="129"/>
      <c r="J127" s="129"/>
      <c r="K127" s="129"/>
      <c r="L127" s="129"/>
      <c r="M127" s="129"/>
      <c r="N127" s="129"/>
      <c r="O127" s="129"/>
      <c r="P127" s="129"/>
      <c r="Q127" s="129"/>
      <c r="R127" s="129"/>
      <c r="S127" s="129"/>
      <c r="T127" s="129"/>
      <c r="U127" s="129"/>
      <c r="V127" s="129"/>
      <c r="W127" s="129"/>
      <c r="X127" s="130"/>
      <c r="Y127" s="130"/>
      <c r="Z127" s="130"/>
      <c r="AA127" s="130"/>
      <c r="AB127" s="130"/>
      <c r="AC127" s="126"/>
      <c r="AD127" s="126"/>
      <c r="AE127" s="126"/>
      <c r="AF127" s="126"/>
      <c r="AG127" s="126"/>
      <c r="AH127" s="131"/>
      <c r="AI127" s="126"/>
      <c r="AJ127" s="126"/>
      <c r="AK127" s="126"/>
      <c r="AL127" s="126"/>
      <c r="AM127" s="126"/>
      <c r="AN127" s="126"/>
      <c r="AO127" s="126"/>
      <c r="AP127" s="126"/>
      <c r="AQ127" s="126"/>
      <c r="AR127" s="126"/>
      <c r="AS127" s="112"/>
      <c r="AT127" s="112"/>
      <c r="AU127" s="112"/>
      <c r="AV127" s="113"/>
    </row>
    <row r="128" spans="3:48" ht="13" x14ac:dyDescent="0.6">
      <c r="C128" s="126" t="s">
        <v>687</v>
      </c>
      <c r="D128" s="126"/>
      <c r="E128" s="126"/>
      <c r="F128" s="126"/>
      <c r="G128" s="126"/>
      <c r="H128" s="126"/>
      <c r="I128" s="126"/>
      <c r="J128" s="126"/>
      <c r="K128" s="126"/>
      <c r="L128" s="126"/>
      <c r="M128" s="126"/>
      <c r="N128" s="126"/>
      <c r="O128" s="126"/>
      <c r="P128" s="126"/>
      <c r="Q128" s="126"/>
      <c r="R128" s="126"/>
      <c r="S128" s="126"/>
      <c r="T128" s="126"/>
      <c r="U128" s="126"/>
      <c r="V128" s="126"/>
      <c r="W128" s="126"/>
      <c r="X128" s="114">
        <v>4.0601290822857933E-2</v>
      </c>
      <c r="Y128" s="115">
        <v>1.3494030061142741E-2</v>
      </c>
      <c r="Z128" s="115">
        <v>1.4946300372066079E-2</v>
      </c>
      <c r="AA128" s="115">
        <v>1.6165992242054186E-2</v>
      </c>
      <c r="AB128" s="115">
        <v>3.2555329596869555E-2</v>
      </c>
      <c r="AC128" s="115">
        <v>2.698886499875592E-2</v>
      </c>
      <c r="AD128" s="115">
        <v>3.1792198194956899E-2</v>
      </c>
      <c r="AE128" s="115">
        <v>2.8809026065792286E-2</v>
      </c>
      <c r="AF128" s="115">
        <v>3.4922030361683653E-3</v>
      </c>
      <c r="AG128" s="115">
        <v>-3.4315499287685222E-2</v>
      </c>
      <c r="AH128" s="116">
        <v>6.3390286429823084E-2</v>
      </c>
      <c r="AI128" s="115">
        <v>5.3404222127904799E-2</v>
      </c>
      <c r="AJ128" s="115">
        <v>4.9433062923631005E-2</v>
      </c>
      <c r="AK128" s="115">
        <v>4.9673276669590184E-2</v>
      </c>
      <c r="AL128" s="115">
        <v>5.1783517146640208E-2</v>
      </c>
      <c r="AM128" s="115">
        <v>4.4800772121620633E-2</v>
      </c>
      <c r="AN128" s="115">
        <v>4.2422849014202006E-2</v>
      </c>
      <c r="AO128" s="115">
        <v>4.3143399239522963E-2</v>
      </c>
      <c r="AP128" s="115">
        <v>4.3031760828962803E-2</v>
      </c>
      <c r="AQ128" s="115">
        <v>4.4691184062977909E-2</v>
      </c>
      <c r="AR128" s="115">
        <v>4.3275683951641254E-2</v>
      </c>
      <c r="AS128" s="115">
        <v>4.3480727353133027E-2</v>
      </c>
      <c r="AT128" s="115"/>
      <c r="AU128" s="115"/>
      <c r="AV128" s="116"/>
    </row>
    <row r="129" spans="3:48" ht="13" x14ac:dyDescent="0.6">
      <c r="C129" s="126" t="s">
        <v>688</v>
      </c>
      <c r="D129" s="126"/>
      <c r="E129" s="126"/>
      <c r="F129" s="126"/>
      <c r="G129" s="126"/>
      <c r="H129" s="126"/>
      <c r="I129" s="126"/>
      <c r="J129" s="126"/>
      <c r="K129" s="126"/>
      <c r="L129" s="126"/>
      <c r="M129" s="126"/>
      <c r="N129" s="126"/>
      <c r="O129" s="126"/>
      <c r="P129" s="126"/>
      <c r="Q129" s="126"/>
      <c r="R129" s="126"/>
      <c r="S129" s="126"/>
      <c r="T129" s="126"/>
      <c r="U129" s="126"/>
      <c r="V129" s="126"/>
      <c r="W129" s="126"/>
      <c r="X129" s="114">
        <v>0.20974125745543357</v>
      </c>
      <c r="Y129" s="115">
        <v>7.9312187342231971E-2</v>
      </c>
      <c r="Z129" s="115">
        <v>0.13092352564529308</v>
      </c>
      <c r="AA129" s="115">
        <v>0.13923878576066243</v>
      </c>
      <c r="AB129" s="115">
        <v>0.1804015494725329</v>
      </c>
      <c r="AC129" s="115">
        <v>0.16347099328830539</v>
      </c>
      <c r="AD129" s="115">
        <v>0.10922586346939854</v>
      </c>
      <c r="AE129" s="115">
        <v>0.20427286050326093</v>
      </c>
      <c r="AF129" s="115">
        <v>3.6253601781853551E-2</v>
      </c>
      <c r="AG129" s="115">
        <v>-9.2307400691283042E-2</v>
      </c>
      <c r="AH129" s="116">
        <v>0.21752552216661336</v>
      </c>
      <c r="AI129" s="115">
        <v>8.1291504557807689E-2</v>
      </c>
      <c r="AJ129" s="115">
        <v>1.8598142933874365E-2</v>
      </c>
      <c r="AK129" s="115">
        <v>6.8520918876125339E-2</v>
      </c>
      <c r="AL129" s="115">
        <v>5.8243276345838958E-2</v>
      </c>
      <c r="AM129" s="115">
        <v>1.1565006367862452E-2</v>
      </c>
      <c r="AN129" s="115">
        <v>3.6509953309316191E-3</v>
      </c>
      <c r="AO129" s="115">
        <v>4.6694512717572738E-2</v>
      </c>
      <c r="AP129" s="115">
        <v>5.1263189058242349E-2</v>
      </c>
      <c r="AQ129" s="115">
        <v>5.2395400701916423E-2</v>
      </c>
      <c r="AR129" s="115">
        <v>4.5864633194631042E-2</v>
      </c>
      <c r="AS129" s="115">
        <v>4.4569669265934614E-2</v>
      </c>
      <c r="AT129" s="115"/>
      <c r="AU129" s="115"/>
      <c r="AV129" s="116"/>
    </row>
    <row r="130" spans="3:48" ht="13" x14ac:dyDescent="0.6">
      <c r="C130" s="129" t="s">
        <v>596</v>
      </c>
      <c r="D130" s="129"/>
      <c r="E130" s="129"/>
      <c r="F130" s="129"/>
      <c r="G130" s="129"/>
      <c r="H130" s="129"/>
      <c r="I130" s="129"/>
      <c r="J130" s="129"/>
      <c r="K130" s="129"/>
      <c r="L130" s="129"/>
      <c r="M130" s="129"/>
      <c r="N130" s="129"/>
      <c r="O130" s="129"/>
      <c r="P130" s="129"/>
      <c r="Q130" s="129"/>
      <c r="R130" s="129"/>
      <c r="S130" s="129"/>
      <c r="T130" s="129"/>
      <c r="U130" s="129"/>
      <c r="V130" s="129"/>
      <c r="W130" s="129"/>
      <c r="X130" s="114"/>
      <c r="Y130" s="115"/>
      <c r="Z130" s="115"/>
      <c r="AA130" s="115"/>
      <c r="AB130" s="115"/>
      <c r="AC130" s="115"/>
      <c r="AD130" s="115"/>
      <c r="AE130" s="115"/>
      <c r="AF130" s="115"/>
      <c r="AG130" s="115"/>
      <c r="AH130" s="116"/>
      <c r="AI130" s="115"/>
      <c r="AJ130" s="115"/>
      <c r="AK130" s="115"/>
      <c r="AL130" s="115"/>
      <c r="AM130" s="115"/>
      <c r="AN130" s="115"/>
      <c r="AO130" s="115"/>
      <c r="AP130" s="115"/>
      <c r="AQ130" s="115"/>
      <c r="AR130" s="115"/>
      <c r="AS130" s="115"/>
      <c r="AT130" s="115"/>
      <c r="AU130" s="115"/>
      <c r="AV130" s="116"/>
    </row>
    <row r="131" spans="3:48" ht="13" x14ac:dyDescent="0.6">
      <c r="C131" s="126" t="s">
        <v>689</v>
      </c>
      <c r="D131" s="126"/>
      <c r="E131" s="126"/>
      <c r="F131" s="126"/>
      <c r="G131" s="126"/>
      <c r="H131" s="126"/>
      <c r="I131" s="126"/>
      <c r="J131" s="126"/>
      <c r="K131" s="126"/>
      <c r="L131" s="126"/>
      <c r="M131" s="126"/>
      <c r="N131" s="126"/>
      <c r="O131" s="126"/>
      <c r="P131" s="126"/>
      <c r="Q131" s="126"/>
      <c r="R131" s="126"/>
      <c r="S131" s="126"/>
      <c r="T131" s="126"/>
      <c r="U131" s="126"/>
      <c r="V131" s="126"/>
      <c r="W131" s="126"/>
      <c r="X131" s="114">
        <v>-6.5381890219524716E-2</v>
      </c>
      <c r="Y131" s="115">
        <v>-1.8011813465707058E-2</v>
      </c>
      <c r="Z131" s="115">
        <v>5.4694140035605597E-2</v>
      </c>
      <c r="AA131" s="115">
        <v>0.16842742415001921</v>
      </c>
      <c r="AB131" s="115">
        <v>0.10077155973384205</v>
      </c>
      <c r="AC131" s="115">
        <v>3.0176841283015721E-2</v>
      </c>
      <c r="AD131" s="115">
        <v>3.1756257515945255E-2</v>
      </c>
      <c r="AE131" s="115">
        <v>9.034154942480413E-2</v>
      </c>
      <c r="AF131" s="115">
        <v>8.2406708736328119E-2</v>
      </c>
      <c r="AG131" s="115">
        <v>-4.6191902587504802E-2</v>
      </c>
      <c r="AH131" s="116">
        <v>1.3395467412170695E-2</v>
      </c>
      <c r="AI131" s="115">
        <v>8.0311009022732874E-2</v>
      </c>
      <c r="AJ131" s="115">
        <v>-2.7545845622034451E-2</v>
      </c>
      <c r="AK131" s="115">
        <v>2.4327612893990418E-2</v>
      </c>
      <c r="AL131" s="115">
        <v>7.4324345067197607E-4</v>
      </c>
      <c r="AM131" s="115">
        <v>-0.12741311937743943</v>
      </c>
      <c r="AN131" s="115">
        <v>-1.1696901974867368E-2</v>
      </c>
      <c r="AO131" s="115">
        <v>1.966304769443946E-2</v>
      </c>
      <c r="AP131" s="115">
        <v>1.5466684012785918E-2</v>
      </c>
      <c r="AQ131" s="115">
        <v>2.0414108429422605E-2</v>
      </c>
      <c r="AR131" s="115">
        <v>2.1902811446598527E-2</v>
      </c>
      <c r="AS131" s="115">
        <v>1.5332975416068626E-2</v>
      </c>
      <c r="AT131" s="115"/>
      <c r="AU131" s="115"/>
      <c r="AV131" s="116"/>
    </row>
    <row r="132" spans="3:48" ht="13" x14ac:dyDescent="0.6">
      <c r="C132" s="126" t="s">
        <v>690</v>
      </c>
      <c r="D132" s="126"/>
      <c r="E132" s="126"/>
      <c r="F132" s="126"/>
      <c r="G132" s="126"/>
      <c r="H132" s="126"/>
      <c r="I132" s="126"/>
      <c r="J132" s="126"/>
      <c r="K132" s="126"/>
      <c r="L132" s="126"/>
      <c r="M132" s="126"/>
      <c r="N132" s="126"/>
      <c r="O132" s="126"/>
      <c r="P132" s="126"/>
      <c r="Q132" s="126"/>
      <c r="R132" s="126"/>
      <c r="S132" s="126"/>
      <c r="T132" s="126"/>
      <c r="U132" s="126"/>
      <c r="V132" s="126"/>
      <c r="W132" s="126"/>
      <c r="X132" s="114">
        <v>-3.2711848508682355E-2</v>
      </c>
      <c r="Y132" s="115">
        <v>-6.5049321560879919E-2</v>
      </c>
      <c r="Z132" s="115">
        <v>1.2694094081010845E-2</v>
      </c>
      <c r="AA132" s="115">
        <v>0.10935399616273341</v>
      </c>
      <c r="AB132" s="115">
        <v>0.10075710425394463</v>
      </c>
      <c r="AC132" s="115">
        <v>5.8759073044752252E-2</v>
      </c>
      <c r="AD132" s="115">
        <v>9.5032955721897849E-2</v>
      </c>
      <c r="AE132" s="115">
        <v>0.10363297999431299</v>
      </c>
      <c r="AF132" s="115">
        <v>0.11244083517435427</v>
      </c>
      <c r="AG132" s="115">
        <v>-4.5461162359670002E-2</v>
      </c>
      <c r="AH132" s="116">
        <v>0.10986279955806932</v>
      </c>
      <c r="AI132" s="115">
        <v>8.6036064711000421E-2</v>
      </c>
      <c r="AJ132" s="115">
        <v>-1.4001772860654347E-2</v>
      </c>
      <c r="AK132" s="115">
        <v>-1.2343364412402627E-2</v>
      </c>
      <c r="AL132" s="115">
        <v>-7.5137255691352448E-3</v>
      </c>
      <c r="AM132" s="115">
        <v>-6.9525653671099127E-2</v>
      </c>
      <c r="AN132" s="115">
        <v>-3.1731044180317053E-2</v>
      </c>
      <c r="AO132" s="115">
        <v>5.2325251342987414E-3</v>
      </c>
      <c r="AP132" s="115">
        <v>8.3720691407041282E-3</v>
      </c>
      <c r="AQ132" s="115">
        <v>6.8363825117490618E-3</v>
      </c>
      <c r="AR132" s="115">
        <v>2.8431521296570306E-3</v>
      </c>
      <c r="AS132" s="115">
        <v>6.2163699288097334E-3</v>
      </c>
      <c r="AT132" s="115"/>
      <c r="AU132" s="115"/>
      <c r="AV132" s="116"/>
    </row>
    <row r="133" spans="3:48" ht="13" x14ac:dyDescent="0.6">
      <c r="C133" s="126" t="s">
        <v>691</v>
      </c>
      <c r="D133" s="126"/>
      <c r="E133" s="126"/>
      <c r="F133" s="126"/>
      <c r="G133" s="126"/>
      <c r="H133" s="126"/>
      <c r="I133" s="126"/>
      <c r="J133" s="126"/>
      <c r="K133" s="126"/>
      <c r="L133" s="126"/>
      <c r="M133" s="126"/>
      <c r="N133" s="126"/>
      <c r="O133" s="126"/>
      <c r="P133" s="126"/>
      <c r="Q133" s="126"/>
      <c r="R133" s="126"/>
      <c r="S133" s="126"/>
      <c r="T133" s="126"/>
      <c r="U133" s="126"/>
      <c r="V133" s="126"/>
      <c r="W133" s="126"/>
      <c r="X133" s="114">
        <v>-2.8246804830601893E-2</v>
      </c>
      <c r="Y133" s="115">
        <v>-1.9968689395701511E-2</v>
      </c>
      <c r="Z133" s="115">
        <v>1.5680437736638434E-3</v>
      </c>
      <c r="AA133" s="115">
        <v>7.8637772804825673E-2</v>
      </c>
      <c r="AB133" s="115">
        <v>6.0055033170075135E-2</v>
      </c>
      <c r="AC133" s="115">
        <v>2.3900122568435024E-2</v>
      </c>
      <c r="AD133" s="115">
        <v>2.5504667180620971E-2</v>
      </c>
      <c r="AE133" s="115">
        <v>5.7282737808749935E-2</v>
      </c>
      <c r="AF133" s="115">
        <v>6.1933419837297485E-2</v>
      </c>
      <c r="AG133" s="115">
        <v>-5.5925071852843074E-2</v>
      </c>
      <c r="AH133" s="116">
        <v>2.4316179197502338E-2</v>
      </c>
      <c r="AI133" s="115">
        <v>6.3893503189402068E-2</v>
      </c>
      <c r="AJ133" s="115">
        <v>5.1070200978612368E-3</v>
      </c>
      <c r="AK133" s="115">
        <v>-1.0608776625873942E-2</v>
      </c>
      <c r="AL133" s="115">
        <v>-6.0242886165919338E-3</v>
      </c>
      <c r="AM133" s="115">
        <v>-3.8326330571062169E-2</v>
      </c>
      <c r="AN133" s="115">
        <v>-2.7513686616640359E-2</v>
      </c>
      <c r="AO133" s="115">
        <v>7.9765322906210356E-3</v>
      </c>
      <c r="AP133" s="115">
        <v>6.6912976068207982E-3</v>
      </c>
      <c r="AQ133" s="115">
        <v>7.7649152497670593E-3</v>
      </c>
      <c r="AR133" s="115">
        <v>6.6527519871961436E-3</v>
      </c>
      <c r="AS133" s="115">
        <v>4.4344601285007043E-3</v>
      </c>
      <c r="AT133" s="115"/>
      <c r="AU133" s="115"/>
      <c r="AV133" s="116"/>
    </row>
    <row r="134" spans="3:48" ht="13" x14ac:dyDescent="0.6">
      <c r="C134" s="126" t="s">
        <v>692</v>
      </c>
      <c r="D134" s="126"/>
      <c r="E134" s="126"/>
      <c r="F134" s="126"/>
      <c r="G134" s="126"/>
      <c r="H134" s="126"/>
      <c r="I134" s="126"/>
      <c r="J134" s="126"/>
      <c r="K134" s="126"/>
      <c r="L134" s="126"/>
      <c r="M134" s="126"/>
      <c r="N134" s="126"/>
      <c r="O134" s="126"/>
      <c r="P134" s="126"/>
      <c r="Q134" s="126"/>
      <c r="R134" s="126"/>
      <c r="S134" s="126"/>
      <c r="T134" s="126"/>
      <c r="U134" s="126"/>
      <c r="V134" s="126"/>
      <c r="W134" s="126"/>
      <c r="X134" s="114">
        <v>0.5702368262501738</v>
      </c>
      <c r="Y134" s="115">
        <v>-0.13824857589799588</v>
      </c>
      <c r="Z134" s="115">
        <v>2.5447819981504874E-2</v>
      </c>
      <c r="AA134" s="115">
        <v>0.15798263193052772</v>
      </c>
      <c r="AB134" s="115">
        <v>0.30695125468704931</v>
      </c>
      <c r="AC134" s="115">
        <v>0.41298110875706212</v>
      </c>
      <c r="AD134" s="115">
        <v>0.20463881296368627</v>
      </c>
      <c r="AE134" s="115">
        <v>0.10665525691392103</v>
      </c>
      <c r="AF134" s="115">
        <v>0.36424027274963966</v>
      </c>
      <c r="AG134" s="115">
        <v>-0.36335405974410817</v>
      </c>
      <c r="AH134" s="116">
        <v>0.27928226541865042</v>
      </c>
      <c r="AI134" s="115">
        <v>0.31605762230061463</v>
      </c>
      <c r="AJ134" s="115">
        <v>9.6068657279177426E-3</v>
      </c>
      <c r="AK134" s="115">
        <v>-8.9328371724338076E-3</v>
      </c>
      <c r="AL134" s="115">
        <v>-7.5162019992282322E-2</v>
      </c>
      <c r="AM134" s="115">
        <v>-0.47226546376847461</v>
      </c>
      <c r="AN134" s="115">
        <v>-0.31582114610015005</v>
      </c>
      <c r="AO134" s="115">
        <v>0.17938519835183339</v>
      </c>
      <c r="AP134" s="115">
        <v>8.6156229477084179E-2</v>
      </c>
      <c r="AQ134" s="115">
        <v>6.881264589365968E-2</v>
      </c>
      <c r="AR134" s="115">
        <v>3.8814256166087323E-2</v>
      </c>
      <c r="AS134" s="115">
        <v>2.2195609507717717E-2</v>
      </c>
      <c r="AT134" s="115"/>
      <c r="AU134" s="115"/>
      <c r="AV134" s="116"/>
    </row>
    <row r="135" spans="3:48" ht="13" x14ac:dyDescent="0.6">
      <c r="C135" s="129" t="s">
        <v>597</v>
      </c>
      <c r="D135" s="129"/>
      <c r="E135" s="129"/>
      <c r="F135" s="129"/>
      <c r="G135" s="129"/>
      <c r="H135" s="129"/>
      <c r="I135" s="129"/>
      <c r="J135" s="129"/>
      <c r="K135" s="129"/>
      <c r="L135" s="129"/>
      <c r="M135" s="129"/>
      <c r="N135" s="129"/>
      <c r="O135" s="129"/>
      <c r="P135" s="129"/>
      <c r="Q135" s="129"/>
      <c r="R135" s="129"/>
      <c r="S135" s="129"/>
      <c r="T135" s="129"/>
      <c r="U135" s="129"/>
      <c r="V135" s="129"/>
      <c r="W135" s="129"/>
      <c r="X135" s="114"/>
      <c r="Y135" s="115"/>
      <c r="Z135" s="115"/>
      <c r="AA135" s="115"/>
      <c r="AB135" s="115"/>
      <c r="AC135" s="115"/>
      <c r="AD135" s="115"/>
      <c r="AE135" s="115"/>
      <c r="AF135" s="115"/>
      <c r="AG135" s="115"/>
      <c r="AH135" s="116"/>
      <c r="AI135" s="115"/>
      <c r="AJ135" s="115"/>
      <c r="AK135" s="115"/>
      <c r="AL135" s="115"/>
      <c r="AM135" s="115"/>
      <c r="AN135" s="115"/>
      <c r="AO135" s="115"/>
      <c r="AP135" s="115"/>
      <c r="AQ135" s="115"/>
      <c r="AR135" s="115"/>
      <c r="AS135" s="115"/>
      <c r="AT135" s="115"/>
      <c r="AU135" s="115"/>
      <c r="AV135" s="116"/>
    </row>
    <row r="136" spans="3:48" ht="13" x14ac:dyDescent="0.6">
      <c r="C136" s="126" t="s">
        <v>693</v>
      </c>
      <c r="D136" s="126"/>
      <c r="E136" s="126"/>
      <c r="F136" s="126"/>
      <c r="G136" s="126"/>
      <c r="H136" s="126"/>
      <c r="I136" s="126"/>
      <c r="J136" s="126"/>
      <c r="K136" s="126"/>
      <c r="L136" s="126"/>
      <c r="M136" s="126"/>
      <c r="N136" s="126"/>
      <c r="O136" s="126"/>
      <c r="P136" s="126"/>
      <c r="Q136" s="126"/>
      <c r="R136" s="126"/>
      <c r="S136" s="126"/>
      <c r="T136" s="126"/>
      <c r="U136" s="126"/>
      <c r="V136" s="126"/>
      <c r="W136" s="126"/>
      <c r="X136" s="114">
        <v>-1.7610054696122788E-2</v>
      </c>
      <c r="Y136" s="115">
        <v>-2.6754817638434313E-2</v>
      </c>
      <c r="Z136" s="115">
        <v>-5.1572398852699815E-3</v>
      </c>
      <c r="AA136" s="115">
        <v>7.2712148100745069E-2</v>
      </c>
      <c r="AB136" s="115">
        <v>8.6081321674354588E-2</v>
      </c>
      <c r="AC136" s="115">
        <v>2.3928700193219396E-2</v>
      </c>
      <c r="AD136" s="115">
        <v>3.0885738764098461E-2</v>
      </c>
      <c r="AE136" s="115">
        <v>7.6648894879344912E-2</v>
      </c>
      <c r="AF136" s="115">
        <v>8.7957433388708511E-2</v>
      </c>
      <c r="AG136" s="115">
        <v>-4.2870788640452587E-2</v>
      </c>
      <c r="AH136" s="116">
        <v>7.5274928843559477E-2</v>
      </c>
      <c r="AI136" s="115">
        <v>9.1612016271423971E-2</v>
      </c>
      <c r="AJ136" s="115">
        <v>6.2638074262085864E-4</v>
      </c>
      <c r="AK136" s="115">
        <v>-2.8421863771870375E-2</v>
      </c>
      <c r="AL136" s="115">
        <v>-2.2176777904926222E-2</v>
      </c>
      <c r="AM136" s="115">
        <v>-8.3650166551158978E-2</v>
      </c>
      <c r="AN136" s="115">
        <v>-2.1898847836281168E-2</v>
      </c>
      <c r="AO136" s="115">
        <v>9.224940783879523E-3</v>
      </c>
      <c r="AP136" s="115">
        <v>7.947035328459447E-3</v>
      </c>
      <c r="AQ136" s="115">
        <v>7.8686099601987178E-3</v>
      </c>
      <c r="AR136" s="115">
        <v>3.6403839132395804E-3</v>
      </c>
      <c r="AS136" s="115">
        <v>5.9092965691079401E-3</v>
      </c>
      <c r="AT136" s="115"/>
      <c r="AU136" s="115"/>
      <c r="AV136" s="116"/>
    </row>
    <row r="137" spans="3:48" ht="13" x14ac:dyDescent="0.6">
      <c r="C137" s="126" t="s">
        <v>694</v>
      </c>
      <c r="D137" s="126"/>
      <c r="E137" s="126"/>
      <c r="F137" s="126"/>
      <c r="G137" s="126"/>
      <c r="H137" s="126"/>
      <c r="I137" s="126"/>
      <c r="J137" s="126"/>
      <c r="K137" s="126"/>
      <c r="L137" s="126"/>
      <c r="M137" s="126"/>
      <c r="N137" s="126"/>
      <c r="O137" s="126"/>
      <c r="P137" s="126"/>
      <c r="Q137" s="126"/>
      <c r="R137" s="126"/>
      <c r="S137" s="126"/>
      <c r="T137" s="126"/>
      <c r="U137" s="126"/>
      <c r="V137" s="126"/>
      <c r="W137" s="126"/>
      <c r="X137" s="114">
        <v>3.1964789288102841E-2</v>
      </c>
      <c r="Y137" s="115">
        <v>-0.13094913343481168</v>
      </c>
      <c r="Z137" s="115">
        <v>-1.5689937934065298E-2</v>
      </c>
      <c r="AA137" s="115">
        <v>8.0767824177981548E-2</v>
      </c>
      <c r="AB137" s="115">
        <v>0.19668668368559308</v>
      </c>
      <c r="AC137" s="115">
        <v>0.16688218968000829</v>
      </c>
      <c r="AD137" s="115">
        <v>0.31649970665132304</v>
      </c>
      <c r="AE137" s="115">
        <v>0.12730809722878109</v>
      </c>
      <c r="AF137" s="115">
        <v>5.8202501390626556E-2</v>
      </c>
      <c r="AG137" s="115">
        <v>-0.12421033992912747</v>
      </c>
      <c r="AH137" s="116">
        <v>0.3025912181453918</v>
      </c>
      <c r="AI137" s="115">
        <v>0.19630886925082042</v>
      </c>
      <c r="AJ137" s="115">
        <v>-0.1415828266799426</v>
      </c>
      <c r="AK137" s="115">
        <v>-9.7870345177536067E-2</v>
      </c>
      <c r="AL137" s="115">
        <v>-3.8339570424738963E-2</v>
      </c>
      <c r="AM137" s="115">
        <v>-0.13622268900879569</v>
      </c>
      <c r="AN137" s="115">
        <v>-0.12351796753007832</v>
      </c>
      <c r="AO137" s="115">
        <v>3.2383768670319101E-3</v>
      </c>
      <c r="AP137" s="115">
        <v>1.1056633684956612E-2</v>
      </c>
      <c r="AQ137" s="115">
        <v>9.0826290916449001E-3</v>
      </c>
      <c r="AR137" s="115">
        <v>1.1452912578255099E-2</v>
      </c>
      <c r="AS137" s="115">
        <v>3.842836727989156E-3</v>
      </c>
      <c r="AT137" s="115"/>
      <c r="AU137" s="115"/>
      <c r="AV137" s="116"/>
    </row>
    <row r="138" spans="3:48" ht="13.75" thickBot="1" x14ac:dyDescent="0.75">
      <c r="C138" s="126" t="s">
        <v>606</v>
      </c>
      <c r="D138" s="126"/>
      <c r="E138" s="126"/>
      <c r="F138" s="126"/>
      <c r="G138" s="126"/>
      <c r="H138" s="126"/>
      <c r="I138" s="126"/>
      <c r="J138" s="126"/>
      <c r="K138" s="126"/>
      <c r="L138" s="126"/>
      <c r="M138" s="126"/>
      <c r="N138" s="126"/>
      <c r="O138" s="126"/>
      <c r="P138" s="126"/>
      <c r="Q138" s="126"/>
      <c r="R138" s="126"/>
      <c r="S138" s="126"/>
      <c r="T138" s="126"/>
      <c r="U138" s="126"/>
      <c r="V138" s="126"/>
      <c r="W138" s="126"/>
      <c r="X138" s="132"/>
      <c r="Y138" s="132"/>
      <c r="Z138" s="132"/>
      <c r="AA138" s="132"/>
      <c r="AB138" s="132"/>
      <c r="AC138" s="132"/>
      <c r="AD138" s="132"/>
      <c r="AE138" s="132"/>
      <c r="AF138" s="132"/>
      <c r="AG138" s="132"/>
      <c r="AH138" s="135"/>
      <c r="AI138" s="136"/>
      <c r="AJ138" s="136"/>
      <c r="AK138" s="136"/>
      <c r="AL138" s="136"/>
      <c r="AM138" s="136"/>
      <c r="AN138" s="136"/>
      <c r="AO138" s="136"/>
      <c r="AP138" s="136"/>
      <c r="AQ138" s="136"/>
      <c r="AR138" s="136"/>
      <c r="AS138" s="117"/>
      <c r="AT138" s="117"/>
      <c r="AU138" s="117"/>
      <c r="AV138" s="118"/>
    </row>
    <row r="139" spans="3:48" ht="13" x14ac:dyDescent="0.6">
      <c r="C139" s="104" t="s">
        <v>606</v>
      </c>
      <c r="D139" s="104"/>
      <c r="E139" s="104"/>
      <c r="F139" s="104"/>
      <c r="G139" s="104"/>
      <c r="H139" s="104"/>
      <c r="I139" s="104"/>
      <c r="J139" s="104"/>
      <c r="K139" s="104"/>
      <c r="L139" s="104"/>
      <c r="M139" s="104"/>
      <c r="N139" s="104"/>
      <c r="O139" s="104"/>
      <c r="P139" s="104"/>
      <c r="Q139" s="104"/>
      <c r="R139" s="104"/>
      <c r="S139" s="104"/>
      <c r="T139" s="104"/>
      <c r="U139" s="104"/>
      <c r="V139" s="104"/>
      <c r="W139" s="104"/>
      <c r="X139" s="137"/>
      <c r="Y139" s="137"/>
      <c r="Z139" s="137"/>
      <c r="AA139" s="137"/>
      <c r="AB139" s="137"/>
      <c r="AC139" s="137"/>
      <c r="AD139" s="137"/>
      <c r="AE139" s="137"/>
      <c r="AF139" s="137"/>
      <c r="AG139" s="137"/>
      <c r="AH139" s="137"/>
      <c r="AI139" s="137"/>
      <c r="AJ139" s="137"/>
      <c r="AK139" s="137"/>
      <c r="AL139" s="137"/>
      <c r="AM139" s="137"/>
      <c r="AN139" s="137"/>
      <c r="AO139" s="137"/>
      <c r="AP139" s="137"/>
      <c r="AQ139" s="137"/>
      <c r="AR139" s="137"/>
      <c r="AS139" s="138"/>
    </row>
    <row r="140" spans="3:48" ht="13.75" thickBot="1" x14ac:dyDescent="0.75">
      <c r="C140" s="138" t="s">
        <v>699</v>
      </c>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c r="AG140" s="138"/>
      <c r="AH140" s="138"/>
      <c r="AI140" s="138"/>
      <c r="AJ140" s="138"/>
      <c r="AK140" s="138"/>
      <c r="AL140" s="138"/>
      <c r="AM140" s="138"/>
      <c r="AN140" s="138"/>
      <c r="AO140" s="138"/>
      <c r="AP140" s="138"/>
      <c r="AQ140" s="138"/>
      <c r="AR140" s="138"/>
      <c r="AS140" s="138"/>
    </row>
    <row r="141" spans="3:48" ht="13" x14ac:dyDescent="0.6">
      <c r="C141" s="126" t="s">
        <v>697</v>
      </c>
      <c r="D141" s="126"/>
      <c r="E141" s="126"/>
      <c r="F141" s="126"/>
      <c r="G141" s="126"/>
      <c r="H141" s="126"/>
      <c r="I141" s="126"/>
      <c r="J141" s="126"/>
      <c r="K141" s="126"/>
      <c r="L141" s="126"/>
      <c r="M141" s="126"/>
      <c r="N141" s="126"/>
      <c r="O141" s="126"/>
      <c r="P141" s="126"/>
      <c r="Q141" s="126"/>
      <c r="R141" s="126"/>
      <c r="S141" s="126"/>
      <c r="T141" s="126"/>
      <c r="U141" s="126"/>
      <c r="V141" s="126"/>
      <c r="W141" s="126"/>
      <c r="X141" s="127">
        <v>2000</v>
      </c>
      <c r="Y141" s="127">
        <v>2001</v>
      </c>
      <c r="Z141" s="127">
        <v>2002</v>
      </c>
      <c r="AA141" s="127">
        <v>2003</v>
      </c>
      <c r="AB141" s="127">
        <v>2004</v>
      </c>
      <c r="AC141" s="127">
        <v>2005</v>
      </c>
      <c r="AD141" s="127">
        <v>2006</v>
      </c>
      <c r="AE141" s="127">
        <v>2007</v>
      </c>
      <c r="AF141" s="127">
        <v>2008</v>
      </c>
      <c r="AG141" s="127">
        <v>2009</v>
      </c>
      <c r="AH141" s="128">
        <v>2010</v>
      </c>
      <c r="AI141" s="139">
        <v>2011</v>
      </c>
      <c r="AJ141" s="139">
        <v>2012</v>
      </c>
      <c r="AK141" s="139">
        <v>2013</v>
      </c>
      <c r="AL141" s="139">
        <v>2014</v>
      </c>
      <c r="AM141" s="139">
        <v>2015</v>
      </c>
      <c r="AN141" s="139">
        <v>2016</v>
      </c>
      <c r="AO141" s="139">
        <v>2017</v>
      </c>
      <c r="AP141" s="139">
        <v>2018</v>
      </c>
      <c r="AQ141" s="139">
        <v>2019</v>
      </c>
      <c r="AR141" s="139">
        <v>2020</v>
      </c>
      <c r="AS141" s="109"/>
      <c r="AT141" s="109"/>
      <c r="AU141" s="139"/>
      <c r="AV141" s="140"/>
    </row>
    <row r="142" spans="3:48" ht="13" x14ac:dyDescent="0.6">
      <c r="C142" s="129" t="s">
        <v>595</v>
      </c>
      <c r="D142" s="129"/>
      <c r="E142" s="129"/>
      <c r="F142" s="129"/>
      <c r="G142" s="129"/>
      <c r="H142" s="129"/>
      <c r="I142" s="129"/>
      <c r="J142" s="129"/>
      <c r="K142" s="129"/>
      <c r="L142" s="129"/>
      <c r="M142" s="129"/>
      <c r="N142" s="129"/>
      <c r="O142" s="129"/>
      <c r="P142" s="129"/>
      <c r="Q142" s="129"/>
      <c r="R142" s="129"/>
      <c r="S142" s="129"/>
      <c r="T142" s="129"/>
      <c r="U142" s="129"/>
      <c r="V142" s="129"/>
      <c r="W142" s="129"/>
      <c r="X142" s="130"/>
      <c r="Y142" s="130"/>
      <c r="Z142" s="130"/>
      <c r="AA142" s="130"/>
      <c r="AB142" s="130"/>
      <c r="AC142" s="126"/>
      <c r="AD142" s="126"/>
      <c r="AE142" s="126"/>
      <c r="AF142" s="126"/>
      <c r="AG142" s="126"/>
      <c r="AH142" s="131"/>
      <c r="AI142" s="126"/>
      <c r="AJ142" s="126"/>
      <c r="AK142" s="126"/>
      <c r="AL142" s="126"/>
      <c r="AM142" s="126"/>
      <c r="AN142" s="126"/>
      <c r="AO142" s="126"/>
      <c r="AP142" s="126"/>
      <c r="AQ142" s="126"/>
      <c r="AR142" s="126"/>
      <c r="AS142" s="112"/>
      <c r="AT142" s="112"/>
      <c r="AU142" s="112"/>
      <c r="AV142" s="113"/>
    </row>
    <row r="143" spans="3:48" ht="13" x14ac:dyDescent="0.6">
      <c r="C143" s="126" t="s">
        <v>687</v>
      </c>
      <c r="D143" s="126"/>
      <c r="E143" s="126"/>
      <c r="F143" s="126"/>
      <c r="G143" s="126"/>
      <c r="H143" s="126"/>
      <c r="I143" s="126"/>
      <c r="J143" s="126"/>
      <c r="K143" s="126"/>
      <c r="L143" s="126"/>
      <c r="M143" s="126"/>
      <c r="N143" s="126"/>
      <c r="O143" s="126"/>
      <c r="P143" s="126"/>
      <c r="Q143" s="126"/>
      <c r="R143" s="126"/>
      <c r="S143" s="126"/>
      <c r="T143" s="126"/>
      <c r="U143" s="126"/>
      <c r="V143" s="126"/>
      <c r="W143" s="126"/>
      <c r="X143" s="132">
        <f>X81-X112</f>
        <v>1.1740456557342037E-2</v>
      </c>
      <c r="Y143" s="132">
        <f t="shared" ref="Y143:AS143" si="20">Y81-Y112</f>
        <v>3.716833707586558E-3</v>
      </c>
      <c r="Z143" s="132">
        <f t="shared" si="20"/>
        <v>-4.0771012836032273E-4</v>
      </c>
      <c r="AA143" s="132">
        <f t="shared" si="20"/>
        <v>2.937364579573068E-3</v>
      </c>
      <c r="AB143" s="132">
        <f t="shared" si="20"/>
        <v>8.5696161463325871E-3</v>
      </c>
      <c r="AC143" s="132">
        <f t="shared" si="20"/>
        <v>9.5355922179866555E-3</v>
      </c>
      <c r="AD143" s="132">
        <f t="shared" si="20"/>
        <v>9.3357506590576178E-3</v>
      </c>
      <c r="AE143" s="132">
        <f t="shared" si="20"/>
        <v>1.3333209892554525E-2</v>
      </c>
      <c r="AF143" s="132">
        <f t="shared" si="20"/>
        <v>5.9425086564456374E-3</v>
      </c>
      <c r="AG143" s="132">
        <f t="shared" si="20"/>
        <v>2.9717087749105142E-5</v>
      </c>
      <c r="AH143" s="132">
        <f t="shared" si="20"/>
        <v>6.7299533795730226E-3</v>
      </c>
      <c r="AI143" s="133">
        <f t="shared" si="20"/>
        <v>9.3854257642314795E-3</v>
      </c>
      <c r="AJ143" s="133">
        <f t="shared" si="20"/>
        <v>-4.9584335949300895E-3</v>
      </c>
      <c r="AK143" s="133">
        <f t="shared" si="20"/>
        <v>2.1114420389247192E-2</v>
      </c>
      <c r="AL143" s="133">
        <f t="shared" si="20"/>
        <v>4.405503142773895E-3</v>
      </c>
      <c r="AM143" s="133">
        <f t="shared" si="20"/>
        <v>1.048998413746563E-2</v>
      </c>
      <c r="AN143" s="133">
        <f t="shared" si="20"/>
        <v>-1.8180827022590707E-2</v>
      </c>
      <c r="AO143" s="133">
        <f t="shared" si="20"/>
        <v>-5.8771561265612907E-3</v>
      </c>
      <c r="AP143" s="133">
        <f t="shared" si="20"/>
        <v>3.8415720145922108E-3</v>
      </c>
      <c r="AQ143" s="133">
        <f t="shared" si="20"/>
        <v>-2.3836320356180815E-2</v>
      </c>
      <c r="AR143" s="133">
        <f t="shared" si="20"/>
        <v>-5.9892393261716075E-2</v>
      </c>
      <c r="AS143" s="115">
        <f t="shared" si="20"/>
        <v>1.813703514973275E-2</v>
      </c>
      <c r="AT143" s="115"/>
      <c r="AU143" s="115"/>
      <c r="AV143" s="116"/>
    </row>
    <row r="144" spans="3:48" ht="13" x14ac:dyDescent="0.6">
      <c r="C144" s="126" t="s">
        <v>688</v>
      </c>
      <c r="D144" s="126"/>
      <c r="E144" s="126"/>
      <c r="F144" s="126"/>
      <c r="G144" s="126"/>
      <c r="H144" s="126"/>
      <c r="I144" s="126"/>
      <c r="J144" s="126"/>
      <c r="K144" s="126"/>
      <c r="L144" s="126"/>
      <c r="M144" s="126"/>
      <c r="N144" s="126"/>
      <c r="O144" s="126"/>
      <c r="P144" s="126"/>
      <c r="Q144" s="126"/>
      <c r="R144" s="126"/>
      <c r="S144" s="126"/>
      <c r="T144" s="126"/>
      <c r="U144" s="126"/>
      <c r="V144" s="126"/>
      <c r="W144" s="126"/>
      <c r="X144" s="132">
        <f t="shared" ref="X144:AS144" si="21">X82-X113</f>
        <v>-0.13227129510024427</v>
      </c>
      <c r="Y144" s="132">
        <f t="shared" si="21"/>
        <v>-0.16678537432366641</v>
      </c>
      <c r="Z144" s="132">
        <f t="shared" si="21"/>
        <v>0.11700508283767774</v>
      </c>
      <c r="AA144" s="132">
        <f t="shared" si="21"/>
        <v>0.46051176170236696</v>
      </c>
      <c r="AB144" s="132">
        <f t="shared" si="21"/>
        <v>-0.10647034917567362</v>
      </c>
      <c r="AC144" s="132">
        <f t="shared" si="21"/>
        <v>-0.11080104496371831</v>
      </c>
      <c r="AD144" s="132">
        <f t="shared" si="21"/>
        <v>-8.8293310896241012E-2</v>
      </c>
      <c r="AE144" s="132">
        <f t="shared" si="21"/>
        <v>0.1857925565803755</v>
      </c>
      <c r="AF144" s="132">
        <f t="shared" si="21"/>
        <v>8.231093096918847E-2</v>
      </c>
      <c r="AG144" s="132">
        <f t="shared" si="21"/>
        <v>1.6435232959852372E-2</v>
      </c>
      <c r="AH144" s="132">
        <f t="shared" si="21"/>
        <v>7.1393920448885623E-2</v>
      </c>
      <c r="AI144" s="133">
        <f t="shared" si="21"/>
        <v>-3.5489606384292154E-2</v>
      </c>
      <c r="AJ144" s="133">
        <f t="shared" si="21"/>
        <v>-6.4354871716821055E-2</v>
      </c>
      <c r="AK144" s="133">
        <f t="shared" si="21"/>
        <v>7.3857316866598008E-2</v>
      </c>
      <c r="AL144" s="133">
        <f t="shared" si="21"/>
        <v>1.2827990754007174E-2</v>
      </c>
      <c r="AM144" s="133">
        <f t="shared" si="21"/>
        <v>-7.763958713001963E-2</v>
      </c>
      <c r="AN144" s="133">
        <f t="shared" si="21"/>
        <v>9.2094779329149584E-2</v>
      </c>
      <c r="AO144" s="133">
        <f t="shared" si="21"/>
        <v>-2.0422013877512482E-3</v>
      </c>
      <c r="AP144" s="133">
        <f t="shared" si="21"/>
        <v>1.8081593561737955E-2</v>
      </c>
      <c r="AQ144" s="133">
        <f t="shared" si="21"/>
        <v>-0.13907298576471691</v>
      </c>
      <c r="AR144" s="133">
        <f t="shared" si="21"/>
        <v>-0.10761936635382705</v>
      </c>
      <c r="AS144" s="115">
        <f t="shared" si="21"/>
        <v>0.21401331193941359</v>
      </c>
      <c r="AT144" s="115"/>
      <c r="AU144" s="115"/>
      <c r="AV144" s="116"/>
    </row>
    <row r="145" spans="3:48" ht="13" x14ac:dyDescent="0.6">
      <c r="C145" s="129" t="s">
        <v>596</v>
      </c>
      <c r="D145" s="129"/>
      <c r="E145" s="129"/>
      <c r="F145" s="129"/>
      <c r="G145" s="129"/>
      <c r="H145" s="129"/>
      <c r="I145" s="129"/>
      <c r="J145" s="129"/>
      <c r="K145" s="129"/>
      <c r="L145" s="129"/>
      <c r="M145" s="129"/>
      <c r="N145" s="129"/>
      <c r="O145" s="129"/>
      <c r="P145" s="129"/>
      <c r="Q145" s="129"/>
      <c r="R145" s="129"/>
      <c r="S145" s="129"/>
      <c r="T145" s="129"/>
      <c r="U145" s="129"/>
      <c r="V145" s="129"/>
      <c r="W145" s="129"/>
      <c r="X145" s="132"/>
      <c r="Y145" s="133"/>
      <c r="Z145" s="133"/>
      <c r="AA145" s="133"/>
      <c r="AB145" s="133"/>
      <c r="AC145" s="133"/>
      <c r="AD145" s="133"/>
      <c r="AE145" s="133"/>
      <c r="AF145" s="133"/>
      <c r="AG145" s="133"/>
      <c r="AH145" s="134"/>
      <c r="AI145" s="133"/>
      <c r="AJ145" s="133"/>
      <c r="AK145" s="133"/>
      <c r="AL145" s="133"/>
      <c r="AM145" s="133"/>
      <c r="AN145" s="133"/>
      <c r="AO145" s="133"/>
      <c r="AP145" s="133"/>
      <c r="AQ145" s="133"/>
      <c r="AR145" s="133"/>
      <c r="AS145" s="115"/>
      <c r="AT145" s="115"/>
      <c r="AU145" s="115"/>
      <c r="AV145" s="116"/>
    </row>
    <row r="146" spans="3:48" ht="13" x14ac:dyDescent="0.6">
      <c r="C146" s="126" t="s">
        <v>689</v>
      </c>
      <c r="D146" s="126"/>
      <c r="E146" s="126"/>
      <c r="F146" s="126"/>
      <c r="G146" s="126"/>
      <c r="H146" s="126"/>
      <c r="I146" s="126"/>
      <c r="J146" s="126"/>
      <c r="K146" s="126"/>
      <c r="L146" s="126"/>
      <c r="M146" s="126"/>
      <c r="N146" s="126"/>
      <c r="O146" s="126"/>
      <c r="P146" s="126"/>
      <c r="Q146" s="126"/>
      <c r="R146" s="126"/>
      <c r="S146" s="126"/>
      <c r="T146" s="126"/>
      <c r="U146" s="126"/>
      <c r="V146" s="126"/>
      <c r="W146" s="126"/>
      <c r="X146" s="132">
        <f t="shared" ref="X146:AS149" si="22">X84-X115</f>
        <v>1.9447239971877299E-2</v>
      </c>
      <c r="Y146" s="132">
        <f t="shared" si="22"/>
        <v>-1.2094963781158881E-2</v>
      </c>
      <c r="Z146" s="132">
        <f t="shared" si="22"/>
        <v>-2.8950351007607927E-3</v>
      </c>
      <c r="AA146" s="132">
        <f t="shared" si="22"/>
        <v>-1.8789222228470792E-2</v>
      </c>
      <c r="AB146" s="132">
        <f t="shared" si="22"/>
        <v>-6.4386866182282593E-3</v>
      </c>
      <c r="AC146" s="132">
        <f t="shared" si="22"/>
        <v>1.0373442565263444E-2</v>
      </c>
      <c r="AD146" s="132">
        <f t="shared" si="22"/>
        <v>3.7300173133391623E-3</v>
      </c>
      <c r="AE146" s="132">
        <f t="shared" si="22"/>
        <v>-7.8845070178394788E-3</v>
      </c>
      <c r="AF146" s="132">
        <f t="shared" si="22"/>
        <v>-1.4065502590515769E-2</v>
      </c>
      <c r="AG146" s="132">
        <f t="shared" si="22"/>
        <v>1.276484120215117E-3</v>
      </c>
      <c r="AH146" s="132">
        <f t="shared" si="22"/>
        <v>1.1166282587282507E-2</v>
      </c>
      <c r="AI146" s="133">
        <f t="shared" si="22"/>
        <v>4.7012125166867591E-3</v>
      </c>
      <c r="AJ146" s="133">
        <f t="shared" si="22"/>
        <v>3.2933542034616937E-3</v>
      </c>
      <c r="AK146" s="133">
        <f t="shared" si="22"/>
        <v>-2.9306195019992119E-3</v>
      </c>
      <c r="AL146" s="133">
        <f t="shared" si="22"/>
        <v>9.2131628203485656E-3</v>
      </c>
      <c r="AM146" s="133">
        <f t="shared" si="22"/>
        <v>1.0896608750761261E-2</v>
      </c>
      <c r="AN146" s="133">
        <f t="shared" si="22"/>
        <v>-6.6629643216754887E-3</v>
      </c>
      <c r="AO146" s="133">
        <f t="shared" si="22"/>
        <v>3.0923407122467328E-3</v>
      </c>
      <c r="AP146" s="133">
        <f t="shared" si="22"/>
        <v>2.8993969411518335E-2</v>
      </c>
      <c r="AQ146" s="133">
        <f t="shared" si="22"/>
        <v>-5.0003242299060384E-2</v>
      </c>
      <c r="AR146" s="133">
        <f t="shared" si="22"/>
        <v>-6.779044987351877E-3</v>
      </c>
      <c r="AS146" s="115">
        <f t="shared" si="22"/>
        <v>4.0544504021384195E-2</v>
      </c>
      <c r="AT146" s="115"/>
      <c r="AU146" s="115"/>
      <c r="AV146" s="116"/>
    </row>
    <row r="147" spans="3:48" ht="13" x14ac:dyDescent="0.6">
      <c r="C147" s="126" t="s">
        <v>690</v>
      </c>
      <c r="D147" s="126"/>
      <c r="E147" s="126"/>
      <c r="F147" s="126"/>
      <c r="G147" s="126"/>
      <c r="H147" s="126"/>
      <c r="I147" s="126"/>
      <c r="J147" s="126"/>
      <c r="K147" s="126"/>
      <c r="L147" s="126"/>
      <c r="M147" s="126"/>
      <c r="N147" s="126"/>
      <c r="O147" s="126"/>
      <c r="P147" s="126"/>
      <c r="Q147" s="126"/>
      <c r="R147" s="126"/>
      <c r="S147" s="126"/>
      <c r="T147" s="126"/>
      <c r="U147" s="126"/>
      <c r="V147" s="126"/>
      <c r="W147" s="126"/>
      <c r="X147" s="132">
        <f t="shared" si="22"/>
        <v>3.6122313116696766E-2</v>
      </c>
      <c r="Y147" s="132">
        <f t="shared" si="22"/>
        <v>1.4970228593339623E-2</v>
      </c>
      <c r="Z147" s="132">
        <f t="shared" si="22"/>
        <v>-2.143975206612201E-2</v>
      </c>
      <c r="AA147" s="132">
        <f t="shared" si="22"/>
        <v>-3.2265878349199181E-2</v>
      </c>
      <c r="AB147" s="132">
        <f t="shared" si="22"/>
        <v>-6.6760465963262711E-3</v>
      </c>
      <c r="AC147" s="132">
        <f t="shared" si="22"/>
        <v>1.3045255024607107E-2</v>
      </c>
      <c r="AD147" s="132">
        <f t="shared" si="22"/>
        <v>-1.2665377775680303E-2</v>
      </c>
      <c r="AE147" s="132">
        <f t="shared" si="22"/>
        <v>2.9844041989655207E-3</v>
      </c>
      <c r="AF147" s="132">
        <f t="shared" si="22"/>
        <v>3.1191518610696994E-2</v>
      </c>
      <c r="AG147" s="132">
        <f t="shared" si="22"/>
        <v>5.0813702809250627E-4</v>
      </c>
      <c r="AH147" s="132">
        <f t="shared" si="22"/>
        <v>-2.831950198925362E-3</v>
      </c>
      <c r="AI147" s="133">
        <f t="shared" si="22"/>
        <v>2.2893210340376863E-2</v>
      </c>
      <c r="AJ147" s="133">
        <f t="shared" si="22"/>
        <v>7.6184603915364513E-3</v>
      </c>
      <c r="AK147" s="133">
        <f t="shared" si="22"/>
        <v>-3.0745335077833023E-3</v>
      </c>
      <c r="AL147" s="133">
        <f t="shared" si="22"/>
        <v>-1.8428908111653774E-2</v>
      </c>
      <c r="AM147" s="133">
        <f t="shared" si="22"/>
        <v>-3.0791791536740609E-2</v>
      </c>
      <c r="AN147" s="133">
        <f t="shared" si="22"/>
        <v>-1.8341194914319597E-2</v>
      </c>
      <c r="AO147" s="133">
        <f t="shared" si="22"/>
        <v>2.8697618125902082E-2</v>
      </c>
      <c r="AP147" s="133">
        <f t="shared" si="22"/>
        <v>1.0834546195497995E-2</v>
      </c>
      <c r="AQ147" s="133">
        <f t="shared" si="22"/>
        <v>-1.9418041161069842E-2</v>
      </c>
      <c r="AR147" s="133">
        <f t="shared" si="22"/>
        <v>1.7338830504459231E-2</v>
      </c>
      <c r="AS147" s="115">
        <f t="shared" si="22"/>
        <v>0.10948275114972497</v>
      </c>
      <c r="AT147" s="115"/>
      <c r="AU147" s="115"/>
      <c r="AV147" s="116"/>
    </row>
    <row r="148" spans="3:48" ht="13" x14ac:dyDescent="0.6">
      <c r="C148" s="126" t="s">
        <v>691</v>
      </c>
      <c r="D148" s="126"/>
      <c r="E148" s="126"/>
      <c r="F148" s="126"/>
      <c r="G148" s="126"/>
      <c r="H148" s="126"/>
      <c r="I148" s="126"/>
      <c r="J148" s="126"/>
      <c r="K148" s="126"/>
      <c r="L148" s="126"/>
      <c r="M148" s="126"/>
      <c r="N148" s="126"/>
      <c r="O148" s="126"/>
      <c r="P148" s="126"/>
      <c r="Q148" s="126"/>
      <c r="R148" s="126"/>
      <c r="S148" s="126"/>
      <c r="T148" s="126"/>
      <c r="U148" s="126"/>
      <c r="V148" s="126"/>
      <c r="W148" s="126"/>
      <c r="X148" s="132">
        <f t="shared" si="22"/>
        <v>2.4997352429336636E-2</v>
      </c>
      <c r="Y148" s="132">
        <f t="shared" si="22"/>
        <v>-1.3952689664681533E-2</v>
      </c>
      <c r="Z148" s="132">
        <f t="shared" si="22"/>
        <v>-2.0123041976528099E-2</v>
      </c>
      <c r="AA148" s="132">
        <f t="shared" si="22"/>
        <v>-4.5317513154000705E-2</v>
      </c>
      <c r="AB148" s="132">
        <f t="shared" si="22"/>
        <v>7.9206392152343097E-3</v>
      </c>
      <c r="AC148" s="132">
        <f t="shared" si="22"/>
        <v>1.588414067950682E-2</v>
      </c>
      <c r="AD148" s="132">
        <f t="shared" si="22"/>
        <v>-3.7047536017251331E-3</v>
      </c>
      <c r="AE148" s="132">
        <f t="shared" si="22"/>
        <v>-1.9632528747888775E-2</v>
      </c>
      <c r="AF148" s="132">
        <f t="shared" si="22"/>
        <v>-7.691593949630815E-4</v>
      </c>
      <c r="AG148" s="132">
        <f t="shared" si="22"/>
        <v>3.2725353081583912E-2</v>
      </c>
      <c r="AH148" s="132">
        <f t="shared" si="22"/>
        <v>-4.7410681459334712E-3</v>
      </c>
      <c r="AI148" s="133">
        <f t="shared" si="22"/>
        <v>-1.8627403592583212E-2</v>
      </c>
      <c r="AJ148" s="133">
        <f t="shared" si="22"/>
        <v>1.4973343567486993E-2</v>
      </c>
      <c r="AK148" s="133">
        <f t="shared" si="22"/>
        <v>-1.4193285805252401E-2</v>
      </c>
      <c r="AL148" s="133">
        <f t="shared" si="22"/>
        <v>4.3351145273181815E-3</v>
      </c>
      <c r="AM148" s="133">
        <f t="shared" si="22"/>
        <v>-1.1704731227042582E-3</v>
      </c>
      <c r="AN148" s="133">
        <f t="shared" si="22"/>
        <v>-2.8621735165345351E-2</v>
      </c>
      <c r="AO148" s="133">
        <f t="shared" si="22"/>
        <v>-8.3160419578716949E-3</v>
      </c>
      <c r="AP148" s="133">
        <f t="shared" si="22"/>
        <v>1.228978750893538E-2</v>
      </c>
      <c r="AQ148" s="133">
        <f t="shared" si="22"/>
        <v>-4.196973261792537E-3</v>
      </c>
      <c r="AR148" s="133">
        <f t="shared" si="22"/>
        <v>-4.0540525552894745E-2</v>
      </c>
      <c r="AS148" s="115">
        <f t="shared" si="22"/>
        <v>6.2333902299008301E-2</v>
      </c>
      <c r="AT148" s="115"/>
      <c r="AU148" s="115"/>
      <c r="AV148" s="116"/>
    </row>
    <row r="149" spans="3:48" ht="13" x14ac:dyDescent="0.6">
      <c r="C149" s="126" t="s">
        <v>692</v>
      </c>
      <c r="D149" s="126"/>
      <c r="E149" s="126"/>
      <c r="F149" s="126"/>
      <c r="G149" s="126"/>
      <c r="H149" s="126"/>
      <c r="I149" s="126"/>
      <c r="J149" s="126"/>
      <c r="K149" s="126"/>
      <c r="L149" s="126"/>
      <c r="M149" s="126"/>
      <c r="N149" s="126"/>
      <c r="O149" s="126"/>
      <c r="P149" s="126"/>
      <c r="Q149" s="126"/>
      <c r="R149" s="126"/>
      <c r="S149" s="126"/>
      <c r="T149" s="126"/>
      <c r="U149" s="126"/>
      <c r="V149" s="126"/>
      <c r="W149" s="126"/>
      <c r="X149" s="132">
        <f t="shared" si="22"/>
        <v>-4.1106767222988116E-3</v>
      </c>
      <c r="Y149" s="132">
        <f t="shared" si="22"/>
        <v>-1.5931951034701131E-3</v>
      </c>
      <c r="Z149" s="132">
        <f t="shared" si="22"/>
        <v>-4.5835050946170762E-3</v>
      </c>
      <c r="AA149" s="132">
        <f t="shared" si="22"/>
        <v>-1.6495314220867086E-3</v>
      </c>
      <c r="AB149" s="132">
        <f t="shared" si="22"/>
        <v>8.3529631884571298E-4</v>
      </c>
      <c r="AC149" s="132">
        <f t="shared" si="22"/>
        <v>2.2781501770848811E-3</v>
      </c>
      <c r="AD149" s="132">
        <f t="shared" si="22"/>
        <v>-1.0139685100502838E-3</v>
      </c>
      <c r="AE149" s="132">
        <f t="shared" si="22"/>
        <v>-1.2589314776520338E-3</v>
      </c>
      <c r="AF149" s="132">
        <f t="shared" si="22"/>
        <v>-4.9413844986096467E-3</v>
      </c>
      <c r="AG149" s="132">
        <f t="shared" si="22"/>
        <v>-1.0861396224537967E-3</v>
      </c>
      <c r="AH149" s="132">
        <f t="shared" si="22"/>
        <v>7.5891121743855705E-3</v>
      </c>
      <c r="AI149" s="133">
        <f t="shared" si="22"/>
        <v>-1.1377649773246512E-3</v>
      </c>
      <c r="AJ149" s="133">
        <f t="shared" si="22"/>
        <v>2.7089841120071789E-4</v>
      </c>
      <c r="AK149" s="133">
        <f t="shared" si="22"/>
        <v>1.3330020471212858E-4</v>
      </c>
      <c r="AL149" s="133">
        <f t="shared" si="22"/>
        <v>-1.5286018694377068E-4</v>
      </c>
      <c r="AM149" s="133">
        <f t="shared" si="22"/>
        <v>8.0246197108363448E-4</v>
      </c>
      <c r="AN149" s="133">
        <f t="shared" si="22"/>
        <v>4.0013147244373215E-3</v>
      </c>
      <c r="AO149" s="133">
        <f t="shared" si="22"/>
        <v>4.5642248472553382E-2</v>
      </c>
      <c r="AP149" s="133">
        <f t="shared" si="22"/>
        <v>0.24529128497227751</v>
      </c>
      <c r="AQ149" s="133">
        <f t="shared" si="22"/>
        <v>-0.1290126734571469</v>
      </c>
      <c r="AR149" s="133">
        <f t="shared" si="22"/>
        <v>-0.35406003611178472</v>
      </c>
      <c r="AS149" s="115">
        <f t="shared" si="22"/>
        <v>0.63391471127735388</v>
      </c>
      <c r="AT149" s="115"/>
      <c r="AU149" s="115"/>
      <c r="AV149" s="116"/>
    </row>
    <row r="150" spans="3:48" ht="13" x14ac:dyDescent="0.6">
      <c r="C150" s="129" t="s">
        <v>597</v>
      </c>
      <c r="D150" s="129"/>
      <c r="E150" s="129"/>
      <c r="F150" s="129"/>
      <c r="G150" s="129"/>
      <c r="H150" s="129"/>
      <c r="I150" s="129"/>
      <c r="J150" s="129"/>
      <c r="K150" s="129"/>
      <c r="L150" s="129"/>
      <c r="M150" s="129"/>
      <c r="N150" s="129"/>
      <c r="O150" s="129"/>
      <c r="P150" s="129"/>
      <c r="Q150" s="129"/>
      <c r="R150" s="129"/>
      <c r="S150" s="129"/>
      <c r="T150" s="129"/>
      <c r="U150" s="129"/>
      <c r="V150" s="129"/>
      <c r="W150" s="129"/>
      <c r="X150" s="132"/>
      <c r="Y150" s="133"/>
      <c r="Z150" s="133"/>
      <c r="AA150" s="133"/>
      <c r="AB150" s="133"/>
      <c r="AC150" s="133"/>
      <c r="AD150" s="133"/>
      <c r="AE150" s="133"/>
      <c r="AF150" s="133"/>
      <c r="AG150" s="133"/>
      <c r="AH150" s="134"/>
      <c r="AI150" s="133"/>
      <c r="AJ150" s="133"/>
      <c r="AK150" s="133"/>
      <c r="AL150" s="133"/>
      <c r="AM150" s="133"/>
      <c r="AN150" s="133"/>
      <c r="AO150" s="133"/>
      <c r="AP150" s="133"/>
      <c r="AQ150" s="133"/>
      <c r="AR150" s="133"/>
      <c r="AS150" s="115"/>
      <c r="AT150" s="115"/>
      <c r="AU150" s="115"/>
      <c r="AV150" s="116"/>
    </row>
    <row r="151" spans="3:48" ht="13" x14ac:dyDescent="0.6">
      <c r="C151" s="126" t="s">
        <v>693</v>
      </c>
      <c r="D151" s="126"/>
      <c r="E151" s="126"/>
      <c r="F151" s="126"/>
      <c r="G151" s="126"/>
      <c r="H151" s="126"/>
      <c r="I151" s="126"/>
      <c r="J151" s="126"/>
      <c r="K151" s="126"/>
      <c r="L151" s="126"/>
      <c r="M151" s="126"/>
      <c r="N151" s="126"/>
      <c r="O151" s="126"/>
      <c r="P151" s="126"/>
      <c r="Q151" s="126"/>
      <c r="R151" s="126"/>
      <c r="S151" s="126"/>
      <c r="T151" s="126"/>
      <c r="U151" s="126"/>
      <c r="V151" s="126"/>
      <c r="W151" s="126"/>
      <c r="X151" s="132">
        <f t="shared" ref="X151:AS152" si="23">X89-X120</f>
        <v>0.14868917068878865</v>
      </c>
      <c r="Y151" s="132">
        <f t="shared" si="23"/>
        <v>0.32180645775784383</v>
      </c>
      <c r="Z151" s="132">
        <f t="shared" si="23"/>
        <v>-2.7150454890022088E-2</v>
      </c>
      <c r="AA151" s="132">
        <f t="shared" si="23"/>
        <v>-0.2404138126971109</v>
      </c>
      <c r="AB151" s="132">
        <f t="shared" si="23"/>
        <v>0.1792006398856934</v>
      </c>
      <c r="AC151" s="132">
        <f t="shared" si="23"/>
        <v>0.24908040805605045</v>
      </c>
      <c r="AD151" s="132">
        <f t="shared" si="23"/>
        <v>4.9566851424136207E-2</v>
      </c>
      <c r="AE151" s="132">
        <f t="shared" si="23"/>
        <v>8.0401062123189884E-2</v>
      </c>
      <c r="AF151" s="132">
        <f t="shared" si="23"/>
        <v>1.0131054713942989E-2</v>
      </c>
      <c r="AG151" s="132">
        <f t="shared" si="23"/>
        <v>-6.3375058134664028E-2</v>
      </c>
      <c r="AH151" s="132">
        <f t="shared" si="23"/>
        <v>-4.2167775771040222E-3</v>
      </c>
      <c r="AI151" s="133">
        <f t="shared" si="23"/>
        <v>1.0728032552014141E-2</v>
      </c>
      <c r="AJ151" s="133">
        <f t="shared" si="23"/>
        <v>5.964709812397536E-2</v>
      </c>
      <c r="AK151" s="133">
        <f t="shared" si="23"/>
        <v>2.1108736215009374E-2</v>
      </c>
      <c r="AL151" s="133">
        <f t="shared" si="23"/>
        <v>3.3198671741853772E-2</v>
      </c>
      <c r="AM151" s="133">
        <f t="shared" si="23"/>
        <v>8.8613231375424414E-2</v>
      </c>
      <c r="AN151" s="133">
        <f t="shared" si="23"/>
        <v>1.2889565492409537E-2</v>
      </c>
      <c r="AO151" s="133">
        <f t="shared" si="23"/>
        <v>-6.3268881247195347E-2</v>
      </c>
      <c r="AP151" s="133">
        <f t="shared" si="23"/>
        <v>9.850075574145388E-2</v>
      </c>
      <c r="AQ151" s="133">
        <f t="shared" si="23"/>
        <v>2.0348582104154661E-2</v>
      </c>
      <c r="AR151" s="133">
        <f t="shared" si="23"/>
        <v>-1.0805059033914651E-2</v>
      </c>
      <c r="AS151" s="115">
        <f t="shared" si="23"/>
        <v>9.1931926929684243E-2</v>
      </c>
      <c r="AT151" s="115"/>
      <c r="AU151" s="115"/>
      <c r="AV151" s="116"/>
    </row>
    <row r="152" spans="3:48" ht="13" x14ac:dyDescent="0.6">
      <c r="C152" s="126" t="s">
        <v>694</v>
      </c>
      <c r="D152" s="126"/>
      <c r="E152" s="126"/>
      <c r="F152" s="126"/>
      <c r="G152" s="126"/>
      <c r="H152" s="126"/>
      <c r="I152" s="126"/>
      <c r="J152" s="126"/>
      <c r="K152" s="126"/>
      <c r="L152" s="126"/>
      <c r="M152" s="126"/>
      <c r="N152" s="126"/>
      <c r="O152" s="126"/>
      <c r="P152" s="126"/>
      <c r="Q152" s="126"/>
      <c r="R152" s="126"/>
      <c r="S152" s="126"/>
      <c r="T152" s="126"/>
      <c r="U152" s="126"/>
      <c r="V152" s="126"/>
      <c r="W152" s="126"/>
      <c r="X152" s="132">
        <f t="shared" si="23"/>
        <v>-1.1293864682941641E-2</v>
      </c>
      <c r="Y152" s="132">
        <f t="shared" si="23"/>
        <v>1.6207648333276814E-3</v>
      </c>
      <c r="Z152" s="132">
        <f t="shared" si="23"/>
        <v>0.1116665884727259</v>
      </c>
      <c r="AA152" s="132">
        <f t="shared" si="23"/>
        <v>4.0095897302991457E-2</v>
      </c>
      <c r="AB152" s="132">
        <f t="shared" si="23"/>
        <v>-1.396819154451609E-2</v>
      </c>
      <c r="AC152" s="132">
        <f t="shared" si="23"/>
        <v>-8.6583436307527892E-2</v>
      </c>
      <c r="AD152" s="132">
        <f t="shared" si="23"/>
        <v>2.2191443188569471E-3</v>
      </c>
      <c r="AE152" s="132">
        <f t="shared" si="23"/>
        <v>0.12447229138036289</v>
      </c>
      <c r="AF152" s="132">
        <f t="shared" si="23"/>
        <v>-1.8565389111446957E-2</v>
      </c>
      <c r="AG152" s="132">
        <f t="shared" si="23"/>
        <v>4.9031008464664474E-2</v>
      </c>
      <c r="AH152" s="132">
        <f t="shared" si="23"/>
        <v>-3.8784476557924774E-2</v>
      </c>
      <c r="AI152" s="133">
        <f t="shared" si="23"/>
        <v>2.2152744067462343E-2</v>
      </c>
      <c r="AJ152" s="133">
        <f t="shared" si="23"/>
        <v>0.10085834610529207</v>
      </c>
      <c r="AK152" s="133">
        <f t="shared" si="23"/>
        <v>-2.2890076548406177E-2</v>
      </c>
      <c r="AL152" s="133">
        <f t="shared" si="23"/>
        <v>-1.2919444197936933E-2</v>
      </c>
      <c r="AM152" s="133">
        <f t="shared" si="23"/>
        <v>2.0839200518491807E-3</v>
      </c>
      <c r="AN152" s="133">
        <f t="shared" si="23"/>
        <v>9.15193841077451E-2</v>
      </c>
      <c r="AO152" s="133">
        <f t="shared" si="23"/>
        <v>2.9070735753093914E-2</v>
      </c>
      <c r="AP152" s="133">
        <f t="shared" si="23"/>
        <v>-3.2133157338911835E-3</v>
      </c>
      <c r="AQ152" s="133">
        <f t="shared" si="23"/>
        <v>3.737922914923765E-2</v>
      </c>
      <c r="AR152" s="133">
        <f t="shared" si="23"/>
        <v>0.11691580910321434</v>
      </c>
      <c r="AS152" s="115">
        <f t="shared" si="23"/>
        <v>0.19835671913652575</v>
      </c>
      <c r="AT152" s="115"/>
      <c r="AU152" s="115"/>
      <c r="AV152" s="116"/>
    </row>
    <row r="153" spans="3:48" ht="13.75" thickBot="1" x14ac:dyDescent="0.75">
      <c r="C153" s="126" t="s">
        <v>606</v>
      </c>
      <c r="D153" s="126"/>
      <c r="E153" s="126"/>
      <c r="F153" s="126"/>
      <c r="G153" s="126"/>
      <c r="H153" s="126"/>
      <c r="I153" s="126"/>
      <c r="J153" s="126"/>
      <c r="K153" s="126"/>
      <c r="L153" s="126"/>
      <c r="M153" s="126"/>
      <c r="N153" s="126"/>
      <c r="O153" s="126"/>
      <c r="P153" s="126"/>
      <c r="Q153" s="126"/>
      <c r="R153" s="126"/>
      <c r="S153" s="126"/>
      <c r="T153" s="126"/>
      <c r="U153" s="126"/>
      <c r="V153" s="126"/>
      <c r="W153" s="126"/>
      <c r="X153" s="132"/>
      <c r="Y153" s="132"/>
      <c r="Z153" s="132"/>
      <c r="AA153" s="132"/>
      <c r="AB153" s="132"/>
      <c r="AC153" s="132"/>
      <c r="AD153" s="132"/>
      <c r="AE153" s="132"/>
      <c r="AF153" s="132"/>
      <c r="AG153" s="132"/>
      <c r="AH153" s="135"/>
      <c r="AI153" s="136"/>
      <c r="AJ153" s="136"/>
      <c r="AK153" s="136"/>
      <c r="AL153" s="136"/>
      <c r="AM153" s="136"/>
      <c r="AN153" s="136"/>
      <c r="AO153" s="136"/>
      <c r="AP153" s="136"/>
      <c r="AQ153" s="136"/>
      <c r="AR153" s="136"/>
      <c r="AS153" s="117"/>
      <c r="AT153" s="117"/>
      <c r="AU153" s="117"/>
      <c r="AV153" s="118"/>
    </row>
    <row r="154" spans="3:48" ht="13" x14ac:dyDescent="0.6">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c r="AA154" s="138"/>
      <c r="AB154" s="138"/>
      <c r="AC154" s="138"/>
      <c r="AD154" s="138"/>
      <c r="AE154" s="138"/>
      <c r="AF154" s="138"/>
      <c r="AG154" s="138"/>
      <c r="AH154" s="138"/>
      <c r="AI154" s="138"/>
      <c r="AJ154" s="138"/>
      <c r="AK154" s="138"/>
      <c r="AL154" s="138"/>
      <c r="AM154" s="138"/>
      <c r="AN154" s="138"/>
      <c r="AO154" s="138"/>
      <c r="AP154" s="138"/>
      <c r="AQ154" s="138"/>
      <c r="AR154" s="138"/>
      <c r="AS154" s="138"/>
    </row>
    <row r="155" spans="3:48" ht="13" x14ac:dyDescent="0.6"/>
    <row r="156" spans="3:48" ht="13" x14ac:dyDescent="0.6"/>
    <row r="157" spans="3:48" ht="13" x14ac:dyDescent="0.6">
      <c r="C157" s="138"/>
    </row>
    <row r="158" spans="3:48" ht="13" x14ac:dyDescent="0.6">
      <c r="C158" s="141"/>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c r="AA158" s="142"/>
      <c r="AB158" s="142"/>
      <c r="AC158" s="142"/>
      <c r="AD158" s="142"/>
      <c r="AE158" s="142"/>
      <c r="AF158" s="142"/>
      <c r="AG158" s="142"/>
      <c r="AH158" s="142"/>
      <c r="AI158" s="142"/>
      <c r="AJ158" s="142"/>
      <c r="AK158" s="142"/>
      <c r="AL158" s="142"/>
      <c r="AM158" s="142"/>
      <c r="AN158" s="142"/>
      <c r="AO158" s="142"/>
      <c r="AP158" s="142"/>
      <c r="AQ158" s="142"/>
      <c r="AR158" s="142"/>
      <c r="AS158" s="142"/>
    </row>
    <row r="159" spans="3:48" ht="13" x14ac:dyDescent="0.6">
      <c r="C159" s="143"/>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c r="AA159" s="142"/>
      <c r="AB159" s="142"/>
      <c r="AC159" s="142"/>
      <c r="AD159" s="142"/>
      <c r="AE159" s="142"/>
      <c r="AF159" s="142"/>
      <c r="AG159" s="142"/>
      <c r="AH159" s="142"/>
      <c r="AI159" s="142"/>
      <c r="AJ159" s="142"/>
      <c r="AK159" s="142"/>
      <c r="AL159" s="142"/>
      <c r="AM159" s="142"/>
      <c r="AN159" s="142"/>
      <c r="AO159" s="142"/>
      <c r="AP159" s="142"/>
      <c r="AQ159" s="142"/>
      <c r="AR159" s="142"/>
      <c r="AS159" s="142"/>
    </row>
    <row r="160" spans="3:48" ht="14.45" customHeight="1" x14ac:dyDescent="0.6">
      <c r="C160" s="141"/>
      <c r="D160" s="142"/>
      <c r="E160" s="142"/>
      <c r="F160" s="142"/>
      <c r="G160" s="142"/>
      <c r="H160" s="142"/>
      <c r="I160" s="142"/>
      <c r="J160" s="142"/>
      <c r="K160" s="142"/>
      <c r="L160" s="142"/>
      <c r="M160" s="142"/>
      <c r="N160" s="142"/>
      <c r="O160" s="142"/>
      <c r="P160" s="142"/>
      <c r="Q160" s="142"/>
      <c r="R160" s="142"/>
      <c r="S160" s="142"/>
      <c r="T160" s="142"/>
      <c r="U160" s="142"/>
      <c r="V160" s="142"/>
      <c r="W160" s="142"/>
      <c r="X160" s="144"/>
      <c r="Y160" s="144"/>
      <c r="Z160" s="144"/>
      <c r="AA160" s="144"/>
      <c r="AB160" s="144"/>
      <c r="AC160" s="144"/>
      <c r="AD160" s="144"/>
      <c r="AE160" s="144"/>
      <c r="AF160" s="144"/>
      <c r="AG160" s="144"/>
      <c r="AH160" s="144"/>
      <c r="AI160" s="144"/>
      <c r="AJ160" s="144"/>
      <c r="AK160" s="144"/>
      <c r="AL160" s="144"/>
      <c r="AM160" s="144"/>
      <c r="AN160" s="144"/>
      <c r="AO160" s="144"/>
      <c r="AP160" s="144"/>
      <c r="AQ160" s="144"/>
      <c r="AR160" s="144"/>
      <c r="AS160" s="144"/>
    </row>
    <row r="161" spans="3:45" ht="14.45" customHeight="1" x14ac:dyDescent="0.6">
      <c r="C161" s="141"/>
      <c r="D161" s="142"/>
      <c r="E161" s="142"/>
      <c r="F161" s="142"/>
      <c r="G161" s="142"/>
      <c r="H161" s="142"/>
      <c r="I161" s="142"/>
      <c r="J161" s="142"/>
      <c r="K161" s="142"/>
      <c r="L161" s="142"/>
      <c r="M161" s="142"/>
      <c r="N161" s="142"/>
      <c r="O161" s="142"/>
      <c r="P161" s="142"/>
      <c r="Q161" s="142"/>
      <c r="R161" s="142"/>
      <c r="S161" s="142"/>
      <c r="T161" s="142"/>
      <c r="U161" s="142"/>
      <c r="V161" s="142"/>
      <c r="W161" s="142"/>
      <c r="X161" s="144"/>
      <c r="Y161" s="144"/>
      <c r="Z161" s="144"/>
      <c r="AA161" s="144"/>
      <c r="AB161" s="144"/>
      <c r="AC161" s="144"/>
      <c r="AD161" s="144"/>
      <c r="AE161" s="144"/>
      <c r="AF161" s="144"/>
      <c r="AG161" s="144"/>
      <c r="AH161" s="144"/>
      <c r="AI161" s="144"/>
      <c r="AJ161" s="144"/>
      <c r="AK161" s="144"/>
      <c r="AL161" s="144"/>
      <c r="AM161" s="144"/>
      <c r="AN161" s="144"/>
      <c r="AO161" s="144"/>
      <c r="AP161" s="144"/>
      <c r="AQ161" s="144"/>
      <c r="AR161" s="144"/>
      <c r="AS161" s="144"/>
    </row>
    <row r="162" spans="3:45" ht="14.45" customHeight="1" x14ac:dyDescent="0.6">
      <c r="C162" s="143"/>
      <c r="D162" s="142"/>
      <c r="E162" s="142"/>
      <c r="F162" s="142"/>
      <c r="G162" s="142"/>
      <c r="H162" s="142"/>
      <c r="I162" s="142"/>
      <c r="J162" s="142"/>
      <c r="K162" s="142"/>
      <c r="L162" s="142"/>
      <c r="M162" s="142"/>
      <c r="N162" s="142"/>
      <c r="O162" s="142"/>
      <c r="P162" s="142"/>
      <c r="Q162" s="142"/>
      <c r="R162" s="142"/>
      <c r="S162" s="142"/>
      <c r="T162" s="142"/>
      <c r="U162" s="142"/>
      <c r="V162" s="142"/>
      <c r="W162" s="142"/>
      <c r="X162" s="144"/>
      <c r="Y162" s="144"/>
      <c r="Z162" s="144"/>
      <c r="AA162" s="144"/>
      <c r="AB162" s="144"/>
      <c r="AC162" s="144"/>
      <c r="AD162" s="144"/>
      <c r="AE162" s="144"/>
      <c r="AF162" s="144"/>
      <c r="AG162" s="144"/>
      <c r="AH162" s="144"/>
      <c r="AI162" s="144"/>
      <c r="AJ162" s="144"/>
      <c r="AK162" s="144"/>
      <c r="AL162" s="144"/>
      <c r="AM162" s="144"/>
      <c r="AN162" s="144"/>
      <c r="AO162" s="144"/>
      <c r="AP162" s="144"/>
      <c r="AQ162" s="144"/>
      <c r="AR162" s="144"/>
      <c r="AS162" s="144"/>
    </row>
    <row r="163" spans="3:45" ht="14.45" customHeight="1" x14ac:dyDescent="0.6">
      <c r="C163" s="141"/>
      <c r="D163" s="142"/>
      <c r="E163" s="142"/>
      <c r="F163" s="142"/>
      <c r="G163" s="142"/>
      <c r="H163" s="142"/>
      <c r="I163" s="142"/>
      <c r="J163" s="142"/>
      <c r="K163" s="142"/>
      <c r="L163" s="142"/>
      <c r="M163" s="142"/>
      <c r="N163" s="142"/>
      <c r="O163" s="142"/>
      <c r="P163" s="142"/>
      <c r="Q163" s="142"/>
      <c r="R163" s="142"/>
      <c r="S163" s="142"/>
      <c r="T163" s="142"/>
      <c r="U163" s="142"/>
      <c r="V163" s="142"/>
      <c r="W163" s="142"/>
      <c r="X163" s="144"/>
      <c r="Y163" s="144"/>
      <c r="Z163" s="144"/>
      <c r="AA163" s="144"/>
      <c r="AB163" s="144"/>
      <c r="AC163" s="144"/>
      <c r="AD163" s="144"/>
      <c r="AE163" s="144"/>
      <c r="AF163" s="144"/>
      <c r="AG163" s="144"/>
      <c r="AH163" s="144"/>
      <c r="AI163" s="144"/>
      <c r="AJ163" s="144"/>
      <c r="AK163" s="144"/>
      <c r="AL163" s="144"/>
      <c r="AM163" s="144"/>
      <c r="AN163" s="144"/>
      <c r="AO163" s="144"/>
      <c r="AP163" s="144"/>
      <c r="AQ163" s="144"/>
      <c r="AR163" s="144"/>
      <c r="AS163" s="144"/>
    </row>
    <row r="164" spans="3:45" ht="14.45" customHeight="1" x14ac:dyDescent="0.6">
      <c r="C164" s="141"/>
      <c r="D164" s="142"/>
      <c r="E164" s="142"/>
      <c r="F164" s="142"/>
      <c r="G164" s="142"/>
      <c r="H164" s="142"/>
      <c r="I164" s="142"/>
      <c r="J164" s="142"/>
      <c r="K164" s="142"/>
      <c r="L164" s="142"/>
      <c r="M164" s="142"/>
      <c r="N164" s="142"/>
      <c r="O164" s="142"/>
      <c r="P164" s="142"/>
      <c r="Q164" s="142"/>
      <c r="R164" s="142"/>
      <c r="S164" s="142"/>
      <c r="T164" s="142"/>
      <c r="U164" s="142"/>
      <c r="V164" s="142"/>
      <c r="W164" s="142"/>
      <c r="X164" s="144"/>
      <c r="Y164" s="144"/>
      <c r="Z164" s="144"/>
      <c r="AA164" s="144"/>
      <c r="AB164" s="144"/>
      <c r="AC164" s="144"/>
      <c r="AD164" s="144"/>
      <c r="AE164" s="144"/>
      <c r="AF164" s="144"/>
      <c r="AG164" s="144"/>
      <c r="AH164" s="144"/>
      <c r="AI164" s="144"/>
      <c r="AJ164" s="144"/>
      <c r="AK164" s="144"/>
      <c r="AL164" s="144"/>
      <c r="AM164" s="144"/>
      <c r="AN164" s="144"/>
      <c r="AO164" s="144"/>
      <c r="AP164" s="144"/>
      <c r="AQ164" s="144"/>
      <c r="AR164" s="144"/>
      <c r="AS164" s="144"/>
    </row>
    <row r="165" spans="3:45" ht="14.45" customHeight="1" x14ac:dyDescent="0.6">
      <c r="C165" s="141"/>
      <c r="D165" s="142"/>
      <c r="E165" s="142"/>
      <c r="F165" s="142"/>
      <c r="G165" s="142"/>
      <c r="H165" s="142"/>
      <c r="I165" s="142"/>
      <c r="J165" s="142"/>
      <c r="K165" s="142"/>
      <c r="L165" s="142"/>
      <c r="M165" s="142"/>
      <c r="N165" s="142"/>
      <c r="O165" s="142"/>
      <c r="P165" s="142"/>
      <c r="Q165" s="142"/>
      <c r="R165" s="142"/>
      <c r="S165" s="142"/>
      <c r="T165" s="142"/>
      <c r="U165" s="142"/>
      <c r="V165" s="142"/>
      <c r="W165" s="142"/>
      <c r="X165" s="144"/>
      <c r="Y165" s="144"/>
      <c r="Z165" s="144"/>
      <c r="AA165" s="144"/>
      <c r="AB165" s="144"/>
      <c r="AC165" s="144"/>
      <c r="AD165" s="144"/>
      <c r="AE165" s="144"/>
      <c r="AF165" s="144"/>
      <c r="AG165" s="144"/>
      <c r="AH165" s="144"/>
      <c r="AI165" s="144"/>
      <c r="AJ165" s="144"/>
      <c r="AK165" s="144"/>
      <c r="AL165" s="144"/>
      <c r="AM165" s="144"/>
      <c r="AN165" s="144"/>
      <c r="AO165" s="144"/>
      <c r="AP165" s="144"/>
      <c r="AQ165" s="144"/>
      <c r="AR165" s="144"/>
      <c r="AS165" s="144"/>
    </row>
    <row r="166" spans="3:45" ht="14.45" customHeight="1" x14ac:dyDescent="0.6">
      <c r="C166" s="141"/>
      <c r="D166" s="142"/>
      <c r="E166" s="142"/>
      <c r="F166" s="142"/>
      <c r="G166" s="142"/>
      <c r="H166" s="142"/>
      <c r="I166" s="142"/>
      <c r="J166" s="142"/>
      <c r="K166" s="142"/>
      <c r="L166" s="142"/>
      <c r="M166" s="142"/>
      <c r="N166" s="142"/>
      <c r="O166" s="142"/>
      <c r="P166" s="142"/>
      <c r="Q166" s="142"/>
      <c r="R166" s="142"/>
      <c r="S166" s="142"/>
      <c r="T166" s="142"/>
      <c r="U166" s="142"/>
      <c r="V166" s="142"/>
      <c r="W166" s="142"/>
      <c r="X166" s="144"/>
      <c r="Y166" s="144"/>
      <c r="Z166" s="144"/>
      <c r="AA166" s="144"/>
      <c r="AB166" s="144"/>
      <c r="AC166" s="144"/>
      <c r="AD166" s="144"/>
      <c r="AE166" s="144"/>
      <c r="AF166" s="144"/>
      <c r="AG166" s="144"/>
      <c r="AH166" s="144"/>
      <c r="AI166" s="144"/>
      <c r="AJ166" s="144"/>
      <c r="AK166" s="144"/>
      <c r="AL166" s="144"/>
      <c r="AM166" s="144"/>
      <c r="AN166" s="144"/>
      <c r="AO166" s="144"/>
      <c r="AP166" s="144"/>
      <c r="AQ166" s="144"/>
      <c r="AR166" s="144"/>
      <c r="AS166" s="144"/>
    </row>
    <row r="167" spans="3:45" ht="14.45" customHeight="1" x14ac:dyDescent="0.6">
      <c r="C167" s="143"/>
      <c r="D167" s="142"/>
      <c r="E167" s="142"/>
      <c r="F167" s="142"/>
      <c r="G167" s="142"/>
      <c r="H167" s="142"/>
      <c r="I167" s="142"/>
      <c r="J167" s="142"/>
      <c r="K167" s="142"/>
      <c r="L167" s="142"/>
      <c r="M167" s="142"/>
      <c r="N167" s="142"/>
      <c r="O167" s="142"/>
      <c r="P167" s="142"/>
      <c r="Q167" s="142"/>
      <c r="R167" s="142"/>
      <c r="S167" s="142"/>
      <c r="T167" s="142"/>
      <c r="U167" s="142"/>
      <c r="V167" s="142"/>
      <c r="W167" s="142"/>
      <c r="X167" s="144"/>
      <c r="Y167" s="144"/>
      <c r="Z167" s="144"/>
      <c r="AA167" s="144"/>
      <c r="AB167" s="144"/>
      <c r="AC167" s="144"/>
      <c r="AD167" s="144"/>
      <c r="AE167" s="144"/>
      <c r="AF167" s="144"/>
      <c r="AG167" s="144"/>
      <c r="AH167" s="144"/>
      <c r="AI167" s="144"/>
      <c r="AJ167" s="144"/>
      <c r="AK167" s="144"/>
      <c r="AL167" s="144"/>
      <c r="AM167" s="144"/>
      <c r="AN167" s="144"/>
      <c r="AO167" s="144"/>
      <c r="AP167" s="144"/>
      <c r="AQ167" s="144"/>
      <c r="AR167" s="144"/>
      <c r="AS167" s="144"/>
    </row>
    <row r="168" spans="3:45" ht="14.45" customHeight="1" x14ac:dyDescent="0.6">
      <c r="C168" s="141"/>
      <c r="D168" s="142"/>
      <c r="E168" s="142"/>
      <c r="F168" s="142"/>
      <c r="G168" s="142"/>
      <c r="H168" s="142"/>
      <c r="I168" s="142"/>
      <c r="J168" s="142"/>
      <c r="K168" s="142"/>
      <c r="L168" s="142"/>
      <c r="M168" s="142"/>
      <c r="N168" s="142"/>
      <c r="O168" s="142"/>
      <c r="P168" s="142"/>
      <c r="Q168" s="142"/>
      <c r="R168" s="142"/>
      <c r="S168" s="142"/>
      <c r="T168" s="142"/>
      <c r="U168" s="142"/>
      <c r="V168" s="142"/>
      <c r="W168" s="142"/>
      <c r="X168" s="144"/>
      <c r="Y168" s="144"/>
      <c r="Z168" s="144"/>
      <c r="AA168" s="144"/>
      <c r="AB168" s="144"/>
      <c r="AC168" s="144"/>
      <c r="AD168" s="144"/>
      <c r="AE168" s="144"/>
      <c r="AF168" s="144"/>
      <c r="AG168" s="144"/>
      <c r="AH168" s="144"/>
      <c r="AI168" s="144"/>
      <c r="AJ168" s="144"/>
      <c r="AK168" s="144"/>
      <c r="AL168" s="144"/>
      <c r="AM168" s="144"/>
      <c r="AN168" s="144"/>
      <c r="AO168" s="144"/>
      <c r="AP168" s="144"/>
      <c r="AQ168" s="144"/>
      <c r="AR168" s="144"/>
      <c r="AS168" s="144"/>
    </row>
    <row r="169" spans="3:45" ht="14.45" customHeight="1" x14ac:dyDescent="0.6">
      <c r="C169" s="141"/>
      <c r="D169" s="142"/>
      <c r="E169" s="142"/>
      <c r="F169" s="142"/>
      <c r="G169" s="142"/>
      <c r="H169" s="142"/>
      <c r="I169" s="142"/>
      <c r="J169" s="142"/>
      <c r="K169" s="142"/>
      <c r="L169" s="142"/>
      <c r="M169" s="142"/>
      <c r="N169" s="142"/>
      <c r="O169" s="142"/>
      <c r="P169" s="142"/>
      <c r="Q169" s="142"/>
      <c r="R169" s="142"/>
      <c r="S169" s="142"/>
      <c r="T169" s="142"/>
      <c r="U169" s="142"/>
      <c r="V169" s="142"/>
      <c r="W169" s="142"/>
      <c r="X169" s="144"/>
      <c r="Y169" s="144"/>
      <c r="Z169" s="144"/>
      <c r="AA169" s="144"/>
      <c r="AB169" s="144"/>
      <c r="AC169" s="144"/>
      <c r="AD169" s="144"/>
      <c r="AE169" s="144"/>
      <c r="AF169" s="144"/>
      <c r="AG169" s="144"/>
      <c r="AH169" s="144"/>
      <c r="AI169" s="144"/>
      <c r="AJ169" s="144"/>
      <c r="AK169" s="144"/>
      <c r="AL169" s="144"/>
      <c r="AM169" s="144"/>
      <c r="AN169" s="144"/>
      <c r="AO169" s="144"/>
      <c r="AP169" s="144"/>
      <c r="AQ169" s="144"/>
      <c r="AR169" s="144"/>
      <c r="AS169" s="144"/>
    </row>
    <row r="170" spans="3:45" ht="14.45" customHeight="1" x14ac:dyDescent="0.6">
      <c r="C170" s="141"/>
      <c r="D170" s="142"/>
      <c r="E170" s="142"/>
      <c r="F170" s="142"/>
      <c r="G170" s="142"/>
      <c r="H170" s="142"/>
      <c r="I170" s="142"/>
      <c r="J170" s="142"/>
      <c r="K170" s="142"/>
      <c r="L170" s="142"/>
      <c r="M170" s="142"/>
      <c r="N170" s="142"/>
      <c r="O170" s="142"/>
      <c r="P170" s="142"/>
      <c r="Q170" s="142"/>
      <c r="R170" s="142"/>
      <c r="S170" s="142"/>
      <c r="T170" s="142"/>
      <c r="U170" s="142"/>
      <c r="V170" s="142"/>
      <c r="W170" s="142"/>
      <c r="X170" s="144"/>
      <c r="Y170" s="144"/>
      <c r="Z170" s="144"/>
      <c r="AA170" s="144"/>
      <c r="AB170" s="144"/>
      <c r="AC170" s="144"/>
      <c r="AD170" s="144"/>
      <c r="AE170" s="144"/>
      <c r="AF170" s="144"/>
      <c r="AG170" s="144"/>
      <c r="AH170" s="144"/>
      <c r="AI170" s="144"/>
      <c r="AJ170" s="144"/>
      <c r="AK170" s="144"/>
      <c r="AL170" s="144"/>
      <c r="AM170" s="144"/>
      <c r="AN170" s="144"/>
      <c r="AO170" s="144"/>
      <c r="AP170" s="144"/>
      <c r="AQ170" s="144"/>
      <c r="AR170" s="144"/>
      <c r="AS170" s="144"/>
    </row>
  </sheetData>
  <mergeCells count="21">
    <mergeCell ref="BC80:BG80"/>
    <mergeCell ref="AT9:BO9"/>
    <mergeCell ref="A2:X2"/>
    <mergeCell ref="C3:AQ3"/>
    <mergeCell ref="C4:X4"/>
    <mergeCell ref="C5:X5"/>
    <mergeCell ref="D9:AS9"/>
    <mergeCell ref="X22:AS22"/>
    <mergeCell ref="AT22:BO22"/>
    <mergeCell ref="X29:AS29"/>
    <mergeCell ref="AT29:BO29"/>
    <mergeCell ref="X46:AS46"/>
    <mergeCell ref="AT46:BO46"/>
    <mergeCell ref="C71:AQ71"/>
    <mergeCell ref="C72:AQ72"/>
    <mergeCell ref="X51:AS51"/>
    <mergeCell ref="AT51:BO51"/>
    <mergeCell ref="X55:AS55"/>
    <mergeCell ref="AT55:BO55"/>
    <mergeCell ref="C59:AS59"/>
    <mergeCell ref="C70:AQ70"/>
  </mergeCells>
  <hyperlinks>
    <hyperlink ref="A11" r:id="rId1" display="\\RES\GEE\Archives\2021\GEEOct2021Pub" xr:uid="{3DC67BC6-B2E3-40F9-871F-58A2ACBA82F4}"/>
    <hyperlink ref="A12" r:id="rId2" display="\\RES\GEE\GEE Live" xr:uid="{6CCD157F-1A24-48E4-B773-1E1F1E4E51BC}"/>
    <hyperlink ref="B4" r:id="rId3" xr:uid="{B3EAA8DB-3E90-493D-8A73-747F83A9AFDE}"/>
  </hyperlinks>
  <pageMargins left="0.39" right="0.39" top="0.39" bottom="0.39" header="0.39" footer="0.39"/>
  <pageSetup fitToHeight="0" orientation="landscape" r:id="rId4"/>
  <legacyDrawing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4EBE5-D023-4097-963A-D0D48F857F1D}">
  <sheetPr codeName="Sheet8"/>
  <dimension ref="A1:DK113"/>
  <sheetViews>
    <sheetView showGridLines="0" topLeftCell="BG40" zoomScale="80" zoomScaleNormal="80" workbookViewId="0">
      <selection activeCell="AT81" sqref="AT81"/>
    </sheetView>
  </sheetViews>
  <sheetFormatPr defaultColWidth="10.1328125" defaultRowHeight="14.45" customHeight="1" x14ac:dyDescent="0.6"/>
  <cols>
    <col min="1" max="1" width="24.86328125" bestFit="1" customWidth="1"/>
    <col min="2" max="2" width="38" bestFit="1" customWidth="1"/>
    <col min="3" max="3" width="122.7265625" bestFit="1" customWidth="1"/>
    <col min="4" max="4" width="53.40625" bestFit="1" customWidth="1"/>
    <col min="5" max="40" width="8" bestFit="1" customWidth="1"/>
    <col min="41" max="43" width="8.40625" bestFit="1" customWidth="1"/>
    <col min="44" max="48" width="8" bestFit="1" customWidth="1"/>
    <col min="49" max="51" width="8.40625" bestFit="1" customWidth="1"/>
    <col min="52" max="52" width="8" bestFit="1" customWidth="1"/>
    <col min="53" max="55" width="8.40625" bestFit="1" customWidth="1"/>
    <col min="56" max="56" width="8" bestFit="1" customWidth="1"/>
    <col min="57" max="59" width="8.40625" bestFit="1" customWidth="1"/>
    <col min="60" max="60" width="12.36328125" customWidth="1"/>
    <col min="61" max="63" width="8.40625" bestFit="1" customWidth="1"/>
    <col min="64" max="64" width="8" bestFit="1" customWidth="1"/>
    <col min="65" max="67" width="8.40625" bestFit="1" customWidth="1"/>
    <col min="68" max="68" width="15.76953125" customWidth="1"/>
  </cols>
  <sheetData>
    <row r="1" spans="1:115" ht="16.5" customHeight="1" x14ac:dyDescent="0.6">
      <c r="A1" s="223" t="s">
        <v>391</v>
      </c>
      <c r="B1" s="223"/>
      <c r="C1" s="204"/>
      <c r="D1" s="204"/>
      <c r="E1" s="21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4"/>
      <c r="AJ1" s="204"/>
      <c r="AK1" s="204"/>
      <c r="AL1" s="204"/>
      <c r="AM1" s="204"/>
      <c r="AN1" s="204"/>
      <c r="AO1" s="204"/>
      <c r="AP1" s="204"/>
      <c r="AQ1" s="204"/>
      <c r="AR1" s="204"/>
      <c r="AS1" s="204"/>
      <c r="AT1" s="204"/>
      <c r="AU1" s="204"/>
      <c r="AV1" s="204"/>
      <c r="AW1" s="204"/>
      <c r="AX1" s="204"/>
      <c r="AY1" s="204"/>
      <c r="AZ1" s="204"/>
      <c r="BA1" s="204"/>
      <c r="BB1" s="204"/>
      <c r="BC1" s="204"/>
      <c r="BD1" s="204"/>
      <c r="BE1" s="204"/>
      <c r="BF1" s="204"/>
      <c r="BG1" s="204"/>
    </row>
    <row r="2" spans="1:115" ht="16.5" customHeight="1" x14ac:dyDescent="0.6">
      <c r="A2" s="293" t="s">
        <v>449</v>
      </c>
      <c r="B2" s="293"/>
      <c r="C2" s="293"/>
      <c r="D2" s="293"/>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c r="BF2" s="204"/>
      <c r="BG2" s="204"/>
    </row>
    <row r="3" spans="1:115" ht="21.75" customHeight="1" x14ac:dyDescent="0.6">
      <c r="A3" s="204"/>
      <c r="B3" s="204"/>
      <c r="C3" s="294" t="s">
        <v>394</v>
      </c>
      <c r="D3" s="294"/>
      <c r="E3" s="294"/>
      <c r="F3" s="294"/>
      <c r="G3" s="294"/>
      <c r="H3" s="294"/>
      <c r="I3" s="294"/>
      <c r="J3" s="294"/>
      <c r="K3" s="294"/>
      <c r="L3" s="294"/>
      <c r="M3" s="294"/>
      <c r="N3" s="294"/>
      <c r="O3" s="294"/>
      <c r="P3" s="294"/>
      <c r="Q3" s="294"/>
      <c r="R3" s="294"/>
      <c r="S3" s="294"/>
      <c r="T3" s="294"/>
      <c r="U3" s="294"/>
      <c r="V3" s="294"/>
      <c r="W3" s="29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4"/>
      <c r="AV3" s="204"/>
      <c r="AW3" s="204"/>
      <c r="AX3" s="204"/>
      <c r="AY3" s="204"/>
      <c r="AZ3" s="204"/>
      <c r="BA3" s="204"/>
      <c r="BB3" s="204"/>
      <c r="BC3" s="204"/>
      <c r="BD3" s="204"/>
      <c r="BE3" s="204"/>
      <c r="BF3" s="204"/>
      <c r="BG3" s="204"/>
    </row>
    <row r="4" spans="1:115" ht="16.5" customHeight="1" x14ac:dyDescent="0.6">
      <c r="A4" s="204"/>
      <c r="B4" s="204"/>
      <c r="C4" s="295" t="s">
        <v>450</v>
      </c>
      <c r="D4" s="295"/>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c r="AW4" s="204"/>
      <c r="AX4" s="204"/>
      <c r="AY4" s="204"/>
      <c r="AZ4" s="204"/>
      <c r="BA4" s="204"/>
      <c r="BB4" s="204"/>
      <c r="BC4" s="204"/>
      <c r="BD4" s="204"/>
      <c r="BE4" s="204"/>
      <c r="BF4" s="204"/>
      <c r="BG4" s="204"/>
    </row>
    <row r="5" spans="1:115" ht="15.75" customHeight="1" x14ac:dyDescent="0.6">
      <c r="A5" s="204"/>
      <c r="B5" s="204"/>
      <c r="C5" s="296">
        <v>45175.160645393516</v>
      </c>
      <c r="D5" s="296"/>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row>
    <row r="6" spans="1:115" ht="13" x14ac:dyDescent="0.6">
      <c r="A6" s="256" t="s">
        <v>964</v>
      </c>
      <c r="B6" s="220" t="s">
        <v>432</v>
      </c>
      <c r="C6" s="224"/>
      <c r="D6" s="225" t="s">
        <v>451</v>
      </c>
      <c r="E6" s="225" t="s">
        <v>452</v>
      </c>
      <c r="F6" s="225" t="s">
        <v>453</v>
      </c>
      <c r="G6" s="225" t="s">
        <v>454</v>
      </c>
      <c r="H6" s="225" t="s">
        <v>455</v>
      </c>
      <c r="I6" s="225" t="s">
        <v>456</v>
      </c>
      <c r="J6" s="225" t="s">
        <v>457</v>
      </c>
      <c r="K6" s="225" t="s">
        <v>458</v>
      </c>
      <c r="L6" s="225" t="s">
        <v>282</v>
      </c>
      <c r="M6" s="225" t="s">
        <v>283</v>
      </c>
      <c r="N6" s="225" t="s">
        <v>284</v>
      </c>
      <c r="O6" s="225" t="s">
        <v>285</v>
      </c>
      <c r="P6" s="225" t="s">
        <v>286</v>
      </c>
      <c r="Q6" s="225" t="s">
        <v>287</v>
      </c>
      <c r="R6" s="225" t="s">
        <v>288</v>
      </c>
      <c r="S6" s="225" t="s">
        <v>289</v>
      </c>
      <c r="T6" s="225" t="s">
        <v>290</v>
      </c>
      <c r="U6" s="225" t="s">
        <v>291</v>
      </c>
      <c r="V6" s="225" t="s">
        <v>292</v>
      </c>
      <c r="W6" s="225" t="s">
        <v>293</v>
      </c>
      <c r="X6" s="225" t="s">
        <v>294</v>
      </c>
      <c r="Y6" s="225" t="s">
        <v>295</v>
      </c>
      <c r="Z6" s="225" t="s">
        <v>296</v>
      </c>
      <c r="AA6" s="225" t="s">
        <v>297</v>
      </c>
      <c r="AB6" s="225" t="s">
        <v>609</v>
      </c>
      <c r="AC6" s="225" t="s">
        <v>610</v>
      </c>
      <c r="AD6" s="225" t="s">
        <v>611</v>
      </c>
      <c r="AE6" s="225" t="s">
        <v>612</v>
      </c>
      <c r="AF6" s="225" t="s">
        <v>613</v>
      </c>
      <c r="AG6" s="225" t="s">
        <v>614</v>
      </c>
      <c r="AH6" s="225" t="s">
        <v>615</v>
      </c>
      <c r="AI6" s="225" t="s">
        <v>616</v>
      </c>
      <c r="AJ6" s="225" t="s">
        <v>617</v>
      </c>
      <c r="AK6" s="225" t="s">
        <v>618</v>
      </c>
      <c r="AL6" s="225" t="s">
        <v>619</v>
      </c>
      <c r="AM6" s="225" t="s">
        <v>620</v>
      </c>
      <c r="AN6" s="225" t="s">
        <v>621</v>
      </c>
      <c r="AO6" s="225" t="s">
        <v>622</v>
      </c>
      <c r="AP6" s="225" t="s">
        <v>623</v>
      </c>
      <c r="AQ6" s="225" t="s">
        <v>624</v>
      </c>
      <c r="AR6" s="225" t="s">
        <v>625</v>
      </c>
      <c r="AS6" s="225" t="s">
        <v>626</v>
      </c>
      <c r="AT6" s="225" t="s">
        <v>627</v>
      </c>
      <c r="AU6" s="225" t="s">
        <v>628</v>
      </c>
      <c r="AV6" s="225" t="s">
        <v>700</v>
      </c>
      <c r="AW6" s="225" t="s">
        <v>701</v>
      </c>
      <c r="AX6" s="225" t="s">
        <v>702</v>
      </c>
      <c r="AY6" s="225" t="s">
        <v>703</v>
      </c>
      <c r="AZ6" s="225" t="s">
        <v>704</v>
      </c>
      <c r="BA6" s="225" t="s">
        <v>705</v>
      </c>
      <c r="BB6" s="225" t="s">
        <v>706</v>
      </c>
      <c r="BC6" s="225" t="s">
        <v>707</v>
      </c>
      <c r="BD6" s="225" t="s">
        <v>708</v>
      </c>
      <c r="BE6" s="225" t="s">
        <v>709</v>
      </c>
      <c r="BF6" s="225" t="s">
        <v>710</v>
      </c>
      <c r="BG6" s="225" t="s">
        <v>711</v>
      </c>
      <c r="BH6" s="57" t="s">
        <v>928</v>
      </c>
      <c r="BI6" s="57" t="s">
        <v>929</v>
      </c>
      <c r="BJ6" s="57" t="s">
        <v>930</v>
      </c>
      <c r="BK6" s="57" t="s">
        <v>931</v>
      </c>
      <c r="BL6" s="57" t="s">
        <v>932</v>
      </c>
      <c r="BM6" s="57" t="s">
        <v>933</v>
      </c>
      <c r="BN6" s="57" t="s">
        <v>934</v>
      </c>
      <c r="BO6" s="57" t="s">
        <v>935</v>
      </c>
      <c r="BP6" s="57" t="s">
        <v>941</v>
      </c>
      <c r="BQ6" s="57" t="s">
        <v>942</v>
      </c>
    </row>
    <row r="7" spans="1:115" ht="14.5" x14ac:dyDescent="0.6">
      <c r="A7" s="220" t="s">
        <v>106</v>
      </c>
      <c r="B7" s="220"/>
      <c r="C7" s="218" t="s">
        <v>396</v>
      </c>
      <c r="D7" s="226"/>
      <c r="E7" s="226"/>
      <c r="F7" s="226"/>
      <c r="G7" s="226"/>
      <c r="H7" s="226"/>
      <c r="I7" s="226"/>
      <c r="J7" s="226"/>
      <c r="K7" s="226"/>
      <c r="L7" s="226"/>
      <c r="M7" s="226"/>
      <c r="N7" s="226"/>
      <c r="O7" s="226"/>
      <c r="P7" s="226"/>
      <c r="Q7" s="226"/>
      <c r="R7" s="226"/>
      <c r="S7" s="226"/>
      <c r="T7" s="226"/>
      <c r="U7" s="226"/>
      <c r="V7" s="226"/>
      <c r="W7" s="226"/>
      <c r="X7" s="226"/>
      <c r="Y7" s="226"/>
      <c r="Z7" s="226"/>
      <c r="AA7" s="226"/>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c r="BF7" s="204"/>
      <c r="BG7" s="204"/>
    </row>
    <row r="8" spans="1:115" ht="13" x14ac:dyDescent="0.6">
      <c r="A8" s="220" t="s">
        <v>106</v>
      </c>
      <c r="B8" s="220"/>
      <c r="C8" s="204"/>
      <c r="D8" s="204"/>
      <c r="E8" s="204"/>
      <c r="F8" s="204"/>
      <c r="G8" s="204"/>
      <c r="H8" s="204"/>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c r="BE8" s="204"/>
      <c r="BF8" s="204"/>
      <c r="BG8" s="204"/>
    </row>
    <row r="9" spans="1:115" ht="13" x14ac:dyDescent="0.6">
      <c r="A9" s="220" t="s">
        <v>106</v>
      </c>
      <c r="B9" s="220"/>
      <c r="C9" s="219" t="s">
        <v>399</v>
      </c>
      <c r="D9" s="291" t="s">
        <v>140</v>
      </c>
      <c r="E9" s="291"/>
      <c r="F9" s="291"/>
      <c r="G9" s="291"/>
      <c r="H9" s="291"/>
      <c r="I9" s="291"/>
      <c r="J9" s="291"/>
      <c r="K9" s="291"/>
      <c r="L9" s="291"/>
      <c r="M9" s="291"/>
      <c r="N9" s="291"/>
      <c r="O9" s="291"/>
      <c r="P9" s="291"/>
      <c r="Q9" s="291"/>
      <c r="R9" s="291"/>
      <c r="S9" s="291"/>
      <c r="T9" s="291"/>
      <c r="U9" s="291"/>
      <c r="V9" s="291"/>
      <c r="W9" s="291"/>
      <c r="X9" s="291"/>
      <c r="Y9" s="291"/>
      <c r="Z9" s="291"/>
      <c r="AA9" s="291"/>
      <c r="AB9" s="291"/>
      <c r="AC9" s="291"/>
      <c r="AD9" s="291"/>
      <c r="AE9" s="291"/>
      <c r="AF9" s="291"/>
      <c r="AG9" s="291"/>
      <c r="AH9" s="291"/>
      <c r="AI9" s="291"/>
      <c r="AJ9" s="291"/>
      <c r="AK9" s="291"/>
      <c r="AL9" s="291"/>
      <c r="AM9" s="291"/>
      <c r="AN9" s="291"/>
      <c r="AO9" s="291"/>
      <c r="AP9" s="291"/>
      <c r="AQ9" s="291"/>
      <c r="AR9" s="291"/>
      <c r="AS9" s="291"/>
      <c r="AT9" s="291"/>
      <c r="AU9" s="291"/>
      <c r="AV9" s="291"/>
      <c r="AW9" s="291"/>
      <c r="AX9" s="291"/>
      <c r="AY9" s="291"/>
      <c r="AZ9" s="291"/>
      <c r="BA9" s="291"/>
      <c r="BB9" s="291"/>
      <c r="BC9" s="291"/>
      <c r="BD9" s="291"/>
      <c r="BE9" s="291"/>
      <c r="BF9" s="291"/>
      <c r="BG9" s="291"/>
      <c r="BH9" s="291" t="s">
        <v>140</v>
      </c>
      <c r="BI9" s="291"/>
      <c r="BJ9" s="291"/>
      <c r="BK9" s="291"/>
      <c r="BL9" s="291"/>
      <c r="BM9" s="291"/>
      <c r="BN9" s="291"/>
      <c r="BO9" s="291"/>
      <c r="BP9" s="291"/>
      <c r="BQ9" s="291"/>
      <c r="BR9" s="291"/>
      <c r="BS9" s="291"/>
      <c r="BT9" s="291"/>
      <c r="BU9" s="291"/>
      <c r="BV9" s="291"/>
      <c r="BW9" s="291"/>
      <c r="BX9" s="291"/>
      <c r="BY9" s="291"/>
      <c r="BZ9" s="291"/>
      <c r="CA9" s="291"/>
      <c r="CB9" s="291"/>
      <c r="CC9" s="291"/>
      <c r="CD9" s="291"/>
      <c r="CE9" s="291"/>
      <c r="CF9" s="291"/>
      <c r="CG9" s="291"/>
      <c r="CH9" s="291"/>
      <c r="CI9" s="291"/>
      <c r="CJ9" s="291"/>
      <c r="CK9" s="291"/>
      <c r="CL9" s="291"/>
      <c r="CM9" s="291"/>
      <c r="CN9" s="291"/>
      <c r="CO9" s="291"/>
      <c r="CP9" s="291"/>
      <c r="CQ9" s="291"/>
      <c r="CR9" s="291"/>
      <c r="CS9" s="291"/>
      <c r="CT9" s="291"/>
      <c r="CU9" s="291"/>
      <c r="CV9" s="291"/>
      <c r="CW9" s="291"/>
      <c r="CX9" s="291"/>
      <c r="CY9" s="291"/>
      <c r="CZ9" s="291"/>
      <c r="DA9" s="291"/>
      <c r="DB9" s="291"/>
      <c r="DC9" s="291"/>
      <c r="DD9" s="291"/>
      <c r="DE9" s="291"/>
      <c r="DF9" s="291"/>
      <c r="DG9" s="291"/>
      <c r="DH9" s="291"/>
      <c r="DI9" s="291"/>
      <c r="DJ9" s="291"/>
      <c r="DK9" s="291"/>
    </row>
    <row r="10" spans="1:115" ht="13" x14ac:dyDescent="0.6">
      <c r="A10" s="220" t="s">
        <v>106</v>
      </c>
      <c r="B10" s="220"/>
      <c r="C10" s="220"/>
      <c r="D10" s="204"/>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04"/>
      <c r="AU10" s="204"/>
      <c r="AV10" s="204"/>
      <c r="AW10" s="204"/>
      <c r="AX10" s="204"/>
      <c r="AY10" s="204"/>
      <c r="AZ10" s="204"/>
      <c r="BA10" s="204"/>
      <c r="BB10" s="204"/>
      <c r="BC10" s="204"/>
      <c r="BD10" s="204"/>
      <c r="BE10" s="204"/>
      <c r="BF10" s="204"/>
      <c r="BG10" s="204"/>
    </row>
    <row r="11" spans="1:115" ht="13" x14ac:dyDescent="0.6">
      <c r="A11" s="250" t="s">
        <v>965</v>
      </c>
      <c r="B11" s="256" t="s">
        <v>993</v>
      </c>
      <c r="C11" s="260" t="s">
        <v>400</v>
      </c>
      <c r="D11" s="261">
        <v>3.70889793064846</v>
      </c>
      <c r="E11" s="261">
        <v>2.4151907144491598</v>
      </c>
      <c r="F11" s="261">
        <v>2.0693431202473902</v>
      </c>
      <c r="G11" s="261">
        <v>1.18637021739635</v>
      </c>
      <c r="H11" s="261">
        <v>0.60867503197176098</v>
      </c>
      <c r="I11" s="261">
        <v>0.75645902074068705</v>
      </c>
      <c r="J11" s="261">
        <v>1.0258542658833301</v>
      </c>
      <c r="K11" s="261">
        <v>1.2125803456834101</v>
      </c>
      <c r="L11" s="261">
        <v>1.07794403873374</v>
      </c>
      <c r="M11" s="261">
        <v>1.5335220927454201</v>
      </c>
      <c r="N11" s="261">
        <v>1.7864259161398599</v>
      </c>
      <c r="O11" s="261">
        <v>2.1993330509933502</v>
      </c>
      <c r="P11" s="261">
        <v>2.61024720642685</v>
      </c>
      <c r="Q11" s="261">
        <v>2.3892892168959201</v>
      </c>
      <c r="R11" s="261">
        <v>2.5537440209209699</v>
      </c>
      <c r="S11" s="261">
        <v>2.6903778590053</v>
      </c>
      <c r="T11" s="261">
        <v>2.7917212723659999</v>
      </c>
      <c r="U11" s="261">
        <v>2.9143258554810898</v>
      </c>
      <c r="V11" s="261">
        <v>2.4941018529315402</v>
      </c>
      <c r="W11" s="261">
        <v>2.2342649489960502</v>
      </c>
      <c r="X11" s="261">
        <v>1.7245074349204701</v>
      </c>
      <c r="Y11" s="261">
        <v>1.97645924777034</v>
      </c>
      <c r="Z11" s="261">
        <v>2.2247420463406402</v>
      </c>
      <c r="AA11" s="261">
        <v>2.70354742206723</v>
      </c>
      <c r="AB11" s="261">
        <v>2.9438779798766501</v>
      </c>
      <c r="AC11" s="261">
        <v>2.76212043004216</v>
      </c>
      <c r="AD11" s="261">
        <v>2.8492247080294102</v>
      </c>
      <c r="AE11" s="261">
        <v>2.9169694310944099</v>
      </c>
      <c r="AF11" s="261">
        <v>3.0241370811036701</v>
      </c>
      <c r="AG11" s="261">
        <v>2.7091133404005099</v>
      </c>
      <c r="AH11" s="261">
        <v>2.1120320929140699</v>
      </c>
      <c r="AI11" s="261">
        <v>1.40479257883271</v>
      </c>
      <c r="AJ11" s="261">
        <v>1.34000877247451</v>
      </c>
      <c r="AK11" s="261">
        <v>1.32475615890423</v>
      </c>
      <c r="AL11" s="261">
        <v>0.82858117823980404</v>
      </c>
      <c r="AM11" s="261">
        <v>0.79464984858556098</v>
      </c>
      <c r="AN11" s="261">
        <v>-2.2517551072899402</v>
      </c>
      <c r="AO11" s="261">
        <v>-11.776300198625799</v>
      </c>
      <c r="AP11" s="261">
        <v>-3.5374210439438398</v>
      </c>
      <c r="AQ11" s="261">
        <v>-3.06806614267974</v>
      </c>
      <c r="AR11" s="261">
        <v>1.3139131218998501</v>
      </c>
      <c r="AS11" s="261">
        <v>14.520156290411199</v>
      </c>
      <c r="AT11" s="261">
        <v>6.50235594902309</v>
      </c>
      <c r="AU11" s="261">
        <v>6.6169283033198196</v>
      </c>
      <c r="AV11" s="261">
        <v>4.3383660391408698</v>
      </c>
      <c r="AW11" s="261">
        <v>3.0071214796933901</v>
      </c>
      <c r="AX11" s="261">
        <v>1.4293530004824699</v>
      </c>
      <c r="AY11" s="261">
        <v>0.73759253715738904</v>
      </c>
      <c r="AZ11" s="261">
        <v>1.65346850332313</v>
      </c>
      <c r="BA11" s="261">
        <v>0.66304784039210596</v>
      </c>
      <c r="BB11" s="261">
        <v>0.92178132145088498</v>
      </c>
      <c r="BC11" s="261">
        <v>0.86079799604809004</v>
      </c>
      <c r="BD11" s="261">
        <v>0.89642937127143596</v>
      </c>
      <c r="BE11" s="261">
        <v>1.2757883418321101</v>
      </c>
      <c r="BF11" s="261">
        <v>1.56928417447629</v>
      </c>
      <c r="BG11" s="261">
        <v>2.0154354978340598</v>
      </c>
      <c r="BH11" s="261">
        <v>2.16208961270106</v>
      </c>
      <c r="BI11" s="261">
        <v>2.0451172094661199</v>
      </c>
      <c r="BJ11" s="261">
        <v>1.90059865775532</v>
      </c>
      <c r="BK11" s="261">
        <v>1.2832631408989099</v>
      </c>
      <c r="BL11" s="261">
        <v>1.1709867947661301</v>
      </c>
      <c r="BM11" s="261">
        <v>1.3996889732640101</v>
      </c>
      <c r="BN11" s="261">
        <v>1.6686269781510099</v>
      </c>
      <c r="BO11" s="261">
        <v>2.1732236402847298</v>
      </c>
      <c r="BP11" s="262">
        <v>1.8172646683859901</v>
      </c>
    </row>
    <row r="12" spans="1:115" ht="13" x14ac:dyDescent="0.6">
      <c r="A12" s="256" t="s">
        <v>965</v>
      </c>
      <c r="B12" s="256" t="s">
        <v>994</v>
      </c>
      <c r="C12" s="260" t="s">
        <v>401</v>
      </c>
      <c r="D12" s="261">
        <v>2.3043688228438799</v>
      </c>
      <c r="E12" s="261">
        <v>2.5833791133059001</v>
      </c>
      <c r="F12" s="261">
        <v>3.6420020942384399</v>
      </c>
      <c r="G12" s="261">
        <v>2.3539326300438201</v>
      </c>
      <c r="H12" s="261">
        <v>1.78071115499847</v>
      </c>
      <c r="I12" s="261">
        <v>1.19879034095639</v>
      </c>
      <c r="J12" s="261">
        <v>0.98620443189629203</v>
      </c>
      <c r="K12" s="261">
        <v>0.27523407347058798</v>
      </c>
      <c r="L12" s="261">
        <v>1.2059312935098601</v>
      </c>
      <c r="M12" s="261">
        <v>0.75490549003005503</v>
      </c>
      <c r="N12" s="261">
        <v>1.6795146472479801</v>
      </c>
      <c r="O12" s="261">
        <v>2.66650952739993</v>
      </c>
      <c r="P12" s="261">
        <v>2.4159473199204999</v>
      </c>
      <c r="Q12" s="261">
        <v>2.58589460591784</v>
      </c>
      <c r="R12" s="261">
        <v>2.7651057365799501</v>
      </c>
      <c r="S12" s="261">
        <v>3.5336360547226802</v>
      </c>
      <c r="T12" s="261">
        <v>2.5903469938048498</v>
      </c>
      <c r="U12" s="261">
        <v>5.5458402909755096</v>
      </c>
      <c r="V12" s="261">
        <v>2.14719334702915</v>
      </c>
      <c r="W12" s="261">
        <v>2.6189551592382898</v>
      </c>
      <c r="X12" s="261">
        <v>3.01256553217467</v>
      </c>
      <c r="Y12" s="261">
        <v>0.650435609190126</v>
      </c>
      <c r="Z12" s="261">
        <v>3.82240718758394</v>
      </c>
      <c r="AA12" s="261">
        <v>2.42864592364884</v>
      </c>
      <c r="AB12" s="261">
        <v>3.2547152412839102</v>
      </c>
      <c r="AC12" s="261">
        <v>4.8994763820725398</v>
      </c>
      <c r="AD12" s="261">
        <v>3.1170005740970899</v>
      </c>
      <c r="AE12" s="261">
        <v>3.2715004436864099</v>
      </c>
      <c r="AF12" s="261">
        <v>3.1301976730845902</v>
      </c>
      <c r="AG12" s="261">
        <v>1.80861586074731</v>
      </c>
      <c r="AH12" s="261">
        <v>2.9606587755284202</v>
      </c>
      <c r="AI12" s="261">
        <v>2.8043752478379802</v>
      </c>
      <c r="AJ12" s="261">
        <v>2.4903799600238599</v>
      </c>
      <c r="AK12" s="261">
        <v>3.04560900321782</v>
      </c>
      <c r="AL12" s="261">
        <v>0.67055316253144703</v>
      </c>
      <c r="AM12" s="261">
        <v>1.8990720052776899</v>
      </c>
      <c r="AN12" s="261">
        <v>0.239696586594039</v>
      </c>
      <c r="AO12" s="261">
        <v>-13.291168213402401</v>
      </c>
      <c r="AP12" s="261">
        <v>-2.70024152169939</v>
      </c>
      <c r="AQ12" s="261">
        <v>-2.1768875023118701</v>
      </c>
      <c r="AR12" s="261">
        <v>-1.71867431240985</v>
      </c>
      <c r="AS12" s="261">
        <v>15.2623353570301</v>
      </c>
      <c r="AT12" s="261">
        <v>6.1716467651390197</v>
      </c>
      <c r="AU12" s="261">
        <v>4.2702247576395802</v>
      </c>
      <c r="AV12" s="261">
        <v>4.3360331007928004</v>
      </c>
      <c r="AW12" s="261">
        <v>5.53834624350241</v>
      </c>
      <c r="AX12" s="261">
        <v>0.939246282940428</v>
      </c>
      <c r="AY12" s="261">
        <v>1.00968444058455</v>
      </c>
      <c r="AZ12" s="261">
        <v>3.66156751850761</v>
      </c>
      <c r="BA12" s="261">
        <v>-0.28129513793515598</v>
      </c>
      <c r="BB12" s="261">
        <v>2.0751431717917099</v>
      </c>
      <c r="BC12" s="261">
        <v>2.1287819008495901</v>
      </c>
      <c r="BD12" s="261">
        <v>0.35628522832745302</v>
      </c>
      <c r="BE12" s="261">
        <v>0.37298582827275101</v>
      </c>
      <c r="BF12" s="261">
        <v>2.2615658037106701</v>
      </c>
      <c r="BG12" s="261">
        <v>1.80473746829319</v>
      </c>
      <c r="BH12" s="261">
        <v>1.6231515542710799</v>
      </c>
      <c r="BI12" s="261">
        <v>3.1506984761104202</v>
      </c>
      <c r="BJ12" s="261">
        <v>1.9117545247021801</v>
      </c>
      <c r="BK12" s="261">
        <v>1.6581698534762599</v>
      </c>
      <c r="BL12" s="261">
        <v>2.3551460641859401</v>
      </c>
      <c r="BM12" s="261">
        <v>1.2445735994639999</v>
      </c>
      <c r="BN12" s="261">
        <v>1.0872004395683901</v>
      </c>
      <c r="BO12" s="261">
        <v>1.6372475613085999</v>
      </c>
      <c r="BP12" s="262">
        <v>1.3378801151603501</v>
      </c>
    </row>
    <row r="13" spans="1:115" ht="13" x14ac:dyDescent="0.6">
      <c r="A13" s="220"/>
      <c r="B13" s="220"/>
      <c r="C13" s="220"/>
      <c r="D13" s="227"/>
      <c r="E13" s="227"/>
      <c r="F13" s="227"/>
      <c r="G13" s="227"/>
      <c r="H13" s="227"/>
      <c r="I13" s="227"/>
      <c r="J13" s="227"/>
      <c r="K13" s="227"/>
      <c r="L13" s="227"/>
      <c r="M13" s="227"/>
      <c r="N13" s="227"/>
      <c r="O13" s="227"/>
      <c r="P13" s="227"/>
      <c r="Q13" s="227"/>
      <c r="R13" s="227"/>
      <c r="S13" s="227"/>
      <c r="T13" s="227"/>
      <c r="U13" s="227"/>
      <c r="V13" s="227"/>
      <c r="W13" s="227"/>
      <c r="X13" s="227"/>
      <c r="Y13" s="227"/>
      <c r="Z13" s="227"/>
      <c r="AA13" s="227"/>
      <c r="AB13" s="227"/>
      <c r="AC13" s="227"/>
      <c r="AD13" s="227"/>
      <c r="AE13" s="227"/>
      <c r="AF13" s="227"/>
      <c r="AG13" s="227"/>
      <c r="AH13" s="227"/>
      <c r="AI13" s="227"/>
      <c r="AJ13" s="227"/>
      <c r="AK13" s="227"/>
      <c r="AL13" s="227"/>
      <c r="AM13" s="227"/>
      <c r="AN13" s="204"/>
      <c r="AO13" s="204"/>
      <c r="AP13" s="204"/>
      <c r="AQ13" s="227"/>
      <c r="AR13" s="227"/>
      <c r="AS13" s="227"/>
      <c r="AT13" s="227"/>
      <c r="AU13" s="227"/>
      <c r="AV13" s="227"/>
      <c r="AW13" s="227"/>
      <c r="AX13" s="227"/>
      <c r="AY13" s="227"/>
      <c r="AZ13" s="227"/>
      <c r="BA13" s="227"/>
      <c r="BB13" s="227"/>
      <c r="BC13" s="227"/>
      <c r="BD13" s="227"/>
      <c r="BE13" s="227"/>
      <c r="BF13" s="227"/>
      <c r="BG13" s="227"/>
      <c r="BH13" s="227"/>
      <c r="BI13" s="227"/>
      <c r="BJ13" s="227"/>
      <c r="BK13" s="227"/>
      <c r="BL13" s="227"/>
      <c r="BM13" s="227"/>
      <c r="BN13" s="227"/>
      <c r="BO13" s="227"/>
    </row>
    <row r="14" spans="1:115" ht="13" x14ac:dyDescent="0.6">
      <c r="A14" s="220"/>
      <c r="B14" s="220"/>
      <c r="C14" s="219" t="s">
        <v>402</v>
      </c>
      <c r="D14" s="227"/>
      <c r="E14" s="227"/>
      <c r="F14" s="227"/>
      <c r="G14" s="227"/>
      <c r="H14" s="227"/>
      <c r="I14" s="227"/>
      <c r="J14" s="227"/>
      <c r="K14" s="227"/>
      <c r="L14" s="227"/>
      <c r="M14" s="227"/>
      <c r="N14" s="227"/>
      <c r="O14" s="227"/>
      <c r="P14" s="227"/>
      <c r="Q14" s="227"/>
      <c r="R14" s="227"/>
      <c r="S14" s="227"/>
      <c r="T14" s="227"/>
      <c r="U14" s="227"/>
      <c r="V14" s="227"/>
      <c r="W14" s="227"/>
      <c r="X14" s="227"/>
      <c r="Y14" s="227"/>
      <c r="Z14" s="227"/>
      <c r="AA14" s="227"/>
      <c r="AB14" s="227"/>
      <c r="AC14" s="227"/>
      <c r="AD14" s="227"/>
      <c r="AE14" s="227"/>
      <c r="AF14" s="227"/>
      <c r="AG14" s="227"/>
      <c r="AH14" s="227"/>
      <c r="AI14" s="227"/>
      <c r="AJ14" s="227"/>
      <c r="AK14" s="227"/>
      <c r="AL14" s="227"/>
      <c r="AM14" s="227"/>
      <c r="AN14" s="204"/>
      <c r="AO14" s="204"/>
      <c r="AP14" s="204"/>
      <c r="AQ14" s="204"/>
      <c r="AR14" s="204"/>
      <c r="AS14" s="204"/>
      <c r="AT14" s="204"/>
      <c r="AU14" s="204"/>
      <c r="AV14" s="204"/>
      <c r="AW14" s="204"/>
      <c r="AX14" s="204"/>
      <c r="AY14" s="204"/>
      <c r="AZ14" s="204"/>
      <c r="BA14" s="204"/>
      <c r="BB14" s="204"/>
      <c r="BC14" s="204"/>
      <c r="BD14" s="204"/>
      <c r="BE14" s="204"/>
      <c r="BF14" s="204"/>
      <c r="BG14" s="204"/>
      <c r="BH14" s="204"/>
      <c r="BI14" s="204"/>
      <c r="BJ14" s="204"/>
      <c r="BK14" s="204"/>
      <c r="BL14" s="204"/>
      <c r="BM14" s="204"/>
      <c r="BN14" s="204"/>
      <c r="BO14" s="204"/>
    </row>
    <row r="15" spans="1:115" ht="13" x14ac:dyDescent="0.6">
      <c r="A15" s="220"/>
      <c r="B15" s="220"/>
      <c r="C15" s="220"/>
      <c r="D15" s="227"/>
      <c r="E15" s="227"/>
      <c r="F15" s="227"/>
      <c r="G15" s="227"/>
      <c r="H15" s="227"/>
      <c r="I15" s="227"/>
      <c r="J15" s="227"/>
      <c r="K15" s="227"/>
      <c r="L15" s="227"/>
      <c r="M15" s="227"/>
      <c r="N15" s="227"/>
      <c r="O15" s="227"/>
      <c r="P15" s="227"/>
      <c r="Q15" s="227"/>
      <c r="R15" s="227"/>
      <c r="S15" s="227"/>
      <c r="T15" s="227"/>
      <c r="U15" s="227"/>
      <c r="V15" s="227"/>
      <c r="W15" s="227"/>
      <c r="X15" s="227"/>
      <c r="Y15" s="227"/>
      <c r="Z15" s="227"/>
      <c r="AA15" s="227"/>
      <c r="AB15" s="227"/>
      <c r="AC15" s="227"/>
      <c r="AD15" s="227"/>
      <c r="AE15" s="227"/>
      <c r="AF15" s="227"/>
      <c r="AG15" s="227"/>
      <c r="AH15" s="227"/>
      <c r="AI15" s="227"/>
      <c r="AJ15" s="227"/>
      <c r="AK15" s="227"/>
      <c r="AL15" s="227"/>
      <c r="AM15" s="227"/>
      <c r="AN15" s="204"/>
      <c r="AO15" s="204"/>
      <c r="AP15" s="204"/>
      <c r="AQ15" s="204"/>
      <c r="AR15" s="204"/>
      <c r="AS15" s="204"/>
      <c r="AT15" s="204"/>
      <c r="AU15" s="204"/>
      <c r="AV15" s="204"/>
      <c r="AW15" s="204"/>
      <c r="AX15" s="204"/>
      <c r="AY15" s="204"/>
      <c r="AZ15" s="204"/>
      <c r="BA15" s="204"/>
      <c r="BB15" s="204"/>
      <c r="BC15" s="204"/>
      <c r="BD15" s="204"/>
      <c r="BE15" s="204"/>
      <c r="BF15" s="204"/>
      <c r="BG15" s="204"/>
      <c r="BH15" s="204"/>
      <c r="BI15" s="204"/>
      <c r="BJ15" s="204"/>
      <c r="BK15" s="204"/>
      <c r="BL15" s="204"/>
      <c r="BM15" s="204"/>
      <c r="BN15" s="204"/>
      <c r="BO15" s="204"/>
    </row>
    <row r="16" spans="1:115" ht="13" x14ac:dyDescent="0.6">
      <c r="A16" s="256" t="s">
        <v>965</v>
      </c>
      <c r="B16" s="256" t="s">
        <v>995</v>
      </c>
      <c r="C16" s="260" t="s">
        <v>400</v>
      </c>
      <c r="D16" s="261">
        <v>6.72323256969604</v>
      </c>
      <c r="E16" s="261">
        <v>5.8973029666946397</v>
      </c>
      <c r="F16" s="261">
        <v>5.3719823120457901</v>
      </c>
      <c r="G16" s="261">
        <v>4.6258936927484804</v>
      </c>
      <c r="H16" s="261">
        <v>3.2061127774584399</v>
      </c>
      <c r="I16" s="261">
        <v>3.9380160547666101</v>
      </c>
      <c r="J16" s="261">
        <v>4.7805378252819004</v>
      </c>
      <c r="K16" s="261">
        <v>5.4446554178651798</v>
      </c>
      <c r="L16" s="261">
        <v>7.7354096908474599</v>
      </c>
      <c r="M16" s="261">
        <v>7.4679977376600801</v>
      </c>
      <c r="N16" s="261">
        <v>7.0854511182437596</v>
      </c>
      <c r="O16" s="261">
        <v>6.7022152325184701</v>
      </c>
      <c r="P16" s="261">
        <v>5.9226243894301698</v>
      </c>
      <c r="Q16" s="261">
        <v>5.8258409050998399</v>
      </c>
      <c r="R16" s="261">
        <v>5.5326038976477196</v>
      </c>
      <c r="S16" s="261">
        <v>5.7043267626480603</v>
      </c>
      <c r="T16" s="261">
        <v>6.7687310395528</v>
      </c>
      <c r="U16" s="261">
        <v>5.8031561870835597</v>
      </c>
      <c r="V16" s="261">
        <v>4.9641942815779201</v>
      </c>
      <c r="W16" s="261">
        <v>4.0075693192973603</v>
      </c>
      <c r="X16" s="261">
        <v>1.1807884985347299</v>
      </c>
      <c r="Y16" s="261">
        <v>1.48447651746764</v>
      </c>
      <c r="Z16" s="261">
        <v>1.8037827172216301</v>
      </c>
      <c r="AA16" s="261">
        <v>2.1760999131532102</v>
      </c>
      <c r="AB16" s="261">
        <v>2.67957017095328</v>
      </c>
      <c r="AC16" s="261">
        <v>3.0340426149547501</v>
      </c>
      <c r="AD16" s="261">
        <v>3.4609989345212302</v>
      </c>
      <c r="AE16" s="261">
        <v>3.7146632893211602</v>
      </c>
      <c r="AF16" s="261">
        <v>5.4898510161380303</v>
      </c>
      <c r="AG16" s="261">
        <v>4.8141675983434897</v>
      </c>
      <c r="AH16" s="261">
        <v>3.9641893816373499</v>
      </c>
      <c r="AI16" s="261">
        <v>3.17095397685878</v>
      </c>
      <c r="AJ16" s="261">
        <v>2.3752886571466498</v>
      </c>
      <c r="AK16" s="261">
        <v>1.9790449215478001</v>
      </c>
      <c r="AL16" s="261">
        <v>1.3777212872985001</v>
      </c>
      <c r="AM16" s="261">
        <v>0.959799081325446</v>
      </c>
      <c r="AN16" s="261">
        <v>-3.45181418509969</v>
      </c>
      <c r="AO16" s="261">
        <v>-3.9168894343540299</v>
      </c>
      <c r="AP16" s="261">
        <v>-0.51275221648498703</v>
      </c>
      <c r="AQ16" s="261">
        <v>0.94824625877576296</v>
      </c>
      <c r="AR16" s="261">
        <v>5.1315543181514904</v>
      </c>
      <c r="AS16" s="261">
        <v>7.7478607971560098</v>
      </c>
      <c r="AT16" s="261">
        <v>5.9311028596424702</v>
      </c>
      <c r="AU16" s="261">
        <v>6.3110008354657001</v>
      </c>
      <c r="AV16" s="261">
        <v>7.1742545297408702</v>
      </c>
      <c r="AW16" s="261">
        <v>6.5132578452664598</v>
      </c>
      <c r="AX16" s="261">
        <v>6.1818504122145397</v>
      </c>
      <c r="AY16" s="261">
        <v>5.7465819862600904</v>
      </c>
      <c r="AZ16" s="261">
        <v>6.2660506691721203</v>
      </c>
      <c r="BA16" s="261">
        <v>5.7326160947458904</v>
      </c>
      <c r="BB16" s="261">
        <v>5.3564911706834302</v>
      </c>
      <c r="BC16" s="261">
        <v>4.8353627888560897</v>
      </c>
      <c r="BD16" s="261">
        <v>3.0954751607254001</v>
      </c>
      <c r="BE16" s="261">
        <v>3.47480628585995</v>
      </c>
      <c r="BF16" s="261">
        <v>3.8878071948867499</v>
      </c>
      <c r="BG16" s="261">
        <v>4.3789338691791402</v>
      </c>
      <c r="BH16" s="261">
        <v>5.3785835422289301</v>
      </c>
      <c r="BI16" s="261">
        <v>5.3344838072236298</v>
      </c>
      <c r="BJ16" s="261">
        <v>5.24733336803929</v>
      </c>
      <c r="BK16" s="261">
        <v>5.0717087482117096</v>
      </c>
      <c r="BL16" s="261">
        <v>5.0900942863004097</v>
      </c>
      <c r="BM16" s="261">
        <v>5.00356288564931</v>
      </c>
      <c r="BN16" s="261">
        <v>5.0220185501103902</v>
      </c>
      <c r="BO16" s="261">
        <v>5.0058175977507702</v>
      </c>
      <c r="BP16" s="262">
        <v>4.66717291410255</v>
      </c>
    </row>
    <row r="17" spans="1:115" ht="13" x14ac:dyDescent="0.6">
      <c r="A17" s="220"/>
      <c r="B17" s="220"/>
      <c r="C17" s="220" t="s">
        <v>403</v>
      </c>
      <c r="D17" s="227"/>
      <c r="E17" s="227"/>
      <c r="F17" s="227"/>
      <c r="G17" s="227"/>
      <c r="H17" s="227"/>
      <c r="I17" s="227"/>
      <c r="J17" s="227"/>
      <c r="K17" s="227"/>
      <c r="L17" s="227"/>
      <c r="M17" s="227"/>
      <c r="N17" s="227"/>
      <c r="O17" s="227"/>
      <c r="P17" s="227"/>
      <c r="Q17" s="227"/>
      <c r="R17" s="227"/>
      <c r="S17" s="227"/>
      <c r="T17" s="227"/>
      <c r="U17" s="227"/>
      <c r="V17" s="227"/>
      <c r="W17" s="227"/>
      <c r="X17" s="227"/>
      <c r="Y17" s="227"/>
      <c r="Z17" s="227"/>
      <c r="AA17" s="227"/>
      <c r="AB17" s="227"/>
      <c r="AC17" s="227"/>
      <c r="AD17" s="227"/>
      <c r="AE17" s="227"/>
      <c r="AF17" s="227"/>
      <c r="AG17" s="227"/>
      <c r="AH17" s="227"/>
      <c r="AI17" s="227"/>
      <c r="AJ17" s="227"/>
      <c r="AK17" s="227"/>
      <c r="AL17" s="227"/>
      <c r="AM17" s="227"/>
      <c r="AN17" s="227"/>
      <c r="AO17" s="227"/>
      <c r="AP17" s="227"/>
      <c r="AQ17" s="227"/>
      <c r="AR17" s="227"/>
      <c r="AS17" s="227"/>
      <c r="AT17" s="227"/>
      <c r="AU17" s="227"/>
      <c r="AV17" s="227"/>
      <c r="AW17" s="227"/>
      <c r="AX17" s="227"/>
      <c r="AY17" s="227"/>
      <c r="AZ17" s="227"/>
      <c r="BA17" s="227"/>
      <c r="BB17" s="227"/>
      <c r="BC17" s="227"/>
      <c r="BD17" s="227"/>
      <c r="BE17" s="227"/>
      <c r="BF17" s="227"/>
      <c r="BG17" s="227"/>
      <c r="BH17" s="227"/>
      <c r="BI17" s="227"/>
      <c r="BJ17" s="227"/>
      <c r="BK17" s="227"/>
      <c r="BL17" s="227"/>
      <c r="BM17" s="227"/>
      <c r="BN17" s="227"/>
      <c r="BO17" s="227"/>
    </row>
    <row r="18" spans="1:115" ht="13" x14ac:dyDescent="0.6">
      <c r="A18" s="256" t="s">
        <v>965</v>
      </c>
      <c r="B18" s="256" t="s">
        <v>996</v>
      </c>
      <c r="C18" s="260" t="s">
        <v>404</v>
      </c>
      <c r="D18" s="261">
        <v>7.2835595870169598</v>
      </c>
      <c r="E18" s="261">
        <v>5.0942824637156896</v>
      </c>
      <c r="F18" s="261">
        <v>2.94968072535741</v>
      </c>
      <c r="G18" s="261">
        <v>0.84884270571280995</v>
      </c>
      <c r="H18" s="261">
        <v>-9.6350605744627291</v>
      </c>
      <c r="I18" s="261">
        <v>-5.8794057591697397</v>
      </c>
      <c r="J18" s="261">
        <v>-1.9676622751819599</v>
      </c>
      <c r="K18" s="261">
        <v>2.1066570744594602</v>
      </c>
      <c r="L18" s="261">
        <v>13.793398918326</v>
      </c>
      <c r="M18" s="261">
        <v>13.104707841144601</v>
      </c>
      <c r="N18" s="261">
        <v>12.4201848036243</v>
      </c>
      <c r="O18" s="261">
        <v>11.739804580296299</v>
      </c>
      <c r="P18" s="261">
        <v>17.3492566513887</v>
      </c>
      <c r="Q18" s="261">
        <v>12.567004517373</v>
      </c>
      <c r="R18" s="261">
        <v>7.97964015790203</v>
      </c>
      <c r="S18" s="261">
        <v>3.5792214478846902</v>
      </c>
      <c r="T18" s="261">
        <v>-11.7342344122785</v>
      </c>
      <c r="U18" s="261">
        <v>-8.1701749762954208</v>
      </c>
      <c r="V18" s="261">
        <v>-4.4622033499105296</v>
      </c>
      <c r="W18" s="261">
        <v>-0.60450854177581204</v>
      </c>
      <c r="X18" s="261">
        <v>12.340540905330901</v>
      </c>
      <c r="Y18" s="261">
        <v>10.269656632990101</v>
      </c>
      <c r="Z18" s="261">
        <v>8.2369470181224393</v>
      </c>
      <c r="AA18" s="261">
        <v>6.2417083495200103</v>
      </c>
      <c r="AB18" s="261">
        <v>-1.1799437124576799</v>
      </c>
      <c r="AC18" s="261">
        <v>0.46505526139452202</v>
      </c>
      <c r="AD18" s="261">
        <v>2.1374375592970298</v>
      </c>
      <c r="AE18" s="261">
        <v>3.8376590152338501</v>
      </c>
      <c r="AF18" s="261">
        <v>15.321844148697499</v>
      </c>
      <c r="AG18" s="261">
        <v>10.686453603578499</v>
      </c>
      <c r="AH18" s="261">
        <v>6.2373837478693002</v>
      </c>
      <c r="AI18" s="261">
        <v>1.96714537457286</v>
      </c>
      <c r="AJ18" s="261">
        <v>-8.8418403202023104</v>
      </c>
      <c r="AK18" s="261">
        <v>-8.1850939015349393</v>
      </c>
      <c r="AL18" s="261">
        <v>-7.5236159716135198</v>
      </c>
      <c r="AM18" s="261">
        <v>-6.8573724423971196</v>
      </c>
      <c r="AN18" s="261">
        <v>-15.2253861734153</v>
      </c>
      <c r="AO18" s="261">
        <v>-8.9185825613874705</v>
      </c>
      <c r="AP18" s="261">
        <v>-2.1425845761234301</v>
      </c>
      <c r="AQ18" s="261">
        <v>5.1375134768326802</v>
      </c>
      <c r="AR18" s="261">
        <v>29.4333500015806</v>
      </c>
      <c r="AS18" s="261">
        <v>27.321685139804298</v>
      </c>
      <c r="AT18" s="261">
        <v>25.2444714336876</v>
      </c>
      <c r="AU18" s="261">
        <v>23.201146823337201</v>
      </c>
      <c r="AV18" s="261">
        <v>25.293716554886601</v>
      </c>
      <c r="AW18" s="261">
        <v>20.648347884689201</v>
      </c>
      <c r="AX18" s="261">
        <v>16.175210118605801</v>
      </c>
      <c r="AY18" s="261">
        <v>11.8679176527296</v>
      </c>
      <c r="AZ18" s="261">
        <v>-0.58694579577643402</v>
      </c>
      <c r="BA18" s="261">
        <v>0.83050264998439405</v>
      </c>
      <c r="BB18" s="261">
        <v>2.26816131976928</v>
      </c>
      <c r="BC18" s="261">
        <v>3.72631837443266</v>
      </c>
      <c r="BD18" s="261">
        <v>7.6803588671576</v>
      </c>
      <c r="BE18" s="261">
        <v>7.4117876829571401</v>
      </c>
      <c r="BF18" s="261">
        <v>7.14388635611731</v>
      </c>
      <c r="BG18" s="261">
        <v>6.8766532159118103</v>
      </c>
      <c r="BH18" s="261">
        <v>6.3453634351188501</v>
      </c>
      <c r="BI18" s="261">
        <v>6.2360190163124001</v>
      </c>
      <c r="BJ18" s="261">
        <v>6.1267870255565802</v>
      </c>
      <c r="BK18" s="261">
        <v>6.0176673472531101</v>
      </c>
      <c r="BL18" s="261">
        <v>5.96097120488212</v>
      </c>
      <c r="BM18" s="261">
        <v>5.8111039551428503</v>
      </c>
      <c r="BN18" s="261">
        <v>5.6614486720577899</v>
      </c>
      <c r="BO18" s="261">
        <v>5.5120050558293503</v>
      </c>
      <c r="BP18" s="262">
        <v>5.0320683030895399</v>
      </c>
    </row>
    <row r="19" spans="1:115" ht="13" x14ac:dyDescent="0.6">
      <c r="A19" s="256" t="s">
        <v>965</v>
      </c>
      <c r="B19" s="256" t="s">
        <v>997</v>
      </c>
      <c r="C19" s="263" t="s">
        <v>405</v>
      </c>
      <c r="D19" s="261">
        <v>5.9323722537189196</v>
      </c>
      <c r="E19" s="261">
        <v>4.0909286809107801</v>
      </c>
      <c r="F19" s="261">
        <v>2.2814952893120202</v>
      </c>
      <c r="G19" s="261">
        <v>0.50351563955345202</v>
      </c>
      <c r="H19" s="261">
        <v>-9.4471440517713496</v>
      </c>
      <c r="I19" s="261">
        <v>-5.5371887365996901</v>
      </c>
      <c r="J19" s="261">
        <v>-1.45840660302949</v>
      </c>
      <c r="K19" s="261">
        <v>2.7964920728139999</v>
      </c>
      <c r="L19" s="261">
        <v>16.123205969653501</v>
      </c>
      <c r="M19" s="261">
        <v>14.7271093147057</v>
      </c>
      <c r="N19" s="261">
        <v>13.3477972968481</v>
      </c>
      <c r="O19" s="261">
        <v>11.9850681219996</v>
      </c>
      <c r="P19" s="261">
        <v>15.1262708109724</v>
      </c>
      <c r="Q19" s="261">
        <v>10.851205027244299</v>
      </c>
      <c r="R19" s="261">
        <v>6.7348883051029196</v>
      </c>
      <c r="S19" s="261">
        <v>2.7714257026150899</v>
      </c>
      <c r="T19" s="261">
        <v>-11.545842061650999</v>
      </c>
      <c r="U19" s="261">
        <v>-8.0244015462083205</v>
      </c>
      <c r="V19" s="261">
        <v>-4.3627692795486901</v>
      </c>
      <c r="W19" s="261">
        <v>-0.55536410049025298</v>
      </c>
      <c r="X19" s="261">
        <v>11.3345382853863</v>
      </c>
      <c r="Y19" s="261">
        <v>9.8677858117797506</v>
      </c>
      <c r="Z19" s="261">
        <v>8.4203567471707697</v>
      </c>
      <c r="AA19" s="261">
        <v>6.9919965195424503</v>
      </c>
      <c r="AB19" s="261">
        <v>2.6929197558571598</v>
      </c>
      <c r="AC19" s="261">
        <v>3.1642936504931298</v>
      </c>
      <c r="AD19" s="261">
        <v>3.6378312127808701</v>
      </c>
      <c r="AE19" s="261">
        <v>4.1135423742372099</v>
      </c>
      <c r="AF19" s="261">
        <v>11.282612860712</v>
      </c>
      <c r="AG19" s="261">
        <v>7.4529909048641301</v>
      </c>
      <c r="AH19" s="261">
        <v>3.7551595670443501</v>
      </c>
      <c r="AI19" s="261">
        <v>0.184583473474318</v>
      </c>
      <c r="AJ19" s="261">
        <v>-9.7505120702404309</v>
      </c>
      <c r="AK19" s="261">
        <v>-8.7077001495215001</v>
      </c>
      <c r="AL19" s="261">
        <v>-7.6528387786953198</v>
      </c>
      <c r="AM19" s="261">
        <v>-6.5857887291580903</v>
      </c>
      <c r="AN19" s="261">
        <v>-11.6986021659154</v>
      </c>
      <c r="AO19" s="261">
        <v>-6.7659287874636798</v>
      </c>
      <c r="AP19" s="261">
        <v>-1.55770748728818</v>
      </c>
      <c r="AQ19" s="261">
        <v>3.94145433236497</v>
      </c>
      <c r="AR19" s="261">
        <v>21.388815730089</v>
      </c>
      <c r="AS19" s="261">
        <v>20.0090734768761</v>
      </c>
      <c r="AT19" s="261">
        <v>18.6450137943669</v>
      </c>
      <c r="AU19" s="261">
        <v>17.296458429685501</v>
      </c>
      <c r="AV19" s="261">
        <v>16.404128853939199</v>
      </c>
      <c r="AW19" s="261">
        <v>14.791858122695601</v>
      </c>
      <c r="AX19" s="261">
        <v>13.2019183597469</v>
      </c>
      <c r="AY19" s="261">
        <v>11.634000267073199</v>
      </c>
      <c r="AZ19" s="261">
        <v>8.3603195735406501</v>
      </c>
      <c r="BA19" s="261">
        <v>8.0038938983487196</v>
      </c>
      <c r="BB19" s="261">
        <v>7.6486406012230104</v>
      </c>
      <c r="BC19" s="261">
        <v>7.2945558259030303</v>
      </c>
      <c r="BD19" s="261">
        <v>6.0359686311979202</v>
      </c>
      <c r="BE19" s="261">
        <v>6.1687362174637101</v>
      </c>
      <c r="BF19" s="261">
        <v>6.3016700419615104</v>
      </c>
      <c r="BG19" s="261">
        <v>6.4347703128382303</v>
      </c>
      <c r="BH19" s="261">
        <v>7.1680573500937497</v>
      </c>
      <c r="BI19" s="261">
        <v>6.8867870681548702</v>
      </c>
      <c r="BJ19" s="261">
        <v>6.6062550003207203</v>
      </c>
      <c r="BK19" s="261">
        <v>6.3264592090950202</v>
      </c>
      <c r="BL19" s="261">
        <v>5.7433866779638398</v>
      </c>
      <c r="BM19" s="261">
        <v>5.6600082220660202</v>
      </c>
      <c r="BN19" s="261">
        <v>5.5766955099194799</v>
      </c>
      <c r="BO19" s="261">
        <v>5.4934484896855302</v>
      </c>
      <c r="BP19" s="262">
        <v>5.2136614788497999</v>
      </c>
    </row>
    <row r="20" spans="1:115" ht="13" x14ac:dyDescent="0.6">
      <c r="A20" s="256" t="s">
        <v>965</v>
      </c>
      <c r="B20" s="256" t="s">
        <v>998</v>
      </c>
      <c r="C20" s="264" t="s">
        <v>406</v>
      </c>
      <c r="D20" s="261">
        <v>6.5573910872514096</v>
      </c>
      <c r="E20" s="261">
        <v>4.49917678298418</v>
      </c>
      <c r="F20" s="261">
        <v>2.4807180140117699</v>
      </c>
      <c r="G20" s="261">
        <v>0.50124688042058596</v>
      </c>
      <c r="H20" s="261">
        <v>-10.105108178525301</v>
      </c>
      <c r="I20" s="261">
        <v>-6.08577791160429</v>
      </c>
      <c r="J20" s="261">
        <v>-1.8867375914503699</v>
      </c>
      <c r="K20" s="261">
        <v>2.5000478776083201</v>
      </c>
      <c r="L20" s="261">
        <v>16.356324573608202</v>
      </c>
      <c r="M20" s="261">
        <v>14.875700552913701</v>
      </c>
      <c r="N20" s="261">
        <v>13.413917342967199</v>
      </c>
      <c r="O20" s="261">
        <v>11.970735196105601</v>
      </c>
      <c r="P20" s="261">
        <v>16.461375789014799</v>
      </c>
      <c r="Q20" s="261">
        <v>11.1433526268391</v>
      </c>
      <c r="R20" s="261">
        <v>6.0681685189151002</v>
      </c>
      <c r="S20" s="261">
        <v>1.2247346067567799</v>
      </c>
      <c r="T20" s="261">
        <v>-15.592822872217701</v>
      </c>
      <c r="U20" s="261">
        <v>-11.5989407170806</v>
      </c>
      <c r="V20" s="261">
        <v>-7.4160806194046103</v>
      </c>
      <c r="W20" s="261">
        <v>-3.0353007372977401</v>
      </c>
      <c r="X20" s="261">
        <v>8.9501118895771192</v>
      </c>
      <c r="Y20" s="261">
        <v>8.4092927276798495</v>
      </c>
      <c r="Z20" s="261">
        <v>7.8711581464664402</v>
      </c>
      <c r="AA20" s="261">
        <v>7.3356948199046501</v>
      </c>
      <c r="AB20" s="261">
        <v>5.3831683952419898</v>
      </c>
      <c r="AC20" s="261">
        <v>5.7451465901940297</v>
      </c>
      <c r="AD20" s="261">
        <v>6.1083681356318902</v>
      </c>
      <c r="AE20" s="261">
        <v>6.4728373023109</v>
      </c>
      <c r="AF20" s="261">
        <v>15.1229866009033</v>
      </c>
      <c r="AG20" s="261">
        <v>10.1960980897985</v>
      </c>
      <c r="AH20" s="261">
        <v>5.4800643446928401</v>
      </c>
      <c r="AI20" s="261">
        <v>0.96586146901491798</v>
      </c>
      <c r="AJ20" s="261">
        <v>-10.8395933565106</v>
      </c>
      <c r="AK20" s="261">
        <v>-9.9960219644198691</v>
      </c>
      <c r="AL20" s="261">
        <v>-9.1444693088921092</v>
      </c>
      <c r="AM20" s="261">
        <v>-8.2848598769756894</v>
      </c>
      <c r="AN20" s="261">
        <v>-15.4702574402169</v>
      </c>
      <c r="AO20" s="261">
        <v>-9.5237544663869294</v>
      </c>
      <c r="AP20" s="261">
        <v>-3.1589265746411499</v>
      </c>
      <c r="AQ20" s="261">
        <v>3.65365457932963</v>
      </c>
      <c r="AR20" s="261">
        <v>26.2821463290671</v>
      </c>
      <c r="AS20" s="261">
        <v>24.184701855523301</v>
      </c>
      <c r="AT20" s="261">
        <v>22.122094240929599</v>
      </c>
      <c r="AU20" s="261">
        <v>20.093744873191</v>
      </c>
      <c r="AV20" s="261">
        <v>18.876649533359</v>
      </c>
      <c r="AW20" s="261">
        <v>16.4212247880488</v>
      </c>
      <c r="AX20" s="261">
        <v>14.016517409888101</v>
      </c>
      <c r="AY20" s="261">
        <v>11.6614798199051</v>
      </c>
      <c r="AZ20" s="261">
        <v>8.9213961301307698</v>
      </c>
      <c r="BA20" s="261">
        <v>7.0528266557707902</v>
      </c>
      <c r="BB20" s="261">
        <v>5.2163128840052204</v>
      </c>
      <c r="BC20" s="261">
        <v>3.4113048925092699</v>
      </c>
      <c r="BD20" s="261">
        <v>-4.1448859101791697</v>
      </c>
      <c r="BE20" s="261">
        <v>-2.24096090910442</v>
      </c>
      <c r="BF20" s="261">
        <v>-0.29921914213120598</v>
      </c>
      <c r="BG20" s="261">
        <v>1.68109052735711</v>
      </c>
      <c r="BH20" s="261">
        <v>7.0489973138225803</v>
      </c>
      <c r="BI20" s="261">
        <v>6.8225473354661998</v>
      </c>
      <c r="BJ20" s="261">
        <v>6.5965763862833802</v>
      </c>
      <c r="BK20" s="261">
        <v>6.3710834529420897</v>
      </c>
      <c r="BL20" s="261">
        <v>5.9798928219288703</v>
      </c>
      <c r="BM20" s="261">
        <v>5.8614074777028797</v>
      </c>
      <c r="BN20" s="261">
        <v>5.7430545998951903</v>
      </c>
      <c r="BO20" s="261">
        <v>5.6248340404082002</v>
      </c>
      <c r="BP20" s="262">
        <v>5.21276414793829</v>
      </c>
    </row>
    <row r="21" spans="1:115" ht="13" x14ac:dyDescent="0.6">
      <c r="A21" s="220"/>
      <c r="B21" s="220"/>
      <c r="C21" s="222"/>
      <c r="D21" s="227"/>
      <c r="E21" s="227"/>
      <c r="F21" s="227"/>
      <c r="G21" s="227"/>
      <c r="H21" s="227"/>
      <c r="I21" s="227"/>
      <c r="J21" s="227"/>
      <c r="K21" s="227"/>
      <c r="L21" s="227"/>
      <c r="M21" s="227"/>
      <c r="N21" s="227"/>
      <c r="O21" s="227"/>
      <c r="P21" s="227"/>
      <c r="Q21" s="227"/>
      <c r="R21" s="227"/>
      <c r="S21" s="227"/>
      <c r="T21" s="227"/>
      <c r="U21" s="227"/>
      <c r="V21" s="227"/>
      <c r="W21" s="227"/>
      <c r="X21" s="227"/>
      <c r="Y21" s="227"/>
      <c r="Z21" s="227"/>
      <c r="AA21" s="227"/>
      <c r="AB21" s="204"/>
      <c r="AC21" s="204"/>
      <c r="AD21" s="204"/>
      <c r="AE21" s="204"/>
      <c r="AF21" s="204"/>
      <c r="AG21" s="204"/>
      <c r="AH21" s="204"/>
      <c r="AI21" s="204"/>
      <c r="AJ21" s="204"/>
      <c r="AK21" s="204"/>
      <c r="AL21" s="204"/>
      <c r="AM21" s="204"/>
      <c r="AN21" s="204"/>
      <c r="AO21" s="204"/>
      <c r="AP21" s="204"/>
      <c r="AQ21" s="204"/>
      <c r="AR21" s="204"/>
      <c r="AS21" s="204"/>
      <c r="AT21" s="204"/>
      <c r="AU21" s="204"/>
      <c r="AV21" s="204"/>
      <c r="AW21" s="204"/>
      <c r="AX21" s="204"/>
      <c r="AY21" s="204"/>
      <c r="AZ21" s="204"/>
      <c r="BA21" s="204"/>
      <c r="BB21" s="204"/>
      <c r="BC21" s="204"/>
      <c r="BD21" s="204"/>
      <c r="BE21" s="204"/>
      <c r="BF21" s="204"/>
      <c r="BG21" s="204"/>
      <c r="BH21" s="204"/>
      <c r="BI21" s="204"/>
      <c r="BJ21" s="204"/>
      <c r="BK21" s="204"/>
      <c r="BL21" s="204"/>
      <c r="BM21" s="204"/>
      <c r="BN21" s="204"/>
      <c r="BO21" s="204"/>
    </row>
    <row r="22" spans="1:115" ht="13" x14ac:dyDescent="0.6">
      <c r="A22" s="220"/>
      <c r="B22" s="220"/>
      <c r="C22" s="220" t="s">
        <v>407</v>
      </c>
      <c r="D22" s="291" t="s">
        <v>121</v>
      </c>
      <c r="E22" s="291"/>
      <c r="F22" s="291"/>
      <c r="G22" s="291"/>
      <c r="H22" s="291"/>
      <c r="I22" s="291"/>
      <c r="J22" s="291"/>
      <c r="K22" s="291"/>
      <c r="L22" s="291"/>
      <c r="M22" s="291"/>
      <c r="N22" s="291"/>
      <c r="O22" s="291"/>
      <c r="P22" s="291"/>
      <c r="Q22" s="291"/>
      <c r="R22" s="291"/>
      <c r="S22" s="291"/>
      <c r="T22" s="291"/>
      <c r="U22" s="291"/>
      <c r="V22" s="291"/>
      <c r="W22" s="291"/>
      <c r="X22" s="291"/>
      <c r="Y22" s="291"/>
      <c r="Z22" s="291"/>
      <c r="AA22" s="291"/>
      <c r="AB22" s="291"/>
      <c r="AC22" s="291"/>
      <c r="AD22" s="291"/>
      <c r="AE22" s="291"/>
      <c r="AF22" s="291"/>
      <c r="AG22" s="291"/>
      <c r="AH22" s="291"/>
      <c r="AI22" s="291"/>
      <c r="AJ22" s="291"/>
      <c r="AK22" s="291"/>
      <c r="AL22" s="291"/>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t="s">
        <v>121</v>
      </c>
      <c r="BI22" s="291"/>
      <c r="BJ22" s="291"/>
      <c r="BK22" s="291"/>
      <c r="BL22" s="291"/>
      <c r="BM22" s="291"/>
      <c r="BN22" s="291"/>
      <c r="BO22" s="291"/>
      <c r="BP22" s="291"/>
      <c r="BQ22" s="291"/>
      <c r="BR22" s="291"/>
      <c r="BS22" s="291"/>
      <c r="BT22" s="291"/>
      <c r="BU22" s="291"/>
      <c r="BV22" s="291"/>
      <c r="BW22" s="291"/>
      <c r="BX22" s="291"/>
      <c r="BY22" s="291"/>
      <c r="BZ22" s="291"/>
      <c r="CA22" s="291"/>
      <c r="CB22" s="291"/>
      <c r="CC22" s="291"/>
      <c r="CD22" s="291"/>
      <c r="CE22" s="291"/>
      <c r="CF22" s="291"/>
      <c r="CG22" s="291"/>
      <c r="CH22" s="291"/>
      <c r="CI22" s="291"/>
      <c r="CJ22" s="291"/>
      <c r="CK22" s="291"/>
      <c r="CL22" s="291"/>
      <c r="CM22" s="291"/>
      <c r="CN22" s="291"/>
      <c r="CO22" s="291"/>
      <c r="CP22" s="291"/>
      <c r="CQ22" s="291"/>
      <c r="CR22" s="291"/>
      <c r="CS22" s="291"/>
      <c r="CT22" s="291"/>
      <c r="CU22" s="291"/>
      <c r="CV22" s="291"/>
      <c r="CW22" s="291"/>
      <c r="CX22" s="291"/>
      <c r="CY22" s="291"/>
      <c r="CZ22" s="291"/>
      <c r="DA22" s="291"/>
      <c r="DB22" s="291"/>
      <c r="DC22" s="291"/>
      <c r="DD22" s="291"/>
      <c r="DE22" s="291"/>
      <c r="DF22" s="291"/>
      <c r="DG22" s="291"/>
      <c r="DH22" s="291"/>
      <c r="DI22" s="291"/>
      <c r="DJ22" s="291"/>
      <c r="DK22" s="291"/>
    </row>
    <row r="23" spans="1:115" ht="13" x14ac:dyDescent="0.6">
      <c r="A23" s="256" t="s">
        <v>965</v>
      </c>
      <c r="B23" s="256" t="s">
        <v>999</v>
      </c>
      <c r="C23" s="260" t="s">
        <v>404</v>
      </c>
      <c r="D23" s="261">
        <v>9.2699159168017005</v>
      </c>
      <c r="E23" s="261">
        <v>8.5330008224033307</v>
      </c>
      <c r="F23" s="261">
        <v>7.8010554751835999</v>
      </c>
      <c r="G23" s="261">
        <v>7.0740463592229501</v>
      </c>
      <c r="H23" s="261">
        <v>5.5977152696582602</v>
      </c>
      <c r="I23" s="261">
        <v>5.40020712044634</v>
      </c>
      <c r="J23" s="261">
        <v>5.2030683870775203</v>
      </c>
      <c r="K23" s="261">
        <v>5.0062983786027297</v>
      </c>
      <c r="L23" s="261">
        <v>4.48998200386084</v>
      </c>
      <c r="M23" s="261">
        <v>4.4889354299426198</v>
      </c>
      <c r="N23" s="261">
        <v>4.4878888665071299</v>
      </c>
      <c r="O23" s="261">
        <v>4.48684231355388</v>
      </c>
      <c r="P23" s="261">
        <v>5.08675029431694</v>
      </c>
      <c r="Q23" s="261">
        <v>4.6889185795691599</v>
      </c>
      <c r="R23" s="261">
        <v>4.2925929545309902</v>
      </c>
      <c r="S23" s="261">
        <v>3.8977677175301899</v>
      </c>
      <c r="T23" s="261">
        <v>3.3831114150972601</v>
      </c>
      <c r="U23" s="261">
        <v>3.08804836644696</v>
      </c>
      <c r="V23" s="261">
        <v>2.7938274495674</v>
      </c>
      <c r="W23" s="261">
        <v>2.5004462609521299</v>
      </c>
      <c r="X23" s="261">
        <v>1.4135689607613799</v>
      </c>
      <c r="Y23" s="261">
        <v>1.6181328494932601</v>
      </c>
      <c r="Z23" s="261">
        <v>1.8231093692468701</v>
      </c>
      <c r="AA23" s="261">
        <v>2.0284993523508401</v>
      </c>
      <c r="AB23" s="261">
        <v>1.52502158432825</v>
      </c>
      <c r="AC23" s="261">
        <v>2.2442909476087198</v>
      </c>
      <c r="AD23" s="261">
        <v>2.9686560834276698</v>
      </c>
      <c r="AE23" s="261">
        <v>3.69815309355582</v>
      </c>
      <c r="AF23" s="261">
        <v>6.4887422119941496</v>
      </c>
      <c r="AG23" s="261">
        <v>5.8242054176662998</v>
      </c>
      <c r="AH23" s="261">
        <v>5.1638156265037303</v>
      </c>
      <c r="AI23" s="261">
        <v>4.5075469593746202</v>
      </c>
      <c r="AJ23" s="261">
        <v>6.7645007416257004</v>
      </c>
      <c r="AK23" s="261">
        <v>4.1928081564107398</v>
      </c>
      <c r="AL23" s="261">
        <v>1.68306128074255</v>
      </c>
      <c r="AM23" s="261">
        <v>-0.766232004208805</v>
      </c>
      <c r="AN23" s="261">
        <v>-12.072136304582701</v>
      </c>
      <c r="AO23" s="261">
        <v>-8.4557644524365898</v>
      </c>
      <c r="AP23" s="261">
        <v>-4.6906553874962897</v>
      </c>
      <c r="AQ23" s="261">
        <v>-0.77069171935659997</v>
      </c>
      <c r="AR23" s="261">
        <v>11.561525606013101</v>
      </c>
      <c r="AS23" s="261">
        <v>10.4079556624503</v>
      </c>
      <c r="AT23" s="261">
        <v>9.2663138778784102</v>
      </c>
      <c r="AU23" s="261">
        <v>8.1364769125918706</v>
      </c>
      <c r="AV23" s="261">
        <v>5.8683618229526999</v>
      </c>
      <c r="AW23" s="261">
        <v>5.50637487970344</v>
      </c>
      <c r="AX23" s="261">
        <v>5.1456256485037102</v>
      </c>
      <c r="AY23" s="261">
        <v>4.7861098973467699</v>
      </c>
      <c r="AZ23" s="261">
        <v>2.9178578866864502</v>
      </c>
      <c r="BA23" s="261">
        <v>3.5405144399888102</v>
      </c>
      <c r="BB23" s="261">
        <v>4.1669380866928298</v>
      </c>
      <c r="BC23" s="261">
        <v>4.7971516178424602</v>
      </c>
      <c r="BD23" s="261">
        <v>6.4351422616765603</v>
      </c>
      <c r="BE23" s="261">
        <v>6.3541508565988796</v>
      </c>
      <c r="BF23" s="261">
        <v>6.2732210816138396</v>
      </c>
      <c r="BG23" s="261">
        <v>6.1923528898245204</v>
      </c>
      <c r="BH23" s="261">
        <v>6.5068447327285099</v>
      </c>
      <c r="BI23" s="261">
        <v>6.13482093422963</v>
      </c>
      <c r="BJ23" s="261">
        <v>5.7640965987559696</v>
      </c>
      <c r="BK23" s="261">
        <v>5.3946671873392003</v>
      </c>
      <c r="BL23" s="261">
        <v>4.4976899881228798</v>
      </c>
      <c r="BM23" s="261">
        <v>4.4743890940836399</v>
      </c>
      <c r="BN23" s="261">
        <v>4.45109339567753</v>
      </c>
      <c r="BO23" s="261">
        <v>4.4278028917460404</v>
      </c>
      <c r="BP23" s="262"/>
    </row>
    <row r="24" spans="1:115" ht="13" x14ac:dyDescent="0.6">
      <c r="A24" s="256" t="s">
        <v>965</v>
      </c>
      <c r="B24" s="256" t="s">
        <v>1000</v>
      </c>
      <c r="C24" s="263" t="s">
        <v>405</v>
      </c>
      <c r="D24" s="261">
        <v>9.0741106570286192</v>
      </c>
      <c r="E24" s="261">
        <v>8.3344241286877008</v>
      </c>
      <c r="F24" s="261">
        <v>7.5997537875696501</v>
      </c>
      <c r="G24" s="261">
        <v>6.8700656163798399</v>
      </c>
      <c r="H24" s="261">
        <v>5.2447424606618096</v>
      </c>
      <c r="I24" s="261">
        <v>5.1514447330591899</v>
      </c>
      <c r="J24" s="261">
        <v>5.0582297123526097</v>
      </c>
      <c r="K24" s="261">
        <v>4.96509732522376</v>
      </c>
      <c r="L24" s="261">
        <v>5.26355556818437</v>
      </c>
      <c r="M24" s="261">
        <v>4.9444469299808498</v>
      </c>
      <c r="N24" s="261">
        <v>4.6263056761909702</v>
      </c>
      <c r="O24" s="261">
        <v>4.3091288741688603</v>
      </c>
      <c r="P24" s="261">
        <v>3.84694482726769</v>
      </c>
      <c r="Q24" s="261">
        <v>3.5806550890337698</v>
      </c>
      <c r="R24" s="261">
        <v>3.3150481847994002</v>
      </c>
      <c r="S24" s="261">
        <v>3.0501223636063299</v>
      </c>
      <c r="T24" s="261">
        <v>2.3992305227798298</v>
      </c>
      <c r="U24" s="261">
        <v>2.4027054371625098</v>
      </c>
      <c r="V24" s="261">
        <v>2.40618046946634</v>
      </c>
      <c r="W24" s="261">
        <v>2.4096556196951999</v>
      </c>
      <c r="X24" s="261">
        <v>2.3190099648993798</v>
      </c>
      <c r="Y24" s="261">
        <v>2.3524541386972899</v>
      </c>
      <c r="Z24" s="261">
        <v>2.3859092441173102</v>
      </c>
      <c r="AA24" s="261">
        <v>2.4193752847327099</v>
      </c>
      <c r="AB24" s="261">
        <v>1.8548522283347899</v>
      </c>
      <c r="AC24" s="261">
        <v>2.3242930978607701</v>
      </c>
      <c r="AD24" s="261">
        <v>2.7958975828176</v>
      </c>
      <c r="AE24" s="261">
        <v>3.2696756551358201</v>
      </c>
      <c r="AF24" s="261">
        <v>4.9476571725350098</v>
      </c>
      <c r="AG24" s="261">
        <v>4.6358200850097102</v>
      </c>
      <c r="AH24" s="261">
        <v>4.3249095771886603</v>
      </c>
      <c r="AI24" s="261">
        <v>4.0149228958716803</v>
      </c>
      <c r="AJ24" s="261">
        <v>5.6751916439629904</v>
      </c>
      <c r="AK24" s="261">
        <v>4.0397574539166996</v>
      </c>
      <c r="AL24" s="261">
        <v>2.4296333196022202</v>
      </c>
      <c r="AM24" s="261">
        <v>0.84442754141763199</v>
      </c>
      <c r="AN24" s="261">
        <v>-7.1297473256605999</v>
      </c>
      <c r="AO24" s="261">
        <v>-4.4019406049558203</v>
      </c>
      <c r="AP24" s="261">
        <v>-1.59401210907268</v>
      </c>
      <c r="AQ24" s="261">
        <v>1.2963915174551299</v>
      </c>
      <c r="AR24" s="261">
        <v>11.755412735390999</v>
      </c>
      <c r="AS24" s="261">
        <v>9.9020565546168093</v>
      </c>
      <c r="AT24" s="261">
        <v>8.0794365059792703</v>
      </c>
      <c r="AU24" s="261">
        <v>6.2870428602484099</v>
      </c>
      <c r="AV24" s="261">
        <v>1.23546291438053</v>
      </c>
      <c r="AW24" s="261">
        <v>1.71456368482879</v>
      </c>
      <c r="AX24" s="261">
        <v>2.1959318183295502</v>
      </c>
      <c r="AY24" s="261">
        <v>2.6795780452671698</v>
      </c>
      <c r="AZ24" s="261">
        <v>3.0852773521352801</v>
      </c>
      <c r="BA24" s="261">
        <v>3.6165433372336402</v>
      </c>
      <c r="BB24" s="261">
        <v>4.1505472840875202</v>
      </c>
      <c r="BC24" s="261">
        <v>4.6873033032075</v>
      </c>
      <c r="BD24" s="261">
        <v>5.8730892290177303</v>
      </c>
      <c r="BE24" s="261">
        <v>5.9348495610663097</v>
      </c>
      <c r="BF24" s="261">
        <v>5.9966459205760296</v>
      </c>
      <c r="BG24" s="261">
        <v>6.0584783285633197</v>
      </c>
      <c r="BH24" s="261">
        <v>6.7760324302296899</v>
      </c>
      <c r="BI24" s="261">
        <v>6.3489793806519499</v>
      </c>
      <c r="BJ24" s="261">
        <v>5.9236343389764698</v>
      </c>
      <c r="BK24" s="261">
        <v>5.4999904739888503</v>
      </c>
      <c r="BL24" s="261">
        <v>4.4586448269094596</v>
      </c>
      <c r="BM24" s="261">
        <v>4.4402088323603399</v>
      </c>
      <c r="BN24" s="261">
        <v>4.42177609159552</v>
      </c>
      <c r="BO24" s="261">
        <v>4.4033466040407196</v>
      </c>
      <c r="BP24" s="262"/>
    </row>
    <row r="25" spans="1:115" ht="13" x14ac:dyDescent="0.6">
      <c r="A25" s="256" t="s">
        <v>965</v>
      </c>
      <c r="B25" s="256" t="s">
        <v>1001</v>
      </c>
      <c r="C25" s="264" t="s">
        <v>406</v>
      </c>
      <c r="D25" s="261">
        <v>8.7212497770943802</v>
      </c>
      <c r="E25" s="261">
        <v>8.1974839389255205</v>
      </c>
      <c r="F25" s="261">
        <v>7.6762413485466903</v>
      </c>
      <c r="G25" s="261">
        <v>7.1575098501833896</v>
      </c>
      <c r="H25" s="261">
        <v>6.2120450731580199</v>
      </c>
      <c r="I25" s="261">
        <v>6.0076854024653601</v>
      </c>
      <c r="J25" s="261">
        <v>5.8037189345865201</v>
      </c>
      <c r="K25" s="261">
        <v>5.6001449129710403</v>
      </c>
      <c r="L25" s="261">
        <v>5.2978425100194597</v>
      </c>
      <c r="M25" s="261">
        <v>5.1828760377779002</v>
      </c>
      <c r="N25" s="261">
        <v>5.0680350884287897</v>
      </c>
      <c r="O25" s="261">
        <v>4.9533195249231303</v>
      </c>
      <c r="P25" s="261">
        <v>5.3907934139849996</v>
      </c>
      <c r="Q25" s="261">
        <v>4.8671583848048003</v>
      </c>
      <c r="R25" s="261">
        <v>4.34612504060006</v>
      </c>
      <c r="S25" s="261">
        <v>3.8276804548776</v>
      </c>
      <c r="T25" s="261">
        <v>2.6362244230397298</v>
      </c>
      <c r="U25" s="261">
        <v>2.59140165664585</v>
      </c>
      <c r="V25" s="261">
        <v>2.5465984650211202</v>
      </c>
      <c r="W25" s="261">
        <v>2.5018148396167801</v>
      </c>
      <c r="X25" s="261">
        <v>2.1786055547602201</v>
      </c>
      <c r="Y25" s="261">
        <v>2.2896406864611101</v>
      </c>
      <c r="Z25" s="261">
        <v>2.4007964774761001</v>
      </c>
      <c r="AA25" s="261">
        <v>2.51207305892307</v>
      </c>
      <c r="AB25" s="261">
        <v>2.0540712987498</v>
      </c>
      <c r="AC25" s="261">
        <v>2.57560675087164</v>
      </c>
      <c r="AD25" s="261">
        <v>3.09980744921396</v>
      </c>
      <c r="AE25" s="261">
        <v>3.6266870142073402</v>
      </c>
      <c r="AF25" s="261">
        <v>5.4904941361208</v>
      </c>
      <c r="AG25" s="261">
        <v>5.1462520344906801</v>
      </c>
      <c r="AH25" s="261">
        <v>4.8031332817036301</v>
      </c>
      <c r="AI25" s="261">
        <v>4.4611342119889104</v>
      </c>
      <c r="AJ25" s="261">
        <v>6.2259241083264296</v>
      </c>
      <c r="AK25" s="261">
        <v>4.4929185124166704</v>
      </c>
      <c r="AL25" s="261">
        <v>2.7881857549940401</v>
      </c>
      <c r="AM25" s="261">
        <v>1.11126458342428</v>
      </c>
      <c r="AN25" s="261">
        <v>-7.5541993075788101</v>
      </c>
      <c r="AO25" s="261">
        <v>-4.50766806358578</v>
      </c>
      <c r="AP25" s="261">
        <v>-1.3607390454255099</v>
      </c>
      <c r="AQ25" s="261">
        <v>1.8898963337013299</v>
      </c>
      <c r="AR25" s="261">
        <v>14.1024020641359</v>
      </c>
      <c r="AS25" s="261">
        <v>11.709182624493399</v>
      </c>
      <c r="AT25" s="261">
        <v>9.3661593172955406</v>
      </c>
      <c r="AU25" s="261">
        <v>7.0722793131736301</v>
      </c>
      <c r="AV25" s="261">
        <v>0.93237198070879901</v>
      </c>
      <c r="AW25" s="261">
        <v>1.3271846687856199</v>
      </c>
      <c r="AX25" s="261">
        <v>1.7235417281638901</v>
      </c>
      <c r="AY25" s="261">
        <v>2.1214491998922398</v>
      </c>
      <c r="AZ25" s="261">
        <v>1.46655702979826</v>
      </c>
      <c r="BA25" s="261">
        <v>2.58252310598612</v>
      </c>
      <c r="BB25" s="261">
        <v>3.7107629827214601</v>
      </c>
      <c r="BC25" s="261">
        <v>4.8514116517236499</v>
      </c>
      <c r="BD25" s="261">
        <v>7.8336771689783298</v>
      </c>
      <c r="BE25" s="261">
        <v>7.7248166510600198</v>
      </c>
      <c r="BF25" s="261">
        <v>7.6160660302781498</v>
      </c>
      <c r="BG25" s="261">
        <v>7.5074251956896703</v>
      </c>
      <c r="BH25" s="261">
        <v>8.3202274901490192</v>
      </c>
      <c r="BI25" s="261">
        <v>7.55822744289833</v>
      </c>
      <c r="BJ25" s="261">
        <v>6.8015878355715103</v>
      </c>
      <c r="BK25" s="261">
        <v>6.0502709590945898</v>
      </c>
      <c r="BL25" s="261">
        <v>4.2183918187370999</v>
      </c>
      <c r="BM25" s="261">
        <v>4.1787076824298204</v>
      </c>
      <c r="BN25" s="261">
        <v>4.1390386569936899</v>
      </c>
      <c r="BO25" s="261">
        <v>4.0993847366745602</v>
      </c>
      <c r="BP25" s="262"/>
    </row>
    <row r="26" spans="1:115" ht="13" x14ac:dyDescent="0.6">
      <c r="A26" s="220"/>
      <c r="B26" s="220"/>
      <c r="C26" s="204"/>
      <c r="D26" s="204"/>
      <c r="E26" s="204"/>
      <c r="F26" s="204"/>
      <c r="G26" s="204"/>
      <c r="H26" s="204"/>
      <c r="I26" s="204"/>
      <c r="J26" s="204"/>
      <c r="K26" s="204"/>
      <c r="L26" s="204"/>
      <c r="M26" s="204"/>
      <c r="N26" s="204"/>
      <c r="O26" s="204"/>
      <c r="P26" s="204"/>
      <c r="Q26" s="204"/>
      <c r="R26" s="204"/>
      <c r="S26" s="204"/>
      <c r="T26" s="204"/>
      <c r="U26" s="204"/>
      <c r="V26" s="204"/>
      <c r="W26" s="204"/>
      <c r="X26" s="204"/>
      <c r="Y26" s="204"/>
      <c r="Z26" s="204"/>
      <c r="AA26" s="204"/>
      <c r="AB26" s="204"/>
      <c r="AC26" s="204"/>
      <c r="AD26" s="204"/>
      <c r="AE26" s="204"/>
      <c r="AF26" s="204"/>
      <c r="AG26" s="204"/>
      <c r="AH26" s="204"/>
      <c r="AI26" s="204"/>
      <c r="AJ26" s="204"/>
      <c r="AK26" s="204"/>
      <c r="AL26" s="204"/>
      <c r="AM26" s="204"/>
      <c r="AN26" s="204"/>
      <c r="AO26" s="204"/>
      <c r="AP26" s="204"/>
      <c r="AQ26" s="204"/>
      <c r="AR26" s="204"/>
      <c r="AS26" s="204"/>
      <c r="AT26" s="204"/>
      <c r="AU26" s="204"/>
      <c r="AV26" s="204"/>
      <c r="AW26" s="204"/>
      <c r="AX26" s="204"/>
      <c r="AY26" s="204"/>
      <c r="AZ26" s="204"/>
      <c r="BA26" s="204"/>
      <c r="BB26" s="204"/>
      <c r="BC26" s="204"/>
      <c r="BD26" s="204"/>
      <c r="BE26" s="204"/>
      <c r="BF26" s="204"/>
      <c r="BG26" s="204"/>
      <c r="BH26" s="204"/>
      <c r="BI26" s="204"/>
      <c r="BJ26" s="204"/>
      <c r="BK26" s="204"/>
      <c r="BL26" s="204"/>
      <c r="BM26" s="204"/>
      <c r="BN26" s="204"/>
      <c r="BO26" s="204"/>
    </row>
    <row r="27" spans="1:115" ht="14.5" x14ac:dyDescent="0.6">
      <c r="A27" s="220"/>
      <c r="B27" s="220"/>
      <c r="C27" s="218" t="s">
        <v>921</v>
      </c>
      <c r="D27" s="204"/>
      <c r="E27" s="204"/>
      <c r="F27" s="204"/>
      <c r="G27" s="204"/>
      <c r="H27" s="204"/>
      <c r="I27" s="204"/>
      <c r="J27" s="204"/>
      <c r="K27" s="204"/>
      <c r="L27" s="204"/>
      <c r="M27" s="204"/>
      <c r="N27" s="204"/>
      <c r="O27" s="204"/>
      <c r="P27" s="204"/>
      <c r="Q27" s="204"/>
      <c r="R27" s="204"/>
      <c r="S27" s="204"/>
      <c r="T27" s="204"/>
      <c r="U27" s="204"/>
      <c r="V27" s="204"/>
      <c r="W27" s="204"/>
      <c r="X27" s="204"/>
      <c r="Y27" s="204"/>
      <c r="Z27" s="204"/>
      <c r="AA27" s="204"/>
      <c r="AB27" s="204"/>
      <c r="AC27" s="204"/>
      <c r="AD27" s="204"/>
      <c r="AE27" s="204"/>
      <c r="AF27" s="204"/>
      <c r="AG27" s="204"/>
      <c r="AH27" s="204"/>
      <c r="AI27" s="204"/>
      <c r="AJ27" s="204"/>
      <c r="AK27" s="204"/>
      <c r="AL27" s="204"/>
      <c r="AM27" s="204"/>
      <c r="AN27" s="204"/>
      <c r="AO27" s="204"/>
      <c r="AP27" s="204"/>
      <c r="AQ27" s="204"/>
      <c r="AR27" s="204"/>
      <c r="AS27" s="204"/>
      <c r="AT27" s="204"/>
      <c r="AU27" s="204"/>
      <c r="AV27" s="204"/>
      <c r="AW27" s="204"/>
      <c r="AX27" s="204"/>
      <c r="AY27" s="204"/>
      <c r="AZ27" s="204"/>
      <c r="BA27" s="204"/>
      <c r="BB27" s="204"/>
      <c r="BC27" s="204"/>
      <c r="BD27" s="204"/>
      <c r="BE27" s="204"/>
      <c r="BF27" s="204"/>
      <c r="BG27" s="204"/>
      <c r="BH27" s="204"/>
      <c r="BI27" s="204"/>
      <c r="BJ27" s="204"/>
      <c r="BK27" s="204"/>
      <c r="BL27" s="204"/>
      <c r="BM27" s="204"/>
      <c r="BN27" s="204"/>
      <c r="BO27" s="204"/>
    </row>
    <row r="28" spans="1:115" ht="13" x14ac:dyDescent="0.6">
      <c r="A28" s="220"/>
      <c r="B28" s="220"/>
      <c r="C28" s="204"/>
      <c r="D28" s="204"/>
      <c r="E28" s="204"/>
      <c r="F28" s="204"/>
      <c r="G28" s="204"/>
      <c r="H28" s="204"/>
      <c r="I28" s="204"/>
      <c r="J28" s="204"/>
      <c r="K28" s="204"/>
      <c r="L28" s="204"/>
      <c r="M28" s="204"/>
      <c r="N28" s="204"/>
      <c r="O28" s="204"/>
      <c r="P28" s="204"/>
      <c r="Q28" s="204"/>
      <c r="R28" s="204"/>
      <c r="S28" s="204"/>
      <c r="T28" s="204"/>
      <c r="U28" s="204"/>
      <c r="V28" s="204"/>
      <c r="W28" s="204"/>
      <c r="X28" s="204"/>
      <c r="Y28" s="204"/>
      <c r="Z28" s="204"/>
      <c r="AA28" s="204"/>
      <c r="AB28" s="204"/>
      <c r="AC28" s="204"/>
      <c r="AD28" s="204"/>
      <c r="AE28" s="204"/>
      <c r="AF28" s="204"/>
      <c r="AG28" s="204"/>
      <c r="AH28" s="204"/>
      <c r="AI28" s="204"/>
      <c r="AJ28" s="204"/>
      <c r="AK28" s="204"/>
      <c r="AL28" s="204"/>
      <c r="AM28" s="204"/>
      <c r="AN28" s="204"/>
      <c r="AO28" s="204"/>
      <c r="AP28" s="204"/>
      <c r="AQ28" s="204"/>
      <c r="AR28" s="204"/>
      <c r="AS28" s="204"/>
      <c r="AT28" s="204"/>
      <c r="AU28" s="204"/>
      <c r="AV28" s="204"/>
      <c r="AW28" s="204"/>
      <c r="AX28" s="204"/>
      <c r="AY28" s="204"/>
      <c r="AZ28" s="204"/>
      <c r="BA28" s="204"/>
      <c r="BB28" s="204"/>
      <c r="BC28" s="204"/>
      <c r="BD28" s="204"/>
      <c r="BE28" s="204"/>
      <c r="BF28" s="204"/>
      <c r="BG28" s="204"/>
      <c r="BH28" s="241"/>
      <c r="BI28" s="241"/>
      <c r="BJ28" s="241"/>
      <c r="BK28" s="241"/>
      <c r="BL28" s="241"/>
      <c r="BM28" s="241"/>
      <c r="BN28" s="241"/>
      <c r="BO28" s="241"/>
    </row>
    <row r="29" spans="1:115" ht="13" x14ac:dyDescent="0.6">
      <c r="A29" s="220"/>
      <c r="B29" s="220"/>
      <c r="C29" s="219" t="s">
        <v>399</v>
      </c>
      <c r="D29" s="291" t="s">
        <v>121</v>
      </c>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c r="AD29" s="291"/>
      <c r="AE29" s="291"/>
      <c r="AF29" s="291"/>
      <c r="AG29" s="291"/>
      <c r="AH29" s="291"/>
      <c r="AI29" s="291"/>
      <c r="AJ29" s="291"/>
      <c r="AK29" s="291"/>
      <c r="AL29" s="291"/>
      <c r="AM29" s="291"/>
      <c r="AN29" s="291"/>
      <c r="AO29" s="291"/>
      <c r="AP29" s="291"/>
      <c r="AQ29" s="291"/>
      <c r="AR29" s="291"/>
      <c r="AS29" s="291"/>
      <c r="AT29" s="291"/>
      <c r="AU29" s="291"/>
      <c r="AV29" s="291"/>
      <c r="AW29" s="291"/>
      <c r="AX29" s="291"/>
      <c r="AY29" s="291"/>
      <c r="AZ29" s="291"/>
      <c r="BA29" s="291"/>
      <c r="BB29" s="291"/>
      <c r="BC29" s="291"/>
      <c r="BD29" s="291"/>
      <c r="BE29" s="291"/>
      <c r="BF29" s="291"/>
      <c r="BG29" s="291"/>
      <c r="BH29" s="291" t="s">
        <v>121</v>
      </c>
      <c r="BI29" s="291"/>
      <c r="BJ29" s="291"/>
      <c r="BK29" s="291"/>
      <c r="BL29" s="291"/>
      <c r="BM29" s="291"/>
      <c r="BN29" s="291"/>
      <c r="BO29" s="291"/>
      <c r="BP29" s="291"/>
      <c r="BQ29" s="291"/>
      <c r="BR29" s="291"/>
      <c r="BS29" s="291"/>
      <c r="BT29" s="291"/>
      <c r="BU29" s="291"/>
      <c r="BV29" s="291"/>
      <c r="BW29" s="291"/>
      <c r="BX29" s="291"/>
      <c r="BY29" s="291"/>
      <c r="BZ29" s="291"/>
      <c r="CA29" s="291"/>
      <c r="CB29" s="291"/>
      <c r="CC29" s="291"/>
      <c r="CD29" s="291"/>
      <c r="CE29" s="291"/>
      <c r="CF29" s="291"/>
      <c r="CG29" s="291"/>
      <c r="CH29" s="291"/>
      <c r="CI29" s="291"/>
      <c r="CJ29" s="291"/>
      <c r="CK29" s="291"/>
      <c r="CL29" s="291"/>
      <c r="CM29" s="291"/>
      <c r="CN29" s="291"/>
      <c r="CO29" s="291"/>
      <c r="CP29" s="291"/>
      <c r="CQ29" s="291"/>
      <c r="CR29" s="291"/>
      <c r="CS29" s="291"/>
      <c r="CT29" s="291"/>
      <c r="CU29" s="291"/>
      <c r="CV29" s="291"/>
      <c r="CW29" s="291"/>
      <c r="CX29" s="291"/>
      <c r="CY29" s="291"/>
      <c r="CZ29" s="291"/>
      <c r="DA29" s="291"/>
      <c r="DB29" s="291"/>
      <c r="DC29" s="291"/>
      <c r="DD29" s="291"/>
      <c r="DE29" s="291"/>
      <c r="DF29" s="291"/>
      <c r="DG29" s="291"/>
      <c r="DH29" s="291"/>
      <c r="DI29" s="291"/>
      <c r="DJ29" s="291"/>
      <c r="DK29" s="291"/>
    </row>
    <row r="30" spans="1:115" ht="13" x14ac:dyDescent="0.6">
      <c r="A30" s="220"/>
      <c r="B30" s="220"/>
      <c r="C30" s="204"/>
      <c r="D30" s="204"/>
      <c r="E30" s="204"/>
      <c r="F30" s="204"/>
      <c r="G30" s="204"/>
      <c r="H30" s="204"/>
      <c r="I30" s="204"/>
      <c r="J30" s="204"/>
      <c r="K30" s="204"/>
      <c r="L30" s="204"/>
      <c r="M30" s="204"/>
      <c r="N30" s="204"/>
      <c r="O30" s="204"/>
      <c r="P30" s="204"/>
      <c r="Q30" s="204"/>
      <c r="R30" s="204"/>
      <c r="S30" s="204"/>
      <c r="T30" s="204"/>
      <c r="U30" s="204"/>
      <c r="V30" s="204"/>
      <c r="W30" s="204"/>
      <c r="X30" s="204"/>
      <c r="Y30" s="204"/>
      <c r="Z30" s="204"/>
      <c r="AA30" s="204"/>
      <c r="AB30" s="204"/>
      <c r="AC30" s="204"/>
      <c r="AD30" s="204"/>
      <c r="AE30" s="204"/>
      <c r="AF30" s="204"/>
      <c r="AG30" s="204"/>
      <c r="AH30" s="204"/>
      <c r="AI30" s="204"/>
      <c r="AJ30" s="204"/>
      <c r="AK30" s="204"/>
      <c r="AL30" s="204"/>
      <c r="AM30" s="204"/>
      <c r="AN30" s="204"/>
      <c r="AO30" s="204"/>
      <c r="AP30" s="204"/>
      <c r="AQ30" s="204"/>
      <c r="AR30" s="204"/>
      <c r="AS30" s="204"/>
      <c r="AT30" s="204"/>
      <c r="AU30" s="204"/>
      <c r="AV30" s="204"/>
      <c r="AW30" s="204"/>
      <c r="AX30" s="204"/>
      <c r="AY30" s="204"/>
      <c r="AZ30" s="204"/>
      <c r="BA30" s="204"/>
      <c r="BB30" s="204"/>
      <c r="BC30" s="204"/>
      <c r="BD30" s="204"/>
      <c r="BE30" s="204"/>
      <c r="BF30" s="204"/>
      <c r="BG30" s="204"/>
    </row>
    <row r="31" spans="1:115" ht="13" x14ac:dyDescent="0.6">
      <c r="A31" s="220"/>
      <c r="B31" s="220"/>
      <c r="C31" s="220" t="s">
        <v>409</v>
      </c>
      <c r="D31" s="204"/>
      <c r="E31" s="204"/>
      <c r="F31" s="204"/>
      <c r="G31" s="204"/>
      <c r="H31" s="204"/>
      <c r="I31" s="204"/>
      <c r="J31" s="204"/>
      <c r="K31" s="204"/>
      <c r="L31" s="204"/>
      <c r="M31" s="204"/>
      <c r="N31" s="204"/>
      <c r="O31" s="204"/>
      <c r="P31" s="204"/>
      <c r="Q31" s="204"/>
      <c r="R31" s="204"/>
      <c r="S31" s="204"/>
      <c r="T31" s="204"/>
      <c r="U31" s="204"/>
      <c r="V31" s="204"/>
      <c r="W31" s="204"/>
      <c r="X31" s="204"/>
      <c r="Y31" s="204"/>
      <c r="Z31" s="204"/>
      <c r="AA31" s="204"/>
      <c r="AB31" s="204"/>
      <c r="AC31" s="204"/>
      <c r="AD31" s="204"/>
      <c r="AE31" s="204"/>
      <c r="AF31" s="204"/>
      <c r="AG31" s="204"/>
      <c r="AH31" s="204"/>
      <c r="AI31" s="204"/>
      <c r="AJ31" s="204"/>
      <c r="AK31" s="204"/>
      <c r="AL31" s="204"/>
      <c r="AM31" s="204"/>
      <c r="AN31" s="204"/>
      <c r="AO31" s="204"/>
      <c r="AP31" s="204"/>
      <c r="AQ31" s="204"/>
      <c r="AR31" s="204"/>
      <c r="AS31" s="204"/>
      <c r="AT31" s="204"/>
      <c r="AU31" s="204"/>
      <c r="AV31" s="204"/>
      <c r="AW31" s="204"/>
      <c r="AX31" s="204"/>
      <c r="AY31" s="204"/>
      <c r="AZ31" s="204"/>
      <c r="BA31" s="204"/>
      <c r="BB31" s="204"/>
      <c r="BC31" s="204"/>
      <c r="BD31" s="204"/>
      <c r="BE31" s="204"/>
      <c r="BF31" s="204"/>
      <c r="BG31" s="204"/>
    </row>
    <row r="32" spans="1:115" ht="13" x14ac:dyDescent="0.6">
      <c r="A32" s="256" t="s">
        <v>965</v>
      </c>
      <c r="B32" s="256" t="s">
        <v>1002</v>
      </c>
      <c r="C32" s="263" t="s">
        <v>410</v>
      </c>
      <c r="D32" s="261">
        <v>1.3045048987145</v>
      </c>
      <c r="E32" s="261">
        <v>1.27641095217641</v>
      </c>
      <c r="F32" s="261">
        <v>1.24179633709779</v>
      </c>
      <c r="G32" s="261">
        <v>1.3490286972885099</v>
      </c>
      <c r="H32" s="261">
        <v>1.57899964231677</v>
      </c>
      <c r="I32" s="261">
        <v>1.3391681018299899</v>
      </c>
      <c r="J32" s="261">
        <v>1.2219554555147101</v>
      </c>
      <c r="K32" s="261">
        <v>1.12151183535302</v>
      </c>
      <c r="L32" s="261">
        <v>0.99867421560285297</v>
      </c>
      <c r="M32" s="261">
        <v>1.3357873150763899</v>
      </c>
      <c r="N32" s="261">
        <v>1.3891862068465299</v>
      </c>
      <c r="O32" s="261">
        <v>1.1574481403485799</v>
      </c>
      <c r="P32" s="261">
        <v>1.1798783355604801</v>
      </c>
      <c r="Q32" s="261">
        <v>1.1151405545420501</v>
      </c>
      <c r="R32" s="261">
        <v>1.14254471966482</v>
      </c>
      <c r="S32" s="261">
        <v>1.2754628327101001</v>
      </c>
      <c r="T32" s="261">
        <v>1.7346108426004501</v>
      </c>
      <c r="U32" s="261">
        <v>1.83865689669738</v>
      </c>
      <c r="V32" s="261">
        <v>1.8132108886562099</v>
      </c>
      <c r="W32" s="261">
        <v>1.6806122154441701</v>
      </c>
      <c r="X32" s="261">
        <v>1.09167198677522</v>
      </c>
      <c r="Y32" s="261">
        <v>1.3274095949333999</v>
      </c>
      <c r="Z32" s="261">
        <v>1.0246132286627001</v>
      </c>
      <c r="AA32" s="261">
        <v>1.18482159941048</v>
      </c>
      <c r="AB32" s="261">
        <v>1.56179796665105</v>
      </c>
      <c r="AC32" s="261">
        <v>1.0844901322013101</v>
      </c>
      <c r="AD32" s="261">
        <v>1.55996458233855</v>
      </c>
      <c r="AE32" s="261">
        <v>1.42477023238775</v>
      </c>
      <c r="AF32" s="261">
        <v>1.21094221953682</v>
      </c>
      <c r="AG32" s="261">
        <v>1.5887478396658901</v>
      </c>
      <c r="AH32" s="261">
        <v>1.5970489526606699</v>
      </c>
      <c r="AI32" s="261">
        <v>1.6948261795727599</v>
      </c>
      <c r="AJ32" s="261">
        <v>1.3857825038501099</v>
      </c>
      <c r="AK32" s="261">
        <v>1.19758276298476</v>
      </c>
      <c r="AL32" s="261">
        <v>1.2025992083764101</v>
      </c>
      <c r="AM32" s="261">
        <v>1.08065706961224</v>
      </c>
      <c r="AN32" s="261">
        <v>1.5096015977236601</v>
      </c>
      <c r="AO32" s="261">
        <v>1.9416224639656401</v>
      </c>
      <c r="AP32" s="261">
        <v>1.3278300892367201</v>
      </c>
      <c r="AQ32" s="261">
        <v>1.5129946185282199</v>
      </c>
      <c r="AR32" s="261">
        <v>1.7865440983509999</v>
      </c>
      <c r="AS32" s="261">
        <v>1.9842238301047701</v>
      </c>
      <c r="AT32" s="261">
        <v>3.3568118042244599</v>
      </c>
      <c r="AU32" s="261">
        <v>4.0178580384478799</v>
      </c>
      <c r="AV32" s="261">
        <v>4.9518388965484501</v>
      </c>
      <c r="AW32" s="261">
        <v>5.4814499976806204</v>
      </c>
      <c r="AX32" s="261">
        <v>4.95543873764501</v>
      </c>
      <c r="AY32" s="261">
        <v>5.1103553298128901</v>
      </c>
      <c r="AZ32" s="261">
        <v>4.5433175899824603</v>
      </c>
      <c r="BA32" s="261">
        <v>3.80228231659216</v>
      </c>
      <c r="BB32" s="261">
        <v>3.8378301362470499</v>
      </c>
      <c r="BC32" s="261">
        <v>3.6678703790862102</v>
      </c>
      <c r="BD32" s="261">
        <v>3.18821140368006</v>
      </c>
      <c r="BE32" s="261">
        <v>3.3360592716177599</v>
      </c>
      <c r="BF32" s="261">
        <v>2.8424366707320998</v>
      </c>
      <c r="BG32" s="261">
        <v>2.9077329606239699</v>
      </c>
      <c r="BH32" s="261">
        <v>2.4425570992031398</v>
      </c>
      <c r="BI32" s="261">
        <v>2.3412716434002099</v>
      </c>
      <c r="BJ32" s="261">
        <v>2.6441379951975099</v>
      </c>
      <c r="BK32" s="261">
        <v>1.63672396679643</v>
      </c>
      <c r="BL32" s="261">
        <v>1.85315398501176</v>
      </c>
      <c r="BM32" s="261">
        <v>1.7005719393325001</v>
      </c>
      <c r="BN32" s="261">
        <v>2.0289397104778102</v>
      </c>
      <c r="BO32" s="261">
        <v>2.4704126925343899</v>
      </c>
      <c r="BP32" s="262"/>
    </row>
    <row r="33" spans="1:115" ht="13" x14ac:dyDescent="0.6">
      <c r="A33" s="256" t="s">
        <v>965</v>
      </c>
      <c r="B33" s="256" t="s">
        <v>1003</v>
      </c>
      <c r="C33" s="263" t="s">
        <v>411</v>
      </c>
      <c r="D33" s="261">
        <v>3.1524384793835298</v>
      </c>
      <c r="E33" s="261">
        <v>12.728282891006399</v>
      </c>
      <c r="F33" s="261">
        <v>10.393686262417599</v>
      </c>
      <c r="G33" s="261">
        <v>1.5696439848300401</v>
      </c>
      <c r="H33" s="261">
        <v>-0.40104998970445299</v>
      </c>
      <c r="I33" s="261">
        <v>-5.9963386278466304</v>
      </c>
      <c r="J33" s="261">
        <v>-6.4407928547801703</v>
      </c>
      <c r="K33" s="261">
        <v>-0.17502471770646</v>
      </c>
      <c r="L33" s="261">
        <v>0.992708553907792</v>
      </c>
      <c r="M33" s="261">
        <v>1.17422901211208</v>
      </c>
      <c r="N33" s="261">
        <v>2.8891228091506602</v>
      </c>
      <c r="O33" s="261">
        <v>2.4126634930522899</v>
      </c>
      <c r="P33" s="261">
        <v>2.4487460295593899</v>
      </c>
      <c r="Q33" s="261">
        <v>5.1852535164374398</v>
      </c>
      <c r="R33" s="261">
        <v>2.2396692853601601</v>
      </c>
      <c r="S33" s="261">
        <v>-5.3107241998024302</v>
      </c>
      <c r="T33" s="261">
        <v>-10.7321028229464</v>
      </c>
      <c r="U33" s="261">
        <v>-12.320721482831701</v>
      </c>
      <c r="V33" s="261">
        <v>-11.473719970658699</v>
      </c>
      <c r="W33" s="261">
        <v>-7.3655686284337003</v>
      </c>
      <c r="X33" s="261">
        <v>-1.92330972110348</v>
      </c>
      <c r="Y33" s="261">
        <v>2.1116673351288702</v>
      </c>
      <c r="Z33" s="261">
        <v>3.1897811882258602</v>
      </c>
      <c r="AA33" s="261">
        <v>0.85468082155567804</v>
      </c>
      <c r="AB33" s="261">
        <v>0.396945383115067</v>
      </c>
      <c r="AC33" s="261">
        <v>-0.36725602457156098</v>
      </c>
      <c r="AD33" s="261">
        <v>3.7459401377525801</v>
      </c>
      <c r="AE33" s="261">
        <v>7.3916112704813104</v>
      </c>
      <c r="AF33" s="261">
        <v>12.0762095844093</v>
      </c>
      <c r="AG33" s="261">
        <v>7.3665254627425396</v>
      </c>
      <c r="AH33" s="261">
        <v>0.86844181694406697</v>
      </c>
      <c r="AI33" s="261">
        <v>-0.68600401412394696</v>
      </c>
      <c r="AJ33" s="261">
        <v>-4.3896725165288499</v>
      </c>
      <c r="AK33" s="261">
        <v>-3.6616685264103199</v>
      </c>
      <c r="AL33" s="261">
        <v>-2.1005857485181099</v>
      </c>
      <c r="AM33" s="261">
        <v>-0.79366379353439698</v>
      </c>
      <c r="AN33" s="261">
        <v>-0.96435457792087798</v>
      </c>
      <c r="AO33" s="261">
        <v>5.9170884549252102E-2</v>
      </c>
      <c r="AP33" s="261">
        <v>4.7607265154332703</v>
      </c>
      <c r="AQ33" s="261">
        <v>7.4667041831353398</v>
      </c>
      <c r="AR33" s="261">
        <v>9.2930109887180699</v>
      </c>
      <c r="AS33" s="261">
        <v>9.8346675399785397</v>
      </c>
      <c r="AT33" s="261">
        <v>4.4723625984637003</v>
      </c>
      <c r="AU33" s="261">
        <v>0.33076521517021201</v>
      </c>
      <c r="AV33" s="261">
        <v>-1.19388976498222</v>
      </c>
      <c r="AW33" s="261">
        <v>-5.11079598344869</v>
      </c>
      <c r="AX33" s="261">
        <v>-8.2642079858437292</v>
      </c>
      <c r="AY33" s="261">
        <v>-5.9904148388853802</v>
      </c>
      <c r="AZ33" s="261">
        <v>-0.450494790725885</v>
      </c>
      <c r="BA33" s="261">
        <v>3.7957862862635698</v>
      </c>
      <c r="BB33" s="261">
        <v>8.5063483032404399</v>
      </c>
      <c r="BC33" s="261">
        <v>7.1267990573051696</v>
      </c>
      <c r="BD33" s="261">
        <v>2.2999299623944101</v>
      </c>
      <c r="BE33" s="261">
        <v>0.80593332016644303</v>
      </c>
      <c r="BF33" s="261">
        <v>2.7518352955376901</v>
      </c>
      <c r="BG33" s="261">
        <v>1.5064767140695701</v>
      </c>
      <c r="BH33" s="261">
        <v>-1.1167515916656401</v>
      </c>
      <c r="BI33" s="261">
        <v>6.1932770678956404</v>
      </c>
      <c r="BJ33" s="261">
        <v>6.4819092967008896</v>
      </c>
      <c r="BK33" s="261">
        <v>6.4934255494744697</v>
      </c>
      <c r="BL33" s="261">
        <v>9.2690783562998096</v>
      </c>
      <c r="BM33" s="261">
        <v>3.3230923875693001</v>
      </c>
      <c r="BN33" s="261">
        <v>1.71694776313711</v>
      </c>
      <c r="BO33" s="261">
        <v>3.5150518549444598</v>
      </c>
      <c r="BP33" s="262"/>
    </row>
    <row r="34" spans="1:115" ht="13" x14ac:dyDescent="0.6">
      <c r="A34" s="220"/>
      <c r="B34" s="220"/>
      <c r="C34" s="204"/>
      <c r="D34" s="227"/>
      <c r="E34" s="227"/>
      <c r="F34" s="227"/>
      <c r="G34" s="227"/>
      <c r="H34" s="227"/>
      <c r="I34" s="227"/>
      <c r="J34" s="227"/>
      <c r="K34" s="227"/>
      <c r="L34" s="227"/>
      <c r="M34" s="227"/>
      <c r="N34" s="227"/>
      <c r="O34" s="227"/>
      <c r="P34" s="227"/>
      <c r="Q34" s="227"/>
      <c r="R34" s="227"/>
      <c r="S34" s="227"/>
      <c r="T34" s="227"/>
      <c r="U34" s="227"/>
      <c r="V34" s="227"/>
      <c r="W34" s="227"/>
      <c r="X34" s="227"/>
      <c r="Y34" s="227"/>
      <c r="Z34" s="227"/>
      <c r="AA34" s="227"/>
      <c r="AB34" s="227"/>
      <c r="AC34" s="227"/>
      <c r="AD34" s="227"/>
      <c r="AE34" s="227"/>
      <c r="AF34" s="227"/>
      <c r="AG34" s="227"/>
      <c r="AH34" s="227"/>
      <c r="AI34" s="227"/>
      <c r="AJ34" s="227"/>
      <c r="AK34" s="227"/>
      <c r="AL34" s="227"/>
      <c r="AM34" s="227"/>
      <c r="AN34" s="227"/>
      <c r="AO34" s="227"/>
      <c r="AP34" s="227"/>
      <c r="AQ34" s="227"/>
      <c r="AR34" s="204"/>
      <c r="AS34" s="204"/>
      <c r="AT34" s="204"/>
      <c r="AU34" s="204"/>
      <c r="AV34" s="204"/>
      <c r="AW34" s="204"/>
      <c r="AX34" s="204"/>
      <c r="AY34" s="204"/>
      <c r="AZ34" s="204"/>
      <c r="BA34" s="204"/>
      <c r="BB34" s="204"/>
      <c r="BC34" s="204"/>
      <c r="BD34" s="204"/>
      <c r="BE34" s="204"/>
      <c r="BF34" s="204"/>
      <c r="BG34" s="204"/>
      <c r="BH34" s="204"/>
      <c r="BI34" s="204"/>
      <c r="BJ34" s="204"/>
      <c r="BK34" s="204"/>
      <c r="BL34" s="204"/>
      <c r="BM34" s="204"/>
      <c r="BN34" s="204"/>
      <c r="BO34" s="204"/>
    </row>
    <row r="35" spans="1:115" ht="13" x14ac:dyDescent="0.6">
      <c r="A35" s="220"/>
      <c r="B35" s="220"/>
      <c r="C35" s="220" t="s">
        <v>412</v>
      </c>
      <c r="D35" s="227"/>
      <c r="E35" s="227"/>
      <c r="F35" s="227"/>
      <c r="G35" s="227"/>
      <c r="H35" s="227"/>
      <c r="I35" s="227"/>
      <c r="J35" s="227"/>
      <c r="K35" s="227"/>
      <c r="L35" s="227"/>
      <c r="M35" s="227"/>
      <c r="N35" s="227"/>
      <c r="O35" s="227"/>
      <c r="P35" s="227"/>
      <c r="Q35" s="227"/>
      <c r="R35" s="227"/>
      <c r="S35" s="227"/>
      <c r="T35" s="227"/>
      <c r="U35" s="227"/>
      <c r="V35" s="227"/>
      <c r="W35" s="227"/>
      <c r="X35" s="227"/>
      <c r="Y35" s="227"/>
      <c r="Z35" s="227"/>
      <c r="AA35" s="227"/>
      <c r="AB35" s="227"/>
      <c r="AC35" s="227"/>
      <c r="AD35" s="227"/>
      <c r="AE35" s="227"/>
      <c r="AF35" s="227"/>
      <c r="AG35" s="227"/>
      <c r="AH35" s="227"/>
      <c r="AI35" s="227"/>
      <c r="AJ35" s="227"/>
      <c r="AK35" s="227"/>
      <c r="AL35" s="227"/>
      <c r="AM35" s="227"/>
      <c r="AN35" s="227"/>
      <c r="AO35" s="227"/>
      <c r="AP35" s="227"/>
      <c r="AQ35" s="227"/>
      <c r="AR35" s="204"/>
      <c r="AS35" s="204"/>
      <c r="AT35" s="204"/>
      <c r="AU35" s="204"/>
      <c r="AV35" s="204"/>
      <c r="AW35" s="204"/>
      <c r="AX35" s="204"/>
      <c r="AY35" s="204"/>
      <c r="AZ35" s="204"/>
      <c r="BA35" s="204"/>
      <c r="BB35" s="204"/>
      <c r="BC35" s="204"/>
      <c r="BD35" s="204"/>
      <c r="BE35" s="204"/>
      <c r="BF35" s="204"/>
      <c r="BG35" s="204"/>
      <c r="BH35" s="204"/>
      <c r="BI35" s="204"/>
      <c r="BJ35" s="204"/>
      <c r="BK35" s="204"/>
      <c r="BL35" s="204"/>
      <c r="BM35" s="204"/>
      <c r="BN35" s="204"/>
      <c r="BO35" s="204"/>
    </row>
    <row r="36" spans="1:115" ht="13" x14ac:dyDescent="0.6">
      <c r="A36" s="256" t="s">
        <v>965</v>
      </c>
      <c r="B36" s="256" t="s">
        <v>1004</v>
      </c>
      <c r="C36" s="263" t="s">
        <v>410</v>
      </c>
      <c r="D36" s="261">
        <v>2.60923159047177</v>
      </c>
      <c r="E36" s="261">
        <v>2.9290090283278798</v>
      </c>
      <c r="F36" s="261">
        <v>3.1247163760503001</v>
      </c>
      <c r="G36" s="261">
        <v>2.9316639083098699</v>
      </c>
      <c r="H36" s="261">
        <v>2.6506837265275101</v>
      </c>
      <c r="I36" s="261">
        <v>2.2733012366524998</v>
      </c>
      <c r="J36" s="261">
        <v>2.0224425451081398</v>
      </c>
      <c r="K36" s="261">
        <v>1.96473782536898</v>
      </c>
      <c r="L36" s="261">
        <v>1.6480037854268399</v>
      </c>
      <c r="M36" s="261">
        <v>1.36597946546744</v>
      </c>
      <c r="N36" s="261">
        <v>1.47802313395124</v>
      </c>
      <c r="O36" s="261">
        <v>1.2058202219141101</v>
      </c>
      <c r="P36" s="261">
        <v>1.13033970363666</v>
      </c>
      <c r="Q36" s="261">
        <v>1.3369081571830399</v>
      </c>
      <c r="R36" s="261">
        <v>1.11255852045208</v>
      </c>
      <c r="S36" s="261">
        <v>0.79986453124999601</v>
      </c>
      <c r="T36" s="261">
        <v>0.35047943824149003</v>
      </c>
      <c r="U36" s="261">
        <v>0.52116001555605496</v>
      </c>
      <c r="V36" s="261">
        <v>0.425145602519229</v>
      </c>
      <c r="W36" s="261">
        <v>0.45141189854629399</v>
      </c>
      <c r="X36" s="261">
        <v>0.47018061896940999</v>
      </c>
      <c r="Y36" s="261">
        <v>0.36071345062405802</v>
      </c>
      <c r="Z36" s="261">
        <v>0.53810259230190405</v>
      </c>
      <c r="AA36" s="261">
        <v>0.95844442118142104</v>
      </c>
      <c r="AB36" s="261">
        <v>1.65971555138692</v>
      </c>
      <c r="AC36" s="261">
        <v>1.47680535668878</v>
      </c>
      <c r="AD36" s="261">
        <v>1.5275462203647601</v>
      </c>
      <c r="AE36" s="261">
        <v>1.41376192261169</v>
      </c>
      <c r="AF36" s="261">
        <v>1.2992700084798099</v>
      </c>
      <c r="AG36" s="261">
        <v>1.59974799503021</v>
      </c>
      <c r="AH36" s="261">
        <v>1.88314455927865</v>
      </c>
      <c r="AI36" s="261">
        <v>1.791910371345</v>
      </c>
      <c r="AJ36" s="261">
        <v>1.23540512095156</v>
      </c>
      <c r="AK36" s="261">
        <v>1.3374845828924999</v>
      </c>
      <c r="AL36" s="261">
        <v>0.91283122029594199</v>
      </c>
      <c r="AM36" s="261">
        <v>0.97915381918374</v>
      </c>
      <c r="AN36" s="261">
        <v>1.06467222350154</v>
      </c>
      <c r="AO36" s="261">
        <v>0.17144914883159501</v>
      </c>
      <c r="AP36" s="261">
        <v>0.20044867522614501</v>
      </c>
      <c r="AQ36" s="261">
        <v>-1.77623756751827E-3</v>
      </c>
      <c r="AR36" s="261">
        <v>0.97884254757869105</v>
      </c>
      <c r="AS36" s="261">
        <v>1.90758377727104</v>
      </c>
      <c r="AT36" s="261">
        <v>2.5576000525808502</v>
      </c>
      <c r="AU36" s="261">
        <v>4.0501027136873304</v>
      </c>
      <c r="AV36" s="261">
        <v>5.1926038443240596</v>
      </c>
      <c r="AW36" s="261">
        <v>6.87543281666614</v>
      </c>
      <c r="AX36" s="261">
        <v>7.8348807648471599</v>
      </c>
      <c r="AY36" s="261">
        <v>8.1129594362959896</v>
      </c>
      <c r="AZ36" s="261">
        <v>6.5183440993305997</v>
      </c>
      <c r="BA36" s="261">
        <v>4.8754079019677699</v>
      </c>
      <c r="BB36" s="261">
        <v>3.88367674589648</v>
      </c>
      <c r="BC36" s="261">
        <v>2.5665475166694498</v>
      </c>
      <c r="BD36" s="261">
        <v>2.5954878262324499</v>
      </c>
      <c r="BE36" s="261">
        <v>2.58016306169079</v>
      </c>
      <c r="BF36" s="261">
        <v>2.30229434634848</v>
      </c>
      <c r="BG36" s="261">
        <v>2.2955668940917802</v>
      </c>
      <c r="BH36" s="261">
        <v>2.4468776691004801</v>
      </c>
      <c r="BI36" s="261">
        <v>2.1947461529667001</v>
      </c>
      <c r="BJ36" s="261">
        <v>2.1128720970108898</v>
      </c>
      <c r="BK36" s="261">
        <v>2.1187703306258299</v>
      </c>
      <c r="BL36" s="261">
        <v>1.8544595181368499</v>
      </c>
      <c r="BM36" s="261">
        <v>1.9967616190515001</v>
      </c>
      <c r="BN36" s="261">
        <v>2.0195077361904001</v>
      </c>
      <c r="BO36" s="261">
        <v>1.95647873978812</v>
      </c>
      <c r="BP36" s="262"/>
    </row>
    <row r="37" spans="1:115" ht="13" x14ac:dyDescent="0.6">
      <c r="A37" s="256" t="s">
        <v>965</v>
      </c>
      <c r="B37" s="256" t="s">
        <v>1005</v>
      </c>
      <c r="C37" s="263" t="s">
        <v>411</v>
      </c>
      <c r="D37" s="261">
        <v>4.4767110914974797</v>
      </c>
      <c r="E37" s="261">
        <v>14.5611717622036</v>
      </c>
      <c r="F37" s="261">
        <v>12.4451800160468</v>
      </c>
      <c r="G37" s="261">
        <v>3.1602593730494601</v>
      </c>
      <c r="H37" s="261">
        <v>0.65584304007015104</v>
      </c>
      <c r="I37" s="261">
        <v>-5.1250045047427299</v>
      </c>
      <c r="J37" s="261">
        <v>-5.6960913697637796</v>
      </c>
      <c r="K37" s="261">
        <v>0.658207640664771</v>
      </c>
      <c r="L37" s="261">
        <v>1.63779885545172</v>
      </c>
      <c r="M37" s="261">
        <v>1.1991478064299399</v>
      </c>
      <c r="N37" s="261">
        <v>2.9716306522771498</v>
      </c>
      <c r="O37" s="261">
        <v>2.4558120962465599</v>
      </c>
      <c r="P37" s="261">
        <v>2.39446249511326</v>
      </c>
      <c r="Q37" s="261">
        <v>5.4198794024419499</v>
      </c>
      <c r="R37" s="261">
        <v>2.21548687117525</v>
      </c>
      <c r="S37" s="261">
        <v>-5.7473060110616698</v>
      </c>
      <c r="T37" s="261">
        <v>-11.9532346153274</v>
      </c>
      <c r="U37" s="261">
        <v>-13.4674988090211</v>
      </c>
      <c r="V37" s="261">
        <v>-12.701036310986099</v>
      </c>
      <c r="W37" s="261">
        <v>-8.5079246746222399</v>
      </c>
      <c r="X37" s="261">
        <v>-2.5255584373942499</v>
      </c>
      <c r="Y37" s="261">
        <v>1.1400406219669701</v>
      </c>
      <c r="Z37" s="261">
        <v>2.7053007896337302</v>
      </c>
      <c r="AA37" s="261">
        <v>0.63703490795907702</v>
      </c>
      <c r="AB37" s="261">
        <v>0.49304973505824301</v>
      </c>
      <c r="AC37" s="261">
        <v>1.6255040037540702E-2</v>
      </c>
      <c r="AD37" s="261">
        <v>3.7181610786970301</v>
      </c>
      <c r="AE37" s="261">
        <v>7.3904904775187301</v>
      </c>
      <c r="AF37" s="261">
        <v>12.1840884200813</v>
      </c>
      <c r="AG37" s="261">
        <v>7.3892441746817097</v>
      </c>
      <c r="AH37" s="261">
        <v>1.1537559146321601</v>
      </c>
      <c r="AI37" s="261">
        <v>-0.59028974325302297</v>
      </c>
      <c r="AJ37" s="261">
        <v>-4.5280457771849596</v>
      </c>
      <c r="AK37" s="261">
        <v>-3.52536298590271</v>
      </c>
      <c r="AL37" s="261">
        <v>-2.37806905948255</v>
      </c>
      <c r="AM37" s="261">
        <v>-0.88934809401751302</v>
      </c>
      <c r="AN37" s="261">
        <v>-1.3975098217983</v>
      </c>
      <c r="AO37" s="261">
        <v>-1.6704810072213701</v>
      </c>
      <c r="AP37" s="261">
        <v>3.6118901916866002</v>
      </c>
      <c r="AQ37" s="261">
        <v>5.8809057017164399</v>
      </c>
      <c r="AR37" s="261">
        <v>8.4430745385585499</v>
      </c>
      <c r="AS37" s="261">
        <v>9.7638609620976098</v>
      </c>
      <c r="AT37" s="261">
        <v>3.6711706255621999</v>
      </c>
      <c r="AU37" s="261">
        <v>0.35961228408291102</v>
      </c>
      <c r="AV37" s="261">
        <v>-0.97158544208103903</v>
      </c>
      <c r="AW37" s="261">
        <v>-3.8774574859311</v>
      </c>
      <c r="AX37" s="261">
        <v>-5.7728705524279897</v>
      </c>
      <c r="AY37" s="261">
        <v>-3.3209471357279998</v>
      </c>
      <c r="AZ37" s="261">
        <v>1.4102332258982899</v>
      </c>
      <c r="BA37" s="261">
        <v>4.8641323776575902</v>
      </c>
      <c r="BB37" s="261">
        <v>8.5537147191901006</v>
      </c>
      <c r="BC37" s="261">
        <v>5.9816243878029702</v>
      </c>
      <c r="BD37" s="261">
        <v>1.7158306798098499</v>
      </c>
      <c r="BE37" s="261">
        <v>7.5986309898133195E-2</v>
      </c>
      <c r="BF37" s="261">
        <v>2.21621180264161</v>
      </c>
      <c r="BG37" s="261">
        <v>0.90698147432965004</v>
      </c>
      <c r="BH37" s="261">
        <v>-1.1135384855338399</v>
      </c>
      <c r="BI37" s="261">
        <v>6.0345650059598004</v>
      </c>
      <c r="BJ37" s="261">
        <v>5.9226844970286301</v>
      </c>
      <c r="BK37" s="261">
        <v>6.9926493387435702</v>
      </c>
      <c r="BL37" s="261">
        <v>9.2677839718329498</v>
      </c>
      <c r="BM37" s="261">
        <v>3.6239783934420702</v>
      </c>
      <c r="BN37" s="261">
        <v>1.7094832065380701</v>
      </c>
      <c r="BO37" s="261">
        <v>2.9961631866510801</v>
      </c>
      <c r="BP37" s="262"/>
    </row>
    <row r="38" spans="1:115" ht="13" x14ac:dyDescent="0.6">
      <c r="A38" s="220"/>
      <c r="B38" s="220"/>
      <c r="C38" s="204"/>
      <c r="D38" s="227"/>
      <c r="E38" s="227"/>
      <c r="F38" s="227"/>
      <c r="G38" s="227"/>
      <c r="H38" s="227"/>
      <c r="I38" s="227"/>
      <c r="J38" s="227"/>
      <c r="K38" s="227"/>
      <c r="L38" s="227"/>
      <c r="M38" s="227"/>
      <c r="N38" s="227"/>
      <c r="O38" s="227"/>
      <c r="P38" s="227"/>
      <c r="Q38" s="227"/>
      <c r="R38" s="227"/>
      <c r="S38" s="227"/>
      <c r="T38" s="227"/>
      <c r="U38" s="227"/>
      <c r="V38" s="227"/>
      <c r="W38" s="227"/>
      <c r="X38" s="227"/>
      <c r="Y38" s="227"/>
      <c r="Z38" s="227"/>
      <c r="AA38" s="227"/>
      <c r="AB38" s="227"/>
      <c r="AC38" s="227"/>
      <c r="AD38" s="227"/>
      <c r="AE38" s="227"/>
      <c r="AF38" s="227"/>
      <c r="AG38" s="227"/>
      <c r="AH38" s="227"/>
      <c r="AI38" s="227"/>
      <c r="AJ38" s="227"/>
      <c r="AK38" s="227"/>
      <c r="AL38" s="227"/>
      <c r="AM38" s="227"/>
      <c r="AN38" s="204"/>
      <c r="AO38" s="204"/>
      <c r="AP38" s="204"/>
      <c r="AQ38" s="204"/>
      <c r="AR38" s="204"/>
      <c r="AS38" s="204"/>
      <c r="AT38" s="204"/>
      <c r="AU38" s="204"/>
      <c r="AV38" s="204"/>
      <c r="AW38" s="204"/>
      <c r="AX38" s="204"/>
      <c r="AY38" s="204"/>
      <c r="AZ38" s="204"/>
      <c r="BA38" s="204"/>
      <c r="BB38" s="204"/>
      <c r="BC38" s="204"/>
      <c r="BD38" s="204"/>
      <c r="BE38" s="204"/>
      <c r="BF38" s="204"/>
      <c r="BG38" s="204"/>
      <c r="BH38" s="204"/>
      <c r="BI38" s="204"/>
      <c r="BJ38" s="204"/>
      <c r="BK38" s="204"/>
      <c r="BL38" s="204"/>
      <c r="BM38" s="204"/>
      <c r="BN38" s="204"/>
      <c r="BO38" s="204"/>
    </row>
    <row r="39" spans="1:115" ht="13" x14ac:dyDescent="0.6">
      <c r="A39" s="220"/>
      <c r="B39" s="220"/>
      <c r="C39" s="219" t="s">
        <v>402</v>
      </c>
      <c r="D39" s="227"/>
      <c r="E39" s="227"/>
      <c r="F39" s="227"/>
      <c r="G39" s="227"/>
      <c r="H39" s="227"/>
      <c r="I39" s="227"/>
      <c r="J39" s="227"/>
      <c r="K39" s="227"/>
      <c r="L39" s="227"/>
      <c r="M39" s="227"/>
      <c r="N39" s="227"/>
      <c r="O39" s="227"/>
      <c r="P39" s="227"/>
      <c r="Q39" s="227"/>
      <c r="R39" s="227"/>
      <c r="S39" s="227"/>
      <c r="T39" s="227"/>
      <c r="U39" s="227"/>
      <c r="V39" s="227"/>
      <c r="W39" s="227"/>
      <c r="X39" s="227"/>
      <c r="Y39" s="227"/>
      <c r="Z39" s="227"/>
      <c r="AA39" s="227"/>
      <c r="AB39" s="227"/>
      <c r="AC39" s="227"/>
      <c r="AD39" s="227"/>
      <c r="AE39" s="227"/>
      <c r="AF39" s="227"/>
      <c r="AG39" s="227"/>
      <c r="AH39" s="227"/>
      <c r="AI39" s="227"/>
      <c r="AJ39" s="227"/>
      <c r="AK39" s="227"/>
      <c r="AL39" s="227"/>
      <c r="AM39" s="227"/>
      <c r="AN39" s="204"/>
      <c r="AO39" s="204"/>
      <c r="AP39" s="204"/>
      <c r="AQ39" s="204"/>
      <c r="AR39" s="204"/>
      <c r="AS39" s="204"/>
      <c r="AT39" s="204"/>
      <c r="AU39" s="204"/>
      <c r="AV39" s="204"/>
      <c r="AW39" s="204"/>
      <c r="AX39" s="204"/>
      <c r="AY39" s="204"/>
      <c r="AZ39" s="204"/>
      <c r="BA39" s="204"/>
      <c r="BB39" s="204"/>
      <c r="BC39" s="204"/>
      <c r="BD39" s="204"/>
      <c r="BE39" s="204"/>
      <c r="BF39" s="204"/>
      <c r="BG39" s="204"/>
      <c r="BH39" s="204"/>
      <c r="BI39" s="204"/>
      <c r="BJ39" s="204"/>
      <c r="BK39" s="204"/>
      <c r="BL39" s="204"/>
      <c r="BM39" s="204"/>
      <c r="BN39" s="204"/>
      <c r="BO39" s="204"/>
    </row>
    <row r="40" spans="1:115" ht="13" x14ac:dyDescent="0.6">
      <c r="A40" s="220"/>
      <c r="B40" s="220"/>
      <c r="C40" s="204"/>
      <c r="D40" s="227"/>
      <c r="E40" s="227"/>
      <c r="F40" s="227"/>
      <c r="G40" s="227"/>
      <c r="H40" s="227"/>
      <c r="I40" s="227"/>
      <c r="J40" s="227"/>
      <c r="K40" s="227"/>
      <c r="L40" s="227"/>
      <c r="M40" s="227"/>
      <c r="N40" s="227"/>
      <c r="O40" s="227"/>
      <c r="P40" s="227"/>
      <c r="Q40" s="227"/>
      <c r="R40" s="227"/>
      <c r="S40" s="227"/>
      <c r="T40" s="227"/>
      <c r="U40" s="227"/>
      <c r="V40" s="227"/>
      <c r="W40" s="227"/>
      <c r="X40" s="227"/>
      <c r="Y40" s="227"/>
      <c r="Z40" s="227"/>
      <c r="AA40" s="227"/>
      <c r="AB40" s="227"/>
      <c r="AC40" s="227"/>
      <c r="AD40" s="227"/>
      <c r="AE40" s="227"/>
      <c r="AF40" s="227"/>
      <c r="AG40" s="227"/>
      <c r="AH40" s="227"/>
      <c r="AI40" s="227"/>
      <c r="AJ40" s="227"/>
      <c r="AK40" s="227"/>
      <c r="AL40" s="227"/>
      <c r="AM40" s="227"/>
      <c r="AN40" s="204"/>
      <c r="AO40" s="204"/>
      <c r="AP40" s="204"/>
      <c r="AQ40" s="204"/>
      <c r="AR40" s="204"/>
      <c r="AS40" s="204"/>
      <c r="AT40" s="204"/>
      <c r="AU40" s="204"/>
      <c r="AV40" s="204"/>
      <c r="AW40" s="204"/>
      <c r="AX40" s="204"/>
      <c r="AY40" s="204"/>
      <c r="AZ40" s="204"/>
      <c r="BA40" s="204"/>
      <c r="BB40" s="204"/>
      <c r="BC40" s="204"/>
      <c r="BD40" s="204"/>
      <c r="BE40" s="204"/>
      <c r="BF40" s="204"/>
      <c r="BG40" s="204"/>
      <c r="BH40" s="204"/>
      <c r="BI40" s="204"/>
      <c r="BJ40" s="204"/>
      <c r="BK40" s="204"/>
      <c r="BL40" s="204"/>
      <c r="BM40" s="204"/>
      <c r="BN40" s="204"/>
      <c r="BO40" s="204"/>
    </row>
    <row r="41" spans="1:115" ht="13" x14ac:dyDescent="0.6">
      <c r="A41" s="220"/>
      <c r="B41" s="220"/>
      <c r="C41" s="220" t="s">
        <v>413</v>
      </c>
      <c r="D41" s="227"/>
      <c r="E41" s="227"/>
      <c r="F41" s="227"/>
      <c r="G41" s="227"/>
      <c r="H41" s="227"/>
      <c r="I41" s="227"/>
      <c r="J41" s="227"/>
      <c r="K41" s="227"/>
      <c r="L41" s="227"/>
      <c r="M41" s="227"/>
      <c r="N41" s="227"/>
      <c r="O41" s="227"/>
      <c r="P41" s="227"/>
      <c r="Q41" s="227"/>
      <c r="R41" s="227"/>
      <c r="S41" s="227"/>
      <c r="T41" s="227"/>
      <c r="U41" s="227"/>
      <c r="V41" s="227"/>
      <c r="W41" s="227"/>
      <c r="X41" s="227"/>
      <c r="Y41" s="227"/>
      <c r="Z41" s="227"/>
      <c r="AA41" s="227"/>
      <c r="AB41" s="227"/>
      <c r="AC41" s="227"/>
      <c r="AD41" s="227"/>
      <c r="AE41" s="227"/>
      <c r="AF41" s="227"/>
      <c r="AG41" s="227"/>
      <c r="AH41" s="227"/>
      <c r="AI41" s="227"/>
      <c r="AJ41" s="227"/>
      <c r="AK41" s="227"/>
      <c r="AL41" s="227"/>
      <c r="AM41" s="227"/>
      <c r="AN41" s="204"/>
      <c r="AO41" s="204"/>
      <c r="AP41" s="204"/>
      <c r="AQ41" s="204"/>
      <c r="AR41" s="204"/>
      <c r="AS41" s="204"/>
      <c r="AT41" s="204"/>
      <c r="AU41" s="204"/>
      <c r="AV41" s="204"/>
      <c r="AW41" s="204"/>
      <c r="AX41" s="204"/>
      <c r="AY41" s="204"/>
      <c r="AZ41" s="204"/>
      <c r="BA41" s="204"/>
      <c r="BB41" s="204"/>
      <c r="BC41" s="204"/>
      <c r="BD41" s="204"/>
      <c r="BE41" s="204"/>
      <c r="BF41" s="204"/>
      <c r="BG41" s="204"/>
      <c r="BH41" s="204"/>
      <c r="BI41" s="204"/>
      <c r="BJ41" s="204"/>
      <c r="BK41" s="204"/>
      <c r="BL41" s="204"/>
      <c r="BM41" s="204"/>
      <c r="BN41" s="204"/>
      <c r="BO41" s="204"/>
    </row>
    <row r="42" spans="1:115" ht="13" x14ac:dyDescent="0.6">
      <c r="A42" s="256" t="s">
        <v>965</v>
      </c>
      <c r="B42" s="256" t="s">
        <v>1006</v>
      </c>
      <c r="C42" s="260" t="s">
        <v>404</v>
      </c>
      <c r="D42" s="261">
        <v>16.172816041331401</v>
      </c>
      <c r="E42" s="261">
        <v>13.127411458288</v>
      </c>
      <c r="F42" s="261">
        <v>10.1618404317552</v>
      </c>
      <c r="G42" s="261">
        <v>7.2740101702592801</v>
      </c>
      <c r="H42" s="261">
        <v>0.68896683621117705</v>
      </c>
      <c r="I42" s="261">
        <v>0.43061386684701197</v>
      </c>
      <c r="J42" s="261">
        <v>0.17292379292083401</v>
      </c>
      <c r="K42" s="261">
        <v>-8.4105086458699005E-2</v>
      </c>
      <c r="L42" s="261">
        <v>4.8723376031633799E-2</v>
      </c>
      <c r="M42" s="261">
        <v>-0.477880106323962</v>
      </c>
      <c r="N42" s="261">
        <v>-1.0017118268990799</v>
      </c>
      <c r="O42" s="261">
        <v>-1.52278637477961</v>
      </c>
      <c r="P42" s="261">
        <v>0.79940887518136905</v>
      </c>
      <c r="Q42" s="261">
        <v>-1.61814774487602</v>
      </c>
      <c r="R42" s="261">
        <v>-3.97772208035056</v>
      </c>
      <c r="S42" s="261">
        <v>-6.2807047689206303</v>
      </c>
      <c r="T42" s="261">
        <v>-14.1208300277496</v>
      </c>
      <c r="U42" s="261">
        <v>-12.4667071653757</v>
      </c>
      <c r="V42" s="261">
        <v>-10.7807241622401</v>
      </c>
      <c r="W42" s="261">
        <v>-9.0622673586246307</v>
      </c>
      <c r="X42" s="261">
        <v>-8.4603917939534803</v>
      </c>
      <c r="Y42" s="261">
        <v>-6.0026982950642198</v>
      </c>
      <c r="Z42" s="261">
        <v>-3.4790196182516899</v>
      </c>
      <c r="AA42" s="261">
        <v>-0.88758416599707701</v>
      </c>
      <c r="AB42" s="261">
        <v>6.4843787696329596</v>
      </c>
      <c r="AC42" s="261">
        <v>6.06383470059221</v>
      </c>
      <c r="AD42" s="261">
        <v>5.64495150722205</v>
      </c>
      <c r="AE42" s="261">
        <v>5.22772263014354</v>
      </c>
      <c r="AF42" s="261">
        <v>6.6594349651555298</v>
      </c>
      <c r="AG42" s="261">
        <v>5.0667573513648598</v>
      </c>
      <c r="AH42" s="261">
        <v>3.4978621810336099</v>
      </c>
      <c r="AI42" s="261">
        <v>1.95239432603535</v>
      </c>
      <c r="AJ42" s="261">
        <v>-1.0013914780681601</v>
      </c>
      <c r="AK42" s="261">
        <v>-1.5640840571850601</v>
      </c>
      <c r="AL42" s="261">
        <v>-2.12357837984844</v>
      </c>
      <c r="AM42" s="261">
        <v>-2.6798926244469401</v>
      </c>
      <c r="AN42" s="261">
        <v>-10.318418607349001</v>
      </c>
      <c r="AO42" s="261">
        <v>-6.0669207207814004</v>
      </c>
      <c r="AP42" s="261">
        <v>-1.6138738204834</v>
      </c>
      <c r="AQ42" s="261">
        <v>3.0502768448399502</v>
      </c>
      <c r="AR42" s="261">
        <v>17.606117640560299</v>
      </c>
      <c r="AS42" s="261">
        <v>16.226024956061099</v>
      </c>
      <c r="AT42" s="261">
        <v>14.8621274819475</v>
      </c>
      <c r="AU42" s="261">
        <v>13.514235169505699</v>
      </c>
      <c r="AV42" s="261">
        <v>15.771035035065401</v>
      </c>
      <c r="AW42" s="261">
        <v>12.070495564089899</v>
      </c>
      <c r="AX42" s="261">
        <v>8.4882412269745302</v>
      </c>
      <c r="AY42" s="261">
        <v>5.02049112285279</v>
      </c>
      <c r="AZ42" s="261">
        <v>-4.8214181782280896</v>
      </c>
      <c r="BA42" s="261">
        <v>-3.80766142064456</v>
      </c>
      <c r="BB42" s="261">
        <v>-2.7831070367058199</v>
      </c>
      <c r="BC42" s="261">
        <v>-1.74764001979493</v>
      </c>
      <c r="BD42" s="261">
        <v>0.78756247591663697</v>
      </c>
      <c r="BE42" s="261">
        <v>0.82963615463504004</v>
      </c>
      <c r="BF42" s="261">
        <v>0.87172739697359802</v>
      </c>
      <c r="BG42" s="261">
        <v>0.91383621026378004</v>
      </c>
      <c r="BH42" s="261">
        <v>1.2781829835834799</v>
      </c>
      <c r="BI42" s="261">
        <v>1.09801456193684</v>
      </c>
      <c r="BJ42" s="261">
        <v>0.91816665018852495</v>
      </c>
      <c r="BK42" s="261">
        <v>0.73863867816934203</v>
      </c>
      <c r="BL42" s="261">
        <v>0.10634283367120199</v>
      </c>
      <c r="BM42" s="261">
        <v>0.22581303444161599</v>
      </c>
      <c r="BN42" s="261">
        <v>0.34542581487760599</v>
      </c>
      <c r="BO42" s="261">
        <v>0.46518134513814302</v>
      </c>
      <c r="BP42" s="262"/>
    </row>
    <row r="43" spans="1:115" ht="13" x14ac:dyDescent="0.6">
      <c r="A43" s="256" t="s">
        <v>965</v>
      </c>
      <c r="B43" s="256" t="s">
        <v>1007</v>
      </c>
      <c r="C43" s="263" t="s">
        <v>405</v>
      </c>
      <c r="D43" s="261">
        <v>18.5646448255143</v>
      </c>
      <c r="E43" s="261">
        <v>14.858771813095199</v>
      </c>
      <c r="F43" s="261">
        <v>11.268730082457999</v>
      </c>
      <c r="G43" s="261">
        <v>7.7908991949656503</v>
      </c>
      <c r="H43" s="261">
        <v>-3.9856724435725202E-2</v>
      </c>
      <c r="I43" s="261">
        <v>-0.35724567164275101</v>
      </c>
      <c r="J43" s="261">
        <v>-0.673626859751839</v>
      </c>
      <c r="K43" s="261">
        <v>-0.98900348855445797</v>
      </c>
      <c r="L43" s="261">
        <v>-1.2166551332756299</v>
      </c>
      <c r="M43" s="261">
        <v>-1.60735452822328</v>
      </c>
      <c r="N43" s="261">
        <v>-1.99650866250568</v>
      </c>
      <c r="O43" s="261">
        <v>-2.3841236478048899</v>
      </c>
      <c r="P43" s="261">
        <v>0.73493918070223696</v>
      </c>
      <c r="Q43" s="261">
        <v>-2.0024990530633802</v>
      </c>
      <c r="R43" s="261">
        <v>-4.6655483196579697</v>
      </c>
      <c r="S43" s="261">
        <v>-7.2562301143498402</v>
      </c>
      <c r="T43" s="261">
        <v>-15.869805464988501</v>
      </c>
      <c r="U43" s="261">
        <v>-14.1200617835082</v>
      </c>
      <c r="V43" s="261">
        <v>-12.333926851920801</v>
      </c>
      <c r="W43" s="261">
        <v>-10.510643803321701</v>
      </c>
      <c r="X43" s="261">
        <v>-9.8266154442234495</v>
      </c>
      <c r="Y43" s="261">
        <v>-7.2294949662482502</v>
      </c>
      <c r="Z43" s="261">
        <v>-4.5575737606487197</v>
      </c>
      <c r="AA43" s="261">
        <v>-1.80869746111778</v>
      </c>
      <c r="AB43" s="261">
        <v>5.9372488320469596</v>
      </c>
      <c r="AC43" s="261">
        <v>5.52282388156996</v>
      </c>
      <c r="AD43" s="261">
        <v>5.1100201553691802</v>
      </c>
      <c r="AE43" s="261">
        <v>4.6988313112395099</v>
      </c>
      <c r="AF43" s="261">
        <v>5.9009665638871001</v>
      </c>
      <c r="AG43" s="261">
        <v>4.5432067005335499</v>
      </c>
      <c r="AH43" s="261">
        <v>3.2028547221725798</v>
      </c>
      <c r="AI43" s="261">
        <v>1.87968744172341</v>
      </c>
      <c r="AJ43" s="261">
        <v>-1.6210932545397101</v>
      </c>
      <c r="AK43" s="261">
        <v>-1.5348936252824601</v>
      </c>
      <c r="AL43" s="261">
        <v>-1.4486184678826901</v>
      </c>
      <c r="AM43" s="261">
        <v>-1.3622677161626799</v>
      </c>
      <c r="AN43" s="261">
        <v>-6.4553276376372004</v>
      </c>
      <c r="AO43" s="261">
        <v>-2.7319068305535801</v>
      </c>
      <c r="AP43" s="261">
        <v>1.13971977122139</v>
      </c>
      <c r="AQ43" s="261">
        <v>5.1654513015002603</v>
      </c>
      <c r="AR43" s="261">
        <v>18.082762501359799</v>
      </c>
      <c r="AS43" s="261">
        <v>16.471459553991298</v>
      </c>
      <c r="AT43" s="261">
        <v>14.882143703919599</v>
      </c>
      <c r="AU43" s="261">
        <v>13.31451492535</v>
      </c>
      <c r="AV43" s="261">
        <v>15.602907923293699</v>
      </c>
      <c r="AW43" s="261">
        <v>11.531567220383399</v>
      </c>
      <c r="AX43" s="261">
        <v>7.6036123147418797</v>
      </c>
      <c r="AY43" s="261">
        <v>3.8139933988588299</v>
      </c>
      <c r="AZ43" s="261">
        <v>-7.2879126913169898</v>
      </c>
      <c r="BA43" s="261">
        <v>-5.9209171023266602</v>
      </c>
      <c r="BB43" s="261">
        <v>-4.53376581417605</v>
      </c>
      <c r="BC43" s="261">
        <v>-3.1261616406767598</v>
      </c>
      <c r="BD43" s="261">
        <v>0.12910176438318399</v>
      </c>
      <c r="BE43" s="261">
        <v>0.33731535224374298</v>
      </c>
      <c r="BF43" s="261">
        <v>0.54596191011419604</v>
      </c>
      <c r="BG43" s="261">
        <v>0.75504233833435896</v>
      </c>
      <c r="BH43" s="261">
        <v>1.55200129345281</v>
      </c>
      <c r="BI43" s="261">
        <v>1.36467801497213</v>
      </c>
      <c r="BJ43" s="261">
        <v>1.17770027385356</v>
      </c>
      <c r="BK43" s="261">
        <v>0.99106743271768905</v>
      </c>
      <c r="BL43" s="261">
        <v>0.46508400812168399</v>
      </c>
      <c r="BM43" s="261">
        <v>0.50258409016754302</v>
      </c>
      <c r="BN43" s="261">
        <v>0.54009816967518198</v>
      </c>
      <c r="BO43" s="261">
        <v>0.57762625186901595</v>
      </c>
      <c r="BP43" s="262"/>
    </row>
    <row r="44" spans="1:115" ht="13" x14ac:dyDescent="0.6">
      <c r="A44" s="256" t="s">
        <v>965</v>
      </c>
      <c r="B44" s="256" t="s">
        <v>1008</v>
      </c>
      <c r="C44" s="264" t="s">
        <v>406</v>
      </c>
      <c r="D44" s="261">
        <v>15.6301303978997</v>
      </c>
      <c r="E44" s="261">
        <v>12.421313813968</v>
      </c>
      <c r="F44" s="261">
        <v>9.3015441232110803</v>
      </c>
      <c r="G44" s="261">
        <v>6.2683502123767303</v>
      </c>
      <c r="H44" s="261">
        <v>-0.83272799206624804</v>
      </c>
      <c r="I44" s="261">
        <v>-0.94095435439216302</v>
      </c>
      <c r="J44" s="261">
        <v>-1.04906260370294</v>
      </c>
      <c r="K44" s="261">
        <v>-1.1570528689013699</v>
      </c>
      <c r="L44" s="261">
        <v>-1.02511959898331</v>
      </c>
      <c r="M44" s="261">
        <v>-1.31199280745693</v>
      </c>
      <c r="N44" s="261">
        <v>-1.59803452982613</v>
      </c>
      <c r="O44" s="261">
        <v>-1.8832471761073699</v>
      </c>
      <c r="P44" s="261">
        <v>0.128892653642769</v>
      </c>
      <c r="Q44" s="261">
        <v>-1.70127897357641</v>
      </c>
      <c r="R44" s="261">
        <v>-3.4979984363274101</v>
      </c>
      <c r="S44" s="261">
        <v>-5.2618771785265697</v>
      </c>
      <c r="T44" s="261">
        <v>-11.232316570996</v>
      </c>
      <c r="U44" s="261">
        <v>-10.0325507651779</v>
      </c>
      <c r="V44" s="261">
        <v>-8.8165691707617793</v>
      </c>
      <c r="W44" s="261">
        <v>-7.5841526184743904</v>
      </c>
      <c r="X44" s="261">
        <v>-7.4369331766913902</v>
      </c>
      <c r="Y44" s="261">
        <v>-5.47867909002494</v>
      </c>
      <c r="Z44" s="261">
        <v>-3.4789963947400602</v>
      </c>
      <c r="AA44" s="261">
        <v>-1.43700863173791</v>
      </c>
      <c r="AB44" s="261">
        <v>4.6213475285160799</v>
      </c>
      <c r="AC44" s="261">
        <v>4.0892206631088399</v>
      </c>
      <c r="AD44" s="261">
        <v>3.55980031035475</v>
      </c>
      <c r="AE44" s="261">
        <v>3.0330727043436698</v>
      </c>
      <c r="AF44" s="261">
        <v>2.9895358027595602</v>
      </c>
      <c r="AG44" s="261">
        <v>2.2391843998641701</v>
      </c>
      <c r="AH44" s="261">
        <v>1.4942998361330999</v>
      </c>
      <c r="AI44" s="261">
        <v>0.75484228178720203</v>
      </c>
      <c r="AJ44" s="261">
        <v>-2.5323389553857898</v>
      </c>
      <c r="AK44" s="261">
        <v>-1.6521371398787099</v>
      </c>
      <c r="AL44" s="261">
        <v>-0.76398648033758298</v>
      </c>
      <c r="AM44" s="261">
        <v>0.13218480691334</v>
      </c>
      <c r="AN44" s="261">
        <v>-0.71689327283651905</v>
      </c>
      <c r="AO44" s="261">
        <v>1.4343414673571</v>
      </c>
      <c r="AP44" s="261">
        <v>3.6321884768478601</v>
      </c>
      <c r="AQ44" s="261">
        <v>5.87765773544323</v>
      </c>
      <c r="AR44" s="261">
        <v>13.794031278074501</v>
      </c>
      <c r="AS44" s="261">
        <v>12.382195761631699</v>
      </c>
      <c r="AT44" s="261">
        <v>10.9878768012255</v>
      </c>
      <c r="AU44" s="261">
        <v>9.6108570700268992</v>
      </c>
      <c r="AV44" s="261">
        <v>10.368145779807101</v>
      </c>
      <c r="AW44" s="261">
        <v>7.6161983505957602</v>
      </c>
      <c r="AX44" s="261">
        <v>4.9328686787964502</v>
      </c>
      <c r="AY44" s="261">
        <v>2.31644583178675</v>
      </c>
      <c r="AZ44" s="261">
        <v>-5.7375549503873602</v>
      </c>
      <c r="BA44" s="261">
        <v>-4.5980094184059297</v>
      </c>
      <c r="BB44" s="261">
        <v>-3.4446878378744299</v>
      </c>
      <c r="BC44" s="261">
        <v>-2.27742366914311</v>
      </c>
      <c r="BD44" s="261">
        <v>-4.6259709567487803E-2</v>
      </c>
      <c r="BE44" s="261">
        <v>0.44257564982327802</v>
      </c>
      <c r="BF44" s="261">
        <v>0.93380171523369604</v>
      </c>
      <c r="BG44" s="261">
        <v>1.4274301786886601</v>
      </c>
      <c r="BH44" s="261">
        <v>3.2040039321034501</v>
      </c>
      <c r="BI44" s="261">
        <v>2.8377554406551799</v>
      </c>
      <c r="BJ44" s="261">
        <v>2.47280668518983</v>
      </c>
      <c r="BK44" s="261">
        <v>2.1091530532278999</v>
      </c>
      <c r="BL44" s="261">
        <v>1.2990761276804199</v>
      </c>
      <c r="BM44" s="261">
        <v>1.2313566045368201</v>
      </c>
      <c r="BN44" s="261">
        <v>1.16368235262363</v>
      </c>
      <c r="BO44" s="261">
        <v>1.0960533416765199</v>
      </c>
      <c r="BP44" s="262"/>
    </row>
    <row r="45" spans="1:115" ht="13" x14ac:dyDescent="0.6">
      <c r="A45" s="220"/>
      <c r="B45" s="220"/>
      <c r="C45" s="222"/>
      <c r="D45" s="227"/>
      <c r="E45" s="227"/>
      <c r="F45" s="227"/>
      <c r="G45" s="227"/>
      <c r="H45" s="227"/>
      <c r="I45" s="227"/>
      <c r="J45" s="227"/>
      <c r="K45" s="227"/>
      <c r="L45" s="227"/>
      <c r="M45" s="227"/>
      <c r="N45" s="227"/>
      <c r="O45" s="227"/>
      <c r="P45" s="227"/>
      <c r="Q45" s="227"/>
      <c r="R45" s="227"/>
      <c r="S45" s="227"/>
      <c r="T45" s="227"/>
      <c r="U45" s="227"/>
      <c r="V45" s="227"/>
      <c r="W45" s="227"/>
      <c r="X45" s="227"/>
      <c r="Y45" s="227"/>
      <c r="Z45" s="227"/>
      <c r="AA45" s="227"/>
      <c r="AB45" s="204"/>
      <c r="AC45" s="204"/>
      <c r="AD45" s="204"/>
      <c r="AE45" s="204"/>
      <c r="AF45" s="204"/>
      <c r="AG45" s="204"/>
      <c r="AH45" s="204"/>
      <c r="AI45" s="204"/>
      <c r="AJ45" s="204"/>
      <c r="AK45" s="204"/>
      <c r="AL45" s="204"/>
      <c r="AM45" s="204"/>
      <c r="AN45" s="204"/>
      <c r="AO45" s="204"/>
      <c r="AP45" s="204"/>
      <c r="AQ45" s="204"/>
      <c r="AR45" s="204"/>
      <c r="AS45" s="204"/>
      <c r="AT45" s="204"/>
      <c r="AU45" s="204"/>
      <c r="AV45" s="204"/>
      <c r="AW45" s="204"/>
      <c r="AX45" s="204"/>
      <c r="AY45" s="204"/>
      <c r="AZ45" s="204"/>
      <c r="BA45" s="204"/>
      <c r="BB45" s="204"/>
      <c r="BC45" s="204"/>
      <c r="BD45" s="204"/>
      <c r="BE45" s="204"/>
      <c r="BF45" s="204"/>
      <c r="BG45" s="204"/>
    </row>
    <row r="46" spans="1:115" ht="13" x14ac:dyDescent="0.6">
      <c r="A46" s="220"/>
      <c r="B46" s="220"/>
      <c r="C46" s="220" t="s">
        <v>414</v>
      </c>
      <c r="D46" s="291" t="s">
        <v>415</v>
      </c>
      <c r="E46" s="291"/>
      <c r="F46" s="291"/>
      <c r="G46" s="291"/>
      <c r="H46" s="291"/>
      <c r="I46" s="291"/>
      <c r="J46" s="291"/>
      <c r="K46" s="291"/>
      <c r="L46" s="291"/>
      <c r="M46" s="291"/>
      <c r="N46" s="291"/>
      <c r="O46" s="291"/>
      <c r="P46" s="291"/>
      <c r="Q46" s="291"/>
      <c r="R46" s="291"/>
      <c r="S46" s="291"/>
      <c r="T46" s="291"/>
      <c r="U46" s="291"/>
      <c r="V46" s="291"/>
      <c r="W46" s="291"/>
      <c r="X46" s="291"/>
      <c r="Y46" s="291"/>
      <c r="Z46" s="291"/>
      <c r="AA46" s="291"/>
      <c r="AB46" s="291"/>
      <c r="AC46" s="291"/>
      <c r="AD46" s="291"/>
      <c r="AE46" s="291"/>
      <c r="AF46" s="291"/>
      <c r="AG46" s="291"/>
      <c r="AH46" s="291"/>
      <c r="AI46" s="291"/>
      <c r="AJ46" s="291"/>
      <c r="AK46" s="291"/>
      <c r="AL46" s="291"/>
      <c r="AM46" s="291"/>
      <c r="AN46" s="291"/>
      <c r="AO46" s="291"/>
      <c r="AP46" s="291"/>
      <c r="AQ46" s="291"/>
      <c r="AR46" s="291"/>
      <c r="AS46" s="291"/>
      <c r="AT46" s="291"/>
      <c r="AU46" s="291"/>
      <c r="AV46" s="291"/>
      <c r="AW46" s="291"/>
      <c r="AX46" s="291"/>
      <c r="AY46" s="291"/>
      <c r="AZ46" s="291"/>
      <c r="BA46" s="291"/>
      <c r="BB46" s="291"/>
      <c r="BC46" s="291"/>
      <c r="BD46" s="291"/>
      <c r="BE46" s="291"/>
      <c r="BF46" s="291"/>
      <c r="BG46" s="291"/>
      <c r="BH46" s="291" t="s">
        <v>415</v>
      </c>
      <c r="BI46" s="291"/>
      <c r="BJ46" s="291"/>
      <c r="BK46" s="291"/>
      <c r="BL46" s="291"/>
      <c r="BM46" s="291"/>
      <c r="BN46" s="291"/>
      <c r="BO46" s="291"/>
      <c r="BP46" s="291"/>
      <c r="BQ46" s="291"/>
      <c r="BR46" s="291"/>
      <c r="BS46" s="291"/>
      <c r="BT46" s="291"/>
      <c r="BU46" s="291"/>
      <c r="BV46" s="291"/>
      <c r="BW46" s="291"/>
      <c r="BX46" s="291"/>
      <c r="BY46" s="291"/>
      <c r="BZ46" s="291"/>
      <c r="CA46" s="291"/>
      <c r="CB46" s="291"/>
      <c r="CC46" s="291"/>
      <c r="CD46" s="291"/>
      <c r="CE46" s="291"/>
      <c r="CF46" s="291"/>
      <c r="CG46" s="291"/>
      <c r="CH46" s="291"/>
      <c r="CI46" s="291"/>
      <c r="CJ46" s="291"/>
      <c r="CK46" s="291"/>
      <c r="CL46" s="291"/>
      <c r="CM46" s="291"/>
      <c r="CN46" s="291"/>
      <c r="CO46" s="291"/>
      <c r="CP46" s="291"/>
      <c r="CQ46" s="291"/>
      <c r="CR46" s="291"/>
      <c r="CS46" s="291"/>
      <c r="CT46" s="291"/>
      <c r="CU46" s="291"/>
      <c r="CV46" s="291"/>
      <c r="CW46" s="291"/>
      <c r="CX46" s="291"/>
      <c r="CY46" s="291"/>
      <c r="CZ46" s="291"/>
      <c r="DA46" s="291"/>
      <c r="DB46" s="291"/>
      <c r="DC46" s="291"/>
      <c r="DD46" s="291"/>
      <c r="DE46" s="291"/>
      <c r="DF46" s="291"/>
      <c r="DG46" s="291"/>
      <c r="DH46" s="291"/>
      <c r="DI46" s="291"/>
      <c r="DJ46" s="291"/>
      <c r="DK46" s="291"/>
    </row>
    <row r="47" spans="1:115" ht="13" x14ac:dyDescent="0.6">
      <c r="A47" s="256" t="s">
        <v>965</v>
      </c>
      <c r="B47" s="256" t="s">
        <v>1009</v>
      </c>
      <c r="C47" s="260" t="s">
        <v>404</v>
      </c>
      <c r="D47" s="261">
        <v>12.904370887574601</v>
      </c>
      <c r="E47" s="261">
        <v>11.30001621377</v>
      </c>
      <c r="F47" s="261">
        <v>9.7184591863197092</v>
      </c>
      <c r="G47" s="261">
        <v>8.1593758539879708</v>
      </c>
      <c r="H47" s="261">
        <v>6.1717036709607198</v>
      </c>
      <c r="I47" s="261">
        <v>4.9382084137720703</v>
      </c>
      <c r="J47" s="261">
        <v>3.7190438162311099</v>
      </c>
      <c r="K47" s="261">
        <v>2.5140433857592299</v>
      </c>
      <c r="L47" s="261">
        <v>-0.88772210561823595</v>
      </c>
      <c r="M47" s="261">
        <v>-0.61183901591750101</v>
      </c>
      <c r="N47" s="261">
        <v>-0.33518799432387902</v>
      </c>
      <c r="O47" s="261">
        <v>-5.7766903267501203E-2</v>
      </c>
      <c r="P47" s="261">
        <v>3.1469494926208599</v>
      </c>
      <c r="Q47" s="261">
        <v>1.47600239080555</v>
      </c>
      <c r="R47" s="261">
        <v>-0.167875910324817</v>
      </c>
      <c r="S47" s="261">
        <v>-1.78512391655522</v>
      </c>
      <c r="T47" s="261">
        <v>-5.99880891946896</v>
      </c>
      <c r="U47" s="261">
        <v>-5.7433944740423701</v>
      </c>
      <c r="V47" s="261">
        <v>-5.4872860316762599</v>
      </c>
      <c r="W47" s="261">
        <v>-5.2304817066832801</v>
      </c>
      <c r="X47" s="261">
        <v>-5.6088907097772696</v>
      </c>
      <c r="Y47" s="261">
        <v>-4.9685472492310803</v>
      </c>
      <c r="Z47" s="261">
        <v>-4.32385973816403</v>
      </c>
      <c r="AA47" s="261">
        <v>-3.67479870680571</v>
      </c>
      <c r="AB47" s="261">
        <v>-6.5233510368982603</v>
      </c>
      <c r="AC47" s="261">
        <v>-3.4896667390894298</v>
      </c>
      <c r="AD47" s="261">
        <v>-0.35752747396155499</v>
      </c>
      <c r="AE47" s="261">
        <v>2.87626200876164</v>
      </c>
      <c r="AF47" s="261">
        <v>15.4731243929723</v>
      </c>
      <c r="AG47" s="261">
        <v>12.722835865290101</v>
      </c>
      <c r="AH47" s="261">
        <v>10.038052510567301</v>
      </c>
      <c r="AI47" s="261">
        <v>7.4172141551560902</v>
      </c>
      <c r="AJ47" s="261">
        <v>2.2379870509489299</v>
      </c>
      <c r="AK47" s="261">
        <v>1.4695874948515999</v>
      </c>
      <c r="AL47" s="261">
        <v>0.706963070824284</v>
      </c>
      <c r="AM47" s="261">
        <v>-4.9929625830473903E-2</v>
      </c>
      <c r="AN47" s="261">
        <v>-5.0683551027442197</v>
      </c>
      <c r="AO47" s="261">
        <v>-2.9848847365541</v>
      </c>
      <c r="AP47" s="261">
        <v>-0.85568832430750097</v>
      </c>
      <c r="AQ47" s="261">
        <v>1.32023768620448</v>
      </c>
      <c r="AR47" s="261">
        <v>6.7726776858897901</v>
      </c>
      <c r="AS47" s="261">
        <v>6.9103393190908804</v>
      </c>
      <c r="AT47" s="261">
        <v>7.0481784389456301</v>
      </c>
      <c r="AU47" s="261">
        <v>7.1861952742866801</v>
      </c>
      <c r="AV47" s="261">
        <v>9.0022925421828095</v>
      </c>
      <c r="AW47" s="261">
        <v>8.0414995529878404</v>
      </c>
      <c r="AX47" s="261">
        <v>7.0891754055626697</v>
      </c>
      <c r="AY47" s="261">
        <v>6.1452454519012401</v>
      </c>
      <c r="AZ47" s="261">
        <v>4.70570819815444</v>
      </c>
      <c r="BA47" s="261">
        <v>4.1017993766460403</v>
      </c>
      <c r="BB47" s="261">
        <v>3.5013737068298201</v>
      </c>
      <c r="BC47" s="261">
        <v>2.90441109900808</v>
      </c>
      <c r="BD47" s="261">
        <v>1.76563973064802</v>
      </c>
      <c r="BE47" s="261">
        <v>1.50238595655156</v>
      </c>
      <c r="BF47" s="261">
        <v>1.2398131839187101</v>
      </c>
      <c r="BG47" s="261">
        <v>0.977919651091538</v>
      </c>
      <c r="BH47" s="261">
        <v>0.100249375557391</v>
      </c>
      <c r="BI47" s="261">
        <v>0.251085444604979</v>
      </c>
      <c r="BJ47" s="261">
        <v>0.40214880099552702</v>
      </c>
      <c r="BK47" s="261">
        <v>0.55343978721725096</v>
      </c>
      <c r="BL47" s="261">
        <v>0.84322272275628296</v>
      </c>
      <c r="BM47" s="261">
        <v>0.89922973814041596</v>
      </c>
      <c r="BN47" s="261">
        <v>0.95526785909303902</v>
      </c>
      <c r="BO47" s="261">
        <v>1.01133710288978</v>
      </c>
      <c r="BP47" s="261"/>
    </row>
    <row r="48" spans="1:115" ht="13" x14ac:dyDescent="0.6">
      <c r="A48" s="256" t="s">
        <v>965</v>
      </c>
      <c r="B48" s="256" t="s">
        <v>1010</v>
      </c>
      <c r="C48" s="263" t="s">
        <v>405</v>
      </c>
      <c r="D48" s="261">
        <v>14.423572171641201</v>
      </c>
      <c r="E48" s="261">
        <v>12.8762371184297</v>
      </c>
      <c r="F48" s="261">
        <v>11.349826475472801</v>
      </c>
      <c r="G48" s="261">
        <v>9.8440572846976693</v>
      </c>
      <c r="H48" s="261">
        <v>8.8043131326497406</v>
      </c>
      <c r="I48" s="261">
        <v>7.0275549888754201</v>
      </c>
      <c r="J48" s="261">
        <v>5.2798110395808999</v>
      </c>
      <c r="K48" s="261">
        <v>3.5606074873139999</v>
      </c>
      <c r="L48" s="261">
        <v>-1.0077683008357801</v>
      </c>
      <c r="M48" s="261">
        <v>-0.77763931456387003</v>
      </c>
      <c r="N48" s="261">
        <v>-0.54697534338038001</v>
      </c>
      <c r="O48" s="261">
        <v>-0.31577514359648801</v>
      </c>
      <c r="P48" s="261">
        <v>2.4176709765134801</v>
      </c>
      <c r="Q48" s="261">
        <v>0.97769557287872799</v>
      </c>
      <c r="R48" s="261">
        <v>-0.44203401630526901</v>
      </c>
      <c r="S48" s="261">
        <v>-1.8418024438190099</v>
      </c>
      <c r="T48" s="261">
        <v>-5.9026740764688297</v>
      </c>
      <c r="U48" s="261">
        <v>-5.3837374613354001</v>
      </c>
      <c r="V48" s="261">
        <v>-4.8619389666758304</v>
      </c>
      <c r="W48" s="261">
        <v>-4.3372628095329402</v>
      </c>
      <c r="X48" s="261">
        <v>-3.0127866695911298</v>
      </c>
      <c r="Y48" s="261">
        <v>-3.0518631560184999</v>
      </c>
      <c r="Z48" s="261">
        <v>-3.0909238983932399</v>
      </c>
      <c r="AA48" s="261">
        <v>-3.1299689030586602</v>
      </c>
      <c r="AB48" s="261">
        <v>-8.2623434334547596</v>
      </c>
      <c r="AC48" s="261">
        <v>-4.8736558902607499</v>
      </c>
      <c r="AD48" s="261">
        <v>-1.3597939781633801</v>
      </c>
      <c r="AE48" s="261">
        <v>2.2838661055431602</v>
      </c>
      <c r="AF48" s="261">
        <v>15.9380613722421</v>
      </c>
      <c r="AG48" s="261">
        <v>13.236072873544799</v>
      </c>
      <c r="AH48" s="261">
        <v>10.597055428190099</v>
      </c>
      <c r="AI48" s="261">
        <v>8.0195414675478602</v>
      </c>
      <c r="AJ48" s="261">
        <v>3.9453666796440698</v>
      </c>
      <c r="AK48" s="261">
        <v>2.5132768223077702</v>
      </c>
      <c r="AL48" s="261">
        <v>1.1009173428132499</v>
      </c>
      <c r="AM48" s="261">
        <v>-0.29198359081147401</v>
      </c>
      <c r="AN48" s="261">
        <v>-9.5716280277367307</v>
      </c>
      <c r="AO48" s="261">
        <v>-5.71292739297943</v>
      </c>
      <c r="AP48" s="261">
        <v>-1.6895707961173101</v>
      </c>
      <c r="AQ48" s="261">
        <v>2.5054678549007399</v>
      </c>
      <c r="AR48" s="261">
        <v>15.3599118775119</v>
      </c>
      <c r="AS48" s="261">
        <v>14.332137652755801</v>
      </c>
      <c r="AT48" s="261">
        <v>13.313520160523799</v>
      </c>
      <c r="AU48" s="261">
        <v>12.3039778208847</v>
      </c>
      <c r="AV48" s="261">
        <v>14.0808249584252</v>
      </c>
      <c r="AW48" s="261">
        <v>11.212243346776599</v>
      </c>
      <c r="AX48" s="261">
        <v>8.4157927042518903</v>
      </c>
      <c r="AY48" s="261">
        <v>5.6896592854494399</v>
      </c>
      <c r="AZ48" s="261">
        <v>-1.68320099789166</v>
      </c>
      <c r="BA48" s="261">
        <v>-1.1497074089829999</v>
      </c>
      <c r="BB48" s="261">
        <v>-0.61331893931850801</v>
      </c>
      <c r="BC48" s="261">
        <v>-7.4019880490881707E-2</v>
      </c>
      <c r="BD48" s="261">
        <v>1.6885833189610699</v>
      </c>
      <c r="BE48" s="261">
        <v>1.4223556269475499</v>
      </c>
      <c r="BF48" s="261">
        <v>1.15682493730825</v>
      </c>
      <c r="BG48" s="261">
        <v>0.89198942524300895</v>
      </c>
      <c r="BH48" s="261">
        <v>1.6722346506737699E-2</v>
      </c>
      <c r="BI48" s="261">
        <v>0.15761219326277101</v>
      </c>
      <c r="BJ48" s="261">
        <v>0.29870050631964501</v>
      </c>
      <c r="BK48" s="261">
        <v>0.43998756524970001</v>
      </c>
      <c r="BL48" s="261">
        <v>0.66586863500016202</v>
      </c>
      <c r="BM48" s="261">
        <v>0.74794881034875105</v>
      </c>
      <c r="BN48" s="261">
        <v>0.83009591161054297</v>
      </c>
      <c r="BO48" s="261">
        <v>0.91230999335502105</v>
      </c>
      <c r="BP48" s="261"/>
    </row>
    <row r="49" spans="1:115" ht="13" x14ac:dyDescent="0.6">
      <c r="A49" s="256" t="s">
        <v>965</v>
      </c>
      <c r="B49" s="256" t="s">
        <v>1011</v>
      </c>
      <c r="C49" s="264" t="s">
        <v>406</v>
      </c>
      <c r="D49" s="261">
        <v>12.1535283037</v>
      </c>
      <c r="E49" s="261">
        <v>10.9980948638154</v>
      </c>
      <c r="F49" s="261">
        <v>9.8545649855413195</v>
      </c>
      <c r="G49" s="261">
        <v>8.7228160354364199</v>
      </c>
      <c r="H49" s="261">
        <v>8.5672744860418693</v>
      </c>
      <c r="I49" s="261">
        <v>6.8170191537776299</v>
      </c>
      <c r="J49" s="261">
        <v>5.0949803696640696</v>
      </c>
      <c r="K49" s="261">
        <v>3.4007032437346201</v>
      </c>
      <c r="L49" s="261">
        <v>-1.4415377170522199</v>
      </c>
      <c r="M49" s="261">
        <v>-1.0063071845734199</v>
      </c>
      <c r="N49" s="261">
        <v>-0.569154690123989</v>
      </c>
      <c r="O49" s="261">
        <v>-0.13007174639049901</v>
      </c>
      <c r="P49" s="261">
        <v>1.3141664229649099</v>
      </c>
      <c r="Q49" s="261">
        <v>1.1176672360052899</v>
      </c>
      <c r="R49" s="261">
        <v>0.92154915991919095</v>
      </c>
      <c r="S49" s="261">
        <v>0.72581145554071802</v>
      </c>
      <c r="T49" s="261">
        <v>0.92430296525140399</v>
      </c>
      <c r="U49" s="261">
        <v>0.54290735979236604</v>
      </c>
      <c r="V49" s="261">
        <v>0.16295305839593799</v>
      </c>
      <c r="W49" s="261">
        <v>-0.21556538566421901</v>
      </c>
      <c r="X49" s="261">
        <v>0.52909326739581497</v>
      </c>
      <c r="Y49" s="261">
        <v>-0.63835065471778396</v>
      </c>
      <c r="Z49" s="261">
        <v>-1.7922370556503999</v>
      </c>
      <c r="AA49" s="261">
        <v>-2.93272337883641</v>
      </c>
      <c r="AB49" s="261">
        <v>-10.9072999829768</v>
      </c>
      <c r="AC49" s="261">
        <v>-7.3783090336962402</v>
      </c>
      <c r="AD49" s="261">
        <v>-3.7095336001903898</v>
      </c>
      <c r="AE49" s="261">
        <v>0.104563226620394</v>
      </c>
      <c r="AF49" s="261">
        <v>13.020734184167701</v>
      </c>
      <c r="AG49" s="261">
        <v>11.066293160322401</v>
      </c>
      <c r="AH49" s="261">
        <v>9.1456498262837798</v>
      </c>
      <c r="AI49" s="261">
        <v>7.2582197265364599</v>
      </c>
      <c r="AJ49" s="261">
        <v>3.8272312493148402</v>
      </c>
      <c r="AK49" s="261">
        <v>3.0685686333627298</v>
      </c>
      <c r="AL49" s="261">
        <v>2.31544954349634</v>
      </c>
      <c r="AM49" s="261">
        <v>1.56783347332876</v>
      </c>
      <c r="AN49" s="261">
        <v>-3.91853047693085</v>
      </c>
      <c r="AO49" s="261">
        <v>-1.54268471500895</v>
      </c>
      <c r="AP49" s="261">
        <v>0.89190955599018995</v>
      </c>
      <c r="AQ49" s="261">
        <v>3.38670503445916</v>
      </c>
      <c r="AR49" s="261">
        <v>10.902546659492801</v>
      </c>
      <c r="AS49" s="261">
        <v>10.2415422593389</v>
      </c>
      <c r="AT49" s="261">
        <v>9.58447759573939</v>
      </c>
      <c r="AU49" s="261">
        <v>8.9313291869678899</v>
      </c>
      <c r="AV49" s="261">
        <v>10.0192237649175</v>
      </c>
      <c r="AW49" s="261">
        <v>8.2029673522758504</v>
      </c>
      <c r="AX49" s="261">
        <v>6.4166946755992296</v>
      </c>
      <c r="AY49" s="261">
        <v>4.6599107472770598</v>
      </c>
      <c r="AZ49" s="261">
        <v>0.15070644892947099</v>
      </c>
      <c r="BA49" s="261">
        <v>0.29666285282382199</v>
      </c>
      <c r="BB49" s="261">
        <v>0.442831968865671</v>
      </c>
      <c r="BC49" s="261">
        <v>0.58921410705482402</v>
      </c>
      <c r="BD49" s="261">
        <v>0.22755694365211801</v>
      </c>
      <c r="BE49" s="261">
        <v>0.70477183161096202</v>
      </c>
      <c r="BF49" s="261">
        <v>1.18425888958209</v>
      </c>
      <c r="BG49" s="261">
        <v>1.6660289360807199</v>
      </c>
      <c r="BH49" s="261">
        <v>3.0614732740916799</v>
      </c>
      <c r="BI49" s="261">
        <v>2.9432723348971002</v>
      </c>
      <c r="BJ49" s="261">
        <v>2.8252069600562302</v>
      </c>
      <c r="BK49" s="261">
        <v>2.7072769940909298</v>
      </c>
      <c r="BL49" s="261">
        <v>2.8181369757378101</v>
      </c>
      <c r="BM49" s="261">
        <v>2.5439247803574498</v>
      </c>
      <c r="BN49" s="261">
        <v>2.2704438988319802</v>
      </c>
      <c r="BO49" s="261">
        <v>1.99769238077393</v>
      </c>
      <c r="BP49" s="261"/>
    </row>
    <row r="50" spans="1:115" ht="13" x14ac:dyDescent="0.6">
      <c r="A50" s="220"/>
      <c r="B50" s="220"/>
      <c r="C50" s="221"/>
      <c r="D50" s="204"/>
      <c r="E50" s="204"/>
      <c r="F50" s="204"/>
      <c r="G50" s="204"/>
      <c r="H50" s="204"/>
      <c r="I50" s="204"/>
      <c r="J50" s="204"/>
      <c r="K50" s="204"/>
      <c r="L50" s="204"/>
      <c r="M50" s="204"/>
      <c r="N50" s="204"/>
      <c r="O50" s="204"/>
      <c r="P50" s="204"/>
      <c r="Q50" s="204"/>
      <c r="R50" s="204"/>
      <c r="S50" s="204"/>
      <c r="T50" s="204"/>
      <c r="U50" s="204"/>
      <c r="V50" s="204"/>
      <c r="W50" s="204"/>
      <c r="X50" s="204"/>
      <c r="Y50" s="204"/>
      <c r="Z50" s="204"/>
      <c r="AA50" s="204"/>
      <c r="AB50" s="204"/>
      <c r="AC50" s="204"/>
      <c r="AD50" s="204"/>
      <c r="AE50" s="204"/>
      <c r="AF50" s="204"/>
      <c r="AG50" s="204"/>
      <c r="AH50" s="204"/>
      <c r="AI50" s="204"/>
      <c r="AJ50" s="204"/>
      <c r="AK50" s="204"/>
      <c r="AL50" s="204"/>
      <c r="AM50" s="204"/>
      <c r="AN50" s="204"/>
      <c r="AO50" s="204"/>
      <c r="AP50" s="204"/>
      <c r="AQ50" s="204"/>
      <c r="AR50" s="204"/>
      <c r="AS50" s="204"/>
      <c r="AT50" s="204"/>
      <c r="AU50" s="204"/>
      <c r="AV50" s="204"/>
      <c r="AW50" s="204"/>
      <c r="AX50" s="204"/>
      <c r="AY50" s="204"/>
      <c r="AZ50" s="204"/>
      <c r="BA50" s="204"/>
      <c r="BB50" s="204"/>
      <c r="BC50" s="204"/>
      <c r="BD50" s="204"/>
      <c r="BE50" s="204"/>
      <c r="BF50" s="204"/>
      <c r="BG50" s="204"/>
    </row>
    <row r="51" spans="1:115" ht="13" x14ac:dyDescent="0.6">
      <c r="A51" s="220"/>
      <c r="B51" s="220"/>
      <c r="C51" s="219" t="s">
        <v>399</v>
      </c>
      <c r="D51" s="291" t="s">
        <v>415</v>
      </c>
      <c r="E51" s="291"/>
      <c r="F51" s="291"/>
      <c r="G51" s="291"/>
      <c r="H51" s="291"/>
      <c r="I51" s="291"/>
      <c r="J51" s="291"/>
      <c r="K51" s="291"/>
      <c r="L51" s="291"/>
      <c r="M51" s="291"/>
      <c r="N51" s="291"/>
      <c r="O51" s="291"/>
      <c r="P51" s="291"/>
      <c r="Q51" s="291"/>
      <c r="R51" s="291"/>
      <c r="S51" s="291"/>
      <c r="T51" s="291"/>
      <c r="U51" s="291"/>
      <c r="V51" s="291"/>
      <c r="W51" s="291"/>
      <c r="X51" s="291"/>
      <c r="Y51" s="291"/>
      <c r="Z51" s="291"/>
      <c r="AA51" s="291"/>
      <c r="AB51" s="291"/>
      <c r="AC51" s="291"/>
      <c r="AD51" s="291"/>
      <c r="AE51" s="291"/>
      <c r="AF51" s="291"/>
      <c r="AG51" s="291"/>
      <c r="AH51" s="291"/>
      <c r="AI51" s="291"/>
      <c r="AJ51" s="291"/>
      <c r="AK51" s="291"/>
      <c r="AL51" s="291"/>
      <c r="AM51" s="291"/>
      <c r="AN51" s="291"/>
      <c r="AO51" s="291"/>
      <c r="AP51" s="291"/>
      <c r="AQ51" s="291"/>
      <c r="AR51" s="291"/>
      <c r="AS51" s="291"/>
      <c r="AT51" s="291"/>
      <c r="AU51" s="291"/>
      <c r="AV51" s="291"/>
      <c r="AW51" s="291"/>
      <c r="AX51" s="291"/>
      <c r="AY51" s="291"/>
      <c r="AZ51" s="291"/>
      <c r="BA51" s="291"/>
      <c r="BB51" s="291"/>
      <c r="BC51" s="291"/>
      <c r="BD51" s="291"/>
      <c r="BE51" s="291"/>
      <c r="BF51" s="291"/>
      <c r="BG51" s="291"/>
      <c r="BH51" s="291" t="s">
        <v>415</v>
      </c>
      <c r="BI51" s="291"/>
      <c r="BJ51" s="291"/>
      <c r="BK51" s="291"/>
      <c r="BL51" s="291"/>
      <c r="BM51" s="291"/>
      <c r="BN51" s="291"/>
      <c r="BO51" s="291"/>
      <c r="BP51" s="291"/>
      <c r="BQ51" s="291"/>
      <c r="BR51" s="291"/>
      <c r="BS51" s="291"/>
      <c r="BT51" s="291"/>
      <c r="BU51" s="291"/>
      <c r="BV51" s="291"/>
      <c r="BW51" s="291"/>
      <c r="BX51" s="291"/>
      <c r="BY51" s="291"/>
      <c r="BZ51" s="291"/>
      <c r="CA51" s="291"/>
      <c r="CB51" s="291"/>
      <c r="CC51" s="291"/>
      <c r="CD51" s="291"/>
      <c r="CE51" s="291"/>
      <c r="CF51" s="291"/>
      <c r="CG51" s="291"/>
      <c r="CH51" s="291"/>
      <c r="CI51" s="291"/>
      <c r="CJ51" s="291"/>
      <c r="CK51" s="291"/>
      <c r="CL51" s="291"/>
      <c r="CM51" s="291"/>
      <c r="CN51" s="291"/>
      <c r="CO51" s="291"/>
      <c r="CP51" s="291"/>
      <c r="CQ51" s="291"/>
      <c r="CR51" s="291"/>
      <c r="CS51" s="291"/>
      <c r="CT51" s="291"/>
      <c r="CU51" s="291"/>
      <c r="CV51" s="291"/>
      <c r="CW51" s="291"/>
      <c r="CX51" s="291"/>
      <c r="CY51" s="291"/>
      <c r="CZ51" s="291"/>
      <c r="DA51" s="291"/>
      <c r="DB51" s="291"/>
      <c r="DC51" s="291"/>
      <c r="DD51" s="291"/>
      <c r="DE51" s="291"/>
      <c r="DF51" s="291"/>
      <c r="DG51" s="291"/>
      <c r="DH51" s="291"/>
      <c r="DI51" s="291"/>
      <c r="DJ51" s="291"/>
      <c r="DK51" s="291"/>
    </row>
    <row r="52" spans="1:115" ht="13" x14ac:dyDescent="0.6">
      <c r="A52" s="220"/>
      <c r="B52" s="220"/>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c r="AA52" s="204"/>
      <c r="AB52" s="204"/>
      <c r="AC52" s="204"/>
      <c r="AD52" s="204"/>
      <c r="AE52" s="204"/>
      <c r="AF52" s="204"/>
      <c r="AG52" s="204"/>
      <c r="AH52" s="204"/>
      <c r="AI52" s="204"/>
      <c r="AJ52" s="204"/>
      <c r="AK52" s="204"/>
      <c r="AL52" s="204"/>
      <c r="AM52" s="204"/>
      <c r="AN52" s="204"/>
      <c r="AO52" s="204"/>
      <c r="AP52" s="204"/>
      <c r="AQ52" s="204"/>
      <c r="AR52" s="204"/>
      <c r="AS52" s="204"/>
      <c r="AT52" s="204"/>
      <c r="AU52" s="204"/>
      <c r="AV52" s="204"/>
      <c r="AW52" s="204"/>
      <c r="AX52" s="204"/>
      <c r="AY52" s="204"/>
      <c r="AZ52" s="204"/>
      <c r="BA52" s="204"/>
      <c r="BB52" s="204"/>
      <c r="BC52" s="204"/>
      <c r="BD52" s="204"/>
      <c r="BE52" s="204"/>
      <c r="BF52" s="204"/>
      <c r="BG52" s="204"/>
    </row>
    <row r="53" spans="1:115" ht="13" x14ac:dyDescent="0.6">
      <c r="A53" s="256" t="s">
        <v>965</v>
      </c>
      <c r="B53" s="256" t="s">
        <v>1012</v>
      </c>
      <c r="C53" s="260" t="s">
        <v>416</v>
      </c>
      <c r="D53" s="261">
        <v>3.2884234892343902</v>
      </c>
      <c r="E53" s="261">
        <v>12.687937723715301</v>
      </c>
      <c r="F53" s="261">
        <v>9.73962392409911</v>
      </c>
      <c r="G53" s="261">
        <v>3.22614863096195</v>
      </c>
      <c r="H53" s="261">
        <v>1.34136295893422</v>
      </c>
      <c r="I53" s="261">
        <v>-2.0788520665802399</v>
      </c>
      <c r="J53" s="261">
        <v>-2.6709097953822001</v>
      </c>
      <c r="K53" s="261">
        <v>1.74471439868171</v>
      </c>
      <c r="L53" s="261">
        <v>4.1123903531294603</v>
      </c>
      <c r="M53" s="261">
        <v>2.8085338134601199</v>
      </c>
      <c r="N53" s="261">
        <v>4.1926256927257297</v>
      </c>
      <c r="O53" s="261">
        <v>4.8613651629790997</v>
      </c>
      <c r="P53" s="261">
        <v>3.9672063247405598</v>
      </c>
      <c r="Q53" s="261">
        <v>4.3922243855402296</v>
      </c>
      <c r="R53" s="261">
        <v>1.5866456637713899</v>
      </c>
      <c r="S53" s="261">
        <v>-4.81720675481459</v>
      </c>
      <c r="T53" s="261">
        <v>-10.4971238138318</v>
      </c>
      <c r="U53" s="261">
        <v>-10.6165012562796</v>
      </c>
      <c r="V53" s="261">
        <v>-8.8689978495547201</v>
      </c>
      <c r="W53" s="261">
        <v>-6.2020669575743597</v>
      </c>
      <c r="X53" s="261">
        <v>-2.4217703891471198</v>
      </c>
      <c r="Y53" s="261">
        <v>-0.76287453089906698</v>
      </c>
      <c r="Z53" s="261">
        <v>-2.5863100419023199</v>
      </c>
      <c r="AA53" s="261">
        <v>-4.5184924872620096</v>
      </c>
      <c r="AB53" s="261">
        <v>-4.4208866170293097</v>
      </c>
      <c r="AC53" s="261">
        <v>-3.1180042786267199</v>
      </c>
      <c r="AD53" s="261">
        <v>2.26330870435612</v>
      </c>
      <c r="AE53" s="261">
        <v>5.9732287235217099</v>
      </c>
      <c r="AF53" s="261">
        <v>10.690062538886499</v>
      </c>
      <c r="AG53" s="261">
        <v>5.8052473557544397</v>
      </c>
      <c r="AH53" s="261">
        <v>0.82364665082072896</v>
      </c>
      <c r="AI53" s="261">
        <v>9.2769071410266996E-2</v>
      </c>
      <c r="AJ53" s="261">
        <v>-2.6814915957354701</v>
      </c>
      <c r="AK53" s="261">
        <v>-0.60330492099169297</v>
      </c>
      <c r="AL53" s="261">
        <v>-8.8346835574150601E-2</v>
      </c>
      <c r="AM53" s="261">
        <v>2.1832503781962802</v>
      </c>
      <c r="AN53" s="261">
        <v>3.8678405810822398</v>
      </c>
      <c r="AO53" s="261">
        <v>5.59241355753805</v>
      </c>
      <c r="AP53" s="261">
        <v>6.9410502994104499</v>
      </c>
      <c r="AQ53" s="261">
        <v>6.6321203887159097</v>
      </c>
      <c r="AR53" s="261">
        <v>3.4598295416834501</v>
      </c>
      <c r="AS53" s="261">
        <v>1.3893797881329899</v>
      </c>
      <c r="AT53" s="261">
        <v>0.370169186237292</v>
      </c>
      <c r="AU53" s="261">
        <v>-2.1883825669760402</v>
      </c>
      <c r="AV53" s="261">
        <v>-1.13416663177262</v>
      </c>
      <c r="AW53" s="261">
        <v>-4.4689592688926503</v>
      </c>
      <c r="AX53" s="261">
        <v>-6.6843853629558598</v>
      </c>
      <c r="AY53" s="261">
        <v>-4.36203448150901</v>
      </c>
      <c r="AZ53" s="261">
        <v>-0.479062571177647</v>
      </c>
      <c r="BA53" s="261">
        <v>5.3851425646140099</v>
      </c>
      <c r="BB53" s="261">
        <v>9.5176922957171097</v>
      </c>
      <c r="BC53" s="261">
        <v>7.5122786018632404</v>
      </c>
      <c r="BD53" s="261">
        <v>4.3968226474201701</v>
      </c>
      <c r="BE53" s="261">
        <v>1.5712058556523001</v>
      </c>
      <c r="BF53" s="261">
        <v>3.16724430302907</v>
      </c>
      <c r="BG53" s="261">
        <v>2.63961789080038</v>
      </c>
      <c r="BH53" s="261">
        <v>0.282058946123452</v>
      </c>
      <c r="BI53" s="261">
        <v>6.97115625736508</v>
      </c>
      <c r="BJ53" s="261">
        <v>5.8186918758573203</v>
      </c>
      <c r="BK53" s="261">
        <v>6.2927329937827503</v>
      </c>
      <c r="BL53" s="261">
        <v>9.4987223465561605</v>
      </c>
      <c r="BM53" s="261">
        <v>4.1341283996185902</v>
      </c>
      <c r="BN53" s="261">
        <v>3.1892690820444001</v>
      </c>
      <c r="BO53" s="261">
        <v>4.2595713360301399</v>
      </c>
      <c r="BP53" s="262"/>
    </row>
    <row r="54" spans="1:115" ht="13" x14ac:dyDescent="0.6">
      <c r="A54" s="220"/>
      <c r="B54" s="220"/>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c r="AA54" s="204"/>
      <c r="AB54" s="204"/>
      <c r="AC54" s="204"/>
      <c r="AD54" s="204"/>
      <c r="AE54" s="204"/>
      <c r="AF54" s="204"/>
      <c r="AG54" s="204"/>
      <c r="AH54" s="204"/>
      <c r="AI54" s="204"/>
      <c r="AJ54" s="204"/>
      <c r="AK54" s="204"/>
      <c r="AL54" s="204"/>
      <c r="AM54" s="204"/>
      <c r="AN54" s="204"/>
      <c r="AO54" s="204"/>
      <c r="AP54" s="204"/>
      <c r="AQ54" s="204"/>
      <c r="AR54" s="204"/>
      <c r="AS54" s="204"/>
      <c r="AT54" s="204"/>
      <c r="AU54" s="204"/>
      <c r="AV54" s="204"/>
      <c r="AW54" s="204"/>
      <c r="AX54" s="204"/>
      <c r="AY54" s="204"/>
      <c r="AZ54" s="204"/>
      <c r="BA54" s="204"/>
      <c r="BB54" s="204"/>
      <c r="BC54" s="204"/>
      <c r="BD54" s="204"/>
      <c r="BE54" s="204"/>
      <c r="BF54" s="204"/>
      <c r="BG54" s="204"/>
    </row>
    <row r="55" spans="1:115" ht="14.5" x14ac:dyDescent="0.6">
      <c r="A55" s="220"/>
      <c r="B55" s="220"/>
      <c r="C55" s="218" t="s">
        <v>417</v>
      </c>
      <c r="D55" s="291" t="s">
        <v>411</v>
      </c>
      <c r="E55" s="291"/>
      <c r="F55" s="291"/>
      <c r="G55" s="291"/>
      <c r="H55" s="291"/>
      <c r="I55" s="291"/>
      <c r="J55" s="291"/>
      <c r="K55" s="291"/>
      <c r="L55" s="291"/>
      <c r="M55" s="291"/>
      <c r="N55" s="291"/>
      <c r="O55" s="291"/>
      <c r="P55" s="291"/>
      <c r="Q55" s="291"/>
      <c r="R55" s="291"/>
      <c r="S55" s="291"/>
      <c r="T55" s="291"/>
      <c r="U55" s="291"/>
      <c r="V55" s="291"/>
      <c r="W55" s="291"/>
      <c r="X55" s="291"/>
      <c r="Y55" s="291"/>
      <c r="Z55" s="291"/>
      <c r="AA55" s="291"/>
      <c r="AB55" s="291"/>
      <c r="AC55" s="291"/>
      <c r="AD55" s="291"/>
      <c r="AE55" s="291"/>
      <c r="AF55" s="291"/>
      <c r="AG55" s="291"/>
      <c r="AH55" s="291"/>
      <c r="AI55" s="291"/>
      <c r="AJ55" s="291"/>
      <c r="AK55" s="291"/>
      <c r="AL55" s="291"/>
      <c r="AM55" s="291"/>
      <c r="AN55" s="291"/>
      <c r="AO55" s="291"/>
      <c r="AP55" s="291"/>
      <c r="AQ55" s="291"/>
      <c r="AR55" s="291"/>
      <c r="AS55" s="291"/>
      <c r="AT55" s="291"/>
      <c r="AU55" s="291"/>
      <c r="AV55" s="291"/>
      <c r="AW55" s="291"/>
      <c r="AX55" s="291"/>
      <c r="AY55" s="291"/>
      <c r="AZ55" s="291"/>
      <c r="BA55" s="291"/>
      <c r="BB55" s="291"/>
      <c r="BC55" s="291"/>
      <c r="BD55" s="291"/>
      <c r="BE55" s="291"/>
      <c r="BF55" s="291"/>
      <c r="BG55" s="291"/>
      <c r="BH55" s="291" t="s">
        <v>411</v>
      </c>
      <c r="BI55" s="291"/>
      <c r="BJ55" s="291"/>
      <c r="BK55" s="291"/>
      <c r="BL55" s="291"/>
      <c r="BM55" s="291"/>
      <c r="BN55" s="291"/>
      <c r="BO55" s="291"/>
      <c r="BP55" s="291"/>
      <c r="BQ55" s="291"/>
      <c r="BR55" s="291"/>
      <c r="BS55" s="291"/>
      <c r="BT55" s="291"/>
      <c r="BU55" s="291"/>
      <c r="BV55" s="291"/>
      <c r="BW55" s="291"/>
      <c r="BX55" s="291"/>
      <c r="BY55" s="291"/>
      <c r="BZ55" s="291"/>
      <c r="CA55" s="291"/>
      <c r="CB55" s="291"/>
      <c r="CC55" s="291"/>
      <c r="CD55" s="291"/>
      <c r="CE55" s="291"/>
      <c r="CF55" s="291"/>
      <c r="CG55" s="291"/>
      <c r="CH55" s="291"/>
      <c r="CI55" s="291"/>
      <c r="CJ55" s="291"/>
      <c r="CK55" s="291"/>
      <c r="CL55" s="291"/>
      <c r="CM55" s="291"/>
      <c r="CN55" s="291"/>
      <c r="CO55" s="291"/>
      <c r="CP55" s="291"/>
      <c r="CQ55" s="291"/>
      <c r="CR55" s="291"/>
      <c r="CS55" s="291"/>
      <c r="CT55" s="291"/>
      <c r="CU55" s="291"/>
      <c r="CV55" s="291"/>
      <c r="CW55" s="291"/>
      <c r="CX55" s="291"/>
      <c r="CY55" s="291"/>
      <c r="CZ55" s="291"/>
      <c r="DA55" s="291"/>
      <c r="DB55" s="291"/>
      <c r="DC55" s="291"/>
      <c r="DD55" s="291"/>
      <c r="DE55" s="291"/>
      <c r="DF55" s="291"/>
      <c r="DG55" s="291"/>
      <c r="DH55" s="291"/>
      <c r="DI55" s="291"/>
      <c r="DJ55" s="291"/>
      <c r="DK55" s="291"/>
    </row>
    <row r="56" spans="1:115" ht="13" x14ac:dyDescent="0.6">
      <c r="A56" s="256" t="s">
        <v>966</v>
      </c>
      <c r="B56" s="256" t="s">
        <v>1013</v>
      </c>
      <c r="C56" s="260" t="s">
        <v>418</v>
      </c>
      <c r="D56" s="261">
        <v>4.7333218835702002</v>
      </c>
      <c r="E56" s="261">
        <v>4.7465708955143704</v>
      </c>
      <c r="F56" s="261">
        <v>4.5045722774946197</v>
      </c>
      <c r="G56" s="261">
        <v>4.16919412382516</v>
      </c>
      <c r="H56" s="261">
        <v>3.8727127726956598</v>
      </c>
      <c r="I56" s="261">
        <v>3.1690474590733202</v>
      </c>
      <c r="J56" s="261">
        <v>2.0784404132313101</v>
      </c>
      <c r="K56" s="261">
        <v>0.63033035102706003</v>
      </c>
      <c r="L56" s="261">
        <v>-1.63795072670828</v>
      </c>
      <c r="M56" s="261">
        <v>-2.92685292621587</v>
      </c>
      <c r="N56" s="261">
        <v>-3.5894935381652799</v>
      </c>
      <c r="O56" s="261">
        <v>-3.4508012800702601</v>
      </c>
      <c r="P56" s="261">
        <v>-1.8511118818971699</v>
      </c>
      <c r="Q56" s="261">
        <v>-0.72243882076851895</v>
      </c>
      <c r="R56" s="261">
        <v>0.147724028782036</v>
      </c>
      <c r="S56" s="261">
        <v>0.290867515527577</v>
      </c>
      <c r="T56" s="261">
        <v>-0.82458216538270901</v>
      </c>
      <c r="U56" s="261">
        <v>-2.2536164081521899</v>
      </c>
      <c r="V56" s="261">
        <v>-3.8868934354749198</v>
      </c>
      <c r="W56" s="261">
        <v>-5.19379352891566</v>
      </c>
      <c r="X56" s="261">
        <v>-6.0874233362099899</v>
      </c>
      <c r="Y56" s="261">
        <v>-5.8274099874803804</v>
      </c>
      <c r="Z56" s="261">
        <v>-4.8356620424402204</v>
      </c>
      <c r="AA56" s="261">
        <v>-3.4229492795157901</v>
      </c>
      <c r="AB56" s="261">
        <v>-1.3918363154303099</v>
      </c>
      <c r="AC56" s="261">
        <v>-0.14479762370002899</v>
      </c>
      <c r="AD56" s="261">
        <v>0.75867957950639897</v>
      </c>
      <c r="AE56" s="261">
        <v>1.36745121709247</v>
      </c>
      <c r="AF56" s="261">
        <v>1.69218505705703</v>
      </c>
      <c r="AG56" s="261">
        <v>2.02152314534418</v>
      </c>
      <c r="AH56" s="261">
        <v>2.2292365446576898</v>
      </c>
      <c r="AI56" s="261">
        <v>2.2070325674000801</v>
      </c>
      <c r="AJ56" s="261">
        <v>1.8857215592449099</v>
      </c>
      <c r="AK56" s="261">
        <v>1.0846858023735799</v>
      </c>
      <c r="AL56" s="261">
        <v>-7.0197954556554101E-2</v>
      </c>
      <c r="AM56" s="261">
        <v>-1.36490432415562</v>
      </c>
      <c r="AN56" s="261">
        <v>-3.2787351108034599</v>
      </c>
      <c r="AO56" s="261">
        <v>-3.8057955041969298</v>
      </c>
      <c r="AP56" s="261">
        <v>-3.40681816004088</v>
      </c>
      <c r="AQ56" s="261">
        <v>-1.8607289844967201</v>
      </c>
      <c r="AR56" s="261">
        <v>1.69964304829672</v>
      </c>
      <c r="AS56" s="261">
        <v>5.1705189146529902</v>
      </c>
      <c r="AT56" s="261">
        <v>8.7080943082025009</v>
      </c>
      <c r="AU56" s="261">
        <v>11.410837876065001</v>
      </c>
      <c r="AV56" s="261">
        <v>13.1930870699814</v>
      </c>
      <c r="AW56" s="261">
        <v>12.3013835893618</v>
      </c>
      <c r="AX56" s="261">
        <v>9.7201894684920997</v>
      </c>
      <c r="AY56" s="261">
        <v>6.1993191018994098</v>
      </c>
      <c r="AZ56" s="261">
        <v>0.96659769962295305</v>
      </c>
      <c r="BA56" s="261">
        <v>-1.7004001569142</v>
      </c>
      <c r="BB56" s="261">
        <v>-3.0819962744015998</v>
      </c>
      <c r="BC56" s="261">
        <v>-3.07570951306263</v>
      </c>
      <c r="BD56" s="261">
        <v>-0.82511514602337099</v>
      </c>
      <c r="BE56" s="261">
        <v>0.77069930005385001</v>
      </c>
      <c r="BF56" s="261">
        <v>2.1302078999937999</v>
      </c>
      <c r="BG56" s="261">
        <v>2.7217587005192798</v>
      </c>
      <c r="BH56" s="261">
        <v>2.01252907683025</v>
      </c>
      <c r="BI56" s="261">
        <v>1.1210900856475099</v>
      </c>
      <c r="BJ56" s="261">
        <v>0.13516280852322399</v>
      </c>
      <c r="BK56" s="261">
        <v>-0.50431270388765304</v>
      </c>
      <c r="BL56" s="261">
        <v>-0.50722523580221901</v>
      </c>
      <c r="BM56" s="261">
        <v>-0.16947439158793501</v>
      </c>
      <c r="BN56" s="261">
        <v>0.300832071106031</v>
      </c>
      <c r="BO56" s="261">
        <v>0.57305427770060902</v>
      </c>
      <c r="BP56" s="262"/>
    </row>
    <row r="57" spans="1:115" ht="13" x14ac:dyDescent="0.6">
      <c r="A57" s="256" t="s">
        <v>966</v>
      </c>
      <c r="B57" s="256" t="s">
        <v>1014</v>
      </c>
      <c r="C57" s="260" t="s">
        <v>419</v>
      </c>
      <c r="D57" s="261">
        <v>29.422850710620398</v>
      </c>
      <c r="E57" s="261">
        <v>40.909730108331402</v>
      </c>
      <c r="F57" s="261">
        <v>36.372778033255699</v>
      </c>
      <c r="G57" s="261">
        <v>20.423127833665301</v>
      </c>
      <c r="H57" s="261">
        <v>12.6191222554441</v>
      </c>
      <c r="I57" s="261">
        <v>-6.53441779110842</v>
      </c>
      <c r="J57" s="261">
        <v>-0.26921512991671398</v>
      </c>
      <c r="K57" s="261">
        <v>-0.97624090530230201</v>
      </c>
      <c r="L57" s="261">
        <v>-6.4144303260925097</v>
      </c>
      <c r="M57" s="261">
        <v>-3.52987546221966</v>
      </c>
      <c r="N57" s="261">
        <v>4.3278485174027699</v>
      </c>
      <c r="O57" s="261">
        <v>2.63815477364688</v>
      </c>
      <c r="P57" s="261">
        <v>-1.3320095335989</v>
      </c>
      <c r="Q57" s="261">
        <v>7.1229277555560202</v>
      </c>
      <c r="R57" s="261">
        <v>-6.4973365637664804</v>
      </c>
      <c r="S57" s="261">
        <v>-28.737056525857401</v>
      </c>
      <c r="T57" s="261">
        <v>-50.051650283061797</v>
      </c>
      <c r="U57" s="261">
        <v>-43.148062237221097</v>
      </c>
      <c r="V57" s="261">
        <v>-51.2082612186788</v>
      </c>
      <c r="W57" s="261">
        <v>-43.337562237896201</v>
      </c>
      <c r="X57" s="261">
        <v>-36.086474749937203</v>
      </c>
      <c r="Y57" s="261">
        <v>-25.162630252835498</v>
      </c>
      <c r="Z57" s="261">
        <v>-7.9808087861444701</v>
      </c>
      <c r="AA57" s="261">
        <v>17.172407795478701</v>
      </c>
      <c r="AB57" s="261">
        <v>60.513458318131597</v>
      </c>
      <c r="AC57" s="261">
        <v>9.6593449501211701</v>
      </c>
      <c r="AD57" s="261">
        <v>11.6076979185864</v>
      </c>
      <c r="AE57" s="261">
        <v>18.5608057846493</v>
      </c>
      <c r="AF57" s="261">
        <v>21.718298812196601</v>
      </c>
      <c r="AG57" s="261">
        <v>44.2638557404495</v>
      </c>
      <c r="AH57" s="261">
        <v>45.606077589394097</v>
      </c>
      <c r="AI57" s="261">
        <v>9.7505927275171604</v>
      </c>
      <c r="AJ57" s="261">
        <v>-6.2414841113441497</v>
      </c>
      <c r="AK57" s="261">
        <v>-9.2961872807533599</v>
      </c>
      <c r="AL57" s="261">
        <v>-18.5025775733295</v>
      </c>
      <c r="AM57" s="261">
        <v>-6.4194821331360101</v>
      </c>
      <c r="AN57" s="261">
        <v>-19.120314289295202</v>
      </c>
      <c r="AO57" s="261">
        <v>-51.601940229043997</v>
      </c>
      <c r="AP57" s="261">
        <v>-29.172116929788199</v>
      </c>
      <c r="AQ57" s="261">
        <v>-26.698553461159101</v>
      </c>
      <c r="AR57" s="261">
        <v>21.493227652784299</v>
      </c>
      <c r="AS57" s="261">
        <v>114.13966391592299</v>
      </c>
      <c r="AT57" s="261">
        <v>69.470903285013094</v>
      </c>
      <c r="AU57" s="261">
        <v>77.127835626687201</v>
      </c>
      <c r="AV57" s="261">
        <v>59.858404382033903</v>
      </c>
      <c r="AW57" s="261">
        <v>62.467885518398703</v>
      </c>
      <c r="AX57" s="261">
        <v>33.144393164681198</v>
      </c>
      <c r="AY57" s="261">
        <v>8.8181997528255796</v>
      </c>
      <c r="AZ57" s="261">
        <v>-16.5617261218399</v>
      </c>
      <c r="BA57" s="261">
        <v>-30.1092701908393</v>
      </c>
      <c r="BB57" s="261">
        <v>-11.0478692461288</v>
      </c>
      <c r="BC57" s="261">
        <v>-4.4390762965311996</v>
      </c>
      <c r="BD57" s="261">
        <v>1.62222276712227</v>
      </c>
      <c r="BE57" s="261">
        <v>10.3907721606123</v>
      </c>
      <c r="BF57" s="261">
        <v>-7.8619444416022803</v>
      </c>
      <c r="BG57" s="261">
        <v>-10.1415366069592</v>
      </c>
      <c r="BH57" s="261">
        <v>-7.8341973004369798</v>
      </c>
      <c r="BI57" s="261">
        <v>-21.4713097548962</v>
      </c>
      <c r="BJ57" s="261">
        <v>-13.1000808389669</v>
      </c>
      <c r="BK57" s="261">
        <v>-15.0692040572922</v>
      </c>
      <c r="BL57" s="261">
        <v>-12.1449565344303</v>
      </c>
      <c r="BM57" s="261">
        <v>-1.0023751111236601</v>
      </c>
      <c r="BN57" s="261">
        <v>-5.3505715125449402</v>
      </c>
      <c r="BO57" s="261">
        <v>2.2199523170619702</v>
      </c>
      <c r="BP57" s="262"/>
    </row>
    <row r="58" spans="1:115" ht="13" x14ac:dyDescent="0.6">
      <c r="A58" s="220"/>
      <c r="B58" s="220"/>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c r="AA58" s="204"/>
      <c r="AB58" s="204"/>
      <c r="AC58" s="204"/>
      <c r="AD58" s="204"/>
      <c r="AE58" s="204"/>
      <c r="AF58" s="204"/>
      <c r="AG58" s="204"/>
      <c r="AH58" s="204"/>
      <c r="AI58" s="204"/>
      <c r="AJ58" s="204"/>
      <c r="AK58" s="204"/>
      <c r="AL58" s="204"/>
      <c r="AM58" s="204"/>
      <c r="AN58" s="204"/>
      <c r="AO58" s="204"/>
      <c r="AP58" s="204"/>
      <c r="AQ58" s="204"/>
      <c r="AR58" s="204"/>
      <c r="AS58" s="204"/>
      <c r="AT58" s="204"/>
      <c r="AU58" s="204"/>
      <c r="AV58" s="204"/>
      <c r="AW58" s="204"/>
      <c r="AX58" s="204"/>
      <c r="AY58" s="204"/>
      <c r="AZ58" s="204"/>
      <c r="BA58" s="204"/>
      <c r="BB58" s="204"/>
      <c r="BC58" s="204"/>
      <c r="BD58" s="204"/>
      <c r="BE58" s="204"/>
      <c r="BF58" s="204"/>
      <c r="BG58" s="204"/>
      <c r="BH58" s="204"/>
      <c r="BI58" s="204"/>
      <c r="BJ58" s="204"/>
      <c r="BK58" s="204"/>
      <c r="BL58" s="204"/>
      <c r="BM58" s="204"/>
      <c r="BN58" s="204"/>
      <c r="BO58" s="204"/>
    </row>
    <row r="59" spans="1:115" ht="13" x14ac:dyDescent="0.6">
      <c r="A59" s="220"/>
      <c r="B59" s="220"/>
      <c r="C59" s="228" t="s">
        <v>922</v>
      </c>
      <c r="D59" s="228"/>
      <c r="E59" s="228"/>
      <c r="F59" s="228"/>
      <c r="G59" s="228"/>
      <c r="H59" s="228"/>
      <c r="I59" s="228"/>
      <c r="J59" s="228"/>
      <c r="K59" s="228"/>
      <c r="L59" s="228"/>
      <c r="M59" s="228"/>
      <c r="N59" s="228"/>
      <c r="O59" s="228"/>
      <c r="P59" s="228"/>
      <c r="Q59" s="228"/>
      <c r="R59" s="228"/>
      <c r="S59" s="228"/>
      <c r="T59" s="228"/>
      <c r="U59" s="228"/>
      <c r="V59" s="228"/>
      <c r="W59" s="228"/>
      <c r="X59" s="204"/>
      <c r="Y59" s="204"/>
      <c r="Z59" s="204"/>
      <c r="AA59" s="204"/>
      <c r="AB59" s="204"/>
      <c r="AC59" s="204"/>
      <c r="AD59" s="204"/>
      <c r="AE59" s="204"/>
      <c r="AF59" s="204"/>
      <c r="AG59" s="204"/>
      <c r="AH59" s="204"/>
      <c r="AI59" s="204"/>
      <c r="AJ59" s="204"/>
      <c r="AK59" s="204"/>
      <c r="AL59" s="204"/>
      <c r="AM59" s="204"/>
      <c r="AN59" s="204"/>
      <c r="AO59" s="204"/>
      <c r="AP59" s="204"/>
      <c r="AQ59" s="204"/>
      <c r="AR59" s="204"/>
      <c r="AS59" s="204"/>
      <c r="AT59" s="204"/>
      <c r="AU59" s="204"/>
      <c r="AV59" s="204"/>
      <c r="AW59" s="204"/>
      <c r="AX59" s="204"/>
      <c r="AY59" s="204"/>
      <c r="AZ59" s="204"/>
      <c r="BA59" s="204"/>
      <c r="BB59" s="204"/>
      <c r="BC59" s="204"/>
      <c r="BD59" s="204"/>
      <c r="BE59" s="204"/>
      <c r="BF59" s="204"/>
      <c r="BG59" s="204"/>
      <c r="BH59" s="204"/>
      <c r="BI59" s="204"/>
      <c r="BJ59" s="204"/>
      <c r="BK59" s="204"/>
      <c r="BL59" s="204"/>
      <c r="BM59" s="204"/>
      <c r="BN59" s="204"/>
      <c r="BO59" s="204"/>
    </row>
    <row r="60" spans="1:115" ht="13" x14ac:dyDescent="0.6">
      <c r="A60" s="220"/>
      <c r="B60" s="220"/>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c r="AR60" s="204"/>
      <c r="AS60" s="204"/>
      <c r="AT60" s="204"/>
      <c r="AU60" s="204"/>
      <c r="AV60" s="204"/>
      <c r="AW60" s="204"/>
      <c r="AX60" s="204"/>
      <c r="AY60" s="204"/>
      <c r="AZ60" s="204"/>
      <c r="BA60" s="204"/>
      <c r="BB60" s="204"/>
      <c r="BC60" s="204"/>
      <c r="BD60" s="204"/>
      <c r="BE60" s="204"/>
      <c r="BF60" s="204"/>
      <c r="BG60" s="204"/>
      <c r="BH60" s="204"/>
      <c r="BI60" s="204"/>
      <c r="BJ60" s="204"/>
      <c r="BK60" s="204"/>
      <c r="BL60" s="204"/>
      <c r="BM60" s="204"/>
      <c r="BN60" s="204"/>
      <c r="BO60" s="204"/>
    </row>
    <row r="61" spans="1:115" ht="13" x14ac:dyDescent="0.6">
      <c r="A61" s="256" t="s">
        <v>965</v>
      </c>
      <c r="B61" s="256" t="s">
        <v>1015</v>
      </c>
      <c r="C61" s="260" t="s">
        <v>421</v>
      </c>
      <c r="D61" s="261">
        <v>30.5238278002352</v>
      </c>
      <c r="E61" s="261">
        <v>27.497891608692701</v>
      </c>
      <c r="F61" s="261">
        <v>26.829435006619299</v>
      </c>
      <c r="G61" s="261">
        <v>6.2862771042684402</v>
      </c>
      <c r="H61" s="261">
        <v>0.12989659428982001</v>
      </c>
      <c r="I61" s="261">
        <v>-7.1498016215775699</v>
      </c>
      <c r="J61" s="261">
        <v>-8.5761501401100002</v>
      </c>
      <c r="K61" s="261">
        <v>-0.39592489519214902</v>
      </c>
      <c r="L61" s="261">
        <v>-4.3609506017319299</v>
      </c>
      <c r="M61" s="261">
        <v>-10.0309195754031</v>
      </c>
      <c r="N61" s="261">
        <v>-15.267832501412199</v>
      </c>
      <c r="O61" s="261">
        <v>-18.904350855694599</v>
      </c>
      <c r="P61" s="261">
        <v>-14.3652900312392</v>
      </c>
      <c r="Q61" s="261">
        <v>-1.4663818042564301</v>
      </c>
      <c r="R61" s="261">
        <v>0.93627396750486602</v>
      </c>
      <c r="S61" s="261">
        <v>-4.1668535965663596</v>
      </c>
      <c r="T61" s="261">
        <v>-9.1983767505783405</v>
      </c>
      <c r="U61" s="261">
        <v>-14.8261031281853</v>
      </c>
      <c r="V61" s="261">
        <v>-16.0830371582501</v>
      </c>
      <c r="W61" s="261">
        <v>-13.5030500838841</v>
      </c>
      <c r="X61" s="261">
        <v>-10.1833138622923</v>
      </c>
      <c r="Y61" s="261">
        <v>-1.8845214377799999</v>
      </c>
      <c r="Z61" s="261">
        <v>8.5082370277830606</v>
      </c>
      <c r="AA61" s="261">
        <v>11.837739047972599</v>
      </c>
      <c r="AB61" s="261">
        <v>13.709404260652301</v>
      </c>
      <c r="AC61" s="261">
        <v>7.10359441384169</v>
      </c>
      <c r="AD61" s="261">
        <v>2.73626734087222</v>
      </c>
      <c r="AE61" s="261">
        <v>2.0797577265121299</v>
      </c>
      <c r="AF61" s="261">
        <v>3.4568496974237801</v>
      </c>
      <c r="AG61" s="261">
        <v>4.50788869168088</v>
      </c>
      <c r="AH61" s="261">
        <v>-2.9304899050983999</v>
      </c>
      <c r="AI61" s="261">
        <v>-0.65135059233015802</v>
      </c>
      <c r="AJ61" s="261">
        <v>-0.939335697680031</v>
      </c>
      <c r="AK61" s="261">
        <v>-0.90076035931284104</v>
      </c>
      <c r="AL61" s="261">
        <v>9.5389036423497302</v>
      </c>
      <c r="AM61" s="261">
        <v>8.6286534410083107</v>
      </c>
      <c r="AN61" s="261">
        <v>7.55917054494385</v>
      </c>
      <c r="AO61" s="261">
        <v>8.7058443571919</v>
      </c>
      <c r="AP61" s="261">
        <v>14.5506189925078</v>
      </c>
      <c r="AQ61" s="261">
        <v>17.396002829492399</v>
      </c>
      <c r="AR61" s="261">
        <v>19.1475982292216</v>
      </c>
      <c r="AS61" s="261">
        <v>25.644972941368099</v>
      </c>
      <c r="AT61" s="261">
        <v>18.4647212848278</v>
      </c>
      <c r="AU61" s="261">
        <v>18.346971515643901</v>
      </c>
      <c r="AV61" s="261">
        <v>20.554162718582099</v>
      </c>
      <c r="AW61" s="261">
        <v>10.8719929845781</v>
      </c>
      <c r="AX61" s="261">
        <v>-6.2610558031507102</v>
      </c>
      <c r="AY61" s="261">
        <v>-8.9715728379922499</v>
      </c>
      <c r="AZ61" s="261">
        <v>-1.0668041103483701</v>
      </c>
      <c r="BA61" s="261">
        <v>-1.2599389499701901</v>
      </c>
      <c r="BB61" s="261">
        <v>7.9917792566873196</v>
      </c>
      <c r="BC61" s="261">
        <v>11.1629853005611</v>
      </c>
      <c r="BD61" s="261">
        <v>-1.5339354408794501</v>
      </c>
      <c r="BE61" s="261">
        <v>9.1733048003998103</v>
      </c>
      <c r="BF61" s="261">
        <v>17.393777625191898</v>
      </c>
      <c r="BG61" s="261">
        <v>22.033743173778198</v>
      </c>
      <c r="BH61" s="261">
        <v>26.8493746008707</v>
      </c>
      <c r="BI61" s="261">
        <v>22.460504377553999</v>
      </c>
      <c r="BJ61" s="261">
        <v>22.858556685117399</v>
      </c>
      <c r="BK61" s="261">
        <v>34.281664825467303</v>
      </c>
      <c r="BL61" s="261">
        <v>39.377268510575199</v>
      </c>
      <c r="BM61" s="261">
        <v>32.5078013841363</v>
      </c>
      <c r="BN61" s="261">
        <v>29.007148525571001</v>
      </c>
      <c r="BO61" s="261">
        <v>12.082762018459</v>
      </c>
      <c r="BP61" s="262"/>
    </row>
    <row r="62" spans="1:115" ht="13" x14ac:dyDescent="0.6">
      <c r="A62" s="256" t="s">
        <v>965</v>
      </c>
      <c r="B62" s="256" t="s">
        <v>1016</v>
      </c>
      <c r="C62" s="260" t="s">
        <v>422</v>
      </c>
      <c r="D62" s="261">
        <v>33.004176315007903</v>
      </c>
      <c r="E62" s="261">
        <v>28.292965633528901</v>
      </c>
      <c r="F62" s="261">
        <v>29.219341455774298</v>
      </c>
      <c r="G62" s="261">
        <v>1.3880575430669999</v>
      </c>
      <c r="H62" s="261">
        <v>-6.56202039480171</v>
      </c>
      <c r="I62" s="261">
        <v>-7.9151346580069504</v>
      </c>
      <c r="J62" s="261">
        <v>-11.6322341220332</v>
      </c>
      <c r="K62" s="261">
        <v>-3.8141571591041399</v>
      </c>
      <c r="L62" s="261">
        <v>-2.0518437846820001</v>
      </c>
      <c r="M62" s="261">
        <v>-7.3015176145829601</v>
      </c>
      <c r="N62" s="261">
        <v>-9.6514395623984104</v>
      </c>
      <c r="O62" s="261">
        <v>-10.6877006297292</v>
      </c>
      <c r="P62" s="261">
        <v>-12.251152476022</v>
      </c>
      <c r="Q62" s="261">
        <v>-7.6261064361591</v>
      </c>
      <c r="R62" s="261">
        <v>-10.2383163494518</v>
      </c>
      <c r="S62" s="261">
        <v>-14.7664240066664</v>
      </c>
      <c r="T62" s="261">
        <v>-19.1521987169269</v>
      </c>
      <c r="U62" s="261">
        <v>-20.949080861113501</v>
      </c>
      <c r="V62" s="261">
        <v>-19.701605178552299</v>
      </c>
      <c r="W62" s="261">
        <v>-16.557616688828102</v>
      </c>
      <c r="X62" s="261">
        <v>-9.6526238336189696</v>
      </c>
      <c r="Y62" s="261">
        <v>2.5794287132233502</v>
      </c>
      <c r="Z62" s="261">
        <v>10.577146365720401</v>
      </c>
      <c r="AA62" s="261">
        <v>13.966538723892199</v>
      </c>
      <c r="AB62" s="261">
        <v>16.3120791089699</v>
      </c>
      <c r="AC62" s="261">
        <v>0.48767526776720999</v>
      </c>
      <c r="AD62" s="261">
        <v>-0.96828295395256603</v>
      </c>
      <c r="AE62" s="261">
        <v>-2.1991457511148602</v>
      </c>
      <c r="AF62" s="261">
        <v>-1.6715536156467301</v>
      </c>
      <c r="AG62" s="261">
        <v>3.1320458707751602</v>
      </c>
      <c r="AH62" s="261">
        <v>-3.6413548338472799</v>
      </c>
      <c r="AI62" s="261">
        <v>-1.16875243725107</v>
      </c>
      <c r="AJ62" s="261">
        <v>-2.6986015798241501</v>
      </c>
      <c r="AK62" s="261">
        <v>1.72901911429586</v>
      </c>
      <c r="AL62" s="261">
        <v>9.8079236927208004</v>
      </c>
      <c r="AM62" s="261">
        <v>8.27126039128858</v>
      </c>
      <c r="AN62" s="261">
        <v>8.7124119296440607</v>
      </c>
      <c r="AO62" s="261">
        <v>5.1466300596939103</v>
      </c>
      <c r="AP62" s="261">
        <v>14.687146639469599</v>
      </c>
      <c r="AQ62" s="261">
        <v>23.258266344399701</v>
      </c>
      <c r="AR62" s="261">
        <v>31.464840123146701</v>
      </c>
      <c r="AS62" s="261">
        <v>43.953455416485802</v>
      </c>
      <c r="AT62" s="261">
        <v>23.760340998912099</v>
      </c>
      <c r="AU62" s="261">
        <v>13.940749525487099</v>
      </c>
      <c r="AV62" s="261">
        <v>16.905489184402299</v>
      </c>
      <c r="AW62" s="261">
        <v>11.7392114867519</v>
      </c>
      <c r="AX62" s="261">
        <v>-2.5313292270200098</v>
      </c>
      <c r="AY62" s="261">
        <v>-0.70592887044429597</v>
      </c>
      <c r="AZ62" s="261">
        <v>-8.2142616901387804</v>
      </c>
      <c r="BA62" s="261">
        <v>-14.472108956166799</v>
      </c>
      <c r="BB62" s="261">
        <v>-0.13132228021657899</v>
      </c>
      <c r="BC62" s="261">
        <v>1.42295358872</v>
      </c>
      <c r="BD62" s="261">
        <v>-2.48114027133939</v>
      </c>
      <c r="BE62" s="261">
        <v>1.86222773801765</v>
      </c>
      <c r="BF62" s="261">
        <v>2.7913969702569101</v>
      </c>
      <c r="BG62" s="261">
        <v>5.7492362161533697</v>
      </c>
      <c r="BH62" s="261">
        <v>5.9156128048477798</v>
      </c>
      <c r="BI62" s="261">
        <v>5.72411918700797</v>
      </c>
      <c r="BJ62" s="261">
        <v>9.8997524862978494</v>
      </c>
      <c r="BK62" s="261">
        <v>13.6945917040096</v>
      </c>
      <c r="BL62" s="261">
        <v>21.7071472636039</v>
      </c>
      <c r="BM62" s="261">
        <v>22.012454245725301</v>
      </c>
      <c r="BN62" s="261">
        <v>19.742653450283999</v>
      </c>
      <c r="BO62" s="261">
        <v>10.794711479375801</v>
      </c>
      <c r="BP62" s="262"/>
    </row>
    <row r="63" spans="1:115" ht="13" x14ac:dyDescent="0.6">
      <c r="A63" s="220"/>
      <c r="B63" s="220"/>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c r="AR63" s="204"/>
      <c r="AS63" s="204"/>
      <c r="AT63" s="204"/>
      <c r="AU63" s="204"/>
      <c r="AV63" s="204"/>
      <c r="AW63" s="204"/>
      <c r="AX63" s="204"/>
      <c r="AY63" s="204"/>
      <c r="AZ63" s="204"/>
      <c r="BA63" s="204"/>
      <c r="BB63" s="204"/>
      <c r="BC63" s="204"/>
      <c r="BD63" s="204"/>
      <c r="BE63" s="204"/>
      <c r="BF63" s="204"/>
      <c r="BG63" s="204"/>
      <c r="BH63" s="204"/>
      <c r="BI63" s="204"/>
      <c r="BJ63" s="204"/>
      <c r="BK63" s="204"/>
      <c r="BL63" s="204"/>
      <c r="BM63" s="204"/>
      <c r="BN63" s="204"/>
      <c r="BO63" s="204"/>
    </row>
    <row r="64" spans="1:115" ht="14.5" x14ac:dyDescent="0.6">
      <c r="A64" s="220"/>
      <c r="B64" s="220"/>
      <c r="C64" s="218" t="s">
        <v>423</v>
      </c>
      <c r="D64" s="204"/>
      <c r="E64" s="204"/>
      <c r="F64" s="204"/>
      <c r="G64" s="204"/>
      <c r="H64" s="204"/>
      <c r="I64" s="204"/>
      <c r="J64" s="204"/>
      <c r="K64" s="204"/>
      <c r="L64" s="204"/>
      <c r="M64" s="204"/>
      <c r="N64" s="204"/>
      <c r="O64" s="204"/>
      <c r="P64" s="204"/>
      <c r="Q64" s="204"/>
      <c r="R64" s="204"/>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4"/>
      <c r="AP64" s="204"/>
      <c r="AQ64" s="204"/>
      <c r="AR64" s="204"/>
      <c r="AS64" s="204"/>
      <c r="AT64" s="204"/>
      <c r="AU64" s="204"/>
      <c r="AV64" s="204"/>
      <c r="AW64" s="204"/>
      <c r="AX64" s="204"/>
      <c r="AY64" s="204"/>
      <c r="AZ64" s="204"/>
      <c r="BA64" s="204"/>
      <c r="BB64" s="204"/>
      <c r="BC64" s="204"/>
      <c r="BD64" s="204"/>
      <c r="BE64" s="204"/>
      <c r="BF64" s="204"/>
      <c r="BG64" s="204"/>
      <c r="BH64" s="204"/>
      <c r="BI64" s="204"/>
      <c r="BJ64" s="204"/>
      <c r="BK64" s="204"/>
      <c r="BL64" s="204"/>
      <c r="BM64" s="204"/>
      <c r="BN64" s="204"/>
      <c r="BO64" s="204"/>
    </row>
    <row r="65" spans="1:91" ht="13" x14ac:dyDescent="0.6">
      <c r="A65" s="220"/>
      <c r="B65" s="220"/>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c r="AR65" s="204"/>
      <c r="AS65" s="204"/>
      <c r="AT65" s="204"/>
      <c r="AU65" s="204"/>
      <c r="AV65" s="204"/>
      <c r="AW65" s="204"/>
      <c r="AX65" s="204"/>
      <c r="AY65" s="204"/>
      <c r="AZ65" s="204"/>
      <c r="BA65" s="204"/>
      <c r="BB65" s="204"/>
      <c r="BC65" s="204"/>
      <c r="BD65" s="204"/>
      <c r="BE65" s="204"/>
      <c r="BF65" s="204"/>
      <c r="BG65" s="204"/>
      <c r="BH65" s="204"/>
      <c r="BI65" s="204"/>
      <c r="BJ65" s="204"/>
      <c r="BK65" s="204"/>
      <c r="BL65" s="204"/>
      <c r="BM65" s="204"/>
      <c r="BN65" s="204"/>
      <c r="BO65" s="204"/>
    </row>
    <row r="66" spans="1:91" ht="13" x14ac:dyDescent="0.6">
      <c r="A66" s="256" t="s">
        <v>965</v>
      </c>
      <c r="B66" s="256" t="s">
        <v>1017</v>
      </c>
      <c r="C66" s="260" t="s">
        <v>424</v>
      </c>
      <c r="D66" s="261">
        <v>16.7063226182885</v>
      </c>
      <c r="E66" s="261">
        <v>15.379942668899799</v>
      </c>
      <c r="F66" s="261">
        <v>14.948776172084701</v>
      </c>
      <c r="G66" s="261">
        <v>5.3121298387328304</v>
      </c>
      <c r="H66" s="261">
        <v>2.1228629833141102</v>
      </c>
      <c r="I66" s="261">
        <v>-1.8485363419654699</v>
      </c>
      <c r="J66" s="261">
        <v>-3.1145043604224201</v>
      </c>
      <c r="K66" s="261">
        <v>0.17631258669697999</v>
      </c>
      <c r="L66" s="261">
        <v>-2.9188983194893399</v>
      </c>
      <c r="M66" s="261">
        <v>-6.2980524398061304</v>
      </c>
      <c r="N66" s="261">
        <v>-9.2704471985090198</v>
      </c>
      <c r="O66" s="261">
        <v>-11.109686070477199</v>
      </c>
      <c r="P66" s="261">
        <v>-7.9573252629242397</v>
      </c>
      <c r="Q66" s="261">
        <v>-1.03321748609089</v>
      </c>
      <c r="R66" s="261">
        <v>0.56269930798025802</v>
      </c>
      <c r="S66" s="261">
        <v>-1.79325085520017</v>
      </c>
      <c r="T66" s="261">
        <v>-4.8728566460668397</v>
      </c>
      <c r="U66" s="261">
        <v>-8.4616425706156608</v>
      </c>
      <c r="V66" s="261">
        <v>-9.9062926317996194</v>
      </c>
      <c r="W66" s="261">
        <v>-9.2742827826253205</v>
      </c>
      <c r="X66" s="261">
        <v>-8.0547494526342405</v>
      </c>
      <c r="Y66" s="261">
        <v>-3.8625302117443501</v>
      </c>
      <c r="Z66" s="261">
        <v>1.5114858163218201</v>
      </c>
      <c r="AA66" s="261">
        <v>3.78346066211475</v>
      </c>
      <c r="AB66" s="261">
        <v>5.7476365852795999</v>
      </c>
      <c r="AC66" s="261">
        <v>3.3505983095785998</v>
      </c>
      <c r="AD66" s="261">
        <v>1.72065563894617</v>
      </c>
      <c r="AE66" s="261">
        <v>1.7286454014746999</v>
      </c>
      <c r="AF66" s="261">
        <v>2.5663278058833101</v>
      </c>
      <c r="AG66" s="261">
        <v>3.2400004890704901</v>
      </c>
      <c r="AH66" s="261">
        <v>-0.219148460533616</v>
      </c>
      <c r="AI66" s="261">
        <v>0.88601285711418998</v>
      </c>
      <c r="AJ66" s="261">
        <v>0.58100585506620195</v>
      </c>
      <c r="AK66" s="261">
        <v>0.19094825141837499</v>
      </c>
      <c r="AL66" s="261">
        <v>4.5045891544019803</v>
      </c>
      <c r="AM66" s="261">
        <v>3.3848536353254701</v>
      </c>
      <c r="AN66" s="261">
        <v>1.8647069871890201</v>
      </c>
      <c r="AO66" s="261">
        <v>2.1053590390651902</v>
      </c>
      <c r="AP66" s="261">
        <v>5.0337342354249301</v>
      </c>
      <c r="AQ66" s="261">
        <v>7.16359661027498</v>
      </c>
      <c r="AR66" s="261">
        <v>9.9204384622849506</v>
      </c>
      <c r="AS66" s="261">
        <v>14.768386194448601</v>
      </c>
      <c r="AT66" s="261">
        <v>13.3518542902262</v>
      </c>
      <c r="AU66" s="261">
        <v>14.746384759471001</v>
      </c>
      <c r="AV66" s="261">
        <v>16.730828794989701</v>
      </c>
      <c r="AW66" s="261">
        <v>11.635972317132801</v>
      </c>
      <c r="AX66" s="261">
        <v>1.9698802426716799</v>
      </c>
      <c r="AY66" s="261">
        <v>-1.14713969894554</v>
      </c>
      <c r="AZ66" s="261">
        <v>0.56899090626452697</v>
      </c>
      <c r="BA66" s="261">
        <v>-0.91926777045610397</v>
      </c>
      <c r="BB66" s="261">
        <v>2.4660647774559998</v>
      </c>
      <c r="BC66" s="261">
        <v>3.91437371907509</v>
      </c>
      <c r="BD66" s="261">
        <v>-1.14189375589494</v>
      </c>
      <c r="BE66" s="261">
        <v>4.8548568156403498</v>
      </c>
      <c r="BF66" s="261">
        <v>9.3367112750092307</v>
      </c>
      <c r="BG66" s="261">
        <v>11.767635323719899</v>
      </c>
      <c r="BH66" s="261">
        <v>13.5193757374289</v>
      </c>
      <c r="BI66" s="261">
        <v>11.0511550136904</v>
      </c>
      <c r="BJ66" s="261">
        <v>10.6730358710633</v>
      </c>
      <c r="BK66" s="261">
        <v>15.4167981675969</v>
      </c>
      <c r="BL66" s="261">
        <v>17.597726281695898</v>
      </c>
      <c r="BM66" s="261">
        <v>14.922552456573699</v>
      </c>
      <c r="BN66" s="261">
        <v>13.706251723437299</v>
      </c>
      <c r="BO66" s="261">
        <v>6.1057126008582401</v>
      </c>
      <c r="BP66" s="262"/>
    </row>
    <row r="67" spans="1:91" ht="13" x14ac:dyDescent="0.6">
      <c r="A67" s="256" t="s">
        <v>965</v>
      </c>
      <c r="B67" s="256" t="s">
        <v>1018</v>
      </c>
      <c r="C67" s="260" t="s">
        <v>425</v>
      </c>
      <c r="D67" s="261">
        <v>20.358378421771899</v>
      </c>
      <c r="E67" s="261">
        <v>20.0927162379636</v>
      </c>
      <c r="F67" s="261">
        <v>19.796422432649699</v>
      </c>
      <c r="G67" s="261">
        <v>5.5997930220149703</v>
      </c>
      <c r="H67" s="261">
        <v>0.70200930183612897</v>
      </c>
      <c r="I67" s="261">
        <v>-2.9956793308598701</v>
      </c>
      <c r="J67" s="261">
        <v>-4.2406422254996796</v>
      </c>
      <c r="K67" s="261">
        <v>-1.46777760188025</v>
      </c>
      <c r="L67" s="261">
        <v>-2.48841721534767</v>
      </c>
      <c r="M67" s="261">
        <v>-4.8773015765839203</v>
      </c>
      <c r="N67" s="261">
        <v>-5.0082951674465601</v>
      </c>
      <c r="O67" s="261">
        <v>-5.6546036707484504</v>
      </c>
      <c r="P67" s="261">
        <v>-6.3056572578298802</v>
      </c>
      <c r="Q67" s="261">
        <v>-2.5684838742896998</v>
      </c>
      <c r="R67" s="261">
        <v>-5.4054601889120502</v>
      </c>
      <c r="S67" s="261">
        <v>-10.756311110254099</v>
      </c>
      <c r="T67" s="261">
        <v>-17.149985378951499</v>
      </c>
      <c r="U67" s="261">
        <v>-16.656522543888499</v>
      </c>
      <c r="V67" s="261">
        <v>-18.454046030208598</v>
      </c>
      <c r="W67" s="261">
        <v>-15.980479006498401</v>
      </c>
      <c r="X67" s="261">
        <v>-12.0372973301653</v>
      </c>
      <c r="Y67" s="261">
        <v>-4.3613693562579297</v>
      </c>
      <c r="Z67" s="261">
        <v>2.1724284993441101</v>
      </c>
      <c r="AA67" s="261">
        <v>7.9770241289952004</v>
      </c>
      <c r="AB67" s="261">
        <v>14.8032292338477</v>
      </c>
      <c r="AC67" s="261">
        <v>1.71198967219009</v>
      </c>
      <c r="AD67" s="261">
        <v>1.71233641849336</v>
      </c>
      <c r="AE67" s="261">
        <v>2.4597968528312801</v>
      </c>
      <c r="AF67" s="261">
        <v>3.26267033974562</v>
      </c>
      <c r="AG67" s="261">
        <v>8.3263283389777598</v>
      </c>
      <c r="AH67" s="261">
        <v>5.4889481905507003</v>
      </c>
      <c r="AI67" s="261">
        <v>2.1370606475607601</v>
      </c>
      <c r="AJ67" s="261">
        <v>-1.0596245063943699</v>
      </c>
      <c r="AK67" s="261">
        <v>-1.30317060852384E-2</v>
      </c>
      <c r="AL67" s="261">
        <v>1.20166973299239</v>
      </c>
      <c r="AM67" s="261">
        <v>2.0321047719052698</v>
      </c>
      <c r="AN67" s="261">
        <v>-0.54819033246201898</v>
      </c>
      <c r="AO67" s="261">
        <v>-8.4941546624973601</v>
      </c>
      <c r="AP67" s="261">
        <v>1.2720089042331499</v>
      </c>
      <c r="AQ67" s="261">
        <v>5.7638706769346504</v>
      </c>
      <c r="AR67" s="261">
        <v>19.267555240300702</v>
      </c>
      <c r="AS67" s="261">
        <v>35.584396564065401</v>
      </c>
      <c r="AT67" s="261">
        <v>23.773823831325402</v>
      </c>
      <c r="AU67" s="261">
        <v>21.477934180192101</v>
      </c>
      <c r="AV67" s="261">
        <v>21.423178130943398</v>
      </c>
      <c r="AW67" s="261">
        <v>18.985549311646299</v>
      </c>
      <c r="AX67" s="261">
        <v>8.1212446674475292</v>
      </c>
      <c r="AY67" s="261">
        <v>4.3259410143204997</v>
      </c>
      <c r="AZ67" s="261">
        <v>-5.2173743985897598</v>
      </c>
      <c r="BA67" s="261">
        <v>-11.553801056074599</v>
      </c>
      <c r="BB67" s="261">
        <v>-2.78373877287483</v>
      </c>
      <c r="BC67" s="261">
        <v>-1.12642970470084</v>
      </c>
      <c r="BD67" s="261">
        <v>-1.0454862507028799</v>
      </c>
      <c r="BE67" s="261">
        <v>2.7874236418010501</v>
      </c>
      <c r="BF67" s="261">
        <v>0.90987505445669403</v>
      </c>
      <c r="BG67" s="261">
        <v>2.0731743079762901</v>
      </c>
      <c r="BH67" s="261">
        <v>2.23949402749041</v>
      </c>
      <c r="BI67" s="261">
        <v>-0.55225557720877005</v>
      </c>
      <c r="BJ67" s="261">
        <v>2.2361569529596901</v>
      </c>
      <c r="BK67" s="261">
        <v>3.2288688368529201</v>
      </c>
      <c r="BL67" s="261">
        <v>6.9408124372751399</v>
      </c>
      <c r="BM67" s="261">
        <v>9.0529491088811795</v>
      </c>
      <c r="BN67" s="261">
        <v>7.6459098981664502</v>
      </c>
      <c r="BO67" s="261">
        <v>5.2252456391335196</v>
      </c>
      <c r="BP67" s="262"/>
    </row>
    <row r="68" spans="1:91" ht="13" x14ac:dyDescent="0.6">
      <c r="A68" s="204"/>
      <c r="B68" s="204"/>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c r="AA68" s="204"/>
      <c r="AB68" s="229"/>
      <c r="AC68" s="229"/>
      <c r="AD68" s="229"/>
      <c r="AE68" s="229"/>
      <c r="AF68" s="229"/>
      <c r="AG68" s="229"/>
      <c r="AH68" s="229"/>
      <c r="AI68" s="229"/>
      <c r="AJ68" s="229"/>
      <c r="AK68" s="229"/>
      <c r="AL68" s="229"/>
      <c r="AM68" s="229"/>
      <c r="AN68" s="229"/>
      <c r="AO68" s="229"/>
      <c r="AP68" s="229"/>
      <c r="AQ68" s="229"/>
      <c r="AR68" s="229"/>
      <c r="AS68" s="229"/>
      <c r="AT68" s="229"/>
      <c r="AU68" s="229"/>
      <c r="AV68" s="229"/>
      <c r="AW68" s="229"/>
      <c r="AX68" s="229"/>
      <c r="AY68" s="229"/>
      <c r="AZ68" s="229"/>
      <c r="BA68" s="229"/>
      <c r="BB68" s="229"/>
      <c r="BC68" s="229"/>
      <c r="BD68" s="229"/>
      <c r="BE68" s="229"/>
      <c r="BF68" s="229"/>
      <c r="BG68" s="229"/>
      <c r="BH68" s="229"/>
      <c r="BI68" s="229"/>
      <c r="BJ68" s="229"/>
      <c r="BK68" s="229"/>
      <c r="BL68" s="229"/>
      <c r="BM68" s="229"/>
      <c r="BN68" s="229"/>
      <c r="BO68" s="229"/>
    </row>
    <row r="69" spans="1:91" ht="13" x14ac:dyDescent="0.6">
      <c r="A69" s="204"/>
      <c r="B69" s="204"/>
      <c r="C69" s="230"/>
      <c r="D69" s="230"/>
      <c r="E69" s="230"/>
      <c r="F69" s="230"/>
      <c r="G69" s="230"/>
      <c r="H69" s="230"/>
      <c r="I69" s="230"/>
      <c r="J69" s="230"/>
      <c r="K69" s="230"/>
      <c r="L69" s="230"/>
      <c r="M69" s="230"/>
      <c r="N69" s="230"/>
      <c r="O69" s="230"/>
      <c r="P69" s="230"/>
      <c r="Q69" s="230"/>
      <c r="R69" s="230"/>
      <c r="S69" s="230"/>
      <c r="T69" s="230"/>
      <c r="U69" s="230"/>
      <c r="V69" s="230"/>
      <c r="W69" s="230"/>
      <c r="X69" s="230"/>
      <c r="Y69" s="230"/>
      <c r="Z69" s="230"/>
      <c r="AA69" s="230"/>
      <c r="AB69" s="204"/>
      <c r="AC69" s="204"/>
      <c r="AD69" s="204"/>
      <c r="AE69" s="204"/>
      <c r="AF69" s="204"/>
      <c r="AG69" s="204"/>
      <c r="AH69" s="204"/>
      <c r="AI69" s="204"/>
      <c r="AJ69" s="204"/>
      <c r="AK69" s="204"/>
      <c r="AL69" s="204"/>
      <c r="AM69" s="204"/>
      <c r="AN69" s="204"/>
      <c r="AO69" s="204"/>
      <c r="AP69" s="204"/>
      <c r="AQ69" s="204"/>
      <c r="AR69" s="204"/>
      <c r="AS69" s="204"/>
      <c r="AT69" s="204"/>
      <c r="AU69" s="204"/>
      <c r="AV69" s="204"/>
      <c r="AW69" s="204"/>
      <c r="AX69" s="204"/>
      <c r="AY69" s="204"/>
      <c r="AZ69" s="204"/>
      <c r="BA69" s="204"/>
      <c r="BB69" s="204"/>
      <c r="BC69" s="204"/>
      <c r="BD69" s="204"/>
      <c r="BE69" s="204"/>
      <c r="BF69" s="204"/>
      <c r="BG69" s="204"/>
    </row>
    <row r="70" spans="1:91" ht="13" x14ac:dyDescent="0.6">
      <c r="A70" s="204"/>
      <c r="B70" s="204"/>
      <c r="C70" s="292" t="s">
        <v>426</v>
      </c>
      <c r="D70" s="292"/>
      <c r="E70" s="292"/>
      <c r="F70" s="292"/>
      <c r="G70" s="292"/>
      <c r="H70" s="292"/>
      <c r="I70" s="292"/>
      <c r="J70" s="292"/>
      <c r="K70" s="292"/>
      <c r="L70" s="292"/>
      <c r="M70" s="292"/>
      <c r="N70" s="292"/>
      <c r="O70" s="292"/>
      <c r="P70" s="292"/>
      <c r="Q70" s="292"/>
      <c r="R70" s="292"/>
      <c r="S70" s="292"/>
      <c r="T70" s="292"/>
      <c r="U70" s="292"/>
      <c r="V70" s="292"/>
      <c r="W70" s="292"/>
      <c r="X70" s="292"/>
      <c r="Y70" s="292"/>
      <c r="Z70" s="292"/>
      <c r="AA70" s="292"/>
      <c r="AB70" s="204"/>
      <c r="AC70" s="204"/>
      <c r="AD70" s="204"/>
      <c r="AE70" s="204"/>
      <c r="AF70" s="204"/>
      <c r="AG70" s="204"/>
      <c r="AH70" s="204"/>
      <c r="AI70" s="204"/>
      <c r="AJ70" s="204"/>
      <c r="AK70" s="204"/>
      <c r="AL70" s="204"/>
      <c r="AM70" s="204"/>
      <c r="AN70" s="204"/>
      <c r="AO70" s="204"/>
      <c r="AP70" s="204"/>
      <c r="AQ70" s="204"/>
      <c r="AR70" s="204"/>
      <c r="AS70" s="204"/>
      <c r="AT70" s="204"/>
      <c r="AU70" s="204"/>
      <c r="AV70" s="204"/>
      <c r="AW70" s="204"/>
      <c r="AX70" s="204"/>
      <c r="AY70" s="204"/>
      <c r="AZ70" s="204"/>
      <c r="BA70" s="204"/>
      <c r="BB70" s="204"/>
      <c r="BC70" s="204"/>
      <c r="BD70" s="204"/>
      <c r="BE70" s="204"/>
      <c r="BF70" s="204"/>
      <c r="BG70" s="204"/>
    </row>
    <row r="71" spans="1:91" ht="13" x14ac:dyDescent="0.6">
      <c r="A71" s="204"/>
      <c r="B71" s="204"/>
      <c r="C71" s="290" t="s">
        <v>427</v>
      </c>
      <c r="D71" s="290"/>
      <c r="E71" s="290"/>
      <c r="F71" s="290"/>
      <c r="G71" s="290"/>
      <c r="H71" s="290"/>
      <c r="I71" s="290"/>
      <c r="J71" s="290"/>
      <c r="K71" s="290"/>
      <c r="L71" s="290"/>
      <c r="M71" s="290"/>
      <c r="N71" s="290"/>
      <c r="O71" s="290"/>
      <c r="P71" s="290"/>
      <c r="Q71" s="290"/>
      <c r="R71" s="290"/>
      <c r="S71" s="290"/>
      <c r="T71" s="290"/>
      <c r="U71" s="290"/>
      <c r="V71" s="290"/>
      <c r="W71" s="290"/>
      <c r="X71" s="204"/>
      <c r="Y71" s="204"/>
      <c r="Z71" s="204"/>
      <c r="AA71" s="204"/>
      <c r="AB71" s="204"/>
      <c r="AC71" s="204"/>
      <c r="AD71" s="204"/>
      <c r="AE71" s="204"/>
      <c r="AF71" s="204"/>
      <c r="AG71" s="204"/>
      <c r="AH71" s="204"/>
      <c r="AI71" s="204"/>
      <c r="AJ71" s="204"/>
      <c r="AK71" s="204"/>
      <c r="AL71" s="204"/>
      <c r="AM71" s="204"/>
      <c r="AN71" s="204"/>
      <c r="AO71" s="204"/>
      <c r="AP71" s="204"/>
      <c r="AQ71" s="204"/>
      <c r="AR71" s="204"/>
      <c r="AS71" s="204"/>
      <c r="AT71" s="204"/>
      <c r="AU71" s="204"/>
      <c r="AV71" s="204"/>
      <c r="AW71" s="204"/>
      <c r="AX71" s="204"/>
      <c r="AY71" s="204"/>
      <c r="AZ71" s="204"/>
      <c r="BA71" s="204"/>
      <c r="BB71" s="204"/>
      <c r="BC71" s="204"/>
      <c r="BD71" s="204"/>
      <c r="BE71" s="204"/>
      <c r="BF71" s="204"/>
      <c r="BG71" s="204"/>
    </row>
    <row r="72" spans="1:91" ht="13" x14ac:dyDescent="0.6">
      <c r="A72" s="204"/>
      <c r="B72" s="204"/>
      <c r="C72" s="290" t="s">
        <v>923</v>
      </c>
      <c r="D72" s="290"/>
      <c r="E72" s="290"/>
      <c r="F72" s="290"/>
      <c r="G72" s="290"/>
      <c r="H72" s="290"/>
      <c r="I72" s="290"/>
      <c r="J72" s="290"/>
      <c r="K72" s="290"/>
      <c r="L72" s="290"/>
      <c r="M72" s="290"/>
      <c r="N72" s="290"/>
      <c r="O72" s="290"/>
      <c r="P72" s="290"/>
      <c r="Q72" s="290"/>
      <c r="R72" s="290"/>
      <c r="S72" s="290"/>
      <c r="T72" s="290"/>
      <c r="U72" s="290"/>
      <c r="V72" s="290"/>
      <c r="W72" s="290"/>
      <c r="X72" s="204"/>
      <c r="Y72" s="204"/>
      <c r="Z72" s="204"/>
      <c r="AA72" s="204"/>
      <c r="AB72" s="204"/>
      <c r="AC72" s="204"/>
      <c r="AD72" s="204"/>
      <c r="AE72" s="204"/>
      <c r="AF72" s="204"/>
      <c r="AG72" s="204"/>
      <c r="AH72" s="204"/>
      <c r="AI72" s="204"/>
      <c r="AJ72" s="204"/>
      <c r="AK72" s="204"/>
      <c r="AL72" s="204"/>
      <c r="AM72" s="204"/>
      <c r="AN72" s="204"/>
      <c r="AO72" s="204"/>
      <c r="AP72" s="204"/>
      <c r="AQ72" s="204"/>
      <c r="AR72" s="204"/>
      <c r="AS72" s="204"/>
      <c r="AT72" s="204"/>
      <c r="AU72" s="204"/>
      <c r="AV72" s="204"/>
      <c r="AW72" s="204"/>
      <c r="AX72" s="204"/>
      <c r="AY72" s="204"/>
      <c r="AZ72" s="204"/>
      <c r="BA72" s="204"/>
      <c r="BB72" s="204"/>
      <c r="BC72" s="204"/>
      <c r="BD72" s="204"/>
      <c r="BE72" s="204"/>
      <c r="BF72" s="204"/>
      <c r="BG72" s="204"/>
    </row>
    <row r="73" spans="1:91" ht="13" x14ac:dyDescent="0.6">
      <c r="A73" s="204"/>
      <c r="B73" s="204"/>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c r="AA73" s="204"/>
      <c r="AB73" s="204"/>
      <c r="AC73" s="204"/>
      <c r="AD73" s="204"/>
      <c r="AE73" s="204"/>
      <c r="AF73" s="204"/>
      <c r="AG73" s="204"/>
      <c r="AH73" s="204"/>
      <c r="AI73" s="204"/>
      <c r="AJ73" s="204"/>
      <c r="AK73" s="204"/>
      <c r="AL73" s="204"/>
      <c r="AM73" s="204"/>
      <c r="AN73" s="204"/>
      <c r="AO73" s="204"/>
      <c r="AP73" s="204"/>
      <c r="AQ73" s="204"/>
      <c r="AR73" s="204"/>
      <c r="AS73" s="204"/>
      <c r="AT73" s="204"/>
      <c r="AU73" s="204"/>
      <c r="AV73" s="204"/>
      <c r="AW73" s="204"/>
      <c r="AX73" s="204"/>
      <c r="AY73" s="204"/>
      <c r="AZ73" s="204"/>
      <c r="BA73" s="204"/>
      <c r="BB73" s="204"/>
      <c r="BC73" s="204"/>
      <c r="BD73" s="204"/>
      <c r="BE73" s="204"/>
      <c r="BF73" s="204"/>
      <c r="BG73" s="204"/>
    </row>
    <row r="74" spans="1:91" ht="13" x14ac:dyDescent="0.6">
      <c r="A74" s="204"/>
      <c r="B74" s="204"/>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c r="AR74" s="204"/>
      <c r="AS74" s="204"/>
      <c r="AT74" s="204"/>
      <c r="AU74" s="204"/>
      <c r="AV74" s="204"/>
      <c r="AW74" s="204"/>
      <c r="AX74" s="204"/>
      <c r="AY74" s="204"/>
      <c r="AZ74" s="204"/>
      <c r="BA74" s="204"/>
      <c r="BB74" s="204"/>
      <c r="BC74" s="204"/>
      <c r="BD74" s="204"/>
      <c r="BE74" s="204"/>
      <c r="BF74" s="204"/>
      <c r="BG74" s="204"/>
    </row>
    <row r="75" spans="1:91" ht="13" x14ac:dyDescent="0.6">
      <c r="A75" s="204"/>
      <c r="B75" s="204"/>
      <c r="C75" s="231" t="s">
        <v>924</v>
      </c>
      <c r="D75" s="204"/>
      <c r="E75" s="204"/>
      <c r="F75" s="204"/>
      <c r="G75" s="204"/>
      <c r="H75" s="204"/>
      <c r="I75" s="204"/>
      <c r="J75" s="204"/>
      <c r="K75" s="204"/>
      <c r="L75" s="204"/>
      <c r="M75" s="204"/>
      <c r="N75" s="204"/>
      <c r="O75" s="204"/>
      <c r="P75" s="204"/>
      <c r="Q75" s="204"/>
      <c r="R75" s="204"/>
      <c r="S75" s="204"/>
      <c r="T75" s="204"/>
      <c r="U75" s="204"/>
      <c r="V75" s="204"/>
      <c r="W75" s="204"/>
      <c r="X75" s="204"/>
      <c r="Y75" s="204"/>
      <c r="Z75" s="204"/>
      <c r="AA75" s="204"/>
      <c r="AB75" s="204"/>
      <c r="AC75" s="204"/>
      <c r="AD75" s="204"/>
      <c r="AE75" s="204"/>
      <c r="AF75" s="204"/>
      <c r="AG75" s="204"/>
      <c r="AH75" s="204"/>
      <c r="AI75" s="204"/>
      <c r="AJ75" s="204"/>
      <c r="AK75" s="204"/>
      <c r="AL75" s="204"/>
      <c r="AM75" s="204"/>
      <c r="AN75" s="204"/>
      <c r="AO75" s="204"/>
      <c r="AP75" s="204"/>
      <c r="AQ75" s="204"/>
      <c r="AR75" s="204"/>
      <c r="AS75" s="204"/>
      <c r="AT75" s="204"/>
      <c r="AU75" s="204"/>
      <c r="AV75" s="204"/>
      <c r="AW75" s="204"/>
      <c r="AX75" s="204"/>
      <c r="AY75" s="204"/>
      <c r="AZ75" s="204"/>
      <c r="BA75" s="204"/>
      <c r="BB75" s="204"/>
      <c r="BC75" s="204"/>
      <c r="BD75" s="204"/>
      <c r="BE75" s="204"/>
      <c r="BF75" s="204"/>
      <c r="BG75" s="204"/>
    </row>
    <row r="76" spans="1:91" ht="13" x14ac:dyDescent="0.6"/>
    <row r="77" spans="1:91" ht="13" x14ac:dyDescent="0.6">
      <c r="C77" s="238">
        <f>+C5</f>
        <v>45175.160645393516</v>
      </c>
      <c r="D77" s="237" t="s">
        <v>957</v>
      </c>
    </row>
    <row r="78" spans="1:91" ht="13.75" thickBot="1" x14ac:dyDescent="0.75">
      <c r="C78" s="104" t="s">
        <v>961</v>
      </c>
      <c r="D78" s="104" t="s">
        <v>938</v>
      </c>
      <c r="E78" s="104"/>
      <c r="F78" s="104"/>
      <c r="G78" s="104"/>
      <c r="H78" s="104"/>
      <c r="I78" s="104"/>
      <c r="J78" s="104"/>
      <c r="K78" s="105"/>
      <c r="L78" s="105"/>
      <c r="M78" s="105"/>
      <c r="N78" s="105"/>
      <c r="O78" s="105"/>
      <c r="P78" s="106"/>
      <c r="Q78" s="105"/>
      <c r="R78" s="105"/>
      <c r="S78" s="105"/>
      <c r="T78" s="105"/>
      <c r="U78" s="106"/>
      <c r="V78" s="104"/>
      <c r="W78" s="105"/>
      <c r="X78" s="105"/>
      <c r="Y78" s="105"/>
      <c r="Z78" s="105"/>
      <c r="AA78" s="105"/>
      <c r="AB78" s="105"/>
      <c r="AC78" s="105"/>
      <c r="AD78" s="105"/>
      <c r="AE78" s="105"/>
    </row>
    <row r="79" spans="1:91" ht="13" x14ac:dyDescent="0.6">
      <c r="C79" s="107" t="s">
        <v>925</v>
      </c>
      <c r="D79" s="108" t="str">
        <f t="shared" ref="D79:BG79" si="0">+D6</f>
        <v>2011Q1</v>
      </c>
      <c r="E79" s="108" t="str">
        <f t="shared" si="0"/>
        <v>2011Q2</v>
      </c>
      <c r="F79" s="108" t="str">
        <f t="shared" si="0"/>
        <v>2011Q3</v>
      </c>
      <c r="G79" s="108" t="str">
        <f t="shared" si="0"/>
        <v>2011Q4</v>
      </c>
      <c r="H79" s="108" t="str">
        <f t="shared" si="0"/>
        <v>2012Q1</v>
      </c>
      <c r="I79" s="108" t="str">
        <f t="shared" si="0"/>
        <v>2012Q2</v>
      </c>
      <c r="J79" s="108" t="str">
        <f t="shared" si="0"/>
        <v>2012Q3</v>
      </c>
      <c r="K79" s="108" t="str">
        <f t="shared" si="0"/>
        <v>2012Q4</v>
      </c>
      <c r="L79" s="108" t="str">
        <f t="shared" si="0"/>
        <v>2013Q1</v>
      </c>
      <c r="M79" s="108" t="str">
        <f t="shared" si="0"/>
        <v>2013Q2</v>
      </c>
      <c r="N79" s="108" t="str">
        <f t="shared" si="0"/>
        <v>2013Q3</v>
      </c>
      <c r="O79" s="108" t="str">
        <f t="shared" si="0"/>
        <v>2013Q4</v>
      </c>
      <c r="P79" s="108" t="str">
        <f t="shared" si="0"/>
        <v>2014Q1</v>
      </c>
      <c r="Q79" s="108" t="str">
        <f t="shared" si="0"/>
        <v>2014Q2</v>
      </c>
      <c r="R79" s="108" t="str">
        <f t="shared" si="0"/>
        <v>2014Q3</v>
      </c>
      <c r="S79" s="108" t="str">
        <f t="shared" si="0"/>
        <v>2014Q4</v>
      </c>
      <c r="T79" s="108" t="str">
        <f t="shared" si="0"/>
        <v>2015Q1</v>
      </c>
      <c r="U79" s="119" t="str">
        <f t="shared" si="0"/>
        <v>2015Q2</v>
      </c>
      <c r="V79" s="232" t="str">
        <f t="shared" si="0"/>
        <v>2015Q3</v>
      </c>
      <c r="W79" s="109" t="str">
        <f t="shared" si="0"/>
        <v>2015Q4</v>
      </c>
      <c r="X79" s="109" t="str">
        <f t="shared" si="0"/>
        <v>2016Q1</v>
      </c>
      <c r="Y79" s="109" t="str">
        <f t="shared" si="0"/>
        <v>2016Q2</v>
      </c>
      <c r="Z79" s="109" t="str">
        <f t="shared" si="0"/>
        <v>2016Q3</v>
      </c>
      <c r="AA79" s="109" t="str">
        <f t="shared" si="0"/>
        <v>2016Q4</v>
      </c>
      <c r="AB79" s="109" t="str">
        <f t="shared" si="0"/>
        <v>2017Q1</v>
      </c>
      <c r="AC79" s="109" t="str">
        <f t="shared" si="0"/>
        <v>2017Q2</v>
      </c>
      <c r="AD79" s="109" t="str">
        <f t="shared" si="0"/>
        <v>2017Q3</v>
      </c>
      <c r="AE79" s="109" t="str">
        <f t="shared" si="0"/>
        <v>2017Q4</v>
      </c>
      <c r="AF79" s="109" t="str">
        <f t="shared" si="0"/>
        <v>2018Q1</v>
      </c>
      <c r="AG79" s="109" t="str">
        <f t="shared" si="0"/>
        <v>2018Q2</v>
      </c>
      <c r="AH79" s="109" t="str">
        <f t="shared" si="0"/>
        <v>2018Q3</v>
      </c>
      <c r="AI79" s="109" t="str">
        <f t="shared" si="0"/>
        <v>2018Q4</v>
      </c>
      <c r="AJ79" s="109" t="str">
        <f t="shared" si="0"/>
        <v>2019Q1</v>
      </c>
      <c r="AK79" s="109" t="str">
        <f t="shared" si="0"/>
        <v>2019Q2</v>
      </c>
      <c r="AL79" s="109" t="str">
        <f t="shared" si="0"/>
        <v>2019Q3</v>
      </c>
      <c r="AM79" s="109" t="str">
        <f t="shared" si="0"/>
        <v>2019Q4</v>
      </c>
      <c r="AN79" s="109" t="str">
        <f t="shared" si="0"/>
        <v>2020Q1</v>
      </c>
      <c r="AO79" s="109" t="str">
        <f t="shared" si="0"/>
        <v>2020Q2</v>
      </c>
      <c r="AP79" s="109" t="str">
        <f t="shared" si="0"/>
        <v>2020Q3</v>
      </c>
      <c r="AQ79" s="109" t="str">
        <f t="shared" si="0"/>
        <v>2020Q4</v>
      </c>
      <c r="AR79" s="109" t="str">
        <f t="shared" si="0"/>
        <v>2021Q1</v>
      </c>
      <c r="AS79" s="109" t="str">
        <f t="shared" si="0"/>
        <v>2021Q2</v>
      </c>
      <c r="AT79" s="109" t="str">
        <f t="shared" si="0"/>
        <v>2021Q3</v>
      </c>
      <c r="AU79" s="109" t="str">
        <f t="shared" si="0"/>
        <v>2021Q4</v>
      </c>
      <c r="AV79" s="109" t="str">
        <f t="shared" si="0"/>
        <v>2022Q1</v>
      </c>
      <c r="AW79" s="109" t="str">
        <f t="shared" si="0"/>
        <v>2022Q2</v>
      </c>
      <c r="AX79" s="109" t="str">
        <f t="shared" si="0"/>
        <v>2022Q3</v>
      </c>
      <c r="AY79" s="109" t="str">
        <f t="shared" si="0"/>
        <v>2022Q4</v>
      </c>
      <c r="AZ79" s="109" t="str">
        <f t="shared" si="0"/>
        <v>2023Q1</v>
      </c>
      <c r="BA79" s="109" t="str">
        <f t="shared" si="0"/>
        <v>2023Q2</v>
      </c>
      <c r="BB79" s="109" t="str">
        <f t="shared" si="0"/>
        <v>2023Q3</v>
      </c>
      <c r="BC79" s="109" t="str">
        <f t="shared" si="0"/>
        <v>2023Q4</v>
      </c>
      <c r="BD79" s="109" t="str">
        <f t="shared" si="0"/>
        <v>2024Q1</v>
      </c>
      <c r="BE79" s="109" t="str">
        <f t="shared" si="0"/>
        <v>2024Q2</v>
      </c>
      <c r="BF79" s="109" t="str">
        <f t="shared" si="0"/>
        <v>2024Q3</v>
      </c>
      <c r="BG79" s="109" t="str">
        <f t="shared" si="0"/>
        <v>2024Q4</v>
      </c>
      <c r="BH79" s="109" t="s">
        <v>928</v>
      </c>
      <c r="BI79" s="109" t="s">
        <v>929</v>
      </c>
      <c r="BJ79" s="109" t="s">
        <v>930</v>
      </c>
      <c r="BK79" s="109" t="s">
        <v>931</v>
      </c>
      <c r="BL79" s="109" t="s">
        <v>932</v>
      </c>
      <c r="BM79" s="109" t="s">
        <v>933</v>
      </c>
      <c r="BN79" s="109" t="s">
        <v>934</v>
      </c>
      <c r="BO79" s="109" t="s">
        <v>935</v>
      </c>
      <c r="BP79" s="242" t="s">
        <v>941</v>
      </c>
      <c r="BQ79" s="242" t="s">
        <v>942</v>
      </c>
      <c r="BR79" s="242" t="s">
        <v>943</v>
      </c>
      <c r="BS79" s="242" t="s">
        <v>944</v>
      </c>
      <c r="BT79" s="242" t="s">
        <v>945</v>
      </c>
      <c r="BU79" s="242" t="s">
        <v>946</v>
      </c>
      <c r="BV79" s="242" t="s">
        <v>947</v>
      </c>
      <c r="BW79" s="242" t="s">
        <v>948</v>
      </c>
      <c r="BX79" s="242" t="s">
        <v>949</v>
      </c>
      <c r="BY79" s="242" t="s">
        <v>950</v>
      </c>
      <c r="BZ79" s="242" t="s">
        <v>951</v>
      </c>
      <c r="CA79" s="242" t="s">
        <v>952</v>
      </c>
      <c r="CB79" s="242" t="s">
        <v>953</v>
      </c>
      <c r="CC79" s="242" t="s">
        <v>954</v>
      </c>
      <c r="CD79" s="242" t="s">
        <v>955</v>
      </c>
      <c r="CE79" s="242" t="s">
        <v>956</v>
      </c>
      <c r="CH79" s="257">
        <v>2025</v>
      </c>
      <c r="CI79" s="257">
        <v>2026</v>
      </c>
      <c r="CJ79" s="257">
        <v>2027</v>
      </c>
      <c r="CK79" s="257">
        <v>2028</v>
      </c>
      <c r="CL79" s="257">
        <v>2029</v>
      </c>
      <c r="CM79" s="257">
        <v>2030</v>
      </c>
    </row>
    <row r="80" spans="1:91" ht="13" x14ac:dyDescent="0.6">
      <c r="C80" s="110" t="s">
        <v>595</v>
      </c>
      <c r="D80" s="111"/>
      <c r="E80" s="111"/>
      <c r="F80" s="111"/>
      <c r="G80" s="111"/>
      <c r="H80" s="111"/>
      <c r="I80" s="111"/>
      <c r="J80" s="111"/>
      <c r="K80" s="111"/>
      <c r="L80" s="111"/>
      <c r="M80" s="111"/>
      <c r="N80" s="111"/>
      <c r="O80" s="111"/>
      <c r="P80" s="112"/>
      <c r="Q80" s="112"/>
      <c r="R80" s="112"/>
      <c r="S80" s="112"/>
      <c r="T80" s="112"/>
      <c r="U80" s="113"/>
      <c r="V80" s="233"/>
      <c r="W80" s="112"/>
      <c r="X80" s="112"/>
      <c r="Y80" s="112"/>
      <c r="Z80" s="112"/>
      <c r="AA80" s="112"/>
      <c r="AB80" s="112"/>
      <c r="AC80" s="112"/>
      <c r="AD80" s="112"/>
      <c r="AE80" s="112"/>
      <c r="AF80" s="112"/>
      <c r="AG80" s="112"/>
      <c r="AH80" s="112"/>
      <c r="AI80" s="112"/>
      <c r="AJ80" s="112"/>
      <c r="AK80" s="112"/>
      <c r="AL80" s="112"/>
      <c r="AM80" s="112"/>
      <c r="AN80" s="112"/>
      <c r="AO80" s="112"/>
      <c r="AP80" s="112"/>
      <c r="AQ80" s="112"/>
      <c r="AR80" s="112"/>
      <c r="AS80" s="112"/>
      <c r="AT80" s="112"/>
      <c r="AU80" s="112"/>
      <c r="AV80" s="112"/>
      <c r="AW80" s="112"/>
      <c r="AX80" s="112"/>
      <c r="AY80" s="112"/>
      <c r="AZ80" s="112"/>
      <c r="BA80" s="112"/>
      <c r="BB80" s="112"/>
      <c r="BC80" s="112"/>
      <c r="BD80" s="112"/>
      <c r="BE80" s="112"/>
      <c r="BF80" s="112"/>
      <c r="BG80" s="112"/>
      <c r="BH80" s="112"/>
      <c r="BI80" s="112"/>
      <c r="BJ80" s="112"/>
      <c r="BK80" s="112"/>
      <c r="BL80" s="112"/>
      <c r="BM80" s="112"/>
      <c r="BN80" s="112"/>
      <c r="BO80" s="112"/>
      <c r="BP80" s="245" t="s">
        <v>960</v>
      </c>
      <c r="BQ80" s="112"/>
      <c r="BR80" s="112"/>
      <c r="BS80" s="112"/>
      <c r="BT80" s="112"/>
      <c r="BU80" s="112"/>
      <c r="BV80" s="112"/>
      <c r="BW80" s="112"/>
      <c r="BX80" s="112"/>
      <c r="BY80" s="112"/>
      <c r="BZ80" s="112"/>
      <c r="CA80" s="112"/>
      <c r="CB80" s="111"/>
      <c r="CC80" s="111"/>
      <c r="CD80" s="111"/>
      <c r="CE80" s="111"/>
      <c r="CH80" s="258" t="s">
        <v>959</v>
      </c>
      <c r="CI80" s="125"/>
      <c r="CJ80" s="125"/>
      <c r="CK80" s="125"/>
      <c r="CL80" s="125"/>
      <c r="CM80" s="125"/>
    </row>
    <row r="81" spans="3:91" ht="13" x14ac:dyDescent="0.6">
      <c r="C81" s="107" t="s">
        <v>598</v>
      </c>
      <c r="D81" s="115">
        <f t="shared" ref="D81:T81" si="1">+D11/100</f>
        <v>3.7088979306484603E-2</v>
      </c>
      <c r="E81" s="115">
        <f t="shared" si="1"/>
        <v>2.4151907144491599E-2</v>
      </c>
      <c r="F81" s="115">
        <f t="shared" si="1"/>
        <v>2.06934312024739E-2</v>
      </c>
      <c r="G81" s="115">
        <f t="shared" si="1"/>
        <v>1.18637021739635E-2</v>
      </c>
      <c r="H81" s="115">
        <f t="shared" si="1"/>
        <v>6.0867503197176102E-3</v>
      </c>
      <c r="I81" s="115">
        <f t="shared" si="1"/>
        <v>7.5645902074068707E-3</v>
      </c>
      <c r="J81" s="115">
        <f t="shared" si="1"/>
        <v>1.0258542658833301E-2</v>
      </c>
      <c r="K81" s="114">
        <f t="shared" si="1"/>
        <v>1.2125803456834101E-2</v>
      </c>
      <c r="L81" s="115">
        <f t="shared" si="1"/>
        <v>1.07794403873374E-2</v>
      </c>
      <c r="M81" s="115">
        <f t="shared" si="1"/>
        <v>1.53352209274542E-2</v>
      </c>
      <c r="N81" s="115">
        <f t="shared" si="1"/>
        <v>1.78642591613986E-2</v>
      </c>
      <c r="O81" s="115">
        <f t="shared" si="1"/>
        <v>2.1993330509933504E-2</v>
      </c>
      <c r="P81" s="115">
        <f t="shared" si="1"/>
        <v>2.6102472064268502E-2</v>
      </c>
      <c r="Q81" s="115">
        <f t="shared" si="1"/>
        <v>2.38928921689592E-2</v>
      </c>
      <c r="R81" s="115">
        <f t="shared" si="1"/>
        <v>2.55374402092097E-2</v>
      </c>
      <c r="S81" s="115">
        <f t="shared" si="1"/>
        <v>2.6903778590052999E-2</v>
      </c>
      <c r="T81" s="115">
        <f t="shared" si="1"/>
        <v>2.791721272366E-2</v>
      </c>
      <c r="U81" s="116">
        <f t="shared" ref="U81:BF81" si="2">+U16/100</f>
        <v>5.80315618708356E-2</v>
      </c>
      <c r="V81" s="234">
        <f t="shared" si="2"/>
        <v>4.9641942815779203E-2</v>
      </c>
      <c r="W81" s="115">
        <f t="shared" si="2"/>
        <v>4.0075693192973605E-2</v>
      </c>
      <c r="X81" s="115">
        <f t="shared" si="2"/>
        <v>1.18078849853473E-2</v>
      </c>
      <c r="Y81" s="115">
        <f t="shared" si="2"/>
        <v>1.4844765174676399E-2</v>
      </c>
      <c r="Z81" s="115">
        <f t="shared" si="2"/>
        <v>1.80378271722163E-2</v>
      </c>
      <c r="AA81" s="115">
        <f t="shared" si="2"/>
        <v>2.1760999131532101E-2</v>
      </c>
      <c r="AB81" s="115">
        <f t="shared" si="2"/>
        <v>2.6795701709532799E-2</v>
      </c>
      <c r="AC81" s="115">
        <f t="shared" si="2"/>
        <v>3.0340426149547503E-2</v>
      </c>
      <c r="AD81" s="115">
        <f t="shared" si="2"/>
        <v>3.4609989345212304E-2</v>
      </c>
      <c r="AE81" s="115">
        <f t="shared" si="2"/>
        <v>3.7146632893211601E-2</v>
      </c>
      <c r="AF81" s="115">
        <f t="shared" si="2"/>
        <v>5.4898510161380303E-2</v>
      </c>
      <c r="AG81" s="115">
        <f t="shared" si="2"/>
        <v>4.8141675983434898E-2</v>
      </c>
      <c r="AH81" s="115">
        <f t="shared" si="2"/>
        <v>3.9641893816373501E-2</v>
      </c>
      <c r="AI81" s="115">
        <f t="shared" si="2"/>
        <v>3.1709539768587799E-2</v>
      </c>
      <c r="AJ81" s="115">
        <f t="shared" si="2"/>
        <v>2.37528865714665E-2</v>
      </c>
      <c r="AK81" s="115">
        <f t="shared" si="2"/>
        <v>1.9790449215478002E-2</v>
      </c>
      <c r="AL81" s="115">
        <f t="shared" si="2"/>
        <v>1.3777212872985001E-2</v>
      </c>
      <c r="AM81" s="115">
        <f t="shared" si="2"/>
        <v>9.5979908132544593E-3</v>
      </c>
      <c r="AN81" s="115">
        <f t="shared" si="2"/>
        <v>-3.45181418509969E-2</v>
      </c>
      <c r="AO81" s="115">
        <f t="shared" si="2"/>
        <v>-3.9168894343540296E-2</v>
      </c>
      <c r="AP81" s="115">
        <f t="shared" si="2"/>
        <v>-5.1275221648498705E-3</v>
      </c>
      <c r="AQ81" s="115">
        <f t="shared" si="2"/>
        <v>9.4824625877576296E-3</v>
      </c>
      <c r="AR81" s="115">
        <f t="shared" si="2"/>
        <v>5.1315543181514905E-2</v>
      </c>
      <c r="AS81" s="115">
        <f t="shared" si="2"/>
        <v>7.7478607971560101E-2</v>
      </c>
      <c r="AT81" s="115">
        <f t="shared" si="2"/>
        <v>5.9311028596424703E-2</v>
      </c>
      <c r="AU81" s="115">
        <f t="shared" si="2"/>
        <v>6.3110008354657007E-2</v>
      </c>
      <c r="AV81" s="115">
        <f t="shared" si="2"/>
        <v>7.17425452974087E-2</v>
      </c>
      <c r="AW81" s="115">
        <f t="shared" si="2"/>
        <v>6.5132578452664597E-2</v>
      </c>
      <c r="AX81" s="115">
        <f t="shared" si="2"/>
        <v>6.1818504122145394E-2</v>
      </c>
      <c r="AY81" s="115">
        <f t="shared" si="2"/>
        <v>5.7465819862600902E-2</v>
      </c>
      <c r="AZ81" s="115">
        <f t="shared" si="2"/>
        <v>6.2660506691721199E-2</v>
      </c>
      <c r="BA81" s="115">
        <f t="shared" si="2"/>
        <v>5.7326160947458904E-2</v>
      </c>
      <c r="BB81" s="115">
        <f t="shared" si="2"/>
        <v>5.3564911706834299E-2</v>
      </c>
      <c r="BC81" s="115">
        <f t="shared" si="2"/>
        <v>4.8353627888560895E-2</v>
      </c>
      <c r="BD81" s="115">
        <f t="shared" si="2"/>
        <v>3.0954751607254E-2</v>
      </c>
      <c r="BE81" s="115">
        <f t="shared" si="2"/>
        <v>3.47480628585995E-2</v>
      </c>
      <c r="BF81" s="115">
        <f t="shared" si="2"/>
        <v>3.8878071948867499E-2</v>
      </c>
      <c r="BG81" s="115">
        <f>+BG16/100</f>
        <v>4.3789338691791399E-2</v>
      </c>
      <c r="BH81" s="115">
        <f t="shared" ref="BH81:BO81" si="3">+BH16/100</f>
        <v>5.3785835422289298E-2</v>
      </c>
      <c r="BI81" s="115">
        <f t="shared" si="3"/>
        <v>5.3344838072236299E-2</v>
      </c>
      <c r="BJ81" s="115">
        <f t="shared" si="3"/>
        <v>5.2473333680392899E-2</v>
      </c>
      <c r="BK81" s="115">
        <f t="shared" si="3"/>
        <v>5.0717087482117097E-2</v>
      </c>
      <c r="BL81" s="115">
        <f t="shared" si="3"/>
        <v>5.0900942863004096E-2</v>
      </c>
      <c r="BM81" s="115">
        <f t="shared" si="3"/>
        <v>5.0035628856493097E-2</v>
      </c>
      <c r="BN81" s="115">
        <f t="shared" si="3"/>
        <v>5.0220185501103902E-2</v>
      </c>
      <c r="BO81" s="115">
        <f t="shared" si="3"/>
        <v>5.0058175977507703E-2</v>
      </c>
      <c r="BP81" s="243">
        <f>+$CJ81</f>
        <v>4.60615802380493E-2</v>
      </c>
      <c r="BQ81" s="243">
        <f t="shared" ref="BQ81:BS81" si="4">+$CJ81</f>
        <v>4.60615802380493E-2</v>
      </c>
      <c r="BR81" s="243">
        <f t="shared" si="4"/>
        <v>4.60615802380493E-2</v>
      </c>
      <c r="BS81" s="243">
        <f t="shared" si="4"/>
        <v>4.60615802380493E-2</v>
      </c>
      <c r="BT81" s="243">
        <f>+$CK81</f>
        <v>4.5664381993298503E-2</v>
      </c>
      <c r="BU81" s="243">
        <f t="shared" ref="BU81:BW81" si="5">+$CK81</f>
        <v>4.5664381993298503E-2</v>
      </c>
      <c r="BV81" s="243">
        <f t="shared" si="5"/>
        <v>4.5664381993298503E-2</v>
      </c>
      <c r="BW81" s="243">
        <f t="shared" si="5"/>
        <v>4.5664381993298503E-2</v>
      </c>
      <c r="BX81" s="243">
        <f>+$CL81</f>
        <v>4.4862613442822899E-2</v>
      </c>
      <c r="BY81" s="243">
        <f t="shared" ref="BY81:CA81" si="6">+$CL81</f>
        <v>4.4862613442822899E-2</v>
      </c>
      <c r="BZ81" s="243">
        <f t="shared" si="6"/>
        <v>4.4862613442822899E-2</v>
      </c>
      <c r="CA81" s="243">
        <f t="shared" si="6"/>
        <v>4.4862613442822899E-2</v>
      </c>
      <c r="CB81" s="243">
        <f>+$CM81</f>
        <v>4.4239718417225203E-2</v>
      </c>
      <c r="CC81" s="243">
        <f t="shared" ref="CC81:CE82" si="7">+$CM81</f>
        <v>4.4239718417225203E-2</v>
      </c>
      <c r="CD81" s="243">
        <f t="shared" si="7"/>
        <v>4.4239718417225203E-2</v>
      </c>
      <c r="CE81" s="243">
        <f t="shared" si="7"/>
        <v>4.4239718417225203E-2</v>
      </c>
      <c r="CH81" s="259">
        <f>Annual!AW81</f>
        <v>5.2390495544210498E-2</v>
      </c>
      <c r="CI81" s="259">
        <f>Annual!AX81</f>
        <v>5.0355391464100299E-2</v>
      </c>
      <c r="CJ81" s="259">
        <f>Annual!AY81</f>
        <v>4.60615802380493E-2</v>
      </c>
      <c r="CK81" s="259">
        <f>Annual!AZ81</f>
        <v>4.5664381993298503E-2</v>
      </c>
      <c r="CL81" s="259">
        <f>Annual!BA81</f>
        <v>4.4862613442822899E-2</v>
      </c>
      <c r="CM81" s="259">
        <f>Annual!BB81</f>
        <v>4.4239718417225203E-2</v>
      </c>
    </row>
    <row r="82" spans="3:91" ht="13" x14ac:dyDescent="0.6">
      <c r="C82" s="107" t="s">
        <v>599</v>
      </c>
      <c r="D82" s="115">
        <f t="shared" ref="D82:BO82" si="8">+D20/100</f>
        <v>6.5573910872514102E-2</v>
      </c>
      <c r="E82" s="115">
        <f t="shared" si="8"/>
        <v>4.4991767829841801E-2</v>
      </c>
      <c r="F82" s="115">
        <f t="shared" si="8"/>
        <v>2.48071801401177E-2</v>
      </c>
      <c r="G82" s="115">
        <f t="shared" si="8"/>
        <v>5.0124688042058598E-3</v>
      </c>
      <c r="H82" s="115">
        <f t="shared" si="8"/>
        <v>-0.101051081785253</v>
      </c>
      <c r="I82" s="115">
        <f t="shared" si="8"/>
        <v>-6.0857779116042898E-2</v>
      </c>
      <c r="J82" s="115">
        <f t="shared" si="8"/>
        <v>-1.8867375914503701E-2</v>
      </c>
      <c r="K82" s="114">
        <f t="shared" si="8"/>
        <v>2.5000478776083201E-2</v>
      </c>
      <c r="L82" s="115">
        <f t="shared" si="8"/>
        <v>0.16356324573608202</v>
      </c>
      <c r="M82" s="115">
        <f t="shared" si="8"/>
        <v>0.14875700552913701</v>
      </c>
      <c r="N82" s="115">
        <f t="shared" si="8"/>
        <v>0.13413917342967199</v>
      </c>
      <c r="O82" s="115">
        <f t="shared" si="8"/>
        <v>0.119707351961056</v>
      </c>
      <c r="P82" s="115">
        <f t="shared" si="8"/>
        <v>0.16461375789014798</v>
      </c>
      <c r="Q82" s="115">
        <f t="shared" si="8"/>
        <v>0.11143352626839099</v>
      </c>
      <c r="R82" s="115">
        <f t="shared" si="8"/>
        <v>6.0681685189151E-2</v>
      </c>
      <c r="S82" s="115">
        <f t="shared" si="8"/>
        <v>1.22473460675678E-2</v>
      </c>
      <c r="T82" s="115">
        <f t="shared" si="8"/>
        <v>-0.15592822872217701</v>
      </c>
      <c r="U82" s="116">
        <f t="shared" si="8"/>
        <v>-0.115989407170806</v>
      </c>
      <c r="V82" s="234">
        <f t="shared" si="8"/>
        <v>-7.4160806194046108E-2</v>
      </c>
      <c r="W82" s="115">
        <f t="shared" si="8"/>
        <v>-3.03530073729774E-2</v>
      </c>
      <c r="X82" s="115">
        <f t="shared" si="8"/>
        <v>8.9501118895771198E-2</v>
      </c>
      <c r="Y82" s="115">
        <f t="shared" si="8"/>
        <v>8.4092927276798499E-2</v>
      </c>
      <c r="Z82" s="115">
        <f t="shared" si="8"/>
        <v>7.8711581464664407E-2</v>
      </c>
      <c r="AA82" s="115">
        <f t="shared" si="8"/>
        <v>7.3356948199046507E-2</v>
      </c>
      <c r="AB82" s="115">
        <f t="shared" si="8"/>
        <v>5.3831683952419898E-2</v>
      </c>
      <c r="AC82" s="115">
        <f t="shared" si="8"/>
        <v>5.74514659019403E-2</v>
      </c>
      <c r="AD82" s="115">
        <f t="shared" si="8"/>
        <v>6.1083681356318899E-2</v>
      </c>
      <c r="AE82" s="115">
        <f t="shared" si="8"/>
        <v>6.4728373023109007E-2</v>
      </c>
      <c r="AF82" s="115">
        <f t="shared" si="8"/>
        <v>0.15122986600903299</v>
      </c>
      <c r="AG82" s="115">
        <f t="shared" si="8"/>
        <v>0.101960980897985</v>
      </c>
      <c r="AH82" s="115">
        <f t="shared" si="8"/>
        <v>5.48006434469284E-2</v>
      </c>
      <c r="AI82" s="115">
        <f t="shared" si="8"/>
        <v>9.6586146901491803E-3</v>
      </c>
      <c r="AJ82" s="115">
        <f t="shared" si="8"/>
        <v>-0.10839593356510599</v>
      </c>
      <c r="AK82" s="115">
        <f t="shared" si="8"/>
        <v>-9.9960219644198697E-2</v>
      </c>
      <c r="AL82" s="115">
        <f t="shared" si="8"/>
        <v>-9.1444693088921086E-2</v>
      </c>
      <c r="AM82" s="115">
        <f t="shared" si="8"/>
        <v>-8.2848598769756893E-2</v>
      </c>
      <c r="AN82" s="115">
        <f t="shared" si="8"/>
        <v>-0.154702574402169</v>
      </c>
      <c r="AO82" s="115">
        <f t="shared" si="8"/>
        <v>-9.52375446638693E-2</v>
      </c>
      <c r="AP82" s="115">
        <f t="shared" si="8"/>
        <v>-3.15892657464115E-2</v>
      </c>
      <c r="AQ82" s="115">
        <f t="shared" si="8"/>
        <v>3.65365457932963E-2</v>
      </c>
      <c r="AR82" s="115">
        <f t="shared" si="8"/>
        <v>0.26282146329067102</v>
      </c>
      <c r="AS82" s="115">
        <f t="shared" si="8"/>
        <v>0.241847018555233</v>
      </c>
      <c r="AT82" s="115">
        <f t="shared" si="8"/>
        <v>0.22122094240929599</v>
      </c>
      <c r="AU82" s="115">
        <f t="shared" si="8"/>
        <v>0.20093744873191</v>
      </c>
      <c r="AV82" s="115">
        <f t="shared" si="8"/>
        <v>0.18876649533359</v>
      </c>
      <c r="AW82" s="115">
        <f t="shared" si="8"/>
        <v>0.16421224788048799</v>
      </c>
      <c r="AX82" s="115">
        <f t="shared" si="8"/>
        <v>0.14016517409888102</v>
      </c>
      <c r="AY82" s="115">
        <f t="shared" si="8"/>
        <v>0.116614798199051</v>
      </c>
      <c r="AZ82" s="115">
        <f t="shared" si="8"/>
        <v>8.9213961301307695E-2</v>
      </c>
      <c r="BA82" s="115">
        <f t="shared" si="8"/>
        <v>7.05282665577079E-2</v>
      </c>
      <c r="BB82" s="115">
        <f t="shared" si="8"/>
        <v>5.2163128840052204E-2</v>
      </c>
      <c r="BC82" s="115">
        <f t="shared" si="8"/>
        <v>3.4113048925092697E-2</v>
      </c>
      <c r="BD82" s="115">
        <f t="shared" si="8"/>
        <v>-4.1448859101791698E-2</v>
      </c>
      <c r="BE82" s="115">
        <f t="shared" si="8"/>
        <v>-2.24096090910442E-2</v>
      </c>
      <c r="BF82" s="115">
        <f t="shared" si="8"/>
        <v>-2.9921914213120598E-3</v>
      </c>
      <c r="BG82" s="115">
        <f t="shared" si="8"/>
        <v>1.6810905273571101E-2</v>
      </c>
      <c r="BH82" s="115">
        <f t="shared" si="8"/>
        <v>7.0489973138225803E-2</v>
      </c>
      <c r="BI82" s="115">
        <f t="shared" si="8"/>
        <v>6.8225473354662003E-2</v>
      </c>
      <c r="BJ82" s="115">
        <f t="shared" si="8"/>
        <v>6.5965763862833801E-2</v>
      </c>
      <c r="BK82" s="115">
        <f t="shared" si="8"/>
        <v>6.371083452942089E-2</v>
      </c>
      <c r="BL82" s="115">
        <f t="shared" si="8"/>
        <v>5.97989282192887E-2</v>
      </c>
      <c r="BM82" s="115">
        <f t="shared" si="8"/>
        <v>5.8614074777028798E-2</v>
      </c>
      <c r="BN82" s="115">
        <f t="shared" si="8"/>
        <v>5.74305459989519E-2</v>
      </c>
      <c r="BO82" s="115">
        <f t="shared" si="8"/>
        <v>5.6248340404082005E-2</v>
      </c>
      <c r="BP82" s="243">
        <f t="shared" ref="BP82:BS90" si="9">+$CJ82</f>
        <v>5.3400438556237904E-2</v>
      </c>
      <c r="BQ82" s="243">
        <f t="shared" si="9"/>
        <v>5.3400438556237904E-2</v>
      </c>
      <c r="BR82" s="243">
        <f t="shared" si="9"/>
        <v>5.3400438556237904E-2</v>
      </c>
      <c r="BS82" s="243">
        <f t="shared" si="9"/>
        <v>5.3400438556237904E-2</v>
      </c>
      <c r="BT82" s="243">
        <f t="shared" ref="BT82:BW90" si="10">+$CK82</f>
        <v>5.6148023036869998E-2</v>
      </c>
      <c r="BU82" s="243">
        <f t="shared" si="10"/>
        <v>5.6148023036869998E-2</v>
      </c>
      <c r="BV82" s="243">
        <f t="shared" si="10"/>
        <v>5.6148023036869998E-2</v>
      </c>
      <c r="BW82" s="243">
        <f t="shared" si="10"/>
        <v>5.6148023036869998E-2</v>
      </c>
      <c r="BX82" s="243">
        <f t="shared" ref="BX82:CA90" si="11">+$CL82</f>
        <v>5.2667128111827104E-2</v>
      </c>
      <c r="BY82" s="243">
        <f t="shared" si="11"/>
        <v>5.2667128111827104E-2</v>
      </c>
      <c r="BZ82" s="243">
        <f t="shared" si="11"/>
        <v>5.2667128111827104E-2</v>
      </c>
      <c r="CA82" s="243">
        <f t="shared" si="11"/>
        <v>5.2667128111827104E-2</v>
      </c>
      <c r="CB82" s="243">
        <f>+$CM82</f>
        <v>5.0625578458152402E-2</v>
      </c>
      <c r="CC82" s="243">
        <f t="shared" si="7"/>
        <v>5.0625578458152402E-2</v>
      </c>
      <c r="CD82" s="243">
        <f t="shared" si="7"/>
        <v>5.0625578458152402E-2</v>
      </c>
      <c r="CE82" s="243">
        <f t="shared" si="7"/>
        <v>5.0625578458152402E-2</v>
      </c>
      <c r="CH82" s="259">
        <f>Annual!AW82</f>
        <v>6.768707838377469E-2</v>
      </c>
      <c r="CI82" s="259">
        <f>Annual!AX82</f>
        <v>5.8325345929024601E-2</v>
      </c>
      <c r="CJ82" s="259">
        <f>Annual!AY82</f>
        <v>5.3400438556237904E-2</v>
      </c>
      <c r="CK82" s="259">
        <f>Annual!AZ82</f>
        <v>5.6148023036869998E-2</v>
      </c>
      <c r="CL82" s="259">
        <f>Annual!BA82</f>
        <v>5.2667128111827104E-2</v>
      </c>
      <c r="CM82" s="259">
        <f>Annual!BB82</f>
        <v>5.0625578458152402E-2</v>
      </c>
    </row>
    <row r="83" spans="3:91" ht="13" x14ac:dyDescent="0.6">
      <c r="C83" s="110" t="s">
        <v>596</v>
      </c>
      <c r="D83" s="115"/>
      <c r="E83" s="115"/>
      <c r="F83" s="115"/>
      <c r="G83" s="115"/>
      <c r="H83" s="115"/>
      <c r="I83" s="115"/>
      <c r="J83" s="115"/>
      <c r="K83" s="114"/>
      <c r="L83" s="115"/>
      <c r="M83" s="115"/>
      <c r="N83" s="115"/>
      <c r="O83" s="115"/>
      <c r="P83" s="115"/>
      <c r="Q83" s="115"/>
      <c r="R83" s="115"/>
      <c r="S83" s="115"/>
      <c r="T83" s="115"/>
      <c r="U83" s="116"/>
      <c r="V83" s="234"/>
      <c r="W83" s="115"/>
      <c r="X83" s="115"/>
      <c r="Y83" s="115"/>
      <c r="Z83" s="115"/>
      <c r="AA83" s="115"/>
      <c r="AB83" s="115"/>
      <c r="AC83" s="115"/>
      <c r="AD83" s="115"/>
      <c r="AE83" s="115"/>
      <c r="AF83" s="115"/>
      <c r="AG83" s="115"/>
      <c r="AH83" s="115"/>
      <c r="AI83" s="115"/>
      <c r="AJ83" s="115"/>
      <c r="AK83" s="115"/>
      <c r="AL83" s="115"/>
      <c r="AM83" s="115"/>
      <c r="AN83" s="115"/>
      <c r="AO83" s="115"/>
      <c r="AP83" s="115"/>
      <c r="AQ83" s="115"/>
      <c r="AR83" s="115"/>
      <c r="AS83" s="115"/>
      <c r="AT83" s="115"/>
      <c r="AU83" s="115"/>
      <c r="AV83" s="115"/>
      <c r="AW83" s="115"/>
      <c r="AX83" s="115"/>
      <c r="AY83" s="115"/>
      <c r="AZ83" s="115"/>
      <c r="BA83" s="115"/>
      <c r="BB83" s="115"/>
      <c r="BC83" s="115"/>
      <c r="BD83" s="115"/>
      <c r="BE83" s="115"/>
      <c r="BF83" s="115"/>
      <c r="BG83" s="115"/>
      <c r="BH83" s="115"/>
      <c r="BI83" s="115"/>
      <c r="BJ83" s="115"/>
      <c r="BK83" s="115"/>
      <c r="BL83" s="115"/>
      <c r="BM83" s="115"/>
      <c r="BN83" s="115"/>
      <c r="BO83" s="115"/>
      <c r="BP83" s="243"/>
      <c r="BQ83" s="243"/>
      <c r="BR83" s="243"/>
      <c r="BS83" s="243"/>
      <c r="BT83" s="243"/>
      <c r="BU83" s="243"/>
      <c r="BV83" s="243"/>
      <c r="BW83" s="243"/>
      <c r="BX83" s="243"/>
      <c r="BY83" s="243"/>
      <c r="BZ83" s="243"/>
      <c r="CA83" s="243"/>
      <c r="CB83" s="115"/>
      <c r="CC83" s="115"/>
      <c r="CD83" s="115"/>
      <c r="CE83" s="115"/>
      <c r="CH83" s="259"/>
      <c r="CI83" s="259"/>
      <c r="CJ83" s="259"/>
      <c r="CK83" s="259"/>
      <c r="CL83" s="259"/>
      <c r="CM83" s="259"/>
    </row>
    <row r="84" spans="3:91" ht="13" x14ac:dyDescent="0.6">
      <c r="C84" s="107" t="s">
        <v>602</v>
      </c>
      <c r="D84" s="115">
        <f t="shared" ref="D84:BO84" si="12">+D37/100</f>
        <v>4.4767110914974796E-2</v>
      </c>
      <c r="E84" s="115">
        <f t="shared" si="12"/>
        <v>0.14561171762203601</v>
      </c>
      <c r="F84" s="115">
        <f t="shared" si="12"/>
        <v>0.124451800160468</v>
      </c>
      <c r="G84" s="115">
        <f t="shared" si="12"/>
        <v>3.1602593730494601E-2</v>
      </c>
      <c r="H84" s="115">
        <f t="shared" si="12"/>
        <v>6.5584304007015107E-3</v>
      </c>
      <c r="I84" s="115">
        <f t="shared" si="12"/>
        <v>-5.1250045047427299E-2</v>
      </c>
      <c r="J84" s="115">
        <f t="shared" si="12"/>
        <v>-5.6960913697637797E-2</v>
      </c>
      <c r="K84" s="114">
        <f t="shared" si="12"/>
        <v>6.5820764066477104E-3</v>
      </c>
      <c r="L84" s="115">
        <f t="shared" si="12"/>
        <v>1.6377988554517199E-2</v>
      </c>
      <c r="M84" s="115">
        <f t="shared" si="12"/>
        <v>1.1991478064299399E-2</v>
      </c>
      <c r="N84" s="115">
        <f t="shared" si="12"/>
        <v>2.9716306522771498E-2</v>
      </c>
      <c r="O84" s="115">
        <f t="shared" si="12"/>
        <v>2.45581209624656E-2</v>
      </c>
      <c r="P84" s="115">
        <f t="shared" si="12"/>
        <v>2.3944624951132601E-2</v>
      </c>
      <c r="Q84" s="115">
        <f t="shared" si="12"/>
        <v>5.4198794024419496E-2</v>
      </c>
      <c r="R84" s="115">
        <f t="shared" si="12"/>
        <v>2.2154868711752498E-2</v>
      </c>
      <c r="S84" s="115">
        <f t="shared" si="12"/>
        <v>-5.7473060110616696E-2</v>
      </c>
      <c r="T84" s="115">
        <f t="shared" si="12"/>
        <v>-0.119532346153274</v>
      </c>
      <c r="U84" s="116">
        <f t="shared" si="12"/>
        <v>-0.134674988090211</v>
      </c>
      <c r="V84" s="234">
        <f t="shared" si="12"/>
        <v>-0.127010363109861</v>
      </c>
      <c r="W84" s="115">
        <f t="shared" si="12"/>
        <v>-8.5079246746222401E-2</v>
      </c>
      <c r="X84" s="115">
        <f t="shared" si="12"/>
        <v>-2.52555843739425E-2</v>
      </c>
      <c r="Y84" s="115">
        <f t="shared" si="12"/>
        <v>1.1400406219669701E-2</v>
      </c>
      <c r="Z84" s="115">
        <f t="shared" si="12"/>
        <v>2.7053007896337303E-2</v>
      </c>
      <c r="AA84" s="115">
        <f t="shared" si="12"/>
        <v>6.3703490795907706E-3</v>
      </c>
      <c r="AB84" s="115">
        <f t="shared" si="12"/>
        <v>4.9304973505824301E-3</v>
      </c>
      <c r="AC84" s="115">
        <f t="shared" si="12"/>
        <v>1.62550400375407E-4</v>
      </c>
      <c r="AD84" s="115">
        <f t="shared" si="12"/>
        <v>3.7181610786970298E-2</v>
      </c>
      <c r="AE84" s="115">
        <f t="shared" si="12"/>
        <v>7.3904904775187297E-2</v>
      </c>
      <c r="AF84" s="115">
        <f t="shared" si="12"/>
        <v>0.121840884200813</v>
      </c>
      <c r="AG84" s="115">
        <f t="shared" si="12"/>
        <v>7.3892441746817097E-2</v>
      </c>
      <c r="AH84" s="115">
        <f t="shared" si="12"/>
        <v>1.1537559146321602E-2</v>
      </c>
      <c r="AI84" s="115">
        <f t="shared" si="12"/>
        <v>-5.9028974325302293E-3</v>
      </c>
      <c r="AJ84" s="115">
        <f t="shared" si="12"/>
        <v>-4.5280457771849594E-2</v>
      </c>
      <c r="AK84" s="115">
        <f t="shared" si="12"/>
        <v>-3.5253629859027101E-2</v>
      </c>
      <c r="AL84" s="115">
        <f t="shared" si="12"/>
        <v>-2.3780690594825502E-2</v>
      </c>
      <c r="AM84" s="115">
        <f t="shared" si="12"/>
        <v>-8.8934809401751309E-3</v>
      </c>
      <c r="AN84" s="115">
        <f t="shared" si="12"/>
        <v>-1.3975098217983E-2</v>
      </c>
      <c r="AO84" s="115">
        <f t="shared" si="12"/>
        <v>-1.6704810072213701E-2</v>
      </c>
      <c r="AP84" s="115">
        <f t="shared" si="12"/>
        <v>3.6118901916866002E-2</v>
      </c>
      <c r="AQ84" s="115">
        <f t="shared" si="12"/>
        <v>5.88090570171644E-2</v>
      </c>
      <c r="AR84" s="115">
        <f t="shared" si="12"/>
        <v>8.4430745385585496E-2</v>
      </c>
      <c r="AS84" s="115">
        <f t="shared" si="12"/>
        <v>9.7638609620976091E-2</v>
      </c>
      <c r="AT84" s="115">
        <f t="shared" si="12"/>
        <v>3.6711706255621999E-2</v>
      </c>
      <c r="AU84" s="115">
        <f t="shared" si="12"/>
        <v>3.5961228408291101E-3</v>
      </c>
      <c r="AV84" s="115">
        <f t="shared" si="12"/>
        <v>-9.7158544208103895E-3</v>
      </c>
      <c r="AW84" s="115">
        <f t="shared" si="12"/>
        <v>-3.8774574859310997E-2</v>
      </c>
      <c r="AX84" s="115">
        <f t="shared" si="12"/>
        <v>-5.7728705524279895E-2</v>
      </c>
      <c r="AY84" s="115">
        <f t="shared" si="12"/>
        <v>-3.3209471357280002E-2</v>
      </c>
      <c r="AZ84" s="115">
        <f t="shared" si="12"/>
        <v>1.41023322589829E-2</v>
      </c>
      <c r="BA84" s="115">
        <f t="shared" si="12"/>
        <v>4.8641323776575901E-2</v>
      </c>
      <c r="BB84" s="115">
        <f t="shared" si="12"/>
        <v>8.5537147191901003E-2</v>
      </c>
      <c r="BC84" s="115">
        <f t="shared" si="12"/>
        <v>5.9816243878029703E-2</v>
      </c>
      <c r="BD84" s="115">
        <f t="shared" si="12"/>
        <v>1.7158306798098499E-2</v>
      </c>
      <c r="BE84" s="115">
        <f t="shared" si="12"/>
        <v>7.5986309898133197E-4</v>
      </c>
      <c r="BF84" s="115">
        <f t="shared" si="12"/>
        <v>2.21621180264161E-2</v>
      </c>
      <c r="BG84" s="115">
        <f t="shared" si="12"/>
        <v>9.0698147432964997E-3</v>
      </c>
      <c r="BH84" s="115">
        <f t="shared" si="12"/>
        <v>-1.1135384855338399E-2</v>
      </c>
      <c r="BI84" s="115">
        <f t="shared" si="12"/>
        <v>6.0345650059598001E-2</v>
      </c>
      <c r="BJ84" s="115">
        <f t="shared" si="12"/>
        <v>5.9226844970286303E-2</v>
      </c>
      <c r="BK84" s="115">
        <f t="shared" si="12"/>
        <v>6.9926493387435701E-2</v>
      </c>
      <c r="BL84" s="115">
        <f t="shared" si="12"/>
        <v>9.2677839718329491E-2</v>
      </c>
      <c r="BM84" s="115">
        <f t="shared" si="12"/>
        <v>3.6239783934420705E-2</v>
      </c>
      <c r="BN84" s="115">
        <f t="shared" si="12"/>
        <v>1.7094832065380702E-2</v>
      </c>
      <c r="BO84" s="115">
        <f t="shared" si="12"/>
        <v>2.99616318665108E-2</v>
      </c>
      <c r="BP84" s="243">
        <f t="shared" si="9"/>
        <v>2.12730000371406E-2</v>
      </c>
      <c r="BQ84" s="243">
        <f t="shared" si="9"/>
        <v>2.12730000371406E-2</v>
      </c>
      <c r="BR84" s="243">
        <f t="shared" si="9"/>
        <v>2.12730000371406E-2</v>
      </c>
      <c r="BS84" s="243">
        <f t="shared" si="9"/>
        <v>2.12730000371406E-2</v>
      </c>
      <c r="BT84" s="243">
        <f t="shared" si="10"/>
        <v>2.1250177226456401E-2</v>
      </c>
      <c r="BU84" s="243">
        <f t="shared" si="10"/>
        <v>2.1250177226456401E-2</v>
      </c>
      <c r="BV84" s="243">
        <f t="shared" si="10"/>
        <v>2.1250177226456401E-2</v>
      </c>
      <c r="BW84" s="243">
        <f t="shared" si="10"/>
        <v>2.1250177226456401E-2</v>
      </c>
      <c r="BX84" s="243">
        <f t="shared" si="11"/>
        <v>2.07506964534829E-2</v>
      </c>
      <c r="BY84" s="243">
        <f t="shared" si="11"/>
        <v>2.07506964534829E-2</v>
      </c>
      <c r="BZ84" s="243">
        <f t="shared" si="11"/>
        <v>2.07506964534829E-2</v>
      </c>
      <c r="CA84" s="243">
        <f t="shared" si="11"/>
        <v>2.07506964534829E-2</v>
      </c>
      <c r="CB84" s="243">
        <f>+$CM84</f>
        <v>2.0689365650781701E-2</v>
      </c>
      <c r="CC84" s="243">
        <f t="shared" ref="CC84:CE87" si="13">+$CM84</f>
        <v>2.0689365650781701E-2</v>
      </c>
      <c r="CD84" s="243">
        <f t="shared" si="13"/>
        <v>2.0689365650781701E-2</v>
      </c>
      <c r="CE84" s="243">
        <f t="shared" si="13"/>
        <v>2.0689365650781701E-2</v>
      </c>
      <c r="CH84" s="259">
        <f>Annual!AW84</f>
        <v>4.4175478248360295E-2</v>
      </c>
      <c r="CI84" s="259">
        <f>Annual!AX84</f>
        <v>4.3353382199611198E-2</v>
      </c>
      <c r="CJ84" s="259">
        <f>Annual!AY84</f>
        <v>2.12730000371406E-2</v>
      </c>
      <c r="CK84" s="259">
        <f>Annual!AZ84</f>
        <v>2.1250177226456401E-2</v>
      </c>
      <c r="CL84" s="259">
        <f>Annual!BA84</f>
        <v>2.07506964534829E-2</v>
      </c>
      <c r="CM84" s="259">
        <f>Annual!BB84</f>
        <v>2.0689365650781701E-2</v>
      </c>
    </row>
    <row r="85" spans="3:91" ht="13" x14ac:dyDescent="0.6">
      <c r="C85" s="107" t="s">
        <v>601</v>
      </c>
      <c r="D85" s="115">
        <f t="shared" ref="D85:BO85" si="14">+D44/100</f>
        <v>0.156301303978997</v>
      </c>
      <c r="E85" s="115">
        <f t="shared" si="14"/>
        <v>0.12421313813968</v>
      </c>
      <c r="F85" s="115">
        <f t="shared" si="14"/>
        <v>9.3015441232110807E-2</v>
      </c>
      <c r="G85" s="115">
        <f t="shared" si="14"/>
        <v>6.2683502123767304E-2</v>
      </c>
      <c r="H85" s="115">
        <f t="shared" si="14"/>
        <v>-8.3272799206624802E-3</v>
      </c>
      <c r="I85" s="115">
        <f t="shared" si="14"/>
        <v>-9.4095435439216293E-3</v>
      </c>
      <c r="J85" s="115">
        <f t="shared" si="14"/>
        <v>-1.04906260370294E-2</v>
      </c>
      <c r="K85" s="114">
        <f t="shared" si="14"/>
        <v>-1.1570528689013699E-2</v>
      </c>
      <c r="L85" s="115">
        <f t="shared" si="14"/>
        <v>-1.02511959898331E-2</v>
      </c>
      <c r="M85" s="115">
        <f t="shared" si="14"/>
        <v>-1.31199280745693E-2</v>
      </c>
      <c r="N85" s="115">
        <f t="shared" si="14"/>
        <v>-1.5980345298261301E-2</v>
      </c>
      <c r="O85" s="115">
        <f t="shared" si="14"/>
        <v>-1.8832471761073701E-2</v>
      </c>
      <c r="P85" s="115">
        <f t="shared" si="14"/>
        <v>1.2889265364276899E-3</v>
      </c>
      <c r="Q85" s="115">
        <f t="shared" si="14"/>
        <v>-1.7012789735764099E-2</v>
      </c>
      <c r="R85" s="115">
        <f t="shared" si="14"/>
        <v>-3.4979984363274104E-2</v>
      </c>
      <c r="S85" s="115">
        <f t="shared" si="14"/>
        <v>-5.2618771785265694E-2</v>
      </c>
      <c r="T85" s="115">
        <f t="shared" si="14"/>
        <v>-0.11232316570996</v>
      </c>
      <c r="U85" s="116">
        <f t="shared" si="14"/>
        <v>-0.100325507651779</v>
      </c>
      <c r="V85" s="234">
        <f t="shared" si="14"/>
        <v>-8.8165691707617788E-2</v>
      </c>
      <c r="W85" s="115">
        <f t="shared" si="14"/>
        <v>-7.5841526184743907E-2</v>
      </c>
      <c r="X85" s="115">
        <f t="shared" si="14"/>
        <v>-7.4369331766913904E-2</v>
      </c>
      <c r="Y85" s="115">
        <f t="shared" si="14"/>
        <v>-5.4786790900249398E-2</v>
      </c>
      <c r="Z85" s="115">
        <f t="shared" si="14"/>
        <v>-3.4789963947400603E-2</v>
      </c>
      <c r="AA85" s="115">
        <f t="shared" si="14"/>
        <v>-1.4370086317379101E-2</v>
      </c>
      <c r="AB85" s="115">
        <f t="shared" si="14"/>
        <v>4.6213475285160802E-2</v>
      </c>
      <c r="AC85" s="115">
        <f t="shared" si="14"/>
        <v>4.0892206631088397E-2</v>
      </c>
      <c r="AD85" s="115">
        <f t="shared" si="14"/>
        <v>3.55980031035475E-2</v>
      </c>
      <c r="AE85" s="115">
        <f t="shared" si="14"/>
        <v>3.0330727043436697E-2</v>
      </c>
      <c r="AF85" s="115">
        <f t="shared" si="14"/>
        <v>2.9895358027595603E-2</v>
      </c>
      <c r="AG85" s="115">
        <f t="shared" si="14"/>
        <v>2.2391843998641702E-2</v>
      </c>
      <c r="AH85" s="115">
        <f t="shared" si="14"/>
        <v>1.4942998361330999E-2</v>
      </c>
      <c r="AI85" s="115">
        <f t="shared" si="14"/>
        <v>7.5484228178720201E-3</v>
      </c>
      <c r="AJ85" s="115">
        <f t="shared" si="14"/>
        <v>-2.5323389553857899E-2</v>
      </c>
      <c r="AK85" s="115">
        <f t="shared" si="14"/>
        <v>-1.6521371398787101E-2</v>
      </c>
      <c r="AL85" s="115">
        <f t="shared" si="14"/>
        <v>-7.63986480337583E-3</v>
      </c>
      <c r="AM85" s="115">
        <f t="shared" si="14"/>
        <v>1.3218480691334E-3</v>
      </c>
      <c r="AN85" s="115">
        <f t="shared" si="14"/>
        <v>-7.1689327283651905E-3</v>
      </c>
      <c r="AO85" s="115">
        <f t="shared" si="14"/>
        <v>1.4343414673571E-2</v>
      </c>
      <c r="AP85" s="115">
        <f t="shared" si="14"/>
        <v>3.6321884768478599E-2</v>
      </c>
      <c r="AQ85" s="115">
        <f t="shared" si="14"/>
        <v>5.8776577354432299E-2</v>
      </c>
      <c r="AR85" s="115">
        <f t="shared" si="14"/>
        <v>0.13794031278074501</v>
      </c>
      <c r="AS85" s="115">
        <f t="shared" si="14"/>
        <v>0.12382195761631699</v>
      </c>
      <c r="AT85" s="115">
        <f t="shared" si="14"/>
        <v>0.109878768012255</v>
      </c>
      <c r="AU85" s="115">
        <f t="shared" si="14"/>
        <v>9.6108570700268986E-2</v>
      </c>
      <c r="AV85" s="115">
        <f t="shared" si="14"/>
        <v>0.103681457798071</v>
      </c>
      <c r="AW85" s="115">
        <f t="shared" si="14"/>
        <v>7.6161983505957598E-2</v>
      </c>
      <c r="AX85" s="115">
        <f t="shared" si="14"/>
        <v>4.9328686787964503E-2</v>
      </c>
      <c r="AY85" s="115">
        <f t="shared" si="14"/>
        <v>2.3164458317867499E-2</v>
      </c>
      <c r="AZ85" s="115">
        <f t="shared" si="14"/>
        <v>-5.73755495038736E-2</v>
      </c>
      <c r="BA85" s="115">
        <f t="shared" si="14"/>
        <v>-4.5980094184059295E-2</v>
      </c>
      <c r="BB85" s="115">
        <f t="shared" si="14"/>
        <v>-3.44468783787443E-2</v>
      </c>
      <c r="BC85" s="115">
        <f t="shared" si="14"/>
        <v>-2.27742366914311E-2</v>
      </c>
      <c r="BD85" s="115">
        <f t="shared" si="14"/>
        <v>-4.6259709567487804E-4</v>
      </c>
      <c r="BE85" s="115">
        <f t="shared" si="14"/>
        <v>4.42575649823278E-3</v>
      </c>
      <c r="BF85" s="115">
        <f t="shared" si="14"/>
        <v>9.3380171523369596E-3</v>
      </c>
      <c r="BG85" s="115">
        <f t="shared" si="14"/>
        <v>1.4274301786886601E-2</v>
      </c>
      <c r="BH85" s="115">
        <f t="shared" si="14"/>
        <v>3.2040039321034504E-2</v>
      </c>
      <c r="BI85" s="115">
        <f t="shared" si="14"/>
        <v>2.8377554406551798E-2</v>
      </c>
      <c r="BJ85" s="115">
        <f t="shared" si="14"/>
        <v>2.4728066851898302E-2</v>
      </c>
      <c r="BK85" s="115">
        <f t="shared" si="14"/>
        <v>2.1091530532278999E-2</v>
      </c>
      <c r="BL85" s="115">
        <f t="shared" si="14"/>
        <v>1.2990761276804199E-2</v>
      </c>
      <c r="BM85" s="115">
        <f t="shared" si="14"/>
        <v>1.23135660453682E-2</v>
      </c>
      <c r="BN85" s="115">
        <f t="shared" si="14"/>
        <v>1.16368235262363E-2</v>
      </c>
      <c r="BO85" s="115">
        <f t="shared" si="14"/>
        <v>1.0960533416765198E-2</v>
      </c>
      <c r="BP85" s="243">
        <f t="shared" si="9"/>
        <v>9.5950760757747208E-3</v>
      </c>
      <c r="BQ85" s="243">
        <f t="shared" si="9"/>
        <v>9.5950760757747208E-3</v>
      </c>
      <c r="BR85" s="243">
        <f t="shared" si="9"/>
        <v>9.5950760757747208E-3</v>
      </c>
      <c r="BS85" s="243">
        <f t="shared" si="9"/>
        <v>9.5950760757747208E-3</v>
      </c>
      <c r="BT85" s="243">
        <f t="shared" si="10"/>
        <v>1.0892308039928799E-3</v>
      </c>
      <c r="BU85" s="243">
        <f t="shared" si="10"/>
        <v>1.0892308039928799E-3</v>
      </c>
      <c r="BV85" s="243">
        <f t="shared" si="10"/>
        <v>1.0892308039928799E-3</v>
      </c>
      <c r="BW85" s="243">
        <f t="shared" si="10"/>
        <v>1.0892308039928799E-3</v>
      </c>
      <c r="BX85" s="243">
        <f t="shared" si="11"/>
        <v>1.0985717341122501E-2</v>
      </c>
      <c r="BY85" s="243">
        <f t="shared" si="11"/>
        <v>1.0985717341122501E-2</v>
      </c>
      <c r="BZ85" s="243">
        <f t="shared" si="11"/>
        <v>1.0985717341122501E-2</v>
      </c>
      <c r="CA85" s="243">
        <f t="shared" si="11"/>
        <v>1.0985717341122501E-2</v>
      </c>
      <c r="CB85" s="243">
        <f t="shared" ref="CB85:CE90" si="15">+$CM85</f>
        <v>1.00142595590559E-2</v>
      </c>
      <c r="CC85" s="243">
        <f t="shared" si="13"/>
        <v>1.00142595590559E-2</v>
      </c>
      <c r="CD85" s="243">
        <f t="shared" si="13"/>
        <v>1.00142595590559E-2</v>
      </c>
      <c r="CE85" s="243">
        <f t="shared" si="13"/>
        <v>1.00142595590559E-2</v>
      </c>
      <c r="CH85" s="259">
        <f>Annual!AW85</f>
        <v>2.76399732047659E-2</v>
      </c>
      <c r="CI85" s="259">
        <f>Annual!AX85</f>
        <v>1.2304630475253899E-2</v>
      </c>
      <c r="CJ85" s="259">
        <f>Annual!AY85</f>
        <v>9.5950760757747208E-3</v>
      </c>
      <c r="CK85" s="259">
        <f>Annual!AZ85</f>
        <v>1.0892308039928799E-3</v>
      </c>
      <c r="CL85" s="259">
        <f>Annual!BA85</f>
        <v>1.0985717341122501E-2</v>
      </c>
      <c r="CM85" s="259">
        <f>Annual!BB85</f>
        <v>1.00142595590559E-2</v>
      </c>
    </row>
    <row r="86" spans="3:91" ht="13" x14ac:dyDescent="0.6">
      <c r="C86" s="107" t="s">
        <v>600</v>
      </c>
      <c r="D86" s="115">
        <f t="shared" ref="D86:J87" si="16">+D56/100</f>
        <v>4.7333218835702004E-2</v>
      </c>
      <c r="E86" s="115">
        <f t="shared" si="16"/>
        <v>4.7465708955143703E-2</v>
      </c>
      <c r="F86" s="115">
        <f t="shared" si="16"/>
        <v>4.5045722774946201E-2</v>
      </c>
      <c r="G86" s="115">
        <f t="shared" si="16"/>
        <v>4.1691941238251602E-2</v>
      </c>
      <c r="H86" s="115">
        <f t="shared" si="16"/>
        <v>3.8727127726956599E-2</v>
      </c>
      <c r="I86" s="115">
        <f t="shared" si="16"/>
        <v>3.1690474590733202E-2</v>
      </c>
      <c r="J86" s="115">
        <f t="shared" si="16"/>
        <v>2.0784404132313101E-2</v>
      </c>
      <c r="K86" s="114">
        <f>+K56/100</f>
        <v>6.3033035102706006E-3</v>
      </c>
      <c r="L86" s="115">
        <f t="shared" ref="L86:BO87" si="17">+L56/100</f>
        <v>-1.6379507267082802E-2</v>
      </c>
      <c r="M86" s="115">
        <f t="shared" si="17"/>
        <v>-2.9268529262158699E-2</v>
      </c>
      <c r="N86" s="115">
        <f t="shared" si="17"/>
        <v>-3.5894935381652802E-2</v>
      </c>
      <c r="O86" s="115">
        <f t="shared" si="17"/>
        <v>-3.4508012800702599E-2</v>
      </c>
      <c r="P86" s="115">
        <f t="shared" si="17"/>
        <v>-1.85111188189717E-2</v>
      </c>
      <c r="Q86" s="115">
        <f t="shared" si="17"/>
        <v>-7.2243882076851893E-3</v>
      </c>
      <c r="R86" s="115">
        <f t="shared" si="17"/>
        <v>1.4772402878203599E-3</v>
      </c>
      <c r="S86" s="115">
        <f t="shared" si="17"/>
        <v>2.90867515527577E-3</v>
      </c>
      <c r="T86" s="115">
        <f t="shared" si="17"/>
        <v>-8.2458216538270901E-3</v>
      </c>
      <c r="U86" s="116">
        <f t="shared" si="17"/>
        <v>-2.2536164081521898E-2</v>
      </c>
      <c r="V86" s="234">
        <f t="shared" si="17"/>
        <v>-3.8868934354749196E-2</v>
      </c>
      <c r="W86" s="115">
        <f t="shared" si="17"/>
        <v>-5.1937935289156599E-2</v>
      </c>
      <c r="X86" s="115">
        <f t="shared" si="17"/>
        <v>-6.0874233362099898E-2</v>
      </c>
      <c r="Y86" s="115">
        <f t="shared" si="17"/>
        <v>-5.8274099874803802E-2</v>
      </c>
      <c r="Z86" s="115">
        <f t="shared" si="17"/>
        <v>-4.8356620424402204E-2</v>
      </c>
      <c r="AA86" s="115">
        <f t="shared" si="17"/>
        <v>-3.4229492795157898E-2</v>
      </c>
      <c r="AB86" s="115">
        <f t="shared" si="17"/>
        <v>-1.3918363154303099E-2</v>
      </c>
      <c r="AC86" s="115">
        <f t="shared" si="17"/>
        <v>-1.44797623700029E-3</v>
      </c>
      <c r="AD86" s="115">
        <f t="shared" si="17"/>
        <v>7.5867957950639898E-3</v>
      </c>
      <c r="AE86" s="115">
        <f t="shared" si="17"/>
        <v>1.36745121709247E-2</v>
      </c>
      <c r="AF86" s="115">
        <f t="shared" si="17"/>
        <v>1.6921850570570302E-2</v>
      </c>
      <c r="AG86" s="115">
        <f t="shared" si="17"/>
        <v>2.0215231453441798E-2</v>
      </c>
      <c r="AH86" s="115">
        <f t="shared" si="17"/>
        <v>2.2292365446576898E-2</v>
      </c>
      <c r="AI86" s="115">
        <f t="shared" si="17"/>
        <v>2.2070325674000801E-2</v>
      </c>
      <c r="AJ86" s="115">
        <f t="shared" si="17"/>
        <v>1.88572155924491E-2</v>
      </c>
      <c r="AK86" s="115">
        <f t="shared" si="17"/>
        <v>1.0846858023735799E-2</v>
      </c>
      <c r="AL86" s="115">
        <f t="shared" si="17"/>
        <v>-7.0197954556554102E-4</v>
      </c>
      <c r="AM86" s="115">
        <f t="shared" si="17"/>
        <v>-1.36490432415562E-2</v>
      </c>
      <c r="AN86" s="115">
        <f t="shared" si="17"/>
        <v>-3.2787351108034601E-2</v>
      </c>
      <c r="AO86" s="115">
        <f t="shared" si="17"/>
        <v>-3.8057955041969301E-2</v>
      </c>
      <c r="AP86" s="115">
        <f t="shared" si="17"/>
        <v>-3.4068181600408802E-2</v>
      </c>
      <c r="AQ86" s="115">
        <f t="shared" si="17"/>
        <v>-1.8607289844967199E-2</v>
      </c>
      <c r="AR86" s="115">
        <f t="shared" si="17"/>
        <v>1.6996430482967201E-2</v>
      </c>
      <c r="AS86" s="115">
        <f t="shared" si="17"/>
        <v>5.1705189146529905E-2</v>
      </c>
      <c r="AT86" s="115">
        <f t="shared" si="17"/>
        <v>8.7080943082025006E-2</v>
      </c>
      <c r="AU86" s="115">
        <f t="shared" si="17"/>
        <v>0.11410837876065001</v>
      </c>
      <c r="AV86" s="115">
        <f t="shared" si="17"/>
        <v>0.13193087069981402</v>
      </c>
      <c r="AW86" s="115">
        <f t="shared" si="17"/>
        <v>0.123013835893618</v>
      </c>
      <c r="AX86" s="115">
        <f t="shared" si="17"/>
        <v>9.7201894684920992E-2</v>
      </c>
      <c r="AY86" s="115">
        <f t="shared" si="17"/>
        <v>6.1993191018994101E-2</v>
      </c>
      <c r="AZ86" s="115">
        <f t="shared" si="17"/>
        <v>9.6659769962295309E-3</v>
      </c>
      <c r="BA86" s="115">
        <f t="shared" si="17"/>
        <v>-1.7004001569141999E-2</v>
      </c>
      <c r="BB86" s="115">
        <f t="shared" si="17"/>
        <v>-3.0819962744015997E-2</v>
      </c>
      <c r="BC86" s="115">
        <f t="shared" si="17"/>
        <v>-3.07570951306263E-2</v>
      </c>
      <c r="BD86" s="115">
        <f t="shared" si="17"/>
        <v>-8.2511514602337105E-3</v>
      </c>
      <c r="BE86" s="115">
        <f t="shared" si="17"/>
        <v>7.7069930005385003E-3</v>
      </c>
      <c r="BF86" s="115">
        <f t="shared" si="17"/>
        <v>2.1302078999937999E-2</v>
      </c>
      <c r="BG86" s="115">
        <f t="shared" si="17"/>
        <v>2.7217587005192799E-2</v>
      </c>
      <c r="BH86" s="115">
        <f t="shared" si="17"/>
        <v>2.0125290768302499E-2</v>
      </c>
      <c r="BI86" s="115">
        <f t="shared" si="17"/>
        <v>1.1210900856475099E-2</v>
      </c>
      <c r="BJ86" s="115">
        <f t="shared" si="17"/>
        <v>1.3516280852322398E-3</v>
      </c>
      <c r="BK86" s="115">
        <f t="shared" si="17"/>
        <v>-5.0431270388765301E-3</v>
      </c>
      <c r="BL86" s="115">
        <f t="shared" si="17"/>
        <v>-5.0722523580221902E-3</v>
      </c>
      <c r="BM86" s="115">
        <f t="shared" si="17"/>
        <v>-1.6947439158793501E-3</v>
      </c>
      <c r="BN86" s="115">
        <f t="shared" si="17"/>
        <v>3.0083207110603101E-3</v>
      </c>
      <c r="BO86" s="115">
        <f t="shared" si="17"/>
        <v>5.7305427770060905E-3</v>
      </c>
      <c r="BP86" s="243">
        <f t="shared" si="9"/>
        <v>-1.73995047204899E-3</v>
      </c>
      <c r="BQ86" s="243">
        <f t="shared" si="9"/>
        <v>-1.73995047204899E-3</v>
      </c>
      <c r="BR86" s="243">
        <f t="shared" si="9"/>
        <v>-1.73995047204899E-3</v>
      </c>
      <c r="BS86" s="243">
        <f t="shared" si="9"/>
        <v>-1.73995047204899E-3</v>
      </c>
      <c r="BT86" s="243">
        <f t="shared" si="10"/>
        <v>5.2612582163462495E-3</v>
      </c>
      <c r="BU86" s="243">
        <f t="shared" si="10"/>
        <v>5.2612582163462495E-3</v>
      </c>
      <c r="BV86" s="243">
        <f t="shared" si="10"/>
        <v>5.2612582163462495E-3</v>
      </c>
      <c r="BW86" s="243">
        <f t="shared" si="10"/>
        <v>5.2612582163462495E-3</v>
      </c>
      <c r="BX86" s="243">
        <f t="shared" si="11"/>
        <v>9.17945372033898E-3</v>
      </c>
      <c r="BY86" s="243">
        <f t="shared" si="11"/>
        <v>9.17945372033898E-3</v>
      </c>
      <c r="BZ86" s="243">
        <f t="shared" si="11"/>
        <v>9.17945372033898E-3</v>
      </c>
      <c r="CA86" s="243">
        <f t="shared" si="11"/>
        <v>9.17945372033898E-3</v>
      </c>
      <c r="CB86" s="243">
        <f t="shared" si="15"/>
        <v>1.22956754655884E-2</v>
      </c>
      <c r="CC86" s="243">
        <f t="shared" si="13"/>
        <v>1.22956754655884E-2</v>
      </c>
      <c r="CD86" s="243">
        <f t="shared" si="13"/>
        <v>1.22956754655884E-2</v>
      </c>
      <c r="CE86" s="243">
        <f t="shared" si="13"/>
        <v>1.22956754655884E-2</v>
      </c>
      <c r="CH86" s="259">
        <f>Annual!AW86</f>
        <v>6.8408940448023399E-3</v>
      </c>
      <c r="CI86" s="259">
        <f>Annual!AX86</f>
        <v>4.8392498259342497E-4</v>
      </c>
      <c r="CJ86" s="259">
        <f>Annual!AY86</f>
        <v>-1.73995047204899E-3</v>
      </c>
      <c r="CK86" s="259">
        <f>Annual!AZ86</f>
        <v>5.2612582163462495E-3</v>
      </c>
      <c r="CL86" s="259">
        <f>Annual!BA86</f>
        <v>9.17945372033898E-3</v>
      </c>
      <c r="CM86" s="259">
        <f>Annual!BB86</f>
        <v>1.22956754655884E-2</v>
      </c>
    </row>
    <row r="87" spans="3:91" ht="13" x14ac:dyDescent="0.6">
      <c r="C87" s="107" t="s">
        <v>603</v>
      </c>
      <c r="D87" s="115">
        <f t="shared" si="16"/>
        <v>0.29422850710620396</v>
      </c>
      <c r="E87" s="115">
        <f t="shared" si="16"/>
        <v>0.40909730108331405</v>
      </c>
      <c r="F87" s="115">
        <f t="shared" si="16"/>
        <v>0.36372778033255698</v>
      </c>
      <c r="G87" s="115">
        <f t="shared" si="16"/>
        <v>0.204231278336653</v>
      </c>
      <c r="H87" s="115">
        <f t="shared" si="16"/>
        <v>0.12619122255444101</v>
      </c>
      <c r="I87" s="115">
        <f t="shared" si="16"/>
        <v>-6.5344177911084197E-2</v>
      </c>
      <c r="J87" s="115">
        <f t="shared" si="16"/>
        <v>-2.6921512991671397E-3</v>
      </c>
      <c r="K87" s="114">
        <f>+K57/100</f>
        <v>-9.7624090530230197E-3</v>
      </c>
      <c r="L87" s="115">
        <f t="shared" si="17"/>
        <v>-6.4144303260925101E-2</v>
      </c>
      <c r="M87" s="115">
        <f t="shared" si="17"/>
        <v>-3.5298754622196601E-2</v>
      </c>
      <c r="N87" s="115">
        <f t="shared" si="17"/>
        <v>4.32784851740277E-2</v>
      </c>
      <c r="O87" s="115">
        <f t="shared" si="17"/>
        <v>2.6381547736468801E-2</v>
      </c>
      <c r="P87" s="115">
        <f t="shared" si="17"/>
        <v>-1.3320095335988999E-2</v>
      </c>
      <c r="Q87" s="115">
        <f t="shared" si="17"/>
        <v>7.1229277555560203E-2</v>
      </c>
      <c r="R87" s="115">
        <f t="shared" si="17"/>
        <v>-6.4973365637664801E-2</v>
      </c>
      <c r="S87" s="115">
        <f t="shared" si="17"/>
        <v>-0.28737056525857402</v>
      </c>
      <c r="T87" s="115">
        <f t="shared" si="17"/>
        <v>-0.50051650283061799</v>
      </c>
      <c r="U87" s="116">
        <f t="shared" si="17"/>
        <v>-0.43148062237221096</v>
      </c>
      <c r="V87" s="234">
        <f t="shared" si="17"/>
        <v>-0.51208261218678797</v>
      </c>
      <c r="W87" s="115">
        <f t="shared" si="17"/>
        <v>-0.43337562237896199</v>
      </c>
      <c r="X87" s="115">
        <f t="shared" si="17"/>
        <v>-0.36086474749937203</v>
      </c>
      <c r="Y87" s="115">
        <f t="shared" si="17"/>
        <v>-0.25162630252835499</v>
      </c>
      <c r="Z87" s="115">
        <f t="shared" si="17"/>
        <v>-7.9808087861444707E-2</v>
      </c>
      <c r="AA87" s="115">
        <f t="shared" si="17"/>
        <v>0.171724077954787</v>
      </c>
      <c r="AB87" s="115">
        <f t="shared" si="17"/>
        <v>0.60513458318131597</v>
      </c>
      <c r="AC87" s="115">
        <f t="shared" si="17"/>
        <v>9.6593449501211695E-2</v>
      </c>
      <c r="AD87" s="115">
        <f t="shared" si="17"/>
        <v>0.116076979185864</v>
      </c>
      <c r="AE87" s="115">
        <f t="shared" si="17"/>
        <v>0.18560805784649301</v>
      </c>
      <c r="AF87" s="115">
        <f t="shared" si="17"/>
        <v>0.21718298812196601</v>
      </c>
      <c r="AG87" s="115">
        <f t="shared" si="17"/>
        <v>0.44263855740449498</v>
      </c>
      <c r="AH87" s="115">
        <f t="shared" si="17"/>
        <v>0.45606077589394095</v>
      </c>
      <c r="AI87" s="115">
        <f t="shared" si="17"/>
        <v>9.75059272751716E-2</v>
      </c>
      <c r="AJ87" s="115">
        <f t="shared" si="17"/>
        <v>-6.2414841113441498E-2</v>
      </c>
      <c r="AK87" s="115">
        <f t="shared" si="17"/>
        <v>-9.2961872807533596E-2</v>
      </c>
      <c r="AL87" s="115">
        <f t="shared" si="17"/>
        <v>-0.18502577573329501</v>
      </c>
      <c r="AM87" s="115">
        <f t="shared" si="17"/>
        <v>-6.4194821331360105E-2</v>
      </c>
      <c r="AN87" s="115">
        <f t="shared" si="17"/>
        <v>-0.19120314289295201</v>
      </c>
      <c r="AO87" s="115">
        <f t="shared" si="17"/>
        <v>-0.51601940229043997</v>
      </c>
      <c r="AP87" s="115">
        <f t="shared" si="17"/>
        <v>-0.291721169297882</v>
      </c>
      <c r="AQ87" s="115">
        <f t="shared" si="17"/>
        <v>-0.26698553461159102</v>
      </c>
      <c r="AR87" s="115">
        <f t="shared" si="17"/>
        <v>0.214932276527843</v>
      </c>
      <c r="AS87" s="115">
        <f t="shared" si="17"/>
        <v>1.1413966391592298</v>
      </c>
      <c r="AT87" s="115">
        <f t="shared" si="17"/>
        <v>0.69470903285013097</v>
      </c>
      <c r="AU87" s="115">
        <f t="shared" si="17"/>
        <v>0.77127835626687202</v>
      </c>
      <c r="AV87" s="115">
        <f t="shared" si="17"/>
        <v>0.59858404382033903</v>
      </c>
      <c r="AW87" s="115">
        <f t="shared" si="17"/>
        <v>0.62467885518398703</v>
      </c>
      <c r="AX87" s="115">
        <f t="shared" si="17"/>
        <v>0.33144393164681196</v>
      </c>
      <c r="AY87" s="115">
        <f t="shared" si="17"/>
        <v>8.8181997528255798E-2</v>
      </c>
      <c r="AZ87" s="115">
        <f t="shared" si="17"/>
        <v>-0.16561726121839901</v>
      </c>
      <c r="BA87" s="115">
        <f t="shared" si="17"/>
        <v>-0.30109270190839299</v>
      </c>
      <c r="BB87" s="115">
        <f t="shared" si="17"/>
        <v>-0.110478692461288</v>
      </c>
      <c r="BC87" s="115">
        <f t="shared" si="17"/>
        <v>-4.4390762965311997E-2</v>
      </c>
      <c r="BD87" s="115">
        <f t="shared" si="17"/>
        <v>1.6222227671222701E-2</v>
      </c>
      <c r="BE87" s="115">
        <f t="shared" si="17"/>
        <v>0.10390772160612301</v>
      </c>
      <c r="BF87" s="115">
        <f t="shared" si="17"/>
        <v>-7.861944441602281E-2</v>
      </c>
      <c r="BG87" s="115">
        <f t="shared" si="17"/>
        <v>-0.10141536606959199</v>
      </c>
      <c r="BH87" s="115">
        <f t="shared" si="17"/>
        <v>-7.8341973004369792E-2</v>
      </c>
      <c r="BI87" s="115">
        <f t="shared" si="17"/>
        <v>-0.21471309754896201</v>
      </c>
      <c r="BJ87" s="115">
        <f t="shared" si="17"/>
        <v>-0.13100080838966899</v>
      </c>
      <c r="BK87" s="115">
        <f t="shared" si="17"/>
        <v>-0.15069204057292201</v>
      </c>
      <c r="BL87" s="115">
        <f t="shared" si="17"/>
        <v>-0.121449565344303</v>
      </c>
      <c r="BM87" s="115">
        <f t="shared" si="17"/>
        <v>-1.0023751111236601E-2</v>
      </c>
      <c r="BN87" s="115">
        <f t="shared" si="17"/>
        <v>-5.3505715125449403E-2</v>
      </c>
      <c r="BO87" s="115">
        <f t="shared" si="17"/>
        <v>2.2199523170619701E-2</v>
      </c>
      <c r="BP87" s="243">
        <f t="shared" si="9"/>
        <v>-2.8048830250052999E-2</v>
      </c>
      <c r="BQ87" s="243">
        <f t="shared" si="9"/>
        <v>-2.8048830250052999E-2</v>
      </c>
      <c r="BR87" s="243">
        <f t="shared" si="9"/>
        <v>-2.8048830250052999E-2</v>
      </c>
      <c r="BS87" s="243">
        <f t="shared" si="9"/>
        <v>-2.8048830250052999E-2</v>
      </c>
      <c r="BT87" s="243">
        <f t="shared" si="10"/>
        <v>8.14729134520451E-3</v>
      </c>
      <c r="BU87" s="243">
        <f t="shared" si="10"/>
        <v>8.14729134520451E-3</v>
      </c>
      <c r="BV87" s="243">
        <f t="shared" si="10"/>
        <v>8.14729134520451E-3</v>
      </c>
      <c r="BW87" s="243">
        <f t="shared" si="10"/>
        <v>8.14729134520451E-3</v>
      </c>
      <c r="BX87" s="243">
        <f t="shared" si="11"/>
        <v>1.5602293330633199E-2</v>
      </c>
      <c r="BY87" s="243">
        <f t="shared" si="11"/>
        <v>1.5602293330633199E-2</v>
      </c>
      <c r="BZ87" s="243">
        <f t="shared" si="11"/>
        <v>1.5602293330633199E-2</v>
      </c>
      <c r="CA87" s="243">
        <f t="shared" si="11"/>
        <v>1.5602293330633199E-2</v>
      </c>
      <c r="CB87" s="243">
        <f t="shared" si="15"/>
        <v>1.1711425055274E-2</v>
      </c>
      <c r="CC87" s="243">
        <f t="shared" si="13"/>
        <v>1.1711425055274E-2</v>
      </c>
      <c r="CD87" s="243">
        <f t="shared" si="13"/>
        <v>1.1711425055274E-2</v>
      </c>
      <c r="CE87" s="243">
        <f t="shared" si="13"/>
        <v>1.1711425055274E-2</v>
      </c>
      <c r="CH87" s="259">
        <f>Annual!AW87</f>
        <v>-0.14442213915670801</v>
      </c>
      <c r="CI87" s="259">
        <f>Annual!AX87</f>
        <v>-4.4191814579039396E-2</v>
      </c>
      <c r="CJ87" s="259">
        <f>Annual!AY87</f>
        <v>-2.8048830250052999E-2</v>
      </c>
      <c r="CK87" s="259">
        <f>Annual!AZ87</f>
        <v>8.14729134520451E-3</v>
      </c>
      <c r="CL87" s="259">
        <f>Annual!BA87</f>
        <v>1.5602293330633199E-2</v>
      </c>
      <c r="CM87" s="259">
        <f>Annual!BB87</f>
        <v>1.1711425055274E-2</v>
      </c>
    </row>
    <row r="88" spans="3:91" ht="13" x14ac:dyDescent="0.6">
      <c r="C88" s="110" t="s">
        <v>597</v>
      </c>
      <c r="D88" s="115"/>
      <c r="E88" s="115"/>
      <c r="F88" s="115"/>
      <c r="G88" s="115"/>
      <c r="H88" s="115"/>
      <c r="I88" s="115"/>
      <c r="J88" s="115"/>
      <c r="K88" s="114"/>
      <c r="L88" s="115"/>
      <c r="M88" s="115"/>
      <c r="N88" s="115"/>
      <c r="O88" s="115"/>
      <c r="P88" s="115"/>
      <c r="Q88" s="115"/>
      <c r="R88" s="115"/>
      <c r="S88" s="115"/>
      <c r="T88" s="115"/>
      <c r="U88" s="116"/>
      <c r="V88" s="234"/>
      <c r="W88" s="115"/>
      <c r="X88" s="115"/>
      <c r="Y88" s="115"/>
      <c r="Z88" s="115"/>
      <c r="AA88" s="115"/>
      <c r="AB88" s="115"/>
      <c r="AC88" s="115"/>
      <c r="AD88" s="115"/>
      <c r="AE88" s="115"/>
      <c r="AF88" s="115"/>
      <c r="AG88" s="115"/>
      <c r="AH88" s="115"/>
      <c r="AI88" s="115"/>
      <c r="AJ88" s="115"/>
      <c r="AK88" s="115"/>
      <c r="AL88" s="115"/>
      <c r="AM88" s="115"/>
      <c r="AN88" s="115"/>
      <c r="AO88" s="115"/>
      <c r="AP88" s="115"/>
      <c r="AQ88" s="115"/>
      <c r="AR88" s="115"/>
      <c r="AS88" s="115"/>
      <c r="AT88" s="115"/>
      <c r="AU88" s="115"/>
      <c r="AV88" s="115"/>
      <c r="AW88" s="115"/>
      <c r="AX88" s="115"/>
      <c r="AY88" s="115"/>
      <c r="AZ88" s="115"/>
      <c r="BA88" s="115"/>
      <c r="BB88" s="115"/>
      <c r="BC88" s="115"/>
      <c r="BD88" s="115"/>
      <c r="BE88" s="115"/>
      <c r="BF88" s="115"/>
      <c r="BG88" s="115"/>
      <c r="BH88" s="115"/>
      <c r="BI88" s="115"/>
      <c r="BJ88" s="115"/>
      <c r="BK88" s="115"/>
      <c r="BL88" s="115"/>
      <c r="BM88" s="115"/>
      <c r="BN88" s="115"/>
      <c r="BO88" s="115"/>
      <c r="BP88" s="243"/>
      <c r="BQ88" s="243"/>
      <c r="BR88" s="243"/>
      <c r="BS88" s="243"/>
      <c r="BT88" s="243"/>
      <c r="BU88" s="243"/>
      <c r="BV88" s="243"/>
      <c r="BW88" s="243"/>
      <c r="BX88" s="243"/>
      <c r="BY88" s="243"/>
      <c r="BZ88" s="243"/>
      <c r="CA88" s="243"/>
      <c r="CB88" s="115"/>
      <c r="CC88" s="115"/>
      <c r="CD88" s="115"/>
      <c r="CE88" s="115"/>
      <c r="CH88" s="259"/>
      <c r="CI88" s="259"/>
      <c r="CJ88" s="259"/>
      <c r="CK88" s="259"/>
      <c r="CL88" s="259"/>
      <c r="CM88" s="259"/>
    </row>
    <row r="89" spans="3:91" ht="13" x14ac:dyDescent="0.6">
      <c r="C89" s="107" t="s">
        <v>604</v>
      </c>
      <c r="D89" s="115">
        <f t="shared" ref="D89:BO89" si="18">+D49/100</f>
        <v>0.12153528303699999</v>
      </c>
      <c r="E89" s="115">
        <f t="shared" si="18"/>
        <v>0.109980948638154</v>
      </c>
      <c r="F89" s="115">
        <f t="shared" si="18"/>
        <v>9.8545649855413198E-2</v>
      </c>
      <c r="G89" s="115">
        <f t="shared" si="18"/>
        <v>8.7228160354364204E-2</v>
      </c>
      <c r="H89" s="115">
        <f t="shared" si="18"/>
        <v>8.567274486041869E-2</v>
      </c>
      <c r="I89" s="115">
        <f t="shared" si="18"/>
        <v>6.8170191537776301E-2</v>
      </c>
      <c r="J89" s="115">
        <f t="shared" si="18"/>
        <v>5.0949803696640698E-2</v>
      </c>
      <c r="K89" s="114">
        <f t="shared" si="18"/>
        <v>3.40070324373462E-2</v>
      </c>
      <c r="L89" s="115">
        <f t="shared" si="18"/>
        <v>-1.4415377170522199E-2</v>
      </c>
      <c r="M89" s="115">
        <f t="shared" si="18"/>
        <v>-1.00630718457342E-2</v>
      </c>
      <c r="N89" s="115">
        <f t="shared" si="18"/>
        <v>-5.6915469012398905E-3</v>
      </c>
      <c r="O89" s="115">
        <f t="shared" si="18"/>
        <v>-1.30071746390499E-3</v>
      </c>
      <c r="P89" s="115">
        <f t="shared" si="18"/>
        <v>1.3141664229649099E-2</v>
      </c>
      <c r="Q89" s="115">
        <f t="shared" si="18"/>
        <v>1.1176672360052899E-2</v>
      </c>
      <c r="R89" s="115">
        <f t="shared" si="18"/>
        <v>9.2154915991919089E-3</v>
      </c>
      <c r="S89" s="115">
        <f t="shared" si="18"/>
        <v>7.2581145554071799E-3</v>
      </c>
      <c r="T89" s="115">
        <f t="shared" si="18"/>
        <v>9.2430296525140392E-3</v>
      </c>
      <c r="U89" s="116">
        <f t="shared" si="18"/>
        <v>5.4290735979236606E-3</v>
      </c>
      <c r="V89" s="234">
        <f t="shared" si="18"/>
        <v>1.6295305839593799E-3</v>
      </c>
      <c r="W89" s="115">
        <f t="shared" si="18"/>
        <v>-2.1556538566421899E-3</v>
      </c>
      <c r="X89" s="115">
        <f t="shared" si="18"/>
        <v>5.2909326739581496E-3</v>
      </c>
      <c r="Y89" s="115">
        <f t="shared" si="18"/>
        <v>-6.3835065471778392E-3</v>
      </c>
      <c r="Z89" s="115">
        <f t="shared" si="18"/>
        <v>-1.7922370556503999E-2</v>
      </c>
      <c r="AA89" s="115">
        <f t="shared" si="18"/>
        <v>-2.9327233788364101E-2</v>
      </c>
      <c r="AB89" s="115">
        <f t="shared" si="18"/>
        <v>-0.10907299982976801</v>
      </c>
      <c r="AC89" s="115">
        <f t="shared" si="18"/>
        <v>-7.3783090336962398E-2</v>
      </c>
      <c r="AD89" s="115">
        <f t="shared" si="18"/>
        <v>-3.70953360019039E-2</v>
      </c>
      <c r="AE89" s="115">
        <f t="shared" si="18"/>
        <v>1.0456322662039399E-3</v>
      </c>
      <c r="AF89" s="115">
        <f t="shared" si="18"/>
        <v>0.13020734184167701</v>
      </c>
      <c r="AG89" s="115">
        <f t="shared" si="18"/>
        <v>0.110662931603224</v>
      </c>
      <c r="AH89" s="115">
        <f t="shared" si="18"/>
        <v>9.1456498262837804E-2</v>
      </c>
      <c r="AI89" s="115">
        <f t="shared" si="18"/>
        <v>7.2582197265364592E-2</v>
      </c>
      <c r="AJ89" s="115">
        <f t="shared" si="18"/>
        <v>3.82723124931484E-2</v>
      </c>
      <c r="AK89" s="115">
        <f t="shared" si="18"/>
        <v>3.0685686333627296E-2</v>
      </c>
      <c r="AL89" s="115">
        <f t="shared" si="18"/>
        <v>2.3154495434963399E-2</v>
      </c>
      <c r="AM89" s="115">
        <f t="shared" si="18"/>
        <v>1.5678334733287599E-2</v>
      </c>
      <c r="AN89" s="115">
        <f t="shared" si="18"/>
        <v>-3.9185304769308503E-2</v>
      </c>
      <c r="AO89" s="115">
        <f t="shared" si="18"/>
        <v>-1.54268471500895E-2</v>
      </c>
      <c r="AP89" s="115">
        <f t="shared" si="18"/>
        <v>8.9190955599018993E-3</v>
      </c>
      <c r="AQ89" s="115">
        <f t="shared" si="18"/>
        <v>3.3867050344591601E-2</v>
      </c>
      <c r="AR89" s="115">
        <f t="shared" si="18"/>
        <v>0.10902546659492801</v>
      </c>
      <c r="AS89" s="115">
        <f t="shared" si="18"/>
        <v>0.102415422593389</v>
      </c>
      <c r="AT89" s="115">
        <f t="shared" si="18"/>
        <v>9.5844775957393893E-2</v>
      </c>
      <c r="AU89" s="115">
        <f t="shared" si="18"/>
        <v>8.9313291869678901E-2</v>
      </c>
      <c r="AV89" s="115">
        <f t="shared" si="18"/>
        <v>0.10019223764917501</v>
      </c>
      <c r="AW89" s="115">
        <f t="shared" si="18"/>
        <v>8.2029673522758501E-2</v>
      </c>
      <c r="AX89" s="115">
        <f t="shared" si="18"/>
        <v>6.4166946755992299E-2</v>
      </c>
      <c r="AY89" s="115">
        <f t="shared" si="18"/>
        <v>4.6599107472770601E-2</v>
      </c>
      <c r="AZ89" s="115">
        <f t="shared" si="18"/>
        <v>1.50706448929471E-3</v>
      </c>
      <c r="BA89" s="115">
        <f t="shared" si="18"/>
        <v>2.9666285282382199E-3</v>
      </c>
      <c r="BB89" s="115">
        <f t="shared" si="18"/>
        <v>4.4283196886567098E-3</v>
      </c>
      <c r="BC89" s="115">
        <f t="shared" si="18"/>
        <v>5.89214107054824E-3</v>
      </c>
      <c r="BD89" s="115">
        <f t="shared" si="18"/>
        <v>2.2755694365211802E-3</v>
      </c>
      <c r="BE89" s="115">
        <f t="shared" si="18"/>
        <v>7.0477183161096199E-3</v>
      </c>
      <c r="BF89" s="115">
        <f t="shared" si="18"/>
        <v>1.1842588895820899E-2</v>
      </c>
      <c r="BG89" s="115">
        <f t="shared" si="18"/>
        <v>1.6660289360807198E-2</v>
      </c>
      <c r="BH89" s="115">
        <f t="shared" si="18"/>
        <v>3.0614732740916799E-2</v>
      </c>
      <c r="BI89" s="115">
        <f t="shared" si="18"/>
        <v>2.9432723348971002E-2</v>
      </c>
      <c r="BJ89" s="115">
        <f t="shared" si="18"/>
        <v>2.8252069600562302E-2</v>
      </c>
      <c r="BK89" s="115">
        <f t="shared" si="18"/>
        <v>2.7072769940909298E-2</v>
      </c>
      <c r="BL89" s="115">
        <f t="shared" si="18"/>
        <v>2.8181369757378102E-2</v>
      </c>
      <c r="BM89" s="115">
        <f t="shared" si="18"/>
        <v>2.5439247803574497E-2</v>
      </c>
      <c r="BN89" s="115">
        <f t="shared" si="18"/>
        <v>2.2704438988319801E-2</v>
      </c>
      <c r="BO89" s="115">
        <f t="shared" si="18"/>
        <v>1.99769238077393E-2</v>
      </c>
      <c r="BP89" s="243">
        <f t="shared" si="9"/>
        <v>1.31916436242782E-2</v>
      </c>
      <c r="BQ89" s="243">
        <f t="shared" si="9"/>
        <v>1.31916436242782E-2</v>
      </c>
      <c r="BR89" s="243">
        <f t="shared" si="9"/>
        <v>1.31916436242782E-2</v>
      </c>
      <c r="BS89" s="243">
        <f t="shared" si="9"/>
        <v>1.31916436242782E-2</v>
      </c>
      <c r="BT89" s="243">
        <f t="shared" si="10"/>
        <v>1.1028727914025E-2</v>
      </c>
      <c r="BU89" s="243">
        <f t="shared" si="10"/>
        <v>1.1028727914025E-2</v>
      </c>
      <c r="BV89" s="243">
        <f t="shared" si="10"/>
        <v>1.1028727914025E-2</v>
      </c>
      <c r="BW89" s="243">
        <f t="shared" si="10"/>
        <v>1.1028727914025E-2</v>
      </c>
      <c r="BX89" s="243">
        <f t="shared" si="11"/>
        <v>1.2940758326171E-2</v>
      </c>
      <c r="BY89" s="243">
        <f t="shared" si="11"/>
        <v>1.2940758326171E-2</v>
      </c>
      <c r="BZ89" s="243">
        <f t="shared" si="11"/>
        <v>1.2940758326171E-2</v>
      </c>
      <c r="CA89" s="243">
        <f t="shared" si="11"/>
        <v>1.2940758326171E-2</v>
      </c>
      <c r="CB89" s="243">
        <f t="shared" si="15"/>
        <v>1.35880055675212E-2</v>
      </c>
      <c r="CC89" s="243">
        <f t="shared" si="15"/>
        <v>1.35880055675212E-2</v>
      </c>
      <c r="CD89" s="243">
        <f t="shared" si="15"/>
        <v>1.35880055675212E-2</v>
      </c>
      <c r="CE89" s="243">
        <f t="shared" si="15"/>
        <v>1.35880055675212E-2</v>
      </c>
      <c r="CH89" s="259">
        <f>Annual!AW89</f>
        <v>2.9181537923162301E-2</v>
      </c>
      <c r="CI89" s="259">
        <f>Annual!AX89</f>
        <v>2.4131416387899497E-2</v>
      </c>
      <c r="CJ89" s="259">
        <f>Annual!AY89</f>
        <v>1.31916436242782E-2</v>
      </c>
      <c r="CK89" s="259">
        <f>Annual!AZ89</f>
        <v>1.1028727914025E-2</v>
      </c>
      <c r="CL89" s="259">
        <f>Annual!BA89</f>
        <v>1.2940758326171E-2</v>
      </c>
      <c r="CM89" s="259">
        <f>Annual!BB89</f>
        <v>1.35880055675212E-2</v>
      </c>
    </row>
    <row r="90" spans="3:91" ht="13" x14ac:dyDescent="0.6">
      <c r="C90" s="107" t="s">
        <v>605</v>
      </c>
      <c r="D90" s="115">
        <f t="shared" ref="D90:J90" si="19">+D61/100</f>
        <v>0.30523827800235198</v>
      </c>
      <c r="E90" s="115">
        <f t="shared" si="19"/>
        <v>0.27497891608692698</v>
      </c>
      <c r="F90" s="115">
        <f t="shared" si="19"/>
        <v>0.26829435006619301</v>
      </c>
      <c r="G90" s="115">
        <f t="shared" si="19"/>
        <v>6.2862771042684396E-2</v>
      </c>
      <c r="H90" s="115">
        <f t="shared" si="19"/>
        <v>1.2989659428982001E-3</v>
      </c>
      <c r="I90" s="115">
        <f t="shared" si="19"/>
        <v>-7.14980162157757E-2</v>
      </c>
      <c r="J90" s="115">
        <f t="shared" si="19"/>
        <v>-8.5761501401100004E-2</v>
      </c>
      <c r="K90" s="114">
        <f>+K61/100</f>
        <v>-3.9592489519214898E-3</v>
      </c>
      <c r="L90" s="115">
        <f t="shared" ref="L90:BO90" si="20">+L61/100</f>
        <v>-4.3609506017319298E-2</v>
      </c>
      <c r="M90" s="115">
        <f t="shared" si="20"/>
        <v>-0.10030919575403101</v>
      </c>
      <c r="N90" s="115">
        <f t="shared" si="20"/>
        <v>-0.15267832501412198</v>
      </c>
      <c r="O90" s="115">
        <f t="shared" si="20"/>
        <v>-0.18904350855694599</v>
      </c>
      <c r="P90" s="115">
        <f t="shared" si="20"/>
        <v>-0.143652900312392</v>
      </c>
      <c r="Q90" s="115">
        <f t="shared" si="20"/>
        <v>-1.4663818042564301E-2</v>
      </c>
      <c r="R90" s="115">
        <f t="shared" si="20"/>
        <v>9.3627396750486595E-3</v>
      </c>
      <c r="S90" s="115">
        <f t="shared" si="20"/>
        <v>-4.1668535965663597E-2</v>
      </c>
      <c r="T90" s="115">
        <f t="shared" si="20"/>
        <v>-9.1983767505783409E-2</v>
      </c>
      <c r="U90" s="116">
        <f t="shared" si="20"/>
        <v>-0.148261031281853</v>
      </c>
      <c r="V90" s="234">
        <f t="shared" si="20"/>
        <v>-0.16083037158250099</v>
      </c>
      <c r="W90" s="115">
        <f t="shared" si="20"/>
        <v>-0.13503050083884099</v>
      </c>
      <c r="X90" s="115">
        <f t="shared" si="20"/>
        <v>-0.10183313862292299</v>
      </c>
      <c r="Y90" s="115">
        <f t="shared" si="20"/>
        <v>-1.8845214377799999E-2</v>
      </c>
      <c r="Z90" s="115">
        <f t="shared" si="20"/>
        <v>8.508237027783061E-2</v>
      </c>
      <c r="AA90" s="115">
        <f t="shared" si="20"/>
        <v>0.11837739047972599</v>
      </c>
      <c r="AB90" s="115">
        <f t="shared" si="20"/>
        <v>0.137094042606523</v>
      </c>
      <c r="AC90" s="115">
        <f t="shared" si="20"/>
        <v>7.1035944138416907E-2</v>
      </c>
      <c r="AD90" s="115">
        <f t="shared" si="20"/>
        <v>2.7362673408722199E-2</v>
      </c>
      <c r="AE90" s="115">
        <f t="shared" si="20"/>
        <v>2.0797577265121298E-2</v>
      </c>
      <c r="AF90" s="115">
        <f t="shared" si="20"/>
        <v>3.4568496974237799E-2</v>
      </c>
      <c r="AG90" s="115">
        <f t="shared" si="20"/>
        <v>4.5078886916808801E-2</v>
      </c>
      <c r="AH90" s="115">
        <f t="shared" si="20"/>
        <v>-2.9304899050984001E-2</v>
      </c>
      <c r="AI90" s="115">
        <f t="shared" si="20"/>
        <v>-6.5135059233015803E-3</v>
      </c>
      <c r="AJ90" s="115">
        <f t="shared" si="20"/>
        <v>-9.3933569768003093E-3</v>
      </c>
      <c r="AK90" s="115">
        <f t="shared" si="20"/>
        <v>-9.0076035931284104E-3</v>
      </c>
      <c r="AL90" s="115">
        <f t="shared" si="20"/>
        <v>9.5389036423497303E-2</v>
      </c>
      <c r="AM90" s="115">
        <f t="shared" si="20"/>
        <v>8.6286534410083104E-2</v>
      </c>
      <c r="AN90" s="115">
        <f t="shared" si="20"/>
        <v>7.5591705449438495E-2</v>
      </c>
      <c r="AO90" s="115">
        <f t="shared" si="20"/>
        <v>8.7058443571918998E-2</v>
      </c>
      <c r="AP90" s="115">
        <f t="shared" si="20"/>
        <v>0.14550618992507799</v>
      </c>
      <c r="AQ90" s="115">
        <f t="shared" si="20"/>
        <v>0.17396002829492399</v>
      </c>
      <c r="AR90" s="115">
        <f t="shared" si="20"/>
        <v>0.19147598229221599</v>
      </c>
      <c r="AS90" s="115">
        <f t="shared" si="20"/>
        <v>0.25644972941368099</v>
      </c>
      <c r="AT90" s="115">
        <f t="shared" si="20"/>
        <v>0.18464721284827801</v>
      </c>
      <c r="AU90" s="115">
        <f t="shared" si="20"/>
        <v>0.18346971515643901</v>
      </c>
      <c r="AV90" s="115">
        <f t="shared" si="20"/>
        <v>0.20554162718582097</v>
      </c>
      <c r="AW90" s="115">
        <f t="shared" si="20"/>
        <v>0.10871992984578099</v>
      </c>
      <c r="AX90" s="115">
        <f t="shared" si="20"/>
        <v>-6.2610558031507099E-2</v>
      </c>
      <c r="AY90" s="115">
        <f t="shared" si="20"/>
        <v>-8.9715728379922505E-2</v>
      </c>
      <c r="AZ90" s="115">
        <f t="shared" si="20"/>
        <v>-1.06680411034837E-2</v>
      </c>
      <c r="BA90" s="115">
        <f t="shared" si="20"/>
        <v>-1.25993894997019E-2</v>
      </c>
      <c r="BB90" s="115">
        <f t="shared" si="20"/>
        <v>7.9917792566873203E-2</v>
      </c>
      <c r="BC90" s="115">
        <f t="shared" si="20"/>
        <v>0.111629853005611</v>
      </c>
      <c r="BD90" s="115">
        <f t="shared" si="20"/>
        <v>-1.5339354408794501E-2</v>
      </c>
      <c r="BE90" s="115">
        <f t="shared" si="20"/>
        <v>9.1733048003998105E-2</v>
      </c>
      <c r="BF90" s="115">
        <f t="shared" si="20"/>
        <v>0.17393777625191897</v>
      </c>
      <c r="BG90" s="115">
        <f t="shared" si="20"/>
        <v>0.22033743173778197</v>
      </c>
      <c r="BH90" s="115">
        <f t="shared" si="20"/>
        <v>0.26849374600870701</v>
      </c>
      <c r="BI90" s="115">
        <f t="shared" si="20"/>
        <v>0.22460504377554</v>
      </c>
      <c r="BJ90" s="115">
        <f t="shared" si="20"/>
        <v>0.22858556685117398</v>
      </c>
      <c r="BK90" s="115">
        <f t="shared" si="20"/>
        <v>0.34281664825467301</v>
      </c>
      <c r="BL90" s="115">
        <f t="shared" si="20"/>
        <v>0.39377268510575197</v>
      </c>
      <c r="BM90" s="115">
        <f t="shared" si="20"/>
        <v>0.32507801384136298</v>
      </c>
      <c r="BN90" s="115">
        <f t="shared" si="20"/>
        <v>0.29007148525571003</v>
      </c>
      <c r="BO90" s="115">
        <f t="shared" si="20"/>
        <v>0.12082762018459001</v>
      </c>
      <c r="BP90" s="243">
        <f t="shared" si="9"/>
        <v>2.1096412890858E-2</v>
      </c>
      <c r="BQ90" s="243">
        <f t="shared" si="9"/>
        <v>2.1096412890858E-2</v>
      </c>
      <c r="BR90" s="243">
        <f t="shared" si="9"/>
        <v>2.1096412890858E-2</v>
      </c>
      <c r="BS90" s="243">
        <f t="shared" si="9"/>
        <v>2.1096412890858E-2</v>
      </c>
      <c r="BT90" s="243">
        <f t="shared" si="10"/>
        <v>6.5160660069318302E-3</v>
      </c>
      <c r="BU90" s="243">
        <f t="shared" si="10"/>
        <v>6.5160660069318302E-3</v>
      </c>
      <c r="BV90" s="243">
        <f t="shared" si="10"/>
        <v>6.5160660069318302E-3</v>
      </c>
      <c r="BW90" s="243">
        <f t="shared" si="10"/>
        <v>6.5160660069318302E-3</v>
      </c>
      <c r="BX90" s="243">
        <f t="shared" si="11"/>
        <v>-1.16829052433771E-3</v>
      </c>
      <c r="BY90" s="243">
        <f t="shared" si="11"/>
        <v>-1.16829052433771E-3</v>
      </c>
      <c r="BZ90" s="243">
        <f t="shared" si="11"/>
        <v>-1.16829052433771E-3</v>
      </c>
      <c r="CA90" s="243">
        <f t="shared" si="11"/>
        <v>-1.16829052433771E-3</v>
      </c>
      <c r="CB90" s="243">
        <f t="shared" si="15"/>
        <v>-1.8049231691460901E-4</v>
      </c>
      <c r="CC90" s="243">
        <f t="shared" si="15"/>
        <v>-1.8049231691460901E-4</v>
      </c>
      <c r="CD90" s="243">
        <f t="shared" si="15"/>
        <v>-1.8049231691460901E-4</v>
      </c>
      <c r="CE90" s="243">
        <f t="shared" si="15"/>
        <v>-1.8049231691460901E-4</v>
      </c>
      <c r="CH90" s="259">
        <f>Annual!AW90</f>
        <v>0.267508845361843</v>
      </c>
      <c r="CI90" s="259">
        <f>Annual!AX90</f>
        <v>0.27357124414663397</v>
      </c>
      <c r="CJ90" s="259">
        <f>Annual!AY90</f>
        <v>2.1096412890858E-2</v>
      </c>
      <c r="CK90" s="259">
        <f>Annual!AZ90</f>
        <v>6.5160660069318302E-3</v>
      </c>
      <c r="CL90" s="259">
        <f>Annual!BA90</f>
        <v>-1.16829052433771E-3</v>
      </c>
      <c r="CM90" s="259">
        <f>Annual!BB90</f>
        <v>-1.8049231691460901E-4</v>
      </c>
    </row>
    <row r="91" spans="3:91" ht="13.75" thickBot="1" x14ac:dyDescent="0.75">
      <c r="C91" s="107" t="s">
        <v>926</v>
      </c>
      <c r="D91" s="115"/>
      <c r="E91" s="115"/>
      <c r="F91" s="115"/>
      <c r="G91" s="115"/>
      <c r="H91" s="115"/>
      <c r="I91" s="115"/>
      <c r="J91" s="115"/>
      <c r="K91" s="114"/>
      <c r="L91" s="114"/>
      <c r="M91" s="114"/>
      <c r="N91" s="114"/>
      <c r="O91" s="114"/>
      <c r="P91" s="114"/>
      <c r="Q91" s="114"/>
      <c r="R91" s="114"/>
      <c r="S91" s="114"/>
      <c r="T91" s="114"/>
      <c r="U91" s="120"/>
      <c r="V91" s="235"/>
      <c r="W91" s="117"/>
      <c r="X91" s="117"/>
      <c r="Y91" s="117"/>
      <c r="Z91" s="117"/>
      <c r="AA91" s="117"/>
      <c r="AB91" s="117"/>
      <c r="AC91" s="117"/>
      <c r="AD91" s="117"/>
      <c r="AE91" s="117"/>
      <c r="AF91" s="117"/>
      <c r="AG91" s="117"/>
      <c r="AH91" s="117"/>
      <c r="AI91" s="117"/>
      <c r="AJ91" s="117"/>
      <c r="AK91" s="117"/>
      <c r="AL91" s="117"/>
      <c r="AM91" s="117"/>
      <c r="AN91" s="117"/>
      <c r="AO91" s="117"/>
      <c r="AP91" s="117"/>
      <c r="AQ91" s="117"/>
      <c r="AR91" s="117"/>
      <c r="AS91" s="117"/>
      <c r="AT91" s="117"/>
      <c r="AU91" s="117"/>
      <c r="AV91" s="117"/>
      <c r="AW91" s="117"/>
      <c r="AX91" s="117"/>
      <c r="AY91" s="117"/>
      <c r="AZ91" s="117"/>
      <c r="BA91" s="117"/>
      <c r="BB91" s="117"/>
      <c r="BC91" s="117"/>
      <c r="BD91" s="117"/>
      <c r="BE91" s="117"/>
      <c r="BF91" s="117"/>
      <c r="BG91" s="117"/>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row>
    <row r="92" spans="3:91" ht="13" x14ac:dyDescent="0.6">
      <c r="C92" s="104" t="s">
        <v>927</v>
      </c>
      <c r="D92" s="104"/>
      <c r="E92" s="104"/>
      <c r="F92" s="104"/>
      <c r="G92" s="104"/>
      <c r="H92" s="104"/>
      <c r="I92" s="104"/>
      <c r="J92" s="104"/>
      <c r="K92" s="105"/>
      <c r="L92" s="105"/>
      <c r="M92" s="105"/>
      <c r="N92" s="105"/>
      <c r="O92" s="105"/>
      <c r="P92" s="105"/>
      <c r="Q92" s="105"/>
      <c r="R92" s="105"/>
      <c r="S92" s="105"/>
      <c r="T92" s="105"/>
      <c r="U92" s="105"/>
      <c r="V92" s="105"/>
      <c r="W92" s="105"/>
      <c r="X92" s="105"/>
      <c r="Y92" s="105"/>
      <c r="Z92" s="105"/>
      <c r="AA92" s="105"/>
      <c r="AB92" s="105"/>
      <c r="AC92" s="105"/>
      <c r="AD92" s="105"/>
      <c r="AE92" s="105"/>
    </row>
    <row r="93" spans="3:91" ht="13" x14ac:dyDescent="0.6"/>
    <row r="94" spans="3:91" ht="13.75" thickBot="1" x14ac:dyDescent="0.75"/>
    <row r="95" spans="3:91" ht="13" x14ac:dyDescent="0.6">
      <c r="C95" s="107" t="s">
        <v>925</v>
      </c>
      <c r="D95" s="108" t="s">
        <v>451</v>
      </c>
      <c r="E95" s="108" t="s">
        <v>452</v>
      </c>
      <c r="F95" s="108" t="s">
        <v>453</v>
      </c>
      <c r="G95" s="108" t="s">
        <v>454</v>
      </c>
      <c r="H95" s="108" t="s">
        <v>455</v>
      </c>
      <c r="I95" s="108" t="s">
        <v>456</v>
      </c>
      <c r="J95" s="108" t="s">
        <v>457</v>
      </c>
      <c r="K95" s="108" t="s">
        <v>458</v>
      </c>
      <c r="L95" s="108" t="s">
        <v>282</v>
      </c>
      <c r="M95" s="108" t="s">
        <v>283</v>
      </c>
      <c r="N95" s="108" t="s">
        <v>284</v>
      </c>
      <c r="O95" s="108" t="s">
        <v>285</v>
      </c>
      <c r="P95" s="108" t="s">
        <v>286</v>
      </c>
      <c r="Q95" s="108" t="s">
        <v>287</v>
      </c>
      <c r="R95" s="108" t="s">
        <v>288</v>
      </c>
      <c r="S95" s="108" t="s">
        <v>289</v>
      </c>
      <c r="T95" s="108" t="s">
        <v>290</v>
      </c>
      <c r="U95" s="119" t="s">
        <v>291</v>
      </c>
      <c r="V95" s="232" t="s">
        <v>292</v>
      </c>
      <c r="W95" s="109" t="s">
        <v>293</v>
      </c>
      <c r="X95" s="109" t="s">
        <v>294</v>
      </c>
      <c r="Y95" s="109" t="s">
        <v>295</v>
      </c>
      <c r="Z95" s="109" t="s">
        <v>296</v>
      </c>
      <c r="AA95" s="109" t="s">
        <v>297</v>
      </c>
      <c r="AB95" s="109" t="s">
        <v>609</v>
      </c>
      <c r="AC95" s="109" t="s">
        <v>610</v>
      </c>
      <c r="AD95" s="109" t="s">
        <v>611</v>
      </c>
      <c r="AE95" s="109" t="s">
        <v>612</v>
      </c>
      <c r="AF95" s="109" t="s">
        <v>613</v>
      </c>
      <c r="AG95" s="109" t="s">
        <v>614</v>
      </c>
      <c r="AH95" s="109" t="s">
        <v>615</v>
      </c>
      <c r="AI95" s="109" t="s">
        <v>616</v>
      </c>
      <c r="AJ95" s="109" t="s">
        <v>617</v>
      </c>
      <c r="AK95" s="109" t="s">
        <v>618</v>
      </c>
      <c r="AL95" s="109" t="s">
        <v>619</v>
      </c>
      <c r="AM95" s="109" t="s">
        <v>620</v>
      </c>
      <c r="AN95" s="109" t="s">
        <v>621</v>
      </c>
      <c r="AO95" s="109" t="s">
        <v>622</v>
      </c>
      <c r="AP95" s="109" t="s">
        <v>623</v>
      </c>
      <c r="AQ95" s="109" t="s">
        <v>624</v>
      </c>
      <c r="AR95" s="109" t="s">
        <v>625</v>
      </c>
      <c r="AS95" s="109" t="s">
        <v>626</v>
      </c>
      <c r="AT95" s="109" t="s">
        <v>627</v>
      </c>
      <c r="AU95" s="109" t="s">
        <v>628</v>
      </c>
      <c r="AV95" s="109" t="s">
        <v>700</v>
      </c>
      <c r="AW95" s="109" t="s">
        <v>701</v>
      </c>
      <c r="AX95" s="109" t="s">
        <v>702</v>
      </c>
      <c r="AY95" s="109" t="s">
        <v>703</v>
      </c>
      <c r="AZ95" s="109" t="s">
        <v>704</v>
      </c>
      <c r="BA95" s="109" t="s">
        <v>705</v>
      </c>
      <c r="BB95" s="109" t="s">
        <v>706</v>
      </c>
      <c r="BC95" s="109" t="s">
        <v>707</v>
      </c>
      <c r="BD95" s="109" t="s">
        <v>708</v>
      </c>
      <c r="BE95" s="109" t="s">
        <v>709</v>
      </c>
      <c r="BF95" s="109" t="s">
        <v>710</v>
      </c>
      <c r="BG95" s="109" t="s">
        <v>711</v>
      </c>
      <c r="BH95" s="109" t="s">
        <v>928</v>
      </c>
      <c r="BI95" s="109" t="s">
        <v>929</v>
      </c>
      <c r="BJ95" s="109" t="s">
        <v>930</v>
      </c>
      <c r="BK95" s="109" t="s">
        <v>931</v>
      </c>
      <c r="BL95" s="109" t="s">
        <v>932</v>
      </c>
      <c r="BM95" s="109" t="s">
        <v>933</v>
      </c>
      <c r="BN95" s="109" t="s">
        <v>934</v>
      </c>
      <c r="BO95" s="109" t="s">
        <v>935</v>
      </c>
      <c r="BP95" s="109" t="s">
        <v>941</v>
      </c>
      <c r="BQ95" s="109" t="s">
        <v>942</v>
      </c>
      <c r="BR95" s="109" t="s">
        <v>943</v>
      </c>
      <c r="BS95" s="109" t="s">
        <v>944</v>
      </c>
      <c r="BT95" s="109" t="s">
        <v>945</v>
      </c>
      <c r="BU95" s="109" t="s">
        <v>946</v>
      </c>
      <c r="BV95" s="109" t="s">
        <v>947</v>
      </c>
      <c r="BW95" s="109" t="s">
        <v>948</v>
      </c>
      <c r="BX95" s="109" t="s">
        <v>949</v>
      </c>
      <c r="BY95" s="109" t="s">
        <v>950</v>
      </c>
      <c r="BZ95" s="109" t="s">
        <v>951</v>
      </c>
      <c r="CA95" s="109" t="s">
        <v>952</v>
      </c>
      <c r="CB95" s="109" t="s">
        <v>953</v>
      </c>
      <c r="CC95" s="109" t="s">
        <v>954</v>
      </c>
      <c r="CD95" s="109" t="s">
        <v>955</v>
      </c>
      <c r="CE95" s="240" t="s">
        <v>956</v>
      </c>
    </row>
    <row r="96" spans="3:91" ht="13" x14ac:dyDescent="0.6">
      <c r="C96" s="110" t="s">
        <v>595</v>
      </c>
      <c r="D96" s="111"/>
      <c r="E96" s="111"/>
      <c r="F96" s="111"/>
      <c r="G96" s="111"/>
      <c r="H96" s="111"/>
      <c r="I96" s="111"/>
      <c r="J96" s="111"/>
      <c r="K96" s="111"/>
      <c r="L96" s="111"/>
      <c r="M96" s="111"/>
      <c r="N96" s="111"/>
      <c r="O96" s="111"/>
      <c r="P96" s="112"/>
      <c r="Q96" s="112"/>
      <c r="R96" s="112"/>
      <c r="S96" s="112"/>
      <c r="T96" s="112"/>
      <c r="U96" s="113"/>
      <c r="V96" s="233"/>
      <c r="W96" s="112"/>
      <c r="X96" s="112"/>
      <c r="Y96" s="112"/>
      <c r="Z96" s="112"/>
      <c r="AA96" s="112"/>
      <c r="AB96" s="112"/>
      <c r="AC96" s="112"/>
      <c r="AD96" s="112"/>
      <c r="AE96" s="112"/>
      <c r="AF96" s="112"/>
      <c r="AG96" s="112"/>
      <c r="AH96" s="112"/>
      <c r="AI96" s="112"/>
      <c r="AJ96" s="112"/>
      <c r="AK96" s="112"/>
      <c r="AL96" s="112"/>
      <c r="AM96" s="112"/>
      <c r="AN96" s="112"/>
      <c r="AO96" s="112"/>
      <c r="AP96" s="112"/>
      <c r="AQ96" s="112"/>
      <c r="AR96" s="112"/>
      <c r="AS96" s="112"/>
      <c r="AT96" s="112"/>
      <c r="AU96" s="112"/>
      <c r="AV96" s="112"/>
      <c r="AW96" s="112"/>
      <c r="AX96" s="112"/>
      <c r="AY96" s="112"/>
      <c r="AZ96" s="112"/>
      <c r="BA96" s="112"/>
      <c r="BB96" s="112"/>
      <c r="BC96" s="112"/>
      <c r="BD96" s="112"/>
      <c r="BE96" s="112"/>
      <c r="BF96" s="112"/>
      <c r="BG96" s="112"/>
      <c r="BH96" s="239" t="s">
        <v>936</v>
      </c>
      <c r="BI96" s="112"/>
      <c r="BJ96" s="112"/>
      <c r="BK96" s="112"/>
      <c r="BL96" s="112"/>
      <c r="BM96" s="112"/>
      <c r="BN96" s="112"/>
      <c r="BO96" s="112"/>
      <c r="BP96" s="112"/>
      <c r="BQ96" s="112"/>
      <c r="BR96" s="112"/>
      <c r="BS96" s="112"/>
      <c r="BT96" s="112"/>
      <c r="BU96" s="112"/>
      <c r="BV96" s="112"/>
      <c r="BW96" s="112"/>
      <c r="BX96" s="112"/>
      <c r="BY96" s="112"/>
      <c r="BZ96" s="112"/>
      <c r="CA96" s="112"/>
      <c r="CB96" s="112"/>
      <c r="CC96" s="112"/>
      <c r="CD96" s="112"/>
      <c r="CE96" s="113"/>
    </row>
    <row r="97" spans="3:83" ht="13" x14ac:dyDescent="0.6">
      <c r="C97" s="107" t="s">
        <v>687</v>
      </c>
      <c r="D97" s="115">
        <v>2.9026485335662221E-2</v>
      </c>
      <c r="E97" s="115">
        <v>2.6590441947407024E-2</v>
      </c>
      <c r="F97" s="115">
        <v>2.4160165473292472E-2</v>
      </c>
      <c r="G97" s="115">
        <v>2.1735642261140574E-2</v>
      </c>
      <c r="H97" s="115">
        <v>1.4008014389067854E-2</v>
      </c>
      <c r="I97" s="115">
        <v>1.510636429617733E-2</v>
      </c>
      <c r="J97" s="115">
        <v>1.6205903910371289E-2</v>
      </c>
      <c r="K97" s="114">
        <v>1.7306634520312596E-2</v>
      </c>
      <c r="L97" s="115">
        <v>1.7430855403020411E-2</v>
      </c>
      <c r="M97" s="115">
        <v>1.9194267862746167E-2</v>
      </c>
      <c r="N97" s="115">
        <v>2.0960736671202324E-2</v>
      </c>
      <c r="O97" s="115">
        <v>2.2730267125656445E-2</v>
      </c>
      <c r="P97" s="115">
        <v>2.7060185518907737E-2</v>
      </c>
      <c r="Q97" s="115">
        <v>2.7143688145575953E-2</v>
      </c>
      <c r="R97" s="115">
        <v>2.7227197561221658E-2</v>
      </c>
      <c r="S97" s="115">
        <v>2.7310713766397113E-2</v>
      </c>
      <c r="T97" s="115">
        <v>2.9577624876298097E-2</v>
      </c>
      <c r="U97" s="116">
        <v>6.1311889983069578E-2</v>
      </c>
      <c r="V97" s="234">
        <v>5.3710762177204184E-2</v>
      </c>
      <c r="W97" s="115">
        <v>4.616407373498415E-2</v>
      </c>
      <c r="X97" s="115">
        <v>2.7302291637094734E-2</v>
      </c>
      <c r="Y97" s="115">
        <v>2.7444163328806663E-2</v>
      </c>
      <c r="Z97" s="115">
        <v>2.7586054613171193E-2</v>
      </c>
      <c r="AA97" s="115">
        <v>2.7727965492894434E-2</v>
      </c>
      <c r="AB97" s="115">
        <v>2.5779268855295117E-2</v>
      </c>
      <c r="AC97" s="115">
        <v>2.7195147283300837E-2</v>
      </c>
      <c r="AD97" s="115">
        <v>2.861298004181758E-2</v>
      </c>
      <c r="AE97" s="115">
        <v>3.0032769828399287E-2</v>
      </c>
      <c r="AF97" s="115">
        <v>3.4890199781705156E-2</v>
      </c>
      <c r="AG97" s="115">
        <v>3.403282964572249E-2</v>
      </c>
      <c r="AH97" s="115">
        <v>3.3176169810746142E-2</v>
      </c>
      <c r="AI97" s="115">
        <v>3.2320219688316068E-2</v>
      </c>
      <c r="AJ97" s="115">
        <v>4.881331181204749E-2</v>
      </c>
      <c r="AK97" s="115">
        <v>3.6382172384986596E-2</v>
      </c>
      <c r="AL97" s="115">
        <v>2.4098373982028617E-2</v>
      </c>
      <c r="AM97" s="115">
        <v>1.1960170232495878E-2</v>
      </c>
      <c r="AN97" s="115">
        <v>-4.3724710643719751E-2</v>
      </c>
      <c r="AO97" s="115">
        <v>-2.6455378640311132E-2</v>
      </c>
      <c r="AP97" s="115">
        <v>-8.8741805548620475E-3</v>
      </c>
      <c r="AQ97" s="115">
        <v>9.0245155880347219E-3</v>
      </c>
      <c r="AR97" s="115">
        <v>5.2650777588698808E-2</v>
      </c>
      <c r="AS97" s="115">
        <v>5.4315640264562391E-2</v>
      </c>
      <c r="AT97" s="115">
        <v>5.5983136071744349E-2</v>
      </c>
      <c r="AU97" s="115">
        <v>5.7653269174779788E-2</v>
      </c>
      <c r="AV97" s="115">
        <v>6.9327492466056864E-2</v>
      </c>
      <c r="AW97" s="115">
        <v>6.4420163779318459E-2</v>
      </c>
      <c r="AX97" s="115">
        <v>5.9535355672111635E-2</v>
      </c>
      <c r="AY97" s="115">
        <v>5.4672964793605082E-2</v>
      </c>
      <c r="AZ97" s="115">
        <v>4.0718403304020025E-2</v>
      </c>
      <c r="BA97" s="115">
        <v>4.1858812356417925E-2</v>
      </c>
      <c r="BB97" s="115">
        <v>4.3000471057907413E-2</v>
      </c>
      <c r="BC97" s="115">
        <v>4.4143380777841246E-2</v>
      </c>
      <c r="BD97" s="115">
        <v>4.5808778368921638E-2</v>
      </c>
      <c r="BE97" s="115">
        <v>4.6590532322949588E-2</v>
      </c>
      <c r="BF97" s="115">
        <v>4.7372870646947375E-2</v>
      </c>
      <c r="BG97" s="115">
        <v>4.8155793777738619E-2</v>
      </c>
      <c r="BH97" s="115">
        <v>4.8155793777738619E-2</v>
      </c>
      <c r="BI97" s="115">
        <v>4.8155793777738619E-2</v>
      </c>
      <c r="BJ97" s="115">
        <v>4.8155793777738619E-2</v>
      </c>
      <c r="BK97" s="115">
        <v>4.8155793777738619E-2</v>
      </c>
      <c r="BL97" s="115">
        <v>4.8155793777738619E-2</v>
      </c>
      <c r="BM97" s="115">
        <v>4.8155793777738619E-2</v>
      </c>
      <c r="BN97" s="115">
        <v>4.8155793777738619E-2</v>
      </c>
      <c r="BO97" s="115">
        <v>4.8155793777738619E-2</v>
      </c>
      <c r="BP97" s="115">
        <v>4.8155793777738619E-2</v>
      </c>
      <c r="BQ97" s="115">
        <v>4.8155793777738619E-2</v>
      </c>
      <c r="BR97" s="115">
        <v>4.8155793777738619E-2</v>
      </c>
      <c r="BS97" s="115">
        <v>4.8155793777738619E-2</v>
      </c>
      <c r="BT97" s="115">
        <v>4.8155793777738619E-2</v>
      </c>
      <c r="BU97" s="115">
        <v>4.8155793777738619E-2</v>
      </c>
      <c r="BV97" s="115">
        <v>4.8155793777738619E-2</v>
      </c>
      <c r="BW97" s="115">
        <v>4.8155793777738619E-2</v>
      </c>
      <c r="BX97" s="115">
        <v>4.8155793777738619E-2</v>
      </c>
      <c r="BY97" s="115">
        <v>4.8155793777738619E-2</v>
      </c>
      <c r="BZ97" s="115">
        <v>4.8155793777738619E-2</v>
      </c>
      <c r="CA97" s="115">
        <v>4.8155793777738619E-2</v>
      </c>
      <c r="CB97" s="115">
        <v>4.8155793777738619E-2</v>
      </c>
      <c r="CC97" s="115">
        <v>4.8155793777738619E-2</v>
      </c>
      <c r="CD97" s="115">
        <v>4.8155793777738619E-2</v>
      </c>
      <c r="CE97" s="116">
        <v>4.8155793777738619E-2</v>
      </c>
    </row>
    <row r="98" spans="3:83" ht="13" x14ac:dyDescent="0.6">
      <c r="C98" s="107" t="s">
        <v>688</v>
      </c>
      <c r="D98" s="115">
        <v>6.4312378383302685E-2</v>
      </c>
      <c r="E98" s="115">
        <v>5.9361113371769102E-2</v>
      </c>
      <c r="F98" s="115">
        <v>5.4432882035040348E-2</v>
      </c>
      <c r="G98" s="115">
        <v>4.9527577218646639E-2</v>
      </c>
      <c r="H98" s="115">
        <v>1.5661796194252051E-3</v>
      </c>
      <c r="I98" s="115">
        <v>2.5780756280163231E-2</v>
      </c>
      <c r="J98" s="115">
        <v>5.0580761777048372E-2</v>
      </c>
      <c r="K98" s="114">
        <v>7.5980349854207263E-2</v>
      </c>
      <c r="L98" s="115">
        <v>0.15839453140230783</v>
      </c>
      <c r="M98" s="115">
        <v>0.14721570271413922</v>
      </c>
      <c r="N98" s="115">
        <v>0.13614475282499075</v>
      </c>
      <c r="O98" s="115">
        <v>0.12518064067451551</v>
      </c>
      <c r="P98" s="115">
        <v>0.14367223537084309</v>
      </c>
      <c r="Q98" s="115">
        <v>0.11413589519957763</v>
      </c>
      <c r="R98" s="115">
        <v>8.5362356960309735E-2</v>
      </c>
      <c r="S98" s="115">
        <v>5.7331920623039379E-2</v>
      </c>
      <c r="T98" s="115">
        <v>-4.1941140378553149E-2</v>
      </c>
      <c r="U98" s="116">
        <v>-2.0275410407176592E-2</v>
      </c>
      <c r="V98" s="234">
        <v>1.8802726088154524E-3</v>
      </c>
      <c r="W98" s="115">
        <v>2.4536988563165333E-2</v>
      </c>
      <c r="X98" s="115">
        <v>0.12096701569887512</v>
      </c>
      <c r="Y98" s="115">
        <v>9.6068717695437608E-2</v>
      </c>
      <c r="Z98" s="115">
        <v>7.1723446886186829E-2</v>
      </c>
      <c r="AA98" s="115">
        <v>4.7918919737627401E-2</v>
      </c>
      <c r="AB98" s="115">
        <v>-4.3928140096999267E-2</v>
      </c>
      <c r="AC98" s="115">
        <v>-2.0622667071942612E-2</v>
      </c>
      <c r="AD98" s="115">
        <v>3.2509066322588009E-3</v>
      </c>
      <c r="AE98" s="115">
        <v>2.7706429195441248E-2</v>
      </c>
      <c r="AF98" s="115">
        <v>0.14926934870441419</v>
      </c>
      <c r="AG98" s="115">
        <v>0.11164677831729089</v>
      </c>
      <c r="AH98" s="115">
        <v>7.5255823307475794E-2</v>
      </c>
      <c r="AI98" s="115">
        <v>4.0056165418614571E-2</v>
      </c>
      <c r="AJ98" s="115">
        <v>-3.4715238789422273E-2</v>
      </c>
      <c r="AK98" s="115">
        <v>-4.2536126534408567E-2</v>
      </c>
      <c r="AL98" s="115">
        <v>-5.0293648226621718E-2</v>
      </c>
      <c r="AM98" s="115">
        <v>-5.7988317267708547E-2</v>
      </c>
      <c r="AN98" s="115">
        <v>-0.15321037582471303</v>
      </c>
      <c r="AO98" s="115">
        <v>-0.10376711768655139</v>
      </c>
      <c r="AP98" s="115">
        <v>-5.1436913717307006E-2</v>
      </c>
      <c r="AQ98" s="115">
        <v>3.9488021635221285E-3</v>
      </c>
      <c r="AR98" s="115">
        <v>0.18166652538741507</v>
      </c>
      <c r="AS98" s="115">
        <v>0.16644437242890459</v>
      </c>
      <c r="AT98" s="115">
        <v>0.15141831027580646</v>
      </c>
      <c r="AU98" s="115">
        <v>0.13658581289884866</v>
      </c>
      <c r="AV98" s="115">
        <v>0.12992052661689188</v>
      </c>
      <c r="AW98" s="115">
        <v>0.10998264390571334</v>
      </c>
      <c r="AX98" s="115">
        <v>9.0396572811052234E-2</v>
      </c>
      <c r="AY98" s="115">
        <v>7.1156105481486515E-2</v>
      </c>
      <c r="AZ98" s="115">
        <v>8.2115952290922022E-3</v>
      </c>
      <c r="BA98" s="115">
        <v>1.9475297421087855E-2</v>
      </c>
      <c r="BB98" s="115">
        <v>3.0864837272231483E-2</v>
      </c>
      <c r="BC98" s="115">
        <v>4.2381620636140177E-2</v>
      </c>
      <c r="BD98" s="115">
        <v>7.7272103254742791E-2</v>
      </c>
      <c r="BE98" s="115">
        <v>7.2421140835842682E-2</v>
      </c>
      <c r="BF98" s="115">
        <v>6.7592022328354318E-2</v>
      </c>
      <c r="BG98" s="115">
        <v>6.2784649369019938E-2</v>
      </c>
      <c r="BH98" s="115">
        <v>6.2784649369019938E-2</v>
      </c>
      <c r="BI98" s="115">
        <v>6.2784649369019938E-2</v>
      </c>
      <c r="BJ98" s="115">
        <v>6.2784649369019938E-2</v>
      </c>
      <c r="BK98" s="115">
        <v>6.2784649369019938E-2</v>
      </c>
      <c r="BL98" s="115">
        <v>6.2784649369019938E-2</v>
      </c>
      <c r="BM98" s="115">
        <v>6.2784649369019938E-2</v>
      </c>
      <c r="BN98" s="115">
        <v>6.2784649369019938E-2</v>
      </c>
      <c r="BO98" s="115">
        <v>6.2784649369019938E-2</v>
      </c>
      <c r="BP98" s="115">
        <v>6.2784649369019938E-2</v>
      </c>
      <c r="BQ98" s="115">
        <v>6.2784649369019938E-2</v>
      </c>
      <c r="BR98" s="115">
        <v>6.2784649369019938E-2</v>
      </c>
      <c r="BS98" s="115">
        <v>6.2784649369019938E-2</v>
      </c>
      <c r="BT98" s="115">
        <v>6.2784649369019938E-2</v>
      </c>
      <c r="BU98" s="115">
        <v>6.2784649369019938E-2</v>
      </c>
      <c r="BV98" s="115">
        <v>6.2784649369019938E-2</v>
      </c>
      <c r="BW98" s="115">
        <v>6.2784649369019938E-2</v>
      </c>
      <c r="BX98" s="115">
        <v>6.2784649369019938E-2</v>
      </c>
      <c r="BY98" s="115">
        <v>6.2784649369019938E-2</v>
      </c>
      <c r="BZ98" s="115">
        <v>6.2784649369019938E-2</v>
      </c>
      <c r="CA98" s="115">
        <v>6.2784649369019938E-2</v>
      </c>
      <c r="CB98" s="115">
        <v>6.2784649369019938E-2</v>
      </c>
      <c r="CC98" s="115">
        <v>6.2784649369019938E-2</v>
      </c>
      <c r="CD98" s="115">
        <v>6.2784649369019938E-2</v>
      </c>
      <c r="CE98" s="116">
        <v>6.2784649369019938E-2</v>
      </c>
    </row>
    <row r="99" spans="3:83" ht="13" x14ac:dyDescent="0.6">
      <c r="C99" s="110" t="s">
        <v>596</v>
      </c>
      <c r="D99" s="115"/>
      <c r="E99" s="115"/>
      <c r="F99" s="115"/>
      <c r="G99" s="115"/>
      <c r="H99" s="115"/>
      <c r="I99" s="115"/>
      <c r="J99" s="115"/>
      <c r="K99" s="114"/>
      <c r="L99" s="115"/>
      <c r="M99" s="115"/>
      <c r="N99" s="115"/>
      <c r="O99" s="115"/>
      <c r="P99" s="115"/>
      <c r="Q99" s="115"/>
      <c r="R99" s="115"/>
      <c r="S99" s="115"/>
      <c r="T99" s="115"/>
      <c r="U99" s="116"/>
      <c r="V99" s="234"/>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c r="AT99" s="115"/>
      <c r="AU99" s="115"/>
      <c r="AV99" s="115"/>
      <c r="AW99" s="115"/>
      <c r="AX99" s="115"/>
      <c r="AY99" s="115"/>
      <c r="AZ99" s="115"/>
      <c r="BA99" s="115"/>
      <c r="BB99" s="115"/>
      <c r="BC99" s="115"/>
      <c r="BD99" s="115"/>
      <c r="BE99" s="115"/>
      <c r="BF99" s="115"/>
      <c r="BG99" s="115"/>
      <c r="BH99" s="115"/>
      <c r="BI99" s="115"/>
      <c r="BJ99" s="115"/>
      <c r="BK99" s="115"/>
      <c r="BL99" s="115"/>
      <c r="BM99" s="115"/>
      <c r="BN99" s="115"/>
      <c r="BO99" s="115"/>
      <c r="BP99" s="115"/>
      <c r="BQ99" s="115"/>
      <c r="BR99" s="115"/>
      <c r="BS99" s="115"/>
      <c r="BT99" s="115"/>
      <c r="BU99" s="115"/>
      <c r="BV99" s="115"/>
      <c r="BW99" s="115"/>
      <c r="BX99" s="115"/>
      <c r="BY99" s="115"/>
      <c r="BZ99" s="115"/>
      <c r="CA99" s="115"/>
      <c r="CB99" s="115"/>
      <c r="CC99" s="115"/>
      <c r="CD99" s="115"/>
      <c r="CE99" s="116"/>
    </row>
    <row r="100" spans="3:83" ht="13" x14ac:dyDescent="0.6">
      <c r="C100" s="107" t="s">
        <v>689</v>
      </c>
      <c r="D100" s="115">
        <v>5.4630188434425658E-2</v>
      </c>
      <c r="E100" s="115">
        <v>0.15637503613687509</v>
      </c>
      <c r="F100" s="115">
        <v>0.1256619047533121</v>
      </c>
      <c r="G100" s="115">
        <v>3.2221213562372453E-2</v>
      </c>
      <c r="H100" s="115">
        <v>4.4309773042457267E-3</v>
      </c>
      <c r="I100" s="115">
        <v>-5.3242692077529095E-2</v>
      </c>
      <c r="J100" s="115">
        <v>-6.5662300911864313E-2</v>
      </c>
      <c r="K100" s="114">
        <v>-3.3732051844896933E-3</v>
      </c>
      <c r="L100" s="115">
        <v>1.1943571143287592E-2</v>
      </c>
      <c r="M100" s="115">
        <v>1.3783662486721892E-2</v>
      </c>
      <c r="N100" s="115">
        <v>3.4218783605361111E-2</v>
      </c>
      <c r="O100" s="115">
        <v>3.0102845000322075E-2</v>
      </c>
      <c r="P100" s="115">
        <v>3.0849841483191805E-2</v>
      </c>
      <c r="Q100" s="115">
        <v>4.698860775442118E-2</v>
      </c>
      <c r="R100" s="115">
        <v>1.2187223605249521E-2</v>
      </c>
      <c r="S100" s="115">
        <v>-5.8767878171080937E-2</v>
      </c>
      <c r="T100" s="115">
        <v>-0.11936655459559697</v>
      </c>
      <c r="U100" s="116">
        <v>-0.12962771627855896</v>
      </c>
      <c r="V100" s="234">
        <v>-0.11175308539609857</v>
      </c>
      <c r="W100" s="115">
        <v>-7.6352880999109696E-2</v>
      </c>
      <c r="X100" s="115">
        <v>-2.0961987606754485E-2</v>
      </c>
      <c r="Y100" s="115">
        <v>1.3198594979017257E-2</v>
      </c>
      <c r="Z100" s="115">
        <v>1.500738843092882E-2</v>
      </c>
      <c r="AA100" s="115">
        <v>-3.9091058152286703E-4</v>
      </c>
      <c r="AB100" s="115">
        <v>-5.0710458955006785E-3</v>
      </c>
      <c r="AC100" s="115">
        <v>-5.1398458416268469E-3</v>
      </c>
      <c r="AD100" s="115">
        <v>4.1552500382877951E-2</v>
      </c>
      <c r="AE100" s="115">
        <v>7.1035879472285859E-2</v>
      </c>
      <c r="AF100" s="115">
        <v>0.12030407647837105</v>
      </c>
      <c r="AG100" s="115">
        <v>6.6154508620760166E-2</v>
      </c>
      <c r="AH100" s="115">
        <v>4.3524719388562273E-3</v>
      </c>
      <c r="AI100" s="115">
        <v>-7.9705540530830826E-3</v>
      </c>
      <c r="AJ100" s="115">
        <v>-4.095797909027224E-2</v>
      </c>
      <c r="AK100" s="115">
        <v>-2.6788567315255262E-2</v>
      </c>
      <c r="AL100" s="115">
        <v>-1.4934110827158372E-2</v>
      </c>
      <c r="AM100" s="115">
        <v>-4.6078955224732451E-3</v>
      </c>
      <c r="AN100" s="115">
        <v>-1.8206510856555645E-2</v>
      </c>
      <c r="AO100" s="115">
        <v>-7.5999677463718385E-3</v>
      </c>
      <c r="AP100" s="115">
        <v>4.7473683476621502E-2</v>
      </c>
      <c r="AQ100" s="115">
        <v>7.289810290860109E-2</v>
      </c>
      <c r="AR100" s="115">
        <v>7.9570541052873756E-2</v>
      </c>
      <c r="AS100" s="115">
        <v>9.1764748417418274E-2</v>
      </c>
      <c r="AT100" s="115">
        <v>3.8856087180610836E-2</v>
      </c>
      <c r="AU100" s="115">
        <v>1.2421537026773115E-2</v>
      </c>
      <c r="AV100" s="115">
        <v>2.6956841646369155E-2</v>
      </c>
      <c r="AW100" s="115">
        <v>-2.2130646413859936E-2</v>
      </c>
      <c r="AX100" s="115">
        <v>-5.0710760500137064E-2</v>
      </c>
      <c r="AY100" s="115">
        <v>-3.6411021956021507E-2</v>
      </c>
      <c r="AZ100" s="115">
        <v>5.1245573580088024E-3</v>
      </c>
      <c r="BA100" s="115">
        <v>5.5798876760650859E-2</v>
      </c>
      <c r="BB100" s="115">
        <v>0.10029694036062979</v>
      </c>
      <c r="BC100" s="115">
        <v>9.1553781114550592E-2</v>
      </c>
      <c r="BD100" s="115">
        <v>4.5202744246323964E-2</v>
      </c>
      <c r="BE100" s="115">
        <v>3.7353670623207012E-2</v>
      </c>
      <c r="BF100" s="115">
        <v>3.1875615052165233E-2</v>
      </c>
      <c r="BG100" s="115">
        <v>3.3953433954818563E-2</v>
      </c>
      <c r="BH100" s="115">
        <v>3.3953433954818563E-2</v>
      </c>
      <c r="BI100" s="115">
        <v>3.3953433954818563E-2</v>
      </c>
      <c r="BJ100" s="115">
        <v>3.3953433954818563E-2</v>
      </c>
      <c r="BK100" s="115">
        <v>3.3953433954818563E-2</v>
      </c>
      <c r="BL100" s="115">
        <v>3.3953433954818563E-2</v>
      </c>
      <c r="BM100" s="115">
        <v>3.3953433954818563E-2</v>
      </c>
      <c r="BN100" s="115">
        <v>3.3953433954818563E-2</v>
      </c>
      <c r="BO100" s="115">
        <v>3.3953433954818563E-2</v>
      </c>
      <c r="BP100" s="115">
        <v>3.3953433954818563E-2</v>
      </c>
      <c r="BQ100" s="115">
        <v>3.3953433954818563E-2</v>
      </c>
      <c r="BR100" s="115">
        <v>3.3953433954818563E-2</v>
      </c>
      <c r="BS100" s="115">
        <v>3.3953433954818563E-2</v>
      </c>
      <c r="BT100" s="115">
        <v>3.3953433954818563E-2</v>
      </c>
      <c r="BU100" s="115">
        <v>3.3953433954818563E-2</v>
      </c>
      <c r="BV100" s="115">
        <v>3.3953433954818563E-2</v>
      </c>
      <c r="BW100" s="115">
        <v>3.3953433954818563E-2</v>
      </c>
      <c r="BX100" s="115">
        <v>3.3953433954818563E-2</v>
      </c>
      <c r="BY100" s="115">
        <v>3.3953433954818563E-2</v>
      </c>
      <c r="BZ100" s="115">
        <v>3.3953433954818563E-2</v>
      </c>
      <c r="CA100" s="115">
        <v>3.3953433954818563E-2</v>
      </c>
      <c r="CB100" s="115">
        <v>3.3953433954818563E-2</v>
      </c>
      <c r="CC100" s="115">
        <v>3.3953433954818563E-2</v>
      </c>
      <c r="CD100" s="115">
        <v>3.3953433954818563E-2</v>
      </c>
      <c r="CE100" s="116">
        <v>3.3953433954818563E-2</v>
      </c>
    </row>
    <row r="101" spans="3:83" ht="13" x14ac:dyDescent="0.6">
      <c r="C101" s="107" t="s">
        <v>690</v>
      </c>
      <c r="D101" s="115">
        <v>0.14383703299193545</v>
      </c>
      <c r="E101" s="115">
        <v>0.11607617267548501</v>
      </c>
      <c r="F101" s="115">
        <v>8.8989066874127859E-2</v>
      </c>
      <c r="G101" s="115">
        <v>6.2559363603760423E-2</v>
      </c>
      <c r="H101" s="115">
        <v>4.2173143320516082E-3</v>
      </c>
      <c r="I101" s="115">
        <v>5.436763591977012E-4</v>
      </c>
      <c r="J101" s="115">
        <v>-3.1165226739338888E-3</v>
      </c>
      <c r="K101" s="114">
        <v>-6.7633319298086407E-3</v>
      </c>
      <c r="L101" s="115">
        <v>-1.1560604097973508E-2</v>
      </c>
      <c r="M101" s="115">
        <v>-1.4550609499433188E-2</v>
      </c>
      <c r="N101" s="115">
        <v>-1.7531570206460567E-2</v>
      </c>
      <c r="O101" s="115">
        <v>-2.0503513579038669E-2</v>
      </c>
      <c r="P101" s="115">
        <v>-7.4245742524096025E-3</v>
      </c>
      <c r="Q101" s="115">
        <v>-2.1054884640088898E-2</v>
      </c>
      <c r="R101" s="115">
        <v>-3.4498019971399389E-2</v>
      </c>
      <c r="S101" s="115">
        <v>-4.7756550584120004E-2</v>
      </c>
      <c r="T101" s="115">
        <v>-9.2844427108498148E-2</v>
      </c>
      <c r="U101" s="116">
        <v>-8.3662215582339994E-2</v>
      </c>
      <c r="V101" s="234">
        <v>-7.4387061885036618E-2</v>
      </c>
      <c r="W101" s="115">
        <v>-6.5018025257692402E-2</v>
      </c>
      <c r="X101" s="115">
        <v>-7.1162603498339236E-2</v>
      </c>
      <c r="Y101" s="115">
        <v>-5.1842665872912724E-2</v>
      </c>
      <c r="Z101" s="115">
        <v>-3.2120871053475587E-2</v>
      </c>
      <c r="AA101" s="115">
        <v>-1.1988860358570616E-2</v>
      </c>
      <c r="AB101" s="115">
        <v>4.8904939166243187E-2</v>
      </c>
      <c r="AC101" s="115">
        <v>4.3119769237199762E-2</v>
      </c>
      <c r="AD101" s="115">
        <v>3.7366507052946515E-2</v>
      </c>
      <c r="AE101" s="115">
        <v>3.1644976628301964E-2</v>
      </c>
      <c r="AF101" s="115">
        <v>3.0346412629217095E-2</v>
      </c>
      <c r="AG101" s="115">
        <v>2.1853459633826657E-2</v>
      </c>
      <c r="AH101" s="115">
        <v>1.3430512463367955E-2</v>
      </c>
      <c r="AI101" s="115">
        <v>5.0769940729051806E-3</v>
      </c>
      <c r="AJ101" s="115">
        <v>-2.841723218605512E-2</v>
      </c>
      <c r="AK101" s="115">
        <v>-2.0002635898698679E-2</v>
      </c>
      <c r="AL101" s="115">
        <v>-1.151516323577708E-2</v>
      </c>
      <c r="AM101" s="115">
        <v>-2.9541830361598264E-3</v>
      </c>
      <c r="AN101" s="115">
        <v>-1.3759762524129559E-2</v>
      </c>
      <c r="AO101" s="115">
        <v>8.2012023806793295E-3</v>
      </c>
      <c r="AP101" s="115">
        <v>3.0651179963356878E-2</v>
      </c>
      <c r="AQ101" s="115">
        <v>5.3601059244497623E-2</v>
      </c>
      <c r="AR101" s="115">
        <v>0.1355921643243774</v>
      </c>
      <c r="AS101" s="115">
        <v>0.12093279395080581</v>
      </c>
      <c r="AT101" s="115">
        <v>0.10646266153299055</v>
      </c>
      <c r="AU101" s="115">
        <v>9.2179324196306964E-2</v>
      </c>
      <c r="AV101" s="115">
        <v>8.0628496379768377E-2</v>
      </c>
      <c r="AW101" s="115">
        <v>6.5045889057980283E-2</v>
      </c>
      <c r="AX101" s="115">
        <v>4.9687982132080567E-2</v>
      </c>
      <c r="AY101" s="115">
        <v>3.4551535433920984E-2</v>
      </c>
      <c r="AZ101" s="115">
        <v>-1.019946734681117E-2</v>
      </c>
      <c r="BA101" s="115">
        <v>-5.7904904916514857E-3</v>
      </c>
      <c r="BB101" s="115">
        <v>-1.3618742482836294E-3</v>
      </c>
      <c r="BC101" s="115">
        <v>3.086468865168912E-3</v>
      </c>
      <c r="BD101" s="115">
        <v>1.460032059886515E-2</v>
      </c>
      <c r="BE101" s="115">
        <v>1.4259930753211591E-2</v>
      </c>
      <c r="BF101" s="115">
        <v>1.3919655105478662E-2</v>
      </c>
      <c r="BG101" s="115">
        <v>1.3579493617354417E-2</v>
      </c>
      <c r="BH101" s="115">
        <v>1.3579493617354417E-2</v>
      </c>
      <c r="BI101" s="115">
        <v>1.3579493617354417E-2</v>
      </c>
      <c r="BJ101" s="115">
        <v>1.3579493617354417E-2</v>
      </c>
      <c r="BK101" s="115">
        <v>1.3579493617354417E-2</v>
      </c>
      <c r="BL101" s="115">
        <v>1.3579493617354417E-2</v>
      </c>
      <c r="BM101" s="115">
        <v>1.3579493617354417E-2</v>
      </c>
      <c r="BN101" s="115">
        <v>1.3579493617354417E-2</v>
      </c>
      <c r="BO101" s="115">
        <v>1.3579493617354417E-2</v>
      </c>
      <c r="BP101" s="115">
        <v>1.3579493617354417E-2</v>
      </c>
      <c r="BQ101" s="115">
        <v>1.3579493617354417E-2</v>
      </c>
      <c r="BR101" s="115">
        <v>1.3579493617354417E-2</v>
      </c>
      <c r="BS101" s="115">
        <v>1.3579493617354417E-2</v>
      </c>
      <c r="BT101" s="115">
        <v>1.3579493617354417E-2</v>
      </c>
      <c r="BU101" s="115">
        <v>1.3579493617354417E-2</v>
      </c>
      <c r="BV101" s="115">
        <v>1.3579493617354417E-2</v>
      </c>
      <c r="BW101" s="115">
        <v>1.3579493617354417E-2</v>
      </c>
      <c r="BX101" s="115">
        <v>1.3579493617354417E-2</v>
      </c>
      <c r="BY101" s="115">
        <v>1.3579493617354417E-2</v>
      </c>
      <c r="BZ101" s="115">
        <v>1.3579493617354417E-2</v>
      </c>
      <c r="CA101" s="115">
        <v>1.3579493617354417E-2</v>
      </c>
      <c r="CB101" s="115">
        <v>1.3579493617354417E-2</v>
      </c>
      <c r="CC101" s="115">
        <v>1.3579493617354417E-2</v>
      </c>
      <c r="CD101" s="115">
        <v>1.3579493617354417E-2</v>
      </c>
      <c r="CE101" s="116">
        <v>1.3579493617354417E-2</v>
      </c>
    </row>
    <row r="102" spans="3:83" ht="13" x14ac:dyDescent="0.6">
      <c r="C102" s="107" t="s">
        <v>691</v>
      </c>
      <c r="D102" s="115">
        <v>4.4973295530806492E-2</v>
      </c>
      <c r="E102" s="115">
        <v>4.5593891834593905E-2</v>
      </c>
      <c r="F102" s="115">
        <v>4.3855159999023174E-2</v>
      </c>
      <c r="G102" s="115">
        <v>4.1176880247594652E-2</v>
      </c>
      <c r="H102" s="115">
        <v>3.8957716708482602E-2</v>
      </c>
      <c r="I102" s="115">
        <v>3.2271013905199278E-2</v>
      </c>
      <c r="J102" s="115">
        <v>2.1496175473827431E-2</v>
      </c>
      <c r="K102" s="114">
        <v>6.9312057459941746E-3</v>
      </c>
      <c r="L102" s="115">
        <v>-1.6215274995627253E-2</v>
      </c>
      <c r="M102" s="115">
        <v>-2.9440240206528915E-2</v>
      </c>
      <c r="N102" s="115">
        <v>-3.6354509201694168E-2</v>
      </c>
      <c r="O102" s="115">
        <v>-3.5063103964990967E-2</v>
      </c>
      <c r="P102" s="115">
        <v>-1.8789653031540947E-2</v>
      </c>
      <c r="Q102" s="115">
        <v>-7.014708978171252E-3</v>
      </c>
      <c r="R102" s="115">
        <v>2.3062476688905749E-3</v>
      </c>
      <c r="S102" s="115">
        <v>4.2232353073836243E-3</v>
      </c>
      <c r="T102" s="115">
        <v>-6.6757462289939043E-3</v>
      </c>
      <c r="U102" s="116">
        <v>-2.1337714040582208E-2</v>
      </c>
      <c r="V102" s="234">
        <v>-3.8408298062488092E-2</v>
      </c>
      <c r="W102" s="115">
        <v>-5.2329007831005449E-2</v>
      </c>
      <c r="X102" s="115">
        <v>-6.2320480920926409E-2</v>
      </c>
      <c r="Y102" s="115">
        <v>-6.0045698757434367E-2</v>
      </c>
      <c r="Z102" s="115">
        <v>-5.0048479614951874E-2</v>
      </c>
      <c r="AA102" s="115">
        <v>-3.5567188010292246E-2</v>
      </c>
      <c r="AB102" s="115">
        <v>-1.4521530202633423E-2</v>
      </c>
      <c r="AC102" s="115">
        <v>-1.8537435790861995E-3</v>
      </c>
      <c r="AD102" s="115">
        <v>7.11685665754713E-3</v>
      </c>
      <c r="AE102" s="115">
        <v>1.3021871857831747E-2</v>
      </c>
      <c r="AF102" s="115">
        <v>1.5947649748959087E-2</v>
      </c>
      <c r="AG102" s="115">
        <v>1.9521084032659789E-2</v>
      </c>
      <c r="AH102" s="115">
        <v>2.2207469173916698E-2</v>
      </c>
      <c r="AI102" s="115">
        <v>2.2710342876950583E-2</v>
      </c>
      <c r="AJ102" s="115">
        <v>2.0406687596326842E-2</v>
      </c>
      <c r="AK102" s="115">
        <v>1.2460138408631725E-2</v>
      </c>
      <c r="AL102" s="115">
        <v>4.9679362636168337E-4</v>
      </c>
      <c r="AM102" s="115">
        <v>-1.3130144862736287E-2</v>
      </c>
      <c r="AN102" s="115">
        <v>-3.3293576442637723E-2</v>
      </c>
      <c r="AO102" s="115">
        <v>-3.8859141287774575E-2</v>
      </c>
      <c r="AP102" s="115">
        <v>-3.4803233354694818E-2</v>
      </c>
      <c r="AQ102" s="115">
        <v>-1.9110676665980493E-2</v>
      </c>
      <c r="AR102" s="115">
        <v>1.6946724818670267E-2</v>
      </c>
      <c r="AS102" s="115">
        <v>5.1222684415121324E-2</v>
      </c>
      <c r="AT102" s="115">
        <v>8.5635149569019908E-2</v>
      </c>
      <c r="AU102" s="115">
        <v>0.11155352074389915</v>
      </c>
      <c r="AV102" s="115">
        <v>0.1276081521472249</v>
      </c>
      <c r="AW102" s="115">
        <v>0.11938903382621169</v>
      </c>
      <c r="AX102" s="115">
        <v>9.5747982553564454E-2</v>
      </c>
      <c r="AY102" s="115">
        <v>6.3920361416923976E-2</v>
      </c>
      <c r="AZ102" s="115">
        <v>1.6937633336414536E-2</v>
      </c>
      <c r="BA102" s="115">
        <v>-5.8079362813511989E-3</v>
      </c>
      <c r="BB102" s="115">
        <v>-1.6222825075759156E-2</v>
      </c>
      <c r="BC102" s="115">
        <v>-1.369139148469984E-2</v>
      </c>
      <c r="BD102" s="115">
        <v>9.994976819737671E-3</v>
      </c>
      <c r="BE102" s="115">
        <v>2.6035272626118364E-2</v>
      </c>
      <c r="BF102" s="115">
        <v>3.8835016521235728E-2</v>
      </c>
      <c r="BG102" s="115">
        <v>4.3587878551150233E-2</v>
      </c>
      <c r="BH102" s="115">
        <v>4.3587878551150233E-2</v>
      </c>
      <c r="BI102" s="115">
        <v>4.3587878551150233E-2</v>
      </c>
      <c r="BJ102" s="115">
        <v>4.3587878551150233E-2</v>
      </c>
      <c r="BK102" s="115">
        <v>4.3587878551150233E-2</v>
      </c>
      <c r="BL102" s="115">
        <v>4.3587878551150233E-2</v>
      </c>
      <c r="BM102" s="115">
        <v>4.3587878551150233E-2</v>
      </c>
      <c r="BN102" s="115">
        <v>4.3587878551150233E-2</v>
      </c>
      <c r="BO102" s="115">
        <v>4.3587878551150233E-2</v>
      </c>
      <c r="BP102" s="115">
        <v>4.3587878551150233E-2</v>
      </c>
      <c r="BQ102" s="115">
        <v>4.3587878551150233E-2</v>
      </c>
      <c r="BR102" s="115">
        <v>4.3587878551150233E-2</v>
      </c>
      <c r="BS102" s="115">
        <v>4.3587878551150233E-2</v>
      </c>
      <c r="BT102" s="115">
        <v>4.3587878551150233E-2</v>
      </c>
      <c r="BU102" s="115">
        <v>4.3587878551150233E-2</v>
      </c>
      <c r="BV102" s="115">
        <v>4.3587878551150233E-2</v>
      </c>
      <c r="BW102" s="115">
        <v>4.3587878551150233E-2</v>
      </c>
      <c r="BX102" s="115">
        <v>4.3587878551150233E-2</v>
      </c>
      <c r="BY102" s="115">
        <v>4.3587878551150233E-2</v>
      </c>
      <c r="BZ102" s="115">
        <v>4.3587878551150233E-2</v>
      </c>
      <c r="CA102" s="115">
        <v>4.3587878551150233E-2</v>
      </c>
      <c r="CB102" s="115">
        <v>4.3587878551150233E-2</v>
      </c>
      <c r="CC102" s="115">
        <v>4.3587878551150233E-2</v>
      </c>
      <c r="CD102" s="115">
        <v>4.3587878551150233E-2</v>
      </c>
      <c r="CE102" s="116">
        <v>4.3587878551150233E-2</v>
      </c>
    </row>
    <row r="103" spans="3:83" ht="13" x14ac:dyDescent="0.6">
      <c r="C103" s="107" t="s">
        <v>692</v>
      </c>
      <c r="D103" s="115">
        <v>0.2942285071062043</v>
      </c>
      <c r="E103" s="115">
        <v>0.40909730108331405</v>
      </c>
      <c r="F103" s="115">
        <v>0.3637277803325582</v>
      </c>
      <c r="G103" s="115">
        <v>0.20423127833665294</v>
      </c>
      <c r="H103" s="115">
        <v>0.12619122255444082</v>
      </c>
      <c r="I103" s="115">
        <v>-6.5344177911083767E-2</v>
      </c>
      <c r="J103" s="115">
        <v>-2.6921512991679077E-3</v>
      </c>
      <c r="K103" s="114">
        <v>-9.7624090530221506E-3</v>
      </c>
      <c r="L103" s="115">
        <v>-6.4144303260924573E-2</v>
      </c>
      <c r="M103" s="115">
        <v>-3.5298754622196685E-2</v>
      </c>
      <c r="N103" s="115">
        <v>4.3278485174028845E-2</v>
      </c>
      <c r="O103" s="115">
        <v>2.6381547736468475E-2</v>
      </c>
      <c r="P103" s="115">
        <v>-1.3320095335989197E-2</v>
      </c>
      <c r="Q103" s="115">
        <v>7.1229277555559398E-2</v>
      </c>
      <c r="R103" s="115">
        <v>-6.4973365637664968E-2</v>
      </c>
      <c r="S103" s="115">
        <v>-0.28737056525857413</v>
      </c>
      <c r="T103" s="115">
        <v>-0.50051650283061844</v>
      </c>
      <c r="U103" s="116">
        <v>-0.43148062237221102</v>
      </c>
      <c r="V103" s="234">
        <v>-0.51208261218678885</v>
      </c>
      <c r="W103" s="115">
        <v>-0.4333756223789621</v>
      </c>
      <c r="X103" s="115">
        <v>-0.36086474749937247</v>
      </c>
      <c r="Y103" s="115">
        <v>-0.25162630252835549</v>
      </c>
      <c r="Z103" s="115">
        <v>-7.980808786144554E-2</v>
      </c>
      <c r="AA103" s="115">
        <v>0.17172407795478775</v>
      </c>
      <c r="AB103" s="115">
        <v>0.6051345831813153</v>
      </c>
      <c r="AC103" s="115">
        <v>9.6593449501212111E-2</v>
      </c>
      <c r="AD103" s="115">
        <v>0.11607697918586471</v>
      </c>
      <c r="AE103" s="115">
        <v>0.18560805784649367</v>
      </c>
      <c r="AF103" s="115">
        <v>0.21718298812196621</v>
      </c>
      <c r="AG103" s="115">
        <v>0.44263855740449548</v>
      </c>
      <c r="AH103" s="115">
        <v>0.45606077589394106</v>
      </c>
      <c r="AI103" s="115">
        <v>9.7505927275171961E-2</v>
      </c>
      <c r="AJ103" s="115">
        <v>-6.2414841113441186E-2</v>
      </c>
      <c r="AK103" s="115">
        <v>-9.2961872807534082E-2</v>
      </c>
      <c r="AL103" s="115">
        <v>-0.18502577573329493</v>
      </c>
      <c r="AM103" s="115">
        <v>-6.4194821331360424E-2</v>
      </c>
      <c r="AN103" s="115">
        <v>-0.19120314289295229</v>
      </c>
      <c r="AO103" s="115">
        <v>-0.51601940229044041</v>
      </c>
      <c r="AP103" s="115">
        <v>-0.2917211692978825</v>
      </c>
      <c r="AQ103" s="115">
        <v>-0.26698553461159136</v>
      </c>
      <c r="AR103" s="115">
        <v>0.2149322765278435</v>
      </c>
      <c r="AS103" s="115">
        <v>1.1413966391592392</v>
      </c>
      <c r="AT103" s="115">
        <v>0.69470903285013141</v>
      </c>
      <c r="AU103" s="115">
        <v>0.77127835626687224</v>
      </c>
      <c r="AV103" s="115">
        <v>0.59858404382033914</v>
      </c>
      <c r="AW103" s="115">
        <v>0.62467885518398802</v>
      </c>
      <c r="AX103" s="115">
        <v>0.33144393164681285</v>
      </c>
      <c r="AY103" s="115">
        <v>8.8181997528255354E-2</v>
      </c>
      <c r="AZ103" s="115">
        <v>-0.16561726121839918</v>
      </c>
      <c r="BA103" s="115">
        <v>-0.3010927019083936</v>
      </c>
      <c r="BB103" s="115">
        <v>-0.13180867878191524</v>
      </c>
      <c r="BC103" s="115">
        <v>-2.5499672002869008E-2</v>
      </c>
      <c r="BD103" s="115">
        <v>2.5630948807756494E-2</v>
      </c>
      <c r="BE103" s="115">
        <v>5.1892000041869293E-2</v>
      </c>
      <c r="BF103" s="115">
        <v>-4.2739018241042467E-2</v>
      </c>
      <c r="BG103" s="115">
        <v>-5.6878265346213555E-2</v>
      </c>
      <c r="BH103" s="115">
        <v>-5.6878265346213555E-2</v>
      </c>
      <c r="BI103" s="115">
        <v>-5.6878265346213555E-2</v>
      </c>
      <c r="BJ103" s="115">
        <v>-5.6878265346213555E-2</v>
      </c>
      <c r="BK103" s="115">
        <v>-5.6878265346213555E-2</v>
      </c>
      <c r="BL103" s="115">
        <v>-5.6878265346213555E-2</v>
      </c>
      <c r="BM103" s="115">
        <v>-5.6878265346213555E-2</v>
      </c>
      <c r="BN103" s="115">
        <v>-5.6878265346213555E-2</v>
      </c>
      <c r="BO103" s="115">
        <v>-5.6878265346213555E-2</v>
      </c>
      <c r="BP103" s="115">
        <v>-5.6878265346213555E-2</v>
      </c>
      <c r="BQ103" s="115">
        <v>-5.6878265346213555E-2</v>
      </c>
      <c r="BR103" s="115">
        <v>-5.6878265346213555E-2</v>
      </c>
      <c r="BS103" s="115">
        <v>-5.6878265346213555E-2</v>
      </c>
      <c r="BT103" s="115">
        <v>-5.6878265346213555E-2</v>
      </c>
      <c r="BU103" s="115">
        <v>-5.6878265346213555E-2</v>
      </c>
      <c r="BV103" s="115">
        <v>-5.6878265346213555E-2</v>
      </c>
      <c r="BW103" s="115">
        <v>-5.6878265346213555E-2</v>
      </c>
      <c r="BX103" s="115">
        <v>-5.6878265346213555E-2</v>
      </c>
      <c r="BY103" s="115">
        <v>-5.6878265346213555E-2</v>
      </c>
      <c r="BZ103" s="115">
        <v>-5.6878265346213555E-2</v>
      </c>
      <c r="CA103" s="115">
        <v>-5.6878265346213555E-2</v>
      </c>
      <c r="CB103" s="115">
        <v>-5.6878265346213555E-2</v>
      </c>
      <c r="CC103" s="115">
        <v>-5.6878265346213555E-2</v>
      </c>
      <c r="CD103" s="115">
        <v>-5.6878265346213555E-2</v>
      </c>
      <c r="CE103" s="116">
        <v>-5.6878265346213555E-2</v>
      </c>
    </row>
    <row r="104" spans="3:83" ht="13" x14ac:dyDescent="0.6">
      <c r="C104" s="110" t="s">
        <v>597</v>
      </c>
      <c r="D104" s="115"/>
      <c r="E104" s="115"/>
      <c r="F104" s="115"/>
      <c r="G104" s="115"/>
      <c r="H104" s="115"/>
      <c r="I104" s="115"/>
      <c r="J104" s="115"/>
      <c r="K104" s="114"/>
      <c r="L104" s="115"/>
      <c r="M104" s="115"/>
      <c r="N104" s="115"/>
      <c r="O104" s="115"/>
      <c r="P104" s="115"/>
      <c r="Q104" s="115"/>
      <c r="R104" s="115"/>
      <c r="S104" s="115"/>
      <c r="T104" s="115"/>
      <c r="U104" s="116"/>
      <c r="V104" s="234"/>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5"/>
      <c r="AT104" s="115"/>
      <c r="AU104" s="115"/>
      <c r="AV104" s="115"/>
      <c r="AW104" s="115"/>
      <c r="AX104" s="115"/>
      <c r="AY104" s="115"/>
      <c r="AZ104" s="115"/>
      <c r="BA104" s="115"/>
      <c r="BB104" s="115"/>
      <c r="BC104" s="115"/>
      <c r="BD104" s="115"/>
      <c r="BE104" s="115"/>
      <c r="BF104" s="115"/>
      <c r="BG104" s="115"/>
      <c r="BH104" s="115"/>
      <c r="BI104" s="115"/>
      <c r="BJ104" s="115"/>
      <c r="BK104" s="115"/>
      <c r="BL104" s="115"/>
      <c r="BM104" s="115"/>
      <c r="BN104" s="115"/>
      <c r="BO104" s="115"/>
      <c r="BP104" s="115"/>
      <c r="BQ104" s="115"/>
      <c r="BR104" s="115"/>
      <c r="BS104" s="115"/>
      <c r="BT104" s="115"/>
      <c r="BU104" s="115"/>
      <c r="BV104" s="115"/>
      <c r="BW104" s="115"/>
      <c r="BX104" s="115"/>
      <c r="BY104" s="115"/>
      <c r="BZ104" s="115"/>
      <c r="CA104" s="115"/>
      <c r="CB104" s="115"/>
      <c r="CC104" s="115"/>
      <c r="CD104" s="115"/>
      <c r="CE104" s="116"/>
    </row>
    <row r="105" spans="3:83" ht="13" x14ac:dyDescent="0.6">
      <c r="C105" s="107" t="s">
        <v>693</v>
      </c>
      <c r="D105" s="115">
        <v>0.13907165401033295</v>
      </c>
      <c r="E105" s="115">
        <v>0.11257116170704887</v>
      </c>
      <c r="F105" s="115">
        <v>8.6687203130895549E-2</v>
      </c>
      <c r="G105" s="115">
        <v>6.1405434629976705E-2</v>
      </c>
      <c r="H105" s="115">
        <v>1.1145408776698285E-2</v>
      </c>
      <c r="I105" s="115">
        <v>3.9205278107530559E-3</v>
      </c>
      <c r="J105" s="115">
        <v>-3.2527296156704211E-3</v>
      </c>
      <c r="K105" s="114">
        <v>-1.0374732365373823E-2</v>
      </c>
      <c r="L105" s="115">
        <v>-2.890907795025785E-2</v>
      </c>
      <c r="M105" s="115">
        <v>-2.8341179457063694E-2</v>
      </c>
      <c r="N105" s="115">
        <v>-2.7772948854186071E-2</v>
      </c>
      <c r="O105" s="115">
        <v>-2.7204385947405988E-2</v>
      </c>
      <c r="P105" s="115">
        <v>-6.1556841957038141E-3</v>
      </c>
      <c r="Q105" s="115">
        <v>-1.9086110184688032E-2</v>
      </c>
      <c r="R105" s="115">
        <v>-3.1848304677453559E-2</v>
      </c>
      <c r="S105" s="115">
        <v>-4.4444456452339035E-2</v>
      </c>
      <c r="T105" s="115">
        <v>-9.1678350165227199E-2</v>
      </c>
      <c r="U105" s="116">
        <v>-8.0234676219002571E-2</v>
      </c>
      <c r="V105" s="234">
        <v>-6.8646826832930746E-2</v>
      </c>
      <c r="W105" s="115">
        <v>-5.6912985583584048E-2</v>
      </c>
      <c r="X105" s="115">
        <v>-4.6221117557333935E-2</v>
      </c>
      <c r="Y105" s="115">
        <v>-3.3990355990375275E-2</v>
      </c>
      <c r="Z105" s="115">
        <v>-2.1602753533707796E-2</v>
      </c>
      <c r="AA105" s="115">
        <v>-9.0562989417889237E-3</v>
      </c>
      <c r="AB105" s="115">
        <v>2.3732965242493576E-2</v>
      </c>
      <c r="AC105" s="115">
        <v>2.3142554370140397E-2</v>
      </c>
      <c r="AD105" s="115">
        <v>2.255248400162016E-2</v>
      </c>
      <c r="AE105" s="115">
        <v>2.1962753940555853E-2</v>
      </c>
      <c r="AF105" s="115">
        <v>2.808854275727659E-2</v>
      </c>
      <c r="AG105" s="115">
        <v>2.3065843775947944E-2</v>
      </c>
      <c r="AH105" s="115">
        <v>1.8067683055680593E-2</v>
      </c>
      <c r="AI105" s="115">
        <v>1.3093940715460167E-2</v>
      </c>
      <c r="AJ105" s="115">
        <v>-4.5014080031170094E-3</v>
      </c>
      <c r="AK105" s="115">
        <v>-7.9537719239805669E-4</v>
      </c>
      <c r="AL105" s="115">
        <v>2.9244503875787888E-3</v>
      </c>
      <c r="AM105" s="115">
        <v>6.6581260992680958E-3</v>
      </c>
      <c r="AN105" s="115">
        <v>-1.6877272764649367E-2</v>
      </c>
      <c r="AO105" s="115">
        <v>4.9835370962236485E-3</v>
      </c>
      <c r="AP105" s="115">
        <v>2.7330445990853339E-2</v>
      </c>
      <c r="AQ105" s="115">
        <v>5.0174262863287258E-2</v>
      </c>
      <c r="AR105" s="115">
        <v>0.1198296262049998</v>
      </c>
      <c r="AS105" s="115">
        <v>0.11283617006182264</v>
      </c>
      <c r="AT105" s="115">
        <v>0.10588638880246901</v>
      </c>
      <c r="AU105" s="115">
        <v>9.8980009672604077E-2</v>
      </c>
      <c r="AV105" s="115">
        <v>0.11031000941976878</v>
      </c>
      <c r="AW105" s="115">
        <v>9.1583740485851522E-2</v>
      </c>
      <c r="AX105" s="115">
        <v>7.3173305098610697E-2</v>
      </c>
      <c r="AY105" s="115">
        <v>5.507337647193853E-2</v>
      </c>
      <c r="AZ105" s="115">
        <v>7.8153996187865938E-3</v>
      </c>
      <c r="BA105" s="115">
        <v>9.6285307783272062E-3</v>
      </c>
      <c r="BB105" s="115">
        <v>1.1444923889017531E-2</v>
      </c>
      <c r="BC105" s="115">
        <v>1.3264584819338638E-2</v>
      </c>
      <c r="BD105" s="115">
        <v>1.9544840189759317E-2</v>
      </c>
      <c r="BE105" s="115">
        <v>1.8315520613143444E-2</v>
      </c>
      <c r="BF105" s="115">
        <v>1.7087683292689372E-2</v>
      </c>
      <c r="BG105" s="115">
        <v>1.5861326441161734E-2</v>
      </c>
      <c r="BH105" s="115">
        <v>1.5861326441161734E-2</v>
      </c>
      <c r="BI105" s="115">
        <v>1.5861326441161734E-2</v>
      </c>
      <c r="BJ105" s="115">
        <v>1.5861326441161734E-2</v>
      </c>
      <c r="BK105" s="115">
        <v>1.5861326441161734E-2</v>
      </c>
      <c r="BL105" s="115">
        <v>1.5861326441161734E-2</v>
      </c>
      <c r="BM105" s="115">
        <v>1.5861326441161734E-2</v>
      </c>
      <c r="BN105" s="115">
        <v>1.5861326441161734E-2</v>
      </c>
      <c r="BO105" s="115">
        <v>1.5861326441161734E-2</v>
      </c>
      <c r="BP105" s="115">
        <v>1.5861326441161734E-2</v>
      </c>
      <c r="BQ105" s="115">
        <v>1.5861326441161734E-2</v>
      </c>
      <c r="BR105" s="115">
        <v>1.5861326441161734E-2</v>
      </c>
      <c r="BS105" s="115">
        <v>1.5861326441161734E-2</v>
      </c>
      <c r="BT105" s="115">
        <v>1.5861326441161734E-2</v>
      </c>
      <c r="BU105" s="115">
        <v>1.5861326441161734E-2</v>
      </c>
      <c r="BV105" s="115">
        <v>1.5861326441161734E-2</v>
      </c>
      <c r="BW105" s="115">
        <v>1.5861326441161734E-2</v>
      </c>
      <c r="BX105" s="115">
        <v>1.5861326441161734E-2</v>
      </c>
      <c r="BY105" s="115">
        <v>1.5861326441161734E-2</v>
      </c>
      <c r="BZ105" s="115">
        <v>1.5861326441161734E-2</v>
      </c>
      <c r="CA105" s="115">
        <v>1.5861326441161734E-2</v>
      </c>
      <c r="CB105" s="115">
        <v>1.5861326441161734E-2</v>
      </c>
      <c r="CC105" s="115">
        <v>1.5861326441161734E-2</v>
      </c>
      <c r="CD105" s="115">
        <v>1.5861326441161734E-2</v>
      </c>
      <c r="CE105" s="116">
        <v>1.5861326441161734E-2</v>
      </c>
    </row>
    <row r="106" spans="3:83" ht="13" x14ac:dyDescent="0.6">
      <c r="C106" s="107" t="s">
        <v>694</v>
      </c>
      <c r="D106" s="115">
        <v>0.2958246392796981</v>
      </c>
      <c r="E106" s="115">
        <v>0.2747703680565417</v>
      </c>
      <c r="F106" s="115">
        <v>0.27556107159644677</v>
      </c>
      <c r="G106" s="115">
        <v>7.9114137724228373E-2</v>
      </c>
      <c r="H106" s="115">
        <v>1.4814916670565517E-2</v>
      </c>
      <c r="I106" s="115">
        <v>-5.7170654849453467E-2</v>
      </c>
      <c r="J106" s="115">
        <v>-7.7801321831927422E-2</v>
      </c>
      <c r="K106" s="114">
        <v>-4.7875795159614725E-3</v>
      </c>
      <c r="L106" s="115">
        <v>-4.4555689077086666E-2</v>
      </c>
      <c r="M106" s="115">
        <v>-0.10448208084850162</v>
      </c>
      <c r="N106" s="115">
        <v>-0.16193108066463874</v>
      </c>
      <c r="O106" s="115">
        <v>-0.20048962191991115</v>
      </c>
      <c r="P106" s="115">
        <v>-0.14645220498653999</v>
      </c>
      <c r="Q106" s="115">
        <v>-2.3338659003769371E-2</v>
      </c>
      <c r="R106" s="115">
        <v>4.7939944431839836E-3</v>
      </c>
      <c r="S106" s="115">
        <v>-3.3136501252634891E-2</v>
      </c>
      <c r="T106" s="115">
        <v>-8.0740690596880049E-2</v>
      </c>
      <c r="U106" s="116">
        <v>-0.1259089730761157</v>
      </c>
      <c r="V106" s="234">
        <v>-0.12937116058768061</v>
      </c>
      <c r="W106" s="115">
        <v>-0.10762518643816378</v>
      </c>
      <c r="X106" s="115">
        <v>-8.8131744115054256E-2</v>
      </c>
      <c r="Y106" s="115">
        <v>-1.8376626775674566E-2</v>
      </c>
      <c r="Z106" s="115">
        <v>7.4809827856026884E-2</v>
      </c>
      <c r="AA106" s="115">
        <v>0.10033854174420867</v>
      </c>
      <c r="AB106" s="115">
        <v>0.1259074712969209</v>
      </c>
      <c r="AC106" s="115">
        <v>7.3832365445399895E-2</v>
      </c>
      <c r="AD106" s="115">
        <v>2.1824625904867632E-2</v>
      </c>
      <c r="AE106" s="115">
        <v>1.6434172335463067E-2</v>
      </c>
      <c r="AF106" s="115">
        <v>2.5799261706870635E-2</v>
      </c>
      <c r="AG106" s="115">
        <v>2.4040179329709498E-2</v>
      </c>
      <c r="AH106" s="115">
        <v>-4.4398314944322378E-2</v>
      </c>
      <c r="AI106" s="115">
        <v>-1.877030428137862E-2</v>
      </c>
      <c r="AJ106" s="115">
        <v>-2.0425368537771181E-2</v>
      </c>
      <c r="AK106" s="115">
        <v>-1.7730089729011154E-2</v>
      </c>
      <c r="AL106" s="115">
        <v>9.3318240842850772E-2</v>
      </c>
      <c r="AM106" s="115">
        <v>9.139577636050196E-2</v>
      </c>
      <c r="AN106" s="115">
        <v>8.7144043230392765E-2</v>
      </c>
      <c r="AO106" s="115">
        <v>0.10592490718949044</v>
      </c>
      <c r="AP106" s="115">
        <v>0.15070666467104724</v>
      </c>
      <c r="AQ106" s="115">
        <v>0.16260094116417897</v>
      </c>
      <c r="AR106" s="115">
        <v>0.15911815231510493</v>
      </c>
      <c r="AS106" s="115">
        <v>0.20202789736660276</v>
      </c>
      <c r="AT106" s="115">
        <v>0.14325625461720867</v>
      </c>
      <c r="AU106" s="115">
        <v>0.1636015724167601</v>
      </c>
      <c r="AV106" s="115">
        <v>0.193739108974952</v>
      </c>
      <c r="AW106" s="115">
        <v>0.1170660706035596</v>
      </c>
      <c r="AX106" s="115">
        <v>-3.9262556213283374E-2</v>
      </c>
      <c r="AY106" s="115">
        <v>-7.7460484118783354E-2</v>
      </c>
      <c r="AZ106" s="115">
        <v>-3.1968422890521157E-3</v>
      </c>
      <c r="BA106" s="115">
        <v>1.715221794485379E-3</v>
      </c>
      <c r="BB106" s="115">
        <v>7.9786464869397999E-2</v>
      </c>
      <c r="BC106" s="115">
        <v>8.1650576510557502E-2</v>
      </c>
      <c r="BD106" s="115">
        <v>-4.2597062929453998E-2</v>
      </c>
      <c r="BE106" s="115">
        <v>-3.0156283501839992E-2</v>
      </c>
      <c r="BF106" s="115">
        <v>1.3261613474087325E-2</v>
      </c>
      <c r="BG106" s="115">
        <v>2.8684957609396929E-2</v>
      </c>
      <c r="BH106" s="115">
        <v>2.8684957609396929E-2</v>
      </c>
      <c r="BI106" s="115">
        <v>2.8684957609396929E-2</v>
      </c>
      <c r="BJ106" s="115">
        <v>2.8684957609396929E-2</v>
      </c>
      <c r="BK106" s="115">
        <v>2.8684957609396929E-2</v>
      </c>
      <c r="BL106" s="115">
        <v>2.8684957609396929E-2</v>
      </c>
      <c r="BM106" s="115">
        <v>2.8684957609396929E-2</v>
      </c>
      <c r="BN106" s="115">
        <v>2.8684957609396929E-2</v>
      </c>
      <c r="BO106" s="115">
        <v>2.8684957609396929E-2</v>
      </c>
      <c r="BP106" s="115">
        <v>2.8684957609396929E-2</v>
      </c>
      <c r="BQ106" s="115">
        <v>2.8684957609396929E-2</v>
      </c>
      <c r="BR106" s="115">
        <v>2.8684957609396929E-2</v>
      </c>
      <c r="BS106" s="115">
        <v>2.8684957609396929E-2</v>
      </c>
      <c r="BT106" s="115">
        <v>2.8684957609396929E-2</v>
      </c>
      <c r="BU106" s="115">
        <v>2.8684957609396929E-2</v>
      </c>
      <c r="BV106" s="115">
        <v>2.8684957609396929E-2</v>
      </c>
      <c r="BW106" s="115">
        <v>2.8684957609396929E-2</v>
      </c>
      <c r="BX106" s="115">
        <v>2.8684957609396929E-2</v>
      </c>
      <c r="BY106" s="115">
        <v>2.8684957609396929E-2</v>
      </c>
      <c r="BZ106" s="115">
        <v>2.8684957609396929E-2</v>
      </c>
      <c r="CA106" s="115">
        <v>2.8684957609396929E-2</v>
      </c>
      <c r="CB106" s="115">
        <v>2.8684957609396929E-2</v>
      </c>
      <c r="CC106" s="115">
        <v>2.8684957609396929E-2</v>
      </c>
      <c r="CD106" s="115">
        <v>2.8684957609396929E-2</v>
      </c>
      <c r="CE106" s="116">
        <v>2.8684957609396929E-2</v>
      </c>
    </row>
    <row r="107" spans="3:83" ht="13.75" thickBot="1" x14ac:dyDescent="0.75">
      <c r="C107" s="107" t="s">
        <v>926</v>
      </c>
      <c r="D107" s="115"/>
      <c r="E107" s="115"/>
      <c r="F107" s="115"/>
      <c r="G107" s="115"/>
      <c r="H107" s="115"/>
      <c r="I107" s="115"/>
      <c r="J107" s="115"/>
      <c r="K107" s="114"/>
      <c r="L107" s="114"/>
      <c r="M107" s="114"/>
      <c r="N107" s="114"/>
      <c r="O107" s="114"/>
      <c r="P107" s="114"/>
      <c r="Q107" s="114"/>
      <c r="R107" s="114"/>
      <c r="S107" s="114"/>
      <c r="T107" s="114"/>
      <c r="U107" s="120"/>
      <c r="V107" s="235"/>
      <c r="W107" s="117"/>
      <c r="X107" s="117"/>
      <c r="Y107" s="117"/>
      <c r="Z107" s="117"/>
      <c r="AA107" s="117"/>
      <c r="AB107" s="117"/>
      <c r="AC107" s="117"/>
      <c r="AD107" s="117"/>
      <c r="AE107" s="117"/>
      <c r="AF107" s="117"/>
      <c r="AG107" s="117"/>
      <c r="AH107" s="117"/>
      <c r="AI107" s="117"/>
      <c r="AJ107" s="117"/>
      <c r="AK107" s="117"/>
      <c r="AL107" s="117"/>
      <c r="AM107" s="117"/>
      <c r="AN107" s="117"/>
      <c r="AO107" s="117"/>
      <c r="AP107" s="117"/>
      <c r="AQ107" s="117"/>
      <c r="AR107" s="117"/>
      <c r="AS107" s="117"/>
      <c r="AT107" s="117"/>
      <c r="AU107" s="117"/>
      <c r="AV107" s="117"/>
      <c r="AW107" s="117"/>
      <c r="AX107" s="117"/>
      <c r="AY107" s="117"/>
      <c r="AZ107" s="117"/>
      <c r="BA107" s="117"/>
      <c r="BB107" s="117"/>
      <c r="BC107" s="117"/>
      <c r="BD107" s="117"/>
      <c r="BE107" s="117"/>
      <c r="BF107" s="117"/>
      <c r="BG107" s="117"/>
      <c r="BH107" s="117"/>
      <c r="BI107" s="117"/>
      <c r="BJ107" s="117"/>
      <c r="BK107" s="117"/>
      <c r="BL107" s="117"/>
      <c r="BM107" s="117"/>
      <c r="BN107" s="117"/>
      <c r="BO107" s="117"/>
      <c r="BP107" s="117"/>
      <c r="BQ107" s="117"/>
      <c r="BR107" s="117"/>
      <c r="BS107" s="117"/>
      <c r="BT107" s="117"/>
      <c r="BU107" s="117"/>
      <c r="BV107" s="117"/>
      <c r="BW107" s="117"/>
      <c r="BX107" s="117"/>
      <c r="BY107" s="117"/>
      <c r="BZ107" s="117"/>
      <c r="CA107" s="117"/>
      <c r="CB107" s="117"/>
      <c r="CC107" s="117"/>
      <c r="CD107" s="117"/>
      <c r="CE107" s="118"/>
    </row>
    <row r="108" spans="3:83" ht="13" x14ac:dyDescent="0.6"/>
    <row r="109" spans="3:83" ht="13" x14ac:dyDescent="0.6"/>
    <row r="110" spans="3:83" ht="13" x14ac:dyDescent="0.6"/>
    <row r="111" spans="3:83" ht="13" x14ac:dyDescent="0.6"/>
    <row r="112" spans="3:83" ht="13" x14ac:dyDescent="0.6"/>
    <row r="113" ht="13" x14ac:dyDescent="0.6"/>
  </sheetData>
  <mergeCells count="19">
    <mergeCell ref="BH9:DK9"/>
    <mergeCell ref="A2:D2"/>
    <mergeCell ref="C3:W3"/>
    <mergeCell ref="C4:D4"/>
    <mergeCell ref="C5:D5"/>
    <mergeCell ref="D9:BG9"/>
    <mergeCell ref="D22:BG22"/>
    <mergeCell ref="BH22:DK22"/>
    <mergeCell ref="D29:BG29"/>
    <mergeCell ref="BH29:DK29"/>
    <mergeCell ref="D46:BG46"/>
    <mergeCell ref="BH46:DK46"/>
    <mergeCell ref="C72:W72"/>
    <mergeCell ref="D51:BG51"/>
    <mergeCell ref="BH51:DK51"/>
    <mergeCell ref="D55:BG55"/>
    <mergeCell ref="BH55:DK55"/>
    <mergeCell ref="C70:AA70"/>
    <mergeCell ref="C71:W71"/>
  </mergeCells>
  <phoneticPr fontId="2" type="noConversion"/>
  <hyperlinks>
    <hyperlink ref="A11" r:id="rId1" display="\\RES\GEE\GEE Live" xr:uid="{444A7015-8AC2-4F05-98C9-49CEC5B47AC7}"/>
  </hyperlinks>
  <pageMargins left="0.14000000000000001" right="0.14000000000000001" top="0.14000000000000001" bottom="0.14000000000000001" header="0.39" footer="0.39"/>
  <pageSetup scale="55" fitToHeight="0" orientation="landscape" horizontalDpi="4294967293"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F4222-0269-469F-A849-443D75DD9842}">
  <sheetPr codeName="Sheet15">
    <pageSetUpPr fitToPage="1"/>
  </sheetPr>
  <dimension ref="A1:AA204"/>
  <sheetViews>
    <sheetView workbookViewId="0"/>
  </sheetViews>
  <sheetFormatPr defaultColWidth="10.1328125" defaultRowHeight="14.45" customHeight="1" x14ac:dyDescent="0.6"/>
  <cols>
    <col min="1" max="1" width="6.86328125" customWidth="1"/>
    <col min="2" max="2" width="6.1328125" customWidth="1"/>
    <col min="3" max="3" width="33.26953125" customWidth="1"/>
    <col min="4" max="4" width="7.54296875" customWidth="1"/>
    <col min="5" max="5" width="2" customWidth="1"/>
    <col min="6" max="6" width="6.86328125" customWidth="1"/>
    <col min="7" max="7" width="6.1328125" customWidth="1"/>
    <col min="8" max="8" width="33.26953125" customWidth="1"/>
    <col min="9" max="9" width="7.54296875" customWidth="1"/>
    <col min="10" max="10" width="5.40625" customWidth="1"/>
    <col min="11" max="11" width="6.86328125" customWidth="1"/>
    <col min="12" max="12" width="6.1328125" customWidth="1"/>
    <col min="13" max="13" width="17.26953125" customWidth="1"/>
    <col min="14" max="14" width="7.54296875" customWidth="1"/>
    <col min="15" max="15" width="2" customWidth="1"/>
    <col min="16" max="16" width="6.86328125" customWidth="1"/>
    <col min="17" max="17" width="6.1328125" customWidth="1"/>
    <col min="18" max="18" width="25.26953125" customWidth="1"/>
    <col min="19" max="19" width="7.54296875" customWidth="1"/>
    <col min="20" max="21" width="5.40625" customWidth="1"/>
    <col min="22" max="22" width="25" customWidth="1"/>
    <col min="23" max="23" width="7.54296875" customWidth="1"/>
    <col min="24" max="24" width="2" customWidth="1"/>
    <col min="25" max="25" width="5.40625" customWidth="1"/>
    <col min="26" max="26" width="25" customWidth="1"/>
    <col min="27" max="27" width="7.54296875" customWidth="1"/>
  </cols>
  <sheetData>
    <row r="1" spans="1:27" ht="6.75" customHeight="1" x14ac:dyDescent="0.6">
      <c r="A1" s="204"/>
      <c r="B1" s="204"/>
      <c r="C1" s="204"/>
      <c r="D1" s="204"/>
      <c r="E1" s="204"/>
      <c r="F1" s="205"/>
      <c r="G1" s="204"/>
      <c r="H1" s="204"/>
      <c r="I1" s="204"/>
      <c r="J1" s="204"/>
      <c r="K1" s="204"/>
      <c r="L1" s="204"/>
      <c r="M1" s="204"/>
      <c r="N1" s="204"/>
      <c r="O1" s="204"/>
      <c r="P1" s="204"/>
      <c r="Q1" s="204"/>
      <c r="R1" s="204"/>
      <c r="S1" s="204"/>
      <c r="T1" s="204"/>
      <c r="U1" s="204"/>
      <c r="V1" s="204"/>
      <c r="W1" s="204"/>
      <c r="X1" s="204"/>
      <c r="Y1" s="204"/>
      <c r="Z1" s="204"/>
      <c r="AA1" s="204"/>
    </row>
    <row r="2" spans="1:27" ht="15.75" customHeight="1" x14ac:dyDescent="0.6">
      <c r="A2" s="206" t="s">
        <v>211</v>
      </c>
      <c r="B2" s="206"/>
      <c r="C2" s="206"/>
      <c r="D2" s="206"/>
      <c r="E2" s="206"/>
      <c r="F2" s="207"/>
      <c r="G2" s="206"/>
      <c r="H2" s="206"/>
      <c r="I2" s="204"/>
      <c r="J2" s="204"/>
      <c r="K2" s="204"/>
      <c r="L2" s="204"/>
      <c r="M2" s="204"/>
      <c r="N2" s="204"/>
      <c r="O2" s="204"/>
      <c r="P2" s="204"/>
      <c r="Q2" s="204"/>
      <c r="R2" s="204"/>
      <c r="S2" s="204"/>
      <c r="T2" s="204"/>
      <c r="U2" s="204"/>
      <c r="V2" s="204"/>
      <c r="W2" s="204"/>
      <c r="X2" s="204"/>
      <c r="Y2" s="204"/>
      <c r="Z2" s="204"/>
      <c r="AA2" s="204"/>
    </row>
    <row r="3" spans="1:27" ht="15.75" customHeight="1" x14ac:dyDescent="0.6">
      <c r="A3" s="298" t="s">
        <v>460</v>
      </c>
      <c r="B3" s="298"/>
      <c r="C3" s="298"/>
      <c r="D3" s="298"/>
      <c r="E3" s="298"/>
      <c r="F3" s="298"/>
      <c r="G3" s="298"/>
      <c r="H3" s="298"/>
      <c r="I3" s="298"/>
      <c r="J3" s="298"/>
      <c r="K3" s="298"/>
      <c r="L3" s="298"/>
      <c r="M3" s="298"/>
      <c r="N3" s="298"/>
      <c r="O3" s="298"/>
      <c r="P3" s="298"/>
      <c r="Q3" s="208"/>
      <c r="R3" s="204"/>
      <c r="S3" s="204"/>
      <c r="T3" s="204"/>
      <c r="U3" s="204"/>
      <c r="V3" s="204"/>
      <c r="W3" s="204"/>
      <c r="X3" s="204"/>
      <c r="Y3" s="204"/>
      <c r="Z3" s="204"/>
      <c r="AA3" s="204"/>
    </row>
    <row r="4" spans="1:27" ht="15.75" customHeight="1" x14ac:dyDescent="0.6">
      <c r="A4" s="204"/>
      <c r="B4" s="204"/>
      <c r="C4" s="204"/>
      <c r="D4" s="204"/>
      <c r="E4" s="204"/>
      <c r="F4" s="205"/>
      <c r="G4" s="204"/>
      <c r="H4" s="204"/>
      <c r="I4" s="204"/>
      <c r="J4" s="204"/>
      <c r="K4" s="204"/>
      <c r="L4" s="204"/>
      <c r="M4" s="204"/>
      <c r="N4" s="204"/>
      <c r="O4" s="204"/>
      <c r="P4" s="204"/>
      <c r="Q4" s="204"/>
      <c r="R4" s="204"/>
      <c r="S4" s="204"/>
      <c r="T4" s="204"/>
      <c r="U4" s="204"/>
      <c r="V4" s="204"/>
      <c r="W4" s="204"/>
      <c r="X4" s="204"/>
      <c r="Y4" s="204"/>
      <c r="Z4" s="204"/>
      <c r="AA4" s="204"/>
    </row>
    <row r="5" spans="1:27" ht="15.75" customHeight="1" x14ac:dyDescent="0.6">
      <c r="A5" s="296">
        <v>45173.205915150458</v>
      </c>
      <c r="B5" s="296"/>
      <c r="C5" s="296"/>
      <c r="D5" s="296"/>
      <c r="E5" s="296"/>
      <c r="F5" s="296"/>
      <c r="G5" s="296"/>
      <c r="H5" s="296"/>
      <c r="I5" s="296"/>
      <c r="J5" s="296"/>
      <c r="K5" s="296"/>
      <c r="L5" s="296"/>
      <c r="M5" s="296"/>
      <c r="N5" s="296"/>
      <c r="O5" s="296"/>
      <c r="P5" s="296"/>
      <c r="Q5" s="209"/>
      <c r="R5" s="204"/>
      <c r="S5" s="204"/>
      <c r="T5" s="204"/>
      <c r="U5" s="204"/>
      <c r="V5" s="204"/>
      <c r="W5" s="204"/>
      <c r="X5" s="204"/>
      <c r="Y5" s="204"/>
      <c r="Z5" s="204"/>
      <c r="AA5" s="204"/>
    </row>
    <row r="6" spans="1:27" ht="15.75" customHeight="1" x14ac:dyDescent="0.6">
      <c r="A6" s="299" t="s">
        <v>712</v>
      </c>
      <c r="B6" s="299"/>
      <c r="C6" s="299"/>
      <c r="D6" s="299"/>
      <c r="E6" s="299"/>
      <c r="F6" s="299"/>
      <c r="G6" s="299"/>
      <c r="H6" s="210"/>
      <c r="I6" s="210"/>
      <c r="J6" s="211"/>
      <c r="K6" s="299" t="s">
        <v>713</v>
      </c>
      <c r="L6" s="299"/>
      <c r="M6" s="299"/>
      <c r="N6" s="299"/>
      <c r="O6" s="299"/>
      <c r="P6" s="299"/>
      <c r="Q6" s="299"/>
      <c r="R6" s="299"/>
      <c r="S6" s="299"/>
      <c r="T6" s="211"/>
      <c r="U6" s="299" t="s">
        <v>714</v>
      </c>
      <c r="V6" s="299"/>
      <c r="W6" s="299"/>
      <c r="X6" s="299"/>
      <c r="Y6" s="299"/>
      <c r="Z6" s="299"/>
      <c r="AA6" s="299"/>
    </row>
    <row r="7" spans="1:27" ht="15.75" customHeight="1" x14ac:dyDescent="0.6">
      <c r="A7" s="212"/>
      <c r="B7" s="212"/>
      <c r="C7" s="212"/>
      <c r="D7" s="212"/>
      <c r="E7" s="212"/>
      <c r="F7" s="205"/>
      <c r="G7" s="212"/>
      <c r="H7" s="212"/>
      <c r="I7" s="204"/>
      <c r="J7" s="204"/>
      <c r="K7" s="213"/>
      <c r="L7" s="213"/>
      <c r="M7" s="213"/>
      <c r="N7" s="213"/>
      <c r="O7" s="213"/>
      <c r="P7" s="213"/>
      <c r="Q7" s="213"/>
      <c r="R7" s="204"/>
      <c r="S7" s="204"/>
      <c r="T7" s="204"/>
      <c r="U7" s="204"/>
      <c r="V7" s="204"/>
      <c r="W7" s="204"/>
      <c r="X7" s="204"/>
      <c r="Y7" s="204"/>
      <c r="Z7" s="204"/>
      <c r="AA7" s="204"/>
    </row>
    <row r="8" spans="1:27" ht="15.75" customHeight="1" x14ac:dyDescent="0.6">
      <c r="A8" s="300" t="s">
        <v>463</v>
      </c>
      <c r="B8" s="300"/>
      <c r="C8" s="300"/>
      <c r="D8" s="216" t="s">
        <v>464</v>
      </c>
      <c r="E8" s="214"/>
      <c r="F8" s="300" t="s">
        <v>465</v>
      </c>
      <c r="G8" s="300"/>
      <c r="H8" s="300"/>
      <c r="I8" s="215" t="s">
        <v>464</v>
      </c>
      <c r="J8" s="204"/>
      <c r="K8" s="301" t="s">
        <v>463</v>
      </c>
      <c r="L8" s="301"/>
      <c r="M8" s="301"/>
      <c r="N8" s="215" t="s">
        <v>464</v>
      </c>
      <c r="O8" s="214"/>
      <c r="P8" s="301" t="s">
        <v>465</v>
      </c>
      <c r="Q8" s="301"/>
      <c r="R8" s="301"/>
      <c r="S8" s="215" t="s">
        <v>464</v>
      </c>
      <c r="T8" s="204"/>
      <c r="U8" s="297" t="s">
        <v>521</v>
      </c>
      <c r="V8" s="297"/>
      <c r="W8" s="215" t="s">
        <v>464</v>
      </c>
      <c r="X8" s="217"/>
      <c r="Y8" s="297" t="s">
        <v>522</v>
      </c>
      <c r="Z8" s="297"/>
      <c r="AA8" s="215" t="s">
        <v>464</v>
      </c>
    </row>
    <row r="9" spans="1:27" ht="16.5" customHeight="1" x14ac:dyDescent="0.6">
      <c r="A9" s="166" t="s">
        <v>466</v>
      </c>
      <c r="B9" s="194" t="s">
        <v>471</v>
      </c>
      <c r="C9" s="195" t="s">
        <v>726</v>
      </c>
      <c r="D9" s="196">
        <v>34.287725646164667</v>
      </c>
      <c r="E9" s="85"/>
      <c r="F9" s="166" t="s">
        <v>466</v>
      </c>
      <c r="G9" s="194" t="s">
        <v>467</v>
      </c>
      <c r="H9" s="195" t="s">
        <v>720</v>
      </c>
      <c r="I9" s="196">
        <v>18.968744910676673</v>
      </c>
      <c r="J9" s="87"/>
      <c r="K9" s="166" t="s">
        <v>466</v>
      </c>
      <c r="L9" s="194" t="s">
        <v>477</v>
      </c>
      <c r="M9" s="195" t="s">
        <v>750</v>
      </c>
      <c r="N9" s="196">
        <v>18.548527809981685</v>
      </c>
      <c r="O9" s="85"/>
      <c r="P9" s="166" t="s">
        <v>466</v>
      </c>
      <c r="Q9" s="194" t="s">
        <v>723</v>
      </c>
      <c r="R9" s="195" t="s">
        <v>724</v>
      </c>
      <c r="S9" s="196">
        <v>16.126268199278385</v>
      </c>
      <c r="T9" s="87"/>
      <c r="U9" s="166" t="s">
        <v>466</v>
      </c>
      <c r="V9" s="87" t="s">
        <v>716</v>
      </c>
      <c r="W9" s="196">
        <v>49.412957077656031</v>
      </c>
      <c r="X9" s="89"/>
      <c r="Y9" s="166" t="s">
        <v>466</v>
      </c>
      <c r="Z9" s="87" t="s">
        <v>716</v>
      </c>
      <c r="AA9" s="196">
        <v>31.961171118048561</v>
      </c>
    </row>
    <row r="10" spans="1:27" ht="16.5" customHeight="1" x14ac:dyDescent="0.6">
      <c r="A10" s="166" t="s">
        <v>470</v>
      </c>
      <c r="B10" s="197" t="s">
        <v>718</v>
      </c>
      <c r="C10" s="198" t="s">
        <v>719</v>
      </c>
      <c r="D10" s="199">
        <v>32.592998560532436</v>
      </c>
      <c r="E10" s="85"/>
      <c r="F10" s="166" t="s">
        <v>470</v>
      </c>
      <c r="G10" s="197" t="s">
        <v>745</v>
      </c>
      <c r="H10" s="198" t="s">
        <v>746</v>
      </c>
      <c r="I10" s="199">
        <v>11.245171436708977</v>
      </c>
      <c r="J10" s="87"/>
      <c r="K10" s="166" t="s">
        <v>470</v>
      </c>
      <c r="L10" s="197" t="s">
        <v>721</v>
      </c>
      <c r="M10" s="198" t="s">
        <v>722</v>
      </c>
      <c r="N10" s="199">
        <v>16.61380776053867</v>
      </c>
      <c r="O10" s="85"/>
      <c r="P10" s="166" t="s">
        <v>470</v>
      </c>
      <c r="Q10" s="197" t="s">
        <v>721</v>
      </c>
      <c r="R10" s="198" t="s">
        <v>722</v>
      </c>
      <c r="S10" s="199">
        <v>13.608380029391908</v>
      </c>
      <c r="T10" s="87"/>
      <c r="U10" s="166" t="s">
        <v>470</v>
      </c>
      <c r="V10" s="87" t="s">
        <v>525</v>
      </c>
      <c r="W10" s="199">
        <v>10.972848611975026</v>
      </c>
      <c r="X10" s="89"/>
      <c r="Y10" s="166" t="s">
        <v>470</v>
      </c>
      <c r="Z10" s="87" t="s">
        <v>892</v>
      </c>
      <c r="AA10" s="199">
        <v>14.041552318546303</v>
      </c>
    </row>
    <row r="11" spans="1:27" ht="16.5" customHeight="1" x14ac:dyDescent="0.6">
      <c r="A11" s="166" t="s">
        <v>473</v>
      </c>
      <c r="B11" s="197" t="s">
        <v>727</v>
      </c>
      <c r="C11" s="198" t="s">
        <v>728</v>
      </c>
      <c r="D11" s="196">
        <v>3.9265196190091181</v>
      </c>
      <c r="E11" s="85"/>
      <c r="F11" s="166" t="s">
        <v>473</v>
      </c>
      <c r="G11" s="197" t="s">
        <v>472</v>
      </c>
      <c r="H11" s="198" t="s">
        <v>733</v>
      </c>
      <c r="I11" s="196">
        <v>11.049192507859487</v>
      </c>
      <c r="J11" s="87"/>
      <c r="K11" s="166" t="s">
        <v>473</v>
      </c>
      <c r="L11" s="197" t="s">
        <v>729</v>
      </c>
      <c r="M11" s="198" t="s">
        <v>730</v>
      </c>
      <c r="N11" s="196">
        <v>13.310156054777522</v>
      </c>
      <c r="O11" s="85"/>
      <c r="P11" s="166" t="s">
        <v>473</v>
      </c>
      <c r="Q11" s="197" t="s">
        <v>469</v>
      </c>
      <c r="R11" s="198" t="s">
        <v>736</v>
      </c>
      <c r="S11" s="196">
        <v>10.898041719337536</v>
      </c>
      <c r="T11" s="87"/>
      <c r="U11" s="166" t="s">
        <v>473</v>
      </c>
      <c r="V11" s="87" t="s">
        <v>892</v>
      </c>
      <c r="W11" s="196">
        <v>9.854556257693929</v>
      </c>
      <c r="X11" s="89"/>
      <c r="Y11" s="166" t="s">
        <v>473</v>
      </c>
      <c r="Z11" s="87" t="s">
        <v>725</v>
      </c>
      <c r="AA11" s="196">
        <v>12.950979389921413</v>
      </c>
    </row>
    <row r="12" spans="1:27" ht="16.5" customHeight="1" x14ac:dyDescent="0.6">
      <c r="A12" s="166" t="s">
        <v>475</v>
      </c>
      <c r="B12" s="197" t="s">
        <v>799</v>
      </c>
      <c r="C12" s="198" t="s">
        <v>800</v>
      </c>
      <c r="D12" s="199">
        <v>2.500055447106448</v>
      </c>
      <c r="E12" s="85"/>
      <c r="F12" s="166" t="s">
        <v>475</v>
      </c>
      <c r="G12" s="197" t="s">
        <v>734</v>
      </c>
      <c r="H12" s="198" t="s">
        <v>735</v>
      </c>
      <c r="I12" s="199">
        <v>7.9580069946098844</v>
      </c>
      <c r="J12" s="87"/>
      <c r="K12" s="166" t="s">
        <v>475</v>
      </c>
      <c r="L12" s="197" t="s">
        <v>469</v>
      </c>
      <c r="M12" s="198" t="s">
        <v>736</v>
      </c>
      <c r="N12" s="199">
        <v>11.248705209082424</v>
      </c>
      <c r="O12" s="85"/>
      <c r="P12" s="166" t="s">
        <v>475</v>
      </c>
      <c r="Q12" s="197" t="s">
        <v>737</v>
      </c>
      <c r="R12" s="198" t="s">
        <v>738</v>
      </c>
      <c r="S12" s="199">
        <v>9.5775327428432213</v>
      </c>
      <c r="T12" s="87"/>
      <c r="U12" s="166" t="s">
        <v>475</v>
      </c>
      <c r="V12" s="87" t="s">
        <v>532</v>
      </c>
      <c r="W12" s="199">
        <v>8.4723289646452766</v>
      </c>
      <c r="X12" s="89"/>
      <c r="Y12" s="166" t="s">
        <v>475</v>
      </c>
      <c r="Z12" s="87" t="s">
        <v>740</v>
      </c>
      <c r="AA12" s="199">
        <v>7.0764883816933342</v>
      </c>
    </row>
    <row r="13" spans="1:27" ht="16.5" customHeight="1" x14ac:dyDescent="0.6">
      <c r="A13" s="166" t="s">
        <v>476</v>
      </c>
      <c r="B13" s="197" t="s">
        <v>745</v>
      </c>
      <c r="C13" s="198" t="s">
        <v>746</v>
      </c>
      <c r="D13" s="196">
        <v>2.4324956468840271</v>
      </c>
      <c r="E13" s="85"/>
      <c r="F13" s="166" t="s">
        <v>476</v>
      </c>
      <c r="G13" s="197" t="s">
        <v>718</v>
      </c>
      <c r="H13" s="198" t="s">
        <v>719</v>
      </c>
      <c r="I13" s="196">
        <v>7.4359586278569871</v>
      </c>
      <c r="J13" s="87"/>
      <c r="K13" s="166" t="s">
        <v>476</v>
      </c>
      <c r="L13" s="197" t="s">
        <v>741</v>
      </c>
      <c r="M13" s="198" t="s">
        <v>742</v>
      </c>
      <c r="N13" s="196">
        <v>9.5643698889614228</v>
      </c>
      <c r="O13" s="85"/>
      <c r="P13" s="166" t="s">
        <v>476</v>
      </c>
      <c r="Q13" s="197" t="s">
        <v>482</v>
      </c>
      <c r="R13" s="198" t="s">
        <v>731</v>
      </c>
      <c r="S13" s="196">
        <v>5.8004041870523357</v>
      </c>
      <c r="T13" s="87"/>
      <c r="U13" s="166" t="s">
        <v>476</v>
      </c>
      <c r="V13" s="87" t="s">
        <v>534</v>
      </c>
      <c r="W13" s="196">
        <v>4.6835198061530372</v>
      </c>
      <c r="X13" s="89"/>
      <c r="Y13" s="166" t="s">
        <v>476</v>
      </c>
      <c r="Z13" s="87" t="s">
        <v>732</v>
      </c>
      <c r="AA13" s="196">
        <v>6.3347405047363639</v>
      </c>
    </row>
    <row r="14" spans="1:27" ht="16.5" customHeight="1" x14ac:dyDescent="0.6">
      <c r="A14" s="166" t="s">
        <v>478</v>
      </c>
      <c r="B14" s="197" t="s">
        <v>477</v>
      </c>
      <c r="C14" s="198" t="s">
        <v>750</v>
      </c>
      <c r="D14" s="199">
        <v>2.3525322745612658</v>
      </c>
      <c r="E14" s="85"/>
      <c r="F14" s="166" t="s">
        <v>478</v>
      </c>
      <c r="G14" s="197" t="s">
        <v>757</v>
      </c>
      <c r="H14" s="198" t="s">
        <v>758</v>
      </c>
      <c r="I14" s="199">
        <v>3.6464647065705802</v>
      </c>
      <c r="J14" s="87"/>
      <c r="K14" s="166" t="s">
        <v>478</v>
      </c>
      <c r="L14" s="197" t="s">
        <v>737</v>
      </c>
      <c r="M14" s="198" t="s">
        <v>738</v>
      </c>
      <c r="N14" s="199">
        <v>9.1270936624398633</v>
      </c>
      <c r="O14" s="85"/>
      <c r="P14" s="166" t="s">
        <v>478</v>
      </c>
      <c r="Q14" s="197" t="s">
        <v>479</v>
      </c>
      <c r="R14" s="198" t="s">
        <v>751</v>
      </c>
      <c r="S14" s="199">
        <v>4.8894167315303845</v>
      </c>
      <c r="T14" s="87"/>
      <c r="U14" s="166" t="s">
        <v>478</v>
      </c>
      <c r="V14" s="87" t="s">
        <v>893</v>
      </c>
      <c r="W14" s="199">
        <v>4.4514889441990197</v>
      </c>
      <c r="X14" s="89"/>
      <c r="Y14" s="166" t="s">
        <v>478</v>
      </c>
      <c r="Z14" s="87" t="s">
        <v>529</v>
      </c>
      <c r="AA14" s="199">
        <v>6.0157741330642329</v>
      </c>
    </row>
    <row r="15" spans="1:27" ht="16.5" customHeight="1" x14ac:dyDescent="0.6">
      <c r="A15" s="166" t="s">
        <v>480</v>
      </c>
      <c r="B15" s="197" t="s">
        <v>721</v>
      </c>
      <c r="C15" s="198" t="s">
        <v>722</v>
      </c>
      <c r="D15" s="196">
        <v>2.107149384599178</v>
      </c>
      <c r="E15" s="85"/>
      <c r="F15" s="166" t="s">
        <v>480</v>
      </c>
      <c r="G15" s="197" t="s">
        <v>723</v>
      </c>
      <c r="H15" s="198" t="s">
        <v>724</v>
      </c>
      <c r="I15" s="196">
        <v>2.8918076820011205</v>
      </c>
      <c r="J15" s="87"/>
      <c r="K15" s="166" t="s">
        <v>480</v>
      </c>
      <c r="L15" s="197" t="s">
        <v>761</v>
      </c>
      <c r="M15" s="198" t="s">
        <v>762</v>
      </c>
      <c r="N15" s="196">
        <v>5.0363902491759216</v>
      </c>
      <c r="O15" s="85"/>
      <c r="P15" s="166" t="s">
        <v>480</v>
      </c>
      <c r="Q15" s="197" t="s">
        <v>741</v>
      </c>
      <c r="R15" s="198" t="s">
        <v>742</v>
      </c>
      <c r="S15" s="196">
        <v>4.2266092789569942</v>
      </c>
      <c r="T15" s="87"/>
      <c r="U15" s="166" t="s">
        <v>480</v>
      </c>
      <c r="V15" s="87" t="s">
        <v>752</v>
      </c>
      <c r="W15" s="196">
        <v>3.3606466767828902</v>
      </c>
      <c r="X15" s="89"/>
      <c r="Y15" s="166" t="s">
        <v>480</v>
      </c>
      <c r="Z15" s="87" t="s">
        <v>528</v>
      </c>
      <c r="AA15" s="196">
        <v>4.9035755904777583</v>
      </c>
    </row>
    <row r="16" spans="1:27" ht="16.5" customHeight="1" x14ac:dyDescent="0.6">
      <c r="A16" s="166" t="s">
        <v>481</v>
      </c>
      <c r="B16" s="197" t="s">
        <v>472</v>
      </c>
      <c r="C16" s="198" t="s">
        <v>733</v>
      </c>
      <c r="D16" s="199">
        <v>1.7917830518701576</v>
      </c>
      <c r="E16" s="85"/>
      <c r="F16" s="166" t="s">
        <v>481</v>
      </c>
      <c r="G16" s="197" t="s">
        <v>779</v>
      </c>
      <c r="H16" s="198" t="s">
        <v>780</v>
      </c>
      <c r="I16" s="199">
        <v>2.689946952823989</v>
      </c>
      <c r="J16" s="87"/>
      <c r="K16" s="166" t="s">
        <v>481</v>
      </c>
      <c r="L16" s="197" t="s">
        <v>723</v>
      </c>
      <c r="M16" s="198" t="s">
        <v>724</v>
      </c>
      <c r="N16" s="199">
        <v>3.8182523333708192</v>
      </c>
      <c r="O16" s="85"/>
      <c r="P16" s="166" t="s">
        <v>481</v>
      </c>
      <c r="Q16" s="197" t="s">
        <v>761</v>
      </c>
      <c r="R16" s="198" t="s">
        <v>762</v>
      </c>
      <c r="S16" s="199">
        <v>4.1113252008697971</v>
      </c>
      <c r="T16" s="87"/>
      <c r="U16" s="166" t="s">
        <v>481</v>
      </c>
      <c r="V16" s="87" t="s">
        <v>528</v>
      </c>
      <c r="W16" s="199">
        <v>2.7421223007041386</v>
      </c>
      <c r="X16" s="89"/>
      <c r="Y16" s="166" t="s">
        <v>481</v>
      </c>
      <c r="Z16" s="87" t="s">
        <v>764</v>
      </c>
      <c r="AA16" s="199">
        <v>3.6070947587270275</v>
      </c>
    </row>
    <row r="17" spans="1:27" ht="16.5" customHeight="1" x14ac:dyDescent="0.6">
      <c r="A17" s="166" t="s">
        <v>483</v>
      </c>
      <c r="B17" s="197" t="s">
        <v>729</v>
      </c>
      <c r="C17" s="198" t="s">
        <v>730</v>
      </c>
      <c r="D17" s="196">
        <v>1.6881432326645707</v>
      </c>
      <c r="E17" s="85"/>
      <c r="F17" s="166" t="s">
        <v>483</v>
      </c>
      <c r="G17" s="197" t="s">
        <v>721</v>
      </c>
      <c r="H17" s="198" t="s">
        <v>722</v>
      </c>
      <c r="I17" s="196">
        <v>2.4402929073415205</v>
      </c>
      <c r="J17" s="87"/>
      <c r="K17" s="166" t="s">
        <v>483</v>
      </c>
      <c r="L17" s="197" t="s">
        <v>759</v>
      </c>
      <c r="M17" s="198" t="s">
        <v>760</v>
      </c>
      <c r="N17" s="196">
        <v>3.044644862271066</v>
      </c>
      <c r="O17" s="85"/>
      <c r="P17" s="166" t="s">
        <v>483</v>
      </c>
      <c r="Q17" s="197" t="s">
        <v>754</v>
      </c>
      <c r="R17" s="198" t="s">
        <v>755</v>
      </c>
      <c r="S17" s="196">
        <v>3.9286584243130309</v>
      </c>
      <c r="T17" s="87"/>
      <c r="U17" s="166" t="s">
        <v>483</v>
      </c>
      <c r="V17" s="87" t="s">
        <v>725</v>
      </c>
      <c r="W17" s="196">
        <v>1.692755084248788</v>
      </c>
      <c r="X17" s="89"/>
      <c r="Y17" s="166" t="s">
        <v>483</v>
      </c>
      <c r="Z17" s="87" t="s">
        <v>749</v>
      </c>
      <c r="AA17" s="196">
        <v>2.9297981378394415</v>
      </c>
    </row>
    <row r="18" spans="1:27" ht="16.5" customHeight="1" x14ac:dyDescent="0.6">
      <c r="A18" s="166" t="s">
        <v>484</v>
      </c>
      <c r="B18" s="197" t="s">
        <v>469</v>
      </c>
      <c r="C18" s="198" t="s">
        <v>736</v>
      </c>
      <c r="D18" s="199">
        <v>1.4266869221368119</v>
      </c>
      <c r="E18" s="85"/>
      <c r="F18" s="166" t="s">
        <v>484</v>
      </c>
      <c r="G18" s="197" t="s">
        <v>826</v>
      </c>
      <c r="H18" s="198" t="s">
        <v>827</v>
      </c>
      <c r="I18" s="199">
        <v>2.2569123279801571</v>
      </c>
      <c r="J18" s="87"/>
      <c r="K18" s="166" t="s">
        <v>484</v>
      </c>
      <c r="L18" s="197" t="s">
        <v>812</v>
      </c>
      <c r="M18" s="198" t="s">
        <v>813</v>
      </c>
      <c r="N18" s="199">
        <v>2.5440584879100485</v>
      </c>
      <c r="O18" s="85"/>
      <c r="P18" s="166" t="s">
        <v>484</v>
      </c>
      <c r="Q18" s="197" t="s">
        <v>769</v>
      </c>
      <c r="R18" s="198" t="s">
        <v>770</v>
      </c>
      <c r="S18" s="199">
        <v>3.6578978700545206</v>
      </c>
      <c r="T18" s="87"/>
      <c r="U18" s="166" t="s">
        <v>484</v>
      </c>
      <c r="V18" s="87" t="s">
        <v>527</v>
      </c>
      <c r="W18" s="199">
        <v>1.2663852539953504</v>
      </c>
      <c r="X18" s="89"/>
      <c r="Y18" s="166" t="s">
        <v>484</v>
      </c>
      <c r="Z18" s="87" t="s">
        <v>527</v>
      </c>
      <c r="AA18" s="199">
        <v>2.0899609377394914</v>
      </c>
    </row>
    <row r="19" spans="1:27" ht="16.5" customHeight="1" x14ac:dyDescent="0.6">
      <c r="A19" s="166" t="s">
        <v>485</v>
      </c>
      <c r="B19" s="197" t="s">
        <v>788</v>
      </c>
      <c r="C19" s="198" t="s">
        <v>915</v>
      </c>
      <c r="D19" s="196">
        <v>1.3442991286627772</v>
      </c>
      <c r="E19" s="85"/>
      <c r="F19" s="166" t="s">
        <v>485</v>
      </c>
      <c r="G19" s="197" t="s">
        <v>788</v>
      </c>
      <c r="H19" s="198" t="s">
        <v>915</v>
      </c>
      <c r="I19" s="196">
        <v>2.0973315526729999</v>
      </c>
      <c r="J19" s="87"/>
      <c r="K19" s="166" t="s">
        <v>485</v>
      </c>
      <c r="L19" s="197" t="s">
        <v>754</v>
      </c>
      <c r="M19" s="198" t="s">
        <v>755</v>
      </c>
      <c r="N19" s="196">
        <v>1.666532088885267</v>
      </c>
      <c r="O19" s="85"/>
      <c r="P19" s="166" t="s">
        <v>485</v>
      </c>
      <c r="Q19" s="197" t="s">
        <v>477</v>
      </c>
      <c r="R19" s="198" t="s">
        <v>750</v>
      </c>
      <c r="S19" s="196">
        <v>3.6101882837937018</v>
      </c>
      <c r="T19" s="87"/>
      <c r="U19" s="166" t="s">
        <v>485</v>
      </c>
      <c r="V19" s="87" t="s">
        <v>763</v>
      </c>
      <c r="W19" s="196">
        <v>0.76575274941945382</v>
      </c>
      <c r="X19" s="89"/>
      <c r="Y19" s="166" t="s">
        <v>485</v>
      </c>
      <c r="Z19" s="87" t="s">
        <v>753</v>
      </c>
      <c r="AA19" s="196">
        <v>1.7499880809795383</v>
      </c>
    </row>
    <row r="20" spans="1:27" ht="16.5" customHeight="1" x14ac:dyDescent="0.6">
      <c r="A20" s="166" t="s">
        <v>486</v>
      </c>
      <c r="B20" s="197" t="s">
        <v>741</v>
      </c>
      <c r="C20" s="198" t="s">
        <v>742</v>
      </c>
      <c r="D20" s="199">
        <v>1.21306063101759</v>
      </c>
      <c r="E20" s="85"/>
      <c r="F20" s="166" t="s">
        <v>486</v>
      </c>
      <c r="G20" s="197" t="s">
        <v>469</v>
      </c>
      <c r="H20" s="198" t="s">
        <v>736</v>
      </c>
      <c r="I20" s="199">
        <v>1.9542674333147467</v>
      </c>
      <c r="J20" s="87"/>
      <c r="K20" s="166" t="s">
        <v>486</v>
      </c>
      <c r="L20" s="197" t="s">
        <v>479</v>
      </c>
      <c r="M20" s="198" t="s">
        <v>751</v>
      </c>
      <c r="N20" s="199">
        <v>1.5269270730757496</v>
      </c>
      <c r="O20" s="85"/>
      <c r="P20" s="166" t="s">
        <v>486</v>
      </c>
      <c r="Q20" s="197" t="s">
        <v>743</v>
      </c>
      <c r="R20" s="198" t="s">
        <v>744</v>
      </c>
      <c r="S20" s="199">
        <v>2.8716077866685059</v>
      </c>
      <c r="T20" s="87"/>
      <c r="U20" s="166" t="s">
        <v>486</v>
      </c>
      <c r="V20" s="87" t="s">
        <v>786</v>
      </c>
      <c r="W20" s="199">
        <v>0.55748681550194257</v>
      </c>
      <c r="X20" s="89"/>
      <c r="Y20" s="166" t="s">
        <v>486</v>
      </c>
      <c r="Z20" s="87" t="s">
        <v>790</v>
      </c>
      <c r="AA20" s="199">
        <v>0.91880107672301048</v>
      </c>
    </row>
    <row r="21" spans="1:27" ht="16.5" customHeight="1" x14ac:dyDescent="0.6">
      <c r="A21" s="166" t="s">
        <v>488</v>
      </c>
      <c r="B21" s="197" t="s">
        <v>737</v>
      </c>
      <c r="C21" s="198" t="s">
        <v>738</v>
      </c>
      <c r="D21" s="196">
        <v>1.1576003569554756</v>
      </c>
      <c r="E21" s="85"/>
      <c r="F21" s="166" t="s">
        <v>488</v>
      </c>
      <c r="G21" s="197" t="s">
        <v>900</v>
      </c>
      <c r="H21" s="198" t="s">
        <v>901</v>
      </c>
      <c r="I21" s="196">
        <v>1.9475823144920028</v>
      </c>
      <c r="J21" s="87"/>
      <c r="K21" s="166" t="s">
        <v>488</v>
      </c>
      <c r="L21" s="197" t="s">
        <v>482</v>
      </c>
      <c r="M21" s="198" t="s">
        <v>731</v>
      </c>
      <c r="N21" s="196">
        <v>0.97563628292892468</v>
      </c>
      <c r="O21" s="85"/>
      <c r="P21" s="166" t="s">
        <v>488</v>
      </c>
      <c r="Q21" s="197" t="s">
        <v>808</v>
      </c>
      <c r="R21" s="198" t="s">
        <v>809</v>
      </c>
      <c r="S21" s="196">
        <v>2.8045227659069978</v>
      </c>
      <c r="T21" s="87"/>
      <c r="U21" s="166" t="s">
        <v>488</v>
      </c>
      <c r="V21" s="87" t="s">
        <v>775</v>
      </c>
      <c r="W21" s="196">
        <v>0.55260316278110067</v>
      </c>
      <c r="X21" s="89"/>
      <c r="Y21" s="166" t="s">
        <v>488</v>
      </c>
      <c r="Z21" s="87" t="s">
        <v>772</v>
      </c>
      <c r="AA21" s="196">
        <v>0.88649216946305032</v>
      </c>
    </row>
    <row r="22" spans="1:27" ht="16.5" customHeight="1" x14ac:dyDescent="0.6">
      <c r="A22" s="166" t="s">
        <v>489</v>
      </c>
      <c r="B22" s="197" t="s">
        <v>840</v>
      </c>
      <c r="C22" s="198" t="s">
        <v>841</v>
      </c>
      <c r="D22" s="199">
        <v>1.143807315290357</v>
      </c>
      <c r="E22" s="85"/>
      <c r="F22" s="166" t="s">
        <v>489</v>
      </c>
      <c r="G22" s="197" t="s">
        <v>737</v>
      </c>
      <c r="H22" s="198" t="s">
        <v>738</v>
      </c>
      <c r="I22" s="199">
        <v>1.7174700568114478</v>
      </c>
      <c r="J22" s="87"/>
      <c r="K22" s="166" t="s">
        <v>489</v>
      </c>
      <c r="L22" s="197" t="s">
        <v>806</v>
      </c>
      <c r="M22" s="198" t="s">
        <v>807</v>
      </c>
      <c r="N22" s="199">
        <v>0.50011584414255994</v>
      </c>
      <c r="O22" s="85"/>
      <c r="P22" s="166" t="s">
        <v>489</v>
      </c>
      <c r="Q22" s="197" t="s">
        <v>773</v>
      </c>
      <c r="R22" s="198" t="s">
        <v>774</v>
      </c>
      <c r="S22" s="199">
        <v>2.1872418296082565</v>
      </c>
      <c r="T22" s="87"/>
      <c r="U22" s="166" t="s">
        <v>489</v>
      </c>
      <c r="V22" s="87" t="s">
        <v>732</v>
      </c>
      <c r="W22" s="199">
        <v>0.26522693613544596</v>
      </c>
      <c r="X22" s="89"/>
      <c r="Y22" s="166" t="s">
        <v>489</v>
      </c>
      <c r="Z22" s="87" t="s">
        <v>767</v>
      </c>
      <c r="AA22" s="199">
        <v>0.81598651247321696</v>
      </c>
    </row>
    <row r="23" spans="1:27" ht="16.5" customHeight="1" x14ac:dyDescent="0.6">
      <c r="A23" s="166" t="s">
        <v>490</v>
      </c>
      <c r="B23" s="197" t="s">
        <v>777</v>
      </c>
      <c r="C23" s="198" t="s">
        <v>778</v>
      </c>
      <c r="D23" s="196">
        <v>1.0065327832342224</v>
      </c>
      <c r="E23" s="85"/>
      <c r="F23" s="166" t="s">
        <v>490</v>
      </c>
      <c r="G23" s="197" t="s">
        <v>906</v>
      </c>
      <c r="H23" s="198" t="s">
        <v>907</v>
      </c>
      <c r="I23" s="196">
        <v>1.4322777077975306</v>
      </c>
      <c r="J23" s="87"/>
      <c r="K23" s="166" t="s">
        <v>490</v>
      </c>
      <c r="L23" s="197" t="s">
        <v>769</v>
      </c>
      <c r="M23" s="198" t="s">
        <v>770</v>
      </c>
      <c r="N23" s="196">
        <v>0.4588381022536952</v>
      </c>
      <c r="O23" s="85"/>
      <c r="P23" s="166" t="s">
        <v>490</v>
      </c>
      <c r="Q23" s="197" t="s">
        <v>814</v>
      </c>
      <c r="R23" s="198" t="s">
        <v>815</v>
      </c>
      <c r="S23" s="196">
        <v>2.0279174710552303</v>
      </c>
      <c r="T23" s="87"/>
      <c r="U23" s="166" t="s">
        <v>490</v>
      </c>
      <c r="V23" s="87" t="s">
        <v>810</v>
      </c>
      <c r="W23" s="196">
        <v>0.22738856484717279</v>
      </c>
      <c r="X23" s="89"/>
      <c r="Y23" s="166" t="s">
        <v>490</v>
      </c>
      <c r="Z23" s="87" t="s">
        <v>752</v>
      </c>
      <c r="AA23" s="196">
        <v>0.76504884957218322</v>
      </c>
    </row>
    <row r="24" spans="1:27" ht="16.5" customHeight="1" x14ac:dyDescent="0.6">
      <c r="A24" s="166" t="s">
        <v>491</v>
      </c>
      <c r="B24" s="197" t="s">
        <v>828</v>
      </c>
      <c r="C24" s="198" t="s">
        <v>829</v>
      </c>
      <c r="D24" s="199">
        <v>0.80164710870986133</v>
      </c>
      <c r="E24" s="85"/>
      <c r="F24" s="166" t="s">
        <v>491</v>
      </c>
      <c r="G24" s="197" t="s">
        <v>821</v>
      </c>
      <c r="H24" s="198" t="s">
        <v>822</v>
      </c>
      <c r="I24" s="199">
        <v>1.3889260790612068</v>
      </c>
      <c r="J24" s="87"/>
      <c r="K24" s="166" t="s">
        <v>491</v>
      </c>
      <c r="L24" s="197" t="s">
        <v>747</v>
      </c>
      <c r="M24" s="198" t="s">
        <v>748</v>
      </c>
      <c r="N24" s="199">
        <v>0.43390090345792237</v>
      </c>
      <c r="O24" s="85"/>
      <c r="P24" s="166" t="s">
        <v>491</v>
      </c>
      <c r="Q24" s="197" t="s">
        <v>791</v>
      </c>
      <c r="R24" s="198" t="s">
        <v>792</v>
      </c>
      <c r="S24" s="199">
        <v>1.784728951545439</v>
      </c>
      <c r="T24" s="87"/>
      <c r="U24" s="166" t="s">
        <v>491</v>
      </c>
      <c r="V24" s="87" t="s">
        <v>756</v>
      </c>
      <c r="W24" s="199">
        <v>0.18708362611198917</v>
      </c>
      <c r="X24" s="89"/>
      <c r="Y24" s="166" t="s">
        <v>491</v>
      </c>
      <c r="Z24" s="87" t="s">
        <v>787</v>
      </c>
      <c r="AA24" s="199">
        <v>0.54451210554932528</v>
      </c>
    </row>
    <row r="25" spans="1:27" ht="16.5" customHeight="1" x14ac:dyDescent="0.6">
      <c r="A25" s="166" t="s">
        <v>492</v>
      </c>
      <c r="B25" s="197" t="s">
        <v>734</v>
      </c>
      <c r="C25" s="198" t="s">
        <v>735</v>
      </c>
      <c r="D25" s="196">
        <v>0.78039712109600645</v>
      </c>
      <c r="E25" s="85"/>
      <c r="F25" s="166" t="s">
        <v>492</v>
      </c>
      <c r="G25" s="197" t="s">
        <v>494</v>
      </c>
      <c r="H25" s="198" t="s">
        <v>768</v>
      </c>
      <c r="I25" s="196">
        <v>1.2554156960947398</v>
      </c>
      <c r="J25" s="87"/>
      <c r="K25" s="166" t="s">
        <v>492</v>
      </c>
      <c r="L25" s="197" t="s">
        <v>487</v>
      </c>
      <c r="M25" s="198" t="s">
        <v>794</v>
      </c>
      <c r="N25" s="196">
        <v>0.39288821849948563</v>
      </c>
      <c r="O25" s="85"/>
      <c r="P25" s="166" t="s">
        <v>492</v>
      </c>
      <c r="Q25" s="197" t="s">
        <v>729</v>
      </c>
      <c r="R25" s="198" t="s">
        <v>730</v>
      </c>
      <c r="S25" s="196">
        <v>1.7432328492575475</v>
      </c>
      <c r="T25" s="87"/>
      <c r="U25" s="166" t="s">
        <v>492</v>
      </c>
      <c r="V25" s="87" t="s">
        <v>772</v>
      </c>
      <c r="W25" s="196">
        <v>0.16161234323205714</v>
      </c>
      <c r="X25" s="89"/>
      <c r="Y25" s="166" t="s">
        <v>492</v>
      </c>
      <c r="Z25" s="87" t="s">
        <v>793</v>
      </c>
      <c r="AA25" s="196">
        <v>0.39053169058549958</v>
      </c>
    </row>
    <row r="26" spans="1:27" ht="16.5" customHeight="1" x14ac:dyDescent="0.6">
      <c r="A26" s="166" t="s">
        <v>493</v>
      </c>
      <c r="B26" s="197" t="s">
        <v>467</v>
      </c>
      <c r="C26" s="198" t="s">
        <v>720</v>
      </c>
      <c r="D26" s="199">
        <v>0.71658622082532131</v>
      </c>
      <c r="E26" s="85"/>
      <c r="F26" s="166" t="s">
        <v>493</v>
      </c>
      <c r="G26" s="197" t="s">
        <v>474</v>
      </c>
      <c r="H26" s="198" t="s">
        <v>798</v>
      </c>
      <c r="I26" s="199">
        <v>1.189917816873971</v>
      </c>
      <c r="J26" s="87"/>
      <c r="K26" s="166" t="s">
        <v>493</v>
      </c>
      <c r="L26" s="197" t="s">
        <v>781</v>
      </c>
      <c r="M26" s="198" t="s">
        <v>782</v>
      </c>
      <c r="N26" s="199">
        <v>0.31340508399162109</v>
      </c>
      <c r="O26" s="85"/>
      <c r="P26" s="166" t="s">
        <v>493</v>
      </c>
      <c r="Q26" s="197" t="s">
        <v>487</v>
      </c>
      <c r="R26" s="198" t="s">
        <v>794</v>
      </c>
      <c r="S26" s="199">
        <v>1.0781651287454432</v>
      </c>
      <c r="T26" s="87"/>
      <c r="U26" s="166" t="s">
        <v>493</v>
      </c>
      <c r="V26" s="87" t="s">
        <v>740</v>
      </c>
      <c r="W26" s="199">
        <v>5.6606547147755433E-2</v>
      </c>
      <c r="X26" s="89"/>
      <c r="Y26" s="166" t="s">
        <v>493</v>
      </c>
      <c r="Z26" s="87" t="s">
        <v>771</v>
      </c>
      <c r="AA26" s="199">
        <v>0.37969166272608806</v>
      </c>
    </row>
    <row r="27" spans="1:27" ht="16.5" customHeight="1" x14ac:dyDescent="0.6">
      <c r="A27" s="166" t="s">
        <v>495</v>
      </c>
      <c r="B27" s="197" t="s">
        <v>821</v>
      </c>
      <c r="C27" s="198" t="s">
        <v>822</v>
      </c>
      <c r="D27" s="196">
        <v>0.6439888577616919</v>
      </c>
      <c r="E27" s="85"/>
      <c r="F27" s="166" t="s">
        <v>495</v>
      </c>
      <c r="G27" s="197" t="s">
        <v>482</v>
      </c>
      <c r="H27" s="198" t="s">
        <v>731</v>
      </c>
      <c r="I27" s="196">
        <v>1.0401447613019354</v>
      </c>
      <c r="J27" s="87"/>
      <c r="K27" s="166" t="s">
        <v>495</v>
      </c>
      <c r="L27" s="197" t="s">
        <v>801</v>
      </c>
      <c r="M27" s="198" t="s">
        <v>802</v>
      </c>
      <c r="N27" s="196">
        <v>0.1905430716961248</v>
      </c>
      <c r="O27" s="85"/>
      <c r="P27" s="166" t="s">
        <v>495</v>
      </c>
      <c r="Q27" s="197" t="s">
        <v>747</v>
      </c>
      <c r="R27" s="198" t="s">
        <v>748</v>
      </c>
      <c r="S27" s="196">
        <v>1.0051682567373927</v>
      </c>
      <c r="T27" s="87"/>
      <c r="U27" s="166" t="s">
        <v>495</v>
      </c>
      <c r="V27" s="87" t="s">
        <v>749</v>
      </c>
      <c r="W27" s="196">
        <v>5.2507383757156273E-2</v>
      </c>
      <c r="X27" s="89"/>
      <c r="Y27" s="166" t="s">
        <v>495</v>
      </c>
      <c r="Z27" s="87" t="s">
        <v>805</v>
      </c>
      <c r="AA27" s="196">
        <v>0.31566044632686396</v>
      </c>
    </row>
    <row r="28" spans="1:27" ht="16.5" customHeight="1" x14ac:dyDescent="0.6">
      <c r="A28" s="166" t="s">
        <v>496</v>
      </c>
      <c r="B28" s="197" t="s">
        <v>761</v>
      </c>
      <c r="C28" s="198" t="s">
        <v>762</v>
      </c>
      <c r="D28" s="199">
        <v>0.63877148255917082</v>
      </c>
      <c r="E28" s="85"/>
      <c r="F28" s="166" t="s">
        <v>496</v>
      </c>
      <c r="G28" s="197" t="s">
        <v>799</v>
      </c>
      <c r="H28" s="198" t="s">
        <v>800</v>
      </c>
      <c r="I28" s="199">
        <v>0.91092939997255773</v>
      </c>
      <c r="J28" s="87"/>
      <c r="K28" s="166" t="s">
        <v>496</v>
      </c>
      <c r="L28" s="197" t="s">
        <v>895</v>
      </c>
      <c r="M28" s="198" t="s">
        <v>896</v>
      </c>
      <c r="N28" s="199">
        <v>0.18817110105918211</v>
      </c>
      <c r="O28" s="85"/>
      <c r="P28" s="166" t="s">
        <v>496</v>
      </c>
      <c r="Q28" s="197" t="s">
        <v>781</v>
      </c>
      <c r="R28" s="198" t="s">
        <v>782</v>
      </c>
      <c r="S28" s="199">
        <v>0.97068940828501293</v>
      </c>
      <c r="T28" s="87"/>
      <c r="U28" s="166" t="s">
        <v>496</v>
      </c>
      <c r="V28" s="87" t="s">
        <v>820</v>
      </c>
      <c r="W28" s="199">
        <v>5.013729168804338E-2</v>
      </c>
      <c r="X28" s="89"/>
      <c r="Y28" s="166" t="s">
        <v>496</v>
      </c>
      <c r="Z28" s="87" t="s">
        <v>811</v>
      </c>
      <c r="AA28" s="199">
        <v>0.2358673588184427</v>
      </c>
    </row>
    <row r="29" spans="1:27" ht="16.5" customHeight="1" x14ac:dyDescent="0.6">
      <c r="A29" s="166" t="s">
        <v>497</v>
      </c>
      <c r="B29" s="197" t="s">
        <v>765</v>
      </c>
      <c r="C29" s="198" t="s">
        <v>766</v>
      </c>
      <c r="D29" s="196">
        <v>0.53633930533955176</v>
      </c>
      <c r="E29" s="85"/>
      <c r="F29" s="166" t="s">
        <v>497</v>
      </c>
      <c r="G29" s="197" t="s">
        <v>479</v>
      </c>
      <c r="H29" s="198" t="s">
        <v>751</v>
      </c>
      <c r="I29" s="196">
        <v>0.87678393351892026</v>
      </c>
      <c r="J29" s="87"/>
      <c r="K29" s="166" t="s">
        <v>497</v>
      </c>
      <c r="L29" s="197" t="s">
        <v>773</v>
      </c>
      <c r="M29" s="198" t="s">
        <v>774</v>
      </c>
      <c r="N29" s="196">
        <v>0.14268251093940779</v>
      </c>
      <c r="O29" s="85"/>
      <c r="P29" s="166" t="s">
        <v>497</v>
      </c>
      <c r="Q29" s="197" t="s">
        <v>803</v>
      </c>
      <c r="R29" s="198" t="s">
        <v>804</v>
      </c>
      <c r="S29" s="196">
        <v>0.57782256958960099</v>
      </c>
      <c r="T29" s="87"/>
      <c r="U29" s="166" t="s">
        <v>497</v>
      </c>
      <c r="V29" s="87" t="s">
        <v>535</v>
      </c>
      <c r="W29" s="196">
        <v>3.835622526074077E-2</v>
      </c>
      <c r="X29" s="89"/>
      <c r="Y29" s="166" t="s">
        <v>497</v>
      </c>
      <c r="Z29" s="87" t="s">
        <v>535</v>
      </c>
      <c r="AA29" s="196">
        <v>0.19006283983850109</v>
      </c>
    </row>
    <row r="30" spans="1:27" ht="16.5" customHeight="1" x14ac:dyDescent="0.6">
      <c r="A30" s="166" t="s">
        <v>498</v>
      </c>
      <c r="B30" s="197" t="s">
        <v>723</v>
      </c>
      <c r="C30" s="198" t="s">
        <v>724</v>
      </c>
      <c r="D30" s="199">
        <v>0.48427357355228201</v>
      </c>
      <c r="E30" s="85"/>
      <c r="F30" s="166" t="s">
        <v>498</v>
      </c>
      <c r="G30" s="197" t="s">
        <v>741</v>
      </c>
      <c r="H30" s="198" t="s">
        <v>742</v>
      </c>
      <c r="I30" s="199">
        <v>0.75792744053779182</v>
      </c>
      <c r="J30" s="87"/>
      <c r="K30" s="166" t="s">
        <v>498</v>
      </c>
      <c r="L30" s="200" t="s">
        <v>743</v>
      </c>
      <c r="M30" s="201" t="s">
        <v>744</v>
      </c>
      <c r="N30" s="199">
        <v>0.11234784664653177</v>
      </c>
      <c r="O30" s="85"/>
      <c r="P30" s="166" t="s">
        <v>498</v>
      </c>
      <c r="Q30" s="197" t="s">
        <v>818</v>
      </c>
      <c r="R30" s="198" t="s">
        <v>819</v>
      </c>
      <c r="S30" s="199">
        <v>0.47504130568567782</v>
      </c>
      <c r="T30" s="87"/>
      <c r="U30" s="166" t="s">
        <v>498</v>
      </c>
      <c r="V30" s="87" t="s">
        <v>793</v>
      </c>
      <c r="W30" s="199">
        <v>3.3752748627441882E-2</v>
      </c>
      <c r="X30" s="89"/>
      <c r="Y30" s="166" t="s">
        <v>498</v>
      </c>
      <c r="Z30" s="87" t="s">
        <v>783</v>
      </c>
      <c r="AA30" s="199">
        <v>0.1844742902450586</v>
      </c>
    </row>
    <row r="31" spans="1:27" ht="16.5" customHeight="1" x14ac:dyDescent="0.6">
      <c r="A31" s="166" t="s">
        <v>499</v>
      </c>
      <c r="B31" s="197" t="s">
        <v>759</v>
      </c>
      <c r="C31" s="198" t="s">
        <v>760</v>
      </c>
      <c r="D31" s="196">
        <v>0.38615599989640875</v>
      </c>
      <c r="E31" s="85"/>
      <c r="F31" s="166" t="s">
        <v>499</v>
      </c>
      <c r="G31" s="197" t="s">
        <v>761</v>
      </c>
      <c r="H31" s="198" t="s">
        <v>762</v>
      </c>
      <c r="I31" s="196">
        <v>0.7372543760379785</v>
      </c>
      <c r="J31" s="87"/>
      <c r="K31" s="166" t="s">
        <v>897</v>
      </c>
      <c r="L31" s="87"/>
      <c r="M31" s="87"/>
      <c r="N31" s="87"/>
      <c r="O31" s="85"/>
      <c r="P31" s="166" t="s">
        <v>499</v>
      </c>
      <c r="Q31" s="197" t="s">
        <v>795</v>
      </c>
      <c r="R31" s="198" t="s">
        <v>796</v>
      </c>
      <c r="S31" s="196">
        <v>0.33881460457219675</v>
      </c>
      <c r="T31" s="87"/>
      <c r="U31" s="166" t="s">
        <v>499</v>
      </c>
      <c r="V31" s="87" t="s">
        <v>854</v>
      </c>
      <c r="W31" s="196">
        <v>3.1577260434567989E-2</v>
      </c>
      <c r="X31" s="89"/>
      <c r="Y31" s="166" t="s">
        <v>499</v>
      </c>
      <c r="Z31" s="87" t="s">
        <v>786</v>
      </c>
      <c r="AA31" s="196">
        <v>0.15314063407077841</v>
      </c>
    </row>
    <row r="32" spans="1:27" ht="16.5" customHeight="1" x14ac:dyDescent="0.6">
      <c r="A32" s="166" t="s">
        <v>500</v>
      </c>
      <c r="B32" s="197" t="s">
        <v>902</v>
      </c>
      <c r="C32" s="198" t="s">
        <v>903</v>
      </c>
      <c r="D32" s="199">
        <v>0.34842286135918943</v>
      </c>
      <c r="E32" s="85"/>
      <c r="F32" s="166" t="s">
        <v>500</v>
      </c>
      <c r="G32" s="197" t="s">
        <v>754</v>
      </c>
      <c r="H32" s="198" t="s">
        <v>755</v>
      </c>
      <c r="I32" s="199">
        <v>0.70449805689671074</v>
      </c>
      <c r="J32" s="87"/>
      <c r="K32" s="166" t="s">
        <v>897</v>
      </c>
      <c r="L32" s="87"/>
      <c r="M32" s="87"/>
      <c r="N32" s="87"/>
      <c r="O32" s="85"/>
      <c r="P32" s="166" t="s">
        <v>500</v>
      </c>
      <c r="Q32" s="197" t="s">
        <v>823</v>
      </c>
      <c r="R32" s="198" t="s">
        <v>824</v>
      </c>
      <c r="S32" s="199">
        <v>0.30265242022074462</v>
      </c>
      <c r="T32" s="87"/>
      <c r="U32" s="166" t="s">
        <v>500</v>
      </c>
      <c r="V32" s="87" t="s">
        <v>767</v>
      </c>
      <c r="W32" s="199">
        <v>2.4795026515886099E-2</v>
      </c>
      <c r="X32" s="89"/>
      <c r="Y32" s="166" t="s">
        <v>500</v>
      </c>
      <c r="Z32" s="87" t="s">
        <v>820</v>
      </c>
      <c r="AA32" s="199">
        <v>0.12042912143568825</v>
      </c>
    </row>
    <row r="33" spans="1:27" ht="16.5" customHeight="1" x14ac:dyDescent="0.6">
      <c r="A33" s="166" t="s">
        <v>501</v>
      </c>
      <c r="B33" s="197" t="s">
        <v>812</v>
      </c>
      <c r="C33" s="198" t="s">
        <v>813</v>
      </c>
      <c r="D33" s="196">
        <v>0.32266602301230451</v>
      </c>
      <c r="E33" s="85"/>
      <c r="F33" s="166" t="s">
        <v>501</v>
      </c>
      <c r="G33" s="197" t="s">
        <v>471</v>
      </c>
      <c r="H33" s="198" t="s">
        <v>726</v>
      </c>
      <c r="I33" s="196">
        <v>0.68192337167705086</v>
      </c>
      <c r="J33" s="87"/>
      <c r="K33" s="166" t="s">
        <v>897</v>
      </c>
      <c r="L33" s="87"/>
      <c r="M33" s="87"/>
      <c r="N33" s="87"/>
      <c r="O33" s="85"/>
      <c r="P33" s="166" t="s">
        <v>501</v>
      </c>
      <c r="Q33" s="197" t="s">
        <v>801</v>
      </c>
      <c r="R33" s="198" t="s">
        <v>802</v>
      </c>
      <c r="S33" s="196">
        <v>0.28452061369616766</v>
      </c>
      <c r="T33" s="87"/>
      <c r="U33" s="166" t="s">
        <v>501</v>
      </c>
      <c r="V33" s="87" t="s">
        <v>916</v>
      </c>
      <c r="W33" s="196">
        <v>2.0075441375345643E-2</v>
      </c>
      <c r="X33" s="89"/>
      <c r="Y33" s="166" t="s">
        <v>501</v>
      </c>
      <c r="Z33" s="87" t="s">
        <v>534</v>
      </c>
      <c r="AA33" s="196">
        <v>6.5189440535610071E-2</v>
      </c>
    </row>
    <row r="34" spans="1:27" ht="16.5" customHeight="1" x14ac:dyDescent="0.6">
      <c r="A34" s="166" t="s">
        <v>502</v>
      </c>
      <c r="B34" s="197" t="s">
        <v>837</v>
      </c>
      <c r="C34" s="198" t="s">
        <v>838</v>
      </c>
      <c r="D34" s="199">
        <v>0.29646389029892412</v>
      </c>
      <c r="E34" s="85"/>
      <c r="F34" s="166" t="s">
        <v>502</v>
      </c>
      <c r="G34" s="197" t="s">
        <v>868</v>
      </c>
      <c r="H34" s="198" t="s">
        <v>869</v>
      </c>
      <c r="I34" s="199">
        <v>0.67655603776887641</v>
      </c>
      <c r="J34" s="87"/>
      <c r="K34" s="166" t="s">
        <v>897</v>
      </c>
      <c r="L34" s="87"/>
      <c r="M34" s="87"/>
      <c r="N34" s="87"/>
      <c r="O34" s="85"/>
      <c r="P34" s="166" t="s">
        <v>502</v>
      </c>
      <c r="Q34" s="197" t="s">
        <v>812</v>
      </c>
      <c r="R34" s="198" t="s">
        <v>813</v>
      </c>
      <c r="S34" s="199">
        <v>0.25146211745627223</v>
      </c>
      <c r="T34" s="87"/>
      <c r="U34" s="166" t="s">
        <v>502</v>
      </c>
      <c r="V34" s="87" t="s">
        <v>847</v>
      </c>
      <c r="W34" s="199">
        <v>1.8040895648149091E-2</v>
      </c>
      <c r="X34" s="87"/>
      <c r="Y34" s="166" t="s">
        <v>502</v>
      </c>
      <c r="Z34" s="87" t="s">
        <v>846</v>
      </c>
      <c r="AA34" s="199">
        <v>6.1559301966337208E-2</v>
      </c>
    </row>
    <row r="35" spans="1:27" ht="16.5" customHeight="1" x14ac:dyDescent="0.6">
      <c r="A35" s="166" t="s">
        <v>503</v>
      </c>
      <c r="B35" s="197" t="s">
        <v>494</v>
      </c>
      <c r="C35" s="198" t="s">
        <v>768</v>
      </c>
      <c r="D35" s="196">
        <v>0.28465961640229587</v>
      </c>
      <c r="E35" s="85"/>
      <c r="F35" s="166" t="s">
        <v>503</v>
      </c>
      <c r="G35" s="197" t="s">
        <v>769</v>
      </c>
      <c r="H35" s="198" t="s">
        <v>770</v>
      </c>
      <c r="I35" s="196">
        <v>0.65594451424741518</v>
      </c>
      <c r="J35" s="87"/>
      <c r="K35" s="166" t="s">
        <v>897</v>
      </c>
      <c r="L35" s="87"/>
      <c r="M35" s="87"/>
      <c r="N35" s="87"/>
      <c r="O35" s="85"/>
      <c r="P35" s="166" t="s">
        <v>503</v>
      </c>
      <c r="Q35" s="197" t="s">
        <v>759</v>
      </c>
      <c r="R35" s="198" t="s">
        <v>760</v>
      </c>
      <c r="S35" s="196">
        <v>0.2052437232930566</v>
      </c>
      <c r="T35" s="87"/>
      <c r="U35" s="166" t="s">
        <v>897</v>
      </c>
      <c r="V35" s="87" t="s">
        <v>897</v>
      </c>
      <c r="W35" s="87"/>
      <c r="X35" s="87"/>
      <c r="Y35" s="166" t="s">
        <v>503</v>
      </c>
      <c r="Z35" s="87" t="s">
        <v>776</v>
      </c>
      <c r="AA35" s="196">
        <v>5.6559489365734072E-2</v>
      </c>
    </row>
    <row r="36" spans="1:27" ht="16.5" customHeight="1" x14ac:dyDescent="0.6">
      <c r="A36" s="166" t="s">
        <v>504</v>
      </c>
      <c r="B36" s="197" t="s">
        <v>474</v>
      </c>
      <c r="C36" s="198" t="s">
        <v>798</v>
      </c>
      <c r="D36" s="199">
        <v>0.27366603244489646</v>
      </c>
      <c r="E36" s="85"/>
      <c r="F36" s="166" t="s">
        <v>504</v>
      </c>
      <c r="G36" s="197" t="s">
        <v>477</v>
      </c>
      <c r="H36" s="198" t="s">
        <v>750</v>
      </c>
      <c r="I36" s="199">
        <v>0.64738909731218752</v>
      </c>
      <c r="J36" s="87"/>
      <c r="K36" s="166" t="s">
        <v>897</v>
      </c>
      <c r="L36" s="87"/>
      <c r="M36" s="87"/>
      <c r="N36" s="87"/>
      <c r="O36" s="85"/>
      <c r="P36" s="166" t="s">
        <v>504</v>
      </c>
      <c r="Q36" s="197" t="s">
        <v>917</v>
      </c>
      <c r="R36" s="198" t="s">
        <v>918</v>
      </c>
      <c r="S36" s="199">
        <v>0.15272027897325491</v>
      </c>
      <c r="T36" s="87"/>
      <c r="U36" s="166" t="s">
        <v>897</v>
      </c>
      <c r="V36" s="87" t="s">
        <v>897</v>
      </c>
      <c r="W36" s="87"/>
      <c r="X36" s="87"/>
      <c r="Y36" s="166" t="s">
        <v>504</v>
      </c>
      <c r="Z36" s="87" t="s">
        <v>532</v>
      </c>
      <c r="AA36" s="199">
        <v>5.4854683914223407E-2</v>
      </c>
    </row>
    <row r="37" spans="1:27" ht="16.5" customHeight="1" x14ac:dyDescent="0.6">
      <c r="A37" s="166" t="s">
        <v>505</v>
      </c>
      <c r="B37" s="197" t="s">
        <v>904</v>
      </c>
      <c r="C37" s="198" t="s">
        <v>905</v>
      </c>
      <c r="D37" s="196">
        <v>0.22823361805478792</v>
      </c>
      <c r="E37" s="85"/>
      <c r="F37" s="166" t="s">
        <v>505</v>
      </c>
      <c r="G37" s="197" t="s">
        <v>830</v>
      </c>
      <c r="H37" s="198" t="s">
        <v>831</v>
      </c>
      <c r="I37" s="196">
        <v>0.6350779031462459</v>
      </c>
      <c r="J37" s="87"/>
      <c r="K37" s="166" t="s">
        <v>897</v>
      </c>
      <c r="L37" s="87"/>
      <c r="M37" s="87"/>
      <c r="N37" s="87"/>
      <c r="O37" s="85"/>
      <c r="P37" s="166" t="s">
        <v>505</v>
      </c>
      <c r="Q37" s="197" t="s">
        <v>806</v>
      </c>
      <c r="R37" s="198" t="s">
        <v>807</v>
      </c>
      <c r="S37" s="196">
        <v>0.1065215597745984</v>
      </c>
      <c r="T37" s="87"/>
      <c r="U37" s="166" t="s">
        <v>897</v>
      </c>
      <c r="V37" s="87" t="s">
        <v>897</v>
      </c>
      <c r="W37" s="87"/>
      <c r="X37" s="87"/>
      <c r="Y37" s="166" t="s">
        <v>505</v>
      </c>
      <c r="Z37" s="87" t="s">
        <v>825</v>
      </c>
      <c r="AA37" s="196">
        <v>5.1235786859007794E-2</v>
      </c>
    </row>
    <row r="38" spans="1:27" ht="16.5" customHeight="1" x14ac:dyDescent="0.6">
      <c r="A38" s="166" t="s">
        <v>506</v>
      </c>
      <c r="B38" s="197" t="s">
        <v>898</v>
      </c>
      <c r="C38" s="198" t="s">
        <v>899</v>
      </c>
      <c r="D38" s="199">
        <v>0.22004384284288789</v>
      </c>
      <c r="E38" s="85"/>
      <c r="F38" s="166" t="s">
        <v>506</v>
      </c>
      <c r="G38" s="197" t="s">
        <v>855</v>
      </c>
      <c r="H38" s="198" t="s">
        <v>856</v>
      </c>
      <c r="I38" s="199">
        <v>0.51567397825002559</v>
      </c>
      <c r="J38" s="87"/>
      <c r="K38" s="166" t="s">
        <v>897</v>
      </c>
      <c r="L38" s="87"/>
      <c r="M38" s="87"/>
      <c r="N38" s="87"/>
      <c r="O38" s="85"/>
      <c r="P38" s="166" t="s">
        <v>506</v>
      </c>
      <c r="Q38" s="200" t="s">
        <v>919</v>
      </c>
      <c r="R38" s="201" t="s">
        <v>920</v>
      </c>
      <c r="S38" s="199">
        <v>0.10466430319644647</v>
      </c>
      <c r="T38" s="87"/>
      <c r="U38" s="166" t="s">
        <v>897</v>
      </c>
      <c r="V38" s="87" t="s">
        <v>897</v>
      </c>
      <c r="W38" s="87"/>
      <c r="X38" s="87"/>
      <c r="Y38" s="166" t="s">
        <v>506</v>
      </c>
      <c r="Z38" s="87" t="s">
        <v>797</v>
      </c>
      <c r="AA38" s="199">
        <v>4.3915720782865479E-2</v>
      </c>
    </row>
    <row r="39" spans="1:27" ht="16.5" customHeight="1" x14ac:dyDescent="0.6">
      <c r="A39" s="166" t="s">
        <v>507</v>
      </c>
      <c r="B39" s="197" t="s">
        <v>754</v>
      </c>
      <c r="C39" s="198" t="s">
        <v>755</v>
      </c>
      <c r="D39" s="196">
        <v>0.21136828571293853</v>
      </c>
      <c r="E39" s="85"/>
      <c r="F39" s="166" t="s">
        <v>507</v>
      </c>
      <c r="G39" s="197" t="s">
        <v>743</v>
      </c>
      <c r="H39" s="198" t="s">
        <v>744</v>
      </c>
      <c r="I39" s="196">
        <v>0.5149447692773591</v>
      </c>
      <c r="J39" s="87"/>
      <c r="K39" s="166" t="s">
        <v>897</v>
      </c>
      <c r="L39" s="87"/>
      <c r="M39" s="87"/>
      <c r="N39" s="87"/>
      <c r="O39" s="85"/>
      <c r="P39" s="166" t="s">
        <v>897</v>
      </c>
      <c r="Q39" s="87"/>
      <c r="R39" s="87"/>
      <c r="S39" s="87"/>
      <c r="T39" s="87"/>
      <c r="U39" s="166" t="s">
        <v>897</v>
      </c>
      <c r="V39" s="87" t="s">
        <v>897</v>
      </c>
      <c r="W39" s="87"/>
      <c r="X39" s="87"/>
      <c r="Y39" s="166" t="s">
        <v>507</v>
      </c>
      <c r="Z39" s="87" t="s">
        <v>525</v>
      </c>
      <c r="AA39" s="196">
        <v>2.3165626775610904E-2</v>
      </c>
    </row>
    <row r="40" spans="1:27" ht="16.5" customHeight="1" x14ac:dyDescent="0.6">
      <c r="A40" s="166" t="s">
        <v>508</v>
      </c>
      <c r="B40" s="197" t="s">
        <v>479</v>
      </c>
      <c r="C40" s="198" t="s">
        <v>751</v>
      </c>
      <c r="D40" s="199">
        <v>0.19366201226918914</v>
      </c>
      <c r="E40" s="85"/>
      <c r="F40" s="166" t="s">
        <v>508</v>
      </c>
      <c r="G40" s="197" t="s">
        <v>808</v>
      </c>
      <c r="H40" s="198" t="s">
        <v>809</v>
      </c>
      <c r="I40" s="199">
        <v>0.50291489503813391</v>
      </c>
      <c r="J40" s="87"/>
      <c r="K40" s="166" t="s">
        <v>897</v>
      </c>
      <c r="L40" s="87"/>
      <c r="M40" s="87"/>
      <c r="N40" s="87"/>
      <c r="O40" s="85"/>
      <c r="P40" s="166" t="s">
        <v>897</v>
      </c>
      <c r="Q40" s="87"/>
      <c r="R40" s="87"/>
      <c r="S40" s="87"/>
      <c r="T40" s="87"/>
      <c r="U40" s="166" t="s">
        <v>897</v>
      </c>
      <c r="V40" s="87" t="s">
        <v>897</v>
      </c>
      <c r="W40" s="87"/>
      <c r="X40" s="87"/>
      <c r="Y40" s="166" t="s">
        <v>508</v>
      </c>
      <c r="Z40" s="87" t="s">
        <v>848</v>
      </c>
      <c r="AA40" s="199">
        <v>1.7520098623086146E-2</v>
      </c>
    </row>
    <row r="41" spans="1:27" ht="16.5" customHeight="1" x14ac:dyDescent="0.6">
      <c r="A41" s="166" t="s">
        <v>509</v>
      </c>
      <c r="B41" s="197" t="s">
        <v>887</v>
      </c>
      <c r="C41" s="198" t="s">
        <v>888</v>
      </c>
      <c r="D41" s="196">
        <v>0.17113380425653371</v>
      </c>
      <c r="E41" s="85"/>
      <c r="F41" s="166" t="s">
        <v>509</v>
      </c>
      <c r="G41" s="197" t="s">
        <v>784</v>
      </c>
      <c r="H41" s="198" t="s">
        <v>785</v>
      </c>
      <c r="I41" s="196">
        <v>0.47725673298832239</v>
      </c>
      <c r="J41" s="87"/>
      <c r="K41" s="166" t="s">
        <v>897</v>
      </c>
      <c r="L41" s="87"/>
      <c r="M41" s="87"/>
      <c r="N41" s="87"/>
      <c r="O41" s="85"/>
      <c r="P41" s="166" t="s">
        <v>897</v>
      </c>
      <c r="Q41" s="87"/>
      <c r="R41" s="87"/>
      <c r="S41" s="87"/>
      <c r="T41" s="87"/>
      <c r="U41" s="166" t="s">
        <v>897</v>
      </c>
      <c r="V41" s="87" t="s">
        <v>897</v>
      </c>
      <c r="W41" s="87"/>
      <c r="X41" s="87"/>
      <c r="Y41" s="166" t="s">
        <v>509</v>
      </c>
      <c r="Z41" s="87" t="s">
        <v>851</v>
      </c>
      <c r="AA41" s="196">
        <v>1.0126838352540055E-2</v>
      </c>
    </row>
    <row r="42" spans="1:27" ht="16.5" customHeight="1" x14ac:dyDescent="0.6">
      <c r="A42" s="166" t="s">
        <v>510</v>
      </c>
      <c r="B42" s="200" t="s">
        <v>482</v>
      </c>
      <c r="C42" s="201" t="s">
        <v>731</v>
      </c>
      <c r="D42" s="199">
        <v>0.12374113284549391</v>
      </c>
      <c r="E42" s="85"/>
      <c r="F42" s="166" t="s">
        <v>510</v>
      </c>
      <c r="G42" s="197" t="s">
        <v>773</v>
      </c>
      <c r="H42" s="198" t="s">
        <v>774</v>
      </c>
      <c r="I42" s="199">
        <v>0.39222234475415552</v>
      </c>
      <c r="J42" s="87"/>
      <c r="K42" s="166" t="s">
        <v>897</v>
      </c>
      <c r="L42" s="87"/>
      <c r="M42" s="87"/>
      <c r="N42" s="87"/>
      <c r="O42" s="85"/>
      <c r="P42" s="166" t="s">
        <v>897</v>
      </c>
      <c r="Q42" s="87"/>
      <c r="R42" s="87"/>
      <c r="S42" s="87"/>
      <c r="T42" s="87"/>
      <c r="U42" s="166" t="s">
        <v>897</v>
      </c>
      <c r="V42" s="87" t="s">
        <v>897</v>
      </c>
      <c r="W42" s="87"/>
      <c r="X42" s="87"/>
      <c r="Y42" s="166" t="s">
        <v>897</v>
      </c>
      <c r="Z42" s="87" t="s">
        <v>897</v>
      </c>
      <c r="AA42" s="87"/>
    </row>
    <row r="43" spans="1:27" ht="16.5" customHeight="1" x14ac:dyDescent="0.6">
      <c r="A43" s="166" t="s">
        <v>897</v>
      </c>
      <c r="B43" s="87"/>
      <c r="C43" s="87"/>
      <c r="D43" s="87"/>
      <c r="E43" s="85"/>
      <c r="F43" s="166" t="s">
        <v>511</v>
      </c>
      <c r="G43" s="197" t="s">
        <v>727</v>
      </c>
      <c r="H43" s="198" t="s">
        <v>728</v>
      </c>
      <c r="I43" s="196">
        <v>0.37991040545310034</v>
      </c>
      <c r="J43" s="87"/>
      <c r="K43" s="166" t="s">
        <v>897</v>
      </c>
      <c r="L43" s="87"/>
      <c r="M43" s="87"/>
      <c r="N43" s="87"/>
      <c r="O43" s="85"/>
      <c r="P43" s="166" t="s">
        <v>897</v>
      </c>
      <c r="Q43" s="87"/>
      <c r="R43" s="87"/>
      <c r="S43" s="87"/>
      <c r="T43" s="87"/>
      <c r="U43" s="166" t="s">
        <v>897</v>
      </c>
      <c r="V43" s="87" t="s">
        <v>897</v>
      </c>
      <c r="W43" s="87"/>
      <c r="X43" s="87"/>
      <c r="Y43" s="166" t="s">
        <v>897</v>
      </c>
      <c r="Z43" s="87" t="s">
        <v>897</v>
      </c>
      <c r="AA43" s="87"/>
    </row>
    <row r="44" spans="1:27" ht="16.5" customHeight="1" x14ac:dyDescent="0.6">
      <c r="A44" s="166" t="s">
        <v>897</v>
      </c>
      <c r="B44" s="87"/>
      <c r="C44" s="87"/>
      <c r="D44" s="87"/>
      <c r="E44" s="85"/>
      <c r="F44" s="166" t="s">
        <v>512</v>
      </c>
      <c r="G44" s="197" t="s">
        <v>814</v>
      </c>
      <c r="H44" s="198" t="s">
        <v>815</v>
      </c>
      <c r="I44" s="199">
        <v>0.36365185353448459</v>
      </c>
      <c r="J44" s="87"/>
      <c r="K44" s="166" t="s">
        <v>897</v>
      </c>
      <c r="L44" s="87"/>
      <c r="M44" s="87"/>
      <c r="N44" s="87"/>
      <c r="O44" s="85"/>
      <c r="P44" s="166" t="s">
        <v>897</v>
      </c>
      <c r="Q44" s="87"/>
      <c r="R44" s="87"/>
      <c r="S44" s="87"/>
      <c r="T44" s="87"/>
      <c r="U44" s="166" t="s">
        <v>897</v>
      </c>
      <c r="V44" s="87" t="s">
        <v>897</v>
      </c>
      <c r="W44" s="87"/>
      <c r="X44" s="87"/>
      <c r="Y44" s="166" t="s">
        <v>897</v>
      </c>
      <c r="Z44" s="87" t="s">
        <v>897</v>
      </c>
      <c r="AA44" s="87"/>
    </row>
    <row r="45" spans="1:27" ht="16.5" customHeight="1" x14ac:dyDescent="0.6">
      <c r="A45" s="166" t="s">
        <v>897</v>
      </c>
      <c r="B45" s="87"/>
      <c r="C45" s="87"/>
      <c r="D45" s="87"/>
      <c r="E45" s="85"/>
      <c r="F45" s="166" t="s">
        <v>513</v>
      </c>
      <c r="G45" s="197" t="s">
        <v>791</v>
      </c>
      <c r="H45" s="198" t="s">
        <v>792</v>
      </c>
      <c r="I45" s="196">
        <v>0.32004260555457298</v>
      </c>
      <c r="J45" s="87"/>
      <c r="K45" s="166" t="s">
        <v>897</v>
      </c>
      <c r="L45" s="87"/>
      <c r="M45" s="87"/>
      <c r="N45" s="87"/>
      <c r="O45" s="85"/>
      <c r="P45" s="166" t="s">
        <v>897</v>
      </c>
      <c r="Q45" s="87"/>
      <c r="R45" s="87"/>
      <c r="S45" s="87"/>
      <c r="T45" s="87"/>
      <c r="U45" s="166" t="s">
        <v>897</v>
      </c>
      <c r="V45" s="87" t="s">
        <v>897</v>
      </c>
      <c r="W45" s="87"/>
      <c r="X45" s="87"/>
      <c r="Y45" s="166" t="s">
        <v>897</v>
      </c>
      <c r="Z45" s="87" t="s">
        <v>897</v>
      </c>
      <c r="AA45" s="87"/>
    </row>
    <row r="46" spans="1:27" ht="16.5" customHeight="1" x14ac:dyDescent="0.6">
      <c r="A46" s="166" t="s">
        <v>897</v>
      </c>
      <c r="B46" s="87"/>
      <c r="C46" s="87"/>
      <c r="D46" s="87"/>
      <c r="E46" s="85"/>
      <c r="F46" s="166" t="s">
        <v>514</v>
      </c>
      <c r="G46" s="197" t="s">
        <v>729</v>
      </c>
      <c r="H46" s="198" t="s">
        <v>730</v>
      </c>
      <c r="I46" s="199">
        <v>0.31260140800741831</v>
      </c>
      <c r="J46" s="87"/>
      <c r="K46" s="166" t="s">
        <v>897</v>
      </c>
      <c r="L46" s="87"/>
      <c r="M46" s="87"/>
      <c r="N46" s="87"/>
      <c r="O46" s="85"/>
      <c r="P46" s="166" t="s">
        <v>897</v>
      </c>
      <c r="Q46" s="87"/>
      <c r="R46" s="87"/>
      <c r="S46" s="87"/>
      <c r="T46" s="87"/>
      <c r="U46" s="166" t="s">
        <v>897</v>
      </c>
      <c r="V46" s="87" t="s">
        <v>897</v>
      </c>
      <c r="W46" s="87"/>
      <c r="X46" s="87"/>
      <c r="Y46" s="166" t="s">
        <v>897</v>
      </c>
      <c r="Z46" s="87" t="s">
        <v>897</v>
      </c>
      <c r="AA46" s="87"/>
    </row>
    <row r="47" spans="1:27" ht="16.5" customHeight="1" x14ac:dyDescent="0.6">
      <c r="A47" s="166" t="s">
        <v>897</v>
      </c>
      <c r="B47" s="87"/>
      <c r="C47" s="87"/>
      <c r="D47" s="87"/>
      <c r="E47" s="85"/>
      <c r="F47" s="166" t="s">
        <v>515</v>
      </c>
      <c r="G47" s="197" t="s">
        <v>816</v>
      </c>
      <c r="H47" s="198" t="s">
        <v>817</v>
      </c>
      <c r="I47" s="196">
        <v>0.27777934989316688</v>
      </c>
      <c r="J47" s="87"/>
      <c r="K47" s="166" t="s">
        <v>897</v>
      </c>
      <c r="L47" s="87"/>
      <c r="M47" s="87"/>
      <c r="N47" s="87"/>
      <c r="O47" s="85"/>
      <c r="P47" s="166" t="s">
        <v>897</v>
      </c>
      <c r="Q47" s="87"/>
      <c r="R47" s="87"/>
      <c r="S47" s="87"/>
      <c r="T47" s="87"/>
      <c r="U47" s="166" t="s">
        <v>897</v>
      </c>
      <c r="V47" s="87" t="s">
        <v>897</v>
      </c>
      <c r="W47" s="87"/>
      <c r="X47" s="87"/>
      <c r="Y47" s="166" t="s">
        <v>897</v>
      </c>
      <c r="Z47" s="87" t="s">
        <v>897</v>
      </c>
      <c r="AA47" s="87"/>
    </row>
    <row r="48" spans="1:27" ht="16.5" customHeight="1" x14ac:dyDescent="0.6">
      <c r="A48" s="166" t="s">
        <v>897</v>
      </c>
      <c r="B48" s="87"/>
      <c r="C48" s="87"/>
      <c r="D48" s="87"/>
      <c r="E48" s="85"/>
      <c r="F48" s="166" t="s">
        <v>516</v>
      </c>
      <c r="G48" s="197" t="s">
        <v>890</v>
      </c>
      <c r="H48" s="198" t="s">
        <v>891</v>
      </c>
      <c r="I48" s="199">
        <v>0.2471623136628345</v>
      </c>
      <c r="J48" s="87"/>
      <c r="K48" s="166" t="s">
        <v>897</v>
      </c>
      <c r="L48" s="87"/>
      <c r="M48" s="87"/>
      <c r="N48" s="87"/>
      <c r="O48" s="85"/>
      <c r="P48" s="166" t="s">
        <v>897</v>
      </c>
      <c r="Q48" s="87"/>
      <c r="R48" s="87"/>
      <c r="S48" s="87"/>
      <c r="T48" s="87"/>
      <c r="U48" s="166" t="s">
        <v>897</v>
      </c>
      <c r="V48" s="87" t="s">
        <v>897</v>
      </c>
      <c r="W48" s="87"/>
      <c r="X48" s="87"/>
      <c r="Y48" s="166" t="s">
        <v>897</v>
      </c>
      <c r="Z48" s="87" t="s">
        <v>897</v>
      </c>
      <c r="AA48" s="87"/>
    </row>
    <row r="49" spans="1:27" ht="16.5" customHeight="1" x14ac:dyDescent="0.6">
      <c r="A49" s="166" t="s">
        <v>897</v>
      </c>
      <c r="B49" s="87"/>
      <c r="C49" s="87"/>
      <c r="D49" s="87"/>
      <c r="E49" s="85"/>
      <c r="F49" s="166" t="s">
        <v>517</v>
      </c>
      <c r="G49" s="197" t="s">
        <v>849</v>
      </c>
      <c r="H49" s="198" t="s">
        <v>850</v>
      </c>
      <c r="I49" s="196">
        <v>0.23120067564313054</v>
      </c>
      <c r="J49" s="87"/>
      <c r="K49" s="166" t="s">
        <v>897</v>
      </c>
      <c r="L49" s="87"/>
      <c r="M49" s="87"/>
      <c r="N49" s="87"/>
      <c r="O49" s="85"/>
      <c r="P49" s="166" t="s">
        <v>897</v>
      </c>
      <c r="Q49" s="87"/>
      <c r="R49" s="87"/>
      <c r="S49" s="87"/>
      <c r="T49" s="87"/>
      <c r="U49" s="166" t="s">
        <v>897</v>
      </c>
      <c r="V49" s="87" t="s">
        <v>897</v>
      </c>
      <c r="W49" s="87"/>
      <c r="X49" s="87"/>
      <c r="Y49" s="166" t="s">
        <v>897</v>
      </c>
      <c r="Z49" s="87" t="s">
        <v>897</v>
      </c>
      <c r="AA49" s="87"/>
    </row>
    <row r="50" spans="1:27" ht="16.5" customHeight="1" x14ac:dyDescent="0.6">
      <c r="A50" s="166" t="s">
        <v>897</v>
      </c>
      <c r="B50" s="87"/>
      <c r="C50" s="87"/>
      <c r="D50" s="87"/>
      <c r="E50" s="85"/>
      <c r="F50" s="166" t="s">
        <v>518</v>
      </c>
      <c r="G50" s="197" t="s">
        <v>887</v>
      </c>
      <c r="H50" s="198" t="s">
        <v>888</v>
      </c>
      <c r="I50" s="199">
        <v>0.21891029139517867</v>
      </c>
      <c r="J50" s="87"/>
      <c r="K50" s="166" t="s">
        <v>897</v>
      </c>
      <c r="L50" s="87"/>
      <c r="M50" s="87"/>
      <c r="N50" s="87"/>
      <c r="O50" s="87"/>
      <c r="P50" s="166" t="s">
        <v>897</v>
      </c>
      <c r="Q50" s="87"/>
      <c r="R50" s="87"/>
      <c r="S50" s="87"/>
      <c r="T50" s="87"/>
      <c r="U50" s="166" t="s">
        <v>897</v>
      </c>
      <c r="V50" s="87" t="s">
        <v>897</v>
      </c>
      <c r="W50" s="87"/>
      <c r="X50" s="87"/>
      <c r="Y50" s="166" t="s">
        <v>897</v>
      </c>
      <c r="Z50" s="87" t="s">
        <v>897</v>
      </c>
      <c r="AA50" s="87"/>
    </row>
    <row r="51" spans="1:27" ht="16.5" customHeight="1" x14ac:dyDescent="0.6">
      <c r="A51" s="166" t="s">
        <v>897</v>
      </c>
      <c r="B51" s="87"/>
      <c r="C51" s="87"/>
      <c r="D51" s="87"/>
      <c r="E51" s="85"/>
      <c r="F51" s="166" t="s">
        <v>519</v>
      </c>
      <c r="G51" s="197" t="s">
        <v>878</v>
      </c>
      <c r="H51" s="198" t="s">
        <v>879</v>
      </c>
      <c r="I51" s="196">
        <v>0.21295394164605863</v>
      </c>
      <c r="J51" s="87"/>
      <c r="K51" s="166" t="s">
        <v>897</v>
      </c>
      <c r="L51" s="87"/>
      <c r="M51" s="87"/>
      <c r="N51" s="87"/>
      <c r="O51" s="87"/>
      <c r="P51" s="166" t="s">
        <v>897</v>
      </c>
      <c r="Q51" s="87"/>
      <c r="R51" s="87"/>
      <c r="S51" s="87"/>
      <c r="T51" s="87"/>
      <c r="U51" s="166" t="s">
        <v>897</v>
      </c>
      <c r="V51" s="87" t="s">
        <v>897</v>
      </c>
      <c r="W51" s="87"/>
      <c r="X51" s="87"/>
      <c r="Y51" s="166" t="s">
        <v>897</v>
      </c>
      <c r="Z51" s="87" t="s">
        <v>897</v>
      </c>
      <c r="AA51" s="87"/>
    </row>
    <row r="52" spans="1:27" ht="16.5" customHeight="1" x14ac:dyDescent="0.6">
      <c r="A52" s="166" t="s">
        <v>897</v>
      </c>
      <c r="B52" s="87"/>
      <c r="C52" s="87"/>
      <c r="D52" s="87"/>
      <c r="E52" s="85"/>
      <c r="F52" s="166" t="s">
        <v>863</v>
      </c>
      <c r="G52" s="197" t="s">
        <v>852</v>
      </c>
      <c r="H52" s="198" t="s">
        <v>853</v>
      </c>
      <c r="I52" s="199">
        <v>0.20900097293620448</v>
      </c>
      <c r="J52" s="87"/>
      <c r="K52" s="166" t="s">
        <v>897</v>
      </c>
      <c r="L52" s="87"/>
      <c r="M52" s="87"/>
      <c r="N52" s="87"/>
      <c r="O52" s="87"/>
      <c r="P52" s="166" t="s">
        <v>897</v>
      </c>
      <c r="Q52" s="87"/>
      <c r="R52" s="87"/>
      <c r="S52" s="87"/>
      <c r="T52" s="87"/>
      <c r="U52" s="166" t="s">
        <v>897</v>
      </c>
      <c r="V52" s="87" t="s">
        <v>897</v>
      </c>
      <c r="W52" s="87"/>
      <c r="X52" s="87"/>
      <c r="Y52" s="166" t="s">
        <v>897</v>
      </c>
      <c r="Z52" s="87" t="s">
        <v>897</v>
      </c>
      <c r="AA52" s="87"/>
    </row>
    <row r="53" spans="1:27" ht="16.5" customHeight="1" x14ac:dyDescent="0.6">
      <c r="A53" s="166" t="s">
        <v>897</v>
      </c>
      <c r="B53" s="87"/>
      <c r="C53" s="87"/>
      <c r="D53" s="87"/>
      <c r="E53" s="85"/>
      <c r="F53" s="166" t="s">
        <v>866</v>
      </c>
      <c r="G53" s="197" t="s">
        <v>487</v>
      </c>
      <c r="H53" s="198" t="s">
        <v>794</v>
      </c>
      <c r="I53" s="196">
        <v>0.19333959743465737</v>
      </c>
      <c r="J53" s="87"/>
      <c r="K53" s="166" t="s">
        <v>897</v>
      </c>
      <c r="L53" s="87"/>
      <c r="M53" s="87"/>
      <c r="N53" s="87"/>
      <c r="O53" s="87"/>
      <c r="P53" s="166" t="s">
        <v>897</v>
      </c>
      <c r="Q53" s="87"/>
      <c r="R53" s="87"/>
      <c r="S53" s="87"/>
      <c r="T53" s="87"/>
      <c r="U53" s="166" t="s">
        <v>897</v>
      </c>
      <c r="V53" s="87" t="s">
        <v>897</v>
      </c>
      <c r="W53" s="87"/>
      <c r="X53" s="87"/>
      <c r="Y53" s="166" t="s">
        <v>897</v>
      </c>
      <c r="Z53" s="87" t="s">
        <v>897</v>
      </c>
      <c r="AA53" s="87"/>
    </row>
    <row r="54" spans="1:27" ht="16.5" customHeight="1" x14ac:dyDescent="0.6">
      <c r="A54" s="166" t="s">
        <v>897</v>
      </c>
      <c r="B54" s="87"/>
      <c r="C54" s="87"/>
      <c r="D54" s="87"/>
      <c r="E54" s="85"/>
      <c r="F54" s="166" t="s">
        <v>867</v>
      </c>
      <c r="G54" s="197" t="s">
        <v>747</v>
      </c>
      <c r="H54" s="198" t="s">
        <v>748</v>
      </c>
      <c r="I54" s="199">
        <v>0.18024959343457639</v>
      </c>
      <c r="J54" s="87"/>
      <c r="K54" s="166" t="s">
        <v>897</v>
      </c>
      <c r="L54" s="87"/>
      <c r="M54" s="87"/>
      <c r="N54" s="87"/>
      <c r="O54" s="87"/>
      <c r="P54" s="166" t="s">
        <v>897</v>
      </c>
      <c r="Q54" s="87"/>
      <c r="R54" s="87"/>
      <c r="S54" s="87"/>
      <c r="T54" s="87"/>
      <c r="U54" s="166" t="s">
        <v>897</v>
      </c>
      <c r="V54" s="87" t="s">
        <v>897</v>
      </c>
      <c r="W54" s="87"/>
      <c r="X54" s="87"/>
      <c r="Y54" s="166" t="s">
        <v>897</v>
      </c>
      <c r="Z54" s="87" t="s">
        <v>897</v>
      </c>
      <c r="AA54" s="87"/>
    </row>
    <row r="55" spans="1:27" ht="16.5" customHeight="1" x14ac:dyDescent="0.6">
      <c r="A55" s="166" t="s">
        <v>897</v>
      </c>
      <c r="B55" s="87"/>
      <c r="C55" s="87"/>
      <c r="D55" s="87"/>
      <c r="E55" s="85"/>
      <c r="F55" s="166" t="s">
        <v>870</v>
      </c>
      <c r="G55" s="197" t="s">
        <v>781</v>
      </c>
      <c r="H55" s="198" t="s">
        <v>782</v>
      </c>
      <c r="I55" s="196">
        <v>0.17406674954353865</v>
      </c>
      <c r="J55" s="87"/>
      <c r="K55" s="166" t="s">
        <v>897</v>
      </c>
      <c r="L55" s="87"/>
      <c r="M55" s="87"/>
      <c r="N55" s="87"/>
      <c r="O55" s="87"/>
      <c r="P55" s="166" t="s">
        <v>897</v>
      </c>
      <c r="Q55" s="87"/>
      <c r="R55" s="87"/>
      <c r="S55" s="87"/>
      <c r="T55" s="87"/>
      <c r="U55" s="166" t="s">
        <v>897</v>
      </c>
      <c r="V55" s="87" t="s">
        <v>897</v>
      </c>
      <c r="W55" s="87"/>
      <c r="X55" s="87"/>
      <c r="Y55" s="166" t="s">
        <v>897</v>
      </c>
      <c r="Z55" s="87" t="s">
        <v>897</v>
      </c>
      <c r="AA55" s="87"/>
    </row>
    <row r="56" spans="1:27" ht="16.5" customHeight="1" x14ac:dyDescent="0.6">
      <c r="A56" s="166" t="s">
        <v>897</v>
      </c>
      <c r="B56" s="87"/>
      <c r="C56" s="87"/>
      <c r="D56" s="87"/>
      <c r="E56" s="85"/>
      <c r="F56" s="166" t="s">
        <v>871</v>
      </c>
      <c r="G56" s="197" t="s">
        <v>837</v>
      </c>
      <c r="H56" s="198" t="s">
        <v>838</v>
      </c>
      <c r="I56" s="199">
        <v>0.16809086468590009</v>
      </c>
      <c r="J56" s="87"/>
      <c r="K56" s="166" t="s">
        <v>897</v>
      </c>
      <c r="L56" s="87"/>
      <c r="M56" s="87"/>
      <c r="N56" s="87"/>
      <c r="O56" s="87"/>
      <c r="P56" s="166" t="s">
        <v>897</v>
      </c>
      <c r="Q56" s="87"/>
      <c r="R56" s="87"/>
      <c r="S56" s="87"/>
      <c r="T56" s="87"/>
      <c r="U56" s="166" t="s">
        <v>897</v>
      </c>
      <c r="V56" s="87" t="s">
        <v>897</v>
      </c>
      <c r="W56" s="87"/>
      <c r="X56" s="87"/>
      <c r="Y56" s="166" t="s">
        <v>897</v>
      </c>
      <c r="Z56" s="87" t="s">
        <v>897</v>
      </c>
      <c r="AA56" s="87"/>
    </row>
    <row r="57" spans="1:27" ht="16.5" customHeight="1" x14ac:dyDescent="0.6">
      <c r="A57" s="166" t="s">
        <v>897</v>
      </c>
      <c r="B57" s="87"/>
      <c r="C57" s="87"/>
      <c r="D57" s="87"/>
      <c r="E57" s="85"/>
      <c r="F57" s="166" t="s">
        <v>874</v>
      </c>
      <c r="G57" s="197" t="s">
        <v>864</v>
      </c>
      <c r="H57" s="198" t="s">
        <v>865</v>
      </c>
      <c r="I57" s="196">
        <v>0.150140918902299</v>
      </c>
      <c r="J57" s="87"/>
      <c r="K57" s="166" t="s">
        <v>897</v>
      </c>
      <c r="L57" s="87"/>
      <c r="M57" s="87"/>
      <c r="N57" s="87"/>
      <c r="O57" s="87"/>
      <c r="P57" s="166" t="s">
        <v>897</v>
      </c>
      <c r="Q57" s="87"/>
      <c r="R57" s="87"/>
      <c r="S57" s="87"/>
      <c r="T57" s="87"/>
      <c r="U57" s="166" t="s">
        <v>897</v>
      </c>
      <c r="V57" s="87" t="s">
        <v>897</v>
      </c>
      <c r="W57" s="87"/>
      <c r="X57" s="87"/>
      <c r="Y57" s="166" t="s">
        <v>897</v>
      </c>
      <c r="Z57" s="87" t="s">
        <v>897</v>
      </c>
      <c r="AA57" s="87"/>
    </row>
    <row r="58" spans="1:27" ht="16.5" customHeight="1" x14ac:dyDescent="0.6">
      <c r="A58" s="166" t="s">
        <v>897</v>
      </c>
      <c r="B58" s="87"/>
      <c r="C58" s="87"/>
      <c r="D58" s="87"/>
      <c r="E58" s="85"/>
      <c r="F58" s="166" t="s">
        <v>877</v>
      </c>
      <c r="G58" s="197" t="s">
        <v>875</v>
      </c>
      <c r="H58" s="198" t="s">
        <v>876</v>
      </c>
      <c r="I58" s="199">
        <v>0.10954004172410822</v>
      </c>
      <c r="J58" s="87"/>
      <c r="K58" s="166" t="s">
        <v>897</v>
      </c>
      <c r="L58" s="87"/>
      <c r="M58" s="87"/>
      <c r="N58" s="87"/>
      <c r="O58" s="87"/>
      <c r="P58" s="166" t="s">
        <v>897</v>
      </c>
      <c r="Q58" s="87"/>
      <c r="R58" s="87"/>
      <c r="S58" s="87"/>
      <c r="T58" s="87"/>
      <c r="U58" s="166" t="s">
        <v>897</v>
      </c>
      <c r="V58" s="87" t="s">
        <v>897</v>
      </c>
      <c r="W58" s="87"/>
      <c r="X58" s="87"/>
      <c r="Y58" s="166" t="s">
        <v>897</v>
      </c>
      <c r="Z58" s="87" t="s">
        <v>897</v>
      </c>
      <c r="AA58" s="87"/>
    </row>
    <row r="59" spans="1:27" ht="16.5" customHeight="1" x14ac:dyDescent="0.6">
      <c r="A59" s="166" t="s">
        <v>897</v>
      </c>
      <c r="B59" s="87"/>
      <c r="C59" s="87"/>
      <c r="D59" s="87"/>
      <c r="E59" s="85"/>
      <c r="F59" s="166" t="s">
        <v>880</v>
      </c>
      <c r="G59" s="197" t="s">
        <v>908</v>
      </c>
      <c r="H59" s="198" t="s">
        <v>909</v>
      </c>
      <c r="I59" s="196">
        <v>0.10832720415263676</v>
      </c>
      <c r="J59" s="87"/>
      <c r="K59" s="166" t="s">
        <v>897</v>
      </c>
      <c r="L59" s="87"/>
      <c r="M59" s="87"/>
      <c r="N59" s="87"/>
      <c r="O59" s="87"/>
      <c r="P59" s="166" t="s">
        <v>897</v>
      </c>
      <c r="Q59" s="87"/>
      <c r="R59" s="87"/>
      <c r="S59" s="87"/>
      <c r="T59" s="87"/>
      <c r="U59" s="166" t="s">
        <v>897</v>
      </c>
      <c r="V59" s="87" t="s">
        <v>897</v>
      </c>
      <c r="W59" s="87"/>
      <c r="X59" s="87"/>
      <c r="Y59" s="166" t="s">
        <v>897</v>
      </c>
      <c r="Z59" s="87" t="s">
        <v>897</v>
      </c>
      <c r="AA59" s="87"/>
    </row>
    <row r="60" spans="1:27" ht="16.5" customHeight="1" x14ac:dyDescent="0.6">
      <c r="A60" s="166" t="s">
        <v>897</v>
      </c>
      <c r="B60" s="87"/>
      <c r="C60" s="87"/>
      <c r="D60" s="87"/>
      <c r="E60" s="85"/>
      <c r="F60" s="166" t="s">
        <v>883</v>
      </c>
      <c r="G60" s="197" t="s">
        <v>884</v>
      </c>
      <c r="H60" s="198" t="s">
        <v>885</v>
      </c>
      <c r="I60" s="199">
        <v>0.10596457821333603</v>
      </c>
      <c r="J60" s="87"/>
      <c r="K60" s="166" t="s">
        <v>897</v>
      </c>
      <c r="L60" s="87"/>
      <c r="M60" s="87"/>
      <c r="N60" s="87"/>
      <c r="O60" s="87"/>
      <c r="P60" s="166" t="s">
        <v>897</v>
      </c>
      <c r="Q60" s="87"/>
      <c r="R60" s="87"/>
      <c r="S60" s="87"/>
      <c r="T60" s="87"/>
      <c r="U60" s="166" t="s">
        <v>897</v>
      </c>
      <c r="V60" s="87" t="s">
        <v>897</v>
      </c>
      <c r="W60" s="87"/>
      <c r="X60" s="87"/>
      <c r="Y60" s="166" t="s">
        <v>897</v>
      </c>
      <c r="Z60" s="87" t="s">
        <v>897</v>
      </c>
      <c r="AA60" s="87"/>
    </row>
    <row r="61" spans="1:27" ht="16.5" customHeight="1" x14ac:dyDescent="0.6">
      <c r="A61" s="166" t="s">
        <v>897</v>
      </c>
      <c r="B61" s="87"/>
      <c r="C61" s="87"/>
      <c r="D61" s="87"/>
      <c r="E61" s="85"/>
      <c r="F61" s="166" t="s">
        <v>886</v>
      </c>
      <c r="G61" s="200" t="s">
        <v>803</v>
      </c>
      <c r="H61" s="201" t="s">
        <v>804</v>
      </c>
      <c r="I61" s="196">
        <v>0.10361676520099093</v>
      </c>
      <c r="J61" s="87"/>
      <c r="K61" s="166" t="s">
        <v>897</v>
      </c>
      <c r="L61" s="87"/>
      <c r="M61" s="87"/>
      <c r="N61" s="87"/>
      <c r="O61" s="87"/>
      <c r="P61" s="166" t="s">
        <v>897</v>
      </c>
      <c r="Q61" s="87"/>
      <c r="R61" s="87"/>
      <c r="S61" s="87"/>
      <c r="T61" s="87"/>
      <c r="U61" s="166" t="s">
        <v>897</v>
      </c>
      <c r="V61" s="87" t="s">
        <v>897</v>
      </c>
      <c r="W61" s="87"/>
      <c r="X61" s="87"/>
      <c r="Y61" s="166" t="s">
        <v>897</v>
      </c>
      <c r="Z61" s="87" t="s">
        <v>897</v>
      </c>
      <c r="AA61" s="87"/>
    </row>
    <row r="62" spans="1:27" ht="16.5" customHeight="1" x14ac:dyDescent="0.6">
      <c r="A62" s="166" t="s">
        <v>897</v>
      </c>
      <c r="B62" s="87"/>
      <c r="C62" s="87"/>
      <c r="D62" s="87"/>
      <c r="E62" s="85"/>
      <c r="F62" s="166" t="s">
        <v>897</v>
      </c>
      <c r="G62" s="87"/>
      <c r="H62" s="87"/>
      <c r="I62" s="87"/>
      <c r="J62" s="87"/>
      <c r="K62" s="166" t="s">
        <v>897</v>
      </c>
      <c r="L62" s="87"/>
      <c r="M62" s="87"/>
      <c r="N62" s="87"/>
      <c r="O62" s="87"/>
      <c r="P62" s="166" t="s">
        <v>897</v>
      </c>
      <c r="Q62" s="87"/>
      <c r="R62" s="87"/>
      <c r="S62" s="87"/>
      <c r="T62" s="87"/>
      <c r="U62" s="166" t="s">
        <v>897</v>
      </c>
      <c r="V62" s="87" t="s">
        <v>897</v>
      </c>
      <c r="W62" s="87"/>
      <c r="X62" s="87"/>
      <c r="Y62" s="166" t="s">
        <v>897</v>
      </c>
      <c r="Z62" s="87" t="s">
        <v>897</v>
      </c>
      <c r="AA62" s="87"/>
    </row>
    <row r="63" spans="1:27" ht="16.5" customHeight="1" x14ac:dyDescent="0.6">
      <c r="A63" s="166" t="s">
        <v>897</v>
      </c>
      <c r="B63" s="87"/>
      <c r="C63" s="87"/>
      <c r="D63" s="87"/>
      <c r="E63" s="85"/>
      <c r="F63" s="166" t="s">
        <v>897</v>
      </c>
      <c r="G63" s="87"/>
      <c r="H63" s="87"/>
      <c r="I63" s="87"/>
      <c r="J63" s="87"/>
      <c r="K63" s="166" t="s">
        <v>897</v>
      </c>
      <c r="L63" s="87"/>
      <c r="M63" s="87"/>
      <c r="N63" s="87"/>
      <c r="O63" s="87"/>
      <c r="P63" s="166" t="s">
        <v>897</v>
      </c>
      <c r="Q63" s="87"/>
      <c r="R63" s="87"/>
      <c r="S63" s="87"/>
      <c r="T63" s="87"/>
      <c r="U63" s="166" t="s">
        <v>897</v>
      </c>
      <c r="V63" s="87" t="s">
        <v>897</v>
      </c>
      <c r="W63" s="87"/>
      <c r="X63" s="87"/>
      <c r="Y63" s="166" t="s">
        <v>897</v>
      </c>
      <c r="Z63" s="87" t="s">
        <v>897</v>
      </c>
      <c r="AA63" s="87"/>
    </row>
    <row r="64" spans="1:27" ht="16.5" customHeight="1" x14ac:dyDescent="0.6">
      <c r="A64" s="166" t="s">
        <v>897</v>
      </c>
      <c r="B64" s="87"/>
      <c r="C64" s="87"/>
      <c r="D64" s="87"/>
      <c r="E64" s="85"/>
      <c r="F64" s="166" t="s">
        <v>897</v>
      </c>
      <c r="G64" s="87"/>
      <c r="H64" s="87"/>
      <c r="I64" s="87"/>
      <c r="J64" s="87"/>
      <c r="K64" s="166" t="s">
        <v>897</v>
      </c>
      <c r="L64" s="87"/>
      <c r="M64" s="87"/>
      <c r="N64" s="87"/>
      <c r="O64" s="87"/>
      <c r="P64" s="166" t="s">
        <v>897</v>
      </c>
      <c r="Q64" s="87"/>
      <c r="R64" s="87"/>
      <c r="S64" s="87"/>
      <c r="T64" s="87"/>
      <c r="U64" s="166" t="s">
        <v>897</v>
      </c>
      <c r="V64" s="87" t="s">
        <v>897</v>
      </c>
      <c r="W64" s="87"/>
      <c r="X64" s="87"/>
      <c r="Y64" s="166" t="s">
        <v>897</v>
      </c>
      <c r="Z64" s="87" t="s">
        <v>897</v>
      </c>
      <c r="AA64" s="87"/>
    </row>
    <row r="65" spans="1:27" ht="16.5" customHeight="1" x14ac:dyDescent="0.6">
      <c r="A65" s="166" t="s">
        <v>897</v>
      </c>
      <c r="B65" s="87"/>
      <c r="C65" s="87"/>
      <c r="D65" s="87"/>
      <c r="E65" s="85"/>
      <c r="F65" s="166" t="s">
        <v>897</v>
      </c>
      <c r="G65" s="87"/>
      <c r="H65" s="87"/>
      <c r="I65" s="87"/>
      <c r="J65" s="87"/>
      <c r="K65" s="166" t="s">
        <v>897</v>
      </c>
      <c r="L65" s="87"/>
      <c r="M65" s="87"/>
      <c r="N65" s="87"/>
      <c r="O65" s="87"/>
      <c r="P65" s="166" t="s">
        <v>897</v>
      </c>
      <c r="Q65" s="87"/>
      <c r="R65" s="87"/>
      <c r="S65" s="87"/>
      <c r="T65" s="87"/>
      <c r="U65" s="166" t="s">
        <v>897</v>
      </c>
      <c r="V65" s="87" t="s">
        <v>897</v>
      </c>
      <c r="W65" s="87"/>
      <c r="X65" s="87"/>
      <c r="Y65" s="166" t="s">
        <v>897</v>
      </c>
      <c r="Z65" s="87" t="s">
        <v>897</v>
      </c>
      <c r="AA65" s="87"/>
    </row>
    <row r="66" spans="1:27" ht="16.5" customHeight="1" x14ac:dyDescent="0.6">
      <c r="A66" s="166" t="s">
        <v>897</v>
      </c>
      <c r="B66" s="87"/>
      <c r="C66" s="87"/>
      <c r="D66" s="87"/>
      <c r="E66" s="85"/>
      <c r="F66" s="166" t="s">
        <v>897</v>
      </c>
      <c r="G66" s="87"/>
      <c r="H66" s="87"/>
      <c r="I66" s="87"/>
      <c r="J66" s="87"/>
      <c r="K66" s="166" t="s">
        <v>897</v>
      </c>
      <c r="L66" s="87"/>
      <c r="M66" s="87"/>
      <c r="N66" s="87"/>
      <c r="O66" s="87"/>
      <c r="P66" s="166" t="s">
        <v>897</v>
      </c>
      <c r="Q66" s="87"/>
      <c r="R66" s="87"/>
      <c r="S66" s="87"/>
      <c r="T66" s="87"/>
      <c r="U66" s="166" t="s">
        <v>897</v>
      </c>
      <c r="V66" s="87" t="s">
        <v>897</v>
      </c>
      <c r="W66" s="87"/>
      <c r="X66" s="87"/>
      <c r="Y66" s="166" t="s">
        <v>897</v>
      </c>
      <c r="Z66" s="87" t="s">
        <v>897</v>
      </c>
      <c r="AA66" s="87"/>
    </row>
    <row r="67" spans="1:27" ht="16.5" customHeight="1" x14ac:dyDescent="0.6">
      <c r="A67" s="166" t="s">
        <v>897</v>
      </c>
      <c r="B67" s="87"/>
      <c r="C67" s="87"/>
      <c r="D67" s="87"/>
      <c r="E67" s="85"/>
      <c r="F67" s="166" t="s">
        <v>897</v>
      </c>
      <c r="G67" s="87"/>
      <c r="H67" s="87"/>
      <c r="I67" s="87"/>
      <c r="J67" s="87"/>
      <c r="K67" s="166" t="s">
        <v>897</v>
      </c>
      <c r="L67" s="87"/>
      <c r="M67" s="87"/>
      <c r="N67" s="87"/>
      <c r="O67" s="87"/>
      <c r="P67" s="166" t="s">
        <v>897</v>
      </c>
      <c r="Q67" s="87"/>
      <c r="R67" s="87"/>
      <c r="S67" s="87"/>
      <c r="T67" s="87"/>
      <c r="U67" s="166" t="s">
        <v>897</v>
      </c>
      <c r="V67" s="87" t="s">
        <v>897</v>
      </c>
      <c r="W67" s="87"/>
      <c r="X67" s="87"/>
      <c r="Y67" s="166" t="s">
        <v>897</v>
      </c>
      <c r="Z67" s="87" t="s">
        <v>897</v>
      </c>
      <c r="AA67" s="87"/>
    </row>
    <row r="68" spans="1:27" ht="16.5" customHeight="1" x14ac:dyDescent="0.6">
      <c r="A68" s="166" t="s">
        <v>897</v>
      </c>
      <c r="B68" s="87"/>
      <c r="C68" s="87"/>
      <c r="D68" s="87"/>
      <c r="E68" s="85"/>
      <c r="F68" s="166" t="s">
        <v>897</v>
      </c>
      <c r="G68" s="87"/>
      <c r="H68" s="87"/>
      <c r="I68" s="87"/>
      <c r="J68" s="87"/>
      <c r="K68" s="166" t="s">
        <v>897</v>
      </c>
      <c r="L68" s="87"/>
      <c r="M68" s="87"/>
      <c r="N68" s="87"/>
      <c r="O68" s="87"/>
      <c r="P68" s="166" t="s">
        <v>897</v>
      </c>
      <c r="Q68" s="87"/>
      <c r="R68" s="87"/>
      <c r="S68" s="87"/>
      <c r="T68" s="87"/>
      <c r="U68" s="87"/>
      <c r="V68" s="87"/>
      <c r="W68" s="87"/>
      <c r="X68" s="87"/>
      <c r="Y68" s="166"/>
      <c r="Z68" s="166"/>
      <c r="AA68" s="95"/>
    </row>
    <row r="69" spans="1:27" ht="16.5" customHeight="1" x14ac:dyDescent="0.6">
      <c r="A69" s="166" t="s">
        <v>897</v>
      </c>
      <c r="B69" s="87"/>
      <c r="C69" s="87"/>
      <c r="D69" s="87"/>
      <c r="E69" s="85"/>
      <c r="F69" s="166" t="s">
        <v>897</v>
      </c>
      <c r="G69" s="87"/>
      <c r="H69" s="87"/>
      <c r="I69" s="87"/>
      <c r="J69" s="87"/>
      <c r="K69" s="166" t="s">
        <v>897</v>
      </c>
      <c r="L69" s="87"/>
      <c r="M69" s="87"/>
      <c r="N69" s="87"/>
      <c r="O69" s="87"/>
      <c r="P69" s="166" t="s">
        <v>897</v>
      </c>
      <c r="Q69" s="87"/>
      <c r="R69" s="87"/>
      <c r="S69" s="87"/>
      <c r="T69" s="87"/>
      <c r="U69" s="87"/>
      <c r="V69" s="87"/>
      <c r="W69" s="87"/>
      <c r="X69" s="87"/>
      <c r="Y69" s="166"/>
      <c r="Z69" s="166"/>
      <c r="AA69" s="95"/>
    </row>
    <row r="70" spans="1:27" ht="16.5" customHeight="1" x14ac:dyDescent="0.6">
      <c r="A70" s="166" t="s">
        <v>897</v>
      </c>
      <c r="B70" s="87"/>
      <c r="C70" s="87"/>
      <c r="D70" s="87"/>
      <c r="E70" s="85"/>
      <c r="F70" s="166" t="s">
        <v>897</v>
      </c>
      <c r="G70" s="87"/>
      <c r="H70" s="87"/>
      <c r="I70" s="87"/>
      <c r="J70" s="87"/>
      <c r="K70" s="166" t="s">
        <v>897</v>
      </c>
      <c r="L70" s="87"/>
      <c r="M70" s="87"/>
      <c r="N70" s="87"/>
      <c r="O70" s="87"/>
      <c r="P70" s="166" t="s">
        <v>897</v>
      </c>
      <c r="Q70" s="87"/>
      <c r="R70" s="87"/>
      <c r="S70" s="87"/>
      <c r="T70" s="87"/>
      <c r="U70" s="87"/>
      <c r="V70" s="87"/>
      <c r="W70" s="87"/>
      <c r="X70" s="87"/>
      <c r="Y70" s="166"/>
      <c r="Z70" s="166"/>
      <c r="AA70" s="95"/>
    </row>
    <row r="71" spans="1:27" ht="16.5" customHeight="1" x14ac:dyDescent="0.6">
      <c r="A71" s="166" t="s">
        <v>897</v>
      </c>
      <c r="B71" s="87"/>
      <c r="C71" s="87"/>
      <c r="D71" s="87"/>
      <c r="E71" s="85"/>
      <c r="F71" s="166" t="s">
        <v>897</v>
      </c>
      <c r="G71" s="87"/>
      <c r="H71" s="87"/>
      <c r="I71" s="87"/>
      <c r="J71" s="87"/>
      <c r="K71" s="166" t="s">
        <v>897</v>
      </c>
      <c r="L71" s="87"/>
      <c r="M71" s="87"/>
      <c r="N71" s="87"/>
      <c r="O71" s="87"/>
      <c r="P71" s="166" t="s">
        <v>897</v>
      </c>
      <c r="Q71" s="87"/>
      <c r="R71" s="87"/>
      <c r="S71" s="87"/>
      <c r="T71" s="87"/>
      <c r="U71" s="87"/>
      <c r="V71" s="87"/>
      <c r="W71" s="87"/>
      <c r="X71" s="87"/>
      <c r="Y71" s="166"/>
      <c r="Z71" s="166"/>
      <c r="AA71" s="95"/>
    </row>
    <row r="72" spans="1:27" ht="16.5" customHeight="1" x14ac:dyDescent="0.6">
      <c r="A72" s="166" t="s">
        <v>897</v>
      </c>
      <c r="B72" s="87"/>
      <c r="C72" s="87"/>
      <c r="D72" s="87"/>
      <c r="E72" s="85"/>
      <c r="F72" s="166" t="s">
        <v>897</v>
      </c>
      <c r="G72" s="87"/>
      <c r="H72" s="87"/>
      <c r="I72" s="87"/>
      <c r="J72" s="87"/>
      <c r="K72" s="166" t="s">
        <v>897</v>
      </c>
      <c r="L72" s="87"/>
      <c r="M72" s="87"/>
      <c r="N72" s="87"/>
      <c r="O72" s="87"/>
      <c r="P72" s="166" t="s">
        <v>897</v>
      </c>
      <c r="Q72" s="87"/>
      <c r="R72" s="87"/>
      <c r="S72" s="87"/>
      <c r="T72" s="87"/>
      <c r="U72" s="87"/>
      <c r="V72" s="87"/>
      <c r="W72" s="87"/>
      <c r="X72" s="87"/>
      <c r="Y72" s="166"/>
      <c r="Z72" s="166"/>
      <c r="AA72" s="95"/>
    </row>
    <row r="73" spans="1:27" ht="16.5" customHeight="1" x14ac:dyDescent="0.6">
      <c r="A73" s="166" t="s">
        <v>897</v>
      </c>
      <c r="B73" s="87"/>
      <c r="C73" s="87"/>
      <c r="D73" s="87"/>
      <c r="E73" s="85"/>
      <c r="F73" s="166" t="s">
        <v>897</v>
      </c>
      <c r="G73" s="87"/>
      <c r="H73" s="87"/>
      <c r="I73" s="87"/>
      <c r="J73" s="87"/>
      <c r="K73" s="166" t="s">
        <v>897</v>
      </c>
      <c r="L73" s="87"/>
      <c r="M73" s="87"/>
      <c r="N73" s="87"/>
      <c r="O73" s="87"/>
      <c r="P73" s="166" t="s">
        <v>897</v>
      </c>
      <c r="Q73" s="87"/>
      <c r="R73" s="87"/>
      <c r="S73" s="87"/>
      <c r="T73" s="87"/>
      <c r="U73" s="87"/>
      <c r="V73" s="87"/>
      <c r="W73" s="87"/>
      <c r="X73" s="87"/>
      <c r="Y73" s="166"/>
      <c r="Z73" s="166"/>
      <c r="AA73" s="95"/>
    </row>
    <row r="74" spans="1:27" ht="16.5" customHeight="1" x14ac:dyDescent="0.6">
      <c r="A74" s="166" t="s">
        <v>897</v>
      </c>
      <c r="B74" s="87"/>
      <c r="C74" s="87"/>
      <c r="D74" s="87"/>
      <c r="E74" s="85"/>
      <c r="F74" s="166" t="s">
        <v>897</v>
      </c>
      <c r="G74" s="87"/>
      <c r="H74" s="87"/>
      <c r="I74" s="87"/>
      <c r="J74" s="87"/>
      <c r="K74" s="166" t="s">
        <v>897</v>
      </c>
      <c r="L74" s="87"/>
      <c r="M74" s="87"/>
      <c r="N74" s="87"/>
      <c r="O74" s="87"/>
      <c r="P74" s="166" t="s">
        <v>897</v>
      </c>
      <c r="Q74" s="87"/>
      <c r="R74" s="87"/>
      <c r="S74" s="87"/>
      <c r="T74" s="87"/>
      <c r="U74" s="87"/>
      <c r="V74" s="87"/>
      <c r="W74" s="87"/>
      <c r="X74" s="87"/>
      <c r="Y74" s="87"/>
      <c r="Z74" s="87"/>
      <c r="AA74" s="87"/>
    </row>
    <row r="75" spans="1:27" ht="16.5" customHeight="1" x14ac:dyDescent="0.6">
      <c r="A75" s="166" t="s">
        <v>897</v>
      </c>
      <c r="B75" s="87"/>
      <c r="C75" s="87"/>
      <c r="D75" s="87"/>
      <c r="E75" s="85"/>
      <c r="F75" s="166" t="s">
        <v>897</v>
      </c>
      <c r="G75" s="87"/>
      <c r="H75" s="87"/>
      <c r="I75" s="87"/>
      <c r="J75" s="87"/>
      <c r="K75" s="166" t="s">
        <v>897</v>
      </c>
      <c r="L75" s="87"/>
      <c r="M75" s="87"/>
      <c r="N75" s="87"/>
      <c r="O75" s="87"/>
      <c r="P75" s="166" t="s">
        <v>897</v>
      </c>
      <c r="Q75" s="87"/>
      <c r="R75" s="87"/>
      <c r="S75" s="87"/>
      <c r="T75" s="87"/>
      <c r="U75" s="87"/>
      <c r="V75" s="87"/>
      <c r="W75" s="87"/>
      <c r="X75" s="87"/>
      <c r="Y75" s="87"/>
      <c r="Z75" s="87"/>
      <c r="AA75" s="87"/>
    </row>
    <row r="76" spans="1:27" ht="16.5" customHeight="1" x14ac:dyDescent="0.6">
      <c r="A76" s="166" t="s">
        <v>897</v>
      </c>
      <c r="B76" s="87"/>
      <c r="C76" s="87"/>
      <c r="D76" s="87"/>
      <c r="E76" s="85"/>
      <c r="F76" s="166" t="s">
        <v>897</v>
      </c>
      <c r="G76" s="87"/>
      <c r="H76" s="87"/>
      <c r="I76" s="87"/>
      <c r="J76" s="87"/>
      <c r="K76" s="166" t="s">
        <v>897</v>
      </c>
      <c r="L76" s="87"/>
      <c r="M76" s="87"/>
      <c r="N76" s="87"/>
      <c r="O76" s="87"/>
      <c r="P76" s="166" t="s">
        <v>897</v>
      </c>
      <c r="Q76" s="87"/>
      <c r="R76" s="87"/>
      <c r="S76" s="87"/>
      <c r="T76" s="87"/>
      <c r="U76" s="87"/>
      <c r="V76" s="87"/>
      <c r="W76" s="87"/>
      <c r="X76" s="87"/>
      <c r="Y76" s="87"/>
      <c r="Z76" s="87"/>
      <c r="AA76" s="87"/>
    </row>
    <row r="77" spans="1:27" ht="16.5" customHeight="1" x14ac:dyDescent="0.6">
      <c r="A77" s="166" t="s">
        <v>897</v>
      </c>
      <c r="B77" s="87"/>
      <c r="C77" s="87"/>
      <c r="D77" s="87"/>
      <c r="E77" s="85"/>
      <c r="F77" s="166" t="s">
        <v>897</v>
      </c>
      <c r="G77" s="87"/>
      <c r="H77" s="87"/>
      <c r="I77" s="87"/>
      <c r="J77" s="87"/>
      <c r="K77" s="166" t="s">
        <v>897</v>
      </c>
      <c r="L77" s="87"/>
      <c r="M77" s="87"/>
      <c r="N77" s="87"/>
      <c r="O77" s="87"/>
      <c r="P77" s="166" t="s">
        <v>897</v>
      </c>
      <c r="Q77" s="87"/>
      <c r="R77" s="87"/>
      <c r="S77" s="87"/>
      <c r="T77" s="87"/>
      <c r="U77" s="87"/>
      <c r="V77" s="87"/>
      <c r="W77" s="87"/>
      <c r="X77" s="87"/>
      <c r="Y77" s="87"/>
      <c r="Z77" s="87"/>
      <c r="AA77" s="87"/>
    </row>
    <row r="78" spans="1:27" ht="16.5" customHeight="1" x14ac:dyDescent="0.6">
      <c r="A78" s="166" t="s">
        <v>897</v>
      </c>
      <c r="B78" s="87"/>
      <c r="C78" s="87"/>
      <c r="D78" s="87"/>
      <c r="E78" s="85"/>
      <c r="F78" s="166" t="s">
        <v>897</v>
      </c>
      <c r="G78" s="87"/>
      <c r="H78" s="87"/>
      <c r="I78" s="87"/>
      <c r="J78" s="87"/>
      <c r="K78" s="166" t="s">
        <v>897</v>
      </c>
      <c r="L78" s="87"/>
      <c r="M78" s="87"/>
      <c r="N78" s="87"/>
      <c r="O78" s="87"/>
      <c r="P78" s="166" t="s">
        <v>897</v>
      </c>
      <c r="Q78" s="87"/>
      <c r="R78" s="87"/>
      <c r="S78" s="87"/>
      <c r="T78" s="87"/>
      <c r="U78" s="87"/>
      <c r="V78" s="87"/>
      <c r="W78" s="87"/>
      <c r="X78" s="87"/>
      <c r="Y78" s="87"/>
      <c r="Z78" s="87"/>
      <c r="AA78" s="87"/>
    </row>
    <row r="79" spans="1:27" ht="16.5" customHeight="1" x14ac:dyDescent="0.6">
      <c r="A79" s="166" t="s">
        <v>897</v>
      </c>
      <c r="B79" s="87"/>
      <c r="C79" s="87"/>
      <c r="D79" s="87"/>
      <c r="E79" s="85"/>
      <c r="F79" s="166" t="s">
        <v>897</v>
      </c>
      <c r="G79" s="87"/>
      <c r="H79" s="87"/>
      <c r="I79" s="87"/>
      <c r="J79" s="87"/>
      <c r="K79" s="166" t="s">
        <v>897</v>
      </c>
      <c r="L79" s="87"/>
      <c r="M79" s="87"/>
      <c r="N79" s="87"/>
      <c r="O79" s="87"/>
      <c r="P79" s="166" t="s">
        <v>897</v>
      </c>
      <c r="Q79" s="87"/>
      <c r="R79" s="87"/>
      <c r="S79" s="87"/>
      <c r="T79" s="87"/>
      <c r="U79" s="87"/>
      <c r="V79" s="87"/>
      <c r="W79" s="87"/>
      <c r="X79" s="87"/>
      <c r="Y79" s="87"/>
      <c r="Z79" s="87"/>
      <c r="AA79" s="87"/>
    </row>
    <row r="80" spans="1:27" ht="16.5" customHeight="1" x14ac:dyDescent="0.6">
      <c r="A80" s="166" t="s">
        <v>897</v>
      </c>
      <c r="B80" s="87"/>
      <c r="C80" s="87"/>
      <c r="D80" s="87"/>
      <c r="E80" s="85"/>
      <c r="F80" s="166" t="s">
        <v>897</v>
      </c>
      <c r="G80" s="87"/>
      <c r="H80" s="87"/>
      <c r="I80" s="87"/>
      <c r="J80" s="87"/>
      <c r="K80" s="166" t="s">
        <v>897</v>
      </c>
      <c r="L80" s="87"/>
      <c r="M80" s="87"/>
      <c r="N80" s="87"/>
      <c r="O80" s="87"/>
      <c r="P80" s="166" t="s">
        <v>897</v>
      </c>
      <c r="Q80" s="87"/>
      <c r="R80" s="87"/>
      <c r="S80" s="87"/>
      <c r="T80" s="87"/>
      <c r="U80" s="87"/>
      <c r="V80" s="87"/>
      <c r="W80" s="87"/>
      <c r="X80" s="87"/>
      <c r="Y80" s="87"/>
      <c r="Z80" s="87"/>
      <c r="AA80" s="87"/>
    </row>
    <row r="81" spans="1:27" ht="16.5" customHeight="1" x14ac:dyDescent="0.6">
      <c r="A81" s="166" t="s">
        <v>897</v>
      </c>
      <c r="B81" s="87"/>
      <c r="C81" s="87"/>
      <c r="D81" s="87"/>
      <c r="E81" s="87"/>
      <c r="F81" s="166" t="s">
        <v>897</v>
      </c>
      <c r="G81" s="87"/>
      <c r="H81" s="87"/>
      <c r="I81" s="87"/>
      <c r="J81" s="87"/>
      <c r="K81" s="166" t="s">
        <v>897</v>
      </c>
      <c r="L81" s="87"/>
      <c r="M81" s="87"/>
      <c r="N81" s="87"/>
      <c r="O81" s="87"/>
      <c r="P81" s="166" t="s">
        <v>897</v>
      </c>
      <c r="Q81" s="87"/>
      <c r="R81" s="87"/>
      <c r="S81" s="87"/>
      <c r="T81" s="87"/>
      <c r="U81" s="87"/>
      <c r="V81" s="87"/>
      <c r="W81" s="87"/>
      <c r="X81" s="87"/>
      <c r="Y81" s="87"/>
      <c r="Z81" s="87"/>
      <c r="AA81" s="87"/>
    </row>
    <row r="82" spans="1:27" ht="16.5" customHeight="1" x14ac:dyDescent="0.6">
      <c r="A82" s="166" t="s">
        <v>897</v>
      </c>
      <c r="B82" s="87"/>
      <c r="C82" s="87"/>
      <c r="D82" s="87"/>
      <c r="E82" s="87"/>
      <c r="F82" s="166" t="s">
        <v>897</v>
      </c>
      <c r="G82" s="87"/>
      <c r="H82" s="87"/>
      <c r="I82" s="87"/>
      <c r="J82" s="87"/>
      <c r="K82" s="166" t="s">
        <v>897</v>
      </c>
      <c r="L82" s="87"/>
      <c r="M82" s="87"/>
      <c r="N82" s="87"/>
      <c r="O82" s="87"/>
      <c r="P82" s="166" t="s">
        <v>897</v>
      </c>
      <c r="Q82" s="87"/>
      <c r="R82" s="87"/>
      <c r="S82" s="87"/>
      <c r="T82" s="87"/>
      <c r="U82" s="87"/>
      <c r="V82" s="87"/>
      <c r="W82" s="87"/>
      <c r="X82" s="87"/>
      <c r="Y82" s="87"/>
      <c r="Z82" s="87"/>
      <c r="AA82" s="87"/>
    </row>
    <row r="83" spans="1:27" ht="16.5" customHeight="1" x14ac:dyDescent="0.6">
      <c r="A83" s="166" t="s">
        <v>897</v>
      </c>
      <c r="B83" s="87"/>
      <c r="C83" s="87"/>
      <c r="D83" s="87"/>
      <c r="E83" s="87"/>
      <c r="F83" s="166" t="s">
        <v>897</v>
      </c>
      <c r="G83" s="87"/>
      <c r="H83" s="87"/>
      <c r="I83" s="87"/>
      <c r="J83" s="87"/>
      <c r="K83" s="166" t="s">
        <v>897</v>
      </c>
      <c r="L83" s="87"/>
      <c r="M83" s="87"/>
      <c r="N83" s="87"/>
      <c r="O83" s="87"/>
      <c r="P83" s="166" t="s">
        <v>897</v>
      </c>
      <c r="Q83" s="87"/>
      <c r="R83" s="87"/>
      <c r="S83" s="87"/>
      <c r="T83" s="87"/>
      <c r="U83" s="87"/>
      <c r="V83" s="87"/>
      <c r="W83" s="87"/>
      <c r="X83" s="87"/>
      <c r="Y83" s="87"/>
      <c r="Z83" s="87"/>
      <c r="AA83" s="87"/>
    </row>
    <row r="84" spans="1:27" ht="16.5" customHeight="1" x14ac:dyDescent="0.6">
      <c r="A84" s="166" t="s">
        <v>897</v>
      </c>
      <c r="B84" s="87"/>
      <c r="C84" s="87"/>
      <c r="D84" s="87"/>
      <c r="E84" s="87"/>
      <c r="F84" s="166" t="s">
        <v>897</v>
      </c>
      <c r="G84" s="87"/>
      <c r="H84" s="87"/>
      <c r="I84" s="87"/>
      <c r="J84" s="87"/>
      <c r="K84" s="166" t="s">
        <v>897</v>
      </c>
      <c r="L84" s="87"/>
      <c r="M84" s="87"/>
      <c r="N84" s="87"/>
      <c r="O84" s="87"/>
      <c r="P84" s="166" t="s">
        <v>897</v>
      </c>
      <c r="Q84" s="87"/>
      <c r="R84" s="87"/>
      <c r="S84" s="87"/>
      <c r="T84" s="87"/>
      <c r="U84" s="87"/>
      <c r="V84" s="87"/>
      <c r="W84" s="87"/>
      <c r="X84" s="87"/>
      <c r="Y84" s="87"/>
      <c r="Z84" s="87"/>
      <c r="AA84" s="87"/>
    </row>
    <row r="85" spans="1:27" ht="16.5" customHeight="1" x14ac:dyDescent="0.6">
      <c r="A85" s="166" t="s">
        <v>897</v>
      </c>
      <c r="B85" s="87"/>
      <c r="C85" s="87"/>
      <c r="D85" s="87"/>
      <c r="E85" s="87"/>
      <c r="F85" s="166" t="s">
        <v>897</v>
      </c>
      <c r="G85" s="87"/>
      <c r="H85" s="87"/>
      <c r="I85" s="87"/>
      <c r="J85" s="87"/>
      <c r="K85" s="166" t="s">
        <v>897</v>
      </c>
      <c r="L85" s="87"/>
      <c r="M85" s="87"/>
      <c r="N85" s="87"/>
      <c r="O85" s="87"/>
      <c r="P85" s="166" t="s">
        <v>897</v>
      </c>
      <c r="Q85" s="87"/>
      <c r="R85" s="87"/>
      <c r="S85" s="87"/>
      <c r="T85" s="87"/>
      <c r="U85" s="87"/>
      <c r="V85" s="87"/>
      <c r="W85" s="87"/>
      <c r="X85" s="87"/>
      <c r="Y85" s="87"/>
      <c r="Z85" s="87"/>
      <c r="AA85" s="87"/>
    </row>
    <row r="86" spans="1:27" ht="16.5" customHeight="1" x14ac:dyDescent="0.6">
      <c r="A86" s="166" t="s">
        <v>897</v>
      </c>
      <c r="B86" s="87"/>
      <c r="C86" s="87"/>
      <c r="D86" s="87"/>
      <c r="E86" s="87"/>
      <c r="F86" s="166" t="s">
        <v>897</v>
      </c>
      <c r="G86" s="87"/>
      <c r="H86" s="87"/>
      <c r="I86" s="87"/>
      <c r="J86" s="87"/>
      <c r="K86" s="166" t="s">
        <v>897</v>
      </c>
      <c r="L86" s="87"/>
      <c r="M86" s="87"/>
      <c r="N86" s="87"/>
      <c r="O86" s="87"/>
      <c r="P86" s="166" t="s">
        <v>897</v>
      </c>
      <c r="Q86" s="87"/>
      <c r="R86" s="87"/>
      <c r="S86" s="87"/>
      <c r="T86" s="87"/>
      <c r="U86" s="87"/>
      <c r="V86" s="87"/>
      <c r="W86" s="87"/>
      <c r="X86" s="87"/>
      <c r="Y86" s="87"/>
      <c r="Z86" s="87"/>
      <c r="AA86" s="87"/>
    </row>
    <row r="87" spans="1:27" ht="16.5" customHeight="1" x14ac:dyDescent="0.6">
      <c r="A87" s="166" t="s">
        <v>897</v>
      </c>
      <c r="B87" s="87"/>
      <c r="C87" s="87"/>
      <c r="D87" s="87"/>
      <c r="E87" s="87"/>
      <c r="F87" s="166" t="s">
        <v>897</v>
      </c>
      <c r="G87" s="87"/>
      <c r="H87" s="87"/>
      <c r="I87" s="87"/>
      <c r="J87" s="87"/>
      <c r="K87" s="166" t="s">
        <v>897</v>
      </c>
      <c r="L87" s="87"/>
      <c r="M87" s="87"/>
      <c r="N87" s="87"/>
      <c r="O87" s="87"/>
      <c r="P87" s="166" t="s">
        <v>897</v>
      </c>
      <c r="Q87" s="87"/>
      <c r="R87" s="87"/>
      <c r="S87" s="87"/>
      <c r="T87" s="87"/>
      <c r="U87" s="87"/>
      <c r="V87" s="87"/>
      <c r="W87" s="87"/>
      <c r="X87" s="87"/>
      <c r="Y87" s="87"/>
      <c r="Z87" s="87"/>
      <c r="AA87" s="87"/>
    </row>
    <row r="88" spans="1:27" ht="16.5" customHeight="1" x14ac:dyDescent="0.6">
      <c r="A88" s="166" t="s">
        <v>897</v>
      </c>
      <c r="B88" s="87"/>
      <c r="C88" s="87"/>
      <c r="D88" s="87"/>
      <c r="E88" s="87"/>
      <c r="F88" s="166" t="s">
        <v>897</v>
      </c>
      <c r="G88" s="87"/>
      <c r="H88" s="87"/>
      <c r="I88" s="87"/>
      <c r="J88" s="87"/>
      <c r="K88" s="166" t="s">
        <v>897</v>
      </c>
      <c r="L88" s="87"/>
      <c r="M88" s="87"/>
      <c r="N88" s="87"/>
      <c r="O88" s="87"/>
      <c r="P88" s="166" t="s">
        <v>897</v>
      </c>
      <c r="Q88" s="87"/>
      <c r="R88" s="87"/>
      <c r="S88" s="87"/>
      <c r="T88" s="87"/>
      <c r="U88" s="87"/>
      <c r="V88" s="87"/>
      <c r="W88" s="87"/>
      <c r="X88" s="87"/>
      <c r="Y88" s="87"/>
      <c r="Z88" s="87"/>
      <c r="AA88" s="87"/>
    </row>
    <row r="89" spans="1:27" ht="16.5" customHeight="1" x14ac:dyDescent="0.6">
      <c r="A89" s="166" t="s">
        <v>897</v>
      </c>
      <c r="B89" s="87"/>
      <c r="C89" s="87"/>
      <c r="D89" s="87"/>
      <c r="E89" s="87"/>
      <c r="F89" s="166" t="s">
        <v>897</v>
      </c>
      <c r="G89" s="87"/>
      <c r="H89" s="87"/>
      <c r="I89" s="87"/>
      <c r="J89" s="87"/>
      <c r="K89" s="166" t="s">
        <v>897</v>
      </c>
      <c r="L89" s="87"/>
      <c r="M89" s="87"/>
      <c r="N89" s="87"/>
      <c r="O89" s="87"/>
      <c r="P89" s="166" t="s">
        <v>897</v>
      </c>
      <c r="Q89" s="87"/>
      <c r="R89" s="87"/>
      <c r="S89" s="87"/>
      <c r="T89" s="87"/>
      <c r="U89" s="87"/>
      <c r="V89" s="87"/>
      <c r="W89" s="87"/>
      <c r="X89" s="87"/>
      <c r="Y89" s="87"/>
      <c r="Z89" s="87"/>
      <c r="AA89" s="87"/>
    </row>
    <row r="90" spans="1:27" ht="16.5" customHeight="1" x14ac:dyDescent="0.6">
      <c r="A90" s="166" t="s">
        <v>897</v>
      </c>
      <c r="B90" s="87"/>
      <c r="C90" s="87"/>
      <c r="D90" s="87"/>
      <c r="E90" s="87"/>
      <c r="F90" s="166" t="s">
        <v>897</v>
      </c>
      <c r="G90" s="87"/>
      <c r="H90" s="87"/>
      <c r="I90" s="87"/>
      <c r="J90" s="87"/>
      <c r="K90" s="166" t="s">
        <v>897</v>
      </c>
      <c r="L90" s="87"/>
      <c r="M90" s="87"/>
      <c r="N90" s="87"/>
      <c r="O90" s="87"/>
      <c r="P90" s="166" t="s">
        <v>897</v>
      </c>
      <c r="Q90" s="87"/>
      <c r="R90" s="87"/>
      <c r="S90" s="87"/>
      <c r="T90" s="87"/>
      <c r="U90" s="87"/>
      <c r="V90" s="87"/>
      <c r="W90" s="87"/>
      <c r="X90" s="87"/>
      <c r="Y90" s="87"/>
      <c r="Z90" s="87"/>
      <c r="AA90" s="87"/>
    </row>
    <row r="91" spans="1:27" ht="16.5" customHeight="1" x14ac:dyDescent="0.6">
      <c r="A91" s="166" t="s">
        <v>897</v>
      </c>
      <c r="B91" s="87"/>
      <c r="C91" s="87"/>
      <c r="D91" s="87"/>
      <c r="E91" s="87"/>
      <c r="F91" s="166" t="s">
        <v>897</v>
      </c>
      <c r="G91" s="87"/>
      <c r="H91" s="87"/>
      <c r="I91" s="87"/>
      <c r="J91" s="87"/>
      <c r="K91" s="166" t="s">
        <v>897</v>
      </c>
      <c r="L91" s="87"/>
      <c r="M91" s="87"/>
      <c r="N91" s="87"/>
      <c r="O91" s="87"/>
      <c r="P91" s="166" t="s">
        <v>897</v>
      </c>
      <c r="Q91" s="87"/>
      <c r="R91" s="87"/>
      <c r="S91" s="87"/>
      <c r="T91" s="87"/>
      <c r="U91" s="87"/>
      <c r="V91" s="87"/>
      <c r="W91" s="87"/>
      <c r="X91" s="87"/>
      <c r="Y91" s="87"/>
      <c r="Z91" s="87"/>
      <c r="AA91" s="87"/>
    </row>
    <row r="92" spans="1:27" ht="16.5" customHeight="1" x14ac:dyDescent="0.6">
      <c r="A92" s="166" t="s">
        <v>897</v>
      </c>
      <c r="B92" s="87"/>
      <c r="C92" s="87"/>
      <c r="D92" s="87"/>
      <c r="E92" s="87"/>
      <c r="F92" s="166" t="s">
        <v>897</v>
      </c>
      <c r="G92" s="87"/>
      <c r="H92" s="87"/>
      <c r="I92" s="87"/>
      <c r="J92" s="87"/>
      <c r="K92" s="166" t="s">
        <v>897</v>
      </c>
      <c r="L92" s="87"/>
      <c r="M92" s="87"/>
      <c r="N92" s="87"/>
      <c r="O92" s="87"/>
      <c r="P92" s="166" t="s">
        <v>897</v>
      </c>
      <c r="Q92" s="87"/>
      <c r="R92" s="87"/>
      <c r="S92" s="87"/>
      <c r="T92" s="87"/>
      <c r="U92" s="87"/>
      <c r="V92" s="87"/>
      <c r="W92" s="87"/>
      <c r="X92" s="87"/>
      <c r="Y92" s="87"/>
      <c r="Z92" s="87"/>
      <c r="AA92" s="87"/>
    </row>
    <row r="93" spans="1:27" ht="16.5" customHeight="1" x14ac:dyDescent="0.6">
      <c r="A93" s="166" t="s">
        <v>897</v>
      </c>
      <c r="B93" s="87"/>
      <c r="C93" s="87"/>
      <c r="D93" s="87"/>
      <c r="E93" s="87"/>
      <c r="F93" s="166" t="s">
        <v>897</v>
      </c>
      <c r="G93" s="87"/>
      <c r="H93" s="87"/>
      <c r="I93" s="87"/>
      <c r="J93" s="87"/>
      <c r="K93" s="166" t="s">
        <v>897</v>
      </c>
      <c r="L93" s="87"/>
      <c r="M93" s="87"/>
      <c r="N93" s="87"/>
      <c r="O93" s="87"/>
      <c r="P93" s="166" t="s">
        <v>897</v>
      </c>
      <c r="Q93" s="87"/>
      <c r="R93" s="87"/>
      <c r="S93" s="87"/>
      <c r="T93" s="87"/>
      <c r="U93" s="87"/>
      <c r="V93" s="87"/>
      <c r="W93" s="87"/>
      <c r="X93" s="87"/>
      <c r="Y93" s="87"/>
      <c r="Z93" s="87"/>
      <c r="AA93" s="87"/>
    </row>
    <row r="94" spans="1:27" ht="16.5" customHeight="1" x14ac:dyDescent="0.6">
      <c r="A94" s="166" t="s">
        <v>897</v>
      </c>
      <c r="B94" s="87"/>
      <c r="C94" s="87"/>
      <c r="D94" s="87"/>
      <c r="E94" s="87"/>
      <c r="F94" s="166" t="s">
        <v>897</v>
      </c>
      <c r="G94" s="87"/>
      <c r="H94" s="87"/>
      <c r="I94" s="87"/>
      <c r="J94" s="87"/>
      <c r="K94" s="166" t="s">
        <v>897</v>
      </c>
      <c r="L94" s="87"/>
      <c r="M94" s="87"/>
      <c r="N94" s="87"/>
      <c r="O94" s="87"/>
      <c r="P94" s="166" t="s">
        <v>897</v>
      </c>
      <c r="Q94" s="87"/>
      <c r="R94" s="87"/>
      <c r="S94" s="87"/>
      <c r="T94" s="87"/>
      <c r="U94" s="87"/>
      <c r="V94" s="87"/>
      <c r="W94" s="87"/>
      <c r="X94" s="87"/>
      <c r="Y94" s="87"/>
      <c r="Z94" s="87"/>
      <c r="AA94" s="87"/>
    </row>
    <row r="95" spans="1:27" ht="16.5" customHeight="1" x14ac:dyDescent="0.6">
      <c r="A95" s="166" t="s">
        <v>897</v>
      </c>
      <c r="B95" s="87"/>
      <c r="C95" s="87"/>
      <c r="D95" s="87"/>
      <c r="E95" s="87"/>
      <c r="F95" s="166" t="s">
        <v>897</v>
      </c>
      <c r="G95" s="87"/>
      <c r="H95" s="87"/>
      <c r="I95" s="87"/>
      <c r="J95" s="87"/>
      <c r="K95" s="166" t="s">
        <v>897</v>
      </c>
      <c r="L95" s="87"/>
      <c r="M95" s="87"/>
      <c r="N95" s="87"/>
      <c r="O95" s="87"/>
      <c r="P95" s="166" t="s">
        <v>897</v>
      </c>
      <c r="Q95" s="87"/>
      <c r="R95" s="87"/>
      <c r="S95" s="87"/>
      <c r="T95" s="87"/>
      <c r="U95" s="87"/>
      <c r="V95" s="87"/>
      <c r="W95" s="87"/>
      <c r="X95" s="87"/>
      <c r="Y95" s="87"/>
      <c r="Z95" s="87"/>
      <c r="AA95" s="87"/>
    </row>
    <row r="96" spans="1:27" ht="16.5" customHeight="1" x14ac:dyDescent="0.6">
      <c r="A96" s="166" t="s">
        <v>897</v>
      </c>
      <c r="B96" s="87"/>
      <c r="C96" s="87"/>
      <c r="D96" s="87"/>
      <c r="E96" s="87"/>
      <c r="F96" s="166" t="s">
        <v>897</v>
      </c>
      <c r="G96" s="87"/>
      <c r="H96" s="87"/>
      <c r="I96" s="87"/>
      <c r="J96" s="87"/>
      <c r="K96" s="166" t="s">
        <v>897</v>
      </c>
      <c r="L96" s="87"/>
      <c r="M96" s="87"/>
      <c r="N96" s="87"/>
      <c r="O96" s="87"/>
      <c r="P96" s="166" t="s">
        <v>897</v>
      </c>
      <c r="Q96" s="87"/>
      <c r="R96" s="87"/>
      <c r="S96" s="87"/>
      <c r="T96" s="87"/>
      <c r="U96" s="87"/>
      <c r="V96" s="87"/>
      <c r="W96" s="87"/>
      <c r="X96" s="87"/>
      <c r="Y96" s="87"/>
      <c r="Z96" s="87"/>
      <c r="AA96" s="87"/>
    </row>
    <row r="97" spans="1:27" ht="16.5" customHeight="1" x14ac:dyDescent="0.6">
      <c r="A97" s="166" t="s">
        <v>897</v>
      </c>
      <c r="B97" s="87"/>
      <c r="C97" s="87"/>
      <c r="D97" s="87"/>
      <c r="E97" s="87"/>
      <c r="F97" s="166" t="s">
        <v>897</v>
      </c>
      <c r="G97" s="87"/>
      <c r="H97" s="87"/>
      <c r="I97" s="87"/>
      <c r="J97" s="87"/>
      <c r="K97" s="166" t="s">
        <v>897</v>
      </c>
      <c r="L97" s="87"/>
      <c r="M97" s="87"/>
      <c r="N97" s="87"/>
      <c r="O97" s="87"/>
      <c r="P97" s="166" t="s">
        <v>897</v>
      </c>
      <c r="Q97" s="87"/>
      <c r="R97" s="87"/>
      <c r="S97" s="87"/>
      <c r="T97" s="87"/>
      <c r="U97" s="87"/>
      <c r="V97" s="87"/>
      <c r="W97" s="87"/>
      <c r="X97" s="87"/>
      <c r="Y97" s="87"/>
      <c r="Z97" s="87"/>
      <c r="AA97" s="87"/>
    </row>
    <row r="98" spans="1:27" ht="16.5" customHeight="1" x14ac:dyDescent="0.6">
      <c r="A98" s="166" t="s">
        <v>897</v>
      </c>
      <c r="B98" s="87"/>
      <c r="C98" s="87"/>
      <c r="D98" s="87"/>
      <c r="E98" s="87"/>
      <c r="F98" s="166" t="s">
        <v>897</v>
      </c>
      <c r="G98" s="87"/>
      <c r="H98" s="87"/>
      <c r="I98" s="87"/>
      <c r="J98" s="87"/>
      <c r="K98" s="166" t="s">
        <v>897</v>
      </c>
      <c r="L98" s="87"/>
      <c r="M98" s="87"/>
      <c r="N98" s="87"/>
      <c r="O98" s="87"/>
      <c r="P98" s="166" t="s">
        <v>897</v>
      </c>
      <c r="Q98" s="87"/>
      <c r="R98" s="87"/>
      <c r="S98" s="87"/>
      <c r="T98" s="87"/>
      <c r="U98" s="87"/>
      <c r="V98" s="87"/>
      <c r="W98" s="87"/>
      <c r="X98" s="87"/>
      <c r="Y98" s="87"/>
      <c r="Z98" s="87"/>
      <c r="AA98" s="87"/>
    </row>
    <row r="99" spans="1:27" ht="16.5" customHeight="1" x14ac:dyDescent="0.6">
      <c r="A99" s="166" t="s">
        <v>897</v>
      </c>
      <c r="B99" s="87"/>
      <c r="C99" s="87"/>
      <c r="D99" s="87"/>
      <c r="E99" s="87"/>
      <c r="F99" s="166" t="s">
        <v>897</v>
      </c>
      <c r="G99" s="87"/>
      <c r="H99" s="87"/>
      <c r="I99" s="87"/>
      <c r="J99" s="87"/>
      <c r="K99" s="166" t="s">
        <v>897</v>
      </c>
      <c r="L99" s="87"/>
      <c r="M99" s="87"/>
      <c r="N99" s="87"/>
      <c r="O99" s="87"/>
      <c r="P99" s="166" t="s">
        <v>897</v>
      </c>
      <c r="Q99" s="87"/>
      <c r="R99" s="87"/>
      <c r="S99" s="87"/>
      <c r="T99" s="87"/>
      <c r="U99" s="87"/>
      <c r="V99" s="87"/>
      <c r="W99" s="87"/>
      <c r="X99" s="87"/>
      <c r="Y99" s="87"/>
      <c r="Z99" s="87"/>
      <c r="AA99" s="87"/>
    </row>
    <row r="100" spans="1:27" ht="16.5" customHeight="1" x14ac:dyDescent="0.6">
      <c r="A100" s="166" t="s">
        <v>897</v>
      </c>
      <c r="B100" s="87"/>
      <c r="C100" s="87"/>
      <c r="D100" s="87"/>
      <c r="E100" s="87"/>
      <c r="F100" s="166" t="s">
        <v>897</v>
      </c>
      <c r="G100" s="87"/>
      <c r="H100" s="87"/>
      <c r="I100" s="87"/>
      <c r="J100" s="87"/>
      <c r="K100" s="166" t="s">
        <v>897</v>
      </c>
      <c r="L100" s="87"/>
      <c r="M100" s="87"/>
      <c r="N100" s="87"/>
      <c r="O100" s="87"/>
      <c r="P100" s="166" t="s">
        <v>897</v>
      </c>
      <c r="Q100" s="87"/>
      <c r="R100" s="87"/>
      <c r="S100" s="87"/>
      <c r="T100" s="87"/>
      <c r="U100" s="87"/>
      <c r="V100" s="87"/>
      <c r="W100" s="87"/>
      <c r="X100" s="87"/>
      <c r="Y100" s="87"/>
      <c r="Z100" s="87"/>
      <c r="AA100" s="87"/>
    </row>
    <row r="101" spans="1:27" ht="28.5" customHeight="1" x14ac:dyDescent="0.6">
      <c r="A101" s="166" t="s">
        <v>897</v>
      </c>
      <c r="B101" s="87"/>
      <c r="C101" s="87"/>
      <c r="D101" s="87"/>
      <c r="E101" s="87"/>
      <c r="F101" s="166" t="s">
        <v>897</v>
      </c>
      <c r="G101" s="87"/>
      <c r="H101" s="87"/>
      <c r="I101" s="87"/>
      <c r="J101" s="87"/>
      <c r="K101" s="166" t="s">
        <v>897</v>
      </c>
      <c r="L101" s="87"/>
      <c r="M101" s="87"/>
      <c r="N101" s="87"/>
      <c r="O101" s="87"/>
      <c r="P101" s="166" t="s">
        <v>897</v>
      </c>
      <c r="Q101" s="87"/>
      <c r="R101" s="87"/>
      <c r="S101" s="87"/>
      <c r="T101" s="87"/>
      <c r="U101" s="87"/>
      <c r="V101" s="87"/>
      <c r="W101" s="87"/>
      <c r="X101" s="87"/>
      <c r="Y101" s="87"/>
      <c r="Z101" s="87"/>
      <c r="AA101" s="87"/>
    </row>
    <row r="102" spans="1:27" ht="16.5" customHeight="1" x14ac:dyDescent="0.6">
      <c r="A102" s="166" t="s">
        <v>897</v>
      </c>
      <c r="B102" s="87"/>
      <c r="C102" s="87"/>
      <c r="D102" s="87"/>
      <c r="E102" s="87"/>
      <c r="F102" s="166" t="s">
        <v>897</v>
      </c>
      <c r="G102" s="87"/>
      <c r="H102" s="87"/>
      <c r="I102" s="87"/>
      <c r="J102" s="87"/>
      <c r="K102" s="166" t="s">
        <v>897</v>
      </c>
      <c r="L102" s="87"/>
      <c r="M102" s="87"/>
      <c r="N102" s="87"/>
      <c r="O102" s="87"/>
      <c r="P102" s="166" t="s">
        <v>897</v>
      </c>
      <c r="Q102" s="87"/>
      <c r="R102" s="87"/>
      <c r="S102" s="87"/>
      <c r="T102" s="87"/>
      <c r="U102" s="87"/>
      <c r="V102" s="87"/>
      <c r="W102" s="87"/>
      <c r="X102" s="87"/>
      <c r="Y102" s="87"/>
      <c r="Z102" s="87"/>
      <c r="AA102" s="87"/>
    </row>
    <row r="103" spans="1:27" ht="16.5" customHeight="1" x14ac:dyDescent="0.6">
      <c r="A103" s="166" t="s">
        <v>897</v>
      </c>
      <c r="B103" s="87"/>
      <c r="C103" s="87"/>
      <c r="D103" s="87"/>
      <c r="E103" s="87"/>
      <c r="F103" s="166" t="s">
        <v>897</v>
      </c>
      <c r="G103" s="87"/>
      <c r="H103" s="87"/>
      <c r="I103" s="87"/>
      <c r="J103" s="87"/>
      <c r="K103" s="166" t="s">
        <v>897</v>
      </c>
      <c r="L103" s="87"/>
      <c r="M103" s="87"/>
      <c r="N103" s="87"/>
      <c r="O103" s="87"/>
      <c r="P103" s="166" t="s">
        <v>897</v>
      </c>
      <c r="Q103" s="87"/>
      <c r="R103" s="87"/>
      <c r="S103" s="87"/>
      <c r="T103" s="87"/>
      <c r="U103" s="87"/>
      <c r="V103" s="87"/>
      <c r="W103" s="87"/>
      <c r="X103" s="87"/>
      <c r="Y103" s="87"/>
      <c r="Z103" s="87"/>
      <c r="AA103" s="87"/>
    </row>
    <row r="104" spans="1:27" ht="16.5" customHeight="1" x14ac:dyDescent="0.6">
      <c r="A104" s="166" t="s">
        <v>897</v>
      </c>
      <c r="B104" s="87"/>
      <c r="C104" s="87"/>
      <c r="D104" s="87"/>
      <c r="E104" s="87"/>
      <c r="F104" s="166" t="s">
        <v>897</v>
      </c>
      <c r="G104" s="87"/>
      <c r="H104" s="87"/>
      <c r="I104" s="87"/>
      <c r="J104" s="87"/>
      <c r="K104" s="166" t="s">
        <v>897</v>
      </c>
      <c r="L104" s="87"/>
      <c r="M104" s="87"/>
      <c r="N104" s="87"/>
      <c r="O104" s="87"/>
      <c r="P104" s="166" t="s">
        <v>897</v>
      </c>
      <c r="Q104" s="87"/>
      <c r="R104" s="87"/>
      <c r="S104" s="87"/>
      <c r="T104" s="87"/>
      <c r="U104" s="87"/>
      <c r="V104" s="87"/>
      <c r="W104" s="87"/>
      <c r="X104" s="87"/>
      <c r="Y104" s="87"/>
      <c r="Z104" s="87"/>
      <c r="AA104" s="87"/>
    </row>
    <row r="105" spans="1:27" ht="16.5" customHeight="1" x14ac:dyDescent="0.6">
      <c r="A105" s="166" t="s">
        <v>897</v>
      </c>
      <c r="B105" s="87"/>
      <c r="C105" s="87"/>
      <c r="D105" s="87"/>
      <c r="E105" s="87"/>
      <c r="F105" s="166" t="s">
        <v>897</v>
      </c>
      <c r="G105" s="87"/>
      <c r="H105" s="87"/>
      <c r="I105" s="87"/>
      <c r="J105" s="87"/>
      <c r="K105" s="166" t="s">
        <v>897</v>
      </c>
      <c r="L105" s="87"/>
      <c r="M105" s="87"/>
      <c r="N105" s="87"/>
      <c r="O105" s="87"/>
      <c r="P105" s="166" t="s">
        <v>897</v>
      </c>
      <c r="Q105" s="87"/>
      <c r="R105" s="87"/>
      <c r="S105" s="87"/>
      <c r="T105" s="87"/>
      <c r="U105" s="87"/>
      <c r="V105" s="87"/>
      <c r="W105" s="87"/>
      <c r="X105" s="87"/>
      <c r="Y105" s="87"/>
      <c r="Z105" s="87"/>
      <c r="AA105" s="87"/>
    </row>
    <row r="106" spans="1:27" ht="16.5" customHeight="1" x14ac:dyDescent="0.6">
      <c r="A106" s="166" t="s">
        <v>897</v>
      </c>
      <c r="B106" s="87"/>
      <c r="C106" s="87"/>
      <c r="D106" s="87"/>
      <c r="E106" s="87"/>
      <c r="F106" s="166" t="s">
        <v>897</v>
      </c>
      <c r="G106" s="87"/>
      <c r="H106" s="87"/>
      <c r="I106" s="87"/>
      <c r="J106" s="87"/>
      <c r="K106" s="166" t="s">
        <v>897</v>
      </c>
      <c r="L106" s="87"/>
      <c r="M106" s="87"/>
      <c r="N106" s="87"/>
      <c r="O106" s="87"/>
      <c r="P106" s="166" t="s">
        <v>897</v>
      </c>
      <c r="Q106" s="87"/>
      <c r="R106" s="87"/>
      <c r="S106" s="87"/>
      <c r="T106" s="87"/>
      <c r="U106" s="87"/>
      <c r="V106" s="87"/>
      <c r="W106" s="87"/>
      <c r="X106" s="87"/>
      <c r="Y106" s="87"/>
      <c r="Z106" s="87"/>
      <c r="AA106" s="87"/>
    </row>
    <row r="107" spans="1:27" ht="16.5" customHeight="1" x14ac:dyDescent="0.6">
      <c r="A107" s="166" t="s">
        <v>897</v>
      </c>
      <c r="B107" s="87"/>
      <c r="C107" s="87"/>
      <c r="D107" s="87"/>
      <c r="E107" s="87"/>
      <c r="F107" s="166" t="s">
        <v>897</v>
      </c>
      <c r="G107" s="87"/>
      <c r="H107" s="87"/>
      <c r="I107" s="87"/>
      <c r="J107" s="87"/>
      <c r="K107" s="166" t="s">
        <v>897</v>
      </c>
      <c r="L107" s="87"/>
      <c r="M107" s="87"/>
      <c r="N107" s="87"/>
      <c r="O107" s="87"/>
      <c r="P107" s="166" t="s">
        <v>897</v>
      </c>
      <c r="Q107" s="87"/>
      <c r="R107" s="87"/>
      <c r="S107" s="87"/>
      <c r="T107" s="87"/>
      <c r="U107" s="87"/>
      <c r="V107" s="87"/>
      <c r="W107" s="87"/>
      <c r="X107" s="87"/>
      <c r="Y107" s="87"/>
      <c r="Z107" s="87"/>
      <c r="AA107" s="87"/>
    </row>
    <row r="108" spans="1:27" ht="16.5" customHeight="1" x14ac:dyDescent="0.6">
      <c r="A108" s="166" t="s">
        <v>897</v>
      </c>
      <c r="B108" s="87"/>
      <c r="C108" s="87"/>
      <c r="D108" s="87"/>
      <c r="E108" s="87"/>
      <c r="F108" s="166" t="s">
        <v>897</v>
      </c>
      <c r="G108" s="87"/>
      <c r="H108" s="87"/>
      <c r="I108" s="87"/>
      <c r="J108" s="87"/>
      <c r="K108" s="166" t="s">
        <v>897</v>
      </c>
      <c r="L108" s="87"/>
      <c r="M108" s="87"/>
      <c r="N108" s="87"/>
      <c r="O108" s="87"/>
      <c r="P108" s="166" t="s">
        <v>897</v>
      </c>
      <c r="Q108" s="87"/>
      <c r="R108" s="87"/>
      <c r="S108" s="87"/>
      <c r="T108" s="87"/>
      <c r="U108" s="87"/>
      <c r="V108" s="87"/>
      <c r="W108" s="87"/>
      <c r="X108" s="87"/>
      <c r="Y108" s="87"/>
      <c r="Z108" s="87"/>
      <c r="AA108" s="87"/>
    </row>
    <row r="109" spans="1:27" ht="16.5" customHeight="1" x14ac:dyDescent="0.6">
      <c r="A109" s="166"/>
      <c r="B109" s="87"/>
      <c r="C109" s="87"/>
      <c r="D109" s="87"/>
      <c r="E109" s="87"/>
      <c r="F109" s="166"/>
      <c r="G109" s="87"/>
      <c r="H109" s="87"/>
      <c r="I109" s="87"/>
      <c r="J109" s="87"/>
      <c r="K109" s="166"/>
      <c r="L109" s="87"/>
      <c r="M109" s="87"/>
      <c r="N109" s="87"/>
      <c r="O109" s="87"/>
      <c r="P109" s="166"/>
      <c r="Q109" s="87"/>
      <c r="R109" s="87"/>
      <c r="S109" s="87"/>
      <c r="T109" s="87"/>
      <c r="U109" s="87"/>
      <c r="V109" s="87"/>
      <c r="W109" s="87"/>
      <c r="X109" s="87"/>
      <c r="Y109" s="87"/>
      <c r="Z109" s="87"/>
      <c r="AA109" s="87"/>
    </row>
    <row r="110" spans="1:27" ht="16.5" customHeight="1" x14ac:dyDescent="0.6">
      <c r="A110" s="166"/>
      <c r="B110" s="87"/>
      <c r="C110" s="87"/>
      <c r="D110" s="87"/>
      <c r="E110" s="87"/>
      <c r="F110" s="166"/>
      <c r="G110" s="87"/>
      <c r="H110" s="87"/>
      <c r="I110" s="87"/>
      <c r="J110" s="87"/>
      <c r="K110" s="166"/>
      <c r="L110" s="87"/>
      <c r="M110" s="87"/>
      <c r="N110" s="87"/>
      <c r="O110" s="87"/>
      <c r="P110" s="166"/>
      <c r="Q110" s="87"/>
      <c r="R110" s="87"/>
      <c r="S110" s="87"/>
      <c r="T110" s="87"/>
      <c r="U110" s="87"/>
      <c r="V110" s="87"/>
      <c r="W110" s="87"/>
      <c r="X110" s="87"/>
      <c r="Y110" s="87"/>
      <c r="Z110" s="87"/>
      <c r="AA110" s="87"/>
    </row>
    <row r="111" spans="1:27" ht="16.5" customHeight="1" x14ac:dyDescent="0.6">
      <c r="A111" s="166"/>
      <c r="B111" s="87"/>
      <c r="C111" s="87"/>
      <c r="D111" s="87"/>
      <c r="E111" s="87"/>
      <c r="F111" s="166"/>
      <c r="G111" s="87"/>
      <c r="H111" s="87"/>
      <c r="I111" s="87"/>
      <c r="J111" s="87"/>
      <c r="K111" s="166"/>
      <c r="L111" s="87"/>
      <c r="M111" s="87"/>
      <c r="N111" s="87"/>
      <c r="O111" s="87"/>
      <c r="P111" s="166"/>
      <c r="Q111" s="87"/>
      <c r="R111" s="87"/>
      <c r="S111" s="87"/>
      <c r="T111" s="87"/>
      <c r="U111" s="87"/>
      <c r="V111" s="87"/>
      <c r="W111" s="87"/>
      <c r="X111" s="87"/>
      <c r="Y111" s="87"/>
      <c r="Z111" s="87"/>
      <c r="AA111" s="87"/>
    </row>
    <row r="112" spans="1:27" ht="16.5" customHeight="1" x14ac:dyDescent="0.6">
      <c r="A112" s="166"/>
      <c r="B112" s="87"/>
      <c r="C112" s="87"/>
      <c r="D112" s="87"/>
      <c r="E112" s="87"/>
      <c r="F112" s="166"/>
      <c r="G112" s="87"/>
      <c r="H112" s="87"/>
      <c r="I112" s="87"/>
      <c r="J112" s="87"/>
      <c r="K112" s="166"/>
      <c r="L112" s="87"/>
      <c r="M112" s="87"/>
      <c r="N112" s="87"/>
      <c r="O112" s="87"/>
      <c r="P112" s="166"/>
      <c r="Q112" s="87"/>
      <c r="R112" s="87"/>
      <c r="S112" s="87"/>
      <c r="T112" s="87"/>
      <c r="U112" s="87"/>
      <c r="V112" s="87"/>
      <c r="W112" s="87"/>
      <c r="X112" s="87"/>
      <c r="Y112" s="87"/>
      <c r="Z112" s="87"/>
      <c r="AA112" s="87"/>
    </row>
    <row r="113" spans="1:27" ht="16.5" customHeight="1" x14ac:dyDescent="0.6">
      <c r="A113" s="166"/>
      <c r="B113" s="87"/>
      <c r="C113" s="87"/>
      <c r="D113" s="87"/>
      <c r="E113" s="87"/>
      <c r="F113" s="166"/>
      <c r="G113" s="87"/>
      <c r="H113" s="87"/>
      <c r="I113" s="87"/>
      <c r="J113" s="87"/>
      <c r="K113" s="166"/>
      <c r="L113" s="87"/>
      <c r="M113" s="87"/>
      <c r="N113" s="87"/>
      <c r="O113" s="87"/>
      <c r="P113" s="166"/>
      <c r="Q113" s="87"/>
      <c r="R113" s="87"/>
      <c r="S113" s="87"/>
      <c r="T113" s="87"/>
      <c r="U113" s="87"/>
      <c r="V113" s="87"/>
      <c r="W113" s="87"/>
      <c r="X113" s="87"/>
      <c r="Y113" s="87"/>
      <c r="Z113" s="87"/>
      <c r="AA113" s="87"/>
    </row>
    <row r="114" spans="1:27" ht="16.5" customHeight="1" x14ac:dyDescent="0.6">
      <c r="A114" s="166"/>
      <c r="B114" s="87"/>
      <c r="C114" s="87"/>
      <c r="D114" s="87"/>
      <c r="E114" s="87"/>
      <c r="F114" s="166"/>
      <c r="G114" s="87"/>
      <c r="H114" s="87"/>
      <c r="I114" s="87"/>
      <c r="J114" s="87"/>
      <c r="K114" s="166"/>
      <c r="L114" s="87"/>
      <c r="M114" s="87"/>
      <c r="N114" s="87"/>
      <c r="O114" s="87"/>
      <c r="P114" s="166"/>
      <c r="Q114" s="87"/>
      <c r="R114" s="87"/>
      <c r="S114" s="87"/>
      <c r="T114" s="87"/>
      <c r="U114" s="87"/>
      <c r="V114" s="87"/>
      <c r="W114" s="87"/>
      <c r="X114" s="87"/>
      <c r="Y114" s="87"/>
      <c r="Z114" s="87"/>
      <c r="AA114" s="87"/>
    </row>
    <row r="115" spans="1:27" ht="16.5" customHeight="1" x14ac:dyDescent="0.6">
      <c r="A115" s="166"/>
      <c r="B115" s="87"/>
      <c r="C115" s="87"/>
      <c r="D115" s="87"/>
      <c r="E115" s="87"/>
      <c r="F115" s="166"/>
      <c r="G115" s="87"/>
      <c r="H115" s="87"/>
      <c r="I115" s="87"/>
      <c r="J115" s="87"/>
      <c r="K115" s="166"/>
      <c r="L115" s="87"/>
      <c r="M115" s="87"/>
      <c r="N115" s="87"/>
      <c r="O115" s="87"/>
      <c r="P115" s="166"/>
      <c r="Q115" s="87"/>
      <c r="R115" s="87"/>
      <c r="S115" s="87"/>
      <c r="T115" s="87"/>
      <c r="U115" s="87"/>
      <c r="V115" s="87"/>
      <c r="W115" s="87"/>
      <c r="X115" s="87"/>
      <c r="Y115" s="87"/>
      <c r="Z115" s="87"/>
      <c r="AA115" s="87"/>
    </row>
    <row r="116" spans="1:27" ht="16.5" customHeight="1" x14ac:dyDescent="0.6">
      <c r="A116" s="166"/>
      <c r="B116" s="87"/>
      <c r="C116" s="87"/>
      <c r="D116" s="87"/>
      <c r="E116" s="87"/>
      <c r="F116" s="166"/>
      <c r="G116" s="87"/>
      <c r="H116" s="87"/>
      <c r="I116" s="87"/>
      <c r="J116" s="87"/>
      <c r="K116" s="166"/>
      <c r="L116" s="87"/>
      <c r="M116" s="87"/>
      <c r="N116" s="87"/>
      <c r="O116" s="87"/>
      <c r="P116" s="166"/>
      <c r="Q116" s="87"/>
      <c r="R116" s="87"/>
      <c r="S116" s="87"/>
      <c r="T116" s="87"/>
      <c r="U116" s="87"/>
      <c r="V116" s="87"/>
      <c r="W116" s="87"/>
      <c r="X116" s="87"/>
      <c r="Y116" s="87"/>
      <c r="Z116" s="87"/>
      <c r="AA116" s="87"/>
    </row>
    <row r="117" spans="1:27" ht="28.5" customHeight="1" x14ac:dyDescent="0.6">
      <c r="A117" s="166"/>
      <c r="B117" s="87"/>
      <c r="C117" s="87"/>
      <c r="D117" s="87"/>
      <c r="E117" s="87"/>
      <c r="F117" s="166"/>
      <c r="G117" s="87"/>
      <c r="H117" s="87"/>
      <c r="I117" s="87"/>
      <c r="J117" s="87"/>
      <c r="K117" s="166"/>
      <c r="L117" s="87"/>
      <c r="M117" s="87"/>
      <c r="N117" s="87"/>
      <c r="O117" s="87"/>
      <c r="P117" s="166"/>
      <c r="Q117" s="87"/>
      <c r="R117" s="87"/>
      <c r="S117" s="87"/>
      <c r="T117" s="87"/>
      <c r="U117" s="87"/>
      <c r="V117" s="87"/>
      <c r="W117" s="87"/>
      <c r="X117" s="87"/>
      <c r="Y117" s="87"/>
      <c r="Z117" s="87"/>
      <c r="AA117" s="87"/>
    </row>
    <row r="118" spans="1:27" ht="16.5" customHeight="1" x14ac:dyDescent="0.6">
      <c r="A118" s="166"/>
      <c r="B118" s="87"/>
      <c r="C118" s="87"/>
      <c r="D118" s="87"/>
      <c r="E118" s="87"/>
      <c r="F118" s="166"/>
      <c r="G118" s="87"/>
      <c r="H118" s="87"/>
      <c r="I118" s="87"/>
      <c r="J118" s="87"/>
      <c r="K118" s="166"/>
      <c r="L118" s="87"/>
      <c r="M118" s="87"/>
      <c r="N118" s="87"/>
      <c r="O118" s="87"/>
      <c r="P118" s="166"/>
      <c r="Q118" s="87"/>
      <c r="R118" s="87"/>
      <c r="S118" s="87"/>
      <c r="T118" s="87"/>
      <c r="U118" s="87"/>
      <c r="V118" s="87"/>
      <c r="W118" s="87"/>
      <c r="X118" s="87"/>
      <c r="Y118" s="87"/>
      <c r="Z118" s="87"/>
      <c r="AA118" s="87"/>
    </row>
    <row r="119" spans="1:27" ht="16.5" customHeight="1" x14ac:dyDescent="0.6">
      <c r="A119" s="166"/>
      <c r="B119" s="87"/>
      <c r="C119" s="87"/>
      <c r="D119" s="87"/>
      <c r="E119" s="87"/>
      <c r="F119" s="166"/>
      <c r="G119" s="87"/>
      <c r="H119" s="87"/>
      <c r="I119" s="87"/>
      <c r="J119" s="87"/>
      <c r="K119" s="166"/>
      <c r="L119" s="87"/>
      <c r="M119" s="87"/>
      <c r="N119" s="87"/>
      <c r="O119" s="87"/>
      <c r="P119" s="166"/>
      <c r="Q119" s="87"/>
      <c r="R119" s="87"/>
      <c r="S119" s="87"/>
      <c r="T119" s="87"/>
      <c r="U119" s="87"/>
      <c r="V119" s="87"/>
      <c r="W119" s="87"/>
      <c r="X119" s="87"/>
      <c r="Y119" s="87"/>
      <c r="Z119" s="87"/>
      <c r="AA119" s="87"/>
    </row>
    <row r="120" spans="1:27" ht="16.5" customHeight="1" x14ac:dyDescent="0.6">
      <c r="A120" s="166"/>
      <c r="B120" s="87"/>
      <c r="C120" s="87"/>
      <c r="D120" s="87"/>
      <c r="E120" s="87"/>
      <c r="F120" s="166"/>
      <c r="G120" s="87"/>
      <c r="H120" s="87"/>
      <c r="I120" s="87"/>
      <c r="J120" s="87"/>
      <c r="K120" s="166"/>
      <c r="L120" s="87"/>
      <c r="M120" s="87"/>
      <c r="N120" s="87"/>
      <c r="O120" s="87"/>
      <c r="P120" s="166"/>
      <c r="Q120" s="87"/>
      <c r="R120" s="87"/>
      <c r="S120" s="87"/>
      <c r="T120" s="87"/>
      <c r="U120" s="87"/>
      <c r="V120" s="87"/>
      <c r="W120" s="87"/>
      <c r="X120" s="87"/>
      <c r="Y120" s="87"/>
      <c r="Z120" s="87"/>
      <c r="AA120" s="87"/>
    </row>
    <row r="121" spans="1:27" ht="16.5" customHeight="1" x14ac:dyDescent="0.6">
      <c r="A121" s="166"/>
      <c r="B121" s="87"/>
      <c r="C121" s="87"/>
      <c r="D121" s="87"/>
      <c r="E121" s="87"/>
      <c r="F121" s="166"/>
      <c r="G121" s="87"/>
      <c r="H121" s="87"/>
      <c r="I121" s="87"/>
      <c r="J121" s="87"/>
      <c r="K121" s="166"/>
      <c r="L121" s="87"/>
      <c r="M121" s="87"/>
      <c r="N121" s="87"/>
      <c r="O121" s="87"/>
      <c r="P121" s="166"/>
      <c r="Q121" s="87"/>
      <c r="R121" s="87"/>
      <c r="S121" s="87"/>
      <c r="T121" s="87"/>
      <c r="U121" s="87"/>
      <c r="V121" s="87"/>
      <c r="W121" s="87"/>
      <c r="X121" s="87"/>
      <c r="Y121" s="87"/>
      <c r="Z121" s="87"/>
      <c r="AA121" s="87"/>
    </row>
    <row r="122" spans="1:27" ht="16.5" customHeight="1" x14ac:dyDescent="0.6">
      <c r="A122" s="166"/>
      <c r="B122" s="87"/>
      <c r="C122" s="87"/>
      <c r="D122" s="87"/>
      <c r="E122" s="87"/>
      <c r="F122" s="166"/>
      <c r="G122" s="87"/>
      <c r="H122" s="87"/>
      <c r="I122" s="87"/>
      <c r="J122" s="87"/>
      <c r="K122" s="166"/>
      <c r="L122" s="87"/>
      <c r="M122" s="87"/>
      <c r="N122" s="87"/>
      <c r="O122" s="87"/>
      <c r="P122" s="166"/>
      <c r="Q122" s="87"/>
      <c r="R122" s="87"/>
      <c r="S122" s="87"/>
      <c r="T122" s="87"/>
      <c r="U122" s="87"/>
      <c r="V122" s="87"/>
      <c r="W122" s="87"/>
      <c r="X122" s="87"/>
      <c r="Y122" s="87"/>
      <c r="Z122" s="87"/>
      <c r="AA122" s="87"/>
    </row>
    <row r="123" spans="1:27" ht="16.5" customHeight="1" x14ac:dyDescent="0.6">
      <c r="A123" s="166"/>
      <c r="B123" s="87"/>
      <c r="C123" s="87"/>
      <c r="D123" s="87"/>
      <c r="E123" s="87"/>
      <c r="F123" s="166"/>
      <c r="G123" s="87"/>
      <c r="H123" s="87"/>
      <c r="I123" s="87"/>
      <c r="J123" s="87"/>
      <c r="K123" s="166"/>
      <c r="L123" s="87"/>
      <c r="M123" s="87"/>
      <c r="N123" s="87"/>
      <c r="O123" s="87"/>
      <c r="P123" s="166"/>
      <c r="Q123" s="87"/>
      <c r="R123" s="87"/>
      <c r="S123" s="87"/>
      <c r="T123" s="87"/>
      <c r="U123" s="87"/>
      <c r="V123" s="87"/>
      <c r="W123" s="87"/>
      <c r="X123" s="87"/>
      <c r="Y123" s="87"/>
      <c r="Z123" s="87"/>
      <c r="AA123" s="87"/>
    </row>
    <row r="124" spans="1:27" ht="28.5" customHeight="1" x14ac:dyDescent="0.6">
      <c r="A124" s="166"/>
      <c r="B124" s="87"/>
      <c r="C124" s="87"/>
      <c r="D124" s="87"/>
      <c r="E124" s="87"/>
      <c r="F124" s="166"/>
      <c r="G124" s="87"/>
      <c r="H124" s="87"/>
      <c r="I124" s="87"/>
      <c r="J124" s="87"/>
      <c r="K124" s="166"/>
      <c r="L124" s="87"/>
      <c r="M124" s="87"/>
      <c r="N124" s="87"/>
      <c r="O124" s="87"/>
      <c r="P124" s="166"/>
      <c r="Q124" s="87"/>
      <c r="R124" s="87"/>
      <c r="S124" s="87"/>
      <c r="T124" s="87"/>
      <c r="U124" s="87"/>
      <c r="V124" s="87"/>
      <c r="W124" s="87"/>
      <c r="X124" s="87"/>
      <c r="Y124" s="87"/>
      <c r="Z124" s="87"/>
      <c r="AA124" s="87"/>
    </row>
    <row r="125" spans="1:27" ht="16.5" customHeight="1" x14ac:dyDescent="0.6">
      <c r="A125" s="166"/>
      <c r="B125" s="87"/>
      <c r="C125" s="87"/>
      <c r="D125" s="87"/>
      <c r="E125" s="87"/>
      <c r="F125" s="166"/>
      <c r="G125" s="87"/>
      <c r="H125" s="87"/>
      <c r="I125" s="87"/>
      <c r="J125" s="87"/>
      <c r="K125" s="166"/>
      <c r="L125" s="87"/>
      <c r="M125" s="87"/>
      <c r="N125" s="87"/>
      <c r="O125" s="87"/>
      <c r="P125" s="166"/>
      <c r="Q125" s="87"/>
      <c r="R125" s="87"/>
      <c r="S125" s="87"/>
      <c r="T125" s="87"/>
      <c r="U125" s="87"/>
      <c r="V125" s="87"/>
      <c r="W125" s="87"/>
      <c r="X125" s="87"/>
      <c r="Y125" s="87"/>
      <c r="Z125" s="87"/>
      <c r="AA125" s="87"/>
    </row>
    <row r="126" spans="1:27" ht="16.5" customHeight="1" x14ac:dyDescent="0.6">
      <c r="A126" s="166"/>
      <c r="B126" s="87"/>
      <c r="C126" s="87"/>
      <c r="D126" s="87"/>
      <c r="E126" s="87"/>
      <c r="F126" s="166"/>
      <c r="G126" s="87"/>
      <c r="H126" s="87"/>
      <c r="I126" s="87"/>
      <c r="J126" s="87"/>
      <c r="K126" s="166"/>
      <c r="L126" s="87"/>
      <c r="M126" s="87"/>
      <c r="N126" s="87"/>
      <c r="O126" s="87"/>
      <c r="P126" s="166"/>
      <c r="Q126" s="87"/>
      <c r="R126" s="87"/>
      <c r="S126" s="87"/>
      <c r="T126" s="87"/>
      <c r="U126" s="87"/>
      <c r="V126" s="87"/>
      <c r="W126" s="87"/>
      <c r="X126" s="87"/>
      <c r="Y126" s="87"/>
      <c r="Z126" s="87"/>
      <c r="AA126" s="87"/>
    </row>
    <row r="127" spans="1:27" ht="16.5" customHeight="1" x14ac:dyDescent="0.6">
      <c r="A127" s="166"/>
      <c r="B127" s="87"/>
      <c r="C127" s="87"/>
      <c r="D127" s="87"/>
      <c r="E127" s="87"/>
      <c r="F127" s="166"/>
      <c r="G127" s="87"/>
      <c r="H127" s="87"/>
      <c r="I127" s="87"/>
      <c r="J127" s="87"/>
      <c r="K127" s="166"/>
      <c r="L127" s="87"/>
      <c r="M127" s="87"/>
      <c r="N127" s="87"/>
      <c r="O127" s="87"/>
      <c r="P127" s="166"/>
      <c r="Q127" s="87"/>
      <c r="R127" s="87"/>
      <c r="S127" s="87"/>
      <c r="T127" s="87"/>
      <c r="U127" s="87"/>
      <c r="V127" s="87"/>
      <c r="W127" s="87"/>
      <c r="X127" s="87"/>
      <c r="Y127" s="87"/>
      <c r="Z127" s="87"/>
      <c r="AA127" s="87"/>
    </row>
    <row r="128" spans="1:27" ht="16.5" customHeight="1" x14ac:dyDescent="0.6">
      <c r="A128" s="166"/>
      <c r="B128" s="87"/>
      <c r="C128" s="87"/>
      <c r="D128" s="87"/>
      <c r="E128" s="87"/>
      <c r="F128" s="166"/>
      <c r="G128" s="87"/>
      <c r="H128" s="87"/>
      <c r="I128" s="87"/>
      <c r="J128" s="87"/>
      <c r="K128" s="166"/>
      <c r="L128" s="87"/>
      <c r="M128" s="87"/>
      <c r="N128" s="87"/>
      <c r="O128" s="87"/>
      <c r="P128" s="166"/>
      <c r="Q128" s="87"/>
      <c r="R128" s="87"/>
      <c r="S128" s="87"/>
      <c r="T128" s="87"/>
      <c r="U128" s="87"/>
      <c r="V128" s="87"/>
      <c r="W128" s="87"/>
      <c r="X128" s="87"/>
      <c r="Y128" s="87"/>
      <c r="Z128" s="87"/>
      <c r="AA128" s="87"/>
    </row>
    <row r="129" spans="1:27" ht="16.5" customHeight="1" x14ac:dyDescent="0.6">
      <c r="A129" s="166"/>
      <c r="B129" s="87"/>
      <c r="C129" s="87"/>
      <c r="D129" s="87"/>
      <c r="E129" s="87"/>
      <c r="F129" s="166"/>
      <c r="G129" s="87"/>
      <c r="H129" s="87"/>
      <c r="I129" s="87"/>
      <c r="J129" s="87"/>
      <c r="K129" s="166"/>
      <c r="L129" s="87"/>
      <c r="M129" s="87"/>
      <c r="N129" s="87"/>
      <c r="O129" s="87"/>
      <c r="P129" s="166"/>
      <c r="Q129" s="87"/>
      <c r="R129" s="87"/>
      <c r="S129" s="87"/>
      <c r="T129" s="87"/>
      <c r="U129" s="87"/>
      <c r="V129" s="87"/>
      <c r="W129" s="87"/>
      <c r="X129" s="87"/>
      <c r="Y129" s="87"/>
      <c r="Z129" s="87"/>
      <c r="AA129" s="87"/>
    </row>
    <row r="130" spans="1:27" ht="16.5" customHeight="1" x14ac:dyDescent="0.6">
      <c r="A130" s="166"/>
      <c r="B130" s="87"/>
      <c r="C130" s="87"/>
      <c r="D130" s="87"/>
      <c r="E130" s="87"/>
      <c r="F130" s="166"/>
      <c r="G130" s="87"/>
      <c r="H130" s="87"/>
      <c r="I130" s="87"/>
      <c r="J130" s="87"/>
      <c r="K130" s="166"/>
      <c r="L130" s="87"/>
      <c r="M130" s="87"/>
      <c r="N130" s="87"/>
      <c r="O130" s="87"/>
      <c r="P130" s="166"/>
      <c r="Q130" s="87"/>
      <c r="R130" s="87"/>
      <c r="S130" s="87"/>
      <c r="T130" s="87"/>
      <c r="U130" s="87"/>
      <c r="V130" s="87"/>
      <c r="W130" s="87"/>
      <c r="X130" s="87"/>
      <c r="Y130" s="87"/>
      <c r="Z130" s="87"/>
      <c r="AA130" s="87"/>
    </row>
    <row r="131" spans="1:27" ht="16.5" customHeight="1" x14ac:dyDescent="0.6">
      <c r="A131" s="166"/>
      <c r="B131" s="87"/>
      <c r="C131" s="87"/>
      <c r="D131" s="87"/>
      <c r="E131" s="87"/>
      <c r="F131" s="166"/>
      <c r="G131" s="87"/>
      <c r="H131" s="87"/>
      <c r="I131" s="87"/>
      <c r="J131" s="87"/>
      <c r="K131" s="166"/>
      <c r="L131" s="87"/>
      <c r="M131" s="87"/>
      <c r="N131" s="87"/>
      <c r="O131" s="87"/>
      <c r="P131" s="166"/>
      <c r="Q131" s="87"/>
      <c r="R131" s="87"/>
      <c r="S131" s="87"/>
      <c r="T131" s="87"/>
      <c r="U131" s="87"/>
      <c r="V131" s="87"/>
      <c r="W131" s="87"/>
      <c r="X131" s="87"/>
      <c r="Y131" s="87"/>
      <c r="Z131" s="87"/>
      <c r="AA131" s="87"/>
    </row>
    <row r="132" spans="1:27" ht="16.5" customHeight="1" x14ac:dyDescent="0.6">
      <c r="A132" s="166"/>
      <c r="B132" s="87"/>
      <c r="C132" s="87"/>
      <c r="D132" s="87"/>
      <c r="E132" s="87"/>
      <c r="F132" s="166"/>
      <c r="G132" s="87"/>
      <c r="H132" s="87"/>
      <c r="I132" s="87"/>
      <c r="J132" s="87"/>
      <c r="K132" s="166"/>
      <c r="L132" s="87"/>
      <c r="M132" s="87"/>
      <c r="N132" s="87"/>
      <c r="O132" s="87"/>
      <c r="P132" s="166"/>
      <c r="Q132" s="87"/>
      <c r="R132" s="87"/>
      <c r="S132" s="87"/>
      <c r="T132" s="87"/>
      <c r="U132" s="87"/>
      <c r="V132" s="87"/>
      <c r="W132" s="87"/>
      <c r="X132" s="87"/>
      <c r="Y132" s="87"/>
      <c r="Z132" s="87"/>
      <c r="AA132" s="87"/>
    </row>
    <row r="133" spans="1:27" ht="16.5" customHeight="1" x14ac:dyDescent="0.6">
      <c r="A133" s="166"/>
      <c r="B133" s="87"/>
      <c r="C133" s="87"/>
      <c r="D133" s="87"/>
      <c r="E133" s="87"/>
      <c r="F133" s="166"/>
      <c r="G133" s="87"/>
      <c r="H133" s="87"/>
      <c r="I133" s="87"/>
      <c r="J133" s="87"/>
      <c r="K133" s="166"/>
      <c r="L133" s="87"/>
      <c r="M133" s="87"/>
      <c r="N133" s="87"/>
      <c r="O133" s="87"/>
      <c r="P133" s="166"/>
      <c r="Q133" s="87"/>
      <c r="R133" s="87"/>
      <c r="S133" s="87"/>
      <c r="T133" s="87"/>
      <c r="U133" s="87"/>
      <c r="V133" s="87"/>
      <c r="W133" s="87"/>
      <c r="X133" s="87"/>
      <c r="Y133" s="87"/>
      <c r="Z133" s="87"/>
      <c r="AA133" s="87"/>
    </row>
    <row r="134" spans="1:27" ht="16.5" customHeight="1" x14ac:dyDescent="0.6">
      <c r="A134" s="166"/>
      <c r="B134" s="87"/>
      <c r="C134" s="87"/>
      <c r="D134" s="87"/>
      <c r="E134" s="87"/>
      <c r="F134" s="166"/>
      <c r="G134" s="87"/>
      <c r="H134" s="87"/>
      <c r="I134" s="87"/>
      <c r="J134" s="87"/>
      <c r="K134" s="166"/>
      <c r="L134" s="87"/>
      <c r="M134" s="87"/>
      <c r="N134" s="87"/>
      <c r="O134" s="87"/>
      <c r="P134" s="166"/>
      <c r="Q134" s="87"/>
      <c r="R134" s="87"/>
      <c r="S134" s="87"/>
      <c r="T134" s="87"/>
      <c r="U134" s="87"/>
      <c r="V134" s="87"/>
      <c r="W134" s="87"/>
      <c r="X134" s="87"/>
      <c r="Y134" s="87"/>
      <c r="Z134" s="87"/>
      <c r="AA134" s="87"/>
    </row>
    <row r="135" spans="1:27" ht="16.5" customHeight="1" x14ac:dyDescent="0.6">
      <c r="A135" s="166"/>
      <c r="B135" s="87"/>
      <c r="C135" s="87"/>
      <c r="D135" s="87"/>
      <c r="E135" s="87"/>
      <c r="F135" s="166"/>
      <c r="G135" s="87"/>
      <c r="H135" s="87"/>
      <c r="I135" s="87"/>
      <c r="J135" s="87"/>
      <c r="K135" s="166"/>
      <c r="L135" s="87"/>
      <c r="M135" s="87"/>
      <c r="N135" s="87"/>
      <c r="O135" s="87"/>
      <c r="P135" s="166"/>
      <c r="Q135" s="87"/>
      <c r="R135" s="87"/>
      <c r="S135" s="87"/>
      <c r="T135" s="87"/>
      <c r="U135" s="87"/>
      <c r="V135" s="87"/>
      <c r="W135" s="87"/>
      <c r="X135" s="87"/>
      <c r="Y135" s="87"/>
      <c r="Z135" s="87"/>
      <c r="AA135" s="87"/>
    </row>
    <row r="136" spans="1:27" ht="16.5" customHeight="1" x14ac:dyDescent="0.6">
      <c r="A136" s="166"/>
      <c r="B136" s="87"/>
      <c r="C136" s="87"/>
      <c r="D136" s="87"/>
      <c r="E136" s="87"/>
      <c r="F136" s="166"/>
      <c r="G136" s="87"/>
      <c r="H136" s="87"/>
      <c r="I136" s="87"/>
      <c r="J136" s="87"/>
      <c r="K136" s="166"/>
      <c r="L136" s="87"/>
      <c r="M136" s="87"/>
      <c r="N136" s="87"/>
      <c r="O136" s="87"/>
      <c r="P136" s="166"/>
      <c r="Q136" s="87"/>
      <c r="R136" s="87"/>
      <c r="S136" s="87"/>
      <c r="T136" s="87"/>
      <c r="U136" s="87"/>
      <c r="V136" s="87"/>
      <c r="W136" s="87"/>
      <c r="X136" s="87"/>
      <c r="Y136" s="87"/>
      <c r="Z136" s="87"/>
      <c r="AA136" s="87"/>
    </row>
    <row r="137" spans="1:27" ht="28.5" customHeight="1" x14ac:dyDescent="0.6">
      <c r="A137" s="166"/>
      <c r="B137" s="87"/>
      <c r="C137" s="87"/>
      <c r="D137" s="87"/>
      <c r="E137" s="87"/>
      <c r="F137" s="166"/>
      <c r="G137" s="87"/>
      <c r="H137" s="87"/>
      <c r="I137" s="87"/>
      <c r="J137" s="87"/>
      <c r="K137" s="166"/>
      <c r="L137" s="87"/>
      <c r="M137" s="87"/>
      <c r="N137" s="87"/>
      <c r="O137" s="87"/>
      <c r="P137" s="166"/>
      <c r="Q137" s="87"/>
      <c r="R137" s="87"/>
      <c r="S137" s="87"/>
      <c r="T137" s="87"/>
      <c r="U137" s="87"/>
      <c r="V137" s="87"/>
      <c r="W137" s="87"/>
      <c r="X137" s="87"/>
      <c r="Y137" s="87"/>
      <c r="Z137" s="87"/>
      <c r="AA137" s="87"/>
    </row>
    <row r="138" spans="1:27" ht="16.5" customHeight="1" x14ac:dyDescent="0.6">
      <c r="A138" s="166"/>
      <c r="B138" s="87"/>
      <c r="C138" s="87"/>
      <c r="D138" s="87"/>
      <c r="E138" s="87"/>
      <c r="F138" s="166"/>
      <c r="G138" s="87"/>
      <c r="H138" s="87"/>
      <c r="I138" s="87"/>
      <c r="J138" s="87"/>
      <c r="K138" s="166"/>
      <c r="L138" s="87"/>
      <c r="M138" s="87"/>
      <c r="N138" s="87"/>
      <c r="O138" s="87"/>
      <c r="P138" s="166"/>
      <c r="Q138" s="87"/>
      <c r="R138" s="87"/>
      <c r="S138" s="87"/>
      <c r="T138" s="87"/>
      <c r="U138" s="87"/>
      <c r="V138" s="87"/>
      <c r="W138" s="87"/>
      <c r="X138" s="87"/>
      <c r="Y138" s="87"/>
      <c r="Z138" s="87"/>
      <c r="AA138" s="87"/>
    </row>
    <row r="139" spans="1:27" ht="16.5" customHeight="1" x14ac:dyDescent="0.6">
      <c r="A139" s="166"/>
      <c r="B139" s="87"/>
      <c r="C139" s="87"/>
      <c r="D139" s="87"/>
      <c r="E139" s="87"/>
      <c r="F139" s="166"/>
      <c r="G139" s="87"/>
      <c r="H139" s="87"/>
      <c r="I139" s="87"/>
      <c r="J139" s="87"/>
      <c r="K139" s="166"/>
      <c r="L139" s="87"/>
      <c r="M139" s="87"/>
      <c r="N139" s="87"/>
      <c r="O139" s="87"/>
      <c r="P139" s="166"/>
      <c r="Q139" s="87"/>
      <c r="R139" s="87"/>
      <c r="S139" s="87"/>
      <c r="T139" s="87"/>
      <c r="U139" s="87"/>
      <c r="V139" s="87"/>
      <c r="W139" s="87"/>
      <c r="X139" s="87"/>
      <c r="Y139" s="87"/>
      <c r="Z139" s="87"/>
      <c r="AA139" s="87"/>
    </row>
    <row r="140" spans="1:27" ht="16.5" customHeight="1" x14ac:dyDescent="0.6">
      <c r="A140" s="166"/>
      <c r="B140" s="87"/>
      <c r="C140" s="87"/>
      <c r="D140" s="87"/>
      <c r="E140" s="87"/>
      <c r="F140" s="166"/>
      <c r="G140" s="87"/>
      <c r="H140" s="87"/>
      <c r="I140" s="87"/>
      <c r="J140" s="87"/>
      <c r="K140" s="166"/>
      <c r="L140" s="87"/>
      <c r="M140" s="87"/>
      <c r="N140" s="87"/>
      <c r="O140" s="87"/>
      <c r="P140" s="166"/>
      <c r="Q140" s="87"/>
      <c r="R140" s="87"/>
      <c r="S140" s="87"/>
      <c r="T140" s="87"/>
      <c r="U140" s="87"/>
      <c r="V140" s="87"/>
      <c r="W140" s="87"/>
      <c r="X140" s="87"/>
      <c r="Y140" s="87"/>
      <c r="Z140" s="87"/>
      <c r="AA140" s="87"/>
    </row>
    <row r="141" spans="1:27" ht="16.5" customHeight="1" x14ac:dyDescent="0.6">
      <c r="A141" s="166"/>
      <c r="B141" s="87"/>
      <c r="C141" s="87"/>
      <c r="D141" s="87"/>
      <c r="E141" s="87"/>
      <c r="F141" s="166"/>
      <c r="G141" s="87"/>
      <c r="H141" s="87"/>
      <c r="I141" s="87"/>
      <c r="J141" s="87"/>
      <c r="K141" s="166"/>
      <c r="L141" s="87"/>
      <c r="M141" s="87"/>
      <c r="N141" s="87"/>
      <c r="O141" s="87"/>
      <c r="P141" s="166"/>
      <c r="Q141" s="87"/>
      <c r="R141" s="87"/>
      <c r="S141" s="87"/>
      <c r="T141" s="87"/>
      <c r="U141" s="87"/>
      <c r="V141" s="87"/>
      <c r="W141" s="87"/>
      <c r="X141" s="87"/>
      <c r="Y141" s="87"/>
      <c r="Z141" s="87"/>
      <c r="AA141" s="87"/>
    </row>
    <row r="142" spans="1:27" ht="16.5" customHeight="1" x14ac:dyDescent="0.6">
      <c r="A142" s="166"/>
      <c r="B142" s="87"/>
      <c r="C142" s="87"/>
      <c r="D142" s="87"/>
      <c r="E142" s="87"/>
      <c r="F142" s="166"/>
      <c r="G142" s="87"/>
      <c r="H142" s="87"/>
      <c r="I142" s="87"/>
      <c r="J142" s="87"/>
      <c r="K142" s="166"/>
      <c r="L142" s="87"/>
      <c r="M142" s="87"/>
      <c r="N142" s="87"/>
      <c r="O142" s="87"/>
      <c r="P142" s="166"/>
      <c r="Q142" s="87"/>
      <c r="R142" s="87"/>
      <c r="S142" s="87"/>
      <c r="T142" s="87"/>
      <c r="U142" s="87"/>
      <c r="V142" s="87"/>
      <c r="W142" s="87"/>
      <c r="X142" s="87"/>
      <c r="Y142" s="87"/>
      <c r="Z142" s="87"/>
      <c r="AA142" s="87"/>
    </row>
    <row r="143" spans="1:27" ht="28.5" customHeight="1" x14ac:dyDescent="0.6">
      <c r="A143" s="166"/>
      <c r="B143" s="87"/>
      <c r="C143" s="87"/>
      <c r="D143" s="87"/>
      <c r="E143" s="87"/>
      <c r="F143" s="166"/>
      <c r="G143" s="87"/>
      <c r="H143" s="87"/>
      <c r="I143" s="87"/>
      <c r="J143" s="87"/>
      <c r="K143" s="166"/>
      <c r="L143" s="87"/>
      <c r="M143" s="87"/>
      <c r="N143" s="87"/>
      <c r="O143" s="87"/>
      <c r="P143" s="166"/>
      <c r="Q143" s="87"/>
      <c r="R143" s="87"/>
      <c r="S143" s="87"/>
      <c r="T143" s="87"/>
      <c r="U143" s="87"/>
      <c r="V143" s="87"/>
      <c r="W143" s="87"/>
      <c r="X143" s="87"/>
      <c r="Y143" s="87"/>
      <c r="Z143" s="87"/>
      <c r="AA143" s="87"/>
    </row>
    <row r="144" spans="1:27" ht="16.5" customHeight="1" x14ac:dyDescent="0.6">
      <c r="A144" s="166"/>
      <c r="B144" s="87"/>
      <c r="C144" s="87"/>
      <c r="D144" s="87"/>
      <c r="E144" s="87"/>
      <c r="F144" s="166"/>
      <c r="G144" s="87"/>
      <c r="H144" s="87"/>
      <c r="I144" s="87"/>
      <c r="J144" s="87"/>
      <c r="K144" s="166"/>
      <c r="L144" s="87"/>
      <c r="M144" s="87"/>
      <c r="N144" s="87"/>
      <c r="O144" s="87"/>
      <c r="P144" s="166"/>
      <c r="Q144" s="87"/>
      <c r="R144" s="87"/>
      <c r="S144" s="87"/>
      <c r="T144" s="87"/>
      <c r="U144" s="87"/>
      <c r="V144" s="87"/>
      <c r="W144" s="87"/>
      <c r="X144" s="87"/>
      <c r="Y144" s="87"/>
      <c r="Z144" s="87"/>
      <c r="AA144" s="87"/>
    </row>
    <row r="145" spans="1:27" ht="16.5" customHeight="1" x14ac:dyDescent="0.6">
      <c r="A145" s="166"/>
      <c r="B145" s="87"/>
      <c r="C145" s="87"/>
      <c r="D145" s="87"/>
      <c r="E145" s="87"/>
      <c r="F145" s="166"/>
      <c r="G145" s="87"/>
      <c r="H145" s="87"/>
      <c r="I145" s="87"/>
      <c r="J145" s="87"/>
      <c r="K145" s="166"/>
      <c r="L145" s="87"/>
      <c r="M145" s="87"/>
      <c r="N145" s="87"/>
      <c r="O145" s="87"/>
      <c r="P145" s="166"/>
      <c r="Q145" s="87"/>
      <c r="R145" s="87"/>
      <c r="S145" s="87"/>
      <c r="T145" s="87"/>
      <c r="U145" s="87"/>
      <c r="V145" s="87"/>
      <c r="W145" s="87"/>
      <c r="X145" s="87"/>
      <c r="Y145" s="87"/>
      <c r="Z145" s="87"/>
      <c r="AA145" s="87"/>
    </row>
    <row r="146" spans="1:27" ht="16.5" customHeight="1" x14ac:dyDescent="0.6">
      <c r="A146" s="166"/>
      <c r="B146" s="87"/>
      <c r="C146" s="87"/>
      <c r="D146" s="87"/>
      <c r="E146" s="87"/>
      <c r="F146" s="166"/>
      <c r="G146" s="87"/>
      <c r="H146" s="87"/>
      <c r="I146" s="87"/>
      <c r="J146" s="87"/>
      <c r="K146" s="166"/>
      <c r="L146" s="87"/>
      <c r="M146" s="87"/>
      <c r="N146" s="87"/>
      <c r="O146" s="87"/>
      <c r="P146" s="166"/>
      <c r="Q146" s="87"/>
      <c r="R146" s="87"/>
      <c r="S146" s="87"/>
      <c r="T146" s="87"/>
      <c r="U146" s="87"/>
      <c r="V146" s="87"/>
      <c r="W146" s="87"/>
      <c r="X146" s="87"/>
      <c r="Y146" s="87"/>
      <c r="Z146" s="87"/>
      <c r="AA146" s="87"/>
    </row>
    <row r="147" spans="1:27" ht="16.5" customHeight="1" x14ac:dyDescent="0.6">
      <c r="A147" s="166"/>
      <c r="B147" s="87"/>
      <c r="C147" s="87"/>
      <c r="D147" s="87"/>
      <c r="E147" s="87"/>
      <c r="F147" s="166"/>
      <c r="G147" s="87"/>
      <c r="H147" s="87"/>
      <c r="I147" s="87"/>
      <c r="J147" s="87"/>
      <c r="K147" s="166"/>
      <c r="L147" s="87"/>
      <c r="M147" s="87"/>
      <c r="N147" s="87"/>
      <c r="O147" s="87"/>
      <c r="P147" s="166"/>
      <c r="Q147" s="87"/>
      <c r="R147" s="87"/>
      <c r="S147" s="87"/>
      <c r="T147" s="87"/>
      <c r="U147" s="87"/>
      <c r="V147" s="87"/>
      <c r="W147" s="87"/>
      <c r="X147" s="87"/>
      <c r="Y147" s="87"/>
      <c r="Z147" s="87"/>
      <c r="AA147" s="87"/>
    </row>
    <row r="148" spans="1:27" ht="16.5" customHeight="1" x14ac:dyDescent="0.6">
      <c r="A148" s="166"/>
      <c r="B148" s="87"/>
      <c r="C148" s="87"/>
      <c r="D148" s="87"/>
      <c r="E148" s="87"/>
      <c r="F148" s="166"/>
      <c r="G148" s="87"/>
      <c r="H148" s="87"/>
      <c r="I148" s="87"/>
      <c r="J148" s="87"/>
      <c r="K148" s="166"/>
      <c r="L148" s="87"/>
      <c r="M148" s="87"/>
      <c r="N148" s="87"/>
      <c r="O148" s="87"/>
      <c r="P148" s="166"/>
      <c r="Q148" s="87"/>
      <c r="R148" s="87"/>
      <c r="S148" s="87"/>
      <c r="T148" s="87"/>
      <c r="U148" s="87"/>
      <c r="V148" s="87"/>
      <c r="W148" s="87"/>
      <c r="X148" s="87"/>
      <c r="Y148" s="87"/>
      <c r="Z148" s="87"/>
      <c r="AA148" s="87"/>
    </row>
    <row r="149" spans="1:27" ht="16.5" customHeight="1" x14ac:dyDescent="0.6">
      <c r="A149" s="166"/>
      <c r="B149" s="87"/>
      <c r="C149" s="87"/>
      <c r="D149" s="87"/>
      <c r="E149" s="87"/>
      <c r="F149" s="166"/>
      <c r="G149" s="87"/>
      <c r="H149" s="87"/>
      <c r="I149" s="87"/>
      <c r="J149" s="87"/>
      <c r="K149" s="166"/>
      <c r="L149" s="87"/>
      <c r="M149" s="87"/>
      <c r="N149" s="87"/>
      <c r="O149" s="87"/>
      <c r="P149" s="166"/>
      <c r="Q149" s="87"/>
      <c r="R149" s="87"/>
      <c r="S149" s="87"/>
      <c r="T149" s="87"/>
      <c r="U149" s="87"/>
      <c r="V149" s="87"/>
      <c r="W149" s="87"/>
      <c r="X149" s="87"/>
      <c r="Y149" s="87"/>
      <c r="Z149" s="87"/>
      <c r="AA149" s="87"/>
    </row>
    <row r="150" spans="1:27" ht="16.5" customHeight="1" x14ac:dyDescent="0.6">
      <c r="A150" s="166"/>
      <c r="B150" s="87"/>
      <c r="C150" s="87"/>
      <c r="D150" s="87"/>
      <c r="E150" s="87"/>
      <c r="F150" s="166"/>
      <c r="G150" s="87"/>
      <c r="H150" s="87"/>
      <c r="I150" s="87"/>
      <c r="J150" s="87"/>
      <c r="K150" s="166"/>
      <c r="L150" s="87"/>
      <c r="M150" s="87"/>
      <c r="N150" s="87"/>
      <c r="O150" s="87"/>
      <c r="P150" s="166"/>
      <c r="Q150" s="87"/>
      <c r="R150" s="87"/>
      <c r="S150" s="87"/>
      <c r="T150" s="87"/>
      <c r="U150" s="87"/>
      <c r="V150" s="87"/>
      <c r="W150" s="87"/>
      <c r="X150" s="87"/>
      <c r="Y150" s="87"/>
      <c r="Z150" s="87"/>
      <c r="AA150" s="87"/>
    </row>
    <row r="151" spans="1:27" ht="16.5" customHeight="1" x14ac:dyDescent="0.6">
      <c r="A151" s="166"/>
      <c r="B151" s="87"/>
      <c r="C151" s="87"/>
      <c r="D151" s="87"/>
      <c r="E151" s="87"/>
      <c r="F151" s="166"/>
      <c r="G151" s="87"/>
      <c r="H151" s="87"/>
      <c r="I151" s="87"/>
      <c r="J151" s="87"/>
      <c r="K151" s="166"/>
      <c r="L151" s="87"/>
      <c r="M151" s="87"/>
      <c r="N151" s="87"/>
      <c r="O151" s="87"/>
      <c r="P151" s="166"/>
      <c r="Q151" s="87"/>
      <c r="R151" s="87"/>
      <c r="S151" s="87"/>
      <c r="T151" s="87"/>
      <c r="U151" s="87"/>
      <c r="V151" s="87"/>
      <c r="W151" s="87"/>
      <c r="X151" s="87"/>
      <c r="Y151" s="87"/>
      <c r="Z151" s="87"/>
      <c r="AA151" s="87"/>
    </row>
    <row r="152" spans="1:27" ht="16.5" customHeight="1" x14ac:dyDescent="0.6">
      <c r="A152" s="166"/>
      <c r="B152" s="87"/>
      <c r="C152" s="87"/>
      <c r="D152" s="87"/>
      <c r="E152" s="87"/>
      <c r="F152" s="166"/>
      <c r="G152" s="87"/>
      <c r="H152" s="87"/>
      <c r="I152" s="87"/>
      <c r="J152" s="87"/>
      <c r="K152" s="166"/>
      <c r="L152" s="87"/>
      <c r="M152" s="87"/>
      <c r="N152" s="87"/>
      <c r="O152" s="87"/>
      <c r="P152" s="166"/>
      <c r="Q152" s="87"/>
      <c r="R152" s="87"/>
      <c r="S152" s="87"/>
      <c r="T152" s="87"/>
      <c r="U152" s="87"/>
      <c r="V152" s="87"/>
      <c r="W152" s="87"/>
      <c r="X152" s="87"/>
      <c r="Y152" s="87"/>
      <c r="Z152" s="87"/>
      <c r="AA152" s="87"/>
    </row>
    <row r="153" spans="1:27" ht="16.5" customHeight="1" x14ac:dyDescent="0.6">
      <c r="A153" s="166"/>
      <c r="B153" s="87"/>
      <c r="C153" s="87"/>
      <c r="D153" s="87"/>
      <c r="E153" s="87"/>
      <c r="F153" s="166"/>
      <c r="G153" s="87"/>
      <c r="H153" s="87"/>
      <c r="I153" s="87"/>
      <c r="J153" s="87"/>
      <c r="K153" s="166"/>
      <c r="L153" s="87"/>
      <c r="M153" s="87"/>
      <c r="N153" s="87"/>
      <c r="O153" s="87"/>
      <c r="P153" s="166"/>
      <c r="Q153" s="87"/>
      <c r="R153" s="87"/>
      <c r="S153" s="87"/>
      <c r="T153" s="87"/>
      <c r="U153" s="87"/>
      <c r="V153" s="87"/>
      <c r="W153" s="87"/>
      <c r="X153" s="87"/>
      <c r="Y153" s="87"/>
      <c r="Z153" s="87"/>
      <c r="AA153" s="87"/>
    </row>
    <row r="154" spans="1:27" ht="16.5" customHeight="1" x14ac:dyDescent="0.6">
      <c r="A154" s="166"/>
      <c r="B154" s="87"/>
      <c r="C154" s="87"/>
      <c r="D154" s="87"/>
      <c r="E154" s="87"/>
      <c r="F154" s="166"/>
      <c r="G154" s="87"/>
      <c r="H154" s="87"/>
      <c r="I154" s="87"/>
      <c r="J154" s="87"/>
      <c r="K154" s="166"/>
      <c r="L154" s="87"/>
      <c r="M154" s="87"/>
      <c r="N154" s="87"/>
      <c r="O154" s="87"/>
      <c r="P154" s="166"/>
      <c r="Q154" s="87"/>
      <c r="R154" s="87"/>
      <c r="S154" s="87"/>
      <c r="T154" s="87"/>
      <c r="U154" s="87"/>
      <c r="V154" s="87"/>
      <c r="W154" s="87"/>
      <c r="X154" s="87"/>
      <c r="Y154" s="87"/>
      <c r="Z154" s="87"/>
      <c r="AA154" s="87"/>
    </row>
    <row r="155" spans="1:27" ht="16.5" customHeight="1" x14ac:dyDescent="0.6">
      <c r="A155" s="166"/>
      <c r="B155" s="87"/>
      <c r="C155" s="87"/>
      <c r="D155" s="87"/>
      <c r="E155" s="87"/>
      <c r="F155" s="166"/>
      <c r="G155" s="87"/>
      <c r="H155" s="87"/>
      <c r="I155" s="87"/>
      <c r="J155" s="87"/>
      <c r="K155" s="166"/>
      <c r="L155" s="87"/>
      <c r="M155" s="87"/>
      <c r="N155" s="87"/>
      <c r="O155" s="87"/>
      <c r="P155" s="166"/>
      <c r="Q155" s="87"/>
      <c r="R155" s="87"/>
      <c r="S155" s="87"/>
      <c r="T155" s="87"/>
      <c r="U155" s="87"/>
      <c r="V155" s="87"/>
      <c r="W155" s="87"/>
      <c r="X155" s="87"/>
      <c r="Y155" s="87"/>
      <c r="Z155" s="87"/>
      <c r="AA155" s="87"/>
    </row>
    <row r="156" spans="1:27" ht="28.5" customHeight="1" x14ac:dyDescent="0.6">
      <c r="A156" s="166"/>
      <c r="B156" s="87"/>
      <c r="C156" s="87"/>
      <c r="D156" s="87"/>
      <c r="E156" s="87"/>
      <c r="F156" s="166"/>
      <c r="G156" s="87"/>
      <c r="H156" s="87"/>
      <c r="I156" s="87"/>
      <c r="J156" s="87"/>
      <c r="K156" s="166"/>
      <c r="L156" s="87"/>
      <c r="M156" s="87"/>
      <c r="N156" s="87"/>
      <c r="O156" s="87"/>
      <c r="P156" s="166"/>
      <c r="Q156" s="87"/>
      <c r="R156" s="87"/>
      <c r="S156" s="87"/>
      <c r="T156" s="87"/>
      <c r="U156" s="87"/>
      <c r="V156" s="87"/>
      <c r="W156" s="87"/>
      <c r="X156" s="87"/>
      <c r="Y156" s="87"/>
      <c r="Z156" s="87"/>
      <c r="AA156" s="87"/>
    </row>
    <row r="157" spans="1:27" ht="16.5" customHeight="1" x14ac:dyDescent="0.6">
      <c r="A157" s="166"/>
      <c r="B157" s="87"/>
      <c r="C157" s="87"/>
      <c r="D157" s="87"/>
      <c r="E157" s="87"/>
      <c r="F157" s="166"/>
      <c r="G157" s="87"/>
      <c r="H157" s="87"/>
      <c r="I157" s="87"/>
      <c r="J157" s="87"/>
      <c r="K157" s="166"/>
      <c r="L157" s="87"/>
      <c r="M157" s="87"/>
      <c r="N157" s="87"/>
      <c r="O157" s="87"/>
      <c r="P157" s="166"/>
      <c r="Q157" s="87"/>
      <c r="R157" s="87"/>
      <c r="S157" s="87"/>
      <c r="T157" s="87"/>
      <c r="U157" s="87"/>
      <c r="V157" s="87"/>
      <c r="W157" s="87"/>
      <c r="X157" s="87"/>
      <c r="Y157" s="87"/>
      <c r="Z157" s="87"/>
      <c r="AA157" s="87"/>
    </row>
    <row r="158" spans="1:27" ht="16.5" customHeight="1" x14ac:dyDescent="0.6">
      <c r="A158" s="166"/>
      <c r="B158" s="87"/>
      <c r="C158" s="87"/>
      <c r="D158" s="87"/>
      <c r="E158" s="87"/>
      <c r="F158" s="166"/>
      <c r="G158" s="87"/>
      <c r="H158" s="87"/>
      <c r="I158" s="87"/>
      <c r="J158" s="87"/>
      <c r="K158" s="166"/>
      <c r="L158" s="87"/>
      <c r="M158" s="87"/>
      <c r="N158" s="87"/>
      <c r="O158" s="87"/>
      <c r="P158" s="166"/>
      <c r="Q158" s="87"/>
      <c r="R158" s="87"/>
      <c r="S158" s="87"/>
      <c r="T158" s="87"/>
      <c r="U158" s="87"/>
      <c r="V158" s="87"/>
      <c r="W158" s="87"/>
      <c r="X158" s="87"/>
      <c r="Y158" s="87"/>
      <c r="Z158" s="87"/>
      <c r="AA158" s="87"/>
    </row>
    <row r="159" spans="1:27" ht="16.5" customHeight="1" x14ac:dyDescent="0.6">
      <c r="A159" s="166"/>
      <c r="B159" s="87"/>
      <c r="C159" s="87"/>
      <c r="D159" s="87"/>
      <c r="E159" s="87"/>
      <c r="F159" s="166"/>
      <c r="G159" s="87"/>
      <c r="H159" s="87"/>
      <c r="I159" s="87"/>
      <c r="J159" s="87"/>
      <c r="K159" s="166"/>
      <c r="L159" s="87"/>
      <c r="M159" s="87"/>
      <c r="N159" s="87"/>
      <c r="O159" s="87"/>
      <c r="P159" s="166"/>
      <c r="Q159" s="87"/>
      <c r="R159" s="87"/>
      <c r="S159" s="87"/>
      <c r="T159" s="87"/>
      <c r="U159" s="87"/>
      <c r="V159" s="87"/>
      <c r="W159" s="87"/>
      <c r="X159" s="87"/>
      <c r="Y159" s="87"/>
      <c r="Z159" s="87"/>
      <c r="AA159" s="87"/>
    </row>
    <row r="160" spans="1:27" ht="16.5" customHeight="1" x14ac:dyDescent="0.6">
      <c r="A160" s="166"/>
      <c r="B160" s="87"/>
      <c r="C160" s="87"/>
      <c r="D160" s="87"/>
      <c r="E160" s="87"/>
      <c r="F160" s="166"/>
      <c r="G160" s="87"/>
      <c r="H160" s="87"/>
      <c r="I160" s="87"/>
      <c r="J160" s="87"/>
      <c r="K160" s="166"/>
      <c r="L160" s="87"/>
      <c r="M160" s="87"/>
      <c r="N160" s="87"/>
      <c r="O160" s="87"/>
      <c r="P160" s="166"/>
      <c r="Q160" s="87"/>
      <c r="R160" s="87"/>
      <c r="S160" s="87"/>
      <c r="T160" s="87"/>
      <c r="U160" s="87"/>
      <c r="V160" s="87"/>
      <c r="W160" s="87"/>
      <c r="X160" s="87"/>
      <c r="Y160" s="87"/>
      <c r="Z160" s="87"/>
      <c r="AA160" s="87"/>
    </row>
    <row r="161" spans="1:27" ht="16.5" customHeight="1" x14ac:dyDescent="0.6">
      <c r="A161" s="166"/>
      <c r="B161" s="87"/>
      <c r="C161" s="87"/>
      <c r="D161" s="87"/>
      <c r="E161" s="87"/>
      <c r="F161" s="166"/>
      <c r="G161" s="87"/>
      <c r="H161" s="87"/>
      <c r="I161" s="87"/>
      <c r="J161" s="87"/>
      <c r="K161" s="166"/>
      <c r="L161" s="87"/>
      <c r="M161" s="87"/>
      <c r="N161" s="87"/>
      <c r="O161" s="87"/>
      <c r="P161" s="166"/>
      <c r="Q161" s="87"/>
      <c r="R161" s="87"/>
      <c r="S161" s="87"/>
      <c r="T161" s="87"/>
      <c r="U161" s="87"/>
      <c r="V161" s="87"/>
      <c r="W161" s="87"/>
      <c r="X161" s="87"/>
      <c r="Y161" s="87"/>
      <c r="Z161" s="87"/>
      <c r="AA161" s="87"/>
    </row>
    <row r="162" spans="1:27" ht="16.5" customHeight="1" x14ac:dyDescent="0.6">
      <c r="A162" s="166"/>
      <c r="B162" s="87"/>
      <c r="C162" s="87"/>
      <c r="D162" s="87"/>
      <c r="E162" s="87"/>
      <c r="F162" s="166"/>
      <c r="G162" s="87"/>
      <c r="H162" s="87"/>
      <c r="I162" s="87"/>
      <c r="J162" s="87"/>
      <c r="K162" s="166"/>
      <c r="L162" s="87"/>
      <c r="M162" s="87"/>
      <c r="N162" s="87"/>
      <c r="O162" s="87"/>
      <c r="P162" s="166"/>
      <c r="Q162" s="87"/>
      <c r="R162" s="87"/>
      <c r="S162" s="87"/>
      <c r="T162" s="87"/>
      <c r="U162" s="87"/>
      <c r="V162" s="87"/>
      <c r="W162" s="87"/>
      <c r="X162" s="87"/>
      <c r="Y162" s="87"/>
      <c r="Z162" s="87"/>
      <c r="AA162" s="87"/>
    </row>
    <row r="163" spans="1:27" ht="28.5" customHeight="1" x14ac:dyDescent="0.6">
      <c r="A163" s="166"/>
      <c r="B163" s="87"/>
      <c r="C163" s="87"/>
      <c r="D163" s="87"/>
      <c r="E163" s="87"/>
      <c r="F163" s="166"/>
      <c r="G163" s="87"/>
      <c r="H163" s="87"/>
      <c r="I163" s="87"/>
      <c r="J163" s="87"/>
      <c r="K163" s="166"/>
      <c r="L163" s="87"/>
      <c r="M163" s="87"/>
      <c r="N163" s="87"/>
      <c r="O163" s="87"/>
      <c r="P163" s="166"/>
      <c r="Q163" s="87"/>
      <c r="R163" s="87"/>
      <c r="S163" s="87"/>
      <c r="T163" s="87"/>
      <c r="U163" s="87"/>
      <c r="V163" s="87"/>
      <c r="W163" s="87"/>
      <c r="X163" s="87"/>
      <c r="Y163" s="87"/>
      <c r="Z163" s="87"/>
      <c r="AA163" s="87"/>
    </row>
    <row r="164" spans="1:27" ht="16.5" customHeight="1" x14ac:dyDescent="0.6">
      <c r="A164" s="166"/>
      <c r="B164" s="87"/>
      <c r="C164" s="87"/>
      <c r="D164" s="87"/>
      <c r="E164" s="87"/>
      <c r="F164" s="166"/>
      <c r="G164" s="87"/>
      <c r="H164" s="87"/>
      <c r="I164" s="87"/>
      <c r="J164" s="87"/>
      <c r="K164" s="166"/>
      <c r="L164" s="87"/>
      <c r="M164" s="87"/>
      <c r="N164" s="87"/>
      <c r="O164" s="87"/>
      <c r="P164" s="166"/>
      <c r="Q164" s="87"/>
      <c r="R164" s="87"/>
      <c r="S164" s="87"/>
      <c r="T164" s="87"/>
      <c r="U164" s="87"/>
      <c r="V164" s="87"/>
      <c r="W164" s="87"/>
      <c r="X164" s="87"/>
      <c r="Y164" s="87"/>
      <c r="Z164" s="87"/>
      <c r="AA164" s="87"/>
    </row>
    <row r="165" spans="1:27" ht="28.5" customHeight="1" x14ac:dyDescent="0.6">
      <c r="A165" s="166"/>
      <c r="B165" s="87"/>
      <c r="C165" s="87"/>
      <c r="D165" s="87"/>
      <c r="E165" s="87"/>
      <c r="F165" s="166"/>
      <c r="G165" s="87"/>
      <c r="H165" s="87"/>
      <c r="I165" s="87"/>
      <c r="J165" s="87"/>
      <c r="K165" s="166"/>
      <c r="L165" s="87"/>
      <c r="M165" s="87"/>
      <c r="N165" s="87"/>
      <c r="O165" s="87"/>
      <c r="P165" s="166"/>
      <c r="Q165" s="87"/>
      <c r="R165" s="87"/>
      <c r="S165" s="87"/>
      <c r="T165" s="87"/>
      <c r="U165" s="87"/>
      <c r="V165" s="87"/>
      <c r="W165" s="87"/>
      <c r="X165" s="87"/>
      <c r="Y165" s="87"/>
      <c r="Z165" s="87"/>
      <c r="AA165" s="87"/>
    </row>
    <row r="166" spans="1:27" ht="16.5" customHeight="1" x14ac:dyDescent="0.6">
      <c r="A166" s="166"/>
      <c r="B166" s="87"/>
      <c r="C166" s="87"/>
      <c r="D166" s="87"/>
      <c r="E166" s="87"/>
      <c r="F166" s="166"/>
      <c r="G166" s="87"/>
      <c r="H166" s="87"/>
      <c r="I166" s="87"/>
      <c r="J166" s="87"/>
      <c r="K166" s="166"/>
      <c r="L166" s="87"/>
      <c r="M166" s="87"/>
      <c r="N166" s="87"/>
      <c r="O166" s="87"/>
      <c r="P166" s="166"/>
      <c r="Q166" s="87"/>
      <c r="R166" s="87"/>
      <c r="S166" s="87"/>
      <c r="T166" s="87"/>
      <c r="U166" s="87"/>
      <c r="V166" s="87"/>
      <c r="W166" s="87"/>
      <c r="X166" s="87"/>
      <c r="Y166" s="87"/>
      <c r="Z166" s="87"/>
      <c r="AA166" s="87"/>
    </row>
    <row r="167" spans="1:27" ht="16.5" customHeight="1" x14ac:dyDescent="0.6">
      <c r="A167" s="166"/>
      <c r="B167" s="87"/>
      <c r="C167" s="87"/>
      <c r="D167" s="87"/>
      <c r="E167" s="87"/>
      <c r="F167" s="166"/>
      <c r="G167" s="87"/>
      <c r="H167" s="87"/>
      <c r="I167" s="87"/>
      <c r="J167" s="87"/>
      <c r="K167" s="166"/>
      <c r="L167" s="87"/>
      <c r="M167" s="87"/>
      <c r="N167" s="87"/>
      <c r="O167" s="87"/>
      <c r="P167" s="166"/>
      <c r="Q167" s="87"/>
      <c r="R167" s="87"/>
      <c r="S167" s="87"/>
      <c r="T167" s="87"/>
      <c r="U167" s="87"/>
      <c r="V167" s="87"/>
      <c r="W167" s="87"/>
      <c r="X167" s="87"/>
      <c r="Y167" s="87"/>
      <c r="Z167" s="87"/>
      <c r="AA167" s="87"/>
    </row>
    <row r="168" spans="1:27" ht="16.5" customHeight="1" x14ac:dyDescent="0.6">
      <c r="A168" s="166"/>
      <c r="B168" s="87"/>
      <c r="C168" s="87"/>
      <c r="D168" s="87"/>
      <c r="E168" s="87"/>
      <c r="F168" s="166"/>
      <c r="G168" s="87"/>
      <c r="H168" s="87"/>
      <c r="I168" s="87"/>
      <c r="J168" s="87"/>
      <c r="K168" s="166"/>
      <c r="L168" s="87"/>
      <c r="M168" s="87"/>
      <c r="N168" s="87"/>
      <c r="O168" s="87"/>
      <c r="P168" s="166"/>
      <c r="Q168" s="87"/>
      <c r="R168" s="87"/>
      <c r="S168" s="87"/>
      <c r="T168" s="87"/>
      <c r="U168" s="87"/>
      <c r="V168" s="87"/>
      <c r="W168" s="87"/>
      <c r="X168" s="87"/>
      <c r="Y168" s="87"/>
      <c r="Z168" s="87"/>
      <c r="AA168" s="87"/>
    </row>
    <row r="169" spans="1:27" ht="16.5" customHeight="1" x14ac:dyDescent="0.6">
      <c r="A169" s="166"/>
      <c r="B169" s="87"/>
      <c r="C169" s="87"/>
      <c r="D169" s="87"/>
      <c r="E169" s="87"/>
      <c r="F169" s="166"/>
      <c r="G169" s="87"/>
      <c r="H169" s="87"/>
      <c r="I169" s="87"/>
      <c r="J169" s="87"/>
      <c r="K169" s="166"/>
      <c r="L169" s="87"/>
      <c r="M169" s="87"/>
      <c r="N169" s="87"/>
      <c r="O169" s="87"/>
      <c r="P169" s="166"/>
      <c r="Q169" s="87"/>
      <c r="R169" s="87"/>
      <c r="S169" s="87"/>
      <c r="T169" s="87"/>
      <c r="U169" s="87"/>
      <c r="V169" s="87"/>
      <c r="W169" s="87"/>
      <c r="X169" s="87"/>
      <c r="Y169" s="87"/>
      <c r="Z169" s="87"/>
      <c r="AA169" s="87"/>
    </row>
    <row r="170" spans="1:27" ht="16.5" customHeight="1" x14ac:dyDescent="0.6">
      <c r="A170" s="166"/>
      <c r="B170" s="87"/>
      <c r="C170" s="87"/>
      <c r="D170" s="87"/>
      <c r="E170" s="87"/>
      <c r="F170" s="166"/>
      <c r="G170" s="87"/>
      <c r="H170" s="87"/>
      <c r="I170" s="87"/>
      <c r="J170" s="87"/>
      <c r="K170" s="166"/>
      <c r="L170" s="87"/>
      <c r="M170" s="87"/>
      <c r="N170" s="87"/>
      <c r="O170" s="87"/>
      <c r="P170" s="166"/>
      <c r="Q170" s="87"/>
      <c r="R170" s="87"/>
      <c r="S170" s="87"/>
      <c r="T170" s="87"/>
      <c r="U170" s="87"/>
      <c r="V170" s="87"/>
      <c r="W170" s="87"/>
      <c r="X170" s="87"/>
      <c r="Y170" s="87"/>
      <c r="Z170" s="87"/>
      <c r="AA170" s="87"/>
    </row>
    <row r="171" spans="1:27" ht="28.5" customHeight="1" x14ac:dyDescent="0.6">
      <c r="A171" s="166"/>
      <c r="B171" s="87"/>
      <c r="C171" s="87"/>
      <c r="D171" s="87"/>
      <c r="E171" s="87"/>
      <c r="F171" s="166"/>
      <c r="G171" s="87"/>
      <c r="H171" s="87"/>
      <c r="I171" s="87"/>
      <c r="J171" s="87"/>
      <c r="K171" s="166"/>
      <c r="L171" s="87"/>
      <c r="M171" s="87"/>
      <c r="N171" s="87"/>
      <c r="O171" s="87"/>
      <c r="P171" s="166"/>
      <c r="Q171" s="87"/>
      <c r="R171" s="87"/>
      <c r="S171" s="87"/>
      <c r="T171" s="87"/>
      <c r="U171" s="87"/>
      <c r="V171" s="87"/>
      <c r="W171" s="87"/>
      <c r="X171" s="87"/>
      <c r="Y171" s="87"/>
      <c r="Z171" s="87"/>
      <c r="AA171" s="87"/>
    </row>
    <row r="172" spans="1:27" ht="16.5" customHeight="1" x14ac:dyDescent="0.6">
      <c r="A172" s="166"/>
      <c r="B172" s="87"/>
      <c r="C172" s="87"/>
      <c r="D172" s="87"/>
      <c r="E172" s="87"/>
      <c r="F172" s="166"/>
      <c r="G172" s="87"/>
      <c r="H172" s="87"/>
      <c r="I172" s="87"/>
      <c r="J172" s="87"/>
      <c r="K172" s="166"/>
      <c r="L172" s="87"/>
      <c r="M172" s="87"/>
      <c r="N172" s="87"/>
      <c r="O172" s="87"/>
      <c r="P172" s="166"/>
      <c r="Q172" s="87"/>
      <c r="R172" s="87"/>
      <c r="S172" s="87"/>
      <c r="T172" s="87"/>
      <c r="U172" s="87"/>
      <c r="V172" s="87"/>
      <c r="W172" s="87"/>
      <c r="X172" s="87"/>
      <c r="Y172" s="87"/>
      <c r="Z172" s="87"/>
      <c r="AA172" s="87"/>
    </row>
    <row r="173" spans="1:27" ht="40.5" customHeight="1" x14ac:dyDescent="0.6">
      <c r="A173" s="166"/>
      <c r="B173" s="87"/>
      <c r="C173" s="87"/>
      <c r="D173" s="87"/>
      <c r="E173" s="87"/>
      <c r="F173" s="166"/>
      <c r="G173" s="87"/>
      <c r="H173" s="87"/>
      <c r="I173" s="87"/>
      <c r="J173" s="87"/>
      <c r="K173" s="166"/>
      <c r="L173" s="87"/>
      <c r="M173" s="87"/>
      <c r="N173" s="87"/>
      <c r="O173" s="87"/>
      <c r="P173" s="166"/>
      <c r="Q173" s="87"/>
      <c r="R173" s="87"/>
      <c r="S173" s="87"/>
      <c r="T173" s="87"/>
      <c r="U173" s="87"/>
      <c r="V173" s="87"/>
      <c r="W173" s="87"/>
      <c r="X173" s="87"/>
      <c r="Y173" s="87"/>
      <c r="Z173" s="87"/>
      <c r="AA173" s="87"/>
    </row>
    <row r="174" spans="1:27" ht="16.5" customHeight="1" x14ac:dyDescent="0.6">
      <c r="A174" s="166"/>
      <c r="B174" s="87"/>
      <c r="C174" s="87"/>
      <c r="D174" s="87"/>
      <c r="E174" s="87"/>
      <c r="F174" s="166"/>
      <c r="G174" s="87"/>
      <c r="H174" s="87"/>
      <c r="I174" s="87"/>
      <c r="J174" s="87"/>
      <c r="K174" s="166"/>
      <c r="L174" s="87"/>
      <c r="M174" s="87"/>
      <c r="N174" s="87"/>
      <c r="O174" s="87"/>
      <c r="P174" s="166"/>
      <c r="Q174" s="87"/>
      <c r="R174" s="87"/>
      <c r="S174" s="87"/>
      <c r="T174" s="87"/>
      <c r="U174" s="87"/>
      <c r="V174" s="87"/>
      <c r="W174" s="87"/>
      <c r="X174" s="87"/>
      <c r="Y174" s="87"/>
      <c r="Z174" s="87"/>
      <c r="AA174" s="87"/>
    </row>
    <row r="175" spans="1:27" ht="16.5" customHeight="1" x14ac:dyDescent="0.6">
      <c r="A175" s="166"/>
      <c r="B175" s="87"/>
      <c r="C175" s="87"/>
      <c r="D175" s="87"/>
      <c r="E175" s="87"/>
      <c r="F175" s="166"/>
      <c r="G175" s="87"/>
      <c r="H175" s="87"/>
      <c r="I175" s="87"/>
      <c r="J175" s="87"/>
      <c r="K175" s="166"/>
      <c r="L175" s="87"/>
      <c r="M175" s="87"/>
      <c r="N175" s="87"/>
      <c r="O175" s="87"/>
      <c r="P175" s="166"/>
      <c r="Q175" s="87"/>
      <c r="R175" s="87"/>
      <c r="S175" s="87"/>
      <c r="T175" s="87"/>
      <c r="U175" s="87"/>
      <c r="V175" s="87"/>
      <c r="W175" s="87"/>
      <c r="X175" s="87"/>
      <c r="Y175" s="87"/>
      <c r="Z175" s="87"/>
      <c r="AA175" s="87"/>
    </row>
    <row r="176" spans="1:27" ht="16.5" customHeight="1" x14ac:dyDescent="0.6">
      <c r="A176" s="166"/>
      <c r="B176" s="87"/>
      <c r="C176" s="87"/>
      <c r="D176" s="87"/>
      <c r="E176" s="87"/>
      <c r="F176" s="166"/>
      <c r="G176" s="87"/>
      <c r="H176" s="87"/>
      <c r="I176" s="87"/>
      <c r="J176" s="87"/>
      <c r="K176" s="166"/>
      <c r="L176" s="87"/>
      <c r="M176" s="87"/>
      <c r="N176" s="87"/>
      <c r="O176" s="87"/>
      <c r="P176" s="166"/>
      <c r="Q176" s="87"/>
      <c r="R176" s="87"/>
      <c r="S176" s="87"/>
      <c r="T176" s="87"/>
      <c r="U176" s="87"/>
      <c r="V176" s="87"/>
      <c r="W176" s="87"/>
      <c r="X176" s="87"/>
      <c r="Y176" s="87"/>
      <c r="Z176" s="87"/>
      <c r="AA176" s="87"/>
    </row>
    <row r="177" spans="1:27" ht="16.5" customHeight="1" x14ac:dyDescent="0.6">
      <c r="A177" s="166"/>
      <c r="B177" s="87"/>
      <c r="C177" s="87"/>
      <c r="D177" s="87"/>
      <c r="E177" s="87"/>
      <c r="F177" s="166"/>
      <c r="G177" s="87"/>
      <c r="H177" s="87"/>
      <c r="I177" s="87"/>
      <c r="J177" s="87"/>
      <c r="K177" s="166"/>
      <c r="L177" s="87"/>
      <c r="M177" s="87"/>
      <c r="N177" s="87"/>
      <c r="O177" s="87"/>
      <c r="P177" s="166"/>
      <c r="Q177" s="87"/>
      <c r="R177" s="87"/>
      <c r="S177" s="87"/>
      <c r="T177" s="87"/>
      <c r="U177" s="87"/>
      <c r="V177" s="87"/>
      <c r="W177" s="87"/>
      <c r="X177" s="87"/>
      <c r="Y177" s="87"/>
      <c r="Z177" s="87"/>
      <c r="AA177" s="87"/>
    </row>
    <row r="178" spans="1:27" ht="16.5" customHeight="1" x14ac:dyDescent="0.6">
      <c r="A178" s="166"/>
      <c r="B178" s="87"/>
      <c r="C178" s="87"/>
      <c r="D178" s="87"/>
      <c r="E178" s="87"/>
      <c r="F178" s="166"/>
      <c r="G178" s="87"/>
      <c r="H178" s="87"/>
      <c r="I178" s="87"/>
      <c r="J178" s="87"/>
      <c r="K178" s="166"/>
      <c r="L178" s="87"/>
      <c r="M178" s="87"/>
      <c r="N178" s="87"/>
      <c r="O178" s="87"/>
      <c r="P178" s="166"/>
      <c r="Q178" s="87"/>
      <c r="R178" s="87"/>
      <c r="S178" s="87"/>
      <c r="T178" s="87"/>
      <c r="U178" s="87"/>
      <c r="V178" s="87"/>
      <c r="W178" s="87"/>
      <c r="X178" s="87"/>
      <c r="Y178" s="87"/>
      <c r="Z178" s="87"/>
      <c r="AA178" s="87"/>
    </row>
    <row r="179" spans="1:27" ht="40.5" customHeight="1" x14ac:dyDescent="0.6">
      <c r="A179" s="166"/>
      <c r="B179" s="87"/>
      <c r="C179" s="87"/>
      <c r="D179" s="87"/>
      <c r="E179" s="87"/>
      <c r="F179" s="166"/>
      <c r="G179" s="87"/>
      <c r="H179" s="87"/>
      <c r="I179" s="87"/>
      <c r="J179" s="87"/>
      <c r="K179" s="166"/>
      <c r="L179" s="87"/>
      <c r="M179" s="87"/>
      <c r="N179" s="87"/>
      <c r="O179" s="87"/>
      <c r="P179" s="166"/>
      <c r="Q179" s="87"/>
      <c r="R179" s="87"/>
      <c r="S179" s="87"/>
      <c r="T179" s="87"/>
      <c r="U179" s="87"/>
      <c r="V179" s="87"/>
      <c r="W179" s="87"/>
      <c r="X179" s="87"/>
      <c r="Y179" s="87"/>
      <c r="Z179" s="87"/>
      <c r="AA179" s="87"/>
    </row>
    <row r="180" spans="1:27" ht="16.5" customHeight="1" x14ac:dyDescent="0.6">
      <c r="A180" s="166"/>
      <c r="B180" s="87"/>
      <c r="C180" s="87"/>
      <c r="D180" s="87"/>
      <c r="E180" s="87"/>
      <c r="F180" s="166"/>
      <c r="G180" s="87"/>
      <c r="H180" s="87"/>
      <c r="I180" s="87"/>
      <c r="J180" s="87"/>
      <c r="K180" s="166"/>
      <c r="L180" s="87"/>
      <c r="M180" s="87"/>
      <c r="N180" s="87"/>
      <c r="O180" s="87"/>
      <c r="P180" s="166"/>
      <c r="Q180" s="87"/>
      <c r="R180" s="87"/>
      <c r="S180" s="87"/>
      <c r="T180" s="87"/>
      <c r="U180" s="87"/>
      <c r="V180" s="87"/>
      <c r="W180" s="87"/>
      <c r="X180" s="87"/>
      <c r="Y180" s="87"/>
      <c r="Z180" s="87"/>
      <c r="AA180" s="87"/>
    </row>
    <row r="181" spans="1:27" ht="16.5" customHeight="1" x14ac:dyDescent="0.6">
      <c r="A181" s="166"/>
      <c r="B181" s="87"/>
      <c r="C181" s="87"/>
      <c r="D181" s="87"/>
      <c r="E181" s="87"/>
      <c r="F181" s="166"/>
      <c r="G181" s="87"/>
      <c r="H181" s="87"/>
      <c r="I181" s="87"/>
      <c r="J181" s="87"/>
      <c r="K181" s="166"/>
      <c r="L181" s="87"/>
      <c r="M181" s="87"/>
      <c r="N181" s="87"/>
      <c r="O181" s="87"/>
      <c r="P181" s="166"/>
      <c r="Q181" s="87"/>
      <c r="R181" s="87"/>
      <c r="S181" s="87"/>
      <c r="T181" s="87"/>
      <c r="U181" s="87"/>
      <c r="V181" s="87"/>
      <c r="W181" s="87"/>
      <c r="X181" s="87"/>
      <c r="Y181" s="87"/>
      <c r="Z181" s="87"/>
      <c r="AA181" s="87"/>
    </row>
    <row r="182" spans="1:27" ht="16.5" customHeight="1" x14ac:dyDescent="0.6">
      <c r="A182" s="166"/>
      <c r="B182" s="87"/>
      <c r="C182" s="87"/>
      <c r="D182" s="87"/>
      <c r="E182" s="87"/>
      <c r="F182" s="166"/>
      <c r="G182" s="87"/>
      <c r="H182" s="87"/>
      <c r="I182" s="87"/>
      <c r="J182" s="87"/>
      <c r="K182" s="166"/>
      <c r="L182" s="87"/>
      <c r="M182" s="87"/>
      <c r="N182" s="87"/>
      <c r="O182" s="87"/>
      <c r="P182" s="166"/>
      <c r="Q182" s="87"/>
      <c r="R182" s="87"/>
      <c r="S182" s="87"/>
      <c r="T182" s="87"/>
      <c r="U182" s="87"/>
      <c r="V182" s="87"/>
      <c r="W182" s="87"/>
      <c r="X182" s="87"/>
      <c r="Y182" s="87"/>
      <c r="Z182" s="87"/>
      <c r="AA182" s="87"/>
    </row>
    <row r="183" spans="1:27" ht="16.5" customHeight="1" x14ac:dyDescent="0.6">
      <c r="A183" s="166"/>
      <c r="B183" s="87"/>
      <c r="C183" s="87"/>
      <c r="D183" s="87"/>
      <c r="E183" s="87"/>
      <c r="F183" s="166"/>
      <c r="G183" s="87"/>
      <c r="H183" s="87"/>
      <c r="I183" s="87"/>
      <c r="J183" s="87"/>
      <c r="K183" s="166"/>
      <c r="L183" s="87"/>
      <c r="M183" s="87"/>
      <c r="N183" s="87"/>
      <c r="O183" s="87"/>
      <c r="P183" s="166"/>
      <c r="Q183" s="87"/>
      <c r="R183" s="87"/>
      <c r="S183" s="87"/>
      <c r="T183" s="87"/>
      <c r="U183" s="87"/>
      <c r="V183" s="87"/>
      <c r="W183" s="87"/>
      <c r="X183" s="87"/>
      <c r="Y183" s="87"/>
      <c r="Z183" s="87"/>
      <c r="AA183" s="87"/>
    </row>
    <row r="184" spans="1:27" ht="16.5" customHeight="1" x14ac:dyDescent="0.6">
      <c r="A184" s="166"/>
      <c r="B184" s="87"/>
      <c r="C184" s="87"/>
      <c r="D184" s="87"/>
      <c r="E184" s="87"/>
      <c r="F184" s="166"/>
      <c r="G184" s="87"/>
      <c r="H184" s="87"/>
      <c r="I184" s="87"/>
      <c r="J184" s="87"/>
      <c r="K184" s="166"/>
      <c r="L184" s="87"/>
      <c r="M184" s="87"/>
      <c r="N184" s="87"/>
      <c r="O184" s="87"/>
      <c r="P184" s="166"/>
      <c r="Q184" s="87"/>
      <c r="R184" s="87"/>
      <c r="S184" s="87"/>
      <c r="T184" s="87"/>
      <c r="U184" s="87"/>
      <c r="V184" s="87"/>
      <c r="W184" s="87"/>
      <c r="X184" s="87"/>
      <c r="Y184" s="87"/>
      <c r="Z184" s="87"/>
      <c r="AA184" s="87"/>
    </row>
    <row r="185" spans="1:27" ht="16.5" customHeight="1" x14ac:dyDescent="0.6">
      <c r="A185" s="166"/>
      <c r="B185" s="87"/>
      <c r="C185" s="87"/>
      <c r="D185" s="87"/>
      <c r="E185" s="87"/>
      <c r="F185" s="166"/>
      <c r="G185" s="87"/>
      <c r="H185" s="87"/>
      <c r="I185" s="87"/>
      <c r="J185" s="87"/>
      <c r="K185" s="166"/>
      <c r="L185" s="87"/>
      <c r="M185" s="87"/>
      <c r="N185" s="87"/>
      <c r="O185" s="87"/>
      <c r="P185" s="166"/>
      <c r="Q185" s="87"/>
      <c r="R185" s="87"/>
      <c r="S185" s="87"/>
      <c r="T185" s="87"/>
      <c r="U185" s="87"/>
      <c r="V185" s="87"/>
      <c r="W185" s="87"/>
      <c r="X185" s="87"/>
      <c r="Y185" s="87"/>
      <c r="Z185" s="87"/>
      <c r="AA185" s="87"/>
    </row>
    <row r="186" spans="1:27" ht="28.5" customHeight="1" x14ac:dyDescent="0.6">
      <c r="A186" s="166"/>
      <c r="B186" s="87"/>
      <c r="C186" s="87"/>
      <c r="D186" s="87"/>
      <c r="E186" s="87"/>
      <c r="F186" s="166"/>
      <c r="G186" s="87"/>
      <c r="H186" s="87"/>
      <c r="I186" s="87"/>
      <c r="J186" s="87"/>
      <c r="K186" s="166"/>
      <c r="L186" s="87"/>
      <c r="M186" s="87"/>
      <c r="N186" s="87"/>
      <c r="O186" s="87"/>
      <c r="P186" s="166"/>
      <c r="Q186" s="87"/>
      <c r="R186" s="87"/>
      <c r="S186" s="87"/>
      <c r="T186" s="87"/>
      <c r="U186" s="87"/>
      <c r="V186" s="87"/>
      <c r="W186" s="87"/>
      <c r="X186" s="87"/>
      <c r="Y186" s="87"/>
      <c r="Z186" s="87"/>
      <c r="AA186" s="87"/>
    </row>
    <row r="187" spans="1:27" ht="16.5" customHeight="1" x14ac:dyDescent="0.6">
      <c r="A187" s="166"/>
      <c r="B187" s="87"/>
      <c r="C187" s="87"/>
      <c r="D187" s="87"/>
      <c r="E187" s="87"/>
      <c r="F187" s="166"/>
      <c r="G187" s="87"/>
      <c r="H187" s="87"/>
      <c r="I187" s="87"/>
      <c r="J187" s="87"/>
      <c r="K187" s="166"/>
      <c r="L187" s="87"/>
      <c r="M187" s="87"/>
      <c r="N187" s="87"/>
      <c r="O187" s="87"/>
      <c r="P187" s="166"/>
      <c r="Q187" s="87"/>
      <c r="R187" s="87"/>
      <c r="S187" s="87"/>
      <c r="T187" s="87"/>
      <c r="U187" s="87"/>
      <c r="V187" s="87"/>
      <c r="W187" s="87"/>
      <c r="X187" s="87"/>
      <c r="Y187" s="87"/>
      <c r="Z187" s="87"/>
      <c r="AA187" s="87"/>
    </row>
    <row r="188" spans="1:27" ht="16.5" customHeight="1" x14ac:dyDescent="0.6">
      <c r="A188" s="166"/>
      <c r="B188" s="87"/>
      <c r="C188" s="87"/>
      <c r="D188" s="87"/>
      <c r="E188" s="87"/>
      <c r="F188" s="166"/>
      <c r="G188" s="87"/>
      <c r="H188" s="87"/>
      <c r="I188" s="87"/>
      <c r="J188" s="87"/>
      <c r="K188" s="166"/>
      <c r="L188" s="87"/>
      <c r="M188" s="87"/>
      <c r="N188" s="87"/>
      <c r="O188" s="87"/>
      <c r="P188" s="166"/>
      <c r="Q188" s="87"/>
      <c r="R188" s="87"/>
      <c r="S188" s="87"/>
      <c r="T188" s="87"/>
      <c r="U188" s="87"/>
      <c r="V188" s="87"/>
      <c r="W188" s="87"/>
      <c r="X188" s="87"/>
      <c r="Y188" s="87"/>
      <c r="Z188" s="87"/>
      <c r="AA188" s="87"/>
    </row>
    <row r="189" spans="1:27" ht="16.5" customHeight="1" x14ac:dyDescent="0.6">
      <c r="A189" s="166"/>
      <c r="B189" s="87"/>
      <c r="C189" s="87"/>
      <c r="D189" s="87"/>
      <c r="E189" s="87"/>
      <c r="F189" s="166"/>
      <c r="G189" s="87"/>
      <c r="H189" s="87"/>
      <c r="I189" s="87"/>
      <c r="J189" s="87"/>
      <c r="K189" s="166"/>
      <c r="L189" s="87"/>
      <c r="M189" s="87"/>
      <c r="N189" s="87"/>
      <c r="O189" s="87"/>
      <c r="P189" s="166"/>
      <c r="Q189" s="87"/>
      <c r="R189" s="87"/>
      <c r="S189" s="87"/>
      <c r="T189" s="87"/>
      <c r="U189" s="87"/>
      <c r="V189" s="87"/>
      <c r="W189" s="87"/>
      <c r="X189" s="87"/>
      <c r="Y189" s="87"/>
      <c r="Z189" s="87"/>
      <c r="AA189" s="87"/>
    </row>
    <row r="190" spans="1:27" ht="16.5" customHeight="1" x14ac:dyDescent="0.6">
      <c r="A190" s="166"/>
      <c r="B190" s="87"/>
      <c r="C190" s="87"/>
      <c r="D190" s="87"/>
      <c r="E190" s="87"/>
      <c r="F190" s="166"/>
      <c r="G190" s="87"/>
      <c r="H190" s="87"/>
      <c r="I190" s="87"/>
      <c r="J190" s="87"/>
      <c r="K190" s="166"/>
      <c r="L190" s="87"/>
      <c r="M190" s="87"/>
      <c r="N190" s="87"/>
      <c r="O190" s="87"/>
      <c r="P190" s="166"/>
      <c r="Q190" s="87"/>
      <c r="R190" s="87"/>
      <c r="S190" s="87"/>
      <c r="T190" s="87"/>
      <c r="U190" s="87"/>
      <c r="V190" s="87"/>
      <c r="W190" s="87"/>
      <c r="X190" s="87"/>
      <c r="Y190" s="87"/>
      <c r="Z190" s="87"/>
      <c r="AA190" s="87"/>
    </row>
    <row r="191" spans="1:27" ht="16.5" customHeight="1" x14ac:dyDescent="0.6">
      <c r="A191" s="166"/>
      <c r="B191" s="87"/>
      <c r="C191" s="87"/>
      <c r="D191" s="87"/>
      <c r="E191" s="87"/>
      <c r="F191" s="166"/>
      <c r="G191" s="87"/>
      <c r="H191" s="87"/>
      <c r="I191" s="87"/>
      <c r="J191" s="87"/>
      <c r="K191" s="166"/>
      <c r="L191" s="87"/>
      <c r="M191" s="87"/>
      <c r="N191" s="87"/>
      <c r="O191" s="87"/>
      <c r="P191" s="166"/>
      <c r="Q191" s="87"/>
      <c r="R191" s="87"/>
      <c r="S191" s="87"/>
      <c r="T191" s="87"/>
      <c r="U191" s="87"/>
      <c r="V191" s="87"/>
      <c r="W191" s="87"/>
      <c r="X191" s="87"/>
      <c r="Y191" s="87"/>
      <c r="Z191" s="87"/>
      <c r="AA191" s="87"/>
    </row>
    <row r="192" spans="1:27" ht="16.5" customHeight="1" x14ac:dyDescent="0.6">
      <c r="A192" s="166"/>
      <c r="B192" s="87"/>
      <c r="C192" s="87"/>
      <c r="D192" s="87"/>
      <c r="E192" s="87"/>
      <c r="F192" s="166"/>
      <c r="G192" s="87"/>
      <c r="H192" s="87"/>
      <c r="I192" s="87"/>
      <c r="J192" s="87"/>
      <c r="K192" s="166"/>
      <c r="L192" s="87"/>
      <c r="M192" s="87"/>
      <c r="N192" s="87"/>
      <c r="O192" s="87"/>
      <c r="P192" s="166"/>
      <c r="Q192" s="87"/>
      <c r="R192" s="87"/>
      <c r="S192" s="87"/>
      <c r="T192" s="87"/>
      <c r="U192" s="87"/>
      <c r="V192" s="87"/>
      <c r="W192" s="87"/>
      <c r="X192" s="87"/>
      <c r="Y192" s="87"/>
      <c r="Z192" s="87"/>
      <c r="AA192" s="87"/>
    </row>
    <row r="193" spans="1:27" ht="28.5" customHeight="1" x14ac:dyDescent="0.6">
      <c r="A193" s="166"/>
      <c r="B193" s="87"/>
      <c r="C193" s="87"/>
      <c r="D193" s="87"/>
      <c r="E193" s="87"/>
      <c r="F193" s="166"/>
      <c r="G193" s="87"/>
      <c r="H193" s="87"/>
      <c r="I193" s="87"/>
      <c r="J193" s="87"/>
      <c r="K193" s="166"/>
      <c r="L193" s="87"/>
      <c r="M193" s="87"/>
      <c r="N193" s="87"/>
      <c r="O193" s="87"/>
      <c r="P193" s="166"/>
      <c r="Q193" s="87"/>
      <c r="R193" s="87"/>
      <c r="S193" s="87"/>
      <c r="T193" s="87"/>
      <c r="U193" s="87"/>
      <c r="V193" s="87"/>
      <c r="W193" s="87"/>
      <c r="X193" s="87"/>
      <c r="Y193" s="87"/>
      <c r="Z193" s="87"/>
      <c r="AA193" s="87"/>
    </row>
    <row r="194" spans="1:27" ht="28.5" customHeight="1" x14ac:dyDescent="0.6">
      <c r="A194" s="166"/>
      <c r="B194" s="87"/>
      <c r="C194" s="87"/>
      <c r="D194" s="87"/>
      <c r="E194" s="87"/>
      <c r="F194" s="166"/>
      <c r="G194" s="87"/>
      <c r="H194" s="87"/>
      <c r="I194" s="87"/>
      <c r="J194" s="87"/>
      <c r="K194" s="166"/>
      <c r="L194" s="87"/>
      <c r="M194" s="87"/>
      <c r="N194" s="87"/>
      <c r="O194" s="87"/>
      <c r="P194" s="166"/>
      <c r="Q194" s="87"/>
      <c r="R194" s="87"/>
      <c r="S194" s="87"/>
      <c r="T194" s="87"/>
      <c r="U194" s="87"/>
      <c r="V194" s="87"/>
      <c r="W194" s="87"/>
      <c r="X194" s="87"/>
      <c r="Y194" s="87"/>
      <c r="Z194" s="87"/>
      <c r="AA194" s="87"/>
    </row>
    <row r="195" spans="1:27" ht="16.5" customHeight="1" x14ac:dyDescent="0.6">
      <c r="A195" s="166"/>
      <c r="B195" s="87"/>
      <c r="C195" s="87"/>
      <c r="D195" s="87"/>
      <c r="E195" s="87"/>
      <c r="F195" s="166"/>
      <c r="G195" s="87"/>
      <c r="H195" s="87"/>
      <c r="I195" s="87"/>
      <c r="J195" s="87"/>
      <c r="K195" s="166"/>
      <c r="L195" s="87"/>
      <c r="M195" s="87"/>
      <c r="N195" s="87"/>
      <c r="O195" s="87"/>
      <c r="P195" s="166"/>
      <c r="Q195" s="87"/>
      <c r="R195" s="87"/>
      <c r="S195" s="87"/>
      <c r="T195" s="87"/>
      <c r="U195" s="87"/>
      <c r="V195" s="87"/>
      <c r="W195" s="87"/>
      <c r="X195" s="87"/>
      <c r="Y195" s="87"/>
      <c r="Z195" s="87"/>
      <c r="AA195" s="87"/>
    </row>
    <row r="196" spans="1:27" ht="16.5" customHeight="1" x14ac:dyDescent="0.6">
      <c r="A196" s="166"/>
      <c r="B196" s="87"/>
      <c r="C196" s="87"/>
      <c r="D196" s="87"/>
      <c r="E196" s="87"/>
      <c r="F196" s="166"/>
      <c r="G196" s="87"/>
      <c r="H196" s="87"/>
      <c r="I196" s="87"/>
      <c r="J196" s="87"/>
      <c r="K196" s="166"/>
      <c r="L196" s="87"/>
      <c r="M196" s="87"/>
      <c r="N196" s="87"/>
      <c r="O196" s="87"/>
      <c r="P196" s="166"/>
      <c r="Q196" s="87"/>
      <c r="R196" s="87"/>
      <c r="S196" s="87"/>
      <c r="T196" s="87"/>
      <c r="U196" s="87"/>
      <c r="V196" s="87"/>
      <c r="W196" s="87"/>
      <c r="X196" s="87"/>
      <c r="Y196" s="87"/>
      <c r="Z196" s="87"/>
      <c r="AA196" s="87"/>
    </row>
    <row r="197" spans="1:27" ht="16.5" customHeight="1" x14ac:dyDescent="0.6">
      <c r="A197" s="166"/>
      <c r="B197" s="87"/>
      <c r="C197" s="87"/>
      <c r="D197" s="87"/>
      <c r="E197" s="87"/>
      <c r="F197" s="166"/>
      <c r="G197" s="87"/>
      <c r="H197" s="87"/>
      <c r="I197" s="87"/>
      <c r="J197" s="87"/>
      <c r="K197" s="166"/>
      <c r="L197" s="87"/>
      <c r="M197" s="87"/>
      <c r="N197" s="87"/>
      <c r="O197" s="87"/>
      <c r="P197" s="166"/>
      <c r="Q197" s="87"/>
      <c r="R197" s="87"/>
      <c r="S197" s="87"/>
      <c r="T197" s="87"/>
      <c r="U197" s="87"/>
      <c r="V197" s="87"/>
      <c r="W197" s="87"/>
      <c r="X197" s="87"/>
      <c r="Y197" s="87"/>
      <c r="Z197" s="87"/>
      <c r="AA197" s="87"/>
    </row>
    <row r="198" spans="1:27" ht="16.5" customHeight="1" x14ac:dyDescent="0.6">
      <c r="A198" s="166"/>
      <c r="B198" s="87"/>
      <c r="C198" s="87"/>
      <c r="D198" s="87"/>
      <c r="E198" s="87"/>
      <c r="F198" s="166"/>
      <c r="G198" s="87"/>
      <c r="H198" s="87"/>
      <c r="I198" s="87"/>
      <c r="J198" s="87"/>
      <c r="K198" s="166"/>
      <c r="L198" s="87"/>
      <c r="M198" s="87"/>
      <c r="N198" s="87"/>
      <c r="O198" s="87"/>
      <c r="P198" s="87"/>
      <c r="Q198" s="87"/>
      <c r="R198" s="87"/>
      <c r="S198" s="87"/>
      <c r="T198" s="87"/>
      <c r="U198" s="87"/>
      <c r="V198" s="87"/>
      <c r="W198" s="87"/>
      <c r="X198" s="87"/>
      <c r="Y198" s="87"/>
      <c r="Z198" s="87"/>
      <c r="AA198" s="87"/>
    </row>
    <row r="199" spans="1:27" ht="16.5" customHeight="1" x14ac:dyDescent="0.6">
      <c r="A199" s="166"/>
      <c r="B199" s="87"/>
      <c r="C199" s="87"/>
      <c r="D199" s="87"/>
      <c r="E199" s="87"/>
      <c r="F199" s="166"/>
      <c r="G199" s="87"/>
      <c r="H199" s="87"/>
      <c r="I199" s="87"/>
      <c r="J199" s="87"/>
      <c r="K199" s="166"/>
      <c r="L199" s="87"/>
      <c r="M199" s="87"/>
      <c r="N199" s="87"/>
      <c r="O199" s="87"/>
      <c r="P199" s="87"/>
      <c r="Q199" s="87"/>
      <c r="R199" s="87"/>
      <c r="S199" s="87"/>
      <c r="T199" s="87"/>
      <c r="U199" s="87"/>
      <c r="V199" s="87"/>
      <c r="W199" s="87"/>
      <c r="X199" s="87"/>
      <c r="Y199" s="87"/>
      <c r="Z199" s="87"/>
      <c r="AA199" s="87"/>
    </row>
    <row r="200" spans="1:27" ht="16.5" customHeight="1" x14ac:dyDescent="0.6">
      <c r="A200" s="166"/>
      <c r="B200" s="87"/>
      <c r="C200" s="87"/>
      <c r="D200" s="87"/>
      <c r="E200" s="87"/>
      <c r="F200" s="166"/>
      <c r="G200" s="87"/>
      <c r="H200" s="87"/>
      <c r="I200" s="87"/>
      <c r="J200" s="87"/>
      <c r="K200" s="166"/>
      <c r="L200" s="87"/>
      <c r="M200" s="87"/>
      <c r="N200" s="87"/>
      <c r="O200" s="87"/>
      <c r="P200" s="87"/>
      <c r="Q200" s="87"/>
      <c r="R200" s="87"/>
      <c r="S200" s="87"/>
      <c r="T200" s="87"/>
      <c r="U200" s="87"/>
      <c r="V200" s="87"/>
      <c r="W200" s="87"/>
      <c r="X200" s="87"/>
      <c r="Y200" s="87"/>
      <c r="Z200" s="87"/>
      <c r="AA200" s="87"/>
    </row>
    <row r="201" spans="1:27" ht="28.5" customHeight="1" x14ac:dyDescent="0.6">
      <c r="A201" s="166"/>
      <c r="B201" s="87"/>
      <c r="C201" s="87"/>
      <c r="D201" s="87"/>
      <c r="E201" s="87"/>
      <c r="F201" s="166"/>
      <c r="G201" s="87"/>
      <c r="H201" s="87"/>
      <c r="I201" s="87"/>
      <c r="J201" s="87"/>
      <c r="K201" s="166"/>
      <c r="L201" s="87"/>
      <c r="M201" s="87"/>
      <c r="N201" s="87"/>
      <c r="O201" s="87"/>
      <c r="P201" s="87"/>
      <c r="Q201" s="87"/>
      <c r="R201" s="87"/>
      <c r="S201" s="87"/>
      <c r="T201" s="87"/>
      <c r="U201" s="87"/>
      <c r="V201" s="87"/>
      <c r="W201" s="87"/>
      <c r="X201" s="87"/>
      <c r="Y201" s="87"/>
      <c r="Z201" s="87"/>
      <c r="AA201" s="87"/>
    </row>
    <row r="202" spans="1:27" ht="16.5" customHeight="1" x14ac:dyDescent="0.6">
      <c r="A202" s="166"/>
      <c r="B202" s="87"/>
      <c r="C202" s="87"/>
      <c r="D202" s="87"/>
      <c r="E202" s="87"/>
      <c r="F202" s="166"/>
      <c r="G202" s="87"/>
      <c r="H202" s="87"/>
      <c r="I202" s="87"/>
      <c r="J202" s="87"/>
      <c r="K202" s="87"/>
      <c r="L202" s="87"/>
      <c r="M202" s="87"/>
      <c r="N202" s="87"/>
      <c r="O202" s="87"/>
      <c r="P202" s="87"/>
      <c r="Q202" s="87"/>
      <c r="R202" s="87"/>
      <c r="S202" s="87"/>
      <c r="T202" s="87"/>
      <c r="U202" s="87"/>
      <c r="V202" s="87"/>
      <c r="W202" s="87"/>
      <c r="X202" s="87"/>
      <c r="Y202" s="87"/>
      <c r="Z202" s="87"/>
      <c r="AA202" s="87"/>
    </row>
    <row r="203" spans="1:27" ht="16.5" customHeight="1" x14ac:dyDescent="0.6">
      <c r="A203" s="166"/>
      <c r="B203" s="87"/>
      <c r="C203" s="87"/>
      <c r="D203" s="87"/>
      <c r="E203" s="87"/>
      <c r="F203" s="166"/>
      <c r="G203" s="87"/>
      <c r="H203" s="87"/>
      <c r="I203" s="87"/>
      <c r="J203" s="87"/>
      <c r="K203" s="87"/>
      <c r="L203" s="87"/>
      <c r="M203" s="87"/>
      <c r="N203" s="87"/>
      <c r="O203" s="87"/>
      <c r="P203" s="87"/>
      <c r="Q203" s="87"/>
      <c r="R203" s="87"/>
      <c r="S203" s="87"/>
      <c r="T203" s="87"/>
      <c r="U203" s="87"/>
      <c r="V203" s="87"/>
      <c r="W203" s="87"/>
      <c r="X203" s="87"/>
      <c r="Y203" s="87"/>
      <c r="Z203" s="87"/>
      <c r="AA203" s="87"/>
    </row>
    <row r="204" spans="1:27" ht="16.5" customHeight="1" x14ac:dyDescent="0.6">
      <c r="A204" s="166"/>
      <c r="B204" s="87"/>
      <c r="C204" s="87"/>
      <c r="D204" s="87"/>
      <c r="E204" s="87"/>
      <c r="F204" s="40"/>
      <c r="G204" s="87"/>
      <c r="H204" s="87"/>
      <c r="I204" s="87"/>
      <c r="J204" s="87"/>
      <c r="K204" s="87"/>
      <c r="L204" s="87"/>
      <c r="M204" s="87"/>
      <c r="N204" s="87"/>
      <c r="O204" s="87"/>
      <c r="P204" s="87"/>
      <c r="Q204" s="87"/>
      <c r="R204" s="87"/>
      <c r="S204" s="87"/>
      <c r="T204" s="87"/>
      <c r="U204" s="87"/>
      <c r="V204" s="87"/>
      <c r="W204" s="87"/>
      <c r="X204" s="87"/>
      <c r="Y204" s="87"/>
      <c r="Z204" s="87"/>
      <c r="AA204" s="87"/>
    </row>
  </sheetData>
  <mergeCells count="11">
    <mergeCell ref="Y8:Z8"/>
    <mergeCell ref="A3:P3"/>
    <mergeCell ref="A5:P5"/>
    <mergeCell ref="A6:G6"/>
    <mergeCell ref="K6:S6"/>
    <mergeCell ref="U6:AA6"/>
    <mergeCell ref="A8:C8"/>
    <mergeCell ref="F8:H8"/>
    <mergeCell ref="K8:M8"/>
    <mergeCell ref="P8:R8"/>
    <mergeCell ref="U8:V8"/>
  </mergeCells>
  <pageMargins left="0.39" right="0.39" top="0.39" bottom="0.39" header="0.39" footer="0.39"/>
  <pageSetup fitToHeight="0"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FEEC4-37D7-40E3-ADEC-AE55F8B74F30}">
  <sheetPr codeName="Sheet16"/>
  <dimension ref="A1:AA204"/>
  <sheetViews>
    <sheetView zoomScale="85" zoomScaleNormal="85" workbookViewId="0">
      <selection activeCell="A5" sqref="A5:P5"/>
    </sheetView>
  </sheetViews>
  <sheetFormatPr defaultColWidth="10.1328125" defaultRowHeight="13" x14ac:dyDescent="0.6"/>
  <cols>
    <col min="1" max="1" width="6.86328125" customWidth="1"/>
    <col min="2" max="2" width="6.1328125" customWidth="1"/>
    <col min="3" max="3" width="33.26953125" customWidth="1"/>
    <col min="4" max="4" width="7.54296875" customWidth="1"/>
    <col min="5" max="5" width="2" customWidth="1"/>
    <col min="6" max="6" width="6.86328125" customWidth="1"/>
    <col min="7" max="7" width="6.1328125" customWidth="1"/>
    <col min="8" max="8" width="33.26953125" customWidth="1"/>
    <col min="9" max="9" width="7.54296875" customWidth="1"/>
    <col min="10" max="10" width="5.40625" customWidth="1"/>
    <col min="11" max="11" width="6.86328125" customWidth="1"/>
    <col min="12" max="12" width="6.1328125" customWidth="1"/>
    <col min="13" max="13" width="17.26953125" customWidth="1"/>
    <col min="14" max="14" width="7.54296875" customWidth="1"/>
    <col min="15" max="15" width="2" customWidth="1"/>
    <col min="16" max="16" width="6.86328125" customWidth="1"/>
    <col min="17" max="17" width="6.1328125" customWidth="1"/>
    <col min="18" max="18" width="25.26953125" customWidth="1"/>
    <col min="19" max="19" width="7.54296875" customWidth="1"/>
    <col min="20" max="21" width="5.40625" customWidth="1"/>
    <col min="22" max="22" width="25" customWidth="1"/>
    <col min="23" max="23" width="7.54296875" customWidth="1"/>
    <col min="24" max="24" width="2" customWidth="1"/>
    <col min="25" max="25" width="5.40625" customWidth="1"/>
    <col min="26" max="26" width="25" customWidth="1"/>
    <col min="27" max="27" width="7.54296875" customWidth="1"/>
  </cols>
  <sheetData>
    <row r="1" spans="1:27" ht="6.75" customHeight="1" x14ac:dyDescent="0.6">
      <c r="A1" s="204"/>
      <c r="B1" s="204"/>
      <c r="C1" s="204"/>
      <c r="D1" s="204"/>
      <c r="E1" s="204"/>
      <c r="F1" s="205"/>
      <c r="G1" s="204"/>
      <c r="H1" s="204"/>
      <c r="I1" s="204"/>
      <c r="J1" s="204"/>
      <c r="K1" s="204"/>
      <c r="L1" s="204"/>
      <c r="M1" s="204"/>
      <c r="N1" s="204"/>
      <c r="O1" s="204"/>
      <c r="P1" s="204"/>
      <c r="Q1" s="204"/>
      <c r="R1" s="204"/>
      <c r="S1" s="204"/>
      <c r="T1" s="204"/>
      <c r="U1" s="204"/>
      <c r="V1" s="204"/>
      <c r="W1" s="204"/>
      <c r="X1" s="204"/>
      <c r="Y1" s="204"/>
      <c r="Z1" s="204"/>
      <c r="AA1" s="204"/>
    </row>
    <row r="2" spans="1:27" ht="15.75" customHeight="1" x14ac:dyDescent="0.6">
      <c r="A2" s="206" t="s">
        <v>211</v>
      </c>
      <c r="B2" s="206"/>
      <c r="C2" s="206"/>
      <c r="D2" s="206"/>
      <c r="E2" s="206"/>
      <c r="F2" s="207"/>
      <c r="G2" s="206"/>
      <c r="H2" s="206"/>
      <c r="I2" s="204"/>
      <c r="J2" s="204"/>
      <c r="K2" s="204"/>
      <c r="L2" s="204"/>
      <c r="M2" s="204"/>
      <c r="N2" s="204"/>
      <c r="O2" s="204"/>
      <c r="P2" s="204"/>
      <c r="Q2" s="204"/>
      <c r="R2" s="204"/>
      <c r="S2" s="204"/>
      <c r="T2" s="204"/>
      <c r="U2" s="204"/>
      <c r="V2" s="204"/>
      <c r="W2" s="204"/>
      <c r="X2" s="204"/>
      <c r="Y2" s="204"/>
      <c r="Z2" s="204"/>
      <c r="AA2" s="204"/>
    </row>
    <row r="3" spans="1:27" ht="15.75" customHeight="1" x14ac:dyDescent="0.6">
      <c r="A3" s="298" t="s">
        <v>460</v>
      </c>
      <c r="B3" s="298"/>
      <c r="C3" s="298"/>
      <c r="D3" s="298"/>
      <c r="E3" s="298"/>
      <c r="F3" s="298"/>
      <c r="G3" s="298"/>
      <c r="H3" s="298"/>
      <c r="I3" s="298"/>
      <c r="J3" s="298"/>
      <c r="K3" s="298"/>
      <c r="L3" s="298"/>
      <c r="M3" s="298"/>
      <c r="N3" s="298"/>
      <c r="O3" s="298"/>
      <c r="P3" s="298"/>
      <c r="Q3" s="208"/>
      <c r="R3" s="204"/>
      <c r="S3" s="204"/>
      <c r="T3" s="204"/>
      <c r="U3" s="204"/>
      <c r="V3" s="204"/>
      <c r="W3" s="204"/>
      <c r="X3" s="204"/>
      <c r="Y3" s="204"/>
      <c r="Z3" s="204"/>
      <c r="AA3" s="204"/>
    </row>
    <row r="4" spans="1:27" ht="15.75" customHeight="1" x14ac:dyDescent="0.6">
      <c r="A4" s="204"/>
      <c r="B4" s="204"/>
      <c r="C4" s="204"/>
      <c r="D4" s="204"/>
      <c r="E4" s="204"/>
      <c r="F4" s="205"/>
      <c r="G4" s="204"/>
      <c r="H4" s="204"/>
      <c r="I4" s="204"/>
      <c r="J4" s="204"/>
      <c r="K4" s="204"/>
      <c r="L4" s="204"/>
      <c r="M4" s="204"/>
      <c r="N4" s="204"/>
      <c r="O4" s="204"/>
      <c r="P4" s="204"/>
      <c r="Q4" s="204"/>
      <c r="R4" s="204"/>
      <c r="S4" s="204"/>
      <c r="T4" s="204"/>
      <c r="U4" s="204"/>
      <c r="V4" s="204"/>
      <c r="W4" s="204"/>
      <c r="X4" s="204"/>
      <c r="Y4" s="204"/>
      <c r="Z4" s="204"/>
      <c r="AA4" s="204"/>
    </row>
    <row r="5" spans="1:27" ht="15.75" customHeight="1" x14ac:dyDescent="0.6">
      <c r="A5" s="296">
        <v>44815.467557870368</v>
      </c>
      <c r="B5" s="296"/>
      <c r="C5" s="296"/>
      <c r="D5" s="296"/>
      <c r="E5" s="296"/>
      <c r="F5" s="296"/>
      <c r="G5" s="296"/>
      <c r="H5" s="296"/>
      <c r="I5" s="296"/>
      <c r="J5" s="296"/>
      <c r="K5" s="296"/>
      <c r="L5" s="296"/>
      <c r="M5" s="296"/>
      <c r="N5" s="296"/>
      <c r="O5" s="296"/>
      <c r="P5" s="296"/>
      <c r="Q5" s="209"/>
      <c r="R5" s="204"/>
      <c r="S5" s="204"/>
      <c r="T5" s="204"/>
      <c r="U5" s="204"/>
      <c r="V5" s="204"/>
      <c r="W5" s="204"/>
      <c r="X5" s="204"/>
      <c r="Y5" s="204"/>
      <c r="Z5" s="204"/>
      <c r="AA5" s="204"/>
    </row>
    <row r="6" spans="1:27" ht="15.75" customHeight="1" x14ac:dyDescent="0.6">
      <c r="A6" s="299" t="s">
        <v>712</v>
      </c>
      <c r="B6" s="299"/>
      <c r="C6" s="299"/>
      <c r="D6" s="299"/>
      <c r="E6" s="299"/>
      <c r="F6" s="299"/>
      <c r="G6" s="299"/>
      <c r="H6" s="210"/>
      <c r="I6" s="210"/>
      <c r="J6" s="211"/>
      <c r="K6" s="299" t="s">
        <v>713</v>
      </c>
      <c r="L6" s="299"/>
      <c r="M6" s="299"/>
      <c r="N6" s="299"/>
      <c r="O6" s="299"/>
      <c r="P6" s="299"/>
      <c r="Q6" s="299"/>
      <c r="R6" s="299"/>
      <c r="S6" s="299"/>
      <c r="T6" s="211"/>
      <c r="U6" s="299" t="s">
        <v>714</v>
      </c>
      <c r="V6" s="299"/>
      <c r="W6" s="299"/>
      <c r="X6" s="299"/>
      <c r="Y6" s="299"/>
      <c r="Z6" s="299"/>
      <c r="AA6" s="299"/>
    </row>
    <row r="7" spans="1:27" ht="15.75" customHeight="1" x14ac:dyDescent="0.6">
      <c r="A7" s="212"/>
      <c r="B7" s="212"/>
      <c r="C7" s="212"/>
      <c r="D7" s="212"/>
      <c r="E7" s="212"/>
      <c r="F7" s="205"/>
      <c r="G7" s="212"/>
      <c r="H7" s="212"/>
      <c r="I7" s="204"/>
      <c r="J7" s="204"/>
      <c r="K7" s="213"/>
      <c r="L7" s="213"/>
      <c r="M7" s="213"/>
      <c r="N7" s="213"/>
      <c r="O7" s="213"/>
      <c r="P7" s="213"/>
      <c r="Q7" s="213"/>
      <c r="R7" s="204"/>
      <c r="S7" s="204"/>
      <c r="T7" s="204"/>
      <c r="U7" s="204"/>
      <c r="V7" s="204"/>
      <c r="W7" s="204"/>
      <c r="X7" s="204"/>
      <c r="Y7" s="204"/>
      <c r="Z7" s="204"/>
      <c r="AA7" s="204"/>
    </row>
    <row r="8" spans="1:27" ht="15.75" customHeight="1" x14ac:dyDescent="0.6">
      <c r="A8" s="300" t="s">
        <v>463</v>
      </c>
      <c r="B8" s="300"/>
      <c r="C8" s="300"/>
      <c r="D8" s="216" t="s">
        <v>464</v>
      </c>
      <c r="E8" s="214"/>
      <c r="F8" s="300" t="s">
        <v>465</v>
      </c>
      <c r="G8" s="300"/>
      <c r="H8" s="300"/>
      <c r="I8" s="215" t="s">
        <v>464</v>
      </c>
      <c r="J8" s="204"/>
      <c r="K8" s="301" t="s">
        <v>463</v>
      </c>
      <c r="L8" s="301"/>
      <c r="M8" s="301"/>
      <c r="N8" s="215" t="s">
        <v>464</v>
      </c>
      <c r="O8" s="214"/>
      <c r="P8" s="301" t="s">
        <v>465</v>
      </c>
      <c r="Q8" s="301"/>
      <c r="R8" s="301"/>
      <c r="S8" s="215" t="s">
        <v>464</v>
      </c>
      <c r="T8" s="204"/>
      <c r="U8" s="297" t="s">
        <v>521</v>
      </c>
      <c r="V8" s="297"/>
      <c r="W8" s="215" t="s">
        <v>464</v>
      </c>
      <c r="X8" s="217"/>
      <c r="Y8" s="297" t="s">
        <v>522</v>
      </c>
      <c r="Z8" s="297"/>
      <c r="AA8" s="215" t="s">
        <v>464</v>
      </c>
    </row>
    <row r="9" spans="1:27" ht="16.5" customHeight="1" x14ac:dyDescent="0.6">
      <c r="A9" s="166" t="s">
        <v>466</v>
      </c>
      <c r="B9" s="194" t="s">
        <v>471</v>
      </c>
      <c r="C9" s="195" t="s">
        <v>726</v>
      </c>
      <c r="D9" s="196">
        <v>29.638310591724164</v>
      </c>
      <c r="E9" s="85"/>
      <c r="F9" s="166" t="s">
        <v>466</v>
      </c>
      <c r="G9" s="194" t="s">
        <v>467</v>
      </c>
      <c r="H9" s="195" t="s">
        <v>720</v>
      </c>
      <c r="I9" s="196">
        <v>19.595104901637907</v>
      </c>
      <c r="J9" s="87"/>
      <c r="K9" s="166" t="s">
        <v>466</v>
      </c>
      <c r="L9" s="194" t="s">
        <v>721</v>
      </c>
      <c r="M9" s="195" t="s">
        <v>722</v>
      </c>
      <c r="N9" s="196">
        <v>26.864755051379117</v>
      </c>
      <c r="O9" s="85"/>
      <c r="P9" s="166" t="s">
        <v>466</v>
      </c>
      <c r="Q9" s="194" t="s">
        <v>721</v>
      </c>
      <c r="R9" s="195" t="s">
        <v>722</v>
      </c>
      <c r="S9" s="196">
        <v>15.702925053099722</v>
      </c>
      <c r="T9" s="87"/>
      <c r="U9" s="166" t="s">
        <v>466</v>
      </c>
      <c r="V9" s="87" t="s">
        <v>716</v>
      </c>
      <c r="W9" s="196">
        <v>31.186345836828849</v>
      </c>
      <c r="X9" s="89"/>
      <c r="Y9" s="166" t="s">
        <v>466</v>
      </c>
      <c r="Z9" s="87" t="s">
        <v>892</v>
      </c>
      <c r="AA9" s="196">
        <v>24.009110167421941</v>
      </c>
    </row>
    <row r="10" spans="1:27" ht="16.5" customHeight="1" x14ac:dyDescent="0.6">
      <c r="A10" s="166" t="s">
        <v>470</v>
      </c>
      <c r="B10" s="197" t="s">
        <v>718</v>
      </c>
      <c r="C10" s="198" t="s">
        <v>719</v>
      </c>
      <c r="D10" s="199">
        <v>24.42915969023878</v>
      </c>
      <c r="E10" s="85"/>
      <c r="F10" s="166" t="s">
        <v>470</v>
      </c>
      <c r="G10" s="197" t="s">
        <v>734</v>
      </c>
      <c r="H10" s="198" t="s">
        <v>735</v>
      </c>
      <c r="I10" s="199">
        <v>9.0293329287621109</v>
      </c>
      <c r="J10" s="87"/>
      <c r="K10" s="166" t="s">
        <v>470</v>
      </c>
      <c r="L10" s="197" t="s">
        <v>729</v>
      </c>
      <c r="M10" s="198" t="s">
        <v>730</v>
      </c>
      <c r="N10" s="199">
        <v>15.179144517538329</v>
      </c>
      <c r="O10" s="85"/>
      <c r="P10" s="166" t="s">
        <v>470</v>
      </c>
      <c r="Q10" s="197" t="s">
        <v>723</v>
      </c>
      <c r="R10" s="198" t="s">
        <v>724</v>
      </c>
      <c r="S10" s="199">
        <v>13.166731909385637</v>
      </c>
      <c r="T10" s="87"/>
      <c r="U10" s="166" t="s">
        <v>470</v>
      </c>
      <c r="V10" s="87" t="s">
        <v>525</v>
      </c>
      <c r="W10" s="199">
        <v>14.658774910670665</v>
      </c>
      <c r="X10" s="89"/>
      <c r="Y10" s="166" t="s">
        <v>470</v>
      </c>
      <c r="Z10" s="87" t="s">
        <v>725</v>
      </c>
      <c r="AA10" s="199">
        <v>13.617951376826309</v>
      </c>
    </row>
    <row r="11" spans="1:27" ht="16.5" customHeight="1" x14ac:dyDescent="0.6">
      <c r="A11" s="166" t="s">
        <v>473</v>
      </c>
      <c r="B11" s="197" t="s">
        <v>472</v>
      </c>
      <c r="C11" s="198" t="s">
        <v>733</v>
      </c>
      <c r="D11" s="196">
        <v>5.7326394868206316</v>
      </c>
      <c r="E11" s="85"/>
      <c r="F11" s="166" t="s">
        <v>473</v>
      </c>
      <c r="G11" s="197" t="s">
        <v>718</v>
      </c>
      <c r="H11" s="198" t="s">
        <v>719</v>
      </c>
      <c r="I11" s="196">
        <v>8.8339496992503221</v>
      </c>
      <c r="J11" s="87"/>
      <c r="K11" s="166" t="s">
        <v>473</v>
      </c>
      <c r="L11" s="197" t="s">
        <v>477</v>
      </c>
      <c r="M11" s="198" t="s">
        <v>750</v>
      </c>
      <c r="N11" s="196">
        <v>11.334834808023267</v>
      </c>
      <c r="O11" s="85"/>
      <c r="P11" s="166" t="s">
        <v>473</v>
      </c>
      <c r="Q11" s="197" t="s">
        <v>737</v>
      </c>
      <c r="R11" s="198" t="s">
        <v>738</v>
      </c>
      <c r="S11" s="196">
        <v>9.1384070748340225</v>
      </c>
      <c r="T11" s="87"/>
      <c r="U11" s="166" t="s">
        <v>473</v>
      </c>
      <c r="V11" s="87" t="s">
        <v>532</v>
      </c>
      <c r="W11" s="196">
        <v>12.704953216621968</v>
      </c>
      <c r="X11" s="89"/>
      <c r="Y11" s="166" t="s">
        <v>473</v>
      </c>
      <c r="Z11" s="87" t="s">
        <v>716</v>
      </c>
      <c r="AA11" s="196">
        <v>13.501110769243752</v>
      </c>
    </row>
    <row r="12" spans="1:27" ht="16.5" customHeight="1" x14ac:dyDescent="0.6">
      <c r="A12" s="166" t="s">
        <v>475</v>
      </c>
      <c r="B12" s="197" t="s">
        <v>721</v>
      </c>
      <c r="C12" s="198" t="s">
        <v>722</v>
      </c>
      <c r="D12" s="199">
        <v>5.7090556614343946</v>
      </c>
      <c r="E12" s="85"/>
      <c r="F12" s="166" t="s">
        <v>475</v>
      </c>
      <c r="G12" s="197" t="s">
        <v>472</v>
      </c>
      <c r="H12" s="198" t="s">
        <v>733</v>
      </c>
      <c r="I12" s="199">
        <v>7.352971868075147</v>
      </c>
      <c r="J12" s="87"/>
      <c r="K12" s="166" t="s">
        <v>475</v>
      </c>
      <c r="L12" s="197" t="s">
        <v>469</v>
      </c>
      <c r="M12" s="198" t="s">
        <v>736</v>
      </c>
      <c r="N12" s="199">
        <v>10.556389151192075</v>
      </c>
      <c r="O12" s="85"/>
      <c r="P12" s="166" t="s">
        <v>475</v>
      </c>
      <c r="Q12" s="197" t="s">
        <v>743</v>
      </c>
      <c r="R12" s="198" t="s">
        <v>744</v>
      </c>
      <c r="S12" s="199">
        <v>8.014455336608826</v>
      </c>
      <c r="T12" s="87"/>
      <c r="U12" s="166" t="s">
        <v>475</v>
      </c>
      <c r="V12" s="87" t="s">
        <v>893</v>
      </c>
      <c r="W12" s="199">
        <v>9.7236373109243619</v>
      </c>
      <c r="X12" s="89"/>
      <c r="Y12" s="166" t="s">
        <v>475</v>
      </c>
      <c r="Z12" s="87" t="s">
        <v>732</v>
      </c>
      <c r="AA12" s="199">
        <v>7.6739396998759561</v>
      </c>
    </row>
    <row r="13" spans="1:27" ht="16.5" customHeight="1" x14ac:dyDescent="0.6">
      <c r="A13" s="166" t="s">
        <v>476</v>
      </c>
      <c r="B13" s="197" t="s">
        <v>727</v>
      </c>
      <c r="C13" s="198" t="s">
        <v>728</v>
      </c>
      <c r="D13" s="196">
        <v>4.3451105625127457</v>
      </c>
      <c r="E13" s="85"/>
      <c r="F13" s="166" t="s">
        <v>476</v>
      </c>
      <c r="G13" s="197" t="s">
        <v>745</v>
      </c>
      <c r="H13" s="198" t="s">
        <v>746</v>
      </c>
      <c r="I13" s="196">
        <v>6.5609139463937396</v>
      </c>
      <c r="J13" s="87"/>
      <c r="K13" s="166" t="s">
        <v>476</v>
      </c>
      <c r="L13" s="197" t="s">
        <v>737</v>
      </c>
      <c r="M13" s="198" t="s">
        <v>738</v>
      </c>
      <c r="N13" s="196">
        <v>8.2027423117251619</v>
      </c>
      <c r="O13" s="85"/>
      <c r="P13" s="166" t="s">
        <v>476</v>
      </c>
      <c r="Q13" s="197" t="s">
        <v>482</v>
      </c>
      <c r="R13" s="198" t="s">
        <v>731</v>
      </c>
      <c r="S13" s="196">
        <v>7.7203346624284652</v>
      </c>
      <c r="T13" s="87"/>
      <c r="U13" s="166" t="s">
        <v>476</v>
      </c>
      <c r="V13" s="87" t="s">
        <v>892</v>
      </c>
      <c r="W13" s="196">
        <v>9.2426064084600501</v>
      </c>
      <c r="X13" s="89"/>
      <c r="Y13" s="166" t="s">
        <v>476</v>
      </c>
      <c r="Z13" s="87" t="s">
        <v>529</v>
      </c>
      <c r="AA13" s="196">
        <v>7.0184558464086706</v>
      </c>
    </row>
    <row r="14" spans="1:27" ht="16.5" customHeight="1" x14ac:dyDescent="0.6">
      <c r="A14" s="166" t="s">
        <v>478</v>
      </c>
      <c r="B14" s="197" t="s">
        <v>729</v>
      </c>
      <c r="C14" s="198" t="s">
        <v>730</v>
      </c>
      <c r="D14" s="199">
        <v>3.2257350114619556</v>
      </c>
      <c r="E14" s="85"/>
      <c r="F14" s="166" t="s">
        <v>478</v>
      </c>
      <c r="G14" s="197" t="s">
        <v>727</v>
      </c>
      <c r="H14" s="198" t="s">
        <v>728</v>
      </c>
      <c r="I14" s="199">
        <v>4.6380856453979948</v>
      </c>
      <c r="J14" s="87"/>
      <c r="K14" s="166" t="s">
        <v>478</v>
      </c>
      <c r="L14" s="197" t="s">
        <v>747</v>
      </c>
      <c r="M14" s="198" t="s">
        <v>748</v>
      </c>
      <c r="N14" s="199">
        <v>5.6835796316848448</v>
      </c>
      <c r="O14" s="85"/>
      <c r="P14" s="166" t="s">
        <v>478</v>
      </c>
      <c r="Q14" s="197" t="s">
        <v>469</v>
      </c>
      <c r="R14" s="198" t="s">
        <v>736</v>
      </c>
      <c r="S14" s="199">
        <v>7.7116526156508929</v>
      </c>
      <c r="T14" s="87"/>
      <c r="U14" s="166" t="s">
        <v>478</v>
      </c>
      <c r="V14" s="87" t="s">
        <v>534</v>
      </c>
      <c r="W14" s="199">
        <v>7.2462315541405111</v>
      </c>
      <c r="X14" s="89"/>
      <c r="Y14" s="166" t="s">
        <v>478</v>
      </c>
      <c r="Z14" s="87" t="s">
        <v>528</v>
      </c>
      <c r="AA14" s="199">
        <v>6.8937195769090129</v>
      </c>
    </row>
    <row r="15" spans="1:27" ht="16.5" customHeight="1" x14ac:dyDescent="0.6">
      <c r="A15" s="166" t="s">
        <v>480</v>
      </c>
      <c r="B15" s="197" t="s">
        <v>477</v>
      </c>
      <c r="C15" s="198" t="s">
        <v>750</v>
      </c>
      <c r="D15" s="196">
        <v>2.4087769536110804</v>
      </c>
      <c r="E15" s="85"/>
      <c r="F15" s="166" t="s">
        <v>480</v>
      </c>
      <c r="G15" s="197" t="s">
        <v>779</v>
      </c>
      <c r="H15" s="198" t="s">
        <v>780</v>
      </c>
      <c r="I15" s="196">
        <v>4.0600595586991401</v>
      </c>
      <c r="J15" s="87"/>
      <c r="K15" s="166" t="s">
        <v>480</v>
      </c>
      <c r="L15" s="197" t="s">
        <v>741</v>
      </c>
      <c r="M15" s="198" t="s">
        <v>742</v>
      </c>
      <c r="N15" s="196">
        <v>5.6614016714384148</v>
      </c>
      <c r="O15" s="85"/>
      <c r="P15" s="166" t="s">
        <v>480</v>
      </c>
      <c r="Q15" s="197" t="s">
        <v>754</v>
      </c>
      <c r="R15" s="198" t="s">
        <v>755</v>
      </c>
      <c r="S15" s="196">
        <v>5.1512427962977156</v>
      </c>
      <c r="T15" s="87"/>
      <c r="U15" s="166" t="s">
        <v>480</v>
      </c>
      <c r="V15" s="87" t="s">
        <v>528</v>
      </c>
      <c r="W15" s="196">
        <v>3.7787998348819469</v>
      </c>
      <c r="X15" s="89"/>
      <c r="Y15" s="166" t="s">
        <v>480</v>
      </c>
      <c r="Z15" s="87" t="s">
        <v>740</v>
      </c>
      <c r="AA15" s="196">
        <v>6.6529551662985131</v>
      </c>
    </row>
    <row r="16" spans="1:27" ht="16.5" customHeight="1" x14ac:dyDescent="0.6">
      <c r="A16" s="166" t="s">
        <v>481</v>
      </c>
      <c r="B16" s="197" t="s">
        <v>777</v>
      </c>
      <c r="C16" s="198" t="s">
        <v>778</v>
      </c>
      <c r="D16" s="199">
        <v>2.3573886948482694</v>
      </c>
      <c r="E16" s="85"/>
      <c r="F16" s="166" t="s">
        <v>481</v>
      </c>
      <c r="G16" s="197" t="s">
        <v>757</v>
      </c>
      <c r="H16" s="198" t="s">
        <v>758</v>
      </c>
      <c r="I16" s="199">
        <v>3.1845907885292073</v>
      </c>
      <c r="J16" s="87"/>
      <c r="K16" s="166" t="s">
        <v>481</v>
      </c>
      <c r="L16" s="197" t="s">
        <v>723</v>
      </c>
      <c r="M16" s="198" t="s">
        <v>724</v>
      </c>
      <c r="N16" s="199">
        <v>3.4476048400020201</v>
      </c>
      <c r="O16" s="85"/>
      <c r="P16" s="166" t="s">
        <v>481</v>
      </c>
      <c r="Q16" s="197" t="s">
        <v>479</v>
      </c>
      <c r="R16" s="198" t="s">
        <v>751</v>
      </c>
      <c r="S16" s="199">
        <v>4.9444626911447447</v>
      </c>
      <c r="T16" s="87"/>
      <c r="U16" s="166" t="s">
        <v>481</v>
      </c>
      <c r="V16" s="87" t="s">
        <v>752</v>
      </c>
      <c r="W16" s="199">
        <v>3.3552619500607008</v>
      </c>
      <c r="X16" s="89"/>
      <c r="Y16" s="166" t="s">
        <v>481</v>
      </c>
      <c r="Z16" s="87" t="s">
        <v>764</v>
      </c>
      <c r="AA16" s="199">
        <v>4.4254505062602032</v>
      </c>
    </row>
    <row r="17" spans="1:27" ht="16.5" customHeight="1" x14ac:dyDescent="0.6">
      <c r="A17" s="166" t="s">
        <v>483</v>
      </c>
      <c r="B17" s="197" t="s">
        <v>469</v>
      </c>
      <c r="C17" s="198" t="s">
        <v>736</v>
      </c>
      <c r="D17" s="196">
        <v>2.2433486973045711</v>
      </c>
      <c r="E17" s="85"/>
      <c r="F17" s="166" t="s">
        <v>483</v>
      </c>
      <c r="G17" s="197" t="s">
        <v>721</v>
      </c>
      <c r="H17" s="198" t="s">
        <v>722</v>
      </c>
      <c r="I17" s="196">
        <v>3.1516938319848626</v>
      </c>
      <c r="J17" s="87"/>
      <c r="K17" s="166" t="s">
        <v>483</v>
      </c>
      <c r="L17" s="197" t="s">
        <v>759</v>
      </c>
      <c r="M17" s="198" t="s">
        <v>760</v>
      </c>
      <c r="N17" s="196">
        <v>2.7564719024521036</v>
      </c>
      <c r="O17" s="85"/>
      <c r="P17" s="166" t="s">
        <v>483</v>
      </c>
      <c r="Q17" s="197" t="s">
        <v>761</v>
      </c>
      <c r="R17" s="198" t="s">
        <v>762</v>
      </c>
      <c r="S17" s="196">
        <v>3.6981818207877226</v>
      </c>
      <c r="T17" s="87"/>
      <c r="U17" s="166" t="s">
        <v>483</v>
      </c>
      <c r="V17" s="87" t="s">
        <v>725</v>
      </c>
      <c r="W17" s="196">
        <v>1.9699078254801707</v>
      </c>
      <c r="X17" s="89"/>
      <c r="Y17" s="166" t="s">
        <v>483</v>
      </c>
      <c r="Z17" s="87" t="s">
        <v>749</v>
      </c>
      <c r="AA17" s="196">
        <v>3.3262930482657111</v>
      </c>
    </row>
    <row r="18" spans="1:27" ht="16.5" customHeight="1" x14ac:dyDescent="0.6">
      <c r="A18" s="166" t="s">
        <v>484</v>
      </c>
      <c r="B18" s="197" t="s">
        <v>799</v>
      </c>
      <c r="C18" s="198" t="s">
        <v>800</v>
      </c>
      <c r="D18" s="199">
        <v>2.1299110549054237</v>
      </c>
      <c r="E18" s="85"/>
      <c r="F18" s="166" t="s">
        <v>484</v>
      </c>
      <c r="G18" s="197" t="s">
        <v>723</v>
      </c>
      <c r="H18" s="198" t="s">
        <v>724</v>
      </c>
      <c r="I18" s="199">
        <v>2.6426610077985102</v>
      </c>
      <c r="J18" s="87"/>
      <c r="K18" s="166" t="s">
        <v>484</v>
      </c>
      <c r="L18" s="197" t="s">
        <v>761</v>
      </c>
      <c r="M18" s="198" t="s">
        <v>762</v>
      </c>
      <c r="N18" s="199">
        <v>2.5294898200505376</v>
      </c>
      <c r="O18" s="85"/>
      <c r="P18" s="166" t="s">
        <v>484</v>
      </c>
      <c r="Q18" s="197" t="s">
        <v>477</v>
      </c>
      <c r="R18" s="198" t="s">
        <v>750</v>
      </c>
      <c r="S18" s="199">
        <v>3.5548069712735169</v>
      </c>
      <c r="T18" s="87"/>
      <c r="U18" s="166" t="s">
        <v>484</v>
      </c>
      <c r="V18" s="87" t="s">
        <v>527</v>
      </c>
      <c r="W18" s="199">
        <v>1.4384164650405555</v>
      </c>
      <c r="X18" s="89"/>
      <c r="Y18" s="166" t="s">
        <v>484</v>
      </c>
      <c r="Z18" s="87" t="s">
        <v>753</v>
      </c>
      <c r="AA18" s="199">
        <v>3.0191931562468044</v>
      </c>
    </row>
    <row r="19" spans="1:27" ht="16.5" customHeight="1" x14ac:dyDescent="0.6">
      <c r="A19" s="166" t="s">
        <v>485</v>
      </c>
      <c r="B19" s="197" t="s">
        <v>765</v>
      </c>
      <c r="C19" s="198" t="s">
        <v>766</v>
      </c>
      <c r="D19" s="196">
        <v>2.0750597382697618</v>
      </c>
      <c r="E19" s="85"/>
      <c r="F19" s="166" t="s">
        <v>485</v>
      </c>
      <c r="G19" s="197" t="s">
        <v>788</v>
      </c>
      <c r="H19" s="198" t="s">
        <v>789</v>
      </c>
      <c r="I19" s="196">
        <v>1.8536943903369429</v>
      </c>
      <c r="J19" s="87"/>
      <c r="K19" s="166" t="s">
        <v>485</v>
      </c>
      <c r="L19" s="197" t="s">
        <v>754</v>
      </c>
      <c r="M19" s="198" t="s">
        <v>755</v>
      </c>
      <c r="N19" s="196">
        <v>1.457890190978804</v>
      </c>
      <c r="O19" s="85"/>
      <c r="P19" s="166" t="s">
        <v>485</v>
      </c>
      <c r="Q19" s="197" t="s">
        <v>741</v>
      </c>
      <c r="R19" s="198" t="s">
        <v>742</v>
      </c>
      <c r="S19" s="196">
        <v>3.1310764795168153</v>
      </c>
      <c r="T19" s="87"/>
      <c r="U19" s="166" t="s">
        <v>485</v>
      </c>
      <c r="V19" s="87" t="s">
        <v>763</v>
      </c>
      <c r="W19" s="196">
        <v>1.1777266648044131</v>
      </c>
      <c r="X19" s="89"/>
      <c r="Y19" s="166" t="s">
        <v>485</v>
      </c>
      <c r="Z19" s="87" t="s">
        <v>527</v>
      </c>
      <c r="AA19" s="196">
        <v>2.6796632448643027</v>
      </c>
    </row>
    <row r="20" spans="1:27" ht="16.5" customHeight="1" x14ac:dyDescent="0.6">
      <c r="A20" s="166" t="s">
        <v>486</v>
      </c>
      <c r="B20" s="197" t="s">
        <v>737</v>
      </c>
      <c r="C20" s="198" t="s">
        <v>738</v>
      </c>
      <c r="D20" s="199">
        <v>1.7431728800236332</v>
      </c>
      <c r="E20" s="85"/>
      <c r="F20" s="166" t="s">
        <v>486</v>
      </c>
      <c r="G20" s="197" t="s">
        <v>737</v>
      </c>
      <c r="H20" s="198" t="s">
        <v>738</v>
      </c>
      <c r="I20" s="199">
        <v>1.8341462571163372</v>
      </c>
      <c r="J20" s="87"/>
      <c r="K20" s="166" t="s">
        <v>486</v>
      </c>
      <c r="L20" s="197" t="s">
        <v>479</v>
      </c>
      <c r="M20" s="198" t="s">
        <v>751</v>
      </c>
      <c r="N20" s="199">
        <v>1.2708100687285178</v>
      </c>
      <c r="O20" s="85"/>
      <c r="P20" s="166" t="s">
        <v>486</v>
      </c>
      <c r="Q20" s="197" t="s">
        <v>791</v>
      </c>
      <c r="R20" s="198" t="s">
        <v>792</v>
      </c>
      <c r="S20" s="199">
        <v>2.7869036653486603</v>
      </c>
      <c r="T20" s="87"/>
      <c r="U20" s="166" t="s">
        <v>486</v>
      </c>
      <c r="V20" s="87" t="s">
        <v>786</v>
      </c>
      <c r="W20" s="199">
        <v>1.1461763790628714</v>
      </c>
      <c r="X20" s="89"/>
      <c r="Y20" s="166" t="s">
        <v>486</v>
      </c>
      <c r="Z20" s="87" t="s">
        <v>772</v>
      </c>
      <c r="AA20" s="199">
        <v>1.1869029447932857</v>
      </c>
    </row>
    <row r="21" spans="1:27" ht="16.5" customHeight="1" x14ac:dyDescent="0.6">
      <c r="A21" s="166" t="s">
        <v>488</v>
      </c>
      <c r="B21" s="197" t="s">
        <v>747</v>
      </c>
      <c r="C21" s="198" t="s">
        <v>748</v>
      </c>
      <c r="D21" s="196">
        <v>1.2078231277905453</v>
      </c>
      <c r="E21" s="85"/>
      <c r="F21" s="166" t="s">
        <v>488</v>
      </c>
      <c r="G21" s="197" t="s">
        <v>826</v>
      </c>
      <c r="H21" s="198" t="s">
        <v>827</v>
      </c>
      <c r="I21" s="196">
        <v>1.6727942465531185</v>
      </c>
      <c r="J21" s="87"/>
      <c r="K21" s="166" t="s">
        <v>488</v>
      </c>
      <c r="L21" s="197" t="s">
        <v>812</v>
      </c>
      <c r="M21" s="198" t="s">
        <v>813</v>
      </c>
      <c r="N21" s="196">
        <v>1.1237218785446963</v>
      </c>
      <c r="O21" s="85"/>
      <c r="P21" s="166" t="s">
        <v>488</v>
      </c>
      <c r="Q21" s="197" t="s">
        <v>773</v>
      </c>
      <c r="R21" s="198" t="s">
        <v>774</v>
      </c>
      <c r="S21" s="196">
        <v>2.5334995821176785</v>
      </c>
      <c r="T21" s="87"/>
      <c r="U21" s="166" t="s">
        <v>488</v>
      </c>
      <c r="V21" s="87" t="s">
        <v>775</v>
      </c>
      <c r="W21" s="196">
        <v>0.79961585501962096</v>
      </c>
      <c r="X21" s="89"/>
      <c r="Y21" s="166" t="s">
        <v>488</v>
      </c>
      <c r="Z21" s="87" t="s">
        <v>752</v>
      </c>
      <c r="AA21" s="196">
        <v>1.0459482921836833</v>
      </c>
    </row>
    <row r="22" spans="1:27" ht="16.5" customHeight="1" x14ac:dyDescent="0.6">
      <c r="A22" s="166" t="s">
        <v>489</v>
      </c>
      <c r="B22" s="197" t="s">
        <v>741</v>
      </c>
      <c r="C22" s="198" t="s">
        <v>742</v>
      </c>
      <c r="D22" s="199">
        <v>1.2031100675276918</v>
      </c>
      <c r="E22" s="85"/>
      <c r="F22" s="166" t="s">
        <v>489</v>
      </c>
      <c r="G22" s="197" t="s">
        <v>494</v>
      </c>
      <c r="H22" s="198" t="s">
        <v>768</v>
      </c>
      <c r="I22" s="199">
        <v>1.6289158778338377</v>
      </c>
      <c r="J22" s="87"/>
      <c r="K22" s="166" t="s">
        <v>489</v>
      </c>
      <c r="L22" s="197" t="s">
        <v>482</v>
      </c>
      <c r="M22" s="198" t="s">
        <v>731</v>
      </c>
      <c r="N22" s="199">
        <v>0.87304633493572847</v>
      </c>
      <c r="O22" s="85"/>
      <c r="P22" s="166" t="s">
        <v>489</v>
      </c>
      <c r="Q22" s="197" t="s">
        <v>729</v>
      </c>
      <c r="R22" s="198" t="s">
        <v>730</v>
      </c>
      <c r="S22" s="199">
        <v>2.5031263685626817</v>
      </c>
      <c r="T22" s="87"/>
      <c r="U22" s="166" t="s">
        <v>489</v>
      </c>
      <c r="V22" s="87" t="s">
        <v>732</v>
      </c>
      <c r="W22" s="199">
        <v>0.57972039278215826</v>
      </c>
      <c r="X22" s="89"/>
      <c r="Y22" s="166" t="s">
        <v>489</v>
      </c>
      <c r="Z22" s="87" t="s">
        <v>767</v>
      </c>
      <c r="AA22" s="199">
        <v>1.0417612266223681</v>
      </c>
    </row>
    <row r="23" spans="1:27" ht="16.5" customHeight="1" x14ac:dyDescent="0.6">
      <c r="A23" s="166" t="s">
        <v>490</v>
      </c>
      <c r="B23" s="197" t="s">
        <v>840</v>
      </c>
      <c r="C23" s="198" t="s">
        <v>841</v>
      </c>
      <c r="D23" s="196">
        <v>1.11442783598886</v>
      </c>
      <c r="E23" s="85"/>
      <c r="F23" s="166" t="s">
        <v>490</v>
      </c>
      <c r="G23" s="197" t="s">
        <v>743</v>
      </c>
      <c r="H23" s="198" t="s">
        <v>744</v>
      </c>
      <c r="I23" s="196">
        <v>1.6085607850571835</v>
      </c>
      <c r="J23" s="87"/>
      <c r="K23" s="166" t="s">
        <v>490</v>
      </c>
      <c r="L23" s="197" t="s">
        <v>781</v>
      </c>
      <c r="M23" s="198" t="s">
        <v>782</v>
      </c>
      <c r="N23" s="196">
        <v>0.73729483975848842</v>
      </c>
      <c r="O23" s="85"/>
      <c r="P23" s="166" t="s">
        <v>490</v>
      </c>
      <c r="Q23" s="197" t="s">
        <v>769</v>
      </c>
      <c r="R23" s="198" t="s">
        <v>770</v>
      </c>
      <c r="S23" s="196">
        <v>2.1540055157429148</v>
      </c>
      <c r="T23" s="87"/>
      <c r="U23" s="166" t="s">
        <v>490</v>
      </c>
      <c r="V23" s="87" t="s">
        <v>772</v>
      </c>
      <c r="W23" s="196">
        <v>0.40291429795357608</v>
      </c>
      <c r="X23" s="89"/>
      <c r="Y23" s="166" t="s">
        <v>490</v>
      </c>
      <c r="Z23" s="87" t="s">
        <v>771</v>
      </c>
      <c r="AA23" s="196">
        <v>0.73981788438299667</v>
      </c>
    </row>
    <row r="24" spans="1:27" ht="16.5" customHeight="1" x14ac:dyDescent="0.6">
      <c r="A24" s="166" t="s">
        <v>491</v>
      </c>
      <c r="B24" s="197" t="s">
        <v>779</v>
      </c>
      <c r="C24" s="198" t="s">
        <v>780</v>
      </c>
      <c r="D24" s="199">
        <v>0.87380754080206202</v>
      </c>
      <c r="E24" s="85"/>
      <c r="F24" s="166" t="s">
        <v>491</v>
      </c>
      <c r="G24" s="197" t="s">
        <v>482</v>
      </c>
      <c r="H24" s="198" t="s">
        <v>731</v>
      </c>
      <c r="I24" s="199">
        <v>1.5495285785390425</v>
      </c>
      <c r="J24" s="87"/>
      <c r="K24" s="166" t="s">
        <v>491</v>
      </c>
      <c r="L24" s="197" t="s">
        <v>773</v>
      </c>
      <c r="M24" s="198" t="s">
        <v>774</v>
      </c>
      <c r="N24" s="199">
        <v>0.42346204970245366</v>
      </c>
      <c r="O24" s="85"/>
      <c r="P24" s="166" t="s">
        <v>491</v>
      </c>
      <c r="Q24" s="197" t="s">
        <v>814</v>
      </c>
      <c r="R24" s="198" t="s">
        <v>815</v>
      </c>
      <c r="S24" s="199">
        <v>1.4039241779346032</v>
      </c>
      <c r="T24" s="87"/>
      <c r="U24" s="166" t="s">
        <v>491</v>
      </c>
      <c r="V24" s="87" t="s">
        <v>810</v>
      </c>
      <c r="W24" s="199">
        <v>0.316107051946248</v>
      </c>
      <c r="X24" s="89"/>
      <c r="Y24" s="166" t="s">
        <v>491</v>
      </c>
      <c r="Z24" s="87" t="s">
        <v>793</v>
      </c>
      <c r="AA24" s="199">
        <v>0.39281134104255488</v>
      </c>
    </row>
    <row r="25" spans="1:27" ht="16.5" customHeight="1" x14ac:dyDescent="0.6">
      <c r="A25" s="166" t="s">
        <v>492</v>
      </c>
      <c r="B25" s="197" t="s">
        <v>467</v>
      </c>
      <c r="C25" s="198" t="s">
        <v>720</v>
      </c>
      <c r="D25" s="196">
        <v>0.84750574240023258</v>
      </c>
      <c r="E25" s="85"/>
      <c r="F25" s="166" t="s">
        <v>492</v>
      </c>
      <c r="G25" s="197" t="s">
        <v>469</v>
      </c>
      <c r="H25" s="198" t="s">
        <v>736</v>
      </c>
      <c r="I25" s="196">
        <v>1.5477860271872814</v>
      </c>
      <c r="J25" s="87"/>
      <c r="K25" s="166" t="s">
        <v>492</v>
      </c>
      <c r="L25" s="197" t="s">
        <v>806</v>
      </c>
      <c r="M25" s="198" t="s">
        <v>807</v>
      </c>
      <c r="N25" s="196">
        <v>0.34251139644453754</v>
      </c>
      <c r="O25" s="85"/>
      <c r="P25" s="166" t="s">
        <v>492</v>
      </c>
      <c r="Q25" s="197" t="s">
        <v>747</v>
      </c>
      <c r="R25" s="198" t="s">
        <v>748</v>
      </c>
      <c r="S25" s="196">
        <v>1.16647745834851</v>
      </c>
      <c r="T25" s="87"/>
      <c r="U25" s="166" t="s">
        <v>492</v>
      </c>
      <c r="V25" s="87" t="s">
        <v>756</v>
      </c>
      <c r="W25" s="196">
        <v>0.14607670309368037</v>
      </c>
      <c r="X25" s="89"/>
      <c r="Y25" s="166" t="s">
        <v>492</v>
      </c>
      <c r="Z25" s="87" t="s">
        <v>811</v>
      </c>
      <c r="AA25" s="196">
        <v>0.38343075738993776</v>
      </c>
    </row>
    <row r="26" spans="1:27" ht="16.5" customHeight="1" x14ac:dyDescent="0.6">
      <c r="A26" s="166" t="s">
        <v>493</v>
      </c>
      <c r="B26" s="197" t="s">
        <v>723</v>
      </c>
      <c r="C26" s="198" t="s">
        <v>724</v>
      </c>
      <c r="D26" s="199">
        <v>0.73265391374531585</v>
      </c>
      <c r="E26" s="85"/>
      <c r="F26" s="166" t="s">
        <v>493</v>
      </c>
      <c r="G26" s="197" t="s">
        <v>799</v>
      </c>
      <c r="H26" s="198" t="s">
        <v>800</v>
      </c>
      <c r="I26" s="199">
        <v>1.3059351153576677</v>
      </c>
      <c r="J26" s="87"/>
      <c r="K26" s="166" t="s">
        <v>493</v>
      </c>
      <c r="L26" s="197" t="s">
        <v>895</v>
      </c>
      <c r="M26" s="198" t="s">
        <v>896</v>
      </c>
      <c r="N26" s="199">
        <v>0.32464764795454376</v>
      </c>
      <c r="O26" s="85"/>
      <c r="P26" s="166" t="s">
        <v>493</v>
      </c>
      <c r="Q26" s="197" t="s">
        <v>795</v>
      </c>
      <c r="R26" s="198" t="s">
        <v>796</v>
      </c>
      <c r="S26" s="199">
        <v>1.1638076486391034</v>
      </c>
      <c r="T26" s="87"/>
      <c r="U26" s="166" t="s">
        <v>493</v>
      </c>
      <c r="V26" s="87" t="s">
        <v>753</v>
      </c>
      <c r="W26" s="199">
        <v>3.3535980785512225E-2</v>
      </c>
      <c r="X26" s="89"/>
      <c r="Y26" s="166" t="s">
        <v>493</v>
      </c>
      <c r="Z26" s="87" t="s">
        <v>783</v>
      </c>
      <c r="AA26" s="199">
        <v>0.34753034472917826</v>
      </c>
    </row>
    <row r="27" spans="1:27" ht="16.5" customHeight="1" x14ac:dyDescent="0.6">
      <c r="A27" s="166" t="s">
        <v>495</v>
      </c>
      <c r="B27" s="197" t="s">
        <v>734</v>
      </c>
      <c r="C27" s="198" t="s">
        <v>735</v>
      </c>
      <c r="D27" s="196">
        <v>0.67704211691107974</v>
      </c>
      <c r="E27" s="85"/>
      <c r="F27" s="166" t="s">
        <v>495</v>
      </c>
      <c r="G27" s="197" t="s">
        <v>821</v>
      </c>
      <c r="H27" s="198" t="s">
        <v>822</v>
      </c>
      <c r="I27" s="196">
        <v>1.0859101510284088</v>
      </c>
      <c r="J27" s="87"/>
      <c r="K27" s="166" t="s">
        <v>495</v>
      </c>
      <c r="L27" s="197" t="s">
        <v>814</v>
      </c>
      <c r="M27" s="198" t="s">
        <v>815</v>
      </c>
      <c r="N27" s="196">
        <v>0.27036093126484767</v>
      </c>
      <c r="O27" s="85"/>
      <c r="P27" s="166" t="s">
        <v>495</v>
      </c>
      <c r="Q27" s="197" t="s">
        <v>803</v>
      </c>
      <c r="R27" s="198" t="s">
        <v>804</v>
      </c>
      <c r="S27" s="196">
        <v>0.71190709353090542</v>
      </c>
      <c r="T27" s="87"/>
      <c r="U27" s="166" t="s">
        <v>495</v>
      </c>
      <c r="V27" s="87" t="s">
        <v>535</v>
      </c>
      <c r="W27" s="196">
        <v>3.0648336205782757E-2</v>
      </c>
      <c r="X27" s="89"/>
      <c r="Y27" s="166" t="s">
        <v>495</v>
      </c>
      <c r="Z27" s="87" t="s">
        <v>790</v>
      </c>
      <c r="AA27" s="196">
        <v>0.30891669217317547</v>
      </c>
    </row>
    <row r="28" spans="1:27" ht="16.5" customHeight="1" x14ac:dyDescent="0.6">
      <c r="A28" s="166" t="s">
        <v>496</v>
      </c>
      <c r="B28" s="197" t="s">
        <v>759</v>
      </c>
      <c r="C28" s="198" t="s">
        <v>760</v>
      </c>
      <c r="D28" s="199">
        <v>0.58578056975327453</v>
      </c>
      <c r="E28" s="85"/>
      <c r="F28" s="166" t="s">
        <v>496</v>
      </c>
      <c r="G28" s="197" t="s">
        <v>900</v>
      </c>
      <c r="H28" s="198" t="s">
        <v>901</v>
      </c>
      <c r="I28" s="199">
        <v>1.0792652893543286</v>
      </c>
      <c r="J28" s="87"/>
      <c r="K28" s="166" t="s">
        <v>496</v>
      </c>
      <c r="L28" s="197" t="s">
        <v>769</v>
      </c>
      <c r="M28" s="198" t="s">
        <v>770</v>
      </c>
      <c r="N28" s="199">
        <v>0.24618746404760244</v>
      </c>
      <c r="O28" s="85"/>
      <c r="P28" s="166" t="s">
        <v>496</v>
      </c>
      <c r="Q28" s="197" t="s">
        <v>487</v>
      </c>
      <c r="R28" s="198" t="s">
        <v>794</v>
      </c>
      <c r="S28" s="199">
        <v>0.47992127440307203</v>
      </c>
      <c r="T28" s="87"/>
      <c r="U28" s="166" t="s">
        <v>496</v>
      </c>
      <c r="V28" s="87" t="s">
        <v>847</v>
      </c>
      <c r="W28" s="199">
        <v>2.4222038811939763E-2</v>
      </c>
      <c r="X28" s="89"/>
      <c r="Y28" s="166" t="s">
        <v>496</v>
      </c>
      <c r="Z28" s="87" t="s">
        <v>787</v>
      </c>
      <c r="AA28" s="199">
        <v>0.30601208689937748</v>
      </c>
    </row>
    <row r="29" spans="1:27" ht="16.5" customHeight="1" x14ac:dyDescent="0.6">
      <c r="A29" s="166" t="s">
        <v>497</v>
      </c>
      <c r="B29" s="197" t="s">
        <v>828</v>
      </c>
      <c r="C29" s="198" t="s">
        <v>829</v>
      </c>
      <c r="D29" s="196">
        <v>0.5599174889165337</v>
      </c>
      <c r="E29" s="85"/>
      <c r="F29" s="166" t="s">
        <v>497</v>
      </c>
      <c r="G29" s="197" t="s">
        <v>830</v>
      </c>
      <c r="H29" s="198" t="s">
        <v>831</v>
      </c>
      <c r="I29" s="196">
        <v>1.0586338633769443</v>
      </c>
      <c r="J29" s="87"/>
      <c r="K29" s="166" t="s">
        <v>497</v>
      </c>
      <c r="L29" s="197" t="s">
        <v>487</v>
      </c>
      <c r="M29" s="198" t="s">
        <v>794</v>
      </c>
      <c r="N29" s="196">
        <v>0.19736122468312703</v>
      </c>
      <c r="O29" s="85"/>
      <c r="P29" s="166" t="s">
        <v>497</v>
      </c>
      <c r="Q29" s="197" t="s">
        <v>808</v>
      </c>
      <c r="R29" s="198" t="s">
        <v>809</v>
      </c>
      <c r="S29" s="196">
        <v>0.41494749945937409</v>
      </c>
      <c r="T29" s="87"/>
      <c r="U29" s="166" t="s">
        <v>497</v>
      </c>
      <c r="V29" s="87" t="s">
        <v>820</v>
      </c>
      <c r="W29" s="196">
        <v>1.047435939555294E-2</v>
      </c>
      <c r="X29" s="89"/>
      <c r="Y29" s="166" t="s">
        <v>497</v>
      </c>
      <c r="Z29" s="87" t="s">
        <v>786</v>
      </c>
      <c r="AA29" s="196">
        <v>0.26925181249540903</v>
      </c>
    </row>
    <row r="30" spans="1:27" ht="16.5" customHeight="1" x14ac:dyDescent="0.6">
      <c r="A30" s="166" t="s">
        <v>498</v>
      </c>
      <c r="B30" s="197" t="s">
        <v>761</v>
      </c>
      <c r="C30" s="198" t="s">
        <v>762</v>
      </c>
      <c r="D30" s="199">
        <v>0.53754438296874973</v>
      </c>
      <c r="E30" s="85"/>
      <c r="F30" s="166" t="s">
        <v>498</v>
      </c>
      <c r="G30" s="197" t="s">
        <v>754</v>
      </c>
      <c r="H30" s="198" t="s">
        <v>755</v>
      </c>
      <c r="I30" s="199">
        <v>1.0338927361143575</v>
      </c>
      <c r="J30" s="87"/>
      <c r="K30" s="166" t="s">
        <v>498</v>
      </c>
      <c r="L30" s="197" t="s">
        <v>743</v>
      </c>
      <c r="M30" s="198" t="s">
        <v>744</v>
      </c>
      <c r="N30" s="199">
        <v>0.14970719084220324</v>
      </c>
      <c r="O30" s="85"/>
      <c r="P30" s="166" t="s">
        <v>498</v>
      </c>
      <c r="Q30" s="197" t="s">
        <v>812</v>
      </c>
      <c r="R30" s="198" t="s">
        <v>813</v>
      </c>
      <c r="S30" s="199">
        <v>0.36213745629086447</v>
      </c>
      <c r="T30" s="87"/>
      <c r="U30" s="166" t="s">
        <v>897</v>
      </c>
      <c r="V30" s="87" t="s">
        <v>897</v>
      </c>
      <c r="W30" s="87"/>
      <c r="X30" s="89"/>
      <c r="Y30" s="166" t="s">
        <v>498</v>
      </c>
      <c r="Z30" s="87" t="s">
        <v>805</v>
      </c>
      <c r="AA30" s="199">
        <v>0.24313155350554266</v>
      </c>
    </row>
    <row r="31" spans="1:27" ht="16.5" customHeight="1" x14ac:dyDescent="0.6">
      <c r="A31" s="166" t="s">
        <v>499</v>
      </c>
      <c r="B31" s="197" t="s">
        <v>898</v>
      </c>
      <c r="C31" s="198" t="s">
        <v>899</v>
      </c>
      <c r="D31" s="196">
        <v>0.41038288635980952</v>
      </c>
      <c r="E31" s="85"/>
      <c r="F31" s="166" t="s">
        <v>499</v>
      </c>
      <c r="G31" s="197" t="s">
        <v>474</v>
      </c>
      <c r="H31" s="198" t="s">
        <v>798</v>
      </c>
      <c r="I31" s="196">
        <v>1.0265630330658109</v>
      </c>
      <c r="J31" s="87"/>
      <c r="K31" s="166" t="s">
        <v>499</v>
      </c>
      <c r="L31" s="197" t="s">
        <v>795</v>
      </c>
      <c r="M31" s="198" t="s">
        <v>796</v>
      </c>
      <c r="N31" s="196">
        <v>0.11448470505368205</v>
      </c>
      <c r="O31" s="85"/>
      <c r="P31" s="166" t="s">
        <v>499</v>
      </c>
      <c r="Q31" s="197" t="s">
        <v>835</v>
      </c>
      <c r="R31" s="198" t="s">
        <v>836</v>
      </c>
      <c r="S31" s="196">
        <v>0.36139350163842915</v>
      </c>
      <c r="T31" s="87"/>
      <c r="U31" s="166" t="s">
        <v>897</v>
      </c>
      <c r="V31" s="87" t="s">
        <v>897</v>
      </c>
      <c r="W31" s="87"/>
      <c r="X31" s="89"/>
      <c r="Y31" s="166" t="s">
        <v>499</v>
      </c>
      <c r="Z31" s="87" t="s">
        <v>894</v>
      </c>
      <c r="AA31" s="196">
        <v>0.21201192976007605</v>
      </c>
    </row>
    <row r="32" spans="1:27" ht="16.5" customHeight="1" x14ac:dyDescent="0.6">
      <c r="A32" s="166" t="s">
        <v>500</v>
      </c>
      <c r="B32" s="197" t="s">
        <v>474</v>
      </c>
      <c r="C32" s="198" t="s">
        <v>798</v>
      </c>
      <c r="D32" s="199">
        <v>0.39565560353301232</v>
      </c>
      <c r="E32" s="85"/>
      <c r="F32" s="166" t="s">
        <v>500</v>
      </c>
      <c r="G32" s="197" t="s">
        <v>479</v>
      </c>
      <c r="H32" s="198" t="s">
        <v>751</v>
      </c>
      <c r="I32" s="199">
        <v>0.99239043130273552</v>
      </c>
      <c r="J32" s="87"/>
      <c r="K32" s="166" t="s">
        <v>500</v>
      </c>
      <c r="L32" s="200" t="s">
        <v>801</v>
      </c>
      <c r="M32" s="201" t="s">
        <v>802</v>
      </c>
      <c r="N32" s="199">
        <v>0.10950072833901195</v>
      </c>
      <c r="O32" s="85"/>
      <c r="P32" s="166" t="s">
        <v>500</v>
      </c>
      <c r="Q32" s="197" t="s">
        <v>818</v>
      </c>
      <c r="R32" s="198" t="s">
        <v>819</v>
      </c>
      <c r="S32" s="199">
        <v>0.30718388666259372</v>
      </c>
      <c r="T32" s="87"/>
      <c r="U32" s="166" t="s">
        <v>897</v>
      </c>
      <c r="V32" s="87" t="s">
        <v>897</v>
      </c>
      <c r="W32" s="87"/>
      <c r="X32" s="89"/>
      <c r="Y32" s="166" t="s">
        <v>500</v>
      </c>
      <c r="Z32" s="87" t="s">
        <v>535</v>
      </c>
      <c r="AA32" s="199">
        <v>0.15409323521864585</v>
      </c>
    </row>
    <row r="33" spans="1:27" ht="16.5" customHeight="1" x14ac:dyDescent="0.6">
      <c r="A33" s="166" t="s">
        <v>501</v>
      </c>
      <c r="B33" s="197" t="s">
        <v>837</v>
      </c>
      <c r="C33" s="198" t="s">
        <v>838</v>
      </c>
      <c r="D33" s="196">
        <v>0.37561951039685887</v>
      </c>
      <c r="E33" s="85"/>
      <c r="F33" s="166" t="s">
        <v>501</v>
      </c>
      <c r="G33" s="197" t="s">
        <v>784</v>
      </c>
      <c r="H33" s="198" t="s">
        <v>785</v>
      </c>
      <c r="I33" s="196">
        <v>0.88189590884005875</v>
      </c>
      <c r="J33" s="87"/>
      <c r="K33" s="166" t="s">
        <v>897</v>
      </c>
      <c r="L33" s="87"/>
      <c r="M33" s="87"/>
      <c r="N33" s="87"/>
      <c r="O33" s="85"/>
      <c r="P33" s="166" t="s">
        <v>501</v>
      </c>
      <c r="Q33" s="197" t="s">
        <v>833</v>
      </c>
      <c r="R33" s="198" t="s">
        <v>834</v>
      </c>
      <c r="S33" s="196">
        <v>0.29511231546265243</v>
      </c>
      <c r="T33" s="87"/>
      <c r="U33" s="166" t="s">
        <v>897</v>
      </c>
      <c r="V33" s="87" t="s">
        <v>897</v>
      </c>
      <c r="W33" s="87"/>
      <c r="X33" s="89"/>
      <c r="Y33" s="166" t="s">
        <v>501</v>
      </c>
      <c r="Z33" s="87" t="s">
        <v>820</v>
      </c>
      <c r="AA33" s="196">
        <v>0.11199062157088066</v>
      </c>
    </row>
    <row r="34" spans="1:27" ht="16.5" customHeight="1" x14ac:dyDescent="0.6">
      <c r="A34" s="166" t="s">
        <v>502</v>
      </c>
      <c r="B34" s="197" t="s">
        <v>816</v>
      </c>
      <c r="C34" s="198" t="s">
        <v>817</v>
      </c>
      <c r="D34" s="199">
        <v>0.33296492943731543</v>
      </c>
      <c r="E34" s="85"/>
      <c r="F34" s="166" t="s">
        <v>502</v>
      </c>
      <c r="G34" s="197" t="s">
        <v>761</v>
      </c>
      <c r="H34" s="198" t="s">
        <v>762</v>
      </c>
      <c r="I34" s="199">
        <v>0.74225259273172395</v>
      </c>
      <c r="J34" s="87"/>
      <c r="K34" s="166" t="s">
        <v>897</v>
      </c>
      <c r="L34" s="87"/>
      <c r="M34" s="87"/>
      <c r="N34" s="87"/>
      <c r="O34" s="85"/>
      <c r="P34" s="166" t="s">
        <v>502</v>
      </c>
      <c r="Q34" s="197" t="s">
        <v>781</v>
      </c>
      <c r="R34" s="198" t="s">
        <v>782</v>
      </c>
      <c r="S34" s="199">
        <v>0.28990723584212591</v>
      </c>
      <c r="T34" s="87"/>
      <c r="U34" s="166" t="s">
        <v>897</v>
      </c>
      <c r="V34" s="87" t="s">
        <v>897</v>
      </c>
      <c r="W34" s="87"/>
      <c r="X34" s="87"/>
      <c r="Y34" s="166" t="s">
        <v>502</v>
      </c>
      <c r="Z34" s="87" t="s">
        <v>797</v>
      </c>
      <c r="AA34" s="199">
        <v>8.6654447648973815E-2</v>
      </c>
    </row>
    <row r="35" spans="1:27" ht="16.5" customHeight="1" x14ac:dyDescent="0.6">
      <c r="A35" s="166" t="s">
        <v>503</v>
      </c>
      <c r="B35" s="197" t="s">
        <v>745</v>
      </c>
      <c r="C35" s="198" t="s">
        <v>746</v>
      </c>
      <c r="D35" s="196">
        <v>0.32441713796482974</v>
      </c>
      <c r="E35" s="85"/>
      <c r="F35" s="166" t="s">
        <v>503</v>
      </c>
      <c r="G35" s="197" t="s">
        <v>477</v>
      </c>
      <c r="H35" s="198" t="s">
        <v>750</v>
      </c>
      <c r="I35" s="196">
        <v>0.71347619423605135</v>
      </c>
      <c r="J35" s="87"/>
      <c r="K35" s="166" t="s">
        <v>897</v>
      </c>
      <c r="L35" s="87"/>
      <c r="M35" s="87"/>
      <c r="N35" s="87"/>
      <c r="O35" s="85"/>
      <c r="P35" s="166" t="s">
        <v>503</v>
      </c>
      <c r="Q35" s="197" t="s">
        <v>801</v>
      </c>
      <c r="R35" s="198" t="s">
        <v>802</v>
      </c>
      <c r="S35" s="196">
        <v>0.24206735637065349</v>
      </c>
      <c r="T35" s="87"/>
      <c r="U35" s="166" t="s">
        <v>897</v>
      </c>
      <c r="V35" s="87" t="s">
        <v>897</v>
      </c>
      <c r="W35" s="87"/>
      <c r="X35" s="87"/>
      <c r="Y35" s="166" t="s">
        <v>503</v>
      </c>
      <c r="Z35" s="87" t="s">
        <v>532</v>
      </c>
      <c r="AA35" s="196">
        <v>6.1449140435536662E-2</v>
      </c>
    </row>
    <row r="36" spans="1:27" ht="16.5" customHeight="1" x14ac:dyDescent="0.6">
      <c r="A36" s="166" t="s">
        <v>504</v>
      </c>
      <c r="B36" s="197" t="s">
        <v>821</v>
      </c>
      <c r="C36" s="198" t="s">
        <v>822</v>
      </c>
      <c r="D36" s="199">
        <v>0.3213229723348448</v>
      </c>
      <c r="E36" s="85"/>
      <c r="F36" s="166" t="s">
        <v>504</v>
      </c>
      <c r="G36" s="197" t="s">
        <v>855</v>
      </c>
      <c r="H36" s="198" t="s">
        <v>856</v>
      </c>
      <c r="I36" s="199">
        <v>0.65538906489644355</v>
      </c>
      <c r="J36" s="87"/>
      <c r="K36" s="166" t="s">
        <v>897</v>
      </c>
      <c r="L36" s="87"/>
      <c r="M36" s="87"/>
      <c r="N36" s="87"/>
      <c r="O36" s="85"/>
      <c r="P36" s="166" t="s">
        <v>504</v>
      </c>
      <c r="Q36" s="197" t="s">
        <v>823</v>
      </c>
      <c r="R36" s="198" t="s">
        <v>824</v>
      </c>
      <c r="S36" s="199">
        <v>0.19344220047073035</v>
      </c>
      <c r="T36" s="87"/>
      <c r="U36" s="166" t="s">
        <v>897</v>
      </c>
      <c r="V36" s="87" t="s">
        <v>897</v>
      </c>
      <c r="W36" s="87"/>
      <c r="X36" s="87"/>
      <c r="Y36" s="166" t="s">
        <v>504</v>
      </c>
      <c r="Z36" s="87" t="s">
        <v>825</v>
      </c>
      <c r="AA36" s="199">
        <v>5.556833514841146E-2</v>
      </c>
    </row>
    <row r="37" spans="1:27" ht="16.5" customHeight="1" x14ac:dyDescent="0.6">
      <c r="A37" s="166" t="s">
        <v>505</v>
      </c>
      <c r="B37" s="197" t="s">
        <v>754</v>
      </c>
      <c r="C37" s="198" t="s">
        <v>755</v>
      </c>
      <c r="D37" s="196">
        <v>0.3098176861333391</v>
      </c>
      <c r="E37" s="85"/>
      <c r="F37" s="166" t="s">
        <v>505</v>
      </c>
      <c r="G37" s="197" t="s">
        <v>741</v>
      </c>
      <c r="H37" s="198" t="s">
        <v>742</v>
      </c>
      <c r="I37" s="196">
        <v>0.62843033349497301</v>
      </c>
      <c r="J37" s="87"/>
      <c r="K37" s="166" t="s">
        <v>897</v>
      </c>
      <c r="L37" s="87"/>
      <c r="M37" s="87"/>
      <c r="N37" s="87"/>
      <c r="O37" s="85"/>
      <c r="P37" s="166" t="s">
        <v>505</v>
      </c>
      <c r="Q37" s="197" t="s">
        <v>806</v>
      </c>
      <c r="R37" s="198" t="s">
        <v>807</v>
      </c>
      <c r="S37" s="196">
        <v>0.18221284515437919</v>
      </c>
      <c r="T37" s="87"/>
      <c r="U37" s="166" t="s">
        <v>897</v>
      </c>
      <c r="V37" s="87" t="s">
        <v>897</v>
      </c>
      <c r="W37" s="87"/>
      <c r="X37" s="87"/>
      <c r="Y37" s="166" t="s">
        <v>505</v>
      </c>
      <c r="Z37" s="87" t="s">
        <v>763</v>
      </c>
      <c r="AA37" s="196">
        <v>5.1819759487141188E-2</v>
      </c>
    </row>
    <row r="38" spans="1:27" ht="16.5" customHeight="1" x14ac:dyDescent="0.6">
      <c r="A38" s="166" t="s">
        <v>506</v>
      </c>
      <c r="B38" s="197" t="s">
        <v>902</v>
      </c>
      <c r="C38" s="198" t="s">
        <v>903</v>
      </c>
      <c r="D38" s="199">
        <v>0.2867699165992148</v>
      </c>
      <c r="E38" s="85"/>
      <c r="F38" s="166" t="s">
        <v>506</v>
      </c>
      <c r="G38" s="197" t="s">
        <v>791</v>
      </c>
      <c r="H38" s="198" t="s">
        <v>792</v>
      </c>
      <c r="I38" s="199">
        <v>0.55935229027164846</v>
      </c>
      <c r="J38" s="87"/>
      <c r="K38" s="166" t="s">
        <v>897</v>
      </c>
      <c r="L38" s="87"/>
      <c r="M38" s="87"/>
      <c r="N38" s="87"/>
      <c r="O38" s="85"/>
      <c r="P38" s="166" t="s">
        <v>506</v>
      </c>
      <c r="Q38" s="197" t="s">
        <v>842</v>
      </c>
      <c r="R38" s="198" t="s">
        <v>843</v>
      </c>
      <c r="S38" s="199">
        <v>0.13413878183812644</v>
      </c>
      <c r="T38" s="87"/>
      <c r="U38" s="166" t="s">
        <v>897</v>
      </c>
      <c r="V38" s="87" t="s">
        <v>897</v>
      </c>
      <c r="W38" s="87"/>
      <c r="X38" s="87"/>
      <c r="Y38" s="166" t="s">
        <v>506</v>
      </c>
      <c r="Z38" s="87" t="s">
        <v>525</v>
      </c>
      <c r="AA38" s="199">
        <v>4.7264460545879565E-2</v>
      </c>
    </row>
    <row r="39" spans="1:27" ht="16.5" customHeight="1" x14ac:dyDescent="0.6">
      <c r="A39" s="166" t="s">
        <v>507</v>
      </c>
      <c r="B39" s="197" t="s">
        <v>479</v>
      </c>
      <c r="C39" s="198" t="s">
        <v>751</v>
      </c>
      <c r="D39" s="196">
        <v>0.27006110435799152</v>
      </c>
      <c r="E39" s="85"/>
      <c r="F39" s="166" t="s">
        <v>507</v>
      </c>
      <c r="G39" s="197" t="s">
        <v>773</v>
      </c>
      <c r="H39" s="198" t="s">
        <v>774</v>
      </c>
      <c r="I39" s="196">
        <v>0.50849220634344994</v>
      </c>
      <c r="J39" s="87"/>
      <c r="K39" s="166" t="s">
        <v>897</v>
      </c>
      <c r="L39" s="87"/>
      <c r="M39" s="87"/>
      <c r="N39" s="87"/>
      <c r="O39" s="85"/>
      <c r="P39" s="166" t="s">
        <v>507</v>
      </c>
      <c r="Q39" s="197" t="s">
        <v>759</v>
      </c>
      <c r="R39" s="198" t="s">
        <v>760</v>
      </c>
      <c r="S39" s="196">
        <v>0.13248867642818737</v>
      </c>
      <c r="T39" s="87"/>
      <c r="U39" s="166" t="s">
        <v>897</v>
      </c>
      <c r="V39" s="87" t="s">
        <v>897</v>
      </c>
      <c r="W39" s="87"/>
      <c r="X39" s="87"/>
      <c r="Y39" s="166" t="s">
        <v>507</v>
      </c>
      <c r="Z39" s="87" t="s">
        <v>832</v>
      </c>
      <c r="AA39" s="196">
        <v>1.8346542318365567E-2</v>
      </c>
    </row>
    <row r="40" spans="1:27" ht="16.5" customHeight="1" x14ac:dyDescent="0.6">
      <c r="A40" s="166" t="s">
        <v>508</v>
      </c>
      <c r="B40" s="197" t="s">
        <v>812</v>
      </c>
      <c r="C40" s="198" t="s">
        <v>813</v>
      </c>
      <c r="D40" s="199">
        <v>0.23880324761248675</v>
      </c>
      <c r="E40" s="85"/>
      <c r="F40" s="166" t="s">
        <v>508</v>
      </c>
      <c r="G40" s="197" t="s">
        <v>729</v>
      </c>
      <c r="H40" s="198" t="s">
        <v>730</v>
      </c>
      <c r="I40" s="199">
        <v>0.50239607651444429</v>
      </c>
      <c r="J40" s="87"/>
      <c r="K40" s="166" t="s">
        <v>897</v>
      </c>
      <c r="L40" s="87"/>
      <c r="M40" s="87"/>
      <c r="N40" s="87"/>
      <c r="O40" s="85"/>
      <c r="P40" s="166" t="s">
        <v>508</v>
      </c>
      <c r="Q40" s="200" t="s">
        <v>844</v>
      </c>
      <c r="R40" s="201" t="s">
        <v>845</v>
      </c>
      <c r="S40" s="199">
        <v>0.11062376297050996</v>
      </c>
      <c r="T40" s="87"/>
      <c r="U40" s="166" t="s">
        <v>897</v>
      </c>
      <c r="V40" s="87" t="s">
        <v>897</v>
      </c>
      <c r="W40" s="87"/>
      <c r="X40" s="87"/>
      <c r="Y40" s="166" t="s">
        <v>508</v>
      </c>
      <c r="Z40" s="87" t="s">
        <v>846</v>
      </c>
      <c r="AA40" s="199">
        <v>1.6588177745893412E-2</v>
      </c>
    </row>
    <row r="41" spans="1:27" ht="16.5" customHeight="1" x14ac:dyDescent="0.6">
      <c r="A41" s="166" t="s">
        <v>509</v>
      </c>
      <c r="B41" s="197" t="s">
        <v>482</v>
      </c>
      <c r="C41" s="198" t="s">
        <v>731</v>
      </c>
      <c r="D41" s="196">
        <v>0.18553193995727496</v>
      </c>
      <c r="E41" s="85"/>
      <c r="F41" s="166" t="s">
        <v>509</v>
      </c>
      <c r="G41" s="197" t="s">
        <v>471</v>
      </c>
      <c r="H41" s="198" t="s">
        <v>726</v>
      </c>
      <c r="I41" s="196">
        <v>0.44111731993015413</v>
      </c>
      <c r="J41" s="87"/>
      <c r="K41" s="166" t="s">
        <v>897</v>
      </c>
      <c r="L41" s="87"/>
      <c r="M41" s="87"/>
      <c r="N41" s="87"/>
      <c r="O41" s="85"/>
      <c r="P41" s="166" t="s">
        <v>897</v>
      </c>
      <c r="Q41" s="87"/>
      <c r="R41" s="87"/>
      <c r="S41" s="87"/>
      <c r="T41" s="87"/>
      <c r="U41" s="166" t="s">
        <v>897</v>
      </c>
      <c r="V41" s="87" t="s">
        <v>897</v>
      </c>
      <c r="W41" s="87"/>
      <c r="X41" s="87"/>
      <c r="Y41" s="166" t="s">
        <v>509</v>
      </c>
      <c r="Z41" s="87" t="s">
        <v>839</v>
      </c>
      <c r="AA41" s="196">
        <v>1.6189332596475516E-2</v>
      </c>
    </row>
    <row r="42" spans="1:27" ht="16.5" customHeight="1" x14ac:dyDescent="0.6">
      <c r="A42" s="166" t="s">
        <v>510</v>
      </c>
      <c r="B42" s="197" t="s">
        <v>494</v>
      </c>
      <c r="C42" s="198" t="s">
        <v>768</v>
      </c>
      <c r="D42" s="199">
        <v>0.16592905186077159</v>
      </c>
      <c r="E42" s="85"/>
      <c r="F42" s="166" t="s">
        <v>510</v>
      </c>
      <c r="G42" s="197" t="s">
        <v>769</v>
      </c>
      <c r="H42" s="198" t="s">
        <v>770</v>
      </c>
      <c r="I42" s="199">
        <v>0.43232492513795889</v>
      </c>
      <c r="J42" s="87"/>
      <c r="K42" s="166" t="s">
        <v>897</v>
      </c>
      <c r="L42" s="87"/>
      <c r="M42" s="87"/>
      <c r="N42" s="87"/>
      <c r="O42" s="85"/>
      <c r="P42" s="166" t="s">
        <v>897</v>
      </c>
      <c r="Q42" s="87"/>
      <c r="R42" s="87"/>
      <c r="S42" s="87"/>
      <c r="T42" s="87"/>
      <c r="U42" s="166" t="s">
        <v>897</v>
      </c>
      <c r="V42" s="87" t="s">
        <v>897</v>
      </c>
      <c r="W42" s="87"/>
      <c r="X42" s="87"/>
      <c r="Y42" s="166" t="s">
        <v>510</v>
      </c>
      <c r="Z42" s="87" t="s">
        <v>536</v>
      </c>
      <c r="AA42" s="199">
        <v>1.5579717886761291E-2</v>
      </c>
    </row>
    <row r="43" spans="1:27" ht="16.5" customHeight="1" x14ac:dyDescent="0.6">
      <c r="A43" s="166" t="s">
        <v>511</v>
      </c>
      <c r="B43" s="197" t="s">
        <v>912</v>
      </c>
      <c r="C43" s="198" t="s">
        <v>913</v>
      </c>
      <c r="D43" s="196">
        <v>0.16054937331897462</v>
      </c>
      <c r="E43" s="85"/>
      <c r="F43" s="166" t="s">
        <v>511</v>
      </c>
      <c r="G43" s="197" t="s">
        <v>849</v>
      </c>
      <c r="H43" s="198" t="s">
        <v>850</v>
      </c>
      <c r="I43" s="196">
        <v>0.35846215115698821</v>
      </c>
      <c r="J43" s="87"/>
      <c r="K43" s="166" t="s">
        <v>897</v>
      </c>
      <c r="L43" s="87"/>
      <c r="M43" s="87"/>
      <c r="N43" s="87"/>
      <c r="O43" s="85"/>
      <c r="P43" s="166" t="s">
        <v>897</v>
      </c>
      <c r="Q43" s="87"/>
      <c r="R43" s="87"/>
      <c r="S43" s="87"/>
      <c r="T43" s="87"/>
      <c r="U43" s="166" t="s">
        <v>897</v>
      </c>
      <c r="V43" s="87" t="s">
        <v>897</v>
      </c>
      <c r="W43" s="87"/>
      <c r="X43" s="87"/>
      <c r="Y43" s="166" t="s">
        <v>511</v>
      </c>
      <c r="Z43" s="87" t="s">
        <v>851</v>
      </c>
      <c r="AA43" s="196">
        <v>1.0931078140225583E-2</v>
      </c>
    </row>
    <row r="44" spans="1:27" ht="16.5" customHeight="1" x14ac:dyDescent="0.6">
      <c r="A44" s="166" t="s">
        <v>512</v>
      </c>
      <c r="B44" s="197" t="s">
        <v>781</v>
      </c>
      <c r="C44" s="198" t="s">
        <v>782</v>
      </c>
      <c r="D44" s="199">
        <v>0.15668325547801629</v>
      </c>
      <c r="E44" s="85"/>
      <c r="F44" s="166" t="s">
        <v>512</v>
      </c>
      <c r="G44" s="197" t="s">
        <v>864</v>
      </c>
      <c r="H44" s="198" t="s">
        <v>865</v>
      </c>
      <c r="I44" s="199">
        <v>0.30143118082846515</v>
      </c>
      <c r="J44" s="87"/>
      <c r="K44" s="166" t="s">
        <v>897</v>
      </c>
      <c r="L44" s="87"/>
      <c r="M44" s="87"/>
      <c r="N44" s="87"/>
      <c r="O44" s="85"/>
      <c r="P44" s="166" t="s">
        <v>897</v>
      </c>
      <c r="Q44" s="87"/>
      <c r="R44" s="87"/>
      <c r="S44" s="87"/>
      <c r="T44" s="87"/>
      <c r="U44" s="166" t="s">
        <v>897</v>
      </c>
      <c r="V44" s="87" t="s">
        <v>897</v>
      </c>
      <c r="W44" s="87"/>
      <c r="X44" s="87"/>
      <c r="Y44" s="166" t="s">
        <v>512</v>
      </c>
      <c r="Z44" s="87" t="s">
        <v>914</v>
      </c>
      <c r="AA44" s="199">
        <v>1.0095081310193078E-2</v>
      </c>
    </row>
    <row r="45" spans="1:27" ht="16.5" customHeight="1" x14ac:dyDescent="0.6">
      <c r="A45" s="166" t="s">
        <v>513</v>
      </c>
      <c r="B45" s="197" t="s">
        <v>904</v>
      </c>
      <c r="C45" s="198" t="s">
        <v>905</v>
      </c>
      <c r="D45" s="196">
        <v>0.14448791034885522</v>
      </c>
      <c r="E45" s="85"/>
      <c r="F45" s="166" t="s">
        <v>513</v>
      </c>
      <c r="G45" s="197" t="s">
        <v>906</v>
      </c>
      <c r="H45" s="198" t="s">
        <v>907</v>
      </c>
      <c r="I45" s="196">
        <v>0.2988301451905655</v>
      </c>
      <c r="J45" s="87"/>
      <c r="K45" s="166" t="s">
        <v>897</v>
      </c>
      <c r="L45" s="87"/>
      <c r="M45" s="87"/>
      <c r="N45" s="87"/>
      <c r="O45" s="85"/>
      <c r="P45" s="166" t="s">
        <v>897</v>
      </c>
      <c r="Q45" s="87"/>
      <c r="R45" s="87"/>
      <c r="S45" s="87"/>
      <c r="T45" s="87"/>
      <c r="U45" s="166" t="s">
        <v>897</v>
      </c>
      <c r="V45" s="87" t="s">
        <v>897</v>
      </c>
      <c r="W45" s="87"/>
      <c r="X45" s="87"/>
      <c r="Y45" s="166" t="s">
        <v>897</v>
      </c>
      <c r="Z45" s="87" t="s">
        <v>897</v>
      </c>
      <c r="AA45" s="87"/>
    </row>
    <row r="46" spans="1:27" ht="16.5" customHeight="1" x14ac:dyDescent="0.6">
      <c r="A46" s="166" t="s">
        <v>514</v>
      </c>
      <c r="B46" s="197" t="s">
        <v>788</v>
      </c>
      <c r="C46" s="198" t="s">
        <v>789</v>
      </c>
      <c r="D46" s="199">
        <v>0.11765795241513548</v>
      </c>
      <c r="E46" s="85"/>
      <c r="F46" s="166" t="s">
        <v>514</v>
      </c>
      <c r="G46" s="197" t="s">
        <v>816</v>
      </c>
      <c r="H46" s="198" t="s">
        <v>817</v>
      </c>
      <c r="I46" s="199">
        <v>0.29636397830908973</v>
      </c>
      <c r="J46" s="87"/>
      <c r="K46" s="166" t="s">
        <v>897</v>
      </c>
      <c r="L46" s="87"/>
      <c r="M46" s="87"/>
      <c r="N46" s="87"/>
      <c r="O46" s="85"/>
      <c r="P46" s="166" t="s">
        <v>897</v>
      </c>
      <c r="Q46" s="87"/>
      <c r="R46" s="87"/>
      <c r="S46" s="87"/>
      <c r="T46" s="87"/>
      <c r="U46" s="166" t="s">
        <v>897</v>
      </c>
      <c r="V46" s="87" t="s">
        <v>897</v>
      </c>
      <c r="W46" s="87"/>
      <c r="X46" s="87"/>
      <c r="Y46" s="166" t="s">
        <v>897</v>
      </c>
      <c r="Z46" s="87" t="s">
        <v>897</v>
      </c>
      <c r="AA46" s="87"/>
    </row>
    <row r="47" spans="1:27" ht="16.5" customHeight="1" x14ac:dyDescent="0.6">
      <c r="A47" s="166" t="s">
        <v>515</v>
      </c>
      <c r="B47" s="200" t="s">
        <v>757</v>
      </c>
      <c r="C47" s="201" t="s">
        <v>758</v>
      </c>
      <c r="D47" s="196">
        <v>0.10823749340204092</v>
      </c>
      <c r="E47" s="85"/>
      <c r="F47" s="166" t="s">
        <v>515</v>
      </c>
      <c r="G47" s="197" t="s">
        <v>814</v>
      </c>
      <c r="H47" s="198" t="s">
        <v>815</v>
      </c>
      <c r="I47" s="196">
        <v>0.28177802270650676</v>
      </c>
      <c r="J47" s="87"/>
      <c r="K47" s="166" t="s">
        <v>897</v>
      </c>
      <c r="L47" s="87"/>
      <c r="M47" s="87"/>
      <c r="N47" s="87"/>
      <c r="O47" s="85"/>
      <c r="P47" s="166" t="s">
        <v>897</v>
      </c>
      <c r="Q47" s="87"/>
      <c r="R47" s="87"/>
      <c r="S47" s="87"/>
      <c r="T47" s="87"/>
      <c r="U47" s="166" t="s">
        <v>897</v>
      </c>
      <c r="V47" s="87" t="s">
        <v>897</v>
      </c>
      <c r="W47" s="87"/>
      <c r="X47" s="87"/>
      <c r="Y47" s="166" t="s">
        <v>897</v>
      </c>
      <c r="Z47" s="87" t="s">
        <v>897</v>
      </c>
      <c r="AA47" s="87"/>
    </row>
    <row r="48" spans="1:27" ht="16.5" customHeight="1" x14ac:dyDescent="0.6">
      <c r="A48" s="166" t="s">
        <v>897</v>
      </c>
      <c r="B48" s="87"/>
      <c r="C48" s="87"/>
      <c r="D48" s="87"/>
      <c r="E48" s="85"/>
      <c r="F48" s="166" t="s">
        <v>516</v>
      </c>
      <c r="G48" s="197" t="s">
        <v>868</v>
      </c>
      <c r="H48" s="198" t="s">
        <v>869</v>
      </c>
      <c r="I48" s="199">
        <v>0.28011778684559296</v>
      </c>
      <c r="J48" s="87"/>
      <c r="K48" s="166" t="s">
        <v>897</v>
      </c>
      <c r="L48" s="87"/>
      <c r="M48" s="87"/>
      <c r="N48" s="87"/>
      <c r="O48" s="85"/>
      <c r="P48" s="166" t="s">
        <v>897</v>
      </c>
      <c r="Q48" s="87"/>
      <c r="R48" s="87"/>
      <c r="S48" s="87"/>
      <c r="T48" s="87"/>
      <c r="U48" s="166" t="s">
        <v>897</v>
      </c>
      <c r="V48" s="87" t="s">
        <v>897</v>
      </c>
      <c r="W48" s="87"/>
      <c r="X48" s="87"/>
      <c r="Y48" s="166" t="s">
        <v>897</v>
      </c>
      <c r="Z48" s="87" t="s">
        <v>897</v>
      </c>
      <c r="AA48" s="87"/>
    </row>
    <row r="49" spans="1:27" ht="16.5" customHeight="1" x14ac:dyDescent="0.6">
      <c r="A49" s="166" t="s">
        <v>897</v>
      </c>
      <c r="B49" s="87"/>
      <c r="C49" s="87"/>
      <c r="D49" s="87"/>
      <c r="E49" s="85"/>
      <c r="F49" s="166" t="s">
        <v>517</v>
      </c>
      <c r="G49" s="197" t="s">
        <v>857</v>
      </c>
      <c r="H49" s="198" t="s">
        <v>858</v>
      </c>
      <c r="I49" s="196">
        <v>0.26701186115628961</v>
      </c>
      <c r="J49" s="87"/>
      <c r="K49" s="166" t="s">
        <v>897</v>
      </c>
      <c r="L49" s="87"/>
      <c r="M49" s="87"/>
      <c r="N49" s="87"/>
      <c r="O49" s="85"/>
      <c r="P49" s="166" t="s">
        <v>897</v>
      </c>
      <c r="Q49" s="87"/>
      <c r="R49" s="87"/>
      <c r="S49" s="87"/>
      <c r="T49" s="87"/>
      <c r="U49" s="166" t="s">
        <v>897</v>
      </c>
      <c r="V49" s="87" t="s">
        <v>897</v>
      </c>
      <c r="W49" s="87"/>
      <c r="X49" s="87"/>
      <c r="Y49" s="166" t="s">
        <v>897</v>
      </c>
      <c r="Z49" s="87" t="s">
        <v>897</v>
      </c>
      <c r="AA49" s="87"/>
    </row>
    <row r="50" spans="1:27" ht="16.5" customHeight="1" x14ac:dyDescent="0.6">
      <c r="A50" s="166" t="s">
        <v>897</v>
      </c>
      <c r="B50" s="87"/>
      <c r="C50" s="87"/>
      <c r="D50" s="87"/>
      <c r="E50" s="85"/>
      <c r="F50" s="166" t="s">
        <v>518</v>
      </c>
      <c r="G50" s="197" t="s">
        <v>908</v>
      </c>
      <c r="H50" s="198" t="s">
        <v>909</v>
      </c>
      <c r="I50" s="199">
        <v>0.25904338859269155</v>
      </c>
      <c r="J50" s="87"/>
      <c r="K50" s="166" t="s">
        <v>897</v>
      </c>
      <c r="L50" s="87"/>
      <c r="M50" s="87"/>
      <c r="N50" s="87"/>
      <c r="O50" s="87"/>
      <c r="P50" s="166" t="s">
        <v>897</v>
      </c>
      <c r="Q50" s="87"/>
      <c r="R50" s="87"/>
      <c r="S50" s="87"/>
      <c r="T50" s="87"/>
      <c r="U50" s="166" t="s">
        <v>897</v>
      </c>
      <c r="V50" s="87" t="s">
        <v>897</v>
      </c>
      <c r="W50" s="87"/>
      <c r="X50" s="87"/>
      <c r="Y50" s="166" t="s">
        <v>897</v>
      </c>
      <c r="Z50" s="87" t="s">
        <v>897</v>
      </c>
      <c r="AA50" s="87"/>
    </row>
    <row r="51" spans="1:27" ht="16.5" customHeight="1" x14ac:dyDescent="0.6">
      <c r="A51" s="166" t="s">
        <v>897</v>
      </c>
      <c r="B51" s="87"/>
      <c r="C51" s="87"/>
      <c r="D51" s="87"/>
      <c r="E51" s="85"/>
      <c r="F51" s="166" t="s">
        <v>519</v>
      </c>
      <c r="G51" s="197" t="s">
        <v>747</v>
      </c>
      <c r="H51" s="198" t="s">
        <v>748</v>
      </c>
      <c r="I51" s="196">
        <v>0.23412070032778187</v>
      </c>
      <c r="J51" s="87"/>
      <c r="K51" s="166" t="s">
        <v>897</v>
      </c>
      <c r="L51" s="87"/>
      <c r="M51" s="87"/>
      <c r="N51" s="87"/>
      <c r="O51" s="87"/>
      <c r="P51" s="166" t="s">
        <v>897</v>
      </c>
      <c r="Q51" s="87"/>
      <c r="R51" s="87"/>
      <c r="S51" s="87"/>
      <c r="T51" s="87"/>
      <c r="U51" s="166" t="s">
        <v>897</v>
      </c>
      <c r="V51" s="87" t="s">
        <v>897</v>
      </c>
      <c r="W51" s="87"/>
      <c r="X51" s="87"/>
      <c r="Y51" s="166" t="s">
        <v>897</v>
      </c>
      <c r="Z51" s="87" t="s">
        <v>897</v>
      </c>
      <c r="AA51" s="87"/>
    </row>
    <row r="52" spans="1:27" ht="16.5" customHeight="1" x14ac:dyDescent="0.6">
      <c r="A52" s="166" t="s">
        <v>897</v>
      </c>
      <c r="B52" s="87"/>
      <c r="C52" s="87"/>
      <c r="D52" s="87"/>
      <c r="E52" s="85"/>
      <c r="F52" s="166" t="s">
        <v>863</v>
      </c>
      <c r="G52" s="197" t="s">
        <v>795</v>
      </c>
      <c r="H52" s="198" t="s">
        <v>796</v>
      </c>
      <c r="I52" s="199">
        <v>0.23358484966522974</v>
      </c>
      <c r="J52" s="87"/>
      <c r="K52" s="166" t="s">
        <v>897</v>
      </c>
      <c r="L52" s="87"/>
      <c r="M52" s="87"/>
      <c r="N52" s="87"/>
      <c r="O52" s="87"/>
      <c r="P52" s="166" t="s">
        <v>897</v>
      </c>
      <c r="Q52" s="87"/>
      <c r="R52" s="87"/>
      <c r="S52" s="87"/>
      <c r="T52" s="87"/>
      <c r="U52" s="166" t="s">
        <v>897</v>
      </c>
      <c r="V52" s="87" t="s">
        <v>897</v>
      </c>
      <c r="W52" s="87"/>
      <c r="X52" s="87"/>
      <c r="Y52" s="166" t="s">
        <v>897</v>
      </c>
      <c r="Z52" s="87" t="s">
        <v>897</v>
      </c>
      <c r="AA52" s="87"/>
    </row>
    <row r="53" spans="1:27" ht="16.5" customHeight="1" x14ac:dyDescent="0.6">
      <c r="A53" s="166" t="s">
        <v>897</v>
      </c>
      <c r="B53" s="87"/>
      <c r="C53" s="87"/>
      <c r="D53" s="87"/>
      <c r="E53" s="85"/>
      <c r="F53" s="166" t="s">
        <v>866</v>
      </c>
      <c r="G53" s="197" t="s">
        <v>878</v>
      </c>
      <c r="H53" s="198" t="s">
        <v>879</v>
      </c>
      <c r="I53" s="196">
        <v>0.17038890293394005</v>
      </c>
      <c r="J53" s="87"/>
      <c r="K53" s="166" t="s">
        <v>897</v>
      </c>
      <c r="L53" s="87"/>
      <c r="M53" s="87"/>
      <c r="N53" s="87"/>
      <c r="O53" s="87"/>
      <c r="P53" s="166" t="s">
        <v>897</v>
      </c>
      <c r="Q53" s="87"/>
      <c r="R53" s="87"/>
      <c r="S53" s="87"/>
      <c r="T53" s="87"/>
      <c r="U53" s="166" t="s">
        <v>897</v>
      </c>
      <c r="V53" s="87" t="s">
        <v>897</v>
      </c>
      <c r="W53" s="87"/>
      <c r="X53" s="87"/>
      <c r="Y53" s="166" t="s">
        <v>897</v>
      </c>
      <c r="Z53" s="87" t="s">
        <v>897</v>
      </c>
      <c r="AA53" s="87"/>
    </row>
    <row r="54" spans="1:27" ht="16.5" customHeight="1" x14ac:dyDescent="0.6">
      <c r="A54" s="166" t="s">
        <v>897</v>
      </c>
      <c r="B54" s="87"/>
      <c r="C54" s="87"/>
      <c r="D54" s="87"/>
      <c r="E54" s="85"/>
      <c r="F54" s="166" t="s">
        <v>867</v>
      </c>
      <c r="G54" s="197" t="s">
        <v>837</v>
      </c>
      <c r="H54" s="198" t="s">
        <v>838</v>
      </c>
      <c r="I54" s="199">
        <v>0.14459238398039348</v>
      </c>
      <c r="J54" s="87"/>
      <c r="K54" s="166" t="s">
        <v>897</v>
      </c>
      <c r="L54" s="87"/>
      <c r="M54" s="87"/>
      <c r="N54" s="87"/>
      <c r="O54" s="87"/>
      <c r="P54" s="166" t="s">
        <v>897</v>
      </c>
      <c r="Q54" s="87"/>
      <c r="R54" s="87"/>
      <c r="S54" s="87"/>
      <c r="T54" s="87"/>
      <c r="U54" s="166" t="s">
        <v>897</v>
      </c>
      <c r="V54" s="87" t="s">
        <v>897</v>
      </c>
      <c r="W54" s="87"/>
      <c r="X54" s="87"/>
      <c r="Y54" s="166" t="s">
        <v>897</v>
      </c>
      <c r="Z54" s="87" t="s">
        <v>897</v>
      </c>
      <c r="AA54" s="87"/>
    </row>
    <row r="55" spans="1:27" ht="16.5" customHeight="1" x14ac:dyDescent="0.6">
      <c r="A55" s="166" t="s">
        <v>897</v>
      </c>
      <c r="B55" s="87"/>
      <c r="C55" s="87"/>
      <c r="D55" s="87"/>
      <c r="E55" s="85"/>
      <c r="F55" s="166" t="s">
        <v>870</v>
      </c>
      <c r="G55" s="197" t="s">
        <v>803</v>
      </c>
      <c r="H55" s="198" t="s">
        <v>804</v>
      </c>
      <c r="I55" s="196">
        <v>0.142885047724578</v>
      </c>
      <c r="J55" s="87"/>
      <c r="K55" s="166" t="s">
        <v>897</v>
      </c>
      <c r="L55" s="87"/>
      <c r="M55" s="87"/>
      <c r="N55" s="87"/>
      <c r="O55" s="87"/>
      <c r="P55" s="166" t="s">
        <v>897</v>
      </c>
      <c r="Q55" s="87"/>
      <c r="R55" s="87"/>
      <c r="S55" s="87"/>
      <c r="T55" s="87"/>
      <c r="U55" s="166" t="s">
        <v>897</v>
      </c>
      <c r="V55" s="87" t="s">
        <v>897</v>
      </c>
      <c r="W55" s="87"/>
      <c r="X55" s="87"/>
      <c r="Y55" s="166" t="s">
        <v>897</v>
      </c>
      <c r="Z55" s="87" t="s">
        <v>897</v>
      </c>
      <c r="AA55" s="87"/>
    </row>
    <row r="56" spans="1:27" ht="16.5" customHeight="1" x14ac:dyDescent="0.6">
      <c r="A56" s="166" t="s">
        <v>897</v>
      </c>
      <c r="B56" s="87"/>
      <c r="C56" s="87"/>
      <c r="D56" s="87"/>
      <c r="E56" s="85"/>
      <c r="F56" s="166" t="s">
        <v>871</v>
      </c>
      <c r="G56" s="197" t="s">
        <v>852</v>
      </c>
      <c r="H56" s="198" t="s">
        <v>853</v>
      </c>
      <c r="I56" s="199">
        <v>0.13822361061764152</v>
      </c>
      <c r="J56" s="87"/>
      <c r="K56" s="166" t="s">
        <v>897</v>
      </c>
      <c r="L56" s="87"/>
      <c r="M56" s="87"/>
      <c r="N56" s="87"/>
      <c r="O56" s="87"/>
      <c r="P56" s="166" t="s">
        <v>897</v>
      </c>
      <c r="Q56" s="87"/>
      <c r="R56" s="87"/>
      <c r="S56" s="87"/>
      <c r="T56" s="87"/>
      <c r="U56" s="166" t="s">
        <v>897</v>
      </c>
      <c r="V56" s="87" t="s">
        <v>897</v>
      </c>
      <c r="W56" s="87"/>
      <c r="X56" s="87"/>
      <c r="Y56" s="166" t="s">
        <v>897</v>
      </c>
      <c r="Z56" s="87" t="s">
        <v>897</v>
      </c>
      <c r="AA56" s="87"/>
    </row>
    <row r="57" spans="1:27" ht="16.5" customHeight="1" x14ac:dyDescent="0.6">
      <c r="A57" s="166" t="s">
        <v>897</v>
      </c>
      <c r="B57" s="87"/>
      <c r="C57" s="87"/>
      <c r="D57" s="87"/>
      <c r="E57" s="85"/>
      <c r="F57" s="166" t="s">
        <v>874</v>
      </c>
      <c r="G57" s="197" t="s">
        <v>777</v>
      </c>
      <c r="H57" s="198" t="s">
        <v>778</v>
      </c>
      <c r="I57" s="196">
        <v>0.13283800289834671</v>
      </c>
      <c r="J57" s="87"/>
      <c r="K57" s="166" t="s">
        <v>897</v>
      </c>
      <c r="L57" s="87"/>
      <c r="M57" s="87"/>
      <c r="N57" s="87"/>
      <c r="O57" s="87"/>
      <c r="P57" s="166" t="s">
        <v>897</v>
      </c>
      <c r="Q57" s="87"/>
      <c r="R57" s="87"/>
      <c r="S57" s="87"/>
      <c r="T57" s="87"/>
      <c r="U57" s="166" t="s">
        <v>897</v>
      </c>
      <c r="V57" s="87" t="s">
        <v>897</v>
      </c>
      <c r="W57" s="87"/>
      <c r="X57" s="87"/>
      <c r="Y57" s="166" t="s">
        <v>897</v>
      </c>
      <c r="Z57" s="87" t="s">
        <v>897</v>
      </c>
      <c r="AA57" s="87"/>
    </row>
    <row r="58" spans="1:27" ht="16.5" customHeight="1" x14ac:dyDescent="0.6">
      <c r="A58" s="166" t="s">
        <v>897</v>
      </c>
      <c r="B58" s="87"/>
      <c r="C58" s="87"/>
      <c r="D58" s="87"/>
      <c r="E58" s="85"/>
      <c r="F58" s="166" t="s">
        <v>877</v>
      </c>
      <c r="G58" s="197" t="s">
        <v>887</v>
      </c>
      <c r="H58" s="198" t="s">
        <v>888</v>
      </c>
      <c r="I58" s="199">
        <v>0.12964567363737986</v>
      </c>
      <c r="J58" s="87"/>
      <c r="K58" s="166" t="s">
        <v>897</v>
      </c>
      <c r="L58" s="87"/>
      <c r="M58" s="87"/>
      <c r="N58" s="87"/>
      <c r="O58" s="87"/>
      <c r="P58" s="166" t="s">
        <v>897</v>
      </c>
      <c r="Q58" s="87"/>
      <c r="R58" s="87"/>
      <c r="S58" s="87"/>
      <c r="T58" s="87"/>
      <c r="U58" s="166" t="s">
        <v>897</v>
      </c>
      <c r="V58" s="87" t="s">
        <v>897</v>
      </c>
      <c r="W58" s="87"/>
      <c r="X58" s="87"/>
      <c r="Y58" s="166" t="s">
        <v>897</v>
      </c>
      <c r="Z58" s="87" t="s">
        <v>897</v>
      </c>
      <c r="AA58" s="87"/>
    </row>
    <row r="59" spans="1:27" ht="16.5" customHeight="1" x14ac:dyDescent="0.6">
      <c r="A59" s="166" t="s">
        <v>897</v>
      </c>
      <c r="B59" s="87"/>
      <c r="C59" s="87"/>
      <c r="D59" s="87"/>
      <c r="E59" s="85"/>
      <c r="F59" s="166" t="s">
        <v>880</v>
      </c>
      <c r="G59" s="197" t="s">
        <v>890</v>
      </c>
      <c r="H59" s="198" t="s">
        <v>891</v>
      </c>
      <c r="I59" s="196">
        <v>0.12842909574230768</v>
      </c>
      <c r="J59" s="87"/>
      <c r="K59" s="166" t="s">
        <v>897</v>
      </c>
      <c r="L59" s="87"/>
      <c r="M59" s="87"/>
      <c r="N59" s="87"/>
      <c r="O59" s="87"/>
      <c r="P59" s="166" t="s">
        <v>897</v>
      </c>
      <c r="Q59" s="87"/>
      <c r="R59" s="87"/>
      <c r="S59" s="87"/>
      <c r="T59" s="87"/>
      <c r="U59" s="166" t="s">
        <v>897</v>
      </c>
      <c r="V59" s="87" t="s">
        <v>897</v>
      </c>
      <c r="W59" s="87"/>
      <c r="X59" s="87"/>
      <c r="Y59" s="166" t="s">
        <v>897</v>
      </c>
      <c r="Z59" s="87" t="s">
        <v>897</v>
      </c>
      <c r="AA59" s="87"/>
    </row>
    <row r="60" spans="1:27" ht="16.5" customHeight="1" x14ac:dyDescent="0.6">
      <c r="A60" s="166" t="s">
        <v>897</v>
      </c>
      <c r="B60" s="87"/>
      <c r="C60" s="87"/>
      <c r="D60" s="87"/>
      <c r="E60" s="85"/>
      <c r="F60" s="166" t="s">
        <v>883</v>
      </c>
      <c r="G60" s="200" t="s">
        <v>861</v>
      </c>
      <c r="H60" s="201" t="s">
        <v>862</v>
      </c>
      <c r="I60" s="199">
        <v>0.10444387675852249</v>
      </c>
      <c r="J60" s="87"/>
      <c r="K60" s="166" t="s">
        <v>897</v>
      </c>
      <c r="L60" s="87"/>
      <c r="M60" s="87"/>
      <c r="N60" s="87"/>
      <c r="O60" s="87"/>
      <c r="P60" s="166" t="s">
        <v>897</v>
      </c>
      <c r="Q60" s="87"/>
      <c r="R60" s="87"/>
      <c r="S60" s="87"/>
      <c r="T60" s="87"/>
      <c r="U60" s="166" t="s">
        <v>897</v>
      </c>
      <c r="V60" s="87" t="s">
        <v>897</v>
      </c>
      <c r="W60" s="87"/>
      <c r="X60" s="87"/>
      <c r="Y60" s="166" t="s">
        <v>897</v>
      </c>
      <c r="Z60" s="87" t="s">
        <v>897</v>
      </c>
      <c r="AA60" s="87"/>
    </row>
    <row r="61" spans="1:27" ht="16.5" customHeight="1" x14ac:dyDescent="0.6">
      <c r="A61" s="166" t="s">
        <v>897</v>
      </c>
      <c r="B61" s="87"/>
      <c r="C61" s="87"/>
      <c r="D61" s="87"/>
      <c r="E61" s="85"/>
      <c r="F61" s="166" t="s">
        <v>897</v>
      </c>
      <c r="G61" s="87"/>
      <c r="H61" s="87"/>
      <c r="I61" s="87"/>
      <c r="J61" s="87"/>
      <c r="K61" s="166" t="s">
        <v>897</v>
      </c>
      <c r="L61" s="87"/>
      <c r="M61" s="87"/>
      <c r="N61" s="87"/>
      <c r="O61" s="87"/>
      <c r="P61" s="166" t="s">
        <v>897</v>
      </c>
      <c r="Q61" s="87"/>
      <c r="R61" s="87"/>
      <c r="S61" s="87"/>
      <c r="T61" s="87"/>
      <c r="U61" s="166" t="s">
        <v>897</v>
      </c>
      <c r="V61" s="87" t="s">
        <v>897</v>
      </c>
      <c r="W61" s="87"/>
      <c r="X61" s="87"/>
      <c r="Y61" s="166" t="s">
        <v>897</v>
      </c>
      <c r="Z61" s="87" t="s">
        <v>897</v>
      </c>
      <c r="AA61" s="87"/>
    </row>
    <row r="62" spans="1:27" ht="16.5" customHeight="1" x14ac:dyDescent="0.6">
      <c r="A62" s="166" t="s">
        <v>897</v>
      </c>
      <c r="B62" s="87"/>
      <c r="C62" s="87"/>
      <c r="D62" s="87"/>
      <c r="E62" s="85"/>
      <c r="F62" s="166" t="s">
        <v>897</v>
      </c>
      <c r="G62" s="87"/>
      <c r="H62" s="87"/>
      <c r="I62" s="87"/>
      <c r="J62" s="87"/>
      <c r="K62" s="166" t="s">
        <v>897</v>
      </c>
      <c r="L62" s="87"/>
      <c r="M62" s="87"/>
      <c r="N62" s="87"/>
      <c r="O62" s="87"/>
      <c r="P62" s="166" t="s">
        <v>897</v>
      </c>
      <c r="Q62" s="87"/>
      <c r="R62" s="87"/>
      <c r="S62" s="87"/>
      <c r="T62" s="87"/>
      <c r="U62" s="166" t="s">
        <v>897</v>
      </c>
      <c r="V62" s="87" t="s">
        <v>897</v>
      </c>
      <c r="W62" s="87"/>
      <c r="X62" s="87"/>
      <c r="Y62" s="166" t="s">
        <v>897</v>
      </c>
      <c r="Z62" s="87" t="s">
        <v>897</v>
      </c>
      <c r="AA62" s="87"/>
    </row>
    <row r="63" spans="1:27" ht="16.5" customHeight="1" x14ac:dyDescent="0.6">
      <c r="A63" s="166" t="s">
        <v>897</v>
      </c>
      <c r="B63" s="87"/>
      <c r="C63" s="87"/>
      <c r="D63" s="87"/>
      <c r="E63" s="85"/>
      <c r="F63" s="166" t="s">
        <v>897</v>
      </c>
      <c r="G63" s="87"/>
      <c r="H63" s="87"/>
      <c r="I63" s="87"/>
      <c r="J63" s="87"/>
      <c r="K63" s="166" t="s">
        <v>897</v>
      </c>
      <c r="L63" s="87"/>
      <c r="M63" s="87"/>
      <c r="N63" s="87"/>
      <c r="O63" s="87"/>
      <c r="P63" s="166" t="s">
        <v>897</v>
      </c>
      <c r="Q63" s="87"/>
      <c r="R63" s="87"/>
      <c r="S63" s="87"/>
      <c r="T63" s="87"/>
      <c r="U63" s="166" t="s">
        <v>897</v>
      </c>
      <c r="V63" s="87" t="s">
        <v>897</v>
      </c>
      <c r="W63" s="87"/>
      <c r="X63" s="87"/>
      <c r="Y63" s="166" t="s">
        <v>897</v>
      </c>
      <c r="Z63" s="87" t="s">
        <v>897</v>
      </c>
      <c r="AA63" s="87"/>
    </row>
    <row r="64" spans="1:27" ht="16.5" customHeight="1" x14ac:dyDescent="0.6">
      <c r="A64" s="166" t="s">
        <v>897</v>
      </c>
      <c r="B64" s="87"/>
      <c r="C64" s="87"/>
      <c r="D64" s="87"/>
      <c r="E64" s="85"/>
      <c r="F64" s="166" t="s">
        <v>897</v>
      </c>
      <c r="G64" s="87"/>
      <c r="H64" s="87"/>
      <c r="I64" s="87"/>
      <c r="J64" s="87"/>
      <c r="K64" s="166" t="s">
        <v>897</v>
      </c>
      <c r="L64" s="87"/>
      <c r="M64" s="87"/>
      <c r="N64" s="87"/>
      <c r="O64" s="87"/>
      <c r="P64" s="166" t="s">
        <v>897</v>
      </c>
      <c r="Q64" s="87"/>
      <c r="R64" s="87"/>
      <c r="S64" s="87"/>
      <c r="T64" s="87"/>
      <c r="U64" s="166" t="s">
        <v>897</v>
      </c>
      <c r="V64" s="87" t="s">
        <v>897</v>
      </c>
      <c r="W64" s="87"/>
      <c r="X64" s="87"/>
      <c r="Y64" s="166" t="s">
        <v>897</v>
      </c>
      <c r="Z64" s="87" t="s">
        <v>897</v>
      </c>
      <c r="AA64" s="87"/>
    </row>
    <row r="65" spans="1:27" ht="16.5" customHeight="1" x14ac:dyDescent="0.6">
      <c r="A65" s="166" t="s">
        <v>897</v>
      </c>
      <c r="B65" s="87"/>
      <c r="C65" s="87"/>
      <c r="D65" s="87"/>
      <c r="E65" s="85"/>
      <c r="F65" s="166" t="s">
        <v>897</v>
      </c>
      <c r="G65" s="87"/>
      <c r="H65" s="87"/>
      <c r="I65" s="87"/>
      <c r="J65" s="87"/>
      <c r="K65" s="166" t="s">
        <v>897</v>
      </c>
      <c r="L65" s="87"/>
      <c r="M65" s="87"/>
      <c r="N65" s="87"/>
      <c r="O65" s="87"/>
      <c r="P65" s="166" t="s">
        <v>897</v>
      </c>
      <c r="Q65" s="87"/>
      <c r="R65" s="87"/>
      <c r="S65" s="87"/>
      <c r="T65" s="87"/>
      <c r="U65" s="166" t="s">
        <v>897</v>
      </c>
      <c r="V65" s="87" t="s">
        <v>897</v>
      </c>
      <c r="W65" s="87"/>
      <c r="X65" s="87"/>
      <c r="Y65" s="166" t="s">
        <v>897</v>
      </c>
      <c r="Z65" s="87" t="s">
        <v>897</v>
      </c>
      <c r="AA65" s="87"/>
    </row>
    <row r="66" spans="1:27" ht="16.5" customHeight="1" x14ac:dyDescent="0.6">
      <c r="A66" s="166" t="s">
        <v>897</v>
      </c>
      <c r="B66" s="87"/>
      <c r="C66" s="87"/>
      <c r="D66" s="87"/>
      <c r="E66" s="85"/>
      <c r="F66" s="166" t="s">
        <v>897</v>
      </c>
      <c r="G66" s="87"/>
      <c r="H66" s="87"/>
      <c r="I66" s="87"/>
      <c r="J66" s="87"/>
      <c r="K66" s="166" t="s">
        <v>897</v>
      </c>
      <c r="L66" s="87"/>
      <c r="M66" s="87"/>
      <c r="N66" s="87"/>
      <c r="O66" s="87"/>
      <c r="P66" s="166" t="s">
        <v>897</v>
      </c>
      <c r="Q66" s="87"/>
      <c r="R66" s="87"/>
      <c r="S66" s="87"/>
      <c r="T66" s="87"/>
      <c r="U66" s="166" t="s">
        <v>897</v>
      </c>
      <c r="V66" s="87" t="s">
        <v>897</v>
      </c>
      <c r="W66" s="87"/>
      <c r="X66" s="87"/>
      <c r="Y66" s="166" t="s">
        <v>897</v>
      </c>
      <c r="Z66" s="87" t="s">
        <v>897</v>
      </c>
      <c r="AA66" s="87"/>
    </row>
    <row r="67" spans="1:27" ht="16.5" customHeight="1" x14ac:dyDescent="0.6">
      <c r="A67" s="166" t="s">
        <v>897</v>
      </c>
      <c r="B67" s="87"/>
      <c r="C67" s="87"/>
      <c r="D67" s="87"/>
      <c r="E67" s="85"/>
      <c r="F67" s="166" t="s">
        <v>897</v>
      </c>
      <c r="G67" s="87"/>
      <c r="H67" s="87"/>
      <c r="I67" s="87"/>
      <c r="J67" s="87"/>
      <c r="K67" s="166" t="s">
        <v>897</v>
      </c>
      <c r="L67" s="87"/>
      <c r="M67" s="87"/>
      <c r="N67" s="87"/>
      <c r="O67" s="87"/>
      <c r="P67" s="166" t="s">
        <v>897</v>
      </c>
      <c r="Q67" s="87"/>
      <c r="R67" s="87"/>
      <c r="S67" s="87"/>
      <c r="T67" s="87"/>
      <c r="U67" s="166" t="s">
        <v>897</v>
      </c>
      <c r="V67" s="87" t="s">
        <v>897</v>
      </c>
      <c r="W67" s="87"/>
      <c r="X67" s="87"/>
      <c r="Y67" s="166" t="s">
        <v>897</v>
      </c>
      <c r="Z67" s="87" t="s">
        <v>897</v>
      </c>
      <c r="AA67" s="87"/>
    </row>
    <row r="68" spans="1:27" ht="16.5" customHeight="1" x14ac:dyDescent="0.6">
      <c r="A68" s="166" t="s">
        <v>897</v>
      </c>
      <c r="B68" s="87"/>
      <c r="C68" s="87"/>
      <c r="D68" s="87"/>
      <c r="E68" s="85"/>
      <c r="F68" s="166" t="s">
        <v>897</v>
      </c>
      <c r="G68" s="87"/>
      <c r="H68" s="87"/>
      <c r="I68" s="87"/>
      <c r="J68" s="87"/>
      <c r="K68" s="166" t="s">
        <v>897</v>
      </c>
      <c r="L68" s="87"/>
      <c r="M68" s="87"/>
      <c r="N68" s="87"/>
      <c r="O68" s="87"/>
      <c r="P68" s="166" t="s">
        <v>897</v>
      </c>
      <c r="Q68" s="87"/>
      <c r="R68" s="87"/>
      <c r="S68" s="87"/>
      <c r="T68" s="87"/>
      <c r="U68" s="87"/>
      <c r="V68" s="87"/>
      <c r="W68" s="87"/>
      <c r="X68" s="87"/>
      <c r="Y68" s="166"/>
      <c r="Z68" s="166"/>
      <c r="AA68" s="95"/>
    </row>
    <row r="69" spans="1:27" ht="16.5" customHeight="1" x14ac:dyDescent="0.6">
      <c r="A69" s="166" t="s">
        <v>897</v>
      </c>
      <c r="B69" s="87"/>
      <c r="C69" s="87"/>
      <c r="D69" s="87"/>
      <c r="E69" s="85"/>
      <c r="F69" s="166" t="s">
        <v>897</v>
      </c>
      <c r="G69" s="87"/>
      <c r="H69" s="87"/>
      <c r="I69" s="87"/>
      <c r="J69" s="87"/>
      <c r="K69" s="166" t="s">
        <v>897</v>
      </c>
      <c r="L69" s="87"/>
      <c r="M69" s="87"/>
      <c r="N69" s="87"/>
      <c r="O69" s="87"/>
      <c r="P69" s="166" t="s">
        <v>897</v>
      </c>
      <c r="Q69" s="87"/>
      <c r="R69" s="87"/>
      <c r="S69" s="87"/>
      <c r="T69" s="87"/>
      <c r="U69" s="87"/>
      <c r="V69" s="87"/>
      <c r="W69" s="87"/>
      <c r="X69" s="87"/>
      <c r="Y69" s="166"/>
      <c r="Z69" s="166"/>
      <c r="AA69" s="95"/>
    </row>
    <row r="70" spans="1:27" ht="16.5" customHeight="1" x14ac:dyDescent="0.6">
      <c r="A70" s="166" t="s">
        <v>897</v>
      </c>
      <c r="B70" s="87"/>
      <c r="C70" s="87"/>
      <c r="D70" s="87"/>
      <c r="E70" s="85"/>
      <c r="F70" s="166" t="s">
        <v>897</v>
      </c>
      <c r="G70" s="87"/>
      <c r="H70" s="87"/>
      <c r="I70" s="87"/>
      <c r="J70" s="87"/>
      <c r="K70" s="166" t="s">
        <v>897</v>
      </c>
      <c r="L70" s="87"/>
      <c r="M70" s="87"/>
      <c r="N70" s="87"/>
      <c r="O70" s="87"/>
      <c r="P70" s="166" t="s">
        <v>897</v>
      </c>
      <c r="Q70" s="87"/>
      <c r="R70" s="87"/>
      <c r="S70" s="87"/>
      <c r="T70" s="87"/>
      <c r="U70" s="87"/>
      <c r="V70" s="87"/>
      <c r="W70" s="87"/>
      <c r="X70" s="87"/>
      <c r="Y70" s="166"/>
      <c r="Z70" s="166"/>
      <c r="AA70" s="95"/>
    </row>
    <row r="71" spans="1:27" ht="16.5" customHeight="1" x14ac:dyDescent="0.6">
      <c r="A71" s="166" t="s">
        <v>897</v>
      </c>
      <c r="B71" s="87"/>
      <c r="C71" s="87"/>
      <c r="D71" s="87"/>
      <c r="E71" s="85"/>
      <c r="F71" s="166" t="s">
        <v>897</v>
      </c>
      <c r="G71" s="87"/>
      <c r="H71" s="87"/>
      <c r="I71" s="87"/>
      <c r="J71" s="87"/>
      <c r="K71" s="166" t="s">
        <v>897</v>
      </c>
      <c r="L71" s="87"/>
      <c r="M71" s="87"/>
      <c r="N71" s="87"/>
      <c r="O71" s="87"/>
      <c r="P71" s="166" t="s">
        <v>897</v>
      </c>
      <c r="Q71" s="87"/>
      <c r="R71" s="87"/>
      <c r="S71" s="87"/>
      <c r="T71" s="87"/>
      <c r="U71" s="87"/>
      <c r="V71" s="87"/>
      <c r="W71" s="87"/>
      <c r="X71" s="87"/>
      <c r="Y71" s="166"/>
      <c r="Z71" s="166"/>
      <c r="AA71" s="95"/>
    </row>
    <row r="72" spans="1:27" ht="16.5" customHeight="1" x14ac:dyDescent="0.6">
      <c r="A72" s="166" t="s">
        <v>897</v>
      </c>
      <c r="B72" s="87"/>
      <c r="C72" s="87"/>
      <c r="D72" s="87"/>
      <c r="E72" s="85"/>
      <c r="F72" s="166" t="s">
        <v>897</v>
      </c>
      <c r="G72" s="87"/>
      <c r="H72" s="87"/>
      <c r="I72" s="87"/>
      <c r="J72" s="87"/>
      <c r="K72" s="166" t="s">
        <v>897</v>
      </c>
      <c r="L72" s="87"/>
      <c r="M72" s="87"/>
      <c r="N72" s="87"/>
      <c r="O72" s="87"/>
      <c r="P72" s="166" t="s">
        <v>897</v>
      </c>
      <c r="Q72" s="87"/>
      <c r="R72" s="87"/>
      <c r="S72" s="87"/>
      <c r="T72" s="87"/>
      <c r="U72" s="87"/>
      <c r="V72" s="87"/>
      <c r="W72" s="87"/>
      <c r="X72" s="87"/>
      <c r="Y72" s="166"/>
      <c r="Z72" s="166"/>
      <c r="AA72" s="95"/>
    </row>
    <row r="73" spans="1:27" ht="16.5" customHeight="1" x14ac:dyDescent="0.6">
      <c r="A73" s="166" t="s">
        <v>897</v>
      </c>
      <c r="B73" s="87"/>
      <c r="C73" s="87"/>
      <c r="D73" s="87"/>
      <c r="E73" s="85"/>
      <c r="F73" s="166" t="s">
        <v>897</v>
      </c>
      <c r="G73" s="87"/>
      <c r="H73" s="87"/>
      <c r="I73" s="87"/>
      <c r="J73" s="87"/>
      <c r="K73" s="166" t="s">
        <v>897</v>
      </c>
      <c r="L73" s="87"/>
      <c r="M73" s="87"/>
      <c r="N73" s="87"/>
      <c r="O73" s="87"/>
      <c r="P73" s="166" t="s">
        <v>897</v>
      </c>
      <c r="Q73" s="87"/>
      <c r="R73" s="87"/>
      <c r="S73" s="87"/>
      <c r="T73" s="87"/>
      <c r="U73" s="87"/>
      <c r="V73" s="87"/>
      <c r="W73" s="87"/>
      <c r="X73" s="87"/>
      <c r="Y73" s="166"/>
      <c r="Z73" s="166"/>
      <c r="AA73" s="95"/>
    </row>
    <row r="74" spans="1:27" ht="16.5" customHeight="1" x14ac:dyDescent="0.6">
      <c r="A74" s="166" t="s">
        <v>897</v>
      </c>
      <c r="B74" s="87"/>
      <c r="C74" s="87"/>
      <c r="D74" s="87"/>
      <c r="E74" s="85"/>
      <c r="F74" s="166" t="s">
        <v>897</v>
      </c>
      <c r="G74" s="87"/>
      <c r="H74" s="87"/>
      <c r="I74" s="87"/>
      <c r="J74" s="87"/>
      <c r="K74" s="166" t="s">
        <v>897</v>
      </c>
      <c r="L74" s="87"/>
      <c r="M74" s="87"/>
      <c r="N74" s="87"/>
      <c r="O74" s="87"/>
      <c r="P74" s="166" t="s">
        <v>897</v>
      </c>
      <c r="Q74" s="87"/>
      <c r="R74" s="87"/>
      <c r="S74" s="87"/>
      <c r="T74" s="87"/>
      <c r="U74" s="87"/>
      <c r="V74" s="87"/>
      <c r="W74" s="87"/>
      <c r="X74" s="87"/>
      <c r="Y74" s="87"/>
      <c r="Z74" s="87"/>
      <c r="AA74" s="87"/>
    </row>
    <row r="75" spans="1:27" ht="16.5" customHeight="1" x14ac:dyDescent="0.6">
      <c r="A75" s="166" t="s">
        <v>897</v>
      </c>
      <c r="B75" s="87"/>
      <c r="C75" s="87"/>
      <c r="D75" s="87"/>
      <c r="E75" s="85"/>
      <c r="F75" s="166" t="s">
        <v>897</v>
      </c>
      <c r="G75" s="87"/>
      <c r="H75" s="87"/>
      <c r="I75" s="87"/>
      <c r="J75" s="87"/>
      <c r="K75" s="166" t="s">
        <v>897</v>
      </c>
      <c r="L75" s="87"/>
      <c r="M75" s="87"/>
      <c r="N75" s="87"/>
      <c r="O75" s="87"/>
      <c r="P75" s="166" t="s">
        <v>897</v>
      </c>
      <c r="Q75" s="87"/>
      <c r="R75" s="87"/>
      <c r="S75" s="87"/>
      <c r="T75" s="87"/>
      <c r="U75" s="87"/>
      <c r="V75" s="87"/>
      <c r="W75" s="87"/>
      <c r="X75" s="87"/>
      <c r="Y75" s="87"/>
      <c r="Z75" s="87"/>
      <c r="AA75" s="87"/>
    </row>
    <row r="76" spans="1:27" ht="16.5" customHeight="1" x14ac:dyDescent="0.6">
      <c r="A76" s="166" t="s">
        <v>897</v>
      </c>
      <c r="B76" s="87"/>
      <c r="C76" s="87"/>
      <c r="D76" s="87"/>
      <c r="E76" s="85"/>
      <c r="F76" s="166" t="s">
        <v>897</v>
      </c>
      <c r="G76" s="87"/>
      <c r="H76" s="87"/>
      <c r="I76" s="87"/>
      <c r="J76" s="87"/>
      <c r="K76" s="166" t="s">
        <v>897</v>
      </c>
      <c r="L76" s="87"/>
      <c r="M76" s="87"/>
      <c r="N76" s="87"/>
      <c r="O76" s="87"/>
      <c r="P76" s="166" t="s">
        <v>897</v>
      </c>
      <c r="Q76" s="87"/>
      <c r="R76" s="87"/>
      <c r="S76" s="87"/>
      <c r="T76" s="87"/>
      <c r="U76" s="87"/>
      <c r="V76" s="87"/>
      <c r="W76" s="87"/>
      <c r="X76" s="87"/>
      <c r="Y76" s="87"/>
      <c r="Z76" s="87"/>
      <c r="AA76" s="87"/>
    </row>
    <row r="77" spans="1:27" ht="16.5" customHeight="1" x14ac:dyDescent="0.6">
      <c r="A77" s="166" t="s">
        <v>897</v>
      </c>
      <c r="B77" s="87"/>
      <c r="C77" s="87"/>
      <c r="D77" s="87"/>
      <c r="E77" s="85"/>
      <c r="F77" s="166" t="s">
        <v>897</v>
      </c>
      <c r="G77" s="87"/>
      <c r="H77" s="87"/>
      <c r="I77" s="87"/>
      <c r="J77" s="87"/>
      <c r="K77" s="166" t="s">
        <v>897</v>
      </c>
      <c r="L77" s="87"/>
      <c r="M77" s="87"/>
      <c r="N77" s="87"/>
      <c r="O77" s="87"/>
      <c r="P77" s="166" t="s">
        <v>897</v>
      </c>
      <c r="Q77" s="87"/>
      <c r="R77" s="87"/>
      <c r="S77" s="87"/>
      <c r="T77" s="87"/>
      <c r="U77" s="87"/>
      <c r="V77" s="87"/>
      <c r="W77" s="87"/>
      <c r="X77" s="87"/>
      <c r="Y77" s="87"/>
      <c r="Z77" s="87"/>
      <c r="AA77" s="87"/>
    </row>
    <row r="78" spans="1:27" ht="16.5" customHeight="1" x14ac:dyDescent="0.6">
      <c r="A78" s="166" t="s">
        <v>897</v>
      </c>
      <c r="B78" s="87"/>
      <c r="C78" s="87"/>
      <c r="D78" s="87"/>
      <c r="E78" s="85"/>
      <c r="F78" s="166" t="s">
        <v>897</v>
      </c>
      <c r="G78" s="87"/>
      <c r="H78" s="87"/>
      <c r="I78" s="87"/>
      <c r="J78" s="87"/>
      <c r="K78" s="166" t="s">
        <v>897</v>
      </c>
      <c r="L78" s="87"/>
      <c r="M78" s="87"/>
      <c r="N78" s="87"/>
      <c r="O78" s="87"/>
      <c r="P78" s="166" t="s">
        <v>897</v>
      </c>
      <c r="Q78" s="87"/>
      <c r="R78" s="87"/>
      <c r="S78" s="87"/>
      <c r="T78" s="87"/>
      <c r="U78" s="87"/>
      <c r="V78" s="87"/>
      <c r="W78" s="87"/>
      <c r="X78" s="87"/>
      <c r="Y78" s="87"/>
      <c r="Z78" s="87"/>
      <c r="AA78" s="87"/>
    </row>
    <row r="79" spans="1:27" ht="16.5" customHeight="1" x14ac:dyDescent="0.6">
      <c r="A79" s="166" t="s">
        <v>897</v>
      </c>
      <c r="B79" s="87"/>
      <c r="C79" s="87"/>
      <c r="D79" s="87"/>
      <c r="E79" s="85"/>
      <c r="F79" s="166" t="s">
        <v>897</v>
      </c>
      <c r="G79" s="87"/>
      <c r="H79" s="87"/>
      <c r="I79" s="87"/>
      <c r="J79" s="87"/>
      <c r="K79" s="166" t="s">
        <v>897</v>
      </c>
      <c r="L79" s="87"/>
      <c r="M79" s="87"/>
      <c r="N79" s="87"/>
      <c r="O79" s="87"/>
      <c r="P79" s="166" t="s">
        <v>897</v>
      </c>
      <c r="Q79" s="87"/>
      <c r="R79" s="87"/>
      <c r="S79" s="87"/>
      <c r="T79" s="87"/>
      <c r="U79" s="87"/>
      <c r="V79" s="87"/>
      <c r="W79" s="87"/>
      <c r="X79" s="87"/>
      <c r="Y79" s="87"/>
      <c r="Z79" s="87"/>
      <c r="AA79" s="87"/>
    </row>
    <row r="80" spans="1:27" ht="16.5" customHeight="1" x14ac:dyDescent="0.6">
      <c r="A80" s="166" t="s">
        <v>897</v>
      </c>
      <c r="B80" s="87"/>
      <c r="C80" s="87"/>
      <c r="D80" s="87"/>
      <c r="E80" s="85"/>
      <c r="F80" s="166" t="s">
        <v>897</v>
      </c>
      <c r="G80" s="87"/>
      <c r="H80" s="87"/>
      <c r="I80" s="87"/>
      <c r="J80" s="87"/>
      <c r="K80" s="166" t="s">
        <v>897</v>
      </c>
      <c r="L80" s="87"/>
      <c r="M80" s="87"/>
      <c r="N80" s="87"/>
      <c r="O80" s="87"/>
      <c r="P80" s="166" t="s">
        <v>897</v>
      </c>
      <c r="Q80" s="87"/>
      <c r="R80" s="87"/>
      <c r="S80" s="87"/>
      <c r="T80" s="87"/>
      <c r="U80" s="87"/>
      <c r="V80" s="87"/>
      <c r="W80" s="87"/>
      <c r="X80" s="87"/>
      <c r="Y80" s="87"/>
      <c r="Z80" s="87"/>
      <c r="AA80" s="87"/>
    </row>
    <row r="81" spans="1:27" ht="16.5" customHeight="1" x14ac:dyDescent="0.6">
      <c r="A81" s="166" t="s">
        <v>897</v>
      </c>
      <c r="B81" s="87"/>
      <c r="C81" s="87"/>
      <c r="D81" s="87"/>
      <c r="E81" s="87"/>
      <c r="F81" s="166" t="s">
        <v>897</v>
      </c>
      <c r="G81" s="87"/>
      <c r="H81" s="87"/>
      <c r="I81" s="87"/>
      <c r="J81" s="87"/>
      <c r="K81" s="166" t="s">
        <v>897</v>
      </c>
      <c r="L81" s="87"/>
      <c r="M81" s="87"/>
      <c r="N81" s="87"/>
      <c r="O81" s="87"/>
      <c r="P81" s="166" t="s">
        <v>897</v>
      </c>
      <c r="Q81" s="87"/>
      <c r="R81" s="87"/>
      <c r="S81" s="87"/>
      <c r="T81" s="87"/>
      <c r="U81" s="87"/>
      <c r="V81" s="87"/>
      <c r="W81" s="87"/>
      <c r="X81" s="87"/>
      <c r="Y81" s="87"/>
      <c r="Z81" s="87"/>
      <c r="AA81" s="87"/>
    </row>
    <row r="82" spans="1:27" ht="16.5" customHeight="1" x14ac:dyDescent="0.6">
      <c r="A82" s="166" t="s">
        <v>897</v>
      </c>
      <c r="B82" s="87"/>
      <c r="C82" s="87"/>
      <c r="D82" s="87"/>
      <c r="E82" s="87"/>
      <c r="F82" s="166" t="s">
        <v>897</v>
      </c>
      <c r="G82" s="87"/>
      <c r="H82" s="87"/>
      <c r="I82" s="87"/>
      <c r="J82" s="87"/>
      <c r="K82" s="166" t="s">
        <v>897</v>
      </c>
      <c r="L82" s="87"/>
      <c r="M82" s="87"/>
      <c r="N82" s="87"/>
      <c r="O82" s="87"/>
      <c r="P82" s="166" t="s">
        <v>897</v>
      </c>
      <c r="Q82" s="87"/>
      <c r="R82" s="87"/>
      <c r="S82" s="87"/>
      <c r="T82" s="87"/>
      <c r="U82" s="87"/>
      <c r="V82" s="87"/>
      <c r="W82" s="87"/>
      <c r="X82" s="87"/>
      <c r="Y82" s="87"/>
      <c r="Z82" s="87"/>
      <c r="AA82" s="87"/>
    </row>
    <row r="83" spans="1:27" ht="16.5" customHeight="1" x14ac:dyDescent="0.6">
      <c r="A83" s="166" t="s">
        <v>897</v>
      </c>
      <c r="B83" s="87"/>
      <c r="C83" s="87"/>
      <c r="D83" s="87"/>
      <c r="E83" s="87"/>
      <c r="F83" s="166" t="s">
        <v>897</v>
      </c>
      <c r="G83" s="87"/>
      <c r="H83" s="87"/>
      <c r="I83" s="87"/>
      <c r="J83" s="87"/>
      <c r="K83" s="166" t="s">
        <v>897</v>
      </c>
      <c r="L83" s="87"/>
      <c r="M83" s="87"/>
      <c r="N83" s="87"/>
      <c r="O83" s="87"/>
      <c r="P83" s="166" t="s">
        <v>897</v>
      </c>
      <c r="Q83" s="87"/>
      <c r="R83" s="87"/>
      <c r="S83" s="87"/>
      <c r="T83" s="87"/>
      <c r="U83" s="87"/>
      <c r="V83" s="87"/>
      <c r="W83" s="87"/>
      <c r="X83" s="87"/>
      <c r="Y83" s="87"/>
      <c r="Z83" s="87"/>
      <c r="AA83" s="87"/>
    </row>
    <row r="84" spans="1:27" ht="16.5" customHeight="1" x14ac:dyDescent="0.6">
      <c r="A84" s="166" t="s">
        <v>897</v>
      </c>
      <c r="B84" s="87"/>
      <c r="C84" s="87"/>
      <c r="D84" s="87"/>
      <c r="E84" s="87"/>
      <c r="F84" s="166" t="s">
        <v>897</v>
      </c>
      <c r="G84" s="87"/>
      <c r="H84" s="87"/>
      <c r="I84" s="87"/>
      <c r="J84" s="87"/>
      <c r="K84" s="166" t="s">
        <v>897</v>
      </c>
      <c r="L84" s="87"/>
      <c r="M84" s="87"/>
      <c r="N84" s="87"/>
      <c r="O84" s="87"/>
      <c r="P84" s="166" t="s">
        <v>897</v>
      </c>
      <c r="Q84" s="87"/>
      <c r="R84" s="87"/>
      <c r="S84" s="87"/>
      <c r="T84" s="87"/>
      <c r="U84" s="87"/>
      <c r="V84" s="87"/>
      <c r="W84" s="87"/>
      <c r="X84" s="87"/>
      <c r="Y84" s="87"/>
      <c r="Z84" s="87"/>
      <c r="AA84" s="87"/>
    </row>
    <row r="85" spans="1:27" ht="16.5" customHeight="1" x14ac:dyDescent="0.6">
      <c r="A85" s="166" t="s">
        <v>897</v>
      </c>
      <c r="B85" s="87"/>
      <c r="C85" s="87"/>
      <c r="D85" s="87"/>
      <c r="E85" s="87"/>
      <c r="F85" s="166" t="s">
        <v>897</v>
      </c>
      <c r="G85" s="87"/>
      <c r="H85" s="87"/>
      <c r="I85" s="87"/>
      <c r="J85" s="87"/>
      <c r="K85" s="166" t="s">
        <v>897</v>
      </c>
      <c r="L85" s="87"/>
      <c r="M85" s="87"/>
      <c r="N85" s="87"/>
      <c r="O85" s="87"/>
      <c r="P85" s="166" t="s">
        <v>897</v>
      </c>
      <c r="Q85" s="87"/>
      <c r="R85" s="87"/>
      <c r="S85" s="87"/>
      <c r="T85" s="87"/>
      <c r="U85" s="87"/>
      <c r="V85" s="87"/>
      <c r="W85" s="87"/>
      <c r="X85" s="87"/>
      <c r="Y85" s="87"/>
      <c r="Z85" s="87"/>
      <c r="AA85" s="87"/>
    </row>
    <row r="86" spans="1:27" ht="16.5" customHeight="1" x14ac:dyDescent="0.6">
      <c r="A86" s="166" t="s">
        <v>897</v>
      </c>
      <c r="B86" s="87"/>
      <c r="C86" s="87"/>
      <c r="D86" s="87"/>
      <c r="E86" s="87"/>
      <c r="F86" s="166" t="s">
        <v>897</v>
      </c>
      <c r="G86" s="87"/>
      <c r="H86" s="87"/>
      <c r="I86" s="87"/>
      <c r="J86" s="87"/>
      <c r="K86" s="166" t="s">
        <v>897</v>
      </c>
      <c r="L86" s="87"/>
      <c r="M86" s="87"/>
      <c r="N86" s="87"/>
      <c r="O86" s="87"/>
      <c r="P86" s="166" t="s">
        <v>897</v>
      </c>
      <c r="Q86" s="87"/>
      <c r="R86" s="87"/>
      <c r="S86" s="87"/>
      <c r="T86" s="87"/>
      <c r="U86" s="87"/>
      <c r="V86" s="87"/>
      <c r="W86" s="87"/>
      <c r="X86" s="87"/>
      <c r="Y86" s="87"/>
      <c r="Z86" s="87"/>
      <c r="AA86" s="87"/>
    </row>
    <row r="87" spans="1:27" ht="16.5" customHeight="1" x14ac:dyDescent="0.6">
      <c r="A87" s="166" t="s">
        <v>897</v>
      </c>
      <c r="B87" s="87"/>
      <c r="C87" s="87"/>
      <c r="D87" s="87"/>
      <c r="E87" s="87"/>
      <c r="F87" s="166" t="s">
        <v>897</v>
      </c>
      <c r="G87" s="87"/>
      <c r="H87" s="87"/>
      <c r="I87" s="87"/>
      <c r="J87" s="87"/>
      <c r="K87" s="166" t="s">
        <v>897</v>
      </c>
      <c r="L87" s="87"/>
      <c r="M87" s="87"/>
      <c r="N87" s="87"/>
      <c r="O87" s="87"/>
      <c r="P87" s="166" t="s">
        <v>897</v>
      </c>
      <c r="Q87" s="87"/>
      <c r="R87" s="87"/>
      <c r="S87" s="87"/>
      <c r="T87" s="87"/>
      <c r="U87" s="87"/>
      <c r="V87" s="87"/>
      <c r="W87" s="87"/>
      <c r="X87" s="87"/>
      <c r="Y87" s="87"/>
      <c r="Z87" s="87"/>
      <c r="AA87" s="87"/>
    </row>
    <row r="88" spans="1:27" ht="16.5" customHeight="1" x14ac:dyDescent="0.6">
      <c r="A88" s="166" t="s">
        <v>897</v>
      </c>
      <c r="B88" s="87"/>
      <c r="C88" s="87"/>
      <c r="D88" s="87"/>
      <c r="E88" s="87"/>
      <c r="F88" s="166" t="s">
        <v>897</v>
      </c>
      <c r="G88" s="87"/>
      <c r="H88" s="87"/>
      <c r="I88" s="87"/>
      <c r="J88" s="87"/>
      <c r="K88" s="166" t="s">
        <v>897</v>
      </c>
      <c r="L88" s="87"/>
      <c r="M88" s="87"/>
      <c r="N88" s="87"/>
      <c r="O88" s="87"/>
      <c r="P88" s="166" t="s">
        <v>897</v>
      </c>
      <c r="Q88" s="87"/>
      <c r="R88" s="87"/>
      <c r="S88" s="87"/>
      <c r="T88" s="87"/>
      <c r="U88" s="87"/>
      <c r="V88" s="87"/>
      <c r="W88" s="87"/>
      <c r="X88" s="87"/>
      <c r="Y88" s="87"/>
      <c r="Z88" s="87"/>
      <c r="AA88" s="87"/>
    </row>
    <row r="89" spans="1:27" ht="16.5" customHeight="1" x14ac:dyDescent="0.6">
      <c r="A89" s="166" t="s">
        <v>897</v>
      </c>
      <c r="B89" s="87"/>
      <c r="C89" s="87"/>
      <c r="D89" s="87"/>
      <c r="E89" s="87"/>
      <c r="F89" s="166" t="s">
        <v>897</v>
      </c>
      <c r="G89" s="87"/>
      <c r="H89" s="87"/>
      <c r="I89" s="87"/>
      <c r="J89" s="87"/>
      <c r="K89" s="166" t="s">
        <v>897</v>
      </c>
      <c r="L89" s="87"/>
      <c r="M89" s="87"/>
      <c r="N89" s="87"/>
      <c r="O89" s="87"/>
      <c r="P89" s="166" t="s">
        <v>897</v>
      </c>
      <c r="Q89" s="87"/>
      <c r="R89" s="87"/>
      <c r="S89" s="87"/>
      <c r="T89" s="87"/>
      <c r="U89" s="87"/>
      <c r="V89" s="87"/>
      <c r="W89" s="87"/>
      <c r="X89" s="87"/>
      <c r="Y89" s="87"/>
      <c r="Z89" s="87"/>
      <c r="AA89" s="87"/>
    </row>
    <row r="90" spans="1:27" ht="16.5" customHeight="1" x14ac:dyDescent="0.6">
      <c r="A90" s="166" t="s">
        <v>897</v>
      </c>
      <c r="B90" s="87"/>
      <c r="C90" s="87"/>
      <c r="D90" s="87"/>
      <c r="E90" s="87"/>
      <c r="F90" s="166" t="s">
        <v>897</v>
      </c>
      <c r="G90" s="87"/>
      <c r="H90" s="87"/>
      <c r="I90" s="87"/>
      <c r="J90" s="87"/>
      <c r="K90" s="166" t="s">
        <v>897</v>
      </c>
      <c r="L90" s="87"/>
      <c r="M90" s="87"/>
      <c r="N90" s="87"/>
      <c r="O90" s="87"/>
      <c r="P90" s="166" t="s">
        <v>897</v>
      </c>
      <c r="Q90" s="87"/>
      <c r="R90" s="87"/>
      <c r="S90" s="87"/>
      <c r="T90" s="87"/>
      <c r="U90" s="87"/>
      <c r="V90" s="87"/>
      <c r="W90" s="87"/>
      <c r="X90" s="87"/>
      <c r="Y90" s="87"/>
      <c r="Z90" s="87"/>
      <c r="AA90" s="87"/>
    </row>
    <row r="91" spans="1:27" ht="16.5" customHeight="1" x14ac:dyDescent="0.6">
      <c r="A91" s="166" t="s">
        <v>897</v>
      </c>
      <c r="B91" s="87"/>
      <c r="C91" s="87"/>
      <c r="D91" s="87"/>
      <c r="E91" s="87"/>
      <c r="F91" s="166" t="s">
        <v>897</v>
      </c>
      <c r="G91" s="87"/>
      <c r="H91" s="87"/>
      <c r="I91" s="87"/>
      <c r="J91" s="87"/>
      <c r="K91" s="166" t="s">
        <v>897</v>
      </c>
      <c r="L91" s="87"/>
      <c r="M91" s="87"/>
      <c r="N91" s="87"/>
      <c r="O91" s="87"/>
      <c r="P91" s="166" t="s">
        <v>897</v>
      </c>
      <c r="Q91" s="87"/>
      <c r="R91" s="87"/>
      <c r="S91" s="87"/>
      <c r="T91" s="87"/>
      <c r="U91" s="87"/>
      <c r="V91" s="87"/>
      <c r="W91" s="87"/>
      <c r="X91" s="87"/>
      <c r="Y91" s="87"/>
      <c r="Z91" s="87"/>
      <c r="AA91" s="87"/>
    </row>
    <row r="92" spans="1:27" ht="16.5" customHeight="1" x14ac:dyDescent="0.6">
      <c r="A92" s="166" t="s">
        <v>897</v>
      </c>
      <c r="B92" s="87"/>
      <c r="C92" s="87"/>
      <c r="D92" s="87"/>
      <c r="E92" s="87"/>
      <c r="F92" s="166" t="s">
        <v>897</v>
      </c>
      <c r="G92" s="87"/>
      <c r="H92" s="87"/>
      <c r="I92" s="87"/>
      <c r="J92" s="87"/>
      <c r="K92" s="166" t="s">
        <v>897</v>
      </c>
      <c r="L92" s="87"/>
      <c r="M92" s="87"/>
      <c r="N92" s="87"/>
      <c r="O92" s="87"/>
      <c r="P92" s="166" t="s">
        <v>897</v>
      </c>
      <c r="Q92" s="87"/>
      <c r="R92" s="87"/>
      <c r="S92" s="87"/>
      <c r="T92" s="87"/>
      <c r="U92" s="87"/>
      <c r="V92" s="87"/>
      <c r="W92" s="87"/>
      <c r="X92" s="87"/>
      <c r="Y92" s="87"/>
      <c r="Z92" s="87"/>
      <c r="AA92" s="87"/>
    </row>
    <row r="93" spans="1:27" ht="16.5" customHeight="1" x14ac:dyDescent="0.6">
      <c r="A93" s="166" t="s">
        <v>897</v>
      </c>
      <c r="B93" s="87"/>
      <c r="C93" s="87"/>
      <c r="D93" s="87"/>
      <c r="E93" s="87"/>
      <c r="F93" s="166" t="s">
        <v>897</v>
      </c>
      <c r="G93" s="87"/>
      <c r="H93" s="87"/>
      <c r="I93" s="87"/>
      <c r="J93" s="87"/>
      <c r="K93" s="166" t="s">
        <v>897</v>
      </c>
      <c r="L93" s="87"/>
      <c r="M93" s="87"/>
      <c r="N93" s="87"/>
      <c r="O93" s="87"/>
      <c r="P93" s="166" t="s">
        <v>897</v>
      </c>
      <c r="Q93" s="87"/>
      <c r="R93" s="87"/>
      <c r="S93" s="87"/>
      <c r="T93" s="87"/>
      <c r="U93" s="87"/>
      <c r="V93" s="87"/>
      <c r="W93" s="87"/>
      <c r="X93" s="87"/>
      <c r="Y93" s="87"/>
      <c r="Z93" s="87"/>
      <c r="AA93" s="87"/>
    </row>
    <row r="94" spans="1:27" ht="16.5" customHeight="1" x14ac:dyDescent="0.6">
      <c r="A94" s="166" t="s">
        <v>897</v>
      </c>
      <c r="B94" s="87"/>
      <c r="C94" s="87"/>
      <c r="D94" s="87"/>
      <c r="E94" s="87"/>
      <c r="F94" s="166" t="s">
        <v>897</v>
      </c>
      <c r="G94" s="87"/>
      <c r="H94" s="87"/>
      <c r="I94" s="87"/>
      <c r="J94" s="87"/>
      <c r="K94" s="166" t="s">
        <v>897</v>
      </c>
      <c r="L94" s="87"/>
      <c r="M94" s="87"/>
      <c r="N94" s="87"/>
      <c r="O94" s="87"/>
      <c r="P94" s="166" t="s">
        <v>897</v>
      </c>
      <c r="Q94" s="87"/>
      <c r="R94" s="87"/>
      <c r="S94" s="87"/>
      <c r="T94" s="87"/>
      <c r="U94" s="87"/>
      <c r="V94" s="87"/>
      <c r="W94" s="87"/>
      <c r="X94" s="87"/>
      <c r="Y94" s="87"/>
      <c r="Z94" s="87"/>
      <c r="AA94" s="87"/>
    </row>
    <row r="95" spans="1:27" ht="16.5" customHeight="1" x14ac:dyDescent="0.6">
      <c r="A95" s="166" t="s">
        <v>897</v>
      </c>
      <c r="B95" s="87"/>
      <c r="C95" s="87"/>
      <c r="D95" s="87"/>
      <c r="E95" s="87"/>
      <c r="F95" s="166" t="s">
        <v>897</v>
      </c>
      <c r="G95" s="87"/>
      <c r="H95" s="87"/>
      <c r="I95" s="87"/>
      <c r="J95" s="87"/>
      <c r="K95" s="166" t="s">
        <v>897</v>
      </c>
      <c r="L95" s="87"/>
      <c r="M95" s="87"/>
      <c r="N95" s="87"/>
      <c r="O95" s="87"/>
      <c r="P95" s="166" t="s">
        <v>897</v>
      </c>
      <c r="Q95" s="87"/>
      <c r="R95" s="87"/>
      <c r="S95" s="87"/>
      <c r="T95" s="87"/>
      <c r="U95" s="87"/>
      <c r="V95" s="87"/>
      <c r="W95" s="87"/>
      <c r="X95" s="87"/>
      <c r="Y95" s="87"/>
      <c r="Z95" s="87"/>
      <c r="AA95" s="87"/>
    </row>
    <row r="96" spans="1:27" ht="16.5" customHeight="1" x14ac:dyDescent="0.6">
      <c r="A96" s="166" t="s">
        <v>897</v>
      </c>
      <c r="B96" s="87"/>
      <c r="C96" s="87"/>
      <c r="D96" s="87"/>
      <c r="E96" s="87"/>
      <c r="F96" s="166" t="s">
        <v>897</v>
      </c>
      <c r="G96" s="87"/>
      <c r="H96" s="87"/>
      <c r="I96" s="87"/>
      <c r="J96" s="87"/>
      <c r="K96" s="166" t="s">
        <v>897</v>
      </c>
      <c r="L96" s="87"/>
      <c r="M96" s="87"/>
      <c r="N96" s="87"/>
      <c r="O96" s="87"/>
      <c r="P96" s="166" t="s">
        <v>897</v>
      </c>
      <c r="Q96" s="87"/>
      <c r="R96" s="87"/>
      <c r="S96" s="87"/>
      <c r="T96" s="87"/>
      <c r="U96" s="87"/>
      <c r="V96" s="87"/>
      <c r="W96" s="87"/>
      <c r="X96" s="87"/>
      <c r="Y96" s="87"/>
      <c r="Z96" s="87"/>
      <c r="AA96" s="87"/>
    </row>
    <row r="97" spans="1:27" ht="16.5" customHeight="1" x14ac:dyDescent="0.6">
      <c r="A97" s="166" t="s">
        <v>897</v>
      </c>
      <c r="B97" s="87"/>
      <c r="C97" s="87"/>
      <c r="D97" s="87"/>
      <c r="E97" s="87"/>
      <c r="F97" s="166" t="s">
        <v>897</v>
      </c>
      <c r="G97" s="87"/>
      <c r="H97" s="87"/>
      <c r="I97" s="87"/>
      <c r="J97" s="87"/>
      <c r="K97" s="166" t="s">
        <v>897</v>
      </c>
      <c r="L97" s="87"/>
      <c r="M97" s="87"/>
      <c r="N97" s="87"/>
      <c r="O97" s="87"/>
      <c r="P97" s="166" t="s">
        <v>897</v>
      </c>
      <c r="Q97" s="87"/>
      <c r="R97" s="87"/>
      <c r="S97" s="87"/>
      <c r="T97" s="87"/>
      <c r="U97" s="87"/>
      <c r="V97" s="87"/>
      <c r="W97" s="87"/>
      <c r="X97" s="87"/>
      <c r="Y97" s="87"/>
      <c r="Z97" s="87"/>
      <c r="AA97" s="87"/>
    </row>
    <row r="98" spans="1:27" ht="16.5" customHeight="1" x14ac:dyDescent="0.6">
      <c r="A98" s="166" t="s">
        <v>897</v>
      </c>
      <c r="B98" s="87"/>
      <c r="C98" s="87"/>
      <c r="D98" s="87"/>
      <c r="E98" s="87"/>
      <c r="F98" s="166" t="s">
        <v>897</v>
      </c>
      <c r="G98" s="87"/>
      <c r="H98" s="87"/>
      <c r="I98" s="87"/>
      <c r="J98" s="87"/>
      <c r="K98" s="166" t="s">
        <v>897</v>
      </c>
      <c r="L98" s="87"/>
      <c r="M98" s="87"/>
      <c r="N98" s="87"/>
      <c r="O98" s="87"/>
      <c r="P98" s="166" t="s">
        <v>897</v>
      </c>
      <c r="Q98" s="87"/>
      <c r="R98" s="87"/>
      <c r="S98" s="87"/>
      <c r="T98" s="87"/>
      <c r="U98" s="87"/>
      <c r="V98" s="87"/>
      <c r="W98" s="87"/>
      <c r="X98" s="87"/>
      <c r="Y98" s="87"/>
      <c r="Z98" s="87"/>
      <c r="AA98" s="87"/>
    </row>
    <row r="99" spans="1:27" ht="16.5" customHeight="1" x14ac:dyDescent="0.6">
      <c r="A99" s="166" t="s">
        <v>897</v>
      </c>
      <c r="B99" s="87"/>
      <c r="C99" s="87"/>
      <c r="D99" s="87"/>
      <c r="E99" s="87"/>
      <c r="F99" s="166" t="s">
        <v>897</v>
      </c>
      <c r="G99" s="87"/>
      <c r="H99" s="87"/>
      <c r="I99" s="87"/>
      <c r="J99" s="87"/>
      <c r="K99" s="166" t="s">
        <v>897</v>
      </c>
      <c r="L99" s="87"/>
      <c r="M99" s="87"/>
      <c r="N99" s="87"/>
      <c r="O99" s="87"/>
      <c r="P99" s="166" t="s">
        <v>897</v>
      </c>
      <c r="Q99" s="87"/>
      <c r="R99" s="87"/>
      <c r="S99" s="87"/>
      <c r="T99" s="87"/>
      <c r="U99" s="87"/>
      <c r="V99" s="87"/>
      <c r="W99" s="87"/>
      <c r="X99" s="87"/>
      <c r="Y99" s="87"/>
      <c r="Z99" s="87"/>
      <c r="AA99" s="87"/>
    </row>
    <row r="100" spans="1:27" ht="16.5" customHeight="1" x14ac:dyDescent="0.6">
      <c r="A100" s="166" t="s">
        <v>897</v>
      </c>
      <c r="B100" s="87"/>
      <c r="C100" s="87"/>
      <c r="D100" s="87"/>
      <c r="E100" s="87"/>
      <c r="F100" s="166" t="s">
        <v>897</v>
      </c>
      <c r="G100" s="87"/>
      <c r="H100" s="87"/>
      <c r="I100" s="87"/>
      <c r="J100" s="87"/>
      <c r="K100" s="166" t="s">
        <v>897</v>
      </c>
      <c r="L100" s="87"/>
      <c r="M100" s="87"/>
      <c r="N100" s="87"/>
      <c r="O100" s="87"/>
      <c r="P100" s="166" t="s">
        <v>897</v>
      </c>
      <c r="Q100" s="87"/>
      <c r="R100" s="87"/>
      <c r="S100" s="87"/>
      <c r="T100" s="87"/>
      <c r="U100" s="87"/>
      <c r="V100" s="87"/>
      <c r="W100" s="87"/>
      <c r="X100" s="87"/>
      <c r="Y100" s="87"/>
      <c r="Z100" s="87"/>
      <c r="AA100" s="87"/>
    </row>
    <row r="101" spans="1:27" ht="28.5" customHeight="1" x14ac:dyDescent="0.6">
      <c r="A101" s="166" t="s">
        <v>897</v>
      </c>
      <c r="B101" s="87"/>
      <c r="C101" s="87"/>
      <c r="D101" s="87"/>
      <c r="E101" s="87"/>
      <c r="F101" s="166" t="s">
        <v>897</v>
      </c>
      <c r="G101" s="87"/>
      <c r="H101" s="87"/>
      <c r="I101" s="87"/>
      <c r="J101" s="87"/>
      <c r="K101" s="166" t="s">
        <v>897</v>
      </c>
      <c r="L101" s="87"/>
      <c r="M101" s="87"/>
      <c r="N101" s="87"/>
      <c r="O101" s="87"/>
      <c r="P101" s="166" t="s">
        <v>897</v>
      </c>
      <c r="Q101" s="87"/>
      <c r="R101" s="87"/>
      <c r="S101" s="87"/>
      <c r="T101" s="87"/>
      <c r="U101" s="87"/>
      <c r="V101" s="87"/>
      <c r="W101" s="87"/>
      <c r="X101" s="87"/>
      <c r="Y101" s="87"/>
      <c r="Z101" s="87"/>
      <c r="AA101" s="87"/>
    </row>
    <row r="102" spans="1:27" ht="16.5" customHeight="1" x14ac:dyDescent="0.6">
      <c r="A102" s="166" t="s">
        <v>897</v>
      </c>
      <c r="B102" s="87"/>
      <c r="C102" s="87"/>
      <c r="D102" s="87"/>
      <c r="E102" s="87"/>
      <c r="F102" s="166" t="s">
        <v>897</v>
      </c>
      <c r="G102" s="87"/>
      <c r="H102" s="87"/>
      <c r="I102" s="87"/>
      <c r="J102" s="87"/>
      <c r="K102" s="166" t="s">
        <v>897</v>
      </c>
      <c r="L102" s="87"/>
      <c r="M102" s="87"/>
      <c r="N102" s="87"/>
      <c r="O102" s="87"/>
      <c r="P102" s="166" t="s">
        <v>897</v>
      </c>
      <c r="Q102" s="87"/>
      <c r="R102" s="87"/>
      <c r="S102" s="87"/>
      <c r="T102" s="87"/>
      <c r="U102" s="87"/>
      <c r="V102" s="87"/>
      <c r="W102" s="87"/>
      <c r="X102" s="87"/>
      <c r="Y102" s="87"/>
      <c r="Z102" s="87"/>
      <c r="AA102" s="87"/>
    </row>
    <row r="103" spans="1:27" ht="16.5" customHeight="1" x14ac:dyDescent="0.6">
      <c r="A103" s="166" t="s">
        <v>897</v>
      </c>
      <c r="B103" s="87"/>
      <c r="C103" s="87"/>
      <c r="D103" s="87"/>
      <c r="E103" s="87"/>
      <c r="F103" s="166" t="s">
        <v>897</v>
      </c>
      <c r="G103" s="87"/>
      <c r="H103" s="87"/>
      <c r="I103" s="87"/>
      <c r="J103" s="87"/>
      <c r="K103" s="166" t="s">
        <v>897</v>
      </c>
      <c r="L103" s="87"/>
      <c r="M103" s="87"/>
      <c r="N103" s="87"/>
      <c r="O103" s="87"/>
      <c r="P103" s="166" t="s">
        <v>897</v>
      </c>
      <c r="Q103" s="87"/>
      <c r="R103" s="87"/>
      <c r="S103" s="87"/>
      <c r="T103" s="87"/>
      <c r="U103" s="87"/>
      <c r="V103" s="87"/>
      <c r="W103" s="87"/>
      <c r="X103" s="87"/>
      <c r="Y103" s="87"/>
      <c r="Z103" s="87"/>
      <c r="AA103" s="87"/>
    </row>
    <row r="104" spans="1:27" ht="16.5" customHeight="1" x14ac:dyDescent="0.6">
      <c r="A104" s="166" t="s">
        <v>897</v>
      </c>
      <c r="B104" s="87"/>
      <c r="C104" s="87"/>
      <c r="D104" s="87"/>
      <c r="E104" s="87"/>
      <c r="F104" s="166" t="s">
        <v>897</v>
      </c>
      <c r="G104" s="87"/>
      <c r="H104" s="87"/>
      <c r="I104" s="87"/>
      <c r="J104" s="87"/>
      <c r="K104" s="166" t="s">
        <v>897</v>
      </c>
      <c r="L104" s="87"/>
      <c r="M104" s="87"/>
      <c r="N104" s="87"/>
      <c r="O104" s="87"/>
      <c r="P104" s="166" t="s">
        <v>897</v>
      </c>
      <c r="Q104" s="87"/>
      <c r="R104" s="87"/>
      <c r="S104" s="87"/>
      <c r="T104" s="87"/>
      <c r="U104" s="87"/>
      <c r="V104" s="87"/>
      <c r="W104" s="87"/>
      <c r="X104" s="87"/>
      <c r="Y104" s="87"/>
      <c r="Z104" s="87"/>
      <c r="AA104" s="87"/>
    </row>
    <row r="105" spans="1:27" ht="16.5" customHeight="1" x14ac:dyDescent="0.6">
      <c r="A105" s="166" t="s">
        <v>897</v>
      </c>
      <c r="B105" s="87"/>
      <c r="C105" s="87"/>
      <c r="D105" s="87"/>
      <c r="E105" s="87"/>
      <c r="F105" s="166" t="s">
        <v>897</v>
      </c>
      <c r="G105" s="87"/>
      <c r="H105" s="87"/>
      <c r="I105" s="87"/>
      <c r="J105" s="87"/>
      <c r="K105" s="166" t="s">
        <v>897</v>
      </c>
      <c r="L105" s="87"/>
      <c r="M105" s="87"/>
      <c r="N105" s="87"/>
      <c r="O105" s="87"/>
      <c r="P105" s="166" t="s">
        <v>897</v>
      </c>
      <c r="Q105" s="87"/>
      <c r="R105" s="87"/>
      <c r="S105" s="87"/>
      <c r="T105" s="87"/>
      <c r="U105" s="87"/>
      <c r="V105" s="87"/>
      <c r="W105" s="87"/>
      <c r="X105" s="87"/>
      <c r="Y105" s="87"/>
      <c r="Z105" s="87"/>
      <c r="AA105" s="87"/>
    </row>
    <row r="106" spans="1:27" ht="16.5" customHeight="1" x14ac:dyDescent="0.6">
      <c r="A106" s="166" t="s">
        <v>897</v>
      </c>
      <c r="B106" s="87"/>
      <c r="C106" s="87"/>
      <c r="D106" s="87"/>
      <c r="E106" s="87"/>
      <c r="F106" s="166" t="s">
        <v>897</v>
      </c>
      <c r="G106" s="87"/>
      <c r="H106" s="87"/>
      <c r="I106" s="87"/>
      <c r="J106" s="87"/>
      <c r="K106" s="166" t="s">
        <v>897</v>
      </c>
      <c r="L106" s="87"/>
      <c r="M106" s="87"/>
      <c r="N106" s="87"/>
      <c r="O106" s="87"/>
      <c r="P106" s="166" t="s">
        <v>897</v>
      </c>
      <c r="Q106" s="87"/>
      <c r="R106" s="87"/>
      <c r="S106" s="87"/>
      <c r="T106" s="87"/>
      <c r="U106" s="87"/>
      <c r="V106" s="87"/>
      <c r="W106" s="87"/>
      <c r="X106" s="87"/>
      <c r="Y106" s="87"/>
      <c r="Z106" s="87"/>
      <c r="AA106" s="87"/>
    </row>
    <row r="107" spans="1:27" ht="16.5" customHeight="1" x14ac:dyDescent="0.6">
      <c r="A107" s="166" t="s">
        <v>897</v>
      </c>
      <c r="B107" s="87"/>
      <c r="C107" s="87"/>
      <c r="D107" s="87"/>
      <c r="E107" s="87"/>
      <c r="F107" s="166" t="s">
        <v>897</v>
      </c>
      <c r="G107" s="87"/>
      <c r="H107" s="87"/>
      <c r="I107" s="87"/>
      <c r="J107" s="87"/>
      <c r="K107" s="166" t="s">
        <v>897</v>
      </c>
      <c r="L107" s="87"/>
      <c r="M107" s="87"/>
      <c r="N107" s="87"/>
      <c r="O107" s="87"/>
      <c r="P107" s="166" t="s">
        <v>897</v>
      </c>
      <c r="Q107" s="87"/>
      <c r="R107" s="87"/>
      <c r="S107" s="87"/>
      <c r="T107" s="87"/>
      <c r="U107" s="87"/>
      <c r="V107" s="87"/>
      <c r="W107" s="87"/>
      <c r="X107" s="87"/>
      <c r="Y107" s="87"/>
      <c r="Z107" s="87"/>
      <c r="AA107" s="87"/>
    </row>
    <row r="108" spans="1:27" ht="16.5" customHeight="1" x14ac:dyDescent="0.6">
      <c r="A108" s="166" t="s">
        <v>897</v>
      </c>
      <c r="B108" s="87"/>
      <c r="C108" s="87"/>
      <c r="D108" s="87"/>
      <c r="E108" s="87"/>
      <c r="F108" s="166" t="s">
        <v>897</v>
      </c>
      <c r="G108" s="87"/>
      <c r="H108" s="87"/>
      <c r="I108" s="87"/>
      <c r="J108" s="87"/>
      <c r="K108" s="166" t="s">
        <v>897</v>
      </c>
      <c r="L108" s="87"/>
      <c r="M108" s="87"/>
      <c r="N108" s="87"/>
      <c r="O108" s="87"/>
      <c r="P108" s="166" t="s">
        <v>897</v>
      </c>
      <c r="Q108" s="87"/>
      <c r="R108" s="87"/>
      <c r="S108" s="87"/>
      <c r="T108" s="87"/>
      <c r="U108" s="87"/>
      <c r="V108" s="87"/>
      <c r="W108" s="87"/>
      <c r="X108" s="87"/>
      <c r="Y108" s="87"/>
      <c r="Z108" s="87"/>
      <c r="AA108" s="87"/>
    </row>
    <row r="109" spans="1:27" ht="16.5" customHeight="1" x14ac:dyDescent="0.6">
      <c r="A109" s="166"/>
      <c r="B109" s="87"/>
      <c r="C109" s="87"/>
      <c r="D109" s="87"/>
      <c r="E109" s="87"/>
      <c r="F109" s="166"/>
      <c r="G109" s="87"/>
      <c r="H109" s="87"/>
      <c r="I109" s="87"/>
      <c r="J109" s="87"/>
      <c r="K109" s="166"/>
      <c r="L109" s="87"/>
      <c r="M109" s="87"/>
      <c r="N109" s="87"/>
      <c r="O109" s="87"/>
      <c r="P109" s="166"/>
      <c r="Q109" s="87"/>
      <c r="R109" s="87"/>
      <c r="S109" s="87"/>
      <c r="T109" s="87"/>
      <c r="U109" s="87"/>
      <c r="V109" s="87"/>
      <c r="W109" s="87"/>
      <c r="X109" s="87"/>
      <c r="Y109" s="87"/>
      <c r="Z109" s="87"/>
      <c r="AA109" s="87"/>
    </row>
    <row r="110" spans="1:27" ht="16.5" customHeight="1" x14ac:dyDescent="0.6">
      <c r="A110" s="166"/>
      <c r="B110" s="87"/>
      <c r="C110" s="87"/>
      <c r="D110" s="87"/>
      <c r="E110" s="87"/>
      <c r="F110" s="166"/>
      <c r="G110" s="87"/>
      <c r="H110" s="87"/>
      <c r="I110" s="87"/>
      <c r="J110" s="87"/>
      <c r="K110" s="166"/>
      <c r="L110" s="87"/>
      <c r="M110" s="87"/>
      <c r="N110" s="87"/>
      <c r="O110" s="87"/>
      <c r="P110" s="166"/>
      <c r="Q110" s="87"/>
      <c r="R110" s="87"/>
      <c r="S110" s="87"/>
      <c r="T110" s="87"/>
      <c r="U110" s="87"/>
      <c r="V110" s="87"/>
      <c r="W110" s="87"/>
      <c r="X110" s="87"/>
      <c r="Y110" s="87"/>
      <c r="Z110" s="87"/>
      <c r="AA110" s="87"/>
    </row>
    <row r="111" spans="1:27" ht="16.5" customHeight="1" x14ac:dyDescent="0.6">
      <c r="A111" s="166"/>
      <c r="B111" s="87"/>
      <c r="C111" s="87"/>
      <c r="D111" s="87"/>
      <c r="E111" s="87"/>
      <c r="F111" s="166"/>
      <c r="G111" s="87"/>
      <c r="H111" s="87"/>
      <c r="I111" s="87"/>
      <c r="J111" s="87"/>
      <c r="K111" s="166"/>
      <c r="L111" s="87"/>
      <c r="M111" s="87"/>
      <c r="N111" s="87"/>
      <c r="O111" s="87"/>
      <c r="P111" s="166"/>
      <c r="Q111" s="87"/>
      <c r="R111" s="87"/>
      <c r="S111" s="87"/>
      <c r="T111" s="87"/>
      <c r="U111" s="87"/>
      <c r="V111" s="87"/>
      <c r="W111" s="87"/>
      <c r="X111" s="87"/>
      <c r="Y111" s="87"/>
      <c r="Z111" s="87"/>
      <c r="AA111" s="87"/>
    </row>
    <row r="112" spans="1:27" ht="16.5" customHeight="1" x14ac:dyDescent="0.6">
      <c r="A112" s="166"/>
      <c r="B112" s="87"/>
      <c r="C112" s="87"/>
      <c r="D112" s="87"/>
      <c r="E112" s="87"/>
      <c r="F112" s="166"/>
      <c r="G112" s="87"/>
      <c r="H112" s="87"/>
      <c r="I112" s="87"/>
      <c r="J112" s="87"/>
      <c r="K112" s="166"/>
      <c r="L112" s="87"/>
      <c r="M112" s="87"/>
      <c r="N112" s="87"/>
      <c r="O112" s="87"/>
      <c r="P112" s="166"/>
      <c r="Q112" s="87"/>
      <c r="R112" s="87"/>
      <c r="S112" s="87"/>
      <c r="T112" s="87"/>
      <c r="U112" s="87"/>
      <c r="V112" s="87"/>
      <c r="W112" s="87"/>
      <c r="X112" s="87"/>
      <c r="Y112" s="87"/>
      <c r="Z112" s="87"/>
      <c r="AA112" s="87"/>
    </row>
    <row r="113" spans="1:27" ht="16.5" customHeight="1" x14ac:dyDescent="0.6">
      <c r="A113" s="166"/>
      <c r="B113" s="87"/>
      <c r="C113" s="87"/>
      <c r="D113" s="87"/>
      <c r="E113" s="87"/>
      <c r="F113" s="166"/>
      <c r="G113" s="87"/>
      <c r="H113" s="87"/>
      <c r="I113" s="87"/>
      <c r="J113" s="87"/>
      <c r="K113" s="166"/>
      <c r="L113" s="87"/>
      <c r="M113" s="87"/>
      <c r="N113" s="87"/>
      <c r="O113" s="87"/>
      <c r="P113" s="166"/>
      <c r="Q113" s="87"/>
      <c r="R113" s="87"/>
      <c r="S113" s="87"/>
      <c r="T113" s="87"/>
      <c r="U113" s="87"/>
      <c r="V113" s="87"/>
      <c r="W113" s="87"/>
      <c r="X113" s="87"/>
      <c r="Y113" s="87"/>
      <c r="Z113" s="87"/>
      <c r="AA113" s="87"/>
    </row>
    <row r="114" spans="1:27" ht="16.5" customHeight="1" x14ac:dyDescent="0.6">
      <c r="A114" s="166"/>
      <c r="B114" s="87"/>
      <c r="C114" s="87"/>
      <c r="D114" s="87"/>
      <c r="E114" s="87"/>
      <c r="F114" s="166"/>
      <c r="G114" s="87"/>
      <c r="H114" s="87"/>
      <c r="I114" s="87"/>
      <c r="J114" s="87"/>
      <c r="K114" s="166"/>
      <c r="L114" s="87"/>
      <c r="M114" s="87"/>
      <c r="N114" s="87"/>
      <c r="O114" s="87"/>
      <c r="P114" s="166"/>
      <c r="Q114" s="87"/>
      <c r="R114" s="87"/>
      <c r="S114" s="87"/>
      <c r="T114" s="87"/>
      <c r="U114" s="87"/>
      <c r="V114" s="87"/>
      <c r="W114" s="87"/>
      <c r="X114" s="87"/>
      <c r="Y114" s="87"/>
      <c r="Z114" s="87"/>
      <c r="AA114" s="87"/>
    </row>
    <row r="115" spans="1:27" ht="16.5" customHeight="1" x14ac:dyDescent="0.6">
      <c r="A115" s="166"/>
      <c r="B115" s="87"/>
      <c r="C115" s="87"/>
      <c r="D115" s="87"/>
      <c r="E115" s="87"/>
      <c r="F115" s="166"/>
      <c r="G115" s="87"/>
      <c r="H115" s="87"/>
      <c r="I115" s="87"/>
      <c r="J115" s="87"/>
      <c r="K115" s="166"/>
      <c r="L115" s="87"/>
      <c r="M115" s="87"/>
      <c r="N115" s="87"/>
      <c r="O115" s="87"/>
      <c r="P115" s="166"/>
      <c r="Q115" s="87"/>
      <c r="R115" s="87"/>
      <c r="S115" s="87"/>
      <c r="T115" s="87"/>
      <c r="U115" s="87"/>
      <c r="V115" s="87"/>
      <c r="W115" s="87"/>
      <c r="X115" s="87"/>
      <c r="Y115" s="87"/>
      <c r="Z115" s="87"/>
      <c r="AA115" s="87"/>
    </row>
    <row r="116" spans="1:27" ht="16.5" customHeight="1" x14ac:dyDescent="0.6">
      <c r="A116" s="166"/>
      <c r="B116" s="87"/>
      <c r="C116" s="87"/>
      <c r="D116" s="87"/>
      <c r="E116" s="87"/>
      <c r="F116" s="166"/>
      <c r="G116" s="87"/>
      <c r="H116" s="87"/>
      <c r="I116" s="87"/>
      <c r="J116" s="87"/>
      <c r="K116" s="166"/>
      <c r="L116" s="87"/>
      <c r="M116" s="87"/>
      <c r="N116" s="87"/>
      <c r="O116" s="87"/>
      <c r="P116" s="166"/>
      <c r="Q116" s="87"/>
      <c r="R116" s="87"/>
      <c r="S116" s="87"/>
      <c r="T116" s="87"/>
      <c r="U116" s="87"/>
      <c r="V116" s="87"/>
      <c r="W116" s="87"/>
      <c r="X116" s="87"/>
      <c r="Y116" s="87"/>
      <c r="Z116" s="87"/>
      <c r="AA116" s="87"/>
    </row>
    <row r="117" spans="1:27" ht="28.5" customHeight="1" x14ac:dyDescent="0.6">
      <c r="A117" s="166"/>
      <c r="B117" s="87"/>
      <c r="C117" s="87"/>
      <c r="D117" s="87"/>
      <c r="E117" s="87"/>
      <c r="F117" s="166"/>
      <c r="G117" s="87"/>
      <c r="H117" s="87"/>
      <c r="I117" s="87"/>
      <c r="J117" s="87"/>
      <c r="K117" s="166"/>
      <c r="L117" s="87"/>
      <c r="M117" s="87"/>
      <c r="N117" s="87"/>
      <c r="O117" s="87"/>
      <c r="P117" s="166"/>
      <c r="Q117" s="87"/>
      <c r="R117" s="87"/>
      <c r="S117" s="87"/>
      <c r="T117" s="87"/>
      <c r="U117" s="87"/>
      <c r="V117" s="87"/>
      <c r="W117" s="87"/>
      <c r="X117" s="87"/>
      <c r="Y117" s="87"/>
      <c r="Z117" s="87"/>
      <c r="AA117" s="87"/>
    </row>
    <row r="118" spans="1:27" ht="16.5" customHeight="1" x14ac:dyDescent="0.6">
      <c r="A118" s="166"/>
      <c r="B118" s="87"/>
      <c r="C118" s="87"/>
      <c r="D118" s="87"/>
      <c r="E118" s="87"/>
      <c r="F118" s="166"/>
      <c r="G118" s="87"/>
      <c r="H118" s="87"/>
      <c r="I118" s="87"/>
      <c r="J118" s="87"/>
      <c r="K118" s="166"/>
      <c r="L118" s="87"/>
      <c r="M118" s="87"/>
      <c r="N118" s="87"/>
      <c r="O118" s="87"/>
      <c r="P118" s="166"/>
      <c r="Q118" s="87"/>
      <c r="R118" s="87"/>
      <c r="S118" s="87"/>
      <c r="T118" s="87"/>
      <c r="U118" s="87"/>
      <c r="V118" s="87"/>
      <c r="W118" s="87"/>
      <c r="X118" s="87"/>
      <c r="Y118" s="87"/>
      <c r="Z118" s="87"/>
      <c r="AA118" s="87"/>
    </row>
    <row r="119" spans="1:27" ht="16.5" customHeight="1" x14ac:dyDescent="0.6">
      <c r="A119" s="166"/>
      <c r="B119" s="87"/>
      <c r="C119" s="87"/>
      <c r="D119" s="87"/>
      <c r="E119" s="87"/>
      <c r="F119" s="166"/>
      <c r="G119" s="87"/>
      <c r="H119" s="87"/>
      <c r="I119" s="87"/>
      <c r="J119" s="87"/>
      <c r="K119" s="166"/>
      <c r="L119" s="87"/>
      <c r="M119" s="87"/>
      <c r="N119" s="87"/>
      <c r="O119" s="87"/>
      <c r="P119" s="166"/>
      <c r="Q119" s="87"/>
      <c r="R119" s="87"/>
      <c r="S119" s="87"/>
      <c r="T119" s="87"/>
      <c r="U119" s="87"/>
      <c r="V119" s="87"/>
      <c r="W119" s="87"/>
      <c r="X119" s="87"/>
      <c r="Y119" s="87"/>
      <c r="Z119" s="87"/>
      <c r="AA119" s="87"/>
    </row>
    <row r="120" spans="1:27" ht="16.5" customHeight="1" x14ac:dyDescent="0.6">
      <c r="A120" s="166"/>
      <c r="B120" s="87"/>
      <c r="C120" s="87"/>
      <c r="D120" s="87"/>
      <c r="E120" s="87"/>
      <c r="F120" s="166"/>
      <c r="G120" s="87"/>
      <c r="H120" s="87"/>
      <c r="I120" s="87"/>
      <c r="J120" s="87"/>
      <c r="K120" s="166"/>
      <c r="L120" s="87"/>
      <c r="M120" s="87"/>
      <c r="N120" s="87"/>
      <c r="O120" s="87"/>
      <c r="P120" s="166"/>
      <c r="Q120" s="87"/>
      <c r="R120" s="87"/>
      <c r="S120" s="87"/>
      <c r="T120" s="87"/>
      <c r="U120" s="87"/>
      <c r="V120" s="87"/>
      <c r="W120" s="87"/>
      <c r="X120" s="87"/>
      <c r="Y120" s="87"/>
      <c r="Z120" s="87"/>
      <c r="AA120" s="87"/>
    </row>
    <row r="121" spans="1:27" ht="16.5" customHeight="1" x14ac:dyDescent="0.6">
      <c r="A121" s="166"/>
      <c r="B121" s="87"/>
      <c r="C121" s="87"/>
      <c r="D121" s="87"/>
      <c r="E121" s="87"/>
      <c r="F121" s="166"/>
      <c r="G121" s="87"/>
      <c r="H121" s="87"/>
      <c r="I121" s="87"/>
      <c r="J121" s="87"/>
      <c r="K121" s="166"/>
      <c r="L121" s="87"/>
      <c r="M121" s="87"/>
      <c r="N121" s="87"/>
      <c r="O121" s="87"/>
      <c r="P121" s="166"/>
      <c r="Q121" s="87"/>
      <c r="R121" s="87"/>
      <c r="S121" s="87"/>
      <c r="T121" s="87"/>
      <c r="U121" s="87"/>
      <c r="V121" s="87"/>
      <c r="W121" s="87"/>
      <c r="X121" s="87"/>
      <c r="Y121" s="87"/>
      <c r="Z121" s="87"/>
      <c r="AA121" s="87"/>
    </row>
    <row r="122" spans="1:27" ht="16.5" customHeight="1" x14ac:dyDescent="0.6">
      <c r="A122" s="166"/>
      <c r="B122" s="87"/>
      <c r="C122" s="87"/>
      <c r="D122" s="87"/>
      <c r="E122" s="87"/>
      <c r="F122" s="166"/>
      <c r="G122" s="87"/>
      <c r="H122" s="87"/>
      <c r="I122" s="87"/>
      <c r="J122" s="87"/>
      <c r="K122" s="166"/>
      <c r="L122" s="87"/>
      <c r="M122" s="87"/>
      <c r="N122" s="87"/>
      <c r="O122" s="87"/>
      <c r="P122" s="166"/>
      <c r="Q122" s="87"/>
      <c r="R122" s="87"/>
      <c r="S122" s="87"/>
      <c r="T122" s="87"/>
      <c r="U122" s="87"/>
      <c r="V122" s="87"/>
      <c r="W122" s="87"/>
      <c r="X122" s="87"/>
      <c r="Y122" s="87"/>
      <c r="Z122" s="87"/>
      <c r="AA122" s="87"/>
    </row>
    <row r="123" spans="1:27" ht="16.5" customHeight="1" x14ac:dyDescent="0.6">
      <c r="A123" s="166"/>
      <c r="B123" s="87"/>
      <c r="C123" s="87"/>
      <c r="D123" s="87"/>
      <c r="E123" s="87"/>
      <c r="F123" s="166"/>
      <c r="G123" s="87"/>
      <c r="H123" s="87"/>
      <c r="I123" s="87"/>
      <c r="J123" s="87"/>
      <c r="K123" s="166"/>
      <c r="L123" s="87"/>
      <c r="M123" s="87"/>
      <c r="N123" s="87"/>
      <c r="O123" s="87"/>
      <c r="P123" s="166"/>
      <c r="Q123" s="87"/>
      <c r="R123" s="87"/>
      <c r="S123" s="87"/>
      <c r="T123" s="87"/>
      <c r="U123" s="87"/>
      <c r="V123" s="87"/>
      <c r="W123" s="87"/>
      <c r="X123" s="87"/>
      <c r="Y123" s="87"/>
      <c r="Z123" s="87"/>
      <c r="AA123" s="87"/>
    </row>
    <row r="124" spans="1:27" ht="28.5" customHeight="1" x14ac:dyDescent="0.6">
      <c r="A124" s="166"/>
      <c r="B124" s="87"/>
      <c r="C124" s="87"/>
      <c r="D124" s="87"/>
      <c r="E124" s="87"/>
      <c r="F124" s="166"/>
      <c r="G124" s="87"/>
      <c r="H124" s="87"/>
      <c r="I124" s="87"/>
      <c r="J124" s="87"/>
      <c r="K124" s="166"/>
      <c r="L124" s="87"/>
      <c r="M124" s="87"/>
      <c r="N124" s="87"/>
      <c r="O124" s="87"/>
      <c r="P124" s="166"/>
      <c r="Q124" s="87"/>
      <c r="R124" s="87"/>
      <c r="S124" s="87"/>
      <c r="T124" s="87"/>
      <c r="U124" s="87"/>
      <c r="V124" s="87"/>
      <c r="W124" s="87"/>
      <c r="X124" s="87"/>
      <c r="Y124" s="87"/>
      <c r="Z124" s="87"/>
      <c r="AA124" s="87"/>
    </row>
    <row r="125" spans="1:27" ht="16.5" customHeight="1" x14ac:dyDescent="0.6">
      <c r="A125" s="166"/>
      <c r="B125" s="87"/>
      <c r="C125" s="87"/>
      <c r="D125" s="87"/>
      <c r="E125" s="87"/>
      <c r="F125" s="166"/>
      <c r="G125" s="87"/>
      <c r="H125" s="87"/>
      <c r="I125" s="87"/>
      <c r="J125" s="87"/>
      <c r="K125" s="166"/>
      <c r="L125" s="87"/>
      <c r="M125" s="87"/>
      <c r="N125" s="87"/>
      <c r="O125" s="87"/>
      <c r="P125" s="166"/>
      <c r="Q125" s="87"/>
      <c r="R125" s="87"/>
      <c r="S125" s="87"/>
      <c r="T125" s="87"/>
      <c r="U125" s="87"/>
      <c r="V125" s="87"/>
      <c r="W125" s="87"/>
      <c r="X125" s="87"/>
      <c r="Y125" s="87"/>
      <c r="Z125" s="87"/>
      <c r="AA125" s="87"/>
    </row>
    <row r="126" spans="1:27" ht="16.5" customHeight="1" x14ac:dyDescent="0.6">
      <c r="A126" s="166"/>
      <c r="B126" s="87"/>
      <c r="C126" s="87"/>
      <c r="D126" s="87"/>
      <c r="E126" s="87"/>
      <c r="F126" s="166"/>
      <c r="G126" s="87"/>
      <c r="H126" s="87"/>
      <c r="I126" s="87"/>
      <c r="J126" s="87"/>
      <c r="K126" s="166"/>
      <c r="L126" s="87"/>
      <c r="M126" s="87"/>
      <c r="N126" s="87"/>
      <c r="O126" s="87"/>
      <c r="P126" s="166"/>
      <c r="Q126" s="87"/>
      <c r="R126" s="87"/>
      <c r="S126" s="87"/>
      <c r="T126" s="87"/>
      <c r="U126" s="87"/>
      <c r="V126" s="87"/>
      <c r="W126" s="87"/>
      <c r="X126" s="87"/>
      <c r="Y126" s="87"/>
      <c r="Z126" s="87"/>
      <c r="AA126" s="87"/>
    </row>
    <row r="127" spans="1:27" ht="16.5" customHeight="1" x14ac:dyDescent="0.6">
      <c r="A127" s="166"/>
      <c r="B127" s="87"/>
      <c r="C127" s="87"/>
      <c r="D127" s="87"/>
      <c r="E127" s="87"/>
      <c r="F127" s="166"/>
      <c r="G127" s="87"/>
      <c r="H127" s="87"/>
      <c r="I127" s="87"/>
      <c r="J127" s="87"/>
      <c r="K127" s="166"/>
      <c r="L127" s="87"/>
      <c r="M127" s="87"/>
      <c r="N127" s="87"/>
      <c r="O127" s="87"/>
      <c r="P127" s="166"/>
      <c r="Q127" s="87"/>
      <c r="R127" s="87"/>
      <c r="S127" s="87"/>
      <c r="T127" s="87"/>
      <c r="U127" s="87"/>
      <c r="V127" s="87"/>
      <c r="W127" s="87"/>
      <c r="X127" s="87"/>
      <c r="Y127" s="87"/>
      <c r="Z127" s="87"/>
      <c r="AA127" s="87"/>
    </row>
    <row r="128" spans="1:27" ht="16.5" customHeight="1" x14ac:dyDescent="0.6">
      <c r="A128" s="166"/>
      <c r="B128" s="87"/>
      <c r="C128" s="87"/>
      <c r="D128" s="87"/>
      <c r="E128" s="87"/>
      <c r="F128" s="166"/>
      <c r="G128" s="87"/>
      <c r="H128" s="87"/>
      <c r="I128" s="87"/>
      <c r="J128" s="87"/>
      <c r="K128" s="166"/>
      <c r="L128" s="87"/>
      <c r="M128" s="87"/>
      <c r="N128" s="87"/>
      <c r="O128" s="87"/>
      <c r="P128" s="166"/>
      <c r="Q128" s="87"/>
      <c r="R128" s="87"/>
      <c r="S128" s="87"/>
      <c r="T128" s="87"/>
      <c r="U128" s="87"/>
      <c r="V128" s="87"/>
      <c r="W128" s="87"/>
      <c r="X128" s="87"/>
      <c r="Y128" s="87"/>
      <c r="Z128" s="87"/>
      <c r="AA128" s="87"/>
    </row>
    <row r="129" spans="1:27" ht="16.5" customHeight="1" x14ac:dyDescent="0.6">
      <c r="A129" s="166"/>
      <c r="B129" s="87"/>
      <c r="C129" s="87"/>
      <c r="D129" s="87"/>
      <c r="E129" s="87"/>
      <c r="F129" s="166"/>
      <c r="G129" s="87"/>
      <c r="H129" s="87"/>
      <c r="I129" s="87"/>
      <c r="J129" s="87"/>
      <c r="K129" s="166"/>
      <c r="L129" s="87"/>
      <c r="M129" s="87"/>
      <c r="N129" s="87"/>
      <c r="O129" s="87"/>
      <c r="P129" s="166"/>
      <c r="Q129" s="87"/>
      <c r="R129" s="87"/>
      <c r="S129" s="87"/>
      <c r="T129" s="87"/>
      <c r="U129" s="87"/>
      <c r="V129" s="87"/>
      <c r="W129" s="87"/>
      <c r="X129" s="87"/>
      <c r="Y129" s="87"/>
      <c r="Z129" s="87"/>
      <c r="AA129" s="87"/>
    </row>
    <row r="130" spans="1:27" ht="16.5" customHeight="1" x14ac:dyDescent="0.6">
      <c r="A130" s="166"/>
      <c r="B130" s="87"/>
      <c r="C130" s="87"/>
      <c r="D130" s="87"/>
      <c r="E130" s="87"/>
      <c r="F130" s="166"/>
      <c r="G130" s="87"/>
      <c r="H130" s="87"/>
      <c r="I130" s="87"/>
      <c r="J130" s="87"/>
      <c r="K130" s="166"/>
      <c r="L130" s="87"/>
      <c r="M130" s="87"/>
      <c r="N130" s="87"/>
      <c r="O130" s="87"/>
      <c r="P130" s="166"/>
      <c r="Q130" s="87"/>
      <c r="R130" s="87"/>
      <c r="S130" s="87"/>
      <c r="T130" s="87"/>
      <c r="U130" s="87"/>
      <c r="V130" s="87"/>
      <c r="W130" s="87"/>
      <c r="X130" s="87"/>
      <c r="Y130" s="87"/>
      <c r="Z130" s="87"/>
      <c r="AA130" s="87"/>
    </row>
    <row r="131" spans="1:27" ht="16.5" customHeight="1" x14ac:dyDescent="0.6">
      <c r="A131" s="166"/>
      <c r="B131" s="87"/>
      <c r="C131" s="87"/>
      <c r="D131" s="87"/>
      <c r="E131" s="87"/>
      <c r="F131" s="166"/>
      <c r="G131" s="87"/>
      <c r="H131" s="87"/>
      <c r="I131" s="87"/>
      <c r="J131" s="87"/>
      <c r="K131" s="166"/>
      <c r="L131" s="87"/>
      <c r="M131" s="87"/>
      <c r="N131" s="87"/>
      <c r="O131" s="87"/>
      <c r="P131" s="166"/>
      <c r="Q131" s="87"/>
      <c r="R131" s="87"/>
      <c r="S131" s="87"/>
      <c r="T131" s="87"/>
      <c r="U131" s="87"/>
      <c r="V131" s="87"/>
      <c r="W131" s="87"/>
      <c r="X131" s="87"/>
      <c r="Y131" s="87"/>
      <c r="Z131" s="87"/>
      <c r="AA131" s="87"/>
    </row>
    <row r="132" spans="1:27" ht="16.5" customHeight="1" x14ac:dyDescent="0.6">
      <c r="A132" s="166"/>
      <c r="B132" s="87"/>
      <c r="C132" s="87"/>
      <c r="D132" s="87"/>
      <c r="E132" s="87"/>
      <c r="F132" s="166"/>
      <c r="G132" s="87"/>
      <c r="H132" s="87"/>
      <c r="I132" s="87"/>
      <c r="J132" s="87"/>
      <c r="K132" s="166"/>
      <c r="L132" s="87"/>
      <c r="M132" s="87"/>
      <c r="N132" s="87"/>
      <c r="O132" s="87"/>
      <c r="P132" s="166"/>
      <c r="Q132" s="87"/>
      <c r="R132" s="87"/>
      <c r="S132" s="87"/>
      <c r="T132" s="87"/>
      <c r="U132" s="87"/>
      <c r="V132" s="87"/>
      <c r="W132" s="87"/>
      <c r="X132" s="87"/>
      <c r="Y132" s="87"/>
      <c r="Z132" s="87"/>
      <c r="AA132" s="87"/>
    </row>
    <row r="133" spans="1:27" ht="16.5" customHeight="1" x14ac:dyDescent="0.6">
      <c r="A133" s="166"/>
      <c r="B133" s="87"/>
      <c r="C133" s="87"/>
      <c r="D133" s="87"/>
      <c r="E133" s="87"/>
      <c r="F133" s="166"/>
      <c r="G133" s="87"/>
      <c r="H133" s="87"/>
      <c r="I133" s="87"/>
      <c r="J133" s="87"/>
      <c r="K133" s="166"/>
      <c r="L133" s="87"/>
      <c r="M133" s="87"/>
      <c r="N133" s="87"/>
      <c r="O133" s="87"/>
      <c r="P133" s="166"/>
      <c r="Q133" s="87"/>
      <c r="R133" s="87"/>
      <c r="S133" s="87"/>
      <c r="T133" s="87"/>
      <c r="U133" s="87"/>
      <c r="V133" s="87"/>
      <c r="W133" s="87"/>
      <c r="X133" s="87"/>
      <c r="Y133" s="87"/>
      <c r="Z133" s="87"/>
      <c r="AA133" s="87"/>
    </row>
    <row r="134" spans="1:27" ht="16.5" customHeight="1" x14ac:dyDescent="0.6">
      <c r="A134" s="166"/>
      <c r="B134" s="87"/>
      <c r="C134" s="87"/>
      <c r="D134" s="87"/>
      <c r="E134" s="87"/>
      <c r="F134" s="166"/>
      <c r="G134" s="87"/>
      <c r="H134" s="87"/>
      <c r="I134" s="87"/>
      <c r="J134" s="87"/>
      <c r="K134" s="166"/>
      <c r="L134" s="87"/>
      <c r="M134" s="87"/>
      <c r="N134" s="87"/>
      <c r="O134" s="87"/>
      <c r="P134" s="166"/>
      <c r="Q134" s="87"/>
      <c r="R134" s="87"/>
      <c r="S134" s="87"/>
      <c r="T134" s="87"/>
      <c r="U134" s="87"/>
      <c r="V134" s="87"/>
      <c r="W134" s="87"/>
      <c r="X134" s="87"/>
      <c r="Y134" s="87"/>
      <c r="Z134" s="87"/>
      <c r="AA134" s="87"/>
    </row>
    <row r="135" spans="1:27" ht="16.5" customHeight="1" x14ac:dyDescent="0.6">
      <c r="A135" s="166"/>
      <c r="B135" s="87"/>
      <c r="C135" s="87"/>
      <c r="D135" s="87"/>
      <c r="E135" s="87"/>
      <c r="F135" s="166"/>
      <c r="G135" s="87"/>
      <c r="H135" s="87"/>
      <c r="I135" s="87"/>
      <c r="J135" s="87"/>
      <c r="K135" s="166"/>
      <c r="L135" s="87"/>
      <c r="M135" s="87"/>
      <c r="N135" s="87"/>
      <c r="O135" s="87"/>
      <c r="P135" s="166"/>
      <c r="Q135" s="87"/>
      <c r="R135" s="87"/>
      <c r="S135" s="87"/>
      <c r="T135" s="87"/>
      <c r="U135" s="87"/>
      <c r="V135" s="87"/>
      <c r="W135" s="87"/>
      <c r="X135" s="87"/>
      <c r="Y135" s="87"/>
      <c r="Z135" s="87"/>
      <c r="AA135" s="87"/>
    </row>
    <row r="136" spans="1:27" ht="16.5" customHeight="1" x14ac:dyDescent="0.6">
      <c r="A136" s="166"/>
      <c r="B136" s="87"/>
      <c r="C136" s="87"/>
      <c r="D136" s="87"/>
      <c r="E136" s="87"/>
      <c r="F136" s="166"/>
      <c r="G136" s="87"/>
      <c r="H136" s="87"/>
      <c r="I136" s="87"/>
      <c r="J136" s="87"/>
      <c r="K136" s="166"/>
      <c r="L136" s="87"/>
      <c r="M136" s="87"/>
      <c r="N136" s="87"/>
      <c r="O136" s="87"/>
      <c r="P136" s="166"/>
      <c r="Q136" s="87"/>
      <c r="R136" s="87"/>
      <c r="S136" s="87"/>
      <c r="T136" s="87"/>
      <c r="U136" s="87"/>
      <c r="V136" s="87"/>
      <c r="W136" s="87"/>
      <c r="X136" s="87"/>
      <c r="Y136" s="87"/>
      <c r="Z136" s="87"/>
      <c r="AA136" s="87"/>
    </row>
    <row r="137" spans="1:27" ht="28.5" customHeight="1" x14ac:dyDescent="0.6">
      <c r="A137" s="166"/>
      <c r="B137" s="87"/>
      <c r="C137" s="87"/>
      <c r="D137" s="87"/>
      <c r="E137" s="87"/>
      <c r="F137" s="166"/>
      <c r="G137" s="87"/>
      <c r="H137" s="87"/>
      <c r="I137" s="87"/>
      <c r="J137" s="87"/>
      <c r="K137" s="166"/>
      <c r="L137" s="87"/>
      <c r="M137" s="87"/>
      <c r="N137" s="87"/>
      <c r="O137" s="87"/>
      <c r="P137" s="166"/>
      <c r="Q137" s="87"/>
      <c r="R137" s="87"/>
      <c r="S137" s="87"/>
      <c r="T137" s="87"/>
      <c r="U137" s="87"/>
      <c r="V137" s="87"/>
      <c r="W137" s="87"/>
      <c r="X137" s="87"/>
      <c r="Y137" s="87"/>
      <c r="Z137" s="87"/>
      <c r="AA137" s="87"/>
    </row>
    <row r="138" spans="1:27" ht="16.5" customHeight="1" x14ac:dyDescent="0.6">
      <c r="A138" s="166"/>
      <c r="B138" s="87"/>
      <c r="C138" s="87"/>
      <c r="D138" s="87"/>
      <c r="E138" s="87"/>
      <c r="F138" s="166"/>
      <c r="G138" s="87"/>
      <c r="H138" s="87"/>
      <c r="I138" s="87"/>
      <c r="J138" s="87"/>
      <c r="K138" s="166"/>
      <c r="L138" s="87"/>
      <c r="M138" s="87"/>
      <c r="N138" s="87"/>
      <c r="O138" s="87"/>
      <c r="P138" s="166"/>
      <c r="Q138" s="87"/>
      <c r="R138" s="87"/>
      <c r="S138" s="87"/>
      <c r="T138" s="87"/>
      <c r="U138" s="87"/>
      <c r="V138" s="87"/>
      <c r="W138" s="87"/>
      <c r="X138" s="87"/>
      <c r="Y138" s="87"/>
      <c r="Z138" s="87"/>
      <c r="AA138" s="87"/>
    </row>
    <row r="139" spans="1:27" ht="16.5" customHeight="1" x14ac:dyDescent="0.6">
      <c r="A139" s="166"/>
      <c r="B139" s="87"/>
      <c r="C139" s="87"/>
      <c r="D139" s="87"/>
      <c r="E139" s="87"/>
      <c r="F139" s="166"/>
      <c r="G139" s="87"/>
      <c r="H139" s="87"/>
      <c r="I139" s="87"/>
      <c r="J139" s="87"/>
      <c r="K139" s="166"/>
      <c r="L139" s="87"/>
      <c r="M139" s="87"/>
      <c r="N139" s="87"/>
      <c r="O139" s="87"/>
      <c r="P139" s="166"/>
      <c r="Q139" s="87"/>
      <c r="R139" s="87"/>
      <c r="S139" s="87"/>
      <c r="T139" s="87"/>
      <c r="U139" s="87"/>
      <c r="V139" s="87"/>
      <c r="W139" s="87"/>
      <c r="X139" s="87"/>
      <c r="Y139" s="87"/>
      <c r="Z139" s="87"/>
      <c r="AA139" s="87"/>
    </row>
    <row r="140" spans="1:27" ht="16.5" customHeight="1" x14ac:dyDescent="0.6">
      <c r="A140" s="166"/>
      <c r="B140" s="87"/>
      <c r="C140" s="87"/>
      <c r="D140" s="87"/>
      <c r="E140" s="87"/>
      <c r="F140" s="166"/>
      <c r="G140" s="87"/>
      <c r="H140" s="87"/>
      <c r="I140" s="87"/>
      <c r="J140" s="87"/>
      <c r="K140" s="166"/>
      <c r="L140" s="87"/>
      <c r="M140" s="87"/>
      <c r="N140" s="87"/>
      <c r="O140" s="87"/>
      <c r="P140" s="166"/>
      <c r="Q140" s="87"/>
      <c r="R140" s="87"/>
      <c r="S140" s="87"/>
      <c r="T140" s="87"/>
      <c r="U140" s="87"/>
      <c r="V140" s="87"/>
      <c r="W140" s="87"/>
      <c r="X140" s="87"/>
      <c r="Y140" s="87"/>
      <c r="Z140" s="87"/>
      <c r="AA140" s="87"/>
    </row>
    <row r="141" spans="1:27" ht="16.5" customHeight="1" x14ac:dyDescent="0.6">
      <c r="A141" s="166"/>
      <c r="B141" s="87"/>
      <c r="C141" s="87"/>
      <c r="D141" s="87"/>
      <c r="E141" s="87"/>
      <c r="F141" s="166"/>
      <c r="G141" s="87"/>
      <c r="H141" s="87"/>
      <c r="I141" s="87"/>
      <c r="J141" s="87"/>
      <c r="K141" s="166"/>
      <c r="L141" s="87"/>
      <c r="M141" s="87"/>
      <c r="N141" s="87"/>
      <c r="O141" s="87"/>
      <c r="P141" s="166"/>
      <c r="Q141" s="87"/>
      <c r="R141" s="87"/>
      <c r="S141" s="87"/>
      <c r="T141" s="87"/>
      <c r="U141" s="87"/>
      <c r="V141" s="87"/>
      <c r="W141" s="87"/>
      <c r="X141" s="87"/>
      <c r="Y141" s="87"/>
      <c r="Z141" s="87"/>
      <c r="AA141" s="87"/>
    </row>
    <row r="142" spans="1:27" ht="16.5" customHeight="1" x14ac:dyDescent="0.6">
      <c r="A142" s="166"/>
      <c r="B142" s="87"/>
      <c r="C142" s="87"/>
      <c r="D142" s="87"/>
      <c r="E142" s="87"/>
      <c r="F142" s="166"/>
      <c r="G142" s="87"/>
      <c r="H142" s="87"/>
      <c r="I142" s="87"/>
      <c r="J142" s="87"/>
      <c r="K142" s="166"/>
      <c r="L142" s="87"/>
      <c r="M142" s="87"/>
      <c r="N142" s="87"/>
      <c r="O142" s="87"/>
      <c r="P142" s="166"/>
      <c r="Q142" s="87"/>
      <c r="R142" s="87"/>
      <c r="S142" s="87"/>
      <c r="T142" s="87"/>
      <c r="U142" s="87"/>
      <c r="V142" s="87"/>
      <c r="W142" s="87"/>
      <c r="X142" s="87"/>
      <c r="Y142" s="87"/>
      <c r="Z142" s="87"/>
      <c r="AA142" s="87"/>
    </row>
    <row r="143" spans="1:27" ht="28.5" customHeight="1" x14ac:dyDescent="0.6">
      <c r="A143" s="166"/>
      <c r="B143" s="87"/>
      <c r="C143" s="87"/>
      <c r="D143" s="87"/>
      <c r="E143" s="87"/>
      <c r="F143" s="166"/>
      <c r="G143" s="87"/>
      <c r="H143" s="87"/>
      <c r="I143" s="87"/>
      <c r="J143" s="87"/>
      <c r="K143" s="166"/>
      <c r="L143" s="87"/>
      <c r="M143" s="87"/>
      <c r="N143" s="87"/>
      <c r="O143" s="87"/>
      <c r="P143" s="166"/>
      <c r="Q143" s="87"/>
      <c r="R143" s="87"/>
      <c r="S143" s="87"/>
      <c r="T143" s="87"/>
      <c r="U143" s="87"/>
      <c r="V143" s="87"/>
      <c r="W143" s="87"/>
      <c r="X143" s="87"/>
      <c r="Y143" s="87"/>
      <c r="Z143" s="87"/>
      <c r="AA143" s="87"/>
    </row>
    <row r="144" spans="1:27" ht="16.5" customHeight="1" x14ac:dyDescent="0.6">
      <c r="A144" s="166"/>
      <c r="B144" s="87"/>
      <c r="C144" s="87"/>
      <c r="D144" s="87"/>
      <c r="E144" s="87"/>
      <c r="F144" s="166"/>
      <c r="G144" s="87"/>
      <c r="H144" s="87"/>
      <c r="I144" s="87"/>
      <c r="J144" s="87"/>
      <c r="K144" s="166"/>
      <c r="L144" s="87"/>
      <c r="M144" s="87"/>
      <c r="N144" s="87"/>
      <c r="O144" s="87"/>
      <c r="P144" s="166"/>
      <c r="Q144" s="87"/>
      <c r="R144" s="87"/>
      <c r="S144" s="87"/>
      <c r="T144" s="87"/>
      <c r="U144" s="87"/>
      <c r="V144" s="87"/>
      <c r="W144" s="87"/>
      <c r="X144" s="87"/>
      <c r="Y144" s="87"/>
      <c r="Z144" s="87"/>
      <c r="AA144" s="87"/>
    </row>
    <row r="145" spans="1:27" ht="16.5" customHeight="1" x14ac:dyDescent="0.6">
      <c r="A145" s="166"/>
      <c r="B145" s="87"/>
      <c r="C145" s="87"/>
      <c r="D145" s="87"/>
      <c r="E145" s="87"/>
      <c r="F145" s="166"/>
      <c r="G145" s="87"/>
      <c r="H145" s="87"/>
      <c r="I145" s="87"/>
      <c r="J145" s="87"/>
      <c r="K145" s="166"/>
      <c r="L145" s="87"/>
      <c r="M145" s="87"/>
      <c r="N145" s="87"/>
      <c r="O145" s="87"/>
      <c r="P145" s="166"/>
      <c r="Q145" s="87"/>
      <c r="R145" s="87"/>
      <c r="S145" s="87"/>
      <c r="T145" s="87"/>
      <c r="U145" s="87"/>
      <c r="V145" s="87"/>
      <c r="W145" s="87"/>
      <c r="X145" s="87"/>
      <c r="Y145" s="87"/>
      <c r="Z145" s="87"/>
      <c r="AA145" s="87"/>
    </row>
    <row r="146" spans="1:27" ht="16.5" customHeight="1" x14ac:dyDescent="0.6">
      <c r="A146" s="166"/>
      <c r="B146" s="87"/>
      <c r="C146" s="87"/>
      <c r="D146" s="87"/>
      <c r="E146" s="87"/>
      <c r="F146" s="166"/>
      <c r="G146" s="87"/>
      <c r="H146" s="87"/>
      <c r="I146" s="87"/>
      <c r="J146" s="87"/>
      <c r="K146" s="166"/>
      <c r="L146" s="87"/>
      <c r="M146" s="87"/>
      <c r="N146" s="87"/>
      <c r="O146" s="87"/>
      <c r="P146" s="166"/>
      <c r="Q146" s="87"/>
      <c r="R146" s="87"/>
      <c r="S146" s="87"/>
      <c r="T146" s="87"/>
      <c r="U146" s="87"/>
      <c r="V146" s="87"/>
      <c r="W146" s="87"/>
      <c r="X146" s="87"/>
      <c r="Y146" s="87"/>
      <c r="Z146" s="87"/>
      <c r="AA146" s="87"/>
    </row>
    <row r="147" spans="1:27" ht="16.5" customHeight="1" x14ac:dyDescent="0.6">
      <c r="A147" s="166"/>
      <c r="B147" s="87"/>
      <c r="C147" s="87"/>
      <c r="D147" s="87"/>
      <c r="E147" s="87"/>
      <c r="F147" s="166"/>
      <c r="G147" s="87"/>
      <c r="H147" s="87"/>
      <c r="I147" s="87"/>
      <c r="J147" s="87"/>
      <c r="K147" s="166"/>
      <c r="L147" s="87"/>
      <c r="M147" s="87"/>
      <c r="N147" s="87"/>
      <c r="O147" s="87"/>
      <c r="P147" s="166"/>
      <c r="Q147" s="87"/>
      <c r="R147" s="87"/>
      <c r="S147" s="87"/>
      <c r="T147" s="87"/>
      <c r="U147" s="87"/>
      <c r="V147" s="87"/>
      <c r="W147" s="87"/>
      <c r="X147" s="87"/>
      <c r="Y147" s="87"/>
      <c r="Z147" s="87"/>
      <c r="AA147" s="87"/>
    </row>
    <row r="148" spans="1:27" ht="16.5" customHeight="1" x14ac:dyDescent="0.6">
      <c r="A148" s="166"/>
      <c r="B148" s="87"/>
      <c r="C148" s="87"/>
      <c r="D148" s="87"/>
      <c r="E148" s="87"/>
      <c r="F148" s="166"/>
      <c r="G148" s="87"/>
      <c r="H148" s="87"/>
      <c r="I148" s="87"/>
      <c r="J148" s="87"/>
      <c r="K148" s="166"/>
      <c r="L148" s="87"/>
      <c r="M148" s="87"/>
      <c r="N148" s="87"/>
      <c r="O148" s="87"/>
      <c r="P148" s="166"/>
      <c r="Q148" s="87"/>
      <c r="R148" s="87"/>
      <c r="S148" s="87"/>
      <c r="T148" s="87"/>
      <c r="U148" s="87"/>
      <c r="V148" s="87"/>
      <c r="W148" s="87"/>
      <c r="X148" s="87"/>
      <c r="Y148" s="87"/>
      <c r="Z148" s="87"/>
      <c r="AA148" s="87"/>
    </row>
    <row r="149" spans="1:27" ht="16.5" customHeight="1" x14ac:dyDescent="0.6">
      <c r="A149" s="166"/>
      <c r="B149" s="87"/>
      <c r="C149" s="87"/>
      <c r="D149" s="87"/>
      <c r="E149" s="87"/>
      <c r="F149" s="166"/>
      <c r="G149" s="87"/>
      <c r="H149" s="87"/>
      <c r="I149" s="87"/>
      <c r="J149" s="87"/>
      <c r="K149" s="166"/>
      <c r="L149" s="87"/>
      <c r="M149" s="87"/>
      <c r="N149" s="87"/>
      <c r="O149" s="87"/>
      <c r="P149" s="166"/>
      <c r="Q149" s="87"/>
      <c r="R149" s="87"/>
      <c r="S149" s="87"/>
      <c r="T149" s="87"/>
      <c r="U149" s="87"/>
      <c r="V149" s="87"/>
      <c r="W149" s="87"/>
      <c r="X149" s="87"/>
      <c r="Y149" s="87"/>
      <c r="Z149" s="87"/>
      <c r="AA149" s="87"/>
    </row>
    <row r="150" spans="1:27" ht="16.5" customHeight="1" x14ac:dyDescent="0.6">
      <c r="A150" s="166"/>
      <c r="B150" s="87"/>
      <c r="C150" s="87"/>
      <c r="D150" s="87"/>
      <c r="E150" s="87"/>
      <c r="F150" s="166"/>
      <c r="G150" s="87"/>
      <c r="H150" s="87"/>
      <c r="I150" s="87"/>
      <c r="J150" s="87"/>
      <c r="K150" s="166"/>
      <c r="L150" s="87"/>
      <c r="M150" s="87"/>
      <c r="N150" s="87"/>
      <c r="O150" s="87"/>
      <c r="P150" s="166"/>
      <c r="Q150" s="87"/>
      <c r="R150" s="87"/>
      <c r="S150" s="87"/>
      <c r="T150" s="87"/>
      <c r="U150" s="87"/>
      <c r="V150" s="87"/>
      <c r="W150" s="87"/>
      <c r="X150" s="87"/>
      <c r="Y150" s="87"/>
      <c r="Z150" s="87"/>
      <c r="AA150" s="87"/>
    </row>
    <row r="151" spans="1:27" ht="16.5" customHeight="1" x14ac:dyDescent="0.6">
      <c r="A151" s="166"/>
      <c r="B151" s="87"/>
      <c r="C151" s="87"/>
      <c r="D151" s="87"/>
      <c r="E151" s="87"/>
      <c r="F151" s="166"/>
      <c r="G151" s="87"/>
      <c r="H151" s="87"/>
      <c r="I151" s="87"/>
      <c r="J151" s="87"/>
      <c r="K151" s="166"/>
      <c r="L151" s="87"/>
      <c r="M151" s="87"/>
      <c r="N151" s="87"/>
      <c r="O151" s="87"/>
      <c r="P151" s="166"/>
      <c r="Q151" s="87"/>
      <c r="R151" s="87"/>
      <c r="S151" s="87"/>
      <c r="T151" s="87"/>
      <c r="U151" s="87"/>
      <c r="V151" s="87"/>
      <c r="W151" s="87"/>
      <c r="X151" s="87"/>
      <c r="Y151" s="87"/>
      <c r="Z151" s="87"/>
      <c r="AA151" s="87"/>
    </row>
    <row r="152" spans="1:27" ht="16.5" customHeight="1" x14ac:dyDescent="0.6">
      <c r="A152" s="166"/>
      <c r="B152" s="87"/>
      <c r="C152" s="87"/>
      <c r="D152" s="87"/>
      <c r="E152" s="87"/>
      <c r="F152" s="166"/>
      <c r="G152" s="87"/>
      <c r="H152" s="87"/>
      <c r="I152" s="87"/>
      <c r="J152" s="87"/>
      <c r="K152" s="166"/>
      <c r="L152" s="87"/>
      <c r="M152" s="87"/>
      <c r="N152" s="87"/>
      <c r="O152" s="87"/>
      <c r="P152" s="166"/>
      <c r="Q152" s="87"/>
      <c r="R152" s="87"/>
      <c r="S152" s="87"/>
      <c r="T152" s="87"/>
      <c r="U152" s="87"/>
      <c r="V152" s="87"/>
      <c r="W152" s="87"/>
      <c r="X152" s="87"/>
      <c r="Y152" s="87"/>
      <c r="Z152" s="87"/>
      <c r="AA152" s="87"/>
    </row>
    <row r="153" spans="1:27" ht="16.5" customHeight="1" x14ac:dyDescent="0.6">
      <c r="A153" s="166"/>
      <c r="B153" s="87"/>
      <c r="C153" s="87"/>
      <c r="D153" s="87"/>
      <c r="E153" s="87"/>
      <c r="F153" s="166"/>
      <c r="G153" s="87"/>
      <c r="H153" s="87"/>
      <c r="I153" s="87"/>
      <c r="J153" s="87"/>
      <c r="K153" s="166"/>
      <c r="L153" s="87"/>
      <c r="M153" s="87"/>
      <c r="N153" s="87"/>
      <c r="O153" s="87"/>
      <c r="P153" s="166"/>
      <c r="Q153" s="87"/>
      <c r="R153" s="87"/>
      <c r="S153" s="87"/>
      <c r="T153" s="87"/>
      <c r="U153" s="87"/>
      <c r="V153" s="87"/>
      <c r="W153" s="87"/>
      <c r="X153" s="87"/>
      <c r="Y153" s="87"/>
      <c r="Z153" s="87"/>
      <c r="AA153" s="87"/>
    </row>
    <row r="154" spans="1:27" ht="16.5" customHeight="1" x14ac:dyDescent="0.6">
      <c r="A154" s="166"/>
      <c r="B154" s="87"/>
      <c r="C154" s="87"/>
      <c r="D154" s="87"/>
      <c r="E154" s="87"/>
      <c r="F154" s="166"/>
      <c r="G154" s="87"/>
      <c r="H154" s="87"/>
      <c r="I154" s="87"/>
      <c r="J154" s="87"/>
      <c r="K154" s="166"/>
      <c r="L154" s="87"/>
      <c r="M154" s="87"/>
      <c r="N154" s="87"/>
      <c r="O154" s="87"/>
      <c r="P154" s="166"/>
      <c r="Q154" s="87"/>
      <c r="R154" s="87"/>
      <c r="S154" s="87"/>
      <c r="T154" s="87"/>
      <c r="U154" s="87"/>
      <c r="V154" s="87"/>
      <c r="W154" s="87"/>
      <c r="X154" s="87"/>
      <c r="Y154" s="87"/>
      <c r="Z154" s="87"/>
      <c r="AA154" s="87"/>
    </row>
    <row r="155" spans="1:27" ht="16.5" customHeight="1" x14ac:dyDescent="0.6">
      <c r="A155" s="166"/>
      <c r="B155" s="87"/>
      <c r="C155" s="87"/>
      <c r="D155" s="87"/>
      <c r="E155" s="87"/>
      <c r="F155" s="166"/>
      <c r="G155" s="87"/>
      <c r="H155" s="87"/>
      <c r="I155" s="87"/>
      <c r="J155" s="87"/>
      <c r="K155" s="166"/>
      <c r="L155" s="87"/>
      <c r="M155" s="87"/>
      <c r="N155" s="87"/>
      <c r="O155" s="87"/>
      <c r="P155" s="166"/>
      <c r="Q155" s="87"/>
      <c r="R155" s="87"/>
      <c r="S155" s="87"/>
      <c r="T155" s="87"/>
      <c r="U155" s="87"/>
      <c r="V155" s="87"/>
      <c r="W155" s="87"/>
      <c r="X155" s="87"/>
      <c r="Y155" s="87"/>
      <c r="Z155" s="87"/>
      <c r="AA155" s="87"/>
    </row>
    <row r="156" spans="1:27" ht="28.5" customHeight="1" x14ac:dyDescent="0.6">
      <c r="A156" s="166"/>
      <c r="B156" s="87"/>
      <c r="C156" s="87"/>
      <c r="D156" s="87"/>
      <c r="E156" s="87"/>
      <c r="F156" s="166"/>
      <c r="G156" s="87"/>
      <c r="H156" s="87"/>
      <c r="I156" s="87"/>
      <c r="J156" s="87"/>
      <c r="K156" s="166"/>
      <c r="L156" s="87"/>
      <c r="M156" s="87"/>
      <c r="N156" s="87"/>
      <c r="O156" s="87"/>
      <c r="P156" s="166"/>
      <c r="Q156" s="87"/>
      <c r="R156" s="87"/>
      <c r="S156" s="87"/>
      <c r="T156" s="87"/>
      <c r="U156" s="87"/>
      <c r="V156" s="87"/>
      <c r="W156" s="87"/>
      <c r="X156" s="87"/>
      <c r="Y156" s="87"/>
      <c r="Z156" s="87"/>
      <c r="AA156" s="87"/>
    </row>
    <row r="157" spans="1:27" ht="16.5" customHeight="1" x14ac:dyDescent="0.6">
      <c r="A157" s="166"/>
      <c r="B157" s="87"/>
      <c r="C157" s="87"/>
      <c r="D157" s="87"/>
      <c r="E157" s="87"/>
      <c r="F157" s="166"/>
      <c r="G157" s="87"/>
      <c r="H157" s="87"/>
      <c r="I157" s="87"/>
      <c r="J157" s="87"/>
      <c r="K157" s="166"/>
      <c r="L157" s="87"/>
      <c r="M157" s="87"/>
      <c r="N157" s="87"/>
      <c r="O157" s="87"/>
      <c r="P157" s="166"/>
      <c r="Q157" s="87"/>
      <c r="R157" s="87"/>
      <c r="S157" s="87"/>
      <c r="T157" s="87"/>
      <c r="U157" s="87"/>
      <c r="V157" s="87"/>
      <c r="W157" s="87"/>
      <c r="X157" s="87"/>
      <c r="Y157" s="87"/>
      <c r="Z157" s="87"/>
      <c r="AA157" s="87"/>
    </row>
    <row r="158" spans="1:27" ht="16.5" customHeight="1" x14ac:dyDescent="0.6">
      <c r="A158" s="166"/>
      <c r="B158" s="87"/>
      <c r="C158" s="87"/>
      <c r="D158" s="87"/>
      <c r="E158" s="87"/>
      <c r="F158" s="166"/>
      <c r="G158" s="87"/>
      <c r="H158" s="87"/>
      <c r="I158" s="87"/>
      <c r="J158" s="87"/>
      <c r="K158" s="166"/>
      <c r="L158" s="87"/>
      <c r="M158" s="87"/>
      <c r="N158" s="87"/>
      <c r="O158" s="87"/>
      <c r="P158" s="166"/>
      <c r="Q158" s="87"/>
      <c r="R158" s="87"/>
      <c r="S158" s="87"/>
      <c r="T158" s="87"/>
      <c r="U158" s="87"/>
      <c r="V158" s="87"/>
      <c r="W158" s="87"/>
      <c r="X158" s="87"/>
      <c r="Y158" s="87"/>
      <c r="Z158" s="87"/>
      <c r="AA158" s="87"/>
    </row>
    <row r="159" spans="1:27" ht="16.5" customHeight="1" x14ac:dyDescent="0.6">
      <c r="A159" s="166"/>
      <c r="B159" s="87"/>
      <c r="C159" s="87"/>
      <c r="D159" s="87"/>
      <c r="E159" s="87"/>
      <c r="F159" s="166"/>
      <c r="G159" s="87"/>
      <c r="H159" s="87"/>
      <c r="I159" s="87"/>
      <c r="J159" s="87"/>
      <c r="K159" s="166"/>
      <c r="L159" s="87"/>
      <c r="M159" s="87"/>
      <c r="N159" s="87"/>
      <c r="O159" s="87"/>
      <c r="P159" s="166"/>
      <c r="Q159" s="87"/>
      <c r="R159" s="87"/>
      <c r="S159" s="87"/>
      <c r="T159" s="87"/>
      <c r="U159" s="87"/>
      <c r="V159" s="87"/>
      <c r="W159" s="87"/>
      <c r="X159" s="87"/>
      <c r="Y159" s="87"/>
      <c r="Z159" s="87"/>
      <c r="AA159" s="87"/>
    </row>
    <row r="160" spans="1:27" ht="16.5" customHeight="1" x14ac:dyDescent="0.6">
      <c r="A160" s="166"/>
      <c r="B160" s="87"/>
      <c r="C160" s="87"/>
      <c r="D160" s="87"/>
      <c r="E160" s="87"/>
      <c r="F160" s="166"/>
      <c r="G160" s="87"/>
      <c r="H160" s="87"/>
      <c r="I160" s="87"/>
      <c r="J160" s="87"/>
      <c r="K160" s="166"/>
      <c r="L160" s="87"/>
      <c r="M160" s="87"/>
      <c r="N160" s="87"/>
      <c r="O160" s="87"/>
      <c r="P160" s="166"/>
      <c r="Q160" s="87"/>
      <c r="R160" s="87"/>
      <c r="S160" s="87"/>
      <c r="T160" s="87"/>
      <c r="U160" s="87"/>
      <c r="V160" s="87"/>
      <c r="W160" s="87"/>
      <c r="X160" s="87"/>
      <c r="Y160" s="87"/>
      <c r="Z160" s="87"/>
      <c r="AA160" s="87"/>
    </row>
    <row r="161" spans="1:27" ht="16.5" customHeight="1" x14ac:dyDescent="0.6">
      <c r="A161" s="166"/>
      <c r="B161" s="87"/>
      <c r="C161" s="87"/>
      <c r="D161" s="87"/>
      <c r="E161" s="87"/>
      <c r="F161" s="166"/>
      <c r="G161" s="87"/>
      <c r="H161" s="87"/>
      <c r="I161" s="87"/>
      <c r="J161" s="87"/>
      <c r="K161" s="166"/>
      <c r="L161" s="87"/>
      <c r="M161" s="87"/>
      <c r="N161" s="87"/>
      <c r="O161" s="87"/>
      <c r="P161" s="166"/>
      <c r="Q161" s="87"/>
      <c r="R161" s="87"/>
      <c r="S161" s="87"/>
      <c r="T161" s="87"/>
      <c r="U161" s="87"/>
      <c r="V161" s="87"/>
      <c r="W161" s="87"/>
      <c r="X161" s="87"/>
      <c r="Y161" s="87"/>
      <c r="Z161" s="87"/>
      <c r="AA161" s="87"/>
    </row>
    <row r="162" spans="1:27" ht="16.5" customHeight="1" x14ac:dyDescent="0.6">
      <c r="A162" s="166"/>
      <c r="B162" s="87"/>
      <c r="C162" s="87"/>
      <c r="D162" s="87"/>
      <c r="E162" s="87"/>
      <c r="F162" s="166"/>
      <c r="G162" s="87"/>
      <c r="H162" s="87"/>
      <c r="I162" s="87"/>
      <c r="J162" s="87"/>
      <c r="K162" s="166"/>
      <c r="L162" s="87"/>
      <c r="M162" s="87"/>
      <c r="N162" s="87"/>
      <c r="O162" s="87"/>
      <c r="P162" s="166"/>
      <c r="Q162" s="87"/>
      <c r="R162" s="87"/>
      <c r="S162" s="87"/>
      <c r="T162" s="87"/>
      <c r="U162" s="87"/>
      <c r="V162" s="87"/>
      <c r="W162" s="87"/>
      <c r="X162" s="87"/>
      <c r="Y162" s="87"/>
      <c r="Z162" s="87"/>
      <c r="AA162" s="87"/>
    </row>
    <row r="163" spans="1:27" ht="28.5" customHeight="1" x14ac:dyDescent="0.6">
      <c r="A163" s="166"/>
      <c r="B163" s="87"/>
      <c r="C163" s="87"/>
      <c r="D163" s="87"/>
      <c r="E163" s="87"/>
      <c r="F163" s="166"/>
      <c r="G163" s="87"/>
      <c r="H163" s="87"/>
      <c r="I163" s="87"/>
      <c r="J163" s="87"/>
      <c r="K163" s="166"/>
      <c r="L163" s="87"/>
      <c r="M163" s="87"/>
      <c r="N163" s="87"/>
      <c r="O163" s="87"/>
      <c r="P163" s="166"/>
      <c r="Q163" s="87"/>
      <c r="R163" s="87"/>
      <c r="S163" s="87"/>
      <c r="T163" s="87"/>
      <c r="U163" s="87"/>
      <c r="V163" s="87"/>
      <c r="W163" s="87"/>
      <c r="X163" s="87"/>
      <c r="Y163" s="87"/>
      <c r="Z163" s="87"/>
      <c r="AA163" s="87"/>
    </row>
    <row r="164" spans="1:27" ht="16.5" customHeight="1" x14ac:dyDescent="0.6">
      <c r="A164" s="166"/>
      <c r="B164" s="87"/>
      <c r="C164" s="87"/>
      <c r="D164" s="87"/>
      <c r="E164" s="87"/>
      <c r="F164" s="166"/>
      <c r="G164" s="87"/>
      <c r="H164" s="87"/>
      <c r="I164" s="87"/>
      <c r="J164" s="87"/>
      <c r="K164" s="166"/>
      <c r="L164" s="87"/>
      <c r="M164" s="87"/>
      <c r="N164" s="87"/>
      <c r="O164" s="87"/>
      <c r="P164" s="166"/>
      <c r="Q164" s="87"/>
      <c r="R164" s="87"/>
      <c r="S164" s="87"/>
      <c r="T164" s="87"/>
      <c r="U164" s="87"/>
      <c r="V164" s="87"/>
      <c r="W164" s="87"/>
      <c r="X164" s="87"/>
      <c r="Y164" s="87"/>
      <c r="Z164" s="87"/>
      <c r="AA164" s="87"/>
    </row>
    <row r="165" spans="1:27" ht="28.5" customHeight="1" x14ac:dyDescent="0.6">
      <c r="A165" s="166"/>
      <c r="B165" s="87"/>
      <c r="C165" s="87"/>
      <c r="D165" s="87"/>
      <c r="E165" s="87"/>
      <c r="F165" s="166"/>
      <c r="G165" s="87"/>
      <c r="H165" s="87"/>
      <c r="I165" s="87"/>
      <c r="J165" s="87"/>
      <c r="K165" s="166"/>
      <c r="L165" s="87"/>
      <c r="M165" s="87"/>
      <c r="N165" s="87"/>
      <c r="O165" s="87"/>
      <c r="P165" s="166"/>
      <c r="Q165" s="87"/>
      <c r="R165" s="87"/>
      <c r="S165" s="87"/>
      <c r="T165" s="87"/>
      <c r="U165" s="87"/>
      <c r="V165" s="87"/>
      <c r="W165" s="87"/>
      <c r="X165" s="87"/>
      <c r="Y165" s="87"/>
      <c r="Z165" s="87"/>
      <c r="AA165" s="87"/>
    </row>
    <row r="166" spans="1:27" ht="16.5" customHeight="1" x14ac:dyDescent="0.6">
      <c r="A166" s="166"/>
      <c r="B166" s="87"/>
      <c r="C166" s="87"/>
      <c r="D166" s="87"/>
      <c r="E166" s="87"/>
      <c r="F166" s="166"/>
      <c r="G166" s="87"/>
      <c r="H166" s="87"/>
      <c r="I166" s="87"/>
      <c r="J166" s="87"/>
      <c r="K166" s="166"/>
      <c r="L166" s="87"/>
      <c r="M166" s="87"/>
      <c r="N166" s="87"/>
      <c r="O166" s="87"/>
      <c r="P166" s="166"/>
      <c r="Q166" s="87"/>
      <c r="R166" s="87"/>
      <c r="S166" s="87"/>
      <c r="T166" s="87"/>
      <c r="U166" s="87"/>
      <c r="V166" s="87"/>
      <c r="W166" s="87"/>
      <c r="X166" s="87"/>
      <c r="Y166" s="87"/>
      <c r="Z166" s="87"/>
      <c r="AA166" s="87"/>
    </row>
    <row r="167" spans="1:27" ht="16.5" customHeight="1" x14ac:dyDescent="0.6">
      <c r="A167" s="166"/>
      <c r="B167" s="87"/>
      <c r="C167" s="87"/>
      <c r="D167" s="87"/>
      <c r="E167" s="87"/>
      <c r="F167" s="166"/>
      <c r="G167" s="87"/>
      <c r="H167" s="87"/>
      <c r="I167" s="87"/>
      <c r="J167" s="87"/>
      <c r="K167" s="166"/>
      <c r="L167" s="87"/>
      <c r="M167" s="87"/>
      <c r="N167" s="87"/>
      <c r="O167" s="87"/>
      <c r="P167" s="166"/>
      <c r="Q167" s="87"/>
      <c r="R167" s="87"/>
      <c r="S167" s="87"/>
      <c r="T167" s="87"/>
      <c r="U167" s="87"/>
      <c r="V167" s="87"/>
      <c r="W167" s="87"/>
      <c r="X167" s="87"/>
      <c r="Y167" s="87"/>
      <c r="Z167" s="87"/>
      <c r="AA167" s="87"/>
    </row>
    <row r="168" spans="1:27" ht="16.5" customHeight="1" x14ac:dyDescent="0.6">
      <c r="A168" s="166"/>
      <c r="B168" s="87"/>
      <c r="C168" s="87"/>
      <c r="D168" s="87"/>
      <c r="E168" s="87"/>
      <c r="F168" s="166"/>
      <c r="G168" s="87"/>
      <c r="H168" s="87"/>
      <c r="I168" s="87"/>
      <c r="J168" s="87"/>
      <c r="K168" s="166"/>
      <c r="L168" s="87"/>
      <c r="M168" s="87"/>
      <c r="N168" s="87"/>
      <c r="O168" s="87"/>
      <c r="P168" s="166"/>
      <c r="Q168" s="87"/>
      <c r="R168" s="87"/>
      <c r="S168" s="87"/>
      <c r="T168" s="87"/>
      <c r="U168" s="87"/>
      <c r="V168" s="87"/>
      <c r="W168" s="87"/>
      <c r="X168" s="87"/>
      <c r="Y168" s="87"/>
      <c r="Z168" s="87"/>
      <c r="AA168" s="87"/>
    </row>
    <row r="169" spans="1:27" ht="16.5" customHeight="1" x14ac:dyDescent="0.6">
      <c r="A169" s="166"/>
      <c r="B169" s="87"/>
      <c r="C169" s="87"/>
      <c r="D169" s="87"/>
      <c r="E169" s="87"/>
      <c r="F169" s="166"/>
      <c r="G169" s="87"/>
      <c r="H169" s="87"/>
      <c r="I169" s="87"/>
      <c r="J169" s="87"/>
      <c r="K169" s="166"/>
      <c r="L169" s="87"/>
      <c r="M169" s="87"/>
      <c r="N169" s="87"/>
      <c r="O169" s="87"/>
      <c r="P169" s="166"/>
      <c r="Q169" s="87"/>
      <c r="R169" s="87"/>
      <c r="S169" s="87"/>
      <c r="T169" s="87"/>
      <c r="U169" s="87"/>
      <c r="V169" s="87"/>
      <c r="W169" s="87"/>
      <c r="X169" s="87"/>
      <c r="Y169" s="87"/>
      <c r="Z169" s="87"/>
      <c r="AA169" s="87"/>
    </row>
    <row r="170" spans="1:27" ht="16.5" customHeight="1" x14ac:dyDescent="0.6">
      <c r="A170" s="166"/>
      <c r="B170" s="87"/>
      <c r="C170" s="87"/>
      <c r="D170" s="87"/>
      <c r="E170" s="87"/>
      <c r="F170" s="166"/>
      <c r="G170" s="87"/>
      <c r="H170" s="87"/>
      <c r="I170" s="87"/>
      <c r="J170" s="87"/>
      <c r="K170" s="166"/>
      <c r="L170" s="87"/>
      <c r="M170" s="87"/>
      <c r="N170" s="87"/>
      <c r="O170" s="87"/>
      <c r="P170" s="166"/>
      <c r="Q170" s="87"/>
      <c r="R170" s="87"/>
      <c r="S170" s="87"/>
      <c r="T170" s="87"/>
      <c r="U170" s="87"/>
      <c r="V170" s="87"/>
      <c r="W170" s="87"/>
      <c r="X170" s="87"/>
      <c r="Y170" s="87"/>
      <c r="Z170" s="87"/>
      <c r="AA170" s="87"/>
    </row>
    <row r="171" spans="1:27" ht="28.5" customHeight="1" x14ac:dyDescent="0.6">
      <c r="A171" s="166"/>
      <c r="B171" s="87"/>
      <c r="C171" s="87"/>
      <c r="D171" s="87"/>
      <c r="E171" s="87"/>
      <c r="F171" s="166"/>
      <c r="G171" s="87"/>
      <c r="H171" s="87"/>
      <c r="I171" s="87"/>
      <c r="J171" s="87"/>
      <c r="K171" s="166"/>
      <c r="L171" s="87"/>
      <c r="M171" s="87"/>
      <c r="N171" s="87"/>
      <c r="O171" s="87"/>
      <c r="P171" s="166"/>
      <c r="Q171" s="87"/>
      <c r="R171" s="87"/>
      <c r="S171" s="87"/>
      <c r="T171" s="87"/>
      <c r="U171" s="87"/>
      <c r="V171" s="87"/>
      <c r="W171" s="87"/>
      <c r="X171" s="87"/>
      <c r="Y171" s="87"/>
      <c r="Z171" s="87"/>
      <c r="AA171" s="87"/>
    </row>
    <row r="172" spans="1:27" ht="16.5" customHeight="1" x14ac:dyDescent="0.6">
      <c r="A172" s="166"/>
      <c r="B172" s="87"/>
      <c r="C172" s="87"/>
      <c r="D172" s="87"/>
      <c r="E172" s="87"/>
      <c r="F172" s="166"/>
      <c r="G172" s="87"/>
      <c r="H172" s="87"/>
      <c r="I172" s="87"/>
      <c r="J172" s="87"/>
      <c r="K172" s="166"/>
      <c r="L172" s="87"/>
      <c r="M172" s="87"/>
      <c r="N172" s="87"/>
      <c r="O172" s="87"/>
      <c r="P172" s="166"/>
      <c r="Q172" s="87"/>
      <c r="R172" s="87"/>
      <c r="S172" s="87"/>
      <c r="T172" s="87"/>
      <c r="U172" s="87"/>
      <c r="V172" s="87"/>
      <c r="W172" s="87"/>
      <c r="X172" s="87"/>
      <c r="Y172" s="87"/>
      <c r="Z172" s="87"/>
      <c r="AA172" s="87"/>
    </row>
    <row r="173" spans="1:27" ht="40.5" customHeight="1" x14ac:dyDescent="0.6">
      <c r="A173" s="166"/>
      <c r="B173" s="87"/>
      <c r="C173" s="87"/>
      <c r="D173" s="87"/>
      <c r="E173" s="87"/>
      <c r="F173" s="166"/>
      <c r="G173" s="87"/>
      <c r="H173" s="87"/>
      <c r="I173" s="87"/>
      <c r="J173" s="87"/>
      <c r="K173" s="166"/>
      <c r="L173" s="87"/>
      <c r="M173" s="87"/>
      <c r="N173" s="87"/>
      <c r="O173" s="87"/>
      <c r="P173" s="166"/>
      <c r="Q173" s="87"/>
      <c r="R173" s="87"/>
      <c r="S173" s="87"/>
      <c r="T173" s="87"/>
      <c r="U173" s="87"/>
      <c r="V173" s="87"/>
      <c r="W173" s="87"/>
      <c r="X173" s="87"/>
      <c r="Y173" s="87"/>
      <c r="Z173" s="87"/>
      <c r="AA173" s="87"/>
    </row>
    <row r="174" spans="1:27" ht="16.5" customHeight="1" x14ac:dyDescent="0.6">
      <c r="A174" s="166"/>
      <c r="B174" s="87"/>
      <c r="C174" s="87"/>
      <c r="D174" s="87"/>
      <c r="E174" s="87"/>
      <c r="F174" s="166"/>
      <c r="G174" s="87"/>
      <c r="H174" s="87"/>
      <c r="I174" s="87"/>
      <c r="J174" s="87"/>
      <c r="K174" s="166"/>
      <c r="L174" s="87"/>
      <c r="M174" s="87"/>
      <c r="N174" s="87"/>
      <c r="O174" s="87"/>
      <c r="P174" s="166"/>
      <c r="Q174" s="87"/>
      <c r="R174" s="87"/>
      <c r="S174" s="87"/>
      <c r="T174" s="87"/>
      <c r="U174" s="87"/>
      <c r="V174" s="87"/>
      <c r="W174" s="87"/>
      <c r="X174" s="87"/>
      <c r="Y174" s="87"/>
      <c r="Z174" s="87"/>
      <c r="AA174" s="87"/>
    </row>
    <row r="175" spans="1:27" ht="16.5" customHeight="1" x14ac:dyDescent="0.6">
      <c r="A175" s="166"/>
      <c r="B175" s="87"/>
      <c r="C175" s="87"/>
      <c r="D175" s="87"/>
      <c r="E175" s="87"/>
      <c r="F175" s="166"/>
      <c r="G175" s="87"/>
      <c r="H175" s="87"/>
      <c r="I175" s="87"/>
      <c r="J175" s="87"/>
      <c r="K175" s="166"/>
      <c r="L175" s="87"/>
      <c r="M175" s="87"/>
      <c r="N175" s="87"/>
      <c r="O175" s="87"/>
      <c r="P175" s="166"/>
      <c r="Q175" s="87"/>
      <c r="R175" s="87"/>
      <c r="S175" s="87"/>
      <c r="T175" s="87"/>
      <c r="U175" s="87"/>
      <c r="V175" s="87"/>
      <c r="W175" s="87"/>
      <c r="X175" s="87"/>
      <c r="Y175" s="87"/>
      <c r="Z175" s="87"/>
      <c r="AA175" s="87"/>
    </row>
    <row r="176" spans="1:27" ht="16.5" customHeight="1" x14ac:dyDescent="0.6">
      <c r="A176" s="166"/>
      <c r="B176" s="87"/>
      <c r="C176" s="87"/>
      <c r="D176" s="87"/>
      <c r="E176" s="87"/>
      <c r="F176" s="166"/>
      <c r="G176" s="87"/>
      <c r="H176" s="87"/>
      <c r="I176" s="87"/>
      <c r="J176" s="87"/>
      <c r="K176" s="166"/>
      <c r="L176" s="87"/>
      <c r="M176" s="87"/>
      <c r="N176" s="87"/>
      <c r="O176" s="87"/>
      <c r="P176" s="166"/>
      <c r="Q176" s="87"/>
      <c r="R176" s="87"/>
      <c r="S176" s="87"/>
      <c r="T176" s="87"/>
      <c r="U176" s="87"/>
      <c r="V176" s="87"/>
      <c r="W176" s="87"/>
      <c r="X176" s="87"/>
      <c r="Y176" s="87"/>
      <c r="Z176" s="87"/>
      <c r="AA176" s="87"/>
    </row>
    <row r="177" spans="1:27" ht="16.5" customHeight="1" x14ac:dyDescent="0.6">
      <c r="A177" s="166"/>
      <c r="B177" s="87"/>
      <c r="C177" s="87"/>
      <c r="D177" s="87"/>
      <c r="E177" s="87"/>
      <c r="F177" s="166"/>
      <c r="G177" s="87"/>
      <c r="H177" s="87"/>
      <c r="I177" s="87"/>
      <c r="J177" s="87"/>
      <c r="K177" s="166"/>
      <c r="L177" s="87"/>
      <c r="M177" s="87"/>
      <c r="N177" s="87"/>
      <c r="O177" s="87"/>
      <c r="P177" s="166"/>
      <c r="Q177" s="87"/>
      <c r="R177" s="87"/>
      <c r="S177" s="87"/>
      <c r="T177" s="87"/>
      <c r="U177" s="87"/>
      <c r="V177" s="87"/>
      <c r="W177" s="87"/>
      <c r="X177" s="87"/>
      <c r="Y177" s="87"/>
      <c r="Z177" s="87"/>
      <c r="AA177" s="87"/>
    </row>
    <row r="178" spans="1:27" ht="16.5" customHeight="1" x14ac:dyDescent="0.6">
      <c r="A178" s="166"/>
      <c r="B178" s="87"/>
      <c r="C178" s="87"/>
      <c r="D178" s="87"/>
      <c r="E178" s="87"/>
      <c r="F178" s="166"/>
      <c r="G178" s="87"/>
      <c r="H178" s="87"/>
      <c r="I178" s="87"/>
      <c r="J178" s="87"/>
      <c r="K178" s="166"/>
      <c r="L178" s="87"/>
      <c r="M178" s="87"/>
      <c r="N178" s="87"/>
      <c r="O178" s="87"/>
      <c r="P178" s="166"/>
      <c r="Q178" s="87"/>
      <c r="R178" s="87"/>
      <c r="S178" s="87"/>
      <c r="T178" s="87"/>
      <c r="U178" s="87"/>
      <c r="V178" s="87"/>
      <c r="W178" s="87"/>
      <c r="X178" s="87"/>
      <c r="Y178" s="87"/>
      <c r="Z178" s="87"/>
      <c r="AA178" s="87"/>
    </row>
    <row r="179" spans="1:27" ht="40.5" customHeight="1" x14ac:dyDescent="0.6">
      <c r="A179" s="166"/>
      <c r="B179" s="87"/>
      <c r="C179" s="87"/>
      <c r="D179" s="87"/>
      <c r="E179" s="87"/>
      <c r="F179" s="166"/>
      <c r="G179" s="87"/>
      <c r="H179" s="87"/>
      <c r="I179" s="87"/>
      <c r="J179" s="87"/>
      <c r="K179" s="166"/>
      <c r="L179" s="87"/>
      <c r="M179" s="87"/>
      <c r="N179" s="87"/>
      <c r="O179" s="87"/>
      <c r="P179" s="166"/>
      <c r="Q179" s="87"/>
      <c r="R179" s="87"/>
      <c r="S179" s="87"/>
      <c r="T179" s="87"/>
      <c r="U179" s="87"/>
      <c r="V179" s="87"/>
      <c r="W179" s="87"/>
      <c r="X179" s="87"/>
      <c r="Y179" s="87"/>
      <c r="Z179" s="87"/>
      <c r="AA179" s="87"/>
    </row>
    <row r="180" spans="1:27" ht="16.5" customHeight="1" x14ac:dyDescent="0.6">
      <c r="A180" s="166"/>
      <c r="B180" s="87"/>
      <c r="C180" s="87"/>
      <c r="D180" s="87"/>
      <c r="E180" s="87"/>
      <c r="F180" s="166"/>
      <c r="G180" s="87"/>
      <c r="H180" s="87"/>
      <c r="I180" s="87"/>
      <c r="J180" s="87"/>
      <c r="K180" s="166"/>
      <c r="L180" s="87"/>
      <c r="M180" s="87"/>
      <c r="N180" s="87"/>
      <c r="O180" s="87"/>
      <c r="P180" s="166"/>
      <c r="Q180" s="87"/>
      <c r="R180" s="87"/>
      <c r="S180" s="87"/>
      <c r="T180" s="87"/>
      <c r="U180" s="87"/>
      <c r="V180" s="87"/>
      <c r="W180" s="87"/>
      <c r="X180" s="87"/>
      <c r="Y180" s="87"/>
      <c r="Z180" s="87"/>
      <c r="AA180" s="87"/>
    </row>
    <row r="181" spans="1:27" ht="16.5" customHeight="1" x14ac:dyDescent="0.6">
      <c r="A181" s="166"/>
      <c r="B181" s="87"/>
      <c r="C181" s="87"/>
      <c r="D181" s="87"/>
      <c r="E181" s="87"/>
      <c r="F181" s="166"/>
      <c r="G181" s="87"/>
      <c r="H181" s="87"/>
      <c r="I181" s="87"/>
      <c r="J181" s="87"/>
      <c r="K181" s="166"/>
      <c r="L181" s="87"/>
      <c r="M181" s="87"/>
      <c r="N181" s="87"/>
      <c r="O181" s="87"/>
      <c r="P181" s="166"/>
      <c r="Q181" s="87"/>
      <c r="R181" s="87"/>
      <c r="S181" s="87"/>
      <c r="T181" s="87"/>
      <c r="U181" s="87"/>
      <c r="V181" s="87"/>
      <c r="W181" s="87"/>
      <c r="X181" s="87"/>
      <c r="Y181" s="87"/>
      <c r="Z181" s="87"/>
      <c r="AA181" s="87"/>
    </row>
    <row r="182" spans="1:27" ht="16.5" customHeight="1" x14ac:dyDescent="0.6">
      <c r="A182" s="166"/>
      <c r="B182" s="87"/>
      <c r="C182" s="87"/>
      <c r="D182" s="87"/>
      <c r="E182" s="87"/>
      <c r="F182" s="166"/>
      <c r="G182" s="87"/>
      <c r="H182" s="87"/>
      <c r="I182" s="87"/>
      <c r="J182" s="87"/>
      <c r="K182" s="166"/>
      <c r="L182" s="87"/>
      <c r="M182" s="87"/>
      <c r="N182" s="87"/>
      <c r="O182" s="87"/>
      <c r="P182" s="166"/>
      <c r="Q182" s="87"/>
      <c r="R182" s="87"/>
      <c r="S182" s="87"/>
      <c r="T182" s="87"/>
      <c r="U182" s="87"/>
      <c r="V182" s="87"/>
      <c r="W182" s="87"/>
      <c r="X182" s="87"/>
      <c r="Y182" s="87"/>
      <c r="Z182" s="87"/>
      <c r="AA182" s="87"/>
    </row>
    <row r="183" spans="1:27" ht="16.5" customHeight="1" x14ac:dyDescent="0.6">
      <c r="A183" s="166"/>
      <c r="B183" s="87"/>
      <c r="C183" s="87"/>
      <c r="D183" s="87"/>
      <c r="E183" s="87"/>
      <c r="F183" s="166"/>
      <c r="G183" s="87"/>
      <c r="H183" s="87"/>
      <c r="I183" s="87"/>
      <c r="J183" s="87"/>
      <c r="K183" s="166"/>
      <c r="L183" s="87"/>
      <c r="M183" s="87"/>
      <c r="N183" s="87"/>
      <c r="O183" s="87"/>
      <c r="P183" s="166"/>
      <c r="Q183" s="87"/>
      <c r="R183" s="87"/>
      <c r="S183" s="87"/>
      <c r="T183" s="87"/>
      <c r="U183" s="87"/>
      <c r="V183" s="87"/>
      <c r="W183" s="87"/>
      <c r="X183" s="87"/>
      <c r="Y183" s="87"/>
      <c r="Z183" s="87"/>
      <c r="AA183" s="87"/>
    </row>
    <row r="184" spans="1:27" ht="16.5" customHeight="1" x14ac:dyDescent="0.6">
      <c r="A184" s="166"/>
      <c r="B184" s="87"/>
      <c r="C184" s="87"/>
      <c r="D184" s="87"/>
      <c r="E184" s="87"/>
      <c r="F184" s="166"/>
      <c r="G184" s="87"/>
      <c r="H184" s="87"/>
      <c r="I184" s="87"/>
      <c r="J184" s="87"/>
      <c r="K184" s="166"/>
      <c r="L184" s="87"/>
      <c r="M184" s="87"/>
      <c r="N184" s="87"/>
      <c r="O184" s="87"/>
      <c r="P184" s="166"/>
      <c r="Q184" s="87"/>
      <c r="R184" s="87"/>
      <c r="S184" s="87"/>
      <c r="T184" s="87"/>
      <c r="U184" s="87"/>
      <c r="V184" s="87"/>
      <c r="W184" s="87"/>
      <c r="X184" s="87"/>
      <c r="Y184" s="87"/>
      <c r="Z184" s="87"/>
      <c r="AA184" s="87"/>
    </row>
    <row r="185" spans="1:27" ht="16.5" customHeight="1" x14ac:dyDescent="0.6">
      <c r="A185" s="166"/>
      <c r="B185" s="87"/>
      <c r="C185" s="87"/>
      <c r="D185" s="87"/>
      <c r="E185" s="87"/>
      <c r="F185" s="166"/>
      <c r="G185" s="87"/>
      <c r="H185" s="87"/>
      <c r="I185" s="87"/>
      <c r="J185" s="87"/>
      <c r="K185" s="166"/>
      <c r="L185" s="87"/>
      <c r="M185" s="87"/>
      <c r="N185" s="87"/>
      <c r="O185" s="87"/>
      <c r="P185" s="166"/>
      <c r="Q185" s="87"/>
      <c r="R185" s="87"/>
      <c r="S185" s="87"/>
      <c r="T185" s="87"/>
      <c r="U185" s="87"/>
      <c r="V185" s="87"/>
      <c r="W185" s="87"/>
      <c r="X185" s="87"/>
      <c r="Y185" s="87"/>
      <c r="Z185" s="87"/>
      <c r="AA185" s="87"/>
    </row>
    <row r="186" spans="1:27" ht="28.5" customHeight="1" x14ac:dyDescent="0.6">
      <c r="A186" s="166"/>
      <c r="B186" s="87"/>
      <c r="C186" s="87"/>
      <c r="D186" s="87"/>
      <c r="E186" s="87"/>
      <c r="F186" s="166"/>
      <c r="G186" s="87"/>
      <c r="H186" s="87"/>
      <c r="I186" s="87"/>
      <c r="J186" s="87"/>
      <c r="K186" s="166"/>
      <c r="L186" s="87"/>
      <c r="M186" s="87"/>
      <c r="N186" s="87"/>
      <c r="O186" s="87"/>
      <c r="P186" s="166"/>
      <c r="Q186" s="87"/>
      <c r="R186" s="87"/>
      <c r="S186" s="87"/>
      <c r="T186" s="87"/>
      <c r="U186" s="87"/>
      <c r="V186" s="87"/>
      <c r="W186" s="87"/>
      <c r="X186" s="87"/>
      <c r="Y186" s="87"/>
      <c r="Z186" s="87"/>
      <c r="AA186" s="87"/>
    </row>
    <row r="187" spans="1:27" ht="16.5" customHeight="1" x14ac:dyDescent="0.6">
      <c r="A187" s="166"/>
      <c r="B187" s="87"/>
      <c r="C187" s="87"/>
      <c r="D187" s="87"/>
      <c r="E187" s="87"/>
      <c r="F187" s="166"/>
      <c r="G187" s="87"/>
      <c r="H187" s="87"/>
      <c r="I187" s="87"/>
      <c r="J187" s="87"/>
      <c r="K187" s="166"/>
      <c r="L187" s="87"/>
      <c r="M187" s="87"/>
      <c r="N187" s="87"/>
      <c r="O187" s="87"/>
      <c r="P187" s="166"/>
      <c r="Q187" s="87"/>
      <c r="R187" s="87"/>
      <c r="S187" s="87"/>
      <c r="T187" s="87"/>
      <c r="U187" s="87"/>
      <c r="V187" s="87"/>
      <c r="W187" s="87"/>
      <c r="X187" s="87"/>
      <c r="Y187" s="87"/>
      <c r="Z187" s="87"/>
      <c r="AA187" s="87"/>
    </row>
    <row r="188" spans="1:27" ht="16.5" customHeight="1" x14ac:dyDescent="0.6">
      <c r="A188" s="166"/>
      <c r="B188" s="87"/>
      <c r="C188" s="87"/>
      <c r="D188" s="87"/>
      <c r="E188" s="87"/>
      <c r="F188" s="166"/>
      <c r="G188" s="87"/>
      <c r="H188" s="87"/>
      <c r="I188" s="87"/>
      <c r="J188" s="87"/>
      <c r="K188" s="166"/>
      <c r="L188" s="87"/>
      <c r="M188" s="87"/>
      <c r="N188" s="87"/>
      <c r="O188" s="87"/>
      <c r="P188" s="166"/>
      <c r="Q188" s="87"/>
      <c r="R188" s="87"/>
      <c r="S188" s="87"/>
      <c r="T188" s="87"/>
      <c r="U188" s="87"/>
      <c r="V188" s="87"/>
      <c r="W188" s="87"/>
      <c r="X188" s="87"/>
      <c r="Y188" s="87"/>
      <c r="Z188" s="87"/>
      <c r="AA188" s="87"/>
    </row>
    <row r="189" spans="1:27" ht="16.5" customHeight="1" x14ac:dyDescent="0.6">
      <c r="A189" s="166"/>
      <c r="B189" s="87"/>
      <c r="C189" s="87"/>
      <c r="D189" s="87"/>
      <c r="E189" s="87"/>
      <c r="F189" s="166"/>
      <c r="G189" s="87"/>
      <c r="H189" s="87"/>
      <c r="I189" s="87"/>
      <c r="J189" s="87"/>
      <c r="K189" s="166"/>
      <c r="L189" s="87"/>
      <c r="M189" s="87"/>
      <c r="N189" s="87"/>
      <c r="O189" s="87"/>
      <c r="P189" s="166"/>
      <c r="Q189" s="87"/>
      <c r="R189" s="87"/>
      <c r="S189" s="87"/>
      <c r="T189" s="87"/>
      <c r="U189" s="87"/>
      <c r="V189" s="87"/>
      <c r="W189" s="87"/>
      <c r="X189" s="87"/>
      <c r="Y189" s="87"/>
      <c r="Z189" s="87"/>
      <c r="AA189" s="87"/>
    </row>
    <row r="190" spans="1:27" ht="16.5" customHeight="1" x14ac:dyDescent="0.6">
      <c r="A190" s="166"/>
      <c r="B190" s="87"/>
      <c r="C190" s="87"/>
      <c r="D190" s="87"/>
      <c r="E190" s="87"/>
      <c r="F190" s="166"/>
      <c r="G190" s="87"/>
      <c r="H190" s="87"/>
      <c r="I190" s="87"/>
      <c r="J190" s="87"/>
      <c r="K190" s="166"/>
      <c r="L190" s="87"/>
      <c r="M190" s="87"/>
      <c r="N190" s="87"/>
      <c r="O190" s="87"/>
      <c r="P190" s="166"/>
      <c r="Q190" s="87"/>
      <c r="R190" s="87"/>
      <c r="S190" s="87"/>
      <c r="T190" s="87"/>
      <c r="U190" s="87"/>
      <c r="V190" s="87"/>
      <c r="W190" s="87"/>
      <c r="X190" s="87"/>
      <c r="Y190" s="87"/>
      <c r="Z190" s="87"/>
      <c r="AA190" s="87"/>
    </row>
    <row r="191" spans="1:27" ht="16.5" customHeight="1" x14ac:dyDescent="0.6">
      <c r="A191" s="166"/>
      <c r="B191" s="87"/>
      <c r="C191" s="87"/>
      <c r="D191" s="87"/>
      <c r="E191" s="87"/>
      <c r="F191" s="166"/>
      <c r="G191" s="87"/>
      <c r="H191" s="87"/>
      <c r="I191" s="87"/>
      <c r="J191" s="87"/>
      <c r="K191" s="166"/>
      <c r="L191" s="87"/>
      <c r="M191" s="87"/>
      <c r="N191" s="87"/>
      <c r="O191" s="87"/>
      <c r="P191" s="166"/>
      <c r="Q191" s="87"/>
      <c r="R191" s="87"/>
      <c r="S191" s="87"/>
      <c r="T191" s="87"/>
      <c r="U191" s="87"/>
      <c r="V191" s="87"/>
      <c r="W191" s="87"/>
      <c r="X191" s="87"/>
      <c r="Y191" s="87"/>
      <c r="Z191" s="87"/>
      <c r="AA191" s="87"/>
    </row>
    <row r="192" spans="1:27" ht="16.5" customHeight="1" x14ac:dyDescent="0.6">
      <c r="A192" s="166"/>
      <c r="B192" s="87"/>
      <c r="C192" s="87"/>
      <c r="D192" s="87"/>
      <c r="E192" s="87"/>
      <c r="F192" s="166"/>
      <c r="G192" s="87"/>
      <c r="H192" s="87"/>
      <c r="I192" s="87"/>
      <c r="J192" s="87"/>
      <c r="K192" s="166"/>
      <c r="L192" s="87"/>
      <c r="M192" s="87"/>
      <c r="N192" s="87"/>
      <c r="O192" s="87"/>
      <c r="P192" s="166"/>
      <c r="Q192" s="87"/>
      <c r="R192" s="87"/>
      <c r="S192" s="87"/>
      <c r="T192" s="87"/>
      <c r="U192" s="87"/>
      <c r="V192" s="87"/>
      <c r="W192" s="87"/>
      <c r="X192" s="87"/>
      <c r="Y192" s="87"/>
      <c r="Z192" s="87"/>
      <c r="AA192" s="87"/>
    </row>
    <row r="193" spans="1:27" ht="28.5" customHeight="1" x14ac:dyDescent="0.6">
      <c r="A193" s="166"/>
      <c r="B193" s="87"/>
      <c r="C193" s="87"/>
      <c r="D193" s="87"/>
      <c r="E193" s="87"/>
      <c r="F193" s="166"/>
      <c r="G193" s="87"/>
      <c r="H193" s="87"/>
      <c r="I193" s="87"/>
      <c r="J193" s="87"/>
      <c r="K193" s="166"/>
      <c r="L193" s="87"/>
      <c r="M193" s="87"/>
      <c r="N193" s="87"/>
      <c r="O193" s="87"/>
      <c r="P193" s="166"/>
      <c r="Q193" s="87"/>
      <c r="R193" s="87"/>
      <c r="S193" s="87"/>
      <c r="T193" s="87"/>
      <c r="U193" s="87"/>
      <c r="V193" s="87"/>
      <c r="W193" s="87"/>
      <c r="X193" s="87"/>
      <c r="Y193" s="87"/>
      <c r="Z193" s="87"/>
      <c r="AA193" s="87"/>
    </row>
    <row r="194" spans="1:27" ht="28.5" customHeight="1" x14ac:dyDescent="0.6">
      <c r="A194" s="166"/>
      <c r="B194" s="87"/>
      <c r="C194" s="87"/>
      <c r="D194" s="87"/>
      <c r="E194" s="87"/>
      <c r="F194" s="166"/>
      <c r="G194" s="87"/>
      <c r="H194" s="87"/>
      <c r="I194" s="87"/>
      <c r="J194" s="87"/>
      <c r="K194" s="166"/>
      <c r="L194" s="87"/>
      <c r="M194" s="87"/>
      <c r="N194" s="87"/>
      <c r="O194" s="87"/>
      <c r="P194" s="166"/>
      <c r="Q194" s="87"/>
      <c r="R194" s="87"/>
      <c r="S194" s="87"/>
      <c r="T194" s="87"/>
      <c r="U194" s="87"/>
      <c r="V194" s="87"/>
      <c r="W194" s="87"/>
      <c r="X194" s="87"/>
      <c r="Y194" s="87"/>
      <c r="Z194" s="87"/>
      <c r="AA194" s="87"/>
    </row>
    <row r="195" spans="1:27" ht="16.5" customHeight="1" x14ac:dyDescent="0.6">
      <c r="A195" s="166"/>
      <c r="B195" s="87"/>
      <c r="C195" s="87"/>
      <c r="D195" s="87"/>
      <c r="E195" s="87"/>
      <c r="F195" s="166"/>
      <c r="G195" s="87"/>
      <c r="H195" s="87"/>
      <c r="I195" s="87"/>
      <c r="J195" s="87"/>
      <c r="K195" s="166"/>
      <c r="L195" s="87"/>
      <c r="M195" s="87"/>
      <c r="N195" s="87"/>
      <c r="O195" s="87"/>
      <c r="P195" s="166"/>
      <c r="Q195" s="87"/>
      <c r="R195" s="87"/>
      <c r="S195" s="87"/>
      <c r="T195" s="87"/>
      <c r="U195" s="87"/>
      <c r="V195" s="87"/>
      <c r="W195" s="87"/>
      <c r="X195" s="87"/>
      <c r="Y195" s="87"/>
      <c r="Z195" s="87"/>
      <c r="AA195" s="87"/>
    </row>
    <row r="196" spans="1:27" ht="16.5" customHeight="1" x14ac:dyDescent="0.6">
      <c r="A196" s="166"/>
      <c r="B196" s="87"/>
      <c r="C196" s="87"/>
      <c r="D196" s="87"/>
      <c r="E196" s="87"/>
      <c r="F196" s="166"/>
      <c r="G196" s="87"/>
      <c r="H196" s="87"/>
      <c r="I196" s="87"/>
      <c r="J196" s="87"/>
      <c r="K196" s="166"/>
      <c r="L196" s="87"/>
      <c r="M196" s="87"/>
      <c r="N196" s="87"/>
      <c r="O196" s="87"/>
      <c r="P196" s="166"/>
      <c r="Q196" s="87"/>
      <c r="R196" s="87"/>
      <c r="S196" s="87"/>
      <c r="T196" s="87"/>
      <c r="U196" s="87"/>
      <c r="V196" s="87"/>
      <c r="W196" s="87"/>
      <c r="X196" s="87"/>
      <c r="Y196" s="87"/>
      <c r="Z196" s="87"/>
      <c r="AA196" s="87"/>
    </row>
    <row r="197" spans="1:27" ht="16.5" customHeight="1" x14ac:dyDescent="0.6">
      <c r="A197" s="166"/>
      <c r="B197" s="87"/>
      <c r="C197" s="87"/>
      <c r="D197" s="87"/>
      <c r="E197" s="87"/>
      <c r="F197" s="166"/>
      <c r="G197" s="87"/>
      <c r="H197" s="87"/>
      <c r="I197" s="87"/>
      <c r="J197" s="87"/>
      <c r="K197" s="166"/>
      <c r="L197" s="87"/>
      <c r="M197" s="87"/>
      <c r="N197" s="87"/>
      <c r="O197" s="87"/>
      <c r="P197" s="166"/>
      <c r="Q197" s="87"/>
      <c r="R197" s="87"/>
      <c r="S197" s="87"/>
      <c r="T197" s="87"/>
      <c r="U197" s="87"/>
      <c r="V197" s="87"/>
      <c r="W197" s="87"/>
      <c r="X197" s="87"/>
      <c r="Y197" s="87"/>
      <c r="Z197" s="87"/>
      <c r="AA197" s="87"/>
    </row>
    <row r="198" spans="1:27" ht="16.5" customHeight="1" x14ac:dyDescent="0.6">
      <c r="A198" s="166"/>
      <c r="B198" s="87"/>
      <c r="C198" s="87"/>
      <c r="D198" s="87"/>
      <c r="E198" s="87"/>
      <c r="F198" s="166"/>
      <c r="G198" s="87"/>
      <c r="H198" s="87"/>
      <c r="I198" s="87"/>
      <c r="J198" s="87"/>
      <c r="K198" s="166"/>
      <c r="L198" s="87"/>
      <c r="M198" s="87"/>
      <c r="N198" s="87"/>
      <c r="O198" s="87"/>
      <c r="P198" s="87"/>
      <c r="Q198" s="87"/>
      <c r="R198" s="87"/>
      <c r="S198" s="87"/>
      <c r="T198" s="87"/>
      <c r="U198" s="87"/>
      <c r="V198" s="87"/>
      <c r="W198" s="87"/>
      <c r="X198" s="87"/>
      <c r="Y198" s="87"/>
      <c r="Z198" s="87"/>
      <c r="AA198" s="87"/>
    </row>
    <row r="199" spans="1:27" ht="16.5" customHeight="1" x14ac:dyDescent="0.6">
      <c r="A199" s="166"/>
      <c r="B199" s="87"/>
      <c r="C199" s="87"/>
      <c r="D199" s="87"/>
      <c r="E199" s="87"/>
      <c r="F199" s="166"/>
      <c r="G199" s="87"/>
      <c r="H199" s="87"/>
      <c r="I199" s="87"/>
      <c r="J199" s="87"/>
      <c r="K199" s="166"/>
      <c r="L199" s="87"/>
      <c r="M199" s="87"/>
      <c r="N199" s="87"/>
      <c r="O199" s="87"/>
      <c r="P199" s="87"/>
      <c r="Q199" s="87"/>
      <c r="R199" s="87"/>
      <c r="S199" s="87"/>
      <c r="T199" s="87"/>
      <c r="U199" s="87"/>
      <c r="V199" s="87"/>
      <c r="W199" s="87"/>
      <c r="X199" s="87"/>
      <c r="Y199" s="87"/>
      <c r="Z199" s="87"/>
      <c r="AA199" s="87"/>
    </row>
    <row r="200" spans="1:27" ht="16.5" customHeight="1" x14ac:dyDescent="0.6">
      <c r="A200" s="166"/>
      <c r="B200" s="87"/>
      <c r="C200" s="87"/>
      <c r="D200" s="87"/>
      <c r="E200" s="87"/>
      <c r="F200" s="166"/>
      <c r="G200" s="87"/>
      <c r="H200" s="87"/>
      <c r="I200" s="87"/>
      <c r="J200" s="87"/>
      <c r="K200" s="166"/>
      <c r="L200" s="87"/>
      <c r="M200" s="87"/>
      <c r="N200" s="87"/>
      <c r="O200" s="87"/>
      <c r="P200" s="87"/>
      <c r="Q200" s="87"/>
      <c r="R200" s="87"/>
      <c r="S200" s="87"/>
      <c r="T200" s="87"/>
      <c r="U200" s="87"/>
      <c r="V200" s="87"/>
      <c r="W200" s="87"/>
      <c r="X200" s="87"/>
      <c r="Y200" s="87"/>
      <c r="Z200" s="87"/>
      <c r="AA200" s="87"/>
    </row>
    <row r="201" spans="1:27" ht="28.5" customHeight="1" x14ac:dyDescent="0.6">
      <c r="A201" s="166"/>
      <c r="B201" s="87"/>
      <c r="C201" s="87"/>
      <c r="D201" s="87"/>
      <c r="E201" s="87"/>
      <c r="F201" s="166"/>
      <c r="G201" s="87"/>
      <c r="H201" s="87"/>
      <c r="I201" s="87"/>
      <c r="J201" s="87"/>
      <c r="K201" s="166"/>
      <c r="L201" s="87"/>
      <c r="M201" s="87"/>
      <c r="N201" s="87"/>
      <c r="O201" s="87"/>
      <c r="P201" s="87"/>
      <c r="Q201" s="87"/>
      <c r="R201" s="87"/>
      <c r="S201" s="87"/>
      <c r="T201" s="87"/>
      <c r="U201" s="87"/>
      <c r="V201" s="87"/>
      <c r="W201" s="87"/>
      <c r="X201" s="87"/>
      <c r="Y201" s="87"/>
      <c r="Z201" s="87"/>
      <c r="AA201" s="87"/>
    </row>
    <row r="202" spans="1:27" ht="16.5" customHeight="1" x14ac:dyDescent="0.6">
      <c r="A202" s="166"/>
      <c r="B202" s="87"/>
      <c r="C202" s="87"/>
      <c r="D202" s="87"/>
      <c r="E202" s="87"/>
      <c r="F202" s="166"/>
      <c r="G202" s="87"/>
      <c r="H202" s="87"/>
      <c r="I202" s="87"/>
      <c r="J202" s="87"/>
      <c r="K202" s="87"/>
      <c r="L202" s="87"/>
      <c r="M202" s="87"/>
      <c r="N202" s="87"/>
      <c r="O202" s="87"/>
      <c r="P202" s="87"/>
      <c r="Q202" s="87"/>
      <c r="R202" s="87"/>
      <c r="S202" s="87"/>
      <c r="T202" s="87"/>
      <c r="U202" s="87"/>
      <c r="V202" s="87"/>
      <c r="W202" s="87"/>
      <c r="X202" s="87"/>
      <c r="Y202" s="87"/>
      <c r="Z202" s="87"/>
      <c r="AA202" s="87"/>
    </row>
    <row r="203" spans="1:27" ht="16.5" customHeight="1" x14ac:dyDescent="0.6">
      <c r="A203" s="166"/>
      <c r="B203" s="87"/>
      <c r="C203" s="87"/>
      <c r="D203" s="87"/>
      <c r="E203" s="87"/>
      <c r="F203" s="166"/>
      <c r="G203" s="87"/>
      <c r="H203" s="87"/>
      <c r="I203" s="87"/>
      <c r="J203" s="87"/>
      <c r="K203" s="87"/>
      <c r="L203" s="87"/>
      <c r="M203" s="87"/>
      <c r="N203" s="87"/>
      <c r="O203" s="87"/>
      <c r="P203" s="87"/>
      <c r="Q203" s="87"/>
      <c r="R203" s="87"/>
      <c r="S203" s="87"/>
      <c r="T203" s="87"/>
      <c r="U203" s="87"/>
      <c r="V203" s="87"/>
      <c r="W203" s="87"/>
      <c r="X203" s="87"/>
      <c r="Y203" s="87"/>
      <c r="Z203" s="87"/>
      <c r="AA203" s="87"/>
    </row>
    <row r="204" spans="1:27" ht="16.5" customHeight="1" x14ac:dyDescent="0.6">
      <c r="A204" s="166"/>
      <c r="B204" s="87"/>
      <c r="C204" s="87"/>
      <c r="D204" s="87"/>
      <c r="E204" s="87"/>
      <c r="F204" s="40"/>
      <c r="G204" s="87"/>
      <c r="H204" s="87"/>
      <c r="I204" s="87"/>
      <c r="J204" s="87"/>
      <c r="K204" s="87"/>
      <c r="L204" s="87"/>
      <c r="M204" s="87"/>
      <c r="N204" s="87"/>
      <c r="O204" s="87"/>
      <c r="P204" s="87"/>
      <c r="Q204" s="87"/>
      <c r="R204" s="87"/>
      <c r="S204" s="87"/>
      <c r="T204" s="87"/>
      <c r="U204" s="87"/>
      <c r="V204" s="87"/>
      <c r="W204" s="87"/>
      <c r="X204" s="87"/>
      <c r="Y204" s="87"/>
      <c r="Z204" s="87"/>
      <c r="AA204" s="87"/>
    </row>
  </sheetData>
  <mergeCells count="11">
    <mergeCell ref="Y8:Z8"/>
    <mergeCell ref="A3:P3"/>
    <mergeCell ref="A5:P5"/>
    <mergeCell ref="A6:G6"/>
    <mergeCell ref="K6:S6"/>
    <mergeCell ref="U6:AA6"/>
    <mergeCell ref="A8:C8"/>
    <mergeCell ref="F8:H8"/>
    <mergeCell ref="K8:M8"/>
    <mergeCell ref="P8:R8"/>
    <mergeCell ref="U8:V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pageSetUpPr fitToPage="1"/>
  </sheetPr>
  <dimension ref="A1:AA204"/>
  <sheetViews>
    <sheetView workbookViewId="0">
      <selection activeCell="I9" sqref="I9:I14"/>
    </sheetView>
  </sheetViews>
  <sheetFormatPr defaultColWidth="10.1328125" defaultRowHeight="14.45" customHeight="1" x14ac:dyDescent="0.6"/>
  <cols>
    <col min="1" max="1" width="6.86328125" customWidth="1"/>
    <col min="2" max="2" width="6.1328125" customWidth="1"/>
    <col min="3" max="3" width="33.26953125" customWidth="1"/>
    <col min="4" max="4" width="7.54296875" customWidth="1"/>
    <col min="5" max="5" width="2" customWidth="1"/>
    <col min="6" max="6" width="6.86328125" customWidth="1"/>
    <col min="7" max="7" width="6.1328125" customWidth="1"/>
    <col min="8" max="8" width="33.26953125" customWidth="1"/>
    <col min="9" max="9" width="7.54296875" customWidth="1"/>
    <col min="10" max="10" width="5.40625" customWidth="1"/>
    <col min="11" max="11" width="6.86328125" customWidth="1"/>
    <col min="12" max="12" width="6.1328125" customWidth="1"/>
    <col min="13" max="13" width="17.26953125" customWidth="1"/>
    <col min="14" max="14" width="7.54296875" customWidth="1"/>
    <col min="15" max="15" width="2" customWidth="1"/>
    <col min="16" max="16" width="6.86328125" customWidth="1"/>
    <col min="17" max="17" width="6.1328125" customWidth="1"/>
    <col min="18" max="18" width="25.26953125" customWidth="1"/>
    <col min="19" max="19" width="7.54296875" customWidth="1"/>
    <col min="20" max="21" width="5.40625" customWidth="1"/>
    <col min="22" max="22" width="25" customWidth="1"/>
    <col min="23" max="23" width="7.54296875" customWidth="1"/>
    <col min="24" max="24" width="2" customWidth="1"/>
    <col min="25" max="25" width="5.40625" customWidth="1"/>
    <col min="26" max="26" width="25" customWidth="1"/>
    <col min="27" max="27" width="7.54296875" customWidth="1"/>
  </cols>
  <sheetData>
    <row r="1" spans="1:27" ht="6.75" customHeight="1" x14ac:dyDescent="0.6">
      <c r="A1" s="180"/>
      <c r="B1" s="180"/>
      <c r="C1" s="180"/>
      <c r="D1" s="180"/>
      <c r="E1" s="180"/>
      <c r="F1" s="181"/>
      <c r="G1" s="180"/>
      <c r="H1" s="180"/>
      <c r="I1" s="180"/>
      <c r="J1" s="180"/>
      <c r="K1" s="180"/>
      <c r="L1" s="180"/>
      <c r="M1" s="180"/>
      <c r="N1" s="180"/>
      <c r="O1" s="180"/>
      <c r="P1" s="180"/>
      <c r="Q1" s="180"/>
      <c r="R1" s="180"/>
      <c r="S1" s="180"/>
      <c r="T1" s="180"/>
      <c r="U1" s="180"/>
      <c r="V1" s="180"/>
      <c r="W1" s="180"/>
      <c r="X1" s="180"/>
      <c r="Y1" s="180"/>
      <c r="Z1" s="180"/>
      <c r="AA1" s="180"/>
    </row>
    <row r="2" spans="1:27" ht="15.75" customHeight="1" x14ac:dyDescent="0.6">
      <c r="A2" s="182" t="s">
        <v>211</v>
      </c>
      <c r="B2" s="182"/>
      <c r="C2" s="182"/>
      <c r="D2" s="182"/>
      <c r="E2" s="182"/>
      <c r="F2" s="183"/>
      <c r="G2" s="182"/>
      <c r="H2" s="182"/>
      <c r="I2" s="180"/>
      <c r="J2" s="180"/>
      <c r="K2" s="180"/>
      <c r="L2" s="180"/>
      <c r="M2" s="180"/>
      <c r="N2" s="180"/>
      <c r="O2" s="180"/>
      <c r="P2" s="180"/>
      <c r="Q2" s="180"/>
      <c r="R2" s="180"/>
      <c r="S2" s="180"/>
      <c r="T2" s="180"/>
      <c r="U2" s="180"/>
      <c r="V2" s="180"/>
      <c r="W2" s="180"/>
      <c r="X2" s="180"/>
      <c r="Y2" s="180"/>
      <c r="Z2" s="180"/>
      <c r="AA2" s="180"/>
    </row>
    <row r="3" spans="1:27" ht="15.75" customHeight="1" x14ac:dyDescent="0.6">
      <c r="A3" s="303" t="s">
        <v>460</v>
      </c>
      <c r="B3" s="303"/>
      <c r="C3" s="303"/>
      <c r="D3" s="303"/>
      <c r="E3" s="303"/>
      <c r="F3" s="303"/>
      <c r="G3" s="303"/>
      <c r="H3" s="303"/>
      <c r="I3" s="303"/>
      <c r="J3" s="303"/>
      <c r="K3" s="303"/>
      <c r="L3" s="303"/>
      <c r="M3" s="303"/>
      <c r="N3" s="303"/>
      <c r="O3" s="303"/>
      <c r="P3" s="303"/>
      <c r="Q3" s="184"/>
      <c r="R3" s="180"/>
      <c r="S3" s="180"/>
      <c r="T3" s="180"/>
      <c r="U3" s="180"/>
      <c r="V3" s="180"/>
      <c r="W3" s="180"/>
      <c r="X3" s="180"/>
      <c r="Y3" s="180"/>
      <c r="Z3" s="180"/>
      <c r="AA3" s="180"/>
    </row>
    <row r="4" spans="1:27" ht="15.75" customHeight="1" x14ac:dyDescent="0.6">
      <c r="A4" s="180"/>
      <c r="B4" s="180"/>
      <c r="C4" s="180"/>
      <c r="D4" s="180"/>
      <c r="E4" s="180"/>
      <c r="F4" s="181"/>
      <c r="G4" s="180"/>
      <c r="H4" s="180"/>
      <c r="I4" s="180"/>
      <c r="J4" s="180"/>
      <c r="K4" s="180"/>
      <c r="L4" s="180"/>
      <c r="M4" s="180"/>
      <c r="N4" s="180"/>
      <c r="O4" s="180"/>
      <c r="P4" s="180"/>
      <c r="Q4" s="180"/>
      <c r="R4" s="180"/>
      <c r="S4" s="180"/>
      <c r="T4" s="180"/>
      <c r="U4" s="180"/>
      <c r="V4" s="180"/>
      <c r="W4" s="180"/>
      <c r="X4" s="180"/>
      <c r="Y4" s="180"/>
      <c r="Z4" s="180"/>
      <c r="AA4" s="180"/>
    </row>
    <row r="5" spans="1:27" ht="15.75" customHeight="1" x14ac:dyDescent="0.6">
      <c r="A5" s="304">
        <v>44470.467410810183</v>
      </c>
      <c r="B5" s="304"/>
      <c r="C5" s="304"/>
      <c r="D5" s="304"/>
      <c r="E5" s="304"/>
      <c r="F5" s="304"/>
      <c r="G5" s="304"/>
      <c r="H5" s="304"/>
      <c r="I5" s="304"/>
      <c r="J5" s="304"/>
      <c r="K5" s="304"/>
      <c r="L5" s="304"/>
      <c r="M5" s="304"/>
      <c r="N5" s="304"/>
      <c r="O5" s="304"/>
      <c r="P5" s="304"/>
      <c r="Q5" s="185"/>
      <c r="R5" s="180"/>
      <c r="S5" s="180"/>
      <c r="T5" s="180"/>
      <c r="U5" s="180"/>
      <c r="V5" s="180"/>
      <c r="W5" s="180"/>
      <c r="X5" s="180"/>
      <c r="Y5" s="180"/>
      <c r="Z5" s="180"/>
      <c r="AA5" s="180"/>
    </row>
    <row r="6" spans="1:27" ht="15.75" customHeight="1" x14ac:dyDescent="0.6">
      <c r="A6" s="305" t="s">
        <v>712</v>
      </c>
      <c r="B6" s="305"/>
      <c r="C6" s="305"/>
      <c r="D6" s="305"/>
      <c r="E6" s="305"/>
      <c r="F6" s="305"/>
      <c r="G6" s="305"/>
      <c r="H6" s="186"/>
      <c r="I6" s="186"/>
      <c r="J6" s="187"/>
      <c r="K6" s="305" t="s">
        <v>713</v>
      </c>
      <c r="L6" s="305"/>
      <c r="M6" s="305"/>
      <c r="N6" s="305"/>
      <c r="O6" s="305"/>
      <c r="P6" s="305"/>
      <c r="Q6" s="305"/>
      <c r="R6" s="305"/>
      <c r="S6" s="305"/>
      <c r="T6" s="187"/>
      <c r="U6" s="305" t="s">
        <v>714</v>
      </c>
      <c r="V6" s="305"/>
      <c r="W6" s="305"/>
      <c r="X6" s="305"/>
      <c r="Y6" s="305"/>
      <c r="Z6" s="305"/>
      <c r="AA6" s="305"/>
    </row>
    <row r="7" spans="1:27" ht="15.75" customHeight="1" x14ac:dyDescent="0.6">
      <c r="A7" s="188"/>
      <c r="B7" s="188"/>
      <c r="C7" s="188"/>
      <c r="D7" s="188"/>
      <c r="E7" s="188"/>
      <c r="F7" s="181"/>
      <c r="G7" s="188"/>
      <c r="H7" s="188"/>
      <c r="I7" s="180"/>
      <c r="J7" s="180"/>
      <c r="K7" s="189"/>
      <c r="L7" s="189"/>
      <c r="M7" s="189"/>
      <c r="N7" s="189"/>
      <c r="O7" s="189"/>
      <c r="P7" s="189"/>
      <c r="Q7" s="189"/>
      <c r="R7" s="180"/>
      <c r="S7" s="180"/>
      <c r="T7" s="180"/>
      <c r="U7" s="180"/>
      <c r="V7" s="180"/>
      <c r="W7" s="180"/>
      <c r="X7" s="180"/>
      <c r="Y7" s="180"/>
      <c r="Z7" s="180"/>
      <c r="AA7" s="180"/>
    </row>
    <row r="8" spans="1:27" ht="15.75" customHeight="1" x14ac:dyDescent="0.6">
      <c r="A8" s="306" t="s">
        <v>463</v>
      </c>
      <c r="B8" s="306"/>
      <c r="C8" s="306"/>
      <c r="D8" s="190" t="s">
        <v>464</v>
      </c>
      <c r="E8" s="191"/>
      <c r="F8" s="306" t="s">
        <v>465</v>
      </c>
      <c r="G8" s="306"/>
      <c r="H8" s="306"/>
      <c r="I8" s="192" t="s">
        <v>464</v>
      </c>
      <c r="J8" s="180"/>
      <c r="K8" s="307" t="s">
        <v>463</v>
      </c>
      <c r="L8" s="307"/>
      <c r="M8" s="307"/>
      <c r="N8" s="192" t="s">
        <v>464</v>
      </c>
      <c r="O8" s="191"/>
      <c r="P8" s="307" t="s">
        <v>465</v>
      </c>
      <c r="Q8" s="307"/>
      <c r="R8" s="307"/>
      <c r="S8" s="192" t="s">
        <v>464</v>
      </c>
      <c r="T8" s="180"/>
      <c r="U8" s="302" t="s">
        <v>521</v>
      </c>
      <c r="V8" s="302"/>
      <c r="W8" s="192" t="s">
        <v>464</v>
      </c>
      <c r="X8" s="193"/>
      <c r="Y8" s="302" t="s">
        <v>522</v>
      </c>
      <c r="Z8" s="302"/>
      <c r="AA8" s="192" t="s">
        <v>464</v>
      </c>
    </row>
    <row r="9" spans="1:27" ht="16.5" customHeight="1" x14ac:dyDescent="0.6">
      <c r="A9" s="166" t="s">
        <v>466</v>
      </c>
      <c r="B9" s="194" t="s">
        <v>718</v>
      </c>
      <c r="C9" s="195" t="s">
        <v>719</v>
      </c>
      <c r="D9" s="196">
        <v>27.772422464969402</v>
      </c>
      <c r="E9" s="85"/>
      <c r="F9" s="166" t="s">
        <v>466</v>
      </c>
      <c r="G9" s="194" t="s">
        <v>467</v>
      </c>
      <c r="H9" s="195" t="s">
        <v>720</v>
      </c>
      <c r="I9" s="196">
        <v>19.763370982972109</v>
      </c>
      <c r="J9" s="87"/>
      <c r="K9" s="166" t="s">
        <v>466</v>
      </c>
      <c r="L9" s="194" t="s">
        <v>721</v>
      </c>
      <c r="M9" s="195" t="s">
        <v>722</v>
      </c>
      <c r="N9" s="196">
        <v>28.584941801234987</v>
      </c>
      <c r="O9" s="85"/>
      <c r="P9" s="166" t="s">
        <v>466</v>
      </c>
      <c r="Q9" s="194" t="s">
        <v>723</v>
      </c>
      <c r="R9" s="195" t="s">
        <v>724</v>
      </c>
      <c r="S9" s="196">
        <v>13.116103758109119</v>
      </c>
      <c r="T9" s="87"/>
      <c r="U9" s="166" t="s">
        <v>466</v>
      </c>
      <c r="V9" s="87" t="s">
        <v>716</v>
      </c>
      <c r="W9" s="196">
        <v>27.415738560197902</v>
      </c>
      <c r="X9" s="89"/>
      <c r="Y9" s="166" t="s">
        <v>466</v>
      </c>
      <c r="Z9" s="87" t="s">
        <v>892</v>
      </c>
      <c r="AA9" s="196">
        <v>22.905983739911946</v>
      </c>
    </row>
    <row r="10" spans="1:27" ht="16.5" customHeight="1" x14ac:dyDescent="0.6">
      <c r="A10" s="166" t="s">
        <v>470</v>
      </c>
      <c r="B10" s="197" t="s">
        <v>471</v>
      </c>
      <c r="C10" s="198" t="s">
        <v>726</v>
      </c>
      <c r="D10" s="199">
        <v>24.597455418525492</v>
      </c>
      <c r="E10" s="85"/>
      <c r="F10" s="166" t="s">
        <v>470</v>
      </c>
      <c r="G10" s="197" t="s">
        <v>734</v>
      </c>
      <c r="H10" s="198" t="s">
        <v>735</v>
      </c>
      <c r="I10" s="199">
        <v>8.6037779180027165</v>
      </c>
      <c r="J10" s="87"/>
      <c r="K10" s="166" t="s">
        <v>470</v>
      </c>
      <c r="L10" s="197" t="s">
        <v>729</v>
      </c>
      <c r="M10" s="198" t="s">
        <v>730</v>
      </c>
      <c r="N10" s="199">
        <v>15.001693796223776</v>
      </c>
      <c r="O10" s="85"/>
      <c r="P10" s="166" t="s">
        <v>470</v>
      </c>
      <c r="Q10" s="197" t="s">
        <v>721</v>
      </c>
      <c r="R10" s="198" t="s">
        <v>722</v>
      </c>
      <c r="S10" s="199">
        <v>12.237355937535664</v>
      </c>
      <c r="T10" s="87"/>
      <c r="U10" s="166" t="s">
        <v>470</v>
      </c>
      <c r="V10" s="87" t="s">
        <v>525</v>
      </c>
      <c r="W10" s="199">
        <v>15.410628198520577</v>
      </c>
      <c r="X10" s="89"/>
      <c r="Y10" s="166" t="s">
        <v>470</v>
      </c>
      <c r="Z10" s="87" t="s">
        <v>716</v>
      </c>
      <c r="AA10" s="199">
        <v>13.330281132382252</v>
      </c>
    </row>
    <row r="11" spans="1:27" ht="16.5" customHeight="1" x14ac:dyDescent="0.6">
      <c r="A11" s="166" t="s">
        <v>473</v>
      </c>
      <c r="B11" s="197" t="s">
        <v>472</v>
      </c>
      <c r="C11" s="198" t="s">
        <v>733</v>
      </c>
      <c r="D11" s="196">
        <v>8.0205416030842862</v>
      </c>
      <c r="E11" s="85"/>
      <c r="F11" s="166" t="s">
        <v>473</v>
      </c>
      <c r="G11" s="197" t="s">
        <v>718</v>
      </c>
      <c r="H11" s="198" t="s">
        <v>719</v>
      </c>
      <c r="I11" s="196">
        <v>7.9883015084505375</v>
      </c>
      <c r="J11" s="87"/>
      <c r="K11" s="166" t="s">
        <v>473</v>
      </c>
      <c r="L11" s="197" t="s">
        <v>469</v>
      </c>
      <c r="M11" s="198" t="s">
        <v>736</v>
      </c>
      <c r="N11" s="196">
        <v>12.290708117473875</v>
      </c>
      <c r="O11" s="85"/>
      <c r="P11" s="166" t="s">
        <v>473</v>
      </c>
      <c r="Q11" s="197" t="s">
        <v>737</v>
      </c>
      <c r="R11" s="198" t="s">
        <v>738</v>
      </c>
      <c r="S11" s="196">
        <v>9.3667087585552498</v>
      </c>
      <c r="T11" s="87"/>
      <c r="U11" s="166" t="s">
        <v>473</v>
      </c>
      <c r="V11" s="87" t="s">
        <v>532</v>
      </c>
      <c r="W11" s="196">
        <v>12.956668718760843</v>
      </c>
      <c r="X11" s="89"/>
      <c r="Y11" s="166" t="s">
        <v>473</v>
      </c>
      <c r="Z11" s="87" t="s">
        <v>725</v>
      </c>
      <c r="AA11" s="196">
        <v>12.505791131805227</v>
      </c>
    </row>
    <row r="12" spans="1:27" ht="16.5" customHeight="1" x14ac:dyDescent="0.6">
      <c r="A12" s="166" t="s">
        <v>475</v>
      </c>
      <c r="B12" s="197" t="s">
        <v>721</v>
      </c>
      <c r="C12" s="198" t="s">
        <v>722</v>
      </c>
      <c r="D12" s="199">
        <v>6.7247641717444209</v>
      </c>
      <c r="E12" s="85"/>
      <c r="F12" s="166" t="s">
        <v>475</v>
      </c>
      <c r="G12" s="197" t="s">
        <v>472</v>
      </c>
      <c r="H12" s="198" t="s">
        <v>733</v>
      </c>
      <c r="I12" s="199">
        <v>7.2993610156643944</v>
      </c>
      <c r="J12" s="87"/>
      <c r="K12" s="166" t="s">
        <v>475</v>
      </c>
      <c r="L12" s="197" t="s">
        <v>477</v>
      </c>
      <c r="M12" s="198" t="s">
        <v>750</v>
      </c>
      <c r="N12" s="199">
        <v>9.0665338403294058</v>
      </c>
      <c r="O12" s="85"/>
      <c r="P12" s="166" t="s">
        <v>475</v>
      </c>
      <c r="Q12" s="197" t="s">
        <v>482</v>
      </c>
      <c r="R12" s="198" t="s">
        <v>731</v>
      </c>
      <c r="S12" s="199">
        <v>9.1943582138043141</v>
      </c>
      <c r="T12" s="87"/>
      <c r="U12" s="166" t="s">
        <v>475</v>
      </c>
      <c r="V12" s="87" t="s">
        <v>893</v>
      </c>
      <c r="W12" s="199">
        <v>10.474970473591933</v>
      </c>
      <c r="X12" s="89"/>
      <c r="Y12" s="166" t="s">
        <v>475</v>
      </c>
      <c r="Z12" s="87" t="s">
        <v>732</v>
      </c>
      <c r="AA12" s="199">
        <v>9.038558491489816</v>
      </c>
    </row>
    <row r="13" spans="1:27" ht="16.5" customHeight="1" x14ac:dyDescent="0.6">
      <c r="A13" s="166" t="s">
        <v>476</v>
      </c>
      <c r="B13" s="197" t="s">
        <v>727</v>
      </c>
      <c r="C13" s="198" t="s">
        <v>728</v>
      </c>
      <c r="D13" s="196">
        <v>4.1654990061019852</v>
      </c>
      <c r="E13" s="85"/>
      <c r="F13" s="166" t="s">
        <v>476</v>
      </c>
      <c r="G13" s="197" t="s">
        <v>745</v>
      </c>
      <c r="H13" s="198" t="s">
        <v>746</v>
      </c>
      <c r="I13" s="196">
        <v>6.2823344631606357</v>
      </c>
      <c r="J13" s="87"/>
      <c r="K13" s="166" t="s">
        <v>476</v>
      </c>
      <c r="L13" s="197" t="s">
        <v>737</v>
      </c>
      <c r="M13" s="198" t="s">
        <v>738</v>
      </c>
      <c r="N13" s="196">
        <v>8.7917256533415049</v>
      </c>
      <c r="O13" s="85"/>
      <c r="P13" s="166" t="s">
        <v>476</v>
      </c>
      <c r="Q13" s="197" t="s">
        <v>469</v>
      </c>
      <c r="R13" s="198" t="s">
        <v>736</v>
      </c>
      <c r="S13" s="196">
        <v>8.8310525893755329</v>
      </c>
      <c r="T13" s="87"/>
      <c r="U13" s="166" t="s">
        <v>476</v>
      </c>
      <c r="V13" s="87" t="s">
        <v>892</v>
      </c>
      <c r="W13" s="196">
        <v>9.368402783155231</v>
      </c>
      <c r="X13" s="89"/>
      <c r="Y13" s="166" t="s">
        <v>476</v>
      </c>
      <c r="Z13" s="87" t="s">
        <v>529</v>
      </c>
      <c r="AA13" s="196">
        <v>7.6839041831976145</v>
      </c>
    </row>
    <row r="14" spans="1:27" ht="16.5" customHeight="1" x14ac:dyDescent="0.6">
      <c r="A14" s="166" t="s">
        <v>478</v>
      </c>
      <c r="B14" s="197" t="s">
        <v>729</v>
      </c>
      <c r="C14" s="198" t="s">
        <v>730</v>
      </c>
      <c r="D14" s="199">
        <v>3.5292306577992631</v>
      </c>
      <c r="E14" s="85"/>
      <c r="F14" s="166" t="s">
        <v>478</v>
      </c>
      <c r="G14" s="197" t="s">
        <v>727</v>
      </c>
      <c r="H14" s="198" t="s">
        <v>728</v>
      </c>
      <c r="I14" s="199">
        <v>6.069234219594934</v>
      </c>
      <c r="J14" s="87"/>
      <c r="K14" s="166" t="s">
        <v>478</v>
      </c>
      <c r="L14" s="197" t="s">
        <v>741</v>
      </c>
      <c r="M14" s="198" t="s">
        <v>742</v>
      </c>
      <c r="N14" s="199">
        <v>6.4881982941250627</v>
      </c>
      <c r="O14" s="85"/>
      <c r="P14" s="166" t="s">
        <v>478</v>
      </c>
      <c r="Q14" s="197" t="s">
        <v>743</v>
      </c>
      <c r="R14" s="198" t="s">
        <v>744</v>
      </c>
      <c r="S14" s="199">
        <v>7.4188344512248756</v>
      </c>
      <c r="T14" s="87"/>
      <c r="U14" s="166" t="s">
        <v>478</v>
      </c>
      <c r="V14" s="87" t="s">
        <v>534</v>
      </c>
      <c r="W14" s="199">
        <v>8.0721759242523277</v>
      </c>
      <c r="X14" s="89"/>
      <c r="Y14" s="166" t="s">
        <v>478</v>
      </c>
      <c r="Z14" s="87" t="s">
        <v>528</v>
      </c>
      <c r="AA14" s="199">
        <v>6.9529577189095662</v>
      </c>
    </row>
    <row r="15" spans="1:27" ht="16.5" customHeight="1" x14ac:dyDescent="0.6">
      <c r="A15" s="166" t="s">
        <v>480</v>
      </c>
      <c r="B15" s="197" t="s">
        <v>469</v>
      </c>
      <c r="C15" s="198" t="s">
        <v>736</v>
      </c>
      <c r="D15" s="196">
        <v>2.8914564237519533</v>
      </c>
      <c r="E15" s="85"/>
      <c r="F15" s="166" t="s">
        <v>480</v>
      </c>
      <c r="G15" s="197" t="s">
        <v>779</v>
      </c>
      <c r="H15" s="198" t="s">
        <v>780</v>
      </c>
      <c r="I15" s="196">
        <v>3.3141532899786124</v>
      </c>
      <c r="J15" s="87"/>
      <c r="K15" s="166" t="s">
        <v>480</v>
      </c>
      <c r="L15" s="197" t="s">
        <v>747</v>
      </c>
      <c r="M15" s="198" t="s">
        <v>748</v>
      </c>
      <c r="N15" s="196">
        <v>3.9076584190081807</v>
      </c>
      <c r="O15" s="85"/>
      <c r="P15" s="166" t="s">
        <v>480</v>
      </c>
      <c r="Q15" s="197" t="s">
        <v>479</v>
      </c>
      <c r="R15" s="198" t="s">
        <v>751</v>
      </c>
      <c r="S15" s="196">
        <v>5.1909450311375522</v>
      </c>
      <c r="T15" s="87"/>
      <c r="U15" s="166" t="s">
        <v>480</v>
      </c>
      <c r="V15" s="87" t="s">
        <v>528</v>
      </c>
      <c r="W15" s="196">
        <v>3.8002878696836122</v>
      </c>
      <c r="X15" s="89"/>
      <c r="Y15" s="166" t="s">
        <v>480</v>
      </c>
      <c r="Z15" s="87" t="s">
        <v>740</v>
      </c>
      <c r="AA15" s="196">
        <v>5.9906754571734506</v>
      </c>
    </row>
    <row r="16" spans="1:27" ht="16.5" customHeight="1" x14ac:dyDescent="0.6">
      <c r="A16" s="166" t="s">
        <v>481</v>
      </c>
      <c r="B16" s="197" t="s">
        <v>477</v>
      </c>
      <c r="C16" s="198" t="s">
        <v>750</v>
      </c>
      <c r="D16" s="199">
        <v>2.1329517602418688</v>
      </c>
      <c r="E16" s="85"/>
      <c r="F16" s="166" t="s">
        <v>481</v>
      </c>
      <c r="G16" s="197" t="s">
        <v>757</v>
      </c>
      <c r="H16" s="198" t="s">
        <v>758</v>
      </c>
      <c r="I16" s="199">
        <v>3.2018585413896496</v>
      </c>
      <c r="J16" s="87"/>
      <c r="K16" s="166" t="s">
        <v>481</v>
      </c>
      <c r="L16" s="197" t="s">
        <v>723</v>
      </c>
      <c r="M16" s="198" t="s">
        <v>724</v>
      </c>
      <c r="N16" s="199">
        <v>3.3277117979573907</v>
      </c>
      <c r="O16" s="85"/>
      <c r="P16" s="166" t="s">
        <v>481</v>
      </c>
      <c r="Q16" s="197" t="s">
        <v>754</v>
      </c>
      <c r="R16" s="198" t="s">
        <v>755</v>
      </c>
      <c r="S16" s="199">
        <v>5.0281859821679102</v>
      </c>
      <c r="T16" s="87"/>
      <c r="U16" s="166" t="s">
        <v>481</v>
      </c>
      <c r="V16" s="87" t="s">
        <v>752</v>
      </c>
      <c r="W16" s="199">
        <v>3.2559222744646061</v>
      </c>
      <c r="X16" s="89"/>
      <c r="Y16" s="166" t="s">
        <v>481</v>
      </c>
      <c r="Z16" s="87" t="s">
        <v>764</v>
      </c>
      <c r="AA16" s="199">
        <v>4.6880105598367319</v>
      </c>
    </row>
    <row r="17" spans="1:27" ht="16.5" customHeight="1" x14ac:dyDescent="0.6">
      <c r="A17" s="166" t="s">
        <v>483</v>
      </c>
      <c r="B17" s="197" t="s">
        <v>737</v>
      </c>
      <c r="C17" s="198" t="s">
        <v>738</v>
      </c>
      <c r="D17" s="196">
        <v>2.0683016286163278</v>
      </c>
      <c r="E17" s="85"/>
      <c r="F17" s="166" t="s">
        <v>483</v>
      </c>
      <c r="G17" s="197" t="s">
        <v>723</v>
      </c>
      <c r="H17" s="198" t="s">
        <v>724</v>
      </c>
      <c r="I17" s="196">
        <v>2.6772803802629039</v>
      </c>
      <c r="J17" s="87"/>
      <c r="K17" s="166" t="s">
        <v>483</v>
      </c>
      <c r="L17" s="197" t="s">
        <v>759</v>
      </c>
      <c r="M17" s="198" t="s">
        <v>760</v>
      </c>
      <c r="N17" s="196">
        <v>2.88602591062546</v>
      </c>
      <c r="O17" s="85"/>
      <c r="P17" s="166" t="s">
        <v>483</v>
      </c>
      <c r="Q17" s="197" t="s">
        <v>761</v>
      </c>
      <c r="R17" s="198" t="s">
        <v>762</v>
      </c>
      <c r="S17" s="196">
        <v>4.2486365712707359</v>
      </c>
      <c r="T17" s="87"/>
      <c r="U17" s="166" t="s">
        <v>483</v>
      </c>
      <c r="V17" s="87" t="s">
        <v>786</v>
      </c>
      <c r="W17" s="196">
        <v>1.6943581746049785</v>
      </c>
      <c r="X17" s="89"/>
      <c r="Y17" s="166" t="s">
        <v>483</v>
      </c>
      <c r="Z17" s="87" t="s">
        <v>749</v>
      </c>
      <c r="AA17" s="196">
        <v>3.3013865030489238</v>
      </c>
    </row>
    <row r="18" spans="1:27" ht="16.5" customHeight="1" x14ac:dyDescent="0.6">
      <c r="A18" s="166" t="s">
        <v>484</v>
      </c>
      <c r="B18" s="197" t="s">
        <v>777</v>
      </c>
      <c r="C18" s="198" t="s">
        <v>778</v>
      </c>
      <c r="D18" s="199">
        <v>1.8840116638129765</v>
      </c>
      <c r="E18" s="85"/>
      <c r="F18" s="166" t="s">
        <v>484</v>
      </c>
      <c r="G18" s="197" t="s">
        <v>721</v>
      </c>
      <c r="H18" s="198" t="s">
        <v>722</v>
      </c>
      <c r="I18" s="199">
        <v>2.4979089493403972</v>
      </c>
      <c r="J18" s="87"/>
      <c r="K18" s="166" t="s">
        <v>484</v>
      </c>
      <c r="L18" s="197" t="s">
        <v>761</v>
      </c>
      <c r="M18" s="198" t="s">
        <v>762</v>
      </c>
      <c r="N18" s="199">
        <v>2.1860870486158959</v>
      </c>
      <c r="O18" s="85"/>
      <c r="P18" s="166" t="s">
        <v>484</v>
      </c>
      <c r="Q18" s="197" t="s">
        <v>477</v>
      </c>
      <c r="R18" s="198" t="s">
        <v>750</v>
      </c>
      <c r="S18" s="199">
        <v>3.9508869922052039</v>
      </c>
      <c r="T18" s="87"/>
      <c r="U18" s="166" t="s">
        <v>484</v>
      </c>
      <c r="V18" s="87" t="s">
        <v>725</v>
      </c>
      <c r="W18" s="199">
        <v>1.6772396788776749</v>
      </c>
      <c r="X18" s="89"/>
      <c r="Y18" s="166" t="s">
        <v>484</v>
      </c>
      <c r="Z18" s="87" t="s">
        <v>753</v>
      </c>
      <c r="AA18" s="199">
        <v>3.1340947310693426</v>
      </c>
    </row>
    <row r="19" spans="1:27" ht="16.5" customHeight="1" x14ac:dyDescent="0.6">
      <c r="A19" s="166" t="s">
        <v>485</v>
      </c>
      <c r="B19" s="197" t="s">
        <v>799</v>
      </c>
      <c r="C19" s="198" t="s">
        <v>800</v>
      </c>
      <c r="D19" s="196">
        <v>1.5994238316472242</v>
      </c>
      <c r="E19" s="85"/>
      <c r="F19" s="166" t="s">
        <v>485</v>
      </c>
      <c r="G19" s="197" t="s">
        <v>494</v>
      </c>
      <c r="H19" s="198" t="s">
        <v>768</v>
      </c>
      <c r="I19" s="196">
        <v>1.913119230449718</v>
      </c>
      <c r="J19" s="87"/>
      <c r="K19" s="166" t="s">
        <v>485</v>
      </c>
      <c r="L19" s="197" t="s">
        <v>754</v>
      </c>
      <c r="M19" s="198" t="s">
        <v>755</v>
      </c>
      <c r="N19" s="196">
        <v>1.2399184495307416</v>
      </c>
      <c r="O19" s="85"/>
      <c r="P19" s="166" t="s">
        <v>485</v>
      </c>
      <c r="Q19" s="197" t="s">
        <v>741</v>
      </c>
      <c r="R19" s="198" t="s">
        <v>742</v>
      </c>
      <c r="S19" s="196">
        <v>2.9738084778656528</v>
      </c>
      <c r="T19" s="87"/>
      <c r="U19" s="166" t="s">
        <v>485</v>
      </c>
      <c r="V19" s="87" t="s">
        <v>527</v>
      </c>
      <c r="W19" s="196">
        <v>1.5342493804300412</v>
      </c>
      <c r="X19" s="89"/>
      <c r="Y19" s="166" t="s">
        <v>485</v>
      </c>
      <c r="Z19" s="87" t="s">
        <v>527</v>
      </c>
      <c r="AA19" s="196">
        <v>2.4638697694500036</v>
      </c>
    </row>
    <row r="20" spans="1:27" ht="16.5" customHeight="1" x14ac:dyDescent="0.6">
      <c r="A20" s="166" t="s">
        <v>486</v>
      </c>
      <c r="B20" s="197" t="s">
        <v>765</v>
      </c>
      <c r="C20" s="198" t="s">
        <v>766</v>
      </c>
      <c r="D20" s="199">
        <v>1.5580675718199439</v>
      </c>
      <c r="E20" s="85"/>
      <c r="F20" s="166" t="s">
        <v>486</v>
      </c>
      <c r="G20" s="197" t="s">
        <v>737</v>
      </c>
      <c r="H20" s="198" t="s">
        <v>738</v>
      </c>
      <c r="I20" s="199">
        <v>1.9119477894807333</v>
      </c>
      <c r="J20" s="87"/>
      <c r="K20" s="166" t="s">
        <v>486</v>
      </c>
      <c r="L20" s="197" t="s">
        <v>479</v>
      </c>
      <c r="M20" s="198" t="s">
        <v>751</v>
      </c>
      <c r="N20" s="199">
        <v>1.0508280182257503</v>
      </c>
      <c r="O20" s="85"/>
      <c r="P20" s="166" t="s">
        <v>486</v>
      </c>
      <c r="Q20" s="197" t="s">
        <v>773</v>
      </c>
      <c r="R20" s="198" t="s">
        <v>774</v>
      </c>
      <c r="S20" s="199">
        <v>2.5871485722547924</v>
      </c>
      <c r="T20" s="87"/>
      <c r="U20" s="166" t="s">
        <v>486</v>
      </c>
      <c r="V20" s="87" t="s">
        <v>763</v>
      </c>
      <c r="W20" s="199">
        <v>1.2664862797552345</v>
      </c>
      <c r="X20" s="89"/>
      <c r="Y20" s="166" t="s">
        <v>486</v>
      </c>
      <c r="Z20" s="87" t="s">
        <v>772</v>
      </c>
      <c r="AA20" s="199">
        <v>1.1969552629498676</v>
      </c>
    </row>
    <row r="21" spans="1:27" ht="16.5" customHeight="1" x14ac:dyDescent="0.6">
      <c r="A21" s="166" t="s">
        <v>488</v>
      </c>
      <c r="B21" s="197" t="s">
        <v>741</v>
      </c>
      <c r="C21" s="198" t="s">
        <v>742</v>
      </c>
      <c r="D21" s="196">
        <v>1.5263841966479157</v>
      </c>
      <c r="E21" s="85"/>
      <c r="F21" s="166" t="s">
        <v>488</v>
      </c>
      <c r="G21" s="197" t="s">
        <v>482</v>
      </c>
      <c r="H21" s="198" t="s">
        <v>731</v>
      </c>
      <c r="I21" s="196">
        <v>1.8767673166437433</v>
      </c>
      <c r="J21" s="87"/>
      <c r="K21" s="166" t="s">
        <v>488</v>
      </c>
      <c r="L21" s="197" t="s">
        <v>773</v>
      </c>
      <c r="M21" s="198" t="s">
        <v>774</v>
      </c>
      <c r="N21" s="196">
        <v>0.84654623080722213</v>
      </c>
      <c r="O21" s="85"/>
      <c r="P21" s="166" t="s">
        <v>488</v>
      </c>
      <c r="Q21" s="197" t="s">
        <v>769</v>
      </c>
      <c r="R21" s="198" t="s">
        <v>770</v>
      </c>
      <c r="S21" s="196">
        <v>2.5393947264292214</v>
      </c>
      <c r="T21" s="87"/>
      <c r="U21" s="166" t="s">
        <v>488</v>
      </c>
      <c r="V21" s="87" t="s">
        <v>756</v>
      </c>
      <c r="W21" s="196">
        <v>0.91443081486016509</v>
      </c>
      <c r="X21" s="89"/>
      <c r="Y21" s="166" t="s">
        <v>488</v>
      </c>
      <c r="Z21" s="87" t="s">
        <v>767</v>
      </c>
      <c r="AA21" s="196">
        <v>1.0717057033666413</v>
      </c>
    </row>
    <row r="22" spans="1:27" ht="16.5" customHeight="1" x14ac:dyDescent="0.6">
      <c r="A22" s="166" t="s">
        <v>489</v>
      </c>
      <c r="B22" s="197" t="s">
        <v>747</v>
      </c>
      <c r="C22" s="198" t="s">
        <v>748</v>
      </c>
      <c r="D22" s="199">
        <v>0.91929805260007003</v>
      </c>
      <c r="E22" s="85"/>
      <c r="F22" s="166" t="s">
        <v>489</v>
      </c>
      <c r="G22" s="197" t="s">
        <v>788</v>
      </c>
      <c r="H22" s="198" t="s">
        <v>789</v>
      </c>
      <c r="I22" s="199">
        <v>1.8151941939754968</v>
      </c>
      <c r="J22" s="87"/>
      <c r="K22" s="166" t="s">
        <v>489</v>
      </c>
      <c r="L22" s="197" t="s">
        <v>482</v>
      </c>
      <c r="M22" s="198" t="s">
        <v>731</v>
      </c>
      <c r="N22" s="199">
        <v>0.81988688007579491</v>
      </c>
      <c r="O22" s="85"/>
      <c r="P22" s="166" t="s">
        <v>489</v>
      </c>
      <c r="Q22" s="197" t="s">
        <v>791</v>
      </c>
      <c r="R22" s="198" t="s">
        <v>792</v>
      </c>
      <c r="S22" s="199">
        <v>2.3171007075345003</v>
      </c>
      <c r="T22" s="87"/>
      <c r="U22" s="166" t="s">
        <v>489</v>
      </c>
      <c r="V22" s="87" t="s">
        <v>775</v>
      </c>
      <c r="W22" s="199">
        <v>0.82189407011254656</v>
      </c>
      <c r="X22" s="89"/>
      <c r="Y22" s="166" t="s">
        <v>489</v>
      </c>
      <c r="Z22" s="87" t="s">
        <v>790</v>
      </c>
      <c r="AA22" s="199">
        <v>0.94785417546454842</v>
      </c>
    </row>
    <row r="23" spans="1:27" ht="16.5" customHeight="1" x14ac:dyDescent="0.6">
      <c r="A23" s="166" t="s">
        <v>490</v>
      </c>
      <c r="B23" s="197" t="s">
        <v>840</v>
      </c>
      <c r="C23" s="198" t="s">
        <v>841</v>
      </c>
      <c r="D23" s="196">
        <v>0.86046409889182729</v>
      </c>
      <c r="E23" s="85"/>
      <c r="F23" s="166" t="s">
        <v>490</v>
      </c>
      <c r="G23" s="197" t="s">
        <v>469</v>
      </c>
      <c r="H23" s="198" t="s">
        <v>736</v>
      </c>
      <c r="I23" s="196">
        <v>1.8026087831142277</v>
      </c>
      <c r="J23" s="87"/>
      <c r="K23" s="166" t="s">
        <v>490</v>
      </c>
      <c r="L23" s="197" t="s">
        <v>812</v>
      </c>
      <c r="M23" s="198" t="s">
        <v>813</v>
      </c>
      <c r="N23" s="196">
        <v>0.76264153446608729</v>
      </c>
      <c r="O23" s="85"/>
      <c r="P23" s="166" t="s">
        <v>490</v>
      </c>
      <c r="Q23" s="197" t="s">
        <v>729</v>
      </c>
      <c r="R23" s="198" t="s">
        <v>730</v>
      </c>
      <c r="S23" s="196">
        <v>2.1008369891703964</v>
      </c>
      <c r="T23" s="87"/>
      <c r="U23" s="166" t="s">
        <v>490</v>
      </c>
      <c r="V23" s="87" t="s">
        <v>732</v>
      </c>
      <c r="W23" s="196">
        <v>0.47484181991855295</v>
      </c>
      <c r="X23" s="89"/>
      <c r="Y23" s="166" t="s">
        <v>490</v>
      </c>
      <c r="Z23" s="87" t="s">
        <v>752</v>
      </c>
      <c r="AA23" s="196">
        <v>0.76723373804793671</v>
      </c>
    </row>
    <row r="24" spans="1:27" ht="16.5" customHeight="1" x14ac:dyDescent="0.6">
      <c r="A24" s="166" t="s">
        <v>491</v>
      </c>
      <c r="B24" s="197" t="s">
        <v>723</v>
      </c>
      <c r="C24" s="198" t="s">
        <v>724</v>
      </c>
      <c r="D24" s="199">
        <v>0.78286243254930277</v>
      </c>
      <c r="E24" s="85"/>
      <c r="F24" s="166" t="s">
        <v>491</v>
      </c>
      <c r="G24" s="197" t="s">
        <v>743</v>
      </c>
      <c r="H24" s="198" t="s">
        <v>744</v>
      </c>
      <c r="I24" s="199">
        <v>1.5143445254009116</v>
      </c>
      <c r="J24" s="87"/>
      <c r="K24" s="166" t="s">
        <v>491</v>
      </c>
      <c r="L24" s="197" t="s">
        <v>781</v>
      </c>
      <c r="M24" s="198" t="s">
        <v>782</v>
      </c>
      <c r="N24" s="199">
        <v>0.69411031647337162</v>
      </c>
      <c r="O24" s="85"/>
      <c r="P24" s="166" t="s">
        <v>491</v>
      </c>
      <c r="Q24" s="197" t="s">
        <v>747</v>
      </c>
      <c r="R24" s="198" t="s">
        <v>748</v>
      </c>
      <c r="S24" s="199">
        <v>1.3326239167074549</v>
      </c>
      <c r="T24" s="87"/>
      <c r="U24" s="166" t="s">
        <v>491</v>
      </c>
      <c r="V24" s="87" t="s">
        <v>772</v>
      </c>
      <c r="W24" s="199">
        <v>0.40164403517780001</v>
      </c>
      <c r="X24" s="89"/>
      <c r="Y24" s="166" t="s">
        <v>491</v>
      </c>
      <c r="Z24" s="87" t="s">
        <v>771</v>
      </c>
      <c r="AA24" s="199">
        <v>0.66533539251839879</v>
      </c>
    </row>
    <row r="25" spans="1:27" ht="16.5" customHeight="1" x14ac:dyDescent="0.6">
      <c r="A25" s="166" t="s">
        <v>492</v>
      </c>
      <c r="B25" s="197" t="s">
        <v>467</v>
      </c>
      <c r="C25" s="198" t="s">
        <v>720</v>
      </c>
      <c r="D25" s="196">
        <v>0.75422901297407985</v>
      </c>
      <c r="E25" s="85"/>
      <c r="F25" s="166" t="s">
        <v>492</v>
      </c>
      <c r="G25" s="197" t="s">
        <v>826</v>
      </c>
      <c r="H25" s="198" t="s">
        <v>827</v>
      </c>
      <c r="I25" s="196">
        <v>1.4302002768599427</v>
      </c>
      <c r="J25" s="87"/>
      <c r="K25" s="166" t="s">
        <v>492</v>
      </c>
      <c r="L25" s="197" t="s">
        <v>769</v>
      </c>
      <c r="M25" s="198" t="s">
        <v>770</v>
      </c>
      <c r="N25" s="196">
        <v>0.35634188641825726</v>
      </c>
      <c r="O25" s="85"/>
      <c r="P25" s="166" t="s">
        <v>492</v>
      </c>
      <c r="Q25" s="197" t="s">
        <v>814</v>
      </c>
      <c r="R25" s="198" t="s">
        <v>815</v>
      </c>
      <c r="S25" s="196">
        <v>1.2406741388982643</v>
      </c>
      <c r="T25" s="87"/>
      <c r="U25" s="166" t="s">
        <v>492</v>
      </c>
      <c r="V25" s="87" t="s">
        <v>810</v>
      </c>
      <c r="W25" s="196">
        <v>0.26516551113262354</v>
      </c>
      <c r="X25" s="89"/>
      <c r="Y25" s="166" t="s">
        <v>492</v>
      </c>
      <c r="Z25" s="87" t="s">
        <v>894</v>
      </c>
      <c r="AA25" s="196">
        <v>0.41838517664604463</v>
      </c>
    </row>
    <row r="26" spans="1:27" ht="16.5" customHeight="1" x14ac:dyDescent="0.6">
      <c r="A26" s="166" t="s">
        <v>493</v>
      </c>
      <c r="B26" s="197" t="s">
        <v>759</v>
      </c>
      <c r="C26" s="198" t="s">
        <v>760</v>
      </c>
      <c r="D26" s="199">
        <v>0.67895340761763112</v>
      </c>
      <c r="E26" s="85"/>
      <c r="F26" s="166" t="s">
        <v>493</v>
      </c>
      <c r="G26" s="197" t="s">
        <v>799</v>
      </c>
      <c r="H26" s="198" t="s">
        <v>800</v>
      </c>
      <c r="I26" s="199">
        <v>1.2456889406352778</v>
      </c>
      <c r="J26" s="87"/>
      <c r="K26" s="166" t="s">
        <v>493</v>
      </c>
      <c r="L26" s="197" t="s">
        <v>895</v>
      </c>
      <c r="M26" s="198" t="s">
        <v>896</v>
      </c>
      <c r="N26" s="199">
        <v>0.33029365168037933</v>
      </c>
      <c r="O26" s="85"/>
      <c r="P26" s="166" t="s">
        <v>493</v>
      </c>
      <c r="Q26" s="197" t="s">
        <v>795</v>
      </c>
      <c r="R26" s="198" t="s">
        <v>796</v>
      </c>
      <c r="S26" s="199">
        <v>0.99884546048734846</v>
      </c>
      <c r="T26" s="87"/>
      <c r="U26" s="166" t="s">
        <v>493</v>
      </c>
      <c r="V26" s="87" t="s">
        <v>753</v>
      </c>
      <c r="W26" s="199">
        <v>4.6729397743457038E-2</v>
      </c>
      <c r="X26" s="89"/>
      <c r="Y26" s="166" t="s">
        <v>493</v>
      </c>
      <c r="Z26" s="87" t="s">
        <v>805</v>
      </c>
      <c r="AA26" s="199">
        <v>0.37609298410266778</v>
      </c>
    </row>
    <row r="27" spans="1:27" ht="16.5" customHeight="1" x14ac:dyDescent="0.6">
      <c r="A27" s="166" t="s">
        <v>495</v>
      </c>
      <c r="B27" s="197" t="s">
        <v>779</v>
      </c>
      <c r="C27" s="198" t="s">
        <v>780</v>
      </c>
      <c r="D27" s="196">
        <v>0.65628673961849804</v>
      </c>
      <c r="E27" s="85"/>
      <c r="F27" s="166" t="s">
        <v>495</v>
      </c>
      <c r="G27" s="197" t="s">
        <v>784</v>
      </c>
      <c r="H27" s="198" t="s">
        <v>785</v>
      </c>
      <c r="I27" s="196">
        <v>1.2362196969655601</v>
      </c>
      <c r="J27" s="87"/>
      <c r="K27" s="166" t="s">
        <v>495</v>
      </c>
      <c r="L27" s="197" t="s">
        <v>806</v>
      </c>
      <c r="M27" s="198" t="s">
        <v>807</v>
      </c>
      <c r="N27" s="196">
        <v>0.31830940630616977</v>
      </c>
      <c r="O27" s="85"/>
      <c r="P27" s="166" t="s">
        <v>495</v>
      </c>
      <c r="Q27" s="197" t="s">
        <v>803</v>
      </c>
      <c r="R27" s="198" t="s">
        <v>804</v>
      </c>
      <c r="S27" s="196">
        <v>0.86718574598449394</v>
      </c>
      <c r="T27" s="87"/>
      <c r="U27" s="166" t="s">
        <v>495</v>
      </c>
      <c r="V27" s="87" t="s">
        <v>749</v>
      </c>
      <c r="W27" s="196">
        <v>4.6298372307219955E-2</v>
      </c>
      <c r="X27" s="89"/>
      <c r="Y27" s="166" t="s">
        <v>495</v>
      </c>
      <c r="Z27" s="87" t="s">
        <v>811</v>
      </c>
      <c r="AA27" s="196">
        <v>0.3624782600448937</v>
      </c>
    </row>
    <row r="28" spans="1:27" ht="16.5" customHeight="1" x14ac:dyDescent="0.6">
      <c r="A28" s="166" t="s">
        <v>496</v>
      </c>
      <c r="B28" s="197" t="s">
        <v>734</v>
      </c>
      <c r="C28" s="198" t="s">
        <v>735</v>
      </c>
      <c r="D28" s="199">
        <v>0.5668232399039318</v>
      </c>
      <c r="E28" s="85"/>
      <c r="F28" s="166" t="s">
        <v>496</v>
      </c>
      <c r="G28" s="197" t="s">
        <v>821</v>
      </c>
      <c r="H28" s="198" t="s">
        <v>822</v>
      </c>
      <c r="I28" s="199">
        <v>1.1411997880926184</v>
      </c>
      <c r="J28" s="87"/>
      <c r="K28" s="166" t="s">
        <v>496</v>
      </c>
      <c r="L28" s="197" t="s">
        <v>487</v>
      </c>
      <c r="M28" s="198" t="s">
        <v>794</v>
      </c>
      <c r="N28" s="199">
        <v>0.25767173687492428</v>
      </c>
      <c r="O28" s="85"/>
      <c r="P28" s="166" t="s">
        <v>496</v>
      </c>
      <c r="Q28" s="197" t="s">
        <v>812</v>
      </c>
      <c r="R28" s="198" t="s">
        <v>813</v>
      </c>
      <c r="S28" s="199">
        <v>0.72187493780414813</v>
      </c>
      <c r="T28" s="87"/>
      <c r="U28" s="166" t="s">
        <v>496</v>
      </c>
      <c r="V28" s="87" t="s">
        <v>535</v>
      </c>
      <c r="W28" s="199">
        <v>2.9792895747088599E-2</v>
      </c>
      <c r="X28" s="89"/>
      <c r="Y28" s="166" t="s">
        <v>496</v>
      </c>
      <c r="Z28" s="87" t="s">
        <v>787</v>
      </c>
      <c r="AA28" s="199">
        <v>0.32017590093262455</v>
      </c>
    </row>
    <row r="29" spans="1:27" ht="16.5" customHeight="1" x14ac:dyDescent="0.6">
      <c r="A29" s="166" t="s">
        <v>497</v>
      </c>
      <c r="B29" s="197" t="s">
        <v>761</v>
      </c>
      <c r="C29" s="198" t="s">
        <v>762</v>
      </c>
      <c r="D29" s="196">
        <v>0.51428895546016262</v>
      </c>
      <c r="E29" s="85"/>
      <c r="F29" s="166" t="s">
        <v>497</v>
      </c>
      <c r="G29" s="197" t="s">
        <v>474</v>
      </c>
      <c r="H29" s="198" t="s">
        <v>798</v>
      </c>
      <c r="I29" s="196">
        <v>1.1152970701013565</v>
      </c>
      <c r="J29" s="87"/>
      <c r="K29" s="166" t="s">
        <v>497</v>
      </c>
      <c r="L29" s="197" t="s">
        <v>814</v>
      </c>
      <c r="M29" s="198" t="s">
        <v>815</v>
      </c>
      <c r="N29" s="196">
        <v>0.21203133419549852</v>
      </c>
      <c r="O29" s="85"/>
      <c r="P29" s="166" t="s">
        <v>497</v>
      </c>
      <c r="Q29" s="197" t="s">
        <v>808</v>
      </c>
      <c r="R29" s="198" t="s">
        <v>809</v>
      </c>
      <c r="S29" s="196">
        <v>0.60698254082407088</v>
      </c>
      <c r="T29" s="87"/>
      <c r="U29" s="166" t="s">
        <v>497</v>
      </c>
      <c r="V29" s="87" t="s">
        <v>847</v>
      </c>
      <c r="W29" s="196">
        <v>2.2638952682043155E-2</v>
      </c>
      <c r="X29" s="89"/>
      <c r="Y29" s="166" t="s">
        <v>497</v>
      </c>
      <c r="Z29" s="87" t="s">
        <v>793</v>
      </c>
      <c r="AA29" s="196">
        <v>0.31572356769887938</v>
      </c>
    </row>
    <row r="30" spans="1:27" ht="16.5" customHeight="1" x14ac:dyDescent="0.6">
      <c r="A30" s="166" t="s">
        <v>498</v>
      </c>
      <c r="B30" s="197" t="s">
        <v>828</v>
      </c>
      <c r="C30" s="198" t="s">
        <v>829</v>
      </c>
      <c r="D30" s="199">
        <v>0.47991218371197525</v>
      </c>
      <c r="E30" s="85"/>
      <c r="F30" s="166" t="s">
        <v>498</v>
      </c>
      <c r="G30" s="197" t="s">
        <v>830</v>
      </c>
      <c r="H30" s="198" t="s">
        <v>831</v>
      </c>
      <c r="I30" s="199">
        <v>1.0847702988946313</v>
      </c>
      <c r="J30" s="87"/>
      <c r="K30" s="166" t="s">
        <v>498</v>
      </c>
      <c r="L30" s="197" t="s">
        <v>795</v>
      </c>
      <c r="M30" s="198" t="s">
        <v>796</v>
      </c>
      <c r="N30" s="199">
        <v>0.14496105670661966</v>
      </c>
      <c r="O30" s="85"/>
      <c r="P30" s="166" t="s">
        <v>498</v>
      </c>
      <c r="Q30" s="197" t="s">
        <v>487</v>
      </c>
      <c r="R30" s="198" t="s">
        <v>794</v>
      </c>
      <c r="S30" s="199">
        <v>0.43178651940410956</v>
      </c>
      <c r="T30" s="87"/>
      <c r="U30" s="166" t="s">
        <v>498</v>
      </c>
      <c r="V30" s="87" t="s">
        <v>767</v>
      </c>
      <c r="W30" s="199">
        <v>1.2336570857623221E-2</v>
      </c>
      <c r="X30" s="89"/>
      <c r="Y30" s="166" t="s">
        <v>498</v>
      </c>
      <c r="Z30" s="87" t="s">
        <v>783</v>
      </c>
      <c r="AA30" s="199">
        <v>0.30525372675337803</v>
      </c>
    </row>
    <row r="31" spans="1:27" ht="16.5" customHeight="1" x14ac:dyDescent="0.6">
      <c r="A31" s="166" t="s">
        <v>499</v>
      </c>
      <c r="B31" s="197" t="s">
        <v>816</v>
      </c>
      <c r="C31" s="198" t="s">
        <v>817</v>
      </c>
      <c r="D31" s="196">
        <v>0.37501169574741955</v>
      </c>
      <c r="E31" s="85"/>
      <c r="F31" s="166" t="s">
        <v>499</v>
      </c>
      <c r="G31" s="197" t="s">
        <v>479</v>
      </c>
      <c r="H31" s="198" t="s">
        <v>751</v>
      </c>
      <c r="I31" s="196">
        <v>1.0595841221746576</v>
      </c>
      <c r="J31" s="87"/>
      <c r="K31" s="166" t="s">
        <v>499</v>
      </c>
      <c r="L31" s="197" t="s">
        <v>743</v>
      </c>
      <c r="M31" s="198" t="s">
        <v>744</v>
      </c>
      <c r="N31" s="196">
        <v>0.10583203906545081</v>
      </c>
      <c r="O31" s="85"/>
      <c r="P31" s="166" t="s">
        <v>499</v>
      </c>
      <c r="Q31" s="197" t="s">
        <v>818</v>
      </c>
      <c r="R31" s="198" t="s">
        <v>819</v>
      </c>
      <c r="S31" s="196">
        <v>0.38255826853499414</v>
      </c>
      <c r="T31" s="87"/>
      <c r="U31" s="166" t="s">
        <v>897</v>
      </c>
      <c r="V31" s="87" t="s">
        <v>897</v>
      </c>
      <c r="W31" s="87"/>
      <c r="X31" s="89"/>
      <c r="Y31" s="166" t="s">
        <v>499</v>
      </c>
      <c r="Z31" s="87" t="s">
        <v>786</v>
      </c>
      <c r="AA31" s="196">
        <v>0.2326114632783455</v>
      </c>
    </row>
    <row r="32" spans="1:27" ht="16.5" customHeight="1" x14ac:dyDescent="0.6">
      <c r="A32" s="166" t="s">
        <v>500</v>
      </c>
      <c r="B32" s="197" t="s">
        <v>474</v>
      </c>
      <c r="C32" s="198" t="s">
        <v>798</v>
      </c>
      <c r="D32" s="199">
        <v>0.35901641408003776</v>
      </c>
      <c r="E32" s="85"/>
      <c r="F32" s="166" t="s">
        <v>500</v>
      </c>
      <c r="G32" s="197" t="s">
        <v>754</v>
      </c>
      <c r="H32" s="198" t="s">
        <v>755</v>
      </c>
      <c r="I32" s="199">
        <v>1.026361481018951</v>
      </c>
      <c r="J32" s="87"/>
      <c r="K32" s="166" t="s">
        <v>500</v>
      </c>
      <c r="L32" s="200" t="s">
        <v>801</v>
      </c>
      <c r="M32" s="201" t="s">
        <v>802</v>
      </c>
      <c r="N32" s="199">
        <v>0.10053789310706961</v>
      </c>
      <c r="O32" s="85"/>
      <c r="P32" s="166" t="s">
        <v>500</v>
      </c>
      <c r="Q32" s="197" t="s">
        <v>781</v>
      </c>
      <c r="R32" s="198" t="s">
        <v>782</v>
      </c>
      <c r="S32" s="199">
        <v>0.33591062892899859</v>
      </c>
      <c r="T32" s="87"/>
      <c r="U32" s="166" t="s">
        <v>897</v>
      </c>
      <c r="V32" s="87" t="s">
        <v>897</v>
      </c>
      <c r="W32" s="87"/>
      <c r="X32" s="89"/>
      <c r="Y32" s="166" t="s">
        <v>500</v>
      </c>
      <c r="Z32" s="87" t="s">
        <v>776</v>
      </c>
      <c r="AA32" s="199">
        <v>0.21906573976034535</v>
      </c>
    </row>
    <row r="33" spans="1:27" ht="16.5" customHeight="1" x14ac:dyDescent="0.6">
      <c r="A33" s="166" t="s">
        <v>501</v>
      </c>
      <c r="B33" s="197" t="s">
        <v>898</v>
      </c>
      <c r="C33" s="198" t="s">
        <v>899</v>
      </c>
      <c r="D33" s="196">
        <v>0.30826529763117277</v>
      </c>
      <c r="E33" s="85"/>
      <c r="F33" s="166" t="s">
        <v>501</v>
      </c>
      <c r="G33" s="197" t="s">
        <v>761</v>
      </c>
      <c r="H33" s="198" t="s">
        <v>762</v>
      </c>
      <c r="I33" s="196">
        <v>0.8672385904310993</v>
      </c>
      <c r="J33" s="87"/>
      <c r="K33" s="166" t="s">
        <v>897</v>
      </c>
      <c r="L33" s="87"/>
      <c r="M33" s="87"/>
      <c r="N33" s="87"/>
      <c r="O33" s="85"/>
      <c r="P33" s="166" t="s">
        <v>501</v>
      </c>
      <c r="Q33" s="197" t="s">
        <v>835</v>
      </c>
      <c r="R33" s="198" t="s">
        <v>836</v>
      </c>
      <c r="S33" s="196">
        <v>0.28364887047974296</v>
      </c>
      <c r="T33" s="87"/>
      <c r="U33" s="166" t="s">
        <v>897</v>
      </c>
      <c r="V33" s="87" t="s">
        <v>897</v>
      </c>
      <c r="W33" s="87"/>
      <c r="X33" s="89"/>
      <c r="Y33" s="166" t="s">
        <v>501</v>
      </c>
      <c r="Z33" s="87" t="s">
        <v>532</v>
      </c>
      <c r="AA33" s="196">
        <v>0.13626589948470341</v>
      </c>
    </row>
    <row r="34" spans="1:27" ht="16.5" customHeight="1" x14ac:dyDescent="0.6">
      <c r="A34" s="166" t="s">
        <v>502</v>
      </c>
      <c r="B34" s="197" t="s">
        <v>745</v>
      </c>
      <c r="C34" s="198" t="s">
        <v>746</v>
      </c>
      <c r="D34" s="199">
        <v>0.29374254654795606</v>
      </c>
      <c r="E34" s="85"/>
      <c r="F34" s="166" t="s">
        <v>502</v>
      </c>
      <c r="G34" s="197" t="s">
        <v>900</v>
      </c>
      <c r="H34" s="198" t="s">
        <v>901</v>
      </c>
      <c r="I34" s="199">
        <v>0.83553421098069947</v>
      </c>
      <c r="J34" s="87"/>
      <c r="K34" s="166" t="s">
        <v>897</v>
      </c>
      <c r="L34" s="87"/>
      <c r="M34" s="87"/>
      <c r="N34" s="87"/>
      <c r="O34" s="85"/>
      <c r="P34" s="166" t="s">
        <v>502</v>
      </c>
      <c r="Q34" s="197" t="s">
        <v>801</v>
      </c>
      <c r="R34" s="198" t="s">
        <v>802</v>
      </c>
      <c r="S34" s="199">
        <v>0.28312749797316361</v>
      </c>
      <c r="T34" s="87"/>
      <c r="U34" s="166" t="s">
        <v>897</v>
      </c>
      <c r="V34" s="87" t="s">
        <v>897</v>
      </c>
      <c r="W34" s="87"/>
      <c r="X34" s="87"/>
      <c r="Y34" s="166" t="s">
        <v>502</v>
      </c>
      <c r="Z34" s="87" t="s">
        <v>535</v>
      </c>
      <c r="AA34" s="199">
        <v>0.10678611621215438</v>
      </c>
    </row>
    <row r="35" spans="1:27" ht="16.5" customHeight="1" x14ac:dyDescent="0.6">
      <c r="A35" s="166" t="s">
        <v>503</v>
      </c>
      <c r="B35" s="197" t="s">
        <v>837</v>
      </c>
      <c r="C35" s="198" t="s">
        <v>838</v>
      </c>
      <c r="D35" s="196">
        <v>0.29238764464300315</v>
      </c>
      <c r="E35" s="85"/>
      <c r="F35" s="166" t="s">
        <v>503</v>
      </c>
      <c r="G35" s="197" t="s">
        <v>477</v>
      </c>
      <c r="H35" s="198" t="s">
        <v>750</v>
      </c>
      <c r="I35" s="196">
        <v>0.80646146324720991</v>
      </c>
      <c r="J35" s="87"/>
      <c r="K35" s="166" t="s">
        <v>897</v>
      </c>
      <c r="L35" s="87"/>
      <c r="M35" s="87"/>
      <c r="N35" s="87"/>
      <c r="O35" s="85"/>
      <c r="P35" s="166" t="s">
        <v>503</v>
      </c>
      <c r="Q35" s="197" t="s">
        <v>833</v>
      </c>
      <c r="R35" s="198" t="s">
        <v>834</v>
      </c>
      <c r="S35" s="196">
        <v>0.26148159246785091</v>
      </c>
      <c r="T35" s="87"/>
      <c r="U35" s="166" t="s">
        <v>897</v>
      </c>
      <c r="V35" s="87" t="s">
        <v>897</v>
      </c>
      <c r="W35" s="87"/>
      <c r="X35" s="87"/>
      <c r="Y35" s="166" t="s">
        <v>503</v>
      </c>
      <c r="Z35" s="87" t="s">
        <v>820</v>
      </c>
      <c r="AA35" s="196">
        <v>0.10410232553667979</v>
      </c>
    </row>
    <row r="36" spans="1:27" ht="16.5" customHeight="1" x14ac:dyDescent="0.6">
      <c r="A36" s="166" t="s">
        <v>504</v>
      </c>
      <c r="B36" s="197" t="s">
        <v>754</v>
      </c>
      <c r="C36" s="198" t="s">
        <v>755</v>
      </c>
      <c r="D36" s="199">
        <v>0.29169760859645977</v>
      </c>
      <c r="E36" s="85"/>
      <c r="F36" s="166" t="s">
        <v>504</v>
      </c>
      <c r="G36" s="197" t="s">
        <v>741</v>
      </c>
      <c r="H36" s="198" t="s">
        <v>742</v>
      </c>
      <c r="I36" s="199">
        <v>0.60701861156952319</v>
      </c>
      <c r="J36" s="87"/>
      <c r="K36" s="166" t="s">
        <v>897</v>
      </c>
      <c r="L36" s="87"/>
      <c r="M36" s="87"/>
      <c r="N36" s="87"/>
      <c r="O36" s="85"/>
      <c r="P36" s="166" t="s">
        <v>504</v>
      </c>
      <c r="Q36" s="197" t="s">
        <v>842</v>
      </c>
      <c r="R36" s="198" t="s">
        <v>843</v>
      </c>
      <c r="S36" s="199">
        <v>0.25368143628195894</v>
      </c>
      <c r="T36" s="87"/>
      <c r="U36" s="166" t="s">
        <v>897</v>
      </c>
      <c r="V36" s="87" t="s">
        <v>897</v>
      </c>
      <c r="W36" s="87"/>
      <c r="X36" s="87"/>
      <c r="Y36" s="166" t="s">
        <v>504</v>
      </c>
      <c r="Z36" s="87" t="s">
        <v>825</v>
      </c>
      <c r="AA36" s="199">
        <v>7.4164569532588376E-2</v>
      </c>
    </row>
    <row r="37" spans="1:27" ht="16.5" customHeight="1" x14ac:dyDescent="0.6">
      <c r="A37" s="166" t="s">
        <v>505</v>
      </c>
      <c r="B37" s="197" t="s">
        <v>479</v>
      </c>
      <c r="C37" s="198" t="s">
        <v>751</v>
      </c>
      <c r="D37" s="196">
        <v>0.24721304863123475</v>
      </c>
      <c r="E37" s="85"/>
      <c r="F37" s="166" t="s">
        <v>505</v>
      </c>
      <c r="G37" s="197" t="s">
        <v>773</v>
      </c>
      <c r="H37" s="198" t="s">
        <v>774</v>
      </c>
      <c r="I37" s="196">
        <v>0.52809296427230312</v>
      </c>
      <c r="J37" s="87"/>
      <c r="K37" s="166" t="s">
        <v>897</v>
      </c>
      <c r="L37" s="87"/>
      <c r="M37" s="87"/>
      <c r="N37" s="87"/>
      <c r="O37" s="85"/>
      <c r="P37" s="166" t="s">
        <v>505</v>
      </c>
      <c r="Q37" s="197" t="s">
        <v>823</v>
      </c>
      <c r="R37" s="198" t="s">
        <v>824</v>
      </c>
      <c r="S37" s="196">
        <v>0.24515460284755472</v>
      </c>
      <c r="T37" s="87"/>
      <c r="U37" s="166" t="s">
        <v>897</v>
      </c>
      <c r="V37" s="87" t="s">
        <v>897</v>
      </c>
      <c r="W37" s="87"/>
      <c r="X37" s="87"/>
      <c r="Y37" s="166" t="s">
        <v>505</v>
      </c>
      <c r="Z37" s="87" t="s">
        <v>797</v>
      </c>
      <c r="AA37" s="196">
        <v>7.3024812744215559E-2</v>
      </c>
    </row>
    <row r="38" spans="1:27" ht="16.5" customHeight="1" x14ac:dyDescent="0.6">
      <c r="A38" s="166" t="s">
        <v>506</v>
      </c>
      <c r="B38" s="197" t="s">
        <v>902</v>
      </c>
      <c r="C38" s="198" t="s">
        <v>903</v>
      </c>
      <c r="D38" s="199">
        <v>0.24478063893914767</v>
      </c>
      <c r="E38" s="85"/>
      <c r="F38" s="166" t="s">
        <v>506</v>
      </c>
      <c r="G38" s="197" t="s">
        <v>769</v>
      </c>
      <c r="H38" s="198" t="s">
        <v>770</v>
      </c>
      <c r="I38" s="199">
        <v>0.51834537178075568</v>
      </c>
      <c r="J38" s="87"/>
      <c r="K38" s="166" t="s">
        <v>897</v>
      </c>
      <c r="L38" s="87"/>
      <c r="M38" s="87"/>
      <c r="N38" s="87"/>
      <c r="O38" s="85"/>
      <c r="P38" s="166" t="s">
        <v>506</v>
      </c>
      <c r="Q38" s="197" t="s">
        <v>844</v>
      </c>
      <c r="R38" s="198" t="s">
        <v>845</v>
      </c>
      <c r="S38" s="199">
        <v>0.145058077795373</v>
      </c>
      <c r="T38" s="87"/>
      <c r="U38" s="166" t="s">
        <v>897</v>
      </c>
      <c r="V38" s="87" t="s">
        <v>897</v>
      </c>
      <c r="W38" s="87"/>
      <c r="X38" s="87"/>
      <c r="Y38" s="166" t="s">
        <v>506</v>
      </c>
      <c r="Z38" s="87" t="s">
        <v>832</v>
      </c>
      <c r="AA38" s="199">
        <v>5.6099494171466938E-2</v>
      </c>
    </row>
    <row r="39" spans="1:27" ht="16.5" customHeight="1" x14ac:dyDescent="0.6">
      <c r="A39" s="166" t="s">
        <v>507</v>
      </c>
      <c r="B39" s="197" t="s">
        <v>821</v>
      </c>
      <c r="C39" s="198" t="s">
        <v>822</v>
      </c>
      <c r="D39" s="196">
        <v>0.24192324460385847</v>
      </c>
      <c r="E39" s="85"/>
      <c r="F39" s="166" t="s">
        <v>507</v>
      </c>
      <c r="G39" s="197" t="s">
        <v>855</v>
      </c>
      <c r="H39" s="198" t="s">
        <v>856</v>
      </c>
      <c r="I39" s="196">
        <v>0.51683120474143207</v>
      </c>
      <c r="J39" s="87"/>
      <c r="K39" s="166" t="s">
        <v>897</v>
      </c>
      <c r="L39" s="87"/>
      <c r="M39" s="87"/>
      <c r="N39" s="87"/>
      <c r="O39" s="85"/>
      <c r="P39" s="166" t="s">
        <v>507</v>
      </c>
      <c r="Q39" s="197" t="s">
        <v>806</v>
      </c>
      <c r="R39" s="198" t="s">
        <v>807</v>
      </c>
      <c r="S39" s="196">
        <v>0.14068340274848043</v>
      </c>
      <c r="T39" s="87"/>
      <c r="U39" s="166" t="s">
        <v>897</v>
      </c>
      <c r="V39" s="87" t="s">
        <v>897</v>
      </c>
      <c r="W39" s="87"/>
      <c r="X39" s="87"/>
      <c r="Y39" s="166" t="s">
        <v>507</v>
      </c>
      <c r="Z39" s="87" t="s">
        <v>763</v>
      </c>
      <c r="AA39" s="196">
        <v>5.2942866286466786E-2</v>
      </c>
    </row>
    <row r="40" spans="1:27" ht="16.5" customHeight="1" x14ac:dyDescent="0.6">
      <c r="A40" s="166" t="s">
        <v>508</v>
      </c>
      <c r="B40" s="197" t="s">
        <v>773</v>
      </c>
      <c r="C40" s="198" t="s">
        <v>774</v>
      </c>
      <c r="D40" s="199">
        <v>0.19915463890892851</v>
      </c>
      <c r="E40" s="85"/>
      <c r="F40" s="166" t="s">
        <v>508</v>
      </c>
      <c r="G40" s="197" t="s">
        <v>791</v>
      </c>
      <c r="H40" s="198" t="s">
        <v>792</v>
      </c>
      <c r="I40" s="199">
        <v>0.47297035596718562</v>
      </c>
      <c r="J40" s="87"/>
      <c r="K40" s="166" t="s">
        <v>897</v>
      </c>
      <c r="L40" s="87"/>
      <c r="M40" s="87"/>
      <c r="N40" s="87"/>
      <c r="O40" s="85"/>
      <c r="P40" s="166" t="s">
        <v>508</v>
      </c>
      <c r="Q40" s="200" t="s">
        <v>759</v>
      </c>
      <c r="R40" s="201" t="s">
        <v>760</v>
      </c>
      <c r="S40" s="199">
        <v>0.12019131484590052</v>
      </c>
      <c r="T40" s="87"/>
      <c r="U40" s="166" t="s">
        <v>897</v>
      </c>
      <c r="V40" s="87" t="s">
        <v>897</v>
      </c>
      <c r="W40" s="87"/>
      <c r="X40" s="87"/>
      <c r="Y40" s="166" t="s">
        <v>508</v>
      </c>
      <c r="Z40" s="87" t="s">
        <v>846</v>
      </c>
      <c r="AA40" s="199">
        <v>4.9377630417794485E-2</v>
      </c>
    </row>
    <row r="41" spans="1:27" ht="16.5" customHeight="1" x14ac:dyDescent="0.6">
      <c r="A41" s="166" t="s">
        <v>509</v>
      </c>
      <c r="B41" s="197" t="s">
        <v>482</v>
      </c>
      <c r="C41" s="198" t="s">
        <v>731</v>
      </c>
      <c r="D41" s="196">
        <v>0.19288288058640765</v>
      </c>
      <c r="E41" s="85"/>
      <c r="F41" s="166" t="s">
        <v>509</v>
      </c>
      <c r="G41" s="197" t="s">
        <v>471</v>
      </c>
      <c r="H41" s="198" t="s">
        <v>726</v>
      </c>
      <c r="I41" s="196">
        <v>0.45557684676480942</v>
      </c>
      <c r="J41" s="87"/>
      <c r="K41" s="166" t="s">
        <v>897</v>
      </c>
      <c r="L41" s="87"/>
      <c r="M41" s="87"/>
      <c r="N41" s="87"/>
      <c r="O41" s="85"/>
      <c r="P41" s="166" t="s">
        <v>897</v>
      </c>
      <c r="Q41" s="87"/>
      <c r="R41" s="87"/>
      <c r="S41" s="87"/>
      <c r="T41" s="87"/>
      <c r="U41" s="166" t="s">
        <v>897</v>
      </c>
      <c r="V41" s="87" t="s">
        <v>897</v>
      </c>
      <c r="W41" s="87"/>
      <c r="X41" s="87"/>
      <c r="Y41" s="166" t="s">
        <v>509</v>
      </c>
      <c r="Z41" s="87" t="s">
        <v>525</v>
      </c>
      <c r="AA41" s="196">
        <v>4.5878532300543839E-2</v>
      </c>
    </row>
    <row r="42" spans="1:27" ht="16.5" customHeight="1" x14ac:dyDescent="0.6">
      <c r="A42" s="166" t="s">
        <v>510</v>
      </c>
      <c r="B42" s="197" t="s">
        <v>812</v>
      </c>
      <c r="C42" s="198" t="s">
        <v>813</v>
      </c>
      <c r="D42" s="199">
        <v>0.17941559939227009</v>
      </c>
      <c r="E42" s="85"/>
      <c r="F42" s="166" t="s">
        <v>510</v>
      </c>
      <c r="G42" s="197" t="s">
        <v>729</v>
      </c>
      <c r="H42" s="198" t="s">
        <v>730</v>
      </c>
      <c r="I42" s="199">
        <v>0.42882625488221604</v>
      </c>
      <c r="J42" s="87"/>
      <c r="K42" s="166" t="s">
        <v>897</v>
      </c>
      <c r="L42" s="87"/>
      <c r="M42" s="87"/>
      <c r="N42" s="87"/>
      <c r="O42" s="85"/>
      <c r="P42" s="166" t="s">
        <v>897</v>
      </c>
      <c r="Q42" s="87"/>
      <c r="R42" s="87"/>
      <c r="S42" s="87"/>
      <c r="T42" s="87"/>
      <c r="U42" s="166" t="s">
        <v>897</v>
      </c>
      <c r="V42" s="87" t="s">
        <v>897</v>
      </c>
      <c r="W42" s="87"/>
      <c r="X42" s="87"/>
      <c r="Y42" s="166" t="s">
        <v>510</v>
      </c>
      <c r="Z42" s="87" t="s">
        <v>536</v>
      </c>
      <c r="AA42" s="199">
        <v>1.5217628618172349E-2</v>
      </c>
    </row>
    <row r="43" spans="1:27" ht="16.5" customHeight="1" x14ac:dyDescent="0.6">
      <c r="A43" s="166" t="s">
        <v>511</v>
      </c>
      <c r="B43" s="197" t="s">
        <v>781</v>
      </c>
      <c r="C43" s="198" t="s">
        <v>782</v>
      </c>
      <c r="D43" s="196">
        <v>0.16329325488627183</v>
      </c>
      <c r="E43" s="85"/>
      <c r="F43" s="166" t="s">
        <v>511</v>
      </c>
      <c r="G43" s="197" t="s">
        <v>849</v>
      </c>
      <c r="H43" s="198" t="s">
        <v>850</v>
      </c>
      <c r="I43" s="196">
        <v>0.39422477287034857</v>
      </c>
      <c r="J43" s="87"/>
      <c r="K43" s="166" t="s">
        <v>897</v>
      </c>
      <c r="L43" s="87"/>
      <c r="M43" s="87"/>
      <c r="N43" s="87"/>
      <c r="O43" s="85"/>
      <c r="P43" s="166" t="s">
        <v>897</v>
      </c>
      <c r="Q43" s="87"/>
      <c r="R43" s="87"/>
      <c r="S43" s="87"/>
      <c r="T43" s="87"/>
      <c r="U43" s="166" t="s">
        <v>897</v>
      </c>
      <c r="V43" s="87" t="s">
        <v>897</v>
      </c>
      <c r="W43" s="87"/>
      <c r="X43" s="87"/>
      <c r="Y43" s="166" t="s">
        <v>511</v>
      </c>
      <c r="Z43" s="87" t="s">
        <v>839</v>
      </c>
      <c r="AA43" s="196">
        <v>1.3127903228219863E-2</v>
      </c>
    </row>
    <row r="44" spans="1:27" ht="16.5" customHeight="1" x14ac:dyDescent="0.6">
      <c r="A44" s="166" t="s">
        <v>512</v>
      </c>
      <c r="B44" s="197" t="s">
        <v>788</v>
      </c>
      <c r="C44" s="198" t="s">
        <v>789</v>
      </c>
      <c r="D44" s="199">
        <v>0.15427483241166692</v>
      </c>
      <c r="E44" s="85"/>
      <c r="F44" s="166" t="s">
        <v>512</v>
      </c>
      <c r="G44" s="197" t="s">
        <v>747</v>
      </c>
      <c r="H44" s="198" t="s">
        <v>748</v>
      </c>
      <c r="I44" s="199">
        <v>0.27201735608901034</v>
      </c>
      <c r="J44" s="87"/>
      <c r="K44" s="166" t="s">
        <v>897</v>
      </c>
      <c r="L44" s="87"/>
      <c r="M44" s="87"/>
      <c r="N44" s="87"/>
      <c r="O44" s="85"/>
      <c r="P44" s="166" t="s">
        <v>897</v>
      </c>
      <c r="Q44" s="87"/>
      <c r="R44" s="87"/>
      <c r="S44" s="87"/>
      <c r="T44" s="87"/>
      <c r="U44" s="166" t="s">
        <v>897</v>
      </c>
      <c r="V44" s="87" t="s">
        <v>897</v>
      </c>
      <c r="W44" s="87"/>
      <c r="X44" s="87"/>
      <c r="Y44" s="166" t="s">
        <v>512</v>
      </c>
      <c r="Z44" s="87" t="s">
        <v>851</v>
      </c>
      <c r="AA44" s="199">
        <v>1.0328132922061386E-2</v>
      </c>
    </row>
    <row r="45" spans="1:27" ht="16.5" customHeight="1" x14ac:dyDescent="0.6">
      <c r="A45" s="166" t="s">
        <v>513</v>
      </c>
      <c r="B45" s="197" t="s">
        <v>494</v>
      </c>
      <c r="C45" s="198" t="s">
        <v>768</v>
      </c>
      <c r="D45" s="196">
        <v>0.13175713463711874</v>
      </c>
      <c r="E45" s="85"/>
      <c r="F45" s="166" t="s">
        <v>513</v>
      </c>
      <c r="G45" s="197" t="s">
        <v>864</v>
      </c>
      <c r="H45" s="198" t="s">
        <v>865</v>
      </c>
      <c r="I45" s="196">
        <v>0.27016238393375985</v>
      </c>
      <c r="J45" s="87"/>
      <c r="K45" s="166" t="s">
        <v>897</v>
      </c>
      <c r="L45" s="87"/>
      <c r="M45" s="87"/>
      <c r="N45" s="87"/>
      <c r="O45" s="85"/>
      <c r="P45" s="166" t="s">
        <v>897</v>
      </c>
      <c r="Q45" s="87"/>
      <c r="R45" s="87"/>
      <c r="S45" s="87"/>
      <c r="T45" s="87"/>
      <c r="U45" s="166" t="s">
        <v>897</v>
      </c>
      <c r="V45" s="87" t="s">
        <v>897</v>
      </c>
      <c r="W45" s="87"/>
      <c r="X45" s="87"/>
      <c r="Y45" s="166" t="s">
        <v>897</v>
      </c>
      <c r="Z45" s="87" t="s">
        <v>897</v>
      </c>
      <c r="AA45" s="87"/>
    </row>
    <row r="46" spans="1:27" ht="16.5" customHeight="1" x14ac:dyDescent="0.6">
      <c r="A46" s="166" t="s">
        <v>514</v>
      </c>
      <c r="B46" s="197" t="s">
        <v>757</v>
      </c>
      <c r="C46" s="198" t="s">
        <v>758</v>
      </c>
      <c r="D46" s="199">
        <v>0.12504612856478664</v>
      </c>
      <c r="E46" s="85"/>
      <c r="F46" s="166" t="s">
        <v>514</v>
      </c>
      <c r="G46" s="197" t="s">
        <v>852</v>
      </c>
      <c r="H46" s="198" t="s">
        <v>853</v>
      </c>
      <c r="I46" s="199">
        <v>0.2631377064072537</v>
      </c>
      <c r="J46" s="87"/>
      <c r="K46" s="166" t="s">
        <v>897</v>
      </c>
      <c r="L46" s="87"/>
      <c r="M46" s="87"/>
      <c r="N46" s="87"/>
      <c r="O46" s="85"/>
      <c r="P46" s="166" t="s">
        <v>897</v>
      </c>
      <c r="Q46" s="87"/>
      <c r="R46" s="87"/>
      <c r="S46" s="87"/>
      <c r="T46" s="87"/>
      <c r="U46" s="166" t="s">
        <v>897</v>
      </c>
      <c r="V46" s="87" t="s">
        <v>897</v>
      </c>
      <c r="W46" s="87"/>
      <c r="X46" s="87"/>
      <c r="Y46" s="166" t="s">
        <v>897</v>
      </c>
      <c r="Z46" s="87" t="s">
        <v>897</v>
      </c>
      <c r="AA46" s="87"/>
    </row>
    <row r="47" spans="1:27" ht="16.5" customHeight="1" x14ac:dyDescent="0.6">
      <c r="A47" s="166" t="s">
        <v>515</v>
      </c>
      <c r="B47" s="200" t="s">
        <v>904</v>
      </c>
      <c r="C47" s="201" t="s">
        <v>905</v>
      </c>
      <c r="D47" s="196">
        <v>0.10886818590988828</v>
      </c>
      <c r="E47" s="85"/>
      <c r="F47" s="166" t="s">
        <v>515</v>
      </c>
      <c r="G47" s="197" t="s">
        <v>816</v>
      </c>
      <c r="H47" s="198" t="s">
        <v>817</v>
      </c>
      <c r="I47" s="196">
        <v>0.25531959888155864</v>
      </c>
      <c r="J47" s="87"/>
      <c r="K47" s="166" t="s">
        <v>897</v>
      </c>
      <c r="L47" s="87"/>
      <c r="M47" s="87"/>
      <c r="N47" s="87"/>
      <c r="O47" s="85"/>
      <c r="P47" s="166" t="s">
        <v>897</v>
      </c>
      <c r="Q47" s="87"/>
      <c r="R47" s="87"/>
      <c r="S47" s="87"/>
      <c r="T47" s="87"/>
      <c r="U47" s="166" t="s">
        <v>897</v>
      </c>
      <c r="V47" s="87" t="s">
        <v>897</v>
      </c>
      <c r="W47" s="87"/>
      <c r="X47" s="87"/>
      <c r="Y47" s="166" t="s">
        <v>897</v>
      </c>
      <c r="Z47" s="87" t="s">
        <v>897</v>
      </c>
      <c r="AA47" s="87"/>
    </row>
    <row r="48" spans="1:27" ht="16.5" customHeight="1" x14ac:dyDescent="0.6">
      <c r="A48" s="166" t="s">
        <v>897</v>
      </c>
      <c r="B48" s="87"/>
      <c r="C48" s="87"/>
      <c r="D48" s="87"/>
      <c r="E48" s="85"/>
      <c r="F48" s="166" t="s">
        <v>516</v>
      </c>
      <c r="G48" s="197" t="s">
        <v>814</v>
      </c>
      <c r="H48" s="198" t="s">
        <v>815</v>
      </c>
      <c r="I48" s="199">
        <v>0.25324841825212568</v>
      </c>
      <c r="J48" s="87"/>
      <c r="K48" s="166" t="s">
        <v>897</v>
      </c>
      <c r="L48" s="87"/>
      <c r="M48" s="87"/>
      <c r="N48" s="87"/>
      <c r="O48" s="85"/>
      <c r="P48" s="166" t="s">
        <v>897</v>
      </c>
      <c r="Q48" s="87"/>
      <c r="R48" s="87"/>
      <c r="S48" s="87"/>
      <c r="T48" s="87"/>
      <c r="U48" s="166" t="s">
        <v>897</v>
      </c>
      <c r="V48" s="87" t="s">
        <v>897</v>
      </c>
      <c r="W48" s="87"/>
      <c r="X48" s="87"/>
      <c r="Y48" s="166" t="s">
        <v>897</v>
      </c>
      <c r="Z48" s="87" t="s">
        <v>897</v>
      </c>
      <c r="AA48" s="87"/>
    </row>
    <row r="49" spans="1:27" ht="16.5" customHeight="1" x14ac:dyDescent="0.6">
      <c r="A49" s="166" t="s">
        <v>897</v>
      </c>
      <c r="B49" s="87"/>
      <c r="C49" s="87"/>
      <c r="D49" s="87"/>
      <c r="E49" s="85"/>
      <c r="F49" s="166" t="s">
        <v>517</v>
      </c>
      <c r="G49" s="197" t="s">
        <v>868</v>
      </c>
      <c r="H49" s="198" t="s">
        <v>869</v>
      </c>
      <c r="I49" s="196">
        <v>0.25010729129107978</v>
      </c>
      <c r="J49" s="87"/>
      <c r="K49" s="166" t="s">
        <v>897</v>
      </c>
      <c r="L49" s="87"/>
      <c r="M49" s="87"/>
      <c r="N49" s="87"/>
      <c r="O49" s="85"/>
      <c r="P49" s="166" t="s">
        <v>897</v>
      </c>
      <c r="Q49" s="87"/>
      <c r="R49" s="87"/>
      <c r="S49" s="87"/>
      <c r="T49" s="87"/>
      <c r="U49" s="166" t="s">
        <v>897</v>
      </c>
      <c r="V49" s="87" t="s">
        <v>897</v>
      </c>
      <c r="W49" s="87"/>
      <c r="X49" s="87"/>
      <c r="Y49" s="166" t="s">
        <v>897</v>
      </c>
      <c r="Z49" s="87" t="s">
        <v>897</v>
      </c>
      <c r="AA49" s="87"/>
    </row>
    <row r="50" spans="1:27" ht="16.5" customHeight="1" x14ac:dyDescent="0.6">
      <c r="A50" s="166" t="s">
        <v>897</v>
      </c>
      <c r="B50" s="87"/>
      <c r="C50" s="87"/>
      <c r="D50" s="87"/>
      <c r="E50" s="85"/>
      <c r="F50" s="166" t="s">
        <v>518</v>
      </c>
      <c r="G50" s="197" t="s">
        <v>857</v>
      </c>
      <c r="H50" s="198" t="s">
        <v>858</v>
      </c>
      <c r="I50" s="199">
        <v>0.24317566631282031</v>
      </c>
      <c r="J50" s="87"/>
      <c r="K50" s="166" t="s">
        <v>897</v>
      </c>
      <c r="L50" s="87"/>
      <c r="M50" s="87"/>
      <c r="N50" s="87"/>
      <c r="O50" s="87"/>
      <c r="P50" s="166" t="s">
        <v>897</v>
      </c>
      <c r="Q50" s="87"/>
      <c r="R50" s="87"/>
      <c r="S50" s="87"/>
      <c r="T50" s="87"/>
      <c r="U50" s="166" t="s">
        <v>897</v>
      </c>
      <c r="V50" s="87" t="s">
        <v>897</v>
      </c>
      <c r="W50" s="87"/>
      <c r="X50" s="87"/>
      <c r="Y50" s="166" t="s">
        <v>897</v>
      </c>
      <c r="Z50" s="87" t="s">
        <v>897</v>
      </c>
      <c r="AA50" s="87"/>
    </row>
    <row r="51" spans="1:27" ht="16.5" customHeight="1" x14ac:dyDescent="0.6">
      <c r="A51" s="166" t="s">
        <v>897</v>
      </c>
      <c r="B51" s="87"/>
      <c r="C51" s="87"/>
      <c r="D51" s="87"/>
      <c r="E51" s="85"/>
      <c r="F51" s="166" t="s">
        <v>519</v>
      </c>
      <c r="G51" s="197" t="s">
        <v>906</v>
      </c>
      <c r="H51" s="198" t="s">
        <v>907</v>
      </c>
      <c r="I51" s="196">
        <v>0.23185253734363789</v>
      </c>
      <c r="J51" s="87"/>
      <c r="K51" s="166" t="s">
        <v>897</v>
      </c>
      <c r="L51" s="87"/>
      <c r="M51" s="87"/>
      <c r="N51" s="87"/>
      <c r="O51" s="87"/>
      <c r="P51" s="166" t="s">
        <v>897</v>
      </c>
      <c r="Q51" s="87"/>
      <c r="R51" s="87"/>
      <c r="S51" s="87"/>
      <c r="T51" s="87"/>
      <c r="U51" s="166" t="s">
        <v>897</v>
      </c>
      <c r="V51" s="87" t="s">
        <v>897</v>
      </c>
      <c r="W51" s="87"/>
      <c r="X51" s="87"/>
      <c r="Y51" s="166" t="s">
        <v>897</v>
      </c>
      <c r="Z51" s="87" t="s">
        <v>897</v>
      </c>
      <c r="AA51" s="87"/>
    </row>
    <row r="52" spans="1:27" ht="16.5" customHeight="1" x14ac:dyDescent="0.6">
      <c r="A52" s="166" t="s">
        <v>897</v>
      </c>
      <c r="B52" s="87"/>
      <c r="C52" s="87"/>
      <c r="D52" s="87"/>
      <c r="E52" s="85"/>
      <c r="F52" s="166" t="s">
        <v>863</v>
      </c>
      <c r="G52" s="197" t="s">
        <v>795</v>
      </c>
      <c r="H52" s="198" t="s">
        <v>796</v>
      </c>
      <c r="I52" s="199">
        <v>0.20388595604270882</v>
      </c>
      <c r="J52" s="87"/>
      <c r="K52" s="166" t="s">
        <v>897</v>
      </c>
      <c r="L52" s="87"/>
      <c r="M52" s="87"/>
      <c r="N52" s="87"/>
      <c r="O52" s="87"/>
      <c r="P52" s="166" t="s">
        <v>897</v>
      </c>
      <c r="Q52" s="87"/>
      <c r="R52" s="87"/>
      <c r="S52" s="87"/>
      <c r="T52" s="87"/>
      <c r="U52" s="166" t="s">
        <v>897</v>
      </c>
      <c r="V52" s="87" t="s">
        <v>897</v>
      </c>
      <c r="W52" s="87"/>
      <c r="X52" s="87"/>
      <c r="Y52" s="166" t="s">
        <v>897</v>
      </c>
      <c r="Z52" s="87" t="s">
        <v>897</v>
      </c>
      <c r="AA52" s="87"/>
    </row>
    <row r="53" spans="1:27" ht="16.5" customHeight="1" x14ac:dyDescent="0.6">
      <c r="A53" s="166" t="s">
        <v>897</v>
      </c>
      <c r="B53" s="87"/>
      <c r="C53" s="87"/>
      <c r="D53" s="87"/>
      <c r="E53" s="85"/>
      <c r="F53" s="166" t="s">
        <v>866</v>
      </c>
      <c r="G53" s="197" t="s">
        <v>908</v>
      </c>
      <c r="H53" s="198" t="s">
        <v>909</v>
      </c>
      <c r="I53" s="196">
        <v>0.20262193012622209</v>
      </c>
      <c r="J53" s="87"/>
      <c r="K53" s="166" t="s">
        <v>897</v>
      </c>
      <c r="L53" s="87"/>
      <c r="M53" s="87"/>
      <c r="N53" s="87"/>
      <c r="O53" s="87"/>
      <c r="P53" s="166" t="s">
        <v>897</v>
      </c>
      <c r="Q53" s="87"/>
      <c r="R53" s="87"/>
      <c r="S53" s="87"/>
      <c r="T53" s="87"/>
      <c r="U53" s="166" t="s">
        <v>897</v>
      </c>
      <c r="V53" s="87" t="s">
        <v>897</v>
      </c>
      <c r="W53" s="87"/>
      <c r="X53" s="87"/>
      <c r="Y53" s="166" t="s">
        <v>897</v>
      </c>
      <c r="Z53" s="87" t="s">
        <v>897</v>
      </c>
      <c r="AA53" s="87"/>
    </row>
    <row r="54" spans="1:27" ht="16.5" customHeight="1" x14ac:dyDescent="0.6">
      <c r="A54" s="166" t="s">
        <v>897</v>
      </c>
      <c r="B54" s="87"/>
      <c r="C54" s="87"/>
      <c r="D54" s="87"/>
      <c r="E54" s="85"/>
      <c r="F54" s="166" t="s">
        <v>867</v>
      </c>
      <c r="G54" s="197" t="s">
        <v>803</v>
      </c>
      <c r="H54" s="198" t="s">
        <v>804</v>
      </c>
      <c r="I54" s="199">
        <v>0.1770113614976955</v>
      </c>
      <c r="J54" s="87"/>
      <c r="K54" s="166" t="s">
        <v>897</v>
      </c>
      <c r="L54" s="87"/>
      <c r="M54" s="87"/>
      <c r="N54" s="87"/>
      <c r="O54" s="87"/>
      <c r="P54" s="166" t="s">
        <v>897</v>
      </c>
      <c r="Q54" s="87"/>
      <c r="R54" s="87"/>
      <c r="S54" s="87"/>
      <c r="T54" s="87"/>
      <c r="U54" s="166" t="s">
        <v>897</v>
      </c>
      <c r="V54" s="87" t="s">
        <v>897</v>
      </c>
      <c r="W54" s="87"/>
      <c r="X54" s="87"/>
      <c r="Y54" s="166" t="s">
        <v>897</v>
      </c>
      <c r="Z54" s="87" t="s">
        <v>897</v>
      </c>
      <c r="AA54" s="87"/>
    </row>
    <row r="55" spans="1:27" ht="16.5" customHeight="1" x14ac:dyDescent="0.6">
      <c r="A55" s="166" t="s">
        <v>897</v>
      </c>
      <c r="B55" s="87"/>
      <c r="C55" s="87"/>
      <c r="D55" s="87"/>
      <c r="E55" s="85"/>
      <c r="F55" s="166" t="s">
        <v>870</v>
      </c>
      <c r="G55" s="197" t="s">
        <v>878</v>
      </c>
      <c r="H55" s="198" t="s">
        <v>879</v>
      </c>
      <c r="I55" s="196">
        <v>0.16825225170527433</v>
      </c>
      <c r="J55" s="87"/>
      <c r="K55" s="166" t="s">
        <v>897</v>
      </c>
      <c r="L55" s="87"/>
      <c r="M55" s="87"/>
      <c r="N55" s="87"/>
      <c r="O55" s="87"/>
      <c r="P55" s="166" t="s">
        <v>897</v>
      </c>
      <c r="Q55" s="87"/>
      <c r="R55" s="87"/>
      <c r="S55" s="87"/>
      <c r="T55" s="87"/>
      <c r="U55" s="166" t="s">
        <v>897</v>
      </c>
      <c r="V55" s="87" t="s">
        <v>897</v>
      </c>
      <c r="W55" s="87"/>
      <c r="X55" s="87"/>
      <c r="Y55" s="166" t="s">
        <v>897</v>
      </c>
      <c r="Z55" s="87" t="s">
        <v>897</v>
      </c>
      <c r="AA55" s="87"/>
    </row>
    <row r="56" spans="1:27" ht="16.5" customHeight="1" x14ac:dyDescent="0.6">
      <c r="A56" s="166" t="s">
        <v>897</v>
      </c>
      <c r="B56" s="87"/>
      <c r="C56" s="87"/>
      <c r="D56" s="87"/>
      <c r="E56" s="85"/>
      <c r="F56" s="166" t="s">
        <v>871</v>
      </c>
      <c r="G56" s="197" t="s">
        <v>887</v>
      </c>
      <c r="H56" s="198" t="s">
        <v>888</v>
      </c>
      <c r="I56" s="199">
        <v>0.15918014008446429</v>
      </c>
      <c r="J56" s="87"/>
      <c r="K56" s="166" t="s">
        <v>897</v>
      </c>
      <c r="L56" s="87"/>
      <c r="M56" s="87"/>
      <c r="N56" s="87"/>
      <c r="O56" s="87"/>
      <c r="P56" s="166" t="s">
        <v>897</v>
      </c>
      <c r="Q56" s="87"/>
      <c r="R56" s="87"/>
      <c r="S56" s="87"/>
      <c r="T56" s="87"/>
      <c r="U56" s="166" t="s">
        <v>897</v>
      </c>
      <c r="V56" s="87" t="s">
        <v>897</v>
      </c>
      <c r="W56" s="87"/>
      <c r="X56" s="87"/>
      <c r="Y56" s="166" t="s">
        <v>897</v>
      </c>
      <c r="Z56" s="87" t="s">
        <v>897</v>
      </c>
      <c r="AA56" s="87"/>
    </row>
    <row r="57" spans="1:27" ht="16.5" customHeight="1" x14ac:dyDescent="0.6">
      <c r="A57" s="166" t="s">
        <v>897</v>
      </c>
      <c r="B57" s="87"/>
      <c r="C57" s="87"/>
      <c r="D57" s="87"/>
      <c r="E57" s="85"/>
      <c r="F57" s="166" t="s">
        <v>874</v>
      </c>
      <c r="G57" s="197" t="s">
        <v>812</v>
      </c>
      <c r="H57" s="198" t="s">
        <v>813</v>
      </c>
      <c r="I57" s="196">
        <v>0.14735028356204249</v>
      </c>
      <c r="J57" s="87"/>
      <c r="K57" s="166" t="s">
        <v>897</v>
      </c>
      <c r="L57" s="87"/>
      <c r="M57" s="87"/>
      <c r="N57" s="87"/>
      <c r="O57" s="87"/>
      <c r="P57" s="166" t="s">
        <v>897</v>
      </c>
      <c r="Q57" s="87"/>
      <c r="R57" s="87"/>
      <c r="S57" s="87"/>
      <c r="T57" s="87"/>
      <c r="U57" s="166" t="s">
        <v>897</v>
      </c>
      <c r="V57" s="87" t="s">
        <v>897</v>
      </c>
      <c r="W57" s="87"/>
      <c r="X57" s="87"/>
      <c r="Y57" s="166" t="s">
        <v>897</v>
      </c>
      <c r="Z57" s="87" t="s">
        <v>897</v>
      </c>
      <c r="AA57" s="87"/>
    </row>
    <row r="58" spans="1:27" ht="16.5" customHeight="1" x14ac:dyDescent="0.6">
      <c r="A58" s="166" t="s">
        <v>897</v>
      </c>
      <c r="B58" s="87"/>
      <c r="C58" s="87"/>
      <c r="D58" s="87"/>
      <c r="E58" s="85"/>
      <c r="F58" s="166" t="s">
        <v>877</v>
      </c>
      <c r="G58" s="197" t="s">
        <v>777</v>
      </c>
      <c r="H58" s="198" t="s">
        <v>778</v>
      </c>
      <c r="I58" s="199">
        <v>0.14295682070313387</v>
      </c>
      <c r="J58" s="87"/>
      <c r="K58" s="166" t="s">
        <v>897</v>
      </c>
      <c r="L58" s="87"/>
      <c r="M58" s="87"/>
      <c r="N58" s="87"/>
      <c r="O58" s="87"/>
      <c r="P58" s="166" t="s">
        <v>897</v>
      </c>
      <c r="Q58" s="87"/>
      <c r="R58" s="87"/>
      <c r="S58" s="87"/>
      <c r="T58" s="87"/>
      <c r="U58" s="166" t="s">
        <v>897</v>
      </c>
      <c r="V58" s="87" t="s">
        <v>897</v>
      </c>
      <c r="W58" s="87"/>
      <c r="X58" s="87"/>
      <c r="Y58" s="166" t="s">
        <v>897</v>
      </c>
      <c r="Z58" s="87" t="s">
        <v>897</v>
      </c>
      <c r="AA58" s="87"/>
    </row>
    <row r="59" spans="1:27" ht="16.5" customHeight="1" x14ac:dyDescent="0.6">
      <c r="A59" s="166" t="s">
        <v>897</v>
      </c>
      <c r="B59" s="87"/>
      <c r="C59" s="87"/>
      <c r="D59" s="87"/>
      <c r="E59" s="85"/>
      <c r="F59" s="166" t="s">
        <v>880</v>
      </c>
      <c r="G59" s="197" t="s">
        <v>881</v>
      </c>
      <c r="H59" s="198" t="s">
        <v>882</v>
      </c>
      <c r="I59" s="196">
        <v>0.1428523182555646</v>
      </c>
      <c r="J59" s="87"/>
      <c r="K59" s="166" t="s">
        <v>897</v>
      </c>
      <c r="L59" s="87"/>
      <c r="M59" s="87"/>
      <c r="N59" s="87"/>
      <c r="O59" s="87"/>
      <c r="P59" s="166" t="s">
        <v>897</v>
      </c>
      <c r="Q59" s="87"/>
      <c r="R59" s="87"/>
      <c r="S59" s="87"/>
      <c r="T59" s="87"/>
      <c r="U59" s="166" t="s">
        <v>897</v>
      </c>
      <c r="V59" s="87" t="s">
        <v>897</v>
      </c>
      <c r="W59" s="87"/>
      <c r="X59" s="87"/>
      <c r="Y59" s="166" t="s">
        <v>897</v>
      </c>
      <c r="Z59" s="87" t="s">
        <v>897</v>
      </c>
      <c r="AA59" s="87"/>
    </row>
    <row r="60" spans="1:27" ht="16.5" customHeight="1" x14ac:dyDescent="0.6">
      <c r="A60" s="166" t="s">
        <v>897</v>
      </c>
      <c r="B60" s="87"/>
      <c r="C60" s="87"/>
      <c r="D60" s="87"/>
      <c r="E60" s="85"/>
      <c r="F60" s="166" t="s">
        <v>883</v>
      </c>
      <c r="G60" s="197" t="s">
        <v>861</v>
      </c>
      <c r="H60" s="198" t="s">
        <v>862</v>
      </c>
      <c r="I60" s="199">
        <v>0.1369821975197929</v>
      </c>
      <c r="J60" s="87"/>
      <c r="K60" s="166" t="s">
        <v>897</v>
      </c>
      <c r="L60" s="87"/>
      <c r="M60" s="87"/>
      <c r="N60" s="87"/>
      <c r="O60" s="87"/>
      <c r="P60" s="166" t="s">
        <v>897</v>
      </c>
      <c r="Q60" s="87"/>
      <c r="R60" s="87"/>
      <c r="S60" s="87"/>
      <c r="T60" s="87"/>
      <c r="U60" s="166" t="s">
        <v>897</v>
      </c>
      <c r="V60" s="87" t="s">
        <v>897</v>
      </c>
      <c r="W60" s="87"/>
      <c r="X60" s="87"/>
      <c r="Y60" s="166" t="s">
        <v>897</v>
      </c>
      <c r="Z60" s="87" t="s">
        <v>897</v>
      </c>
      <c r="AA60" s="87"/>
    </row>
    <row r="61" spans="1:27" ht="16.5" customHeight="1" x14ac:dyDescent="0.6">
      <c r="A61" s="166" t="s">
        <v>897</v>
      </c>
      <c r="B61" s="87"/>
      <c r="C61" s="87"/>
      <c r="D61" s="87"/>
      <c r="E61" s="85"/>
      <c r="F61" s="166" t="s">
        <v>886</v>
      </c>
      <c r="G61" s="197" t="s">
        <v>808</v>
      </c>
      <c r="H61" s="198" t="s">
        <v>809</v>
      </c>
      <c r="I61" s="196">
        <v>0.12389826107510825</v>
      </c>
      <c r="J61" s="87"/>
      <c r="K61" s="166" t="s">
        <v>897</v>
      </c>
      <c r="L61" s="87"/>
      <c r="M61" s="87"/>
      <c r="N61" s="87"/>
      <c r="O61" s="87"/>
      <c r="P61" s="166" t="s">
        <v>897</v>
      </c>
      <c r="Q61" s="87"/>
      <c r="R61" s="87"/>
      <c r="S61" s="87"/>
      <c r="T61" s="87"/>
      <c r="U61" s="166" t="s">
        <v>897</v>
      </c>
      <c r="V61" s="87" t="s">
        <v>897</v>
      </c>
      <c r="W61" s="87"/>
      <c r="X61" s="87"/>
      <c r="Y61" s="166" t="s">
        <v>897</v>
      </c>
      <c r="Z61" s="87" t="s">
        <v>897</v>
      </c>
      <c r="AA61" s="87"/>
    </row>
    <row r="62" spans="1:27" ht="16.5" customHeight="1" x14ac:dyDescent="0.6">
      <c r="A62" s="166" t="s">
        <v>897</v>
      </c>
      <c r="B62" s="87"/>
      <c r="C62" s="87"/>
      <c r="D62" s="87"/>
      <c r="E62" s="85"/>
      <c r="F62" s="166" t="s">
        <v>889</v>
      </c>
      <c r="G62" s="197" t="s">
        <v>890</v>
      </c>
      <c r="H62" s="198" t="s">
        <v>891</v>
      </c>
      <c r="I62" s="199">
        <v>0.12119954760808299</v>
      </c>
      <c r="J62" s="87"/>
      <c r="K62" s="166" t="s">
        <v>897</v>
      </c>
      <c r="L62" s="87"/>
      <c r="M62" s="87"/>
      <c r="N62" s="87"/>
      <c r="O62" s="87"/>
      <c r="P62" s="166" t="s">
        <v>897</v>
      </c>
      <c r="Q62" s="87"/>
      <c r="R62" s="87"/>
      <c r="S62" s="87"/>
      <c r="T62" s="87"/>
      <c r="U62" s="166" t="s">
        <v>897</v>
      </c>
      <c r="V62" s="87" t="s">
        <v>897</v>
      </c>
      <c r="W62" s="87"/>
      <c r="X62" s="87"/>
      <c r="Y62" s="166" t="s">
        <v>897</v>
      </c>
      <c r="Z62" s="87" t="s">
        <v>897</v>
      </c>
      <c r="AA62" s="87"/>
    </row>
    <row r="63" spans="1:27" ht="16.5" customHeight="1" x14ac:dyDescent="0.6">
      <c r="A63" s="166" t="s">
        <v>897</v>
      </c>
      <c r="B63" s="87"/>
      <c r="C63" s="87"/>
      <c r="D63" s="87"/>
      <c r="E63" s="85"/>
      <c r="F63" s="166" t="s">
        <v>910</v>
      </c>
      <c r="G63" s="200" t="s">
        <v>837</v>
      </c>
      <c r="H63" s="201" t="s">
        <v>838</v>
      </c>
      <c r="I63" s="196">
        <v>0.11826185224681002</v>
      </c>
      <c r="J63" s="87"/>
      <c r="K63" s="166" t="s">
        <v>897</v>
      </c>
      <c r="L63" s="87"/>
      <c r="M63" s="87"/>
      <c r="N63" s="87"/>
      <c r="O63" s="87"/>
      <c r="P63" s="166" t="s">
        <v>897</v>
      </c>
      <c r="Q63" s="87"/>
      <c r="R63" s="87"/>
      <c r="S63" s="87"/>
      <c r="T63" s="87"/>
      <c r="U63" s="166" t="s">
        <v>897</v>
      </c>
      <c r="V63" s="87" t="s">
        <v>897</v>
      </c>
      <c r="W63" s="87"/>
      <c r="X63" s="87"/>
      <c r="Y63" s="166" t="s">
        <v>897</v>
      </c>
      <c r="Z63" s="87" t="s">
        <v>897</v>
      </c>
      <c r="AA63" s="87"/>
    </row>
    <row r="64" spans="1:27" ht="16.5" customHeight="1" x14ac:dyDescent="0.6">
      <c r="A64" s="166" t="s">
        <v>897</v>
      </c>
      <c r="B64" s="87"/>
      <c r="C64" s="87"/>
      <c r="D64" s="87"/>
      <c r="E64" s="85"/>
      <c r="F64" s="166" t="s">
        <v>897</v>
      </c>
      <c r="G64" s="87"/>
      <c r="H64" s="87"/>
      <c r="I64" s="87"/>
      <c r="J64" s="87"/>
      <c r="K64" s="166" t="s">
        <v>897</v>
      </c>
      <c r="L64" s="87"/>
      <c r="M64" s="87"/>
      <c r="N64" s="87"/>
      <c r="O64" s="87"/>
      <c r="P64" s="166" t="s">
        <v>897</v>
      </c>
      <c r="Q64" s="87"/>
      <c r="R64" s="87"/>
      <c r="S64" s="87"/>
      <c r="T64" s="87"/>
      <c r="U64" s="166" t="s">
        <v>897</v>
      </c>
      <c r="V64" s="87" t="s">
        <v>897</v>
      </c>
      <c r="W64" s="87"/>
      <c r="X64" s="87"/>
      <c r="Y64" s="166" t="s">
        <v>897</v>
      </c>
      <c r="Z64" s="87" t="s">
        <v>897</v>
      </c>
      <c r="AA64" s="87"/>
    </row>
    <row r="65" spans="1:27" ht="16.5" customHeight="1" x14ac:dyDescent="0.6">
      <c r="A65" s="166" t="s">
        <v>897</v>
      </c>
      <c r="B65" s="87"/>
      <c r="C65" s="87"/>
      <c r="D65" s="87"/>
      <c r="E65" s="85"/>
      <c r="F65" s="166" t="s">
        <v>897</v>
      </c>
      <c r="G65" s="87"/>
      <c r="H65" s="87"/>
      <c r="I65" s="87"/>
      <c r="J65" s="87"/>
      <c r="K65" s="166" t="s">
        <v>897</v>
      </c>
      <c r="L65" s="87"/>
      <c r="M65" s="87"/>
      <c r="N65" s="87"/>
      <c r="O65" s="87"/>
      <c r="P65" s="166" t="s">
        <v>897</v>
      </c>
      <c r="Q65" s="87"/>
      <c r="R65" s="87"/>
      <c r="S65" s="87"/>
      <c r="T65" s="87"/>
      <c r="U65" s="166" t="s">
        <v>897</v>
      </c>
      <c r="V65" s="87" t="s">
        <v>897</v>
      </c>
      <c r="W65" s="87"/>
      <c r="X65" s="87"/>
      <c r="Y65" s="166" t="s">
        <v>897</v>
      </c>
      <c r="Z65" s="87" t="s">
        <v>897</v>
      </c>
      <c r="AA65" s="87"/>
    </row>
    <row r="66" spans="1:27" ht="16.5" customHeight="1" x14ac:dyDescent="0.6">
      <c r="A66" s="166" t="s">
        <v>897</v>
      </c>
      <c r="B66" s="87"/>
      <c r="C66" s="87"/>
      <c r="D66" s="87"/>
      <c r="E66" s="85"/>
      <c r="F66" s="166" t="s">
        <v>897</v>
      </c>
      <c r="G66" s="87"/>
      <c r="H66" s="87"/>
      <c r="I66" s="87"/>
      <c r="J66" s="87"/>
      <c r="K66" s="166" t="s">
        <v>897</v>
      </c>
      <c r="L66" s="87"/>
      <c r="M66" s="87"/>
      <c r="N66" s="87"/>
      <c r="O66" s="87"/>
      <c r="P66" s="166" t="s">
        <v>897</v>
      </c>
      <c r="Q66" s="87"/>
      <c r="R66" s="87"/>
      <c r="S66" s="87"/>
      <c r="T66" s="87"/>
      <c r="U66" s="166" t="s">
        <v>897</v>
      </c>
      <c r="V66" s="87" t="s">
        <v>897</v>
      </c>
      <c r="W66" s="87"/>
      <c r="X66" s="87"/>
      <c r="Y66" s="166" t="s">
        <v>897</v>
      </c>
      <c r="Z66" s="87" t="s">
        <v>897</v>
      </c>
      <c r="AA66" s="87"/>
    </row>
    <row r="67" spans="1:27" ht="16.5" customHeight="1" x14ac:dyDescent="0.6">
      <c r="A67" s="166" t="s">
        <v>897</v>
      </c>
      <c r="B67" s="87"/>
      <c r="C67" s="87"/>
      <c r="D67" s="87"/>
      <c r="E67" s="85"/>
      <c r="F67" s="166" t="s">
        <v>897</v>
      </c>
      <c r="G67" s="87"/>
      <c r="H67" s="87"/>
      <c r="I67" s="87"/>
      <c r="J67" s="87"/>
      <c r="K67" s="166" t="s">
        <v>897</v>
      </c>
      <c r="L67" s="87"/>
      <c r="M67" s="87"/>
      <c r="N67" s="87"/>
      <c r="O67" s="87"/>
      <c r="P67" s="166" t="s">
        <v>897</v>
      </c>
      <c r="Q67" s="87"/>
      <c r="R67" s="87"/>
      <c r="S67" s="87"/>
      <c r="T67" s="87"/>
      <c r="U67" s="166" t="s">
        <v>897</v>
      </c>
      <c r="V67" s="87" t="s">
        <v>897</v>
      </c>
      <c r="W67" s="87"/>
      <c r="X67" s="87"/>
      <c r="Y67" s="166" t="s">
        <v>897</v>
      </c>
      <c r="Z67" s="87" t="s">
        <v>897</v>
      </c>
      <c r="AA67" s="87"/>
    </row>
    <row r="68" spans="1:27" ht="16.5" customHeight="1" x14ac:dyDescent="0.6">
      <c r="A68" s="166" t="s">
        <v>897</v>
      </c>
      <c r="B68" s="87"/>
      <c r="C68" s="87"/>
      <c r="D68" s="87"/>
      <c r="E68" s="85"/>
      <c r="F68" s="166" t="s">
        <v>897</v>
      </c>
      <c r="G68" s="87"/>
      <c r="H68" s="87"/>
      <c r="I68" s="87"/>
      <c r="J68" s="87"/>
      <c r="K68" s="166" t="s">
        <v>897</v>
      </c>
      <c r="L68" s="87"/>
      <c r="M68" s="87"/>
      <c r="N68" s="87"/>
      <c r="O68" s="87"/>
      <c r="P68" s="166" t="s">
        <v>897</v>
      </c>
      <c r="Q68" s="87"/>
      <c r="R68" s="87"/>
      <c r="S68" s="87"/>
      <c r="T68" s="87"/>
      <c r="U68" s="87"/>
      <c r="V68" s="87"/>
      <c r="W68" s="87"/>
      <c r="X68" s="87"/>
      <c r="Y68" s="166"/>
      <c r="Z68" s="166"/>
      <c r="AA68" s="95"/>
    </row>
    <row r="69" spans="1:27" ht="16.5" customHeight="1" x14ac:dyDescent="0.6">
      <c r="A69" s="166" t="s">
        <v>897</v>
      </c>
      <c r="B69" s="87"/>
      <c r="C69" s="87"/>
      <c r="D69" s="87"/>
      <c r="E69" s="85"/>
      <c r="F69" s="166" t="s">
        <v>897</v>
      </c>
      <c r="G69" s="87"/>
      <c r="H69" s="87"/>
      <c r="I69" s="87"/>
      <c r="J69" s="87"/>
      <c r="K69" s="166" t="s">
        <v>897</v>
      </c>
      <c r="L69" s="87"/>
      <c r="M69" s="87"/>
      <c r="N69" s="87"/>
      <c r="O69" s="87"/>
      <c r="P69" s="166" t="s">
        <v>897</v>
      </c>
      <c r="Q69" s="87"/>
      <c r="R69" s="87"/>
      <c r="S69" s="87"/>
      <c r="T69" s="87"/>
      <c r="U69" s="87"/>
      <c r="V69" s="87"/>
      <c r="W69" s="87"/>
      <c r="X69" s="87"/>
      <c r="Y69" s="166"/>
      <c r="Z69" s="166"/>
      <c r="AA69" s="95"/>
    </row>
    <row r="70" spans="1:27" ht="16.5" customHeight="1" x14ac:dyDescent="0.6">
      <c r="A70" s="166" t="s">
        <v>897</v>
      </c>
      <c r="B70" s="87"/>
      <c r="C70" s="87"/>
      <c r="D70" s="87"/>
      <c r="E70" s="85"/>
      <c r="F70" s="166" t="s">
        <v>897</v>
      </c>
      <c r="G70" s="87"/>
      <c r="H70" s="87"/>
      <c r="I70" s="87"/>
      <c r="J70" s="87"/>
      <c r="K70" s="166" t="s">
        <v>897</v>
      </c>
      <c r="L70" s="87"/>
      <c r="M70" s="87"/>
      <c r="N70" s="87"/>
      <c r="O70" s="87"/>
      <c r="P70" s="166" t="s">
        <v>897</v>
      </c>
      <c r="Q70" s="87"/>
      <c r="R70" s="87"/>
      <c r="S70" s="87"/>
      <c r="T70" s="87"/>
      <c r="U70" s="87"/>
      <c r="V70" s="87"/>
      <c r="W70" s="87"/>
      <c r="X70" s="87"/>
      <c r="Y70" s="166"/>
      <c r="Z70" s="166"/>
      <c r="AA70" s="95"/>
    </row>
    <row r="71" spans="1:27" ht="16.5" customHeight="1" x14ac:dyDescent="0.6">
      <c r="A71" s="166" t="s">
        <v>897</v>
      </c>
      <c r="B71" s="87"/>
      <c r="C71" s="87"/>
      <c r="D71" s="87"/>
      <c r="E71" s="85"/>
      <c r="F71" s="166" t="s">
        <v>897</v>
      </c>
      <c r="G71" s="87"/>
      <c r="H71" s="87"/>
      <c r="I71" s="87"/>
      <c r="J71" s="87"/>
      <c r="K71" s="166" t="s">
        <v>897</v>
      </c>
      <c r="L71" s="87"/>
      <c r="M71" s="87"/>
      <c r="N71" s="87"/>
      <c r="O71" s="87"/>
      <c r="P71" s="166" t="s">
        <v>897</v>
      </c>
      <c r="Q71" s="87"/>
      <c r="R71" s="87"/>
      <c r="S71" s="87"/>
      <c r="T71" s="87"/>
      <c r="U71" s="87"/>
      <c r="V71" s="87"/>
      <c r="W71" s="87"/>
      <c r="X71" s="87"/>
      <c r="Y71" s="166"/>
      <c r="Z71" s="166"/>
      <c r="AA71" s="95"/>
    </row>
    <row r="72" spans="1:27" ht="16.5" customHeight="1" x14ac:dyDescent="0.6">
      <c r="A72" s="166" t="s">
        <v>897</v>
      </c>
      <c r="B72" s="87"/>
      <c r="C72" s="87"/>
      <c r="D72" s="87"/>
      <c r="E72" s="85"/>
      <c r="F72" s="166" t="s">
        <v>897</v>
      </c>
      <c r="G72" s="87"/>
      <c r="H72" s="87"/>
      <c r="I72" s="87"/>
      <c r="J72" s="87"/>
      <c r="K72" s="166" t="s">
        <v>897</v>
      </c>
      <c r="L72" s="87"/>
      <c r="M72" s="87"/>
      <c r="N72" s="87"/>
      <c r="O72" s="87"/>
      <c r="P72" s="166" t="s">
        <v>897</v>
      </c>
      <c r="Q72" s="87"/>
      <c r="R72" s="87"/>
      <c r="S72" s="87"/>
      <c r="T72" s="87"/>
      <c r="U72" s="87"/>
      <c r="V72" s="87"/>
      <c r="W72" s="87"/>
      <c r="X72" s="87"/>
      <c r="Y72" s="166"/>
      <c r="Z72" s="166"/>
      <c r="AA72" s="95"/>
    </row>
    <row r="73" spans="1:27" ht="16.5" customHeight="1" x14ac:dyDescent="0.6">
      <c r="A73" s="166" t="s">
        <v>897</v>
      </c>
      <c r="B73" s="87"/>
      <c r="C73" s="87"/>
      <c r="D73" s="87"/>
      <c r="E73" s="85"/>
      <c r="F73" s="166" t="s">
        <v>897</v>
      </c>
      <c r="G73" s="87"/>
      <c r="H73" s="87"/>
      <c r="I73" s="87"/>
      <c r="J73" s="87"/>
      <c r="K73" s="166" t="s">
        <v>897</v>
      </c>
      <c r="L73" s="87"/>
      <c r="M73" s="87"/>
      <c r="N73" s="87"/>
      <c r="O73" s="87"/>
      <c r="P73" s="166" t="s">
        <v>897</v>
      </c>
      <c r="Q73" s="87"/>
      <c r="R73" s="87"/>
      <c r="S73" s="87"/>
      <c r="T73" s="87"/>
      <c r="U73" s="87"/>
      <c r="V73" s="87"/>
      <c r="W73" s="87"/>
      <c r="X73" s="87"/>
      <c r="Y73" s="166"/>
      <c r="Z73" s="166"/>
      <c r="AA73" s="95"/>
    </row>
    <row r="74" spans="1:27" ht="16.5" customHeight="1" x14ac:dyDescent="0.6">
      <c r="A74" s="166" t="s">
        <v>897</v>
      </c>
      <c r="B74" s="87"/>
      <c r="C74" s="87"/>
      <c r="D74" s="87"/>
      <c r="E74" s="85"/>
      <c r="F74" s="166" t="s">
        <v>897</v>
      </c>
      <c r="G74" s="87"/>
      <c r="H74" s="87"/>
      <c r="I74" s="87"/>
      <c r="J74" s="87"/>
      <c r="K74" s="166" t="s">
        <v>897</v>
      </c>
      <c r="L74" s="87"/>
      <c r="M74" s="87"/>
      <c r="N74" s="87"/>
      <c r="O74" s="87"/>
      <c r="P74" s="166" t="s">
        <v>897</v>
      </c>
      <c r="Q74" s="87"/>
      <c r="R74" s="87"/>
      <c r="S74" s="87"/>
      <c r="T74" s="87"/>
      <c r="U74" s="87"/>
      <c r="V74" s="87"/>
      <c r="W74" s="87"/>
      <c r="X74" s="87"/>
      <c r="Y74" s="87"/>
      <c r="Z74" s="87"/>
      <c r="AA74" s="87"/>
    </row>
    <row r="75" spans="1:27" ht="16.5" customHeight="1" x14ac:dyDescent="0.6">
      <c r="A75" s="166" t="s">
        <v>897</v>
      </c>
      <c r="B75" s="87"/>
      <c r="C75" s="87"/>
      <c r="D75" s="87"/>
      <c r="E75" s="85"/>
      <c r="F75" s="166" t="s">
        <v>897</v>
      </c>
      <c r="G75" s="87"/>
      <c r="H75" s="87"/>
      <c r="I75" s="87"/>
      <c r="J75" s="87"/>
      <c r="K75" s="166" t="s">
        <v>897</v>
      </c>
      <c r="L75" s="87"/>
      <c r="M75" s="87"/>
      <c r="N75" s="87"/>
      <c r="O75" s="87"/>
      <c r="P75" s="166" t="s">
        <v>897</v>
      </c>
      <c r="Q75" s="87"/>
      <c r="R75" s="87"/>
      <c r="S75" s="87"/>
      <c r="T75" s="87"/>
      <c r="U75" s="87"/>
      <c r="V75" s="87"/>
      <c r="W75" s="87"/>
      <c r="X75" s="87"/>
      <c r="Y75" s="87"/>
      <c r="Z75" s="87"/>
      <c r="AA75" s="87"/>
    </row>
    <row r="76" spans="1:27" ht="16.5" customHeight="1" x14ac:dyDescent="0.6">
      <c r="A76" s="166" t="s">
        <v>897</v>
      </c>
      <c r="B76" s="87"/>
      <c r="C76" s="87"/>
      <c r="D76" s="87"/>
      <c r="E76" s="85"/>
      <c r="F76" s="166" t="s">
        <v>897</v>
      </c>
      <c r="G76" s="87"/>
      <c r="H76" s="87"/>
      <c r="I76" s="87"/>
      <c r="J76" s="87"/>
      <c r="K76" s="166" t="s">
        <v>897</v>
      </c>
      <c r="L76" s="87"/>
      <c r="M76" s="87"/>
      <c r="N76" s="87"/>
      <c r="O76" s="87"/>
      <c r="P76" s="166" t="s">
        <v>897</v>
      </c>
      <c r="Q76" s="87"/>
      <c r="R76" s="87"/>
      <c r="S76" s="87"/>
      <c r="T76" s="87"/>
      <c r="U76" s="87"/>
      <c r="V76" s="87"/>
      <c r="W76" s="87"/>
      <c r="X76" s="87"/>
      <c r="Y76" s="87"/>
      <c r="Z76" s="87"/>
      <c r="AA76" s="87"/>
    </row>
    <row r="77" spans="1:27" ht="16.5" customHeight="1" x14ac:dyDescent="0.6">
      <c r="A77" s="166" t="s">
        <v>897</v>
      </c>
      <c r="B77" s="87"/>
      <c r="C77" s="87"/>
      <c r="D77" s="87"/>
      <c r="E77" s="85"/>
      <c r="F77" s="166" t="s">
        <v>897</v>
      </c>
      <c r="G77" s="87"/>
      <c r="H77" s="87"/>
      <c r="I77" s="87"/>
      <c r="J77" s="87"/>
      <c r="K77" s="166" t="s">
        <v>897</v>
      </c>
      <c r="L77" s="87"/>
      <c r="M77" s="87"/>
      <c r="N77" s="87"/>
      <c r="O77" s="87"/>
      <c r="P77" s="166" t="s">
        <v>897</v>
      </c>
      <c r="Q77" s="87"/>
      <c r="R77" s="87"/>
      <c r="S77" s="87"/>
      <c r="T77" s="87"/>
      <c r="U77" s="87"/>
      <c r="V77" s="87"/>
      <c r="W77" s="87"/>
      <c r="X77" s="87"/>
      <c r="Y77" s="87"/>
      <c r="Z77" s="87"/>
      <c r="AA77" s="87"/>
    </row>
    <row r="78" spans="1:27" ht="16.5" customHeight="1" x14ac:dyDescent="0.6">
      <c r="A78" s="166" t="s">
        <v>897</v>
      </c>
      <c r="B78" s="87"/>
      <c r="C78" s="87"/>
      <c r="D78" s="87"/>
      <c r="E78" s="85"/>
      <c r="F78" s="166" t="s">
        <v>897</v>
      </c>
      <c r="G78" s="87"/>
      <c r="H78" s="87"/>
      <c r="I78" s="87"/>
      <c r="J78" s="87"/>
      <c r="K78" s="166" t="s">
        <v>897</v>
      </c>
      <c r="L78" s="87"/>
      <c r="M78" s="87"/>
      <c r="N78" s="87"/>
      <c r="O78" s="87"/>
      <c r="P78" s="166" t="s">
        <v>897</v>
      </c>
      <c r="Q78" s="87"/>
      <c r="R78" s="87"/>
      <c r="S78" s="87"/>
      <c r="T78" s="87"/>
      <c r="U78" s="87"/>
      <c r="V78" s="87"/>
      <c r="W78" s="87"/>
      <c r="X78" s="87"/>
      <c r="Y78" s="87"/>
      <c r="Z78" s="87"/>
      <c r="AA78" s="87"/>
    </row>
    <row r="79" spans="1:27" ht="16.5" customHeight="1" x14ac:dyDescent="0.6">
      <c r="A79" s="166" t="s">
        <v>897</v>
      </c>
      <c r="B79" s="87"/>
      <c r="C79" s="87"/>
      <c r="D79" s="87"/>
      <c r="E79" s="85"/>
      <c r="F79" s="166" t="s">
        <v>897</v>
      </c>
      <c r="G79" s="87"/>
      <c r="H79" s="87"/>
      <c r="I79" s="87"/>
      <c r="J79" s="87"/>
      <c r="K79" s="166" t="s">
        <v>897</v>
      </c>
      <c r="L79" s="87"/>
      <c r="M79" s="87"/>
      <c r="N79" s="87"/>
      <c r="O79" s="87"/>
      <c r="P79" s="166" t="s">
        <v>897</v>
      </c>
      <c r="Q79" s="87"/>
      <c r="R79" s="87"/>
      <c r="S79" s="87"/>
      <c r="T79" s="87"/>
      <c r="U79" s="87"/>
      <c r="V79" s="87"/>
      <c r="W79" s="87"/>
      <c r="X79" s="87"/>
      <c r="Y79" s="87"/>
      <c r="Z79" s="87"/>
      <c r="AA79" s="87"/>
    </row>
    <row r="80" spans="1:27" ht="16.5" customHeight="1" x14ac:dyDescent="0.6">
      <c r="A80" s="166" t="s">
        <v>897</v>
      </c>
      <c r="B80" s="87"/>
      <c r="C80" s="87"/>
      <c r="D80" s="87"/>
      <c r="E80" s="85"/>
      <c r="F80" s="166" t="s">
        <v>897</v>
      </c>
      <c r="G80" s="87"/>
      <c r="H80" s="87"/>
      <c r="I80" s="87"/>
      <c r="J80" s="87"/>
      <c r="K80" s="166" t="s">
        <v>897</v>
      </c>
      <c r="L80" s="87"/>
      <c r="M80" s="87"/>
      <c r="N80" s="87"/>
      <c r="O80" s="87"/>
      <c r="P80" s="166" t="s">
        <v>897</v>
      </c>
      <c r="Q80" s="87"/>
      <c r="R80" s="87"/>
      <c r="S80" s="87"/>
      <c r="T80" s="87"/>
      <c r="U80" s="87"/>
      <c r="V80" s="87"/>
      <c r="W80" s="87"/>
      <c r="X80" s="87"/>
      <c r="Y80" s="87"/>
      <c r="Z80" s="87"/>
      <c r="AA80" s="87"/>
    </row>
    <row r="81" spans="1:27" ht="16.5" customHeight="1" x14ac:dyDescent="0.6">
      <c r="A81" s="166" t="s">
        <v>897</v>
      </c>
      <c r="B81" s="87"/>
      <c r="C81" s="87"/>
      <c r="D81" s="87"/>
      <c r="E81" s="87"/>
      <c r="F81" s="166" t="s">
        <v>897</v>
      </c>
      <c r="G81" s="87"/>
      <c r="H81" s="87"/>
      <c r="I81" s="87"/>
      <c r="J81" s="87"/>
      <c r="K81" s="166" t="s">
        <v>897</v>
      </c>
      <c r="L81" s="87"/>
      <c r="M81" s="87"/>
      <c r="N81" s="87"/>
      <c r="O81" s="87"/>
      <c r="P81" s="166" t="s">
        <v>897</v>
      </c>
      <c r="Q81" s="87"/>
      <c r="R81" s="87"/>
      <c r="S81" s="87"/>
      <c r="T81" s="87"/>
      <c r="U81" s="87"/>
      <c r="V81" s="87"/>
      <c r="W81" s="87"/>
      <c r="X81" s="87"/>
      <c r="Y81" s="87"/>
      <c r="Z81" s="87"/>
      <c r="AA81" s="87"/>
    </row>
    <row r="82" spans="1:27" ht="16.5" customHeight="1" x14ac:dyDescent="0.6">
      <c r="A82" s="166" t="s">
        <v>897</v>
      </c>
      <c r="B82" s="87"/>
      <c r="C82" s="87"/>
      <c r="D82" s="87"/>
      <c r="E82" s="87"/>
      <c r="F82" s="166" t="s">
        <v>897</v>
      </c>
      <c r="G82" s="87"/>
      <c r="H82" s="87"/>
      <c r="I82" s="87"/>
      <c r="J82" s="87"/>
      <c r="K82" s="166" t="s">
        <v>897</v>
      </c>
      <c r="L82" s="87"/>
      <c r="M82" s="87"/>
      <c r="N82" s="87"/>
      <c r="O82" s="87"/>
      <c r="P82" s="166" t="s">
        <v>897</v>
      </c>
      <c r="Q82" s="87"/>
      <c r="R82" s="87"/>
      <c r="S82" s="87"/>
      <c r="T82" s="87"/>
      <c r="U82" s="87"/>
      <c r="V82" s="87"/>
      <c r="W82" s="87"/>
      <c r="X82" s="87"/>
      <c r="Y82" s="87"/>
      <c r="Z82" s="87"/>
      <c r="AA82" s="87"/>
    </row>
    <row r="83" spans="1:27" ht="16.5" customHeight="1" x14ac:dyDescent="0.6">
      <c r="A83" s="166" t="s">
        <v>897</v>
      </c>
      <c r="B83" s="87"/>
      <c r="C83" s="87"/>
      <c r="D83" s="87"/>
      <c r="E83" s="87"/>
      <c r="F83" s="166" t="s">
        <v>897</v>
      </c>
      <c r="G83" s="87"/>
      <c r="H83" s="87"/>
      <c r="I83" s="87"/>
      <c r="J83" s="87"/>
      <c r="K83" s="166" t="s">
        <v>897</v>
      </c>
      <c r="L83" s="87"/>
      <c r="M83" s="87"/>
      <c r="N83" s="87"/>
      <c r="O83" s="87"/>
      <c r="P83" s="166" t="s">
        <v>897</v>
      </c>
      <c r="Q83" s="87"/>
      <c r="R83" s="87"/>
      <c r="S83" s="87"/>
      <c r="T83" s="87"/>
      <c r="U83" s="87"/>
      <c r="V83" s="87"/>
      <c r="W83" s="87"/>
      <c r="X83" s="87"/>
      <c r="Y83" s="87"/>
      <c r="Z83" s="87"/>
      <c r="AA83" s="87"/>
    </row>
    <row r="84" spans="1:27" ht="16.5" customHeight="1" x14ac:dyDescent="0.6">
      <c r="A84" s="166" t="s">
        <v>897</v>
      </c>
      <c r="B84" s="87"/>
      <c r="C84" s="87"/>
      <c r="D84" s="87"/>
      <c r="E84" s="87"/>
      <c r="F84" s="166" t="s">
        <v>897</v>
      </c>
      <c r="G84" s="87"/>
      <c r="H84" s="87"/>
      <c r="I84" s="87"/>
      <c r="J84" s="87"/>
      <c r="K84" s="166" t="s">
        <v>897</v>
      </c>
      <c r="L84" s="87"/>
      <c r="M84" s="87"/>
      <c r="N84" s="87"/>
      <c r="O84" s="87"/>
      <c r="P84" s="166" t="s">
        <v>897</v>
      </c>
      <c r="Q84" s="87"/>
      <c r="R84" s="87"/>
      <c r="S84" s="87"/>
      <c r="T84" s="87"/>
      <c r="U84" s="87"/>
      <c r="V84" s="87"/>
      <c r="W84" s="87"/>
      <c r="X84" s="87"/>
      <c r="Y84" s="87"/>
      <c r="Z84" s="87"/>
      <c r="AA84" s="87"/>
    </row>
    <row r="85" spans="1:27" ht="16.5" customHeight="1" x14ac:dyDescent="0.6">
      <c r="A85" s="166" t="s">
        <v>897</v>
      </c>
      <c r="B85" s="87"/>
      <c r="C85" s="87"/>
      <c r="D85" s="87"/>
      <c r="E85" s="87"/>
      <c r="F85" s="166" t="s">
        <v>897</v>
      </c>
      <c r="G85" s="87"/>
      <c r="H85" s="87"/>
      <c r="I85" s="87"/>
      <c r="J85" s="87"/>
      <c r="K85" s="166" t="s">
        <v>897</v>
      </c>
      <c r="L85" s="87"/>
      <c r="M85" s="87"/>
      <c r="N85" s="87"/>
      <c r="O85" s="87"/>
      <c r="P85" s="166" t="s">
        <v>897</v>
      </c>
      <c r="Q85" s="87"/>
      <c r="R85" s="87"/>
      <c r="S85" s="87"/>
      <c r="T85" s="87"/>
      <c r="U85" s="87"/>
      <c r="V85" s="87"/>
      <c r="W85" s="87"/>
      <c r="X85" s="87"/>
      <c r="Y85" s="87"/>
      <c r="Z85" s="87"/>
      <c r="AA85" s="87"/>
    </row>
    <row r="86" spans="1:27" ht="16.5" customHeight="1" x14ac:dyDescent="0.6">
      <c r="A86" s="166" t="s">
        <v>897</v>
      </c>
      <c r="B86" s="87"/>
      <c r="C86" s="87"/>
      <c r="D86" s="87"/>
      <c r="E86" s="87"/>
      <c r="F86" s="166" t="s">
        <v>897</v>
      </c>
      <c r="G86" s="87"/>
      <c r="H86" s="87"/>
      <c r="I86" s="87"/>
      <c r="J86" s="87"/>
      <c r="K86" s="166" t="s">
        <v>897</v>
      </c>
      <c r="L86" s="87"/>
      <c r="M86" s="87"/>
      <c r="N86" s="87"/>
      <c r="O86" s="87"/>
      <c r="P86" s="166" t="s">
        <v>897</v>
      </c>
      <c r="Q86" s="87"/>
      <c r="R86" s="87"/>
      <c r="S86" s="87"/>
      <c r="T86" s="87"/>
      <c r="U86" s="87"/>
      <c r="V86" s="87"/>
      <c r="W86" s="87"/>
      <c r="X86" s="87"/>
      <c r="Y86" s="87"/>
      <c r="Z86" s="87"/>
      <c r="AA86" s="87"/>
    </row>
    <row r="87" spans="1:27" ht="16.5" customHeight="1" x14ac:dyDescent="0.6">
      <c r="A87" s="166" t="s">
        <v>897</v>
      </c>
      <c r="B87" s="87"/>
      <c r="C87" s="87"/>
      <c r="D87" s="87"/>
      <c r="E87" s="87"/>
      <c r="F87" s="166" t="s">
        <v>897</v>
      </c>
      <c r="G87" s="87"/>
      <c r="H87" s="87"/>
      <c r="I87" s="87"/>
      <c r="J87" s="87"/>
      <c r="K87" s="166" t="s">
        <v>897</v>
      </c>
      <c r="L87" s="87"/>
      <c r="M87" s="87"/>
      <c r="N87" s="87"/>
      <c r="O87" s="87"/>
      <c r="P87" s="166" t="s">
        <v>897</v>
      </c>
      <c r="Q87" s="87"/>
      <c r="R87" s="87"/>
      <c r="S87" s="87"/>
      <c r="T87" s="87"/>
      <c r="U87" s="87"/>
      <c r="V87" s="87"/>
      <c r="W87" s="87"/>
      <c r="X87" s="87"/>
      <c r="Y87" s="87"/>
      <c r="Z87" s="87"/>
      <c r="AA87" s="87"/>
    </row>
    <row r="88" spans="1:27" ht="16.5" customHeight="1" x14ac:dyDescent="0.6">
      <c r="A88" s="166" t="s">
        <v>897</v>
      </c>
      <c r="B88" s="87"/>
      <c r="C88" s="87"/>
      <c r="D88" s="87"/>
      <c r="E88" s="87"/>
      <c r="F88" s="166" t="s">
        <v>897</v>
      </c>
      <c r="G88" s="87"/>
      <c r="H88" s="87"/>
      <c r="I88" s="87"/>
      <c r="J88" s="87"/>
      <c r="K88" s="166" t="s">
        <v>897</v>
      </c>
      <c r="L88" s="87"/>
      <c r="M88" s="87"/>
      <c r="N88" s="87"/>
      <c r="O88" s="87"/>
      <c r="P88" s="166" t="s">
        <v>897</v>
      </c>
      <c r="Q88" s="87"/>
      <c r="R88" s="87"/>
      <c r="S88" s="87"/>
      <c r="T88" s="87"/>
      <c r="U88" s="87"/>
      <c r="V88" s="87"/>
      <c r="W88" s="87"/>
      <c r="X88" s="87"/>
      <c r="Y88" s="87"/>
      <c r="Z88" s="87"/>
      <c r="AA88" s="87"/>
    </row>
    <row r="89" spans="1:27" ht="16.5" customHeight="1" x14ac:dyDescent="0.6">
      <c r="A89" s="166" t="s">
        <v>897</v>
      </c>
      <c r="B89" s="87"/>
      <c r="C89" s="87"/>
      <c r="D89" s="87"/>
      <c r="E89" s="87"/>
      <c r="F89" s="166" t="s">
        <v>897</v>
      </c>
      <c r="G89" s="87"/>
      <c r="H89" s="87"/>
      <c r="I89" s="87"/>
      <c r="J89" s="87"/>
      <c r="K89" s="166" t="s">
        <v>897</v>
      </c>
      <c r="L89" s="87"/>
      <c r="M89" s="87"/>
      <c r="N89" s="87"/>
      <c r="O89" s="87"/>
      <c r="P89" s="166" t="s">
        <v>897</v>
      </c>
      <c r="Q89" s="87"/>
      <c r="R89" s="87"/>
      <c r="S89" s="87"/>
      <c r="T89" s="87"/>
      <c r="U89" s="87"/>
      <c r="V89" s="87"/>
      <c r="W89" s="87"/>
      <c r="X89" s="87"/>
      <c r="Y89" s="87"/>
      <c r="Z89" s="87"/>
      <c r="AA89" s="87"/>
    </row>
    <row r="90" spans="1:27" ht="16.5" customHeight="1" x14ac:dyDescent="0.6">
      <c r="A90" s="166" t="s">
        <v>897</v>
      </c>
      <c r="B90" s="87"/>
      <c r="C90" s="87"/>
      <c r="D90" s="87"/>
      <c r="E90" s="87"/>
      <c r="F90" s="166" t="s">
        <v>897</v>
      </c>
      <c r="G90" s="87"/>
      <c r="H90" s="87"/>
      <c r="I90" s="87"/>
      <c r="J90" s="87"/>
      <c r="K90" s="166" t="s">
        <v>897</v>
      </c>
      <c r="L90" s="87"/>
      <c r="M90" s="87"/>
      <c r="N90" s="87"/>
      <c r="O90" s="87"/>
      <c r="P90" s="166" t="s">
        <v>897</v>
      </c>
      <c r="Q90" s="87"/>
      <c r="R90" s="87"/>
      <c r="S90" s="87"/>
      <c r="T90" s="87"/>
      <c r="U90" s="87"/>
      <c r="V90" s="87"/>
      <c r="W90" s="87"/>
      <c r="X90" s="87"/>
      <c r="Y90" s="87"/>
      <c r="Z90" s="87"/>
      <c r="AA90" s="87"/>
    </row>
    <row r="91" spans="1:27" ht="16.5" customHeight="1" x14ac:dyDescent="0.6">
      <c r="A91" s="166" t="s">
        <v>897</v>
      </c>
      <c r="B91" s="87"/>
      <c r="C91" s="87"/>
      <c r="D91" s="87"/>
      <c r="E91" s="87"/>
      <c r="F91" s="166" t="s">
        <v>897</v>
      </c>
      <c r="G91" s="87"/>
      <c r="H91" s="87"/>
      <c r="I91" s="87"/>
      <c r="J91" s="87"/>
      <c r="K91" s="166" t="s">
        <v>897</v>
      </c>
      <c r="L91" s="87"/>
      <c r="M91" s="87"/>
      <c r="N91" s="87"/>
      <c r="O91" s="87"/>
      <c r="P91" s="166" t="s">
        <v>897</v>
      </c>
      <c r="Q91" s="87"/>
      <c r="R91" s="87"/>
      <c r="S91" s="87"/>
      <c r="T91" s="87"/>
      <c r="U91" s="87"/>
      <c r="V91" s="87"/>
      <c r="W91" s="87"/>
      <c r="X91" s="87"/>
      <c r="Y91" s="87"/>
      <c r="Z91" s="87"/>
      <c r="AA91" s="87"/>
    </row>
    <row r="92" spans="1:27" ht="16.5" customHeight="1" x14ac:dyDescent="0.6">
      <c r="A92" s="166" t="s">
        <v>897</v>
      </c>
      <c r="B92" s="87"/>
      <c r="C92" s="87"/>
      <c r="D92" s="87"/>
      <c r="E92" s="87"/>
      <c r="F92" s="166" t="s">
        <v>897</v>
      </c>
      <c r="G92" s="87"/>
      <c r="H92" s="87"/>
      <c r="I92" s="87"/>
      <c r="J92" s="87"/>
      <c r="K92" s="166" t="s">
        <v>897</v>
      </c>
      <c r="L92" s="87"/>
      <c r="M92" s="87"/>
      <c r="N92" s="87"/>
      <c r="O92" s="87"/>
      <c r="P92" s="166" t="s">
        <v>897</v>
      </c>
      <c r="Q92" s="87"/>
      <c r="R92" s="87"/>
      <c r="S92" s="87"/>
      <c r="T92" s="87"/>
      <c r="U92" s="87"/>
      <c r="V92" s="87"/>
      <c r="W92" s="87"/>
      <c r="X92" s="87"/>
      <c r="Y92" s="87"/>
      <c r="Z92" s="87"/>
      <c r="AA92" s="87"/>
    </row>
    <row r="93" spans="1:27" ht="16.5" customHeight="1" x14ac:dyDescent="0.6">
      <c r="A93" s="166" t="s">
        <v>897</v>
      </c>
      <c r="B93" s="87"/>
      <c r="C93" s="87"/>
      <c r="D93" s="87"/>
      <c r="E93" s="87"/>
      <c r="F93" s="166" t="s">
        <v>897</v>
      </c>
      <c r="G93" s="87"/>
      <c r="H93" s="87"/>
      <c r="I93" s="87"/>
      <c r="J93" s="87"/>
      <c r="K93" s="166" t="s">
        <v>897</v>
      </c>
      <c r="L93" s="87"/>
      <c r="M93" s="87"/>
      <c r="N93" s="87"/>
      <c r="O93" s="87"/>
      <c r="P93" s="166" t="s">
        <v>897</v>
      </c>
      <c r="Q93" s="87"/>
      <c r="R93" s="87"/>
      <c r="S93" s="87"/>
      <c r="T93" s="87"/>
      <c r="U93" s="87"/>
      <c r="V93" s="87"/>
      <c r="W93" s="87"/>
      <c r="X93" s="87"/>
      <c r="Y93" s="87"/>
      <c r="Z93" s="87"/>
      <c r="AA93" s="87"/>
    </row>
    <row r="94" spans="1:27" ht="16.5" customHeight="1" x14ac:dyDescent="0.6">
      <c r="A94" s="166" t="s">
        <v>897</v>
      </c>
      <c r="B94" s="87"/>
      <c r="C94" s="87"/>
      <c r="D94" s="87"/>
      <c r="E94" s="87"/>
      <c r="F94" s="166" t="s">
        <v>897</v>
      </c>
      <c r="G94" s="87"/>
      <c r="H94" s="87"/>
      <c r="I94" s="87"/>
      <c r="J94" s="87"/>
      <c r="K94" s="166" t="s">
        <v>897</v>
      </c>
      <c r="L94" s="87"/>
      <c r="M94" s="87"/>
      <c r="N94" s="87"/>
      <c r="O94" s="87"/>
      <c r="P94" s="166" t="s">
        <v>897</v>
      </c>
      <c r="Q94" s="87"/>
      <c r="R94" s="87"/>
      <c r="S94" s="87"/>
      <c r="T94" s="87"/>
      <c r="U94" s="87"/>
      <c r="V94" s="87"/>
      <c r="W94" s="87"/>
      <c r="X94" s="87"/>
      <c r="Y94" s="87"/>
      <c r="Z94" s="87"/>
      <c r="AA94" s="87"/>
    </row>
    <row r="95" spans="1:27" ht="16.5" customHeight="1" x14ac:dyDescent="0.6">
      <c r="A95" s="166" t="s">
        <v>897</v>
      </c>
      <c r="B95" s="87"/>
      <c r="C95" s="87"/>
      <c r="D95" s="87"/>
      <c r="E95" s="87"/>
      <c r="F95" s="166" t="s">
        <v>897</v>
      </c>
      <c r="G95" s="87"/>
      <c r="H95" s="87"/>
      <c r="I95" s="87"/>
      <c r="J95" s="87"/>
      <c r="K95" s="166" t="s">
        <v>897</v>
      </c>
      <c r="L95" s="87"/>
      <c r="M95" s="87"/>
      <c r="N95" s="87"/>
      <c r="O95" s="87"/>
      <c r="P95" s="166" t="s">
        <v>897</v>
      </c>
      <c r="Q95" s="87"/>
      <c r="R95" s="87"/>
      <c r="S95" s="87"/>
      <c r="T95" s="87"/>
      <c r="U95" s="87"/>
      <c r="V95" s="87"/>
      <c r="W95" s="87"/>
      <c r="X95" s="87"/>
      <c r="Y95" s="87"/>
      <c r="Z95" s="87"/>
      <c r="AA95" s="87"/>
    </row>
    <row r="96" spans="1:27" ht="16.5" customHeight="1" x14ac:dyDescent="0.6">
      <c r="A96" s="166" t="s">
        <v>897</v>
      </c>
      <c r="B96" s="87"/>
      <c r="C96" s="87"/>
      <c r="D96" s="87"/>
      <c r="E96" s="87"/>
      <c r="F96" s="166" t="s">
        <v>897</v>
      </c>
      <c r="G96" s="87"/>
      <c r="H96" s="87"/>
      <c r="I96" s="87"/>
      <c r="J96" s="87"/>
      <c r="K96" s="166" t="s">
        <v>897</v>
      </c>
      <c r="L96" s="87"/>
      <c r="M96" s="87"/>
      <c r="N96" s="87"/>
      <c r="O96" s="87"/>
      <c r="P96" s="166" t="s">
        <v>897</v>
      </c>
      <c r="Q96" s="87"/>
      <c r="R96" s="87"/>
      <c r="S96" s="87"/>
      <c r="T96" s="87"/>
      <c r="U96" s="87"/>
      <c r="V96" s="87"/>
      <c r="W96" s="87"/>
      <c r="X96" s="87"/>
      <c r="Y96" s="87"/>
      <c r="Z96" s="87"/>
      <c r="AA96" s="87"/>
    </row>
    <row r="97" spans="1:27" ht="16.5" customHeight="1" x14ac:dyDescent="0.6">
      <c r="A97" s="166" t="s">
        <v>897</v>
      </c>
      <c r="B97" s="87"/>
      <c r="C97" s="87"/>
      <c r="D97" s="87"/>
      <c r="E97" s="87"/>
      <c r="F97" s="166" t="s">
        <v>897</v>
      </c>
      <c r="G97" s="87"/>
      <c r="H97" s="87"/>
      <c r="I97" s="87"/>
      <c r="J97" s="87"/>
      <c r="K97" s="166" t="s">
        <v>897</v>
      </c>
      <c r="L97" s="87"/>
      <c r="M97" s="87"/>
      <c r="N97" s="87"/>
      <c r="O97" s="87"/>
      <c r="P97" s="166" t="s">
        <v>897</v>
      </c>
      <c r="Q97" s="87"/>
      <c r="R97" s="87"/>
      <c r="S97" s="87"/>
      <c r="T97" s="87"/>
      <c r="U97" s="87"/>
      <c r="V97" s="87"/>
      <c r="W97" s="87"/>
      <c r="X97" s="87"/>
      <c r="Y97" s="87"/>
      <c r="Z97" s="87"/>
      <c r="AA97" s="87"/>
    </row>
    <row r="98" spans="1:27" ht="16.5" customHeight="1" x14ac:dyDescent="0.6">
      <c r="A98" s="166" t="s">
        <v>897</v>
      </c>
      <c r="B98" s="87"/>
      <c r="C98" s="87"/>
      <c r="D98" s="87"/>
      <c r="E98" s="87"/>
      <c r="F98" s="166" t="s">
        <v>897</v>
      </c>
      <c r="G98" s="87"/>
      <c r="H98" s="87"/>
      <c r="I98" s="87"/>
      <c r="J98" s="87"/>
      <c r="K98" s="166" t="s">
        <v>897</v>
      </c>
      <c r="L98" s="87"/>
      <c r="M98" s="87"/>
      <c r="N98" s="87"/>
      <c r="O98" s="87"/>
      <c r="P98" s="166" t="s">
        <v>897</v>
      </c>
      <c r="Q98" s="87"/>
      <c r="R98" s="87"/>
      <c r="S98" s="87"/>
      <c r="T98" s="87"/>
      <c r="U98" s="87"/>
      <c r="V98" s="87"/>
      <c r="W98" s="87"/>
      <c r="X98" s="87"/>
      <c r="Y98" s="87"/>
      <c r="Z98" s="87"/>
      <c r="AA98" s="87"/>
    </row>
    <row r="99" spans="1:27" ht="16.5" customHeight="1" x14ac:dyDescent="0.6">
      <c r="A99" s="166" t="s">
        <v>897</v>
      </c>
      <c r="B99" s="87"/>
      <c r="C99" s="87"/>
      <c r="D99" s="87"/>
      <c r="E99" s="87"/>
      <c r="F99" s="166" t="s">
        <v>897</v>
      </c>
      <c r="G99" s="87"/>
      <c r="H99" s="87"/>
      <c r="I99" s="87"/>
      <c r="J99" s="87"/>
      <c r="K99" s="166" t="s">
        <v>897</v>
      </c>
      <c r="L99" s="87"/>
      <c r="M99" s="87"/>
      <c r="N99" s="87"/>
      <c r="O99" s="87"/>
      <c r="P99" s="166" t="s">
        <v>897</v>
      </c>
      <c r="Q99" s="87"/>
      <c r="R99" s="87"/>
      <c r="S99" s="87"/>
      <c r="T99" s="87"/>
      <c r="U99" s="87"/>
      <c r="V99" s="87"/>
      <c r="W99" s="87"/>
      <c r="X99" s="87"/>
      <c r="Y99" s="87"/>
      <c r="Z99" s="87"/>
      <c r="AA99" s="87"/>
    </row>
    <row r="100" spans="1:27" ht="16.5" customHeight="1" x14ac:dyDescent="0.6">
      <c r="A100" s="166" t="s">
        <v>897</v>
      </c>
      <c r="B100" s="87"/>
      <c r="C100" s="87"/>
      <c r="D100" s="87"/>
      <c r="E100" s="87"/>
      <c r="F100" s="166" t="s">
        <v>897</v>
      </c>
      <c r="G100" s="87"/>
      <c r="H100" s="87"/>
      <c r="I100" s="87"/>
      <c r="J100" s="87"/>
      <c r="K100" s="166" t="s">
        <v>897</v>
      </c>
      <c r="L100" s="87"/>
      <c r="M100" s="87"/>
      <c r="N100" s="87"/>
      <c r="O100" s="87"/>
      <c r="P100" s="166" t="s">
        <v>897</v>
      </c>
      <c r="Q100" s="87"/>
      <c r="R100" s="87"/>
      <c r="S100" s="87"/>
      <c r="T100" s="87"/>
      <c r="U100" s="87"/>
      <c r="V100" s="87"/>
      <c r="W100" s="87"/>
      <c r="X100" s="87"/>
      <c r="Y100" s="87"/>
      <c r="Z100" s="87"/>
      <c r="AA100" s="87"/>
    </row>
    <row r="101" spans="1:27" ht="28.5" customHeight="1" x14ac:dyDescent="0.6">
      <c r="A101" s="166" t="s">
        <v>897</v>
      </c>
      <c r="B101" s="87"/>
      <c r="C101" s="87"/>
      <c r="D101" s="87"/>
      <c r="E101" s="87"/>
      <c r="F101" s="166" t="s">
        <v>897</v>
      </c>
      <c r="G101" s="87"/>
      <c r="H101" s="87"/>
      <c r="I101" s="87"/>
      <c r="J101" s="87"/>
      <c r="K101" s="166" t="s">
        <v>897</v>
      </c>
      <c r="L101" s="87"/>
      <c r="M101" s="87"/>
      <c r="N101" s="87"/>
      <c r="O101" s="87"/>
      <c r="P101" s="166" t="s">
        <v>897</v>
      </c>
      <c r="Q101" s="87"/>
      <c r="R101" s="87"/>
      <c r="S101" s="87"/>
      <c r="T101" s="87"/>
      <c r="U101" s="87"/>
      <c r="V101" s="87"/>
      <c r="W101" s="87"/>
      <c r="X101" s="87"/>
      <c r="Y101" s="87"/>
      <c r="Z101" s="87"/>
      <c r="AA101" s="87"/>
    </row>
    <row r="102" spans="1:27" ht="16.5" customHeight="1" x14ac:dyDescent="0.6">
      <c r="A102" s="166" t="s">
        <v>897</v>
      </c>
      <c r="B102" s="87"/>
      <c r="C102" s="87"/>
      <c r="D102" s="87"/>
      <c r="E102" s="87"/>
      <c r="F102" s="166" t="s">
        <v>897</v>
      </c>
      <c r="G102" s="87"/>
      <c r="H102" s="87"/>
      <c r="I102" s="87"/>
      <c r="J102" s="87"/>
      <c r="K102" s="166" t="s">
        <v>897</v>
      </c>
      <c r="L102" s="87"/>
      <c r="M102" s="87"/>
      <c r="N102" s="87"/>
      <c r="O102" s="87"/>
      <c r="P102" s="166" t="s">
        <v>897</v>
      </c>
      <c r="Q102" s="87"/>
      <c r="R102" s="87"/>
      <c r="S102" s="87"/>
      <c r="T102" s="87"/>
      <c r="U102" s="87"/>
      <c r="V102" s="87"/>
      <c r="W102" s="87"/>
      <c r="X102" s="87"/>
      <c r="Y102" s="87"/>
      <c r="Z102" s="87"/>
      <c r="AA102" s="87"/>
    </row>
    <row r="103" spans="1:27" ht="16.5" customHeight="1" x14ac:dyDescent="0.6">
      <c r="A103" s="166" t="s">
        <v>897</v>
      </c>
      <c r="B103" s="87"/>
      <c r="C103" s="87"/>
      <c r="D103" s="87"/>
      <c r="E103" s="87"/>
      <c r="F103" s="166" t="s">
        <v>897</v>
      </c>
      <c r="G103" s="87"/>
      <c r="H103" s="87"/>
      <c r="I103" s="87"/>
      <c r="J103" s="87"/>
      <c r="K103" s="166" t="s">
        <v>897</v>
      </c>
      <c r="L103" s="87"/>
      <c r="M103" s="87"/>
      <c r="N103" s="87"/>
      <c r="O103" s="87"/>
      <c r="P103" s="166" t="s">
        <v>897</v>
      </c>
      <c r="Q103" s="87"/>
      <c r="R103" s="87"/>
      <c r="S103" s="87"/>
      <c r="T103" s="87"/>
      <c r="U103" s="87"/>
      <c r="V103" s="87"/>
      <c r="W103" s="87"/>
      <c r="X103" s="87"/>
      <c r="Y103" s="87"/>
      <c r="Z103" s="87"/>
      <c r="AA103" s="87"/>
    </row>
    <row r="104" spans="1:27" ht="16.5" customHeight="1" x14ac:dyDescent="0.6">
      <c r="A104" s="166" t="s">
        <v>897</v>
      </c>
      <c r="B104" s="87"/>
      <c r="C104" s="87"/>
      <c r="D104" s="87"/>
      <c r="E104" s="87"/>
      <c r="F104" s="166" t="s">
        <v>897</v>
      </c>
      <c r="G104" s="87"/>
      <c r="H104" s="87"/>
      <c r="I104" s="87"/>
      <c r="J104" s="87"/>
      <c r="K104" s="166" t="s">
        <v>897</v>
      </c>
      <c r="L104" s="87"/>
      <c r="M104" s="87"/>
      <c r="N104" s="87"/>
      <c r="O104" s="87"/>
      <c r="P104" s="166" t="s">
        <v>897</v>
      </c>
      <c r="Q104" s="87"/>
      <c r="R104" s="87"/>
      <c r="S104" s="87"/>
      <c r="T104" s="87"/>
      <c r="U104" s="87"/>
      <c r="V104" s="87"/>
      <c r="W104" s="87"/>
      <c r="X104" s="87"/>
      <c r="Y104" s="87"/>
      <c r="Z104" s="87"/>
      <c r="AA104" s="87"/>
    </row>
    <row r="105" spans="1:27" ht="16.5" customHeight="1" x14ac:dyDescent="0.6">
      <c r="A105" s="166" t="s">
        <v>897</v>
      </c>
      <c r="B105" s="87"/>
      <c r="C105" s="87"/>
      <c r="D105" s="87"/>
      <c r="E105" s="87"/>
      <c r="F105" s="166" t="s">
        <v>897</v>
      </c>
      <c r="G105" s="87"/>
      <c r="H105" s="87"/>
      <c r="I105" s="87"/>
      <c r="J105" s="87"/>
      <c r="K105" s="166" t="s">
        <v>897</v>
      </c>
      <c r="L105" s="87"/>
      <c r="M105" s="87"/>
      <c r="N105" s="87"/>
      <c r="O105" s="87"/>
      <c r="P105" s="166" t="s">
        <v>897</v>
      </c>
      <c r="Q105" s="87"/>
      <c r="R105" s="87"/>
      <c r="S105" s="87"/>
      <c r="T105" s="87"/>
      <c r="U105" s="87"/>
      <c r="V105" s="87"/>
      <c r="W105" s="87"/>
      <c r="X105" s="87"/>
      <c r="Y105" s="87"/>
      <c r="Z105" s="87"/>
      <c r="AA105" s="87"/>
    </row>
    <row r="106" spans="1:27" ht="16.5" customHeight="1" x14ac:dyDescent="0.6">
      <c r="A106" s="166" t="s">
        <v>897</v>
      </c>
      <c r="B106" s="87"/>
      <c r="C106" s="87"/>
      <c r="D106" s="87"/>
      <c r="E106" s="87"/>
      <c r="F106" s="166" t="s">
        <v>897</v>
      </c>
      <c r="G106" s="87"/>
      <c r="H106" s="87"/>
      <c r="I106" s="87"/>
      <c r="J106" s="87"/>
      <c r="K106" s="166" t="s">
        <v>897</v>
      </c>
      <c r="L106" s="87"/>
      <c r="M106" s="87"/>
      <c r="N106" s="87"/>
      <c r="O106" s="87"/>
      <c r="P106" s="166" t="s">
        <v>897</v>
      </c>
      <c r="Q106" s="87"/>
      <c r="R106" s="87"/>
      <c r="S106" s="87"/>
      <c r="T106" s="87"/>
      <c r="U106" s="87"/>
      <c r="V106" s="87"/>
      <c r="W106" s="87"/>
      <c r="X106" s="87"/>
      <c r="Y106" s="87"/>
      <c r="Z106" s="87"/>
      <c r="AA106" s="87"/>
    </row>
    <row r="107" spans="1:27" ht="16.5" customHeight="1" x14ac:dyDescent="0.6">
      <c r="A107" s="166" t="s">
        <v>897</v>
      </c>
      <c r="B107" s="87"/>
      <c r="C107" s="87"/>
      <c r="D107" s="87"/>
      <c r="E107" s="87"/>
      <c r="F107" s="166" t="s">
        <v>897</v>
      </c>
      <c r="G107" s="87"/>
      <c r="H107" s="87"/>
      <c r="I107" s="87"/>
      <c r="J107" s="87"/>
      <c r="K107" s="166" t="s">
        <v>897</v>
      </c>
      <c r="L107" s="87"/>
      <c r="M107" s="87"/>
      <c r="N107" s="87"/>
      <c r="O107" s="87"/>
      <c r="P107" s="166" t="s">
        <v>897</v>
      </c>
      <c r="Q107" s="87"/>
      <c r="R107" s="87"/>
      <c r="S107" s="87"/>
      <c r="T107" s="87"/>
      <c r="U107" s="87"/>
      <c r="V107" s="87"/>
      <c r="W107" s="87"/>
      <c r="X107" s="87"/>
      <c r="Y107" s="87"/>
      <c r="Z107" s="87"/>
      <c r="AA107" s="87"/>
    </row>
    <row r="108" spans="1:27" ht="16.5" customHeight="1" x14ac:dyDescent="0.6">
      <c r="A108" s="166" t="s">
        <v>897</v>
      </c>
      <c r="B108" s="87"/>
      <c r="C108" s="87"/>
      <c r="D108" s="87"/>
      <c r="E108" s="87"/>
      <c r="F108" s="166" t="s">
        <v>897</v>
      </c>
      <c r="G108" s="87"/>
      <c r="H108" s="87"/>
      <c r="I108" s="87"/>
      <c r="J108" s="87"/>
      <c r="K108" s="166" t="s">
        <v>897</v>
      </c>
      <c r="L108" s="87"/>
      <c r="M108" s="87"/>
      <c r="N108" s="87"/>
      <c r="O108" s="87"/>
      <c r="P108" s="166" t="s">
        <v>897</v>
      </c>
      <c r="Q108" s="87"/>
      <c r="R108" s="87"/>
      <c r="S108" s="87"/>
      <c r="T108" s="87"/>
      <c r="U108" s="87"/>
      <c r="V108" s="87"/>
      <c r="W108" s="87"/>
      <c r="X108" s="87"/>
      <c r="Y108" s="87"/>
      <c r="Z108" s="87"/>
      <c r="AA108" s="87"/>
    </row>
    <row r="109" spans="1:27" ht="16.5" customHeight="1" x14ac:dyDescent="0.6">
      <c r="A109" s="166"/>
      <c r="B109" s="87"/>
      <c r="C109" s="87"/>
      <c r="D109" s="87"/>
      <c r="E109" s="87"/>
      <c r="F109" s="166"/>
      <c r="G109" s="87"/>
      <c r="H109" s="87"/>
      <c r="I109" s="87"/>
      <c r="J109" s="87"/>
      <c r="K109" s="166"/>
      <c r="L109" s="87"/>
      <c r="M109" s="87"/>
      <c r="N109" s="87"/>
      <c r="O109" s="87"/>
      <c r="P109" s="166"/>
      <c r="Q109" s="87"/>
      <c r="R109" s="87"/>
      <c r="S109" s="87"/>
      <c r="T109" s="87"/>
      <c r="U109" s="87"/>
      <c r="V109" s="87"/>
      <c r="W109" s="87"/>
      <c r="X109" s="87"/>
      <c r="Y109" s="87"/>
      <c r="Z109" s="87"/>
      <c r="AA109" s="87"/>
    </row>
    <row r="110" spans="1:27" ht="16.5" customHeight="1" x14ac:dyDescent="0.6">
      <c r="A110" s="166"/>
      <c r="B110" s="87"/>
      <c r="C110" s="87"/>
      <c r="D110" s="87"/>
      <c r="E110" s="87"/>
      <c r="F110" s="166"/>
      <c r="G110" s="87"/>
      <c r="H110" s="87"/>
      <c r="I110" s="87"/>
      <c r="J110" s="87"/>
      <c r="K110" s="166"/>
      <c r="L110" s="87"/>
      <c r="M110" s="87"/>
      <c r="N110" s="87"/>
      <c r="O110" s="87"/>
      <c r="P110" s="166"/>
      <c r="Q110" s="87"/>
      <c r="R110" s="87"/>
      <c r="S110" s="87"/>
      <c r="T110" s="87"/>
      <c r="U110" s="87"/>
      <c r="V110" s="87"/>
      <c r="W110" s="87"/>
      <c r="X110" s="87"/>
      <c r="Y110" s="87"/>
      <c r="Z110" s="87"/>
      <c r="AA110" s="87"/>
    </row>
    <row r="111" spans="1:27" ht="16.5" customHeight="1" x14ac:dyDescent="0.6">
      <c r="A111" s="166"/>
      <c r="B111" s="87"/>
      <c r="C111" s="87"/>
      <c r="D111" s="87"/>
      <c r="E111" s="87"/>
      <c r="F111" s="166"/>
      <c r="G111" s="87"/>
      <c r="H111" s="87"/>
      <c r="I111" s="87"/>
      <c r="J111" s="87"/>
      <c r="K111" s="166"/>
      <c r="L111" s="87"/>
      <c r="M111" s="87"/>
      <c r="N111" s="87"/>
      <c r="O111" s="87"/>
      <c r="P111" s="166"/>
      <c r="Q111" s="87"/>
      <c r="R111" s="87"/>
      <c r="S111" s="87"/>
      <c r="T111" s="87"/>
      <c r="U111" s="87"/>
      <c r="V111" s="87"/>
      <c r="W111" s="87"/>
      <c r="X111" s="87"/>
      <c r="Y111" s="87"/>
      <c r="Z111" s="87"/>
      <c r="AA111" s="87"/>
    </row>
    <row r="112" spans="1:27" ht="16.5" customHeight="1" x14ac:dyDescent="0.6">
      <c r="A112" s="166"/>
      <c r="B112" s="87"/>
      <c r="C112" s="87"/>
      <c r="D112" s="87"/>
      <c r="E112" s="87"/>
      <c r="F112" s="166"/>
      <c r="G112" s="87"/>
      <c r="H112" s="87"/>
      <c r="I112" s="87"/>
      <c r="J112" s="87"/>
      <c r="K112" s="166"/>
      <c r="L112" s="87"/>
      <c r="M112" s="87"/>
      <c r="N112" s="87"/>
      <c r="O112" s="87"/>
      <c r="P112" s="166"/>
      <c r="Q112" s="87"/>
      <c r="R112" s="87"/>
      <c r="S112" s="87"/>
      <c r="T112" s="87"/>
      <c r="U112" s="87"/>
      <c r="V112" s="87"/>
      <c r="W112" s="87"/>
      <c r="X112" s="87"/>
      <c r="Y112" s="87"/>
      <c r="Z112" s="87"/>
      <c r="AA112" s="87"/>
    </row>
    <row r="113" spans="1:27" ht="16.5" customHeight="1" x14ac:dyDescent="0.6">
      <c r="A113" s="166"/>
      <c r="B113" s="87"/>
      <c r="C113" s="87"/>
      <c r="D113" s="87"/>
      <c r="E113" s="87"/>
      <c r="F113" s="166"/>
      <c r="G113" s="87"/>
      <c r="H113" s="87"/>
      <c r="I113" s="87"/>
      <c r="J113" s="87"/>
      <c r="K113" s="166"/>
      <c r="L113" s="87"/>
      <c r="M113" s="87"/>
      <c r="N113" s="87"/>
      <c r="O113" s="87"/>
      <c r="P113" s="166"/>
      <c r="Q113" s="87"/>
      <c r="R113" s="87"/>
      <c r="S113" s="87"/>
      <c r="T113" s="87"/>
      <c r="U113" s="87"/>
      <c r="V113" s="87"/>
      <c r="W113" s="87"/>
      <c r="X113" s="87"/>
      <c r="Y113" s="87"/>
      <c r="Z113" s="87"/>
      <c r="AA113" s="87"/>
    </row>
    <row r="114" spans="1:27" ht="16.5" customHeight="1" x14ac:dyDescent="0.6">
      <c r="A114" s="166"/>
      <c r="B114" s="87"/>
      <c r="C114" s="87"/>
      <c r="D114" s="87"/>
      <c r="E114" s="87"/>
      <c r="F114" s="166"/>
      <c r="G114" s="87"/>
      <c r="H114" s="87"/>
      <c r="I114" s="87"/>
      <c r="J114" s="87"/>
      <c r="K114" s="166"/>
      <c r="L114" s="87"/>
      <c r="M114" s="87"/>
      <c r="N114" s="87"/>
      <c r="O114" s="87"/>
      <c r="P114" s="166"/>
      <c r="Q114" s="87"/>
      <c r="R114" s="87"/>
      <c r="S114" s="87"/>
      <c r="T114" s="87"/>
      <c r="U114" s="87"/>
      <c r="V114" s="87"/>
      <c r="W114" s="87"/>
      <c r="X114" s="87"/>
      <c r="Y114" s="87"/>
      <c r="Z114" s="87"/>
      <c r="AA114" s="87"/>
    </row>
    <row r="115" spans="1:27" ht="16.5" customHeight="1" x14ac:dyDescent="0.6">
      <c r="A115" s="166"/>
      <c r="B115" s="87"/>
      <c r="C115" s="87"/>
      <c r="D115" s="87"/>
      <c r="E115" s="87"/>
      <c r="F115" s="166"/>
      <c r="G115" s="87"/>
      <c r="H115" s="87"/>
      <c r="I115" s="87"/>
      <c r="J115" s="87"/>
      <c r="K115" s="166"/>
      <c r="L115" s="87"/>
      <c r="M115" s="87"/>
      <c r="N115" s="87"/>
      <c r="O115" s="87"/>
      <c r="P115" s="166"/>
      <c r="Q115" s="87"/>
      <c r="R115" s="87"/>
      <c r="S115" s="87"/>
      <c r="T115" s="87"/>
      <c r="U115" s="87"/>
      <c r="V115" s="87"/>
      <c r="W115" s="87"/>
      <c r="X115" s="87"/>
      <c r="Y115" s="87"/>
      <c r="Z115" s="87"/>
      <c r="AA115" s="87"/>
    </row>
    <row r="116" spans="1:27" ht="16.5" customHeight="1" x14ac:dyDescent="0.6">
      <c r="A116" s="166"/>
      <c r="B116" s="87"/>
      <c r="C116" s="87"/>
      <c r="D116" s="87"/>
      <c r="E116" s="87"/>
      <c r="F116" s="166"/>
      <c r="G116" s="87"/>
      <c r="H116" s="87"/>
      <c r="I116" s="87"/>
      <c r="J116" s="87"/>
      <c r="K116" s="166"/>
      <c r="L116" s="87"/>
      <c r="M116" s="87"/>
      <c r="N116" s="87"/>
      <c r="O116" s="87"/>
      <c r="P116" s="166"/>
      <c r="Q116" s="87"/>
      <c r="R116" s="87"/>
      <c r="S116" s="87"/>
      <c r="T116" s="87"/>
      <c r="U116" s="87"/>
      <c r="V116" s="87"/>
      <c r="W116" s="87"/>
      <c r="X116" s="87"/>
      <c r="Y116" s="87"/>
      <c r="Z116" s="87"/>
      <c r="AA116" s="87"/>
    </row>
    <row r="117" spans="1:27" ht="28.5" customHeight="1" x14ac:dyDescent="0.6">
      <c r="A117" s="166"/>
      <c r="B117" s="87"/>
      <c r="C117" s="87"/>
      <c r="D117" s="87"/>
      <c r="E117" s="87"/>
      <c r="F117" s="166"/>
      <c r="G117" s="87"/>
      <c r="H117" s="87"/>
      <c r="I117" s="87"/>
      <c r="J117" s="87"/>
      <c r="K117" s="166"/>
      <c r="L117" s="87"/>
      <c r="M117" s="87"/>
      <c r="N117" s="87"/>
      <c r="O117" s="87"/>
      <c r="P117" s="166"/>
      <c r="Q117" s="87"/>
      <c r="R117" s="87"/>
      <c r="S117" s="87"/>
      <c r="T117" s="87"/>
      <c r="U117" s="87"/>
      <c r="V117" s="87"/>
      <c r="W117" s="87"/>
      <c r="X117" s="87"/>
      <c r="Y117" s="87"/>
      <c r="Z117" s="87"/>
      <c r="AA117" s="87"/>
    </row>
    <row r="118" spans="1:27" ht="16.5" customHeight="1" x14ac:dyDescent="0.6">
      <c r="A118" s="166"/>
      <c r="B118" s="87"/>
      <c r="C118" s="87"/>
      <c r="D118" s="87"/>
      <c r="E118" s="87"/>
      <c r="F118" s="166"/>
      <c r="G118" s="87"/>
      <c r="H118" s="87"/>
      <c r="I118" s="87"/>
      <c r="J118" s="87"/>
      <c r="K118" s="166"/>
      <c r="L118" s="87"/>
      <c r="M118" s="87"/>
      <c r="N118" s="87"/>
      <c r="O118" s="87"/>
      <c r="P118" s="166"/>
      <c r="Q118" s="87"/>
      <c r="R118" s="87"/>
      <c r="S118" s="87"/>
      <c r="T118" s="87"/>
      <c r="U118" s="87"/>
      <c r="V118" s="87"/>
      <c r="W118" s="87"/>
      <c r="X118" s="87"/>
      <c r="Y118" s="87"/>
      <c r="Z118" s="87"/>
      <c r="AA118" s="87"/>
    </row>
    <row r="119" spans="1:27" ht="16.5" customHeight="1" x14ac:dyDescent="0.6">
      <c r="A119" s="166"/>
      <c r="B119" s="87"/>
      <c r="C119" s="87"/>
      <c r="D119" s="87"/>
      <c r="E119" s="87"/>
      <c r="F119" s="166"/>
      <c r="G119" s="87"/>
      <c r="H119" s="87"/>
      <c r="I119" s="87"/>
      <c r="J119" s="87"/>
      <c r="K119" s="166"/>
      <c r="L119" s="87"/>
      <c r="M119" s="87"/>
      <c r="N119" s="87"/>
      <c r="O119" s="87"/>
      <c r="P119" s="166"/>
      <c r="Q119" s="87"/>
      <c r="R119" s="87"/>
      <c r="S119" s="87"/>
      <c r="T119" s="87"/>
      <c r="U119" s="87"/>
      <c r="V119" s="87"/>
      <c r="W119" s="87"/>
      <c r="X119" s="87"/>
      <c r="Y119" s="87"/>
      <c r="Z119" s="87"/>
      <c r="AA119" s="87"/>
    </row>
    <row r="120" spans="1:27" ht="16.5" customHeight="1" x14ac:dyDescent="0.6">
      <c r="A120" s="166"/>
      <c r="B120" s="87"/>
      <c r="C120" s="87"/>
      <c r="D120" s="87"/>
      <c r="E120" s="87"/>
      <c r="F120" s="166"/>
      <c r="G120" s="87"/>
      <c r="H120" s="87"/>
      <c r="I120" s="87"/>
      <c r="J120" s="87"/>
      <c r="K120" s="166"/>
      <c r="L120" s="87"/>
      <c r="M120" s="87"/>
      <c r="N120" s="87"/>
      <c r="O120" s="87"/>
      <c r="P120" s="166"/>
      <c r="Q120" s="87"/>
      <c r="R120" s="87"/>
      <c r="S120" s="87"/>
      <c r="T120" s="87"/>
      <c r="U120" s="87"/>
      <c r="V120" s="87"/>
      <c r="W120" s="87"/>
      <c r="X120" s="87"/>
      <c r="Y120" s="87"/>
      <c r="Z120" s="87"/>
      <c r="AA120" s="87"/>
    </row>
    <row r="121" spans="1:27" ht="16.5" customHeight="1" x14ac:dyDescent="0.6">
      <c r="A121" s="166"/>
      <c r="B121" s="87"/>
      <c r="C121" s="87"/>
      <c r="D121" s="87"/>
      <c r="E121" s="87"/>
      <c r="F121" s="166"/>
      <c r="G121" s="87"/>
      <c r="H121" s="87"/>
      <c r="I121" s="87"/>
      <c r="J121" s="87"/>
      <c r="K121" s="166"/>
      <c r="L121" s="87"/>
      <c r="M121" s="87"/>
      <c r="N121" s="87"/>
      <c r="O121" s="87"/>
      <c r="P121" s="166"/>
      <c r="Q121" s="87"/>
      <c r="R121" s="87"/>
      <c r="S121" s="87"/>
      <c r="T121" s="87"/>
      <c r="U121" s="87"/>
      <c r="V121" s="87"/>
      <c r="W121" s="87"/>
      <c r="X121" s="87"/>
      <c r="Y121" s="87"/>
      <c r="Z121" s="87"/>
      <c r="AA121" s="87"/>
    </row>
    <row r="122" spans="1:27" ht="16.5" customHeight="1" x14ac:dyDescent="0.6">
      <c r="A122" s="166"/>
      <c r="B122" s="87"/>
      <c r="C122" s="87"/>
      <c r="D122" s="87"/>
      <c r="E122" s="87"/>
      <c r="F122" s="166"/>
      <c r="G122" s="87"/>
      <c r="H122" s="87"/>
      <c r="I122" s="87"/>
      <c r="J122" s="87"/>
      <c r="K122" s="166"/>
      <c r="L122" s="87"/>
      <c r="M122" s="87"/>
      <c r="N122" s="87"/>
      <c r="O122" s="87"/>
      <c r="P122" s="166"/>
      <c r="Q122" s="87"/>
      <c r="R122" s="87"/>
      <c r="S122" s="87"/>
      <c r="T122" s="87"/>
      <c r="U122" s="87"/>
      <c r="V122" s="87"/>
      <c r="W122" s="87"/>
      <c r="X122" s="87"/>
      <c r="Y122" s="87"/>
      <c r="Z122" s="87"/>
      <c r="AA122" s="87"/>
    </row>
    <row r="123" spans="1:27" ht="16.5" customHeight="1" x14ac:dyDescent="0.6">
      <c r="A123" s="166"/>
      <c r="B123" s="87"/>
      <c r="C123" s="87"/>
      <c r="D123" s="87"/>
      <c r="E123" s="87"/>
      <c r="F123" s="166"/>
      <c r="G123" s="87"/>
      <c r="H123" s="87"/>
      <c r="I123" s="87"/>
      <c r="J123" s="87"/>
      <c r="K123" s="166"/>
      <c r="L123" s="87"/>
      <c r="M123" s="87"/>
      <c r="N123" s="87"/>
      <c r="O123" s="87"/>
      <c r="P123" s="166"/>
      <c r="Q123" s="87"/>
      <c r="R123" s="87"/>
      <c r="S123" s="87"/>
      <c r="T123" s="87"/>
      <c r="U123" s="87"/>
      <c r="V123" s="87"/>
      <c r="W123" s="87"/>
      <c r="X123" s="87"/>
      <c r="Y123" s="87"/>
      <c r="Z123" s="87"/>
      <c r="AA123" s="87"/>
    </row>
    <row r="124" spans="1:27" ht="28.5" customHeight="1" x14ac:dyDescent="0.6">
      <c r="A124" s="166"/>
      <c r="B124" s="87"/>
      <c r="C124" s="87"/>
      <c r="D124" s="87"/>
      <c r="E124" s="87"/>
      <c r="F124" s="166"/>
      <c r="G124" s="87"/>
      <c r="H124" s="87"/>
      <c r="I124" s="87"/>
      <c r="J124" s="87"/>
      <c r="K124" s="166"/>
      <c r="L124" s="87"/>
      <c r="M124" s="87"/>
      <c r="N124" s="87"/>
      <c r="O124" s="87"/>
      <c r="P124" s="166"/>
      <c r="Q124" s="87"/>
      <c r="R124" s="87"/>
      <c r="S124" s="87"/>
      <c r="T124" s="87"/>
      <c r="U124" s="87"/>
      <c r="V124" s="87"/>
      <c r="W124" s="87"/>
      <c r="X124" s="87"/>
      <c r="Y124" s="87"/>
      <c r="Z124" s="87"/>
      <c r="AA124" s="87"/>
    </row>
    <row r="125" spans="1:27" ht="16.5" customHeight="1" x14ac:dyDescent="0.6">
      <c r="A125" s="166"/>
      <c r="B125" s="87"/>
      <c r="C125" s="87"/>
      <c r="D125" s="87"/>
      <c r="E125" s="87"/>
      <c r="F125" s="166"/>
      <c r="G125" s="87"/>
      <c r="H125" s="87"/>
      <c r="I125" s="87"/>
      <c r="J125" s="87"/>
      <c r="K125" s="166"/>
      <c r="L125" s="87"/>
      <c r="M125" s="87"/>
      <c r="N125" s="87"/>
      <c r="O125" s="87"/>
      <c r="P125" s="166"/>
      <c r="Q125" s="87"/>
      <c r="R125" s="87"/>
      <c r="S125" s="87"/>
      <c r="T125" s="87"/>
      <c r="U125" s="87"/>
      <c r="V125" s="87"/>
      <c r="W125" s="87"/>
      <c r="X125" s="87"/>
      <c r="Y125" s="87"/>
      <c r="Z125" s="87"/>
      <c r="AA125" s="87"/>
    </row>
    <row r="126" spans="1:27" ht="16.5" customHeight="1" x14ac:dyDescent="0.6">
      <c r="A126" s="166"/>
      <c r="B126" s="87"/>
      <c r="C126" s="87"/>
      <c r="D126" s="87"/>
      <c r="E126" s="87"/>
      <c r="F126" s="166"/>
      <c r="G126" s="87"/>
      <c r="H126" s="87"/>
      <c r="I126" s="87"/>
      <c r="J126" s="87"/>
      <c r="K126" s="166"/>
      <c r="L126" s="87"/>
      <c r="M126" s="87"/>
      <c r="N126" s="87"/>
      <c r="O126" s="87"/>
      <c r="P126" s="166"/>
      <c r="Q126" s="87"/>
      <c r="R126" s="87"/>
      <c r="S126" s="87"/>
      <c r="T126" s="87"/>
      <c r="U126" s="87"/>
      <c r="V126" s="87"/>
      <c r="W126" s="87"/>
      <c r="X126" s="87"/>
      <c r="Y126" s="87"/>
      <c r="Z126" s="87"/>
      <c r="AA126" s="87"/>
    </row>
    <row r="127" spans="1:27" ht="16.5" customHeight="1" x14ac:dyDescent="0.6">
      <c r="A127" s="166"/>
      <c r="B127" s="87"/>
      <c r="C127" s="87"/>
      <c r="D127" s="87"/>
      <c r="E127" s="87"/>
      <c r="F127" s="166"/>
      <c r="G127" s="87"/>
      <c r="H127" s="87"/>
      <c r="I127" s="87"/>
      <c r="J127" s="87"/>
      <c r="K127" s="166"/>
      <c r="L127" s="87"/>
      <c r="M127" s="87"/>
      <c r="N127" s="87"/>
      <c r="O127" s="87"/>
      <c r="P127" s="166"/>
      <c r="Q127" s="87"/>
      <c r="R127" s="87"/>
      <c r="S127" s="87"/>
      <c r="T127" s="87"/>
      <c r="U127" s="87"/>
      <c r="V127" s="87"/>
      <c r="W127" s="87"/>
      <c r="X127" s="87"/>
      <c r="Y127" s="87"/>
      <c r="Z127" s="87"/>
      <c r="AA127" s="87"/>
    </row>
    <row r="128" spans="1:27" ht="16.5" customHeight="1" x14ac:dyDescent="0.6">
      <c r="A128" s="166"/>
      <c r="B128" s="87"/>
      <c r="C128" s="87"/>
      <c r="D128" s="87"/>
      <c r="E128" s="87"/>
      <c r="F128" s="166"/>
      <c r="G128" s="87"/>
      <c r="H128" s="87"/>
      <c r="I128" s="87"/>
      <c r="J128" s="87"/>
      <c r="K128" s="166"/>
      <c r="L128" s="87"/>
      <c r="M128" s="87"/>
      <c r="N128" s="87"/>
      <c r="O128" s="87"/>
      <c r="P128" s="166"/>
      <c r="Q128" s="87"/>
      <c r="R128" s="87"/>
      <c r="S128" s="87"/>
      <c r="T128" s="87"/>
      <c r="U128" s="87"/>
      <c r="V128" s="87"/>
      <c r="W128" s="87"/>
      <c r="X128" s="87"/>
      <c r="Y128" s="87"/>
      <c r="Z128" s="87"/>
      <c r="AA128" s="87"/>
    </row>
    <row r="129" spans="1:27" ht="16.5" customHeight="1" x14ac:dyDescent="0.6">
      <c r="A129" s="166"/>
      <c r="B129" s="87"/>
      <c r="C129" s="87"/>
      <c r="D129" s="87"/>
      <c r="E129" s="87"/>
      <c r="F129" s="166"/>
      <c r="G129" s="87"/>
      <c r="H129" s="87"/>
      <c r="I129" s="87"/>
      <c r="J129" s="87"/>
      <c r="K129" s="166"/>
      <c r="L129" s="87"/>
      <c r="M129" s="87"/>
      <c r="N129" s="87"/>
      <c r="O129" s="87"/>
      <c r="P129" s="166"/>
      <c r="Q129" s="87"/>
      <c r="R129" s="87"/>
      <c r="S129" s="87"/>
      <c r="T129" s="87"/>
      <c r="U129" s="87"/>
      <c r="V129" s="87"/>
      <c r="W129" s="87"/>
      <c r="X129" s="87"/>
      <c r="Y129" s="87"/>
      <c r="Z129" s="87"/>
      <c r="AA129" s="87"/>
    </row>
    <row r="130" spans="1:27" ht="16.5" customHeight="1" x14ac:dyDescent="0.6">
      <c r="A130" s="166"/>
      <c r="B130" s="87"/>
      <c r="C130" s="87"/>
      <c r="D130" s="87"/>
      <c r="E130" s="87"/>
      <c r="F130" s="166"/>
      <c r="G130" s="87"/>
      <c r="H130" s="87"/>
      <c r="I130" s="87"/>
      <c r="J130" s="87"/>
      <c r="K130" s="166"/>
      <c r="L130" s="87"/>
      <c r="M130" s="87"/>
      <c r="N130" s="87"/>
      <c r="O130" s="87"/>
      <c r="P130" s="166"/>
      <c r="Q130" s="87"/>
      <c r="R130" s="87"/>
      <c r="S130" s="87"/>
      <c r="T130" s="87"/>
      <c r="U130" s="87"/>
      <c r="V130" s="87"/>
      <c r="W130" s="87"/>
      <c r="X130" s="87"/>
      <c r="Y130" s="87"/>
      <c r="Z130" s="87"/>
      <c r="AA130" s="87"/>
    </row>
    <row r="131" spans="1:27" ht="16.5" customHeight="1" x14ac:dyDescent="0.6">
      <c r="A131" s="166"/>
      <c r="B131" s="87"/>
      <c r="C131" s="87"/>
      <c r="D131" s="87"/>
      <c r="E131" s="87"/>
      <c r="F131" s="166"/>
      <c r="G131" s="87"/>
      <c r="H131" s="87"/>
      <c r="I131" s="87"/>
      <c r="J131" s="87"/>
      <c r="K131" s="166"/>
      <c r="L131" s="87"/>
      <c r="M131" s="87"/>
      <c r="N131" s="87"/>
      <c r="O131" s="87"/>
      <c r="P131" s="166"/>
      <c r="Q131" s="87"/>
      <c r="R131" s="87"/>
      <c r="S131" s="87"/>
      <c r="T131" s="87"/>
      <c r="U131" s="87"/>
      <c r="V131" s="87"/>
      <c r="W131" s="87"/>
      <c r="X131" s="87"/>
      <c r="Y131" s="87"/>
      <c r="Z131" s="87"/>
      <c r="AA131" s="87"/>
    </row>
    <row r="132" spans="1:27" ht="16.5" customHeight="1" x14ac:dyDescent="0.6">
      <c r="A132" s="166"/>
      <c r="B132" s="87"/>
      <c r="C132" s="87"/>
      <c r="D132" s="87"/>
      <c r="E132" s="87"/>
      <c r="F132" s="166"/>
      <c r="G132" s="87"/>
      <c r="H132" s="87"/>
      <c r="I132" s="87"/>
      <c r="J132" s="87"/>
      <c r="K132" s="166"/>
      <c r="L132" s="87"/>
      <c r="M132" s="87"/>
      <c r="N132" s="87"/>
      <c r="O132" s="87"/>
      <c r="P132" s="166"/>
      <c r="Q132" s="87"/>
      <c r="R132" s="87"/>
      <c r="S132" s="87"/>
      <c r="T132" s="87"/>
      <c r="U132" s="87"/>
      <c r="V132" s="87"/>
      <c r="W132" s="87"/>
      <c r="X132" s="87"/>
      <c r="Y132" s="87"/>
      <c r="Z132" s="87"/>
      <c r="AA132" s="87"/>
    </row>
    <row r="133" spans="1:27" ht="16.5" customHeight="1" x14ac:dyDescent="0.6">
      <c r="A133" s="166"/>
      <c r="B133" s="87"/>
      <c r="C133" s="87"/>
      <c r="D133" s="87"/>
      <c r="E133" s="87"/>
      <c r="F133" s="166"/>
      <c r="G133" s="87"/>
      <c r="H133" s="87"/>
      <c r="I133" s="87"/>
      <c r="J133" s="87"/>
      <c r="K133" s="166"/>
      <c r="L133" s="87"/>
      <c r="M133" s="87"/>
      <c r="N133" s="87"/>
      <c r="O133" s="87"/>
      <c r="P133" s="166"/>
      <c r="Q133" s="87"/>
      <c r="R133" s="87"/>
      <c r="S133" s="87"/>
      <c r="T133" s="87"/>
      <c r="U133" s="87"/>
      <c r="V133" s="87"/>
      <c r="W133" s="87"/>
      <c r="X133" s="87"/>
      <c r="Y133" s="87"/>
      <c r="Z133" s="87"/>
      <c r="AA133" s="87"/>
    </row>
    <row r="134" spans="1:27" ht="16.5" customHeight="1" x14ac:dyDescent="0.6">
      <c r="A134" s="166"/>
      <c r="B134" s="87"/>
      <c r="C134" s="87"/>
      <c r="D134" s="87"/>
      <c r="E134" s="87"/>
      <c r="F134" s="166"/>
      <c r="G134" s="87"/>
      <c r="H134" s="87"/>
      <c r="I134" s="87"/>
      <c r="J134" s="87"/>
      <c r="K134" s="166"/>
      <c r="L134" s="87"/>
      <c r="M134" s="87"/>
      <c r="N134" s="87"/>
      <c r="O134" s="87"/>
      <c r="P134" s="166"/>
      <c r="Q134" s="87"/>
      <c r="R134" s="87"/>
      <c r="S134" s="87"/>
      <c r="T134" s="87"/>
      <c r="U134" s="87"/>
      <c r="V134" s="87"/>
      <c r="W134" s="87"/>
      <c r="X134" s="87"/>
      <c r="Y134" s="87"/>
      <c r="Z134" s="87"/>
      <c r="AA134" s="87"/>
    </row>
    <row r="135" spans="1:27" ht="16.5" customHeight="1" x14ac:dyDescent="0.6">
      <c r="A135" s="166"/>
      <c r="B135" s="87"/>
      <c r="C135" s="87"/>
      <c r="D135" s="87"/>
      <c r="E135" s="87"/>
      <c r="F135" s="166"/>
      <c r="G135" s="87"/>
      <c r="H135" s="87"/>
      <c r="I135" s="87"/>
      <c r="J135" s="87"/>
      <c r="K135" s="166"/>
      <c r="L135" s="87"/>
      <c r="M135" s="87"/>
      <c r="N135" s="87"/>
      <c r="O135" s="87"/>
      <c r="P135" s="166"/>
      <c r="Q135" s="87"/>
      <c r="R135" s="87"/>
      <c r="S135" s="87"/>
      <c r="T135" s="87"/>
      <c r="U135" s="87"/>
      <c r="V135" s="87"/>
      <c r="W135" s="87"/>
      <c r="X135" s="87"/>
      <c r="Y135" s="87"/>
      <c r="Z135" s="87"/>
      <c r="AA135" s="87"/>
    </row>
    <row r="136" spans="1:27" ht="16.5" customHeight="1" x14ac:dyDescent="0.6">
      <c r="A136" s="166"/>
      <c r="B136" s="87"/>
      <c r="C136" s="87"/>
      <c r="D136" s="87"/>
      <c r="E136" s="87"/>
      <c r="F136" s="166"/>
      <c r="G136" s="87"/>
      <c r="H136" s="87"/>
      <c r="I136" s="87"/>
      <c r="J136" s="87"/>
      <c r="K136" s="166"/>
      <c r="L136" s="87"/>
      <c r="M136" s="87"/>
      <c r="N136" s="87"/>
      <c r="O136" s="87"/>
      <c r="P136" s="166"/>
      <c r="Q136" s="87"/>
      <c r="R136" s="87"/>
      <c r="S136" s="87"/>
      <c r="T136" s="87"/>
      <c r="U136" s="87"/>
      <c r="V136" s="87"/>
      <c r="W136" s="87"/>
      <c r="X136" s="87"/>
      <c r="Y136" s="87"/>
      <c r="Z136" s="87"/>
      <c r="AA136" s="87"/>
    </row>
    <row r="137" spans="1:27" ht="28.5" customHeight="1" x14ac:dyDescent="0.6">
      <c r="A137" s="166"/>
      <c r="B137" s="87"/>
      <c r="C137" s="87"/>
      <c r="D137" s="87"/>
      <c r="E137" s="87"/>
      <c r="F137" s="166"/>
      <c r="G137" s="87"/>
      <c r="H137" s="87"/>
      <c r="I137" s="87"/>
      <c r="J137" s="87"/>
      <c r="K137" s="166"/>
      <c r="L137" s="87"/>
      <c r="M137" s="87"/>
      <c r="N137" s="87"/>
      <c r="O137" s="87"/>
      <c r="P137" s="166"/>
      <c r="Q137" s="87"/>
      <c r="R137" s="87"/>
      <c r="S137" s="87"/>
      <c r="T137" s="87"/>
      <c r="U137" s="87"/>
      <c r="V137" s="87"/>
      <c r="W137" s="87"/>
      <c r="X137" s="87"/>
      <c r="Y137" s="87"/>
      <c r="Z137" s="87"/>
      <c r="AA137" s="87"/>
    </row>
    <row r="138" spans="1:27" ht="16.5" customHeight="1" x14ac:dyDescent="0.6">
      <c r="A138" s="166"/>
      <c r="B138" s="87"/>
      <c r="C138" s="87"/>
      <c r="D138" s="87"/>
      <c r="E138" s="87"/>
      <c r="F138" s="166"/>
      <c r="G138" s="87"/>
      <c r="H138" s="87"/>
      <c r="I138" s="87"/>
      <c r="J138" s="87"/>
      <c r="K138" s="166"/>
      <c r="L138" s="87"/>
      <c r="M138" s="87"/>
      <c r="N138" s="87"/>
      <c r="O138" s="87"/>
      <c r="P138" s="166"/>
      <c r="Q138" s="87"/>
      <c r="R138" s="87"/>
      <c r="S138" s="87"/>
      <c r="T138" s="87"/>
      <c r="U138" s="87"/>
      <c r="V138" s="87"/>
      <c r="W138" s="87"/>
      <c r="X138" s="87"/>
      <c r="Y138" s="87"/>
      <c r="Z138" s="87"/>
      <c r="AA138" s="87"/>
    </row>
    <row r="139" spans="1:27" ht="16.5" customHeight="1" x14ac:dyDescent="0.6">
      <c r="A139" s="166"/>
      <c r="B139" s="87"/>
      <c r="C139" s="87"/>
      <c r="D139" s="87"/>
      <c r="E139" s="87"/>
      <c r="F139" s="166"/>
      <c r="G139" s="87"/>
      <c r="H139" s="87"/>
      <c r="I139" s="87"/>
      <c r="J139" s="87"/>
      <c r="K139" s="166"/>
      <c r="L139" s="87"/>
      <c r="M139" s="87"/>
      <c r="N139" s="87"/>
      <c r="O139" s="87"/>
      <c r="P139" s="166"/>
      <c r="Q139" s="87"/>
      <c r="R139" s="87"/>
      <c r="S139" s="87"/>
      <c r="T139" s="87"/>
      <c r="U139" s="87"/>
      <c r="V139" s="87"/>
      <c r="W139" s="87"/>
      <c r="X139" s="87"/>
      <c r="Y139" s="87"/>
      <c r="Z139" s="87"/>
      <c r="AA139" s="87"/>
    </row>
    <row r="140" spans="1:27" ht="16.5" customHeight="1" x14ac:dyDescent="0.6">
      <c r="A140" s="166"/>
      <c r="B140" s="87"/>
      <c r="C140" s="87"/>
      <c r="D140" s="87"/>
      <c r="E140" s="87"/>
      <c r="F140" s="166"/>
      <c r="G140" s="87"/>
      <c r="H140" s="87"/>
      <c r="I140" s="87"/>
      <c r="J140" s="87"/>
      <c r="K140" s="166"/>
      <c r="L140" s="87"/>
      <c r="M140" s="87"/>
      <c r="N140" s="87"/>
      <c r="O140" s="87"/>
      <c r="P140" s="166"/>
      <c r="Q140" s="87"/>
      <c r="R140" s="87"/>
      <c r="S140" s="87"/>
      <c r="T140" s="87"/>
      <c r="U140" s="87"/>
      <c r="V140" s="87"/>
      <c r="W140" s="87"/>
      <c r="X140" s="87"/>
      <c r="Y140" s="87"/>
      <c r="Z140" s="87"/>
      <c r="AA140" s="87"/>
    </row>
    <row r="141" spans="1:27" ht="16.5" customHeight="1" x14ac:dyDescent="0.6">
      <c r="A141" s="166"/>
      <c r="B141" s="87"/>
      <c r="C141" s="87"/>
      <c r="D141" s="87"/>
      <c r="E141" s="87"/>
      <c r="F141" s="166"/>
      <c r="G141" s="87"/>
      <c r="H141" s="87"/>
      <c r="I141" s="87"/>
      <c r="J141" s="87"/>
      <c r="K141" s="166"/>
      <c r="L141" s="87"/>
      <c r="M141" s="87"/>
      <c r="N141" s="87"/>
      <c r="O141" s="87"/>
      <c r="P141" s="166"/>
      <c r="Q141" s="87"/>
      <c r="R141" s="87"/>
      <c r="S141" s="87"/>
      <c r="T141" s="87"/>
      <c r="U141" s="87"/>
      <c r="V141" s="87"/>
      <c r="W141" s="87"/>
      <c r="X141" s="87"/>
      <c r="Y141" s="87"/>
      <c r="Z141" s="87"/>
      <c r="AA141" s="87"/>
    </row>
    <row r="142" spans="1:27" ht="16.5" customHeight="1" x14ac:dyDescent="0.6">
      <c r="A142" s="166"/>
      <c r="B142" s="87"/>
      <c r="C142" s="87"/>
      <c r="D142" s="87"/>
      <c r="E142" s="87"/>
      <c r="F142" s="166"/>
      <c r="G142" s="87"/>
      <c r="H142" s="87"/>
      <c r="I142" s="87"/>
      <c r="J142" s="87"/>
      <c r="K142" s="166"/>
      <c r="L142" s="87"/>
      <c r="M142" s="87"/>
      <c r="N142" s="87"/>
      <c r="O142" s="87"/>
      <c r="P142" s="166"/>
      <c r="Q142" s="87"/>
      <c r="R142" s="87"/>
      <c r="S142" s="87"/>
      <c r="T142" s="87"/>
      <c r="U142" s="87"/>
      <c r="V142" s="87"/>
      <c r="W142" s="87"/>
      <c r="X142" s="87"/>
      <c r="Y142" s="87"/>
      <c r="Z142" s="87"/>
      <c r="AA142" s="87"/>
    </row>
    <row r="143" spans="1:27" ht="28.5" customHeight="1" x14ac:dyDescent="0.6">
      <c r="A143" s="166"/>
      <c r="B143" s="87"/>
      <c r="C143" s="87"/>
      <c r="D143" s="87"/>
      <c r="E143" s="87"/>
      <c r="F143" s="166"/>
      <c r="G143" s="87"/>
      <c r="H143" s="87"/>
      <c r="I143" s="87"/>
      <c r="J143" s="87"/>
      <c r="K143" s="166"/>
      <c r="L143" s="87"/>
      <c r="M143" s="87"/>
      <c r="N143" s="87"/>
      <c r="O143" s="87"/>
      <c r="P143" s="166"/>
      <c r="Q143" s="87"/>
      <c r="R143" s="87"/>
      <c r="S143" s="87"/>
      <c r="T143" s="87"/>
      <c r="U143" s="87"/>
      <c r="V143" s="87"/>
      <c r="W143" s="87"/>
      <c r="X143" s="87"/>
      <c r="Y143" s="87"/>
      <c r="Z143" s="87"/>
      <c r="AA143" s="87"/>
    </row>
    <row r="144" spans="1:27" ht="16.5" customHeight="1" x14ac:dyDescent="0.6">
      <c r="A144" s="166"/>
      <c r="B144" s="87"/>
      <c r="C144" s="87"/>
      <c r="D144" s="87"/>
      <c r="E144" s="87"/>
      <c r="F144" s="166"/>
      <c r="G144" s="87"/>
      <c r="H144" s="87"/>
      <c r="I144" s="87"/>
      <c r="J144" s="87"/>
      <c r="K144" s="166"/>
      <c r="L144" s="87"/>
      <c r="M144" s="87"/>
      <c r="N144" s="87"/>
      <c r="O144" s="87"/>
      <c r="P144" s="166"/>
      <c r="Q144" s="87"/>
      <c r="R144" s="87"/>
      <c r="S144" s="87"/>
      <c r="T144" s="87"/>
      <c r="U144" s="87"/>
      <c r="V144" s="87"/>
      <c r="W144" s="87"/>
      <c r="X144" s="87"/>
      <c r="Y144" s="87"/>
      <c r="Z144" s="87"/>
      <c r="AA144" s="87"/>
    </row>
    <row r="145" spans="1:27" ht="16.5" customHeight="1" x14ac:dyDescent="0.6">
      <c r="A145" s="166"/>
      <c r="B145" s="87"/>
      <c r="C145" s="87"/>
      <c r="D145" s="87"/>
      <c r="E145" s="87"/>
      <c r="F145" s="166"/>
      <c r="G145" s="87"/>
      <c r="H145" s="87"/>
      <c r="I145" s="87"/>
      <c r="J145" s="87"/>
      <c r="K145" s="166"/>
      <c r="L145" s="87"/>
      <c r="M145" s="87"/>
      <c r="N145" s="87"/>
      <c r="O145" s="87"/>
      <c r="P145" s="166"/>
      <c r="Q145" s="87"/>
      <c r="R145" s="87"/>
      <c r="S145" s="87"/>
      <c r="T145" s="87"/>
      <c r="U145" s="87"/>
      <c r="V145" s="87"/>
      <c r="W145" s="87"/>
      <c r="X145" s="87"/>
      <c r="Y145" s="87"/>
      <c r="Z145" s="87"/>
      <c r="AA145" s="87"/>
    </row>
    <row r="146" spans="1:27" ht="16.5" customHeight="1" x14ac:dyDescent="0.6">
      <c r="A146" s="166"/>
      <c r="B146" s="87"/>
      <c r="C146" s="87"/>
      <c r="D146" s="87"/>
      <c r="E146" s="87"/>
      <c r="F146" s="166"/>
      <c r="G146" s="87"/>
      <c r="H146" s="87"/>
      <c r="I146" s="87"/>
      <c r="J146" s="87"/>
      <c r="K146" s="166"/>
      <c r="L146" s="87"/>
      <c r="M146" s="87"/>
      <c r="N146" s="87"/>
      <c r="O146" s="87"/>
      <c r="P146" s="166"/>
      <c r="Q146" s="87"/>
      <c r="R146" s="87"/>
      <c r="S146" s="87"/>
      <c r="T146" s="87"/>
      <c r="U146" s="87"/>
      <c r="V146" s="87"/>
      <c r="W146" s="87"/>
      <c r="X146" s="87"/>
      <c r="Y146" s="87"/>
      <c r="Z146" s="87"/>
      <c r="AA146" s="87"/>
    </row>
    <row r="147" spans="1:27" ht="16.5" customHeight="1" x14ac:dyDescent="0.6">
      <c r="A147" s="166"/>
      <c r="B147" s="87"/>
      <c r="C147" s="87"/>
      <c r="D147" s="87"/>
      <c r="E147" s="87"/>
      <c r="F147" s="166"/>
      <c r="G147" s="87"/>
      <c r="H147" s="87"/>
      <c r="I147" s="87"/>
      <c r="J147" s="87"/>
      <c r="K147" s="166"/>
      <c r="L147" s="87"/>
      <c r="M147" s="87"/>
      <c r="N147" s="87"/>
      <c r="O147" s="87"/>
      <c r="P147" s="166"/>
      <c r="Q147" s="87"/>
      <c r="R147" s="87"/>
      <c r="S147" s="87"/>
      <c r="T147" s="87"/>
      <c r="U147" s="87"/>
      <c r="V147" s="87"/>
      <c r="W147" s="87"/>
      <c r="X147" s="87"/>
      <c r="Y147" s="87"/>
      <c r="Z147" s="87"/>
      <c r="AA147" s="87"/>
    </row>
    <row r="148" spans="1:27" ht="16.5" customHeight="1" x14ac:dyDescent="0.6">
      <c r="A148" s="166"/>
      <c r="B148" s="87"/>
      <c r="C148" s="87"/>
      <c r="D148" s="87"/>
      <c r="E148" s="87"/>
      <c r="F148" s="166"/>
      <c r="G148" s="87"/>
      <c r="H148" s="87"/>
      <c r="I148" s="87"/>
      <c r="J148" s="87"/>
      <c r="K148" s="166"/>
      <c r="L148" s="87"/>
      <c r="M148" s="87"/>
      <c r="N148" s="87"/>
      <c r="O148" s="87"/>
      <c r="P148" s="166"/>
      <c r="Q148" s="87"/>
      <c r="R148" s="87"/>
      <c r="S148" s="87"/>
      <c r="T148" s="87"/>
      <c r="U148" s="87"/>
      <c r="V148" s="87"/>
      <c r="W148" s="87"/>
      <c r="X148" s="87"/>
      <c r="Y148" s="87"/>
      <c r="Z148" s="87"/>
      <c r="AA148" s="87"/>
    </row>
    <row r="149" spans="1:27" ht="16.5" customHeight="1" x14ac:dyDescent="0.6">
      <c r="A149" s="166"/>
      <c r="B149" s="87"/>
      <c r="C149" s="87"/>
      <c r="D149" s="87"/>
      <c r="E149" s="87"/>
      <c r="F149" s="166"/>
      <c r="G149" s="87"/>
      <c r="H149" s="87"/>
      <c r="I149" s="87"/>
      <c r="J149" s="87"/>
      <c r="K149" s="166"/>
      <c r="L149" s="87"/>
      <c r="M149" s="87"/>
      <c r="N149" s="87"/>
      <c r="O149" s="87"/>
      <c r="P149" s="166"/>
      <c r="Q149" s="87"/>
      <c r="R149" s="87"/>
      <c r="S149" s="87"/>
      <c r="T149" s="87"/>
      <c r="U149" s="87"/>
      <c r="V149" s="87"/>
      <c r="W149" s="87"/>
      <c r="X149" s="87"/>
      <c r="Y149" s="87"/>
      <c r="Z149" s="87"/>
      <c r="AA149" s="87"/>
    </row>
    <row r="150" spans="1:27" ht="16.5" customHeight="1" x14ac:dyDescent="0.6">
      <c r="A150" s="166"/>
      <c r="B150" s="87"/>
      <c r="C150" s="87"/>
      <c r="D150" s="87"/>
      <c r="E150" s="87"/>
      <c r="F150" s="166"/>
      <c r="G150" s="87"/>
      <c r="H150" s="87"/>
      <c r="I150" s="87"/>
      <c r="J150" s="87"/>
      <c r="K150" s="166"/>
      <c r="L150" s="87"/>
      <c r="M150" s="87"/>
      <c r="N150" s="87"/>
      <c r="O150" s="87"/>
      <c r="P150" s="166"/>
      <c r="Q150" s="87"/>
      <c r="R150" s="87"/>
      <c r="S150" s="87"/>
      <c r="T150" s="87"/>
      <c r="U150" s="87"/>
      <c r="V150" s="87"/>
      <c r="W150" s="87"/>
      <c r="X150" s="87"/>
      <c r="Y150" s="87"/>
      <c r="Z150" s="87"/>
      <c r="AA150" s="87"/>
    </row>
    <row r="151" spans="1:27" ht="16.5" customHeight="1" x14ac:dyDescent="0.6">
      <c r="A151" s="166"/>
      <c r="B151" s="87"/>
      <c r="C151" s="87"/>
      <c r="D151" s="87"/>
      <c r="E151" s="87"/>
      <c r="F151" s="166"/>
      <c r="G151" s="87"/>
      <c r="H151" s="87"/>
      <c r="I151" s="87"/>
      <c r="J151" s="87"/>
      <c r="K151" s="166"/>
      <c r="L151" s="87"/>
      <c r="M151" s="87"/>
      <c r="N151" s="87"/>
      <c r="O151" s="87"/>
      <c r="P151" s="166"/>
      <c r="Q151" s="87"/>
      <c r="R151" s="87"/>
      <c r="S151" s="87"/>
      <c r="T151" s="87"/>
      <c r="U151" s="87"/>
      <c r="V151" s="87"/>
      <c r="W151" s="87"/>
      <c r="X151" s="87"/>
      <c r="Y151" s="87"/>
      <c r="Z151" s="87"/>
      <c r="AA151" s="87"/>
    </row>
    <row r="152" spans="1:27" ht="16.5" customHeight="1" x14ac:dyDescent="0.6">
      <c r="A152" s="166"/>
      <c r="B152" s="87"/>
      <c r="C152" s="87"/>
      <c r="D152" s="87"/>
      <c r="E152" s="87"/>
      <c r="F152" s="166"/>
      <c r="G152" s="87"/>
      <c r="H152" s="87"/>
      <c r="I152" s="87"/>
      <c r="J152" s="87"/>
      <c r="K152" s="166"/>
      <c r="L152" s="87"/>
      <c r="M152" s="87"/>
      <c r="N152" s="87"/>
      <c r="O152" s="87"/>
      <c r="P152" s="166"/>
      <c r="Q152" s="87"/>
      <c r="R152" s="87"/>
      <c r="S152" s="87"/>
      <c r="T152" s="87"/>
      <c r="U152" s="87"/>
      <c r="V152" s="87"/>
      <c r="W152" s="87"/>
      <c r="X152" s="87"/>
      <c r="Y152" s="87"/>
      <c r="Z152" s="87"/>
      <c r="AA152" s="87"/>
    </row>
    <row r="153" spans="1:27" ht="16.5" customHeight="1" x14ac:dyDescent="0.6">
      <c r="A153" s="166"/>
      <c r="B153" s="87"/>
      <c r="C153" s="87"/>
      <c r="D153" s="87"/>
      <c r="E153" s="87"/>
      <c r="F153" s="166"/>
      <c r="G153" s="87"/>
      <c r="H153" s="87"/>
      <c r="I153" s="87"/>
      <c r="J153" s="87"/>
      <c r="K153" s="166"/>
      <c r="L153" s="87"/>
      <c r="M153" s="87"/>
      <c r="N153" s="87"/>
      <c r="O153" s="87"/>
      <c r="P153" s="166"/>
      <c r="Q153" s="87"/>
      <c r="R153" s="87"/>
      <c r="S153" s="87"/>
      <c r="T153" s="87"/>
      <c r="U153" s="87"/>
      <c r="V153" s="87"/>
      <c r="W153" s="87"/>
      <c r="X153" s="87"/>
      <c r="Y153" s="87"/>
      <c r="Z153" s="87"/>
      <c r="AA153" s="87"/>
    </row>
    <row r="154" spans="1:27" ht="16.5" customHeight="1" x14ac:dyDescent="0.6">
      <c r="A154" s="166"/>
      <c r="B154" s="87"/>
      <c r="C154" s="87"/>
      <c r="D154" s="87"/>
      <c r="E154" s="87"/>
      <c r="F154" s="166"/>
      <c r="G154" s="87"/>
      <c r="H154" s="87"/>
      <c r="I154" s="87"/>
      <c r="J154" s="87"/>
      <c r="K154" s="166"/>
      <c r="L154" s="87"/>
      <c r="M154" s="87"/>
      <c r="N154" s="87"/>
      <c r="O154" s="87"/>
      <c r="P154" s="166"/>
      <c r="Q154" s="87"/>
      <c r="R154" s="87"/>
      <c r="S154" s="87"/>
      <c r="T154" s="87"/>
      <c r="U154" s="87"/>
      <c r="V154" s="87"/>
      <c r="W154" s="87"/>
      <c r="X154" s="87"/>
      <c r="Y154" s="87"/>
      <c r="Z154" s="87"/>
      <c r="AA154" s="87"/>
    </row>
    <row r="155" spans="1:27" ht="16.5" customHeight="1" x14ac:dyDescent="0.6">
      <c r="A155" s="166"/>
      <c r="B155" s="87"/>
      <c r="C155" s="87"/>
      <c r="D155" s="87"/>
      <c r="E155" s="87"/>
      <c r="F155" s="166"/>
      <c r="G155" s="87"/>
      <c r="H155" s="87"/>
      <c r="I155" s="87"/>
      <c r="J155" s="87"/>
      <c r="K155" s="166"/>
      <c r="L155" s="87"/>
      <c r="M155" s="87"/>
      <c r="N155" s="87"/>
      <c r="O155" s="87"/>
      <c r="P155" s="166"/>
      <c r="Q155" s="87"/>
      <c r="R155" s="87"/>
      <c r="S155" s="87"/>
      <c r="T155" s="87"/>
      <c r="U155" s="87"/>
      <c r="V155" s="87"/>
      <c r="W155" s="87"/>
      <c r="X155" s="87"/>
      <c r="Y155" s="87"/>
      <c r="Z155" s="87"/>
      <c r="AA155" s="87"/>
    </row>
    <row r="156" spans="1:27" ht="28.5" customHeight="1" x14ac:dyDescent="0.6">
      <c r="A156" s="166"/>
      <c r="B156" s="87"/>
      <c r="C156" s="87"/>
      <c r="D156" s="87"/>
      <c r="E156" s="87"/>
      <c r="F156" s="166"/>
      <c r="G156" s="87"/>
      <c r="H156" s="87"/>
      <c r="I156" s="87"/>
      <c r="J156" s="87"/>
      <c r="K156" s="166"/>
      <c r="L156" s="87"/>
      <c r="M156" s="87"/>
      <c r="N156" s="87"/>
      <c r="O156" s="87"/>
      <c r="P156" s="166"/>
      <c r="Q156" s="87"/>
      <c r="R156" s="87"/>
      <c r="S156" s="87"/>
      <c r="T156" s="87"/>
      <c r="U156" s="87"/>
      <c r="V156" s="87"/>
      <c r="W156" s="87"/>
      <c r="X156" s="87"/>
      <c r="Y156" s="87"/>
      <c r="Z156" s="87"/>
      <c r="AA156" s="87"/>
    </row>
    <row r="157" spans="1:27" ht="16.5" customHeight="1" x14ac:dyDescent="0.6">
      <c r="A157" s="166"/>
      <c r="B157" s="87"/>
      <c r="C157" s="87"/>
      <c r="D157" s="87"/>
      <c r="E157" s="87"/>
      <c r="F157" s="166"/>
      <c r="G157" s="87"/>
      <c r="H157" s="87"/>
      <c r="I157" s="87"/>
      <c r="J157" s="87"/>
      <c r="K157" s="166"/>
      <c r="L157" s="87"/>
      <c r="M157" s="87"/>
      <c r="N157" s="87"/>
      <c r="O157" s="87"/>
      <c r="P157" s="166"/>
      <c r="Q157" s="87"/>
      <c r="R157" s="87"/>
      <c r="S157" s="87"/>
      <c r="T157" s="87"/>
      <c r="U157" s="87"/>
      <c r="V157" s="87"/>
      <c r="W157" s="87"/>
      <c r="X157" s="87"/>
      <c r="Y157" s="87"/>
      <c r="Z157" s="87"/>
      <c r="AA157" s="87"/>
    </row>
    <row r="158" spans="1:27" ht="16.5" customHeight="1" x14ac:dyDescent="0.6">
      <c r="A158" s="166"/>
      <c r="B158" s="87"/>
      <c r="C158" s="87"/>
      <c r="D158" s="87"/>
      <c r="E158" s="87"/>
      <c r="F158" s="166"/>
      <c r="G158" s="87"/>
      <c r="H158" s="87"/>
      <c r="I158" s="87"/>
      <c r="J158" s="87"/>
      <c r="K158" s="166"/>
      <c r="L158" s="87"/>
      <c r="M158" s="87"/>
      <c r="N158" s="87"/>
      <c r="O158" s="87"/>
      <c r="P158" s="166"/>
      <c r="Q158" s="87"/>
      <c r="R158" s="87"/>
      <c r="S158" s="87"/>
      <c r="T158" s="87"/>
      <c r="U158" s="87"/>
      <c r="V158" s="87"/>
      <c r="W158" s="87"/>
      <c r="X158" s="87"/>
      <c r="Y158" s="87"/>
      <c r="Z158" s="87"/>
      <c r="AA158" s="87"/>
    </row>
    <row r="159" spans="1:27" ht="16.5" customHeight="1" x14ac:dyDescent="0.6">
      <c r="A159" s="166"/>
      <c r="B159" s="87"/>
      <c r="C159" s="87"/>
      <c r="D159" s="87"/>
      <c r="E159" s="87"/>
      <c r="F159" s="166"/>
      <c r="G159" s="87"/>
      <c r="H159" s="87"/>
      <c r="I159" s="87"/>
      <c r="J159" s="87"/>
      <c r="K159" s="166"/>
      <c r="L159" s="87"/>
      <c r="M159" s="87"/>
      <c r="N159" s="87"/>
      <c r="O159" s="87"/>
      <c r="P159" s="166"/>
      <c r="Q159" s="87"/>
      <c r="R159" s="87"/>
      <c r="S159" s="87"/>
      <c r="T159" s="87"/>
      <c r="U159" s="87"/>
      <c r="V159" s="87"/>
      <c r="W159" s="87"/>
      <c r="X159" s="87"/>
      <c r="Y159" s="87"/>
      <c r="Z159" s="87"/>
      <c r="AA159" s="87"/>
    </row>
    <row r="160" spans="1:27" ht="16.5" customHeight="1" x14ac:dyDescent="0.6">
      <c r="A160" s="166"/>
      <c r="B160" s="87"/>
      <c r="C160" s="87"/>
      <c r="D160" s="87"/>
      <c r="E160" s="87"/>
      <c r="F160" s="166"/>
      <c r="G160" s="87"/>
      <c r="H160" s="87"/>
      <c r="I160" s="87"/>
      <c r="J160" s="87"/>
      <c r="K160" s="166"/>
      <c r="L160" s="87"/>
      <c r="M160" s="87"/>
      <c r="N160" s="87"/>
      <c r="O160" s="87"/>
      <c r="P160" s="166"/>
      <c r="Q160" s="87"/>
      <c r="R160" s="87"/>
      <c r="S160" s="87"/>
      <c r="T160" s="87"/>
      <c r="U160" s="87"/>
      <c r="V160" s="87"/>
      <c r="W160" s="87"/>
      <c r="X160" s="87"/>
      <c r="Y160" s="87"/>
      <c r="Z160" s="87"/>
      <c r="AA160" s="87"/>
    </row>
    <row r="161" spans="1:27" ht="16.5" customHeight="1" x14ac:dyDescent="0.6">
      <c r="A161" s="166"/>
      <c r="B161" s="87"/>
      <c r="C161" s="87"/>
      <c r="D161" s="87"/>
      <c r="E161" s="87"/>
      <c r="F161" s="166"/>
      <c r="G161" s="87"/>
      <c r="H161" s="87"/>
      <c r="I161" s="87"/>
      <c r="J161" s="87"/>
      <c r="K161" s="166"/>
      <c r="L161" s="87"/>
      <c r="M161" s="87"/>
      <c r="N161" s="87"/>
      <c r="O161" s="87"/>
      <c r="P161" s="166"/>
      <c r="Q161" s="87"/>
      <c r="R161" s="87"/>
      <c r="S161" s="87"/>
      <c r="T161" s="87"/>
      <c r="U161" s="87"/>
      <c r="V161" s="87"/>
      <c r="W161" s="87"/>
      <c r="X161" s="87"/>
      <c r="Y161" s="87"/>
      <c r="Z161" s="87"/>
      <c r="AA161" s="87"/>
    </row>
    <row r="162" spans="1:27" ht="16.5" customHeight="1" x14ac:dyDescent="0.6">
      <c r="A162" s="166"/>
      <c r="B162" s="87"/>
      <c r="C162" s="87"/>
      <c r="D162" s="87"/>
      <c r="E162" s="87"/>
      <c r="F162" s="166"/>
      <c r="G162" s="87"/>
      <c r="H162" s="87"/>
      <c r="I162" s="87"/>
      <c r="J162" s="87"/>
      <c r="K162" s="166"/>
      <c r="L162" s="87"/>
      <c r="M162" s="87"/>
      <c r="N162" s="87"/>
      <c r="O162" s="87"/>
      <c r="P162" s="166"/>
      <c r="Q162" s="87"/>
      <c r="R162" s="87"/>
      <c r="S162" s="87"/>
      <c r="T162" s="87"/>
      <c r="U162" s="87"/>
      <c r="V162" s="87"/>
      <c r="W162" s="87"/>
      <c r="X162" s="87"/>
      <c r="Y162" s="87"/>
      <c r="Z162" s="87"/>
      <c r="AA162" s="87"/>
    </row>
    <row r="163" spans="1:27" ht="28.5" customHeight="1" x14ac:dyDescent="0.6">
      <c r="A163" s="166"/>
      <c r="B163" s="87"/>
      <c r="C163" s="87"/>
      <c r="D163" s="87"/>
      <c r="E163" s="87"/>
      <c r="F163" s="166"/>
      <c r="G163" s="87"/>
      <c r="H163" s="87"/>
      <c r="I163" s="87"/>
      <c r="J163" s="87"/>
      <c r="K163" s="166"/>
      <c r="L163" s="87"/>
      <c r="M163" s="87"/>
      <c r="N163" s="87"/>
      <c r="O163" s="87"/>
      <c r="P163" s="166"/>
      <c r="Q163" s="87"/>
      <c r="R163" s="87"/>
      <c r="S163" s="87"/>
      <c r="T163" s="87"/>
      <c r="U163" s="87"/>
      <c r="V163" s="87"/>
      <c r="W163" s="87"/>
      <c r="X163" s="87"/>
      <c r="Y163" s="87"/>
      <c r="Z163" s="87"/>
      <c r="AA163" s="87"/>
    </row>
    <row r="164" spans="1:27" ht="16.5" customHeight="1" x14ac:dyDescent="0.6">
      <c r="A164" s="166"/>
      <c r="B164" s="87"/>
      <c r="C164" s="87"/>
      <c r="D164" s="87"/>
      <c r="E164" s="87"/>
      <c r="F164" s="166"/>
      <c r="G164" s="87"/>
      <c r="H164" s="87"/>
      <c r="I164" s="87"/>
      <c r="J164" s="87"/>
      <c r="K164" s="166"/>
      <c r="L164" s="87"/>
      <c r="M164" s="87"/>
      <c r="N164" s="87"/>
      <c r="O164" s="87"/>
      <c r="P164" s="166"/>
      <c r="Q164" s="87"/>
      <c r="R164" s="87"/>
      <c r="S164" s="87"/>
      <c r="T164" s="87"/>
      <c r="U164" s="87"/>
      <c r="V164" s="87"/>
      <c r="W164" s="87"/>
      <c r="X164" s="87"/>
      <c r="Y164" s="87"/>
      <c r="Z164" s="87"/>
      <c r="AA164" s="87"/>
    </row>
    <row r="165" spans="1:27" ht="28.5" customHeight="1" x14ac:dyDescent="0.6">
      <c r="A165" s="166"/>
      <c r="B165" s="87"/>
      <c r="C165" s="87"/>
      <c r="D165" s="87"/>
      <c r="E165" s="87"/>
      <c r="F165" s="166"/>
      <c r="G165" s="87"/>
      <c r="H165" s="87"/>
      <c r="I165" s="87"/>
      <c r="J165" s="87"/>
      <c r="K165" s="166"/>
      <c r="L165" s="87"/>
      <c r="M165" s="87"/>
      <c r="N165" s="87"/>
      <c r="O165" s="87"/>
      <c r="P165" s="166"/>
      <c r="Q165" s="87"/>
      <c r="R165" s="87"/>
      <c r="S165" s="87"/>
      <c r="T165" s="87"/>
      <c r="U165" s="87"/>
      <c r="V165" s="87"/>
      <c r="W165" s="87"/>
      <c r="X165" s="87"/>
      <c r="Y165" s="87"/>
      <c r="Z165" s="87"/>
      <c r="AA165" s="87"/>
    </row>
    <row r="166" spans="1:27" ht="16.5" customHeight="1" x14ac:dyDescent="0.6">
      <c r="A166" s="166"/>
      <c r="B166" s="87"/>
      <c r="C166" s="87"/>
      <c r="D166" s="87"/>
      <c r="E166" s="87"/>
      <c r="F166" s="166"/>
      <c r="G166" s="87"/>
      <c r="H166" s="87"/>
      <c r="I166" s="87"/>
      <c r="J166" s="87"/>
      <c r="K166" s="166"/>
      <c r="L166" s="87"/>
      <c r="M166" s="87"/>
      <c r="N166" s="87"/>
      <c r="O166" s="87"/>
      <c r="P166" s="166"/>
      <c r="Q166" s="87"/>
      <c r="R166" s="87"/>
      <c r="S166" s="87"/>
      <c r="T166" s="87"/>
      <c r="U166" s="87"/>
      <c r="V166" s="87"/>
      <c r="W166" s="87"/>
      <c r="X166" s="87"/>
      <c r="Y166" s="87"/>
      <c r="Z166" s="87"/>
      <c r="AA166" s="87"/>
    </row>
    <row r="167" spans="1:27" ht="16.5" customHeight="1" x14ac:dyDescent="0.6">
      <c r="A167" s="166"/>
      <c r="B167" s="87"/>
      <c r="C167" s="87"/>
      <c r="D167" s="87"/>
      <c r="E167" s="87"/>
      <c r="F167" s="166"/>
      <c r="G167" s="87"/>
      <c r="H167" s="87"/>
      <c r="I167" s="87"/>
      <c r="J167" s="87"/>
      <c r="K167" s="166"/>
      <c r="L167" s="87"/>
      <c r="M167" s="87"/>
      <c r="N167" s="87"/>
      <c r="O167" s="87"/>
      <c r="P167" s="166"/>
      <c r="Q167" s="87"/>
      <c r="R167" s="87"/>
      <c r="S167" s="87"/>
      <c r="T167" s="87"/>
      <c r="U167" s="87"/>
      <c r="V167" s="87"/>
      <c r="W167" s="87"/>
      <c r="X167" s="87"/>
      <c r="Y167" s="87"/>
      <c r="Z167" s="87"/>
      <c r="AA167" s="87"/>
    </row>
    <row r="168" spans="1:27" ht="16.5" customHeight="1" x14ac:dyDescent="0.6">
      <c r="A168" s="166"/>
      <c r="B168" s="87"/>
      <c r="C168" s="87"/>
      <c r="D168" s="87"/>
      <c r="E168" s="87"/>
      <c r="F168" s="166"/>
      <c r="G168" s="87"/>
      <c r="H168" s="87"/>
      <c r="I168" s="87"/>
      <c r="J168" s="87"/>
      <c r="K168" s="166"/>
      <c r="L168" s="87"/>
      <c r="M168" s="87"/>
      <c r="N168" s="87"/>
      <c r="O168" s="87"/>
      <c r="P168" s="166"/>
      <c r="Q168" s="87"/>
      <c r="R168" s="87"/>
      <c r="S168" s="87"/>
      <c r="T168" s="87"/>
      <c r="U168" s="87"/>
      <c r="V168" s="87"/>
      <c r="W168" s="87"/>
      <c r="X168" s="87"/>
      <c r="Y168" s="87"/>
      <c r="Z168" s="87"/>
      <c r="AA168" s="87"/>
    </row>
    <row r="169" spans="1:27" ht="16.5" customHeight="1" x14ac:dyDescent="0.6">
      <c r="A169" s="166"/>
      <c r="B169" s="87"/>
      <c r="C169" s="87"/>
      <c r="D169" s="87"/>
      <c r="E169" s="87"/>
      <c r="F169" s="166"/>
      <c r="G169" s="87"/>
      <c r="H169" s="87"/>
      <c r="I169" s="87"/>
      <c r="J169" s="87"/>
      <c r="K169" s="166"/>
      <c r="L169" s="87"/>
      <c r="M169" s="87"/>
      <c r="N169" s="87"/>
      <c r="O169" s="87"/>
      <c r="P169" s="166"/>
      <c r="Q169" s="87"/>
      <c r="R169" s="87"/>
      <c r="S169" s="87"/>
      <c r="T169" s="87"/>
      <c r="U169" s="87"/>
      <c r="V169" s="87"/>
      <c r="W169" s="87"/>
      <c r="X169" s="87"/>
      <c r="Y169" s="87"/>
      <c r="Z169" s="87"/>
      <c r="AA169" s="87"/>
    </row>
    <row r="170" spans="1:27" ht="16.5" customHeight="1" x14ac:dyDescent="0.6">
      <c r="A170" s="166"/>
      <c r="B170" s="87"/>
      <c r="C170" s="87"/>
      <c r="D170" s="87"/>
      <c r="E170" s="87"/>
      <c r="F170" s="166"/>
      <c r="G170" s="87"/>
      <c r="H170" s="87"/>
      <c r="I170" s="87"/>
      <c r="J170" s="87"/>
      <c r="K170" s="166"/>
      <c r="L170" s="87"/>
      <c r="M170" s="87"/>
      <c r="N170" s="87"/>
      <c r="O170" s="87"/>
      <c r="P170" s="166"/>
      <c r="Q170" s="87"/>
      <c r="R170" s="87"/>
      <c r="S170" s="87"/>
      <c r="T170" s="87"/>
      <c r="U170" s="87"/>
      <c r="V170" s="87"/>
      <c r="W170" s="87"/>
      <c r="X170" s="87"/>
      <c r="Y170" s="87"/>
      <c r="Z170" s="87"/>
      <c r="AA170" s="87"/>
    </row>
    <row r="171" spans="1:27" ht="28.5" customHeight="1" x14ac:dyDescent="0.6">
      <c r="A171" s="166"/>
      <c r="B171" s="87"/>
      <c r="C171" s="87"/>
      <c r="D171" s="87"/>
      <c r="E171" s="87"/>
      <c r="F171" s="166"/>
      <c r="G171" s="87"/>
      <c r="H171" s="87"/>
      <c r="I171" s="87"/>
      <c r="J171" s="87"/>
      <c r="K171" s="166"/>
      <c r="L171" s="87"/>
      <c r="M171" s="87"/>
      <c r="N171" s="87"/>
      <c r="O171" s="87"/>
      <c r="P171" s="166"/>
      <c r="Q171" s="87"/>
      <c r="R171" s="87"/>
      <c r="S171" s="87"/>
      <c r="T171" s="87"/>
      <c r="U171" s="87"/>
      <c r="V171" s="87"/>
      <c r="W171" s="87"/>
      <c r="X171" s="87"/>
      <c r="Y171" s="87"/>
      <c r="Z171" s="87"/>
      <c r="AA171" s="87"/>
    </row>
    <row r="172" spans="1:27" ht="16.5" customHeight="1" x14ac:dyDescent="0.6">
      <c r="A172" s="166"/>
      <c r="B172" s="87"/>
      <c r="C172" s="87"/>
      <c r="D172" s="87"/>
      <c r="E172" s="87"/>
      <c r="F172" s="166"/>
      <c r="G172" s="87"/>
      <c r="H172" s="87"/>
      <c r="I172" s="87"/>
      <c r="J172" s="87"/>
      <c r="K172" s="166"/>
      <c r="L172" s="87"/>
      <c r="M172" s="87"/>
      <c r="N172" s="87"/>
      <c r="O172" s="87"/>
      <c r="P172" s="166"/>
      <c r="Q172" s="87"/>
      <c r="R172" s="87"/>
      <c r="S172" s="87"/>
      <c r="T172" s="87"/>
      <c r="U172" s="87"/>
      <c r="V172" s="87"/>
      <c r="W172" s="87"/>
      <c r="X172" s="87"/>
      <c r="Y172" s="87"/>
      <c r="Z172" s="87"/>
      <c r="AA172" s="87"/>
    </row>
    <row r="173" spans="1:27" ht="40.5" customHeight="1" x14ac:dyDescent="0.6">
      <c r="A173" s="166"/>
      <c r="B173" s="87"/>
      <c r="C173" s="87"/>
      <c r="D173" s="87"/>
      <c r="E173" s="87"/>
      <c r="F173" s="166"/>
      <c r="G173" s="87"/>
      <c r="H173" s="87"/>
      <c r="I173" s="87"/>
      <c r="J173" s="87"/>
      <c r="K173" s="166"/>
      <c r="L173" s="87"/>
      <c r="M173" s="87"/>
      <c r="N173" s="87"/>
      <c r="O173" s="87"/>
      <c r="P173" s="166"/>
      <c r="Q173" s="87"/>
      <c r="R173" s="87"/>
      <c r="S173" s="87"/>
      <c r="T173" s="87"/>
      <c r="U173" s="87"/>
      <c r="V173" s="87"/>
      <c r="W173" s="87"/>
      <c r="X173" s="87"/>
      <c r="Y173" s="87"/>
      <c r="Z173" s="87"/>
      <c r="AA173" s="87"/>
    </row>
    <row r="174" spans="1:27" ht="16.5" customHeight="1" x14ac:dyDescent="0.6">
      <c r="A174" s="166"/>
      <c r="B174" s="87"/>
      <c r="C174" s="87"/>
      <c r="D174" s="87"/>
      <c r="E174" s="87"/>
      <c r="F174" s="166"/>
      <c r="G174" s="87"/>
      <c r="H174" s="87"/>
      <c r="I174" s="87"/>
      <c r="J174" s="87"/>
      <c r="K174" s="166"/>
      <c r="L174" s="87"/>
      <c r="M174" s="87"/>
      <c r="N174" s="87"/>
      <c r="O174" s="87"/>
      <c r="P174" s="166"/>
      <c r="Q174" s="87"/>
      <c r="R174" s="87"/>
      <c r="S174" s="87"/>
      <c r="T174" s="87"/>
      <c r="U174" s="87"/>
      <c r="V174" s="87"/>
      <c r="W174" s="87"/>
      <c r="X174" s="87"/>
      <c r="Y174" s="87"/>
      <c r="Z174" s="87"/>
      <c r="AA174" s="87"/>
    </row>
    <row r="175" spans="1:27" ht="16.5" customHeight="1" x14ac:dyDescent="0.6">
      <c r="A175" s="166"/>
      <c r="B175" s="87"/>
      <c r="C175" s="87"/>
      <c r="D175" s="87"/>
      <c r="E175" s="87"/>
      <c r="F175" s="166"/>
      <c r="G175" s="87"/>
      <c r="H175" s="87"/>
      <c r="I175" s="87"/>
      <c r="J175" s="87"/>
      <c r="K175" s="166"/>
      <c r="L175" s="87"/>
      <c r="M175" s="87"/>
      <c r="N175" s="87"/>
      <c r="O175" s="87"/>
      <c r="P175" s="166"/>
      <c r="Q175" s="87"/>
      <c r="R175" s="87"/>
      <c r="S175" s="87"/>
      <c r="T175" s="87"/>
      <c r="U175" s="87"/>
      <c r="V175" s="87"/>
      <c r="W175" s="87"/>
      <c r="X175" s="87"/>
      <c r="Y175" s="87"/>
      <c r="Z175" s="87"/>
      <c r="AA175" s="87"/>
    </row>
    <row r="176" spans="1:27" ht="16.5" customHeight="1" x14ac:dyDescent="0.6">
      <c r="A176" s="166"/>
      <c r="B176" s="87"/>
      <c r="C176" s="87"/>
      <c r="D176" s="87"/>
      <c r="E176" s="87"/>
      <c r="F176" s="166"/>
      <c r="G176" s="87"/>
      <c r="H176" s="87"/>
      <c r="I176" s="87"/>
      <c r="J176" s="87"/>
      <c r="K176" s="166"/>
      <c r="L176" s="87"/>
      <c r="M176" s="87"/>
      <c r="N176" s="87"/>
      <c r="O176" s="87"/>
      <c r="P176" s="166"/>
      <c r="Q176" s="87"/>
      <c r="R176" s="87"/>
      <c r="S176" s="87"/>
      <c r="T176" s="87"/>
      <c r="U176" s="87"/>
      <c r="V176" s="87"/>
      <c r="W176" s="87"/>
      <c r="X176" s="87"/>
      <c r="Y176" s="87"/>
      <c r="Z176" s="87"/>
      <c r="AA176" s="87"/>
    </row>
    <row r="177" spans="1:27" ht="16.5" customHeight="1" x14ac:dyDescent="0.6">
      <c r="A177" s="166"/>
      <c r="B177" s="87"/>
      <c r="C177" s="87"/>
      <c r="D177" s="87"/>
      <c r="E177" s="87"/>
      <c r="F177" s="166"/>
      <c r="G177" s="87"/>
      <c r="H177" s="87"/>
      <c r="I177" s="87"/>
      <c r="J177" s="87"/>
      <c r="K177" s="166"/>
      <c r="L177" s="87"/>
      <c r="M177" s="87"/>
      <c r="N177" s="87"/>
      <c r="O177" s="87"/>
      <c r="P177" s="166"/>
      <c r="Q177" s="87"/>
      <c r="R177" s="87"/>
      <c r="S177" s="87"/>
      <c r="T177" s="87"/>
      <c r="U177" s="87"/>
      <c r="V177" s="87"/>
      <c r="W177" s="87"/>
      <c r="X177" s="87"/>
      <c r="Y177" s="87"/>
      <c r="Z177" s="87"/>
      <c r="AA177" s="87"/>
    </row>
    <row r="178" spans="1:27" ht="16.5" customHeight="1" x14ac:dyDescent="0.6">
      <c r="A178" s="166"/>
      <c r="B178" s="87"/>
      <c r="C178" s="87"/>
      <c r="D178" s="87"/>
      <c r="E178" s="87"/>
      <c r="F178" s="166"/>
      <c r="G178" s="87"/>
      <c r="H178" s="87"/>
      <c r="I178" s="87"/>
      <c r="J178" s="87"/>
      <c r="K178" s="166"/>
      <c r="L178" s="87"/>
      <c r="M178" s="87"/>
      <c r="N178" s="87"/>
      <c r="O178" s="87"/>
      <c r="P178" s="166"/>
      <c r="Q178" s="87"/>
      <c r="R178" s="87"/>
      <c r="S178" s="87"/>
      <c r="T178" s="87"/>
      <c r="U178" s="87"/>
      <c r="V178" s="87"/>
      <c r="W178" s="87"/>
      <c r="X178" s="87"/>
      <c r="Y178" s="87"/>
      <c r="Z178" s="87"/>
      <c r="AA178" s="87"/>
    </row>
    <row r="179" spans="1:27" ht="40.5" customHeight="1" x14ac:dyDescent="0.6">
      <c r="A179" s="166"/>
      <c r="B179" s="87"/>
      <c r="C179" s="87"/>
      <c r="D179" s="87"/>
      <c r="E179" s="87"/>
      <c r="F179" s="166"/>
      <c r="G179" s="87"/>
      <c r="H179" s="87"/>
      <c r="I179" s="87"/>
      <c r="J179" s="87"/>
      <c r="K179" s="166"/>
      <c r="L179" s="87"/>
      <c r="M179" s="87"/>
      <c r="N179" s="87"/>
      <c r="O179" s="87"/>
      <c r="P179" s="166"/>
      <c r="Q179" s="87"/>
      <c r="R179" s="87"/>
      <c r="S179" s="87"/>
      <c r="T179" s="87"/>
      <c r="U179" s="87"/>
      <c r="V179" s="87"/>
      <c r="W179" s="87"/>
      <c r="X179" s="87"/>
      <c r="Y179" s="87"/>
      <c r="Z179" s="87"/>
      <c r="AA179" s="87"/>
    </row>
    <row r="180" spans="1:27" ht="16.5" customHeight="1" x14ac:dyDescent="0.6">
      <c r="A180" s="166"/>
      <c r="B180" s="87"/>
      <c r="C180" s="87"/>
      <c r="D180" s="87"/>
      <c r="E180" s="87"/>
      <c r="F180" s="166"/>
      <c r="G180" s="87"/>
      <c r="H180" s="87"/>
      <c r="I180" s="87"/>
      <c r="J180" s="87"/>
      <c r="K180" s="166"/>
      <c r="L180" s="87"/>
      <c r="M180" s="87"/>
      <c r="N180" s="87"/>
      <c r="O180" s="87"/>
      <c r="P180" s="166"/>
      <c r="Q180" s="87"/>
      <c r="R180" s="87"/>
      <c r="S180" s="87"/>
      <c r="T180" s="87"/>
      <c r="U180" s="87"/>
      <c r="V180" s="87"/>
      <c r="W180" s="87"/>
      <c r="X180" s="87"/>
      <c r="Y180" s="87"/>
      <c r="Z180" s="87"/>
      <c r="AA180" s="87"/>
    </row>
    <row r="181" spans="1:27" ht="16.5" customHeight="1" x14ac:dyDescent="0.6">
      <c r="A181" s="166"/>
      <c r="B181" s="87"/>
      <c r="C181" s="87"/>
      <c r="D181" s="87"/>
      <c r="E181" s="87"/>
      <c r="F181" s="166"/>
      <c r="G181" s="87"/>
      <c r="H181" s="87"/>
      <c r="I181" s="87"/>
      <c r="J181" s="87"/>
      <c r="K181" s="166"/>
      <c r="L181" s="87"/>
      <c r="M181" s="87"/>
      <c r="N181" s="87"/>
      <c r="O181" s="87"/>
      <c r="P181" s="166"/>
      <c r="Q181" s="87"/>
      <c r="R181" s="87"/>
      <c r="S181" s="87"/>
      <c r="T181" s="87"/>
      <c r="U181" s="87"/>
      <c r="V181" s="87"/>
      <c r="W181" s="87"/>
      <c r="X181" s="87"/>
      <c r="Y181" s="87"/>
      <c r="Z181" s="87"/>
      <c r="AA181" s="87"/>
    </row>
    <row r="182" spans="1:27" ht="16.5" customHeight="1" x14ac:dyDescent="0.6">
      <c r="A182" s="166"/>
      <c r="B182" s="87"/>
      <c r="C182" s="87"/>
      <c r="D182" s="87"/>
      <c r="E182" s="87"/>
      <c r="F182" s="166"/>
      <c r="G182" s="87"/>
      <c r="H182" s="87"/>
      <c r="I182" s="87"/>
      <c r="J182" s="87"/>
      <c r="K182" s="166"/>
      <c r="L182" s="87"/>
      <c r="M182" s="87"/>
      <c r="N182" s="87"/>
      <c r="O182" s="87"/>
      <c r="P182" s="166"/>
      <c r="Q182" s="87"/>
      <c r="R182" s="87"/>
      <c r="S182" s="87"/>
      <c r="T182" s="87"/>
      <c r="U182" s="87"/>
      <c r="V182" s="87"/>
      <c r="W182" s="87"/>
      <c r="X182" s="87"/>
      <c r="Y182" s="87"/>
      <c r="Z182" s="87"/>
      <c r="AA182" s="87"/>
    </row>
    <row r="183" spans="1:27" ht="16.5" customHeight="1" x14ac:dyDescent="0.6">
      <c r="A183" s="166"/>
      <c r="B183" s="87"/>
      <c r="C183" s="87"/>
      <c r="D183" s="87"/>
      <c r="E183" s="87"/>
      <c r="F183" s="166"/>
      <c r="G183" s="87"/>
      <c r="H183" s="87"/>
      <c r="I183" s="87"/>
      <c r="J183" s="87"/>
      <c r="K183" s="166"/>
      <c r="L183" s="87"/>
      <c r="M183" s="87"/>
      <c r="N183" s="87"/>
      <c r="O183" s="87"/>
      <c r="P183" s="166"/>
      <c r="Q183" s="87"/>
      <c r="R183" s="87"/>
      <c r="S183" s="87"/>
      <c r="T183" s="87"/>
      <c r="U183" s="87"/>
      <c r="V183" s="87"/>
      <c r="W183" s="87"/>
      <c r="X183" s="87"/>
      <c r="Y183" s="87"/>
      <c r="Z183" s="87"/>
      <c r="AA183" s="87"/>
    </row>
    <row r="184" spans="1:27" ht="16.5" customHeight="1" x14ac:dyDescent="0.6">
      <c r="A184" s="166"/>
      <c r="B184" s="87"/>
      <c r="C184" s="87"/>
      <c r="D184" s="87"/>
      <c r="E184" s="87"/>
      <c r="F184" s="166"/>
      <c r="G184" s="87"/>
      <c r="H184" s="87"/>
      <c r="I184" s="87"/>
      <c r="J184" s="87"/>
      <c r="K184" s="166"/>
      <c r="L184" s="87"/>
      <c r="M184" s="87"/>
      <c r="N184" s="87"/>
      <c r="O184" s="87"/>
      <c r="P184" s="166"/>
      <c r="Q184" s="87"/>
      <c r="R184" s="87"/>
      <c r="S184" s="87"/>
      <c r="T184" s="87"/>
      <c r="U184" s="87"/>
      <c r="V184" s="87"/>
      <c r="W184" s="87"/>
      <c r="X184" s="87"/>
      <c r="Y184" s="87"/>
      <c r="Z184" s="87"/>
      <c r="AA184" s="87"/>
    </row>
    <row r="185" spans="1:27" ht="16.5" customHeight="1" x14ac:dyDescent="0.6">
      <c r="A185" s="166"/>
      <c r="B185" s="87"/>
      <c r="C185" s="87"/>
      <c r="D185" s="87"/>
      <c r="E185" s="87"/>
      <c r="F185" s="166"/>
      <c r="G185" s="87"/>
      <c r="H185" s="87"/>
      <c r="I185" s="87"/>
      <c r="J185" s="87"/>
      <c r="K185" s="166"/>
      <c r="L185" s="87"/>
      <c r="M185" s="87"/>
      <c r="N185" s="87"/>
      <c r="O185" s="87"/>
      <c r="P185" s="166"/>
      <c r="Q185" s="87"/>
      <c r="R185" s="87"/>
      <c r="S185" s="87"/>
      <c r="T185" s="87"/>
      <c r="U185" s="87"/>
      <c r="V185" s="87"/>
      <c r="W185" s="87"/>
      <c r="X185" s="87"/>
      <c r="Y185" s="87"/>
      <c r="Z185" s="87"/>
      <c r="AA185" s="87"/>
    </row>
    <row r="186" spans="1:27" ht="28.5" customHeight="1" x14ac:dyDescent="0.6">
      <c r="A186" s="166"/>
      <c r="B186" s="87"/>
      <c r="C186" s="87"/>
      <c r="D186" s="87"/>
      <c r="E186" s="87"/>
      <c r="F186" s="166"/>
      <c r="G186" s="87"/>
      <c r="H186" s="87"/>
      <c r="I186" s="87"/>
      <c r="J186" s="87"/>
      <c r="K186" s="166"/>
      <c r="L186" s="87"/>
      <c r="M186" s="87"/>
      <c r="N186" s="87"/>
      <c r="O186" s="87"/>
      <c r="P186" s="166"/>
      <c r="Q186" s="87"/>
      <c r="R186" s="87"/>
      <c r="S186" s="87"/>
      <c r="T186" s="87"/>
      <c r="U186" s="87"/>
      <c r="V186" s="87"/>
      <c r="W186" s="87"/>
      <c r="X186" s="87"/>
      <c r="Y186" s="87"/>
      <c r="Z186" s="87"/>
      <c r="AA186" s="87"/>
    </row>
    <row r="187" spans="1:27" ht="16.5" customHeight="1" x14ac:dyDescent="0.6">
      <c r="A187" s="166"/>
      <c r="B187" s="87"/>
      <c r="C187" s="87"/>
      <c r="D187" s="87"/>
      <c r="E187" s="87"/>
      <c r="F187" s="166"/>
      <c r="G187" s="87"/>
      <c r="H187" s="87"/>
      <c r="I187" s="87"/>
      <c r="J187" s="87"/>
      <c r="K187" s="166"/>
      <c r="L187" s="87"/>
      <c r="M187" s="87"/>
      <c r="N187" s="87"/>
      <c r="O187" s="87"/>
      <c r="P187" s="166"/>
      <c r="Q187" s="87"/>
      <c r="R187" s="87"/>
      <c r="S187" s="87"/>
      <c r="T187" s="87"/>
      <c r="U187" s="87"/>
      <c r="V187" s="87"/>
      <c r="W187" s="87"/>
      <c r="X187" s="87"/>
      <c r="Y187" s="87"/>
      <c r="Z187" s="87"/>
      <c r="AA187" s="87"/>
    </row>
    <row r="188" spans="1:27" ht="16.5" customHeight="1" x14ac:dyDescent="0.6">
      <c r="A188" s="166"/>
      <c r="B188" s="87"/>
      <c r="C188" s="87"/>
      <c r="D188" s="87"/>
      <c r="E188" s="87"/>
      <c r="F188" s="166"/>
      <c r="G188" s="87"/>
      <c r="H188" s="87"/>
      <c r="I188" s="87"/>
      <c r="J188" s="87"/>
      <c r="K188" s="166"/>
      <c r="L188" s="87"/>
      <c r="M188" s="87"/>
      <c r="N188" s="87"/>
      <c r="O188" s="87"/>
      <c r="P188" s="166"/>
      <c r="Q188" s="87"/>
      <c r="R188" s="87"/>
      <c r="S188" s="87"/>
      <c r="T188" s="87"/>
      <c r="U188" s="87"/>
      <c r="V188" s="87"/>
      <c r="W188" s="87"/>
      <c r="X188" s="87"/>
      <c r="Y188" s="87"/>
      <c r="Z188" s="87"/>
      <c r="AA188" s="87"/>
    </row>
    <row r="189" spans="1:27" ht="16.5" customHeight="1" x14ac:dyDescent="0.6">
      <c r="A189" s="166"/>
      <c r="B189" s="87"/>
      <c r="C189" s="87"/>
      <c r="D189" s="87"/>
      <c r="E189" s="87"/>
      <c r="F189" s="166"/>
      <c r="G189" s="87"/>
      <c r="H189" s="87"/>
      <c r="I189" s="87"/>
      <c r="J189" s="87"/>
      <c r="K189" s="166"/>
      <c r="L189" s="87"/>
      <c r="M189" s="87"/>
      <c r="N189" s="87"/>
      <c r="O189" s="87"/>
      <c r="P189" s="166"/>
      <c r="Q189" s="87"/>
      <c r="R189" s="87"/>
      <c r="S189" s="87"/>
      <c r="T189" s="87"/>
      <c r="U189" s="87"/>
      <c r="V189" s="87"/>
      <c r="W189" s="87"/>
      <c r="X189" s="87"/>
      <c r="Y189" s="87"/>
      <c r="Z189" s="87"/>
      <c r="AA189" s="87"/>
    </row>
    <row r="190" spans="1:27" ht="16.5" customHeight="1" x14ac:dyDescent="0.6">
      <c r="A190" s="166"/>
      <c r="B190" s="87"/>
      <c r="C190" s="87"/>
      <c r="D190" s="87"/>
      <c r="E190" s="87"/>
      <c r="F190" s="166"/>
      <c r="G190" s="87"/>
      <c r="H190" s="87"/>
      <c r="I190" s="87"/>
      <c r="J190" s="87"/>
      <c r="K190" s="166"/>
      <c r="L190" s="87"/>
      <c r="M190" s="87"/>
      <c r="N190" s="87"/>
      <c r="O190" s="87"/>
      <c r="P190" s="166"/>
      <c r="Q190" s="87"/>
      <c r="R190" s="87"/>
      <c r="S190" s="87"/>
      <c r="T190" s="87"/>
      <c r="U190" s="87"/>
      <c r="V190" s="87"/>
      <c r="W190" s="87"/>
      <c r="X190" s="87"/>
      <c r="Y190" s="87"/>
      <c r="Z190" s="87"/>
      <c r="AA190" s="87"/>
    </row>
    <row r="191" spans="1:27" ht="16.5" customHeight="1" x14ac:dyDescent="0.6">
      <c r="A191" s="166"/>
      <c r="B191" s="87"/>
      <c r="C191" s="87"/>
      <c r="D191" s="87"/>
      <c r="E191" s="87"/>
      <c r="F191" s="166"/>
      <c r="G191" s="87"/>
      <c r="H191" s="87"/>
      <c r="I191" s="87"/>
      <c r="J191" s="87"/>
      <c r="K191" s="166"/>
      <c r="L191" s="87"/>
      <c r="M191" s="87"/>
      <c r="N191" s="87"/>
      <c r="O191" s="87"/>
      <c r="P191" s="166"/>
      <c r="Q191" s="87"/>
      <c r="R191" s="87"/>
      <c r="S191" s="87"/>
      <c r="T191" s="87"/>
      <c r="U191" s="87"/>
      <c r="V191" s="87"/>
      <c r="W191" s="87"/>
      <c r="X191" s="87"/>
      <c r="Y191" s="87"/>
      <c r="Z191" s="87"/>
      <c r="AA191" s="87"/>
    </row>
    <row r="192" spans="1:27" ht="16.5" customHeight="1" x14ac:dyDescent="0.6">
      <c r="A192" s="166"/>
      <c r="B192" s="87"/>
      <c r="C192" s="87"/>
      <c r="D192" s="87"/>
      <c r="E192" s="87"/>
      <c r="F192" s="166"/>
      <c r="G192" s="87"/>
      <c r="H192" s="87"/>
      <c r="I192" s="87"/>
      <c r="J192" s="87"/>
      <c r="K192" s="166"/>
      <c r="L192" s="87"/>
      <c r="M192" s="87"/>
      <c r="N192" s="87"/>
      <c r="O192" s="87"/>
      <c r="P192" s="166"/>
      <c r="Q192" s="87"/>
      <c r="R192" s="87"/>
      <c r="S192" s="87"/>
      <c r="T192" s="87"/>
      <c r="U192" s="87"/>
      <c r="V192" s="87"/>
      <c r="W192" s="87"/>
      <c r="X192" s="87"/>
      <c r="Y192" s="87"/>
      <c r="Z192" s="87"/>
      <c r="AA192" s="87"/>
    </row>
    <row r="193" spans="1:27" ht="28.5" customHeight="1" x14ac:dyDescent="0.6">
      <c r="A193" s="166"/>
      <c r="B193" s="87"/>
      <c r="C193" s="87"/>
      <c r="D193" s="87"/>
      <c r="E193" s="87"/>
      <c r="F193" s="166"/>
      <c r="G193" s="87"/>
      <c r="H193" s="87"/>
      <c r="I193" s="87"/>
      <c r="J193" s="87"/>
      <c r="K193" s="166"/>
      <c r="L193" s="87"/>
      <c r="M193" s="87"/>
      <c r="N193" s="87"/>
      <c r="O193" s="87"/>
      <c r="P193" s="166"/>
      <c r="Q193" s="87"/>
      <c r="R193" s="87"/>
      <c r="S193" s="87"/>
      <c r="T193" s="87"/>
      <c r="U193" s="87"/>
      <c r="V193" s="87"/>
      <c r="W193" s="87"/>
      <c r="X193" s="87"/>
      <c r="Y193" s="87"/>
      <c r="Z193" s="87"/>
      <c r="AA193" s="87"/>
    </row>
    <row r="194" spans="1:27" ht="28.5" customHeight="1" x14ac:dyDescent="0.6">
      <c r="A194" s="166"/>
      <c r="B194" s="87"/>
      <c r="C194" s="87"/>
      <c r="D194" s="87"/>
      <c r="E194" s="87"/>
      <c r="F194" s="166"/>
      <c r="G194" s="87"/>
      <c r="H194" s="87"/>
      <c r="I194" s="87"/>
      <c r="J194" s="87"/>
      <c r="K194" s="166"/>
      <c r="L194" s="87"/>
      <c r="M194" s="87"/>
      <c r="N194" s="87"/>
      <c r="O194" s="87"/>
      <c r="P194" s="166"/>
      <c r="Q194" s="87"/>
      <c r="R194" s="87"/>
      <c r="S194" s="87"/>
      <c r="T194" s="87"/>
      <c r="U194" s="87"/>
      <c r="V194" s="87"/>
      <c r="W194" s="87"/>
      <c r="X194" s="87"/>
      <c r="Y194" s="87"/>
      <c r="Z194" s="87"/>
      <c r="AA194" s="87"/>
    </row>
    <row r="195" spans="1:27" ht="16.5" customHeight="1" x14ac:dyDescent="0.6">
      <c r="A195" s="166"/>
      <c r="B195" s="87"/>
      <c r="C195" s="87"/>
      <c r="D195" s="87"/>
      <c r="E195" s="87"/>
      <c r="F195" s="166"/>
      <c r="G195" s="87"/>
      <c r="H195" s="87"/>
      <c r="I195" s="87"/>
      <c r="J195" s="87"/>
      <c r="K195" s="166"/>
      <c r="L195" s="87"/>
      <c r="M195" s="87"/>
      <c r="N195" s="87"/>
      <c r="O195" s="87"/>
      <c r="P195" s="166"/>
      <c r="Q195" s="87"/>
      <c r="R195" s="87"/>
      <c r="S195" s="87"/>
      <c r="T195" s="87"/>
      <c r="U195" s="87"/>
      <c r="V195" s="87"/>
      <c r="W195" s="87"/>
      <c r="X195" s="87"/>
      <c r="Y195" s="87"/>
      <c r="Z195" s="87"/>
      <c r="AA195" s="87"/>
    </row>
    <row r="196" spans="1:27" ht="16.5" customHeight="1" x14ac:dyDescent="0.6">
      <c r="A196" s="166"/>
      <c r="B196" s="87"/>
      <c r="C196" s="87"/>
      <c r="D196" s="87"/>
      <c r="E196" s="87"/>
      <c r="F196" s="166"/>
      <c r="G196" s="87"/>
      <c r="H196" s="87"/>
      <c r="I196" s="87"/>
      <c r="J196" s="87"/>
      <c r="K196" s="166"/>
      <c r="L196" s="87"/>
      <c r="M196" s="87"/>
      <c r="N196" s="87"/>
      <c r="O196" s="87"/>
      <c r="P196" s="166"/>
      <c r="Q196" s="87"/>
      <c r="R196" s="87"/>
      <c r="S196" s="87"/>
      <c r="T196" s="87"/>
      <c r="U196" s="87"/>
      <c r="V196" s="87"/>
      <c r="W196" s="87"/>
      <c r="X196" s="87"/>
      <c r="Y196" s="87"/>
      <c r="Z196" s="87"/>
      <c r="AA196" s="87"/>
    </row>
    <row r="197" spans="1:27" ht="16.5" customHeight="1" x14ac:dyDescent="0.6">
      <c r="A197" s="166"/>
      <c r="B197" s="87"/>
      <c r="C197" s="87"/>
      <c r="D197" s="87"/>
      <c r="E197" s="87"/>
      <c r="F197" s="166"/>
      <c r="G197" s="87"/>
      <c r="H197" s="87"/>
      <c r="I197" s="87"/>
      <c r="J197" s="87"/>
      <c r="K197" s="166"/>
      <c r="L197" s="87"/>
      <c r="M197" s="87"/>
      <c r="N197" s="87"/>
      <c r="O197" s="87"/>
      <c r="P197" s="166"/>
      <c r="Q197" s="87"/>
      <c r="R197" s="87"/>
      <c r="S197" s="87"/>
      <c r="T197" s="87"/>
      <c r="U197" s="87"/>
      <c r="V197" s="87"/>
      <c r="W197" s="87"/>
      <c r="X197" s="87"/>
      <c r="Y197" s="87"/>
      <c r="Z197" s="87"/>
      <c r="AA197" s="87"/>
    </row>
    <row r="198" spans="1:27" ht="16.5" customHeight="1" x14ac:dyDescent="0.6">
      <c r="A198" s="166"/>
      <c r="B198" s="87"/>
      <c r="C198" s="87"/>
      <c r="D198" s="87"/>
      <c r="E198" s="87"/>
      <c r="F198" s="166"/>
      <c r="G198" s="87"/>
      <c r="H198" s="87"/>
      <c r="I198" s="87"/>
      <c r="J198" s="87"/>
      <c r="K198" s="166"/>
      <c r="L198" s="87"/>
      <c r="M198" s="87"/>
      <c r="N198" s="87"/>
      <c r="O198" s="87"/>
      <c r="P198" s="87"/>
      <c r="Q198" s="87"/>
      <c r="R198" s="87"/>
      <c r="S198" s="87"/>
      <c r="T198" s="87"/>
      <c r="U198" s="87"/>
      <c r="V198" s="87"/>
      <c r="W198" s="87"/>
      <c r="X198" s="87"/>
      <c r="Y198" s="87"/>
      <c r="Z198" s="87"/>
      <c r="AA198" s="87"/>
    </row>
    <row r="199" spans="1:27" ht="16.5" customHeight="1" x14ac:dyDescent="0.6">
      <c r="A199" s="166"/>
      <c r="B199" s="87"/>
      <c r="C199" s="87"/>
      <c r="D199" s="87"/>
      <c r="E199" s="87"/>
      <c r="F199" s="166"/>
      <c r="G199" s="87"/>
      <c r="H199" s="87"/>
      <c r="I199" s="87"/>
      <c r="J199" s="87"/>
      <c r="K199" s="166"/>
      <c r="L199" s="87"/>
      <c r="M199" s="87"/>
      <c r="N199" s="87"/>
      <c r="O199" s="87"/>
      <c r="P199" s="87"/>
      <c r="Q199" s="87"/>
      <c r="R199" s="87"/>
      <c r="S199" s="87"/>
      <c r="T199" s="87"/>
      <c r="U199" s="87"/>
      <c r="V199" s="87"/>
      <c r="W199" s="87"/>
      <c r="X199" s="87"/>
      <c r="Y199" s="87"/>
      <c r="Z199" s="87"/>
      <c r="AA199" s="87"/>
    </row>
    <row r="200" spans="1:27" ht="16.5" customHeight="1" x14ac:dyDescent="0.6">
      <c r="A200" s="166"/>
      <c r="B200" s="87"/>
      <c r="C200" s="87"/>
      <c r="D200" s="87"/>
      <c r="E200" s="87"/>
      <c r="F200" s="166"/>
      <c r="G200" s="87"/>
      <c r="H200" s="87"/>
      <c r="I200" s="87"/>
      <c r="J200" s="87"/>
      <c r="K200" s="166"/>
      <c r="L200" s="87"/>
      <c r="M200" s="87"/>
      <c r="N200" s="87"/>
      <c r="O200" s="87"/>
      <c r="P200" s="87"/>
      <c r="Q200" s="87"/>
      <c r="R200" s="87"/>
      <c r="S200" s="87"/>
      <c r="T200" s="87"/>
      <c r="U200" s="87"/>
      <c r="V200" s="87"/>
      <c r="W200" s="87"/>
      <c r="X200" s="87"/>
      <c r="Y200" s="87"/>
      <c r="Z200" s="87"/>
      <c r="AA200" s="87"/>
    </row>
    <row r="201" spans="1:27" ht="28.5" customHeight="1" x14ac:dyDescent="0.6">
      <c r="A201" s="166"/>
      <c r="B201" s="87"/>
      <c r="C201" s="87"/>
      <c r="D201" s="87"/>
      <c r="E201" s="87"/>
      <c r="F201" s="166"/>
      <c r="G201" s="87"/>
      <c r="H201" s="87"/>
      <c r="I201" s="87"/>
      <c r="J201" s="87"/>
      <c r="K201" s="166"/>
      <c r="L201" s="87"/>
      <c r="M201" s="87"/>
      <c r="N201" s="87"/>
      <c r="O201" s="87"/>
      <c r="P201" s="87"/>
      <c r="Q201" s="87"/>
      <c r="R201" s="87"/>
      <c r="S201" s="87"/>
      <c r="T201" s="87"/>
      <c r="U201" s="87"/>
      <c r="V201" s="87"/>
      <c r="W201" s="87"/>
      <c r="X201" s="87"/>
      <c r="Y201" s="87"/>
      <c r="Z201" s="87"/>
      <c r="AA201" s="87"/>
    </row>
    <row r="202" spans="1:27" ht="16.5" customHeight="1" x14ac:dyDescent="0.6">
      <c r="A202" s="166"/>
      <c r="B202" s="87"/>
      <c r="C202" s="87"/>
      <c r="D202" s="87"/>
      <c r="E202" s="87"/>
      <c r="F202" s="166"/>
      <c r="G202" s="87"/>
      <c r="H202" s="87"/>
      <c r="I202" s="87"/>
      <c r="J202" s="87"/>
      <c r="K202" s="87"/>
      <c r="L202" s="87"/>
      <c r="M202" s="87"/>
      <c r="N202" s="87"/>
      <c r="O202" s="87"/>
      <c r="P202" s="87"/>
      <c r="Q202" s="87"/>
      <c r="R202" s="87"/>
      <c r="S202" s="87"/>
      <c r="T202" s="87"/>
      <c r="U202" s="87"/>
      <c r="V202" s="87"/>
      <c r="W202" s="87"/>
      <c r="X202" s="87"/>
      <c r="Y202" s="87"/>
      <c r="Z202" s="87"/>
      <c r="AA202" s="87"/>
    </row>
    <row r="203" spans="1:27" ht="16.5" customHeight="1" x14ac:dyDescent="0.6">
      <c r="A203" s="166"/>
      <c r="B203" s="87"/>
      <c r="C203" s="87"/>
      <c r="D203" s="87"/>
      <c r="E203" s="87"/>
      <c r="F203" s="166"/>
      <c r="G203" s="87"/>
      <c r="H203" s="87"/>
      <c r="I203" s="87"/>
      <c r="J203" s="87"/>
      <c r="K203" s="87"/>
      <c r="L203" s="87"/>
      <c r="M203" s="87"/>
      <c r="N203" s="87"/>
      <c r="O203" s="87"/>
      <c r="P203" s="87"/>
      <c r="Q203" s="87"/>
      <c r="R203" s="87"/>
      <c r="S203" s="87"/>
      <c r="T203" s="87"/>
      <c r="U203" s="87"/>
      <c r="V203" s="87"/>
      <c r="W203" s="87"/>
      <c r="X203" s="87"/>
      <c r="Y203" s="87"/>
      <c r="Z203" s="87"/>
      <c r="AA203" s="87"/>
    </row>
    <row r="204" spans="1:27" ht="16.5" customHeight="1" x14ac:dyDescent="0.6">
      <c r="A204" s="166"/>
      <c r="B204" s="87"/>
      <c r="C204" s="87"/>
      <c r="D204" s="87"/>
      <c r="E204" s="87"/>
      <c r="F204" s="40"/>
      <c r="G204" s="87"/>
      <c r="H204" s="87"/>
      <c r="I204" s="87"/>
      <c r="J204" s="87"/>
      <c r="K204" s="87"/>
      <c r="L204" s="87"/>
      <c r="M204" s="87"/>
      <c r="N204" s="87"/>
      <c r="O204" s="87"/>
      <c r="P204" s="87"/>
      <c r="Q204" s="87"/>
      <c r="R204" s="87"/>
      <c r="S204" s="87"/>
      <c r="T204" s="87"/>
      <c r="U204" s="87"/>
      <c r="V204" s="87"/>
      <c r="W204" s="87"/>
      <c r="X204" s="87"/>
      <c r="Y204" s="87"/>
      <c r="Z204" s="87"/>
      <c r="AA204" s="87"/>
    </row>
  </sheetData>
  <mergeCells count="11">
    <mergeCell ref="Y8:Z8"/>
    <mergeCell ref="A3:P3"/>
    <mergeCell ref="A5:P5"/>
    <mergeCell ref="A6:G6"/>
    <mergeCell ref="K6:S6"/>
    <mergeCell ref="U6:AA6"/>
    <mergeCell ref="A8:C8"/>
    <mergeCell ref="F8:H8"/>
    <mergeCell ref="K8:M8"/>
    <mergeCell ref="P8:R8"/>
    <mergeCell ref="U8:V8"/>
  </mergeCells>
  <pageMargins left="0.39" right="0.39" top="0.39" bottom="0.39" header="0.39" footer="0.39"/>
  <pageSetup fitToHeight="0"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T81"/>
  <sheetViews>
    <sheetView workbookViewId="0">
      <selection activeCell="I14" sqref="I14"/>
    </sheetView>
  </sheetViews>
  <sheetFormatPr defaultColWidth="10.1328125" defaultRowHeight="14.45" customHeight="1" x14ac:dyDescent="0.6"/>
  <cols>
    <col min="1" max="1" width="5" customWidth="1"/>
    <col min="2" max="2" width="6.86328125" customWidth="1"/>
    <col min="3" max="3" width="23.86328125" customWidth="1"/>
    <col min="4" max="4" width="9.86328125" customWidth="1"/>
    <col min="5" max="5" width="2.1328125" customWidth="1"/>
    <col min="6" max="6" width="4.40625" customWidth="1"/>
    <col min="7" max="7" width="9.86328125" customWidth="1"/>
    <col min="8" max="8" width="23.86328125" customWidth="1"/>
    <col min="9" max="9" width="9.54296875" customWidth="1"/>
    <col min="10" max="10" width="2.54296875" customWidth="1"/>
    <col min="11" max="11" width="14.86328125" customWidth="1"/>
    <col min="12" max="12" width="19.26953125" customWidth="1"/>
    <col min="13" max="13" width="9.26953125" customWidth="1"/>
    <col min="14" max="14" width="23.86328125" customWidth="1"/>
    <col min="15" max="15" width="15.86328125" customWidth="1"/>
    <col min="16" max="16" width="19.26953125" customWidth="1"/>
    <col min="17" max="17" width="11.54296875" customWidth="1"/>
    <col min="18" max="18" width="9" customWidth="1"/>
    <col min="19" max="19" width="12.54296875" customWidth="1"/>
    <col min="20" max="20" width="10.1328125" customWidth="1"/>
  </cols>
  <sheetData>
    <row r="1" spans="1:20" ht="7.5" customHeight="1" x14ac:dyDescent="0.6">
      <c r="A1" s="52"/>
      <c r="B1" s="52"/>
      <c r="C1" s="52"/>
      <c r="D1" s="52"/>
      <c r="E1" s="52"/>
      <c r="F1" s="52"/>
      <c r="G1" s="52"/>
      <c r="H1" s="52"/>
      <c r="I1" s="52"/>
      <c r="J1" s="52"/>
      <c r="K1" s="52"/>
      <c r="L1" s="52"/>
      <c r="M1" s="52"/>
      <c r="N1" s="52"/>
      <c r="O1" s="52"/>
      <c r="P1" s="52"/>
      <c r="Q1" s="52"/>
      <c r="R1" s="52"/>
      <c r="S1" s="52"/>
      <c r="T1" s="52"/>
    </row>
    <row r="2" spans="1:20" ht="17.25" customHeight="1" x14ac:dyDescent="0.6">
      <c r="A2" s="78" t="s">
        <v>211</v>
      </c>
      <c r="B2" s="78"/>
      <c r="C2" s="78"/>
      <c r="D2" s="78"/>
      <c r="E2" s="78"/>
      <c r="F2" s="78"/>
      <c r="G2" s="78"/>
      <c r="H2" s="78"/>
      <c r="I2" s="52"/>
      <c r="J2" s="52"/>
      <c r="K2" s="52"/>
      <c r="L2" s="52"/>
      <c r="M2" s="52"/>
      <c r="N2" s="52"/>
      <c r="O2" s="52"/>
      <c r="P2" s="52"/>
      <c r="Q2" s="52"/>
      <c r="R2" s="52"/>
      <c r="S2" s="52"/>
      <c r="T2" s="52"/>
    </row>
    <row r="3" spans="1:20" ht="21.75" customHeight="1" x14ac:dyDescent="0.6">
      <c r="A3" s="308" t="s">
        <v>460</v>
      </c>
      <c r="B3" s="308"/>
      <c r="C3" s="308"/>
      <c r="D3" s="308"/>
      <c r="E3" s="308"/>
      <c r="F3" s="308"/>
      <c r="G3" s="308"/>
      <c r="H3" s="308"/>
      <c r="I3" s="308"/>
      <c r="J3" s="308"/>
      <c r="K3" s="308"/>
      <c r="L3" s="308"/>
      <c r="M3" s="308"/>
      <c r="N3" s="308"/>
      <c r="O3" s="308"/>
      <c r="P3" s="308"/>
      <c r="Q3" s="308"/>
      <c r="R3" s="79"/>
      <c r="S3" s="52"/>
      <c r="T3" s="52"/>
    </row>
    <row r="4" spans="1:20" ht="6.75" customHeight="1" x14ac:dyDescent="0.6">
      <c r="A4" s="52"/>
      <c r="B4" s="52"/>
      <c r="C4" s="52"/>
      <c r="D4" s="52"/>
      <c r="E4" s="52"/>
      <c r="F4" s="52"/>
      <c r="G4" s="52"/>
      <c r="H4" s="52"/>
      <c r="I4" s="52"/>
      <c r="J4" s="52"/>
      <c r="K4" s="52"/>
      <c r="L4" s="52"/>
      <c r="M4" s="52"/>
      <c r="N4" s="52"/>
      <c r="O4" s="52"/>
      <c r="P4" s="52"/>
      <c r="Q4" s="52"/>
      <c r="R4" s="52"/>
      <c r="S4" s="52"/>
      <c r="T4" s="52"/>
    </row>
    <row r="5" spans="1:20" ht="15.75" customHeight="1" x14ac:dyDescent="0.6">
      <c r="A5" s="311">
        <v>42394.443831018521</v>
      </c>
      <c r="B5" s="311"/>
      <c r="C5" s="311"/>
      <c r="D5" s="311"/>
      <c r="E5" s="311"/>
      <c r="F5" s="311"/>
      <c r="G5" s="311"/>
      <c r="H5" s="311"/>
      <c r="I5" s="311"/>
      <c r="J5" s="311"/>
      <c r="K5" s="311"/>
      <c r="L5" s="311"/>
      <c r="M5" s="311"/>
      <c r="N5" s="311"/>
      <c r="O5" s="311"/>
      <c r="P5" s="311"/>
      <c r="Q5" s="311"/>
      <c r="R5" s="80"/>
      <c r="S5" s="52"/>
      <c r="T5" s="52"/>
    </row>
    <row r="6" spans="1:20" ht="16.5" customHeight="1" x14ac:dyDescent="0.6">
      <c r="A6" s="283" t="s">
        <v>461</v>
      </c>
      <c r="B6" s="283"/>
      <c r="C6" s="283"/>
      <c r="D6" s="283"/>
      <c r="E6" s="283"/>
      <c r="F6" s="283"/>
      <c r="G6" s="283"/>
      <c r="H6" s="81"/>
      <c r="I6" s="52"/>
      <c r="J6" s="52"/>
      <c r="K6" s="283" t="s">
        <v>462</v>
      </c>
      <c r="L6" s="283"/>
      <c r="M6" s="283"/>
      <c r="N6" s="283"/>
      <c r="O6" s="283"/>
      <c r="P6" s="283"/>
      <c r="Q6" s="283"/>
      <c r="R6" s="71"/>
      <c r="S6" s="52"/>
      <c r="T6" s="52"/>
    </row>
    <row r="7" spans="1:20" ht="14.25" customHeight="1" x14ac:dyDescent="0.6">
      <c r="A7" s="82"/>
      <c r="B7" s="82"/>
      <c r="C7" s="82"/>
      <c r="D7" s="82"/>
      <c r="E7" s="82"/>
      <c r="F7" s="82"/>
      <c r="G7" s="82"/>
      <c r="H7" s="82"/>
      <c r="I7" s="52"/>
      <c r="J7" s="52"/>
      <c r="K7" s="77"/>
      <c r="L7" s="77"/>
      <c r="M7" s="77"/>
      <c r="N7" s="77"/>
      <c r="O7" s="77"/>
      <c r="P7" s="77"/>
      <c r="Q7" s="77"/>
      <c r="R7" s="77"/>
      <c r="S7" s="52"/>
      <c r="T7" s="52"/>
    </row>
    <row r="8" spans="1:20" ht="17.25" customHeight="1" x14ac:dyDescent="0.6">
      <c r="A8" s="312" t="s">
        <v>463</v>
      </c>
      <c r="B8" s="312"/>
      <c r="C8" s="83"/>
      <c r="D8" s="83" t="s">
        <v>464</v>
      </c>
      <c r="E8" s="51"/>
      <c r="F8" s="312" t="s">
        <v>465</v>
      </c>
      <c r="G8" s="312"/>
      <c r="H8" s="83"/>
      <c r="I8" s="71" t="s">
        <v>464</v>
      </c>
      <c r="J8" s="52"/>
      <c r="K8" s="309" t="s">
        <v>463</v>
      </c>
      <c r="L8" s="309"/>
      <c r="M8" s="309"/>
      <c r="N8" s="83"/>
      <c r="O8" s="71" t="s">
        <v>464</v>
      </c>
      <c r="P8" s="51"/>
      <c r="Q8" s="309" t="s">
        <v>465</v>
      </c>
      <c r="R8" s="309"/>
      <c r="S8" s="52"/>
      <c r="T8" s="52"/>
    </row>
    <row r="9" spans="1:20" ht="16.5" customHeight="1" x14ac:dyDescent="0.6">
      <c r="A9" s="84" t="s">
        <v>466</v>
      </c>
      <c r="B9" s="122" t="s">
        <v>467</v>
      </c>
      <c r="C9" s="105" t="s">
        <v>629</v>
      </c>
      <c r="D9" s="121">
        <v>19.147798910481384</v>
      </c>
      <c r="E9" s="85"/>
      <c r="F9" s="84" t="s">
        <v>466</v>
      </c>
      <c r="G9" s="52">
        <v>746</v>
      </c>
      <c r="H9" s="52" t="s">
        <v>639</v>
      </c>
      <c r="I9" s="70">
        <v>15.634433261416184</v>
      </c>
      <c r="J9" s="52"/>
      <c r="K9" s="84" t="s">
        <v>466</v>
      </c>
      <c r="L9" s="88" t="s">
        <v>468</v>
      </c>
      <c r="M9" s="40" t="s">
        <v>469</v>
      </c>
      <c r="N9" s="52" t="s">
        <v>633</v>
      </c>
      <c r="O9" s="124">
        <v>38.012742495583211</v>
      </c>
      <c r="P9" s="85"/>
      <c r="Q9" s="84" t="s">
        <v>466</v>
      </c>
      <c r="R9" s="40">
        <v>124</v>
      </c>
      <c r="S9" s="52" t="s">
        <v>638</v>
      </c>
      <c r="T9" s="124">
        <v>20.112493255195879</v>
      </c>
    </row>
    <row r="10" spans="1:20" ht="16.5" customHeight="1" x14ac:dyDescent="0.6">
      <c r="A10" s="84" t="s">
        <v>470</v>
      </c>
      <c r="B10" s="122" t="s">
        <v>471</v>
      </c>
      <c r="C10" s="105" t="s">
        <v>630</v>
      </c>
      <c r="D10" s="121">
        <v>16.501142306677465</v>
      </c>
      <c r="E10" s="85"/>
      <c r="F10" s="84" t="s">
        <v>470</v>
      </c>
      <c r="G10" s="52">
        <v>664</v>
      </c>
      <c r="H10" s="52" t="s">
        <v>640</v>
      </c>
      <c r="I10" s="70">
        <v>11.680305162225066</v>
      </c>
      <c r="J10" s="52"/>
      <c r="K10" s="84" t="s">
        <v>470</v>
      </c>
      <c r="L10" s="90"/>
      <c r="M10" s="40">
        <v>134</v>
      </c>
      <c r="N10" s="52" t="s">
        <v>635</v>
      </c>
      <c r="O10" s="124">
        <v>26.932204447621444</v>
      </c>
      <c r="P10" s="85"/>
      <c r="Q10" s="84" t="s">
        <v>470</v>
      </c>
      <c r="R10" s="40">
        <v>134</v>
      </c>
      <c r="S10" s="52" t="s">
        <v>635</v>
      </c>
      <c r="T10" s="124">
        <v>10.765238193865642</v>
      </c>
    </row>
    <row r="11" spans="1:20" ht="16.5" customHeight="1" x14ac:dyDescent="0.6">
      <c r="A11" s="84" t="s">
        <v>473</v>
      </c>
      <c r="B11" s="122" t="s">
        <v>474</v>
      </c>
      <c r="C11" s="105" t="s">
        <v>631</v>
      </c>
      <c r="D11" s="121">
        <v>10.577512234884336</v>
      </c>
      <c r="E11" s="85"/>
      <c r="F11" s="84" t="s">
        <v>473</v>
      </c>
      <c r="G11" s="52">
        <v>534</v>
      </c>
      <c r="H11" s="52" t="s">
        <v>661</v>
      </c>
      <c r="I11" s="70">
        <v>9.7740507711098878</v>
      </c>
      <c r="J11" s="52"/>
      <c r="K11" s="84" t="s">
        <v>473</v>
      </c>
      <c r="L11" s="90"/>
      <c r="M11" s="40">
        <v>124</v>
      </c>
      <c r="N11" s="52" t="s">
        <v>638</v>
      </c>
      <c r="O11" s="124">
        <v>10.983884538020664</v>
      </c>
      <c r="P11" s="85"/>
      <c r="Q11" s="84" t="s">
        <v>473</v>
      </c>
      <c r="R11" s="40">
        <v>138</v>
      </c>
      <c r="S11" s="52" t="s">
        <v>653</v>
      </c>
      <c r="T11" s="124">
        <v>9.8250022324675221</v>
      </c>
    </row>
    <row r="12" spans="1:20" ht="16.5" customHeight="1" x14ac:dyDescent="0.6">
      <c r="A12" s="84" t="s">
        <v>475</v>
      </c>
      <c r="B12" s="122">
        <v>578</v>
      </c>
      <c r="C12" s="105" t="s">
        <v>632</v>
      </c>
      <c r="D12" s="121">
        <v>8.8706212281370078</v>
      </c>
      <c r="E12" s="85"/>
      <c r="F12" s="84" t="s">
        <v>475</v>
      </c>
      <c r="G12" s="52">
        <v>924</v>
      </c>
      <c r="H12" s="52" t="s">
        <v>629</v>
      </c>
      <c r="I12" s="70">
        <v>8.347664775241368</v>
      </c>
      <c r="J12" s="52"/>
      <c r="K12" s="84" t="s">
        <v>475</v>
      </c>
      <c r="L12" s="90"/>
      <c r="M12" s="40">
        <v>112</v>
      </c>
      <c r="N12" s="52" t="s">
        <v>642</v>
      </c>
      <c r="O12" s="124">
        <v>5.2825473637748681</v>
      </c>
      <c r="P12" s="85"/>
      <c r="Q12" s="84" t="s">
        <v>475</v>
      </c>
      <c r="R12" s="40">
        <v>532</v>
      </c>
      <c r="S12" s="52" t="s">
        <v>652</v>
      </c>
      <c r="T12" s="124">
        <v>9.5829495790744446</v>
      </c>
    </row>
    <row r="13" spans="1:20" ht="16.5" customHeight="1" x14ac:dyDescent="0.6">
      <c r="A13" s="84" t="s">
        <v>476</v>
      </c>
      <c r="B13" s="122">
        <v>111</v>
      </c>
      <c r="C13" s="105" t="s">
        <v>633</v>
      </c>
      <c r="D13" s="121">
        <v>8.3949018867993583</v>
      </c>
      <c r="E13" s="85"/>
      <c r="F13" s="84" t="s">
        <v>476</v>
      </c>
      <c r="G13" s="52">
        <v>466</v>
      </c>
      <c r="H13" s="52" t="s">
        <v>645</v>
      </c>
      <c r="I13" s="70">
        <v>8.3171060643576347</v>
      </c>
      <c r="J13" s="52"/>
      <c r="K13" s="84" t="s">
        <v>476</v>
      </c>
      <c r="L13" s="90"/>
      <c r="M13" s="40">
        <v>132</v>
      </c>
      <c r="N13" s="52" t="s">
        <v>643</v>
      </c>
      <c r="O13" s="124">
        <v>3.0399653206504831</v>
      </c>
      <c r="P13" s="85"/>
      <c r="Q13" s="84" t="s">
        <v>476</v>
      </c>
      <c r="R13" s="40">
        <v>156</v>
      </c>
      <c r="S13" s="52" t="s">
        <v>655</v>
      </c>
      <c r="T13" s="124">
        <v>7.5832401463593175</v>
      </c>
    </row>
    <row r="14" spans="1:20" ht="16.5" customHeight="1" x14ac:dyDescent="0.6">
      <c r="A14" s="84" t="s">
        <v>478</v>
      </c>
      <c r="B14" s="122">
        <v>734</v>
      </c>
      <c r="C14" s="105" t="s">
        <v>634</v>
      </c>
      <c r="D14" s="121">
        <v>6.6056304747172865</v>
      </c>
      <c r="E14" s="85"/>
      <c r="F14" s="84" t="s">
        <v>478</v>
      </c>
      <c r="G14" s="52">
        <v>738</v>
      </c>
      <c r="H14" s="52" t="s">
        <v>650</v>
      </c>
      <c r="I14" s="70">
        <v>5.0438490141531078</v>
      </c>
      <c r="J14" s="52"/>
      <c r="K14" s="84" t="s">
        <v>478</v>
      </c>
      <c r="L14" s="90"/>
      <c r="M14" s="40">
        <v>122</v>
      </c>
      <c r="N14" s="52" t="s">
        <v>644</v>
      </c>
      <c r="O14" s="124">
        <v>2.7882240350258827</v>
      </c>
      <c r="P14" s="85"/>
      <c r="Q14" s="84" t="s">
        <v>478</v>
      </c>
      <c r="R14" s="40">
        <v>132</v>
      </c>
      <c r="S14" s="52" t="s">
        <v>643</v>
      </c>
      <c r="T14" s="124">
        <v>6.5611909676210782</v>
      </c>
    </row>
    <row r="15" spans="1:20" ht="16.5" customHeight="1" x14ac:dyDescent="0.6">
      <c r="A15" s="84" t="s">
        <v>480</v>
      </c>
      <c r="B15" s="122">
        <v>134</v>
      </c>
      <c r="C15" s="105" t="s">
        <v>635</v>
      </c>
      <c r="D15" s="121">
        <v>5.9478269414334841</v>
      </c>
      <c r="E15" s="85"/>
      <c r="F15" s="84" t="s">
        <v>480</v>
      </c>
      <c r="G15" s="52">
        <v>124</v>
      </c>
      <c r="H15" s="52" t="s">
        <v>638</v>
      </c>
      <c r="I15" s="70">
        <v>5.0140063236313219</v>
      </c>
      <c r="J15" s="52"/>
      <c r="K15" s="84" t="s">
        <v>480</v>
      </c>
      <c r="L15" s="90"/>
      <c r="M15" s="40">
        <v>144</v>
      </c>
      <c r="N15" s="52" t="s">
        <v>647</v>
      </c>
      <c r="O15" s="124">
        <v>2.2262230661528655</v>
      </c>
      <c r="P15" s="85"/>
      <c r="Q15" s="84" t="s">
        <v>480</v>
      </c>
      <c r="R15" s="40">
        <v>111</v>
      </c>
      <c r="S15" s="52" t="s">
        <v>633</v>
      </c>
      <c r="T15" s="124">
        <v>6.1671437174405135</v>
      </c>
    </row>
    <row r="16" spans="1:20" ht="16.5" customHeight="1" x14ac:dyDescent="0.6">
      <c r="A16" s="84" t="s">
        <v>481</v>
      </c>
      <c r="B16" s="122">
        <v>564</v>
      </c>
      <c r="C16" s="105" t="s">
        <v>636</v>
      </c>
      <c r="D16" s="121">
        <v>5.1463283346839361</v>
      </c>
      <c r="E16" s="85"/>
      <c r="F16" s="84" t="s">
        <v>481</v>
      </c>
      <c r="G16" s="52">
        <v>922</v>
      </c>
      <c r="H16" s="52" t="s">
        <v>646</v>
      </c>
      <c r="I16" s="70">
        <v>3.6762197005045545</v>
      </c>
      <c r="J16" s="52"/>
      <c r="K16" s="84" t="s">
        <v>481</v>
      </c>
      <c r="L16" s="90"/>
      <c r="M16" s="40">
        <v>158</v>
      </c>
      <c r="N16" s="52" t="s">
        <v>648</v>
      </c>
      <c r="O16" s="124">
        <v>1.6546908878020077</v>
      </c>
      <c r="P16" s="85"/>
      <c r="Q16" s="84" t="s">
        <v>481</v>
      </c>
      <c r="R16" s="40">
        <v>542</v>
      </c>
      <c r="S16" s="52" t="s">
        <v>651</v>
      </c>
      <c r="T16" s="124">
        <v>5.6654551294826891</v>
      </c>
    </row>
    <row r="17" spans="1:20" ht="16.5" customHeight="1" x14ac:dyDescent="0.6">
      <c r="A17" s="84" t="s">
        <v>483</v>
      </c>
      <c r="B17" s="122">
        <v>618</v>
      </c>
      <c r="C17" s="105" t="s">
        <v>637</v>
      </c>
      <c r="D17" s="121">
        <v>2.4313067432595799</v>
      </c>
      <c r="E17" s="85"/>
      <c r="F17" s="84" t="s">
        <v>483</v>
      </c>
      <c r="G17" s="52">
        <v>186</v>
      </c>
      <c r="H17" s="52" t="s">
        <v>668</v>
      </c>
      <c r="I17" s="70">
        <v>2.7803168155542233</v>
      </c>
      <c r="J17" s="52"/>
      <c r="K17" s="84" t="s">
        <v>483</v>
      </c>
      <c r="L17" s="90"/>
      <c r="M17" s="40">
        <v>136</v>
      </c>
      <c r="N17" s="52" t="s">
        <v>649</v>
      </c>
      <c r="O17" s="124">
        <v>1.6323454621524858</v>
      </c>
      <c r="P17" s="85"/>
      <c r="Q17" s="84" t="s">
        <v>483</v>
      </c>
      <c r="R17" s="40">
        <v>136</v>
      </c>
      <c r="S17" s="52" t="s">
        <v>649</v>
      </c>
      <c r="T17" s="124">
        <v>5.2834105576532773</v>
      </c>
    </row>
    <row r="18" spans="1:20" ht="16.5" customHeight="1" x14ac:dyDescent="0.6">
      <c r="A18" s="84" t="s">
        <v>484</v>
      </c>
      <c r="B18" s="122">
        <v>124</v>
      </c>
      <c r="C18" s="105" t="s">
        <v>638</v>
      </c>
      <c r="D18" s="121">
        <v>2.4257295574853588</v>
      </c>
      <c r="E18" s="85"/>
      <c r="F18" s="84" t="s">
        <v>484</v>
      </c>
      <c r="G18" s="52">
        <v>134</v>
      </c>
      <c r="H18" s="52" t="s">
        <v>635</v>
      </c>
      <c r="I18" s="70">
        <v>2.6837534111040804</v>
      </c>
      <c r="J18" s="52"/>
      <c r="K18" s="84" t="s">
        <v>484</v>
      </c>
      <c r="L18" s="90"/>
      <c r="M18" s="40">
        <v>542</v>
      </c>
      <c r="N18" s="52" t="s">
        <v>651</v>
      </c>
      <c r="O18" s="124">
        <v>1.3929790415078316</v>
      </c>
      <c r="P18" s="85"/>
      <c r="Q18" s="84" t="s">
        <v>484</v>
      </c>
      <c r="R18" s="40">
        <v>158</v>
      </c>
      <c r="S18" s="52" t="s">
        <v>648</v>
      </c>
      <c r="T18" s="124">
        <v>4.3402603428555668</v>
      </c>
    </row>
    <row r="19" spans="1:20" ht="16.5" customHeight="1" x14ac:dyDescent="0.6">
      <c r="A19" s="84" t="s">
        <v>485</v>
      </c>
      <c r="B19" s="122">
        <v>746</v>
      </c>
      <c r="C19" s="105" t="s">
        <v>639</v>
      </c>
      <c r="D19" s="121">
        <v>2.266591251692438</v>
      </c>
      <c r="E19" s="85"/>
      <c r="F19" s="84" t="s">
        <v>485</v>
      </c>
      <c r="G19" s="52">
        <v>138</v>
      </c>
      <c r="H19" s="52" t="s">
        <v>653</v>
      </c>
      <c r="I19" s="70">
        <v>2.4493543738321679</v>
      </c>
      <c r="J19" s="52"/>
      <c r="K19" s="84" t="s">
        <v>485</v>
      </c>
      <c r="L19" s="90"/>
      <c r="M19" s="40">
        <v>532</v>
      </c>
      <c r="N19" s="52" t="s">
        <v>652</v>
      </c>
      <c r="O19" s="124">
        <v>1.3672710522938181</v>
      </c>
      <c r="P19" s="85"/>
      <c r="Q19" s="84" t="s">
        <v>485</v>
      </c>
      <c r="R19" s="40">
        <v>144</v>
      </c>
      <c r="S19" s="52" t="s">
        <v>647</v>
      </c>
      <c r="T19" s="124">
        <v>3.0471713199834864</v>
      </c>
    </row>
    <row r="20" spans="1:20" ht="16.5" customHeight="1" x14ac:dyDescent="0.6">
      <c r="A20" s="84" t="s">
        <v>486</v>
      </c>
      <c r="B20" s="122" t="s">
        <v>472</v>
      </c>
      <c r="C20" s="105" t="s">
        <v>640</v>
      </c>
      <c r="D20" s="121">
        <v>1.654961938729528</v>
      </c>
      <c r="E20" s="85"/>
      <c r="F20" s="84" t="s">
        <v>486</v>
      </c>
      <c r="G20" s="52">
        <v>532</v>
      </c>
      <c r="H20" s="52" t="s">
        <v>652</v>
      </c>
      <c r="I20" s="70">
        <v>2.3890111076162257</v>
      </c>
      <c r="J20" s="52"/>
      <c r="K20" s="84" t="s">
        <v>486</v>
      </c>
      <c r="L20" s="90"/>
      <c r="M20" s="40">
        <v>138</v>
      </c>
      <c r="N20" s="52" t="s">
        <v>653</v>
      </c>
      <c r="O20" s="124">
        <v>1.2492649614136833</v>
      </c>
      <c r="P20" s="85"/>
      <c r="Q20" s="84" t="s">
        <v>486</v>
      </c>
      <c r="R20" s="40">
        <v>112</v>
      </c>
      <c r="S20" s="52" t="s">
        <v>642</v>
      </c>
      <c r="T20" s="124">
        <v>2.9144379381496872</v>
      </c>
    </row>
    <row r="21" spans="1:20" ht="16.5" customHeight="1" x14ac:dyDescent="0.6">
      <c r="A21" s="84" t="s">
        <v>488</v>
      </c>
      <c r="B21" s="122">
        <v>916</v>
      </c>
      <c r="C21" s="105" t="s">
        <v>641</v>
      </c>
      <c r="D21" s="121">
        <v>1.2085744373244927</v>
      </c>
      <c r="E21" s="85"/>
      <c r="F21" s="84" t="s">
        <v>488</v>
      </c>
      <c r="G21" s="52">
        <v>199</v>
      </c>
      <c r="H21" s="52" t="s">
        <v>658</v>
      </c>
      <c r="I21" s="70">
        <v>2.3857950475657024</v>
      </c>
      <c r="J21" s="52"/>
      <c r="K21" s="84" t="s">
        <v>488</v>
      </c>
      <c r="L21" s="90"/>
      <c r="M21" s="40">
        <v>156</v>
      </c>
      <c r="N21" s="52" t="s">
        <v>655</v>
      </c>
      <c r="O21" s="124">
        <v>0.99182537015090799</v>
      </c>
      <c r="P21" s="85"/>
      <c r="Q21" s="84" t="s">
        <v>488</v>
      </c>
      <c r="R21" s="40">
        <v>436</v>
      </c>
      <c r="S21" s="52" t="s">
        <v>671</v>
      </c>
      <c r="T21" s="124">
        <v>1.8600692877957281</v>
      </c>
    </row>
    <row r="22" spans="1:20" ht="16.5" customHeight="1" x14ac:dyDescent="0.6">
      <c r="A22" s="84" t="s">
        <v>489</v>
      </c>
      <c r="B22" s="122" t="s">
        <v>477</v>
      </c>
      <c r="C22" s="105" t="s">
        <v>642</v>
      </c>
      <c r="D22" s="121">
        <v>1.1666210833489148</v>
      </c>
      <c r="E22" s="85"/>
      <c r="F22" s="84" t="s">
        <v>489</v>
      </c>
      <c r="G22" s="52">
        <v>156</v>
      </c>
      <c r="H22" s="52" t="s">
        <v>655</v>
      </c>
      <c r="I22" s="70">
        <v>1.8904873485855753</v>
      </c>
      <c r="J22" s="52"/>
      <c r="K22" s="84" t="s">
        <v>489</v>
      </c>
      <c r="L22" s="90"/>
      <c r="M22" s="40" t="s">
        <v>487</v>
      </c>
      <c r="N22" s="52" t="s">
        <v>656</v>
      </c>
      <c r="O22" s="124">
        <v>0.89816771596214451</v>
      </c>
      <c r="P22" s="85"/>
      <c r="Q22" s="84" t="s">
        <v>489</v>
      </c>
      <c r="R22" s="40">
        <v>184</v>
      </c>
      <c r="S22" s="52" t="s">
        <v>674</v>
      </c>
      <c r="T22" s="124">
        <v>1.0678832162731005</v>
      </c>
    </row>
    <row r="23" spans="1:20" ht="16.5" customHeight="1" x14ac:dyDescent="0.6">
      <c r="A23" s="84" t="s">
        <v>490</v>
      </c>
      <c r="B23" s="122" t="s">
        <v>479</v>
      </c>
      <c r="C23" s="105" t="s">
        <v>643</v>
      </c>
      <c r="D23" s="121">
        <v>0.67135936348445813</v>
      </c>
      <c r="E23" s="85"/>
      <c r="F23" s="84" t="s">
        <v>490</v>
      </c>
      <c r="G23" s="52">
        <v>132</v>
      </c>
      <c r="H23" s="52" t="s">
        <v>643</v>
      </c>
      <c r="I23" s="70">
        <v>1.6356924318026027</v>
      </c>
      <c r="J23" s="52"/>
      <c r="K23" s="84" t="s">
        <v>490</v>
      </c>
      <c r="L23" s="90"/>
      <c r="M23" s="40">
        <v>142</v>
      </c>
      <c r="N23" s="52" t="s">
        <v>662</v>
      </c>
      <c r="O23" s="124">
        <v>0.32140767563326372</v>
      </c>
      <c r="P23" s="85"/>
      <c r="Q23" s="84" t="s">
        <v>490</v>
      </c>
      <c r="R23" s="40">
        <v>146</v>
      </c>
      <c r="S23" s="52" t="s">
        <v>675</v>
      </c>
      <c r="T23" s="124">
        <v>1.05825385097265</v>
      </c>
    </row>
    <row r="24" spans="1:20" ht="16.5" customHeight="1" x14ac:dyDescent="0.6">
      <c r="A24" s="84" t="s">
        <v>491</v>
      </c>
      <c r="B24" s="122">
        <v>122</v>
      </c>
      <c r="C24" s="105" t="s">
        <v>644</v>
      </c>
      <c r="D24" s="121">
        <v>0.61576370647757916</v>
      </c>
      <c r="E24" s="85"/>
      <c r="F24" s="84" t="s">
        <v>491</v>
      </c>
      <c r="G24" s="52">
        <v>111</v>
      </c>
      <c r="H24" s="52" t="s">
        <v>633</v>
      </c>
      <c r="I24" s="70">
        <v>1.5374572016326951</v>
      </c>
      <c r="J24" s="52"/>
      <c r="K24" s="84" t="s">
        <v>491</v>
      </c>
      <c r="L24" s="90"/>
      <c r="M24" s="40">
        <v>576</v>
      </c>
      <c r="N24" s="52" t="s">
        <v>663</v>
      </c>
      <c r="O24" s="124">
        <v>0.2739790202115836</v>
      </c>
      <c r="P24" s="85"/>
      <c r="Q24" s="84" t="s">
        <v>491</v>
      </c>
      <c r="R24" s="40">
        <v>193</v>
      </c>
      <c r="S24" s="52" t="s">
        <v>656</v>
      </c>
      <c r="T24" s="124">
        <v>0.82921289013089672</v>
      </c>
    </row>
    <row r="25" spans="1:20" ht="16.5" customHeight="1" x14ac:dyDescent="0.6">
      <c r="A25" s="84" t="s">
        <v>492</v>
      </c>
      <c r="B25" s="122">
        <v>466</v>
      </c>
      <c r="C25" s="105" t="s">
        <v>645</v>
      </c>
      <c r="D25" s="121">
        <v>0.51081523493978709</v>
      </c>
      <c r="E25" s="85"/>
      <c r="F25" s="84" t="s">
        <v>492</v>
      </c>
      <c r="G25" s="52">
        <v>463</v>
      </c>
      <c r="H25" s="52" t="s">
        <v>669</v>
      </c>
      <c r="I25" s="70">
        <v>1.511980516558173</v>
      </c>
      <c r="J25" s="52"/>
      <c r="K25" s="84" t="s">
        <v>492</v>
      </c>
      <c r="L25" s="90"/>
      <c r="M25" s="40">
        <v>172</v>
      </c>
      <c r="N25" s="52" t="s">
        <v>664</v>
      </c>
      <c r="O25" s="124">
        <v>0.24473029549394085</v>
      </c>
      <c r="P25" s="85"/>
      <c r="Q25" s="84" t="s">
        <v>492</v>
      </c>
      <c r="R25" s="40">
        <v>172</v>
      </c>
      <c r="S25" s="52" t="s">
        <v>664</v>
      </c>
      <c r="T25" s="124">
        <v>0.73318699880035665</v>
      </c>
    </row>
    <row r="26" spans="1:20" ht="16.5" customHeight="1" x14ac:dyDescent="0.6">
      <c r="A26" s="84" t="s">
        <v>493</v>
      </c>
      <c r="B26" s="122" t="s">
        <v>494</v>
      </c>
      <c r="C26" s="105" t="s">
        <v>646</v>
      </c>
      <c r="D26" s="121">
        <v>0.49312088450180835</v>
      </c>
      <c r="E26" s="85"/>
      <c r="F26" s="84" t="s">
        <v>493</v>
      </c>
      <c r="G26" s="52">
        <v>542</v>
      </c>
      <c r="H26" s="52" t="s">
        <v>651</v>
      </c>
      <c r="I26" s="70">
        <v>1.4123871906401817</v>
      </c>
      <c r="J26" s="52"/>
      <c r="K26" s="84" t="s">
        <v>493</v>
      </c>
      <c r="L26" s="90"/>
      <c r="M26" s="40">
        <v>528</v>
      </c>
      <c r="N26" s="52" t="s">
        <v>665</v>
      </c>
      <c r="O26" s="124">
        <v>0.21500369733997848</v>
      </c>
      <c r="P26" s="85"/>
      <c r="Q26" s="84" t="s">
        <v>493</v>
      </c>
      <c r="R26" s="40">
        <v>935</v>
      </c>
      <c r="S26" s="52" t="s">
        <v>666</v>
      </c>
      <c r="T26" s="124">
        <v>0.59443745536384407</v>
      </c>
    </row>
    <row r="27" spans="1:20" ht="16.5" customHeight="1" x14ac:dyDescent="0.6">
      <c r="A27" s="84" t="s">
        <v>495</v>
      </c>
      <c r="B27" s="122">
        <v>144</v>
      </c>
      <c r="C27" s="105" t="s">
        <v>647</v>
      </c>
      <c r="D27" s="121">
        <v>0.4916489311618189</v>
      </c>
      <c r="E27" s="85"/>
      <c r="F27" s="84" t="s">
        <v>495</v>
      </c>
      <c r="G27" s="52">
        <v>136</v>
      </c>
      <c r="H27" s="52" t="s">
        <v>649</v>
      </c>
      <c r="I27" s="70">
        <v>1.317144205359537</v>
      </c>
      <c r="J27" s="52"/>
      <c r="K27" s="84" t="s">
        <v>495</v>
      </c>
      <c r="L27" s="90"/>
      <c r="M27" s="40">
        <v>935</v>
      </c>
      <c r="N27" s="52" t="s">
        <v>666</v>
      </c>
      <c r="O27" s="124">
        <v>0.12012163090516213</v>
      </c>
      <c r="P27" s="85"/>
      <c r="Q27" s="84" t="s">
        <v>495</v>
      </c>
      <c r="R27" s="40">
        <v>576</v>
      </c>
      <c r="S27" s="52" t="s">
        <v>663</v>
      </c>
      <c r="T27" s="124">
        <v>0.47757570276159517</v>
      </c>
    </row>
    <row r="28" spans="1:20" ht="16.5" customHeight="1" x14ac:dyDescent="0.6">
      <c r="A28" s="84" t="s">
        <v>496</v>
      </c>
      <c r="B28" s="122" t="s">
        <v>482</v>
      </c>
      <c r="C28" s="105" t="s">
        <v>648</v>
      </c>
      <c r="D28" s="121">
        <v>0.36542924146272265</v>
      </c>
      <c r="E28" s="85"/>
      <c r="F28" s="84" t="s">
        <v>496</v>
      </c>
      <c r="G28" s="52">
        <v>158</v>
      </c>
      <c r="H28" s="52" t="s">
        <v>648</v>
      </c>
      <c r="I28" s="70">
        <v>1.0820186502567017</v>
      </c>
      <c r="J28" s="52"/>
      <c r="K28" s="84" t="s">
        <v>496</v>
      </c>
      <c r="L28" s="87"/>
      <c r="M28" s="40">
        <v>182</v>
      </c>
      <c r="N28" s="52" t="s">
        <v>667</v>
      </c>
      <c r="O28" s="124">
        <v>0.1043235331440935</v>
      </c>
      <c r="P28" s="85"/>
      <c r="Q28" s="84" t="s">
        <v>496</v>
      </c>
      <c r="R28" s="40">
        <v>182</v>
      </c>
      <c r="S28" s="52" t="s">
        <v>667</v>
      </c>
      <c r="T28" s="124">
        <v>0.28889201126077396</v>
      </c>
    </row>
    <row r="29" spans="1:20" ht="16.5" customHeight="1" x14ac:dyDescent="0.6">
      <c r="A29" s="84" t="s">
        <v>497</v>
      </c>
      <c r="B29" s="122">
        <v>136</v>
      </c>
      <c r="C29" s="105" t="s">
        <v>649</v>
      </c>
      <c r="D29" s="121">
        <v>0.36049437900263304</v>
      </c>
      <c r="E29" s="85"/>
      <c r="F29" s="84" t="s">
        <v>497</v>
      </c>
      <c r="G29" s="52">
        <v>636</v>
      </c>
      <c r="H29" s="52" t="s">
        <v>630</v>
      </c>
      <c r="I29" s="70">
        <v>1.0639021309157473</v>
      </c>
      <c r="J29" s="52"/>
      <c r="K29" s="84"/>
      <c r="L29" s="87"/>
      <c r="M29" s="87"/>
      <c r="N29" s="85"/>
      <c r="O29" s="85"/>
      <c r="P29" s="85"/>
      <c r="Q29" s="84" t="s">
        <v>497</v>
      </c>
      <c r="R29" s="40">
        <v>128</v>
      </c>
      <c r="S29" s="52" t="s">
        <v>682</v>
      </c>
      <c r="T29" s="124">
        <v>0.2191394129684342</v>
      </c>
    </row>
    <row r="30" spans="1:20" ht="16.5" customHeight="1" x14ac:dyDescent="0.6">
      <c r="A30" s="84" t="s">
        <v>498</v>
      </c>
      <c r="B30" s="122">
        <v>738</v>
      </c>
      <c r="C30" s="105" t="s">
        <v>650</v>
      </c>
      <c r="D30" s="121">
        <v>0.35163088706857759</v>
      </c>
      <c r="E30" s="85"/>
      <c r="F30" s="84" t="s">
        <v>498</v>
      </c>
      <c r="G30" s="52">
        <v>144</v>
      </c>
      <c r="H30" s="52" t="s">
        <v>647</v>
      </c>
      <c r="I30" s="70">
        <v>0.75965401572667424</v>
      </c>
      <c r="J30" s="52"/>
      <c r="K30" s="84"/>
      <c r="L30" s="87"/>
      <c r="M30" s="87"/>
      <c r="N30" s="85"/>
      <c r="O30" s="85"/>
      <c r="P30" s="85"/>
      <c r="Q30" s="84" t="s">
        <v>498</v>
      </c>
      <c r="R30" s="40">
        <v>178</v>
      </c>
      <c r="S30" s="52" t="s">
        <v>683</v>
      </c>
      <c r="T30" s="124">
        <v>0.21742466159374751</v>
      </c>
    </row>
    <row r="31" spans="1:20" ht="16.5" customHeight="1" x14ac:dyDescent="0.6">
      <c r="A31" s="84" t="s">
        <v>499</v>
      </c>
      <c r="B31" s="122">
        <v>542</v>
      </c>
      <c r="C31" s="105" t="s">
        <v>651</v>
      </c>
      <c r="D31" s="121">
        <v>0.30763164181549912</v>
      </c>
      <c r="E31" s="85"/>
      <c r="F31" s="84" t="s">
        <v>499</v>
      </c>
      <c r="G31" s="52">
        <v>112</v>
      </c>
      <c r="H31" s="52" t="s">
        <v>642</v>
      </c>
      <c r="I31" s="70">
        <v>0.72656383603452179</v>
      </c>
      <c r="J31" s="52"/>
      <c r="K31" s="84"/>
      <c r="L31" s="87"/>
      <c r="M31" s="87"/>
      <c r="N31" s="85"/>
      <c r="O31" s="85"/>
      <c r="P31" s="85"/>
      <c r="Q31" s="84" t="s">
        <v>499</v>
      </c>
      <c r="R31" s="40">
        <v>528</v>
      </c>
      <c r="S31" s="52" t="s">
        <v>665</v>
      </c>
      <c r="T31" s="124">
        <v>0.1828099346911739</v>
      </c>
    </row>
    <row r="32" spans="1:20" ht="16.5" customHeight="1" x14ac:dyDescent="0.6">
      <c r="A32" s="84" t="s">
        <v>500</v>
      </c>
      <c r="B32" s="122">
        <v>532</v>
      </c>
      <c r="C32" s="105" t="s">
        <v>652</v>
      </c>
      <c r="D32" s="121">
        <v>0.3019541759714176</v>
      </c>
      <c r="E32" s="85"/>
      <c r="F32" s="84" t="s">
        <v>500</v>
      </c>
      <c r="G32" s="52">
        <v>456</v>
      </c>
      <c r="H32" s="52" t="s">
        <v>670</v>
      </c>
      <c r="I32" s="70">
        <v>0.66214232391226224</v>
      </c>
      <c r="J32" s="52"/>
      <c r="K32" s="84"/>
      <c r="L32" s="87"/>
      <c r="M32" s="87"/>
      <c r="N32" s="85"/>
      <c r="O32" s="85"/>
      <c r="P32" s="85"/>
      <c r="Q32" s="84" t="s">
        <v>500</v>
      </c>
      <c r="R32" s="40">
        <v>961</v>
      </c>
      <c r="S32" s="52" t="s">
        <v>684</v>
      </c>
      <c r="T32" s="124">
        <v>0.16978944967660381</v>
      </c>
    </row>
    <row r="33" spans="1:20" ht="16.5" customHeight="1" x14ac:dyDescent="0.6">
      <c r="A33" s="84" t="s">
        <v>501</v>
      </c>
      <c r="B33" s="122">
        <v>138</v>
      </c>
      <c r="C33" s="105" t="s">
        <v>653</v>
      </c>
      <c r="D33" s="121">
        <v>0.27589318984029149</v>
      </c>
      <c r="E33" s="85"/>
      <c r="F33" s="84" t="s">
        <v>501</v>
      </c>
      <c r="G33" s="52">
        <v>578</v>
      </c>
      <c r="H33" s="52" t="s">
        <v>632</v>
      </c>
      <c r="I33" s="70">
        <v>0.62941058738503519</v>
      </c>
      <c r="J33" s="52"/>
      <c r="K33" s="84"/>
      <c r="L33" s="87"/>
      <c r="M33" s="87"/>
      <c r="N33" s="85"/>
      <c r="O33" s="85"/>
      <c r="P33" s="85"/>
      <c r="Q33" s="84" t="s">
        <v>501</v>
      </c>
      <c r="R33" s="40">
        <v>142</v>
      </c>
      <c r="S33" s="52" t="s">
        <v>662</v>
      </c>
      <c r="T33" s="124">
        <v>0.1626814771213328</v>
      </c>
    </row>
    <row r="34" spans="1:20" ht="16.5" customHeight="1" x14ac:dyDescent="0.6">
      <c r="A34" s="84" t="s">
        <v>502</v>
      </c>
      <c r="B34" s="122">
        <v>964</v>
      </c>
      <c r="C34" s="105" t="s">
        <v>654</v>
      </c>
      <c r="D34" s="121">
        <v>0.23107396542071026</v>
      </c>
      <c r="E34" s="85"/>
      <c r="F34" s="84" t="s">
        <v>502</v>
      </c>
      <c r="G34" s="52">
        <v>436</v>
      </c>
      <c r="H34" s="52" t="s">
        <v>671</v>
      </c>
      <c r="I34" s="70">
        <v>0.46371173643480523</v>
      </c>
      <c r="J34" s="52"/>
      <c r="K34" s="84"/>
      <c r="L34" s="87"/>
      <c r="M34" s="87"/>
      <c r="N34" s="85"/>
      <c r="O34" s="85"/>
      <c r="P34" s="85"/>
      <c r="Q34" s="84"/>
      <c r="R34" s="87"/>
      <c r="S34" s="52"/>
      <c r="T34" s="123"/>
    </row>
    <row r="35" spans="1:20" ht="16.5" customHeight="1" x14ac:dyDescent="0.6">
      <c r="A35" s="84" t="s">
        <v>503</v>
      </c>
      <c r="B35" s="122">
        <v>156</v>
      </c>
      <c r="C35" s="105" t="s">
        <v>655</v>
      </c>
      <c r="D35" s="121">
        <v>0.21903909385708695</v>
      </c>
      <c r="E35" s="85"/>
      <c r="F35" s="84" t="s">
        <v>503</v>
      </c>
      <c r="G35" s="52">
        <v>754</v>
      </c>
      <c r="H35" s="52" t="s">
        <v>672</v>
      </c>
      <c r="I35" s="70">
        <v>0.40243151576923192</v>
      </c>
      <c r="J35" s="52"/>
      <c r="K35" s="84"/>
      <c r="L35" s="87"/>
      <c r="M35" s="87"/>
      <c r="N35" s="85"/>
      <c r="O35" s="85"/>
      <c r="P35" s="85"/>
      <c r="Q35" s="84"/>
      <c r="R35" s="87"/>
      <c r="S35" s="52"/>
      <c r="T35" s="70"/>
    </row>
    <row r="36" spans="1:20" ht="16.5" customHeight="1" x14ac:dyDescent="0.6">
      <c r="A36" s="84" t="s">
        <v>504</v>
      </c>
      <c r="B36" s="122">
        <v>193</v>
      </c>
      <c r="C36" s="105" t="s">
        <v>656</v>
      </c>
      <c r="D36" s="121">
        <v>0.19835532398823813</v>
      </c>
      <c r="E36" s="85"/>
      <c r="F36" s="84" t="s">
        <v>504</v>
      </c>
      <c r="G36" s="52">
        <v>618</v>
      </c>
      <c r="H36" s="52" t="s">
        <v>637</v>
      </c>
      <c r="I36" s="70">
        <v>0.34039220689838073</v>
      </c>
      <c r="J36" s="52"/>
      <c r="K36" s="84"/>
      <c r="L36" s="87"/>
      <c r="M36" s="87"/>
      <c r="N36" s="85"/>
      <c r="O36" s="85"/>
      <c r="P36" s="85"/>
      <c r="Q36" s="84"/>
      <c r="R36" s="87"/>
      <c r="S36" s="52"/>
      <c r="T36" s="70"/>
    </row>
    <row r="37" spans="1:20" ht="16.5" customHeight="1" x14ac:dyDescent="0.6">
      <c r="A37" s="84" t="s">
        <v>505</v>
      </c>
      <c r="B37" s="122">
        <v>732</v>
      </c>
      <c r="C37" s="105" t="s">
        <v>657</v>
      </c>
      <c r="D37" s="121">
        <v>0.17238163238300178</v>
      </c>
      <c r="E37" s="85"/>
      <c r="F37" s="84" t="s">
        <v>505</v>
      </c>
      <c r="G37" s="52">
        <v>930</v>
      </c>
      <c r="H37" s="52" t="s">
        <v>673</v>
      </c>
      <c r="I37" s="70">
        <v>0.31517939895064839</v>
      </c>
      <c r="J37" s="52"/>
      <c r="K37" s="84"/>
      <c r="L37" s="87"/>
      <c r="M37" s="87"/>
      <c r="N37" s="85"/>
      <c r="O37" s="85"/>
      <c r="P37" s="85"/>
      <c r="Q37" s="84"/>
      <c r="R37" s="87"/>
      <c r="S37" s="52"/>
      <c r="T37" s="70"/>
    </row>
    <row r="38" spans="1:20" ht="16.5" customHeight="1" x14ac:dyDescent="0.6">
      <c r="A38" s="84" t="s">
        <v>506</v>
      </c>
      <c r="B38" s="122">
        <v>199</v>
      </c>
      <c r="C38" s="105" t="s">
        <v>658</v>
      </c>
      <c r="D38" s="121">
        <v>0.16804633874166633</v>
      </c>
      <c r="E38" s="85"/>
      <c r="F38" s="84" t="s">
        <v>506</v>
      </c>
      <c r="G38" s="52">
        <v>184</v>
      </c>
      <c r="H38" s="52" t="s">
        <v>674</v>
      </c>
      <c r="I38" s="70">
        <v>0.2662212551847507</v>
      </c>
      <c r="J38" s="52"/>
      <c r="K38" s="84"/>
      <c r="L38" s="87"/>
      <c r="M38" s="87"/>
      <c r="N38" s="85"/>
      <c r="O38" s="85"/>
      <c r="P38" s="85"/>
      <c r="Q38" s="84"/>
      <c r="R38" s="87"/>
      <c r="S38" s="52"/>
      <c r="T38" s="70"/>
    </row>
    <row r="39" spans="1:20" ht="16.5" customHeight="1" x14ac:dyDescent="0.6">
      <c r="A39" s="84" t="s">
        <v>507</v>
      </c>
      <c r="B39" s="122">
        <v>918</v>
      </c>
      <c r="C39" s="105" t="s">
        <v>659</v>
      </c>
      <c r="D39" s="121">
        <v>0.13860721914005669</v>
      </c>
      <c r="E39" s="85"/>
      <c r="F39" s="84" t="s">
        <v>507</v>
      </c>
      <c r="G39" s="52">
        <v>146</v>
      </c>
      <c r="H39" s="52" t="s">
        <v>675</v>
      </c>
      <c r="I39" s="70">
        <v>0.26382067272605719</v>
      </c>
      <c r="J39" s="52"/>
      <c r="K39" s="84"/>
      <c r="L39" s="87"/>
      <c r="M39" s="87"/>
      <c r="N39" s="85"/>
      <c r="O39" s="85"/>
      <c r="P39" s="85"/>
      <c r="Q39" s="84"/>
      <c r="R39" s="87"/>
      <c r="S39" s="52"/>
      <c r="T39" s="70"/>
    </row>
    <row r="40" spans="1:20" ht="16.5" customHeight="1" x14ac:dyDescent="0.6">
      <c r="A40" s="84" t="s">
        <v>508</v>
      </c>
      <c r="B40" s="122">
        <v>611</v>
      </c>
      <c r="C40" s="105" t="s">
        <v>660</v>
      </c>
      <c r="D40" s="121">
        <v>0.13419997456971092</v>
      </c>
      <c r="E40" s="85"/>
      <c r="F40" s="84" t="s">
        <v>508</v>
      </c>
      <c r="G40" s="52">
        <v>676</v>
      </c>
      <c r="H40" s="52" t="s">
        <v>676</v>
      </c>
      <c r="I40" s="70">
        <v>0.26232993294179541</v>
      </c>
      <c r="J40" s="52"/>
      <c r="K40" s="84"/>
      <c r="L40" s="87"/>
      <c r="M40" s="87"/>
      <c r="N40" s="85"/>
      <c r="O40" s="85"/>
      <c r="P40" s="85"/>
      <c r="Q40" s="84"/>
      <c r="R40" s="87"/>
      <c r="S40" s="52"/>
      <c r="T40" s="70"/>
    </row>
    <row r="41" spans="1:20" ht="16.5" customHeight="1" x14ac:dyDescent="0.6">
      <c r="A41" s="84" t="s">
        <v>509</v>
      </c>
      <c r="B41" s="122">
        <v>534</v>
      </c>
      <c r="C41" s="105" t="s">
        <v>661</v>
      </c>
      <c r="D41" s="121">
        <v>0.11727050195241566</v>
      </c>
      <c r="E41" s="85"/>
      <c r="F41" s="84" t="s">
        <v>509</v>
      </c>
      <c r="G41" s="52">
        <v>684</v>
      </c>
      <c r="H41" s="52" t="s">
        <v>677</v>
      </c>
      <c r="I41" s="70">
        <v>0.2332864913792628</v>
      </c>
      <c r="J41" s="52"/>
      <c r="K41" s="84"/>
      <c r="L41" s="87"/>
      <c r="M41" s="87"/>
      <c r="N41" s="85"/>
      <c r="O41" s="85"/>
      <c r="P41" s="85"/>
      <c r="Q41" s="84"/>
      <c r="R41" s="87"/>
      <c r="S41" s="52"/>
      <c r="T41" s="70"/>
    </row>
    <row r="42" spans="1:20" ht="16.5" customHeight="1" x14ac:dyDescent="0.6">
      <c r="A42" s="84"/>
      <c r="B42" s="89"/>
      <c r="C42" s="85"/>
      <c r="D42" s="86"/>
      <c r="E42" s="85"/>
      <c r="F42" s="84" t="s">
        <v>510</v>
      </c>
      <c r="G42" s="52">
        <v>193</v>
      </c>
      <c r="H42" s="52" t="s">
        <v>656</v>
      </c>
      <c r="I42" s="70">
        <v>0.20672119672079056</v>
      </c>
      <c r="J42" s="52"/>
      <c r="K42" s="84"/>
      <c r="L42" s="87"/>
      <c r="M42" s="87"/>
      <c r="N42" s="85"/>
      <c r="O42" s="85"/>
      <c r="P42" s="85"/>
      <c r="Q42" s="84"/>
      <c r="R42" s="87"/>
      <c r="S42" s="52"/>
      <c r="T42" s="70"/>
    </row>
    <row r="43" spans="1:20" ht="16.5" customHeight="1" x14ac:dyDescent="0.6">
      <c r="A43" s="84"/>
      <c r="B43" s="89"/>
      <c r="C43" s="85"/>
      <c r="D43" s="86"/>
      <c r="E43" s="85"/>
      <c r="F43" s="84" t="s">
        <v>511</v>
      </c>
      <c r="G43" s="52">
        <v>172</v>
      </c>
      <c r="H43" s="52" t="s">
        <v>664</v>
      </c>
      <c r="I43" s="70">
        <v>0.18278212461001297</v>
      </c>
      <c r="J43" s="52"/>
      <c r="K43" s="84"/>
      <c r="L43" s="40"/>
      <c r="M43" s="87"/>
      <c r="N43" s="85"/>
      <c r="O43" s="85"/>
      <c r="P43" s="85"/>
      <c r="Q43" s="84"/>
      <c r="R43" s="87"/>
      <c r="S43" s="52"/>
      <c r="T43" s="70"/>
    </row>
    <row r="44" spans="1:20" ht="16.5" customHeight="1" x14ac:dyDescent="0.6">
      <c r="A44" s="84"/>
      <c r="B44" s="89"/>
      <c r="C44" s="85"/>
      <c r="D44" s="86"/>
      <c r="E44" s="85"/>
      <c r="F44" s="84" t="s">
        <v>512</v>
      </c>
      <c r="G44" s="52">
        <v>686</v>
      </c>
      <c r="H44" s="52" t="s">
        <v>678</v>
      </c>
      <c r="I44" s="70">
        <v>0.16249372177156679</v>
      </c>
      <c r="J44" s="52"/>
      <c r="K44" s="84"/>
      <c r="L44" s="40"/>
      <c r="M44" s="87"/>
      <c r="N44" s="85"/>
      <c r="O44" s="85"/>
      <c r="P44" s="85"/>
      <c r="Q44" s="84"/>
      <c r="R44" s="87"/>
      <c r="S44" s="52"/>
      <c r="T44" s="70"/>
    </row>
    <row r="45" spans="1:20" ht="16.5" customHeight="1" x14ac:dyDescent="0.6">
      <c r="A45" s="84"/>
      <c r="B45" s="89"/>
      <c r="C45" s="85"/>
      <c r="D45" s="86"/>
      <c r="E45" s="85"/>
      <c r="F45" s="84" t="s">
        <v>513</v>
      </c>
      <c r="G45" s="52">
        <v>419</v>
      </c>
      <c r="H45" s="52" t="s">
        <v>679</v>
      </c>
      <c r="I45" s="70">
        <v>0.15220713351118617</v>
      </c>
      <c r="J45" s="52"/>
      <c r="K45" s="84"/>
      <c r="L45" s="40"/>
      <c r="M45" s="87"/>
      <c r="N45" s="85"/>
      <c r="O45" s="85"/>
      <c r="P45" s="85"/>
      <c r="Q45" s="84"/>
      <c r="R45" s="87"/>
      <c r="S45" s="52"/>
      <c r="T45" s="70"/>
    </row>
    <row r="46" spans="1:20" ht="16.5" customHeight="1" x14ac:dyDescent="0.6">
      <c r="A46" s="84"/>
      <c r="B46" s="89"/>
      <c r="C46" s="85"/>
      <c r="D46" s="86"/>
      <c r="E46" s="85"/>
      <c r="F46" s="84" t="s">
        <v>514</v>
      </c>
      <c r="G46" s="52">
        <v>935</v>
      </c>
      <c r="H46" s="52" t="s">
        <v>666</v>
      </c>
      <c r="I46" s="70">
        <v>0.14819212727032921</v>
      </c>
      <c r="J46" s="52"/>
      <c r="K46" s="84"/>
      <c r="L46" s="40"/>
      <c r="M46" s="87"/>
      <c r="N46" s="85"/>
      <c r="O46" s="85"/>
      <c r="P46" s="85"/>
      <c r="Q46" s="84"/>
      <c r="R46" s="87"/>
      <c r="S46" s="52"/>
      <c r="T46" s="70"/>
    </row>
    <row r="47" spans="1:20" ht="16.5" customHeight="1" x14ac:dyDescent="0.6">
      <c r="A47" s="84"/>
      <c r="B47" s="89"/>
      <c r="C47" s="85"/>
      <c r="D47" s="86"/>
      <c r="E47" s="85"/>
      <c r="F47" s="84" t="s">
        <v>515</v>
      </c>
      <c r="G47" s="52">
        <v>576</v>
      </c>
      <c r="H47" s="52" t="s">
        <v>663</v>
      </c>
      <c r="I47" s="70">
        <v>0.11905871456492328</v>
      </c>
      <c r="J47" s="52"/>
      <c r="K47" s="84"/>
      <c r="L47" s="40"/>
      <c r="M47" s="87"/>
      <c r="N47" s="85"/>
      <c r="O47" s="85"/>
      <c r="P47" s="85"/>
      <c r="Q47" s="84"/>
      <c r="R47" s="87"/>
      <c r="S47" s="52"/>
      <c r="T47" s="70"/>
    </row>
    <row r="48" spans="1:20" ht="16.5" customHeight="1" x14ac:dyDescent="0.6">
      <c r="A48" s="84"/>
      <c r="B48" s="89"/>
      <c r="C48" s="85"/>
      <c r="D48" s="86"/>
      <c r="E48" s="85"/>
      <c r="F48" s="84" t="s">
        <v>516</v>
      </c>
      <c r="G48" s="52">
        <v>536</v>
      </c>
      <c r="H48" s="52" t="s">
        <v>680</v>
      </c>
      <c r="I48" s="70">
        <v>0.1176457687273158</v>
      </c>
      <c r="J48" s="52"/>
      <c r="K48" s="84"/>
      <c r="L48" s="40"/>
      <c r="M48" s="87"/>
      <c r="N48" s="85"/>
      <c r="O48" s="85"/>
      <c r="P48" s="85"/>
      <c r="Q48" s="84"/>
      <c r="R48" s="87"/>
      <c r="S48" s="52"/>
      <c r="T48" s="70"/>
    </row>
    <row r="49" spans="1:20" ht="16.5" customHeight="1" x14ac:dyDescent="0.6">
      <c r="A49" s="84"/>
      <c r="B49" s="89"/>
      <c r="C49" s="85"/>
      <c r="D49" s="86"/>
      <c r="E49" s="85"/>
      <c r="F49" s="84" t="s">
        <v>517</v>
      </c>
      <c r="G49" s="52">
        <v>918</v>
      </c>
      <c r="H49" s="52" t="s">
        <v>659</v>
      </c>
      <c r="I49" s="70">
        <v>0.10413951230902273</v>
      </c>
      <c r="J49" s="52"/>
      <c r="K49" s="84"/>
      <c r="L49" s="40"/>
      <c r="M49" s="87"/>
      <c r="N49" s="85"/>
      <c r="O49" s="85"/>
      <c r="P49" s="85"/>
      <c r="Q49" s="84"/>
      <c r="R49" s="87"/>
      <c r="S49" s="52"/>
      <c r="T49" s="70"/>
    </row>
    <row r="50" spans="1:20" ht="16.5" customHeight="1" x14ac:dyDescent="0.6">
      <c r="A50" s="84"/>
      <c r="B50" s="89"/>
      <c r="C50" s="85"/>
      <c r="D50" s="86"/>
      <c r="E50" s="85"/>
      <c r="F50" s="84" t="s">
        <v>518</v>
      </c>
      <c r="G50" s="52">
        <v>964</v>
      </c>
      <c r="H50" s="52" t="s">
        <v>654</v>
      </c>
      <c r="I50" s="70">
        <v>9.8524253000632514E-2</v>
      </c>
      <c r="J50" s="52"/>
      <c r="K50" s="84"/>
      <c r="L50" s="40"/>
      <c r="M50" s="87"/>
      <c r="N50" s="85"/>
      <c r="O50" s="85"/>
      <c r="P50" s="85"/>
      <c r="Q50" s="84"/>
      <c r="R50" s="87"/>
      <c r="S50" s="52"/>
      <c r="T50" s="70"/>
    </row>
    <row r="51" spans="1:20" ht="16.5" customHeight="1" x14ac:dyDescent="0.6">
      <c r="A51" s="84"/>
      <c r="B51" s="89"/>
      <c r="C51" s="85"/>
      <c r="D51" s="86"/>
      <c r="E51" s="85"/>
      <c r="F51" s="84" t="s">
        <v>519</v>
      </c>
      <c r="G51" s="52">
        <v>443</v>
      </c>
      <c r="H51" s="52" t="s">
        <v>681</v>
      </c>
      <c r="I51" s="70">
        <v>9.6782977334209902E-2</v>
      </c>
      <c r="J51" s="52"/>
      <c r="K51" s="52"/>
      <c r="L51" s="52"/>
      <c r="M51" s="52"/>
      <c r="N51" s="52"/>
      <c r="O51" s="70"/>
      <c r="P51" s="52"/>
      <c r="Q51" s="52"/>
      <c r="R51" s="52"/>
      <c r="S51" s="52"/>
      <c r="T51" s="70"/>
    </row>
    <row r="52" spans="1:20" ht="16.5" customHeight="1" x14ac:dyDescent="0.6">
      <c r="A52" s="84"/>
      <c r="B52" s="89"/>
      <c r="C52" s="85"/>
      <c r="D52" s="86"/>
      <c r="E52" s="85"/>
      <c r="F52" s="84"/>
      <c r="G52" s="89"/>
      <c r="H52" s="85"/>
      <c r="I52" s="70"/>
      <c r="J52" s="52"/>
      <c r="K52" s="52"/>
      <c r="L52" s="52"/>
      <c r="M52" s="52"/>
      <c r="N52" s="52"/>
      <c r="O52" s="70"/>
      <c r="P52" s="52"/>
      <c r="Q52" s="52"/>
      <c r="R52" s="52"/>
      <c r="S52" s="52"/>
      <c r="T52" s="70"/>
    </row>
    <row r="53" spans="1:20" ht="16.5" customHeight="1" x14ac:dyDescent="0.6">
      <c r="A53" s="84"/>
      <c r="B53" s="89"/>
      <c r="C53" s="85"/>
      <c r="D53" s="86"/>
      <c r="E53" s="85"/>
      <c r="F53" s="84"/>
      <c r="G53" s="89"/>
      <c r="H53" s="85"/>
      <c r="I53" s="70"/>
      <c r="J53" s="52"/>
      <c r="K53" s="52"/>
      <c r="L53" s="52"/>
      <c r="M53" s="52"/>
      <c r="N53" s="52"/>
      <c r="O53" s="70"/>
      <c r="P53" s="52"/>
      <c r="Q53" s="52"/>
      <c r="R53" s="52"/>
      <c r="S53" s="52"/>
      <c r="T53" s="70"/>
    </row>
    <row r="54" spans="1:20" ht="16.5" customHeight="1" x14ac:dyDescent="0.6">
      <c r="A54" s="84"/>
      <c r="B54" s="89"/>
      <c r="C54" s="85"/>
      <c r="D54" s="86"/>
      <c r="E54" s="85"/>
      <c r="F54" s="84"/>
      <c r="G54" s="87"/>
      <c r="H54" s="85"/>
      <c r="I54" s="70"/>
      <c r="J54" s="52"/>
      <c r="K54" s="52"/>
      <c r="L54" s="52"/>
      <c r="M54" s="52"/>
      <c r="N54" s="52"/>
      <c r="O54" s="70"/>
      <c r="P54" s="52"/>
      <c r="Q54" s="52"/>
      <c r="R54" s="52"/>
      <c r="S54" s="52"/>
      <c r="T54" s="70"/>
    </row>
    <row r="55" spans="1:20" ht="16.5" customHeight="1" x14ac:dyDescent="0.6">
      <c r="A55" s="84"/>
      <c r="B55" s="89"/>
      <c r="C55" s="85"/>
      <c r="D55" s="86"/>
      <c r="E55" s="85"/>
      <c r="F55" s="84"/>
      <c r="G55" s="87"/>
      <c r="H55" s="85"/>
      <c r="I55" s="70"/>
      <c r="J55" s="52"/>
      <c r="K55" s="52"/>
      <c r="L55" s="52"/>
      <c r="M55" s="52"/>
      <c r="N55" s="52"/>
      <c r="O55" s="70"/>
      <c r="P55" s="52"/>
      <c r="Q55" s="52"/>
      <c r="R55" s="52"/>
      <c r="S55" s="52"/>
      <c r="T55" s="70"/>
    </row>
    <row r="56" spans="1:20" ht="16.5" customHeight="1" x14ac:dyDescent="0.6">
      <c r="A56" s="84"/>
      <c r="B56" s="89"/>
      <c r="C56" s="85"/>
      <c r="D56" s="86"/>
      <c r="E56" s="85"/>
      <c r="F56" s="84"/>
      <c r="G56" s="87"/>
      <c r="H56" s="85"/>
      <c r="I56" s="70"/>
      <c r="J56" s="52"/>
      <c r="K56" s="52"/>
      <c r="L56" s="52"/>
      <c r="M56" s="52"/>
      <c r="N56" s="52"/>
      <c r="O56" s="70"/>
      <c r="P56" s="52"/>
      <c r="Q56" s="52"/>
      <c r="R56" s="52"/>
      <c r="S56" s="52"/>
      <c r="T56" s="70"/>
    </row>
    <row r="57" spans="1:20" ht="16.5" customHeight="1" x14ac:dyDescent="0.6">
      <c r="A57" s="84"/>
      <c r="B57" s="89"/>
      <c r="C57" s="85"/>
      <c r="D57" s="86"/>
      <c r="E57" s="85"/>
      <c r="F57" s="84"/>
      <c r="G57" s="87"/>
      <c r="H57" s="85"/>
      <c r="I57" s="70"/>
      <c r="J57" s="52"/>
      <c r="K57" s="52"/>
      <c r="L57" s="52"/>
      <c r="M57" s="52"/>
      <c r="N57" s="52"/>
      <c r="O57" s="70"/>
      <c r="P57" s="52"/>
      <c r="Q57" s="52"/>
      <c r="R57" s="52"/>
      <c r="S57" s="52"/>
      <c r="T57" s="70"/>
    </row>
    <row r="58" spans="1:20" ht="16.5" customHeight="1" x14ac:dyDescent="0.6">
      <c r="A58" s="84"/>
      <c r="B58" s="89"/>
      <c r="C58" s="85"/>
      <c r="D58" s="86"/>
      <c r="E58" s="85"/>
      <c r="F58" s="84"/>
      <c r="G58" s="87"/>
      <c r="H58" s="85"/>
      <c r="I58" s="70"/>
      <c r="J58" s="52"/>
      <c r="K58" s="52"/>
      <c r="L58" s="52"/>
      <c r="M58" s="52"/>
      <c r="N58" s="52"/>
      <c r="O58" s="70"/>
      <c r="P58" s="52"/>
      <c r="Q58" s="52"/>
      <c r="R58" s="52"/>
      <c r="S58" s="52"/>
      <c r="T58" s="70"/>
    </row>
    <row r="59" spans="1:20" ht="16.5" customHeight="1" x14ac:dyDescent="0.6">
      <c r="A59" s="84"/>
      <c r="B59" s="89"/>
      <c r="C59" s="85"/>
      <c r="D59" s="86"/>
      <c r="E59" s="85"/>
      <c r="F59" s="84"/>
      <c r="G59" s="87"/>
      <c r="H59" s="85"/>
      <c r="I59" s="70"/>
      <c r="J59" s="52"/>
      <c r="K59" s="52"/>
      <c r="L59" s="52"/>
      <c r="M59" s="52"/>
      <c r="N59" s="52"/>
      <c r="O59" s="70"/>
      <c r="P59" s="52"/>
      <c r="Q59" s="52"/>
      <c r="R59" s="52"/>
      <c r="S59" s="52"/>
      <c r="T59" s="70"/>
    </row>
    <row r="60" spans="1:20" ht="16.5" hidden="1" customHeight="1" x14ac:dyDescent="0.6">
      <c r="A60" s="84"/>
      <c r="B60" s="89"/>
      <c r="C60" s="85"/>
      <c r="D60" s="86"/>
      <c r="E60" s="85"/>
      <c r="F60" s="84"/>
      <c r="G60" s="87"/>
      <c r="H60" s="85"/>
      <c r="I60" s="70"/>
      <c r="J60" s="52"/>
      <c r="K60" s="310" t="s">
        <v>520</v>
      </c>
      <c r="L60" s="310"/>
      <c r="M60" s="310"/>
      <c r="N60" s="310"/>
      <c r="O60" s="310"/>
      <c r="P60" s="310"/>
      <c r="Q60" s="310"/>
      <c r="R60" s="91"/>
      <c r="S60" s="52"/>
      <c r="T60" s="52"/>
    </row>
    <row r="61" spans="1:20" ht="16.5" hidden="1" customHeight="1" x14ac:dyDescent="0.6">
      <c r="A61" s="84"/>
      <c r="B61" s="89"/>
      <c r="C61" s="85"/>
      <c r="D61" s="86"/>
      <c r="E61" s="85"/>
      <c r="F61" s="84"/>
      <c r="G61" s="87"/>
      <c r="H61" s="85"/>
      <c r="I61" s="70"/>
      <c r="J61" s="52"/>
      <c r="K61" s="52"/>
      <c r="L61" s="52"/>
      <c r="M61" s="52"/>
      <c r="N61" s="52"/>
      <c r="O61" s="52"/>
      <c r="P61" s="52"/>
      <c r="Q61" s="52"/>
      <c r="R61" s="52"/>
      <c r="S61" s="52"/>
      <c r="T61" s="52"/>
    </row>
    <row r="62" spans="1:20" ht="16.5" hidden="1" customHeight="1" x14ac:dyDescent="0.6">
      <c r="A62" s="84"/>
      <c r="B62" s="89"/>
      <c r="C62" s="85"/>
      <c r="D62" s="86"/>
      <c r="E62" s="85"/>
      <c r="F62" s="84"/>
      <c r="G62" s="87"/>
      <c r="H62" s="85"/>
      <c r="I62" s="70"/>
      <c r="J62" s="52"/>
      <c r="K62" s="92" t="s">
        <v>521</v>
      </c>
      <c r="L62" s="92"/>
      <c r="M62" s="83" t="s">
        <v>464</v>
      </c>
      <c r="N62" s="93"/>
      <c r="O62" s="92" t="s">
        <v>522</v>
      </c>
      <c r="P62" s="92"/>
      <c r="Q62" s="83" t="s">
        <v>464</v>
      </c>
      <c r="R62" s="94"/>
      <c r="S62" s="52"/>
      <c r="T62" s="52"/>
    </row>
    <row r="63" spans="1:20" ht="16.5" hidden="1" customHeight="1" x14ac:dyDescent="0.6">
      <c r="A63" s="84"/>
      <c r="B63" s="89"/>
      <c r="C63" s="85"/>
      <c r="D63" s="86"/>
      <c r="E63" s="85"/>
      <c r="F63" s="84"/>
      <c r="G63" s="87"/>
      <c r="H63" s="85"/>
      <c r="I63" s="70"/>
      <c r="J63" s="52"/>
      <c r="K63" s="52" t="s">
        <v>466</v>
      </c>
      <c r="L63" s="52" t="s">
        <v>523</v>
      </c>
      <c r="M63" s="95">
        <v>46.826437126519735</v>
      </c>
      <c r="N63" s="96">
        <v>2.2272431478422914</v>
      </c>
      <c r="O63" s="52" t="s">
        <v>466</v>
      </c>
      <c r="P63" s="52" t="s">
        <v>524</v>
      </c>
      <c r="Q63" s="95">
        <v>39.794234067098003</v>
      </c>
      <c r="R63" s="95"/>
      <c r="S63" s="52"/>
      <c r="T63" s="52"/>
    </row>
    <row r="64" spans="1:20" ht="16.5" hidden="1" customHeight="1" x14ac:dyDescent="0.6">
      <c r="A64" s="84"/>
      <c r="B64" s="40"/>
      <c r="C64" s="85"/>
      <c r="D64" s="86"/>
      <c r="E64" s="85"/>
      <c r="F64" s="84"/>
      <c r="G64" s="40"/>
      <c r="H64" s="85"/>
      <c r="I64" s="70"/>
      <c r="J64" s="52"/>
      <c r="K64" s="52" t="s">
        <v>470</v>
      </c>
      <c r="L64" s="52" t="s">
        <v>525</v>
      </c>
      <c r="M64" s="95">
        <v>17.43726516968286</v>
      </c>
      <c r="N64" s="96">
        <v>0.28838489587363758</v>
      </c>
      <c r="O64" s="52" t="s">
        <v>470</v>
      </c>
      <c r="P64" s="52" t="s">
        <v>523</v>
      </c>
      <c r="Q64" s="95">
        <v>29.592889781047589</v>
      </c>
      <c r="R64" s="95"/>
      <c r="S64" s="52"/>
      <c r="T64" s="52"/>
    </row>
    <row r="65" spans="1:20" ht="16.5" hidden="1" customHeight="1" x14ac:dyDescent="0.6">
      <c r="A65" s="84"/>
      <c r="B65" s="40"/>
      <c r="C65" s="85"/>
      <c r="D65" s="86"/>
      <c r="E65" s="85"/>
      <c r="F65" s="84"/>
      <c r="G65" s="40"/>
      <c r="H65" s="85"/>
      <c r="I65" s="70"/>
      <c r="J65" s="52"/>
      <c r="K65" s="52" t="s">
        <v>473</v>
      </c>
      <c r="L65" s="52" t="s">
        <v>526</v>
      </c>
      <c r="M65" s="95">
        <v>17.281215451072747</v>
      </c>
      <c r="N65" s="96">
        <v>2.2551574757718736E-2</v>
      </c>
      <c r="O65" s="52" t="s">
        <v>473</v>
      </c>
      <c r="P65" s="52" t="s">
        <v>527</v>
      </c>
      <c r="Q65" s="95">
        <v>12.049645970425892</v>
      </c>
      <c r="R65" s="95"/>
      <c r="S65" s="52"/>
      <c r="T65" s="52"/>
    </row>
    <row r="66" spans="1:20" ht="16.5" hidden="1" customHeight="1" x14ac:dyDescent="0.6">
      <c r="A66" s="84"/>
      <c r="B66" s="40"/>
      <c r="C66" s="85"/>
      <c r="D66" s="86"/>
      <c r="E66" s="85"/>
      <c r="F66" s="84"/>
      <c r="G66" s="40"/>
      <c r="H66" s="85"/>
      <c r="I66" s="70"/>
      <c r="J66" s="52"/>
      <c r="K66" s="52" t="s">
        <v>475</v>
      </c>
      <c r="L66" s="52" t="s">
        <v>527</v>
      </c>
      <c r="M66" s="95">
        <v>5.661009175270177</v>
      </c>
      <c r="N66" s="96">
        <v>5.1944068987517633E-2</v>
      </c>
      <c r="O66" s="52" t="s">
        <v>475</v>
      </c>
      <c r="P66" s="52" t="s">
        <v>528</v>
      </c>
      <c r="Q66" s="95">
        <v>6.8156146612680919</v>
      </c>
      <c r="R66" s="95"/>
      <c r="S66" s="52"/>
      <c r="T66" s="52"/>
    </row>
    <row r="67" spans="1:20" ht="16.5" hidden="1" customHeight="1" x14ac:dyDescent="0.6">
      <c r="A67" s="84"/>
      <c r="B67" s="40"/>
      <c r="C67" s="85"/>
      <c r="D67" s="86"/>
      <c r="E67" s="85"/>
      <c r="F67" s="84"/>
      <c r="G67" s="40"/>
      <c r="H67" s="85"/>
      <c r="I67" s="70"/>
      <c r="J67" s="52"/>
      <c r="K67" s="52" t="s">
        <v>476</v>
      </c>
      <c r="L67" s="52" t="s">
        <v>524</v>
      </c>
      <c r="M67" s="95">
        <v>5.1459212399958343</v>
      </c>
      <c r="N67" s="96">
        <v>28.199443343416313</v>
      </c>
      <c r="O67" s="52" t="s">
        <v>476</v>
      </c>
      <c r="P67" s="52" t="s">
        <v>529</v>
      </c>
      <c r="Q67" s="95">
        <v>6.4669415794397018</v>
      </c>
      <c r="R67" s="95"/>
      <c r="S67" s="52"/>
      <c r="T67" s="52"/>
    </row>
    <row r="68" spans="1:20" ht="16.5" hidden="1" customHeight="1" x14ac:dyDescent="0.6">
      <c r="A68" s="84"/>
      <c r="B68" s="87"/>
      <c r="C68" s="85"/>
      <c r="D68" s="86"/>
      <c r="E68" s="85"/>
      <c r="F68" s="84"/>
      <c r="G68" s="87"/>
      <c r="H68" s="85"/>
      <c r="I68" s="70"/>
      <c r="J68" s="52"/>
      <c r="K68" s="52" t="s">
        <v>478</v>
      </c>
      <c r="L68" s="52" t="s">
        <v>528</v>
      </c>
      <c r="M68" s="95">
        <v>3.5954334029344599</v>
      </c>
      <c r="N68" s="96">
        <v>9.4640286999961673E-2</v>
      </c>
      <c r="O68" s="52" t="s">
        <v>478</v>
      </c>
      <c r="P68" s="52" t="s">
        <v>530</v>
      </c>
      <c r="Q68" s="95">
        <v>4.4583796840556573</v>
      </c>
      <c r="R68" s="95"/>
      <c r="S68" s="52"/>
      <c r="T68" s="52"/>
    </row>
    <row r="69" spans="1:20" ht="16.5" hidden="1" customHeight="1" x14ac:dyDescent="0.6">
      <c r="A69" s="84"/>
      <c r="B69" s="87"/>
      <c r="C69" s="85"/>
      <c r="D69" s="86"/>
      <c r="E69" s="85"/>
      <c r="F69" s="84"/>
      <c r="G69" s="87"/>
      <c r="H69" s="85"/>
      <c r="I69" s="70"/>
      <c r="J69" s="52"/>
      <c r="K69" s="52" t="s">
        <v>480</v>
      </c>
      <c r="L69" s="52" t="s">
        <v>531</v>
      </c>
      <c r="M69" s="95">
        <v>1.7252118205459164</v>
      </c>
      <c r="N69" s="96">
        <v>0.15209578508335742</v>
      </c>
      <c r="O69" s="52" t="s">
        <v>480</v>
      </c>
      <c r="P69" s="52" t="s">
        <v>532</v>
      </c>
      <c r="Q69" s="95">
        <v>0.29151246962585176</v>
      </c>
      <c r="R69" s="95"/>
      <c r="S69" s="52"/>
      <c r="T69" s="52"/>
    </row>
    <row r="70" spans="1:20" ht="16.5" hidden="1" customHeight="1" x14ac:dyDescent="0.6">
      <c r="A70" s="84"/>
      <c r="B70" s="87"/>
      <c r="C70" s="85"/>
      <c r="D70" s="86"/>
      <c r="E70" s="85"/>
      <c r="F70" s="84"/>
      <c r="G70" s="87"/>
      <c r="H70" s="85"/>
      <c r="I70" s="70"/>
      <c r="J70" s="52"/>
      <c r="K70" s="52" t="s">
        <v>481</v>
      </c>
      <c r="L70" s="52" t="s">
        <v>529</v>
      </c>
      <c r="M70" s="95">
        <v>1.3847547452115387</v>
      </c>
      <c r="N70" s="96">
        <v>0.24472184051555876</v>
      </c>
      <c r="O70" s="52" t="s">
        <v>481</v>
      </c>
      <c r="P70" s="52" t="s">
        <v>533</v>
      </c>
      <c r="Q70" s="95">
        <v>0.2367840863751435</v>
      </c>
      <c r="R70" s="95"/>
      <c r="S70" s="52"/>
      <c r="T70" s="52"/>
    </row>
    <row r="71" spans="1:20" ht="16.5" hidden="1" customHeight="1" x14ac:dyDescent="0.6">
      <c r="A71" s="84"/>
      <c r="B71" s="87"/>
      <c r="C71" s="85"/>
      <c r="D71" s="86"/>
      <c r="E71" s="85"/>
      <c r="F71" s="84"/>
      <c r="G71" s="87"/>
      <c r="H71" s="85"/>
      <c r="I71" s="70"/>
      <c r="J71" s="52"/>
      <c r="K71" s="52" t="s">
        <v>483</v>
      </c>
      <c r="L71" s="52" t="s">
        <v>534</v>
      </c>
      <c r="M71" s="95">
        <v>0.81307268978366398</v>
      </c>
      <c r="N71" s="96">
        <v>16.71763317992772</v>
      </c>
      <c r="O71" s="52" t="s">
        <v>483</v>
      </c>
      <c r="P71" s="52" t="s">
        <v>535</v>
      </c>
      <c r="Q71" s="95">
        <v>0.10491449764080557</v>
      </c>
      <c r="R71" s="95"/>
      <c r="S71" s="52"/>
      <c r="T71" s="52"/>
    </row>
    <row r="72" spans="1:20" ht="16.5" hidden="1" customHeight="1" x14ac:dyDescent="0.6">
      <c r="A72" s="84"/>
      <c r="B72" s="87"/>
      <c r="C72" s="85"/>
      <c r="D72" s="86"/>
      <c r="E72" s="85"/>
      <c r="F72" s="84"/>
      <c r="G72" s="87"/>
      <c r="H72" s="85"/>
      <c r="I72" s="70"/>
      <c r="J72" s="52"/>
      <c r="K72" s="52" t="s">
        <v>484</v>
      </c>
      <c r="L72" s="52" t="s">
        <v>535</v>
      </c>
      <c r="M72" s="95">
        <v>0.11090389285429567</v>
      </c>
      <c r="N72" s="96">
        <v>36.553634139637829</v>
      </c>
      <c r="O72" s="52" t="s">
        <v>484</v>
      </c>
      <c r="P72" s="52" t="s">
        <v>525</v>
      </c>
      <c r="Q72" s="95">
        <v>6.9582789751194404E-2</v>
      </c>
      <c r="R72" s="95"/>
      <c r="S72" s="52"/>
      <c r="T72" s="52"/>
    </row>
    <row r="73" spans="1:20" ht="16.5" hidden="1" customHeight="1" x14ac:dyDescent="0.6">
      <c r="A73" s="84"/>
      <c r="B73" s="87"/>
      <c r="C73" s="85"/>
      <c r="D73" s="86"/>
      <c r="E73" s="85"/>
      <c r="F73" s="84"/>
      <c r="G73" s="87"/>
      <c r="H73" s="85"/>
      <c r="I73" s="70"/>
      <c r="J73" s="52"/>
      <c r="K73" s="52" t="s">
        <v>485</v>
      </c>
      <c r="L73" s="52" t="s">
        <v>536</v>
      </c>
      <c r="M73" s="95">
        <v>1.4316508249501075E-2</v>
      </c>
      <c r="N73" s="96">
        <v>10.32939698281519</v>
      </c>
      <c r="O73" s="52" t="s">
        <v>485</v>
      </c>
      <c r="P73" s="52" t="s">
        <v>536</v>
      </c>
      <c r="Q73" s="95">
        <v>6.6283633615013077E-2</v>
      </c>
      <c r="R73" s="95"/>
      <c r="S73" s="52"/>
      <c r="T73" s="52"/>
    </row>
    <row r="74" spans="1:20" ht="16.5" hidden="1" customHeight="1" x14ac:dyDescent="0.6">
      <c r="A74" s="84"/>
      <c r="B74" s="87"/>
      <c r="C74" s="85"/>
      <c r="D74" s="86"/>
      <c r="E74" s="85"/>
      <c r="F74" s="84"/>
      <c r="G74" s="87"/>
      <c r="H74" s="85"/>
      <c r="I74" s="70"/>
      <c r="J74" s="52"/>
      <c r="K74" s="52"/>
      <c r="L74" s="52"/>
      <c r="M74" s="95"/>
      <c r="N74" s="96">
        <v>0.21583933856079715</v>
      </c>
      <c r="O74" s="52" t="s">
        <v>486</v>
      </c>
      <c r="P74" s="52" t="s">
        <v>537</v>
      </c>
      <c r="Q74" s="95">
        <v>2.3508165538224407E-2</v>
      </c>
      <c r="R74" s="95"/>
      <c r="S74" s="52"/>
      <c r="T74" s="52"/>
    </row>
    <row r="75" spans="1:20" ht="16.5" hidden="1" customHeight="1" x14ac:dyDescent="0.6">
      <c r="A75" s="84"/>
      <c r="B75" s="87"/>
      <c r="C75" s="85"/>
      <c r="D75" s="86"/>
      <c r="E75" s="85"/>
      <c r="F75" s="84"/>
      <c r="G75" s="87"/>
      <c r="H75" s="85"/>
      <c r="I75" s="70"/>
      <c r="J75" s="52"/>
      <c r="K75" s="52"/>
      <c r="L75" s="52"/>
      <c r="M75" s="95"/>
      <c r="N75" s="96">
        <v>2.5255254280530128E-2</v>
      </c>
      <c r="O75" s="52" t="s">
        <v>488</v>
      </c>
      <c r="P75" s="52" t="s">
        <v>538</v>
      </c>
      <c r="Q75" s="95">
        <v>1.5842452899168882E-2</v>
      </c>
      <c r="R75" s="95"/>
      <c r="S75" s="52"/>
      <c r="T75" s="52"/>
    </row>
    <row r="76" spans="1:20" ht="16.5" hidden="1" customHeight="1" x14ac:dyDescent="0.6">
      <c r="A76" s="84"/>
      <c r="B76" s="87"/>
      <c r="C76" s="85"/>
      <c r="D76" s="86"/>
      <c r="E76" s="85"/>
      <c r="F76" s="84"/>
      <c r="G76" s="87"/>
      <c r="H76" s="85"/>
      <c r="I76" s="70"/>
      <c r="J76" s="52"/>
      <c r="K76" s="52"/>
      <c r="L76" s="52"/>
      <c r="M76" s="95"/>
      <c r="N76" s="96">
        <v>6.4512644825277313E-3</v>
      </c>
      <c r="O76" s="52" t="s">
        <v>489</v>
      </c>
      <c r="P76" s="52" t="s">
        <v>539</v>
      </c>
      <c r="Q76" s="95">
        <v>7.1750704358449083E-3</v>
      </c>
      <c r="R76" s="95"/>
      <c r="S76" s="52"/>
      <c r="T76" s="52"/>
    </row>
    <row r="77" spans="1:20" ht="16.5" hidden="1" customHeight="1" x14ac:dyDescent="0.6">
      <c r="A77" s="84"/>
      <c r="B77" s="87"/>
      <c r="C77" s="85"/>
      <c r="D77" s="86"/>
      <c r="E77" s="85"/>
      <c r="F77" s="84"/>
      <c r="G77" s="87"/>
      <c r="H77" s="85"/>
      <c r="I77" s="70"/>
      <c r="J77" s="52"/>
      <c r="K77" s="52"/>
      <c r="L77" s="52"/>
      <c r="M77" s="95"/>
      <c r="N77" s="96">
        <v>0.37081090452902216</v>
      </c>
      <c r="O77" s="52"/>
      <c r="P77" s="52"/>
      <c r="Q77" s="95"/>
      <c r="R77" s="95"/>
      <c r="S77" s="52"/>
      <c r="T77" s="52"/>
    </row>
    <row r="78" spans="1:20" ht="16.5" hidden="1" customHeight="1" x14ac:dyDescent="0.6">
      <c r="A78" s="84"/>
      <c r="B78" s="87"/>
      <c r="C78" s="85"/>
      <c r="D78" s="86"/>
      <c r="E78" s="85"/>
      <c r="F78" s="84"/>
      <c r="G78" s="87"/>
      <c r="H78" s="85"/>
      <c r="I78" s="70"/>
      <c r="J78" s="52"/>
      <c r="K78" s="52"/>
      <c r="L78" s="52"/>
      <c r="M78" s="95"/>
      <c r="N78" s="96">
        <v>4.4966474548098354</v>
      </c>
      <c r="O78" s="52"/>
      <c r="P78" s="52"/>
      <c r="Q78" s="95"/>
      <c r="R78" s="95"/>
      <c r="S78" s="52"/>
      <c r="T78" s="52"/>
    </row>
    <row r="79" spans="1:20" ht="16.5" customHeight="1" x14ac:dyDescent="0.6">
      <c r="A79" s="84"/>
      <c r="B79" s="87"/>
      <c r="C79" s="85"/>
      <c r="D79" s="86"/>
      <c r="E79" s="85"/>
      <c r="F79" s="84"/>
      <c r="G79" s="87"/>
      <c r="H79" s="85"/>
      <c r="I79" s="70"/>
      <c r="J79" s="52"/>
      <c r="K79" s="52"/>
      <c r="L79" s="52"/>
      <c r="M79" s="95"/>
      <c r="N79" s="70"/>
      <c r="O79" s="52"/>
      <c r="P79" s="52"/>
      <c r="Q79" s="95"/>
      <c r="R79" s="95"/>
      <c r="S79" s="52"/>
      <c r="T79" s="52"/>
    </row>
    <row r="80" spans="1:20" ht="16.5" customHeight="1" x14ac:dyDescent="0.6">
      <c r="A80" s="84"/>
      <c r="B80" s="87"/>
      <c r="C80" s="85"/>
      <c r="D80" s="86"/>
      <c r="E80" s="85"/>
      <c r="F80" s="84"/>
      <c r="G80" s="87"/>
      <c r="H80" s="85"/>
      <c r="I80" s="70"/>
      <c r="J80" s="52"/>
      <c r="K80" s="52"/>
      <c r="L80" s="52"/>
      <c r="M80" s="95"/>
      <c r="N80" s="70"/>
      <c r="O80" s="52"/>
      <c r="P80" s="52"/>
      <c r="Q80" s="95"/>
      <c r="R80" s="95"/>
      <c r="S80" s="52"/>
      <c r="T80" s="52"/>
    </row>
    <row r="81" spans="1:20" ht="16.5" customHeight="1" x14ac:dyDescent="0.6">
      <c r="A81" s="84"/>
      <c r="B81" s="87"/>
      <c r="C81" s="85"/>
      <c r="D81" s="86"/>
      <c r="E81" s="85"/>
      <c r="F81" s="84"/>
      <c r="G81" s="87"/>
      <c r="H81" s="85"/>
      <c r="I81" s="70"/>
      <c r="J81" s="52"/>
      <c r="K81" s="52"/>
      <c r="L81" s="52"/>
      <c r="M81" s="95"/>
      <c r="N81" s="70"/>
      <c r="O81" s="70"/>
      <c r="P81" s="70"/>
      <c r="Q81" s="52"/>
      <c r="R81" s="95"/>
      <c r="S81" s="52"/>
      <c r="T81" s="52"/>
    </row>
  </sheetData>
  <mergeCells count="9">
    <mergeCell ref="K6:Q6"/>
    <mergeCell ref="A3:Q3"/>
    <mergeCell ref="K8:M8"/>
    <mergeCell ref="K60:Q60"/>
    <mergeCell ref="A6:G6"/>
    <mergeCell ref="Q8:R8"/>
    <mergeCell ref="A5:Q5"/>
    <mergeCell ref="F8:G8"/>
    <mergeCell ref="A8:B8"/>
  </mergeCells>
  <pageMargins left="0.39" right="0.39" top="0.39" bottom="0.39" header="0.39" footer="0.39"/>
  <pageSetup fitToHeight="0"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dimension ref="A1:AA204"/>
  <sheetViews>
    <sheetView workbookViewId="0">
      <selection activeCell="L40" sqref="L40"/>
    </sheetView>
  </sheetViews>
  <sheetFormatPr defaultRowHeight="13" x14ac:dyDescent="0.6"/>
  <sheetData>
    <row r="1" spans="1:27" x14ac:dyDescent="0.6">
      <c r="A1" s="154"/>
      <c r="B1" s="154"/>
      <c r="C1" s="154"/>
      <c r="D1" s="154"/>
      <c r="E1" s="154"/>
      <c r="F1" s="156"/>
      <c r="G1" s="154"/>
      <c r="H1" s="154"/>
      <c r="I1" s="154"/>
      <c r="J1" s="154"/>
      <c r="K1" s="154"/>
      <c r="L1" s="154"/>
      <c r="M1" s="154"/>
      <c r="N1" s="154"/>
      <c r="O1" s="154"/>
      <c r="P1" s="154"/>
      <c r="Q1" s="154"/>
      <c r="R1" s="154"/>
      <c r="S1" s="154"/>
      <c r="T1" s="154"/>
      <c r="U1" s="154"/>
      <c r="V1" s="154"/>
      <c r="W1" s="154"/>
      <c r="X1" s="154"/>
      <c r="Y1" s="154"/>
      <c r="Z1" s="154"/>
      <c r="AA1" s="154"/>
    </row>
    <row r="2" spans="1:27" x14ac:dyDescent="0.6">
      <c r="A2" s="157" t="s">
        <v>211</v>
      </c>
      <c r="B2" s="157"/>
      <c r="C2" s="157"/>
      <c r="D2" s="157"/>
      <c r="E2" s="157"/>
      <c r="F2" s="158"/>
      <c r="G2" s="157"/>
      <c r="H2" s="157"/>
      <c r="I2" s="154"/>
      <c r="J2" s="154"/>
      <c r="K2" s="154"/>
      <c r="L2" s="154"/>
      <c r="M2" s="154"/>
      <c r="N2" s="154"/>
      <c r="O2" s="154"/>
      <c r="P2" s="154"/>
      <c r="Q2" s="154"/>
      <c r="R2" s="154"/>
      <c r="S2" s="154"/>
      <c r="T2" s="154"/>
      <c r="U2" s="154"/>
      <c r="V2" s="154"/>
      <c r="W2" s="154"/>
      <c r="X2" s="154"/>
      <c r="Y2" s="154"/>
      <c r="Z2" s="154"/>
      <c r="AA2" s="154"/>
    </row>
    <row r="3" spans="1:27" ht="18" x14ac:dyDescent="0.6">
      <c r="A3" s="315" t="s">
        <v>460</v>
      </c>
      <c r="B3" s="315"/>
      <c r="C3" s="315"/>
      <c r="D3" s="315"/>
      <c r="E3" s="315"/>
      <c r="F3" s="315"/>
      <c r="G3" s="315"/>
      <c r="H3" s="315"/>
      <c r="I3" s="315"/>
      <c r="J3" s="315"/>
      <c r="K3" s="315"/>
      <c r="L3" s="315"/>
      <c r="M3" s="315"/>
      <c r="N3" s="315"/>
      <c r="O3" s="315"/>
      <c r="P3" s="315"/>
      <c r="Q3" s="159"/>
      <c r="R3" s="154"/>
      <c r="S3" s="154"/>
      <c r="T3" s="154"/>
      <c r="U3" s="154"/>
      <c r="V3" s="154"/>
      <c r="W3" s="154"/>
      <c r="X3" s="154"/>
      <c r="Y3" s="154"/>
      <c r="Z3" s="154"/>
      <c r="AA3" s="154"/>
    </row>
    <row r="4" spans="1:27" x14ac:dyDescent="0.6">
      <c r="A4" s="154"/>
      <c r="B4" s="154"/>
      <c r="C4" s="154"/>
      <c r="D4" s="154"/>
      <c r="E4" s="154"/>
      <c r="F4" s="156"/>
      <c r="G4" s="154"/>
      <c r="H4" s="154"/>
      <c r="I4" s="154"/>
      <c r="J4" s="154"/>
      <c r="K4" s="154"/>
      <c r="L4" s="154"/>
      <c r="M4" s="154"/>
      <c r="N4" s="154"/>
      <c r="O4" s="154"/>
      <c r="P4" s="154"/>
      <c r="Q4" s="154"/>
      <c r="R4" s="154"/>
      <c r="S4" s="154"/>
      <c r="T4" s="154"/>
      <c r="U4" s="154"/>
      <c r="V4" s="154"/>
      <c r="W4" s="154"/>
      <c r="X4" s="154"/>
      <c r="Y4" s="154"/>
      <c r="Z4" s="154"/>
      <c r="AA4" s="154"/>
    </row>
    <row r="5" spans="1:27" x14ac:dyDescent="0.6">
      <c r="A5" s="313">
        <v>43866.467728344905</v>
      </c>
      <c r="B5" s="313"/>
      <c r="C5" s="313"/>
      <c r="D5" s="313"/>
      <c r="E5" s="313"/>
      <c r="F5" s="313"/>
      <c r="G5" s="313"/>
      <c r="H5" s="313"/>
      <c r="I5" s="313"/>
      <c r="J5" s="313"/>
      <c r="K5" s="313"/>
      <c r="L5" s="313"/>
      <c r="M5" s="313"/>
      <c r="N5" s="313"/>
      <c r="O5" s="313"/>
      <c r="P5" s="313"/>
      <c r="Q5" s="160"/>
      <c r="R5" s="154"/>
      <c r="S5" s="154"/>
      <c r="T5" s="154"/>
      <c r="U5" s="154"/>
      <c r="V5" s="154"/>
      <c r="W5" s="154"/>
      <c r="X5" s="154"/>
      <c r="Y5" s="154"/>
      <c r="Z5" s="154"/>
      <c r="AA5" s="154"/>
    </row>
    <row r="6" spans="1:27" x14ac:dyDescent="0.6">
      <c r="A6" s="316" t="s">
        <v>712</v>
      </c>
      <c r="B6" s="316"/>
      <c r="C6" s="316"/>
      <c r="D6" s="316"/>
      <c r="E6" s="316"/>
      <c r="F6" s="316"/>
      <c r="G6" s="316"/>
      <c r="H6" s="161"/>
      <c r="I6" s="161"/>
      <c r="J6" s="162"/>
      <c r="K6" s="316" t="s">
        <v>713</v>
      </c>
      <c r="L6" s="316"/>
      <c r="M6" s="316"/>
      <c r="N6" s="316"/>
      <c r="O6" s="316"/>
      <c r="P6" s="316"/>
      <c r="Q6" s="316"/>
      <c r="R6" s="316"/>
      <c r="S6" s="316"/>
      <c r="T6" s="162"/>
      <c r="U6" s="316" t="s">
        <v>714</v>
      </c>
      <c r="V6" s="316"/>
      <c r="W6" s="316"/>
      <c r="X6" s="316"/>
      <c r="Y6" s="316"/>
      <c r="Z6" s="316"/>
      <c r="AA6" s="316"/>
    </row>
    <row r="7" spans="1:27" x14ac:dyDescent="0.6">
      <c r="A7" s="163"/>
      <c r="B7" s="163"/>
      <c r="C7" s="163"/>
      <c r="D7" s="163"/>
      <c r="E7" s="163"/>
      <c r="F7" s="156"/>
      <c r="G7" s="163"/>
      <c r="H7" s="163"/>
      <c r="I7" s="154"/>
      <c r="J7" s="154"/>
      <c r="K7" s="164"/>
      <c r="L7" s="164"/>
      <c r="M7" s="164"/>
      <c r="N7" s="164"/>
      <c r="O7" s="164"/>
      <c r="P7" s="164"/>
      <c r="Q7" s="164"/>
      <c r="R7" s="154"/>
      <c r="S7" s="154"/>
      <c r="T7" s="154"/>
      <c r="U7" s="154"/>
      <c r="V7" s="154"/>
      <c r="W7" s="154"/>
      <c r="X7" s="154"/>
      <c r="Y7" s="154"/>
      <c r="Z7" s="154"/>
      <c r="AA7" s="154"/>
    </row>
    <row r="8" spans="1:27" x14ac:dyDescent="0.6">
      <c r="A8" s="318" t="s">
        <v>463</v>
      </c>
      <c r="B8" s="318"/>
      <c r="C8" s="318"/>
      <c r="D8" s="165" t="s">
        <v>464</v>
      </c>
      <c r="E8" s="153"/>
      <c r="F8" s="318" t="s">
        <v>465</v>
      </c>
      <c r="G8" s="318"/>
      <c r="H8" s="318"/>
      <c r="I8" s="155" t="s">
        <v>464</v>
      </c>
      <c r="J8" s="154"/>
      <c r="K8" s="317" t="s">
        <v>463</v>
      </c>
      <c r="L8" s="317"/>
      <c r="M8" s="317"/>
      <c r="N8" s="155" t="s">
        <v>464</v>
      </c>
      <c r="O8" s="153"/>
      <c r="P8" s="317" t="s">
        <v>465</v>
      </c>
      <c r="Q8" s="317"/>
      <c r="R8" s="317"/>
      <c r="S8" s="155" t="s">
        <v>464</v>
      </c>
      <c r="T8" s="154"/>
      <c r="U8" s="314" t="s">
        <v>521</v>
      </c>
      <c r="V8" s="314"/>
      <c r="W8" s="155" t="s">
        <v>464</v>
      </c>
      <c r="X8" s="89"/>
      <c r="Y8" s="314" t="s">
        <v>522</v>
      </c>
      <c r="Z8" s="314"/>
      <c r="AA8" s="155" t="s">
        <v>464</v>
      </c>
    </row>
    <row r="9" spans="1:27" x14ac:dyDescent="0.6">
      <c r="A9" s="166" t="s">
        <v>466</v>
      </c>
      <c r="B9" s="40" t="s">
        <v>546</v>
      </c>
      <c r="C9" s="85" t="s">
        <v>264</v>
      </c>
      <c r="D9" s="167">
        <v>639056761.16666675</v>
      </c>
      <c r="E9" s="85"/>
      <c r="F9" s="166" t="s">
        <v>466</v>
      </c>
      <c r="G9" s="87" t="s">
        <v>546</v>
      </c>
      <c r="H9" s="85" t="s">
        <v>264</v>
      </c>
      <c r="I9" s="168">
        <v>2166331086.6666665</v>
      </c>
      <c r="J9" s="87"/>
      <c r="K9" s="166" t="s">
        <v>466</v>
      </c>
      <c r="L9" s="87" t="s">
        <v>715</v>
      </c>
      <c r="M9" s="87" t="s">
        <v>225</v>
      </c>
      <c r="N9" s="169">
        <v>193139695.66666672</v>
      </c>
      <c r="O9" s="85"/>
      <c r="P9" s="166" t="s">
        <v>466</v>
      </c>
      <c r="Q9" s="87" t="s">
        <v>715</v>
      </c>
      <c r="R9" s="87" t="s">
        <v>225</v>
      </c>
      <c r="S9" s="168">
        <v>484259951.83333331</v>
      </c>
      <c r="T9" s="87"/>
      <c r="U9" s="166" t="s">
        <v>466</v>
      </c>
      <c r="V9" s="87" t="s">
        <v>716</v>
      </c>
      <c r="W9" s="95">
        <v>21.713400092169461</v>
      </c>
      <c r="X9" s="89"/>
      <c r="Y9" s="166" t="s">
        <v>466</v>
      </c>
      <c r="Z9" s="87" t="s">
        <v>717</v>
      </c>
      <c r="AA9" s="95">
        <v>28.033287085830857</v>
      </c>
    </row>
    <row r="10" spans="1:27" x14ac:dyDescent="0.6">
      <c r="A10" s="166" t="s">
        <v>470</v>
      </c>
      <c r="B10" s="85" t="s">
        <v>718</v>
      </c>
      <c r="C10" s="85" t="s">
        <v>719</v>
      </c>
      <c r="D10" s="170">
        <v>25.480647660998439</v>
      </c>
      <c r="E10" s="85"/>
      <c r="F10" s="166" t="s">
        <v>470</v>
      </c>
      <c r="G10" s="89" t="s">
        <v>467</v>
      </c>
      <c r="H10" s="85" t="s">
        <v>720</v>
      </c>
      <c r="I10" s="95">
        <v>20.12075988827845</v>
      </c>
      <c r="J10" s="87"/>
      <c r="K10" s="166" t="s">
        <v>470</v>
      </c>
      <c r="L10" s="87" t="s">
        <v>721</v>
      </c>
      <c r="M10" s="85" t="s">
        <v>722</v>
      </c>
      <c r="N10" s="171">
        <v>31.114031112337166</v>
      </c>
      <c r="O10" s="85"/>
      <c r="P10" s="166" t="s">
        <v>470</v>
      </c>
      <c r="Q10" s="87" t="s">
        <v>723</v>
      </c>
      <c r="R10" s="87" t="s">
        <v>724</v>
      </c>
      <c r="S10" s="95">
        <v>12.837790481050623</v>
      </c>
      <c r="T10" s="87"/>
      <c r="U10" s="166" t="s">
        <v>470</v>
      </c>
      <c r="V10" s="87" t="s">
        <v>525</v>
      </c>
      <c r="W10" s="95">
        <v>20.030568200537566</v>
      </c>
      <c r="X10" s="89"/>
      <c r="Y10" s="166" t="s">
        <v>470</v>
      </c>
      <c r="Z10" s="87" t="s">
        <v>725</v>
      </c>
      <c r="AA10" s="95">
        <v>16.270083366566364</v>
      </c>
    </row>
    <row r="11" spans="1:27" x14ac:dyDescent="0.6">
      <c r="A11" s="166" t="s">
        <v>473</v>
      </c>
      <c r="B11" s="85" t="s">
        <v>471</v>
      </c>
      <c r="C11" s="85" t="s">
        <v>726</v>
      </c>
      <c r="D11" s="170">
        <v>17.210258882045725</v>
      </c>
      <c r="E11" s="85"/>
      <c r="F11" s="166" t="s">
        <v>473</v>
      </c>
      <c r="G11" s="89" t="s">
        <v>727</v>
      </c>
      <c r="H11" s="85" t="s">
        <v>728</v>
      </c>
      <c r="I11" s="95">
        <v>9.828701745722384</v>
      </c>
      <c r="J11" s="87"/>
      <c r="K11" s="166" t="s">
        <v>473</v>
      </c>
      <c r="L11" s="87" t="s">
        <v>729</v>
      </c>
      <c r="M11" s="85" t="s">
        <v>730</v>
      </c>
      <c r="N11" s="171">
        <v>14.668460861386844</v>
      </c>
      <c r="O11" s="85"/>
      <c r="P11" s="166" t="s">
        <v>473</v>
      </c>
      <c r="Q11" s="87" t="s">
        <v>482</v>
      </c>
      <c r="R11" s="87" t="s">
        <v>731</v>
      </c>
      <c r="S11" s="95">
        <v>12.126521876872213</v>
      </c>
      <c r="T11" s="87"/>
      <c r="U11" s="166" t="s">
        <v>473</v>
      </c>
      <c r="V11" s="87" t="s">
        <v>532</v>
      </c>
      <c r="W11" s="95">
        <v>16.219828407733907</v>
      </c>
      <c r="X11" s="89"/>
      <c r="Y11" s="166" t="s">
        <v>473</v>
      </c>
      <c r="Z11" s="87" t="s">
        <v>732</v>
      </c>
      <c r="AA11" s="95">
        <v>11.368794519088823</v>
      </c>
    </row>
    <row r="12" spans="1:27" x14ac:dyDescent="0.6">
      <c r="A12" s="166" t="s">
        <v>475</v>
      </c>
      <c r="B12" s="85" t="s">
        <v>472</v>
      </c>
      <c r="C12" s="85" t="s">
        <v>733</v>
      </c>
      <c r="D12" s="170">
        <v>15.284736912624902</v>
      </c>
      <c r="E12" s="85"/>
      <c r="F12" s="166" t="s">
        <v>475</v>
      </c>
      <c r="G12" s="89" t="s">
        <v>734</v>
      </c>
      <c r="H12" s="85" t="s">
        <v>735</v>
      </c>
      <c r="I12" s="95">
        <v>8.186176823331559</v>
      </c>
      <c r="J12" s="87"/>
      <c r="K12" s="166" t="s">
        <v>475</v>
      </c>
      <c r="L12" s="87" t="s">
        <v>469</v>
      </c>
      <c r="M12" s="85" t="s">
        <v>736</v>
      </c>
      <c r="N12" s="171">
        <v>14.381429585180367</v>
      </c>
      <c r="O12" s="85"/>
      <c r="P12" s="166" t="s">
        <v>475</v>
      </c>
      <c r="Q12" s="87" t="s">
        <v>737</v>
      </c>
      <c r="R12" s="87" t="s">
        <v>738</v>
      </c>
      <c r="S12" s="95">
        <v>10.396703769547829</v>
      </c>
      <c r="T12" s="87"/>
      <c r="U12" s="166" t="s">
        <v>475</v>
      </c>
      <c r="V12" s="87" t="s">
        <v>739</v>
      </c>
      <c r="W12" s="95">
        <v>10.78338651214751</v>
      </c>
      <c r="X12" s="89"/>
      <c r="Y12" s="166" t="s">
        <v>475</v>
      </c>
      <c r="Z12" s="87" t="s">
        <v>528</v>
      </c>
      <c r="AA12" s="95">
        <v>7.6622177195451888</v>
      </c>
    </row>
    <row r="13" spans="1:27" x14ac:dyDescent="0.6">
      <c r="A13" s="166" t="s">
        <v>476</v>
      </c>
      <c r="B13" s="85" t="s">
        <v>721</v>
      </c>
      <c r="C13" s="85" t="s">
        <v>722</v>
      </c>
      <c r="D13" s="170">
        <v>9.4034753486204856</v>
      </c>
      <c r="E13" s="85"/>
      <c r="F13" s="166" t="s">
        <v>476</v>
      </c>
      <c r="G13" s="89" t="s">
        <v>718</v>
      </c>
      <c r="H13" s="85" t="s">
        <v>719</v>
      </c>
      <c r="I13" s="95">
        <v>7.5631526966685918</v>
      </c>
      <c r="J13" s="87"/>
      <c r="K13" s="166" t="s">
        <v>476</v>
      </c>
      <c r="L13" s="87" t="s">
        <v>737</v>
      </c>
      <c r="M13" s="85" t="s">
        <v>738</v>
      </c>
      <c r="N13" s="171">
        <v>9.0162079869488299</v>
      </c>
      <c r="O13" s="85"/>
      <c r="P13" s="166" t="s">
        <v>476</v>
      </c>
      <c r="Q13" s="87" t="s">
        <v>469</v>
      </c>
      <c r="R13" s="87" t="s">
        <v>736</v>
      </c>
      <c r="S13" s="95">
        <v>9.3583723979438105</v>
      </c>
      <c r="T13" s="87"/>
      <c r="U13" s="166" t="s">
        <v>476</v>
      </c>
      <c r="V13" s="87" t="s">
        <v>534</v>
      </c>
      <c r="W13" s="95">
        <v>9.5472439102819067</v>
      </c>
      <c r="X13" s="89"/>
      <c r="Y13" s="166" t="s">
        <v>476</v>
      </c>
      <c r="Z13" s="87" t="s">
        <v>740</v>
      </c>
      <c r="AA13" s="95">
        <v>5.8256203140682965</v>
      </c>
    </row>
    <row r="14" spans="1:27" x14ac:dyDescent="0.6">
      <c r="A14" s="166" t="s">
        <v>478</v>
      </c>
      <c r="B14" s="85" t="s">
        <v>729</v>
      </c>
      <c r="C14" s="85" t="s">
        <v>730</v>
      </c>
      <c r="D14" s="170">
        <v>4.4331931665891586</v>
      </c>
      <c r="E14" s="85"/>
      <c r="F14" s="166" t="s">
        <v>478</v>
      </c>
      <c r="G14" s="89" t="s">
        <v>472</v>
      </c>
      <c r="H14" s="85" t="s">
        <v>733</v>
      </c>
      <c r="I14" s="95">
        <v>6.764166947297312</v>
      </c>
      <c r="J14" s="87"/>
      <c r="K14" s="166" t="s">
        <v>478</v>
      </c>
      <c r="L14" s="87" t="s">
        <v>741</v>
      </c>
      <c r="M14" s="85" t="s">
        <v>742</v>
      </c>
      <c r="N14" s="171">
        <v>7.6985668923951041</v>
      </c>
      <c r="O14" s="85"/>
      <c r="P14" s="166" t="s">
        <v>478</v>
      </c>
      <c r="Q14" s="87" t="s">
        <v>743</v>
      </c>
      <c r="R14" s="87" t="s">
        <v>744</v>
      </c>
      <c r="S14" s="95">
        <v>7.5204442425585381</v>
      </c>
      <c r="T14" s="87"/>
      <c r="U14" s="166" t="s">
        <v>478</v>
      </c>
      <c r="V14" s="87" t="s">
        <v>717</v>
      </c>
      <c r="W14" s="95">
        <v>5.2471092133695469</v>
      </c>
      <c r="X14" s="89"/>
      <c r="Y14" s="166" t="s">
        <v>478</v>
      </c>
      <c r="Z14" s="87" t="s">
        <v>529</v>
      </c>
      <c r="AA14" s="95">
        <v>5.7123804475219195</v>
      </c>
    </row>
    <row r="15" spans="1:27" x14ac:dyDescent="0.6">
      <c r="A15" s="166" t="s">
        <v>480</v>
      </c>
      <c r="B15" s="85" t="s">
        <v>469</v>
      </c>
      <c r="C15" s="85" t="s">
        <v>736</v>
      </c>
      <c r="D15" s="170">
        <v>4.3464447950796741</v>
      </c>
      <c r="E15" s="85"/>
      <c r="F15" s="166" t="s">
        <v>480</v>
      </c>
      <c r="G15" s="89" t="s">
        <v>745</v>
      </c>
      <c r="H15" s="85" t="s">
        <v>746</v>
      </c>
      <c r="I15" s="95">
        <v>4.9761469055593386</v>
      </c>
      <c r="J15" s="87"/>
      <c r="K15" s="166" t="s">
        <v>480</v>
      </c>
      <c r="L15" s="87" t="s">
        <v>747</v>
      </c>
      <c r="M15" s="85" t="s">
        <v>748</v>
      </c>
      <c r="N15" s="171">
        <v>4.304419125909809</v>
      </c>
      <c r="O15" s="85"/>
      <c r="P15" s="166" t="s">
        <v>480</v>
      </c>
      <c r="Q15" s="87" t="s">
        <v>721</v>
      </c>
      <c r="R15" s="87" t="s">
        <v>722</v>
      </c>
      <c r="S15" s="95">
        <v>6.3678900591693948</v>
      </c>
      <c r="T15" s="87"/>
      <c r="U15" s="166" t="s">
        <v>480</v>
      </c>
      <c r="V15" s="87" t="s">
        <v>528</v>
      </c>
      <c r="W15" s="95">
        <v>3.998373654437593</v>
      </c>
      <c r="X15" s="89"/>
      <c r="Y15" s="166" t="s">
        <v>480</v>
      </c>
      <c r="Z15" s="87" t="s">
        <v>749</v>
      </c>
      <c r="AA15" s="95">
        <v>5.1884982137300897</v>
      </c>
    </row>
    <row r="16" spans="1:27" x14ac:dyDescent="0.6">
      <c r="A16" s="166" t="s">
        <v>481</v>
      </c>
      <c r="B16" s="85" t="s">
        <v>727</v>
      </c>
      <c r="C16" s="85" t="s">
        <v>728</v>
      </c>
      <c r="D16" s="170">
        <v>3.3075450076472035</v>
      </c>
      <c r="E16" s="85"/>
      <c r="F16" s="166" t="s">
        <v>481</v>
      </c>
      <c r="G16" s="89" t="s">
        <v>723</v>
      </c>
      <c r="H16" s="85" t="s">
        <v>724</v>
      </c>
      <c r="I16" s="95">
        <v>2.8697496141117713</v>
      </c>
      <c r="J16" s="87"/>
      <c r="K16" s="166" t="s">
        <v>481</v>
      </c>
      <c r="L16" s="87" t="s">
        <v>477</v>
      </c>
      <c r="M16" s="85" t="s">
        <v>750</v>
      </c>
      <c r="N16" s="171">
        <v>4.0584548434111198</v>
      </c>
      <c r="O16" s="85"/>
      <c r="P16" s="166" t="s">
        <v>481</v>
      </c>
      <c r="Q16" s="87" t="s">
        <v>479</v>
      </c>
      <c r="R16" s="87" t="s">
        <v>751</v>
      </c>
      <c r="S16" s="95">
        <v>5.398172799760439</v>
      </c>
      <c r="T16" s="87"/>
      <c r="U16" s="166" t="s">
        <v>481</v>
      </c>
      <c r="V16" s="87" t="s">
        <v>752</v>
      </c>
      <c r="W16" s="95">
        <v>3.5531475406416058</v>
      </c>
      <c r="X16" s="89"/>
      <c r="Y16" s="166" t="s">
        <v>481</v>
      </c>
      <c r="Z16" s="87" t="s">
        <v>753</v>
      </c>
      <c r="AA16" s="95">
        <v>4.7837014131489388</v>
      </c>
    </row>
    <row r="17" spans="1:27" x14ac:dyDescent="0.6">
      <c r="A17" s="166" t="s">
        <v>483</v>
      </c>
      <c r="B17" s="85" t="s">
        <v>737</v>
      </c>
      <c r="C17" s="85" t="s">
        <v>738</v>
      </c>
      <c r="D17" s="170">
        <v>2.7249342663828116</v>
      </c>
      <c r="E17" s="85"/>
      <c r="F17" s="166" t="s">
        <v>483</v>
      </c>
      <c r="G17" s="89" t="s">
        <v>482</v>
      </c>
      <c r="H17" s="85" t="s">
        <v>731</v>
      </c>
      <c r="I17" s="95">
        <v>2.7107531882561147</v>
      </c>
      <c r="J17" s="87"/>
      <c r="K17" s="166" t="s">
        <v>483</v>
      </c>
      <c r="L17" s="87" t="s">
        <v>723</v>
      </c>
      <c r="M17" s="85" t="s">
        <v>724</v>
      </c>
      <c r="N17" s="171">
        <v>3.2620480450275533</v>
      </c>
      <c r="O17" s="85"/>
      <c r="P17" s="166" t="s">
        <v>483</v>
      </c>
      <c r="Q17" s="87" t="s">
        <v>754</v>
      </c>
      <c r="R17" s="87" t="s">
        <v>755</v>
      </c>
      <c r="S17" s="95">
        <v>5.1482891035998399</v>
      </c>
      <c r="T17" s="87"/>
      <c r="U17" s="166" t="s">
        <v>483</v>
      </c>
      <c r="V17" s="87" t="s">
        <v>756</v>
      </c>
      <c r="W17" s="95">
        <v>1.8299430525428724</v>
      </c>
      <c r="X17" s="89"/>
      <c r="Y17" s="166" t="s">
        <v>483</v>
      </c>
      <c r="Z17" s="87" t="s">
        <v>527</v>
      </c>
      <c r="AA17" s="95">
        <v>4.1708902966370252</v>
      </c>
    </row>
    <row r="18" spans="1:27" x14ac:dyDescent="0.6">
      <c r="A18" s="166" t="s">
        <v>484</v>
      </c>
      <c r="B18" s="85" t="s">
        <v>741</v>
      </c>
      <c r="C18" s="85" t="s">
        <v>742</v>
      </c>
      <c r="D18" s="170">
        <v>2.3267086071543517</v>
      </c>
      <c r="E18" s="85"/>
      <c r="F18" s="166" t="s">
        <v>484</v>
      </c>
      <c r="G18" s="89" t="s">
        <v>757</v>
      </c>
      <c r="H18" s="85" t="s">
        <v>758</v>
      </c>
      <c r="I18" s="95">
        <v>2.6930415834898098</v>
      </c>
      <c r="J18" s="87"/>
      <c r="K18" s="166" t="s">
        <v>484</v>
      </c>
      <c r="L18" s="87" t="s">
        <v>759</v>
      </c>
      <c r="M18" s="85" t="s">
        <v>760</v>
      </c>
      <c r="N18" s="171">
        <v>2.9885788004771054</v>
      </c>
      <c r="O18" s="85"/>
      <c r="P18" s="166" t="s">
        <v>484</v>
      </c>
      <c r="Q18" s="87" t="s">
        <v>761</v>
      </c>
      <c r="R18" s="87" t="s">
        <v>762</v>
      </c>
      <c r="S18" s="95">
        <v>4.8262765163321051</v>
      </c>
      <c r="T18" s="87"/>
      <c r="U18" s="166" t="s">
        <v>484</v>
      </c>
      <c r="V18" s="87" t="s">
        <v>763</v>
      </c>
      <c r="W18" s="95">
        <v>1.7725629083191616</v>
      </c>
      <c r="X18" s="89"/>
      <c r="Y18" s="166" t="s">
        <v>484</v>
      </c>
      <c r="Z18" s="87" t="s">
        <v>764</v>
      </c>
      <c r="AA18" s="95">
        <v>4.1316463076398628</v>
      </c>
    </row>
    <row r="19" spans="1:27" x14ac:dyDescent="0.6">
      <c r="A19" s="166" t="s">
        <v>485</v>
      </c>
      <c r="B19" s="85" t="s">
        <v>765</v>
      </c>
      <c r="C19" s="85" t="s">
        <v>766</v>
      </c>
      <c r="D19" s="170">
        <v>1.7939459158114992</v>
      </c>
      <c r="E19" s="85"/>
      <c r="F19" s="166" t="s">
        <v>485</v>
      </c>
      <c r="G19" s="89" t="s">
        <v>737</v>
      </c>
      <c r="H19" s="85" t="s">
        <v>738</v>
      </c>
      <c r="I19" s="95">
        <v>2.3240710054221534</v>
      </c>
      <c r="J19" s="87"/>
      <c r="K19" s="166" t="s">
        <v>485</v>
      </c>
      <c r="L19" s="87" t="s">
        <v>761</v>
      </c>
      <c r="M19" s="85" t="s">
        <v>762</v>
      </c>
      <c r="N19" s="171">
        <v>1.5895080446322953</v>
      </c>
      <c r="O19" s="85"/>
      <c r="P19" s="166" t="s">
        <v>485</v>
      </c>
      <c r="Q19" s="87" t="s">
        <v>477</v>
      </c>
      <c r="R19" s="87" t="s">
        <v>750</v>
      </c>
      <c r="S19" s="95">
        <v>4.0409032227250625</v>
      </c>
      <c r="T19" s="87"/>
      <c r="U19" s="166" t="s">
        <v>485</v>
      </c>
      <c r="V19" s="87" t="s">
        <v>527</v>
      </c>
      <c r="W19" s="95">
        <v>1.3584293519975563</v>
      </c>
      <c r="X19" s="89"/>
      <c r="Y19" s="166" t="s">
        <v>485</v>
      </c>
      <c r="Z19" s="87" t="s">
        <v>767</v>
      </c>
      <c r="AA19" s="95">
        <v>1.2255331115713486</v>
      </c>
    </row>
    <row r="20" spans="1:27" x14ac:dyDescent="0.6">
      <c r="A20" s="166" t="s">
        <v>486</v>
      </c>
      <c r="B20" s="85" t="s">
        <v>747</v>
      </c>
      <c r="C20" s="85" t="s">
        <v>748</v>
      </c>
      <c r="D20" s="170">
        <v>1.3009082299391899</v>
      </c>
      <c r="E20" s="85"/>
      <c r="F20" s="166" t="s">
        <v>486</v>
      </c>
      <c r="G20" s="89" t="s">
        <v>494</v>
      </c>
      <c r="H20" s="85" t="s">
        <v>768</v>
      </c>
      <c r="I20" s="95">
        <v>2.2510356627143207</v>
      </c>
      <c r="J20" s="87"/>
      <c r="K20" s="166" t="s">
        <v>486</v>
      </c>
      <c r="L20" s="87" t="s">
        <v>754</v>
      </c>
      <c r="M20" s="85" t="s">
        <v>755</v>
      </c>
      <c r="N20" s="171">
        <v>1.302267593404288</v>
      </c>
      <c r="O20" s="85"/>
      <c r="P20" s="166" t="s">
        <v>486</v>
      </c>
      <c r="Q20" s="87" t="s">
        <v>769</v>
      </c>
      <c r="R20" s="87" t="s">
        <v>770</v>
      </c>
      <c r="S20" s="95">
        <v>3.5467431493442816</v>
      </c>
      <c r="T20" s="87"/>
      <c r="U20" s="166" t="s">
        <v>486</v>
      </c>
      <c r="V20" s="87" t="s">
        <v>771</v>
      </c>
      <c r="W20" s="95">
        <v>0.67263188245074723</v>
      </c>
      <c r="X20" s="89"/>
      <c r="Y20" s="166" t="s">
        <v>486</v>
      </c>
      <c r="Z20" s="87" t="s">
        <v>772</v>
      </c>
      <c r="AA20" s="95">
        <v>0.56807067254490695</v>
      </c>
    </row>
    <row r="21" spans="1:27" x14ac:dyDescent="0.6">
      <c r="A21" s="166" t="s">
        <v>488</v>
      </c>
      <c r="B21" s="89" t="s">
        <v>477</v>
      </c>
      <c r="C21" s="85" t="s">
        <v>750</v>
      </c>
      <c r="D21" s="170">
        <v>1.22657137982913</v>
      </c>
      <c r="E21" s="85"/>
      <c r="F21" s="166" t="s">
        <v>488</v>
      </c>
      <c r="G21" s="89" t="s">
        <v>469</v>
      </c>
      <c r="H21" s="85" t="s">
        <v>736</v>
      </c>
      <c r="I21" s="95">
        <v>2.0919632250857263</v>
      </c>
      <c r="J21" s="87"/>
      <c r="K21" s="166" t="s">
        <v>488</v>
      </c>
      <c r="L21" s="87" t="s">
        <v>773</v>
      </c>
      <c r="M21" s="85" t="s">
        <v>774</v>
      </c>
      <c r="N21" s="171">
        <v>0.97009903990270141</v>
      </c>
      <c r="O21" s="85"/>
      <c r="P21" s="166" t="s">
        <v>488</v>
      </c>
      <c r="Q21" s="87" t="s">
        <v>741</v>
      </c>
      <c r="R21" s="87" t="s">
        <v>742</v>
      </c>
      <c r="S21" s="95">
        <v>2.9139627273693294</v>
      </c>
      <c r="T21" s="87"/>
      <c r="U21" s="166" t="s">
        <v>488</v>
      </c>
      <c r="V21" s="87" t="s">
        <v>775</v>
      </c>
      <c r="W21" s="95">
        <v>0.64200543819274869</v>
      </c>
      <c r="X21" s="89"/>
      <c r="Y21" s="166" t="s">
        <v>488</v>
      </c>
      <c r="Z21" s="87" t="s">
        <v>776</v>
      </c>
      <c r="AA21" s="95">
        <v>0.50874212132123131</v>
      </c>
    </row>
    <row r="22" spans="1:27" x14ac:dyDescent="0.6">
      <c r="A22" s="166" t="s">
        <v>489</v>
      </c>
      <c r="B22" s="89" t="s">
        <v>777</v>
      </c>
      <c r="C22" s="85" t="s">
        <v>778</v>
      </c>
      <c r="D22" s="170">
        <v>1.0143103702034821</v>
      </c>
      <c r="E22" s="85"/>
      <c r="F22" s="166" t="s">
        <v>489</v>
      </c>
      <c r="G22" s="89" t="s">
        <v>779</v>
      </c>
      <c r="H22" s="85" t="s">
        <v>780</v>
      </c>
      <c r="I22" s="95">
        <v>1.8343026408985692</v>
      </c>
      <c r="J22" s="87"/>
      <c r="K22" s="166" t="s">
        <v>489</v>
      </c>
      <c r="L22" s="87" t="s">
        <v>781</v>
      </c>
      <c r="M22" s="85" t="s">
        <v>782</v>
      </c>
      <c r="N22" s="171">
        <v>0.80552938360485848</v>
      </c>
      <c r="O22" s="85"/>
      <c r="P22" s="166" t="s">
        <v>489</v>
      </c>
      <c r="Q22" s="87" t="s">
        <v>773</v>
      </c>
      <c r="R22" s="87" t="s">
        <v>774</v>
      </c>
      <c r="S22" s="95">
        <v>2.1628208073676722</v>
      </c>
      <c r="T22" s="87"/>
      <c r="U22" s="166" t="s">
        <v>489</v>
      </c>
      <c r="V22" s="87" t="s">
        <v>725</v>
      </c>
      <c r="W22" s="95">
        <v>0.55227033518272217</v>
      </c>
      <c r="X22" s="89"/>
      <c r="Y22" s="166" t="s">
        <v>489</v>
      </c>
      <c r="Z22" s="87" t="s">
        <v>783</v>
      </c>
      <c r="AA22" s="95">
        <v>0.47224888807714627</v>
      </c>
    </row>
    <row r="23" spans="1:27" x14ac:dyDescent="0.6">
      <c r="A23" s="166" t="s">
        <v>490</v>
      </c>
      <c r="B23" s="89" t="s">
        <v>723</v>
      </c>
      <c r="C23" s="85" t="s">
        <v>724</v>
      </c>
      <c r="D23" s="170">
        <v>0.9858763805526094</v>
      </c>
      <c r="E23" s="85"/>
      <c r="F23" s="166" t="s">
        <v>490</v>
      </c>
      <c r="G23" s="89" t="s">
        <v>784</v>
      </c>
      <c r="H23" s="85" t="s">
        <v>785</v>
      </c>
      <c r="I23" s="95">
        <v>1.8011403200008858</v>
      </c>
      <c r="J23" s="87"/>
      <c r="K23" s="166" t="s">
        <v>490</v>
      </c>
      <c r="L23" s="87" t="s">
        <v>482</v>
      </c>
      <c r="M23" s="85" t="s">
        <v>731</v>
      </c>
      <c r="N23" s="171">
        <v>0.78058836884674443</v>
      </c>
      <c r="O23" s="85"/>
      <c r="P23" s="166" t="s">
        <v>490</v>
      </c>
      <c r="Q23" s="87" t="s">
        <v>729</v>
      </c>
      <c r="R23" s="87" t="s">
        <v>730</v>
      </c>
      <c r="S23" s="95">
        <v>2.1203095488544239</v>
      </c>
      <c r="T23" s="87"/>
      <c r="U23" s="166" t="s">
        <v>490</v>
      </c>
      <c r="V23" s="87" t="s">
        <v>786</v>
      </c>
      <c r="W23" s="95">
        <v>0.53948913484780392</v>
      </c>
      <c r="X23" s="89"/>
      <c r="Y23" s="166" t="s">
        <v>490</v>
      </c>
      <c r="Z23" s="87" t="s">
        <v>787</v>
      </c>
      <c r="AA23" s="95">
        <v>0.45888635880880796</v>
      </c>
    </row>
    <row r="24" spans="1:27" x14ac:dyDescent="0.6">
      <c r="A24" s="166" t="s">
        <v>491</v>
      </c>
      <c r="B24" s="89" t="s">
        <v>467</v>
      </c>
      <c r="C24" s="85" t="s">
        <v>720</v>
      </c>
      <c r="D24" s="170">
        <v>0.95969326034048141</v>
      </c>
      <c r="E24" s="85"/>
      <c r="F24" s="166" t="s">
        <v>491</v>
      </c>
      <c r="G24" s="89" t="s">
        <v>788</v>
      </c>
      <c r="H24" s="85" t="s">
        <v>789</v>
      </c>
      <c r="I24" s="95">
        <v>1.6907604394099649</v>
      </c>
      <c r="J24" s="87"/>
      <c r="K24" s="166" t="s">
        <v>491</v>
      </c>
      <c r="L24" s="87" t="s">
        <v>479</v>
      </c>
      <c r="M24" s="85" t="s">
        <v>751</v>
      </c>
      <c r="N24" s="171">
        <v>0.6994452013970327</v>
      </c>
      <c r="O24" s="85"/>
      <c r="P24" s="166" t="s">
        <v>491</v>
      </c>
      <c r="Q24" s="87" t="s">
        <v>747</v>
      </c>
      <c r="R24" s="87" t="s">
        <v>748</v>
      </c>
      <c r="S24" s="95">
        <v>1.5656011414180846</v>
      </c>
      <c r="T24" s="87"/>
      <c r="U24" s="166" t="s">
        <v>491</v>
      </c>
      <c r="V24" s="87" t="s">
        <v>749</v>
      </c>
      <c r="W24" s="95">
        <v>0.35734838069203889</v>
      </c>
      <c r="X24" s="89"/>
      <c r="Y24" s="166" t="s">
        <v>491</v>
      </c>
      <c r="Z24" s="87" t="s">
        <v>790</v>
      </c>
      <c r="AA24" s="95">
        <v>0.45701059452651266</v>
      </c>
    </row>
    <row r="25" spans="1:27" x14ac:dyDescent="0.6">
      <c r="A25" s="166" t="s">
        <v>492</v>
      </c>
      <c r="B25" s="89" t="s">
        <v>779</v>
      </c>
      <c r="C25" s="85" t="s">
        <v>780</v>
      </c>
      <c r="D25" s="170">
        <v>0.90618841474443268</v>
      </c>
      <c r="E25" s="85"/>
      <c r="F25" s="166" t="s">
        <v>492</v>
      </c>
      <c r="G25" s="89" t="s">
        <v>743</v>
      </c>
      <c r="H25" s="85" t="s">
        <v>744</v>
      </c>
      <c r="I25" s="95">
        <v>1.6811142069102563</v>
      </c>
      <c r="J25" s="87"/>
      <c r="K25" s="166" t="s">
        <v>492</v>
      </c>
      <c r="L25" s="87" t="s">
        <v>769</v>
      </c>
      <c r="M25" s="85" t="s">
        <v>770</v>
      </c>
      <c r="N25" s="171">
        <v>0.50964113303364467</v>
      </c>
      <c r="O25" s="85"/>
      <c r="P25" s="166" t="s">
        <v>492</v>
      </c>
      <c r="Q25" s="87" t="s">
        <v>791</v>
      </c>
      <c r="R25" s="87" t="s">
        <v>792</v>
      </c>
      <c r="S25" s="95">
        <v>1.427693805188504</v>
      </c>
      <c r="T25" s="87"/>
      <c r="U25" s="166" t="s">
        <v>492</v>
      </c>
      <c r="V25" s="87" t="s">
        <v>793</v>
      </c>
      <c r="W25" s="95">
        <v>0.35473994466230885</v>
      </c>
      <c r="X25" s="89"/>
      <c r="Y25" s="166" t="s">
        <v>492</v>
      </c>
      <c r="Z25" s="87" t="s">
        <v>771</v>
      </c>
      <c r="AA25" s="95">
        <v>0.45253914160467135</v>
      </c>
    </row>
    <row r="26" spans="1:27" x14ac:dyDescent="0.6">
      <c r="A26" s="166" t="s">
        <v>493</v>
      </c>
      <c r="B26" s="89" t="s">
        <v>759</v>
      </c>
      <c r="C26" s="85" t="s">
        <v>760</v>
      </c>
      <c r="D26" s="170">
        <v>0.9032268103168728</v>
      </c>
      <c r="E26" s="85"/>
      <c r="F26" s="166" t="s">
        <v>493</v>
      </c>
      <c r="G26" s="89" t="s">
        <v>721</v>
      </c>
      <c r="H26" s="85" t="s">
        <v>722</v>
      </c>
      <c r="I26" s="95">
        <v>1.4234731488242842</v>
      </c>
      <c r="J26" s="87"/>
      <c r="K26" s="166" t="s">
        <v>493</v>
      </c>
      <c r="L26" s="87" t="s">
        <v>487</v>
      </c>
      <c r="M26" s="85" t="s">
        <v>794</v>
      </c>
      <c r="N26" s="171">
        <v>0.36631309662051215</v>
      </c>
      <c r="O26" s="85"/>
      <c r="P26" s="166" t="s">
        <v>493</v>
      </c>
      <c r="Q26" s="87" t="s">
        <v>795</v>
      </c>
      <c r="R26" s="87" t="s">
        <v>796</v>
      </c>
      <c r="S26" s="95">
        <v>1.1933996010725934</v>
      </c>
      <c r="T26" s="87"/>
      <c r="U26" s="166" t="s">
        <v>493</v>
      </c>
      <c r="V26" s="87" t="s">
        <v>772</v>
      </c>
      <c r="W26" s="95">
        <v>0.34367254809376463</v>
      </c>
      <c r="X26" s="89"/>
      <c r="Y26" s="166" t="s">
        <v>493</v>
      </c>
      <c r="Z26" s="87" t="s">
        <v>797</v>
      </c>
      <c r="AA26" s="95">
        <v>0.36672297836191392</v>
      </c>
    </row>
    <row r="27" spans="1:27" x14ac:dyDescent="0.6">
      <c r="A27" s="166" t="s">
        <v>495</v>
      </c>
      <c r="B27" s="89" t="s">
        <v>474</v>
      </c>
      <c r="C27" s="85" t="s">
        <v>798</v>
      </c>
      <c r="D27" s="170">
        <v>0.69759765812685559</v>
      </c>
      <c r="E27" s="85"/>
      <c r="F27" s="166" t="s">
        <v>495</v>
      </c>
      <c r="G27" s="89" t="s">
        <v>799</v>
      </c>
      <c r="H27" s="85" t="s">
        <v>800</v>
      </c>
      <c r="I27" s="95">
        <v>1.3901605738855622</v>
      </c>
      <c r="J27" s="87"/>
      <c r="K27" s="166" t="s">
        <v>495</v>
      </c>
      <c r="L27" s="87" t="s">
        <v>801</v>
      </c>
      <c r="M27" s="85" t="s">
        <v>802</v>
      </c>
      <c r="N27" s="171">
        <v>0.27340547378274399</v>
      </c>
      <c r="O27" s="85"/>
      <c r="P27" s="166" t="s">
        <v>495</v>
      </c>
      <c r="Q27" s="87" t="s">
        <v>803</v>
      </c>
      <c r="R27" s="87" t="s">
        <v>804</v>
      </c>
      <c r="S27" s="95">
        <v>1.0236927462682595</v>
      </c>
      <c r="T27" s="87"/>
      <c r="U27" s="166" t="s">
        <v>495</v>
      </c>
      <c r="V27" s="87" t="s">
        <v>753</v>
      </c>
      <c r="W27" s="95">
        <v>0.25891948979514307</v>
      </c>
      <c r="X27" s="89"/>
      <c r="Y27" s="166" t="s">
        <v>495</v>
      </c>
      <c r="Z27" s="87" t="s">
        <v>805</v>
      </c>
      <c r="AA27" s="95">
        <v>0.3038070253147358</v>
      </c>
    </row>
    <row r="28" spans="1:27" x14ac:dyDescent="0.6">
      <c r="A28" s="166" t="s">
        <v>496</v>
      </c>
      <c r="B28" s="89" t="s">
        <v>761</v>
      </c>
      <c r="C28" s="85" t="s">
        <v>762</v>
      </c>
      <c r="D28" s="170">
        <v>0.48039097409679826</v>
      </c>
      <c r="E28" s="85"/>
      <c r="F28" s="166" t="s">
        <v>496</v>
      </c>
      <c r="G28" s="89" t="s">
        <v>479</v>
      </c>
      <c r="H28" s="85" t="s">
        <v>751</v>
      </c>
      <c r="I28" s="95">
        <v>1.2067033133067138</v>
      </c>
      <c r="J28" s="87"/>
      <c r="K28" s="166" t="s">
        <v>496</v>
      </c>
      <c r="L28" s="87" t="s">
        <v>806</v>
      </c>
      <c r="M28" s="85" t="s">
        <v>807</v>
      </c>
      <c r="N28" s="171">
        <v>0.26292454532137283</v>
      </c>
      <c r="O28" s="85"/>
      <c r="P28" s="166" t="s">
        <v>496</v>
      </c>
      <c r="Q28" s="87" t="s">
        <v>808</v>
      </c>
      <c r="R28" s="87" t="s">
        <v>809</v>
      </c>
      <c r="S28" s="95">
        <v>0.95533896257277784</v>
      </c>
      <c r="T28" s="87"/>
      <c r="U28" s="166" t="s">
        <v>496</v>
      </c>
      <c r="V28" s="87" t="s">
        <v>810</v>
      </c>
      <c r="W28" s="95">
        <v>0.1368495871910933</v>
      </c>
      <c r="X28" s="89"/>
      <c r="Y28" s="166" t="s">
        <v>496</v>
      </c>
      <c r="Z28" s="87" t="s">
        <v>811</v>
      </c>
      <c r="AA28" s="95">
        <v>0.24422311900736451</v>
      </c>
    </row>
    <row r="29" spans="1:27" x14ac:dyDescent="0.6">
      <c r="A29" s="166" t="s">
        <v>497</v>
      </c>
      <c r="B29" s="89" t="s">
        <v>734</v>
      </c>
      <c r="C29" s="85" t="s">
        <v>735</v>
      </c>
      <c r="D29" s="170">
        <v>0.47341292936329826</v>
      </c>
      <c r="E29" s="85"/>
      <c r="F29" s="166" t="s">
        <v>497</v>
      </c>
      <c r="G29" s="89" t="s">
        <v>474</v>
      </c>
      <c r="H29" s="85" t="s">
        <v>798</v>
      </c>
      <c r="I29" s="95">
        <v>1.1667597728821157</v>
      </c>
      <c r="J29" s="87"/>
      <c r="K29" s="166" t="s">
        <v>497</v>
      </c>
      <c r="L29" s="87" t="s">
        <v>743</v>
      </c>
      <c r="M29" s="85" t="s">
        <v>744</v>
      </c>
      <c r="N29" s="171">
        <v>0.26022511750635507</v>
      </c>
      <c r="O29" s="85"/>
      <c r="P29" s="166" t="s">
        <v>497</v>
      </c>
      <c r="Q29" s="87" t="s">
        <v>812</v>
      </c>
      <c r="R29" s="87" t="s">
        <v>813</v>
      </c>
      <c r="S29" s="95">
        <v>0.84147938544980738</v>
      </c>
      <c r="T29" s="87"/>
      <c r="U29" s="166" t="s">
        <v>497</v>
      </c>
      <c r="V29" s="87" t="s">
        <v>764</v>
      </c>
      <c r="W29" s="95">
        <v>4.1034035911241898E-2</v>
      </c>
      <c r="X29" s="89"/>
      <c r="Y29" s="166" t="s">
        <v>497</v>
      </c>
      <c r="Z29" s="87" t="s">
        <v>786</v>
      </c>
      <c r="AA29" s="95">
        <v>0.24248577740657745</v>
      </c>
    </row>
    <row r="30" spans="1:27" x14ac:dyDescent="0.6">
      <c r="A30" s="166" t="s">
        <v>498</v>
      </c>
      <c r="B30" s="89" t="s">
        <v>754</v>
      </c>
      <c r="C30" s="85" t="s">
        <v>755</v>
      </c>
      <c r="D30" s="170">
        <v>0.39357938441569834</v>
      </c>
      <c r="E30" s="85"/>
      <c r="F30" s="166" t="s">
        <v>498</v>
      </c>
      <c r="G30" s="89" t="s">
        <v>754</v>
      </c>
      <c r="H30" s="85" t="s">
        <v>755</v>
      </c>
      <c r="I30" s="95">
        <v>1.1508445078769014</v>
      </c>
      <c r="J30" s="87"/>
      <c r="K30" s="166" t="s">
        <v>498</v>
      </c>
      <c r="L30" s="87" t="s">
        <v>795</v>
      </c>
      <c r="M30" s="85" t="s">
        <v>796</v>
      </c>
      <c r="N30" s="171">
        <v>0.19750592027010661</v>
      </c>
      <c r="O30" s="85"/>
      <c r="P30" s="166" t="s">
        <v>498</v>
      </c>
      <c r="Q30" s="87" t="s">
        <v>814</v>
      </c>
      <c r="R30" s="87" t="s">
        <v>815</v>
      </c>
      <c r="S30" s="95">
        <v>0.70621780451855942</v>
      </c>
      <c r="T30" s="87"/>
      <c r="U30" s="166" t="s">
        <v>498</v>
      </c>
      <c r="V30" s="87" t="s">
        <v>535</v>
      </c>
      <c r="W30" s="95">
        <v>3.4991999075379573E-2</v>
      </c>
      <c r="X30" s="89"/>
      <c r="Y30" s="166" t="s">
        <v>498</v>
      </c>
      <c r="Z30" s="87" t="s">
        <v>532</v>
      </c>
      <c r="AA30" s="95">
        <v>0.2384384414678048</v>
      </c>
    </row>
    <row r="31" spans="1:27" x14ac:dyDescent="0.6">
      <c r="A31" s="166" t="s">
        <v>499</v>
      </c>
      <c r="B31" s="89" t="s">
        <v>816</v>
      </c>
      <c r="C31" s="85" t="s">
        <v>817</v>
      </c>
      <c r="D31" s="170">
        <v>0.39171246626512812</v>
      </c>
      <c r="E31" s="85"/>
      <c r="F31" s="166" t="s">
        <v>499</v>
      </c>
      <c r="G31" s="89" t="s">
        <v>761</v>
      </c>
      <c r="H31" s="85" t="s">
        <v>762</v>
      </c>
      <c r="I31" s="95">
        <v>1.0788620667072364</v>
      </c>
      <c r="J31" s="87"/>
      <c r="K31" s="166" t="s">
        <v>499</v>
      </c>
      <c r="L31" s="87" t="s">
        <v>814</v>
      </c>
      <c r="M31" s="85" t="s">
        <v>815</v>
      </c>
      <c r="N31" s="171">
        <v>0.195578645133587</v>
      </c>
      <c r="O31" s="85"/>
      <c r="P31" s="166" t="s">
        <v>499</v>
      </c>
      <c r="Q31" s="87" t="s">
        <v>818</v>
      </c>
      <c r="R31" s="87" t="s">
        <v>819</v>
      </c>
      <c r="S31" s="95">
        <v>0.4402340090129368</v>
      </c>
      <c r="T31" s="87"/>
      <c r="U31" s="166"/>
      <c r="V31" s="87"/>
      <c r="W31" s="95"/>
      <c r="X31" s="89"/>
      <c r="Y31" s="166" t="s">
        <v>499</v>
      </c>
      <c r="Z31" s="87" t="s">
        <v>820</v>
      </c>
      <c r="AA31" s="95">
        <v>0.22421482620353919</v>
      </c>
    </row>
    <row r="32" spans="1:27" x14ac:dyDescent="0.6">
      <c r="A32" s="166" t="s">
        <v>500</v>
      </c>
      <c r="B32" s="89" t="s">
        <v>745</v>
      </c>
      <c r="C32" s="85" t="s">
        <v>746</v>
      </c>
      <c r="D32" s="170">
        <v>0.29329590847478826</v>
      </c>
      <c r="E32" s="85"/>
      <c r="F32" s="166" t="s">
        <v>500</v>
      </c>
      <c r="G32" s="89" t="s">
        <v>821</v>
      </c>
      <c r="H32" s="85" t="s">
        <v>822</v>
      </c>
      <c r="I32" s="95">
        <v>1.0749400592546547</v>
      </c>
      <c r="J32" s="87"/>
      <c r="K32" s="166" t="s">
        <v>500</v>
      </c>
      <c r="L32" s="87" t="s">
        <v>823</v>
      </c>
      <c r="M32" s="85" t="s">
        <v>824</v>
      </c>
      <c r="N32" s="171">
        <v>0.10236701090932476</v>
      </c>
      <c r="O32" s="85"/>
      <c r="P32" s="166" t="s">
        <v>500</v>
      </c>
      <c r="Q32" s="87" t="s">
        <v>823</v>
      </c>
      <c r="R32" s="87" t="s">
        <v>824</v>
      </c>
      <c r="S32" s="95">
        <v>0.43255473127669614</v>
      </c>
      <c r="T32" s="87"/>
      <c r="U32" s="166"/>
      <c r="V32" s="87"/>
      <c r="W32" s="95"/>
      <c r="X32" s="89"/>
      <c r="Y32" s="166" t="s">
        <v>500</v>
      </c>
      <c r="Z32" s="87" t="s">
        <v>825</v>
      </c>
      <c r="AA32" s="95">
        <v>0.21675769927918109</v>
      </c>
    </row>
    <row r="33" spans="1:27" x14ac:dyDescent="0.6">
      <c r="A33" s="166" t="s">
        <v>501</v>
      </c>
      <c r="B33" s="89" t="s">
        <v>773</v>
      </c>
      <c r="C33" s="85" t="s">
        <v>774</v>
      </c>
      <c r="D33" s="170">
        <v>0.29318934517065287</v>
      </c>
      <c r="E33" s="85"/>
      <c r="F33" s="166" t="s">
        <v>501</v>
      </c>
      <c r="G33" s="89" t="s">
        <v>826</v>
      </c>
      <c r="H33" s="85" t="s">
        <v>827</v>
      </c>
      <c r="I33" s="95">
        <v>0.98147045931849464</v>
      </c>
      <c r="J33" s="87"/>
      <c r="K33" s="166"/>
      <c r="L33" s="87"/>
      <c r="M33" s="85"/>
      <c r="N33" s="171"/>
      <c r="O33" s="85"/>
      <c r="P33" s="166" t="s">
        <v>501</v>
      </c>
      <c r="Q33" s="87" t="s">
        <v>487</v>
      </c>
      <c r="R33" s="87" t="s">
        <v>794</v>
      </c>
      <c r="S33" s="95">
        <v>0.41015581111215371</v>
      </c>
      <c r="T33" s="87"/>
      <c r="U33" s="166"/>
      <c r="V33" s="87"/>
      <c r="W33" s="95"/>
      <c r="X33" s="89"/>
      <c r="Y33" s="166" t="s">
        <v>501</v>
      </c>
      <c r="Z33" s="87" t="s">
        <v>752</v>
      </c>
      <c r="AA33" s="95">
        <v>0.18752775906753999</v>
      </c>
    </row>
    <row r="34" spans="1:27" x14ac:dyDescent="0.6">
      <c r="A34" s="166" t="s">
        <v>502</v>
      </c>
      <c r="B34" s="89" t="s">
        <v>828</v>
      </c>
      <c r="C34" s="85" t="s">
        <v>829</v>
      </c>
      <c r="D34" s="170">
        <v>0.29125232370106263</v>
      </c>
      <c r="E34" s="85"/>
      <c r="F34" s="166" t="s">
        <v>502</v>
      </c>
      <c r="G34" s="89" t="s">
        <v>830</v>
      </c>
      <c r="H34" s="85" t="s">
        <v>831</v>
      </c>
      <c r="I34" s="95">
        <v>0.96723006910765752</v>
      </c>
      <c r="J34" s="87"/>
      <c r="K34" s="166"/>
      <c r="L34" s="87"/>
      <c r="M34" s="85"/>
      <c r="N34" s="171"/>
      <c r="O34" s="85"/>
      <c r="P34" s="166" t="s">
        <v>502</v>
      </c>
      <c r="Q34" s="87" t="s">
        <v>781</v>
      </c>
      <c r="R34" s="87" t="s">
        <v>782</v>
      </c>
      <c r="S34" s="95">
        <v>0.36717331809120751</v>
      </c>
      <c r="T34" s="87"/>
      <c r="U34" s="166"/>
      <c r="V34" s="87"/>
      <c r="W34" s="95"/>
      <c r="X34" s="89"/>
      <c r="Y34" s="166" t="s">
        <v>502</v>
      </c>
      <c r="Z34" s="87" t="s">
        <v>832</v>
      </c>
      <c r="AA34" s="95">
        <v>0.11741804036219143</v>
      </c>
    </row>
    <row r="35" spans="1:27" x14ac:dyDescent="0.6">
      <c r="A35" s="166" t="s">
        <v>503</v>
      </c>
      <c r="B35" s="89" t="s">
        <v>781</v>
      </c>
      <c r="C35" s="85" t="s">
        <v>782</v>
      </c>
      <c r="D35" s="170">
        <v>0.24345208353006476</v>
      </c>
      <c r="E35" s="85"/>
      <c r="F35" s="166" t="s">
        <v>503</v>
      </c>
      <c r="G35" s="89" t="s">
        <v>477</v>
      </c>
      <c r="H35" s="85" t="s">
        <v>750</v>
      </c>
      <c r="I35" s="95">
        <v>0.90330033670476528</v>
      </c>
      <c r="J35" s="87"/>
      <c r="K35" s="166"/>
      <c r="L35" s="87"/>
      <c r="M35" s="85"/>
      <c r="N35" s="171"/>
      <c r="O35" s="85"/>
      <c r="P35" s="166" t="s">
        <v>503</v>
      </c>
      <c r="Q35" s="87" t="s">
        <v>833</v>
      </c>
      <c r="R35" s="87" t="s">
        <v>834</v>
      </c>
      <c r="S35" s="95">
        <v>0.34500629816862155</v>
      </c>
      <c r="T35" s="87"/>
      <c r="U35" s="166"/>
      <c r="V35" s="87"/>
      <c r="W35" s="95"/>
      <c r="X35" s="87"/>
      <c r="Y35" s="166" t="s">
        <v>503</v>
      </c>
      <c r="Z35" s="87" t="s">
        <v>763</v>
      </c>
      <c r="AA35" s="95">
        <v>8.5530890319222883E-2</v>
      </c>
    </row>
    <row r="36" spans="1:27" x14ac:dyDescent="0.6">
      <c r="A36" s="166" t="s">
        <v>504</v>
      </c>
      <c r="B36" s="89" t="s">
        <v>482</v>
      </c>
      <c r="C36" s="85" t="s">
        <v>731</v>
      </c>
      <c r="D36" s="170">
        <v>0.23591425544855621</v>
      </c>
      <c r="E36" s="85"/>
      <c r="F36" s="166" t="s">
        <v>504</v>
      </c>
      <c r="G36" s="89" t="s">
        <v>769</v>
      </c>
      <c r="H36" s="85" t="s">
        <v>770</v>
      </c>
      <c r="I36" s="95">
        <v>0.79283618152267488</v>
      </c>
      <c r="J36" s="87"/>
      <c r="K36" s="166"/>
      <c r="L36" s="87"/>
      <c r="M36" s="85"/>
      <c r="N36" s="171"/>
      <c r="O36" s="85"/>
      <c r="P36" s="166" t="s">
        <v>504</v>
      </c>
      <c r="Q36" s="87" t="s">
        <v>835</v>
      </c>
      <c r="R36" s="87" t="s">
        <v>836</v>
      </c>
      <c r="S36" s="95">
        <v>0.32994303864092916</v>
      </c>
      <c r="T36" s="87"/>
      <c r="U36" s="166"/>
      <c r="V36" s="87"/>
      <c r="W36" s="95"/>
      <c r="X36" s="87"/>
      <c r="Y36" s="166" t="s">
        <v>504</v>
      </c>
      <c r="Z36" s="87" t="s">
        <v>525</v>
      </c>
      <c r="AA36" s="95">
        <v>8.0546620339860847E-2</v>
      </c>
    </row>
    <row r="37" spans="1:27" x14ac:dyDescent="0.6">
      <c r="A37" s="166" t="s">
        <v>505</v>
      </c>
      <c r="B37" s="89" t="s">
        <v>837</v>
      </c>
      <c r="C37" s="85" t="s">
        <v>838</v>
      </c>
      <c r="D37" s="170">
        <v>0.23434470264153767</v>
      </c>
      <c r="E37" s="85"/>
      <c r="F37" s="166" t="s">
        <v>505</v>
      </c>
      <c r="G37" s="89" t="s">
        <v>741</v>
      </c>
      <c r="H37" s="85" t="s">
        <v>742</v>
      </c>
      <c r="I37" s="95">
        <v>0.65138494235028643</v>
      </c>
      <c r="J37" s="87"/>
      <c r="K37" s="166"/>
      <c r="L37" s="87"/>
      <c r="M37" s="85"/>
      <c r="N37" s="171"/>
      <c r="O37" s="85"/>
      <c r="P37" s="166" t="s">
        <v>505</v>
      </c>
      <c r="Q37" s="87" t="s">
        <v>801</v>
      </c>
      <c r="R37" s="87" t="s">
        <v>802</v>
      </c>
      <c r="S37" s="95">
        <v>0.29587607397822979</v>
      </c>
      <c r="T37" s="87"/>
      <c r="U37" s="166"/>
      <c r="V37" s="87"/>
      <c r="W37" s="95"/>
      <c r="X37" s="87"/>
      <c r="Y37" s="166" t="s">
        <v>505</v>
      </c>
      <c r="Z37" s="87" t="s">
        <v>839</v>
      </c>
      <c r="AA37" s="95">
        <v>7.5137390621378322E-2</v>
      </c>
    </row>
    <row r="38" spans="1:27" x14ac:dyDescent="0.6">
      <c r="A38" s="166" t="s">
        <v>506</v>
      </c>
      <c r="B38" s="89" t="s">
        <v>840</v>
      </c>
      <c r="C38" s="85" t="s">
        <v>841</v>
      </c>
      <c r="D38" s="170">
        <v>0.21406006734612518</v>
      </c>
      <c r="E38" s="85"/>
      <c r="F38" s="166" t="s">
        <v>506</v>
      </c>
      <c r="G38" s="89" t="s">
        <v>773</v>
      </c>
      <c r="H38" s="85" t="s">
        <v>774</v>
      </c>
      <c r="I38" s="95">
        <v>0.48347526675231545</v>
      </c>
      <c r="J38" s="87"/>
      <c r="K38" s="166"/>
      <c r="L38" s="87"/>
      <c r="M38" s="85"/>
      <c r="N38" s="171"/>
      <c r="O38" s="85"/>
      <c r="P38" s="166" t="s">
        <v>506</v>
      </c>
      <c r="Q38" s="87" t="s">
        <v>842</v>
      </c>
      <c r="R38" s="87" t="s">
        <v>843</v>
      </c>
      <c r="S38" s="95">
        <v>0.28156468335611501</v>
      </c>
      <c r="T38" s="87"/>
      <c r="U38" s="166"/>
      <c r="V38" s="87"/>
      <c r="W38" s="95"/>
      <c r="X38" s="87"/>
      <c r="Y38" s="166" t="s">
        <v>506</v>
      </c>
      <c r="Z38" s="87" t="s">
        <v>535</v>
      </c>
      <c r="AA38" s="95">
        <v>6.913296444131159E-2</v>
      </c>
    </row>
    <row r="39" spans="1:27" x14ac:dyDescent="0.6">
      <c r="A39" s="166" t="s">
        <v>507</v>
      </c>
      <c r="B39" s="89" t="s">
        <v>479</v>
      </c>
      <c r="C39" s="85" t="s">
        <v>751</v>
      </c>
      <c r="D39" s="170">
        <v>0.21139066440156404</v>
      </c>
      <c r="E39" s="85"/>
      <c r="F39" s="166" t="s">
        <v>507</v>
      </c>
      <c r="G39" s="89" t="s">
        <v>729</v>
      </c>
      <c r="H39" s="85" t="s">
        <v>730</v>
      </c>
      <c r="I39" s="95">
        <v>0.47397233337029193</v>
      </c>
      <c r="J39" s="87"/>
      <c r="K39" s="166"/>
      <c r="L39" s="87"/>
      <c r="M39" s="85"/>
      <c r="N39" s="171"/>
      <c r="O39" s="85"/>
      <c r="P39" s="166" t="s">
        <v>507</v>
      </c>
      <c r="Q39" s="87" t="s">
        <v>844</v>
      </c>
      <c r="R39" s="87" t="s">
        <v>845</v>
      </c>
      <c r="S39" s="95">
        <v>0.14705965201208698</v>
      </c>
      <c r="T39" s="87"/>
      <c r="U39" s="166"/>
      <c r="V39" s="87"/>
      <c r="W39" s="95"/>
      <c r="X39" s="87"/>
      <c r="Y39" s="166" t="s">
        <v>507</v>
      </c>
      <c r="Z39" s="87" t="s">
        <v>846</v>
      </c>
      <c r="AA39" s="95">
        <v>6.4809836584587152E-2</v>
      </c>
    </row>
    <row r="40" spans="1:27" x14ac:dyDescent="0.6">
      <c r="A40" s="166" t="s">
        <v>508</v>
      </c>
      <c r="B40" s="89" t="s">
        <v>799</v>
      </c>
      <c r="C40" s="85" t="s">
        <v>800</v>
      </c>
      <c r="D40" s="170">
        <v>0.19704692027164938</v>
      </c>
      <c r="E40" s="85"/>
      <c r="F40" s="166" t="s">
        <v>508</v>
      </c>
      <c r="G40" s="89" t="s">
        <v>471</v>
      </c>
      <c r="H40" s="85" t="s">
        <v>726</v>
      </c>
      <c r="I40" s="95">
        <v>0.43807648140259808</v>
      </c>
      <c r="J40" s="87"/>
      <c r="K40" s="166"/>
      <c r="L40" s="87"/>
      <c r="M40" s="85"/>
      <c r="N40" s="171"/>
      <c r="O40" s="85"/>
      <c r="P40" s="166" t="s">
        <v>508</v>
      </c>
      <c r="Q40" s="87" t="s">
        <v>806</v>
      </c>
      <c r="R40" s="87" t="s">
        <v>807</v>
      </c>
      <c r="S40" s="95">
        <v>0.10786823578722181</v>
      </c>
      <c r="T40" s="87"/>
      <c r="U40" s="166"/>
      <c r="V40" s="87"/>
      <c r="W40" s="95"/>
      <c r="X40" s="87"/>
      <c r="Y40" s="166" t="s">
        <v>508</v>
      </c>
      <c r="Z40" s="87" t="s">
        <v>847</v>
      </c>
      <c r="AA40" s="95">
        <v>3.5610235590810904E-2</v>
      </c>
    </row>
    <row r="41" spans="1:27" x14ac:dyDescent="0.6">
      <c r="A41" s="166" t="s">
        <v>509</v>
      </c>
      <c r="B41" s="89" t="s">
        <v>757</v>
      </c>
      <c r="C41" s="85" t="s">
        <v>758</v>
      </c>
      <c r="D41" s="170">
        <v>0.16177775269590441</v>
      </c>
      <c r="E41" s="85"/>
      <c r="F41" s="166" t="s">
        <v>509</v>
      </c>
      <c r="G41" s="89" t="s">
        <v>747</v>
      </c>
      <c r="H41" s="85" t="s">
        <v>748</v>
      </c>
      <c r="I41" s="95">
        <v>0.34997325108781541</v>
      </c>
      <c r="J41" s="87"/>
      <c r="K41" s="166"/>
      <c r="L41" s="87"/>
      <c r="M41" s="85"/>
      <c r="N41" s="171"/>
      <c r="O41" s="85"/>
      <c r="P41" s="166" t="s">
        <v>509</v>
      </c>
      <c r="Q41" s="87" t="s">
        <v>759</v>
      </c>
      <c r="R41" s="87" t="s">
        <v>760</v>
      </c>
      <c r="S41" s="95">
        <v>0.10122469653145602</v>
      </c>
      <c r="T41" s="87"/>
      <c r="U41" s="166"/>
      <c r="V41" s="87"/>
      <c r="W41" s="95"/>
      <c r="X41" s="87"/>
      <c r="Y41" s="166" t="s">
        <v>509</v>
      </c>
      <c r="Z41" s="87" t="s">
        <v>848</v>
      </c>
      <c r="AA41" s="95">
        <v>3.4374333840845241E-2</v>
      </c>
    </row>
    <row r="42" spans="1:27" x14ac:dyDescent="0.6">
      <c r="A42" s="166" t="s">
        <v>510</v>
      </c>
      <c r="B42" s="89" t="s">
        <v>769</v>
      </c>
      <c r="C42" s="85" t="s">
        <v>770</v>
      </c>
      <c r="D42" s="170">
        <v>0.15402690232654026</v>
      </c>
      <c r="E42" s="85"/>
      <c r="F42" s="166" t="s">
        <v>510</v>
      </c>
      <c r="G42" s="89" t="s">
        <v>849</v>
      </c>
      <c r="H42" s="85" t="s">
        <v>850</v>
      </c>
      <c r="I42" s="95">
        <v>0.33097637033093341</v>
      </c>
      <c r="J42" s="87"/>
      <c r="K42" s="166"/>
      <c r="L42" s="87"/>
      <c r="M42" s="85"/>
      <c r="N42" s="171"/>
      <c r="O42" s="85"/>
      <c r="P42" s="166"/>
      <c r="Q42" s="87"/>
      <c r="R42" s="87"/>
      <c r="S42" s="95"/>
      <c r="T42" s="87"/>
      <c r="U42" s="166"/>
      <c r="V42" s="87"/>
      <c r="W42" s="95"/>
      <c r="X42" s="87"/>
      <c r="Y42" s="166" t="s">
        <v>510</v>
      </c>
      <c r="Z42" s="87" t="s">
        <v>851</v>
      </c>
      <c r="AA42" s="95">
        <v>1.8408531128494724E-2</v>
      </c>
    </row>
    <row r="43" spans="1:27" x14ac:dyDescent="0.6">
      <c r="A43" s="166" t="s">
        <v>511</v>
      </c>
      <c r="B43" s="89" t="s">
        <v>788</v>
      </c>
      <c r="C43" s="85" t="s">
        <v>789</v>
      </c>
      <c r="D43" s="170">
        <v>0.13051365450084185</v>
      </c>
      <c r="E43" s="85"/>
      <c r="F43" s="166" t="s">
        <v>511</v>
      </c>
      <c r="G43" s="89" t="s">
        <v>791</v>
      </c>
      <c r="H43" s="85" t="s">
        <v>792</v>
      </c>
      <c r="I43" s="95">
        <v>0.3191455533222079</v>
      </c>
      <c r="J43" s="87"/>
      <c r="K43" s="166"/>
      <c r="L43" s="87"/>
      <c r="M43" s="85"/>
      <c r="N43" s="171"/>
      <c r="O43" s="85"/>
      <c r="P43" s="166"/>
      <c r="Q43" s="87"/>
      <c r="R43" s="87"/>
      <c r="S43" s="95"/>
      <c r="T43" s="87"/>
      <c r="U43" s="166"/>
      <c r="V43" s="87"/>
      <c r="W43" s="95"/>
      <c r="X43" s="87"/>
      <c r="Y43" s="166" t="s">
        <v>511</v>
      </c>
      <c r="Z43" s="87" t="s">
        <v>793</v>
      </c>
      <c r="AA43" s="95">
        <v>1.8214697236580573E-2</v>
      </c>
    </row>
    <row r="44" spans="1:27" x14ac:dyDescent="0.6">
      <c r="A44" s="166" t="s">
        <v>512</v>
      </c>
      <c r="B44" s="89" t="s">
        <v>487</v>
      </c>
      <c r="C44" s="85" t="s">
        <v>794</v>
      </c>
      <c r="D44" s="170">
        <v>0.11070941471746423</v>
      </c>
      <c r="E44" s="85"/>
      <c r="F44" s="166" t="s">
        <v>512</v>
      </c>
      <c r="G44" s="89" t="s">
        <v>852</v>
      </c>
      <c r="H44" s="85" t="s">
        <v>853</v>
      </c>
      <c r="I44" s="95">
        <v>0.28957718906758806</v>
      </c>
      <c r="J44" s="87"/>
      <c r="K44" s="166"/>
      <c r="L44" s="87"/>
      <c r="M44" s="85"/>
      <c r="N44" s="171"/>
      <c r="O44" s="85"/>
      <c r="P44" s="166"/>
      <c r="Q44" s="87"/>
      <c r="R44" s="87"/>
      <c r="S44" s="95"/>
      <c r="T44" s="87"/>
      <c r="U44" s="166"/>
      <c r="V44" s="87"/>
      <c r="W44" s="95"/>
      <c r="X44" s="87"/>
      <c r="Y44" s="166" t="s">
        <v>512</v>
      </c>
      <c r="Z44" s="87" t="s">
        <v>536</v>
      </c>
      <c r="AA44" s="95">
        <v>1.73517150395367E-2</v>
      </c>
    </row>
    <row r="45" spans="1:27" x14ac:dyDescent="0.6">
      <c r="A45" s="166" t="s">
        <v>513</v>
      </c>
      <c r="B45" s="89" t="s">
        <v>830</v>
      </c>
      <c r="C45" s="85" t="s">
        <v>831</v>
      </c>
      <c r="D45" s="170">
        <v>0.10504429456956996</v>
      </c>
      <c r="E45" s="85"/>
      <c r="F45" s="166" t="s">
        <v>513</v>
      </c>
      <c r="G45" s="89" t="s">
        <v>795</v>
      </c>
      <c r="H45" s="85" t="s">
        <v>796</v>
      </c>
      <c r="I45" s="95">
        <v>0.26677161071559563</v>
      </c>
      <c r="J45" s="87"/>
      <c r="K45" s="166"/>
      <c r="L45" s="87"/>
      <c r="M45" s="85"/>
      <c r="N45" s="171"/>
      <c r="O45" s="85"/>
      <c r="P45" s="166"/>
      <c r="Q45" s="87"/>
      <c r="R45" s="87"/>
      <c r="S45" s="95"/>
      <c r="T45" s="87"/>
      <c r="U45" s="166"/>
      <c r="V45" s="87"/>
      <c r="W45" s="95"/>
      <c r="X45" s="87"/>
      <c r="Y45" s="166" t="s">
        <v>513</v>
      </c>
      <c r="Z45" s="87" t="s">
        <v>854</v>
      </c>
      <c r="AA45" s="95">
        <v>1.7068759695144629E-2</v>
      </c>
    </row>
    <row r="46" spans="1:27" x14ac:dyDescent="0.6">
      <c r="A46" s="166"/>
      <c r="B46" s="89"/>
      <c r="C46" s="85"/>
      <c r="D46" s="170"/>
      <c r="E46" s="85"/>
      <c r="F46" s="166" t="s">
        <v>514</v>
      </c>
      <c r="G46" s="89" t="s">
        <v>855</v>
      </c>
      <c r="H46" s="85" t="s">
        <v>856</v>
      </c>
      <c r="I46" s="95">
        <v>0.26194817133877135</v>
      </c>
      <c r="J46" s="87"/>
      <c r="K46" s="166"/>
      <c r="L46" s="87"/>
      <c r="M46" s="85"/>
      <c r="N46" s="171"/>
      <c r="O46" s="85"/>
      <c r="P46" s="166"/>
      <c r="Q46" s="87"/>
      <c r="R46" s="87"/>
      <c r="S46" s="95"/>
      <c r="T46" s="87"/>
      <c r="U46" s="166"/>
      <c r="V46" s="87"/>
      <c r="W46" s="95"/>
      <c r="X46" s="87"/>
      <c r="Y46" s="166" t="s">
        <v>514</v>
      </c>
      <c r="Z46" s="87" t="s">
        <v>756</v>
      </c>
      <c r="AA46" s="95">
        <v>1.2853504613050687E-2</v>
      </c>
    </row>
    <row r="47" spans="1:27" x14ac:dyDescent="0.6">
      <c r="A47" s="166"/>
      <c r="B47" s="89"/>
      <c r="C47" s="85"/>
      <c r="D47" s="170"/>
      <c r="E47" s="85"/>
      <c r="F47" s="166" t="s">
        <v>515</v>
      </c>
      <c r="G47" s="89" t="s">
        <v>857</v>
      </c>
      <c r="H47" s="85" t="s">
        <v>858</v>
      </c>
      <c r="I47" s="95">
        <v>0.2312326140187442</v>
      </c>
      <c r="J47" s="87"/>
      <c r="K47" s="166"/>
      <c r="L47" s="87"/>
      <c r="M47" s="85"/>
      <c r="N47" s="171"/>
      <c r="O47" s="85"/>
      <c r="P47" s="166"/>
      <c r="Q47" s="87"/>
      <c r="R47" s="87"/>
      <c r="S47" s="95"/>
      <c r="T47" s="87"/>
      <c r="U47" s="166"/>
      <c r="V47" s="87"/>
      <c r="W47" s="95"/>
      <c r="X47" s="87"/>
      <c r="Y47" s="166" t="s">
        <v>515</v>
      </c>
      <c r="Z47" s="87" t="s">
        <v>810</v>
      </c>
      <c r="AA47" s="95">
        <v>1.1910460591085751E-2</v>
      </c>
    </row>
    <row r="48" spans="1:27" x14ac:dyDescent="0.6">
      <c r="A48" s="166"/>
      <c r="B48" s="89"/>
      <c r="C48" s="85"/>
      <c r="D48" s="170"/>
      <c r="E48" s="85"/>
      <c r="F48" s="166" t="s">
        <v>516</v>
      </c>
      <c r="G48" s="89" t="s">
        <v>777</v>
      </c>
      <c r="H48" s="85" t="s">
        <v>778</v>
      </c>
      <c r="I48" s="95">
        <v>0.22928200420998746</v>
      </c>
      <c r="J48" s="87"/>
      <c r="K48" s="166"/>
      <c r="L48" s="87"/>
      <c r="M48" s="85"/>
      <c r="N48" s="171"/>
      <c r="O48" s="85"/>
      <c r="P48" s="166"/>
      <c r="Q48" s="87"/>
      <c r="R48" s="87"/>
      <c r="S48" s="95"/>
      <c r="T48" s="87"/>
      <c r="U48" s="166"/>
      <c r="V48" s="87"/>
      <c r="W48" s="95"/>
      <c r="X48" s="87"/>
      <c r="Y48" s="166" t="s">
        <v>516</v>
      </c>
      <c r="Z48" s="87" t="s">
        <v>859</v>
      </c>
      <c r="AA48" s="95">
        <v>8.9241545215301178E-3</v>
      </c>
    </row>
    <row r="49" spans="1:27" x14ac:dyDescent="0.6">
      <c r="A49" s="166"/>
      <c r="B49" s="89"/>
      <c r="C49" s="85"/>
      <c r="D49" s="170"/>
      <c r="E49" s="85"/>
      <c r="F49" s="166" t="s">
        <v>517</v>
      </c>
      <c r="G49" s="89" t="s">
        <v>803</v>
      </c>
      <c r="H49" s="85" t="s">
        <v>804</v>
      </c>
      <c r="I49" s="95">
        <v>0.2288354735114774</v>
      </c>
      <c r="J49" s="87"/>
      <c r="K49" s="166"/>
      <c r="L49" s="87"/>
      <c r="M49" s="85"/>
      <c r="N49" s="171"/>
      <c r="O49" s="85"/>
      <c r="P49" s="166"/>
      <c r="Q49" s="87"/>
      <c r="R49" s="87"/>
      <c r="S49" s="95"/>
      <c r="T49" s="87"/>
      <c r="U49" s="166"/>
      <c r="V49" s="87"/>
      <c r="W49" s="95"/>
      <c r="X49" s="87"/>
      <c r="Y49" s="166" t="s">
        <v>517</v>
      </c>
      <c r="Z49" s="87" t="s">
        <v>860</v>
      </c>
      <c r="AA49" s="95">
        <v>7.341458656248483E-3</v>
      </c>
    </row>
    <row r="50" spans="1:27" x14ac:dyDescent="0.6">
      <c r="A50" s="166"/>
      <c r="B50" s="89"/>
      <c r="C50" s="85"/>
      <c r="D50" s="170"/>
      <c r="E50" s="85"/>
      <c r="F50" s="166" t="s">
        <v>518</v>
      </c>
      <c r="G50" s="89" t="s">
        <v>808</v>
      </c>
      <c r="H50" s="85" t="s">
        <v>809</v>
      </c>
      <c r="I50" s="95">
        <v>0.21355572232121381</v>
      </c>
      <c r="J50" s="87"/>
      <c r="K50" s="166"/>
      <c r="L50" s="87"/>
      <c r="M50" s="85"/>
      <c r="N50" s="171"/>
      <c r="O50" s="85"/>
      <c r="P50" s="166"/>
      <c r="Q50" s="87"/>
      <c r="R50" s="87"/>
      <c r="S50" s="95"/>
      <c r="T50" s="87"/>
      <c r="U50" s="166"/>
      <c r="V50" s="87"/>
      <c r="W50" s="95"/>
      <c r="X50" s="87"/>
      <c r="Y50" s="166"/>
      <c r="Z50" s="87"/>
      <c r="AA50" s="95"/>
    </row>
    <row r="51" spans="1:27" x14ac:dyDescent="0.6">
      <c r="A51" s="166"/>
      <c r="B51" s="89"/>
      <c r="C51" s="85"/>
      <c r="D51" s="170"/>
      <c r="E51" s="85"/>
      <c r="F51" s="166" t="s">
        <v>519</v>
      </c>
      <c r="G51" s="89" t="s">
        <v>861</v>
      </c>
      <c r="H51" s="85" t="s">
        <v>862</v>
      </c>
      <c r="I51" s="95">
        <v>0.19858308023541482</v>
      </c>
      <c r="J51" s="87"/>
      <c r="K51" s="166"/>
      <c r="L51" s="87"/>
      <c r="M51" s="87"/>
      <c r="N51" s="95"/>
      <c r="O51" s="87"/>
      <c r="P51" s="166"/>
      <c r="Q51" s="87"/>
      <c r="R51" s="87"/>
      <c r="S51" s="95"/>
      <c r="T51" s="87"/>
      <c r="U51" s="166"/>
      <c r="V51" s="87"/>
      <c r="W51" s="95"/>
      <c r="X51" s="87"/>
      <c r="Y51" s="166"/>
      <c r="Z51" s="87"/>
      <c r="AA51" s="95"/>
    </row>
    <row r="52" spans="1:27" x14ac:dyDescent="0.6">
      <c r="A52" s="166"/>
      <c r="B52" s="89"/>
      <c r="C52" s="85"/>
      <c r="D52" s="170"/>
      <c r="E52" s="85"/>
      <c r="F52" s="166" t="s">
        <v>863</v>
      </c>
      <c r="G52" s="89" t="s">
        <v>864</v>
      </c>
      <c r="H52" s="85" t="s">
        <v>865</v>
      </c>
      <c r="I52" s="95">
        <v>0.19435556392621955</v>
      </c>
      <c r="J52" s="87"/>
      <c r="K52" s="166"/>
      <c r="L52" s="87"/>
      <c r="M52" s="87"/>
      <c r="N52" s="95"/>
      <c r="O52" s="87"/>
      <c r="P52" s="166"/>
      <c r="Q52" s="87"/>
      <c r="R52" s="87"/>
      <c r="S52" s="95"/>
      <c r="T52" s="87"/>
      <c r="U52" s="166"/>
      <c r="V52" s="87"/>
      <c r="W52" s="95"/>
      <c r="X52" s="87"/>
      <c r="Y52" s="166"/>
      <c r="Z52" s="87"/>
      <c r="AA52" s="95"/>
    </row>
    <row r="53" spans="1:27" x14ac:dyDescent="0.6">
      <c r="A53" s="166"/>
      <c r="B53" s="89"/>
      <c r="C53" s="85"/>
      <c r="D53" s="170"/>
      <c r="E53" s="85"/>
      <c r="F53" s="166" t="s">
        <v>866</v>
      </c>
      <c r="G53" s="89" t="s">
        <v>812</v>
      </c>
      <c r="H53" s="85" t="s">
        <v>813</v>
      </c>
      <c r="I53" s="95">
        <v>0.18810364176312439</v>
      </c>
      <c r="J53" s="87"/>
      <c r="K53" s="166"/>
      <c r="L53" s="87"/>
      <c r="M53" s="87"/>
      <c r="N53" s="95"/>
      <c r="O53" s="87"/>
      <c r="P53" s="166"/>
      <c r="Q53" s="87"/>
      <c r="R53" s="87"/>
      <c r="S53" s="95"/>
      <c r="T53" s="87"/>
      <c r="U53" s="166"/>
      <c r="V53" s="87"/>
      <c r="W53" s="95"/>
      <c r="X53" s="87"/>
      <c r="Y53" s="166"/>
      <c r="Z53" s="87"/>
      <c r="AA53" s="95"/>
    </row>
    <row r="54" spans="1:27" x14ac:dyDescent="0.6">
      <c r="A54" s="166"/>
      <c r="B54" s="89"/>
      <c r="C54" s="85"/>
      <c r="D54" s="170"/>
      <c r="E54" s="85"/>
      <c r="F54" s="166" t="s">
        <v>867</v>
      </c>
      <c r="G54" s="87" t="s">
        <v>868</v>
      </c>
      <c r="H54" s="85" t="s">
        <v>869</v>
      </c>
      <c r="I54" s="95">
        <v>0.1682071447478313</v>
      </c>
      <c r="J54" s="87"/>
      <c r="K54" s="166"/>
      <c r="L54" s="87"/>
      <c r="M54" s="87"/>
      <c r="N54" s="95"/>
      <c r="O54" s="87"/>
      <c r="P54" s="166"/>
      <c r="Q54" s="87"/>
      <c r="R54" s="87"/>
      <c r="S54" s="95"/>
      <c r="T54" s="87"/>
      <c r="U54" s="166"/>
      <c r="V54" s="87"/>
      <c r="W54" s="95"/>
      <c r="X54" s="87"/>
      <c r="Y54" s="166"/>
      <c r="Z54" s="87"/>
      <c r="AA54" s="95"/>
    </row>
    <row r="55" spans="1:27" x14ac:dyDescent="0.6">
      <c r="A55" s="166"/>
      <c r="B55" s="89"/>
      <c r="C55" s="85"/>
      <c r="D55" s="170"/>
      <c r="E55" s="85"/>
      <c r="F55" s="166" t="s">
        <v>870</v>
      </c>
      <c r="G55" s="87" t="s">
        <v>814</v>
      </c>
      <c r="H55" s="85" t="s">
        <v>815</v>
      </c>
      <c r="I55" s="95">
        <v>0.15786737406156351</v>
      </c>
      <c r="J55" s="87"/>
      <c r="K55" s="166"/>
      <c r="L55" s="87"/>
      <c r="M55" s="87"/>
      <c r="N55" s="95"/>
      <c r="O55" s="87"/>
      <c r="P55" s="166"/>
      <c r="Q55" s="87"/>
      <c r="R55" s="87"/>
      <c r="S55" s="95"/>
      <c r="T55" s="87"/>
      <c r="U55" s="166"/>
      <c r="V55" s="87"/>
      <c r="W55" s="95"/>
      <c r="X55" s="87"/>
      <c r="Y55" s="166"/>
      <c r="Z55" s="87"/>
      <c r="AA55" s="95"/>
    </row>
    <row r="56" spans="1:27" x14ac:dyDescent="0.6">
      <c r="A56" s="166"/>
      <c r="B56" s="89"/>
      <c r="C56" s="85"/>
      <c r="D56" s="170"/>
      <c r="E56" s="85"/>
      <c r="F56" s="166" t="s">
        <v>871</v>
      </c>
      <c r="G56" s="87" t="s">
        <v>872</v>
      </c>
      <c r="H56" s="85" t="s">
        <v>873</v>
      </c>
      <c r="I56" s="95">
        <v>0.14921868067916721</v>
      </c>
      <c r="J56" s="87"/>
      <c r="K56" s="166"/>
      <c r="L56" s="87"/>
      <c r="M56" s="87"/>
      <c r="N56" s="95"/>
      <c r="O56" s="87"/>
      <c r="P56" s="166"/>
      <c r="Q56" s="87"/>
      <c r="R56" s="87"/>
      <c r="S56" s="95"/>
      <c r="T56" s="87"/>
      <c r="U56" s="166"/>
      <c r="V56" s="87"/>
      <c r="W56" s="95"/>
      <c r="X56" s="87"/>
      <c r="Y56" s="166"/>
      <c r="Z56" s="87"/>
      <c r="AA56" s="95"/>
    </row>
    <row r="57" spans="1:27" x14ac:dyDescent="0.6">
      <c r="A57" s="166"/>
      <c r="B57" s="89"/>
      <c r="C57" s="85"/>
      <c r="D57" s="170"/>
      <c r="E57" s="85"/>
      <c r="F57" s="166" t="s">
        <v>874</v>
      </c>
      <c r="G57" s="87" t="s">
        <v>875</v>
      </c>
      <c r="H57" s="85" t="s">
        <v>876</v>
      </c>
      <c r="I57" s="95">
        <v>0.1420502011722351</v>
      </c>
      <c r="J57" s="87"/>
      <c r="K57" s="166"/>
      <c r="L57" s="87"/>
      <c r="M57" s="87"/>
      <c r="N57" s="95"/>
      <c r="O57" s="87"/>
      <c r="P57" s="166"/>
      <c r="Q57" s="87"/>
      <c r="R57" s="87"/>
      <c r="S57" s="95"/>
      <c r="T57" s="87"/>
      <c r="U57" s="166"/>
      <c r="V57" s="87"/>
      <c r="W57" s="95"/>
      <c r="X57" s="87"/>
      <c r="Y57" s="166"/>
      <c r="Z57" s="87"/>
      <c r="AA57" s="95"/>
    </row>
    <row r="58" spans="1:27" x14ac:dyDescent="0.6">
      <c r="A58" s="166"/>
      <c r="B58" s="89"/>
      <c r="C58" s="85"/>
      <c r="D58" s="170"/>
      <c r="E58" s="85"/>
      <c r="F58" s="166" t="s">
        <v>877</v>
      </c>
      <c r="G58" s="87" t="s">
        <v>878</v>
      </c>
      <c r="H58" s="85" t="s">
        <v>879</v>
      </c>
      <c r="I58" s="95">
        <v>0.13630137231439443</v>
      </c>
      <c r="J58" s="87"/>
      <c r="K58" s="166"/>
      <c r="L58" s="87"/>
      <c r="M58" s="87"/>
      <c r="N58" s="95"/>
      <c r="O58" s="87"/>
      <c r="P58" s="166"/>
      <c r="Q58" s="87"/>
      <c r="R58" s="87"/>
      <c r="S58" s="95"/>
      <c r="T58" s="87"/>
      <c r="U58" s="166"/>
      <c r="V58" s="87"/>
      <c r="W58" s="95"/>
      <c r="X58" s="87"/>
      <c r="Y58" s="166"/>
      <c r="Z58" s="87"/>
      <c r="AA58" s="95"/>
    </row>
    <row r="59" spans="1:27" x14ac:dyDescent="0.6">
      <c r="A59" s="166"/>
      <c r="B59" s="89"/>
      <c r="C59" s="85"/>
      <c r="D59" s="170"/>
      <c r="E59" s="85"/>
      <c r="F59" s="166" t="s">
        <v>880</v>
      </c>
      <c r="G59" s="87" t="s">
        <v>881</v>
      </c>
      <c r="H59" s="85" t="s">
        <v>882</v>
      </c>
      <c r="I59" s="95">
        <v>0.11376697442520506</v>
      </c>
      <c r="J59" s="87"/>
      <c r="K59" s="166"/>
      <c r="L59" s="87"/>
      <c r="M59" s="87"/>
      <c r="N59" s="95"/>
      <c r="O59" s="87"/>
      <c r="P59" s="166"/>
      <c r="Q59" s="87"/>
      <c r="R59" s="87"/>
      <c r="S59" s="95"/>
      <c r="T59" s="87"/>
      <c r="U59" s="166"/>
      <c r="V59" s="87"/>
      <c r="W59" s="95"/>
      <c r="X59" s="87"/>
      <c r="Y59" s="166"/>
      <c r="Z59" s="87"/>
      <c r="AA59" s="95"/>
    </row>
    <row r="60" spans="1:27" x14ac:dyDescent="0.6">
      <c r="A60" s="166"/>
      <c r="B60" s="89"/>
      <c r="C60" s="85"/>
      <c r="D60" s="170"/>
      <c r="E60" s="85"/>
      <c r="F60" s="166" t="s">
        <v>883</v>
      </c>
      <c r="G60" s="87" t="s">
        <v>884</v>
      </c>
      <c r="H60" s="85" t="s">
        <v>885</v>
      </c>
      <c r="I60" s="95">
        <v>0.11272992149556409</v>
      </c>
      <c r="J60" s="87"/>
      <c r="K60" s="166"/>
      <c r="L60" s="87"/>
      <c r="M60" s="87"/>
      <c r="N60" s="95"/>
      <c r="O60" s="87"/>
      <c r="P60" s="166"/>
      <c r="Q60" s="172"/>
      <c r="R60" s="87"/>
      <c r="S60" s="95"/>
      <c r="T60" s="87"/>
      <c r="U60" s="166"/>
      <c r="V60" s="87"/>
      <c r="W60" s="95"/>
      <c r="X60" s="87"/>
      <c r="Y60" s="166"/>
      <c r="Z60" s="87"/>
      <c r="AA60" s="95"/>
    </row>
    <row r="61" spans="1:27" x14ac:dyDescent="0.6">
      <c r="A61" s="166"/>
      <c r="B61" s="89"/>
      <c r="C61" s="85"/>
      <c r="D61" s="170"/>
      <c r="E61" s="85"/>
      <c r="F61" s="166" t="s">
        <v>886</v>
      </c>
      <c r="G61" s="87" t="s">
        <v>887</v>
      </c>
      <c r="H61" s="85" t="s">
        <v>888</v>
      </c>
      <c r="I61" s="95">
        <v>0.11013765845942732</v>
      </c>
      <c r="J61" s="87"/>
      <c r="K61" s="166"/>
      <c r="L61" s="87"/>
      <c r="M61" s="87"/>
      <c r="N61" s="95"/>
      <c r="O61" s="87"/>
      <c r="P61" s="166"/>
      <c r="Q61" s="87"/>
      <c r="R61" s="87"/>
      <c r="S61" s="95"/>
      <c r="T61" s="87"/>
      <c r="U61" s="166"/>
      <c r="V61" s="87"/>
      <c r="W61" s="95"/>
      <c r="X61" s="87"/>
      <c r="Y61" s="166"/>
      <c r="Z61" s="87"/>
      <c r="AA61" s="95"/>
    </row>
    <row r="62" spans="1:27" x14ac:dyDescent="0.6">
      <c r="A62" s="166"/>
      <c r="B62" s="89"/>
      <c r="C62" s="85"/>
      <c r="D62" s="170"/>
      <c r="E62" s="85"/>
      <c r="F62" s="166" t="s">
        <v>889</v>
      </c>
      <c r="G62" s="87" t="s">
        <v>890</v>
      </c>
      <c r="H62" s="85" t="s">
        <v>891</v>
      </c>
      <c r="I62" s="95">
        <v>0.1042786586918233</v>
      </c>
      <c r="J62" s="87"/>
      <c r="K62" s="166"/>
      <c r="L62" s="87"/>
      <c r="M62" s="87"/>
      <c r="N62" s="95"/>
      <c r="O62" s="87"/>
      <c r="P62" s="166"/>
      <c r="Q62" s="173"/>
      <c r="R62" s="87"/>
      <c r="S62" s="95"/>
      <c r="T62" s="87"/>
      <c r="U62" s="166"/>
      <c r="V62" s="87"/>
      <c r="W62" s="95"/>
      <c r="X62" s="87"/>
      <c r="Y62" s="166"/>
      <c r="Z62" s="87"/>
      <c r="AA62" s="95"/>
    </row>
    <row r="63" spans="1:27" x14ac:dyDescent="0.6">
      <c r="A63" s="166"/>
      <c r="B63" s="89"/>
      <c r="C63" s="85"/>
      <c r="D63" s="170"/>
      <c r="E63" s="85"/>
      <c r="F63" s="166"/>
      <c r="G63" s="87"/>
      <c r="H63" s="85"/>
      <c r="I63" s="95"/>
      <c r="J63" s="87"/>
      <c r="K63" s="166"/>
      <c r="L63" s="87"/>
      <c r="M63" s="87"/>
      <c r="N63" s="95"/>
      <c r="O63" s="87"/>
      <c r="P63" s="166"/>
      <c r="Q63" s="95"/>
      <c r="R63" s="87"/>
      <c r="S63" s="95"/>
      <c r="T63" s="87"/>
      <c r="U63" s="166"/>
      <c r="V63" s="87"/>
      <c r="W63" s="95"/>
      <c r="X63" s="87"/>
      <c r="Y63" s="166"/>
      <c r="Z63" s="87"/>
      <c r="AA63" s="95"/>
    </row>
    <row r="64" spans="1:27" x14ac:dyDescent="0.6">
      <c r="A64" s="166"/>
      <c r="B64" s="40"/>
      <c r="C64" s="85"/>
      <c r="D64" s="170"/>
      <c r="E64" s="85"/>
      <c r="F64" s="166"/>
      <c r="G64" s="40"/>
      <c r="H64" s="85"/>
      <c r="I64" s="95"/>
      <c r="J64" s="87"/>
      <c r="K64" s="166"/>
      <c r="L64" s="87"/>
      <c r="M64" s="87"/>
      <c r="N64" s="95"/>
      <c r="O64" s="87"/>
      <c r="P64" s="166"/>
      <c r="Q64" s="95"/>
      <c r="R64" s="87"/>
      <c r="S64" s="95"/>
      <c r="T64" s="87"/>
      <c r="U64" s="166"/>
      <c r="V64" s="87"/>
      <c r="W64" s="95"/>
      <c r="X64" s="87"/>
      <c r="Y64" s="166"/>
      <c r="Z64" s="87"/>
      <c r="AA64" s="95"/>
    </row>
    <row r="65" spans="1:27" x14ac:dyDescent="0.6">
      <c r="A65" s="166"/>
      <c r="B65" s="40"/>
      <c r="C65" s="85"/>
      <c r="D65" s="170"/>
      <c r="E65" s="85"/>
      <c r="F65" s="166"/>
      <c r="G65" s="40"/>
      <c r="H65" s="85"/>
      <c r="I65" s="95"/>
      <c r="J65" s="87"/>
      <c r="K65" s="166"/>
      <c r="L65" s="87"/>
      <c r="M65" s="87"/>
      <c r="N65" s="95"/>
      <c r="O65" s="87"/>
      <c r="P65" s="166"/>
      <c r="Q65" s="95"/>
      <c r="R65" s="87"/>
      <c r="S65" s="95"/>
      <c r="T65" s="87"/>
      <c r="U65" s="166"/>
      <c r="V65" s="87"/>
      <c r="W65" s="95"/>
      <c r="X65" s="87"/>
      <c r="Y65" s="166"/>
      <c r="Z65" s="87"/>
      <c r="AA65" s="95"/>
    </row>
    <row r="66" spans="1:27" x14ac:dyDescent="0.6">
      <c r="A66" s="166"/>
      <c r="B66" s="40"/>
      <c r="C66" s="85"/>
      <c r="D66" s="170"/>
      <c r="E66" s="85"/>
      <c r="F66" s="166"/>
      <c r="G66" s="40"/>
      <c r="H66" s="85"/>
      <c r="I66" s="95"/>
      <c r="J66" s="87"/>
      <c r="K66" s="166"/>
      <c r="L66" s="87"/>
      <c r="M66" s="87"/>
      <c r="N66" s="95"/>
      <c r="O66" s="87"/>
      <c r="P66" s="166"/>
      <c r="Q66" s="95"/>
      <c r="R66" s="87"/>
      <c r="S66" s="95"/>
      <c r="T66" s="87"/>
      <c r="U66" s="166"/>
      <c r="V66" s="87"/>
      <c r="W66" s="95"/>
      <c r="X66" s="87"/>
      <c r="Y66" s="166"/>
      <c r="Z66" s="87"/>
      <c r="AA66" s="95"/>
    </row>
    <row r="67" spans="1:27" x14ac:dyDescent="0.6">
      <c r="A67" s="166"/>
      <c r="B67" s="40"/>
      <c r="C67" s="85"/>
      <c r="D67" s="170"/>
      <c r="E67" s="85"/>
      <c r="F67" s="166"/>
      <c r="G67" s="40"/>
      <c r="H67" s="85"/>
      <c r="I67" s="95"/>
      <c r="J67" s="87"/>
      <c r="K67" s="166"/>
      <c r="L67" s="87"/>
      <c r="M67" s="87"/>
      <c r="N67" s="95"/>
      <c r="O67" s="87"/>
      <c r="P67" s="166"/>
      <c r="Q67" s="95"/>
      <c r="R67" s="87"/>
      <c r="S67" s="95"/>
      <c r="T67" s="87"/>
      <c r="U67" s="166"/>
      <c r="V67" s="87"/>
      <c r="W67" s="95"/>
      <c r="X67" s="87"/>
      <c r="Y67" s="166"/>
      <c r="Z67" s="87"/>
      <c r="AA67" s="95"/>
    </row>
    <row r="68" spans="1:27" x14ac:dyDescent="0.6">
      <c r="A68" s="166"/>
      <c r="B68" s="87"/>
      <c r="C68" s="85"/>
      <c r="D68" s="170"/>
      <c r="E68" s="85"/>
      <c r="F68" s="166"/>
      <c r="G68" s="87"/>
      <c r="H68" s="85"/>
      <c r="I68" s="95"/>
      <c r="J68" s="87"/>
      <c r="K68" s="166"/>
      <c r="L68" s="87"/>
      <c r="M68" s="87"/>
      <c r="N68" s="95"/>
      <c r="O68" s="87"/>
      <c r="P68" s="166"/>
      <c r="Q68" s="95"/>
      <c r="R68" s="87"/>
      <c r="S68" s="95"/>
      <c r="T68" s="87"/>
      <c r="U68" s="87"/>
      <c r="V68" s="87"/>
      <c r="W68" s="87"/>
      <c r="X68" s="87"/>
      <c r="Y68" s="166"/>
      <c r="Z68" s="87"/>
      <c r="AA68" s="95"/>
    </row>
    <row r="69" spans="1:27" x14ac:dyDescent="0.6">
      <c r="A69" s="166"/>
      <c r="B69" s="87"/>
      <c r="C69" s="85"/>
      <c r="D69" s="170"/>
      <c r="E69" s="85"/>
      <c r="F69" s="166"/>
      <c r="G69" s="87"/>
      <c r="H69" s="85"/>
      <c r="I69" s="95"/>
      <c r="J69" s="87"/>
      <c r="K69" s="166"/>
      <c r="L69" s="87"/>
      <c r="M69" s="87"/>
      <c r="N69" s="95"/>
      <c r="O69" s="87"/>
      <c r="P69" s="166"/>
      <c r="Q69" s="95"/>
      <c r="R69" s="87"/>
      <c r="S69" s="95"/>
      <c r="T69" s="87"/>
      <c r="U69" s="87"/>
      <c r="V69" s="87"/>
      <c r="W69" s="87"/>
      <c r="X69" s="87"/>
      <c r="Y69" s="166"/>
      <c r="Z69" s="87"/>
      <c r="AA69" s="95"/>
    </row>
    <row r="70" spans="1:27" x14ac:dyDescent="0.6">
      <c r="A70" s="166"/>
      <c r="B70" s="87"/>
      <c r="C70" s="85"/>
      <c r="D70" s="170"/>
      <c r="E70" s="85"/>
      <c r="F70" s="166"/>
      <c r="G70" s="87"/>
      <c r="H70" s="85"/>
      <c r="I70" s="95"/>
      <c r="J70" s="87"/>
      <c r="K70" s="166"/>
      <c r="L70" s="87"/>
      <c r="M70" s="87"/>
      <c r="N70" s="95"/>
      <c r="O70" s="87"/>
      <c r="P70" s="166"/>
      <c r="Q70" s="95"/>
      <c r="R70" s="87"/>
      <c r="S70" s="95"/>
      <c r="T70" s="87"/>
      <c r="U70" s="87"/>
      <c r="V70" s="87"/>
      <c r="W70" s="87"/>
      <c r="X70" s="87"/>
      <c r="Y70" s="166"/>
      <c r="Z70" s="87"/>
      <c r="AA70" s="95"/>
    </row>
    <row r="71" spans="1:27" x14ac:dyDescent="0.6">
      <c r="A71" s="166"/>
      <c r="B71" s="87"/>
      <c r="C71" s="85"/>
      <c r="D71" s="170"/>
      <c r="E71" s="85"/>
      <c r="F71" s="166"/>
      <c r="G71" s="87"/>
      <c r="H71" s="85"/>
      <c r="I71" s="95"/>
      <c r="J71" s="87"/>
      <c r="K71" s="166"/>
      <c r="L71" s="87"/>
      <c r="M71" s="87"/>
      <c r="N71" s="95"/>
      <c r="O71" s="87"/>
      <c r="P71" s="166"/>
      <c r="Q71" s="95"/>
      <c r="R71" s="87"/>
      <c r="S71" s="95"/>
      <c r="T71" s="87"/>
      <c r="U71" s="87"/>
      <c r="V71" s="87"/>
      <c r="W71" s="87"/>
      <c r="X71" s="87"/>
      <c r="Y71" s="166"/>
      <c r="Z71" s="87"/>
      <c r="AA71" s="95"/>
    </row>
    <row r="72" spans="1:27" x14ac:dyDescent="0.6">
      <c r="A72" s="166"/>
      <c r="B72" s="87"/>
      <c r="C72" s="85"/>
      <c r="D72" s="170"/>
      <c r="E72" s="85"/>
      <c r="F72" s="166"/>
      <c r="G72" s="87"/>
      <c r="H72" s="85"/>
      <c r="I72" s="95"/>
      <c r="J72" s="87"/>
      <c r="K72" s="166"/>
      <c r="L72" s="87"/>
      <c r="M72" s="87"/>
      <c r="N72" s="95"/>
      <c r="O72" s="87"/>
      <c r="P72" s="166"/>
      <c r="Q72" s="95"/>
      <c r="R72" s="87"/>
      <c r="S72" s="95"/>
      <c r="T72" s="87"/>
      <c r="U72" s="87"/>
      <c r="V72" s="87"/>
      <c r="W72" s="87"/>
      <c r="X72" s="87"/>
      <c r="Y72" s="166"/>
      <c r="Z72" s="87"/>
      <c r="AA72" s="95"/>
    </row>
    <row r="73" spans="1:27" x14ac:dyDescent="0.6">
      <c r="A73" s="166"/>
      <c r="B73" s="87"/>
      <c r="C73" s="85"/>
      <c r="D73" s="170"/>
      <c r="E73" s="85"/>
      <c r="F73" s="166"/>
      <c r="G73" s="87"/>
      <c r="H73" s="85"/>
      <c r="I73" s="95"/>
      <c r="J73" s="87"/>
      <c r="K73" s="166"/>
      <c r="L73" s="87"/>
      <c r="M73" s="87"/>
      <c r="N73" s="95"/>
      <c r="O73" s="87"/>
      <c r="P73" s="166"/>
      <c r="Q73" s="95"/>
      <c r="R73" s="87"/>
      <c r="S73" s="95"/>
      <c r="T73" s="87"/>
      <c r="U73" s="87"/>
      <c r="V73" s="87"/>
      <c r="W73" s="87"/>
      <c r="X73" s="87"/>
      <c r="Y73" s="166"/>
      <c r="Z73" s="87"/>
      <c r="AA73" s="95"/>
    </row>
    <row r="74" spans="1:27" x14ac:dyDescent="0.6">
      <c r="A74" s="166"/>
      <c r="B74" s="87"/>
      <c r="C74" s="85"/>
      <c r="D74" s="170"/>
      <c r="E74" s="85"/>
      <c r="F74" s="166"/>
      <c r="G74" s="87"/>
      <c r="H74" s="85"/>
      <c r="I74" s="95"/>
      <c r="J74" s="87"/>
      <c r="K74" s="166"/>
      <c r="L74" s="87"/>
      <c r="M74" s="87"/>
      <c r="N74" s="95"/>
      <c r="O74" s="87"/>
      <c r="P74" s="166"/>
      <c r="Q74" s="95"/>
      <c r="R74" s="87"/>
      <c r="S74" s="95"/>
      <c r="T74" s="87"/>
      <c r="U74" s="87"/>
      <c r="V74" s="87"/>
      <c r="W74" s="87"/>
      <c r="X74" s="87"/>
      <c r="Y74" s="166"/>
      <c r="Z74" s="87"/>
      <c r="AA74" s="95"/>
    </row>
    <row r="75" spans="1:27" x14ac:dyDescent="0.6">
      <c r="A75" s="166"/>
      <c r="B75" s="87"/>
      <c r="C75" s="85"/>
      <c r="D75" s="170"/>
      <c r="E75" s="85"/>
      <c r="F75" s="166"/>
      <c r="G75" s="87"/>
      <c r="H75" s="85"/>
      <c r="I75" s="95"/>
      <c r="J75" s="87"/>
      <c r="K75" s="166"/>
      <c r="L75" s="87"/>
      <c r="M75" s="87"/>
      <c r="N75" s="95"/>
      <c r="O75" s="87"/>
      <c r="P75" s="166"/>
      <c r="Q75" s="95"/>
      <c r="R75" s="87"/>
      <c r="S75" s="95"/>
      <c r="T75" s="87"/>
      <c r="U75" s="87"/>
      <c r="V75" s="87"/>
      <c r="W75" s="87"/>
      <c r="X75" s="87"/>
      <c r="Y75" s="87"/>
      <c r="Z75" s="87"/>
      <c r="AA75" s="87"/>
    </row>
    <row r="76" spans="1:27" x14ac:dyDescent="0.6">
      <c r="A76" s="166"/>
      <c r="B76" s="87"/>
      <c r="C76" s="85"/>
      <c r="D76" s="170"/>
      <c r="E76" s="85"/>
      <c r="F76" s="166"/>
      <c r="G76" s="87"/>
      <c r="H76" s="85"/>
      <c r="I76" s="95"/>
      <c r="J76" s="87"/>
      <c r="K76" s="166"/>
      <c r="L76" s="87"/>
      <c r="M76" s="87"/>
      <c r="N76" s="95"/>
      <c r="O76" s="87"/>
      <c r="P76" s="166"/>
      <c r="Q76" s="95"/>
      <c r="R76" s="87"/>
      <c r="S76" s="95"/>
      <c r="T76" s="87"/>
      <c r="U76" s="87"/>
      <c r="V76" s="87"/>
      <c r="W76" s="87"/>
      <c r="X76" s="87"/>
      <c r="Y76" s="87"/>
      <c r="Z76" s="87"/>
      <c r="AA76" s="87"/>
    </row>
    <row r="77" spans="1:27" x14ac:dyDescent="0.6">
      <c r="A77" s="166"/>
      <c r="B77" s="87"/>
      <c r="C77" s="85"/>
      <c r="D77" s="170"/>
      <c r="E77" s="85"/>
      <c r="F77" s="166"/>
      <c r="G77" s="87"/>
      <c r="H77" s="85"/>
      <c r="I77" s="95"/>
      <c r="J77" s="87"/>
      <c r="K77" s="166"/>
      <c r="L77" s="87"/>
      <c r="M77" s="87"/>
      <c r="N77" s="95"/>
      <c r="O77" s="87"/>
      <c r="P77" s="166"/>
      <c r="Q77" s="95"/>
      <c r="R77" s="87"/>
      <c r="S77" s="95"/>
      <c r="T77" s="87"/>
      <c r="U77" s="87"/>
      <c r="V77" s="87"/>
      <c r="W77" s="87"/>
      <c r="X77" s="87"/>
      <c r="Y77" s="87"/>
      <c r="Z77" s="87"/>
      <c r="AA77" s="87"/>
    </row>
    <row r="78" spans="1:27" x14ac:dyDescent="0.6">
      <c r="A78" s="166"/>
      <c r="B78" s="87"/>
      <c r="C78" s="85"/>
      <c r="D78" s="170"/>
      <c r="E78" s="85"/>
      <c r="F78" s="166"/>
      <c r="G78" s="87"/>
      <c r="H78" s="85"/>
      <c r="I78" s="95"/>
      <c r="J78" s="87"/>
      <c r="K78" s="166"/>
      <c r="L78" s="87"/>
      <c r="M78" s="87"/>
      <c r="N78" s="95"/>
      <c r="O78" s="87"/>
      <c r="P78" s="166"/>
      <c r="Q78" s="95"/>
      <c r="R78" s="87"/>
      <c r="S78" s="95"/>
      <c r="T78" s="87"/>
      <c r="U78" s="87"/>
      <c r="V78" s="87"/>
      <c r="W78" s="87"/>
      <c r="X78" s="87"/>
      <c r="Y78" s="87"/>
      <c r="Z78" s="87"/>
      <c r="AA78" s="87"/>
    </row>
    <row r="79" spans="1:27" x14ac:dyDescent="0.6">
      <c r="A79" s="166"/>
      <c r="B79" s="87"/>
      <c r="C79" s="85"/>
      <c r="D79" s="170"/>
      <c r="E79" s="85"/>
      <c r="F79" s="166"/>
      <c r="G79" s="87"/>
      <c r="H79" s="85"/>
      <c r="I79" s="95"/>
      <c r="J79" s="87"/>
      <c r="K79" s="166"/>
      <c r="L79" s="87"/>
      <c r="M79" s="87"/>
      <c r="N79" s="95"/>
      <c r="O79" s="87"/>
      <c r="P79" s="166"/>
      <c r="Q79" s="95"/>
      <c r="R79" s="87"/>
      <c r="S79" s="95"/>
      <c r="T79" s="87"/>
      <c r="U79" s="87"/>
      <c r="V79" s="87"/>
      <c r="W79" s="87"/>
      <c r="X79" s="87"/>
      <c r="Y79" s="87"/>
      <c r="Z79" s="87"/>
      <c r="AA79" s="87"/>
    </row>
    <row r="80" spans="1:27" x14ac:dyDescent="0.6">
      <c r="A80" s="166"/>
      <c r="B80" s="87"/>
      <c r="C80" s="85"/>
      <c r="D80" s="170"/>
      <c r="E80" s="85"/>
      <c r="F80" s="166"/>
      <c r="G80" s="87"/>
      <c r="H80" s="85"/>
      <c r="I80" s="95"/>
      <c r="J80" s="87"/>
      <c r="K80" s="166"/>
      <c r="L80" s="87"/>
      <c r="M80" s="87"/>
      <c r="N80" s="95"/>
      <c r="O80" s="87"/>
      <c r="P80" s="166"/>
      <c r="Q80" s="95"/>
      <c r="R80" s="87"/>
      <c r="S80" s="95"/>
      <c r="T80" s="87"/>
      <c r="U80" s="87"/>
      <c r="V80" s="87"/>
      <c r="W80" s="87"/>
      <c r="X80" s="87"/>
      <c r="Y80" s="87"/>
      <c r="Z80" s="87"/>
      <c r="AA80" s="87"/>
    </row>
    <row r="81" spans="1:27" x14ac:dyDescent="0.6">
      <c r="A81" s="166"/>
      <c r="B81" s="87"/>
      <c r="C81" s="85"/>
      <c r="D81" s="170"/>
      <c r="E81" s="85"/>
      <c r="F81" s="166"/>
      <c r="G81" s="87"/>
      <c r="H81" s="85"/>
      <c r="I81" s="95"/>
      <c r="J81" s="87"/>
      <c r="K81" s="166"/>
      <c r="L81" s="87"/>
      <c r="M81" s="87"/>
      <c r="N81" s="95"/>
      <c r="O81" s="87"/>
      <c r="P81" s="166"/>
      <c r="Q81" s="95"/>
      <c r="R81" s="87"/>
      <c r="S81" s="95"/>
      <c r="T81" s="87"/>
      <c r="U81" s="87"/>
      <c r="V81" s="87"/>
      <c r="W81" s="87"/>
      <c r="X81" s="87"/>
      <c r="Y81" s="87"/>
      <c r="Z81" s="87"/>
      <c r="AA81" s="87"/>
    </row>
    <row r="82" spans="1:27" x14ac:dyDescent="0.6">
      <c r="A82" s="166"/>
      <c r="B82" s="87"/>
      <c r="C82" s="87"/>
      <c r="D82" s="95"/>
      <c r="E82" s="87"/>
      <c r="F82" s="166"/>
      <c r="G82" s="87"/>
      <c r="H82" s="87"/>
      <c r="I82" s="95"/>
      <c r="J82" s="87"/>
      <c r="K82" s="166"/>
      <c r="L82" s="87"/>
      <c r="M82" s="87"/>
      <c r="N82" s="95"/>
      <c r="O82" s="87"/>
      <c r="P82" s="166"/>
      <c r="Q82" s="87"/>
      <c r="R82" s="87"/>
      <c r="S82" s="95"/>
      <c r="T82" s="87"/>
      <c r="U82" s="87"/>
      <c r="V82" s="87"/>
      <c r="W82" s="87"/>
      <c r="X82" s="87"/>
      <c r="Y82" s="87"/>
      <c r="Z82" s="87"/>
      <c r="AA82" s="87"/>
    </row>
    <row r="83" spans="1:27" x14ac:dyDescent="0.6">
      <c r="A83" s="166"/>
      <c r="B83" s="87"/>
      <c r="C83" s="87"/>
      <c r="D83" s="95"/>
      <c r="E83" s="87"/>
      <c r="F83" s="166"/>
      <c r="G83" s="87"/>
      <c r="H83" s="87"/>
      <c r="I83" s="95"/>
      <c r="J83" s="87"/>
      <c r="K83" s="166"/>
      <c r="L83" s="87"/>
      <c r="M83" s="87"/>
      <c r="N83" s="95"/>
      <c r="O83" s="87"/>
      <c r="P83" s="166"/>
      <c r="Q83" s="87"/>
      <c r="R83" s="87"/>
      <c r="S83" s="95"/>
      <c r="T83" s="87"/>
      <c r="U83" s="87"/>
      <c r="V83" s="87"/>
      <c r="W83" s="87"/>
      <c r="X83" s="87"/>
      <c r="Y83" s="87"/>
      <c r="Z83" s="87"/>
      <c r="AA83" s="87"/>
    </row>
    <row r="84" spans="1:27" x14ac:dyDescent="0.6">
      <c r="A84" s="166"/>
      <c r="B84" s="87"/>
      <c r="C84" s="87"/>
      <c r="D84" s="95"/>
      <c r="E84" s="87"/>
      <c r="F84" s="166"/>
      <c r="G84" s="87"/>
      <c r="H84" s="87"/>
      <c r="I84" s="95"/>
      <c r="J84" s="87"/>
      <c r="K84" s="166"/>
      <c r="L84" s="87"/>
      <c r="M84" s="87"/>
      <c r="N84" s="95"/>
      <c r="O84" s="87"/>
      <c r="P84" s="166"/>
      <c r="Q84" s="87"/>
      <c r="R84" s="87"/>
      <c r="S84" s="95"/>
      <c r="T84" s="87"/>
      <c r="U84" s="87"/>
      <c r="V84" s="87"/>
      <c r="W84" s="87"/>
      <c r="X84" s="87"/>
      <c r="Y84" s="87"/>
      <c r="Z84" s="87"/>
      <c r="AA84" s="87"/>
    </row>
    <row r="85" spans="1:27" x14ac:dyDescent="0.6">
      <c r="A85" s="166"/>
      <c r="B85" s="87"/>
      <c r="C85" s="87"/>
      <c r="D85" s="95"/>
      <c r="E85" s="87"/>
      <c r="F85" s="166"/>
      <c r="G85" s="87"/>
      <c r="H85" s="87"/>
      <c r="I85" s="95"/>
      <c r="J85" s="87"/>
      <c r="K85" s="166"/>
      <c r="L85" s="87"/>
      <c r="M85" s="87"/>
      <c r="N85" s="95"/>
      <c r="O85" s="87"/>
      <c r="P85" s="166"/>
      <c r="Q85" s="87"/>
      <c r="R85" s="87"/>
      <c r="S85" s="95"/>
      <c r="T85" s="87"/>
      <c r="U85" s="87"/>
      <c r="V85" s="87"/>
      <c r="W85" s="87"/>
      <c r="X85" s="87"/>
      <c r="Y85" s="87"/>
      <c r="Z85" s="87"/>
      <c r="AA85" s="87"/>
    </row>
    <row r="86" spans="1:27" x14ac:dyDescent="0.6">
      <c r="A86" s="166"/>
      <c r="B86" s="87"/>
      <c r="C86" s="87"/>
      <c r="D86" s="95"/>
      <c r="E86" s="87"/>
      <c r="F86" s="166"/>
      <c r="G86" s="87"/>
      <c r="H86" s="87"/>
      <c r="I86" s="95"/>
      <c r="J86" s="87"/>
      <c r="K86" s="166"/>
      <c r="L86" s="87"/>
      <c r="M86" s="87"/>
      <c r="N86" s="95"/>
      <c r="O86" s="87"/>
      <c r="P86" s="166"/>
      <c r="Q86" s="87"/>
      <c r="R86" s="87"/>
      <c r="S86" s="95"/>
      <c r="T86" s="87"/>
      <c r="U86" s="87"/>
      <c r="V86" s="87"/>
      <c r="W86" s="87"/>
      <c r="X86" s="87"/>
      <c r="Y86" s="87"/>
      <c r="Z86" s="87"/>
      <c r="AA86" s="87"/>
    </row>
    <row r="87" spans="1:27" x14ac:dyDescent="0.6">
      <c r="A87" s="166"/>
      <c r="B87" s="87"/>
      <c r="C87" s="87"/>
      <c r="D87" s="95"/>
      <c r="E87" s="87"/>
      <c r="F87" s="166"/>
      <c r="G87" s="87"/>
      <c r="H87" s="87"/>
      <c r="I87" s="95"/>
      <c r="J87" s="87"/>
      <c r="K87" s="166"/>
      <c r="L87" s="87"/>
      <c r="M87" s="87"/>
      <c r="N87" s="95"/>
      <c r="O87" s="87"/>
      <c r="P87" s="166"/>
      <c r="Q87" s="87"/>
      <c r="R87" s="87"/>
      <c r="S87" s="95"/>
      <c r="T87" s="87"/>
      <c r="U87" s="87"/>
      <c r="V87" s="87"/>
      <c r="W87" s="87"/>
      <c r="X87" s="87"/>
      <c r="Y87" s="87"/>
      <c r="Z87" s="87"/>
      <c r="AA87" s="87"/>
    </row>
    <row r="88" spans="1:27" x14ac:dyDescent="0.6">
      <c r="A88" s="166"/>
      <c r="B88" s="87"/>
      <c r="C88" s="87"/>
      <c r="D88" s="95"/>
      <c r="E88" s="87"/>
      <c r="F88" s="166"/>
      <c r="G88" s="87"/>
      <c r="H88" s="87"/>
      <c r="I88" s="95"/>
      <c r="J88" s="87"/>
      <c r="K88" s="166"/>
      <c r="L88" s="87"/>
      <c r="M88" s="87"/>
      <c r="N88" s="95"/>
      <c r="O88" s="87"/>
      <c r="P88" s="166"/>
      <c r="Q88" s="87"/>
      <c r="R88" s="87"/>
      <c r="S88" s="95"/>
      <c r="T88" s="87"/>
      <c r="U88" s="87"/>
      <c r="V88" s="87"/>
      <c r="W88" s="87"/>
      <c r="X88" s="87"/>
      <c r="Y88" s="87"/>
      <c r="Z88" s="87"/>
      <c r="AA88" s="87"/>
    </row>
    <row r="89" spans="1:27" x14ac:dyDescent="0.6">
      <c r="A89" s="166"/>
      <c r="B89" s="87"/>
      <c r="C89" s="87"/>
      <c r="D89" s="95"/>
      <c r="E89" s="87"/>
      <c r="F89" s="166"/>
      <c r="G89" s="87"/>
      <c r="H89" s="87"/>
      <c r="I89" s="95"/>
      <c r="J89" s="87"/>
      <c r="K89" s="166"/>
      <c r="L89" s="87"/>
      <c r="M89" s="87"/>
      <c r="N89" s="95"/>
      <c r="O89" s="87"/>
      <c r="P89" s="166"/>
      <c r="Q89" s="87"/>
      <c r="R89" s="87"/>
      <c r="S89" s="95"/>
      <c r="T89" s="87"/>
      <c r="U89" s="87"/>
      <c r="V89" s="87"/>
      <c r="W89" s="87"/>
      <c r="X89" s="87"/>
      <c r="Y89" s="87"/>
      <c r="Z89" s="87"/>
      <c r="AA89" s="87"/>
    </row>
    <row r="90" spans="1:27" x14ac:dyDescent="0.6">
      <c r="A90" s="166"/>
      <c r="B90" s="87"/>
      <c r="C90" s="87"/>
      <c r="D90" s="95"/>
      <c r="E90" s="87"/>
      <c r="F90" s="166"/>
      <c r="G90" s="87"/>
      <c r="H90" s="87"/>
      <c r="I90" s="95"/>
      <c r="J90" s="87"/>
      <c r="K90" s="166"/>
      <c r="L90" s="87"/>
      <c r="M90" s="87"/>
      <c r="N90" s="95"/>
      <c r="O90" s="87"/>
      <c r="P90" s="166"/>
      <c r="Q90" s="87"/>
      <c r="R90" s="87"/>
      <c r="S90" s="95"/>
      <c r="T90" s="87"/>
      <c r="U90" s="87"/>
      <c r="V90" s="87"/>
      <c r="W90" s="87"/>
      <c r="X90" s="87"/>
      <c r="Y90" s="87"/>
      <c r="Z90" s="87"/>
      <c r="AA90" s="87"/>
    </row>
    <row r="91" spans="1:27" x14ac:dyDescent="0.6">
      <c r="A91" s="166"/>
      <c r="B91" s="87"/>
      <c r="C91" s="87"/>
      <c r="D91" s="95"/>
      <c r="E91" s="87"/>
      <c r="F91" s="166"/>
      <c r="G91" s="87"/>
      <c r="H91" s="87"/>
      <c r="I91" s="95"/>
      <c r="J91" s="87"/>
      <c r="K91" s="166"/>
      <c r="L91" s="87"/>
      <c r="M91" s="87"/>
      <c r="N91" s="95"/>
      <c r="O91" s="87"/>
      <c r="P91" s="166"/>
      <c r="Q91" s="87"/>
      <c r="R91" s="87"/>
      <c r="S91" s="95"/>
      <c r="T91" s="87"/>
      <c r="U91" s="87"/>
      <c r="V91" s="87"/>
      <c r="W91" s="87"/>
      <c r="X91" s="87"/>
      <c r="Y91" s="87"/>
      <c r="Z91" s="87"/>
      <c r="AA91" s="87"/>
    </row>
    <row r="92" spans="1:27" x14ac:dyDescent="0.6">
      <c r="A92" s="166"/>
      <c r="B92" s="87"/>
      <c r="C92" s="87"/>
      <c r="D92" s="95"/>
      <c r="E92" s="87"/>
      <c r="F92" s="166"/>
      <c r="G92" s="87"/>
      <c r="H92" s="87"/>
      <c r="I92" s="95"/>
      <c r="J92" s="87"/>
      <c r="K92" s="166"/>
      <c r="L92" s="87"/>
      <c r="M92" s="87"/>
      <c r="N92" s="95"/>
      <c r="O92" s="87"/>
      <c r="P92" s="166"/>
      <c r="Q92" s="87"/>
      <c r="R92" s="87"/>
      <c r="S92" s="95"/>
      <c r="T92" s="87"/>
      <c r="U92" s="87"/>
      <c r="V92" s="87"/>
      <c r="W92" s="87"/>
      <c r="X92" s="87"/>
      <c r="Y92" s="87"/>
      <c r="Z92" s="87"/>
      <c r="AA92" s="87"/>
    </row>
    <row r="93" spans="1:27" x14ac:dyDescent="0.6">
      <c r="A93" s="166"/>
      <c r="B93" s="87"/>
      <c r="C93" s="87"/>
      <c r="D93" s="95"/>
      <c r="E93" s="87"/>
      <c r="F93" s="166"/>
      <c r="G93" s="87"/>
      <c r="H93" s="87"/>
      <c r="I93" s="95"/>
      <c r="J93" s="87"/>
      <c r="K93" s="166"/>
      <c r="L93" s="87"/>
      <c r="M93" s="87"/>
      <c r="N93" s="95"/>
      <c r="O93" s="87"/>
      <c r="P93" s="166"/>
      <c r="Q93" s="87"/>
      <c r="R93" s="87"/>
      <c r="S93" s="95"/>
      <c r="T93" s="87"/>
      <c r="U93" s="87"/>
      <c r="V93" s="87"/>
      <c r="W93" s="87"/>
      <c r="X93" s="87"/>
      <c r="Y93" s="87"/>
      <c r="Z93" s="87"/>
      <c r="AA93" s="87"/>
    </row>
    <row r="94" spans="1:27" x14ac:dyDescent="0.6">
      <c r="A94" s="166"/>
      <c r="B94" s="87"/>
      <c r="C94" s="87"/>
      <c r="D94" s="95"/>
      <c r="E94" s="87"/>
      <c r="F94" s="166"/>
      <c r="G94" s="87"/>
      <c r="H94" s="87"/>
      <c r="I94" s="95"/>
      <c r="J94" s="87"/>
      <c r="K94" s="166"/>
      <c r="L94" s="87"/>
      <c r="M94" s="87"/>
      <c r="N94" s="95"/>
      <c r="O94" s="87"/>
      <c r="P94" s="166"/>
      <c r="Q94" s="87"/>
      <c r="R94" s="87"/>
      <c r="S94" s="95"/>
      <c r="T94" s="87"/>
      <c r="U94" s="87"/>
      <c r="V94" s="87"/>
      <c r="W94" s="87"/>
      <c r="X94" s="87"/>
      <c r="Y94" s="87"/>
      <c r="Z94" s="87"/>
      <c r="AA94" s="87"/>
    </row>
    <row r="95" spans="1:27" x14ac:dyDescent="0.6">
      <c r="A95" s="166"/>
      <c r="B95" s="87"/>
      <c r="C95" s="87"/>
      <c r="D95" s="95"/>
      <c r="E95" s="87"/>
      <c r="F95" s="166"/>
      <c r="G95" s="87"/>
      <c r="H95" s="87"/>
      <c r="I95" s="95"/>
      <c r="J95" s="87"/>
      <c r="K95" s="166"/>
      <c r="L95" s="87"/>
      <c r="M95" s="87"/>
      <c r="N95" s="95"/>
      <c r="O95" s="87"/>
      <c r="P95" s="166"/>
      <c r="Q95" s="87"/>
      <c r="R95" s="87"/>
      <c r="S95" s="95"/>
      <c r="T95" s="87"/>
      <c r="U95" s="87"/>
      <c r="V95" s="87"/>
      <c r="W95" s="87"/>
      <c r="X95" s="87"/>
      <c r="Y95" s="87"/>
      <c r="Z95" s="87"/>
      <c r="AA95" s="87"/>
    </row>
    <row r="96" spans="1:27" x14ac:dyDescent="0.6">
      <c r="A96" s="166"/>
      <c r="B96" s="87"/>
      <c r="C96" s="87"/>
      <c r="D96" s="95"/>
      <c r="E96" s="87"/>
      <c r="F96" s="166"/>
      <c r="G96" s="87"/>
      <c r="H96" s="87"/>
      <c r="I96" s="95"/>
      <c r="J96" s="87"/>
      <c r="K96" s="166"/>
      <c r="L96" s="87"/>
      <c r="M96" s="87"/>
      <c r="N96" s="95"/>
      <c r="O96" s="87"/>
      <c r="P96" s="166"/>
      <c r="Q96" s="87"/>
      <c r="R96" s="87"/>
      <c r="S96" s="95"/>
      <c r="T96" s="87"/>
      <c r="U96" s="87"/>
      <c r="V96" s="87"/>
      <c r="W96" s="87"/>
      <c r="X96" s="87"/>
      <c r="Y96" s="87"/>
      <c r="Z96" s="87"/>
      <c r="AA96" s="87"/>
    </row>
    <row r="97" spans="1:27" x14ac:dyDescent="0.6">
      <c r="A97" s="166"/>
      <c r="B97" s="87"/>
      <c r="C97" s="87"/>
      <c r="D97" s="95"/>
      <c r="E97" s="87"/>
      <c r="F97" s="166"/>
      <c r="G97" s="87"/>
      <c r="H97" s="87"/>
      <c r="I97" s="95"/>
      <c r="J97" s="87"/>
      <c r="K97" s="166"/>
      <c r="L97" s="87"/>
      <c r="M97" s="87"/>
      <c r="N97" s="95"/>
      <c r="O97" s="87"/>
      <c r="P97" s="166"/>
      <c r="Q97" s="87"/>
      <c r="R97" s="87"/>
      <c r="S97" s="95"/>
      <c r="T97" s="87"/>
      <c r="U97" s="87"/>
      <c r="V97" s="87"/>
      <c r="W97" s="87"/>
      <c r="X97" s="87"/>
      <c r="Y97" s="87"/>
      <c r="Z97" s="87"/>
      <c r="AA97" s="87"/>
    </row>
    <row r="98" spans="1:27" x14ac:dyDescent="0.6">
      <c r="A98" s="166"/>
      <c r="B98" s="87"/>
      <c r="C98" s="87"/>
      <c r="D98" s="95"/>
      <c r="E98" s="87"/>
      <c r="F98" s="166"/>
      <c r="G98" s="87"/>
      <c r="H98" s="87"/>
      <c r="I98" s="95"/>
      <c r="J98" s="87"/>
      <c r="K98" s="166"/>
      <c r="L98" s="87"/>
      <c r="M98" s="87"/>
      <c r="N98" s="95"/>
      <c r="O98" s="87"/>
      <c r="P98" s="166"/>
      <c r="Q98" s="87"/>
      <c r="R98" s="87"/>
      <c r="S98" s="95"/>
      <c r="T98" s="87"/>
      <c r="U98" s="87"/>
      <c r="V98" s="87"/>
      <c r="W98" s="87"/>
      <c r="X98" s="87"/>
      <c r="Y98" s="87"/>
      <c r="Z98" s="87"/>
      <c r="AA98" s="87"/>
    </row>
    <row r="99" spans="1:27" x14ac:dyDescent="0.6">
      <c r="A99" s="166"/>
      <c r="B99" s="87"/>
      <c r="C99" s="87"/>
      <c r="D99" s="95"/>
      <c r="E99" s="87"/>
      <c r="F99" s="166"/>
      <c r="G99" s="87"/>
      <c r="H99" s="87"/>
      <c r="I99" s="95"/>
      <c r="J99" s="87"/>
      <c r="K99" s="166"/>
      <c r="L99" s="87"/>
      <c r="M99" s="87"/>
      <c r="N99" s="95"/>
      <c r="O99" s="87"/>
      <c r="P99" s="166"/>
      <c r="Q99" s="87"/>
      <c r="R99" s="87"/>
      <c r="S99" s="95"/>
      <c r="T99" s="87"/>
      <c r="U99" s="87"/>
      <c r="V99" s="87"/>
      <c r="W99" s="87"/>
      <c r="X99" s="87"/>
      <c r="Y99" s="87"/>
      <c r="Z99" s="87"/>
      <c r="AA99" s="87"/>
    </row>
    <row r="100" spans="1:27" x14ac:dyDescent="0.6">
      <c r="A100" s="166"/>
      <c r="B100" s="87"/>
      <c r="C100" s="87"/>
      <c r="D100" s="95"/>
      <c r="E100" s="87"/>
      <c r="F100" s="166"/>
      <c r="G100" s="87"/>
      <c r="H100" s="87"/>
      <c r="I100" s="95"/>
      <c r="J100" s="87"/>
      <c r="K100" s="166"/>
      <c r="L100" s="87"/>
      <c r="M100" s="87"/>
      <c r="N100" s="95"/>
      <c r="O100" s="87"/>
      <c r="P100" s="166"/>
      <c r="Q100" s="87"/>
      <c r="R100" s="87"/>
      <c r="S100" s="95"/>
      <c r="T100" s="87"/>
      <c r="U100" s="87"/>
      <c r="V100" s="87"/>
      <c r="W100" s="87"/>
      <c r="X100" s="87"/>
      <c r="Y100" s="87"/>
      <c r="Z100" s="87"/>
      <c r="AA100" s="87"/>
    </row>
    <row r="101" spans="1:27" x14ac:dyDescent="0.6">
      <c r="A101" s="166"/>
      <c r="B101" s="87"/>
      <c r="C101" s="87"/>
      <c r="D101" s="95"/>
      <c r="E101" s="87"/>
      <c r="F101" s="166"/>
      <c r="G101" s="87"/>
      <c r="H101" s="87"/>
      <c r="I101" s="95"/>
      <c r="J101" s="87"/>
      <c r="K101" s="166"/>
      <c r="L101" s="87"/>
      <c r="M101" s="87"/>
      <c r="N101" s="95"/>
      <c r="O101" s="87"/>
      <c r="P101" s="166"/>
      <c r="Q101" s="87"/>
      <c r="R101" s="87"/>
      <c r="S101" s="95"/>
      <c r="T101" s="87"/>
      <c r="U101" s="87"/>
      <c r="V101" s="87"/>
      <c r="W101" s="87"/>
      <c r="X101" s="87"/>
      <c r="Y101" s="87"/>
      <c r="Z101" s="87"/>
      <c r="AA101" s="87"/>
    </row>
    <row r="102" spans="1:27" x14ac:dyDescent="0.6">
      <c r="A102" s="166"/>
      <c r="B102" s="87"/>
      <c r="C102" s="87"/>
      <c r="D102" s="95"/>
      <c r="E102" s="87"/>
      <c r="F102" s="166"/>
      <c r="G102" s="87"/>
      <c r="H102" s="87"/>
      <c r="I102" s="95"/>
      <c r="J102" s="87"/>
      <c r="K102" s="166"/>
      <c r="L102" s="87"/>
      <c r="M102" s="87"/>
      <c r="N102" s="95"/>
      <c r="O102" s="87"/>
      <c r="P102" s="166"/>
      <c r="Q102" s="87"/>
      <c r="R102" s="87"/>
      <c r="S102" s="95"/>
      <c r="T102" s="87"/>
      <c r="U102" s="87"/>
      <c r="V102" s="87"/>
      <c r="W102" s="87"/>
      <c r="X102" s="87"/>
      <c r="Y102" s="87"/>
      <c r="Z102" s="87"/>
      <c r="AA102" s="87"/>
    </row>
    <row r="103" spans="1:27" x14ac:dyDescent="0.6">
      <c r="A103" s="166"/>
      <c r="B103" s="87"/>
      <c r="C103" s="87"/>
      <c r="D103" s="95"/>
      <c r="E103" s="87"/>
      <c r="F103" s="166"/>
      <c r="G103" s="87"/>
      <c r="H103" s="87"/>
      <c r="I103" s="95"/>
      <c r="J103" s="87"/>
      <c r="K103" s="166"/>
      <c r="L103" s="87"/>
      <c r="M103" s="87"/>
      <c r="N103" s="95"/>
      <c r="O103" s="87"/>
      <c r="P103" s="166"/>
      <c r="Q103" s="87"/>
      <c r="R103" s="87"/>
      <c r="S103" s="95"/>
      <c r="T103" s="87"/>
      <c r="U103" s="87"/>
      <c r="V103" s="87"/>
      <c r="W103" s="87"/>
      <c r="X103" s="87"/>
      <c r="Y103" s="87"/>
      <c r="Z103" s="87"/>
      <c r="AA103" s="87"/>
    </row>
    <row r="104" spans="1:27" x14ac:dyDescent="0.6">
      <c r="A104" s="166"/>
      <c r="B104" s="87"/>
      <c r="C104" s="87"/>
      <c r="D104" s="95"/>
      <c r="E104" s="87"/>
      <c r="F104" s="166"/>
      <c r="G104" s="87"/>
      <c r="H104" s="87"/>
      <c r="I104" s="95"/>
      <c r="J104" s="87"/>
      <c r="K104" s="166"/>
      <c r="L104" s="87"/>
      <c r="M104" s="87"/>
      <c r="N104" s="95"/>
      <c r="O104" s="87"/>
      <c r="P104" s="166"/>
      <c r="Q104" s="87"/>
      <c r="R104" s="87"/>
      <c r="S104" s="95"/>
      <c r="T104" s="87"/>
      <c r="U104" s="87"/>
      <c r="V104" s="87"/>
      <c r="W104" s="87"/>
      <c r="X104" s="87"/>
      <c r="Y104" s="87"/>
      <c r="Z104" s="87"/>
      <c r="AA104" s="87"/>
    </row>
    <row r="105" spans="1:27" x14ac:dyDescent="0.6">
      <c r="A105" s="166"/>
      <c r="B105" s="87"/>
      <c r="C105" s="87"/>
      <c r="D105" s="95"/>
      <c r="E105" s="87"/>
      <c r="F105" s="166"/>
      <c r="G105" s="87"/>
      <c r="H105" s="87"/>
      <c r="I105" s="95"/>
      <c r="J105" s="87"/>
      <c r="K105" s="166"/>
      <c r="L105" s="87"/>
      <c r="M105" s="87"/>
      <c r="N105" s="95"/>
      <c r="O105" s="87"/>
      <c r="P105" s="166"/>
      <c r="Q105" s="87"/>
      <c r="R105" s="87"/>
      <c r="S105" s="95"/>
      <c r="T105" s="87"/>
      <c r="U105" s="87"/>
      <c r="V105" s="87"/>
      <c r="W105" s="87"/>
      <c r="X105" s="87"/>
      <c r="Y105" s="87"/>
      <c r="Z105" s="87"/>
      <c r="AA105" s="87"/>
    </row>
    <row r="106" spans="1:27" x14ac:dyDescent="0.6">
      <c r="A106" s="166"/>
      <c r="B106" s="87"/>
      <c r="C106" s="87"/>
      <c r="D106" s="95"/>
      <c r="E106" s="87"/>
      <c r="F106" s="166"/>
      <c r="G106" s="87"/>
      <c r="H106" s="87"/>
      <c r="I106" s="95"/>
      <c r="J106" s="87"/>
      <c r="K106" s="166"/>
      <c r="L106" s="87"/>
      <c r="M106" s="87"/>
      <c r="N106" s="95"/>
      <c r="O106" s="87"/>
      <c r="P106" s="166"/>
      <c r="Q106" s="87"/>
      <c r="R106" s="87"/>
      <c r="S106" s="95"/>
      <c r="T106" s="87"/>
      <c r="U106" s="87"/>
      <c r="V106" s="87"/>
      <c r="W106" s="87"/>
      <c r="X106" s="87"/>
      <c r="Y106" s="87"/>
      <c r="Z106" s="87"/>
      <c r="AA106" s="87"/>
    </row>
    <row r="107" spans="1:27" x14ac:dyDescent="0.6">
      <c r="A107" s="166"/>
      <c r="B107" s="87"/>
      <c r="C107" s="87"/>
      <c r="D107" s="95"/>
      <c r="E107" s="87"/>
      <c r="F107" s="166"/>
      <c r="G107" s="87"/>
      <c r="H107" s="87"/>
      <c r="I107" s="95"/>
      <c r="J107" s="87"/>
      <c r="K107" s="166"/>
      <c r="L107" s="87"/>
      <c r="M107" s="87"/>
      <c r="N107" s="95"/>
      <c r="O107" s="87"/>
      <c r="P107" s="166"/>
      <c r="Q107" s="87"/>
      <c r="R107" s="87"/>
      <c r="S107" s="95"/>
      <c r="T107" s="87"/>
      <c r="U107" s="87"/>
      <c r="V107" s="87"/>
      <c r="W107" s="87"/>
      <c r="X107" s="87"/>
      <c r="Y107" s="87"/>
      <c r="Z107" s="87"/>
      <c r="AA107" s="87"/>
    </row>
    <row r="108" spans="1:27" x14ac:dyDescent="0.6">
      <c r="A108" s="166"/>
      <c r="B108" s="87"/>
      <c r="C108" s="87"/>
      <c r="D108" s="95"/>
      <c r="E108" s="87"/>
      <c r="F108" s="166"/>
      <c r="G108" s="87"/>
      <c r="H108" s="87"/>
      <c r="I108" s="95"/>
      <c r="J108" s="87"/>
      <c r="K108" s="166"/>
      <c r="L108" s="87"/>
      <c r="M108" s="87"/>
      <c r="N108" s="95"/>
      <c r="O108" s="87"/>
      <c r="P108" s="166"/>
      <c r="Q108" s="87"/>
      <c r="R108" s="87"/>
      <c r="S108" s="95"/>
      <c r="T108" s="87"/>
      <c r="U108" s="87"/>
      <c r="V108" s="87"/>
      <c r="W108" s="87"/>
      <c r="X108" s="87"/>
      <c r="Y108" s="87"/>
      <c r="Z108" s="87"/>
      <c r="AA108" s="87"/>
    </row>
    <row r="109" spans="1:27" x14ac:dyDescent="0.6">
      <c r="A109" s="166"/>
      <c r="B109" s="87"/>
      <c r="C109" s="87"/>
      <c r="D109" s="95"/>
      <c r="E109" s="87"/>
      <c r="F109" s="166"/>
      <c r="G109" s="87"/>
      <c r="H109" s="87"/>
      <c r="I109" s="95"/>
      <c r="J109" s="87"/>
      <c r="K109" s="166"/>
      <c r="L109" s="87"/>
      <c r="M109" s="87"/>
      <c r="N109" s="95"/>
      <c r="O109" s="87"/>
      <c r="P109" s="166"/>
      <c r="Q109" s="87"/>
      <c r="R109" s="87"/>
      <c r="S109" s="95"/>
      <c r="T109" s="87"/>
      <c r="U109" s="87"/>
      <c r="V109" s="87"/>
      <c r="W109" s="87"/>
      <c r="X109" s="87"/>
      <c r="Y109" s="87"/>
      <c r="Z109" s="87"/>
      <c r="AA109" s="87"/>
    </row>
    <row r="110" spans="1:27" x14ac:dyDescent="0.6">
      <c r="A110" s="166"/>
      <c r="B110" s="87"/>
      <c r="C110" s="87"/>
      <c r="D110" s="95"/>
      <c r="E110" s="87"/>
      <c r="F110" s="166"/>
      <c r="G110" s="87"/>
      <c r="H110" s="87"/>
      <c r="I110" s="95"/>
      <c r="J110" s="87"/>
      <c r="K110" s="166"/>
      <c r="L110" s="87"/>
      <c r="M110" s="87"/>
      <c r="N110" s="95"/>
      <c r="O110" s="87"/>
      <c r="P110" s="166"/>
      <c r="Q110" s="87"/>
      <c r="R110" s="87"/>
      <c r="S110" s="95"/>
      <c r="T110" s="87"/>
      <c r="U110" s="87"/>
      <c r="V110" s="87"/>
      <c r="W110" s="87"/>
      <c r="X110" s="87"/>
      <c r="Y110" s="87"/>
      <c r="Z110" s="87"/>
      <c r="AA110" s="87"/>
    </row>
    <row r="111" spans="1:27" x14ac:dyDescent="0.6">
      <c r="A111" s="166"/>
      <c r="B111" s="87"/>
      <c r="C111" s="87"/>
      <c r="D111" s="95"/>
      <c r="E111" s="87"/>
      <c r="F111" s="166"/>
      <c r="G111" s="87"/>
      <c r="H111" s="87"/>
      <c r="I111" s="95"/>
      <c r="J111" s="87"/>
      <c r="K111" s="166"/>
      <c r="L111" s="87"/>
      <c r="M111" s="87"/>
      <c r="N111" s="95"/>
      <c r="O111" s="87"/>
      <c r="P111" s="166"/>
      <c r="Q111" s="87"/>
      <c r="R111" s="87"/>
      <c r="S111" s="95"/>
      <c r="T111" s="87"/>
      <c r="U111" s="87"/>
      <c r="V111" s="87"/>
      <c r="W111" s="87"/>
      <c r="X111" s="87"/>
      <c r="Y111" s="87"/>
      <c r="Z111" s="87"/>
      <c r="AA111" s="87"/>
    </row>
    <row r="112" spans="1:27" x14ac:dyDescent="0.6">
      <c r="A112" s="166"/>
      <c r="B112" s="87"/>
      <c r="C112" s="87"/>
      <c r="D112" s="95"/>
      <c r="E112" s="87"/>
      <c r="F112" s="166"/>
      <c r="G112" s="87"/>
      <c r="H112" s="87"/>
      <c r="I112" s="95"/>
      <c r="J112" s="87"/>
      <c r="K112" s="166"/>
      <c r="L112" s="87"/>
      <c r="M112" s="87"/>
      <c r="N112" s="95"/>
      <c r="O112" s="87"/>
      <c r="P112" s="166"/>
      <c r="Q112" s="87"/>
      <c r="R112" s="87"/>
      <c r="S112" s="95"/>
      <c r="T112" s="87"/>
      <c r="U112" s="87"/>
      <c r="V112" s="87"/>
      <c r="W112" s="87"/>
      <c r="X112" s="87"/>
      <c r="Y112" s="87"/>
      <c r="Z112" s="87"/>
      <c r="AA112" s="87"/>
    </row>
    <row r="113" spans="1:27" x14ac:dyDescent="0.6">
      <c r="A113" s="166"/>
      <c r="B113" s="87"/>
      <c r="C113" s="87"/>
      <c r="D113" s="95"/>
      <c r="E113" s="87"/>
      <c r="F113" s="166"/>
      <c r="G113" s="87"/>
      <c r="H113" s="87"/>
      <c r="I113" s="95"/>
      <c r="J113" s="87"/>
      <c r="K113" s="166"/>
      <c r="L113" s="87"/>
      <c r="M113" s="87"/>
      <c r="N113" s="95"/>
      <c r="O113" s="87"/>
      <c r="P113" s="166"/>
      <c r="Q113" s="87"/>
      <c r="R113" s="87"/>
      <c r="S113" s="95"/>
      <c r="T113" s="87"/>
      <c r="U113" s="87"/>
      <c r="V113" s="87"/>
      <c r="W113" s="87"/>
      <c r="X113" s="87"/>
      <c r="Y113" s="87"/>
      <c r="Z113" s="87"/>
      <c r="AA113" s="87"/>
    </row>
    <row r="114" spans="1:27" x14ac:dyDescent="0.6">
      <c r="A114" s="166"/>
      <c r="B114" s="87"/>
      <c r="C114" s="87"/>
      <c r="D114" s="95"/>
      <c r="E114" s="87"/>
      <c r="F114" s="166"/>
      <c r="G114" s="87"/>
      <c r="H114" s="87"/>
      <c r="I114" s="95"/>
      <c r="J114" s="87"/>
      <c r="K114" s="166"/>
      <c r="L114" s="87"/>
      <c r="M114" s="87"/>
      <c r="N114" s="95"/>
      <c r="O114" s="87"/>
      <c r="P114" s="166"/>
      <c r="Q114" s="87"/>
      <c r="R114" s="87"/>
      <c r="S114" s="95"/>
      <c r="T114" s="87"/>
      <c r="U114" s="87"/>
      <c r="V114" s="87"/>
      <c r="W114" s="87"/>
      <c r="X114" s="87"/>
      <c r="Y114" s="87"/>
      <c r="Z114" s="87"/>
      <c r="AA114" s="87"/>
    </row>
    <row r="115" spans="1:27" x14ac:dyDescent="0.6">
      <c r="A115" s="166"/>
      <c r="B115" s="87"/>
      <c r="C115" s="87"/>
      <c r="D115" s="95"/>
      <c r="E115" s="87"/>
      <c r="F115" s="166"/>
      <c r="G115" s="87"/>
      <c r="H115" s="87"/>
      <c r="I115" s="95"/>
      <c r="J115" s="87"/>
      <c r="K115" s="166"/>
      <c r="L115" s="87"/>
      <c r="M115" s="87"/>
      <c r="N115" s="95"/>
      <c r="O115" s="87"/>
      <c r="P115" s="166"/>
      <c r="Q115" s="87"/>
      <c r="R115" s="87"/>
      <c r="S115" s="95"/>
      <c r="T115" s="87"/>
      <c r="U115" s="87"/>
      <c r="V115" s="87"/>
      <c r="W115" s="87"/>
      <c r="X115" s="87"/>
      <c r="Y115" s="87"/>
      <c r="Z115" s="87"/>
      <c r="AA115" s="87"/>
    </row>
    <row r="116" spans="1:27" x14ac:dyDescent="0.6">
      <c r="A116" s="166"/>
      <c r="B116" s="87"/>
      <c r="C116" s="87"/>
      <c r="D116" s="95"/>
      <c r="E116" s="87"/>
      <c r="F116" s="166"/>
      <c r="G116" s="87"/>
      <c r="H116" s="87"/>
      <c r="I116" s="95"/>
      <c r="J116" s="87"/>
      <c r="K116" s="166"/>
      <c r="L116" s="87"/>
      <c r="M116" s="87"/>
      <c r="N116" s="95"/>
      <c r="O116" s="87"/>
      <c r="P116" s="166"/>
      <c r="Q116" s="87"/>
      <c r="R116" s="87"/>
      <c r="S116" s="95"/>
      <c r="T116" s="87"/>
      <c r="U116" s="87"/>
      <c r="V116" s="87"/>
      <c r="W116" s="87"/>
      <c r="X116" s="87"/>
      <c r="Y116" s="87"/>
      <c r="Z116" s="87"/>
      <c r="AA116" s="87"/>
    </row>
    <row r="117" spans="1:27" x14ac:dyDescent="0.6">
      <c r="A117" s="166"/>
      <c r="B117" s="87"/>
      <c r="C117" s="87"/>
      <c r="D117" s="95"/>
      <c r="E117" s="87"/>
      <c r="F117" s="166"/>
      <c r="G117" s="87"/>
      <c r="H117" s="87"/>
      <c r="I117" s="95"/>
      <c r="J117" s="87"/>
      <c r="K117" s="166"/>
      <c r="L117" s="87"/>
      <c r="M117" s="87"/>
      <c r="N117" s="95"/>
      <c r="O117" s="87"/>
      <c r="P117" s="166"/>
      <c r="Q117" s="87"/>
      <c r="R117" s="87"/>
      <c r="S117" s="95"/>
      <c r="T117" s="87"/>
      <c r="U117" s="87"/>
      <c r="V117" s="87"/>
      <c r="W117" s="87"/>
      <c r="X117" s="87"/>
      <c r="Y117" s="87"/>
      <c r="Z117" s="87"/>
      <c r="AA117" s="87"/>
    </row>
    <row r="118" spans="1:27" x14ac:dyDescent="0.6">
      <c r="A118" s="166"/>
      <c r="B118" s="87"/>
      <c r="C118" s="87"/>
      <c r="D118" s="95"/>
      <c r="E118" s="87"/>
      <c r="F118" s="166"/>
      <c r="G118" s="87"/>
      <c r="H118" s="87"/>
      <c r="I118" s="95"/>
      <c r="J118" s="87"/>
      <c r="K118" s="166"/>
      <c r="L118" s="87"/>
      <c r="M118" s="87"/>
      <c r="N118" s="95"/>
      <c r="O118" s="87"/>
      <c r="P118" s="166"/>
      <c r="Q118" s="87"/>
      <c r="R118" s="87"/>
      <c r="S118" s="95"/>
      <c r="T118" s="87"/>
      <c r="U118" s="87"/>
      <c r="V118" s="87"/>
      <c r="W118" s="87"/>
      <c r="X118" s="87"/>
      <c r="Y118" s="87"/>
      <c r="Z118" s="87"/>
      <c r="AA118" s="87"/>
    </row>
    <row r="119" spans="1:27" x14ac:dyDescent="0.6">
      <c r="A119" s="166"/>
      <c r="B119" s="87"/>
      <c r="C119" s="87"/>
      <c r="D119" s="95"/>
      <c r="E119" s="87"/>
      <c r="F119" s="166"/>
      <c r="G119" s="87"/>
      <c r="H119" s="87"/>
      <c r="I119" s="95"/>
      <c r="J119" s="87"/>
      <c r="K119" s="166"/>
      <c r="L119" s="87"/>
      <c r="M119" s="87"/>
      <c r="N119" s="95"/>
      <c r="O119" s="87"/>
      <c r="P119" s="166"/>
      <c r="Q119" s="87"/>
      <c r="R119" s="87"/>
      <c r="S119" s="95"/>
      <c r="T119" s="87"/>
      <c r="U119" s="87"/>
      <c r="V119" s="87"/>
      <c r="W119" s="87"/>
      <c r="X119" s="87"/>
      <c r="Y119" s="87"/>
      <c r="Z119" s="87"/>
      <c r="AA119" s="87"/>
    </row>
    <row r="120" spans="1:27" x14ac:dyDescent="0.6">
      <c r="A120" s="166"/>
      <c r="B120" s="87"/>
      <c r="C120" s="87"/>
      <c r="D120" s="95"/>
      <c r="E120" s="87"/>
      <c r="F120" s="166"/>
      <c r="G120" s="87"/>
      <c r="H120" s="87"/>
      <c r="I120" s="95"/>
      <c r="J120" s="87"/>
      <c r="K120" s="166"/>
      <c r="L120" s="87"/>
      <c r="M120" s="87"/>
      <c r="N120" s="95"/>
      <c r="O120" s="87"/>
      <c r="P120" s="166"/>
      <c r="Q120" s="87"/>
      <c r="R120" s="87"/>
      <c r="S120" s="95"/>
      <c r="T120" s="87"/>
      <c r="U120" s="87"/>
      <c r="V120" s="87"/>
      <c r="W120" s="87"/>
      <c r="X120" s="87"/>
      <c r="Y120" s="87"/>
      <c r="Z120" s="87"/>
      <c r="AA120" s="87"/>
    </row>
    <row r="121" spans="1:27" x14ac:dyDescent="0.6">
      <c r="A121" s="166"/>
      <c r="B121" s="87"/>
      <c r="C121" s="87"/>
      <c r="D121" s="95"/>
      <c r="E121" s="87"/>
      <c r="F121" s="166"/>
      <c r="G121" s="87"/>
      <c r="H121" s="87"/>
      <c r="I121" s="95"/>
      <c r="J121" s="87"/>
      <c r="K121" s="166"/>
      <c r="L121" s="87"/>
      <c r="M121" s="87"/>
      <c r="N121" s="95"/>
      <c r="O121" s="87"/>
      <c r="P121" s="166"/>
      <c r="Q121" s="87"/>
      <c r="R121" s="87"/>
      <c r="S121" s="95"/>
      <c r="T121" s="87"/>
      <c r="U121" s="87"/>
      <c r="V121" s="87"/>
      <c r="W121" s="87"/>
      <c r="X121" s="87"/>
      <c r="Y121" s="87"/>
      <c r="Z121" s="87"/>
      <c r="AA121" s="87"/>
    </row>
    <row r="122" spans="1:27" x14ac:dyDescent="0.6">
      <c r="A122" s="166"/>
      <c r="B122" s="87"/>
      <c r="C122" s="87"/>
      <c r="D122" s="95"/>
      <c r="E122" s="87"/>
      <c r="F122" s="166"/>
      <c r="G122" s="87"/>
      <c r="H122" s="87"/>
      <c r="I122" s="95"/>
      <c r="J122" s="87"/>
      <c r="K122" s="166"/>
      <c r="L122" s="87"/>
      <c r="M122" s="87"/>
      <c r="N122" s="95"/>
      <c r="O122" s="87"/>
      <c r="P122" s="166"/>
      <c r="Q122" s="87"/>
      <c r="R122" s="87"/>
      <c r="S122" s="95"/>
      <c r="T122" s="87"/>
      <c r="U122" s="87"/>
      <c r="V122" s="87"/>
      <c r="W122" s="87"/>
      <c r="X122" s="87"/>
      <c r="Y122" s="87"/>
      <c r="Z122" s="87"/>
      <c r="AA122" s="87"/>
    </row>
    <row r="123" spans="1:27" x14ac:dyDescent="0.6">
      <c r="A123" s="166"/>
      <c r="B123" s="87"/>
      <c r="C123" s="87"/>
      <c r="D123" s="95"/>
      <c r="E123" s="87"/>
      <c r="F123" s="166"/>
      <c r="G123" s="87"/>
      <c r="H123" s="87"/>
      <c r="I123" s="95"/>
      <c r="J123" s="87"/>
      <c r="K123" s="166"/>
      <c r="L123" s="87"/>
      <c r="M123" s="87"/>
      <c r="N123" s="95"/>
      <c r="O123" s="87"/>
      <c r="P123" s="166"/>
      <c r="Q123" s="87"/>
      <c r="R123" s="87"/>
      <c r="S123" s="95"/>
      <c r="T123" s="87"/>
      <c r="U123" s="87"/>
      <c r="V123" s="87"/>
      <c r="W123" s="87"/>
      <c r="X123" s="87"/>
      <c r="Y123" s="87"/>
      <c r="Z123" s="87"/>
      <c r="AA123" s="87"/>
    </row>
    <row r="124" spans="1:27" x14ac:dyDescent="0.6">
      <c r="A124" s="166"/>
      <c r="B124" s="87"/>
      <c r="C124" s="87"/>
      <c r="D124" s="95"/>
      <c r="E124" s="87"/>
      <c r="F124" s="166"/>
      <c r="G124" s="87"/>
      <c r="H124" s="87"/>
      <c r="I124" s="95"/>
      <c r="J124" s="87"/>
      <c r="K124" s="166"/>
      <c r="L124" s="87"/>
      <c r="M124" s="87"/>
      <c r="N124" s="95"/>
      <c r="O124" s="87"/>
      <c r="P124" s="166"/>
      <c r="Q124" s="87"/>
      <c r="R124" s="87"/>
      <c r="S124" s="95"/>
      <c r="T124" s="87"/>
      <c r="U124" s="87"/>
      <c r="V124" s="87"/>
      <c r="W124" s="87"/>
      <c r="X124" s="87"/>
      <c r="Y124" s="87"/>
      <c r="Z124" s="87"/>
      <c r="AA124" s="87"/>
    </row>
    <row r="125" spans="1:27" x14ac:dyDescent="0.6">
      <c r="A125" s="166"/>
      <c r="B125" s="87"/>
      <c r="C125" s="87"/>
      <c r="D125" s="95"/>
      <c r="E125" s="87"/>
      <c r="F125" s="166"/>
      <c r="G125" s="87"/>
      <c r="H125" s="87"/>
      <c r="I125" s="95"/>
      <c r="J125" s="87"/>
      <c r="K125" s="166"/>
      <c r="L125" s="87"/>
      <c r="M125" s="87"/>
      <c r="N125" s="95"/>
      <c r="O125" s="87"/>
      <c r="P125" s="166"/>
      <c r="Q125" s="87"/>
      <c r="R125" s="87"/>
      <c r="S125" s="95"/>
      <c r="T125" s="87"/>
      <c r="U125" s="87"/>
      <c r="V125" s="87"/>
      <c r="W125" s="87"/>
      <c r="X125" s="87"/>
      <c r="Y125" s="87"/>
      <c r="Z125" s="87"/>
      <c r="AA125" s="87"/>
    </row>
    <row r="126" spans="1:27" x14ac:dyDescent="0.6">
      <c r="A126" s="166"/>
      <c r="B126" s="87"/>
      <c r="C126" s="87"/>
      <c r="D126" s="95"/>
      <c r="E126" s="87"/>
      <c r="F126" s="166"/>
      <c r="G126" s="87"/>
      <c r="H126" s="87"/>
      <c r="I126" s="95"/>
      <c r="J126" s="87"/>
      <c r="K126" s="166"/>
      <c r="L126" s="87"/>
      <c r="M126" s="87"/>
      <c r="N126" s="95"/>
      <c r="O126" s="87"/>
      <c r="P126" s="166"/>
      <c r="Q126" s="87"/>
      <c r="R126" s="87"/>
      <c r="S126" s="95"/>
      <c r="T126" s="87"/>
      <c r="U126" s="87"/>
      <c r="V126" s="87"/>
      <c r="W126" s="87"/>
      <c r="X126" s="87"/>
      <c r="Y126" s="87"/>
      <c r="Z126" s="87"/>
      <c r="AA126" s="87"/>
    </row>
    <row r="127" spans="1:27" x14ac:dyDescent="0.6">
      <c r="A127" s="166"/>
      <c r="B127" s="87"/>
      <c r="C127" s="87"/>
      <c r="D127" s="95"/>
      <c r="E127" s="87"/>
      <c r="F127" s="166"/>
      <c r="G127" s="87"/>
      <c r="H127" s="87"/>
      <c r="I127" s="95"/>
      <c r="J127" s="87"/>
      <c r="K127" s="166"/>
      <c r="L127" s="87"/>
      <c r="M127" s="87"/>
      <c r="N127" s="95"/>
      <c r="O127" s="87"/>
      <c r="P127" s="166"/>
      <c r="Q127" s="87"/>
      <c r="R127" s="87"/>
      <c r="S127" s="95"/>
      <c r="T127" s="87"/>
      <c r="U127" s="87"/>
      <c r="V127" s="87"/>
      <c r="W127" s="87"/>
      <c r="X127" s="87"/>
      <c r="Y127" s="87"/>
      <c r="Z127" s="87"/>
      <c r="AA127" s="87"/>
    </row>
    <row r="128" spans="1:27" x14ac:dyDescent="0.6">
      <c r="A128" s="166"/>
      <c r="B128" s="87"/>
      <c r="C128" s="87"/>
      <c r="D128" s="95"/>
      <c r="E128" s="87"/>
      <c r="F128" s="166"/>
      <c r="G128" s="87"/>
      <c r="H128" s="87"/>
      <c r="I128" s="95"/>
      <c r="J128" s="87"/>
      <c r="K128" s="166"/>
      <c r="L128" s="87"/>
      <c r="M128" s="87"/>
      <c r="N128" s="95"/>
      <c r="O128" s="87"/>
      <c r="P128" s="166"/>
      <c r="Q128" s="87"/>
      <c r="R128" s="87"/>
      <c r="S128" s="95"/>
      <c r="T128" s="87"/>
      <c r="U128" s="87"/>
      <c r="V128" s="87"/>
      <c r="W128" s="87"/>
      <c r="X128" s="87"/>
      <c r="Y128" s="87"/>
      <c r="Z128" s="87"/>
      <c r="AA128" s="87"/>
    </row>
    <row r="129" spans="1:27" x14ac:dyDescent="0.6">
      <c r="A129" s="166"/>
      <c r="B129" s="87"/>
      <c r="C129" s="87"/>
      <c r="D129" s="95"/>
      <c r="E129" s="87"/>
      <c r="F129" s="166"/>
      <c r="G129" s="87"/>
      <c r="H129" s="87"/>
      <c r="I129" s="95"/>
      <c r="J129" s="87"/>
      <c r="K129" s="166"/>
      <c r="L129" s="87"/>
      <c r="M129" s="87"/>
      <c r="N129" s="95"/>
      <c r="O129" s="87"/>
      <c r="P129" s="166"/>
      <c r="Q129" s="87"/>
      <c r="R129" s="87"/>
      <c r="S129" s="95"/>
      <c r="T129" s="87"/>
      <c r="U129" s="87"/>
      <c r="V129" s="87"/>
      <c r="W129" s="87"/>
      <c r="X129" s="87"/>
      <c r="Y129" s="87"/>
      <c r="Z129" s="87"/>
      <c r="AA129" s="87"/>
    </row>
    <row r="130" spans="1:27" x14ac:dyDescent="0.6">
      <c r="A130" s="166"/>
      <c r="B130" s="87"/>
      <c r="C130" s="87"/>
      <c r="D130" s="95"/>
      <c r="E130" s="87"/>
      <c r="F130" s="166"/>
      <c r="G130" s="87"/>
      <c r="H130" s="87"/>
      <c r="I130" s="95"/>
      <c r="J130" s="87"/>
      <c r="K130" s="166"/>
      <c r="L130" s="87"/>
      <c r="M130" s="87"/>
      <c r="N130" s="95"/>
      <c r="O130" s="87"/>
      <c r="P130" s="166"/>
      <c r="Q130" s="87"/>
      <c r="R130" s="87"/>
      <c r="S130" s="95"/>
      <c r="T130" s="87"/>
      <c r="U130" s="87"/>
      <c r="V130" s="87"/>
      <c r="W130" s="87"/>
      <c r="X130" s="87"/>
      <c r="Y130" s="87"/>
      <c r="Z130" s="87"/>
      <c r="AA130" s="87"/>
    </row>
    <row r="131" spans="1:27" x14ac:dyDescent="0.6">
      <c r="A131" s="166"/>
      <c r="B131" s="87"/>
      <c r="C131" s="87"/>
      <c r="D131" s="95"/>
      <c r="E131" s="87"/>
      <c r="F131" s="166"/>
      <c r="G131" s="87"/>
      <c r="H131" s="87"/>
      <c r="I131" s="95"/>
      <c r="J131" s="87"/>
      <c r="K131" s="166"/>
      <c r="L131" s="87"/>
      <c r="M131" s="87"/>
      <c r="N131" s="95"/>
      <c r="O131" s="87"/>
      <c r="P131" s="166"/>
      <c r="Q131" s="87"/>
      <c r="R131" s="87"/>
      <c r="S131" s="95"/>
      <c r="T131" s="87"/>
      <c r="U131" s="87"/>
      <c r="V131" s="87"/>
      <c r="W131" s="87"/>
      <c r="X131" s="87"/>
      <c r="Y131" s="87"/>
      <c r="Z131" s="87"/>
      <c r="AA131" s="87"/>
    </row>
    <row r="132" spans="1:27" x14ac:dyDescent="0.6">
      <c r="A132" s="166"/>
      <c r="B132" s="87"/>
      <c r="C132" s="87"/>
      <c r="D132" s="95"/>
      <c r="E132" s="87"/>
      <c r="F132" s="166"/>
      <c r="G132" s="87"/>
      <c r="H132" s="87"/>
      <c r="I132" s="95"/>
      <c r="J132" s="87"/>
      <c r="K132" s="166"/>
      <c r="L132" s="87"/>
      <c r="M132" s="87"/>
      <c r="N132" s="95"/>
      <c r="O132" s="87"/>
      <c r="P132" s="166"/>
      <c r="Q132" s="87"/>
      <c r="R132" s="87"/>
      <c r="S132" s="95"/>
      <c r="T132" s="87"/>
      <c r="U132" s="87"/>
      <c r="V132" s="87"/>
      <c r="W132" s="87"/>
      <c r="X132" s="87"/>
      <c r="Y132" s="87"/>
      <c r="Z132" s="87"/>
      <c r="AA132" s="87"/>
    </row>
    <row r="133" spans="1:27" x14ac:dyDescent="0.6">
      <c r="A133" s="166"/>
      <c r="B133" s="87"/>
      <c r="C133" s="87"/>
      <c r="D133" s="95"/>
      <c r="E133" s="87"/>
      <c r="F133" s="166"/>
      <c r="G133" s="87"/>
      <c r="H133" s="87"/>
      <c r="I133" s="95"/>
      <c r="J133" s="87"/>
      <c r="K133" s="166"/>
      <c r="L133" s="87"/>
      <c r="M133" s="87"/>
      <c r="N133" s="95"/>
      <c r="O133" s="87"/>
      <c r="P133" s="166"/>
      <c r="Q133" s="87"/>
      <c r="R133" s="87"/>
      <c r="S133" s="95"/>
      <c r="T133" s="87"/>
      <c r="U133" s="87"/>
      <c r="V133" s="87"/>
      <c r="W133" s="87"/>
      <c r="X133" s="87"/>
      <c r="Y133" s="87"/>
      <c r="Z133" s="87"/>
      <c r="AA133" s="87"/>
    </row>
    <row r="134" spans="1:27" x14ac:dyDescent="0.6">
      <c r="A134" s="166"/>
      <c r="B134" s="87"/>
      <c r="C134" s="87"/>
      <c r="D134" s="95"/>
      <c r="E134" s="87"/>
      <c r="F134" s="166"/>
      <c r="G134" s="87"/>
      <c r="H134" s="87"/>
      <c r="I134" s="95"/>
      <c r="J134" s="87"/>
      <c r="K134" s="166"/>
      <c r="L134" s="87"/>
      <c r="M134" s="87"/>
      <c r="N134" s="95"/>
      <c r="O134" s="87"/>
      <c r="P134" s="166"/>
      <c r="Q134" s="87"/>
      <c r="R134" s="87"/>
      <c r="S134" s="95"/>
      <c r="T134" s="87"/>
      <c r="U134" s="87"/>
      <c r="V134" s="87"/>
      <c r="W134" s="87"/>
      <c r="X134" s="87"/>
      <c r="Y134" s="87"/>
      <c r="Z134" s="87"/>
      <c r="AA134" s="87"/>
    </row>
    <row r="135" spans="1:27" x14ac:dyDescent="0.6">
      <c r="A135" s="166"/>
      <c r="B135" s="87"/>
      <c r="C135" s="87"/>
      <c r="D135" s="95"/>
      <c r="E135" s="87"/>
      <c r="F135" s="166"/>
      <c r="G135" s="87"/>
      <c r="H135" s="87"/>
      <c r="I135" s="95"/>
      <c r="J135" s="87"/>
      <c r="K135" s="166"/>
      <c r="L135" s="87"/>
      <c r="M135" s="87"/>
      <c r="N135" s="95"/>
      <c r="O135" s="87"/>
      <c r="P135" s="166"/>
      <c r="Q135" s="87"/>
      <c r="R135" s="87"/>
      <c r="S135" s="95"/>
      <c r="T135" s="87"/>
      <c r="U135" s="87"/>
      <c r="V135" s="87"/>
      <c r="W135" s="87"/>
      <c r="X135" s="87"/>
      <c r="Y135" s="87"/>
      <c r="Z135" s="87"/>
      <c r="AA135" s="87"/>
    </row>
    <row r="136" spans="1:27" x14ac:dyDescent="0.6">
      <c r="A136" s="166"/>
      <c r="B136" s="87"/>
      <c r="C136" s="87"/>
      <c r="D136" s="95"/>
      <c r="E136" s="87"/>
      <c r="F136" s="166"/>
      <c r="G136" s="87"/>
      <c r="H136" s="87"/>
      <c r="I136" s="95"/>
      <c r="J136" s="87"/>
      <c r="K136" s="166"/>
      <c r="L136" s="87"/>
      <c r="M136" s="87"/>
      <c r="N136" s="95"/>
      <c r="O136" s="87"/>
      <c r="P136" s="166"/>
      <c r="Q136" s="87"/>
      <c r="R136" s="87"/>
      <c r="S136" s="95"/>
      <c r="T136" s="87"/>
      <c r="U136" s="87"/>
      <c r="V136" s="87"/>
      <c r="W136" s="87"/>
      <c r="X136" s="87"/>
      <c r="Y136" s="87"/>
      <c r="Z136" s="87"/>
      <c r="AA136" s="87"/>
    </row>
    <row r="137" spans="1:27" x14ac:dyDescent="0.6">
      <c r="A137" s="166"/>
      <c r="B137" s="87"/>
      <c r="C137" s="87"/>
      <c r="D137" s="95"/>
      <c r="E137" s="87"/>
      <c r="F137" s="166"/>
      <c r="G137" s="87"/>
      <c r="H137" s="87"/>
      <c r="I137" s="95"/>
      <c r="J137" s="87"/>
      <c r="K137" s="166"/>
      <c r="L137" s="87"/>
      <c r="M137" s="87"/>
      <c r="N137" s="95"/>
      <c r="O137" s="87"/>
      <c r="P137" s="166"/>
      <c r="Q137" s="87"/>
      <c r="R137" s="87"/>
      <c r="S137" s="95"/>
      <c r="T137" s="87"/>
      <c r="U137" s="87"/>
      <c r="V137" s="87"/>
      <c r="W137" s="87"/>
      <c r="X137" s="87"/>
      <c r="Y137" s="87"/>
      <c r="Z137" s="87"/>
      <c r="AA137" s="87"/>
    </row>
    <row r="138" spans="1:27" x14ac:dyDescent="0.6">
      <c r="A138" s="166"/>
      <c r="B138" s="87"/>
      <c r="C138" s="87"/>
      <c r="D138" s="95"/>
      <c r="E138" s="87"/>
      <c r="F138" s="166"/>
      <c r="G138" s="87"/>
      <c r="H138" s="87"/>
      <c r="I138" s="95"/>
      <c r="J138" s="87"/>
      <c r="K138" s="166"/>
      <c r="L138" s="87"/>
      <c r="M138" s="87"/>
      <c r="N138" s="95"/>
      <c r="O138" s="87"/>
      <c r="P138" s="166"/>
      <c r="Q138" s="87"/>
      <c r="R138" s="87"/>
      <c r="S138" s="95"/>
      <c r="T138" s="87"/>
      <c r="U138" s="87"/>
      <c r="V138" s="87"/>
      <c r="W138" s="87"/>
      <c r="X138" s="87"/>
      <c r="Y138" s="87"/>
      <c r="Z138" s="87"/>
      <c r="AA138" s="87"/>
    </row>
    <row r="139" spans="1:27" x14ac:dyDescent="0.6">
      <c r="A139" s="166"/>
      <c r="B139" s="87"/>
      <c r="C139" s="87"/>
      <c r="D139" s="95"/>
      <c r="E139" s="87"/>
      <c r="F139" s="166"/>
      <c r="G139" s="87"/>
      <c r="H139" s="87"/>
      <c r="I139" s="95"/>
      <c r="J139" s="87"/>
      <c r="K139" s="166"/>
      <c r="L139" s="87"/>
      <c r="M139" s="87"/>
      <c r="N139" s="95"/>
      <c r="O139" s="87"/>
      <c r="P139" s="166"/>
      <c r="Q139" s="87"/>
      <c r="R139" s="87"/>
      <c r="S139" s="95"/>
      <c r="T139" s="87"/>
      <c r="U139" s="87"/>
      <c r="V139" s="87"/>
      <c r="W139" s="87"/>
      <c r="X139" s="87"/>
      <c r="Y139" s="87"/>
      <c r="Z139" s="87"/>
      <c r="AA139" s="87"/>
    </row>
    <row r="140" spans="1:27" x14ac:dyDescent="0.6">
      <c r="A140" s="166"/>
      <c r="B140" s="87"/>
      <c r="C140" s="87"/>
      <c r="D140" s="95"/>
      <c r="E140" s="87"/>
      <c r="F140" s="166"/>
      <c r="G140" s="87"/>
      <c r="H140" s="87"/>
      <c r="I140" s="95"/>
      <c r="J140" s="87"/>
      <c r="K140" s="166"/>
      <c r="L140" s="87"/>
      <c r="M140" s="87"/>
      <c r="N140" s="95"/>
      <c r="O140" s="87"/>
      <c r="P140" s="166"/>
      <c r="Q140" s="87"/>
      <c r="R140" s="87"/>
      <c r="S140" s="95"/>
      <c r="T140" s="87"/>
      <c r="U140" s="87"/>
      <c r="V140" s="87"/>
      <c r="W140" s="87"/>
      <c r="X140" s="87"/>
      <c r="Y140" s="87"/>
      <c r="Z140" s="87"/>
      <c r="AA140" s="87"/>
    </row>
    <row r="141" spans="1:27" x14ac:dyDescent="0.6">
      <c r="A141" s="166"/>
      <c r="B141" s="87"/>
      <c r="C141" s="87"/>
      <c r="D141" s="95"/>
      <c r="E141" s="87"/>
      <c r="F141" s="166"/>
      <c r="G141" s="87"/>
      <c r="H141" s="87"/>
      <c r="I141" s="95"/>
      <c r="J141" s="87"/>
      <c r="K141" s="166"/>
      <c r="L141" s="87"/>
      <c r="M141" s="87"/>
      <c r="N141" s="95"/>
      <c r="O141" s="87"/>
      <c r="P141" s="166"/>
      <c r="Q141" s="87"/>
      <c r="R141" s="87"/>
      <c r="S141" s="95"/>
      <c r="T141" s="87"/>
      <c r="U141" s="87"/>
      <c r="V141" s="87"/>
      <c r="W141" s="87"/>
      <c r="X141" s="87"/>
      <c r="Y141" s="87"/>
      <c r="Z141" s="87"/>
      <c r="AA141" s="87"/>
    </row>
    <row r="142" spans="1:27" x14ac:dyDescent="0.6">
      <c r="A142" s="166"/>
      <c r="B142" s="87"/>
      <c r="C142" s="87"/>
      <c r="D142" s="95"/>
      <c r="E142" s="87"/>
      <c r="F142" s="166"/>
      <c r="G142" s="87"/>
      <c r="H142" s="87"/>
      <c r="I142" s="95"/>
      <c r="J142" s="87"/>
      <c r="K142" s="166"/>
      <c r="L142" s="87"/>
      <c r="M142" s="87"/>
      <c r="N142" s="95"/>
      <c r="O142" s="87"/>
      <c r="P142" s="166"/>
      <c r="Q142" s="87"/>
      <c r="R142" s="87"/>
      <c r="S142" s="95"/>
      <c r="T142" s="87"/>
      <c r="U142" s="87"/>
      <c r="V142" s="87"/>
      <c r="W142" s="87"/>
      <c r="X142" s="87"/>
      <c r="Y142" s="87"/>
      <c r="Z142" s="87"/>
      <c r="AA142" s="87"/>
    </row>
    <row r="143" spans="1:27" x14ac:dyDescent="0.6">
      <c r="A143" s="166"/>
      <c r="B143" s="87"/>
      <c r="C143" s="87"/>
      <c r="D143" s="95"/>
      <c r="E143" s="87"/>
      <c r="F143" s="166"/>
      <c r="G143" s="87"/>
      <c r="H143" s="87"/>
      <c r="I143" s="95"/>
      <c r="J143" s="87"/>
      <c r="K143" s="166"/>
      <c r="L143" s="87"/>
      <c r="M143" s="87"/>
      <c r="N143" s="95"/>
      <c r="O143" s="87"/>
      <c r="P143" s="166"/>
      <c r="Q143" s="87"/>
      <c r="R143" s="87"/>
      <c r="S143" s="95"/>
      <c r="T143" s="87"/>
      <c r="U143" s="87"/>
      <c r="V143" s="87"/>
      <c r="W143" s="87"/>
      <c r="X143" s="87"/>
      <c r="Y143" s="87"/>
      <c r="Z143" s="87"/>
      <c r="AA143" s="87"/>
    </row>
    <row r="144" spans="1:27" x14ac:dyDescent="0.6">
      <c r="A144" s="166"/>
      <c r="B144" s="87"/>
      <c r="C144" s="87"/>
      <c r="D144" s="95"/>
      <c r="E144" s="87"/>
      <c r="F144" s="166"/>
      <c r="G144" s="87"/>
      <c r="H144" s="87"/>
      <c r="I144" s="95"/>
      <c r="J144" s="87"/>
      <c r="K144" s="166"/>
      <c r="L144" s="87"/>
      <c r="M144" s="87"/>
      <c r="N144" s="95"/>
      <c r="O144" s="87"/>
      <c r="P144" s="166"/>
      <c r="Q144" s="87"/>
      <c r="R144" s="87"/>
      <c r="S144" s="95"/>
      <c r="T144" s="87"/>
      <c r="U144" s="87"/>
      <c r="V144" s="87"/>
      <c r="W144" s="87"/>
      <c r="X144" s="87"/>
      <c r="Y144" s="87"/>
      <c r="Z144" s="87"/>
      <c r="AA144" s="87"/>
    </row>
    <row r="145" spans="1:27" x14ac:dyDescent="0.6">
      <c r="A145" s="166"/>
      <c r="B145" s="87"/>
      <c r="C145" s="87"/>
      <c r="D145" s="95"/>
      <c r="E145" s="87"/>
      <c r="F145" s="166"/>
      <c r="G145" s="87"/>
      <c r="H145" s="87"/>
      <c r="I145" s="95"/>
      <c r="J145" s="87"/>
      <c r="K145" s="166"/>
      <c r="L145" s="87"/>
      <c r="M145" s="87"/>
      <c r="N145" s="95"/>
      <c r="O145" s="87"/>
      <c r="P145" s="166"/>
      <c r="Q145" s="87"/>
      <c r="R145" s="87"/>
      <c r="S145" s="95"/>
      <c r="T145" s="87"/>
      <c r="U145" s="87"/>
      <c r="V145" s="87"/>
      <c r="W145" s="87"/>
      <c r="X145" s="87"/>
      <c r="Y145" s="87"/>
      <c r="Z145" s="87"/>
      <c r="AA145" s="87"/>
    </row>
    <row r="146" spans="1:27" x14ac:dyDescent="0.6">
      <c r="A146" s="166"/>
      <c r="B146" s="87"/>
      <c r="C146" s="87"/>
      <c r="D146" s="95"/>
      <c r="E146" s="87"/>
      <c r="F146" s="166"/>
      <c r="G146" s="87"/>
      <c r="H146" s="87"/>
      <c r="I146" s="95"/>
      <c r="J146" s="87"/>
      <c r="K146" s="166"/>
      <c r="L146" s="87"/>
      <c r="M146" s="87"/>
      <c r="N146" s="95"/>
      <c r="O146" s="87"/>
      <c r="P146" s="166"/>
      <c r="Q146" s="87"/>
      <c r="R146" s="87"/>
      <c r="S146" s="95"/>
      <c r="T146" s="87"/>
      <c r="U146" s="87"/>
      <c r="V146" s="87"/>
      <c r="W146" s="87"/>
      <c r="X146" s="87"/>
      <c r="Y146" s="87"/>
      <c r="Z146" s="87"/>
      <c r="AA146" s="87"/>
    </row>
    <row r="147" spans="1:27" x14ac:dyDescent="0.6">
      <c r="A147" s="166"/>
      <c r="B147" s="87"/>
      <c r="C147" s="87"/>
      <c r="D147" s="95"/>
      <c r="E147" s="87"/>
      <c r="F147" s="166"/>
      <c r="G147" s="87"/>
      <c r="H147" s="87"/>
      <c r="I147" s="95"/>
      <c r="J147" s="87"/>
      <c r="K147" s="166"/>
      <c r="L147" s="87"/>
      <c r="M147" s="87"/>
      <c r="N147" s="95"/>
      <c r="O147" s="87"/>
      <c r="P147" s="166"/>
      <c r="Q147" s="87"/>
      <c r="R147" s="87"/>
      <c r="S147" s="95"/>
      <c r="T147" s="87"/>
      <c r="U147" s="87"/>
      <c r="V147" s="87"/>
      <c r="W147" s="87"/>
      <c r="X147" s="87"/>
      <c r="Y147" s="87"/>
      <c r="Z147" s="87"/>
      <c r="AA147" s="87"/>
    </row>
    <row r="148" spans="1:27" x14ac:dyDescent="0.6">
      <c r="A148" s="166"/>
      <c r="B148" s="87"/>
      <c r="C148" s="87"/>
      <c r="D148" s="95"/>
      <c r="E148" s="87"/>
      <c r="F148" s="166"/>
      <c r="G148" s="87"/>
      <c r="H148" s="87"/>
      <c r="I148" s="95"/>
      <c r="J148" s="87"/>
      <c r="K148" s="166"/>
      <c r="L148" s="87"/>
      <c r="M148" s="87"/>
      <c r="N148" s="95"/>
      <c r="O148" s="87"/>
      <c r="P148" s="166"/>
      <c r="Q148" s="87"/>
      <c r="R148" s="87"/>
      <c r="S148" s="95"/>
      <c r="T148" s="87"/>
      <c r="U148" s="87"/>
      <c r="V148" s="87"/>
      <c r="W148" s="87"/>
      <c r="X148" s="87"/>
      <c r="Y148" s="87"/>
      <c r="Z148" s="87"/>
      <c r="AA148" s="87"/>
    </row>
    <row r="149" spans="1:27" x14ac:dyDescent="0.6">
      <c r="A149" s="166"/>
      <c r="B149" s="87"/>
      <c r="C149" s="87"/>
      <c r="D149" s="95"/>
      <c r="E149" s="87"/>
      <c r="F149" s="166"/>
      <c r="G149" s="87"/>
      <c r="H149" s="87"/>
      <c r="I149" s="95"/>
      <c r="J149" s="87"/>
      <c r="K149" s="166"/>
      <c r="L149" s="87"/>
      <c r="M149" s="87"/>
      <c r="N149" s="95"/>
      <c r="O149" s="87"/>
      <c r="P149" s="166"/>
      <c r="Q149" s="87"/>
      <c r="R149" s="87"/>
      <c r="S149" s="95"/>
      <c r="T149" s="87"/>
      <c r="U149" s="87"/>
      <c r="V149" s="87"/>
      <c r="W149" s="87"/>
      <c r="X149" s="87"/>
      <c r="Y149" s="87"/>
      <c r="Z149" s="87"/>
      <c r="AA149" s="87"/>
    </row>
    <row r="150" spans="1:27" x14ac:dyDescent="0.6">
      <c r="A150" s="166"/>
      <c r="B150" s="87"/>
      <c r="C150" s="87"/>
      <c r="D150" s="95"/>
      <c r="E150" s="87"/>
      <c r="F150" s="166"/>
      <c r="G150" s="87"/>
      <c r="H150" s="87"/>
      <c r="I150" s="95"/>
      <c r="J150" s="87"/>
      <c r="K150" s="166"/>
      <c r="L150" s="87"/>
      <c r="M150" s="87"/>
      <c r="N150" s="95"/>
      <c r="O150" s="87"/>
      <c r="P150" s="166"/>
      <c r="Q150" s="87"/>
      <c r="R150" s="87"/>
      <c r="S150" s="95"/>
      <c r="T150" s="87"/>
      <c r="U150" s="87"/>
      <c r="V150" s="87"/>
      <c r="W150" s="87"/>
      <c r="X150" s="87"/>
      <c r="Y150" s="87"/>
      <c r="Z150" s="87"/>
      <c r="AA150" s="87"/>
    </row>
    <row r="151" spans="1:27" x14ac:dyDescent="0.6">
      <c r="A151" s="166"/>
      <c r="B151" s="87"/>
      <c r="C151" s="87"/>
      <c r="D151" s="95"/>
      <c r="E151" s="87"/>
      <c r="F151" s="166"/>
      <c r="G151" s="87"/>
      <c r="H151" s="87"/>
      <c r="I151" s="95"/>
      <c r="J151" s="87"/>
      <c r="K151" s="166"/>
      <c r="L151" s="87"/>
      <c r="M151" s="87"/>
      <c r="N151" s="95"/>
      <c r="O151" s="87"/>
      <c r="P151" s="166"/>
      <c r="Q151" s="87"/>
      <c r="R151" s="87"/>
      <c r="S151" s="95"/>
      <c r="T151" s="87"/>
      <c r="U151" s="87"/>
      <c r="V151" s="87"/>
      <c r="W151" s="87"/>
      <c r="X151" s="87"/>
      <c r="Y151" s="87"/>
      <c r="Z151" s="87"/>
      <c r="AA151" s="87"/>
    </row>
    <row r="152" spans="1:27" x14ac:dyDescent="0.6">
      <c r="A152" s="166"/>
      <c r="B152" s="87"/>
      <c r="C152" s="87"/>
      <c r="D152" s="95"/>
      <c r="E152" s="87"/>
      <c r="F152" s="166"/>
      <c r="G152" s="87"/>
      <c r="H152" s="87"/>
      <c r="I152" s="95"/>
      <c r="J152" s="87"/>
      <c r="K152" s="166"/>
      <c r="L152" s="87"/>
      <c r="M152" s="87"/>
      <c r="N152" s="95"/>
      <c r="O152" s="87"/>
      <c r="P152" s="166"/>
      <c r="Q152" s="87"/>
      <c r="R152" s="87"/>
      <c r="S152" s="95"/>
      <c r="T152" s="87"/>
      <c r="U152" s="87"/>
      <c r="V152" s="87"/>
      <c r="W152" s="87"/>
      <c r="X152" s="87"/>
      <c r="Y152" s="87"/>
      <c r="Z152" s="87"/>
      <c r="AA152" s="87"/>
    </row>
    <row r="153" spans="1:27" x14ac:dyDescent="0.6">
      <c r="A153" s="166"/>
      <c r="B153" s="87"/>
      <c r="C153" s="87"/>
      <c r="D153" s="95"/>
      <c r="E153" s="87"/>
      <c r="F153" s="166"/>
      <c r="G153" s="87"/>
      <c r="H153" s="87"/>
      <c r="I153" s="95"/>
      <c r="J153" s="87"/>
      <c r="K153" s="166"/>
      <c r="L153" s="87"/>
      <c r="M153" s="87"/>
      <c r="N153" s="95"/>
      <c r="O153" s="87"/>
      <c r="P153" s="166"/>
      <c r="Q153" s="87"/>
      <c r="R153" s="87"/>
      <c r="S153" s="95"/>
      <c r="T153" s="87"/>
      <c r="U153" s="87"/>
      <c r="V153" s="87"/>
      <c r="W153" s="87"/>
      <c r="X153" s="87"/>
      <c r="Y153" s="87"/>
      <c r="Z153" s="87"/>
      <c r="AA153" s="87"/>
    </row>
    <row r="154" spans="1:27" x14ac:dyDescent="0.6">
      <c r="A154" s="166"/>
      <c r="B154" s="87"/>
      <c r="C154" s="87"/>
      <c r="D154" s="95"/>
      <c r="E154" s="87"/>
      <c r="F154" s="166"/>
      <c r="G154" s="87"/>
      <c r="H154" s="87"/>
      <c r="I154" s="95"/>
      <c r="J154" s="87"/>
      <c r="K154" s="166"/>
      <c r="L154" s="87"/>
      <c r="M154" s="87"/>
      <c r="N154" s="95"/>
      <c r="O154" s="87"/>
      <c r="P154" s="166"/>
      <c r="Q154" s="87"/>
      <c r="R154" s="87"/>
      <c r="S154" s="95"/>
      <c r="T154" s="87"/>
      <c r="U154" s="87"/>
      <c r="V154" s="87"/>
      <c r="W154" s="87"/>
      <c r="X154" s="87"/>
      <c r="Y154" s="87"/>
      <c r="Z154" s="87"/>
      <c r="AA154" s="87"/>
    </row>
    <row r="155" spans="1:27" x14ac:dyDescent="0.6">
      <c r="A155" s="166"/>
      <c r="B155" s="87"/>
      <c r="C155" s="87"/>
      <c r="D155" s="95"/>
      <c r="E155" s="87"/>
      <c r="F155" s="166"/>
      <c r="G155" s="87"/>
      <c r="H155" s="87"/>
      <c r="I155" s="95"/>
      <c r="J155" s="87"/>
      <c r="K155" s="166"/>
      <c r="L155" s="87"/>
      <c r="M155" s="87"/>
      <c r="N155" s="95"/>
      <c r="O155" s="87"/>
      <c r="P155" s="166"/>
      <c r="Q155" s="87"/>
      <c r="R155" s="87"/>
      <c r="S155" s="95"/>
      <c r="T155" s="87"/>
      <c r="U155" s="87"/>
      <c r="V155" s="87"/>
      <c r="W155" s="87"/>
      <c r="X155" s="87"/>
      <c r="Y155" s="87"/>
      <c r="Z155" s="87"/>
      <c r="AA155" s="87"/>
    </row>
    <row r="156" spans="1:27" x14ac:dyDescent="0.6">
      <c r="A156" s="166"/>
      <c r="B156" s="87"/>
      <c r="C156" s="87"/>
      <c r="D156" s="95"/>
      <c r="E156" s="87"/>
      <c r="F156" s="166"/>
      <c r="G156" s="87"/>
      <c r="H156" s="87"/>
      <c r="I156" s="95"/>
      <c r="J156" s="87"/>
      <c r="K156" s="166"/>
      <c r="L156" s="87"/>
      <c r="M156" s="87"/>
      <c r="N156" s="95"/>
      <c r="O156" s="87"/>
      <c r="P156" s="166"/>
      <c r="Q156" s="87"/>
      <c r="R156" s="87"/>
      <c r="S156" s="95"/>
      <c r="T156" s="87"/>
      <c r="U156" s="87"/>
      <c r="V156" s="87"/>
      <c r="W156" s="87"/>
      <c r="X156" s="87"/>
      <c r="Y156" s="87"/>
      <c r="Z156" s="87"/>
      <c r="AA156" s="87"/>
    </row>
    <row r="157" spans="1:27" x14ac:dyDescent="0.6">
      <c r="A157" s="166"/>
      <c r="B157" s="87"/>
      <c r="C157" s="87"/>
      <c r="D157" s="95"/>
      <c r="E157" s="87"/>
      <c r="F157" s="166"/>
      <c r="G157" s="87"/>
      <c r="H157" s="87"/>
      <c r="I157" s="95"/>
      <c r="J157" s="87"/>
      <c r="K157" s="166"/>
      <c r="L157" s="87"/>
      <c r="M157" s="87"/>
      <c r="N157" s="95"/>
      <c r="O157" s="87"/>
      <c r="P157" s="166"/>
      <c r="Q157" s="87"/>
      <c r="R157" s="87"/>
      <c r="S157" s="95"/>
      <c r="T157" s="87"/>
      <c r="U157" s="87"/>
      <c r="V157" s="87"/>
      <c r="W157" s="87"/>
      <c r="X157" s="87"/>
      <c r="Y157" s="87"/>
      <c r="Z157" s="87"/>
      <c r="AA157" s="87"/>
    </row>
    <row r="158" spans="1:27" x14ac:dyDescent="0.6">
      <c r="A158" s="166"/>
      <c r="B158" s="87"/>
      <c r="C158" s="87"/>
      <c r="D158" s="95"/>
      <c r="E158" s="87"/>
      <c r="F158" s="166"/>
      <c r="G158" s="87"/>
      <c r="H158" s="87"/>
      <c r="I158" s="95"/>
      <c r="J158" s="87"/>
      <c r="K158" s="166"/>
      <c r="L158" s="87"/>
      <c r="M158" s="87"/>
      <c r="N158" s="95"/>
      <c r="O158" s="87"/>
      <c r="P158" s="166"/>
      <c r="Q158" s="87"/>
      <c r="R158" s="87"/>
      <c r="S158" s="95"/>
      <c r="T158" s="87"/>
      <c r="U158" s="87"/>
      <c r="V158" s="87"/>
      <c r="W158" s="87"/>
      <c r="X158" s="87"/>
      <c r="Y158" s="87"/>
      <c r="Z158" s="87"/>
      <c r="AA158" s="87"/>
    </row>
    <row r="159" spans="1:27" x14ac:dyDescent="0.6">
      <c r="A159" s="166"/>
      <c r="B159" s="87"/>
      <c r="C159" s="87"/>
      <c r="D159" s="95"/>
      <c r="E159" s="87"/>
      <c r="F159" s="166"/>
      <c r="G159" s="87"/>
      <c r="H159" s="87"/>
      <c r="I159" s="95"/>
      <c r="J159" s="87"/>
      <c r="K159" s="166"/>
      <c r="L159" s="87"/>
      <c r="M159" s="87"/>
      <c r="N159" s="95"/>
      <c r="O159" s="87"/>
      <c r="P159" s="166"/>
      <c r="Q159" s="87"/>
      <c r="R159" s="87"/>
      <c r="S159" s="95"/>
      <c r="T159" s="87"/>
      <c r="U159" s="87"/>
      <c r="V159" s="87"/>
      <c r="W159" s="87"/>
      <c r="X159" s="87"/>
      <c r="Y159" s="87"/>
      <c r="Z159" s="87"/>
      <c r="AA159" s="87"/>
    </row>
    <row r="160" spans="1:27" x14ac:dyDescent="0.6">
      <c r="A160" s="166"/>
      <c r="B160" s="87"/>
      <c r="C160" s="87"/>
      <c r="D160" s="95"/>
      <c r="E160" s="87"/>
      <c r="F160" s="166"/>
      <c r="G160" s="87"/>
      <c r="H160" s="87"/>
      <c r="I160" s="95"/>
      <c r="J160" s="87"/>
      <c r="K160" s="166"/>
      <c r="L160" s="87"/>
      <c r="M160" s="87"/>
      <c r="N160" s="95"/>
      <c r="O160" s="87"/>
      <c r="P160" s="166"/>
      <c r="Q160" s="87"/>
      <c r="R160" s="87"/>
      <c r="S160" s="95"/>
      <c r="T160" s="87"/>
      <c r="U160" s="87"/>
      <c r="V160" s="87"/>
      <c r="W160" s="87"/>
      <c r="X160" s="87"/>
      <c r="Y160" s="87"/>
      <c r="Z160" s="87"/>
      <c r="AA160" s="87"/>
    </row>
    <row r="161" spans="1:27" x14ac:dyDescent="0.6">
      <c r="A161" s="166"/>
      <c r="B161" s="87"/>
      <c r="C161" s="87"/>
      <c r="D161" s="95"/>
      <c r="E161" s="87"/>
      <c r="F161" s="166"/>
      <c r="G161" s="87"/>
      <c r="H161" s="87"/>
      <c r="I161" s="95"/>
      <c r="J161" s="87"/>
      <c r="K161" s="166"/>
      <c r="L161" s="87"/>
      <c r="M161" s="87"/>
      <c r="N161" s="95"/>
      <c r="O161" s="87"/>
      <c r="P161" s="166"/>
      <c r="Q161" s="87"/>
      <c r="R161" s="87"/>
      <c r="S161" s="95"/>
      <c r="T161" s="87"/>
      <c r="U161" s="87"/>
      <c r="V161" s="87"/>
      <c r="W161" s="87"/>
      <c r="X161" s="87"/>
      <c r="Y161" s="87"/>
      <c r="Z161" s="87"/>
      <c r="AA161" s="87"/>
    </row>
    <row r="162" spans="1:27" x14ac:dyDescent="0.6">
      <c r="A162" s="166"/>
      <c r="B162" s="87"/>
      <c r="C162" s="87"/>
      <c r="D162" s="95"/>
      <c r="E162" s="87"/>
      <c r="F162" s="166"/>
      <c r="G162" s="87"/>
      <c r="H162" s="87"/>
      <c r="I162" s="95"/>
      <c r="J162" s="87"/>
      <c r="K162" s="166"/>
      <c r="L162" s="87"/>
      <c r="M162" s="87"/>
      <c r="N162" s="95"/>
      <c r="O162" s="87"/>
      <c r="P162" s="166"/>
      <c r="Q162" s="87"/>
      <c r="R162" s="87"/>
      <c r="S162" s="95"/>
      <c r="T162" s="87"/>
      <c r="U162" s="87"/>
      <c r="V162" s="87"/>
      <c r="W162" s="87"/>
      <c r="X162" s="87"/>
      <c r="Y162" s="87"/>
      <c r="Z162" s="87"/>
      <c r="AA162" s="87"/>
    </row>
    <row r="163" spans="1:27" x14ac:dyDescent="0.6">
      <c r="A163" s="166"/>
      <c r="B163" s="87"/>
      <c r="C163" s="87"/>
      <c r="D163" s="95"/>
      <c r="E163" s="87"/>
      <c r="F163" s="166"/>
      <c r="G163" s="87"/>
      <c r="H163" s="87"/>
      <c r="I163" s="95"/>
      <c r="J163" s="87"/>
      <c r="K163" s="166"/>
      <c r="L163" s="87"/>
      <c r="M163" s="87"/>
      <c r="N163" s="95"/>
      <c r="O163" s="87"/>
      <c r="P163" s="166"/>
      <c r="Q163" s="87"/>
      <c r="R163" s="87"/>
      <c r="S163" s="95"/>
      <c r="T163" s="87"/>
      <c r="U163" s="87"/>
      <c r="V163" s="87"/>
      <c r="W163" s="87"/>
      <c r="X163" s="87"/>
      <c r="Y163" s="87"/>
      <c r="Z163" s="87"/>
      <c r="AA163" s="87"/>
    </row>
    <row r="164" spans="1:27" x14ac:dyDescent="0.6">
      <c r="A164" s="166"/>
      <c r="B164" s="87"/>
      <c r="C164" s="87"/>
      <c r="D164" s="95"/>
      <c r="E164" s="87"/>
      <c r="F164" s="166"/>
      <c r="G164" s="87"/>
      <c r="H164" s="87"/>
      <c r="I164" s="95"/>
      <c r="J164" s="87"/>
      <c r="K164" s="166"/>
      <c r="L164" s="87"/>
      <c r="M164" s="87"/>
      <c r="N164" s="95"/>
      <c r="O164" s="87"/>
      <c r="P164" s="166"/>
      <c r="Q164" s="87"/>
      <c r="R164" s="87"/>
      <c r="S164" s="95"/>
      <c r="T164" s="87"/>
      <c r="U164" s="87"/>
      <c r="V164" s="87"/>
      <c r="W164" s="87"/>
      <c r="X164" s="87"/>
      <c r="Y164" s="87"/>
      <c r="Z164" s="87"/>
      <c r="AA164" s="87"/>
    </row>
    <row r="165" spans="1:27" x14ac:dyDescent="0.6">
      <c r="A165" s="166"/>
      <c r="B165" s="87"/>
      <c r="C165" s="87"/>
      <c r="D165" s="95"/>
      <c r="E165" s="87"/>
      <c r="F165" s="166"/>
      <c r="G165" s="87"/>
      <c r="H165" s="87"/>
      <c r="I165" s="95"/>
      <c r="J165" s="87"/>
      <c r="K165" s="166"/>
      <c r="L165" s="87"/>
      <c r="M165" s="87"/>
      <c r="N165" s="95"/>
      <c r="O165" s="87"/>
      <c r="P165" s="166"/>
      <c r="Q165" s="87"/>
      <c r="R165" s="87"/>
      <c r="S165" s="95"/>
      <c r="T165" s="87"/>
      <c r="U165" s="87"/>
      <c r="V165" s="87"/>
      <c r="W165" s="87"/>
      <c r="X165" s="87"/>
      <c r="Y165" s="87"/>
      <c r="Z165" s="87"/>
      <c r="AA165" s="87"/>
    </row>
    <row r="166" spans="1:27" x14ac:dyDescent="0.6">
      <c r="A166" s="166"/>
      <c r="B166" s="87"/>
      <c r="C166" s="87"/>
      <c r="D166" s="95"/>
      <c r="E166" s="87"/>
      <c r="F166" s="166"/>
      <c r="G166" s="87"/>
      <c r="H166" s="87"/>
      <c r="I166" s="95"/>
      <c r="J166" s="87"/>
      <c r="K166" s="166"/>
      <c r="L166" s="87"/>
      <c r="M166" s="87"/>
      <c r="N166" s="95"/>
      <c r="O166" s="87"/>
      <c r="P166" s="166"/>
      <c r="Q166" s="87"/>
      <c r="R166" s="87"/>
      <c r="S166" s="95"/>
      <c r="T166" s="87"/>
      <c r="U166" s="87"/>
      <c r="V166" s="87"/>
      <c r="W166" s="87"/>
      <c r="X166" s="87"/>
      <c r="Y166" s="87"/>
      <c r="Z166" s="87"/>
      <c r="AA166" s="87"/>
    </row>
    <row r="167" spans="1:27" x14ac:dyDescent="0.6">
      <c r="A167" s="166"/>
      <c r="B167" s="87"/>
      <c r="C167" s="87"/>
      <c r="D167" s="95"/>
      <c r="E167" s="87"/>
      <c r="F167" s="166"/>
      <c r="G167" s="87"/>
      <c r="H167" s="87"/>
      <c r="I167" s="95"/>
      <c r="J167" s="87"/>
      <c r="K167" s="166"/>
      <c r="L167" s="87"/>
      <c r="M167" s="87"/>
      <c r="N167" s="95"/>
      <c r="O167" s="87"/>
      <c r="P167" s="166"/>
      <c r="Q167" s="87"/>
      <c r="R167" s="87"/>
      <c r="S167" s="95"/>
      <c r="T167" s="87"/>
      <c r="U167" s="87"/>
      <c r="V167" s="87"/>
      <c r="W167" s="87"/>
      <c r="X167" s="87"/>
      <c r="Y167" s="87"/>
      <c r="Z167" s="87"/>
      <c r="AA167" s="87"/>
    </row>
    <row r="168" spans="1:27" x14ac:dyDescent="0.6">
      <c r="A168" s="166"/>
      <c r="B168" s="87"/>
      <c r="C168" s="87"/>
      <c r="D168" s="95"/>
      <c r="E168" s="87"/>
      <c r="F168" s="166"/>
      <c r="G168" s="87"/>
      <c r="H168" s="87"/>
      <c r="I168" s="95"/>
      <c r="J168" s="87"/>
      <c r="K168" s="166"/>
      <c r="L168" s="87"/>
      <c r="M168" s="87"/>
      <c r="N168" s="95"/>
      <c r="O168" s="87"/>
      <c r="P168" s="166"/>
      <c r="Q168" s="87"/>
      <c r="R168" s="87"/>
      <c r="S168" s="95"/>
      <c r="T168" s="87"/>
      <c r="U168" s="87"/>
      <c r="V168" s="87"/>
      <c r="W168" s="87"/>
      <c r="X168" s="87"/>
      <c r="Y168" s="87"/>
      <c r="Z168" s="87"/>
      <c r="AA168" s="87"/>
    </row>
    <row r="169" spans="1:27" x14ac:dyDescent="0.6">
      <c r="A169" s="166"/>
      <c r="B169" s="87"/>
      <c r="C169" s="87"/>
      <c r="D169" s="95"/>
      <c r="E169" s="87"/>
      <c r="F169" s="166"/>
      <c r="G169" s="87"/>
      <c r="H169" s="87"/>
      <c r="I169" s="95"/>
      <c r="J169" s="87"/>
      <c r="K169" s="166"/>
      <c r="L169" s="87"/>
      <c r="M169" s="87"/>
      <c r="N169" s="95"/>
      <c r="O169" s="87"/>
      <c r="P169" s="166"/>
      <c r="Q169" s="87"/>
      <c r="R169" s="87"/>
      <c r="S169" s="95"/>
      <c r="T169" s="87"/>
      <c r="U169" s="87"/>
      <c r="V169" s="87"/>
      <c r="W169" s="87"/>
      <c r="X169" s="87"/>
      <c r="Y169" s="87"/>
      <c r="Z169" s="87"/>
      <c r="AA169" s="87"/>
    </row>
    <row r="170" spans="1:27" x14ac:dyDescent="0.6">
      <c r="A170" s="166"/>
      <c r="B170" s="87"/>
      <c r="C170" s="87"/>
      <c r="D170" s="95"/>
      <c r="E170" s="87"/>
      <c r="F170" s="166"/>
      <c r="G170" s="87"/>
      <c r="H170" s="87"/>
      <c r="I170" s="95"/>
      <c r="J170" s="87"/>
      <c r="K170" s="166"/>
      <c r="L170" s="87"/>
      <c r="M170" s="87"/>
      <c r="N170" s="95"/>
      <c r="O170" s="87"/>
      <c r="P170" s="166"/>
      <c r="Q170" s="87"/>
      <c r="R170" s="87"/>
      <c r="S170" s="95"/>
      <c r="T170" s="87"/>
      <c r="U170" s="87"/>
      <c r="V170" s="87"/>
      <c r="W170" s="87"/>
      <c r="X170" s="87"/>
      <c r="Y170" s="87"/>
      <c r="Z170" s="87"/>
      <c r="AA170" s="87"/>
    </row>
    <row r="171" spans="1:27" x14ac:dyDescent="0.6">
      <c r="A171" s="166"/>
      <c r="B171" s="87"/>
      <c r="C171" s="87"/>
      <c r="D171" s="95"/>
      <c r="E171" s="87"/>
      <c r="F171" s="166"/>
      <c r="G171" s="87"/>
      <c r="H171" s="87"/>
      <c r="I171" s="95"/>
      <c r="J171" s="87"/>
      <c r="K171" s="166"/>
      <c r="L171" s="87"/>
      <c r="M171" s="87"/>
      <c r="N171" s="95"/>
      <c r="O171" s="87"/>
      <c r="P171" s="166"/>
      <c r="Q171" s="87"/>
      <c r="R171" s="87"/>
      <c r="S171" s="95"/>
      <c r="T171" s="87"/>
      <c r="U171" s="87"/>
      <c r="V171" s="87"/>
      <c r="W171" s="87"/>
      <c r="X171" s="87"/>
      <c r="Y171" s="87"/>
      <c r="Z171" s="87"/>
      <c r="AA171" s="87"/>
    </row>
    <row r="172" spans="1:27" x14ac:dyDescent="0.6">
      <c r="A172" s="166"/>
      <c r="B172" s="87"/>
      <c r="C172" s="87"/>
      <c r="D172" s="95"/>
      <c r="E172" s="87"/>
      <c r="F172" s="166"/>
      <c r="G172" s="87"/>
      <c r="H172" s="87"/>
      <c r="I172" s="95"/>
      <c r="J172" s="87"/>
      <c r="K172" s="166"/>
      <c r="L172" s="87"/>
      <c r="M172" s="87"/>
      <c r="N172" s="95"/>
      <c r="O172" s="87"/>
      <c r="P172" s="166"/>
      <c r="Q172" s="87"/>
      <c r="R172" s="87"/>
      <c r="S172" s="95"/>
      <c r="T172" s="87"/>
      <c r="U172" s="87"/>
      <c r="V172" s="87"/>
      <c r="W172" s="87"/>
      <c r="X172" s="87"/>
      <c r="Y172" s="87"/>
      <c r="Z172" s="87"/>
      <c r="AA172" s="87"/>
    </row>
    <row r="173" spans="1:27" x14ac:dyDescent="0.6">
      <c r="A173" s="166"/>
      <c r="B173" s="87"/>
      <c r="C173" s="87"/>
      <c r="D173" s="95"/>
      <c r="E173" s="87"/>
      <c r="F173" s="166"/>
      <c r="G173" s="87"/>
      <c r="H173" s="87"/>
      <c r="I173" s="95"/>
      <c r="J173" s="87"/>
      <c r="K173" s="166"/>
      <c r="L173" s="87"/>
      <c r="M173" s="87"/>
      <c r="N173" s="95"/>
      <c r="O173" s="87"/>
      <c r="P173" s="166"/>
      <c r="Q173" s="87"/>
      <c r="R173" s="87"/>
      <c r="S173" s="95"/>
      <c r="T173" s="87"/>
      <c r="U173" s="87"/>
      <c r="V173" s="87"/>
      <c r="W173" s="87"/>
      <c r="X173" s="87"/>
      <c r="Y173" s="87"/>
      <c r="Z173" s="87"/>
      <c r="AA173" s="87"/>
    </row>
    <row r="174" spans="1:27" x14ac:dyDescent="0.6">
      <c r="A174" s="166"/>
      <c r="B174" s="87"/>
      <c r="C174" s="87"/>
      <c r="D174" s="95"/>
      <c r="E174" s="87"/>
      <c r="F174" s="166"/>
      <c r="G174" s="87"/>
      <c r="H174" s="87"/>
      <c r="I174" s="95"/>
      <c r="J174" s="87"/>
      <c r="K174" s="166"/>
      <c r="L174" s="87"/>
      <c r="M174" s="87"/>
      <c r="N174" s="95"/>
      <c r="O174" s="87"/>
      <c r="P174" s="166"/>
      <c r="Q174" s="87"/>
      <c r="R174" s="87"/>
      <c r="S174" s="95"/>
      <c r="T174" s="87"/>
      <c r="U174" s="87"/>
      <c r="V174" s="87"/>
      <c r="W174" s="87"/>
      <c r="X174" s="87"/>
      <c r="Y174" s="87"/>
      <c r="Z174" s="87"/>
      <c r="AA174" s="87"/>
    </row>
    <row r="175" spans="1:27" x14ac:dyDescent="0.6">
      <c r="A175" s="166"/>
      <c r="B175" s="87"/>
      <c r="C175" s="87"/>
      <c r="D175" s="95"/>
      <c r="E175" s="87"/>
      <c r="F175" s="166"/>
      <c r="G175" s="87"/>
      <c r="H175" s="87"/>
      <c r="I175" s="95"/>
      <c r="J175" s="87"/>
      <c r="K175" s="166"/>
      <c r="L175" s="87"/>
      <c r="M175" s="87"/>
      <c r="N175" s="95"/>
      <c r="O175" s="87"/>
      <c r="P175" s="166"/>
      <c r="Q175" s="87"/>
      <c r="R175" s="87"/>
      <c r="S175" s="95"/>
      <c r="T175" s="87"/>
      <c r="U175" s="87"/>
      <c r="V175" s="87"/>
      <c r="W175" s="87"/>
      <c r="X175" s="87"/>
      <c r="Y175" s="87"/>
      <c r="Z175" s="87"/>
      <c r="AA175" s="87"/>
    </row>
    <row r="176" spans="1:27" x14ac:dyDescent="0.6">
      <c r="A176" s="166"/>
      <c r="B176" s="87"/>
      <c r="C176" s="87"/>
      <c r="D176" s="95"/>
      <c r="E176" s="87"/>
      <c r="F176" s="166"/>
      <c r="G176" s="87"/>
      <c r="H176" s="87"/>
      <c r="I176" s="95"/>
      <c r="J176" s="87"/>
      <c r="K176" s="166"/>
      <c r="L176" s="87"/>
      <c r="M176" s="87"/>
      <c r="N176" s="95"/>
      <c r="O176" s="87"/>
      <c r="P176" s="166"/>
      <c r="Q176" s="87"/>
      <c r="R176" s="87"/>
      <c r="S176" s="95"/>
      <c r="T176" s="87"/>
      <c r="U176" s="87"/>
      <c r="V176" s="87"/>
      <c r="W176" s="87"/>
      <c r="X176" s="87"/>
      <c r="Y176" s="87"/>
      <c r="Z176" s="87"/>
      <c r="AA176" s="87"/>
    </row>
    <row r="177" spans="1:27" x14ac:dyDescent="0.6">
      <c r="A177" s="166"/>
      <c r="B177" s="87"/>
      <c r="C177" s="87"/>
      <c r="D177" s="95"/>
      <c r="E177" s="87"/>
      <c r="F177" s="166"/>
      <c r="G177" s="87"/>
      <c r="H177" s="87"/>
      <c r="I177" s="95"/>
      <c r="J177" s="87"/>
      <c r="K177" s="166"/>
      <c r="L177" s="87"/>
      <c r="M177" s="87"/>
      <c r="N177" s="95"/>
      <c r="O177" s="87"/>
      <c r="P177" s="166"/>
      <c r="Q177" s="87"/>
      <c r="R177" s="87"/>
      <c r="S177" s="95"/>
      <c r="T177" s="87"/>
      <c r="U177" s="87"/>
      <c r="V177" s="87"/>
      <c r="W177" s="87"/>
      <c r="X177" s="87"/>
      <c r="Y177" s="87"/>
      <c r="Z177" s="87"/>
      <c r="AA177" s="87"/>
    </row>
    <row r="178" spans="1:27" x14ac:dyDescent="0.6">
      <c r="A178" s="166"/>
      <c r="B178" s="87"/>
      <c r="C178" s="87"/>
      <c r="D178" s="95"/>
      <c r="E178" s="87"/>
      <c r="F178" s="166"/>
      <c r="G178" s="87"/>
      <c r="H178" s="87"/>
      <c r="I178" s="95"/>
      <c r="J178" s="87"/>
      <c r="K178" s="166"/>
      <c r="L178" s="87"/>
      <c r="M178" s="87"/>
      <c r="N178" s="95"/>
      <c r="O178" s="87"/>
      <c r="P178" s="166"/>
      <c r="Q178" s="87"/>
      <c r="R178" s="87"/>
      <c r="S178" s="95"/>
      <c r="T178" s="87"/>
      <c r="U178" s="87"/>
      <c r="V178" s="87"/>
      <c r="W178" s="87"/>
      <c r="X178" s="87"/>
      <c r="Y178" s="87"/>
      <c r="Z178" s="87"/>
      <c r="AA178" s="87"/>
    </row>
    <row r="179" spans="1:27" x14ac:dyDescent="0.6">
      <c r="A179" s="166"/>
      <c r="B179" s="87"/>
      <c r="C179" s="87"/>
      <c r="D179" s="95"/>
      <c r="E179" s="87"/>
      <c r="F179" s="166"/>
      <c r="G179" s="87"/>
      <c r="H179" s="87"/>
      <c r="I179" s="95"/>
      <c r="J179" s="87"/>
      <c r="K179" s="166"/>
      <c r="L179" s="87"/>
      <c r="M179" s="87"/>
      <c r="N179" s="95"/>
      <c r="O179" s="87"/>
      <c r="P179" s="166"/>
      <c r="Q179" s="87"/>
      <c r="R179" s="87"/>
      <c r="S179" s="95"/>
      <c r="T179" s="87"/>
      <c r="U179" s="87"/>
      <c r="V179" s="87"/>
      <c r="W179" s="87"/>
      <c r="X179" s="87"/>
      <c r="Y179" s="87"/>
      <c r="Z179" s="87"/>
      <c r="AA179" s="87"/>
    </row>
    <row r="180" spans="1:27" x14ac:dyDescent="0.6">
      <c r="A180" s="166"/>
      <c r="B180" s="87"/>
      <c r="C180" s="87"/>
      <c r="D180" s="95"/>
      <c r="E180" s="87"/>
      <c r="F180" s="166"/>
      <c r="G180" s="87"/>
      <c r="H180" s="87"/>
      <c r="I180" s="95"/>
      <c r="J180" s="87"/>
      <c r="K180" s="166"/>
      <c r="L180" s="87"/>
      <c r="M180" s="87"/>
      <c r="N180" s="95"/>
      <c r="O180" s="87"/>
      <c r="P180" s="166"/>
      <c r="Q180" s="87"/>
      <c r="R180" s="87"/>
      <c r="S180" s="95"/>
      <c r="T180" s="87"/>
      <c r="U180" s="87"/>
      <c r="V180" s="87"/>
      <c r="W180" s="87"/>
      <c r="X180" s="87"/>
      <c r="Y180" s="87"/>
      <c r="Z180" s="87"/>
      <c r="AA180" s="87"/>
    </row>
    <row r="181" spans="1:27" x14ac:dyDescent="0.6">
      <c r="A181" s="166"/>
      <c r="B181" s="87"/>
      <c r="C181" s="87"/>
      <c r="D181" s="95"/>
      <c r="E181" s="87"/>
      <c r="F181" s="166"/>
      <c r="G181" s="87"/>
      <c r="H181" s="87"/>
      <c r="I181" s="95"/>
      <c r="J181" s="87"/>
      <c r="K181" s="166"/>
      <c r="L181" s="87"/>
      <c r="M181" s="87"/>
      <c r="N181" s="95"/>
      <c r="O181" s="87"/>
      <c r="P181" s="166"/>
      <c r="Q181" s="87"/>
      <c r="R181" s="87"/>
      <c r="S181" s="95"/>
      <c r="T181" s="87"/>
      <c r="U181" s="87"/>
      <c r="V181" s="87"/>
      <c r="W181" s="87"/>
      <c r="X181" s="87"/>
      <c r="Y181" s="87"/>
      <c r="Z181" s="87"/>
      <c r="AA181" s="87"/>
    </row>
    <row r="182" spans="1:27" x14ac:dyDescent="0.6">
      <c r="A182" s="166"/>
      <c r="B182" s="87"/>
      <c r="C182" s="87"/>
      <c r="D182" s="95"/>
      <c r="E182" s="87"/>
      <c r="F182" s="166"/>
      <c r="G182" s="87"/>
      <c r="H182" s="87"/>
      <c r="I182" s="95"/>
      <c r="J182" s="87"/>
      <c r="K182" s="166"/>
      <c r="L182" s="87"/>
      <c r="M182" s="87"/>
      <c r="N182" s="95"/>
      <c r="O182" s="87"/>
      <c r="P182" s="166"/>
      <c r="Q182" s="87"/>
      <c r="R182" s="87"/>
      <c r="S182" s="95"/>
      <c r="T182" s="87"/>
      <c r="U182" s="87"/>
      <c r="V182" s="87"/>
      <c r="W182" s="87"/>
      <c r="X182" s="87"/>
      <c r="Y182" s="87"/>
      <c r="Z182" s="87"/>
      <c r="AA182" s="87"/>
    </row>
    <row r="183" spans="1:27" x14ac:dyDescent="0.6">
      <c r="A183" s="166"/>
      <c r="B183" s="87"/>
      <c r="C183" s="87"/>
      <c r="D183" s="95"/>
      <c r="E183" s="87"/>
      <c r="F183" s="166"/>
      <c r="G183" s="87"/>
      <c r="H183" s="87"/>
      <c r="I183" s="95"/>
      <c r="J183" s="87"/>
      <c r="K183" s="166"/>
      <c r="L183" s="87"/>
      <c r="M183" s="87"/>
      <c r="N183" s="95"/>
      <c r="O183" s="87"/>
      <c r="P183" s="166"/>
      <c r="Q183" s="87"/>
      <c r="R183" s="87"/>
      <c r="S183" s="95"/>
      <c r="T183" s="87"/>
      <c r="U183" s="87"/>
      <c r="V183" s="87"/>
      <c r="W183" s="87"/>
      <c r="X183" s="87"/>
      <c r="Y183" s="87"/>
      <c r="Z183" s="87"/>
      <c r="AA183" s="87"/>
    </row>
    <row r="184" spans="1:27" x14ac:dyDescent="0.6">
      <c r="A184" s="166"/>
      <c r="B184" s="87"/>
      <c r="C184" s="87"/>
      <c r="D184" s="95"/>
      <c r="E184" s="87"/>
      <c r="F184" s="166"/>
      <c r="G184" s="87"/>
      <c r="H184" s="87"/>
      <c r="I184" s="95"/>
      <c r="J184" s="87"/>
      <c r="K184" s="166"/>
      <c r="L184" s="87"/>
      <c r="M184" s="87"/>
      <c r="N184" s="95"/>
      <c r="O184" s="87"/>
      <c r="P184" s="166"/>
      <c r="Q184" s="87"/>
      <c r="R184" s="87"/>
      <c r="S184" s="95"/>
      <c r="T184" s="87"/>
      <c r="U184" s="87"/>
      <c r="V184" s="87"/>
      <c r="W184" s="87"/>
      <c r="X184" s="87"/>
      <c r="Y184" s="87"/>
      <c r="Z184" s="87"/>
      <c r="AA184" s="87"/>
    </row>
    <row r="185" spans="1:27" x14ac:dyDescent="0.6">
      <c r="A185" s="166"/>
      <c r="B185" s="87"/>
      <c r="C185" s="87"/>
      <c r="D185" s="95"/>
      <c r="E185" s="87"/>
      <c r="F185" s="166"/>
      <c r="G185" s="87"/>
      <c r="H185" s="87"/>
      <c r="I185" s="95"/>
      <c r="J185" s="87"/>
      <c r="K185" s="166"/>
      <c r="L185" s="87"/>
      <c r="M185" s="87"/>
      <c r="N185" s="95"/>
      <c r="O185" s="87"/>
      <c r="P185" s="166"/>
      <c r="Q185" s="87"/>
      <c r="R185" s="87"/>
      <c r="S185" s="95"/>
      <c r="T185" s="87"/>
      <c r="U185" s="87"/>
      <c r="V185" s="87"/>
      <c r="W185" s="87"/>
      <c r="X185" s="87"/>
      <c r="Y185" s="87"/>
      <c r="Z185" s="87"/>
      <c r="AA185" s="87"/>
    </row>
    <row r="186" spans="1:27" x14ac:dyDescent="0.6">
      <c r="A186" s="166"/>
      <c r="B186" s="87"/>
      <c r="C186" s="87"/>
      <c r="D186" s="95"/>
      <c r="E186" s="87"/>
      <c r="F186" s="166"/>
      <c r="G186" s="87"/>
      <c r="H186" s="87"/>
      <c r="I186" s="95"/>
      <c r="J186" s="87"/>
      <c r="K186" s="166"/>
      <c r="L186" s="87"/>
      <c r="M186" s="87"/>
      <c r="N186" s="95"/>
      <c r="O186" s="87"/>
      <c r="P186" s="166"/>
      <c r="Q186" s="87"/>
      <c r="R186" s="87"/>
      <c r="S186" s="95"/>
      <c r="T186" s="87"/>
      <c r="U186" s="87"/>
      <c r="V186" s="87"/>
      <c r="W186" s="87"/>
      <c r="X186" s="87"/>
      <c r="Y186" s="87"/>
      <c r="Z186" s="87"/>
      <c r="AA186" s="87"/>
    </row>
    <row r="187" spans="1:27" x14ac:dyDescent="0.6">
      <c r="A187" s="166"/>
      <c r="B187" s="87"/>
      <c r="C187" s="87"/>
      <c r="D187" s="95"/>
      <c r="E187" s="87"/>
      <c r="F187" s="166"/>
      <c r="G187" s="87"/>
      <c r="H187" s="87"/>
      <c r="I187" s="95"/>
      <c r="J187" s="87"/>
      <c r="K187" s="166"/>
      <c r="L187" s="87"/>
      <c r="M187" s="87"/>
      <c r="N187" s="95"/>
      <c r="O187" s="87"/>
      <c r="P187" s="166"/>
      <c r="Q187" s="87"/>
      <c r="R187" s="87"/>
      <c r="S187" s="95"/>
      <c r="T187" s="87"/>
      <c r="U187" s="87"/>
      <c r="V187" s="87"/>
      <c r="W187" s="87"/>
      <c r="X187" s="87"/>
      <c r="Y187" s="87"/>
      <c r="Z187" s="87"/>
      <c r="AA187" s="87"/>
    </row>
    <row r="188" spans="1:27" x14ac:dyDescent="0.6">
      <c r="A188" s="166"/>
      <c r="B188" s="87"/>
      <c r="C188" s="87"/>
      <c r="D188" s="95"/>
      <c r="E188" s="87"/>
      <c r="F188" s="166"/>
      <c r="G188" s="87"/>
      <c r="H188" s="87"/>
      <c r="I188" s="95"/>
      <c r="J188" s="87"/>
      <c r="K188" s="166"/>
      <c r="L188" s="87"/>
      <c r="M188" s="87"/>
      <c r="N188" s="95"/>
      <c r="O188" s="87"/>
      <c r="P188" s="166"/>
      <c r="Q188" s="87"/>
      <c r="R188" s="87"/>
      <c r="S188" s="95"/>
      <c r="T188" s="87"/>
      <c r="U188" s="87"/>
      <c r="V188" s="87"/>
      <c r="W188" s="87"/>
      <c r="X188" s="87"/>
      <c r="Y188" s="87"/>
      <c r="Z188" s="87"/>
      <c r="AA188" s="87"/>
    </row>
    <row r="189" spans="1:27" x14ac:dyDescent="0.6">
      <c r="A189" s="166"/>
      <c r="B189" s="87"/>
      <c r="C189" s="87"/>
      <c r="D189" s="95"/>
      <c r="E189" s="87"/>
      <c r="F189" s="166"/>
      <c r="G189" s="87"/>
      <c r="H189" s="87"/>
      <c r="I189" s="95"/>
      <c r="J189" s="87"/>
      <c r="K189" s="166"/>
      <c r="L189" s="87"/>
      <c r="M189" s="87"/>
      <c r="N189" s="95"/>
      <c r="O189" s="87"/>
      <c r="P189" s="166"/>
      <c r="Q189" s="87"/>
      <c r="R189" s="87"/>
      <c r="S189" s="95"/>
      <c r="T189" s="87"/>
      <c r="U189" s="87"/>
      <c r="V189" s="87"/>
      <c r="W189" s="87"/>
      <c r="X189" s="87"/>
      <c r="Y189" s="87"/>
      <c r="Z189" s="87"/>
      <c r="AA189" s="87"/>
    </row>
    <row r="190" spans="1:27" x14ac:dyDescent="0.6">
      <c r="A190" s="166"/>
      <c r="B190" s="87"/>
      <c r="C190" s="87"/>
      <c r="D190" s="95"/>
      <c r="E190" s="87"/>
      <c r="F190" s="166"/>
      <c r="G190" s="87"/>
      <c r="H190" s="87"/>
      <c r="I190" s="95"/>
      <c r="J190" s="87"/>
      <c r="K190" s="166"/>
      <c r="L190" s="87"/>
      <c r="M190" s="87"/>
      <c r="N190" s="95"/>
      <c r="O190" s="87"/>
      <c r="P190" s="166"/>
      <c r="Q190" s="87"/>
      <c r="R190" s="87"/>
      <c r="S190" s="95"/>
      <c r="T190" s="87"/>
      <c r="U190" s="87"/>
      <c r="V190" s="87"/>
      <c r="W190" s="87"/>
      <c r="X190" s="87"/>
      <c r="Y190" s="87"/>
      <c r="Z190" s="87"/>
      <c r="AA190" s="87"/>
    </row>
    <row r="191" spans="1:27" x14ac:dyDescent="0.6">
      <c r="A191" s="166"/>
      <c r="B191" s="87"/>
      <c r="C191" s="87"/>
      <c r="D191" s="95"/>
      <c r="E191" s="87"/>
      <c r="F191" s="166"/>
      <c r="G191" s="87"/>
      <c r="H191" s="87"/>
      <c r="I191" s="95"/>
      <c r="J191" s="87"/>
      <c r="K191" s="166"/>
      <c r="L191" s="87"/>
      <c r="M191" s="87"/>
      <c r="N191" s="95"/>
      <c r="O191" s="87"/>
      <c r="P191" s="166"/>
      <c r="Q191" s="87"/>
      <c r="R191" s="87"/>
      <c r="S191" s="95"/>
      <c r="T191" s="87"/>
      <c r="U191" s="87"/>
      <c r="V191" s="87"/>
      <c r="W191" s="87"/>
      <c r="X191" s="87"/>
      <c r="Y191" s="87"/>
      <c r="Z191" s="87"/>
      <c r="AA191" s="87"/>
    </row>
    <row r="192" spans="1:27" x14ac:dyDescent="0.6">
      <c r="A192" s="166"/>
      <c r="B192" s="87"/>
      <c r="C192" s="87"/>
      <c r="D192" s="95"/>
      <c r="E192" s="87"/>
      <c r="F192" s="166"/>
      <c r="G192" s="87"/>
      <c r="H192" s="87"/>
      <c r="I192" s="95"/>
      <c r="J192" s="87"/>
      <c r="K192" s="166"/>
      <c r="L192" s="87"/>
      <c r="M192" s="87"/>
      <c r="N192" s="95"/>
      <c r="O192" s="87"/>
      <c r="P192" s="166"/>
      <c r="Q192" s="87"/>
      <c r="R192" s="87"/>
      <c r="S192" s="95"/>
      <c r="T192" s="87"/>
      <c r="U192" s="87"/>
      <c r="V192" s="87"/>
      <c r="W192" s="87"/>
      <c r="X192" s="87"/>
      <c r="Y192" s="87"/>
      <c r="Z192" s="87"/>
      <c r="AA192" s="87"/>
    </row>
    <row r="193" spans="1:27" x14ac:dyDescent="0.6">
      <c r="A193" s="166"/>
      <c r="B193" s="87"/>
      <c r="C193" s="87"/>
      <c r="D193" s="95"/>
      <c r="E193" s="87"/>
      <c r="F193" s="166"/>
      <c r="G193" s="87"/>
      <c r="H193" s="87"/>
      <c r="I193" s="95"/>
      <c r="J193" s="87"/>
      <c r="K193" s="166"/>
      <c r="L193" s="87"/>
      <c r="M193" s="87"/>
      <c r="N193" s="95"/>
      <c r="O193" s="87"/>
      <c r="P193" s="166"/>
      <c r="Q193" s="87"/>
      <c r="R193" s="87"/>
      <c r="S193" s="95"/>
      <c r="T193" s="87"/>
      <c r="U193" s="87"/>
      <c r="V193" s="87"/>
      <c r="W193" s="87"/>
      <c r="X193" s="87"/>
      <c r="Y193" s="87"/>
      <c r="Z193" s="87"/>
      <c r="AA193" s="87"/>
    </row>
    <row r="194" spans="1:27" x14ac:dyDescent="0.6">
      <c r="A194" s="166"/>
      <c r="B194" s="87"/>
      <c r="C194" s="87"/>
      <c r="D194" s="95"/>
      <c r="E194" s="87"/>
      <c r="F194" s="166"/>
      <c r="G194" s="87"/>
      <c r="H194" s="87"/>
      <c r="I194" s="95"/>
      <c r="J194" s="87"/>
      <c r="K194" s="166"/>
      <c r="L194" s="87"/>
      <c r="M194" s="87"/>
      <c r="N194" s="95"/>
      <c r="O194" s="87"/>
      <c r="P194" s="166"/>
      <c r="Q194" s="87"/>
      <c r="R194" s="87"/>
      <c r="S194" s="95"/>
      <c r="T194" s="87"/>
      <c r="U194" s="87"/>
      <c r="V194" s="87"/>
      <c r="W194" s="87"/>
      <c r="X194" s="87"/>
      <c r="Y194" s="87"/>
      <c r="Z194" s="87"/>
      <c r="AA194" s="87"/>
    </row>
    <row r="195" spans="1:27" x14ac:dyDescent="0.6">
      <c r="A195" s="166"/>
      <c r="B195" s="87"/>
      <c r="C195" s="87"/>
      <c r="D195" s="95"/>
      <c r="E195" s="87"/>
      <c r="F195" s="166"/>
      <c r="G195" s="87"/>
      <c r="H195" s="87"/>
      <c r="I195" s="95"/>
      <c r="J195" s="87"/>
      <c r="K195" s="166"/>
      <c r="L195" s="87"/>
      <c r="M195" s="87"/>
      <c r="N195" s="95"/>
      <c r="O195" s="87"/>
      <c r="P195" s="166"/>
      <c r="Q195" s="87"/>
      <c r="R195" s="87"/>
      <c r="S195" s="95"/>
      <c r="T195" s="87"/>
      <c r="U195" s="87"/>
      <c r="V195" s="87"/>
      <c r="W195" s="87"/>
      <c r="X195" s="87"/>
      <c r="Y195" s="87"/>
      <c r="Z195" s="87"/>
      <c r="AA195" s="87"/>
    </row>
    <row r="196" spans="1:27" x14ac:dyDescent="0.6">
      <c r="A196" s="166"/>
      <c r="B196" s="87"/>
      <c r="C196" s="87"/>
      <c r="D196" s="95"/>
      <c r="E196" s="87"/>
      <c r="F196" s="166"/>
      <c r="G196" s="87"/>
      <c r="H196" s="87"/>
      <c r="I196" s="95"/>
      <c r="J196" s="87"/>
      <c r="K196" s="166"/>
      <c r="L196" s="87"/>
      <c r="M196" s="87"/>
      <c r="N196" s="95"/>
      <c r="O196" s="87"/>
      <c r="P196" s="166"/>
      <c r="Q196" s="87"/>
      <c r="R196" s="87"/>
      <c r="S196" s="95"/>
      <c r="T196" s="87"/>
      <c r="U196" s="87"/>
      <c r="V196" s="87"/>
      <c r="W196" s="87"/>
      <c r="X196" s="87"/>
      <c r="Y196" s="87"/>
      <c r="Z196" s="87"/>
      <c r="AA196" s="87"/>
    </row>
    <row r="197" spans="1:27" x14ac:dyDescent="0.6">
      <c r="A197" s="166"/>
      <c r="B197" s="87"/>
      <c r="C197" s="87"/>
      <c r="D197" s="95"/>
      <c r="E197" s="87"/>
      <c r="F197" s="166"/>
      <c r="G197" s="87"/>
      <c r="H197" s="87"/>
      <c r="I197" s="95"/>
      <c r="J197" s="87"/>
      <c r="K197" s="166"/>
      <c r="L197" s="87"/>
      <c r="M197" s="87"/>
      <c r="N197" s="95"/>
      <c r="O197" s="87"/>
      <c r="P197" s="166"/>
      <c r="Q197" s="87"/>
      <c r="R197" s="87"/>
      <c r="S197" s="95"/>
      <c r="T197" s="87"/>
      <c r="U197" s="87"/>
      <c r="V197" s="87"/>
      <c r="W197" s="87"/>
      <c r="X197" s="87"/>
      <c r="Y197" s="87"/>
      <c r="Z197" s="87"/>
      <c r="AA197" s="87"/>
    </row>
    <row r="198" spans="1:27" x14ac:dyDescent="0.6">
      <c r="A198" s="166"/>
      <c r="B198" s="87"/>
      <c r="C198" s="87"/>
      <c r="D198" s="95"/>
      <c r="E198" s="87"/>
      <c r="F198" s="166"/>
      <c r="G198" s="87"/>
      <c r="H198" s="87"/>
      <c r="I198" s="95"/>
      <c r="J198" s="87"/>
      <c r="K198" s="166"/>
      <c r="L198" s="87"/>
      <c r="M198" s="87"/>
      <c r="N198" s="87"/>
      <c r="O198" s="87"/>
      <c r="P198" s="166"/>
      <c r="Q198" s="87"/>
      <c r="R198" s="87"/>
      <c r="S198" s="95"/>
      <c r="T198" s="87"/>
      <c r="U198" s="87"/>
      <c r="V198" s="87"/>
      <c r="W198" s="87"/>
      <c r="X198" s="87"/>
      <c r="Y198" s="87"/>
      <c r="Z198" s="87"/>
      <c r="AA198" s="87"/>
    </row>
    <row r="199" spans="1:27" x14ac:dyDescent="0.6">
      <c r="A199" s="166"/>
      <c r="B199" s="87"/>
      <c r="C199" s="87"/>
      <c r="D199" s="95"/>
      <c r="E199" s="87"/>
      <c r="F199" s="166"/>
      <c r="G199" s="87"/>
      <c r="H199" s="87"/>
      <c r="I199" s="95"/>
      <c r="J199" s="87"/>
      <c r="K199" s="166"/>
      <c r="L199" s="87"/>
      <c r="M199" s="87"/>
      <c r="N199" s="87"/>
      <c r="O199" s="87"/>
      <c r="P199" s="87"/>
      <c r="Q199" s="87"/>
      <c r="R199" s="87"/>
      <c r="S199" s="87"/>
      <c r="T199" s="87"/>
      <c r="U199" s="87"/>
      <c r="V199" s="87"/>
      <c r="W199" s="87"/>
      <c r="X199" s="87"/>
      <c r="Y199" s="87"/>
      <c r="Z199" s="87"/>
      <c r="AA199" s="87"/>
    </row>
    <row r="200" spans="1:27" x14ac:dyDescent="0.6">
      <c r="A200" s="166"/>
      <c r="B200" s="87"/>
      <c r="C200" s="87"/>
      <c r="D200" s="95"/>
      <c r="E200" s="87"/>
      <c r="F200" s="166"/>
      <c r="G200" s="87"/>
      <c r="H200" s="87"/>
      <c r="I200" s="95"/>
      <c r="J200" s="87"/>
      <c r="K200" s="166"/>
      <c r="L200" s="87"/>
      <c r="M200" s="87"/>
      <c r="N200" s="87"/>
      <c r="O200" s="87"/>
      <c r="P200" s="87"/>
      <c r="Q200" s="87"/>
      <c r="R200" s="87"/>
      <c r="S200" s="87"/>
      <c r="T200" s="87"/>
      <c r="U200" s="87"/>
      <c r="V200" s="87"/>
      <c r="W200" s="87"/>
      <c r="X200" s="87"/>
      <c r="Y200" s="87"/>
      <c r="Z200" s="87"/>
      <c r="AA200" s="87"/>
    </row>
    <row r="201" spans="1:27" x14ac:dyDescent="0.6">
      <c r="A201" s="166"/>
      <c r="B201" s="87"/>
      <c r="C201" s="87"/>
      <c r="D201" s="95"/>
      <c r="E201" s="87"/>
      <c r="F201" s="166"/>
      <c r="G201" s="87"/>
      <c r="H201" s="87"/>
      <c r="I201" s="95"/>
      <c r="J201" s="87"/>
      <c r="K201" s="166"/>
      <c r="L201" s="87"/>
      <c r="M201" s="87"/>
      <c r="N201" s="87"/>
      <c r="O201" s="87"/>
      <c r="P201" s="87"/>
      <c r="Q201" s="87"/>
      <c r="R201" s="87"/>
      <c r="S201" s="87"/>
      <c r="T201" s="87"/>
      <c r="U201" s="87"/>
      <c r="V201" s="87"/>
      <c r="W201" s="87"/>
      <c r="X201" s="87"/>
      <c r="Y201" s="87"/>
      <c r="Z201" s="87"/>
      <c r="AA201" s="87"/>
    </row>
    <row r="202" spans="1:27" x14ac:dyDescent="0.6">
      <c r="A202" s="166"/>
      <c r="B202" s="87"/>
      <c r="C202" s="87"/>
      <c r="D202" s="95"/>
      <c r="E202" s="87"/>
      <c r="F202" s="166"/>
      <c r="G202" s="87"/>
      <c r="H202" s="87"/>
      <c r="I202" s="95"/>
      <c r="J202" s="87"/>
      <c r="K202" s="166"/>
      <c r="L202" s="87"/>
      <c r="M202" s="87"/>
      <c r="N202" s="87"/>
      <c r="O202" s="87"/>
      <c r="P202" s="87"/>
      <c r="Q202" s="87"/>
      <c r="R202" s="87"/>
      <c r="S202" s="87"/>
      <c r="T202" s="87"/>
      <c r="U202" s="87"/>
      <c r="V202" s="87"/>
      <c r="W202" s="87"/>
      <c r="X202" s="87"/>
      <c r="Y202" s="87"/>
      <c r="Z202" s="87"/>
      <c r="AA202" s="87"/>
    </row>
    <row r="203" spans="1:27" x14ac:dyDescent="0.6">
      <c r="A203" s="87"/>
      <c r="B203" s="87"/>
      <c r="C203" s="87"/>
      <c r="D203" s="95"/>
      <c r="E203" s="87"/>
      <c r="F203" s="166"/>
      <c r="G203" s="87"/>
      <c r="H203" s="87"/>
      <c r="I203" s="95"/>
      <c r="J203" s="87"/>
      <c r="K203" s="87"/>
      <c r="L203" s="87"/>
      <c r="M203" s="87"/>
      <c r="N203" s="87"/>
      <c r="O203" s="87"/>
      <c r="P203" s="87"/>
      <c r="Q203" s="87"/>
      <c r="R203" s="87"/>
      <c r="S203" s="87"/>
      <c r="T203" s="87"/>
      <c r="U203" s="87"/>
      <c r="V203" s="87"/>
      <c r="W203" s="87"/>
      <c r="X203" s="87"/>
      <c r="Y203" s="87"/>
      <c r="Z203" s="87"/>
      <c r="AA203" s="87"/>
    </row>
    <row r="204" spans="1:27" x14ac:dyDescent="0.6">
      <c r="A204" s="154"/>
      <c r="B204" s="154"/>
      <c r="C204" s="154"/>
      <c r="D204" s="174"/>
      <c r="E204" s="154"/>
      <c r="F204" s="175"/>
      <c r="G204" s="154"/>
      <c r="H204" s="154"/>
      <c r="I204" s="174"/>
      <c r="J204" s="154"/>
      <c r="K204" s="154"/>
      <c r="L204" s="154"/>
      <c r="M204" s="154"/>
      <c r="N204" s="154"/>
      <c r="O204" s="154"/>
      <c r="P204" s="154"/>
      <c r="Q204" s="154"/>
      <c r="R204" s="154"/>
      <c r="S204" s="154"/>
      <c r="T204" s="154"/>
      <c r="U204" s="154"/>
      <c r="V204" s="154"/>
      <c r="W204" s="154"/>
      <c r="X204" s="154"/>
      <c r="Y204" s="154"/>
      <c r="Z204" s="154"/>
      <c r="AA204" s="154"/>
    </row>
  </sheetData>
  <mergeCells count="11">
    <mergeCell ref="A5:P5"/>
    <mergeCell ref="U8:V8"/>
    <mergeCell ref="A3:P3"/>
    <mergeCell ref="K6:S6"/>
    <mergeCell ref="Y8:Z8"/>
    <mergeCell ref="U6:AA6"/>
    <mergeCell ref="P8:R8"/>
    <mergeCell ref="K8:M8"/>
    <mergeCell ref="F8:H8"/>
    <mergeCell ref="A8:C8"/>
    <mergeCell ref="A6:G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dimension ref="A1:L23"/>
  <sheetViews>
    <sheetView workbookViewId="0">
      <selection activeCell="B3" sqref="B3:K3"/>
    </sheetView>
  </sheetViews>
  <sheetFormatPr defaultColWidth="10.1328125" defaultRowHeight="14.45" customHeight="1" x14ac:dyDescent="0.6"/>
  <cols>
    <col min="1" max="1" width="4.26953125" customWidth="1"/>
    <col min="2" max="2" width="10.1328125" customWidth="1"/>
    <col min="3" max="3" width="21.40625" customWidth="1"/>
    <col min="4" max="4" width="20.26953125" customWidth="1"/>
    <col min="5" max="7" width="10.1328125" customWidth="1"/>
    <col min="8" max="8" width="7.54296875" customWidth="1"/>
    <col min="9" max="9" width="13" customWidth="1"/>
    <col min="10" max="10" width="16.86328125" customWidth="1"/>
    <col min="11" max="12" width="10.1328125" customWidth="1"/>
  </cols>
  <sheetData>
    <row r="1" spans="1:12" ht="14.25" customHeight="1" x14ac:dyDescent="0.6">
      <c r="A1" s="24"/>
      <c r="B1" s="24"/>
      <c r="C1" s="24"/>
      <c r="D1" s="24"/>
      <c r="E1" s="24"/>
      <c r="F1" s="24"/>
      <c r="G1" s="24"/>
      <c r="H1" s="24"/>
      <c r="I1" s="24"/>
      <c r="J1" s="24"/>
      <c r="K1" s="24"/>
      <c r="L1" s="24"/>
    </row>
    <row r="2" spans="1:12" ht="14.25" customHeight="1" x14ac:dyDescent="0.6">
      <c r="A2" s="24"/>
      <c r="B2" s="24"/>
      <c r="C2" s="24"/>
      <c r="D2" s="24"/>
      <c r="E2" s="24"/>
      <c r="F2" s="24"/>
      <c r="G2" s="24"/>
      <c r="H2" s="24"/>
      <c r="I2" s="24"/>
      <c r="J2" s="24"/>
      <c r="K2" s="24"/>
      <c r="L2" s="24"/>
    </row>
    <row r="3" spans="1:12" ht="14.25" customHeight="1" x14ac:dyDescent="0.6">
      <c r="A3" s="24"/>
      <c r="B3" s="319" t="s">
        <v>520</v>
      </c>
      <c r="C3" s="319"/>
      <c r="D3" s="319"/>
      <c r="E3" s="319"/>
      <c r="F3" s="319"/>
      <c r="G3" s="319"/>
      <c r="H3" s="319"/>
      <c r="I3" s="319"/>
      <c r="J3" s="319"/>
      <c r="K3" s="319"/>
      <c r="L3" s="24"/>
    </row>
    <row r="4" spans="1:12" ht="14.25" customHeight="1" x14ac:dyDescent="0.6">
      <c r="A4" s="24"/>
      <c r="B4" s="97"/>
      <c r="C4" s="98"/>
      <c r="D4" s="98"/>
      <c r="E4" s="98"/>
      <c r="F4" s="98"/>
      <c r="G4" s="98"/>
      <c r="H4" s="98"/>
      <c r="I4" s="98"/>
      <c r="J4" s="98"/>
      <c r="K4" s="24"/>
      <c r="L4" s="24"/>
    </row>
    <row r="5" spans="1:12" ht="14.25" customHeight="1" x14ac:dyDescent="0.6">
      <c r="A5" s="24"/>
      <c r="B5" s="320" t="s">
        <v>521</v>
      </c>
      <c r="C5" s="320"/>
      <c r="D5" s="99"/>
      <c r="E5" s="99"/>
      <c r="F5" s="99" t="s">
        <v>464</v>
      </c>
      <c r="G5" s="98"/>
      <c r="H5" s="320" t="s">
        <v>522</v>
      </c>
      <c r="I5" s="320"/>
      <c r="J5" s="320" t="s">
        <v>464</v>
      </c>
      <c r="K5" s="99"/>
      <c r="L5" s="99" t="s">
        <v>464</v>
      </c>
    </row>
    <row r="6" spans="1:12" ht="14.25" customHeight="1" x14ac:dyDescent="0.6">
      <c r="A6" s="24"/>
      <c r="B6" s="100" t="s">
        <v>466</v>
      </c>
      <c r="C6" s="24" t="s">
        <v>523</v>
      </c>
      <c r="D6" s="101" t="s">
        <v>264</v>
      </c>
      <c r="E6" s="101">
        <v>46.826437126519735</v>
      </c>
      <c r="F6" s="101"/>
      <c r="G6" s="24"/>
      <c r="H6" s="100" t="s">
        <v>466</v>
      </c>
      <c r="I6" s="24" t="s">
        <v>524</v>
      </c>
      <c r="J6" s="24" t="s">
        <v>264</v>
      </c>
      <c r="K6" s="101">
        <v>39.794234067098003</v>
      </c>
      <c r="L6" s="24"/>
    </row>
    <row r="7" spans="1:12" ht="14.25" customHeight="1" x14ac:dyDescent="0.6">
      <c r="A7" s="24"/>
      <c r="B7" s="100" t="s">
        <v>470</v>
      </c>
      <c r="C7" s="24" t="s">
        <v>525</v>
      </c>
      <c r="D7" s="101" t="s">
        <v>264</v>
      </c>
      <c r="E7" s="101">
        <v>17.43726516968286</v>
      </c>
      <c r="F7" s="101"/>
      <c r="G7" s="24"/>
      <c r="H7" s="100" t="s">
        <v>470</v>
      </c>
      <c r="I7" s="24" t="s">
        <v>523</v>
      </c>
      <c r="J7" s="24" t="s">
        <v>264</v>
      </c>
      <c r="K7" s="101">
        <v>29.592889781047589</v>
      </c>
      <c r="L7" s="24"/>
    </row>
    <row r="8" spans="1:12" ht="14.25" customHeight="1" x14ac:dyDescent="0.6">
      <c r="A8" s="24"/>
      <c r="B8" s="100" t="s">
        <v>473</v>
      </c>
      <c r="C8" s="24" t="s">
        <v>526</v>
      </c>
      <c r="D8" s="101" t="s">
        <v>264</v>
      </c>
      <c r="E8" s="101">
        <v>17.281215451072747</v>
      </c>
      <c r="F8" s="101"/>
      <c r="G8" s="24"/>
      <c r="H8" s="100" t="s">
        <v>473</v>
      </c>
      <c r="I8" s="24" t="s">
        <v>527</v>
      </c>
      <c r="J8" s="24" t="s">
        <v>264</v>
      </c>
      <c r="K8" s="101">
        <v>12.049645970425892</v>
      </c>
      <c r="L8" s="24"/>
    </row>
    <row r="9" spans="1:12" ht="14.25" customHeight="1" x14ac:dyDescent="0.6">
      <c r="A9" s="24"/>
      <c r="B9" s="100" t="s">
        <v>475</v>
      </c>
      <c r="C9" s="24" t="s">
        <v>527</v>
      </c>
      <c r="D9" s="101" t="s">
        <v>264</v>
      </c>
      <c r="E9" s="101">
        <v>5.661009175270177</v>
      </c>
      <c r="F9" s="101"/>
      <c r="G9" s="24"/>
      <c r="H9" s="100" t="s">
        <v>475</v>
      </c>
      <c r="I9" s="24" t="s">
        <v>528</v>
      </c>
      <c r="J9" s="24" t="s">
        <v>264</v>
      </c>
      <c r="K9" s="101">
        <v>6.8156146612680919</v>
      </c>
      <c r="L9" s="24"/>
    </row>
    <row r="10" spans="1:12" ht="14.25" customHeight="1" x14ac:dyDescent="0.6">
      <c r="A10" s="24"/>
      <c r="B10" s="100" t="s">
        <v>476</v>
      </c>
      <c r="C10" s="24" t="s">
        <v>524</v>
      </c>
      <c r="D10" s="101" t="s">
        <v>264</v>
      </c>
      <c r="E10" s="101">
        <v>5.1459212399958343</v>
      </c>
      <c r="F10" s="101"/>
      <c r="G10" s="24"/>
      <c r="H10" s="100" t="s">
        <v>476</v>
      </c>
      <c r="I10" s="24" t="s">
        <v>529</v>
      </c>
      <c r="J10" s="24" t="s">
        <v>264</v>
      </c>
      <c r="K10" s="101">
        <v>6.4669415794397018</v>
      </c>
      <c r="L10" s="24"/>
    </row>
    <row r="11" spans="1:12" ht="14.25" customHeight="1" x14ac:dyDescent="0.6">
      <c r="A11" s="24"/>
      <c r="B11" s="100" t="s">
        <v>478</v>
      </c>
      <c r="C11" s="24" t="s">
        <v>528</v>
      </c>
      <c r="D11" s="101" t="s">
        <v>264</v>
      </c>
      <c r="E11" s="101">
        <v>3.5954334029344599</v>
      </c>
      <c r="F11" s="101"/>
      <c r="G11" s="24"/>
      <c r="H11" s="100" t="s">
        <v>478</v>
      </c>
      <c r="I11" s="24" t="s">
        <v>530</v>
      </c>
      <c r="J11" s="24" t="s">
        <v>264</v>
      </c>
      <c r="K11" s="101">
        <v>4.4583796840556573</v>
      </c>
      <c r="L11" s="24"/>
    </row>
    <row r="12" spans="1:12" ht="14.25" customHeight="1" x14ac:dyDescent="0.6">
      <c r="A12" s="24"/>
      <c r="B12" s="100" t="s">
        <v>480</v>
      </c>
      <c r="C12" s="24" t="s">
        <v>531</v>
      </c>
      <c r="D12" s="101" t="s">
        <v>264</v>
      </c>
      <c r="E12" s="101">
        <v>1.7252118205459164</v>
      </c>
      <c r="F12" s="101"/>
      <c r="G12" s="24"/>
      <c r="H12" s="100" t="s">
        <v>480</v>
      </c>
      <c r="I12" s="24" t="s">
        <v>532</v>
      </c>
      <c r="J12" s="24" t="s">
        <v>264</v>
      </c>
      <c r="K12" s="101">
        <v>0.29151246962585176</v>
      </c>
      <c r="L12" s="24"/>
    </row>
    <row r="13" spans="1:12" ht="14.25" customHeight="1" x14ac:dyDescent="0.6">
      <c r="A13" s="24"/>
      <c r="B13" s="100" t="s">
        <v>481</v>
      </c>
      <c r="C13" s="24" t="s">
        <v>529</v>
      </c>
      <c r="D13" s="101" t="s">
        <v>264</v>
      </c>
      <c r="E13" s="101">
        <v>1.3847547452115387</v>
      </c>
      <c r="F13" s="101"/>
      <c r="G13" s="24"/>
      <c r="H13" s="100" t="s">
        <v>481</v>
      </c>
      <c r="I13" s="24" t="s">
        <v>533</v>
      </c>
      <c r="J13" s="24" t="s">
        <v>264</v>
      </c>
      <c r="K13" s="101">
        <v>0.2367840863751435</v>
      </c>
      <c r="L13" s="24"/>
    </row>
    <row r="14" spans="1:12" ht="14.25" customHeight="1" x14ac:dyDescent="0.6">
      <c r="A14" s="24"/>
      <c r="B14" s="100" t="s">
        <v>483</v>
      </c>
      <c r="C14" s="24" t="s">
        <v>534</v>
      </c>
      <c r="D14" s="101" t="s">
        <v>264</v>
      </c>
      <c r="E14" s="101">
        <v>0.81307268978366398</v>
      </c>
      <c r="F14" s="101"/>
      <c r="G14" s="24"/>
      <c r="H14" s="100" t="s">
        <v>483</v>
      </c>
      <c r="I14" s="24" t="s">
        <v>535</v>
      </c>
      <c r="J14" s="24" t="s">
        <v>264</v>
      </c>
      <c r="K14" s="101">
        <v>0.10491449764080557</v>
      </c>
      <c r="L14" s="24"/>
    </row>
    <row r="15" spans="1:12" ht="14.25" customHeight="1" x14ac:dyDescent="0.6">
      <c r="A15" s="24"/>
      <c r="B15" s="100" t="s">
        <v>484</v>
      </c>
      <c r="C15" s="24" t="s">
        <v>535</v>
      </c>
      <c r="D15" s="101" t="s">
        <v>264</v>
      </c>
      <c r="E15" s="101">
        <v>0.11090389285429567</v>
      </c>
      <c r="F15" s="101"/>
      <c r="G15" s="24"/>
      <c r="H15" s="100" t="s">
        <v>484</v>
      </c>
      <c r="I15" s="24" t="s">
        <v>525</v>
      </c>
      <c r="J15" s="24" t="s">
        <v>264</v>
      </c>
      <c r="K15" s="101">
        <v>6.9582789751194404E-2</v>
      </c>
      <c r="L15" s="24"/>
    </row>
    <row r="16" spans="1:12" ht="14.25" customHeight="1" x14ac:dyDescent="0.6">
      <c r="A16" s="24"/>
      <c r="B16" s="100" t="s">
        <v>485</v>
      </c>
      <c r="C16" s="24" t="s">
        <v>536</v>
      </c>
      <c r="D16" s="101" t="s">
        <v>264</v>
      </c>
      <c r="E16" s="101">
        <v>1.4316508249501075E-2</v>
      </c>
      <c r="F16" s="101"/>
      <c r="G16" s="24"/>
      <c r="H16" s="100" t="s">
        <v>485</v>
      </c>
      <c r="I16" s="24" t="s">
        <v>536</v>
      </c>
      <c r="J16" s="24" t="s">
        <v>264</v>
      </c>
      <c r="K16" s="101">
        <v>6.6283633615013077E-2</v>
      </c>
      <c r="L16" s="24"/>
    </row>
    <row r="17" spans="1:12" ht="14.25" customHeight="1" x14ac:dyDescent="0.6">
      <c r="A17" s="24"/>
      <c r="B17" s="100"/>
      <c r="C17" s="24"/>
      <c r="D17" s="101"/>
      <c r="E17" s="101"/>
      <c r="F17" s="101"/>
      <c r="G17" s="24"/>
      <c r="H17" s="100" t="s">
        <v>486</v>
      </c>
      <c r="I17" s="24" t="s">
        <v>537</v>
      </c>
      <c r="J17" s="24" t="s">
        <v>264</v>
      </c>
      <c r="K17" s="101">
        <v>2.3508165538224407E-2</v>
      </c>
      <c r="L17" s="24"/>
    </row>
    <row r="18" spans="1:12" ht="14.25" customHeight="1" x14ac:dyDescent="0.6">
      <c r="A18" s="24"/>
      <c r="B18" s="100"/>
      <c r="C18" s="24"/>
      <c r="D18" s="101"/>
      <c r="E18" s="101"/>
      <c r="F18" s="101"/>
      <c r="G18" s="24"/>
      <c r="H18" s="100" t="s">
        <v>488</v>
      </c>
      <c r="I18" s="24" t="s">
        <v>538</v>
      </c>
      <c r="J18" s="24" t="s">
        <v>264</v>
      </c>
      <c r="K18" s="101">
        <v>1.5842452899168882E-2</v>
      </c>
      <c r="L18" s="24"/>
    </row>
    <row r="19" spans="1:12" ht="14.25" customHeight="1" x14ac:dyDescent="0.6">
      <c r="A19" s="24"/>
      <c r="B19" s="100"/>
      <c r="C19" s="24"/>
      <c r="D19" s="101"/>
      <c r="E19" s="101"/>
      <c r="F19" s="101"/>
      <c r="G19" s="24"/>
      <c r="H19" s="100" t="s">
        <v>489</v>
      </c>
      <c r="I19" s="24" t="s">
        <v>539</v>
      </c>
      <c r="J19" s="24" t="s">
        <v>264</v>
      </c>
      <c r="K19" s="101">
        <v>7.1750704358449083E-3</v>
      </c>
      <c r="L19" s="24"/>
    </row>
    <row r="20" spans="1:12" ht="14.25" customHeight="1" x14ac:dyDescent="0.6">
      <c r="A20" s="24"/>
      <c r="B20" s="100"/>
      <c r="C20" s="24"/>
      <c r="D20" s="101"/>
      <c r="E20" s="101"/>
      <c r="F20" s="101"/>
      <c r="G20" s="24"/>
      <c r="H20" s="100"/>
      <c r="I20" s="24"/>
      <c r="J20" s="24"/>
      <c r="K20" s="101"/>
      <c r="L20" s="24"/>
    </row>
    <row r="21" spans="1:12" ht="14.25" customHeight="1" x14ac:dyDescent="0.6">
      <c r="A21" s="24"/>
      <c r="B21" s="100"/>
      <c r="C21" s="24"/>
      <c r="D21" s="101"/>
      <c r="E21" s="101"/>
      <c r="F21" s="101"/>
      <c r="G21" s="24"/>
      <c r="H21" s="100"/>
      <c r="I21" s="24"/>
      <c r="J21" s="24"/>
      <c r="K21" s="101"/>
      <c r="L21" s="24"/>
    </row>
    <row r="22" spans="1:12" ht="14.25" customHeight="1" x14ac:dyDescent="0.6">
      <c r="A22" s="24"/>
      <c r="B22" s="100"/>
      <c r="C22" s="24"/>
      <c r="D22" s="101"/>
      <c r="E22" s="101"/>
      <c r="F22" s="101"/>
      <c r="G22" s="24"/>
      <c r="H22" s="100"/>
      <c r="I22" s="24"/>
      <c r="J22" s="24"/>
      <c r="K22" s="101"/>
      <c r="L22" s="24"/>
    </row>
    <row r="23" spans="1:12" ht="14.25" customHeight="1" x14ac:dyDescent="0.6">
      <c r="A23" s="24"/>
      <c r="B23" s="100"/>
      <c r="C23" s="24"/>
      <c r="D23" s="101"/>
      <c r="E23" s="101"/>
      <c r="F23" s="101"/>
      <c r="G23" s="24"/>
      <c r="H23" s="100"/>
      <c r="I23" s="24"/>
      <c r="J23" s="24"/>
      <c r="K23" s="101"/>
      <c r="L23" s="24"/>
    </row>
  </sheetData>
  <mergeCells count="3">
    <mergeCell ref="B3:K3"/>
    <mergeCell ref="H5:J5"/>
    <mergeCell ref="B5:C5"/>
  </mergeCells>
  <pageMargins left="0.39" right="0.39" top="0.39" bottom="0.39" header="0.39" footer="0.39"/>
  <pageSetup paperSize="9" fitToWidth="0" fitToHeight="0" orientation="portrai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A1:Z201"/>
  <sheetViews>
    <sheetView topLeftCell="A181" workbookViewId="0">
      <selection activeCell="A5" sqref="A5"/>
    </sheetView>
  </sheetViews>
  <sheetFormatPr defaultColWidth="10.1328125" defaultRowHeight="14.45" customHeight="1" x14ac:dyDescent="0.6"/>
  <cols>
    <col min="1" max="1" width="19.86328125" customWidth="1"/>
    <col min="2" max="2" width="27.1328125" customWidth="1"/>
    <col min="3" max="3" width="16.26953125" customWidth="1"/>
    <col min="4" max="4" width="11.54296875" customWidth="1"/>
    <col min="5" max="5" width="30.1328125" customWidth="1"/>
    <col min="6" max="6" width="12.40625" customWidth="1"/>
    <col min="7" max="7" width="3.54296875" customWidth="1"/>
    <col min="8" max="8" width="18.86328125" customWidth="1"/>
    <col min="9" max="9" width="22.54296875" customWidth="1"/>
    <col min="10" max="10" width="15.1328125" customWidth="1"/>
    <col min="11" max="11" width="10.1328125" customWidth="1"/>
    <col min="12" max="12" width="30.1328125" customWidth="1"/>
    <col min="13" max="13" width="10.1328125" customWidth="1"/>
    <col min="14" max="14" width="3.86328125" customWidth="1"/>
    <col min="15" max="15" width="21" customWidth="1"/>
    <col min="16" max="16" width="25.26953125" customWidth="1"/>
    <col min="17" max="17" width="29.40625" customWidth="1"/>
    <col min="18" max="18" width="22" customWidth="1"/>
    <col min="19" max="19" width="10.1328125" customWidth="1"/>
    <col min="20" max="20" width="12.1328125" customWidth="1"/>
    <col min="21" max="21" width="11.54296875" customWidth="1"/>
    <col min="22" max="22" width="24.54296875" customWidth="1"/>
    <col min="23" max="23" width="18.54296875" customWidth="1"/>
    <col min="24" max="24" width="13.26953125" customWidth="1"/>
    <col min="25" max="25" width="17" customWidth="1"/>
    <col min="26" max="26" width="10.1328125" customWidth="1"/>
  </cols>
  <sheetData>
    <row r="1" spans="1:26" ht="16.5" customHeight="1" x14ac:dyDescent="0.6">
      <c r="A1" s="321" t="s">
        <v>461</v>
      </c>
      <c r="B1" s="321"/>
      <c r="C1" s="321"/>
      <c r="D1" s="321"/>
      <c r="E1" s="321"/>
      <c r="F1" s="321"/>
      <c r="G1" s="321"/>
      <c r="H1" s="321"/>
      <c r="I1" s="321"/>
      <c r="J1" s="321"/>
      <c r="K1" s="321"/>
      <c r="L1" s="321"/>
      <c r="M1" s="321"/>
      <c r="N1" s="24"/>
      <c r="O1" s="321" t="s">
        <v>462</v>
      </c>
      <c r="P1" s="321"/>
      <c r="Q1" s="321"/>
      <c r="R1" s="321"/>
      <c r="S1" s="321"/>
      <c r="T1" s="321"/>
      <c r="U1" s="321"/>
      <c r="V1" s="321"/>
      <c r="W1" s="321"/>
      <c r="X1" s="321"/>
      <c r="Y1" s="321"/>
      <c r="Z1" s="24"/>
    </row>
    <row r="2" spans="1:26" ht="14.25" customHeight="1" x14ac:dyDescent="0.6">
      <c r="A2" s="24" t="s">
        <v>211</v>
      </c>
      <c r="B2" s="24"/>
      <c r="C2" s="102"/>
      <c r="D2" s="24"/>
      <c r="E2" s="24"/>
      <c r="F2" s="24"/>
      <c r="G2" s="24"/>
      <c r="H2" s="24"/>
      <c r="I2" s="24"/>
      <c r="J2" s="24"/>
      <c r="K2" s="24"/>
      <c r="L2" s="24"/>
      <c r="M2" s="24"/>
      <c r="N2" s="24"/>
      <c r="O2" s="24"/>
      <c r="P2" s="24"/>
      <c r="Q2" s="24"/>
      <c r="R2" s="24"/>
      <c r="S2" s="24"/>
      <c r="T2" s="24"/>
      <c r="U2" s="24"/>
      <c r="V2" s="24"/>
      <c r="W2" s="24"/>
      <c r="X2" s="24"/>
      <c r="Y2" s="24"/>
      <c r="Z2" s="24"/>
    </row>
    <row r="3" spans="1:26" ht="14.25" customHeight="1" x14ac:dyDescent="0.6">
      <c r="A3" s="103" t="s">
        <v>463</v>
      </c>
      <c r="B3" s="24"/>
      <c r="C3" s="102"/>
      <c r="D3" s="24"/>
      <c r="E3" s="24"/>
      <c r="F3" s="24"/>
      <c r="G3" s="24"/>
      <c r="H3" s="103" t="s">
        <v>465</v>
      </c>
      <c r="I3" s="24"/>
      <c r="J3" s="24"/>
      <c r="K3" s="24"/>
      <c r="L3" s="24"/>
      <c r="M3" s="24"/>
      <c r="N3" s="24"/>
      <c r="O3" s="103" t="s">
        <v>463</v>
      </c>
      <c r="P3" s="24"/>
      <c r="Q3" s="24"/>
      <c r="R3" s="24"/>
      <c r="S3" s="24"/>
      <c r="T3" s="24"/>
      <c r="U3" s="103" t="s">
        <v>465</v>
      </c>
      <c r="V3" s="24"/>
      <c r="W3" s="24"/>
      <c r="X3" s="24"/>
      <c r="Y3" s="24"/>
      <c r="Z3" s="24"/>
    </row>
    <row r="4" spans="1:26" ht="14.25" customHeight="1" x14ac:dyDescent="0.6">
      <c r="A4" s="103" t="s">
        <v>540</v>
      </c>
      <c r="B4" s="103" t="s">
        <v>541</v>
      </c>
      <c r="C4" s="103" t="s">
        <v>162</v>
      </c>
      <c r="D4" s="322" t="s">
        <v>542</v>
      </c>
      <c r="E4" s="322"/>
      <c r="F4" s="24"/>
      <c r="G4" s="24"/>
      <c r="H4" s="103" t="s">
        <v>540</v>
      </c>
      <c r="I4" s="103" t="s">
        <v>541</v>
      </c>
      <c r="J4" s="103" t="s">
        <v>162</v>
      </c>
      <c r="K4" s="322" t="s">
        <v>542</v>
      </c>
      <c r="L4" s="322"/>
      <c r="M4" s="24"/>
      <c r="N4" s="24"/>
      <c r="O4" s="103" t="s">
        <v>540</v>
      </c>
      <c r="P4" s="103" t="s">
        <v>541</v>
      </c>
      <c r="Q4" s="103" t="s">
        <v>162</v>
      </c>
      <c r="R4" s="322" t="s">
        <v>542</v>
      </c>
      <c r="S4" s="322"/>
      <c r="T4" s="24"/>
      <c r="U4" s="103" t="s">
        <v>540</v>
      </c>
      <c r="V4" s="103" t="s">
        <v>541</v>
      </c>
      <c r="W4" s="103" t="s">
        <v>162</v>
      </c>
      <c r="X4" s="322" t="s">
        <v>542</v>
      </c>
      <c r="Y4" s="322"/>
      <c r="Z4" s="24"/>
    </row>
    <row r="5" spans="1:26" ht="14.25" customHeight="1" x14ac:dyDescent="0.6">
      <c r="A5" s="24" t="s">
        <v>222</v>
      </c>
      <c r="B5" s="24" t="s">
        <v>543</v>
      </c>
      <c r="C5" s="102"/>
      <c r="D5" s="24"/>
      <c r="E5" s="24"/>
      <c r="F5" s="24"/>
      <c r="G5" s="24"/>
      <c r="H5" s="24" t="s">
        <v>222</v>
      </c>
      <c r="I5" s="24" t="s">
        <v>543</v>
      </c>
      <c r="J5" s="24"/>
      <c r="K5" s="24"/>
      <c r="L5" s="24"/>
      <c r="M5" s="24"/>
      <c r="N5" s="24"/>
      <c r="O5" s="24" t="s">
        <v>222</v>
      </c>
      <c r="P5" s="24" t="s">
        <v>543</v>
      </c>
      <c r="Q5" s="24"/>
      <c r="R5" s="24"/>
      <c r="S5" s="24"/>
      <c r="T5" s="24"/>
      <c r="U5" s="24" t="s">
        <v>222</v>
      </c>
      <c r="V5" s="24" t="s">
        <v>543</v>
      </c>
      <c r="W5" s="24"/>
      <c r="X5" s="24"/>
      <c r="Y5" s="24"/>
      <c r="Z5" s="24"/>
    </row>
    <row r="6" spans="1:26" ht="14.25" customHeight="1" x14ac:dyDescent="0.6">
      <c r="A6" s="24" t="s">
        <v>222</v>
      </c>
      <c r="B6" s="24"/>
      <c r="C6" s="102"/>
      <c r="D6" s="24"/>
      <c r="E6" s="24"/>
      <c r="F6" s="24"/>
      <c r="G6" s="24"/>
      <c r="H6" s="24"/>
      <c r="I6" s="24"/>
      <c r="J6" s="24"/>
      <c r="K6" s="24"/>
      <c r="L6" s="24"/>
      <c r="M6" s="24"/>
      <c r="N6" s="24"/>
      <c r="O6" s="24"/>
      <c r="P6" s="24"/>
      <c r="Q6" s="24"/>
      <c r="R6" s="24"/>
      <c r="S6" s="24"/>
      <c r="T6" s="24"/>
      <c r="U6" s="24"/>
      <c r="V6" s="24"/>
      <c r="W6" s="24"/>
      <c r="X6" s="24"/>
      <c r="Y6" s="24"/>
      <c r="Z6" s="24"/>
    </row>
    <row r="7" spans="1:26" ht="14.25" customHeight="1" x14ac:dyDescent="0.6">
      <c r="A7" s="24" t="s">
        <v>222</v>
      </c>
      <c r="B7" s="24"/>
      <c r="C7" s="102"/>
      <c r="D7" s="24"/>
      <c r="E7" s="24"/>
      <c r="F7" s="24"/>
      <c r="G7" s="24"/>
      <c r="H7" s="24"/>
      <c r="I7" s="24"/>
      <c r="J7" s="24"/>
      <c r="K7" s="24"/>
      <c r="L7" s="24"/>
      <c r="M7" s="24"/>
      <c r="N7" s="24"/>
      <c r="O7" s="24"/>
      <c r="P7" s="24"/>
      <c r="Q7" s="24"/>
      <c r="R7" s="24"/>
      <c r="S7" s="24"/>
      <c r="T7" s="24"/>
      <c r="U7" s="24"/>
      <c r="V7" s="24"/>
      <c r="W7" s="24"/>
      <c r="X7" s="24"/>
      <c r="Y7" s="24"/>
      <c r="Z7" s="24"/>
    </row>
    <row r="8" spans="1:26" ht="14.25" customHeight="1" x14ac:dyDescent="0.6">
      <c r="A8" s="24" t="s">
        <v>222</v>
      </c>
      <c r="B8" s="24"/>
      <c r="C8" s="102"/>
      <c r="D8" s="24"/>
      <c r="E8" s="24"/>
      <c r="F8" s="24"/>
      <c r="G8" s="24"/>
      <c r="H8" s="24"/>
      <c r="I8" s="24"/>
      <c r="J8" s="24"/>
      <c r="K8" s="24"/>
      <c r="L8" s="24"/>
      <c r="M8" s="24"/>
      <c r="N8" s="24"/>
      <c r="O8" s="24"/>
      <c r="P8" s="24"/>
      <c r="Q8" s="24"/>
      <c r="R8" s="24"/>
      <c r="S8" s="24"/>
      <c r="T8" s="24"/>
      <c r="U8" s="24"/>
      <c r="V8" s="24"/>
      <c r="W8" s="24"/>
      <c r="X8" s="24"/>
      <c r="Y8" s="24"/>
      <c r="Z8" s="24"/>
    </row>
    <row r="9" spans="1:26" ht="14.25" customHeight="1" x14ac:dyDescent="0.6">
      <c r="A9" s="24" t="s">
        <v>222</v>
      </c>
      <c r="B9" s="24"/>
      <c r="C9" s="102"/>
      <c r="D9" s="24"/>
      <c r="E9" s="24"/>
      <c r="F9" s="24"/>
      <c r="G9" s="24"/>
      <c r="H9" s="24"/>
      <c r="I9" s="24"/>
      <c r="J9" s="24"/>
      <c r="K9" s="24"/>
      <c r="L9" s="24"/>
      <c r="M9" s="24"/>
      <c r="N9" s="24"/>
      <c r="O9" s="24"/>
      <c r="P9" s="24"/>
      <c r="Q9" s="24"/>
      <c r="R9" s="24"/>
      <c r="S9" s="24"/>
      <c r="T9" s="24"/>
      <c r="U9" s="24"/>
      <c r="V9" s="24"/>
      <c r="W9" s="24"/>
      <c r="X9" s="24"/>
      <c r="Y9" s="24"/>
      <c r="Z9" s="24"/>
    </row>
    <row r="10" spans="1:26" ht="14.25" customHeight="1" x14ac:dyDescent="0.6">
      <c r="A10" s="24" t="s">
        <v>222</v>
      </c>
      <c r="B10" s="24"/>
      <c r="C10" s="102"/>
      <c r="D10" s="24"/>
      <c r="E10" s="24"/>
      <c r="F10" s="24"/>
      <c r="G10" s="24"/>
      <c r="H10" s="24"/>
      <c r="I10" s="24"/>
      <c r="J10" s="24"/>
      <c r="K10" s="24"/>
      <c r="L10" s="24"/>
      <c r="M10" s="24"/>
      <c r="N10" s="24"/>
      <c r="O10" s="24"/>
      <c r="P10" s="24"/>
      <c r="Q10" s="24"/>
      <c r="R10" s="24"/>
      <c r="S10" s="24"/>
      <c r="T10" s="24"/>
      <c r="U10" s="24"/>
      <c r="V10" s="24"/>
      <c r="W10" s="24"/>
      <c r="X10" s="24"/>
      <c r="Y10" s="24"/>
      <c r="Z10" s="24"/>
    </row>
    <row r="11" spans="1:26" ht="14.25" customHeight="1" x14ac:dyDescent="0.6">
      <c r="A11" s="24" t="s">
        <v>222</v>
      </c>
      <c r="B11" s="24"/>
      <c r="C11" s="102"/>
      <c r="D11" s="24"/>
      <c r="E11" s="24"/>
      <c r="F11" s="24"/>
      <c r="G11" s="24"/>
      <c r="H11" s="24"/>
      <c r="I11" s="24"/>
      <c r="J11" s="24"/>
      <c r="K11" s="24"/>
      <c r="L11" s="24"/>
      <c r="M11" s="24"/>
      <c r="N11" s="24"/>
      <c r="O11" s="24"/>
      <c r="P11" s="24"/>
      <c r="Q11" s="24"/>
      <c r="R11" s="24"/>
      <c r="S11" s="24"/>
      <c r="T11" s="24"/>
      <c r="U11" s="24"/>
      <c r="V11" s="24"/>
      <c r="W11" s="24"/>
      <c r="X11" s="24"/>
      <c r="Y11" s="24"/>
      <c r="Z11" s="24"/>
    </row>
    <row r="12" spans="1:26" ht="14.25" customHeight="1" x14ac:dyDescent="0.6">
      <c r="A12" s="24" t="s">
        <v>222</v>
      </c>
      <c r="B12" s="24"/>
      <c r="C12" s="102"/>
      <c r="D12" s="24"/>
      <c r="E12" s="24"/>
      <c r="F12" s="24"/>
      <c r="G12" s="24"/>
      <c r="H12" s="24"/>
      <c r="I12" s="24"/>
      <c r="J12" s="24"/>
      <c r="K12" s="24"/>
      <c r="L12" s="24"/>
      <c r="M12" s="24"/>
      <c r="N12" s="24"/>
      <c r="O12" s="24"/>
      <c r="P12" s="24"/>
      <c r="Q12" s="24"/>
      <c r="R12" s="24"/>
      <c r="S12" s="24"/>
      <c r="T12" s="24"/>
      <c r="U12" s="24"/>
      <c r="V12" s="24"/>
      <c r="W12" s="24"/>
      <c r="X12" s="24"/>
      <c r="Y12" s="24"/>
      <c r="Z12" s="24"/>
    </row>
    <row r="13" spans="1:26" ht="14.25" customHeight="1" x14ac:dyDescent="0.6">
      <c r="A13" s="24" t="s">
        <v>222</v>
      </c>
      <c r="B13" s="24"/>
      <c r="C13" s="102"/>
      <c r="D13" s="24"/>
      <c r="E13" s="24"/>
      <c r="F13" s="24"/>
      <c r="G13" s="24"/>
      <c r="H13" s="24"/>
      <c r="I13" s="24"/>
      <c r="J13" s="24"/>
      <c r="K13" s="24"/>
      <c r="L13" s="24"/>
      <c r="M13" s="24"/>
      <c r="N13" s="24"/>
      <c r="O13" s="24"/>
      <c r="P13" s="24"/>
      <c r="Q13" s="24"/>
      <c r="R13" s="24"/>
      <c r="S13" s="24"/>
      <c r="T13" s="24"/>
      <c r="U13" s="24"/>
      <c r="V13" s="24"/>
      <c r="W13" s="24"/>
      <c r="X13" s="24"/>
      <c r="Y13" s="24"/>
      <c r="Z13" s="24"/>
    </row>
    <row r="14" spans="1:26" ht="14.25" customHeight="1" x14ac:dyDescent="0.6">
      <c r="A14" s="24" t="s">
        <v>222</v>
      </c>
      <c r="B14" s="24"/>
      <c r="C14" s="102"/>
      <c r="D14" s="24"/>
      <c r="E14" s="24"/>
      <c r="F14" s="24"/>
      <c r="G14" s="24"/>
      <c r="H14" s="24"/>
      <c r="I14" s="24"/>
      <c r="J14" s="24"/>
      <c r="K14" s="24"/>
      <c r="L14" s="24"/>
      <c r="M14" s="24"/>
      <c r="N14" s="24"/>
      <c r="O14" s="24"/>
      <c r="P14" s="24"/>
      <c r="Q14" s="24"/>
      <c r="R14" s="24"/>
      <c r="S14" s="24"/>
      <c r="T14" s="24"/>
      <c r="U14" s="24"/>
      <c r="V14" s="24"/>
      <c r="W14" s="24"/>
      <c r="X14" s="24"/>
      <c r="Y14" s="24"/>
      <c r="Z14" s="24"/>
    </row>
    <row r="15" spans="1:26" ht="14.25" customHeight="1" x14ac:dyDescent="0.6">
      <c r="A15" s="24" t="s">
        <v>222</v>
      </c>
      <c r="B15" s="24"/>
      <c r="C15" s="102"/>
      <c r="D15" s="24"/>
      <c r="E15" s="24"/>
      <c r="F15" s="24"/>
      <c r="G15" s="24"/>
      <c r="H15" s="24"/>
      <c r="I15" s="24"/>
      <c r="J15" s="24"/>
      <c r="K15" s="24"/>
      <c r="L15" s="24"/>
      <c r="M15" s="24"/>
      <c r="N15" s="24"/>
      <c r="O15" s="24"/>
      <c r="P15" s="24"/>
      <c r="Q15" s="24"/>
      <c r="R15" s="24"/>
      <c r="S15" s="24"/>
      <c r="T15" s="24"/>
      <c r="U15" s="24"/>
      <c r="V15" s="24"/>
      <c r="W15" s="24"/>
      <c r="X15" s="24"/>
      <c r="Y15" s="24"/>
      <c r="Z15" s="24"/>
    </row>
    <row r="16" spans="1:26" ht="14.25" customHeight="1" x14ac:dyDescent="0.6">
      <c r="A16" s="24" t="s">
        <v>222</v>
      </c>
      <c r="B16" s="24"/>
      <c r="C16" s="102"/>
      <c r="D16" s="24"/>
      <c r="E16" s="24"/>
      <c r="F16" s="24"/>
      <c r="G16" s="24"/>
      <c r="H16" s="24"/>
      <c r="I16" s="24"/>
      <c r="J16" s="24"/>
      <c r="K16" s="24"/>
      <c r="L16" s="24"/>
      <c r="M16" s="24"/>
      <c r="N16" s="24"/>
      <c r="O16" s="24"/>
      <c r="P16" s="24"/>
      <c r="Q16" s="24"/>
      <c r="R16" s="24"/>
      <c r="S16" s="24"/>
      <c r="T16" s="24"/>
      <c r="U16" s="24"/>
      <c r="V16" s="24"/>
      <c r="W16" s="24"/>
      <c r="X16" s="24"/>
      <c r="Y16" s="24"/>
      <c r="Z16" s="24"/>
    </row>
    <row r="17" spans="1:26" ht="14.25" customHeight="1" x14ac:dyDescent="0.6">
      <c r="A17" s="24" t="s">
        <v>222</v>
      </c>
      <c r="B17" s="24"/>
      <c r="C17" s="102"/>
      <c r="D17" s="24"/>
      <c r="E17" s="24"/>
      <c r="F17" s="24"/>
      <c r="G17" s="24"/>
      <c r="H17" s="24"/>
      <c r="I17" s="24"/>
      <c r="J17" s="24"/>
      <c r="K17" s="24"/>
      <c r="L17" s="24"/>
      <c r="M17" s="24"/>
      <c r="N17" s="24"/>
      <c r="O17" s="24"/>
      <c r="P17" s="24"/>
      <c r="Q17" s="24"/>
      <c r="R17" s="24"/>
      <c r="S17" s="24"/>
      <c r="T17" s="24"/>
      <c r="U17" s="24"/>
      <c r="V17" s="24"/>
      <c r="W17" s="24"/>
      <c r="X17" s="24"/>
      <c r="Y17" s="24"/>
      <c r="Z17" s="24"/>
    </row>
    <row r="18" spans="1:26" ht="14.25" customHeight="1" x14ac:dyDescent="0.6">
      <c r="A18" s="24" t="s">
        <v>222</v>
      </c>
      <c r="B18" s="24"/>
      <c r="C18" s="102"/>
      <c r="D18" s="24"/>
      <c r="E18" s="24"/>
      <c r="F18" s="24"/>
      <c r="G18" s="24"/>
      <c r="H18" s="24"/>
      <c r="I18" s="24"/>
      <c r="J18" s="24"/>
      <c r="K18" s="24"/>
      <c r="L18" s="24"/>
      <c r="M18" s="24"/>
      <c r="N18" s="24"/>
      <c r="O18" s="24"/>
      <c r="P18" s="24"/>
      <c r="Q18" s="24"/>
      <c r="R18" s="24"/>
      <c r="S18" s="24"/>
      <c r="T18" s="24"/>
      <c r="U18" s="24"/>
      <c r="V18" s="24"/>
      <c r="W18" s="24"/>
      <c r="X18" s="24"/>
      <c r="Y18" s="24"/>
      <c r="Z18" s="24"/>
    </row>
    <row r="19" spans="1:26" ht="14.25" customHeight="1" x14ac:dyDescent="0.6">
      <c r="A19" s="24" t="s">
        <v>222</v>
      </c>
      <c r="B19" s="24"/>
      <c r="C19" s="102"/>
      <c r="D19" s="24"/>
      <c r="E19" s="24"/>
      <c r="F19" s="24"/>
      <c r="G19" s="24"/>
      <c r="H19" s="24"/>
      <c r="I19" s="24"/>
      <c r="J19" s="24"/>
      <c r="K19" s="24"/>
      <c r="L19" s="24"/>
      <c r="M19" s="24"/>
      <c r="N19" s="24"/>
      <c r="O19" s="24"/>
      <c r="P19" s="24"/>
      <c r="Q19" s="24"/>
      <c r="R19" s="24"/>
      <c r="S19" s="24"/>
      <c r="T19" s="24"/>
      <c r="U19" s="24"/>
      <c r="V19" s="24"/>
      <c r="W19" s="24"/>
      <c r="X19" s="24"/>
      <c r="Y19" s="24"/>
      <c r="Z19" s="24"/>
    </row>
    <row r="20" spans="1:26" ht="14.25" customHeight="1" x14ac:dyDescent="0.6">
      <c r="A20" s="24" t="s">
        <v>222</v>
      </c>
      <c r="B20" s="24"/>
      <c r="C20" s="102"/>
      <c r="D20" s="24"/>
      <c r="E20" s="24"/>
      <c r="F20" s="24"/>
      <c r="G20" s="24"/>
      <c r="H20" s="24"/>
      <c r="I20" s="24"/>
      <c r="J20" s="24"/>
      <c r="K20" s="24"/>
      <c r="L20" s="24"/>
      <c r="M20" s="24"/>
      <c r="N20" s="24"/>
      <c r="O20" s="24"/>
      <c r="P20" s="24"/>
      <c r="Q20" s="24"/>
      <c r="R20" s="24"/>
      <c r="S20" s="24"/>
      <c r="T20" s="24"/>
      <c r="U20" s="24"/>
      <c r="V20" s="24"/>
      <c r="W20" s="24"/>
      <c r="X20" s="24"/>
      <c r="Y20" s="24"/>
      <c r="Z20" s="24"/>
    </row>
    <row r="21" spans="1:26" ht="14.25" customHeight="1" x14ac:dyDescent="0.6">
      <c r="A21" s="24" t="s">
        <v>222</v>
      </c>
      <c r="B21" s="24"/>
      <c r="C21" s="102"/>
      <c r="D21" s="24"/>
      <c r="E21" s="24"/>
      <c r="F21" s="24"/>
      <c r="G21" s="24"/>
      <c r="H21" s="24"/>
      <c r="I21" s="24"/>
      <c r="J21" s="24"/>
      <c r="K21" s="24"/>
      <c r="L21" s="24"/>
      <c r="M21" s="24"/>
      <c r="N21" s="24"/>
      <c r="O21" s="24"/>
      <c r="P21" s="24"/>
      <c r="Q21" s="24"/>
      <c r="R21" s="24"/>
      <c r="S21" s="24"/>
      <c r="T21" s="24"/>
      <c r="U21" s="24"/>
      <c r="V21" s="24"/>
      <c r="W21" s="24"/>
      <c r="X21" s="24"/>
      <c r="Y21" s="24"/>
      <c r="Z21" s="24"/>
    </row>
    <row r="22" spans="1:26" ht="14.25" customHeight="1" x14ac:dyDescent="0.6">
      <c r="A22" s="24" t="s">
        <v>222</v>
      </c>
      <c r="B22" s="24"/>
      <c r="C22" s="102"/>
      <c r="D22" s="24"/>
      <c r="E22" s="24"/>
      <c r="F22" s="24"/>
      <c r="G22" s="24"/>
      <c r="H22" s="24"/>
      <c r="I22" s="24"/>
      <c r="J22" s="24"/>
      <c r="K22" s="24"/>
      <c r="L22" s="24"/>
      <c r="M22" s="24"/>
      <c r="N22" s="24"/>
      <c r="O22" s="24"/>
      <c r="P22" s="24"/>
      <c r="Q22" s="24"/>
      <c r="R22" s="24"/>
      <c r="S22" s="24"/>
      <c r="T22" s="24"/>
      <c r="U22" s="24"/>
      <c r="V22" s="24"/>
      <c r="W22" s="24"/>
      <c r="X22" s="24"/>
      <c r="Y22" s="24"/>
      <c r="Z22" s="24"/>
    </row>
    <row r="23" spans="1:26" ht="14.25" customHeight="1" x14ac:dyDescent="0.6">
      <c r="A23" s="24" t="s">
        <v>222</v>
      </c>
      <c r="B23" s="24"/>
      <c r="C23" s="102"/>
      <c r="D23" s="24"/>
      <c r="E23" s="24"/>
      <c r="F23" s="24"/>
      <c r="G23" s="24"/>
      <c r="H23" s="24"/>
      <c r="I23" s="24"/>
      <c r="J23" s="24"/>
      <c r="K23" s="24"/>
      <c r="L23" s="24"/>
      <c r="M23" s="24"/>
      <c r="N23" s="24"/>
      <c r="O23" s="24"/>
      <c r="P23" s="24"/>
      <c r="Q23" s="24"/>
      <c r="R23" s="24"/>
      <c r="S23" s="24"/>
      <c r="T23" s="24"/>
      <c r="U23" s="24"/>
      <c r="V23" s="24"/>
      <c r="W23" s="24"/>
      <c r="X23" s="24"/>
      <c r="Y23" s="24"/>
      <c r="Z23" s="24"/>
    </row>
    <row r="24" spans="1:26" ht="14.25" customHeight="1" x14ac:dyDescent="0.6">
      <c r="A24" s="24" t="s">
        <v>222</v>
      </c>
      <c r="B24" s="24"/>
      <c r="C24" s="102"/>
      <c r="D24" s="24"/>
      <c r="E24" s="24"/>
      <c r="F24" s="24"/>
      <c r="G24" s="24"/>
      <c r="H24" s="24"/>
      <c r="I24" s="24"/>
      <c r="J24" s="24"/>
      <c r="K24" s="24"/>
      <c r="L24" s="24"/>
      <c r="M24" s="24"/>
      <c r="N24" s="24"/>
      <c r="O24" s="24"/>
      <c r="P24" s="24"/>
      <c r="Q24" s="24"/>
      <c r="R24" s="24"/>
      <c r="S24" s="24"/>
      <c r="T24" s="24"/>
      <c r="U24" s="24"/>
      <c r="V24" s="24"/>
      <c r="W24" s="24"/>
      <c r="X24" s="24"/>
      <c r="Y24" s="24"/>
      <c r="Z24" s="24"/>
    </row>
    <row r="25" spans="1:26" ht="14.25" customHeight="1" x14ac:dyDescent="0.6">
      <c r="A25" s="24" t="s">
        <v>222</v>
      </c>
      <c r="B25" s="24"/>
      <c r="C25" s="102"/>
      <c r="D25" s="24"/>
      <c r="E25" s="24"/>
      <c r="F25" s="24"/>
      <c r="G25" s="24"/>
      <c r="H25" s="24"/>
      <c r="I25" s="24"/>
      <c r="J25" s="24"/>
      <c r="K25" s="24"/>
      <c r="L25" s="24"/>
      <c r="M25" s="24"/>
      <c r="N25" s="24"/>
      <c r="O25" s="24"/>
      <c r="P25" s="24"/>
      <c r="Q25" s="24"/>
      <c r="R25" s="24"/>
      <c r="S25" s="24"/>
      <c r="T25" s="24"/>
      <c r="U25" s="24"/>
      <c r="V25" s="24"/>
      <c r="W25" s="24"/>
      <c r="X25" s="24"/>
      <c r="Y25" s="24"/>
      <c r="Z25" s="24"/>
    </row>
    <row r="26" spans="1:26" ht="14.25" customHeight="1" x14ac:dyDescent="0.6">
      <c r="A26" s="24" t="s">
        <v>222</v>
      </c>
      <c r="B26" s="24"/>
      <c r="C26" s="102"/>
      <c r="D26" s="24"/>
      <c r="E26" s="24"/>
      <c r="F26" s="24"/>
      <c r="G26" s="24"/>
      <c r="H26" s="24"/>
      <c r="I26" s="24"/>
      <c r="J26" s="24"/>
      <c r="K26" s="24"/>
      <c r="L26" s="24"/>
      <c r="M26" s="24"/>
      <c r="N26" s="24"/>
      <c r="O26" s="24"/>
      <c r="P26" s="24"/>
      <c r="Q26" s="24"/>
      <c r="R26" s="24"/>
      <c r="S26" s="24"/>
      <c r="T26" s="24"/>
      <c r="U26" s="24"/>
      <c r="V26" s="24"/>
      <c r="W26" s="24"/>
      <c r="X26" s="24"/>
      <c r="Y26" s="24"/>
      <c r="Z26" s="24"/>
    </row>
    <row r="27" spans="1:26" ht="14.25" customHeight="1" x14ac:dyDescent="0.6">
      <c r="A27" s="24" t="s">
        <v>222</v>
      </c>
      <c r="B27" s="24"/>
      <c r="C27" s="102"/>
      <c r="D27" s="24"/>
      <c r="E27" s="24"/>
      <c r="F27" s="24"/>
      <c r="G27" s="24"/>
      <c r="H27" s="24"/>
      <c r="I27" s="24"/>
      <c r="J27" s="24"/>
      <c r="K27" s="24"/>
      <c r="L27" s="24"/>
      <c r="M27" s="24"/>
      <c r="N27" s="24"/>
      <c r="O27" s="24"/>
      <c r="P27" s="24"/>
      <c r="Q27" s="24"/>
      <c r="R27" s="24"/>
      <c r="S27" s="24"/>
      <c r="T27" s="24"/>
      <c r="U27" s="24"/>
      <c r="V27" s="24"/>
      <c r="W27" s="24"/>
      <c r="X27" s="24"/>
      <c r="Y27" s="24"/>
      <c r="Z27" s="24"/>
    </row>
    <row r="28" spans="1:26" ht="14.25" customHeight="1" x14ac:dyDescent="0.6">
      <c r="A28" s="24" t="s">
        <v>222</v>
      </c>
      <c r="B28" s="24"/>
      <c r="C28" s="102"/>
      <c r="D28" s="24"/>
      <c r="E28" s="24"/>
      <c r="F28" s="24"/>
      <c r="G28" s="24"/>
      <c r="H28" s="24"/>
      <c r="I28" s="24"/>
      <c r="J28" s="24"/>
      <c r="K28" s="24"/>
      <c r="L28" s="24"/>
      <c r="M28" s="24"/>
      <c r="N28" s="24"/>
      <c r="O28" s="24"/>
      <c r="P28" s="24"/>
      <c r="Q28" s="24"/>
      <c r="R28" s="24"/>
      <c r="S28" s="24"/>
      <c r="T28" s="24"/>
      <c r="U28" s="24"/>
      <c r="V28" s="24"/>
      <c r="W28" s="24"/>
      <c r="X28" s="24"/>
      <c r="Y28" s="24"/>
      <c r="Z28" s="24"/>
    </row>
    <row r="29" spans="1:26" ht="14.25" customHeight="1" x14ac:dyDescent="0.6">
      <c r="A29" s="24" t="s">
        <v>222</v>
      </c>
      <c r="B29" s="24"/>
      <c r="C29" s="102"/>
      <c r="D29" s="24"/>
      <c r="E29" s="24"/>
      <c r="F29" s="24"/>
      <c r="G29" s="24"/>
      <c r="H29" s="24"/>
      <c r="I29" s="24"/>
      <c r="J29" s="24"/>
      <c r="K29" s="24"/>
      <c r="L29" s="24"/>
      <c r="M29" s="24"/>
      <c r="N29" s="24"/>
      <c r="O29" s="24"/>
      <c r="P29" s="24"/>
      <c r="Q29" s="24"/>
      <c r="R29" s="24"/>
      <c r="S29" s="24"/>
      <c r="T29" s="24"/>
      <c r="U29" s="24"/>
      <c r="V29" s="24"/>
      <c r="W29" s="24"/>
      <c r="X29" s="24"/>
      <c r="Y29" s="24"/>
      <c r="Z29" s="24"/>
    </row>
    <row r="30" spans="1:26" ht="14.25" customHeight="1" x14ac:dyDescent="0.6">
      <c r="A30" s="24" t="s">
        <v>222</v>
      </c>
      <c r="B30" s="24"/>
      <c r="C30" s="102"/>
      <c r="D30" s="24"/>
      <c r="E30" s="24"/>
      <c r="F30" s="24"/>
      <c r="G30" s="24"/>
      <c r="H30" s="24"/>
      <c r="I30" s="24"/>
      <c r="J30" s="24"/>
      <c r="K30" s="24"/>
      <c r="L30" s="24"/>
      <c r="M30" s="24"/>
      <c r="N30" s="24"/>
      <c r="O30" s="24"/>
      <c r="P30" s="24"/>
      <c r="Q30" s="24"/>
      <c r="R30" s="24"/>
      <c r="S30" s="24"/>
      <c r="T30" s="24"/>
      <c r="U30" s="24"/>
      <c r="V30" s="24"/>
      <c r="W30" s="24"/>
      <c r="X30" s="24"/>
      <c r="Y30" s="24"/>
      <c r="Z30" s="24"/>
    </row>
    <row r="31" spans="1:26" ht="14.25" customHeight="1" x14ac:dyDescent="0.6">
      <c r="A31" s="24" t="s">
        <v>222</v>
      </c>
      <c r="B31" s="24"/>
      <c r="C31" s="102"/>
      <c r="D31" s="24"/>
      <c r="E31" s="24"/>
      <c r="F31" s="24"/>
      <c r="G31" s="24"/>
      <c r="H31" s="24"/>
      <c r="I31" s="24"/>
      <c r="J31" s="24"/>
      <c r="K31" s="24"/>
      <c r="L31" s="24"/>
      <c r="M31" s="24"/>
      <c r="N31" s="24"/>
      <c r="O31" s="24"/>
      <c r="P31" s="24"/>
      <c r="Q31" s="24"/>
      <c r="R31" s="24"/>
      <c r="S31" s="24"/>
      <c r="T31" s="24"/>
      <c r="U31" s="24"/>
      <c r="V31" s="24"/>
      <c r="W31" s="24"/>
      <c r="X31" s="24"/>
      <c r="Y31" s="24"/>
      <c r="Z31" s="24"/>
    </row>
    <row r="32" spans="1:26" ht="14.25" customHeight="1" x14ac:dyDescent="0.6">
      <c r="A32" s="24" t="s">
        <v>222</v>
      </c>
      <c r="B32" s="24"/>
      <c r="C32" s="102"/>
      <c r="D32" s="24"/>
      <c r="E32" s="24"/>
      <c r="F32" s="24"/>
      <c r="G32" s="24"/>
      <c r="H32" s="24"/>
      <c r="I32" s="24"/>
      <c r="J32" s="24"/>
      <c r="K32" s="24"/>
      <c r="L32" s="24"/>
      <c r="M32" s="24"/>
      <c r="N32" s="24"/>
      <c r="O32" s="24"/>
      <c r="P32" s="24"/>
      <c r="Q32" s="24"/>
      <c r="R32" s="24"/>
      <c r="S32" s="24"/>
      <c r="T32" s="24"/>
      <c r="U32" s="24"/>
      <c r="V32" s="24"/>
      <c r="W32" s="24"/>
      <c r="X32" s="24"/>
      <c r="Y32" s="24"/>
      <c r="Z32" s="24"/>
    </row>
    <row r="33" spans="1:26" ht="14.25" customHeight="1" x14ac:dyDescent="0.6">
      <c r="A33" s="24" t="s">
        <v>222</v>
      </c>
      <c r="B33" s="24"/>
      <c r="C33" s="102"/>
      <c r="D33" s="24"/>
      <c r="E33" s="24"/>
      <c r="F33" s="24"/>
      <c r="G33" s="24"/>
      <c r="H33" s="24"/>
      <c r="I33" s="24"/>
      <c r="J33" s="24"/>
      <c r="K33" s="24"/>
      <c r="L33" s="24"/>
      <c r="M33" s="24"/>
      <c r="N33" s="24"/>
      <c r="O33" s="24"/>
      <c r="P33" s="24"/>
      <c r="Q33" s="24"/>
      <c r="R33" s="24"/>
      <c r="S33" s="24"/>
      <c r="T33" s="24"/>
      <c r="U33" s="24"/>
      <c r="V33" s="24"/>
      <c r="W33" s="24"/>
      <c r="X33" s="24"/>
      <c r="Y33" s="24"/>
      <c r="Z33" s="24"/>
    </row>
    <row r="34" spans="1:26" ht="14.25" customHeight="1" x14ac:dyDescent="0.6">
      <c r="A34" s="24" t="s">
        <v>222</v>
      </c>
      <c r="B34" s="24"/>
      <c r="C34" s="102"/>
      <c r="D34" s="24"/>
      <c r="E34" s="24"/>
      <c r="F34" s="24"/>
      <c r="G34" s="24"/>
      <c r="H34" s="24"/>
      <c r="I34" s="24"/>
      <c r="J34" s="24"/>
      <c r="K34" s="24"/>
      <c r="L34" s="24"/>
      <c r="M34" s="24"/>
      <c r="N34" s="24"/>
      <c r="O34" s="24"/>
      <c r="P34" s="24"/>
      <c r="Q34" s="24"/>
      <c r="R34" s="24"/>
      <c r="S34" s="24"/>
      <c r="T34" s="24"/>
      <c r="U34" s="24"/>
      <c r="V34" s="24"/>
      <c r="W34" s="24"/>
      <c r="X34" s="24"/>
      <c r="Y34" s="24"/>
      <c r="Z34" s="24"/>
    </row>
    <row r="35" spans="1:26" ht="14.25" customHeight="1" x14ac:dyDescent="0.6">
      <c r="A35" s="24" t="s">
        <v>222</v>
      </c>
      <c r="B35" s="24"/>
      <c r="C35" s="102"/>
      <c r="D35" s="24"/>
      <c r="E35" s="24"/>
      <c r="F35" s="24"/>
      <c r="G35" s="24"/>
      <c r="H35" s="24"/>
      <c r="I35" s="24"/>
      <c r="J35" s="24"/>
      <c r="K35" s="24"/>
      <c r="L35" s="24"/>
      <c r="M35" s="24"/>
      <c r="N35" s="24"/>
      <c r="O35" s="24"/>
      <c r="P35" s="24"/>
      <c r="Q35" s="24"/>
      <c r="R35" s="24"/>
      <c r="S35" s="24"/>
      <c r="T35" s="24"/>
      <c r="U35" s="24"/>
      <c r="V35" s="24"/>
      <c r="W35" s="24"/>
      <c r="X35" s="24"/>
      <c r="Y35" s="24"/>
      <c r="Z35" s="24"/>
    </row>
    <row r="36" spans="1:26" ht="14.25" customHeight="1" x14ac:dyDescent="0.6">
      <c r="A36" s="24" t="s">
        <v>222</v>
      </c>
      <c r="B36" s="24"/>
      <c r="C36" s="102"/>
      <c r="D36" s="24"/>
      <c r="E36" s="24"/>
      <c r="F36" s="24"/>
      <c r="G36" s="24"/>
      <c r="H36" s="24"/>
      <c r="I36" s="24"/>
      <c r="J36" s="24"/>
      <c r="K36" s="24"/>
      <c r="L36" s="24"/>
      <c r="M36" s="24"/>
      <c r="N36" s="24"/>
      <c r="O36" s="24"/>
      <c r="P36" s="24"/>
      <c r="Q36" s="24"/>
      <c r="R36" s="24"/>
      <c r="S36" s="24"/>
      <c r="T36" s="24"/>
      <c r="U36" s="24"/>
      <c r="V36" s="24"/>
      <c r="W36" s="24"/>
      <c r="X36" s="24"/>
      <c r="Y36" s="24"/>
      <c r="Z36" s="24"/>
    </row>
    <row r="37" spans="1:26" ht="14.25" customHeight="1" x14ac:dyDescent="0.6">
      <c r="A37" s="24" t="s">
        <v>222</v>
      </c>
      <c r="B37" s="24"/>
      <c r="C37" s="102"/>
      <c r="D37" s="24"/>
      <c r="E37" s="24"/>
      <c r="F37" s="24"/>
      <c r="G37" s="24"/>
      <c r="H37" s="24"/>
      <c r="I37" s="24"/>
      <c r="J37" s="24"/>
      <c r="K37" s="24"/>
      <c r="L37" s="24"/>
      <c r="M37" s="24"/>
      <c r="N37" s="24"/>
      <c r="O37" s="24"/>
      <c r="P37" s="24"/>
      <c r="Q37" s="24"/>
      <c r="R37" s="24"/>
      <c r="S37" s="24"/>
      <c r="T37" s="24"/>
      <c r="U37" s="24"/>
      <c r="V37" s="24"/>
      <c r="W37" s="24"/>
      <c r="X37" s="24"/>
      <c r="Y37" s="24"/>
      <c r="Z37" s="24"/>
    </row>
    <row r="38" spans="1:26" ht="14.25" customHeight="1" x14ac:dyDescent="0.6">
      <c r="A38" s="24" t="s">
        <v>222</v>
      </c>
      <c r="B38" s="24"/>
      <c r="C38" s="102"/>
      <c r="D38" s="24"/>
      <c r="E38" s="24"/>
      <c r="F38" s="24"/>
      <c r="G38" s="24"/>
      <c r="H38" s="24"/>
      <c r="I38" s="24"/>
      <c r="J38" s="24"/>
      <c r="K38" s="24"/>
      <c r="L38" s="24"/>
      <c r="M38" s="24"/>
      <c r="N38" s="24"/>
      <c r="O38" s="24"/>
      <c r="P38" s="24"/>
      <c r="Q38" s="24"/>
      <c r="R38" s="24"/>
      <c r="S38" s="24"/>
      <c r="T38" s="24"/>
      <c r="U38" s="24"/>
      <c r="V38" s="24"/>
      <c r="W38" s="24"/>
      <c r="X38" s="24"/>
      <c r="Y38" s="24"/>
      <c r="Z38" s="24"/>
    </row>
    <row r="39" spans="1:26" ht="14.25" customHeight="1" x14ac:dyDescent="0.6">
      <c r="A39" s="24" t="s">
        <v>222</v>
      </c>
      <c r="B39" s="24"/>
      <c r="C39" s="102"/>
      <c r="D39" s="24"/>
      <c r="E39" s="24"/>
      <c r="F39" s="24"/>
      <c r="G39" s="24"/>
      <c r="H39" s="24"/>
      <c r="I39" s="24"/>
      <c r="J39" s="24"/>
      <c r="K39" s="24"/>
      <c r="L39" s="24"/>
      <c r="M39" s="24"/>
      <c r="N39" s="24"/>
      <c r="O39" s="24"/>
      <c r="P39" s="24"/>
      <c r="Q39" s="24"/>
      <c r="R39" s="24"/>
      <c r="S39" s="24"/>
      <c r="T39" s="24"/>
      <c r="U39" s="24"/>
      <c r="V39" s="24"/>
      <c r="W39" s="24"/>
      <c r="X39" s="24"/>
      <c r="Y39" s="24"/>
      <c r="Z39" s="24"/>
    </row>
    <row r="40" spans="1:26" ht="14.25" customHeight="1" x14ac:dyDescent="0.6">
      <c r="A40" s="24" t="s">
        <v>222</v>
      </c>
      <c r="B40" s="24"/>
      <c r="C40" s="102"/>
      <c r="D40" s="24"/>
      <c r="E40" s="24"/>
      <c r="F40" s="24"/>
      <c r="G40" s="24"/>
      <c r="H40" s="24"/>
      <c r="I40" s="24"/>
      <c r="J40" s="24"/>
      <c r="K40" s="24"/>
      <c r="L40" s="24"/>
      <c r="M40" s="24"/>
      <c r="N40" s="24"/>
      <c r="O40" s="24"/>
      <c r="P40" s="24"/>
      <c r="Q40" s="24"/>
      <c r="R40" s="24"/>
      <c r="S40" s="24"/>
      <c r="T40" s="24"/>
      <c r="U40" s="24"/>
      <c r="V40" s="24"/>
      <c r="W40" s="24"/>
      <c r="X40" s="24"/>
      <c r="Y40" s="24"/>
      <c r="Z40" s="24"/>
    </row>
    <row r="41" spans="1:26" ht="14.25" customHeight="1" x14ac:dyDescent="0.6">
      <c r="A41" s="24" t="s">
        <v>222</v>
      </c>
      <c r="B41" s="24"/>
      <c r="C41" s="102"/>
      <c r="D41" s="24"/>
      <c r="E41" s="24"/>
      <c r="F41" s="24"/>
      <c r="G41" s="24"/>
      <c r="H41" s="24"/>
      <c r="I41" s="24"/>
      <c r="J41" s="24"/>
      <c r="K41" s="24"/>
      <c r="L41" s="24"/>
      <c r="M41" s="24"/>
      <c r="N41" s="24"/>
      <c r="O41" s="24"/>
      <c r="P41" s="24"/>
      <c r="Q41" s="24"/>
      <c r="R41" s="24"/>
      <c r="S41" s="24"/>
      <c r="T41" s="24"/>
      <c r="U41" s="24"/>
      <c r="V41" s="24"/>
      <c r="W41" s="24"/>
      <c r="X41" s="24"/>
      <c r="Y41" s="24"/>
      <c r="Z41" s="24"/>
    </row>
    <row r="42" spans="1:26" ht="14.25" customHeight="1" x14ac:dyDescent="0.6">
      <c r="A42" s="24" t="s">
        <v>222</v>
      </c>
      <c r="B42" s="24"/>
      <c r="C42" s="102"/>
      <c r="D42" s="24"/>
      <c r="E42" s="24"/>
      <c r="F42" s="24"/>
      <c r="G42" s="24"/>
      <c r="H42" s="24"/>
      <c r="I42" s="24"/>
      <c r="J42" s="24"/>
      <c r="K42" s="24"/>
      <c r="L42" s="24"/>
      <c r="M42" s="24"/>
      <c r="N42" s="24"/>
      <c r="O42" s="24"/>
      <c r="P42" s="24"/>
      <c r="Q42" s="24"/>
      <c r="R42" s="24"/>
      <c r="S42" s="24"/>
      <c r="T42" s="24"/>
      <c r="U42" s="24"/>
      <c r="V42" s="24"/>
      <c r="W42" s="24"/>
      <c r="X42" s="24"/>
      <c r="Y42" s="24"/>
      <c r="Z42" s="24"/>
    </row>
    <row r="43" spans="1:26" ht="14.25" customHeight="1" x14ac:dyDescent="0.6">
      <c r="A43" s="24" t="s">
        <v>222</v>
      </c>
      <c r="B43" s="24"/>
      <c r="C43" s="102"/>
      <c r="D43" s="24"/>
      <c r="E43" s="24"/>
      <c r="F43" s="24"/>
      <c r="G43" s="24"/>
      <c r="H43" s="24"/>
      <c r="I43" s="24"/>
      <c r="J43" s="24"/>
      <c r="K43" s="24"/>
      <c r="L43" s="24"/>
      <c r="M43" s="24"/>
      <c r="N43" s="24"/>
      <c r="O43" s="24"/>
      <c r="P43" s="24"/>
      <c r="Q43" s="24"/>
      <c r="R43" s="24"/>
      <c r="S43" s="24"/>
      <c r="T43" s="24"/>
      <c r="U43" s="24"/>
      <c r="V43" s="24"/>
      <c r="W43" s="24"/>
      <c r="X43" s="24"/>
      <c r="Y43" s="24"/>
      <c r="Z43" s="24"/>
    </row>
    <row r="44" spans="1:26" ht="14.25" customHeight="1" x14ac:dyDescent="0.6">
      <c r="A44" s="24" t="s">
        <v>222</v>
      </c>
      <c r="B44" s="24"/>
      <c r="C44" s="102"/>
      <c r="D44" s="24"/>
      <c r="E44" s="24"/>
      <c r="F44" s="24"/>
      <c r="G44" s="24"/>
      <c r="H44" s="24"/>
      <c r="I44" s="24"/>
      <c r="J44" s="24"/>
      <c r="K44" s="24"/>
      <c r="L44" s="24"/>
      <c r="M44" s="24"/>
      <c r="N44" s="24"/>
      <c r="O44" s="24"/>
      <c r="P44" s="24"/>
      <c r="Q44" s="24"/>
      <c r="R44" s="24"/>
      <c r="S44" s="24"/>
      <c r="T44" s="24"/>
      <c r="U44" s="24"/>
      <c r="V44" s="24"/>
      <c r="W44" s="24"/>
      <c r="X44" s="24"/>
      <c r="Y44" s="24"/>
      <c r="Z44" s="24"/>
    </row>
    <row r="45" spans="1:26" ht="14.25" customHeight="1" x14ac:dyDescent="0.6">
      <c r="A45" s="24" t="s">
        <v>222</v>
      </c>
      <c r="B45" s="24"/>
      <c r="C45" s="102"/>
      <c r="D45" s="24"/>
      <c r="E45" s="24"/>
      <c r="F45" s="24"/>
      <c r="G45" s="24"/>
      <c r="H45" s="24"/>
      <c r="I45" s="24"/>
      <c r="J45" s="24"/>
      <c r="K45" s="24"/>
      <c r="L45" s="24"/>
      <c r="M45" s="24"/>
      <c r="N45" s="24"/>
      <c r="O45" s="24"/>
      <c r="P45" s="24"/>
      <c r="Q45" s="24"/>
      <c r="R45" s="24"/>
      <c r="S45" s="24"/>
      <c r="T45" s="24"/>
      <c r="U45" s="24"/>
      <c r="V45" s="24"/>
      <c r="W45" s="24"/>
      <c r="X45" s="24"/>
      <c r="Y45" s="24"/>
      <c r="Z45" s="24"/>
    </row>
    <row r="46" spans="1:26" ht="14.25" customHeight="1" x14ac:dyDescent="0.6">
      <c r="A46" s="24" t="s">
        <v>222</v>
      </c>
      <c r="B46" s="24"/>
      <c r="C46" s="102"/>
      <c r="D46" s="24"/>
      <c r="E46" s="24"/>
      <c r="F46" s="24"/>
      <c r="G46" s="24"/>
      <c r="H46" s="24"/>
      <c r="I46" s="24"/>
      <c r="J46" s="24"/>
      <c r="K46" s="24"/>
      <c r="L46" s="24"/>
      <c r="M46" s="24"/>
      <c r="N46" s="24"/>
      <c r="O46" s="24"/>
      <c r="P46" s="24"/>
      <c r="Q46" s="24"/>
      <c r="R46" s="24"/>
      <c r="S46" s="24"/>
      <c r="T46" s="24"/>
      <c r="U46" s="24"/>
      <c r="V46" s="24"/>
      <c r="W46" s="24"/>
      <c r="X46" s="24"/>
      <c r="Y46" s="24"/>
      <c r="Z46" s="24"/>
    </row>
    <row r="47" spans="1:26" ht="14.25" customHeight="1" x14ac:dyDescent="0.6">
      <c r="A47" s="24" t="s">
        <v>222</v>
      </c>
      <c r="B47" s="24"/>
      <c r="C47" s="102"/>
      <c r="D47" s="24"/>
      <c r="E47" s="24"/>
      <c r="F47" s="24"/>
      <c r="G47" s="24"/>
      <c r="H47" s="24"/>
      <c r="I47" s="24"/>
      <c r="J47" s="24"/>
      <c r="K47" s="24"/>
      <c r="L47" s="24"/>
      <c r="M47" s="24"/>
      <c r="N47" s="24"/>
      <c r="O47" s="24"/>
      <c r="P47" s="24"/>
      <c r="Q47" s="24"/>
      <c r="R47" s="24"/>
      <c r="S47" s="24"/>
      <c r="T47" s="24"/>
      <c r="U47" s="24"/>
      <c r="V47" s="24"/>
      <c r="W47" s="24"/>
      <c r="X47" s="24"/>
      <c r="Y47" s="24"/>
      <c r="Z47" s="24"/>
    </row>
    <row r="48" spans="1:26" ht="14.25" customHeight="1" x14ac:dyDescent="0.6">
      <c r="A48" s="24" t="s">
        <v>222</v>
      </c>
      <c r="B48" s="24"/>
      <c r="C48" s="102"/>
      <c r="D48" s="24"/>
      <c r="E48" s="24"/>
      <c r="F48" s="24"/>
      <c r="G48" s="24"/>
      <c r="H48" s="24"/>
      <c r="I48" s="24"/>
      <c r="J48" s="24"/>
      <c r="K48" s="24"/>
      <c r="L48" s="24"/>
      <c r="M48" s="24"/>
      <c r="N48" s="24"/>
      <c r="O48" s="24"/>
      <c r="P48" s="24"/>
      <c r="Q48" s="24"/>
      <c r="R48" s="24"/>
      <c r="S48" s="24"/>
      <c r="T48" s="24"/>
      <c r="U48" s="24"/>
      <c r="V48" s="24"/>
      <c r="W48" s="24"/>
      <c r="X48" s="24"/>
      <c r="Y48" s="24"/>
      <c r="Z48" s="24"/>
    </row>
    <row r="49" spans="1:26" ht="14.25" customHeight="1" x14ac:dyDescent="0.6">
      <c r="A49" s="24" t="s">
        <v>222</v>
      </c>
      <c r="B49" s="24"/>
      <c r="C49" s="102"/>
      <c r="D49" s="24"/>
      <c r="E49" s="24"/>
      <c r="F49" s="24"/>
      <c r="G49" s="24"/>
      <c r="H49" s="24"/>
      <c r="I49" s="24"/>
      <c r="J49" s="24"/>
      <c r="K49" s="24"/>
      <c r="L49" s="24"/>
      <c r="M49" s="24"/>
      <c r="N49" s="24"/>
      <c r="O49" s="24"/>
      <c r="P49" s="24"/>
      <c r="Q49" s="24"/>
      <c r="R49" s="24"/>
      <c r="S49" s="24"/>
      <c r="T49" s="24"/>
      <c r="U49" s="24"/>
      <c r="V49" s="24"/>
      <c r="W49" s="24"/>
      <c r="X49" s="24"/>
      <c r="Y49" s="24"/>
      <c r="Z49" s="24"/>
    </row>
    <row r="50" spans="1:26" ht="14.25" customHeight="1" x14ac:dyDescent="0.6">
      <c r="A50" s="24" t="s">
        <v>222</v>
      </c>
      <c r="B50" s="24"/>
      <c r="C50" s="102"/>
      <c r="D50" s="24"/>
      <c r="E50" s="24"/>
      <c r="F50" s="24"/>
      <c r="G50" s="24"/>
      <c r="H50" s="24"/>
      <c r="I50" s="24"/>
      <c r="J50" s="24"/>
      <c r="K50" s="24"/>
      <c r="L50" s="24"/>
      <c r="M50" s="24"/>
      <c r="N50" s="24"/>
      <c r="O50" s="24"/>
      <c r="P50" s="24"/>
      <c r="Q50" s="24"/>
      <c r="R50" s="24"/>
      <c r="S50" s="24"/>
      <c r="T50" s="24"/>
      <c r="U50" s="24"/>
      <c r="V50" s="24"/>
      <c r="W50" s="24"/>
      <c r="X50" s="24"/>
      <c r="Y50" s="24"/>
      <c r="Z50" s="24"/>
    </row>
    <row r="51" spans="1:26" ht="14.25" customHeight="1" x14ac:dyDescent="0.6">
      <c r="A51" s="24" t="s">
        <v>222</v>
      </c>
      <c r="B51" s="24"/>
      <c r="C51" s="102"/>
      <c r="D51" s="24"/>
      <c r="E51" s="24"/>
      <c r="F51" s="24"/>
      <c r="G51" s="24"/>
      <c r="H51" s="24"/>
      <c r="I51" s="24"/>
      <c r="J51" s="24"/>
      <c r="K51" s="24"/>
      <c r="L51" s="24"/>
      <c r="M51" s="24"/>
      <c r="N51" s="24"/>
      <c r="O51" s="24"/>
      <c r="P51" s="24"/>
      <c r="Q51" s="24"/>
      <c r="R51" s="24"/>
      <c r="S51" s="24"/>
      <c r="T51" s="24"/>
      <c r="U51" s="24"/>
      <c r="V51" s="24"/>
      <c r="W51" s="24"/>
      <c r="X51" s="24"/>
      <c r="Y51" s="24"/>
      <c r="Z51" s="24"/>
    </row>
    <row r="52" spans="1:26" ht="14.25" customHeight="1" x14ac:dyDescent="0.6">
      <c r="A52" s="24" t="s">
        <v>222</v>
      </c>
      <c r="B52" s="24"/>
      <c r="C52" s="102"/>
      <c r="D52" s="24"/>
      <c r="E52" s="24"/>
      <c r="F52" s="24"/>
      <c r="G52" s="24"/>
      <c r="H52" s="24"/>
      <c r="I52" s="24"/>
      <c r="J52" s="24"/>
      <c r="K52" s="24"/>
      <c r="L52" s="24"/>
      <c r="M52" s="24"/>
      <c r="N52" s="24"/>
      <c r="O52" s="24"/>
      <c r="P52" s="24"/>
      <c r="Q52" s="24"/>
      <c r="R52" s="24"/>
      <c r="S52" s="24"/>
      <c r="T52" s="24"/>
      <c r="U52" s="24"/>
      <c r="V52" s="24"/>
      <c r="W52" s="24"/>
      <c r="X52" s="24"/>
      <c r="Y52" s="24"/>
      <c r="Z52" s="24"/>
    </row>
    <row r="53" spans="1:26" ht="14.25" customHeight="1" x14ac:dyDescent="0.6">
      <c r="A53" s="24" t="s">
        <v>222</v>
      </c>
      <c r="B53" s="24"/>
      <c r="C53" s="102"/>
      <c r="D53" s="24"/>
      <c r="E53" s="24"/>
      <c r="F53" s="24"/>
      <c r="G53" s="24"/>
      <c r="H53" s="24"/>
      <c r="I53" s="24"/>
      <c r="J53" s="24"/>
      <c r="K53" s="24"/>
      <c r="L53" s="24"/>
      <c r="M53" s="24"/>
      <c r="N53" s="24"/>
      <c r="O53" s="24"/>
      <c r="P53" s="24"/>
      <c r="Q53" s="24"/>
      <c r="R53" s="24"/>
      <c r="S53" s="24"/>
      <c r="T53" s="24"/>
      <c r="U53" s="24"/>
      <c r="V53" s="24"/>
      <c r="W53" s="24"/>
      <c r="X53" s="24"/>
      <c r="Y53" s="24"/>
      <c r="Z53" s="24"/>
    </row>
    <row r="54" spans="1:26" ht="14.25" customHeight="1" x14ac:dyDescent="0.6">
      <c r="A54" s="24" t="s">
        <v>222</v>
      </c>
      <c r="B54" s="24"/>
      <c r="C54" s="102"/>
      <c r="D54" s="24"/>
      <c r="E54" s="24"/>
      <c r="F54" s="24"/>
      <c r="G54" s="24"/>
      <c r="H54" s="24"/>
      <c r="I54" s="24"/>
      <c r="J54" s="24"/>
      <c r="K54" s="24"/>
      <c r="L54" s="24"/>
      <c r="M54" s="24"/>
      <c r="N54" s="24"/>
      <c r="O54" s="24"/>
      <c r="P54" s="24"/>
      <c r="Q54" s="24"/>
      <c r="R54" s="24"/>
      <c r="S54" s="24"/>
      <c r="T54" s="24"/>
      <c r="U54" s="24"/>
      <c r="V54" s="24"/>
      <c r="W54" s="24"/>
      <c r="X54" s="24"/>
      <c r="Y54" s="24"/>
      <c r="Z54" s="24"/>
    </row>
    <row r="55" spans="1:26" ht="14.25" customHeight="1" x14ac:dyDescent="0.6">
      <c r="A55" s="24" t="s">
        <v>222</v>
      </c>
      <c r="B55" s="24"/>
      <c r="C55" s="102"/>
      <c r="D55" s="24"/>
      <c r="E55" s="24"/>
      <c r="F55" s="24"/>
      <c r="G55" s="24"/>
      <c r="H55" s="24"/>
      <c r="I55" s="24"/>
      <c r="J55" s="24"/>
      <c r="K55" s="24"/>
      <c r="L55" s="24"/>
      <c r="M55" s="24"/>
      <c r="N55" s="24"/>
      <c r="O55" s="24"/>
      <c r="P55" s="24"/>
      <c r="Q55" s="24"/>
      <c r="R55" s="24"/>
      <c r="S55" s="24"/>
      <c r="T55" s="24"/>
      <c r="U55" s="24"/>
      <c r="V55" s="24"/>
      <c r="W55" s="24"/>
      <c r="X55" s="24"/>
      <c r="Y55" s="24"/>
      <c r="Z55" s="24"/>
    </row>
    <row r="56" spans="1:26" ht="14.25" customHeight="1" x14ac:dyDescent="0.6">
      <c r="A56" s="24" t="s">
        <v>222</v>
      </c>
      <c r="B56" s="24"/>
      <c r="C56" s="102"/>
      <c r="D56" s="24"/>
      <c r="E56" s="24"/>
      <c r="F56" s="24"/>
      <c r="G56" s="24"/>
      <c r="H56" s="24"/>
      <c r="I56" s="24"/>
      <c r="J56" s="24"/>
      <c r="K56" s="24"/>
      <c r="L56" s="24"/>
      <c r="M56" s="24"/>
      <c r="N56" s="24"/>
      <c r="O56" s="24"/>
      <c r="P56" s="24"/>
      <c r="Q56" s="24"/>
      <c r="R56" s="24"/>
      <c r="S56" s="24"/>
      <c r="T56" s="24"/>
      <c r="U56" s="24"/>
      <c r="V56" s="24"/>
      <c r="W56" s="24"/>
      <c r="X56" s="24"/>
      <c r="Y56" s="24"/>
      <c r="Z56" s="24"/>
    </row>
    <row r="57" spans="1:26" ht="14.25" customHeight="1" x14ac:dyDescent="0.6">
      <c r="A57" s="24" t="s">
        <v>222</v>
      </c>
      <c r="B57" s="24"/>
      <c r="C57" s="102"/>
      <c r="D57" s="24"/>
      <c r="E57" s="24"/>
      <c r="F57" s="24"/>
      <c r="G57" s="24"/>
      <c r="H57" s="24"/>
      <c r="I57" s="24"/>
      <c r="J57" s="24"/>
      <c r="K57" s="24"/>
      <c r="L57" s="24"/>
      <c r="M57" s="24"/>
      <c r="N57" s="24"/>
      <c r="O57" s="24"/>
      <c r="P57" s="24"/>
      <c r="Q57" s="24"/>
      <c r="R57" s="24"/>
      <c r="S57" s="24"/>
      <c r="T57" s="24"/>
      <c r="U57" s="24"/>
      <c r="V57" s="24"/>
      <c r="W57" s="24"/>
      <c r="X57" s="24"/>
      <c r="Y57" s="24"/>
      <c r="Z57" s="24"/>
    </row>
    <row r="58" spans="1:26" ht="14.25" customHeight="1" x14ac:dyDescent="0.6">
      <c r="A58" s="24" t="s">
        <v>222</v>
      </c>
      <c r="B58" s="24"/>
      <c r="C58" s="102"/>
      <c r="D58" s="24"/>
      <c r="E58" s="24"/>
      <c r="F58" s="24"/>
      <c r="G58" s="24"/>
      <c r="H58" s="24"/>
      <c r="I58" s="24"/>
      <c r="J58" s="24"/>
      <c r="K58" s="24"/>
      <c r="L58" s="24"/>
      <c r="M58" s="24"/>
      <c r="N58" s="24"/>
      <c r="O58" s="24"/>
      <c r="P58" s="24"/>
      <c r="Q58" s="24"/>
      <c r="R58" s="24"/>
      <c r="S58" s="24"/>
      <c r="T58" s="24"/>
      <c r="U58" s="24"/>
      <c r="V58" s="24"/>
      <c r="W58" s="24"/>
      <c r="X58" s="24"/>
      <c r="Y58" s="24"/>
      <c r="Z58" s="24"/>
    </row>
    <row r="59" spans="1:26" ht="16.5" customHeight="1" x14ac:dyDescent="0.6">
      <c r="A59" s="24" t="s">
        <v>222</v>
      </c>
      <c r="B59" s="24"/>
      <c r="C59" s="102"/>
      <c r="D59" s="24"/>
      <c r="E59" s="24"/>
      <c r="F59" s="24"/>
      <c r="G59" s="24"/>
      <c r="H59" s="24"/>
      <c r="I59" s="24"/>
      <c r="J59" s="24"/>
      <c r="K59" s="24"/>
      <c r="L59" s="24"/>
      <c r="M59" s="24"/>
      <c r="N59" s="24"/>
      <c r="O59" s="321" t="s">
        <v>520</v>
      </c>
      <c r="P59" s="321"/>
      <c r="Q59" s="321"/>
      <c r="R59" s="321"/>
      <c r="S59" s="321"/>
      <c r="T59" s="321"/>
      <c r="U59" s="321"/>
      <c r="V59" s="321"/>
      <c r="W59" s="321"/>
      <c r="X59" s="321"/>
      <c r="Y59" s="321"/>
      <c r="Z59" s="321"/>
    </row>
    <row r="60" spans="1:26" ht="14.25" customHeight="1" x14ac:dyDescent="0.6">
      <c r="A60" s="24" t="s">
        <v>222</v>
      </c>
      <c r="B60" s="24"/>
      <c r="C60" s="102"/>
      <c r="D60" s="24"/>
      <c r="E60" s="24"/>
      <c r="F60" s="24"/>
      <c r="G60" s="24"/>
      <c r="H60" s="24"/>
      <c r="I60" s="24"/>
      <c r="J60" s="24"/>
      <c r="K60" s="24"/>
      <c r="L60" s="24"/>
      <c r="M60" s="24"/>
      <c r="N60" s="24"/>
      <c r="O60" s="24"/>
      <c r="P60" s="24"/>
      <c r="Q60" s="24"/>
      <c r="R60" s="24"/>
      <c r="S60" s="24"/>
      <c r="T60" s="24"/>
      <c r="U60" s="24"/>
      <c r="V60" s="24"/>
      <c r="W60" s="24"/>
      <c r="X60" s="24"/>
      <c r="Y60" s="24"/>
      <c r="Z60" s="24"/>
    </row>
    <row r="61" spans="1:26" ht="14.25" customHeight="1" x14ac:dyDescent="0.6">
      <c r="A61" s="24" t="s">
        <v>222</v>
      </c>
      <c r="B61" s="24"/>
      <c r="C61" s="102"/>
      <c r="D61" s="24"/>
      <c r="E61" s="24"/>
      <c r="F61" s="24"/>
      <c r="G61" s="24"/>
      <c r="H61" s="24"/>
      <c r="I61" s="24"/>
      <c r="J61" s="24"/>
      <c r="K61" s="24"/>
      <c r="L61" s="24"/>
      <c r="M61" s="24"/>
      <c r="N61" s="24"/>
      <c r="O61" s="103" t="s">
        <v>463</v>
      </c>
      <c r="P61" s="24"/>
      <c r="Q61" s="24"/>
      <c r="R61" s="24"/>
      <c r="S61" s="24"/>
      <c r="T61" s="24"/>
      <c r="U61" s="103" t="s">
        <v>465</v>
      </c>
      <c r="V61" s="24"/>
      <c r="W61" s="24"/>
      <c r="X61" s="24"/>
      <c r="Y61" s="24"/>
      <c r="Z61" s="24"/>
    </row>
    <row r="62" spans="1:26" ht="14.25" customHeight="1" x14ac:dyDescent="0.6">
      <c r="A62" s="24" t="s">
        <v>222</v>
      </c>
      <c r="B62" s="24"/>
      <c r="C62" s="102"/>
      <c r="D62" s="24"/>
      <c r="E62" s="24"/>
      <c r="F62" s="24"/>
      <c r="G62" s="24"/>
      <c r="H62" s="24"/>
      <c r="I62" s="24"/>
      <c r="J62" s="24"/>
      <c r="K62" s="24"/>
      <c r="L62" s="24"/>
      <c r="M62" s="24"/>
      <c r="N62" s="24"/>
      <c r="O62" s="103" t="s">
        <v>540</v>
      </c>
      <c r="P62" s="103" t="s">
        <v>541</v>
      </c>
      <c r="Q62" s="103" t="s">
        <v>162</v>
      </c>
      <c r="R62" s="103" t="s">
        <v>162</v>
      </c>
      <c r="S62" s="103" t="s">
        <v>544</v>
      </c>
      <c r="T62" s="24"/>
      <c r="U62" s="103" t="s">
        <v>540</v>
      </c>
      <c r="V62" s="103" t="s">
        <v>541</v>
      </c>
      <c r="W62" s="103"/>
      <c r="X62" s="103" t="s">
        <v>162</v>
      </c>
      <c r="Y62" s="103" t="s">
        <v>544</v>
      </c>
      <c r="Z62" s="24"/>
    </row>
    <row r="63" spans="1:26" ht="14.25" customHeight="1" x14ac:dyDescent="0.6">
      <c r="A63" s="24" t="s">
        <v>222</v>
      </c>
      <c r="B63" s="24"/>
      <c r="C63" s="102"/>
      <c r="D63" s="24"/>
      <c r="E63" s="24"/>
      <c r="F63" s="24"/>
      <c r="G63" s="24"/>
      <c r="H63" s="24"/>
      <c r="I63" s="24"/>
      <c r="J63" s="24"/>
      <c r="K63" s="24"/>
      <c r="L63" s="24"/>
      <c r="M63" s="24"/>
      <c r="N63" s="24"/>
      <c r="O63" s="24" t="s">
        <v>222</v>
      </c>
      <c r="P63" s="24" t="s">
        <v>545</v>
      </c>
      <c r="Q63" s="24"/>
      <c r="R63" s="24"/>
      <c r="S63" s="24"/>
      <c r="T63" s="24">
        <v>46.826437126519735</v>
      </c>
      <c r="U63" s="24" t="s">
        <v>222</v>
      </c>
      <c r="V63" s="24" t="s">
        <v>547</v>
      </c>
      <c r="W63" s="24" t="s">
        <v>548</v>
      </c>
      <c r="X63" s="24"/>
      <c r="Y63" s="24"/>
      <c r="Z63" s="24">
        <v>39.794234067098003</v>
      </c>
    </row>
    <row r="64" spans="1:26" ht="14.25" customHeight="1" x14ac:dyDescent="0.6">
      <c r="A64" s="24" t="s">
        <v>222</v>
      </c>
      <c r="B64" s="24"/>
      <c r="C64" s="102"/>
      <c r="D64" s="24"/>
      <c r="E64" s="24"/>
      <c r="F64" s="24"/>
      <c r="G64" s="24"/>
      <c r="H64" s="24"/>
      <c r="I64" s="24"/>
      <c r="J64" s="24"/>
      <c r="K64" s="24"/>
      <c r="L64" s="24"/>
      <c r="M64" s="24"/>
      <c r="N64" s="24"/>
      <c r="O64" s="24"/>
      <c r="P64" s="24"/>
      <c r="Q64" s="24" t="s">
        <v>549</v>
      </c>
      <c r="R64" s="24" t="s">
        <v>550</v>
      </c>
      <c r="S64" s="24" t="s">
        <v>546</v>
      </c>
      <c r="T64" s="24">
        <v>17.43726516968286</v>
      </c>
      <c r="U64" s="24"/>
      <c r="V64" s="24"/>
      <c r="W64" s="24" t="s">
        <v>551</v>
      </c>
      <c r="X64" s="24" t="s">
        <v>552</v>
      </c>
      <c r="Y64" s="24" t="s">
        <v>546</v>
      </c>
      <c r="Z64" s="24">
        <v>29.592889781047589</v>
      </c>
    </row>
    <row r="65" spans="1:26" ht="14.25" customHeight="1" x14ac:dyDescent="0.6">
      <c r="A65" s="24" t="s">
        <v>222</v>
      </c>
      <c r="B65" s="24"/>
      <c r="C65" s="102"/>
      <c r="D65" s="24"/>
      <c r="E65" s="24"/>
      <c r="F65" s="24"/>
      <c r="G65" s="24"/>
      <c r="H65" s="24"/>
      <c r="I65" s="24"/>
      <c r="J65" s="24"/>
      <c r="K65" s="24"/>
      <c r="L65" s="24"/>
      <c r="M65" s="24"/>
      <c r="N65" s="24"/>
      <c r="O65" s="24"/>
      <c r="P65" s="24"/>
      <c r="Q65" s="24" t="s">
        <v>553</v>
      </c>
      <c r="R65" s="24" t="s">
        <v>554</v>
      </c>
      <c r="S65" s="24" t="s">
        <v>546</v>
      </c>
      <c r="T65" s="24">
        <v>17.281215451072747</v>
      </c>
      <c r="U65" s="24"/>
      <c r="V65" s="24"/>
      <c r="W65" s="24" t="s">
        <v>555</v>
      </c>
      <c r="X65" s="24" t="s">
        <v>556</v>
      </c>
      <c r="Y65" s="24" t="s">
        <v>546</v>
      </c>
      <c r="Z65" s="24">
        <v>12.049645970425892</v>
      </c>
    </row>
    <row r="66" spans="1:26" ht="14.25" customHeight="1" x14ac:dyDescent="0.6">
      <c r="A66" s="24" t="s">
        <v>222</v>
      </c>
      <c r="B66" s="24"/>
      <c r="C66" s="102"/>
      <c r="D66" s="24"/>
      <c r="E66" s="24"/>
      <c r="F66" s="24"/>
      <c r="G66" s="24"/>
      <c r="H66" s="24"/>
      <c r="I66" s="24"/>
      <c r="J66" s="24"/>
      <c r="K66" s="24"/>
      <c r="L66" s="24"/>
      <c r="M66" s="24"/>
      <c r="N66" s="24"/>
      <c r="O66" s="24"/>
      <c r="P66" s="24"/>
      <c r="Q66" s="24" t="s">
        <v>557</v>
      </c>
      <c r="R66" s="24" t="s">
        <v>558</v>
      </c>
      <c r="S66" s="24" t="s">
        <v>546</v>
      </c>
      <c r="T66" s="24">
        <v>5.661009175270177</v>
      </c>
      <c r="U66" s="24"/>
      <c r="V66" s="24"/>
      <c r="W66" s="24" t="s">
        <v>559</v>
      </c>
      <c r="X66" s="24" t="s">
        <v>560</v>
      </c>
      <c r="Y66" s="24" t="s">
        <v>546</v>
      </c>
      <c r="Z66" s="24">
        <v>6.8156146612680919</v>
      </c>
    </row>
    <row r="67" spans="1:26" ht="14.25" customHeight="1" x14ac:dyDescent="0.6">
      <c r="A67" s="24" t="s">
        <v>222</v>
      </c>
      <c r="B67" s="24"/>
      <c r="C67" s="102"/>
      <c r="D67" s="24"/>
      <c r="E67" s="24"/>
      <c r="F67" s="24"/>
      <c r="G67" s="24"/>
      <c r="H67" s="24"/>
      <c r="I67" s="24"/>
      <c r="J67" s="24"/>
      <c r="K67" s="24"/>
      <c r="L67" s="24"/>
      <c r="M67" s="24"/>
      <c r="N67" s="24"/>
      <c r="O67" s="24"/>
      <c r="P67" s="24"/>
      <c r="Q67" s="24" t="s">
        <v>561</v>
      </c>
      <c r="R67" s="24" t="s">
        <v>562</v>
      </c>
      <c r="S67" s="24" t="s">
        <v>546</v>
      </c>
      <c r="T67" s="24">
        <v>5.1459212399958343</v>
      </c>
      <c r="U67" s="24"/>
      <c r="V67" s="24"/>
      <c r="W67" s="24" t="s">
        <v>563</v>
      </c>
      <c r="X67" s="24" t="s">
        <v>564</v>
      </c>
      <c r="Y67" s="24" t="s">
        <v>546</v>
      </c>
      <c r="Z67" s="24">
        <v>6.4669415794397018</v>
      </c>
    </row>
    <row r="68" spans="1:26" ht="14.25" customHeight="1" x14ac:dyDescent="0.6">
      <c r="A68" s="24" t="s">
        <v>222</v>
      </c>
      <c r="B68" s="24"/>
      <c r="C68" s="102"/>
      <c r="D68" s="24"/>
      <c r="E68" s="24"/>
      <c r="F68" s="24"/>
      <c r="G68" s="24"/>
      <c r="H68" s="24"/>
      <c r="I68" s="24"/>
      <c r="J68" s="24"/>
      <c r="K68" s="24"/>
      <c r="L68" s="24"/>
      <c r="M68" s="24"/>
      <c r="N68" s="24"/>
      <c r="O68" s="24"/>
      <c r="P68" s="24"/>
      <c r="Q68" s="24" t="s">
        <v>565</v>
      </c>
      <c r="R68" s="24" t="s">
        <v>566</v>
      </c>
      <c r="S68" s="24" t="s">
        <v>546</v>
      </c>
      <c r="T68" s="24">
        <v>3.5954334029344599</v>
      </c>
      <c r="U68" s="24"/>
      <c r="V68" s="24"/>
      <c r="W68" s="24" t="s">
        <v>567</v>
      </c>
      <c r="X68" s="24" t="s">
        <v>568</v>
      </c>
      <c r="Y68" s="24" t="s">
        <v>546</v>
      </c>
      <c r="Z68" s="24">
        <v>4.4583796840556573</v>
      </c>
    </row>
    <row r="69" spans="1:26" ht="14.25" customHeight="1" x14ac:dyDescent="0.6">
      <c r="A69" s="24" t="s">
        <v>222</v>
      </c>
      <c r="B69" s="24"/>
      <c r="C69" s="102"/>
      <c r="D69" s="24"/>
      <c r="E69" s="24"/>
      <c r="F69" s="24"/>
      <c r="G69" s="24"/>
      <c r="H69" s="24"/>
      <c r="I69" s="24"/>
      <c r="J69" s="24"/>
      <c r="K69" s="24"/>
      <c r="L69" s="24"/>
      <c r="M69" s="24"/>
      <c r="N69" s="24"/>
      <c r="O69" s="24"/>
      <c r="P69" s="24"/>
      <c r="Q69" s="24" t="s">
        <v>569</v>
      </c>
      <c r="R69" s="24" t="s">
        <v>570</v>
      </c>
      <c r="S69" s="24" t="s">
        <v>546</v>
      </c>
      <c r="T69" s="24">
        <v>1.7252118205459164</v>
      </c>
      <c r="U69" s="24"/>
      <c r="V69" s="24"/>
      <c r="W69" s="24" t="s">
        <v>571</v>
      </c>
      <c r="X69" s="24" t="s">
        <v>572</v>
      </c>
      <c r="Y69" s="24" t="s">
        <v>546</v>
      </c>
      <c r="Z69" s="24">
        <v>0.29151246962585176</v>
      </c>
    </row>
    <row r="70" spans="1:26" ht="14.25" customHeight="1" x14ac:dyDescent="0.6">
      <c r="A70" s="24" t="s">
        <v>222</v>
      </c>
      <c r="B70" s="24"/>
      <c r="C70" s="102"/>
      <c r="D70" s="24"/>
      <c r="E70" s="24"/>
      <c r="F70" s="24"/>
      <c r="G70" s="24"/>
      <c r="H70" s="24"/>
      <c r="I70" s="24"/>
      <c r="J70" s="24"/>
      <c r="K70" s="24"/>
      <c r="L70" s="24"/>
      <c r="M70" s="24"/>
      <c r="N70" s="24"/>
      <c r="O70" s="24"/>
      <c r="P70" s="24"/>
      <c r="Q70" s="24" t="s">
        <v>573</v>
      </c>
      <c r="R70" s="24" t="s">
        <v>574</v>
      </c>
      <c r="S70" s="24" t="s">
        <v>546</v>
      </c>
      <c r="T70" s="24">
        <v>1.3847547452115387</v>
      </c>
      <c r="U70" s="24"/>
      <c r="V70" s="24"/>
      <c r="W70" s="24" t="s">
        <v>575</v>
      </c>
      <c r="X70" s="24" t="s">
        <v>576</v>
      </c>
      <c r="Y70" s="24" t="s">
        <v>546</v>
      </c>
      <c r="Z70" s="24">
        <v>0.2367840863751435</v>
      </c>
    </row>
    <row r="71" spans="1:26" ht="14.25" customHeight="1" x14ac:dyDescent="0.6">
      <c r="A71" s="24" t="s">
        <v>222</v>
      </c>
      <c r="B71" s="24"/>
      <c r="C71" s="102"/>
      <c r="D71" s="24"/>
      <c r="E71" s="24"/>
      <c r="F71" s="24"/>
      <c r="G71" s="24"/>
      <c r="H71" s="24"/>
      <c r="I71" s="24"/>
      <c r="J71" s="24"/>
      <c r="K71" s="24"/>
      <c r="L71" s="24"/>
      <c r="M71" s="24"/>
      <c r="N71" s="24"/>
      <c r="O71" s="24"/>
      <c r="P71" s="24"/>
      <c r="Q71" s="24" t="s">
        <v>577</v>
      </c>
      <c r="R71" s="24" t="s">
        <v>578</v>
      </c>
      <c r="S71" s="24" t="s">
        <v>546</v>
      </c>
      <c r="T71" s="24">
        <v>0.81307268978366398</v>
      </c>
      <c r="U71" s="24"/>
      <c r="V71" s="24"/>
      <c r="W71" s="24" t="s">
        <v>579</v>
      </c>
      <c r="X71" s="24" t="s">
        <v>580</v>
      </c>
      <c r="Y71" s="24" t="s">
        <v>546</v>
      </c>
      <c r="Z71" s="24">
        <v>0.10491449764080557</v>
      </c>
    </row>
    <row r="72" spans="1:26" ht="14.25" customHeight="1" x14ac:dyDescent="0.6">
      <c r="A72" s="24" t="s">
        <v>222</v>
      </c>
      <c r="B72" s="24"/>
      <c r="C72" s="102"/>
      <c r="D72" s="24"/>
      <c r="E72" s="24"/>
      <c r="F72" s="24"/>
      <c r="G72" s="24"/>
      <c r="H72" s="24"/>
      <c r="I72" s="24"/>
      <c r="J72" s="24"/>
      <c r="K72" s="24"/>
      <c r="L72" s="24"/>
      <c r="M72" s="24"/>
      <c r="N72" s="24"/>
      <c r="O72" s="24"/>
      <c r="P72" s="24"/>
      <c r="Q72" s="24" t="s">
        <v>581</v>
      </c>
      <c r="R72" s="24" t="s">
        <v>582</v>
      </c>
      <c r="S72" s="24" t="s">
        <v>546</v>
      </c>
      <c r="T72" s="24">
        <v>0.11090389285429567</v>
      </c>
      <c r="U72" s="24"/>
      <c r="V72" s="24"/>
      <c r="W72" s="24" t="s">
        <v>583</v>
      </c>
      <c r="X72" s="24" t="s">
        <v>584</v>
      </c>
      <c r="Y72" s="24" t="s">
        <v>546</v>
      </c>
      <c r="Z72" s="24">
        <v>6.9582789751194404E-2</v>
      </c>
    </row>
    <row r="73" spans="1:26" ht="14.25" customHeight="1" x14ac:dyDescent="0.6">
      <c r="A73" s="24" t="s">
        <v>222</v>
      </c>
      <c r="B73" s="24"/>
      <c r="C73" s="102"/>
      <c r="D73" s="24"/>
      <c r="E73" s="24"/>
      <c r="F73" s="24"/>
      <c r="G73" s="24"/>
      <c r="H73" s="24"/>
      <c r="I73" s="24"/>
      <c r="J73" s="24"/>
      <c r="K73" s="24"/>
      <c r="L73" s="24"/>
      <c r="M73" s="24"/>
      <c r="N73" s="24"/>
      <c r="O73" s="24"/>
      <c r="P73" s="24"/>
      <c r="Q73" s="24" t="s">
        <v>585</v>
      </c>
      <c r="R73" s="24" t="s">
        <v>586</v>
      </c>
      <c r="S73" s="24" t="s">
        <v>546</v>
      </c>
      <c r="T73" s="24">
        <v>1.4316508249501075E-2</v>
      </c>
      <c r="U73" s="24"/>
      <c r="V73" s="24"/>
      <c r="W73" s="24" t="s">
        <v>587</v>
      </c>
      <c r="X73" s="24" t="s">
        <v>588</v>
      </c>
      <c r="Y73" s="24" t="s">
        <v>546</v>
      </c>
      <c r="Z73" s="24">
        <v>6.6283633615013077E-2</v>
      </c>
    </row>
    <row r="74" spans="1:26" ht="14.25" customHeight="1" x14ac:dyDescent="0.6">
      <c r="A74" s="24" t="s">
        <v>222</v>
      </c>
      <c r="B74" s="24"/>
      <c r="C74" s="102"/>
      <c r="D74" s="24"/>
      <c r="E74" s="24"/>
      <c r="F74" s="24"/>
      <c r="G74" s="24"/>
      <c r="H74" s="24"/>
      <c r="I74" s="24"/>
      <c r="J74" s="24"/>
      <c r="K74" s="24"/>
      <c r="L74" s="24"/>
      <c r="M74" s="24"/>
      <c r="N74" s="24"/>
      <c r="O74" s="24"/>
      <c r="P74" s="24"/>
      <c r="Q74" s="24"/>
      <c r="R74" s="24"/>
      <c r="S74" s="24"/>
      <c r="T74" s="24"/>
      <c r="U74" s="24"/>
      <c r="V74" s="24"/>
      <c r="W74" s="24" t="s">
        <v>589</v>
      </c>
      <c r="X74" s="24" t="s">
        <v>590</v>
      </c>
      <c r="Y74" s="24" t="s">
        <v>546</v>
      </c>
      <c r="Z74" s="24">
        <v>2.3508165538224407E-2</v>
      </c>
    </row>
    <row r="75" spans="1:26" ht="14.25" customHeight="1" x14ac:dyDescent="0.6">
      <c r="A75" s="24" t="s">
        <v>222</v>
      </c>
      <c r="B75" s="24"/>
      <c r="C75" s="102"/>
      <c r="D75" s="24"/>
      <c r="E75" s="24"/>
      <c r="F75" s="24"/>
      <c r="G75" s="24"/>
      <c r="H75" s="24"/>
      <c r="I75" s="24"/>
      <c r="J75" s="24"/>
      <c r="K75" s="24"/>
      <c r="L75" s="24"/>
      <c r="M75" s="24"/>
      <c r="N75" s="24"/>
      <c r="O75" s="24"/>
      <c r="P75" s="24"/>
      <c r="Q75" s="24"/>
      <c r="R75" s="24"/>
      <c r="S75" s="24"/>
      <c r="T75" s="24"/>
      <c r="U75" s="24"/>
      <c r="V75" s="24"/>
      <c r="W75" s="24" t="s">
        <v>591</v>
      </c>
      <c r="X75" s="24" t="s">
        <v>592</v>
      </c>
      <c r="Y75" s="24" t="s">
        <v>546</v>
      </c>
      <c r="Z75" s="24">
        <v>1.5842452899168882E-2</v>
      </c>
    </row>
    <row r="76" spans="1:26" ht="14.25" customHeight="1" x14ac:dyDescent="0.6">
      <c r="A76" s="24" t="s">
        <v>222</v>
      </c>
      <c r="B76" s="24"/>
      <c r="C76" s="102"/>
      <c r="D76" s="24"/>
      <c r="E76" s="24"/>
      <c r="F76" s="24"/>
      <c r="G76" s="24"/>
      <c r="H76" s="24"/>
      <c r="I76" s="24"/>
      <c r="J76" s="24"/>
      <c r="K76" s="24"/>
      <c r="L76" s="24"/>
      <c r="M76" s="24"/>
      <c r="N76" s="24"/>
      <c r="O76" s="24"/>
      <c r="P76" s="24"/>
      <c r="Q76" s="24"/>
      <c r="R76" s="24"/>
      <c r="S76" s="24"/>
      <c r="T76" s="24"/>
      <c r="U76" s="24"/>
      <c r="V76" s="24"/>
      <c r="W76" s="24" t="s">
        <v>593</v>
      </c>
      <c r="X76" s="24" t="s">
        <v>594</v>
      </c>
      <c r="Y76" s="24" t="s">
        <v>546</v>
      </c>
      <c r="Z76" s="24">
        <v>7.1750704358449083E-3</v>
      </c>
    </row>
    <row r="77" spans="1:26" ht="14.25" customHeight="1" x14ac:dyDescent="0.6">
      <c r="A77" s="24" t="s">
        <v>222</v>
      </c>
      <c r="B77" s="24"/>
      <c r="C77" s="102"/>
      <c r="D77" s="24"/>
      <c r="E77" s="24"/>
      <c r="F77" s="24"/>
      <c r="G77" s="24"/>
      <c r="H77" s="24"/>
      <c r="I77" s="24"/>
      <c r="J77" s="24"/>
      <c r="K77" s="24"/>
      <c r="L77" s="24"/>
      <c r="M77" s="24"/>
      <c r="N77" s="24"/>
      <c r="O77" s="24"/>
      <c r="P77" s="24"/>
      <c r="Q77" s="24"/>
      <c r="R77" s="24"/>
      <c r="S77" s="24"/>
      <c r="T77" s="24"/>
      <c r="U77" s="24"/>
      <c r="V77" s="24"/>
      <c r="W77" s="24"/>
      <c r="X77" s="24"/>
      <c r="Y77" s="24"/>
      <c r="Z77" s="24"/>
    </row>
    <row r="78" spans="1:26" ht="14.25" customHeight="1" x14ac:dyDescent="0.6">
      <c r="A78" s="24" t="s">
        <v>222</v>
      </c>
      <c r="B78" s="24"/>
      <c r="C78" s="102"/>
      <c r="D78" s="24"/>
      <c r="E78" s="24"/>
      <c r="F78" s="24"/>
      <c r="G78" s="24"/>
      <c r="H78" s="24"/>
      <c r="I78" s="24"/>
      <c r="J78" s="24"/>
      <c r="K78" s="24"/>
      <c r="L78" s="24"/>
      <c r="M78" s="24"/>
      <c r="N78" s="24"/>
      <c r="O78" s="24"/>
      <c r="P78" s="24"/>
      <c r="Q78" s="24"/>
      <c r="R78" s="24"/>
      <c r="S78" s="24"/>
      <c r="T78" s="24"/>
      <c r="U78" s="24"/>
      <c r="V78" s="24"/>
      <c r="W78" s="24"/>
      <c r="X78" s="24"/>
      <c r="Y78" s="24"/>
      <c r="Z78" s="24"/>
    </row>
    <row r="79" spans="1:26" ht="14.25" customHeight="1" x14ac:dyDescent="0.6">
      <c r="A79" s="24" t="s">
        <v>222</v>
      </c>
      <c r="B79" s="24"/>
      <c r="C79" s="102"/>
      <c r="D79" s="24"/>
      <c r="E79" s="24"/>
      <c r="F79" s="24"/>
      <c r="G79" s="24"/>
      <c r="H79" s="24"/>
      <c r="I79" s="24"/>
      <c r="J79" s="24"/>
      <c r="K79" s="24"/>
      <c r="L79" s="24"/>
      <c r="M79" s="24"/>
      <c r="N79" s="24"/>
      <c r="O79" s="24"/>
      <c r="P79" s="24"/>
      <c r="Q79" s="24"/>
      <c r="R79" s="24"/>
      <c r="S79" s="24"/>
      <c r="T79" s="24"/>
      <c r="U79" s="24"/>
      <c r="V79" s="24"/>
      <c r="W79" s="24"/>
      <c r="X79" s="24"/>
      <c r="Y79" s="24"/>
      <c r="Z79" s="24"/>
    </row>
    <row r="80" spans="1:26" ht="14.25" customHeight="1" x14ac:dyDescent="0.6">
      <c r="A80" s="24" t="s">
        <v>222</v>
      </c>
      <c r="B80" s="24"/>
      <c r="C80" s="102"/>
      <c r="D80" s="24"/>
      <c r="E80" s="24"/>
      <c r="F80" s="24"/>
      <c r="G80" s="24"/>
      <c r="H80" s="24"/>
      <c r="I80" s="24"/>
      <c r="J80" s="24"/>
      <c r="K80" s="24"/>
      <c r="L80" s="24"/>
      <c r="M80" s="24"/>
      <c r="N80" s="24"/>
      <c r="O80" s="24"/>
      <c r="P80" s="24"/>
      <c r="Q80" s="24"/>
      <c r="R80" s="24"/>
      <c r="S80" s="24"/>
      <c r="T80" s="24"/>
      <c r="U80" s="24"/>
      <c r="V80" s="24"/>
      <c r="W80" s="24"/>
      <c r="X80" s="24"/>
      <c r="Y80" s="24"/>
      <c r="Z80" s="24"/>
    </row>
    <row r="81" spans="1:26" ht="14.25" customHeight="1" x14ac:dyDescent="0.6">
      <c r="A81" s="24" t="s">
        <v>222</v>
      </c>
      <c r="B81" s="24"/>
      <c r="C81" s="102"/>
      <c r="D81" s="24"/>
      <c r="E81" s="24"/>
      <c r="F81" s="24"/>
      <c r="G81" s="24"/>
      <c r="H81" s="24"/>
      <c r="I81" s="24"/>
      <c r="J81" s="24"/>
      <c r="K81" s="24"/>
      <c r="L81" s="24"/>
      <c r="M81" s="24"/>
      <c r="N81" s="24"/>
      <c r="O81" s="24"/>
      <c r="P81" s="24"/>
      <c r="Q81" s="24"/>
      <c r="R81" s="24"/>
      <c r="S81" s="24"/>
      <c r="T81" s="24"/>
      <c r="U81" s="24"/>
      <c r="V81" s="24"/>
      <c r="W81" s="24"/>
      <c r="X81" s="24"/>
      <c r="Y81" s="24"/>
      <c r="Z81" s="24"/>
    </row>
    <row r="82" spans="1:26" ht="14.25" customHeight="1" x14ac:dyDescent="0.6">
      <c r="A82" s="24" t="s">
        <v>222</v>
      </c>
      <c r="B82" s="24"/>
      <c r="C82" s="102"/>
      <c r="D82" s="24"/>
      <c r="E82" s="24"/>
      <c r="F82" s="24"/>
      <c r="G82" s="24"/>
      <c r="H82" s="24"/>
      <c r="I82" s="24"/>
      <c r="J82" s="24"/>
      <c r="K82" s="24"/>
      <c r="L82" s="24"/>
      <c r="M82" s="24"/>
      <c r="N82" s="24"/>
      <c r="O82" s="24"/>
      <c r="P82" s="24"/>
      <c r="Q82" s="24"/>
      <c r="R82" s="24"/>
      <c r="S82" s="24"/>
      <c r="T82" s="24"/>
      <c r="U82" s="24"/>
      <c r="V82" s="24"/>
      <c r="W82" s="24"/>
      <c r="X82" s="24"/>
      <c r="Y82" s="24"/>
      <c r="Z82" s="24"/>
    </row>
    <row r="83" spans="1:26" ht="14.25" customHeight="1" x14ac:dyDescent="0.6">
      <c r="A83" s="24" t="s">
        <v>222</v>
      </c>
      <c r="B83" s="24"/>
      <c r="C83" s="102"/>
      <c r="D83" s="24"/>
      <c r="E83" s="24"/>
      <c r="F83" s="24"/>
      <c r="G83" s="24"/>
      <c r="H83" s="24"/>
      <c r="I83" s="24"/>
      <c r="J83" s="24"/>
      <c r="K83" s="24"/>
      <c r="L83" s="24"/>
      <c r="M83" s="24"/>
      <c r="N83" s="24"/>
      <c r="O83" s="24"/>
      <c r="P83" s="24"/>
      <c r="Q83" s="24"/>
      <c r="R83" s="24"/>
      <c r="S83" s="24"/>
      <c r="T83" s="24"/>
      <c r="U83" s="24"/>
      <c r="V83" s="24"/>
      <c r="W83" s="24"/>
      <c r="X83" s="24"/>
      <c r="Y83" s="24"/>
      <c r="Z83" s="24"/>
    </row>
    <row r="84" spans="1:26" ht="14.25" customHeight="1" x14ac:dyDescent="0.6">
      <c r="A84" s="24" t="s">
        <v>222</v>
      </c>
      <c r="B84" s="24"/>
      <c r="C84" s="102"/>
      <c r="D84" s="24"/>
      <c r="E84" s="24"/>
      <c r="F84" s="24"/>
      <c r="G84" s="24"/>
      <c r="H84" s="24"/>
      <c r="I84" s="24"/>
      <c r="J84" s="24"/>
      <c r="K84" s="24"/>
      <c r="L84" s="24"/>
      <c r="M84" s="24"/>
      <c r="N84" s="24"/>
      <c r="O84" s="24"/>
      <c r="P84" s="24"/>
      <c r="Q84" s="24"/>
      <c r="R84" s="24"/>
      <c r="S84" s="24"/>
      <c r="T84" s="24"/>
      <c r="U84" s="24"/>
      <c r="V84" s="24"/>
      <c r="W84" s="24"/>
      <c r="X84" s="24"/>
      <c r="Y84" s="24"/>
      <c r="Z84" s="24"/>
    </row>
    <row r="85" spans="1:26" ht="14.25" customHeight="1" x14ac:dyDescent="0.6">
      <c r="A85" s="24" t="s">
        <v>222</v>
      </c>
      <c r="B85" s="24"/>
      <c r="C85" s="102"/>
      <c r="D85" s="24"/>
      <c r="E85" s="24"/>
      <c r="F85" s="24"/>
      <c r="G85" s="24"/>
      <c r="H85" s="24"/>
      <c r="I85" s="24"/>
      <c r="J85" s="24"/>
      <c r="K85" s="24"/>
      <c r="L85" s="24"/>
      <c r="M85" s="24"/>
      <c r="N85" s="24"/>
      <c r="O85" s="24"/>
      <c r="P85" s="24"/>
      <c r="Q85" s="24"/>
      <c r="R85" s="24"/>
      <c r="S85" s="24"/>
      <c r="T85" s="24"/>
      <c r="U85" s="24"/>
      <c r="V85" s="24"/>
      <c r="W85" s="24"/>
      <c r="X85" s="24"/>
      <c r="Y85" s="24"/>
      <c r="Z85" s="24"/>
    </row>
    <row r="86" spans="1:26" ht="14.25" customHeight="1" x14ac:dyDescent="0.6">
      <c r="A86" s="24" t="s">
        <v>222</v>
      </c>
      <c r="B86" s="24"/>
      <c r="C86" s="102"/>
      <c r="D86" s="24"/>
      <c r="E86" s="24"/>
      <c r="F86" s="24"/>
      <c r="G86" s="24"/>
      <c r="H86" s="24"/>
      <c r="I86" s="24"/>
      <c r="J86" s="24"/>
      <c r="K86" s="24"/>
      <c r="L86" s="24"/>
      <c r="M86" s="24"/>
      <c r="N86" s="24"/>
      <c r="O86" s="24"/>
      <c r="P86" s="24"/>
      <c r="Q86" s="24"/>
      <c r="R86" s="24"/>
      <c r="S86" s="24"/>
      <c r="T86" s="24"/>
      <c r="U86" s="24"/>
      <c r="V86" s="24"/>
      <c r="W86" s="24"/>
      <c r="X86" s="24"/>
      <c r="Y86" s="24"/>
      <c r="Z86" s="24"/>
    </row>
    <row r="87" spans="1:26" ht="14.25" customHeight="1" x14ac:dyDescent="0.6">
      <c r="A87" s="24" t="s">
        <v>222</v>
      </c>
      <c r="B87" s="24"/>
      <c r="C87" s="102"/>
      <c r="D87" s="24"/>
      <c r="E87" s="24"/>
      <c r="F87" s="24"/>
      <c r="G87" s="24"/>
      <c r="H87" s="24"/>
      <c r="I87" s="24"/>
      <c r="J87" s="24"/>
      <c r="K87" s="24"/>
      <c r="L87" s="24"/>
      <c r="M87" s="24"/>
      <c r="N87" s="24"/>
      <c r="O87" s="24"/>
      <c r="P87" s="24"/>
      <c r="Q87" s="24"/>
      <c r="R87" s="24"/>
      <c r="S87" s="24"/>
      <c r="T87" s="24"/>
      <c r="U87" s="24"/>
      <c r="V87" s="24"/>
      <c r="W87" s="24"/>
      <c r="X87" s="24"/>
      <c r="Y87" s="24"/>
      <c r="Z87" s="24"/>
    </row>
    <row r="88" spans="1:26" ht="14.25" customHeight="1" x14ac:dyDescent="0.6">
      <c r="A88" s="24" t="s">
        <v>222</v>
      </c>
      <c r="B88" s="24"/>
      <c r="C88" s="102"/>
      <c r="D88" s="24"/>
      <c r="E88" s="24"/>
      <c r="F88" s="24"/>
      <c r="G88" s="24"/>
      <c r="H88" s="24"/>
      <c r="I88" s="24"/>
      <c r="J88" s="24"/>
      <c r="K88" s="24"/>
      <c r="L88" s="24"/>
      <c r="M88" s="24"/>
      <c r="N88" s="24"/>
      <c r="O88" s="24"/>
      <c r="P88" s="24"/>
      <c r="Q88" s="24"/>
      <c r="R88" s="24"/>
      <c r="S88" s="24"/>
      <c r="T88" s="24"/>
      <c r="U88" s="24"/>
      <c r="V88" s="24"/>
      <c r="W88" s="24"/>
      <c r="X88" s="24"/>
      <c r="Y88" s="24"/>
      <c r="Z88" s="24"/>
    </row>
    <row r="89" spans="1:26" ht="14.25" customHeight="1" x14ac:dyDescent="0.6">
      <c r="A89" s="24" t="s">
        <v>222</v>
      </c>
      <c r="B89" s="24"/>
      <c r="C89" s="102"/>
      <c r="D89" s="24"/>
      <c r="E89" s="24"/>
      <c r="F89" s="24"/>
      <c r="G89" s="24"/>
      <c r="H89" s="24"/>
      <c r="I89" s="24"/>
      <c r="J89" s="24"/>
      <c r="K89" s="24"/>
      <c r="L89" s="24"/>
      <c r="M89" s="24"/>
      <c r="N89" s="24"/>
      <c r="O89" s="24"/>
      <c r="P89" s="24"/>
      <c r="Q89" s="24"/>
      <c r="R89" s="24"/>
      <c r="S89" s="24"/>
      <c r="T89" s="24"/>
      <c r="U89" s="24"/>
      <c r="V89" s="24"/>
      <c r="W89" s="24"/>
      <c r="X89" s="24"/>
      <c r="Y89" s="24"/>
      <c r="Z89" s="24"/>
    </row>
    <row r="90" spans="1:26" ht="14.25" customHeight="1" x14ac:dyDescent="0.6">
      <c r="A90" s="24" t="s">
        <v>222</v>
      </c>
      <c r="B90" s="24"/>
      <c r="C90" s="102"/>
      <c r="D90" s="24"/>
      <c r="E90" s="24"/>
      <c r="F90" s="24"/>
      <c r="G90" s="24"/>
      <c r="H90" s="24"/>
      <c r="I90" s="24"/>
      <c r="J90" s="24"/>
      <c r="K90" s="24"/>
      <c r="L90" s="24"/>
      <c r="M90" s="24"/>
      <c r="N90" s="24"/>
      <c r="O90" s="24"/>
      <c r="P90" s="24"/>
      <c r="Q90" s="24"/>
      <c r="R90" s="24"/>
      <c r="S90" s="24"/>
      <c r="T90" s="24"/>
      <c r="U90" s="24"/>
      <c r="V90" s="24"/>
      <c r="W90" s="24"/>
      <c r="X90" s="24"/>
      <c r="Y90" s="24"/>
      <c r="Z90" s="24"/>
    </row>
    <row r="91" spans="1:26" ht="14.25" customHeight="1" x14ac:dyDescent="0.6">
      <c r="A91" s="24" t="s">
        <v>222</v>
      </c>
      <c r="B91" s="24"/>
      <c r="C91" s="102"/>
      <c r="D91" s="24"/>
      <c r="E91" s="24"/>
      <c r="F91" s="24"/>
      <c r="G91" s="24"/>
      <c r="H91" s="24"/>
      <c r="I91" s="24"/>
      <c r="J91" s="24"/>
      <c r="K91" s="24"/>
      <c r="L91" s="24"/>
      <c r="M91" s="24"/>
      <c r="N91" s="24"/>
      <c r="O91" s="24"/>
      <c r="P91" s="24"/>
      <c r="Q91" s="24"/>
      <c r="R91" s="24"/>
      <c r="S91" s="24"/>
      <c r="T91" s="24"/>
      <c r="U91" s="24"/>
      <c r="V91" s="24"/>
      <c r="W91" s="24"/>
      <c r="X91" s="24"/>
      <c r="Y91" s="24"/>
      <c r="Z91" s="24"/>
    </row>
    <row r="92" spans="1:26" ht="14.25" customHeight="1" x14ac:dyDescent="0.6">
      <c r="A92" s="24" t="s">
        <v>222</v>
      </c>
      <c r="B92" s="24"/>
      <c r="C92" s="102"/>
      <c r="D92" s="24"/>
      <c r="E92" s="24"/>
      <c r="F92" s="24"/>
      <c r="G92" s="24"/>
      <c r="H92" s="24"/>
      <c r="I92" s="24"/>
      <c r="J92" s="24"/>
      <c r="K92" s="24"/>
      <c r="L92" s="24"/>
      <c r="M92" s="24"/>
      <c r="N92" s="24"/>
      <c r="O92" s="24"/>
      <c r="P92" s="24"/>
      <c r="Q92" s="24"/>
      <c r="R92" s="24"/>
      <c r="S92" s="24"/>
      <c r="T92" s="24"/>
      <c r="U92" s="24"/>
      <c r="V92" s="24"/>
      <c r="W92" s="24"/>
      <c r="X92" s="24"/>
      <c r="Y92" s="24"/>
      <c r="Z92" s="24"/>
    </row>
    <row r="93" spans="1:26" ht="14.25" customHeight="1" x14ac:dyDescent="0.6">
      <c r="A93" s="24" t="s">
        <v>222</v>
      </c>
      <c r="B93" s="24"/>
      <c r="C93" s="102"/>
      <c r="D93" s="24"/>
      <c r="E93" s="24"/>
      <c r="F93" s="24"/>
      <c r="G93" s="24"/>
      <c r="H93" s="24"/>
      <c r="I93" s="24"/>
      <c r="J93" s="24"/>
      <c r="K93" s="24"/>
      <c r="L93" s="24"/>
      <c r="M93" s="24"/>
      <c r="N93" s="24"/>
      <c r="O93" s="24"/>
      <c r="P93" s="24"/>
      <c r="Q93" s="24"/>
      <c r="R93" s="24"/>
      <c r="S93" s="24"/>
      <c r="T93" s="24"/>
      <c r="U93" s="24"/>
      <c r="V93" s="24"/>
      <c r="W93" s="24"/>
      <c r="X93" s="24"/>
      <c r="Y93" s="24"/>
      <c r="Z93" s="24"/>
    </row>
    <row r="94" spans="1:26" ht="14.25" customHeight="1" x14ac:dyDescent="0.6">
      <c r="A94" s="24" t="s">
        <v>222</v>
      </c>
      <c r="B94" s="24"/>
      <c r="C94" s="102"/>
      <c r="D94" s="24"/>
      <c r="E94" s="24"/>
      <c r="F94" s="24"/>
      <c r="G94" s="24"/>
      <c r="H94" s="24"/>
      <c r="I94" s="24"/>
      <c r="J94" s="24"/>
      <c r="K94" s="24"/>
      <c r="L94" s="24"/>
      <c r="M94" s="24"/>
      <c r="N94" s="24"/>
      <c r="O94" s="24"/>
      <c r="P94" s="24"/>
      <c r="Q94" s="24"/>
      <c r="R94" s="24"/>
      <c r="S94" s="24"/>
      <c r="T94" s="24"/>
      <c r="U94" s="24"/>
      <c r="V94" s="24"/>
      <c r="W94" s="24"/>
      <c r="X94" s="24"/>
      <c r="Y94" s="24"/>
      <c r="Z94" s="24"/>
    </row>
    <row r="95" spans="1:26" ht="14.25" customHeight="1" x14ac:dyDescent="0.6">
      <c r="A95" s="24" t="s">
        <v>222</v>
      </c>
      <c r="B95" s="24"/>
      <c r="C95" s="102"/>
      <c r="D95" s="24"/>
      <c r="E95" s="24"/>
      <c r="F95" s="24"/>
      <c r="G95" s="24"/>
      <c r="H95" s="24"/>
      <c r="I95" s="24"/>
      <c r="J95" s="24"/>
      <c r="K95" s="24"/>
      <c r="L95" s="24"/>
      <c r="M95" s="24"/>
      <c r="N95" s="24"/>
      <c r="O95" s="24"/>
      <c r="P95" s="24"/>
      <c r="Q95" s="24"/>
      <c r="R95" s="24"/>
      <c r="S95" s="24"/>
      <c r="T95" s="24"/>
      <c r="U95" s="24"/>
      <c r="V95" s="24"/>
      <c r="W95" s="24"/>
      <c r="X95" s="24"/>
      <c r="Y95" s="24"/>
      <c r="Z95" s="24"/>
    </row>
    <row r="96" spans="1:26" ht="14.25" customHeight="1" x14ac:dyDescent="0.6">
      <c r="A96" s="24" t="s">
        <v>222</v>
      </c>
      <c r="B96" s="24"/>
      <c r="C96" s="102"/>
      <c r="D96" s="24"/>
      <c r="E96" s="24"/>
      <c r="F96" s="24"/>
      <c r="G96" s="24"/>
      <c r="H96" s="24"/>
      <c r="I96" s="24"/>
      <c r="J96" s="24"/>
      <c r="K96" s="24"/>
      <c r="L96" s="24"/>
      <c r="M96" s="24"/>
      <c r="N96" s="24"/>
      <c r="O96" s="24"/>
      <c r="P96" s="24"/>
      <c r="Q96" s="24"/>
      <c r="R96" s="24"/>
      <c r="S96" s="24"/>
      <c r="T96" s="24"/>
      <c r="U96" s="24"/>
      <c r="V96" s="24"/>
      <c r="W96" s="24"/>
      <c r="X96" s="24"/>
      <c r="Y96" s="24"/>
      <c r="Z96" s="24"/>
    </row>
    <row r="97" spans="1:26" ht="14.25" customHeight="1" x14ac:dyDescent="0.6">
      <c r="A97" s="24" t="s">
        <v>222</v>
      </c>
      <c r="B97" s="24"/>
      <c r="C97" s="102"/>
      <c r="D97" s="24"/>
      <c r="E97" s="24"/>
      <c r="F97" s="24"/>
      <c r="G97" s="24"/>
      <c r="H97" s="24"/>
      <c r="I97" s="24"/>
      <c r="J97" s="24"/>
      <c r="K97" s="24"/>
      <c r="L97" s="24"/>
      <c r="M97" s="24"/>
      <c r="N97" s="24"/>
      <c r="O97" s="24"/>
      <c r="P97" s="24"/>
      <c r="Q97" s="24"/>
      <c r="R97" s="24"/>
      <c r="S97" s="24"/>
      <c r="T97" s="24"/>
      <c r="U97" s="24"/>
      <c r="V97" s="24"/>
      <c r="W97" s="24"/>
      <c r="X97" s="24"/>
      <c r="Y97" s="24"/>
      <c r="Z97" s="24"/>
    </row>
    <row r="98" spans="1:26" ht="14.25" customHeight="1" x14ac:dyDescent="0.6">
      <c r="A98" s="24" t="s">
        <v>222</v>
      </c>
      <c r="B98" s="24"/>
      <c r="C98" s="102"/>
      <c r="D98" s="24"/>
      <c r="E98" s="24"/>
      <c r="F98" s="24"/>
      <c r="G98" s="24"/>
      <c r="H98" s="24"/>
      <c r="I98" s="24"/>
      <c r="J98" s="24"/>
      <c r="K98" s="24"/>
      <c r="L98" s="24"/>
      <c r="M98" s="24"/>
      <c r="N98" s="24"/>
      <c r="O98" s="24"/>
      <c r="P98" s="24"/>
      <c r="Q98" s="24"/>
      <c r="R98" s="24"/>
      <c r="S98" s="24"/>
      <c r="T98" s="24"/>
      <c r="U98" s="24"/>
      <c r="V98" s="24"/>
      <c r="W98" s="24"/>
      <c r="X98" s="24"/>
      <c r="Y98" s="24"/>
      <c r="Z98" s="24"/>
    </row>
    <row r="99" spans="1:26" ht="14.25" customHeight="1" x14ac:dyDescent="0.6">
      <c r="A99" s="24" t="s">
        <v>222</v>
      </c>
      <c r="B99" s="24"/>
      <c r="C99" s="102"/>
      <c r="D99" s="24"/>
      <c r="E99" s="24"/>
      <c r="F99" s="24"/>
      <c r="G99" s="24"/>
      <c r="H99" s="24"/>
      <c r="I99" s="24"/>
      <c r="J99" s="24"/>
      <c r="K99" s="24"/>
      <c r="L99" s="24"/>
      <c r="M99" s="24"/>
      <c r="N99" s="24"/>
      <c r="O99" s="24"/>
      <c r="P99" s="24"/>
      <c r="Q99" s="24"/>
      <c r="R99" s="24"/>
      <c r="S99" s="24"/>
      <c r="T99" s="24"/>
      <c r="U99" s="24"/>
      <c r="V99" s="24"/>
      <c r="W99" s="24"/>
      <c r="X99" s="24"/>
      <c r="Y99" s="24"/>
      <c r="Z99" s="24"/>
    </row>
    <row r="100" spans="1:26" ht="14.25" customHeight="1" x14ac:dyDescent="0.6">
      <c r="A100" s="24" t="s">
        <v>222</v>
      </c>
      <c r="B100" s="24"/>
      <c r="C100" s="102"/>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ht="14.25" customHeight="1" x14ac:dyDescent="0.6">
      <c r="A101" s="24" t="s">
        <v>222</v>
      </c>
      <c r="B101" s="24"/>
      <c r="C101" s="102"/>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ht="14.25" customHeight="1" x14ac:dyDescent="0.6">
      <c r="A102" s="24" t="s">
        <v>222</v>
      </c>
      <c r="B102" s="24"/>
      <c r="C102" s="102"/>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ht="14.25" customHeight="1" x14ac:dyDescent="0.6">
      <c r="A103" s="24" t="s">
        <v>222</v>
      </c>
      <c r="B103" s="24"/>
      <c r="C103" s="102"/>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ht="14.25" customHeight="1" x14ac:dyDescent="0.6">
      <c r="A104" s="24" t="s">
        <v>222</v>
      </c>
      <c r="B104" s="24"/>
      <c r="C104" s="102"/>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ht="14.25" customHeight="1" x14ac:dyDescent="0.6">
      <c r="A105" s="24" t="s">
        <v>222</v>
      </c>
      <c r="B105" s="24"/>
      <c r="C105" s="102"/>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ht="14.25" customHeight="1" x14ac:dyDescent="0.6">
      <c r="A106" s="24" t="s">
        <v>222</v>
      </c>
      <c r="B106" s="24"/>
      <c r="C106" s="102"/>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ht="14.25" customHeight="1" x14ac:dyDescent="0.6">
      <c r="A107" s="24" t="s">
        <v>222</v>
      </c>
      <c r="B107" s="24"/>
      <c r="C107" s="102"/>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ht="14.25" customHeight="1" x14ac:dyDescent="0.6">
      <c r="A108" s="24" t="s">
        <v>222</v>
      </c>
      <c r="B108" s="24"/>
      <c r="C108" s="102"/>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ht="14.25" customHeight="1" x14ac:dyDescent="0.6">
      <c r="A109" s="24" t="s">
        <v>222</v>
      </c>
      <c r="B109" s="24"/>
      <c r="C109" s="102"/>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ht="14.25" customHeight="1" x14ac:dyDescent="0.6">
      <c r="A110" s="24" t="s">
        <v>222</v>
      </c>
      <c r="B110" s="24"/>
      <c r="C110" s="102"/>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ht="14.25" customHeight="1" x14ac:dyDescent="0.6">
      <c r="A111" s="24" t="s">
        <v>222</v>
      </c>
      <c r="B111" s="24"/>
      <c r="C111" s="102"/>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ht="14.25" customHeight="1" x14ac:dyDescent="0.6">
      <c r="A112" s="24" t="s">
        <v>222</v>
      </c>
      <c r="B112" s="24"/>
      <c r="C112" s="102"/>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ht="14.25" customHeight="1" x14ac:dyDescent="0.6">
      <c r="A113" s="24" t="s">
        <v>222</v>
      </c>
      <c r="B113" s="24"/>
      <c r="C113" s="102"/>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ht="14.25" customHeight="1" x14ac:dyDescent="0.6">
      <c r="A114" s="24" t="s">
        <v>222</v>
      </c>
      <c r="B114" s="24"/>
      <c r="C114" s="102"/>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14.25" customHeight="1" x14ac:dyDescent="0.6">
      <c r="A115" s="24" t="s">
        <v>222</v>
      </c>
      <c r="B115" s="24"/>
      <c r="C115" s="102"/>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ht="14.25" customHeight="1" x14ac:dyDescent="0.6">
      <c r="A116" s="24" t="s">
        <v>222</v>
      </c>
      <c r="B116" s="24"/>
      <c r="C116" s="102"/>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ht="14.25" customHeight="1" x14ac:dyDescent="0.6">
      <c r="A117" s="24" t="s">
        <v>222</v>
      </c>
      <c r="B117" s="24"/>
      <c r="C117" s="102"/>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ht="14.25" customHeight="1" x14ac:dyDescent="0.6">
      <c r="A118" s="24" t="s">
        <v>222</v>
      </c>
      <c r="B118" s="24"/>
      <c r="C118" s="102"/>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14.25" customHeight="1" x14ac:dyDescent="0.6">
      <c r="A119" s="24" t="s">
        <v>222</v>
      </c>
      <c r="B119" s="24"/>
      <c r="C119" s="102"/>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14.25" customHeight="1" x14ac:dyDescent="0.6">
      <c r="A120" s="24" t="s">
        <v>222</v>
      </c>
      <c r="B120" s="24"/>
      <c r="C120" s="102"/>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ht="14.25" customHeight="1" x14ac:dyDescent="0.6">
      <c r="A121" s="24" t="s">
        <v>222</v>
      </c>
      <c r="B121" s="24"/>
      <c r="C121" s="102"/>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14.25" customHeight="1" x14ac:dyDescent="0.6">
      <c r="A122" s="24" t="s">
        <v>222</v>
      </c>
      <c r="B122" s="24"/>
      <c r="C122" s="102"/>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14.25" customHeight="1" x14ac:dyDescent="0.6">
      <c r="A123" s="24" t="s">
        <v>222</v>
      </c>
      <c r="B123" s="24"/>
      <c r="C123" s="102"/>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ht="14.25" customHeight="1" x14ac:dyDescent="0.6">
      <c r="A124" s="24" t="s">
        <v>222</v>
      </c>
      <c r="B124" s="24"/>
      <c r="C124" s="102"/>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ht="14.25" customHeight="1" x14ac:dyDescent="0.6">
      <c r="A125" s="24" t="s">
        <v>222</v>
      </c>
      <c r="B125" s="24"/>
      <c r="C125" s="102"/>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ht="14.25" customHeight="1" x14ac:dyDescent="0.6">
      <c r="A126" s="24" t="s">
        <v>222</v>
      </c>
      <c r="B126" s="24"/>
      <c r="C126" s="102"/>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ht="14.25" customHeight="1" x14ac:dyDescent="0.6">
      <c r="A127" s="24" t="s">
        <v>222</v>
      </c>
      <c r="B127" s="24"/>
      <c r="C127" s="102"/>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ht="14.25" customHeight="1" x14ac:dyDescent="0.6">
      <c r="A128" s="24" t="s">
        <v>222</v>
      </c>
      <c r="B128" s="24"/>
      <c r="C128" s="102"/>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14.25" customHeight="1" x14ac:dyDescent="0.6">
      <c r="A129" s="24" t="s">
        <v>222</v>
      </c>
      <c r="B129" s="24"/>
      <c r="C129" s="102"/>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14.25" customHeight="1" x14ac:dyDescent="0.6">
      <c r="A130" s="24" t="s">
        <v>222</v>
      </c>
      <c r="B130" s="24"/>
      <c r="C130" s="102"/>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14.25" customHeight="1" x14ac:dyDescent="0.6">
      <c r="A131" s="24" t="s">
        <v>222</v>
      </c>
      <c r="B131" s="24"/>
      <c r="C131" s="102"/>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14.25" customHeight="1" x14ac:dyDescent="0.6">
      <c r="A132" s="24" t="s">
        <v>222</v>
      </c>
      <c r="B132" s="24"/>
      <c r="C132" s="102"/>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14.25" customHeight="1" x14ac:dyDescent="0.6">
      <c r="A133" s="24" t="s">
        <v>222</v>
      </c>
      <c r="B133" s="24"/>
      <c r="C133" s="102"/>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14.25" customHeight="1" x14ac:dyDescent="0.6">
      <c r="A134" s="24" t="s">
        <v>222</v>
      </c>
      <c r="B134" s="24"/>
      <c r="C134" s="102"/>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14.25" customHeight="1" x14ac:dyDescent="0.6">
      <c r="A135" s="24" t="s">
        <v>222</v>
      </c>
      <c r="B135" s="24"/>
      <c r="C135" s="102"/>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14.25" customHeight="1" x14ac:dyDescent="0.6">
      <c r="A136" s="24" t="s">
        <v>222</v>
      </c>
      <c r="B136" s="24"/>
      <c r="C136" s="102"/>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14.25" customHeight="1" x14ac:dyDescent="0.6">
      <c r="A137" s="24" t="s">
        <v>222</v>
      </c>
      <c r="B137" s="24"/>
      <c r="C137" s="102"/>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14.25" customHeight="1" x14ac:dyDescent="0.6">
      <c r="A138" s="24" t="s">
        <v>222</v>
      </c>
      <c r="B138" s="24"/>
      <c r="C138" s="102"/>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14.25" customHeight="1" x14ac:dyDescent="0.6">
      <c r="A139" s="24" t="s">
        <v>222</v>
      </c>
      <c r="B139" s="24"/>
      <c r="C139" s="102"/>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14.25" customHeight="1" x14ac:dyDescent="0.6">
      <c r="A140" s="24" t="s">
        <v>222</v>
      </c>
      <c r="B140" s="24"/>
      <c r="C140" s="102"/>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14.25" customHeight="1" x14ac:dyDescent="0.6">
      <c r="A141" s="24" t="s">
        <v>222</v>
      </c>
      <c r="B141" s="24"/>
      <c r="C141" s="102"/>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14.25" customHeight="1" x14ac:dyDescent="0.6">
      <c r="A142" s="24" t="s">
        <v>222</v>
      </c>
      <c r="B142" s="24"/>
      <c r="C142" s="102"/>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14.25" customHeight="1" x14ac:dyDescent="0.6">
      <c r="A143" s="24" t="s">
        <v>222</v>
      </c>
      <c r="B143" s="24"/>
      <c r="C143" s="102"/>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14.25" customHeight="1" x14ac:dyDescent="0.6">
      <c r="A144" s="24" t="s">
        <v>222</v>
      </c>
      <c r="B144" s="24"/>
      <c r="C144" s="102"/>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14.25" customHeight="1" x14ac:dyDescent="0.6">
      <c r="A145" s="24" t="s">
        <v>222</v>
      </c>
      <c r="B145" s="24"/>
      <c r="C145" s="102"/>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14.25" customHeight="1" x14ac:dyDescent="0.6">
      <c r="A146" s="24" t="s">
        <v>222</v>
      </c>
      <c r="B146" s="24"/>
      <c r="C146" s="102"/>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14.25" customHeight="1" x14ac:dyDescent="0.6">
      <c r="A147" s="24" t="s">
        <v>222</v>
      </c>
      <c r="B147" s="24"/>
      <c r="C147" s="102"/>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14.25" customHeight="1" x14ac:dyDescent="0.6">
      <c r="A148" s="24" t="s">
        <v>222</v>
      </c>
      <c r="B148" s="24"/>
      <c r="C148" s="102"/>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14.25" customHeight="1" x14ac:dyDescent="0.6">
      <c r="A149" s="24" t="s">
        <v>222</v>
      </c>
      <c r="B149" s="24"/>
      <c r="C149" s="102"/>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14.25" customHeight="1" x14ac:dyDescent="0.6">
      <c r="A150" s="24" t="s">
        <v>222</v>
      </c>
      <c r="B150" s="24"/>
      <c r="C150" s="102"/>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14.25" customHeight="1" x14ac:dyDescent="0.6">
      <c r="A151" s="24" t="s">
        <v>222</v>
      </c>
      <c r="B151" s="24"/>
      <c r="C151" s="102"/>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14.25" customHeight="1" x14ac:dyDescent="0.6">
      <c r="A152" s="24" t="s">
        <v>222</v>
      </c>
      <c r="B152" s="24"/>
      <c r="C152" s="102"/>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14.25" customHeight="1" x14ac:dyDescent="0.6">
      <c r="A153" s="24" t="s">
        <v>222</v>
      </c>
      <c r="B153" s="24"/>
      <c r="C153" s="102"/>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14.25" customHeight="1" x14ac:dyDescent="0.6">
      <c r="A154" s="24" t="s">
        <v>222</v>
      </c>
      <c r="B154" s="24"/>
      <c r="C154" s="102"/>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14.25" customHeight="1" x14ac:dyDescent="0.6">
      <c r="A155" s="24" t="s">
        <v>222</v>
      </c>
      <c r="B155" s="24"/>
      <c r="C155" s="102"/>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14.25" customHeight="1" x14ac:dyDescent="0.6">
      <c r="A156" s="24" t="s">
        <v>222</v>
      </c>
      <c r="B156" s="24"/>
      <c r="C156" s="102"/>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14.25" customHeight="1" x14ac:dyDescent="0.6">
      <c r="A157" s="24" t="s">
        <v>222</v>
      </c>
      <c r="B157" s="24"/>
      <c r="C157" s="102"/>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14.25" customHeight="1" x14ac:dyDescent="0.6">
      <c r="A158" s="24" t="s">
        <v>222</v>
      </c>
      <c r="B158" s="24"/>
      <c r="C158" s="102"/>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14.25" customHeight="1" x14ac:dyDescent="0.6">
      <c r="A159" s="24" t="s">
        <v>222</v>
      </c>
      <c r="B159" s="24"/>
      <c r="C159" s="102"/>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14.25" customHeight="1" x14ac:dyDescent="0.6">
      <c r="A160" s="24" t="s">
        <v>222</v>
      </c>
      <c r="B160" s="24"/>
      <c r="C160" s="102"/>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14.25" customHeight="1" x14ac:dyDescent="0.6">
      <c r="A161" s="24" t="s">
        <v>222</v>
      </c>
      <c r="B161" s="24"/>
      <c r="C161" s="102"/>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14.25" customHeight="1" x14ac:dyDescent="0.6">
      <c r="A162" s="24" t="s">
        <v>222</v>
      </c>
      <c r="B162" s="24"/>
      <c r="C162" s="102"/>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14.25" customHeight="1" x14ac:dyDescent="0.6">
      <c r="A163" s="24" t="s">
        <v>222</v>
      </c>
      <c r="B163" s="24"/>
      <c r="C163" s="102"/>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14.25" customHeight="1" x14ac:dyDescent="0.6">
      <c r="A164" s="24" t="s">
        <v>222</v>
      </c>
      <c r="B164" s="24"/>
      <c r="C164" s="102"/>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14.25" customHeight="1" x14ac:dyDescent="0.6">
      <c r="A165" s="24" t="s">
        <v>222</v>
      </c>
      <c r="B165" s="24"/>
      <c r="C165" s="102"/>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14.25" customHeight="1" x14ac:dyDescent="0.6">
      <c r="A166" s="24" t="s">
        <v>222</v>
      </c>
      <c r="B166" s="24"/>
      <c r="C166" s="102"/>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14.25" customHeight="1" x14ac:dyDescent="0.6">
      <c r="A167" s="24" t="s">
        <v>222</v>
      </c>
      <c r="B167" s="24"/>
      <c r="C167" s="102"/>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14.25" customHeight="1" x14ac:dyDescent="0.6">
      <c r="A168" s="24" t="s">
        <v>222</v>
      </c>
      <c r="B168" s="24"/>
      <c r="C168" s="102"/>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14.25" customHeight="1" x14ac:dyDescent="0.6">
      <c r="A169" s="24" t="s">
        <v>222</v>
      </c>
      <c r="B169" s="24"/>
      <c r="C169" s="102"/>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14.25" customHeight="1" x14ac:dyDescent="0.6">
      <c r="A170" s="24" t="s">
        <v>222</v>
      </c>
      <c r="B170" s="24"/>
      <c r="C170" s="102"/>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4.25" customHeight="1" x14ac:dyDescent="0.6">
      <c r="A171" s="24" t="s">
        <v>222</v>
      </c>
      <c r="B171" s="24"/>
      <c r="C171" s="102"/>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14.25" customHeight="1" x14ac:dyDescent="0.6">
      <c r="A172" s="24" t="s">
        <v>222</v>
      </c>
      <c r="B172" s="24"/>
      <c r="C172" s="102"/>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14.25" customHeight="1" x14ac:dyDescent="0.6">
      <c r="A173" s="24" t="s">
        <v>222</v>
      </c>
      <c r="B173" s="24"/>
      <c r="C173" s="102"/>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14.25" customHeight="1" x14ac:dyDescent="0.6">
      <c r="A174" s="24" t="s">
        <v>222</v>
      </c>
      <c r="B174" s="24"/>
      <c r="C174" s="102"/>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14.25" customHeight="1" x14ac:dyDescent="0.6">
      <c r="A175" s="24" t="s">
        <v>222</v>
      </c>
      <c r="B175" s="24"/>
      <c r="C175" s="102"/>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14.25" customHeight="1" x14ac:dyDescent="0.6">
      <c r="A176" s="24" t="s">
        <v>222</v>
      </c>
      <c r="B176" s="24"/>
      <c r="C176" s="102"/>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14.25" customHeight="1" x14ac:dyDescent="0.6">
      <c r="A177" s="24" t="s">
        <v>222</v>
      </c>
      <c r="B177" s="24"/>
      <c r="C177" s="102"/>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14.25" customHeight="1" x14ac:dyDescent="0.6">
      <c r="A178" s="24" t="s">
        <v>222</v>
      </c>
      <c r="B178" s="24"/>
      <c r="C178" s="102"/>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14.25" customHeight="1" x14ac:dyDescent="0.6">
      <c r="A179" s="24" t="s">
        <v>222</v>
      </c>
      <c r="B179" s="24"/>
      <c r="C179" s="102"/>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14.25" customHeight="1" x14ac:dyDescent="0.6">
      <c r="A180" s="24" t="s">
        <v>222</v>
      </c>
      <c r="B180" s="24"/>
      <c r="C180" s="102"/>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14.25" customHeight="1" x14ac:dyDescent="0.6">
      <c r="A181" s="24" t="s">
        <v>222</v>
      </c>
      <c r="B181" s="24"/>
      <c r="C181" s="102"/>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14.25" customHeight="1" x14ac:dyDescent="0.6">
      <c r="A182" s="24" t="s">
        <v>222</v>
      </c>
      <c r="B182" s="24"/>
      <c r="C182" s="102"/>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14.25" customHeight="1" x14ac:dyDescent="0.6">
      <c r="A183" s="24" t="s">
        <v>222</v>
      </c>
      <c r="B183" s="24"/>
      <c r="C183" s="102"/>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14.25" customHeight="1" x14ac:dyDescent="0.6">
      <c r="A184" s="24" t="s">
        <v>222</v>
      </c>
      <c r="B184" s="24"/>
      <c r="C184" s="102"/>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14.25" customHeight="1" x14ac:dyDescent="0.6">
      <c r="A185" s="24" t="s">
        <v>222</v>
      </c>
      <c r="B185" s="24"/>
      <c r="C185" s="102"/>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14.25" customHeight="1" x14ac:dyDescent="0.6">
      <c r="A186" s="24" t="s">
        <v>222</v>
      </c>
      <c r="B186" s="24"/>
      <c r="C186" s="102"/>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14.25" customHeight="1" x14ac:dyDescent="0.6">
      <c r="A187" s="24" t="s">
        <v>222</v>
      </c>
      <c r="B187" s="24"/>
      <c r="C187" s="102"/>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14.25" customHeight="1" x14ac:dyDescent="0.6">
      <c r="A188" s="24" t="s">
        <v>222</v>
      </c>
      <c r="B188" s="24"/>
      <c r="C188" s="102"/>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14.25" customHeight="1" x14ac:dyDescent="0.6">
      <c r="A189" s="24" t="s">
        <v>222</v>
      </c>
      <c r="B189" s="24"/>
      <c r="C189" s="102"/>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14.25" customHeight="1" x14ac:dyDescent="0.6">
      <c r="A190" s="24" t="s">
        <v>222</v>
      </c>
      <c r="B190" s="24"/>
      <c r="C190" s="102"/>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14.25" customHeight="1" x14ac:dyDescent="0.6">
      <c r="A191" s="24" t="s">
        <v>222</v>
      </c>
      <c r="B191" s="24"/>
      <c r="C191" s="102"/>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14.25" customHeight="1" x14ac:dyDescent="0.6">
      <c r="A192" s="24" t="s">
        <v>222</v>
      </c>
      <c r="B192" s="24"/>
      <c r="C192" s="102"/>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14.25" customHeight="1" x14ac:dyDescent="0.6">
      <c r="A193" s="24" t="s">
        <v>222</v>
      </c>
      <c r="B193" s="24"/>
      <c r="C193" s="102"/>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4.25" customHeight="1" x14ac:dyDescent="0.6">
      <c r="A194" s="24" t="s">
        <v>222</v>
      </c>
      <c r="B194" s="24"/>
      <c r="C194" s="102"/>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14.25" customHeight="1" x14ac:dyDescent="0.6">
      <c r="A195" s="24" t="s">
        <v>222</v>
      </c>
      <c r="B195" s="24"/>
      <c r="C195" s="102"/>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14.25" customHeight="1" x14ac:dyDescent="0.6">
      <c r="A196" s="24" t="s">
        <v>222</v>
      </c>
      <c r="B196" s="24"/>
      <c r="C196" s="102"/>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14.25" customHeight="1" x14ac:dyDescent="0.6">
      <c r="A197" s="24" t="s">
        <v>222</v>
      </c>
      <c r="B197" s="24"/>
      <c r="C197" s="102"/>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14.25" customHeight="1" x14ac:dyDescent="0.6">
      <c r="A198" s="24" t="s">
        <v>222</v>
      </c>
      <c r="B198" s="24"/>
      <c r="C198" s="102"/>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14.25" customHeight="1" x14ac:dyDescent="0.6">
      <c r="A199" s="24" t="s">
        <v>222</v>
      </c>
      <c r="B199" s="24"/>
      <c r="C199" s="102"/>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14.25" customHeight="1" x14ac:dyDescent="0.6">
      <c r="A200" s="24" t="s">
        <v>222</v>
      </c>
      <c r="B200" s="24"/>
      <c r="C200" s="102"/>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14.25" customHeight="1" x14ac:dyDescent="0.6">
      <c r="A201" s="24" t="s">
        <v>222</v>
      </c>
      <c r="B201" s="24"/>
      <c r="C201" s="102"/>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sheetData>
  <mergeCells count="7">
    <mergeCell ref="O59:Z59"/>
    <mergeCell ref="A1:M1"/>
    <mergeCell ref="X4:Y4"/>
    <mergeCell ref="D4:E4"/>
    <mergeCell ref="O1:Y1"/>
    <mergeCell ref="K4:L4"/>
    <mergeCell ref="R4:S4"/>
  </mergeCells>
  <pageMargins left="0.39" right="0.39" top="0.39" bottom="0.39" header="0.39" footer="0.39"/>
  <pageSetup paperSize="9" fitToWidth="0" fitToHeight="0"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f043b80-2ba0-4a41-8fb3-e995e5e0ec5e" xsi:nil="true"/>
    <lcf76f155ced4ddcb4097134ff3c332f xmlns="969d2115-0228-4f81-81ab-4fc476c31cb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A33661ED7F3B2499BE365CA2F4AFAE1" ma:contentTypeVersion="11" ma:contentTypeDescription="Create a new document." ma:contentTypeScope="" ma:versionID="fcceb926fbac305285a7423b16d60ea2">
  <xsd:schema xmlns:xsd="http://www.w3.org/2001/XMLSchema" xmlns:xs="http://www.w3.org/2001/XMLSchema" xmlns:p="http://schemas.microsoft.com/office/2006/metadata/properties" xmlns:ns2="969d2115-0228-4f81-81ab-4fc476c31cb7" xmlns:ns3="2f043b80-2ba0-4a41-8fb3-e995e5e0ec5e" targetNamespace="http://schemas.microsoft.com/office/2006/metadata/properties" ma:root="true" ma:fieldsID="623bb294bac6eed014b2d9e3508b1f65" ns2:_="" ns3:_="">
    <xsd:import namespace="969d2115-0228-4f81-81ab-4fc476c31cb7"/>
    <xsd:import namespace="2f043b80-2ba0-4a41-8fb3-e995e5e0ec5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d2115-0228-4f81-81ab-4fc476c31c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b0229-19ef-4425-8520-9f00e8db620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043b80-2ba0-4a41-8fb3-e995e5e0ec5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7d652a58-8deb-4e8b-84c1-04ca660ebc93}" ma:internalName="TaxCatchAll" ma:showField="CatchAllData" ma:web="2f043b80-2ba0-4a41-8fb3-e995e5e0ec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95CCBD-0DBB-4AE6-8DD5-C2435546409B}">
  <ds:schemaRefs>
    <ds:schemaRef ds:uri="http://schemas.microsoft.com/sharepoint/v3/contenttype/forms"/>
  </ds:schemaRefs>
</ds:datastoreItem>
</file>

<file path=customXml/itemProps2.xml><?xml version="1.0" encoding="utf-8"?>
<ds:datastoreItem xmlns:ds="http://schemas.openxmlformats.org/officeDocument/2006/customXml" ds:itemID="{79E273E9-B085-4495-A63C-522E6779F56E}">
  <ds:schemaRefs>
    <ds:schemaRef ds:uri="http://schemas.microsoft.com/office/2006/metadata/properties"/>
    <ds:schemaRef ds:uri="http://schemas.microsoft.com/office/infopath/2007/PartnerControls"/>
    <ds:schemaRef ds:uri="2f043b80-2ba0-4a41-8fb3-e995e5e0ec5e"/>
    <ds:schemaRef ds:uri="969d2115-0228-4f81-81ab-4fc476c31cb7"/>
  </ds:schemaRefs>
</ds:datastoreItem>
</file>

<file path=customXml/itemProps3.xml><?xml version="1.0" encoding="utf-8"?>
<ds:datastoreItem xmlns:ds="http://schemas.openxmlformats.org/officeDocument/2006/customXml" ds:itemID="{99B81616-9E77-40FD-BABD-391B08569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d2115-0228-4f81-81ab-4fc476c31cb7"/>
    <ds:schemaRef ds:uri="2f043b80-2ba0-4a41-8fb3-e995e5e0ec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3</vt:i4>
      </vt:variant>
    </vt:vector>
  </HeadingPairs>
  <TitlesOfParts>
    <vt:vector size="19" baseType="lpstr">
      <vt:lpstr>Definitions</vt:lpstr>
      <vt:lpstr>Introduction</vt:lpstr>
      <vt:lpstr>EcOS indicators names</vt:lpstr>
      <vt:lpstr>CompareDataSheet</vt:lpstr>
      <vt:lpstr>Compare</vt:lpstr>
      <vt:lpstr>AnnualDataSheet</vt:lpstr>
      <vt:lpstr>QuarterlyDataSheet</vt:lpstr>
      <vt:lpstr>Annual</vt:lpstr>
      <vt:lpstr>Quarterly</vt:lpstr>
      <vt:lpstr>Weights_New</vt:lpstr>
      <vt:lpstr>Weights_03-11-2022</vt:lpstr>
      <vt:lpstr>Weights_01-10-2021</vt:lpstr>
      <vt:lpstr>Weights_25-01-2016</vt:lpstr>
      <vt:lpstr>Weights_05-02-2020</vt:lpstr>
      <vt:lpstr>WeightsDataSheet</vt:lpstr>
      <vt:lpstr>Sheet1</vt:lpstr>
      <vt:lpstr>Annual!GEE_ALL</vt:lpstr>
      <vt:lpstr>Quarterly!Print_Area</vt:lpstr>
      <vt:lpstr>Quarterly!WEOGEE_Rwametric_Qdata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akouwenaar</dc:creator>
  <cp:lastModifiedBy>Evariste MANIRUMVA</cp:lastModifiedBy>
  <cp:lastPrinted>2023-10-08T10:32:57Z</cp:lastPrinted>
  <dcterms:created xsi:type="dcterms:W3CDTF">2015-09-25T10:34:08Z</dcterms:created>
  <dcterms:modified xsi:type="dcterms:W3CDTF">2026-02-19T19:15:01Z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eDOCS AutoSave">
    <vt:lpwstr/>
  </property>
  <property fmtid="{D5CDD505-2E9C-101B-9397-08002B2CF9AE}" pid="4" name="MSIP_Label_0c07ed86-5dc5-4593-ad03-a8684b843815_Enabled">
    <vt:lpwstr>true</vt:lpwstr>
  </property>
  <property fmtid="{D5CDD505-2E9C-101B-9397-08002B2CF9AE}" pid="5" name="MSIP_Label_0c07ed86-5dc5-4593-ad03-a8684b843815_SetDate">
    <vt:lpwstr>2023-09-04T22:15:03Z</vt:lpwstr>
  </property>
  <property fmtid="{D5CDD505-2E9C-101B-9397-08002B2CF9AE}" pid="6" name="MSIP_Label_0c07ed86-5dc5-4593-ad03-a8684b843815_Method">
    <vt:lpwstr>Standard</vt:lpwstr>
  </property>
  <property fmtid="{D5CDD505-2E9C-101B-9397-08002B2CF9AE}" pid="7" name="MSIP_Label_0c07ed86-5dc5-4593-ad03-a8684b843815_Name">
    <vt:lpwstr>0c07ed86-5dc5-4593-ad03-a8684b843815</vt:lpwstr>
  </property>
  <property fmtid="{D5CDD505-2E9C-101B-9397-08002B2CF9AE}" pid="8" name="MSIP_Label_0c07ed86-5dc5-4593-ad03-a8684b843815_SiteId">
    <vt:lpwstr>8085fa43-302e-45bd-b171-a6648c3b6be7</vt:lpwstr>
  </property>
  <property fmtid="{D5CDD505-2E9C-101B-9397-08002B2CF9AE}" pid="9" name="MSIP_Label_0c07ed86-5dc5-4593-ad03-a8684b843815_ActionId">
    <vt:lpwstr>6070206b-3a63-43ac-b1cf-5eeb500c2b1d</vt:lpwstr>
  </property>
  <property fmtid="{D5CDD505-2E9C-101B-9397-08002B2CF9AE}" pid="10" name="MSIP_Label_0c07ed86-5dc5-4593-ad03-a8684b843815_ContentBits">
    <vt:lpwstr>0</vt:lpwstr>
  </property>
  <property fmtid="{D5CDD505-2E9C-101B-9397-08002B2CF9AE}" pid="11" name="ContentTypeId">
    <vt:lpwstr>0x010100DA33661ED7F3B2499BE365CA2F4AFAE1</vt:lpwstr>
  </property>
</Properties>
</file>