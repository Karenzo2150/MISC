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filterPrivacy="1" codeName="ThisWorkbook" defaultThemeVersion="124226"/>
  <xr:revisionPtr revIDLastSave="0" documentId="13_ncr:1_{9F2D9F4A-0083-4977-9CC2-62430A2F606B}" xr6:coauthVersionLast="47" xr6:coauthVersionMax="47" xr10:uidLastSave="{00000000-0000-0000-0000-000000000000}"/>
  <bookViews>
    <workbookView xWindow="57480" yWindow="-120" windowWidth="29040" windowHeight="15720" firstSheet="1" activeTab="1" xr2:uid="{00000000-000D-0000-FFFF-FFFF00000000}"/>
  </bookViews>
  <sheets>
    <sheet name="TOC" sheetId="1" r:id="rId1"/>
    <sheet name="GDP" sheetId="2" r:id="rId2"/>
    <sheet name="GDP current year" sheetId="5" r:id="rId3"/>
    <sheet name="NST2 Scn" sheetId="11" state="hidden" r:id="rId4"/>
    <sheet name="Comparison" sheetId="7" r:id="rId5"/>
    <sheet name="Yprodfunct" sheetId="12" r:id="rId6"/>
    <sheet name="Contribution" sheetId="9" r:id="rId7"/>
    <sheet name="GDP current year (2)" sheetId="10" state="hidden" r:id="rId8"/>
  </sheets>
  <definedNames>
    <definedName name="BOP_REAL">GDP!$I$170:$AT$211</definedName>
    <definedName name="BOP_REAL_PRINT">GDP!$D$168:$AO$209</definedName>
    <definedName name="deflators_derivation">GDP!$D$922:$AM$987</definedName>
    <definedName name="deflators_NA_consistent_supply_demand">GDP!$D$889:$AM$987</definedName>
    <definedName name="EXTDEBT_ALL">GDP!$I$112:$AT$165</definedName>
    <definedName name="EXTDEBT_PRINT">GDP!$D$112:$AO$165</definedName>
    <definedName name="EXTFIN_ALL">GDP!$I$58:$AT$108</definedName>
    <definedName name="EXTFIN_PRINT">GDP!$D$58:$AO$108</definedName>
    <definedName name="FISC_REAL">GDP!$I$216:$AT$261</definedName>
    <definedName name="GDP_Growth_KP">GDP!$D$543:$AT$585</definedName>
    <definedName name="GDP_specific_assump_demand">GDP!$D$722:$AT$756</definedName>
    <definedName name="GDP_specific_assump_supply">GDP!$D$303:$AT$409</definedName>
    <definedName name="GEE_ALL">GDP!$K$43:$AT$55</definedName>
    <definedName name="GEE_PRINT">GDP!$D$43:$AM$55</definedName>
    <definedName name="import_shares_in_demand">GDP!$D$891:$AM$918</definedName>
    <definedName name="MON_MF">GDP!$I$265:$AT$299</definedName>
    <definedName name="POP_REAL" localSheetId="5">Yprodfunct!$D$2:$AO$42</definedName>
    <definedName name="_xlnm.Print_Area" localSheetId="1">GDP!$D$590:$AH$630</definedName>
    <definedName name="_xlnm.Print_Area" localSheetId="0">TOC!$A$1:$X$148</definedName>
    <definedName name="REAL_FISC">GDP!$I$1151:$AT$1159</definedName>
    <definedName name="REAL_LT">GDP!$D$1195:$AT$1221</definedName>
    <definedName name="REAL_MF">GDP!$I$1094:$AT$1128</definedName>
    <definedName name="REAL_MF_PRINT">GDP!$D$1092:$AM$1128</definedName>
    <definedName name="REAL_Output">GDP!$D$1018:$AT$1088</definedName>
    <definedName name="REAL_PCI4_may2021">GDP!$D$1294:$AK$1313</definedName>
    <definedName name="REAL_REFOTO">GDP!$D$1165:$AT$1176</definedName>
    <definedName name="REAL_RSSB_Rwametric_Qdata">GDP!$D$1280:$AM$1290</definedName>
    <definedName name="REAL_Rwametric_Adata">GDP!$J$1226:$AT$1248</definedName>
    <definedName name="REAL_Rwametric_Outlook">GDP!$D$1318:$AT$1324</definedName>
    <definedName name="REAL_Rwametric_Qdata">GDP!$M$1252:$CX$1276</definedName>
    <definedName name="supply_demand_aggregate">GDP!$D$832:$AM$886</definedName>
    <definedName name="supply_demand_deflators__summary">GDP!$D$948:$AM$987</definedName>
    <definedName name="tab_REAL_all">GDP!$D$1:$AM$1161</definedName>
    <definedName name="WEO_ALL">GDP!$I$8:$AT$38</definedName>
    <definedName name="WEO_PRINT">GDP!$D$8:$AM$38</definedName>
  </definedNames>
  <calcPr calcId="191029"/>
</workbook>
</file>

<file path=xl/calcChain.xml><?xml version="1.0" encoding="utf-8"?>
<calcChain xmlns="http://schemas.openxmlformats.org/spreadsheetml/2006/main">
  <c r="AQ348" i="2" l="1"/>
  <c r="AR348" i="2"/>
  <c r="AS348" i="2"/>
  <c r="AT348" i="2"/>
  <c r="AP348" i="2"/>
  <c r="AL348" i="2"/>
  <c r="AM348" i="2" s="1"/>
  <c r="AN348" i="2" s="1"/>
  <c r="AO348" i="2" s="1"/>
  <c r="AK348" i="2"/>
  <c r="AJ348" i="2"/>
  <c r="Y348" i="2"/>
  <c r="V344" i="2"/>
  <c r="W344" i="2"/>
  <c r="X344" i="2"/>
  <c r="Y344" i="2"/>
  <c r="Z344" i="2"/>
  <c r="AA344" i="2"/>
  <c r="AB344" i="2"/>
  <c r="AC344" i="2"/>
  <c r="AD344" i="2"/>
  <c r="AE344" i="2"/>
  <c r="AF344" i="2"/>
  <c r="AG344" i="2"/>
  <c r="AH344" i="2"/>
  <c r="AI344" i="2"/>
  <c r="AJ344" i="2"/>
  <c r="V343" i="2"/>
  <c r="W343" i="2"/>
  <c r="X343" i="2"/>
  <c r="Y343" i="2"/>
  <c r="Z343" i="2"/>
  <c r="AA343" i="2"/>
  <c r="AB343" i="2"/>
  <c r="AC343" i="2"/>
  <c r="AD343" i="2"/>
  <c r="AE343" i="2"/>
  <c r="AF343" i="2"/>
  <c r="AG343" i="2"/>
  <c r="AH343" i="2"/>
  <c r="AI343" i="2"/>
  <c r="AJ343" i="2"/>
  <c r="F46" i="5"/>
  <c r="F45" i="5"/>
  <c r="F58" i="5"/>
  <c r="F48" i="5"/>
  <c r="F35" i="5"/>
  <c r="F25" i="5"/>
  <c r="F24" i="5"/>
  <c r="F23" i="5"/>
  <c r="F21" i="5"/>
  <c r="F20" i="5"/>
  <c r="F17" i="5"/>
  <c r="AQ311" i="2"/>
  <c r="AR311" i="2" s="1"/>
  <c r="AP311" i="2"/>
  <c r="AK311" i="2"/>
  <c r="AM311" i="2" s="1"/>
  <c r="AL311" i="2"/>
  <c r="AN311" i="2" s="1"/>
  <c r="AJ311" i="2"/>
  <c r="AI310" i="2"/>
  <c r="AH310" i="2"/>
  <c r="AI311" i="2"/>
  <c r="AH311" i="2"/>
  <c r="AQ308" i="2"/>
  <c r="AR308" i="2"/>
  <c r="AS308" i="2" s="1"/>
  <c r="AT308" i="2" s="1"/>
  <c r="AP308" i="2"/>
  <c r="AQ307" i="2"/>
  <c r="AR307" i="2"/>
  <c r="AS307" i="2" s="1"/>
  <c r="AT307" i="2" s="1"/>
  <c r="AP307" i="2"/>
  <c r="AQ334" i="2"/>
  <c r="AR334" i="2"/>
  <c r="AS334" i="2"/>
  <c r="AT334" i="2" s="1"/>
  <c r="AP334" i="2"/>
  <c r="AK334" i="2"/>
  <c r="AL334" i="2" s="1"/>
  <c r="AM334" i="2" s="1"/>
  <c r="AN334" i="2" s="1"/>
  <c r="AO334" i="2" s="1"/>
  <c r="AJ334" i="2"/>
  <c r="AS311" i="2" l="1"/>
  <c r="AT311" i="2" s="1"/>
  <c r="AO311" i="2"/>
  <c r="AP367" i="2" l="1"/>
  <c r="AS367" i="2" s="1"/>
  <c r="AQ367" i="2"/>
  <c r="AR367" i="2"/>
  <c r="AK367" i="2"/>
  <c r="AL367" i="2"/>
  <c r="AM367" i="2"/>
  <c r="AN367" i="2"/>
  <c r="AO367" i="2"/>
  <c r="AJ367" i="2"/>
  <c r="AI362" i="2"/>
  <c r="Z362" i="2"/>
  <c r="AA362" i="2"/>
  <c r="AB362" i="2"/>
  <c r="AC362" i="2"/>
  <c r="AD362" i="2"/>
  <c r="AE362" i="2"/>
  <c r="AF362" i="2"/>
  <c r="AG362" i="2"/>
  <c r="AH362" i="2"/>
  <c r="Z368" i="2"/>
  <c r="AT366" i="2"/>
  <c r="AP366" i="2"/>
  <c r="AQ366" i="2" s="1"/>
  <c r="AR366" i="2" s="1"/>
  <c r="AS366" i="2" s="1"/>
  <c r="AO366" i="2"/>
  <c r="AK366" i="2"/>
  <c r="AL366" i="2"/>
  <c r="AM366" i="2"/>
  <c r="AN366" i="2"/>
  <c r="AJ366" i="2"/>
  <c r="AQ322" i="2"/>
  <c r="AR322" i="2" s="1"/>
  <c r="AS322" i="2" s="1"/>
  <c r="AT322" i="2" s="1"/>
  <c r="AP322" i="2"/>
  <c r="AK322" i="2"/>
  <c r="AL322" i="2"/>
  <c r="AM322" i="2"/>
  <c r="AN322" i="2"/>
  <c r="AO322" i="2" s="1"/>
  <c r="AJ322" i="2"/>
  <c r="Y360" i="2"/>
  <c r="AP359" i="2"/>
  <c r="AQ359" i="2"/>
  <c r="AR359" i="2"/>
  <c r="AS359" i="2"/>
  <c r="AT359" i="2"/>
  <c r="AO359" i="2"/>
  <c r="AM359" i="2"/>
  <c r="AN359" i="2" s="1"/>
  <c r="AK359" i="2"/>
  <c r="AL359" i="2"/>
  <c r="AJ359" i="2"/>
  <c r="Z360" i="2"/>
  <c r="AK356" i="2"/>
  <c r="AL356" i="2"/>
  <c r="AM356" i="2" s="1"/>
  <c r="AN356" i="2" s="1"/>
  <c r="AO356" i="2" s="1"/>
  <c r="AP356" i="2" s="1"/>
  <c r="AQ356" i="2" s="1"/>
  <c r="AR356" i="2" s="1"/>
  <c r="AS356" i="2" s="1"/>
  <c r="AT356" i="2" s="1"/>
  <c r="AJ356" i="2"/>
  <c r="AK353" i="2"/>
  <c r="AL353" i="2"/>
  <c r="AM353" i="2" s="1"/>
  <c r="AN353" i="2" s="1"/>
  <c r="AO353" i="2" s="1"/>
  <c r="AP353" i="2" s="1"/>
  <c r="AQ353" i="2" s="1"/>
  <c r="AR353" i="2" s="1"/>
  <c r="AS353" i="2" s="1"/>
  <c r="AT353" i="2" s="1"/>
  <c r="AJ353" i="2"/>
  <c r="AJ354" i="2"/>
  <c r="AK354" i="2" s="1"/>
  <c r="AL354" i="2" s="1"/>
  <c r="AM354" i="2" s="1"/>
  <c r="AN354" i="2" s="1"/>
  <c r="AO354" i="2" s="1"/>
  <c r="AP354" i="2" s="1"/>
  <c r="AQ354" i="2" s="1"/>
  <c r="AR354" i="2" s="1"/>
  <c r="AS354" i="2" s="1"/>
  <c r="AT354" i="2" s="1"/>
  <c r="AB355" i="2"/>
  <c r="AC355" i="2"/>
  <c r="AD355" i="2"/>
  <c r="AE355" i="2"/>
  <c r="AF355" i="2"/>
  <c r="AG355" i="2"/>
  <c r="AH355" i="2"/>
  <c r="AI355" i="2"/>
  <c r="Y355" i="2"/>
  <c r="AK347" i="2"/>
  <c r="AL347" i="2"/>
  <c r="AM347" i="2" s="1"/>
  <c r="AN347" i="2" s="1"/>
  <c r="AO347" i="2" s="1"/>
  <c r="AP347" i="2" s="1"/>
  <c r="AQ347" i="2" s="1"/>
  <c r="AR347" i="2" s="1"/>
  <c r="AS347" i="2" s="1"/>
  <c r="AT347" i="2" s="1"/>
  <c r="AJ347" i="2"/>
  <c r="AB348" i="2"/>
  <c r="Z335" i="2"/>
  <c r="AA335" i="2"/>
  <c r="AC335" i="2"/>
  <c r="AB335" i="2"/>
  <c r="AK330" i="2"/>
  <c r="AL330" i="2"/>
  <c r="AM330" i="2"/>
  <c r="AN330" i="2"/>
  <c r="AO330" i="2" s="1"/>
  <c r="AP330" i="2" s="1"/>
  <c r="AQ330" i="2" s="1"/>
  <c r="AR330" i="2" s="1"/>
  <c r="AS330" i="2" s="1"/>
  <c r="AT330" i="2" s="1"/>
  <c r="AJ330" i="2"/>
  <c r="AT367" i="2" l="1"/>
  <c r="AE320" i="2" l="1"/>
  <c r="AD320" i="2"/>
  <c r="AC319" i="2"/>
  <c r="AB319" i="2"/>
  <c r="Z893" i="2"/>
  <c r="AL931" i="2"/>
  <c r="AK931" i="2"/>
  <c r="U183" i="5" l="1"/>
  <c r="AJ962" i="2"/>
  <c r="T9" i="7"/>
  <c r="T11" i="7"/>
  <c r="T12" i="7"/>
  <c r="T13" i="7"/>
  <c r="T15" i="7"/>
  <c r="T16" i="7"/>
  <c r="T17" i="7"/>
  <c r="T18" i="7"/>
  <c r="T19" i="7"/>
  <c r="T20" i="7"/>
  <c r="T21" i="7"/>
  <c r="T22" i="7"/>
  <c r="T23" i="7"/>
  <c r="T24" i="7"/>
  <c r="T25" i="7"/>
  <c r="T26" i="7"/>
  <c r="T29" i="7"/>
  <c r="T30" i="7"/>
  <c r="T31" i="7"/>
  <c r="T32" i="7"/>
  <c r="T35" i="7"/>
  <c r="T36" i="7"/>
  <c r="T37" i="7"/>
  <c r="T38" i="7"/>
  <c r="T39" i="7"/>
  <c r="T40" i="7"/>
  <c r="T41" i="7"/>
  <c r="T42" i="7"/>
  <c r="T43" i="7"/>
  <c r="T47" i="7"/>
  <c r="V11" i="7"/>
  <c r="V12" i="7"/>
  <c r="V13" i="7"/>
  <c r="V15" i="7"/>
  <c r="V18" i="7"/>
  <c r="V19" i="7"/>
  <c r="V20" i="7"/>
  <c r="V21" i="7"/>
  <c r="V22" i="7"/>
  <c r="AF22" i="7" s="1"/>
  <c r="V23" i="7"/>
  <c r="AF23" i="7" s="1"/>
  <c r="V24" i="7"/>
  <c r="V25" i="7"/>
  <c r="V26" i="7"/>
  <c r="V30" i="7"/>
  <c r="V35" i="7"/>
  <c r="V36" i="7"/>
  <c r="V37" i="7"/>
  <c r="V38" i="7"/>
  <c r="V39" i="7"/>
  <c r="V40" i="7"/>
  <c r="V41" i="7"/>
  <c r="V42" i="7"/>
  <c r="V43" i="7"/>
  <c r="X11" i="7"/>
  <c r="X12" i="7"/>
  <c r="X13" i="7"/>
  <c r="X15" i="7"/>
  <c r="X18" i="7"/>
  <c r="X19" i="7"/>
  <c r="X20" i="7"/>
  <c r="X21" i="7"/>
  <c r="X22" i="7"/>
  <c r="X23" i="7"/>
  <c r="X24" i="7"/>
  <c r="X25" i="7"/>
  <c r="X26" i="7"/>
  <c r="X30" i="7"/>
  <c r="X35" i="7"/>
  <c r="X36" i="7"/>
  <c r="X37" i="7"/>
  <c r="X38" i="7"/>
  <c r="X39" i="7"/>
  <c r="X40" i="7"/>
  <c r="X41" i="7"/>
  <c r="X42" i="7"/>
  <c r="X43" i="7"/>
  <c r="Z9" i="7"/>
  <c r="Z11" i="7"/>
  <c r="Z12" i="7"/>
  <c r="Z13" i="7"/>
  <c r="Z15" i="7"/>
  <c r="Z18" i="7"/>
  <c r="Z19" i="7"/>
  <c r="Z20" i="7"/>
  <c r="Z21" i="7"/>
  <c r="Z22" i="7"/>
  <c r="Z23" i="7"/>
  <c r="Z24" i="7"/>
  <c r="Z25" i="7"/>
  <c r="Z26" i="7"/>
  <c r="Z30" i="7"/>
  <c r="Z35" i="7"/>
  <c r="Z36" i="7"/>
  <c r="Z37" i="7"/>
  <c r="Z38" i="7"/>
  <c r="Z39" i="7"/>
  <c r="Z40" i="7"/>
  <c r="Z41" i="7"/>
  <c r="Z42" i="7"/>
  <c r="Z43" i="7"/>
  <c r="AB9" i="7"/>
  <c r="AB11" i="7"/>
  <c r="AB12" i="7"/>
  <c r="AB13" i="7"/>
  <c r="AB15" i="7"/>
  <c r="AB18" i="7"/>
  <c r="AB19" i="7"/>
  <c r="AB20" i="7"/>
  <c r="AB21" i="7"/>
  <c r="AB22" i="7"/>
  <c r="AB23" i="7"/>
  <c r="AB24" i="7"/>
  <c r="AB25" i="7"/>
  <c r="AB26" i="7"/>
  <c r="AB30" i="7"/>
  <c r="AB35" i="7"/>
  <c r="AB36" i="7"/>
  <c r="AB37" i="7"/>
  <c r="AB38" i="7"/>
  <c r="AB39" i="7"/>
  <c r="AB40" i="7"/>
  <c r="AB41" i="7"/>
  <c r="AB42" i="7"/>
  <c r="AB43" i="7"/>
  <c r="AD9" i="7"/>
  <c r="AD11" i="7"/>
  <c r="AD12" i="7"/>
  <c r="AD13" i="7"/>
  <c r="AD15" i="7"/>
  <c r="AD18" i="7"/>
  <c r="AD19" i="7"/>
  <c r="AD20" i="7"/>
  <c r="AD21" i="7"/>
  <c r="AD22" i="7"/>
  <c r="AD23" i="7"/>
  <c r="AD24" i="7"/>
  <c r="AD25" i="7"/>
  <c r="AD26" i="7"/>
  <c r="AD30" i="7"/>
  <c r="AD35" i="7"/>
  <c r="AD36" i="7"/>
  <c r="AD37" i="7"/>
  <c r="AD38" i="7"/>
  <c r="AD39" i="7"/>
  <c r="AD40" i="7"/>
  <c r="AD41" i="7"/>
  <c r="AD42" i="7"/>
  <c r="AD43" i="7"/>
  <c r="AE45" i="7"/>
  <c r="AE43" i="7"/>
  <c r="AE42" i="7"/>
  <c r="AE41" i="7"/>
  <c r="AE40" i="7"/>
  <c r="AE39" i="7"/>
  <c r="AE38" i="7"/>
  <c r="AE37" i="7"/>
  <c r="AE36" i="7"/>
  <c r="AE35" i="7"/>
  <c r="AE34" i="7"/>
  <c r="AE33" i="7"/>
  <c r="AE32" i="7"/>
  <c r="AE31" i="7"/>
  <c r="AE30" i="7"/>
  <c r="AE29" i="7"/>
  <c r="AE28" i="7"/>
  <c r="AE27" i="7"/>
  <c r="AE26" i="7"/>
  <c r="AE25" i="7"/>
  <c r="AE24" i="7"/>
  <c r="AE23" i="7"/>
  <c r="AE22" i="7"/>
  <c r="AE21" i="7"/>
  <c r="AE20" i="7"/>
  <c r="AE19" i="7"/>
  <c r="AE18" i="7"/>
  <c r="AE17" i="7"/>
  <c r="AE16" i="7"/>
  <c r="AE15" i="7"/>
  <c r="AE14" i="7"/>
  <c r="AE13" i="7"/>
  <c r="AE12" i="7"/>
  <c r="AE11" i="7"/>
  <c r="AE10" i="7"/>
  <c r="AE9" i="7"/>
  <c r="AE8" i="7"/>
  <c r="AE6" i="7"/>
  <c r="AF21" i="7" l="1"/>
  <c r="AF19" i="7"/>
  <c r="AF39" i="7"/>
  <c r="AF20" i="7"/>
  <c r="AF15" i="7"/>
  <c r="AF24" i="7"/>
  <c r="AF37" i="7"/>
  <c r="AF11" i="7"/>
  <c r="AF12" i="7"/>
  <c r="AF18" i="7"/>
  <c r="AF30" i="7"/>
  <c r="AF26" i="7"/>
  <c r="AF36" i="7"/>
  <c r="AF42" i="7"/>
  <c r="AF43" i="7"/>
  <c r="AF40" i="7"/>
  <c r="AF25" i="7"/>
  <c r="AF13" i="7"/>
  <c r="AF41" i="7"/>
  <c r="AF38" i="7"/>
  <c r="AF35" i="7"/>
  <c r="X906" i="2" l="1"/>
  <c r="AB414" i="2"/>
  <c r="AC414" i="2"/>
  <c r="AD414" i="2"/>
  <c r="AE414" i="2"/>
  <c r="AF414" i="2"/>
  <c r="AG414" i="2"/>
  <c r="AH414" i="2"/>
  <c r="AI414" i="2"/>
  <c r="AA414" i="2"/>
  <c r="Z907" i="2" l="1"/>
  <c r="AF906" i="2"/>
  <c r="AJ935" i="2"/>
  <c r="AJ937" i="2"/>
  <c r="AJ943" i="2" s="1"/>
  <c r="AJ969" i="2" s="1"/>
  <c r="AJ966" i="2" s="1"/>
  <c r="AJ967" i="2"/>
  <c r="Y981" i="2"/>
  <c r="W981" i="2"/>
  <c r="K872" i="2" l="1"/>
  <c r="J736" i="2"/>
  <c r="K736" i="2"/>
  <c r="L736" i="2"/>
  <c r="M736" i="2"/>
  <c r="N736" i="2"/>
  <c r="O736" i="2"/>
  <c r="P736" i="2"/>
  <c r="Q736" i="2"/>
  <c r="R736" i="2"/>
  <c r="S736" i="2"/>
  <c r="T736" i="2"/>
  <c r="U736" i="2"/>
  <c r="J1143" i="2"/>
  <c r="K1143" i="2"/>
  <c r="L1143" i="2"/>
  <c r="M1143" i="2"/>
  <c r="N1143" i="2"/>
  <c r="O1143" i="2"/>
  <c r="P1143" i="2"/>
  <c r="Q1143" i="2"/>
  <c r="R1143" i="2"/>
  <c r="S1143" i="2"/>
  <c r="T1143" i="2"/>
  <c r="U1143" i="2"/>
  <c r="V1143" i="2"/>
  <c r="W1143" i="2"/>
  <c r="X1143" i="2"/>
  <c r="Y1143" i="2"/>
  <c r="Z1143" i="2"/>
  <c r="AA1143" i="2"/>
  <c r="AB1143" i="2"/>
  <c r="AC1143" i="2"/>
  <c r="AD1143" i="2"/>
  <c r="AE1143" i="2"/>
  <c r="AF1143" i="2"/>
  <c r="AG1143" i="2"/>
  <c r="AH1143" i="2"/>
  <c r="AI1143" i="2"/>
  <c r="J1144" i="2"/>
  <c r="K1144" i="2"/>
  <c r="L1144" i="2"/>
  <c r="M1144" i="2"/>
  <c r="N1144" i="2"/>
  <c r="O1144" i="2"/>
  <c r="P1144" i="2"/>
  <c r="Q1144" i="2"/>
  <c r="R1144" i="2"/>
  <c r="S1144" i="2"/>
  <c r="T1144" i="2"/>
  <c r="U1144" i="2"/>
  <c r="V1144" i="2"/>
  <c r="W1144" i="2"/>
  <c r="X1144" i="2"/>
  <c r="Y1144" i="2"/>
  <c r="Z1144" i="2"/>
  <c r="AA1144" i="2"/>
  <c r="AB1144" i="2"/>
  <c r="AC1144" i="2"/>
  <c r="AD1144" i="2"/>
  <c r="AE1144" i="2"/>
  <c r="AF1144" i="2"/>
  <c r="AG1144" i="2"/>
  <c r="AH1144" i="2"/>
  <c r="AI1144" i="2"/>
  <c r="Q1103" i="2"/>
  <c r="Q1074" i="2" s="1"/>
  <c r="J1136" i="2"/>
  <c r="K1136" i="2"/>
  <c r="L1136" i="2"/>
  <c r="M1136" i="2"/>
  <c r="N1136" i="2"/>
  <c r="O1136" i="2"/>
  <c r="J1137" i="2"/>
  <c r="K1137" i="2"/>
  <c r="L1137" i="2"/>
  <c r="M1137" i="2"/>
  <c r="N1137" i="2"/>
  <c r="O1137" i="2"/>
  <c r="J1138" i="2"/>
  <c r="K1138" i="2"/>
  <c r="L1138" i="2"/>
  <c r="M1138" i="2"/>
  <c r="N1138" i="2"/>
  <c r="O1138" i="2"/>
  <c r="J1139" i="2"/>
  <c r="K1139" i="2"/>
  <c r="L1139" i="2"/>
  <c r="M1139" i="2"/>
  <c r="N1139" i="2"/>
  <c r="O1139" i="2"/>
  <c r="J1140" i="2"/>
  <c r="K1140" i="2"/>
  <c r="L1140" i="2"/>
  <c r="M1140" i="2"/>
  <c r="N1140" i="2"/>
  <c r="O1140" i="2"/>
  <c r="P1136" i="2"/>
  <c r="Q1136" i="2"/>
  <c r="P1137" i="2"/>
  <c r="Q1137" i="2"/>
  <c r="P1138" i="2"/>
  <c r="Q1138" i="2"/>
  <c r="P1139" i="2"/>
  <c r="Q1139" i="2"/>
  <c r="P1140" i="2"/>
  <c r="Q1140" i="2"/>
  <c r="J1141" i="2"/>
  <c r="K1141" i="2"/>
  <c r="L1141" i="2"/>
  <c r="M1141" i="2"/>
  <c r="N1141" i="2"/>
  <c r="O1141" i="2"/>
  <c r="P1141" i="2"/>
  <c r="Q1141" i="2"/>
  <c r="AC1068" i="2" l="1"/>
  <c r="AC1066" i="2"/>
  <c r="AI1066" i="2"/>
  <c r="AH1069" i="2"/>
  <c r="AG1071" i="2"/>
  <c r="W970" i="2" l="1"/>
  <c r="AC791" i="2"/>
  <c r="AD791" i="2"/>
  <c r="AE791" i="2"/>
  <c r="AF791" i="2"/>
  <c r="AG791" i="2"/>
  <c r="AH791" i="2"/>
  <c r="AI791" i="2"/>
  <c r="R791" i="2"/>
  <c r="S791" i="2"/>
  <c r="T791" i="2"/>
  <c r="U791" i="2"/>
  <c r="V791" i="2"/>
  <c r="W791" i="2"/>
  <c r="X791" i="2"/>
  <c r="Y791" i="2"/>
  <c r="Z791" i="2"/>
  <c r="AA791" i="2"/>
  <c r="AB791" i="2"/>
  <c r="Q791" i="2"/>
  <c r="P140" i="5" l="1"/>
  <c r="M109" i="5" l="1"/>
  <c r="L109" i="5"/>
  <c r="K109" i="5"/>
  <c r="S110" i="5"/>
  <c r="R110" i="5"/>
  <c r="M93" i="5"/>
  <c r="M92" i="5"/>
  <c r="X854" i="2" l="1"/>
  <c r="V854" i="2"/>
  <c r="W854" i="2"/>
  <c r="V855" i="2"/>
  <c r="W855" i="2"/>
  <c r="X855" i="2"/>
  <c r="X856" i="2" s="1"/>
  <c r="V856" i="2"/>
  <c r="W856" i="2"/>
  <c r="Z825" i="2" l="1"/>
  <c r="AI825" i="2"/>
  <c r="AA825" i="2"/>
  <c r="AB825" i="2"/>
  <c r="AC825" i="2"/>
  <c r="AD825" i="2"/>
  <c r="AE825" i="2"/>
  <c r="AF825" i="2"/>
  <c r="AG825" i="2"/>
  <c r="AH825" i="2"/>
  <c r="AB878" i="2"/>
  <c r="AC878" i="2"/>
  <c r="AD878" i="2"/>
  <c r="AE878" i="2"/>
  <c r="AF878" i="2"/>
  <c r="AG878" i="2"/>
  <c r="AH878" i="2"/>
  <c r="AI878" i="2"/>
  <c r="R878" i="2"/>
  <c r="S878" i="2"/>
  <c r="T878" i="2"/>
  <c r="U878" i="2"/>
  <c r="V878" i="2"/>
  <c r="W878" i="2"/>
  <c r="X878" i="2"/>
  <c r="Y878" i="2"/>
  <c r="Z878" i="2"/>
  <c r="AA878" i="2"/>
  <c r="Q878" i="2"/>
  <c r="AI864" i="2"/>
  <c r="AD864" i="2"/>
  <c r="AE864" i="2"/>
  <c r="AF864" i="2"/>
  <c r="AG864" i="2"/>
  <c r="AH864" i="2"/>
  <c r="S864" i="2"/>
  <c r="T864" i="2"/>
  <c r="U864" i="2"/>
  <c r="V864" i="2"/>
  <c r="W864" i="2"/>
  <c r="X864" i="2"/>
  <c r="Y864" i="2"/>
  <c r="Z864" i="2"/>
  <c r="AA864" i="2"/>
  <c r="AB864" i="2"/>
  <c r="AC864" i="2"/>
  <c r="R864" i="2"/>
  <c r="Q864" i="2"/>
  <c r="M217" i="5"/>
  <c r="T159" i="5" l="1"/>
  <c r="P157" i="5"/>
  <c r="P158" i="5"/>
  <c r="P156" i="5"/>
  <c r="P155" i="5" s="1"/>
  <c r="M178" i="5" l="1"/>
  <c r="M179" i="5"/>
  <c r="M180" i="5"/>
  <c r="M177" i="5"/>
  <c r="P180" i="5"/>
  <c r="P179" i="5"/>
  <c r="P178" i="5"/>
  <c r="P177" i="5"/>
  <c r="U144" i="5"/>
  <c r="P143" i="5" l="1"/>
  <c r="P144" i="5"/>
  <c r="P142" i="5"/>
  <c r="P141" i="5"/>
  <c r="U137" i="5"/>
  <c r="G102" i="5" l="1"/>
  <c r="P102" i="5" s="1"/>
  <c r="O102" i="5" s="1"/>
  <c r="N99" i="5"/>
  <c r="J93" i="5"/>
  <c r="J92" i="5"/>
  <c r="M89" i="5"/>
  <c r="G89" i="5" s="1"/>
  <c r="M90" i="5"/>
  <c r="M91" i="5"/>
  <c r="J89" i="5"/>
  <c r="J90" i="5"/>
  <c r="AO735" i="2" l="1"/>
  <c r="AE48" i="7" l="1"/>
  <c r="AE49" i="7"/>
  <c r="AE47" i="7"/>
  <c r="AI728" i="2" l="1"/>
  <c r="W60" i="7" l="1"/>
  <c r="V60" i="7"/>
  <c r="U60" i="7"/>
  <c r="T60" i="7"/>
  <c r="S60" i="7"/>
  <c r="Y52" i="7"/>
  <c r="I53" i="7"/>
  <c r="H53" i="7"/>
  <c r="G53" i="7"/>
  <c r="F53" i="7"/>
  <c r="E53" i="7"/>
  <c r="D53" i="7"/>
  <c r="C53" i="7"/>
  <c r="B53" i="7"/>
  <c r="AI870" i="2" l="1"/>
  <c r="AI871" i="2"/>
  <c r="AI884" i="2"/>
  <c r="AI885" i="2"/>
  <c r="AI881" i="2"/>
  <c r="AI882" i="2"/>
  <c r="AI874" i="2"/>
  <c r="AI877" i="2"/>
  <c r="AI860" i="2"/>
  <c r="AH860" i="2"/>
  <c r="AH870" i="2"/>
  <c r="AH871" i="2"/>
  <c r="AH885" i="2"/>
  <c r="AH884" i="2"/>
  <c r="AH874" i="2"/>
  <c r="AI752" i="2"/>
  <c r="AE752" i="2"/>
  <c r="AF752" i="2"/>
  <c r="AG752" i="2"/>
  <c r="AH752" i="2"/>
  <c r="AD752" i="2"/>
  <c r="AP1294" i="2" l="1"/>
  <c r="AQ1294" i="2"/>
  <c r="AR1294" i="2"/>
  <c r="AS1294" i="2"/>
  <c r="AT1294" i="2"/>
  <c r="AI546" i="2"/>
  <c r="R53" i="7" s="1"/>
  <c r="R54" i="7" s="1"/>
  <c r="AI548" i="2"/>
  <c r="AI549" i="2"/>
  <c r="AI550" i="2"/>
  <c r="AI551" i="2"/>
  <c r="AI552" i="2"/>
  <c r="AI553" i="2"/>
  <c r="AI554" i="2"/>
  <c r="AI555" i="2"/>
  <c r="AI556" i="2"/>
  <c r="AI557" i="2"/>
  <c r="AI558" i="2"/>
  <c r="AI559" i="2"/>
  <c r="AI560" i="2"/>
  <c r="AI561" i="2"/>
  <c r="AI562" i="2"/>
  <c r="AI563" i="2"/>
  <c r="AI564" i="2"/>
  <c r="AI565" i="2"/>
  <c r="AI566" i="2"/>
  <c r="AI567" i="2"/>
  <c r="AI568" i="2"/>
  <c r="AI569" i="2"/>
  <c r="AI570" i="2"/>
  <c r="AI571" i="2"/>
  <c r="AI572" i="2"/>
  <c r="AI573" i="2"/>
  <c r="AI574" i="2"/>
  <c r="AI575" i="2"/>
  <c r="AI576" i="2"/>
  <c r="AI577" i="2"/>
  <c r="AI578" i="2"/>
  <c r="AI579" i="2"/>
  <c r="AI580" i="2"/>
  <c r="AI581" i="2"/>
  <c r="AI582" i="2"/>
  <c r="AI583" i="2"/>
  <c r="AI585" i="2"/>
  <c r="X546" i="2"/>
  <c r="Y546" i="2"/>
  <c r="Z546" i="2"/>
  <c r="AA546" i="2"/>
  <c r="AB546" i="2"/>
  <c r="AC546" i="2"/>
  <c r="AD546" i="2"/>
  <c r="AE546" i="2"/>
  <c r="AF546" i="2"/>
  <c r="AG546" i="2"/>
  <c r="AH546" i="2"/>
  <c r="X548" i="2"/>
  <c r="Y548" i="2"/>
  <c r="Z548" i="2"/>
  <c r="AA548" i="2"/>
  <c r="AB548" i="2"/>
  <c r="AC548" i="2"/>
  <c r="AD548" i="2"/>
  <c r="AE548" i="2"/>
  <c r="AF548" i="2"/>
  <c r="AG548" i="2"/>
  <c r="AH548" i="2"/>
  <c r="X549" i="2"/>
  <c r="Y549" i="2"/>
  <c r="Z549" i="2"/>
  <c r="AA549" i="2"/>
  <c r="AB549" i="2"/>
  <c r="AC549" i="2"/>
  <c r="AD549" i="2"/>
  <c r="AE549" i="2"/>
  <c r="AF549" i="2"/>
  <c r="AG549" i="2"/>
  <c r="AH549" i="2"/>
  <c r="X550" i="2"/>
  <c r="Y550" i="2"/>
  <c r="Z550" i="2"/>
  <c r="AA550" i="2"/>
  <c r="AB550" i="2"/>
  <c r="AC550" i="2"/>
  <c r="AD550" i="2"/>
  <c r="AE550" i="2"/>
  <c r="AF550" i="2"/>
  <c r="AG550" i="2"/>
  <c r="AH550" i="2"/>
  <c r="X551" i="2"/>
  <c r="Y551" i="2"/>
  <c r="Z551" i="2"/>
  <c r="AA551" i="2"/>
  <c r="AB551" i="2"/>
  <c r="AC551" i="2"/>
  <c r="AD551" i="2"/>
  <c r="AE551" i="2"/>
  <c r="AF551" i="2"/>
  <c r="AG551" i="2"/>
  <c r="AH551" i="2"/>
  <c r="X552" i="2"/>
  <c r="Y552" i="2"/>
  <c r="Z552" i="2"/>
  <c r="AA552" i="2"/>
  <c r="AB552" i="2"/>
  <c r="AC552" i="2"/>
  <c r="AD552" i="2"/>
  <c r="AE552" i="2"/>
  <c r="AF552" i="2"/>
  <c r="AG552" i="2"/>
  <c r="AH552" i="2"/>
  <c r="X553" i="2"/>
  <c r="Y553" i="2"/>
  <c r="Z553" i="2"/>
  <c r="AA553" i="2"/>
  <c r="AB553" i="2"/>
  <c r="AC553" i="2"/>
  <c r="AD553" i="2"/>
  <c r="AE553" i="2"/>
  <c r="AF553" i="2"/>
  <c r="AG553" i="2"/>
  <c r="AH553" i="2"/>
  <c r="X554" i="2"/>
  <c r="Y554" i="2"/>
  <c r="Z554" i="2"/>
  <c r="AA554" i="2"/>
  <c r="AB554" i="2"/>
  <c r="AC554" i="2"/>
  <c r="AD554" i="2"/>
  <c r="AE554" i="2"/>
  <c r="AF554" i="2"/>
  <c r="AG554" i="2"/>
  <c r="AH554" i="2"/>
  <c r="X555" i="2"/>
  <c r="Y555" i="2"/>
  <c r="Z555" i="2"/>
  <c r="AA555" i="2"/>
  <c r="AB555" i="2"/>
  <c r="AC555" i="2"/>
  <c r="AD555" i="2"/>
  <c r="AE555" i="2"/>
  <c r="AF555" i="2"/>
  <c r="AG555" i="2"/>
  <c r="AH555" i="2"/>
  <c r="X556" i="2"/>
  <c r="Y556" i="2"/>
  <c r="Z556" i="2"/>
  <c r="AA556" i="2"/>
  <c r="AB556" i="2"/>
  <c r="AC556" i="2"/>
  <c r="AD556" i="2"/>
  <c r="AE556" i="2"/>
  <c r="AF556" i="2"/>
  <c r="AG556" i="2"/>
  <c r="AH556" i="2"/>
  <c r="X557" i="2"/>
  <c r="Y557" i="2"/>
  <c r="Z557" i="2"/>
  <c r="AA557" i="2"/>
  <c r="AB557" i="2"/>
  <c r="AC557" i="2"/>
  <c r="AD557" i="2"/>
  <c r="AE557" i="2"/>
  <c r="AF557" i="2"/>
  <c r="AG557" i="2"/>
  <c r="AH557" i="2"/>
  <c r="X558" i="2"/>
  <c r="Y558" i="2"/>
  <c r="Z558" i="2"/>
  <c r="AA558" i="2"/>
  <c r="AB558" i="2"/>
  <c r="AC558" i="2"/>
  <c r="AD558" i="2"/>
  <c r="AE558" i="2"/>
  <c r="AF558" i="2"/>
  <c r="AG558" i="2"/>
  <c r="AH558" i="2"/>
  <c r="X559" i="2"/>
  <c r="Y559" i="2"/>
  <c r="Z559" i="2"/>
  <c r="AA559" i="2"/>
  <c r="AB559" i="2"/>
  <c r="AC559" i="2"/>
  <c r="AD559" i="2"/>
  <c r="AE559" i="2"/>
  <c r="AF559" i="2"/>
  <c r="AG559" i="2"/>
  <c r="AH559" i="2"/>
  <c r="X560" i="2"/>
  <c r="Y560" i="2"/>
  <c r="Z560" i="2"/>
  <c r="AA560" i="2"/>
  <c r="AB560" i="2"/>
  <c r="AC560" i="2"/>
  <c r="AD560" i="2"/>
  <c r="AE560" i="2"/>
  <c r="AF560" i="2"/>
  <c r="AG560" i="2"/>
  <c r="AH560" i="2"/>
  <c r="X561" i="2"/>
  <c r="Y561" i="2"/>
  <c r="Z561" i="2"/>
  <c r="AA561" i="2"/>
  <c r="AB561" i="2"/>
  <c r="AC561" i="2"/>
  <c r="AD561" i="2"/>
  <c r="AE561" i="2"/>
  <c r="AF561" i="2"/>
  <c r="AG561" i="2"/>
  <c r="AH561" i="2"/>
  <c r="X562" i="2"/>
  <c r="Y562" i="2"/>
  <c r="Z562" i="2"/>
  <c r="AA562" i="2"/>
  <c r="AB562" i="2"/>
  <c r="AC562" i="2"/>
  <c r="AD562" i="2"/>
  <c r="AE562" i="2"/>
  <c r="AF562" i="2"/>
  <c r="AG562" i="2"/>
  <c r="AH562" i="2"/>
  <c r="X563" i="2"/>
  <c r="Y563" i="2"/>
  <c r="Z563" i="2"/>
  <c r="AA563" i="2"/>
  <c r="AB563" i="2"/>
  <c r="AC563" i="2"/>
  <c r="AD563" i="2"/>
  <c r="AE563" i="2"/>
  <c r="AF563" i="2"/>
  <c r="AG563" i="2"/>
  <c r="AH563" i="2"/>
  <c r="X564" i="2"/>
  <c r="Y564" i="2"/>
  <c r="Z564" i="2"/>
  <c r="AA564" i="2"/>
  <c r="AB564" i="2"/>
  <c r="AC564" i="2"/>
  <c r="AD564" i="2"/>
  <c r="AE564" i="2"/>
  <c r="AF564" i="2"/>
  <c r="AG564" i="2"/>
  <c r="AH564" i="2"/>
  <c r="X565" i="2"/>
  <c r="Y565" i="2"/>
  <c r="Z565" i="2"/>
  <c r="AA565" i="2"/>
  <c r="AB565" i="2"/>
  <c r="AC565" i="2"/>
  <c r="AD565" i="2"/>
  <c r="AE565" i="2"/>
  <c r="AF565" i="2"/>
  <c r="AG565" i="2"/>
  <c r="AH565" i="2"/>
  <c r="X566" i="2"/>
  <c r="Y566" i="2"/>
  <c r="Z566" i="2"/>
  <c r="AA566" i="2"/>
  <c r="AB566" i="2"/>
  <c r="AC566" i="2"/>
  <c r="AD566" i="2"/>
  <c r="AE566" i="2"/>
  <c r="AF566" i="2"/>
  <c r="AG566" i="2"/>
  <c r="AH566" i="2"/>
  <c r="X567" i="2"/>
  <c r="Y567" i="2"/>
  <c r="Z567" i="2"/>
  <c r="AA567" i="2"/>
  <c r="AB567" i="2"/>
  <c r="AC567" i="2"/>
  <c r="AD567" i="2"/>
  <c r="AE567" i="2"/>
  <c r="AF567" i="2"/>
  <c r="AG567" i="2"/>
  <c r="AH567" i="2"/>
  <c r="X568" i="2"/>
  <c r="Y568" i="2"/>
  <c r="Z568" i="2"/>
  <c r="AA568" i="2"/>
  <c r="AB568" i="2"/>
  <c r="AC568" i="2"/>
  <c r="AD568" i="2"/>
  <c r="AE568" i="2"/>
  <c r="AF568" i="2"/>
  <c r="AG568" i="2"/>
  <c r="AH568" i="2"/>
  <c r="X569" i="2"/>
  <c r="Y569" i="2"/>
  <c r="Z569" i="2"/>
  <c r="AA569" i="2"/>
  <c r="AB569" i="2"/>
  <c r="AC569" i="2"/>
  <c r="AD569" i="2"/>
  <c r="AE569" i="2"/>
  <c r="AF569" i="2"/>
  <c r="AG569" i="2"/>
  <c r="AH569" i="2"/>
  <c r="X570" i="2"/>
  <c r="Y570" i="2"/>
  <c r="Z570" i="2"/>
  <c r="AA570" i="2"/>
  <c r="AB570" i="2"/>
  <c r="AC570" i="2"/>
  <c r="AD570" i="2"/>
  <c r="AE570" i="2"/>
  <c r="AF570" i="2"/>
  <c r="AG570" i="2"/>
  <c r="AH570" i="2"/>
  <c r="X571" i="2"/>
  <c r="Y571" i="2"/>
  <c r="Z571" i="2"/>
  <c r="AA571" i="2"/>
  <c r="AB571" i="2"/>
  <c r="AC571" i="2"/>
  <c r="AD571" i="2"/>
  <c r="AE571" i="2"/>
  <c r="AF571" i="2"/>
  <c r="AG571" i="2"/>
  <c r="AH571" i="2"/>
  <c r="X572" i="2"/>
  <c r="Y572" i="2"/>
  <c r="Z572" i="2"/>
  <c r="AA572" i="2"/>
  <c r="AB572" i="2"/>
  <c r="AC572" i="2"/>
  <c r="AD572" i="2"/>
  <c r="AE572" i="2"/>
  <c r="AF572" i="2"/>
  <c r="AG572" i="2"/>
  <c r="AH572" i="2"/>
  <c r="X573" i="2"/>
  <c r="Y573" i="2"/>
  <c r="Z573" i="2"/>
  <c r="AA573" i="2"/>
  <c r="AB573" i="2"/>
  <c r="AC573" i="2"/>
  <c r="AD573" i="2"/>
  <c r="AE573" i="2"/>
  <c r="AF573" i="2"/>
  <c r="AG573" i="2"/>
  <c r="AH573" i="2"/>
  <c r="X574" i="2"/>
  <c r="Y574" i="2"/>
  <c r="Z574" i="2"/>
  <c r="AA574" i="2"/>
  <c r="AB574" i="2"/>
  <c r="AC574" i="2"/>
  <c r="AD574" i="2"/>
  <c r="AE574" i="2"/>
  <c r="AF574" i="2"/>
  <c r="AG574" i="2"/>
  <c r="AH574" i="2"/>
  <c r="X575" i="2"/>
  <c r="Y575" i="2"/>
  <c r="Z575" i="2"/>
  <c r="AA575" i="2"/>
  <c r="AB575" i="2"/>
  <c r="AC575" i="2"/>
  <c r="AD575" i="2"/>
  <c r="AE575" i="2"/>
  <c r="AF575" i="2"/>
  <c r="AG575" i="2"/>
  <c r="AH575" i="2"/>
  <c r="X576" i="2"/>
  <c r="Y576" i="2"/>
  <c r="Z576" i="2"/>
  <c r="AA576" i="2"/>
  <c r="AB576" i="2"/>
  <c r="AC576" i="2"/>
  <c r="AD576" i="2"/>
  <c r="AE576" i="2"/>
  <c r="AF576" i="2"/>
  <c r="AG576" i="2"/>
  <c r="AH576" i="2"/>
  <c r="X577" i="2"/>
  <c r="Y577" i="2"/>
  <c r="Z577" i="2"/>
  <c r="AA577" i="2"/>
  <c r="AB577" i="2"/>
  <c r="AC577" i="2"/>
  <c r="AD577" i="2"/>
  <c r="AE577" i="2"/>
  <c r="AF577" i="2"/>
  <c r="AG577" i="2"/>
  <c r="AH577" i="2"/>
  <c r="X578" i="2"/>
  <c r="Y578" i="2"/>
  <c r="Z578" i="2"/>
  <c r="AA578" i="2"/>
  <c r="AB578" i="2"/>
  <c r="AC578" i="2"/>
  <c r="AD578" i="2"/>
  <c r="AE578" i="2"/>
  <c r="AF578" i="2"/>
  <c r="AG578" i="2"/>
  <c r="AH578" i="2"/>
  <c r="X579" i="2"/>
  <c r="Y579" i="2"/>
  <c r="Z579" i="2"/>
  <c r="AA579" i="2"/>
  <c r="AB579" i="2"/>
  <c r="AC579" i="2"/>
  <c r="AD579" i="2"/>
  <c r="AE579" i="2"/>
  <c r="AF579" i="2"/>
  <c r="AG579" i="2"/>
  <c r="AH579" i="2"/>
  <c r="X580" i="2"/>
  <c r="Y580" i="2"/>
  <c r="Z580" i="2"/>
  <c r="AA580" i="2"/>
  <c r="AB580" i="2"/>
  <c r="AC580" i="2"/>
  <c r="AD580" i="2"/>
  <c r="AE580" i="2"/>
  <c r="AF580" i="2"/>
  <c r="AG580" i="2"/>
  <c r="AH580" i="2"/>
  <c r="X581" i="2"/>
  <c r="Y581" i="2"/>
  <c r="Z581" i="2"/>
  <c r="AA581" i="2"/>
  <c r="AB581" i="2"/>
  <c r="AC581" i="2"/>
  <c r="AD581" i="2"/>
  <c r="AE581" i="2"/>
  <c r="AF581" i="2"/>
  <c r="AG581" i="2"/>
  <c r="AH581" i="2"/>
  <c r="X582" i="2"/>
  <c r="Y582" i="2"/>
  <c r="Z582" i="2"/>
  <c r="AA582" i="2"/>
  <c r="AB582" i="2"/>
  <c r="AC582" i="2"/>
  <c r="AD582" i="2"/>
  <c r="AE582" i="2"/>
  <c r="AF582" i="2"/>
  <c r="AG582" i="2"/>
  <c r="AH582" i="2"/>
  <c r="X583" i="2"/>
  <c r="Y583" i="2"/>
  <c r="Z583" i="2"/>
  <c r="AA583" i="2"/>
  <c r="AB583" i="2"/>
  <c r="AC583" i="2"/>
  <c r="AD583" i="2"/>
  <c r="AE583" i="2"/>
  <c r="AF583" i="2"/>
  <c r="AG583" i="2"/>
  <c r="AH583" i="2"/>
  <c r="X585" i="2"/>
  <c r="Y585" i="2"/>
  <c r="Z585" i="2"/>
  <c r="AA585" i="2"/>
  <c r="AB585" i="2"/>
  <c r="AC585" i="2"/>
  <c r="AD585" i="2"/>
  <c r="AE585" i="2"/>
  <c r="AF585" i="2"/>
  <c r="AG585" i="2"/>
  <c r="AH585"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5" i="2"/>
  <c r="W546" i="2"/>
  <c r="AK575" i="2" l="1"/>
  <c r="E170" i="2"/>
  <c r="AJ553" i="2" l="1"/>
  <c r="AJ598" i="2" s="1"/>
  <c r="AK553" i="2" l="1"/>
  <c r="AL553" i="2" s="1"/>
  <c r="AB952" i="2"/>
  <c r="M111" i="5"/>
  <c r="M110" i="5"/>
  <c r="M107" i="5"/>
  <c r="M106" i="5"/>
  <c r="M105" i="5"/>
  <c r="M101" i="5"/>
  <c r="M103" i="5"/>
  <c r="M100" i="5"/>
  <c r="M96" i="5"/>
  <c r="M97" i="5"/>
  <c r="M98" i="5"/>
  <c r="M95" i="5"/>
  <c r="G91" i="5"/>
  <c r="P91" i="5" s="1"/>
  <c r="N109" i="5"/>
  <c r="M88" i="5" l="1"/>
  <c r="M87" i="5" s="1"/>
  <c r="P89" i="5"/>
  <c r="O89" i="5" s="1"/>
  <c r="M104" i="5"/>
  <c r="AG1146" i="2" l="1"/>
  <c r="AG1148" i="2" s="1"/>
  <c r="Q87" i="5" l="1"/>
  <c r="N104" i="5" l="1"/>
  <c r="U132" i="5"/>
  <c r="AJ552" i="2" s="1"/>
  <c r="AJ597" i="2" s="1"/>
  <c r="H88" i="5" l="1"/>
  <c r="I88" i="5"/>
  <c r="J91" i="5"/>
  <c r="H94" i="5"/>
  <c r="I94" i="5"/>
  <c r="J95" i="5"/>
  <c r="J96" i="5"/>
  <c r="J97" i="5"/>
  <c r="J98" i="5"/>
  <c r="H99" i="5"/>
  <c r="I99" i="5"/>
  <c r="J100" i="5"/>
  <c r="J101" i="5"/>
  <c r="J103" i="5"/>
  <c r="H104" i="5"/>
  <c r="I104" i="5"/>
  <c r="J105" i="5"/>
  <c r="J106" i="5"/>
  <c r="J107" i="5"/>
  <c r="J108" i="5"/>
  <c r="J110" i="5"/>
  <c r="J111" i="5"/>
  <c r="J113" i="5"/>
  <c r="J114" i="5"/>
  <c r="J140" i="5"/>
  <c r="J141" i="5"/>
  <c r="J142" i="5"/>
  <c r="J143" i="5"/>
  <c r="J144" i="5"/>
  <c r="J145" i="5"/>
  <c r="J146" i="5"/>
  <c r="J147" i="5"/>
  <c r="J148" i="5"/>
  <c r="J149" i="5"/>
  <c r="J150" i="5"/>
  <c r="J151" i="5"/>
  <c r="J152" i="5"/>
  <c r="J153" i="5"/>
  <c r="J156" i="5"/>
  <c r="J157" i="5"/>
  <c r="J158" i="5"/>
  <c r="J160" i="5"/>
  <c r="J161" i="5"/>
  <c r="J162" i="5"/>
  <c r="J177" i="5"/>
  <c r="J178" i="5"/>
  <c r="J179" i="5"/>
  <c r="J180" i="5"/>
  <c r="J99" i="5" l="1"/>
  <c r="J159" i="5"/>
  <c r="J94" i="5"/>
  <c r="J104" i="5"/>
  <c r="J88" i="5"/>
  <c r="H87" i="5"/>
  <c r="J155" i="5"/>
  <c r="J109" i="5"/>
  <c r="I87" i="5"/>
  <c r="J154" i="5"/>
  <c r="J87" i="5" l="1"/>
  <c r="N94" i="5"/>
  <c r="N88" i="5"/>
  <c r="N87" i="5" l="1"/>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2" i="5"/>
  <c r="L193" i="5"/>
  <c r="G161" i="5" l="1"/>
  <c r="G162" i="5"/>
  <c r="AJ933" i="2"/>
  <c r="U123" i="5"/>
  <c r="G160" i="5" l="1"/>
  <c r="AJ551" i="2"/>
  <c r="R183" i="5"/>
  <c r="R182" i="5"/>
  <c r="R181" i="5"/>
  <c r="R176" i="5"/>
  <c r="R170" i="5"/>
  <c r="R171" i="5"/>
  <c r="R172" i="5"/>
  <c r="R173" i="5"/>
  <c r="R174" i="5"/>
  <c r="R175" i="5"/>
  <c r="R169" i="5"/>
  <c r="R168" i="5"/>
  <c r="R166" i="5"/>
  <c r="R167" i="5"/>
  <c r="R165" i="5"/>
  <c r="R164" i="5"/>
  <c r="R163" i="5"/>
  <c r="R153" i="5"/>
  <c r="R154" i="5"/>
  <c r="R152" i="5"/>
  <c r="R148" i="5"/>
  <c r="R149" i="5"/>
  <c r="R150" i="5"/>
  <c r="R151" i="5"/>
  <c r="R145" i="5"/>
  <c r="R146" i="5"/>
  <c r="R147" i="5"/>
  <c r="R144" i="5"/>
  <c r="R143" i="5"/>
  <c r="R139" i="5"/>
  <c r="R138" i="5"/>
  <c r="R137" i="5"/>
  <c r="R132" i="5"/>
  <c r="R123" i="5"/>
  <c r="R112" i="5"/>
  <c r="R87" i="5"/>
  <c r="R86" i="5"/>
  <c r="R85" i="5"/>
  <c r="M157" i="5"/>
  <c r="G157" i="5" s="1"/>
  <c r="M158" i="5"/>
  <c r="G158" i="5" s="1"/>
  <c r="M156" i="5"/>
  <c r="G156" i="5" s="1"/>
  <c r="AK551" i="2" l="1"/>
  <c r="AJ596" i="2"/>
  <c r="I457" i="2"/>
  <c r="J457" i="2"/>
  <c r="K457" i="2"/>
  <c r="L457" i="2"/>
  <c r="M457" i="2"/>
  <c r="N457" i="2"/>
  <c r="O457" i="2"/>
  <c r="P457" i="2"/>
  <c r="I458" i="2"/>
  <c r="J458" i="2"/>
  <c r="K458" i="2"/>
  <c r="L458" i="2"/>
  <c r="M458" i="2"/>
  <c r="N458" i="2"/>
  <c r="O458" i="2"/>
  <c r="P458" i="2"/>
  <c r="E459" i="2"/>
  <c r="N159" i="5" l="1"/>
  <c r="U167" i="5"/>
  <c r="AJ572" i="2" s="1"/>
  <c r="AJ617" i="2" l="1"/>
  <c r="AK552" i="2" l="1"/>
  <c r="U165" i="5"/>
  <c r="O159" i="5"/>
  <c r="N155" i="5"/>
  <c r="P152" i="5"/>
  <c r="P145" i="5"/>
  <c r="P146" i="5"/>
  <c r="P147" i="5"/>
  <c r="P148" i="5"/>
  <c r="P149" i="5"/>
  <c r="P150" i="5"/>
  <c r="P151" i="5"/>
  <c r="L155" i="5"/>
  <c r="O155" i="5" l="1"/>
  <c r="T156" i="5"/>
  <c r="AJ570" i="2"/>
  <c r="AK570" i="2" l="1"/>
  <c r="AJ615" i="2"/>
  <c r="AT429" i="2"/>
  <c r="AG464" i="2"/>
  <c r="AG431" i="2"/>
  <c r="AF476" i="2"/>
  <c r="AG476" i="2"/>
  <c r="AH476" i="2"/>
  <c r="AJ476" i="2"/>
  <c r="AK476" i="2"/>
  <c r="AL476" i="2"/>
  <c r="AM476" i="2"/>
  <c r="AE476" i="2"/>
  <c r="AD476" i="2"/>
  <c r="E474" i="2"/>
  <c r="G101" i="5"/>
  <c r="G108" i="5" l="1"/>
  <c r="G100" i="5"/>
  <c r="P100" i="5" s="1"/>
  <c r="O100" i="5" s="1"/>
  <c r="G103" i="5"/>
  <c r="P103" i="5" s="1"/>
  <c r="O103" i="5" s="1"/>
  <c r="G105" i="5"/>
  <c r="P105" i="5" s="1"/>
  <c r="O105" i="5" s="1"/>
  <c r="G107" i="5"/>
  <c r="P107" i="5" s="1"/>
  <c r="O107" i="5" s="1"/>
  <c r="G111" i="5"/>
  <c r="P111" i="5" s="1"/>
  <c r="O111" i="5" s="1"/>
  <c r="G95" i="5"/>
  <c r="P95" i="5" s="1"/>
  <c r="O95" i="5" s="1"/>
  <c r="G106" i="5"/>
  <c r="P106" i="5" s="1"/>
  <c r="O106" i="5" s="1"/>
  <c r="G110" i="5"/>
  <c r="P110" i="5" s="1"/>
  <c r="P109" i="5" s="1"/>
  <c r="G93" i="5"/>
  <c r="P93" i="5" s="1"/>
  <c r="O93" i="5" s="1"/>
  <c r="G92" i="5"/>
  <c r="P92" i="5" s="1"/>
  <c r="O92" i="5" s="1"/>
  <c r="O91" i="5"/>
  <c r="G90" i="5"/>
  <c r="P90" i="5" s="1"/>
  <c r="O90" i="5" s="1"/>
  <c r="G98" i="5"/>
  <c r="P98" i="5" s="1"/>
  <c r="O98" i="5" s="1"/>
  <c r="G97" i="5"/>
  <c r="P97" i="5" s="1"/>
  <c r="O97" i="5" s="1"/>
  <c r="G96" i="5"/>
  <c r="P96" i="5" s="1"/>
  <c r="O96" i="5" s="1"/>
  <c r="M99" i="5"/>
  <c r="P101" i="5"/>
  <c r="O101" i="5" s="1"/>
  <c r="M94" i="5"/>
  <c r="P108" i="5" l="1"/>
  <c r="O108" i="5" s="1"/>
  <c r="O99" i="5"/>
  <c r="P99" i="5" s="1"/>
  <c r="G109" i="5"/>
  <c r="P88" i="5"/>
  <c r="O110" i="5"/>
  <c r="O94" i="5"/>
  <c r="P94" i="5" s="1"/>
  <c r="O104" i="5"/>
  <c r="P104" i="5" s="1"/>
  <c r="AH855" i="2"/>
  <c r="AG855" i="2"/>
  <c r="AF855" i="2"/>
  <c r="AE855" i="2"/>
  <c r="AD855" i="2"/>
  <c r="AC855" i="2"/>
  <c r="AB855" i="2"/>
  <c r="AA855" i="2"/>
  <c r="Z855" i="2"/>
  <c r="Y855" i="2"/>
  <c r="AT855" i="2"/>
  <c r="AS855" i="2"/>
  <c r="AR855" i="2"/>
  <c r="AQ855" i="2"/>
  <c r="AP855" i="2"/>
  <c r="AO855" i="2"/>
  <c r="AN855" i="2"/>
  <c r="AM855" i="2"/>
  <c r="AL855" i="2"/>
  <c r="AK855" i="2"/>
  <c r="AJ855" i="2"/>
  <c r="AI855" i="2"/>
  <c r="I1242" i="2"/>
  <c r="H1242" i="2"/>
  <c r="G1242" i="2"/>
  <c r="F1242" i="2"/>
  <c r="J1241" i="2"/>
  <c r="I1241" i="2"/>
  <c r="H1241" i="2"/>
  <c r="G1241" i="2"/>
  <c r="F1241" i="2"/>
  <c r="AP1194" i="2"/>
  <c r="AQ1194" i="2" s="1"/>
  <c r="AT854" i="2"/>
  <c r="AS854" i="2"/>
  <c r="AR854" i="2"/>
  <c r="AQ854" i="2"/>
  <c r="AP854" i="2"/>
  <c r="AO854" i="2"/>
  <c r="AP1195" i="2" l="1"/>
  <c r="AR1194" i="2"/>
  <c r="AQ1195" i="2"/>
  <c r="I1080" i="2"/>
  <c r="H1080" i="2"/>
  <c r="G1080" i="2"/>
  <c r="F1080" i="2"/>
  <c r="AS1194" i="2" l="1"/>
  <c r="AR1195" i="2"/>
  <c r="AT752" i="2"/>
  <c r="AS752" i="2"/>
  <c r="AR752" i="2"/>
  <c r="AQ752" i="2"/>
  <c r="AP752" i="2"/>
  <c r="AO752" i="2"/>
  <c r="AN752" i="2"/>
  <c r="AM752" i="2"/>
  <c r="AL752" i="2"/>
  <c r="AK752" i="2"/>
  <c r="AJ752" i="2"/>
  <c r="AT1194" i="2" l="1"/>
  <c r="AT1195" i="2" s="1"/>
  <c r="AS1195" i="2"/>
  <c r="AP939" i="2"/>
  <c r="AO939" i="2"/>
  <c r="AQ939" i="2"/>
  <c r="AR939" i="2"/>
  <c r="AS939" i="2"/>
  <c r="AT939" i="2"/>
  <c r="AO464" i="2" l="1"/>
  <c r="Y1077" i="2" l="1"/>
  <c r="Y1173" i="2" s="1"/>
  <c r="X1077" i="2"/>
  <c r="W1077" i="2"/>
  <c r="W1173" i="2" s="1"/>
  <c r="V1077" i="2"/>
  <c r="V1173" i="2" s="1"/>
  <c r="U1077" i="2"/>
  <c r="T1077" i="2"/>
  <c r="S1077" i="2"/>
  <c r="R1077" i="2"/>
  <c r="Q1077" i="2"/>
  <c r="P1077" i="2"/>
  <c r="O1077" i="2"/>
  <c r="N1077" i="2"/>
  <c r="M1077" i="2"/>
  <c r="L1077" i="2"/>
  <c r="K1077" i="2"/>
  <c r="Z1077" i="2"/>
  <c r="Z1173" i="2" s="1"/>
  <c r="X1173" i="2"/>
  <c r="E722" i="2" l="1"/>
  <c r="E890" i="2"/>
  <c r="E922" i="2"/>
  <c r="E948" i="2"/>
  <c r="E1318" i="2"/>
  <c r="E1280" i="2"/>
  <c r="E1252" i="2"/>
  <c r="E1225" i="2"/>
  <c r="E1195" i="2"/>
  <c r="E1165" i="2"/>
  <c r="E1094" i="2"/>
  <c r="AC1167" i="2"/>
  <c r="V1078" i="2" l="1"/>
  <c r="E1018" i="2" l="1"/>
  <c r="AI934" i="2" l="1"/>
  <c r="L1087" i="2"/>
  <c r="AE1021" i="2"/>
  <c r="AE1241" i="2" s="1"/>
  <c r="U1088" i="2"/>
  <c r="T1088" i="2"/>
  <c r="S1088" i="2"/>
  <c r="R1088" i="2"/>
  <c r="Q1088" i="2"/>
  <c r="P1088" i="2"/>
  <c r="O1088" i="2"/>
  <c r="N1088" i="2"/>
  <c r="M1088" i="2"/>
  <c r="L1088" i="2"/>
  <c r="K1088" i="2"/>
  <c r="J1088" i="2"/>
  <c r="J1079" i="2"/>
  <c r="J1242" i="2" s="1"/>
  <c r="AA1078" i="2"/>
  <c r="Z1078" i="2"/>
  <c r="Y1078" i="2"/>
  <c r="X1078" i="2"/>
  <c r="W1078" i="2"/>
  <c r="U1078" i="2"/>
  <c r="T1078" i="2"/>
  <c r="S1078" i="2"/>
  <c r="R1078" i="2"/>
  <c r="Q1078" i="2"/>
  <c r="P1078" i="2"/>
  <c r="O1078" i="2"/>
  <c r="N1078" i="2"/>
  <c r="M1078" i="2"/>
  <c r="L1078" i="2"/>
  <c r="K1078" i="2"/>
  <c r="J1078" i="2"/>
  <c r="AA1077" i="2"/>
  <c r="AA1173" i="2" s="1"/>
  <c r="AT1076" i="2"/>
  <c r="AS1076" i="2"/>
  <c r="AR1076" i="2"/>
  <c r="AQ1076" i="2"/>
  <c r="AP1076" i="2"/>
  <c r="AO1076" i="2"/>
  <c r="AN1076" i="2"/>
  <c r="AM1076" i="2"/>
  <c r="AL1076" i="2"/>
  <c r="AK1076" i="2"/>
  <c r="AJ1076" i="2"/>
  <c r="AI1076" i="2"/>
  <c r="AI1078" i="2" s="1"/>
  <c r="AH1076" i="2"/>
  <c r="AH1078" i="2" s="1"/>
  <c r="AG1076" i="2"/>
  <c r="AG1078" i="2" s="1"/>
  <c r="AF1076" i="2"/>
  <c r="AF1078" i="2" s="1"/>
  <c r="AE1076" i="2"/>
  <c r="AE1078" i="2" s="1"/>
  <c r="AD1076" i="2"/>
  <c r="AD1078" i="2" s="1"/>
  <c r="AC1076" i="2"/>
  <c r="AB1076" i="2"/>
  <c r="AB1077" i="2" s="1"/>
  <c r="AB1173" i="2" s="1"/>
  <c r="D1062" i="2"/>
  <c r="D1060" i="2"/>
  <c r="AI1045" i="2"/>
  <c r="AH1045" i="2"/>
  <c r="AG1045" i="2"/>
  <c r="AF1045" i="2"/>
  <c r="AE1045" i="2"/>
  <c r="AD1045" i="2"/>
  <c r="AC1045" i="2"/>
  <c r="AB1045" i="2"/>
  <c r="AA1045" i="2"/>
  <c r="Z1045" i="2"/>
  <c r="Y1045" i="2"/>
  <c r="X1045" i="2"/>
  <c r="W1045" i="2"/>
  <c r="V1045" i="2"/>
  <c r="U1045" i="2"/>
  <c r="T1045" i="2"/>
  <c r="S1045" i="2"/>
  <c r="R1045" i="2"/>
  <c r="Q1045" i="2"/>
  <c r="P1045" i="2"/>
  <c r="O1045" i="2"/>
  <c r="N1045" i="2"/>
  <c r="M1045" i="2"/>
  <c r="L1045" i="2"/>
  <c r="K1045" i="2"/>
  <c r="J1045" i="2"/>
  <c r="AI1044" i="2"/>
  <c r="AH1044" i="2"/>
  <c r="AG1044" i="2"/>
  <c r="AF1044" i="2"/>
  <c r="AE1044" i="2"/>
  <c r="AD1044" i="2"/>
  <c r="AC1044" i="2"/>
  <c r="AB1044" i="2"/>
  <c r="AA1044" i="2"/>
  <c r="Z1044" i="2"/>
  <c r="Y1044" i="2"/>
  <c r="X1044" i="2"/>
  <c r="W1044" i="2"/>
  <c r="V1044" i="2"/>
  <c r="U1044" i="2"/>
  <c r="T1044" i="2"/>
  <c r="S1044" i="2"/>
  <c r="R1044" i="2"/>
  <c r="Q1044" i="2"/>
  <c r="P1044" i="2"/>
  <c r="O1044" i="2"/>
  <c r="N1044" i="2"/>
  <c r="M1044" i="2"/>
  <c r="L1044" i="2"/>
  <c r="K1044" i="2"/>
  <c r="J1044" i="2"/>
  <c r="AI1043" i="2"/>
  <c r="AH1043" i="2"/>
  <c r="AG1043" i="2"/>
  <c r="AF1043" i="2"/>
  <c r="AE1043" i="2"/>
  <c r="AD1043" i="2"/>
  <c r="AC1043" i="2"/>
  <c r="AB1043" i="2"/>
  <c r="AA1043" i="2"/>
  <c r="Z1043" i="2"/>
  <c r="Y1043" i="2"/>
  <c r="X1043" i="2"/>
  <c r="W1043" i="2"/>
  <c r="V1043" i="2"/>
  <c r="U1043" i="2"/>
  <c r="T1043" i="2"/>
  <c r="S1043" i="2"/>
  <c r="R1043" i="2"/>
  <c r="Q1043" i="2"/>
  <c r="P1043" i="2"/>
  <c r="O1043" i="2"/>
  <c r="N1043" i="2"/>
  <c r="M1043" i="2"/>
  <c r="L1043" i="2"/>
  <c r="K1043" i="2"/>
  <c r="J1043" i="2"/>
  <c r="AI1042" i="2"/>
  <c r="AH1042" i="2"/>
  <c r="AG1042" i="2"/>
  <c r="AF1042" i="2"/>
  <c r="AE1042" i="2"/>
  <c r="AD1042" i="2"/>
  <c r="AC1042" i="2"/>
  <c r="AB1042" i="2"/>
  <c r="AA1042" i="2"/>
  <c r="Z1042" i="2"/>
  <c r="Y1042" i="2"/>
  <c r="X1042" i="2"/>
  <c r="W1042" i="2"/>
  <c r="V1042" i="2"/>
  <c r="U1042" i="2"/>
  <c r="T1042" i="2"/>
  <c r="S1042" i="2"/>
  <c r="R1042" i="2"/>
  <c r="Q1042" i="2"/>
  <c r="P1042" i="2"/>
  <c r="O1042" i="2"/>
  <c r="N1042" i="2"/>
  <c r="M1042" i="2"/>
  <c r="L1042" i="2"/>
  <c r="K1042" i="2"/>
  <c r="J1042" i="2"/>
  <c r="AI1041" i="2"/>
  <c r="AH1041" i="2"/>
  <c r="AG1041" i="2"/>
  <c r="AF1041" i="2"/>
  <c r="AE1041" i="2"/>
  <c r="AD1041" i="2"/>
  <c r="AC1041" i="2"/>
  <c r="AB1041" i="2"/>
  <c r="AA1041" i="2"/>
  <c r="Z1041" i="2"/>
  <c r="Y1041" i="2"/>
  <c r="X1041" i="2"/>
  <c r="W1041" i="2"/>
  <c r="V1041" i="2"/>
  <c r="U1041" i="2"/>
  <c r="T1041" i="2"/>
  <c r="S1041" i="2"/>
  <c r="R1041" i="2"/>
  <c r="Q1041" i="2"/>
  <c r="P1041" i="2"/>
  <c r="O1041" i="2"/>
  <c r="N1041" i="2"/>
  <c r="M1041" i="2"/>
  <c r="L1041" i="2"/>
  <c r="K1041" i="2"/>
  <c r="J1041" i="2"/>
  <c r="AI1040" i="2"/>
  <c r="AH1040" i="2"/>
  <c r="AG1040" i="2"/>
  <c r="AF1040" i="2"/>
  <c r="AE1040" i="2"/>
  <c r="AD1040" i="2"/>
  <c r="AC1040" i="2"/>
  <c r="AB1040" i="2"/>
  <c r="AA1040" i="2"/>
  <c r="Z1040" i="2"/>
  <c r="Y1040" i="2"/>
  <c r="X1040" i="2"/>
  <c r="W1040" i="2"/>
  <c r="V1040" i="2"/>
  <c r="U1040" i="2"/>
  <c r="T1040" i="2"/>
  <c r="S1040" i="2"/>
  <c r="R1040" i="2"/>
  <c r="Q1040" i="2"/>
  <c r="P1040" i="2"/>
  <c r="O1040" i="2"/>
  <c r="N1040" i="2"/>
  <c r="M1040" i="2"/>
  <c r="L1040" i="2"/>
  <c r="K1040" i="2"/>
  <c r="J1040" i="2"/>
  <c r="AI1039" i="2"/>
  <c r="AH1039" i="2"/>
  <c r="AG1039" i="2"/>
  <c r="AF1039" i="2"/>
  <c r="AE1039" i="2"/>
  <c r="AD1039" i="2"/>
  <c r="AC1039" i="2"/>
  <c r="AB1039" i="2"/>
  <c r="AA1039" i="2"/>
  <c r="Z1039" i="2"/>
  <c r="Y1039" i="2"/>
  <c r="X1039" i="2"/>
  <c r="W1039" i="2"/>
  <c r="V1039" i="2"/>
  <c r="U1039" i="2"/>
  <c r="T1039" i="2"/>
  <c r="S1039" i="2"/>
  <c r="R1039" i="2"/>
  <c r="Q1039" i="2"/>
  <c r="P1039" i="2"/>
  <c r="O1039" i="2"/>
  <c r="N1039" i="2"/>
  <c r="M1039" i="2"/>
  <c r="L1039" i="2"/>
  <c r="K1039" i="2"/>
  <c r="AI1038" i="2"/>
  <c r="AH1038" i="2"/>
  <c r="AG1038" i="2"/>
  <c r="AF1038" i="2"/>
  <c r="AE1038" i="2"/>
  <c r="AD1038" i="2"/>
  <c r="AC1038" i="2"/>
  <c r="AB1038" i="2"/>
  <c r="AA1038" i="2"/>
  <c r="Z1038" i="2"/>
  <c r="Y1038" i="2"/>
  <c r="X1038" i="2"/>
  <c r="W1038" i="2"/>
  <c r="V1038" i="2"/>
  <c r="U1038" i="2"/>
  <c r="T1038" i="2"/>
  <c r="S1038" i="2"/>
  <c r="R1038" i="2"/>
  <c r="Q1038" i="2"/>
  <c r="P1038" i="2"/>
  <c r="O1038" i="2"/>
  <c r="N1038" i="2"/>
  <c r="M1038" i="2"/>
  <c r="L1038" i="2"/>
  <c r="K1038" i="2"/>
  <c r="AI1037" i="2"/>
  <c r="AH1037" i="2"/>
  <c r="AG1037" i="2"/>
  <c r="AF1037" i="2"/>
  <c r="AE1037" i="2"/>
  <c r="AD1037" i="2"/>
  <c r="AC1037" i="2"/>
  <c r="AB1037" i="2"/>
  <c r="AA1037" i="2"/>
  <c r="Z1037" i="2"/>
  <c r="Y1037" i="2"/>
  <c r="X1037" i="2"/>
  <c r="W1037" i="2"/>
  <c r="V1037" i="2"/>
  <c r="U1037" i="2"/>
  <c r="T1037" i="2"/>
  <c r="S1037" i="2"/>
  <c r="R1037" i="2"/>
  <c r="Q1037" i="2"/>
  <c r="P1037" i="2"/>
  <c r="O1037" i="2"/>
  <c r="N1037" i="2"/>
  <c r="M1037" i="2"/>
  <c r="L1037" i="2"/>
  <c r="K1037" i="2"/>
  <c r="AI1036" i="2"/>
  <c r="AH1036" i="2"/>
  <c r="AG1036" i="2"/>
  <c r="AF1036" i="2"/>
  <c r="AE1036" i="2"/>
  <c r="AD1036" i="2"/>
  <c r="AC1036" i="2"/>
  <c r="AB1036" i="2"/>
  <c r="AA1036" i="2"/>
  <c r="Z1036" i="2"/>
  <c r="Y1036" i="2"/>
  <c r="X1036" i="2"/>
  <c r="W1036" i="2"/>
  <c r="V1036" i="2"/>
  <c r="U1036" i="2"/>
  <c r="T1036" i="2"/>
  <c r="S1036" i="2"/>
  <c r="R1036" i="2"/>
  <c r="Q1036" i="2"/>
  <c r="P1036" i="2"/>
  <c r="O1036" i="2"/>
  <c r="N1036" i="2"/>
  <c r="M1036" i="2"/>
  <c r="L1036" i="2"/>
  <c r="K1036" i="2"/>
  <c r="AI1035" i="2"/>
  <c r="AH1035" i="2"/>
  <c r="AG1035" i="2"/>
  <c r="AF1035" i="2"/>
  <c r="AE1035" i="2"/>
  <c r="AD1035" i="2"/>
  <c r="AC1035" i="2"/>
  <c r="AB1035" i="2"/>
  <c r="AA1035" i="2"/>
  <c r="Z1035" i="2"/>
  <c r="Y1035" i="2"/>
  <c r="X1035" i="2"/>
  <c r="W1035" i="2"/>
  <c r="V1035" i="2"/>
  <c r="U1035" i="2"/>
  <c r="T1035" i="2"/>
  <c r="S1035" i="2"/>
  <c r="R1035" i="2"/>
  <c r="Q1035" i="2"/>
  <c r="P1035" i="2"/>
  <c r="O1035" i="2"/>
  <c r="N1035" i="2"/>
  <c r="M1035" i="2"/>
  <c r="L1035" i="2"/>
  <c r="K1035" i="2"/>
  <c r="AI1034" i="2"/>
  <c r="AH1034" i="2"/>
  <c r="AG1034" i="2"/>
  <c r="AF1034" i="2"/>
  <c r="AE1034" i="2"/>
  <c r="AD1034" i="2"/>
  <c r="AC1034" i="2"/>
  <c r="AB1034" i="2"/>
  <c r="AA1034" i="2"/>
  <c r="Z1034" i="2"/>
  <c r="Y1034" i="2"/>
  <c r="X1034" i="2"/>
  <c r="W1034" i="2"/>
  <c r="V1034" i="2"/>
  <c r="U1034" i="2"/>
  <c r="T1034" i="2"/>
  <c r="S1034" i="2"/>
  <c r="R1034" i="2"/>
  <c r="Q1034" i="2"/>
  <c r="P1034" i="2"/>
  <c r="O1034" i="2"/>
  <c r="N1034" i="2"/>
  <c r="M1034" i="2"/>
  <c r="L1034" i="2"/>
  <c r="K1034" i="2"/>
  <c r="AI1033" i="2"/>
  <c r="AH1033" i="2"/>
  <c r="AG1033" i="2"/>
  <c r="AF1033" i="2"/>
  <c r="AE1033" i="2"/>
  <c r="AD1033" i="2"/>
  <c r="AC1033" i="2"/>
  <c r="AB1033" i="2"/>
  <c r="AA1033" i="2"/>
  <c r="Z1033" i="2"/>
  <c r="Y1033" i="2"/>
  <c r="X1033" i="2"/>
  <c r="W1033" i="2"/>
  <c r="V1033" i="2"/>
  <c r="U1033" i="2"/>
  <c r="T1033" i="2"/>
  <c r="S1033" i="2"/>
  <c r="R1033" i="2"/>
  <c r="Q1033" i="2"/>
  <c r="P1033" i="2"/>
  <c r="O1033" i="2"/>
  <c r="N1033" i="2"/>
  <c r="M1033" i="2"/>
  <c r="L1033" i="2"/>
  <c r="K1033" i="2"/>
  <c r="AI1032" i="2"/>
  <c r="AH1032" i="2"/>
  <c r="AG1032" i="2"/>
  <c r="AF1032" i="2"/>
  <c r="AE1032" i="2"/>
  <c r="AD1032" i="2"/>
  <c r="AC1032" i="2"/>
  <c r="AB1032" i="2"/>
  <c r="AA1032" i="2"/>
  <c r="Z1032" i="2"/>
  <c r="Y1032" i="2"/>
  <c r="X1032" i="2"/>
  <c r="W1032" i="2"/>
  <c r="V1032" i="2"/>
  <c r="U1032" i="2"/>
  <c r="T1032" i="2"/>
  <c r="S1032" i="2"/>
  <c r="R1032" i="2"/>
  <c r="Q1032" i="2"/>
  <c r="P1032" i="2"/>
  <c r="O1032" i="2"/>
  <c r="N1032" i="2"/>
  <c r="M1032" i="2"/>
  <c r="L1032" i="2"/>
  <c r="K1032" i="2"/>
  <c r="AI1031" i="2"/>
  <c r="AH1031" i="2"/>
  <c r="AG1031" i="2"/>
  <c r="AF1031" i="2"/>
  <c r="AE1031" i="2"/>
  <c r="AD1031" i="2"/>
  <c r="AC1031" i="2"/>
  <c r="AB1031" i="2"/>
  <c r="AA1031" i="2"/>
  <c r="Z1031" i="2"/>
  <c r="Y1031" i="2"/>
  <c r="X1031" i="2"/>
  <c r="W1031" i="2"/>
  <c r="V1031" i="2"/>
  <c r="U1031" i="2"/>
  <c r="T1031" i="2"/>
  <c r="S1031" i="2"/>
  <c r="R1031" i="2"/>
  <c r="Q1031" i="2"/>
  <c r="P1031" i="2"/>
  <c r="O1031" i="2"/>
  <c r="N1031" i="2"/>
  <c r="M1031" i="2"/>
  <c r="L1031" i="2"/>
  <c r="K1031" i="2"/>
  <c r="AT1027" i="2"/>
  <c r="AS1027" i="2"/>
  <c r="AR1027" i="2"/>
  <c r="AQ1027" i="2"/>
  <c r="AP1027" i="2"/>
  <c r="AO1027" i="2"/>
  <c r="AN1027" i="2"/>
  <c r="AM1027" i="2"/>
  <c r="AL1027" i="2"/>
  <c r="AK1027" i="2"/>
  <c r="AJ1027" i="2"/>
  <c r="AI1027" i="2"/>
  <c r="AH1027" i="2"/>
  <c r="AG1027" i="2"/>
  <c r="AF1027" i="2"/>
  <c r="AE1027" i="2"/>
  <c r="AD1027" i="2"/>
  <c r="AC1027" i="2"/>
  <c r="AB1027" i="2"/>
  <c r="AA1027" i="2"/>
  <c r="Z1027" i="2"/>
  <c r="Y1027" i="2"/>
  <c r="X1027" i="2"/>
  <c r="W1027" i="2"/>
  <c r="V1027" i="2"/>
  <c r="U1027" i="2"/>
  <c r="T1027" i="2"/>
  <c r="S1027" i="2"/>
  <c r="R1027" i="2"/>
  <c r="Q1027" i="2"/>
  <c r="P1027" i="2"/>
  <c r="O1027" i="2"/>
  <c r="N1027" i="2"/>
  <c r="M1027" i="2"/>
  <c r="L1027" i="2"/>
  <c r="K1027" i="2"/>
  <c r="J1027" i="2"/>
  <c r="AT1026" i="2"/>
  <c r="AS1026" i="2"/>
  <c r="AR1026" i="2"/>
  <c r="AQ1026" i="2"/>
  <c r="AP1026" i="2"/>
  <c r="AO1026" i="2"/>
  <c r="AN1026" i="2"/>
  <c r="AM1026" i="2"/>
  <c r="AL1026" i="2"/>
  <c r="AK1026" i="2"/>
  <c r="AJ1026" i="2"/>
  <c r="AI1026" i="2"/>
  <c r="AH1026" i="2"/>
  <c r="AG1026" i="2"/>
  <c r="AF1026" i="2"/>
  <c r="AE1026" i="2"/>
  <c r="AD1026" i="2"/>
  <c r="AC1026" i="2"/>
  <c r="AB1026" i="2"/>
  <c r="AA1026" i="2"/>
  <c r="Z1026" i="2"/>
  <c r="Y1026" i="2"/>
  <c r="X1026" i="2"/>
  <c r="W1026" i="2"/>
  <c r="V1026" i="2"/>
  <c r="U1026" i="2"/>
  <c r="T1026" i="2"/>
  <c r="S1026" i="2"/>
  <c r="R1026" i="2"/>
  <c r="Q1026" i="2"/>
  <c r="P1026" i="2"/>
  <c r="O1026" i="2"/>
  <c r="N1026" i="2"/>
  <c r="M1026" i="2"/>
  <c r="L1026" i="2"/>
  <c r="K1026" i="2"/>
  <c r="J1026" i="2"/>
  <c r="AI1025" i="2"/>
  <c r="AH1025" i="2"/>
  <c r="AG1025" i="2"/>
  <c r="AF1025" i="2"/>
  <c r="AE1025" i="2"/>
  <c r="AD1025" i="2"/>
  <c r="AC1025" i="2"/>
  <c r="AB1025" i="2"/>
  <c r="AA1025" i="2"/>
  <c r="Z1025" i="2"/>
  <c r="Y1025" i="2"/>
  <c r="X1025" i="2"/>
  <c r="W1025" i="2"/>
  <c r="V1025" i="2"/>
  <c r="U1025" i="2"/>
  <c r="T1025" i="2"/>
  <c r="S1025" i="2"/>
  <c r="R1025" i="2"/>
  <c r="Q1025" i="2"/>
  <c r="P1025" i="2"/>
  <c r="O1025" i="2"/>
  <c r="N1025" i="2"/>
  <c r="M1025" i="2"/>
  <c r="L1025" i="2"/>
  <c r="K1025" i="2"/>
  <c r="J1025" i="2"/>
  <c r="AJ1024" i="2"/>
  <c r="AI1024" i="2"/>
  <c r="AH1024" i="2"/>
  <c r="AG1024" i="2"/>
  <c r="AF1024" i="2"/>
  <c r="AE1024" i="2"/>
  <c r="AD1024" i="2"/>
  <c r="AC1024" i="2"/>
  <c r="AB1024" i="2"/>
  <c r="AA1024" i="2"/>
  <c r="Z1024" i="2"/>
  <c r="Y1024" i="2"/>
  <c r="X1024" i="2"/>
  <c r="W1024" i="2"/>
  <c r="V1024" i="2"/>
  <c r="U1024" i="2"/>
  <c r="T1024" i="2"/>
  <c r="S1024" i="2"/>
  <c r="R1024" i="2"/>
  <c r="Q1024" i="2"/>
  <c r="P1024" i="2"/>
  <c r="O1024" i="2"/>
  <c r="N1024" i="2"/>
  <c r="M1024" i="2"/>
  <c r="L1024" i="2"/>
  <c r="K1024" i="2"/>
  <c r="J1024" i="2"/>
  <c r="AI1021" i="2"/>
  <c r="AI1241" i="2" s="1"/>
  <c r="AH1021" i="2"/>
  <c r="AH1241" i="2" s="1"/>
  <c r="AG1021" i="2"/>
  <c r="AG1241" i="2" s="1"/>
  <c r="AF1021" i="2"/>
  <c r="AF1241" i="2" s="1"/>
  <c r="AD1021" i="2"/>
  <c r="AD1241" i="2" s="1"/>
  <c r="AC1021" i="2"/>
  <c r="AC1241" i="2" s="1"/>
  <c r="AB1021" i="2"/>
  <c r="AB1241" i="2" s="1"/>
  <c r="AA1021" i="2"/>
  <c r="AA1241" i="2" s="1"/>
  <c r="Z1021" i="2"/>
  <c r="Y1021" i="2"/>
  <c r="X1021" i="2"/>
  <c r="W1021" i="2"/>
  <c r="V1021" i="2"/>
  <c r="U1021" i="2"/>
  <c r="T1021" i="2"/>
  <c r="S1021" i="2"/>
  <c r="R1021" i="2"/>
  <c r="Q1021" i="2"/>
  <c r="P1021" i="2"/>
  <c r="O1021" i="2"/>
  <c r="N1021" i="2"/>
  <c r="M1021" i="2"/>
  <c r="L1021" i="2"/>
  <c r="K1021" i="2"/>
  <c r="AG1046" i="2" l="1"/>
  <c r="AE1028" i="2"/>
  <c r="AF1028" i="2"/>
  <c r="U1079" i="2"/>
  <c r="U1242" i="2" s="1"/>
  <c r="U1241" i="2"/>
  <c r="L1079" i="2"/>
  <c r="L1242" i="2" s="1"/>
  <c r="L1241" i="2"/>
  <c r="V1079" i="2"/>
  <c r="V1241" i="2"/>
  <c r="X1079" i="2"/>
  <c r="X1242" i="2" s="1"/>
  <c r="X1241" i="2"/>
  <c r="T1079" i="2"/>
  <c r="T1242" i="2" s="1"/>
  <c r="T1241" i="2"/>
  <c r="Z1079" i="2"/>
  <c r="Z1242" i="2" s="1"/>
  <c r="Z1241" i="2"/>
  <c r="N1079" i="2"/>
  <c r="N1242" i="2" s="1"/>
  <c r="N1241" i="2"/>
  <c r="W1079" i="2"/>
  <c r="W1242" i="2" s="1"/>
  <c r="W1241" i="2"/>
  <c r="Q1079" i="2"/>
  <c r="Q1242" i="2" s="1"/>
  <c r="Q1241" i="2"/>
  <c r="Y1079" i="2"/>
  <c r="Y1242" i="2" s="1"/>
  <c r="Y1241" i="2"/>
  <c r="AG1028" i="2"/>
  <c r="M1079" i="2"/>
  <c r="M1242" i="2" s="1"/>
  <c r="M1241" i="2"/>
  <c r="O1079" i="2"/>
  <c r="O1242" i="2" s="1"/>
  <c r="O1241" i="2"/>
  <c r="P1079" i="2"/>
  <c r="P1242" i="2" s="1"/>
  <c r="P1241" i="2"/>
  <c r="R1079" i="2"/>
  <c r="R1242" i="2" s="1"/>
  <c r="R1241" i="2"/>
  <c r="K1079" i="2"/>
  <c r="K1242" i="2" s="1"/>
  <c r="K1241" i="2"/>
  <c r="S1079" i="2"/>
  <c r="S1242" i="2" s="1"/>
  <c r="S1241" i="2"/>
  <c r="K1028" i="2"/>
  <c r="W1028" i="2"/>
  <c r="X1028" i="2"/>
  <c r="AD1028" i="2"/>
  <c r="AQ1077" i="2"/>
  <c r="AQ1173" i="2" s="1"/>
  <c r="N1028" i="2"/>
  <c r="AH1028" i="2"/>
  <c r="AI1028" i="2"/>
  <c r="AA1079" i="2"/>
  <c r="AA1242" i="2" s="1"/>
  <c r="J1028" i="2"/>
  <c r="L1028" i="2"/>
  <c r="M1028" i="2"/>
  <c r="O1028" i="2"/>
  <c r="R1028" i="2"/>
  <c r="AC1046" i="2"/>
  <c r="AD1046" i="2"/>
  <c r="AE1046" i="2"/>
  <c r="AF1046" i="2"/>
  <c r="AH1046" i="2"/>
  <c r="AI1046" i="2"/>
  <c r="AR1077" i="2"/>
  <c r="AR1173" i="2" s="1"/>
  <c r="AT1077" i="2"/>
  <c r="AT1173" i="2" s="1"/>
  <c r="AC1028" i="2"/>
  <c r="AO1077" i="2"/>
  <c r="AO1173" i="2" s="1"/>
  <c r="AC1078" i="2"/>
  <c r="AC1077" i="2"/>
  <c r="AB1078" i="2"/>
  <c r="AP1077" i="2"/>
  <c r="AP1173" i="2" s="1"/>
  <c r="S1028" i="2"/>
  <c r="V1028" i="2"/>
  <c r="AI1077" i="2"/>
  <c r="AJ1077" i="2"/>
  <c r="AJ1173" i="2" s="1"/>
  <c r="T1028" i="2"/>
  <c r="U1028" i="2"/>
  <c r="AD1077" i="2"/>
  <c r="AF1077" i="2"/>
  <c r="AG1077" i="2"/>
  <c r="AH1077" i="2"/>
  <c r="AL1077" i="2"/>
  <c r="AL1173" i="2" s="1"/>
  <c r="AE1077" i="2"/>
  <c r="AK1077" i="2"/>
  <c r="AK1173" i="2" s="1"/>
  <c r="AB1028" i="2"/>
  <c r="Q1028" i="2"/>
  <c r="P1028" i="2"/>
  <c r="AM1077" i="2"/>
  <c r="AM1173" i="2" s="1"/>
  <c r="AB1079" i="2"/>
  <c r="AB1242" i="2" s="1"/>
  <c r="AN1077" i="2"/>
  <c r="AN1173" i="2" s="1"/>
  <c r="AA1028" i="2"/>
  <c r="AS1077" i="2"/>
  <c r="AS1173" i="2" s="1"/>
  <c r="Z1028" i="2"/>
  <c r="Y1028" i="2"/>
  <c r="AC1079" i="2" l="1"/>
  <c r="AC1242" i="2" s="1"/>
  <c r="AC1173" i="2"/>
  <c r="AF1079" i="2"/>
  <c r="AF1242" i="2" s="1"/>
  <c r="AF1173" i="2"/>
  <c r="AI1079" i="2"/>
  <c r="AI1242" i="2" s="1"/>
  <c r="AI1173" i="2"/>
  <c r="AH1079" i="2"/>
  <c r="AH1242" i="2" s="1"/>
  <c r="AH1173" i="2"/>
  <c r="AD1079" i="2"/>
  <c r="AD1242" i="2" s="1"/>
  <c r="AD1173" i="2"/>
  <c r="AE1079" i="2"/>
  <c r="AE1242" i="2" s="1"/>
  <c r="AE1173" i="2"/>
  <c r="AG1079" i="2"/>
  <c r="AG1242" i="2" s="1"/>
  <c r="AG1173" i="2"/>
  <c r="AG1094" i="2"/>
  <c r="AH1094" i="2" s="1"/>
  <c r="AI1094" i="2" s="1"/>
  <c r="AJ1094" i="2" s="1"/>
  <c r="AK1094" i="2" s="1"/>
  <c r="AL1094" i="2" s="1"/>
  <c r="AM1094" i="2" s="1"/>
  <c r="AN1094" i="2" s="1"/>
  <c r="AO1094" i="2" s="1"/>
  <c r="AP1094" i="2" s="1"/>
  <c r="AQ1094" i="2" s="1"/>
  <c r="AR1094" i="2" s="1"/>
  <c r="AS1094" i="2" s="1"/>
  <c r="AT1094" i="2" s="1"/>
  <c r="K1095" i="2"/>
  <c r="K1096" i="2" s="1"/>
  <c r="L1095" i="2"/>
  <c r="L1096" i="2" s="1"/>
  <c r="M1095" i="2"/>
  <c r="M1096" i="2" s="1"/>
  <c r="N1095" i="2"/>
  <c r="N1096" i="2" s="1"/>
  <c r="O1095" i="2"/>
  <c r="O1096" i="2" s="1"/>
  <c r="P1095" i="2"/>
  <c r="P1096" i="2" s="1"/>
  <c r="Q1095" i="2"/>
  <c r="Q1096" i="2" s="1"/>
  <c r="R1095" i="2"/>
  <c r="R1096" i="2" s="1"/>
  <c r="R1137" i="2" s="1"/>
  <c r="S1095" i="2"/>
  <c r="T1095" i="2"/>
  <c r="U1095" i="2"/>
  <c r="U1096" i="2" s="1"/>
  <c r="U1137" i="2" s="1"/>
  <c r="V1095" i="2"/>
  <c r="V1096" i="2" s="1"/>
  <c r="W1095" i="2"/>
  <c r="W1136" i="2" s="1"/>
  <c r="X1095" i="2"/>
  <c r="X1136" i="2" s="1"/>
  <c r="Y1095" i="2"/>
  <c r="Y1136" i="2" s="1"/>
  <c r="Z1095" i="2"/>
  <c r="Z1136" i="2" s="1"/>
  <c r="AA1095" i="2"/>
  <c r="AA1136" i="2" s="1"/>
  <c r="AB1095" i="2"/>
  <c r="AB1136" i="2" s="1"/>
  <c r="AC1095" i="2"/>
  <c r="AC1136" i="2" s="1"/>
  <c r="AD1095" i="2"/>
  <c r="AD1136" i="2" s="1"/>
  <c r="AE1095" i="2"/>
  <c r="AE1136" i="2" s="1"/>
  <c r="AF1095" i="2"/>
  <c r="AF1136" i="2" s="1"/>
  <c r="AG1095" i="2"/>
  <c r="AG1136" i="2" s="1"/>
  <c r="AH1095" i="2"/>
  <c r="AH1136" i="2" s="1"/>
  <c r="AI1095" i="2"/>
  <c r="AI1136" i="2" s="1"/>
  <c r="J1100" i="2"/>
  <c r="K1100" i="2"/>
  <c r="L1100" i="2"/>
  <c r="M1100" i="2"/>
  <c r="N1100" i="2"/>
  <c r="O1100" i="2"/>
  <c r="P1100" i="2"/>
  <c r="Q1100" i="2"/>
  <c r="R1100" i="2"/>
  <c r="S1100" i="2"/>
  <c r="T1100" i="2"/>
  <c r="U1100" i="2"/>
  <c r="V1100" i="2"/>
  <c r="W1100" i="2"/>
  <c r="X1100" i="2"/>
  <c r="Y1100" i="2"/>
  <c r="Z1100" i="2"/>
  <c r="AA1100" i="2"/>
  <c r="AB1100" i="2"/>
  <c r="AC1100" i="2"/>
  <c r="AD1100" i="2"/>
  <c r="AE1100" i="2"/>
  <c r="AF1100" i="2"/>
  <c r="AG1100" i="2"/>
  <c r="AH1100" i="2"/>
  <c r="AI1100" i="2"/>
  <c r="K1103" i="2"/>
  <c r="K1074" i="2" s="1"/>
  <c r="L1103" i="2"/>
  <c r="L1074" i="2" s="1"/>
  <c r="L1075" i="2" s="1"/>
  <c r="M1103" i="2"/>
  <c r="M1074" i="2" s="1"/>
  <c r="M1075" i="2" s="1"/>
  <c r="N1103" i="2"/>
  <c r="N1074" i="2" s="1"/>
  <c r="O1103" i="2"/>
  <c r="O1074" i="2" s="1"/>
  <c r="O1075" i="2" s="1"/>
  <c r="P1103" i="2"/>
  <c r="R1103" i="2"/>
  <c r="R1074" i="2" s="1"/>
  <c r="S1103" i="2"/>
  <c r="S1074" i="2" s="1"/>
  <c r="T1103" i="2"/>
  <c r="T1074" i="2" s="1"/>
  <c r="U1103" i="2"/>
  <c r="V1103" i="2"/>
  <c r="W1103" i="2"/>
  <c r="X1103" i="2"/>
  <c r="Y1103" i="2"/>
  <c r="Z1103" i="2"/>
  <c r="AA1103" i="2"/>
  <c r="AB1103" i="2"/>
  <c r="AC1103" i="2"/>
  <c r="AD1103" i="2"/>
  <c r="AE1103" i="2"/>
  <c r="AF1103" i="2"/>
  <c r="AG1103" i="2"/>
  <c r="AI1103" i="2"/>
  <c r="E1107" i="2"/>
  <c r="J1107" i="2"/>
  <c r="K1107" i="2"/>
  <c r="L1107" i="2"/>
  <c r="M1107" i="2"/>
  <c r="N1107" i="2"/>
  <c r="O1107" i="2"/>
  <c r="P1107" i="2"/>
  <c r="Q1107" i="2"/>
  <c r="R1107" i="2"/>
  <c r="R1140" i="2" s="1"/>
  <c r="S1107" i="2"/>
  <c r="S1140" i="2" s="1"/>
  <c r="T1107" i="2"/>
  <c r="T1140" i="2" s="1"/>
  <c r="U1107" i="2"/>
  <c r="U1140" i="2" s="1"/>
  <c r="V1107" i="2"/>
  <c r="V1140" i="2" s="1"/>
  <c r="W1107" i="2"/>
  <c r="W1140" i="2" s="1"/>
  <c r="X1107" i="2"/>
  <c r="X1140" i="2" s="1"/>
  <c r="Y1107" i="2"/>
  <c r="Y1140" i="2" s="1"/>
  <c r="Z1107" i="2"/>
  <c r="Z1140" i="2" s="1"/>
  <c r="AA1107" i="2"/>
  <c r="AA1140" i="2" s="1"/>
  <c r="AB1107" i="2"/>
  <c r="AB1140" i="2" s="1"/>
  <c r="AC1107" i="2"/>
  <c r="AC1140" i="2" s="1"/>
  <c r="AD1107" i="2"/>
  <c r="AD1140" i="2" s="1"/>
  <c r="AE1107" i="2"/>
  <c r="AE1140" i="2" s="1"/>
  <c r="AF1107" i="2"/>
  <c r="AF1140" i="2" s="1"/>
  <c r="AG1107" i="2"/>
  <c r="AG1140" i="2" s="1"/>
  <c r="AH1107" i="2"/>
  <c r="AH1140" i="2" s="1"/>
  <c r="AI1107" i="2"/>
  <c r="AI1140" i="2" s="1"/>
  <c r="AJ1107" i="2"/>
  <c r="AJ1140" i="2" s="1"/>
  <c r="E1108" i="2"/>
  <c r="J1108" i="2"/>
  <c r="K1108" i="2"/>
  <c r="L1108" i="2"/>
  <c r="M1108" i="2"/>
  <c r="N1108" i="2"/>
  <c r="O1108" i="2"/>
  <c r="P1108" i="2"/>
  <c r="Q1108" i="2"/>
  <c r="R1108" i="2"/>
  <c r="R1139" i="2" s="1"/>
  <c r="S1108" i="2"/>
  <c r="S1139" i="2" s="1"/>
  <c r="T1108" i="2"/>
  <c r="T1139" i="2" s="1"/>
  <c r="U1108" i="2"/>
  <c r="U1139" i="2" s="1"/>
  <c r="V1108" i="2"/>
  <c r="V1139" i="2" s="1"/>
  <c r="W1108" i="2"/>
  <c r="W1139" i="2" s="1"/>
  <c r="X1108" i="2"/>
  <c r="X1139" i="2" s="1"/>
  <c r="Y1108" i="2"/>
  <c r="Y1139" i="2" s="1"/>
  <c r="Z1108" i="2"/>
  <c r="Z1139" i="2" s="1"/>
  <c r="AA1108" i="2"/>
  <c r="AA1139" i="2" s="1"/>
  <c r="AB1108" i="2"/>
  <c r="AB1139" i="2" s="1"/>
  <c r="AC1108" i="2"/>
  <c r="AC1139" i="2" s="1"/>
  <c r="AD1108" i="2"/>
  <c r="AD1139" i="2" s="1"/>
  <c r="AE1108" i="2"/>
  <c r="AE1139" i="2" s="1"/>
  <c r="AF1108" i="2"/>
  <c r="AF1139" i="2" s="1"/>
  <c r="AG1108" i="2"/>
  <c r="AG1139" i="2" s="1"/>
  <c r="AH1108" i="2"/>
  <c r="AH1139" i="2" s="1"/>
  <c r="AI1108" i="2"/>
  <c r="AI1139" i="2" s="1"/>
  <c r="J1109" i="2"/>
  <c r="J1110" i="2" s="1"/>
  <c r="K1109" i="2"/>
  <c r="K1110" i="2" s="1"/>
  <c r="L1109" i="2"/>
  <c r="L1110" i="2" s="1"/>
  <c r="M1109" i="2"/>
  <c r="M1110" i="2" s="1"/>
  <c r="N1109" i="2"/>
  <c r="N1110" i="2" s="1"/>
  <c r="O1109" i="2"/>
  <c r="O1110" i="2" s="1"/>
  <c r="P1109" i="2"/>
  <c r="P1110" i="2" s="1"/>
  <c r="Q1109" i="2"/>
  <c r="Q1110" i="2" s="1"/>
  <c r="R1109" i="2"/>
  <c r="R1110" i="2" s="1"/>
  <c r="S1109" i="2"/>
  <c r="S1110" i="2" s="1"/>
  <c r="T1109" i="2"/>
  <c r="T1110" i="2" s="1"/>
  <c r="U1109" i="2"/>
  <c r="U1110" i="2" s="1"/>
  <c r="V1109" i="2"/>
  <c r="V1110" i="2" s="1"/>
  <c r="W1109" i="2"/>
  <c r="W1110" i="2" s="1"/>
  <c r="X1109" i="2"/>
  <c r="X1110" i="2" s="1"/>
  <c r="Y1109" i="2"/>
  <c r="Y1110" i="2"/>
  <c r="J1111" i="2"/>
  <c r="K1111" i="2"/>
  <c r="L1111" i="2"/>
  <c r="M1111" i="2"/>
  <c r="N1111" i="2"/>
  <c r="O1111" i="2"/>
  <c r="P1111" i="2"/>
  <c r="Q1111" i="2"/>
  <c r="R1111" i="2"/>
  <c r="S1111" i="2"/>
  <c r="T1111" i="2"/>
  <c r="U1111" i="2"/>
  <c r="V1111" i="2"/>
  <c r="W1111" i="2"/>
  <c r="X1111" i="2"/>
  <c r="Y1111" i="2"/>
  <c r="J1112" i="2"/>
  <c r="K1112" i="2"/>
  <c r="L1112" i="2"/>
  <c r="M1112" i="2"/>
  <c r="N1112" i="2"/>
  <c r="O1112" i="2"/>
  <c r="P1112" i="2"/>
  <c r="Q1112" i="2"/>
  <c r="R1112" i="2"/>
  <c r="S1112" i="2"/>
  <c r="T1112" i="2"/>
  <c r="U1112" i="2"/>
  <c r="V1112" i="2"/>
  <c r="W1112" i="2"/>
  <c r="X1112" i="2"/>
  <c r="Y1112" i="2"/>
  <c r="J1113" i="2"/>
  <c r="K1113" i="2"/>
  <c r="L1113" i="2"/>
  <c r="M1113" i="2"/>
  <c r="N1113" i="2"/>
  <c r="O1113" i="2"/>
  <c r="P1113" i="2"/>
  <c r="Q1113" i="2"/>
  <c r="R1113" i="2"/>
  <c r="S1113" i="2"/>
  <c r="T1113" i="2"/>
  <c r="U1113" i="2"/>
  <c r="V1113" i="2"/>
  <c r="W1113" i="2"/>
  <c r="X1113" i="2"/>
  <c r="Y1113" i="2"/>
  <c r="A1114" i="2"/>
  <c r="J1120" i="2"/>
  <c r="K1120" i="2"/>
  <c r="L1120" i="2"/>
  <c r="M1120" i="2"/>
  <c r="N1120" i="2"/>
  <c r="O1120" i="2"/>
  <c r="P1120" i="2"/>
  <c r="Q1120" i="2"/>
  <c r="R1120" i="2"/>
  <c r="S1120" i="2"/>
  <c r="T1120" i="2"/>
  <c r="U1120" i="2"/>
  <c r="V1120" i="2"/>
  <c r="W1120" i="2"/>
  <c r="X1120" i="2"/>
  <c r="Y1120" i="2"/>
  <c r="J1121" i="2"/>
  <c r="K1121" i="2"/>
  <c r="L1121" i="2"/>
  <c r="M1121" i="2"/>
  <c r="N1121" i="2"/>
  <c r="O1121" i="2"/>
  <c r="P1121" i="2"/>
  <c r="Q1121" i="2"/>
  <c r="R1121" i="2"/>
  <c r="S1121" i="2"/>
  <c r="T1121" i="2"/>
  <c r="U1121" i="2"/>
  <c r="V1121" i="2"/>
  <c r="W1121" i="2"/>
  <c r="X1121" i="2"/>
  <c r="Y1121" i="2"/>
  <c r="V1122" i="2"/>
  <c r="R1138" i="2"/>
  <c r="S1138" i="2"/>
  <c r="T1138" i="2"/>
  <c r="U1138" i="2"/>
  <c r="V1138" i="2"/>
  <c r="P1074" i="2" l="1"/>
  <c r="P1075" i="2" s="1"/>
  <c r="Q1075" i="2"/>
  <c r="R1075" i="2"/>
  <c r="R1106" i="2" s="1"/>
  <c r="T1075" i="2"/>
  <c r="S1075" i="2"/>
  <c r="N1075" i="2"/>
  <c r="V1137" i="2"/>
  <c r="V1170" i="2"/>
  <c r="U1136" i="2"/>
  <c r="R1136" i="2"/>
  <c r="T1136" i="2"/>
  <c r="T1096" i="2"/>
  <c r="T1137" i="2" s="1"/>
  <c r="S1136" i="2"/>
  <c r="S1096" i="2"/>
  <c r="S1137" i="2" s="1"/>
  <c r="V1136" i="2"/>
  <c r="AI939" i="2" l="1"/>
  <c r="AH725" i="2" l="1"/>
  <c r="AH724" i="2"/>
  <c r="AI725" i="2"/>
  <c r="AJ725" i="2" s="1"/>
  <c r="AI724" i="2"/>
  <c r="AJ724" i="2" s="1"/>
  <c r="AB418" i="2"/>
  <c r="AB421" i="2"/>
  <c r="AB419" i="2"/>
  <c r="AI1120" i="2" l="1"/>
  <c r="AI1121" i="2"/>
  <c r="AH1120" i="2"/>
  <c r="AH1121" i="2"/>
  <c r="E111" i="2" l="1"/>
  <c r="AC464" i="2" l="1"/>
  <c r="AD464" i="2"/>
  <c r="AE464" i="2"/>
  <c r="AF464" i="2"/>
  <c r="AH464" i="2"/>
  <c r="AI464" i="2"/>
  <c r="AJ464" i="2"/>
  <c r="AK464" i="2"/>
  <c r="AL464" i="2"/>
  <c r="AM464" i="2"/>
  <c r="AN464" i="2"/>
  <c r="AB464" i="2"/>
  <c r="AB446" i="2"/>
  <c r="AR748" i="2"/>
  <c r="AS748" i="2" s="1"/>
  <c r="AT748" i="2" s="1"/>
  <c r="AN854" i="2" l="1"/>
  <c r="AM854" i="2"/>
  <c r="AL854" i="2"/>
  <c r="AK854" i="2"/>
  <c r="AJ854" i="2"/>
  <c r="AN939" i="2"/>
  <c r="AM939" i="2"/>
  <c r="AL939" i="2"/>
  <c r="AK939" i="2"/>
  <c r="AH939" i="2"/>
  <c r="AG939" i="2"/>
  <c r="AF939" i="2"/>
  <c r="AE939" i="2"/>
  <c r="AD939" i="2"/>
  <c r="AC939" i="2"/>
  <c r="AB939" i="2"/>
  <c r="AA939" i="2"/>
  <c r="Z939" i="2"/>
  <c r="Y939" i="2"/>
  <c r="AJ939" i="2"/>
  <c r="AJ940" i="2" s="1"/>
  <c r="AI854" i="2"/>
  <c r="AH854" i="2"/>
  <c r="AG854" i="2"/>
  <c r="AF854" i="2"/>
  <c r="AE854" i="2"/>
  <c r="AD854" i="2"/>
  <c r="AC854" i="2"/>
  <c r="AB854" i="2"/>
  <c r="AA854" i="2"/>
  <c r="Z854" i="2"/>
  <c r="Y854" i="2"/>
  <c r="AH783" i="2"/>
  <c r="AI736" i="2" l="1"/>
  <c r="AI733" i="2" s="1"/>
  <c r="AH736" i="2"/>
  <c r="W736" i="2"/>
  <c r="AH728" i="2"/>
  <c r="W728" i="2"/>
  <c r="AG380" i="2"/>
  <c r="AD379" i="2"/>
  <c r="AA379" i="2"/>
  <c r="W1118" i="2" l="1"/>
  <c r="W733" i="2"/>
  <c r="AH1118" i="2"/>
  <c r="AH733" i="2"/>
  <c r="AI1118" i="2"/>
  <c r="AI879" i="2"/>
  <c r="AI880" i="2" s="1"/>
  <c r="AJ1108" i="2"/>
  <c r="AJ1139" i="2" s="1"/>
  <c r="AJ1025" i="2"/>
  <c r="AJ1028" i="2" s="1"/>
  <c r="AK1107" i="2" l="1"/>
  <c r="AK1140" i="2" s="1"/>
  <c r="AK1024" i="2"/>
  <c r="AL1024" i="2"/>
  <c r="AL462" i="2"/>
  <c r="AM462" i="2" s="1"/>
  <c r="AN462" i="2" s="1"/>
  <c r="AO462" i="2" s="1"/>
  <c r="AK1108" i="2" l="1"/>
  <c r="AK1139" i="2" s="1"/>
  <c r="AK1025" i="2"/>
  <c r="AK1028" i="2" s="1"/>
  <c r="AL1107" i="2"/>
  <c r="AL1140" i="2" s="1"/>
  <c r="AL927" i="2"/>
  <c r="AM927" i="2"/>
  <c r="AN927" i="2"/>
  <c r="AO927" i="2"/>
  <c r="AP927" i="2"/>
  <c r="AP928" i="2" s="1"/>
  <c r="AQ927" i="2"/>
  <c r="AQ928" i="2" s="1"/>
  <c r="AR927" i="2"/>
  <c r="AS927" i="2"/>
  <c r="AT927" i="2"/>
  <c r="AK927" i="2"/>
  <c r="AJ927" i="2"/>
  <c r="AI927" i="2"/>
  <c r="X927" i="2"/>
  <c r="Y927" i="2"/>
  <c r="Z927" i="2"/>
  <c r="AA927" i="2"/>
  <c r="AB927" i="2"/>
  <c r="AC927" i="2"/>
  <c r="AD927" i="2"/>
  <c r="AE927" i="2"/>
  <c r="AF927" i="2"/>
  <c r="AG927" i="2"/>
  <c r="AH927" i="2"/>
  <c r="Q927" i="2"/>
  <c r="R927" i="2"/>
  <c r="S927" i="2"/>
  <c r="T927" i="2"/>
  <c r="U927" i="2"/>
  <c r="V927" i="2"/>
  <c r="W927" i="2"/>
  <c r="AL1108" i="2" l="1"/>
  <c r="AL1139" i="2" s="1"/>
  <c r="AL1025" i="2"/>
  <c r="AL1028" i="2" s="1"/>
  <c r="O6" i="7" l="1"/>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5" i="7"/>
  <c r="Q6" i="7"/>
  <c r="Q8" i="7"/>
  <c r="Q9" i="7"/>
  <c r="Q10" i="7"/>
  <c r="Q11" i="7"/>
  <c r="Q12" i="7"/>
  <c r="Q13" i="7"/>
  <c r="Q14" i="7"/>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5" i="7"/>
  <c r="AG860" i="2" l="1"/>
  <c r="AG1112" i="2" s="1"/>
  <c r="AI1112" i="2"/>
  <c r="AH1112" i="2"/>
  <c r="K88" i="5"/>
  <c r="K94" i="5"/>
  <c r="G94" i="5" s="1"/>
  <c r="K99" i="5"/>
  <c r="G99" i="5" s="1"/>
  <c r="K104" i="5"/>
  <c r="G104" i="5" s="1"/>
  <c r="M140" i="5"/>
  <c r="M141" i="5"/>
  <c r="M142" i="5"/>
  <c r="M143" i="5"/>
  <c r="S143" i="5" s="1"/>
  <c r="M144" i="5"/>
  <c r="S144" i="5" s="1"/>
  <c r="V144" i="5" s="1"/>
  <c r="M145" i="5"/>
  <c r="S145" i="5" s="1"/>
  <c r="U145" i="5" s="1"/>
  <c r="M146" i="5"/>
  <c r="S146" i="5" s="1"/>
  <c r="M147" i="5"/>
  <c r="S147" i="5" s="1"/>
  <c r="M148" i="5"/>
  <c r="S148" i="5" s="1"/>
  <c r="M149" i="5"/>
  <c r="S149" i="5" s="1"/>
  <c r="M150" i="5"/>
  <c r="S150" i="5" s="1"/>
  <c r="U150" i="5" s="1"/>
  <c r="M151" i="5"/>
  <c r="S151" i="5" s="1"/>
  <c r="U151" i="5" s="1"/>
  <c r="M152" i="5"/>
  <c r="S152" i="5" s="1"/>
  <c r="M153" i="5"/>
  <c r="S153" i="5" s="1"/>
  <c r="K155" i="5"/>
  <c r="K161" i="5"/>
  <c r="AI747" i="2"/>
  <c r="AI745" i="2"/>
  <c r="AI1084" i="2" s="1"/>
  <c r="AG402" i="2"/>
  <c r="AH402" i="2"/>
  <c r="AI402" i="2"/>
  <c r="AG395" i="2"/>
  <c r="AH395" i="2"/>
  <c r="AI395" i="2"/>
  <c r="AH383" i="2"/>
  <c r="AI383" i="2"/>
  <c r="AH384" i="2"/>
  <c r="AI384" i="2"/>
  <c r="AH385" i="2"/>
  <c r="AI385" i="2"/>
  <c r="AH387" i="2"/>
  <c r="AI387" i="2"/>
  <c r="AH388" i="2"/>
  <c r="AI388" i="2"/>
  <c r="AH389" i="2"/>
  <c r="AI389" i="2"/>
  <c r="AH376" i="2"/>
  <c r="AH377" i="2" s="1"/>
  <c r="AI376" i="2"/>
  <c r="AI377" i="2" s="1"/>
  <c r="AH380" i="2"/>
  <c r="AI380" i="2"/>
  <c r="AH360" i="2"/>
  <c r="AI360" i="2"/>
  <c r="AH361" i="2"/>
  <c r="AI361" i="2"/>
  <c r="AH323" i="2"/>
  <c r="AH324" i="2" s="1"/>
  <c r="AH325" i="2" s="1"/>
  <c r="AI323" i="2"/>
  <c r="AI324" i="2" s="1"/>
  <c r="AI325" i="2" s="1"/>
  <c r="AI868" i="2"/>
  <c r="AI867" i="2"/>
  <c r="AI1114" i="2"/>
  <c r="AI863" i="2"/>
  <c r="AI859" i="2"/>
  <c r="K87" i="5" l="1"/>
  <c r="K159" i="5"/>
  <c r="M161" i="5"/>
  <c r="K154" i="5"/>
  <c r="T160" i="5"/>
  <c r="AI908" i="2"/>
  <c r="AI746" i="2"/>
  <c r="AI1113" i="2"/>
  <c r="AI1111" i="2" s="1"/>
  <c r="AI396" i="2"/>
  <c r="M155" i="5"/>
  <c r="T155" i="5" s="1"/>
  <c r="AH396" i="2"/>
  <c r="AE418" i="2" l="1"/>
  <c r="AF418" i="2"/>
  <c r="AG418" i="2"/>
  <c r="AH418" i="2"/>
  <c r="AE419" i="2"/>
  <c r="AF419" i="2"/>
  <c r="AG419" i="2"/>
  <c r="AH419" i="2"/>
  <c r="AE420" i="2"/>
  <c r="AF420" i="2"/>
  <c r="AG420" i="2"/>
  <c r="AH420" i="2"/>
  <c r="AE421" i="2"/>
  <c r="AF421" i="2"/>
  <c r="AG421" i="2"/>
  <c r="AH421" i="2"/>
  <c r="AE423" i="2"/>
  <c r="AE422" i="2" s="1"/>
  <c r="AF423" i="2"/>
  <c r="AF422" i="2" s="1"/>
  <c r="AG423" i="2"/>
  <c r="AG422" i="2" s="1"/>
  <c r="AH423" i="2"/>
  <c r="AH422" i="2" s="1"/>
  <c r="AI1083" i="2" l="1"/>
  <c r="AI983" i="2"/>
  <c r="X983" i="2" s="1"/>
  <c r="AI982" i="2"/>
  <c r="X982" i="2" s="1"/>
  <c r="AI975" i="2"/>
  <c r="AI971" i="2"/>
  <c r="AI738" i="2" l="1"/>
  <c r="AI1109" i="2"/>
  <c r="AI740" i="2"/>
  <c r="AI751" i="2" s="1"/>
  <c r="AI739" i="2"/>
  <c r="AI737" i="2" s="1"/>
  <c r="Q183" i="5"/>
  <c r="Q182" i="5"/>
  <c r="Q181" i="5"/>
  <c r="Q176" i="5"/>
  <c r="Q170" i="5"/>
  <c r="Q171" i="5"/>
  <c r="Q172" i="5"/>
  <c r="Q173" i="5"/>
  <c r="Q174" i="5"/>
  <c r="Q175" i="5"/>
  <c r="Q169" i="5"/>
  <c r="Q168" i="5"/>
  <c r="Q166" i="5"/>
  <c r="Q167" i="5"/>
  <c r="Q165" i="5"/>
  <c r="V165" i="5" s="1"/>
  <c r="Q164" i="5"/>
  <c r="Q163" i="5"/>
  <c r="Q154" i="5"/>
  <c r="Q153" i="5"/>
  <c r="Q152" i="5"/>
  <c r="Q145" i="5"/>
  <c r="Q146" i="5"/>
  <c r="Q147" i="5"/>
  <c r="Q148" i="5"/>
  <c r="Q149" i="5"/>
  <c r="Q150" i="5"/>
  <c r="Q151" i="5"/>
  <c r="Q144" i="5"/>
  <c r="Q143" i="5"/>
  <c r="Q139" i="5"/>
  <c r="Q138" i="5"/>
  <c r="Q137" i="5"/>
  <c r="Q132" i="5"/>
  <c r="Q123" i="5"/>
  <c r="Q112" i="5"/>
  <c r="Q86" i="5"/>
  <c r="Q85" i="5"/>
  <c r="X957" i="2"/>
  <c r="AI400" i="2"/>
  <c r="AI853" i="2"/>
  <c r="AI856" i="2" s="1"/>
  <c r="AJ856" i="2" s="1"/>
  <c r="AI827" i="2"/>
  <c r="AI828" i="2"/>
  <c r="AI952" i="2"/>
  <c r="AI865" i="2" l="1"/>
  <c r="AI829" i="2"/>
  <c r="AI406" i="2"/>
  <c r="AI410" i="2" s="1"/>
  <c r="AI741" i="2"/>
  <c r="AI866" i="2" s="1"/>
  <c r="AI1115" i="2" s="1"/>
  <c r="AI831" i="2"/>
  <c r="AJ585" i="2" l="1"/>
  <c r="T45" i="7" s="1"/>
  <c r="AI744" i="2"/>
  <c r="AJ630" i="2" l="1"/>
  <c r="AI397" i="2"/>
  <c r="AI938" i="2"/>
  <c r="AI924" i="2" l="1"/>
  <c r="AI926" i="2"/>
  <c r="AI404" i="2" s="1"/>
  <c r="AI403" i="2"/>
  <c r="AC34" i="12" l="1"/>
  <c r="Y1211" i="2" l="1"/>
  <c r="Z1211" i="2" s="1"/>
  <c r="AA1211" i="2" s="1"/>
  <c r="AB1211" i="2" l="1"/>
  <c r="AC1211" i="2" s="1"/>
  <c r="AD1211" i="2" s="1"/>
  <c r="AE1211" i="2" s="1"/>
  <c r="AF1211" i="2" s="1"/>
  <c r="AG1211" i="2" s="1"/>
  <c r="AH1211" i="2" s="1"/>
  <c r="F630" i="2"/>
  <c r="E623" i="2"/>
  <c r="F623" i="2" s="1"/>
  <c r="E621" i="2"/>
  <c r="F621" i="2" s="1"/>
  <c r="F615" i="2"/>
  <c r="F628" i="2"/>
  <c r="F627" i="2"/>
  <c r="F626" i="2"/>
  <c r="F625" i="2"/>
  <c r="F624" i="2"/>
  <c r="F622" i="2"/>
  <c r="F620" i="2"/>
  <c r="F619" i="2"/>
  <c r="F618" i="2"/>
  <c r="F617" i="2"/>
  <c r="F616" i="2"/>
  <c r="F612" i="2"/>
  <c r="F611" i="2"/>
  <c r="F610" i="2"/>
  <c r="F601" i="2"/>
  <c r="F600" i="2"/>
  <c r="F598" i="2"/>
  <c r="F597" i="2"/>
  <c r="F596" i="2"/>
  <c r="F595" i="2"/>
  <c r="F594" i="2"/>
  <c r="C5" i="12"/>
  <c r="C6" i="12" s="1"/>
  <c r="C7" i="12" s="1"/>
  <c r="C8" i="12" s="1"/>
  <c r="C9" i="12" s="1"/>
  <c r="AH34" i="12"/>
  <c r="AI34" i="12"/>
  <c r="AG34" i="12"/>
  <c r="AE34" i="12"/>
  <c r="AF34" i="12"/>
  <c r="AD34" i="12"/>
  <c r="AB34" i="12"/>
  <c r="AA34" i="12"/>
  <c r="F593" i="2" l="1"/>
  <c r="E593" i="2" s="1"/>
  <c r="F599" i="2"/>
  <c r="E599" i="2" s="1"/>
  <c r="AI1211" i="2"/>
  <c r="AJ1211" i="2" s="1"/>
  <c r="AK1211" i="2" s="1"/>
  <c r="AL1211" i="2" s="1"/>
  <c r="AM1211" i="2" s="1"/>
  <c r="F613" i="2"/>
  <c r="E613" i="2" s="1"/>
  <c r="AH41" i="12"/>
  <c r="AI41" i="12"/>
  <c r="AJ41" i="12"/>
  <c r="AK41" i="12"/>
  <c r="AL41" i="12"/>
  <c r="AM41" i="12"/>
  <c r="AN41" i="12"/>
  <c r="AO41" i="12"/>
  <c r="AP41" i="12"/>
  <c r="AQ41" i="12"/>
  <c r="AR41" i="12"/>
  <c r="AS41" i="12"/>
  <c r="AT41" i="12"/>
  <c r="AU41" i="12"/>
  <c r="AV41" i="12"/>
  <c r="AW41" i="12"/>
  <c r="AX41" i="12"/>
  <c r="AY41" i="12"/>
  <c r="AZ41" i="12"/>
  <c r="BA41" i="12"/>
  <c r="BB41" i="12"/>
  <c r="BC41" i="12"/>
  <c r="BD41" i="12"/>
  <c r="BE41" i="12"/>
  <c r="BF41" i="12"/>
  <c r="BG41" i="12"/>
  <c r="BH41" i="12"/>
  <c r="BI41" i="12"/>
  <c r="BJ41" i="12"/>
  <c r="BK41" i="12"/>
  <c r="AG41" i="12"/>
  <c r="F591" i="2" l="1"/>
  <c r="E591" i="2" s="1"/>
  <c r="J46" i="12"/>
  <c r="AI50" i="12"/>
  <c r="AI51" i="12"/>
  <c r="AI52" i="12"/>
  <c r="AI73" i="12"/>
  <c r="W14" i="12"/>
  <c r="X14" i="12" s="1"/>
  <c r="Y14" i="12" s="1"/>
  <c r="Z14" i="12" s="1"/>
  <c r="AA14" i="12" s="1"/>
  <c r="AB14" i="12" s="1"/>
  <c r="AC14" i="12" s="1"/>
  <c r="AD14" i="12" s="1"/>
  <c r="AE14" i="12" s="1"/>
  <c r="AF14" i="12" s="1"/>
  <c r="AG14" i="12" s="1"/>
  <c r="AH14" i="12" s="1"/>
  <c r="AI14" i="12" s="1"/>
  <c r="AJ14" i="12" s="1"/>
  <c r="AK14" i="12" s="1"/>
  <c r="AL14" i="12" s="1"/>
  <c r="AM14" i="12" s="1"/>
  <c r="AN14" i="12" s="1"/>
  <c r="AO14" i="12" s="1"/>
  <c r="AP14" i="12" s="1"/>
  <c r="AQ14" i="12" s="1"/>
  <c r="AR14" i="12" s="1"/>
  <c r="AS14" i="12" s="1"/>
  <c r="AT14" i="12" s="1"/>
  <c r="AU14" i="12" s="1"/>
  <c r="AV14" i="12" s="1"/>
  <c r="AW14" i="12" s="1"/>
  <c r="AX14" i="12" s="1"/>
  <c r="AY14" i="12" s="1"/>
  <c r="AZ14" i="12" s="1"/>
  <c r="BA14" i="12" s="1"/>
  <c r="BB14" i="12" s="1"/>
  <c r="BC14" i="12" s="1"/>
  <c r="BD14" i="12" s="1"/>
  <c r="BE14" i="12" s="1"/>
  <c r="BF14" i="12" s="1"/>
  <c r="BG14" i="12" s="1"/>
  <c r="BH14" i="12" s="1"/>
  <c r="BI14" i="12" s="1"/>
  <c r="BJ14" i="12" s="1"/>
  <c r="BK14" i="12" s="1"/>
  <c r="BL14" i="12" s="1"/>
  <c r="BM14" i="12" s="1"/>
  <c r="BN14" i="12" s="1"/>
  <c r="BO14" i="12" s="1"/>
  <c r="BP14" i="12" s="1"/>
  <c r="BQ14" i="12" s="1"/>
  <c r="BR14" i="12" s="1"/>
  <c r="BS14" i="12" s="1"/>
  <c r="BT14" i="12" s="1"/>
  <c r="BU14" i="12" s="1"/>
  <c r="BV14" i="12" s="1"/>
  <c r="BW14" i="12" s="1"/>
  <c r="BX14" i="12" s="1"/>
  <c r="BY14" i="12" s="1"/>
  <c r="BZ14" i="12" s="1"/>
  <c r="CA14" i="12" s="1"/>
  <c r="CB14" i="12" s="1"/>
  <c r="CC14" i="12" s="1"/>
  <c r="CD14" i="12" s="1"/>
  <c r="CE14" i="12" s="1"/>
  <c r="CF14" i="12" s="1"/>
  <c r="CG14" i="12" s="1"/>
  <c r="U14" i="12"/>
  <c r="T14" i="12" s="1"/>
  <c r="S14" i="12" s="1"/>
  <c r="R14" i="12" s="1"/>
  <c r="Q14" i="12" s="1"/>
  <c r="P14" i="12" s="1"/>
  <c r="O14" i="12" s="1"/>
  <c r="N14" i="12" s="1"/>
  <c r="M14" i="12" s="1"/>
  <c r="L14" i="12" s="1"/>
  <c r="K14" i="12" s="1"/>
  <c r="J14" i="12" s="1"/>
  <c r="I14" i="12" s="1"/>
  <c r="H14" i="12" s="1"/>
  <c r="G14" i="12" s="1"/>
  <c r="F14" i="12" s="1"/>
  <c r="AC380" i="2" l="1"/>
  <c r="AB380" i="2"/>
  <c r="AA380" i="2"/>
  <c r="Z380" i="2"/>
  <c r="Y380" i="2"/>
  <c r="X380" i="2"/>
  <c r="W380" i="2"/>
  <c r="AF380" i="2"/>
  <c r="AE380" i="2"/>
  <c r="AD380" i="2"/>
  <c r="T42" i="2"/>
  <c r="S42" i="2" s="1"/>
  <c r="R42" i="2" s="1"/>
  <c r="Q42" i="2" s="1"/>
  <c r="P42" i="2" s="1"/>
  <c r="O42" i="2" s="1"/>
  <c r="N42" i="2" s="1"/>
  <c r="M42" i="2" s="1"/>
  <c r="L42" i="2" s="1"/>
  <c r="K42" i="2" s="1"/>
  <c r="AJ52" i="12"/>
  <c r="AK52" i="12"/>
  <c r="AL52" i="12"/>
  <c r="AM52" i="12"/>
  <c r="AN52" i="12"/>
  <c r="AJ51" i="12"/>
  <c r="AK51" i="12"/>
  <c r="AL51" i="12"/>
  <c r="AM51" i="12"/>
  <c r="AN51" i="12"/>
  <c r="AJ50" i="12"/>
  <c r="AK50" i="12"/>
  <c r="AL50" i="12"/>
  <c r="AM50" i="12"/>
  <c r="AN50" i="12"/>
  <c r="Z46" i="12"/>
  <c r="AA46" i="12"/>
  <c r="AB46" i="12"/>
  <c r="AC46" i="12"/>
  <c r="AD46" i="12"/>
  <c r="AE46" i="12"/>
  <c r="AF46" i="12"/>
  <c r="AG46" i="12"/>
  <c r="AH46" i="12"/>
  <c r="Q46" i="12"/>
  <c r="R46" i="12"/>
  <c r="S46" i="12"/>
  <c r="T46" i="12"/>
  <c r="U46" i="12"/>
  <c r="V46" i="12"/>
  <c r="W46" i="12"/>
  <c r="X46" i="12"/>
  <c r="Y46" i="12"/>
  <c r="K46" i="12"/>
  <c r="L46" i="12"/>
  <c r="M46" i="12"/>
  <c r="N46" i="12"/>
  <c r="O46" i="12"/>
  <c r="P46" i="12"/>
  <c r="AE390" i="2"/>
  <c r="AF390" i="2" s="1"/>
  <c r="AG390" i="2" s="1"/>
  <c r="AH390" i="2" s="1"/>
  <c r="AP1224" i="2"/>
  <c r="AQ1224" i="2"/>
  <c r="AR1224" i="2"/>
  <c r="AS1224" i="2"/>
  <c r="AT1224" i="2"/>
  <c r="AP1227" i="2"/>
  <c r="AQ1227" i="2"/>
  <c r="AR1227" i="2"/>
  <c r="AS1227" i="2"/>
  <c r="AT1227" i="2"/>
  <c r="AP1229" i="2"/>
  <c r="AQ1229" i="2"/>
  <c r="AR1229" i="2"/>
  <c r="AS1229" i="2"/>
  <c r="AT1229" i="2"/>
  <c r="AP1233" i="2"/>
  <c r="AQ1233" i="2"/>
  <c r="AR1233" i="2"/>
  <c r="AS1233" i="2"/>
  <c r="AT1233" i="2"/>
  <c r="AP1234" i="2"/>
  <c r="AQ1234" i="2"/>
  <c r="AR1234" i="2"/>
  <c r="AS1234" i="2"/>
  <c r="AT1234" i="2"/>
  <c r="AP1235" i="2"/>
  <c r="AQ1235" i="2"/>
  <c r="AR1235" i="2"/>
  <c r="AS1235" i="2"/>
  <c r="AT1235" i="2"/>
  <c r="AP1236" i="2"/>
  <c r="AQ1236" i="2"/>
  <c r="AR1236" i="2"/>
  <c r="AS1236" i="2"/>
  <c r="AT1236" i="2"/>
  <c r="AP1237" i="2"/>
  <c r="AQ1237" i="2"/>
  <c r="AR1237" i="2"/>
  <c r="AS1237" i="2"/>
  <c r="AT1237" i="2"/>
  <c r="AP1238" i="2"/>
  <c r="AQ1238" i="2"/>
  <c r="AR1238" i="2"/>
  <c r="AS1238" i="2"/>
  <c r="AT1238" i="2"/>
  <c r="AC752" i="2"/>
  <c r="AI1085" i="2"/>
  <c r="AI1086" i="2" s="1"/>
  <c r="AB752" i="2"/>
  <c r="AI390" i="2" l="1"/>
  <c r="AI743" i="2"/>
  <c r="AN376" i="2"/>
  <c r="AM376" i="2"/>
  <c r="AO93" i="12"/>
  <c r="E86" i="12"/>
  <c r="E84" i="12"/>
  <c r="E83" i="12"/>
  <c r="E82" i="12"/>
  <c r="E81" i="12"/>
  <c r="AO79" i="12"/>
  <c r="D79" i="12"/>
  <c r="V78" i="12"/>
  <c r="AO73" i="12"/>
  <c r="AO72" i="12" s="1"/>
  <c r="AN73" i="12"/>
  <c r="AN72" i="12" s="1"/>
  <c r="AM73" i="12"/>
  <c r="AM72" i="12" s="1"/>
  <c r="AL73" i="12"/>
  <c r="AL72" i="12" s="1"/>
  <c r="AK73" i="12"/>
  <c r="AK72" i="12" s="1"/>
  <c r="AJ73" i="12"/>
  <c r="AJ72" i="12" s="1"/>
  <c r="AH73" i="12"/>
  <c r="AH72" i="12" s="1"/>
  <c r="AG73" i="12"/>
  <c r="AG72" i="12" s="1"/>
  <c r="AF73" i="12"/>
  <c r="AF72" i="12" s="1"/>
  <c r="AE73" i="12"/>
  <c r="AE72" i="12" s="1"/>
  <c r="AD73" i="12"/>
  <c r="AD72" i="12" s="1"/>
  <c r="AC73" i="12"/>
  <c r="AC72" i="12" s="1"/>
  <c r="AB73" i="12"/>
  <c r="AB72" i="12" s="1"/>
  <c r="AA73" i="12"/>
  <c r="AA72" i="12" s="1"/>
  <c r="Z73" i="12"/>
  <c r="Z72" i="12" s="1"/>
  <c r="Y73" i="12"/>
  <c r="Y72" i="12" s="1"/>
  <c r="X73" i="12"/>
  <c r="X72" i="12" s="1"/>
  <c r="W73" i="12"/>
  <c r="W72" i="12" s="1"/>
  <c r="V73" i="12"/>
  <c r="V72" i="12" s="1"/>
  <c r="U73" i="12"/>
  <c r="U72" i="12" s="1"/>
  <c r="T73" i="12"/>
  <c r="T72" i="12" s="1"/>
  <c r="S73" i="12"/>
  <c r="R73" i="12"/>
  <c r="R72" i="12" s="1"/>
  <c r="Q73" i="12"/>
  <c r="Q72" i="12" s="1"/>
  <c r="P73" i="12"/>
  <c r="P72" i="12" s="1"/>
  <c r="O73" i="12"/>
  <c r="O72" i="12" s="1"/>
  <c r="N73" i="12"/>
  <c r="N72" i="12" s="1"/>
  <c r="M73" i="12"/>
  <c r="M72" i="12" s="1"/>
  <c r="L73" i="12"/>
  <c r="L72" i="12" s="1"/>
  <c r="K73" i="12"/>
  <c r="K72" i="12" s="1"/>
  <c r="J73" i="12"/>
  <c r="J72" i="12" s="1"/>
  <c r="AH70" i="12"/>
  <c r="AG70" i="12"/>
  <c r="AF70" i="12"/>
  <c r="AE70" i="12"/>
  <c r="AD70" i="12"/>
  <c r="AC70" i="12"/>
  <c r="AB70" i="12"/>
  <c r="AA70" i="12"/>
  <c r="Z70" i="12"/>
  <c r="Y70" i="12"/>
  <c r="X70" i="12"/>
  <c r="W70" i="12"/>
  <c r="V70" i="12"/>
  <c r="U70" i="12"/>
  <c r="T70" i="12"/>
  <c r="S70" i="12"/>
  <c r="S69" i="12" s="1"/>
  <c r="R70" i="12"/>
  <c r="Q70" i="12"/>
  <c r="P70" i="12"/>
  <c r="O70" i="12"/>
  <c r="N70" i="12"/>
  <c r="M70" i="12"/>
  <c r="L70" i="12"/>
  <c r="K70" i="12"/>
  <c r="J70" i="12"/>
  <c r="AH68" i="12"/>
  <c r="AG68" i="12"/>
  <c r="AF68" i="12"/>
  <c r="AE68" i="12"/>
  <c r="AD68" i="12"/>
  <c r="AC68" i="12"/>
  <c r="AB68" i="12"/>
  <c r="AA68" i="12"/>
  <c r="Z68" i="12"/>
  <c r="Y68" i="12"/>
  <c r="X68" i="12"/>
  <c r="W68" i="12"/>
  <c r="V68" i="12"/>
  <c r="U68" i="12"/>
  <c r="T68" i="12"/>
  <c r="S68" i="12"/>
  <c r="R68" i="12"/>
  <c r="Q68" i="12"/>
  <c r="P68" i="12"/>
  <c r="O68" i="12"/>
  <c r="N68" i="12"/>
  <c r="M68" i="12"/>
  <c r="L68" i="12"/>
  <c r="K68" i="12"/>
  <c r="J68" i="12"/>
  <c r="W63" i="12"/>
  <c r="W79" i="12" s="1"/>
  <c r="V63" i="12"/>
  <c r="V79" i="12" s="1"/>
  <c r="U63" i="12"/>
  <c r="U79" i="12" s="1"/>
  <c r="T63" i="12"/>
  <c r="T79" i="12" s="1"/>
  <c r="S63" i="12"/>
  <c r="S79" i="12" s="1"/>
  <c r="P63" i="12"/>
  <c r="P79" i="12" s="1"/>
  <c r="O63" i="12"/>
  <c r="O79" i="12" s="1"/>
  <c r="N63" i="12"/>
  <c r="N79" i="12" s="1"/>
  <c r="M63" i="12"/>
  <c r="L63" i="12"/>
  <c r="K63" i="12"/>
  <c r="V62" i="12"/>
  <c r="AH63" i="12"/>
  <c r="AF63" i="12"/>
  <c r="AE63" i="12"/>
  <c r="AD63" i="12"/>
  <c r="AC63" i="12"/>
  <c r="AA63" i="12"/>
  <c r="V44" i="12"/>
  <c r="W3" i="12"/>
  <c r="W78" i="12" s="1"/>
  <c r="U3" i="12"/>
  <c r="U62" i="12" s="1"/>
  <c r="AI1119" i="2" l="1"/>
  <c r="AI1117" i="2" s="1"/>
  <c r="AI1116" i="2"/>
  <c r="AD69" i="12"/>
  <c r="AQ1232" i="2"/>
  <c r="L69" i="12"/>
  <c r="AE69" i="12"/>
  <c r="AF69" i="12"/>
  <c r="AG69" i="12"/>
  <c r="T3" i="12"/>
  <c r="T62" i="12" s="1"/>
  <c r="O69" i="12"/>
  <c r="W44" i="12"/>
  <c r="V69" i="12"/>
  <c r="AB69" i="12"/>
  <c r="M69" i="12"/>
  <c r="N69" i="12"/>
  <c r="U44" i="12"/>
  <c r="AH69" i="12"/>
  <c r="AC69" i="12"/>
  <c r="T69" i="12"/>
  <c r="U69" i="12"/>
  <c r="W69" i="12"/>
  <c r="X69" i="12"/>
  <c r="Y69" i="12"/>
  <c r="Z69" i="12"/>
  <c r="AA69" i="12"/>
  <c r="R69" i="12"/>
  <c r="J69" i="12"/>
  <c r="Q69" i="12"/>
  <c r="U78" i="12"/>
  <c r="K69" i="12"/>
  <c r="P69" i="12"/>
  <c r="W62" i="12"/>
  <c r="AA79" i="12"/>
  <c r="AC79" i="12"/>
  <c r="AD79" i="12"/>
  <c r="AE79" i="12"/>
  <c r="AF79" i="12"/>
  <c r="AH79" i="12"/>
  <c r="AB63" i="12"/>
  <c r="E46" i="12"/>
  <c r="K79" i="12"/>
  <c r="X63" i="12"/>
  <c r="AG63" i="12"/>
  <c r="L79" i="12"/>
  <c r="Y63" i="12"/>
  <c r="M79" i="12"/>
  <c r="X3" i="12"/>
  <c r="Z63" i="12"/>
  <c r="Q63" i="12"/>
  <c r="R63" i="12"/>
  <c r="AP1232" i="2" l="1"/>
  <c r="AR1232" i="2"/>
  <c r="T44" i="12"/>
  <c r="T78" i="12"/>
  <c r="S3" i="12"/>
  <c r="Z79" i="12"/>
  <c r="X78" i="12"/>
  <c r="X62" i="12"/>
  <c r="X44" i="12"/>
  <c r="Y3" i="12"/>
  <c r="R79" i="12"/>
  <c r="Q79" i="12"/>
  <c r="AG79" i="12"/>
  <c r="AB79" i="12"/>
  <c r="Y79" i="12"/>
  <c r="X79" i="12"/>
  <c r="AI79" i="12" l="1"/>
  <c r="AS1232" i="2"/>
  <c r="S44" i="12"/>
  <c r="S78" i="12"/>
  <c r="R3" i="12"/>
  <c r="S62" i="12"/>
  <c r="Y78" i="12"/>
  <c r="Y62" i="12"/>
  <c r="Y44" i="12"/>
  <c r="Z3" i="12"/>
  <c r="AT1232" i="2" l="1"/>
  <c r="R62" i="12"/>
  <c r="R44" i="12"/>
  <c r="R78" i="12"/>
  <c r="Q3" i="12"/>
  <c r="Z78" i="12"/>
  <c r="Z44" i="12"/>
  <c r="Z62" i="12"/>
  <c r="AA3" i="12"/>
  <c r="Q44" i="12" l="1"/>
  <c r="Q62" i="12"/>
  <c r="Q78" i="12"/>
  <c r="P3" i="12"/>
  <c r="AA44" i="12"/>
  <c r="AA78" i="12"/>
  <c r="AA62" i="12"/>
  <c r="AB3" i="12"/>
  <c r="O3" i="12" l="1"/>
  <c r="P44" i="12"/>
  <c r="P62" i="12"/>
  <c r="P78" i="12"/>
  <c r="AB44" i="12"/>
  <c r="AB78" i="12"/>
  <c r="AB62" i="12"/>
  <c r="AC3" i="12"/>
  <c r="O44" i="12" l="1"/>
  <c r="O62" i="12"/>
  <c r="N3" i="12"/>
  <c r="O78" i="12"/>
  <c r="AC78" i="12"/>
  <c r="AC62" i="12"/>
  <c r="AC44" i="12"/>
  <c r="AD3" i="12"/>
  <c r="N62" i="12" l="1"/>
  <c r="M3" i="12"/>
  <c r="N44" i="12"/>
  <c r="N78" i="12"/>
  <c r="AD44" i="12"/>
  <c r="AD62" i="12"/>
  <c r="AE3" i="12"/>
  <c r="AD78" i="12"/>
  <c r="M62" i="12" l="1"/>
  <c r="L3" i="12"/>
  <c r="M78" i="12"/>
  <c r="M44" i="12"/>
  <c r="AE44" i="12"/>
  <c r="AE62" i="12"/>
  <c r="AF3" i="12"/>
  <c r="AE78" i="12"/>
  <c r="L62" i="12" l="1"/>
  <c r="L44" i="12"/>
  <c r="L78" i="12"/>
  <c r="K3" i="12"/>
  <c r="AF44" i="12"/>
  <c r="AG3" i="12"/>
  <c r="AF62" i="12"/>
  <c r="AF78" i="12"/>
  <c r="K62" i="12" l="1"/>
  <c r="K44" i="12"/>
  <c r="K78" i="12"/>
  <c r="J3" i="12"/>
  <c r="AH3" i="12"/>
  <c r="AG62" i="12"/>
  <c r="AG44" i="12"/>
  <c r="AG78" i="12"/>
  <c r="J44" i="12" l="1"/>
  <c r="J62" i="12"/>
  <c r="AI3" i="12"/>
  <c r="AH62" i="12"/>
  <c r="AH44" i="12"/>
  <c r="AH78" i="12"/>
  <c r="AI44" i="12" l="1"/>
  <c r="AI62" i="12"/>
  <c r="AJ3" i="12"/>
  <c r="AK3" i="12" l="1"/>
  <c r="AJ62" i="12"/>
  <c r="AJ44" i="12"/>
  <c r="AJ78" i="12"/>
  <c r="AK62" i="12" l="1"/>
  <c r="AK44" i="12"/>
  <c r="AK78" i="12"/>
  <c r="AL3" i="12"/>
  <c r="AL62" i="12" l="1"/>
  <c r="AL44" i="12"/>
  <c r="AL78" i="12"/>
  <c r="AM3" i="12"/>
  <c r="AM62" i="12" l="1"/>
  <c r="AM44" i="12"/>
  <c r="AM78" i="12"/>
  <c r="AN3" i="12"/>
  <c r="AO3" i="12" l="1"/>
  <c r="AN78" i="12"/>
  <c r="AN44" i="12"/>
  <c r="AN62" i="12"/>
  <c r="AP3" i="12" l="1"/>
  <c r="AQ3" i="12" s="1"/>
  <c r="AR3" i="12" s="1"/>
  <c r="AS3" i="12" s="1"/>
  <c r="AT3" i="12" s="1"/>
  <c r="AU3" i="12" s="1"/>
  <c r="AV3" i="12" s="1"/>
  <c r="AW3" i="12" s="1"/>
  <c r="AX3" i="12" s="1"/>
  <c r="AY3" i="12" s="1"/>
  <c r="AZ3" i="12" s="1"/>
  <c r="BA3" i="12" s="1"/>
  <c r="BB3" i="12" s="1"/>
  <c r="BC3" i="12" s="1"/>
  <c r="BD3" i="12" s="1"/>
  <c r="BE3" i="12" s="1"/>
  <c r="BF3" i="12" s="1"/>
  <c r="BG3" i="12" s="1"/>
  <c r="BH3" i="12" s="1"/>
  <c r="BI3" i="12" s="1"/>
  <c r="BJ3" i="12" s="1"/>
  <c r="BK3" i="12" s="1"/>
  <c r="AO78" i="12"/>
  <c r="AO62" i="12"/>
  <c r="AO44" i="12"/>
  <c r="AO745" i="2" l="1"/>
  <c r="AO1084" i="2" s="1"/>
  <c r="AP745" i="2"/>
  <c r="AP1084" i="2" s="1"/>
  <c r="AQ745" i="2"/>
  <c r="AQ1084" i="2" s="1"/>
  <c r="AR745" i="2"/>
  <c r="AR1084" i="2" s="1"/>
  <c r="AS745" i="2"/>
  <c r="AS1084" i="2" s="1"/>
  <c r="AT745" i="2"/>
  <c r="AT1084" i="2" s="1"/>
  <c r="AP747" i="2"/>
  <c r="AQ747" i="2"/>
  <c r="AR747" i="2"/>
  <c r="AS747" i="2"/>
  <c r="AT747" i="2"/>
  <c r="AP852" i="2"/>
  <c r="AP875" i="2" s="1"/>
  <c r="AQ852" i="2"/>
  <c r="AQ875" i="2" s="1"/>
  <c r="AR852" i="2"/>
  <c r="AR875" i="2" s="1"/>
  <c r="AS852" i="2"/>
  <c r="AS875" i="2" s="1"/>
  <c r="AT852" i="2"/>
  <c r="AT875" i="2" s="1"/>
  <c r="AP938" i="2"/>
  <c r="AQ938" i="2"/>
  <c r="AR938" i="2"/>
  <c r="AS938" i="2"/>
  <c r="AT938" i="2"/>
  <c r="AO924" i="2"/>
  <c r="AP924" i="2"/>
  <c r="AQ924" i="2"/>
  <c r="AR924" i="2"/>
  <c r="AS924" i="2"/>
  <c r="AT924" i="2"/>
  <c r="AO926" i="2"/>
  <c r="AP926" i="2"/>
  <c r="AQ926" i="2"/>
  <c r="AR926" i="2"/>
  <c r="AS926" i="2"/>
  <c r="AT926" i="2"/>
  <c r="AN924" i="2"/>
  <c r="AN402" i="2"/>
  <c r="AO402" i="2"/>
  <c r="AP679" i="2"/>
  <c r="AQ679" i="2"/>
  <c r="AR679" i="2"/>
  <c r="AS679" i="2"/>
  <c r="AT679" i="2"/>
  <c r="AP831" i="2"/>
  <c r="AO831" i="2"/>
  <c r="AQ831" i="2"/>
  <c r="AR831" i="2"/>
  <c r="AS831" i="2"/>
  <c r="AT831" i="2"/>
  <c r="BC509" i="2"/>
  <c r="BD509" i="2"/>
  <c r="BE509" i="2"/>
  <c r="BF509" i="2"/>
  <c r="BG509" i="2"/>
  <c r="BD508" i="2"/>
  <c r="BE508" i="2"/>
  <c r="BF508" i="2"/>
  <c r="BG508" i="2"/>
  <c r="AU485" i="2"/>
  <c r="AV485" i="2"/>
  <c r="AW485" i="2"/>
  <c r="AX485" i="2"/>
  <c r="AY485" i="2"/>
  <c r="AZ485" i="2"/>
  <c r="AU486" i="2"/>
  <c r="AV486" i="2"/>
  <c r="AW486" i="2"/>
  <c r="AX486" i="2"/>
  <c r="AY486" i="2"/>
  <c r="AZ486" i="2"/>
  <c r="AU487" i="2"/>
  <c r="AV487" i="2"/>
  <c r="AW487" i="2"/>
  <c r="AX487" i="2"/>
  <c r="AY487" i="2"/>
  <c r="AZ487" i="2"/>
  <c r="AZ484" i="2"/>
  <c r="AY484" i="2"/>
  <c r="AU484" i="2"/>
  <c r="AY459" i="2"/>
  <c r="BB459" i="2"/>
  <c r="BA459" i="2"/>
  <c r="AZ459" i="2"/>
  <c r="AV461" i="2"/>
  <c r="AW461" i="2"/>
  <c r="AX461" i="2"/>
  <c r="AY461" i="2"/>
  <c r="AZ461" i="2"/>
  <c r="BA461" i="2"/>
  <c r="BB461" i="2"/>
  <c r="BC461" i="2"/>
  <c r="BD461" i="2"/>
  <c r="BE461" i="2"/>
  <c r="BF461" i="2"/>
  <c r="BG461" i="2"/>
  <c r="AI482" i="2"/>
  <c r="AI481" i="2"/>
  <c r="AY481" i="2"/>
  <c r="AZ481" i="2"/>
  <c r="BA481" i="2"/>
  <c r="BD481" i="2"/>
  <c r="BE481" i="2"/>
  <c r="BF481" i="2"/>
  <c r="BG481" i="2"/>
  <c r="AY482" i="2"/>
  <c r="AZ482" i="2"/>
  <c r="BA482" i="2"/>
  <c r="BD482" i="2"/>
  <c r="BE482" i="2"/>
  <c r="BF482" i="2"/>
  <c r="BG482" i="2"/>
  <c r="AU480" i="2"/>
  <c r="AV480" i="2"/>
  <c r="AW480" i="2"/>
  <c r="AX480" i="2"/>
  <c r="AY480" i="2"/>
  <c r="AZ480" i="2"/>
  <c r="BA480" i="2"/>
  <c r="BB480" i="2"/>
  <c r="BC480" i="2"/>
  <c r="BD480" i="2"/>
  <c r="BE480" i="2"/>
  <c r="BF480" i="2"/>
  <c r="AU477" i="2"/>
  <c r="AV477" i="2"/>
  <c r="AW477" i="2"/>
  <c r="AX477" i="2"/>
  <c r="AY477" i="2"/>
  <c r="AZ477" i="2"/>
  <c r="BA477" i="2"/>
  <c r="BD477" i="2"/>
  <c r="BE477" i="2"/>
  <c r="BF477" i="2"/>
  <c r="AU478" i="2"/>
  <c r="AV478" i="2"/>
  <c r="AW478" i="2"/>
  <c r="AX478" i="2"/>
  <c r="AY478" i="2"/>
  <c r="AZ478" i="2"/>
  <c r="BA478" i="2"/>
  <c r="BB478" i="2"/>
  <c r="BC478" i="2"/>
  <c r="BD478" i="2"/>
  <c r="BE478" i="2"/>
  <c r="BF478" i="2"/>
  <c r="AU479" i="2"/>
  <c r="AV479" i="2"/>
  <c r="AW479" i="2"/>
  <c r="AX479" i="2"/>
  <c r="AY479" i="2"/>
  <c r="AZ479" i="2"/>
  <c r="BA479" i="2"/>
  <c r="BB479" i="2"/>
  <c r="BC479" i="2"/>
  <c r="BD479" i="2"/>
  <c r="BE479" i="2"/>
  <c r="BF479" i="2"/>
  <c r="AU474" i="2"/>
  <c r="AV474" i="2"/>
  <c r="AW474" i="2"/>
  <c r="AX474" i="2"/>
  <c r="AY474" i="2"/>
  <c r="AZ474" i="2"/>
  <c r="BA474" i="2"/>
  <c r="BB474" i="2"/>
  <c r="BC474" i="2"/>
  <c r="BD474" i="2"/>
  <c r="BE474" i="2"/>
  <c r="BF474" i="2"/>
  <c r="AU475" i="2"/>
  <c r="AV475" i="2"/>
  <c r="AW475" i="2"/>
  <c r="AX475" i="2"/>
  <c r="AY475" i="2"/>
  <c r="AZ475" i="2"/>
  <c r="BA475" i="2"/>
  <c r="BB475" i="2"/>
  <c r="BC475" i="2"/>
  <c r="BD475" i="2"/>
  <c r="BE475" i="2"/>
  <c r="BF475" i="2"/>
  <c r="AV473" i="2"/>
  <c r="AW473" i="2"/>
  <c r="AX473" i="2"/>
  <c r="AY473" i="2"/>
  <c r="AZ473" i="2"/>
  <c r="BA473" i="2"/>
  <c r="BB473" i="2"/>
  <c r="BC473" i="2"/>
  <c r="BD473" i="2"/>
  <c r="BE473" i="2"/>
  <c r="BF473" i="2"/>
  <c r="AU471" i="2"/>
  <c r="AV471" i="2"/>
  <c r="AW471" i="2"/>
  <c r="AX471" i="2"/>
  <c r="AY471" i="2"/>
  <c r="AZ471" i="2"/>
  <c r="BA471" i="2"/>
  <c r="BB471" i="2"/>
  <c r="BC471" i="2"/>
  <c r="BD471" i="2"/>
  <c r="BE471" i="2"/>
  <c r="BF471" i="2"/>
  <c r="BG471" i="2"/>
  <c r="AU466" i="2"/>
  <c r="AV466" i="2"/>
  <c r="AW466" i="2"/>
  <c r="AX466" i="2"/>
  <c r="AY466" i="2"/>
  <c r="AZ466" i="2"/>
  <c r="BA466" i="2"/>
  <c r="BB466" i="2"/>
  <c r="BC466" i="2"/>
  <c r="BD466" i="2"/>
  <c r="BE466" i="2"/>
  <c r="BF466" i="2"/>
  <c r="BG466" i="2"/>
  <c r="AU467" i="2"/>
  <c r="AV467" i="2"/>
  <c r="AW467" i="2"/>
  <c r="AX467" i="2"/>
  <c r="AY467" i="2"/>
  <c r="AZ467" i="2"/>
  <c r="BA467" i="2"/>
  <c r="BB467" i="2"/>
  <c r="BC467" i="2"/>
  <c r="BD467" i="2"/>
  <c r="BE467" i="2"/>
  <c r="BF467" i="2"/>
  <c r="BG467" i="2"/>
  <c r="AU468" i="2"/>
  <c r="AV468" i="2"/>
  <c r="AW468" i="2"/>
  <c r="AX468" i="2"/>
  <c r="AY468" i="2"/>
  <c r="AZ468" i="2"/>
  <c r="BA468" i="2"/>
  <c r="BB468" i="2"/>
  <c r="BC468" i="2"/>
  <c r="BD468" i="2"/>
  <c r="BE468" i="2"/>
  <c r="BF468" i="2"/>
  <c r="BG468" i="2"/>
  <c r="AY469" i="2"/>
  <c r="AZ469" i="2"/>
  <c r="BA469" i="2"/>
  <c r="BB469" i="2"/>
  <c r="BC469" i="2"/>
  <c r="BD469" i="2"/>
  <c r="BE469" i="2"/>
  <c r="BF469" i="2"/>
  <c r="BG469" i="2"/>
  <c r="AU470" i="2"/>
  <c r="AV470" i="2"/>
  <c r="AW470" i="2"/>
  <c r="AX470" i="2"/>
  <c r="AY470" i="2"/>
  <c r="AZ470" i="2"/>
  <c r="BA470" i="2"/>
  <c r="BB470" i="2"/>
  <c r="BC470" i="2"/>
  <c r="BD470" i="2"/>
  <c r="BE470" i="2"/>
  <c r="BF470" i="2"/>
  <c r="BG470" i="2"/>
  <c r="AY465" i="2"/>
  <c r="AZ465" i="2"/>
  <c r="BA465" i="2"/>
  <c r="BB465" i="2"/>
  <c r="BC465" i="2"/>
  <c r="BD465" i="2"/>
  <c r="BE465" i="2"/>
  <c r="BF465" i="2"/>
  <c r="BG465" i="2"/>
  <c r="AU465" i="2"/>
  <c r="AV465" i="2"/>
  <c r="AW465" i="2"/>
  <c r="AX465" i="2"/>
  <c r="BA463" i="2"/>
  <c r="AU463" i="2"/>
  <c r="AV463" i="2"/>
  <c r="AW463" i="2"/>
  <c r="AX463" i="2"/>
  <c r="AY463" i="2"/>
  <c r="AZ463" i="2"/>
  <c r="BB463" i="2"/>
  <c r="BC463" i="2"/>
  <c r="BD463" i="2"/>
  <c r="BE463" i="2"/>
  <c r="BF463" i="2"/>
  <c r="BG463" i="2"/>
  <c r="AU462" i="2"/>
  <c r="AV462" i="2"/>
  <c r="AW462" i="2"/>
  <c r="AX462" i="2"/>
  <c r="AY462" i="2"/>
  <c r="AZ462" i="2"/>
  <c r="BA462" i="2"/>
  <c r="BB462" i="2"/>
  <c r="BC462" i="2"/>
  <c r="BD462" i="2"/>
  <c r="BE462" i="2"/>
  <c r="BF462" i="2"/>
  <c r="BG462" i="2"/>
  <c r="E534" i="2"/>
  <c r="BH478" i="2" l="1"/>
  <c r="AN478" i="2" s="1"/>
  <c r="AO478" i="2" s="1"/>
  <c r="AO746" i="2"/>
  <c r="AT746" i="2"/>
  <c r="AS746" i="2"/>
  <c r="AR746" i="2"/>
  <c r="AQ746" i="2"/>
  <c r="AP746" i="2"/>
  <c r="BA487" i="2"/>
  <c r="AN487" i="2" s="1"/>
  <c r="AO487" i="2" s="1"/>
  <c r="AP487" i="2" s="1"/>
  <c r="AQ487" i="2" s="1"/>
  <c r="AR487" i="2" s="1"/>
  <c r="AS487" i="2" s="1"/>
  <c r="AT487" i="2" s="1"/>
  <c r="BH474" i="2"/>
  <c r="AN474" i="2" s="1"/>
  <c r="AO474" i="2" s="1"/>
  <c r="AP400" i="2"/>
  <c r="BH479" i="2"/>
  <c r="AN479" i="2" s="1"/>
  <c r="AO479" i="2" s="1"/>
  <c r="BA486" i="2"/>
  <c r="AN486" i="2" s="1"/>
  <c r="AO486" i="2" s="1"/>
  <c r="AP486" i="2" s="1"/>
  <c r="AQ486" i="2" s="1"/>
  <c r="AR486" i="2" s="1"/>
  <c r="AS486" i="2" s="1"/>
  <c r="AT486" i="2" s="1"/>
  <c r="BH461" i="2"/>
  <c r="AP461" i="2" s="1"/>
  <c r="AQ461" i="2" s="1"/>
  <c r="AR461" i="2" s="1"/>
  <c r="AS461" i="2" s="1"/>
  <c r="AT461" i="2" s="1"/>
  <c r="BH475" i="2"/>
  <c r="AN475" i="2" s="1"/>
  <c r="AO475" i="2" s="1"/>
  <c r="BH477" i="2"/>
  <c r="AN477" i="2" s="1"/>
  <c r="BH469" i="2"/>
  <c r="AP469" i="2" s="1"/>
  <c r="AQ469" i="2" s="1"/>
  <c r="AR469" i="2" s="1"/>
  <c r="AS469" i="2" s="1"/>
  <c r="AT469" i="2" s="1"/>
  <c r="BH468" i="2"/>
  <c r="BH481" i="2"/>
  <c r="AO481" i="2" s="1"/>
  <c r="BH466" i="2"/>
  <c r="AP466" i="2" s="1"/>
  <c r="AQ466" i="2" s="1"/>
  <c r="AR466" i="2" s="1"/>
  <c r="AS466" i="2" s="1"/>
  <c r="AT466" i="2" s="1"/>
  <c r="BH470" i="2"/>
  <c r="AP470" i="2" s="1"/>
  <c r="AQ470" i="2" s="1"/>
  <c r="AR470" i="2" s="1"/>
  <c r="AS470" i="2" s="1"/>
  <c r="AT470" i="2" s="1"/>
  <c r="BH463" i="2"/>
  <c r="AP463" i="2" s="1"/>
  <c r="AQ463" i="2" s="1"/>
  <c r="AR463" i="2" s="1"/>
  <c r="AS463" i="2" s="1"/>
  <c r="AT463" i="2" s="1"/>
  <c r="BA485" i="2"/>
  <c r="BH480" i="2"/>
  <c r="AN480" i="2" s="1"/>
  <c r="AO480" i="2" s="1"/>
  <c r="BH465" i="2"/>
  <c r="AP465" i="2" s="1"/>
  <c r="BH462" i="2"/>
  <c r="AP462" i="2" s="1"/>
  <c r="AQ462" i="2" s="1"/>
  <c r="AR462" i="2" s="1"/>
  <c r="AS462" i="2" s="1"/>
  <c r="AT462" i="2" s="1"/>
  <c r="BH471" i="2"/>
  <c r="AP471" i="2" s="1"/>
  <c r="AQ471" i="2" s="1"/>
  <c r="AR471" i="2" s="1"/>
  <c r="AS471" i="2" s="1"/>
  <c r="AT471" i="2" s="1"/>
  <c r="BH467" i="2"/>
  <c r="AP467" i="2" s="1"/>
  <c r="AQ467" i="2" s="1"/>
  <c r="AR467" i="2" s="1"/>
  <c r="AS467" i="2" s="1"/>
  <c r="AT467" i="2" s="1"/>
  <c r="AO477" i="2" l="1"/>
  <c r="AN476" i="2"/>
  <c r="AQ465" i="2"/>
  <c r="AQ460" i="2"/>
  <c r="AN485" i="2"/>
  <c r="AO485" i="2" s="1"/>
  <c r="AP485" i="2" s="1"/>
  <c r="AQ485" i="2" s="1"/>
  <c r="AR485" i="2" s="1"/>
  <c r="AS485" i="2" s="1"/>
  <c r="AT485" i="2" s="1"/>
  <c r="AP460" i="2"/>
  <c r="AR460" i="2"/>
  <c r="AR465" i="2" l="1"/>
  <c r="AS460" i="2"/>
  <c r="AT460" i="2"/>
  <c r="AS465" i="2" l="1"/>
  <c r="BA536" i="2"/>
  <c r="BB536" i="2"/>
  <c r="BC536" i="2"/>
  <c r="BD536" i="2"/>
  <c r="BE536" i="2"/>
  <c r="BF536" i="2"/>
  <c r="BG536" i="2"/>
  <c r="BA537" i="2"/>
  <c r="BB537" i="2"/>
  <c r="BC537" i="2"/>
  <c r="BD537" i="2"/>
  <c r="BE537" i="2"/>
  <c r="BF537" i="2"/>
  <c r="BG537" i="2"/>
  <c r="AY534" i="2"/>
  <c r="AZ534" i="2"/>
  <c r="AW536" i="2"/>
  <c r="AX536" i="2"/>
  <c r="AY536" i="2"/>
  <c r="AZ536" i="2"/>
  <c r="AY537" i="2"/>
  <c r="AZ537" i="2"/>
  <c r="AY521" i="2"/>
  <c r="AZ521" i="2"/>
  <c r="AV518" i="2"/>
  <c r="AY518" i="2"/>
  <c r="AZ518" i="2"/>
  <c r="BA518" i="2"/>
  <c r="BB518" i="2"/>
  <c r="BC518" i="2"/>
  <c r="BD518" i="2"/>
  <c r="BE518" i="2"/>
  <c r="BF518" i="2"/>
  <c r="BG518" i="2"/>
  <c r="AV519" i="2"/>
  <c r="AY519" i="2"/>
  <c r="AZ519" i="2"/>
  <c r="BA519" i="2"/>
  <c r="BB519" i="2"/>
  <c r="BC519" i="2"/>
  <c r="BD519" i="2"/>
  <c r="BE519" i="2"/>
  <c r="BF519" i="2"/>
  <c r="BG519" i="2"/>
  <c r="AV520" i="2"/>
  <c r="AY520" i="2"/>
  <c r="AZ520" i="2"/>
  <c r="BA520" i="2"/>
  <c r="BB520" i="2"/>
  <c r="BC520" i="2"/>
  <c r="BD520" i="2"/>
  <c r="BE520" i="2"/>
  <c r="BF520" i="2"/>
  <c r="BG520" i="2"/>
  <c r="AV521" i="2"/>
  <c r="BA521" i="2"/>
  <c r="BB521" i="2"/>
  <c r="BC521" i="2"/>
  <c r="BD521" i="2"/>
  <c r="BE521" i="2"/>
  <c r="BF521" i="2"/>
  <c r="BG521" i="2"/>
  <c r="AU518" i="2"/>
  <c r="AU519" i="2"/>
  <c r="AU520" i="2"/>
  <c r="AU521" i="2"/>
  <c r="AU530" i="2"/>
  <c r="AV530" i="2"/>
  <c r="AW530" i="2"/>
  <c r="AX530" i="2"/>
  <c r="AY530" i="2"/>
  <c r="AZ530" i="2"/>
  <c r="BA530" i="2"/>
  <c r="BB530" i="2"/>
  <c r="BC530" i="2"/>
  <c r="BD530" i="2"/>
  <c r="BE530" i="2"/>
  <c r="BF530" i="2"/>
  <c r="BG530" i="2"/>
  <c r="AY531" i="2"/>
  <c r="AZ531" i="2"/>
  <c r="BA531" i="2"/>
  <c r="BB531" i="2"/>
  <c r="BC531" i="2"/>
  <c r="BD531" i="2"/>
  <c r="BE531" i="2"/>
  <c r="BF531" i="2"/>
  <c r="BG531" i="2"/>
  <c r="AU532" i="2"/>
  <c r="AV532" i="2"/>
  <c r="AW532" i="2"/>
  <c r="AX532" i="2"/>
  <c r="AY532" i="2"/>
  <c r="AZ532" i="2"/>
  <c r="BA532" i="2"/>
  <c r="BB532" i="2"/>
  <c r="BC532" i="2"/>
  <c r="BD532" i="2"/>
  <c r="BE532" i="2"/>
  <c r="BF532" i="2"/>
  <c r="BG532" i="2"/>
  <c r="AU533" i="2"/>
  <c r="AV533" i="2"/>
  <c r="AW533" i="2"/>
  <c r="AX533" i="2"/>
  <c r="AY533" i="2"/>
  <c r="AZ533" i="2"/>
  <c r="BA533" i="2"/>
  <c r="BB533" i="2"/>
  <c r="BC533" i="2"/>
  <c r="BD533" i="2"/>
  <c r="BE533" i="2"/>
  <c r="BF533" i="2"/>
  <c r="BG533" i="2"/>
  <c r="BA534" i="2"/>
  <c r="BB534" i="2"/>
  <c r="BC534" i="2"/>
  <c r="BD534" i="2"/>
  <c r="BE534" i="2"/>
  <c r="BF534" i="2"/>
  <c r="BG534" i="2"/>
  <c r="BG529" i="2"/>
  <c r="AU529" i="2"/>
  <c r="BF529" i="2"/>
  <c r="BE529" i="2"/>
  <c r="BB529" i="2"/>
  <c r="BC529" i="2"/>
  <c r="BD529" i="2"/>
  <c r="BA529" i="2"/>
  <c r="AY529" i="2"/>
  <c r="AZ529" i="2"/>
  <c r="AV529" i="2"/>
  <c r="AW529" i="2"/>
  <c r="AX529" i="2"/>
  <c r="AV484" i="2"/>
  <c r="AW484" i="2"/>
  <c r="AX484" i="2"/>
  <c r="AU473" i="2"/>
  <c r="BH473" i="2" s="1"/>
  <c r="AN473" i="2" s="1"/>
  <c r="AU459" i="2"/>
  <c r="AV459" i="2"/>
  <c r="AW459" i="2"/>
  <c r="AX459" i="2"/>
  <c r="AX454" i="2"/>
  <c r="AW454" i="2"/>
  <c r="AV454" i="2"/>
  <c r="AU454" i="2"/>
  <c r="AX453" i="2"/>
  <c r="AW453" i="2"/>
  <c r="AV453" i="2"/>
  <c r="AI477" i="2"/>
  <c r="AI476" i="2" s="1"/>
  <c r="AU448" i="2"/>
  <c r="AV448" i="2"/>
  <c r="AW448" i="2"/>
  <c r="AX448" i="2"/>
  <c r="AU449" i="2"/>
  <c r="AV449" i="2"/>
  <c r="AW449" i="2"/>
  <c r="AX449" i="2"/>
  <c r="AU450" i="2"/>
  <c r="AV450" i="2"/>
  <c r="AW450" i="2"/>
  <c r="AX450" i="2"/>
  <c r="AX447" i="2"/>
  <c r="AW447" i="2"/>
  <c r="AV447" i="2"/>
  <c r="AU447" i="2"/>
  <c r="AY447" i="2" s="1"/>
  <c r="AP447" i="2" s="1"/>
  <c r="AU443" i="2"/>
  <c r="AV443" i="2"/>
  <c r="AW443" i="2"/>
  <c r="AX443" i="2"/>
  <c r="AU444" i="2"/>
  <c r="AV444" i="2"/>
  <c r="AW444" i="2"/>
  <c r="AX444" i="2"/>
  <c r="AX442" i="2"/>
  <c r="AW442" i="2"/>
  <c r="AV442" i="2"/>
  <c r="AU442" i="2"/>
  <c r="AV440" i="2"/>
  <c r="AW440" i="2"/>
  <c r="AX440" i="2"/>
  <c r="AU440" i="2"/>
  <c r="AU438" i="2"/>
  <c r="AV438" i="2"/>
  <c r="AW438" i="2"/>
  <c r="AX438" i="2"/>
  <c r="AU439" i="2"/>
  <c r="AV439" i="2"/>
  <c r="AW439" i="2"/>
  <c r="AX439" i="2"/>
  <c r="AX437" i="2"/>
  <c r="AW437" i="2"/>
  <c r="AV437" i="2"/>
  <c r="AU437" i="2"/>
  <c r="AU432" i="2"/>
  <c r="AV432" i="2"/>
  <c r="AW432" i="2"/>
  <c r="AX432" i="2"/>
  <c r="AU433" i="2"/>
  <c r="AV433" i="2"/>
  <c r="AW433" i="2"/>
  <c r="AX433" i="2"/>
  <c r="AU434" i="2"/>
  <c r="AV434" i="2"/>
  <c r="AW434" i="2"/>
  <c r="AX434" i="2"/>
  <c r="AU435" i="2"/>
  <c r="AV435" i="2"/>
  <c r="AW435" i="2"/>
  <c r="AX435" i="2"/>
  <c r="AP418" i="2"/>
  <c r="AP1154" i="2" s="1"/>
  <c r="AQ418" i="2"/>
  <c r="AQ1154" i="2" s="1"/>
  <c r="AR418" i="2"/>
  <c r="AR1154" i="2" s="1"/>
  <c r="AS418" i="2"/>
  <c r="AS1154" i="2" s="1"/>
  <c r="AT418" i="2"/>
  <c r="AT1154" i="2" s="1"/>
  <c r="AP419" i="2"/>
  <c r="AP1155" i="2" s="1"/>
  <c r="AQ419" i="2"/>
  <c r="AQ1155" i="2" s="1"/>
  <c r="AR419" i="2"/>
  <c r="AR1155" i="2" s="1"/>
  <c r="AS419" i="2"/>
  <c r="AS1155" i="2" s="1"/>
  <c r="AT419" i="2"/>
  <c r="AT1155" i="2" s="1"/>
  <c r="AP420" i="2"/>
  <c r="AP1156" i="2" s="1"/>
  <c r="AQ420" i="2"/>
  <c r="AQ1156" i="2" s="1"/>
  <c r="AR420" i="2"/>
  <c r="AR1156" i="2" s="1"/>
  <c r="AS420" i="2"/>
  <c r="AS1156" i="2" s="1"/>
  <c r="AT420" i="2"/>
  <c r="AT1156" i="2" s="1"/>
  <c r="AP421" i="2"/>
  <c r="AP1157" i="2" s="1"/>
  <c r="AQ421" i="2"/>
  <c r="AQ1157" i="2" s="1"/>
  <c r="AR421" i="2"/>
  <c r="AR1157" i="2" s="1"/>
  <c r="AS421" i="2"/>
  <c r="AS1157" i="2" s="1"/>
  <c r="AT421" i="2"/>
  <c r="AT1157" i="2" s="1"/>
  <c r="AP423" i="2"/>
  <c r="AQ423" i="2"/>
  <c r="AR423" i="2"/>
  <c r="AS423" i="2"/>
  <c r="AT423" i="2"/>
  <c r="AP319" i="2"/>
  <c r="AQ319" i="2"/>
  <c r="AR319" i="2"/>
  <c r="AS319" i="2"/>
  <c r="AT319" i="2"/>
  <c r="AP324" i="2"/>
  <c r="AQ324" i="2"/>
  <c r="AR324" i="2"/>
  <c r="AS324" i="2"/>
  <c r="AT324" i="2"/>
  <c r="AP360" i="2"/>
  <c r="AQ360" i="2"/>
  <c r="AR360" i="2"/>
  <c r="AS360" i="2"/>
  <c r="AT360" i="2"/>
  <c r="AP376" i="2"/>
  <c r="AQ376" i="2"/>
  <c r="AR376" i="2"/>
  <c r="AS376" i="2"/>
  <c r="AT376" i="2"/>
  <c r="AP383" i="2"/>
  <c r="AQ383" i="2"/>
  <c r="AR383" i="2"/>
  <c r="AS383" i="2"/>
  <c r="AT383" i="2"/>
  <c r="AP384" i="2"/>
  <c r="AP581" i="2" s="1"/>
  <c r="AQ384" i="2"/>
  <c r="AQ581" i="2" s="1"/>
  <c r="AR384" i="2"/>
  <c r="AR581" i="2" s="1"/>
  <c r="AS384" i="2"/>
  <c r="AS581" i="2" s="1"/>
  <c r="AT384" i="2"/>
  <c r="AT581" i="2" s="1"/>
  <c r="AP385" i="2"/>
  <c r="AP582" i="2" s="1"/>
  <c r="AQ385" i="2"/>
  <c r="AQ582" i="2" s="1"/>
  <c r="AR385" i="2"/>
  <c r="AR582" i="2" s="1"/>
  <c r="AS385" i="2"/>
  <c r="AS582" i="2" s="1"/>
  <c r="AT385" i="2"/>
  <c r="AT582" i="2" s="1"/>
  <c r="AP387" i="2"/>
  <c r="AQ387" i="2"/>
  <c r="AR387" i="2"/>
  <c r="AS387" i="2"/>
  <c r="AT387" i="2"/>
  <c r="AP388" i="2"/>
  <c r="AQ388" i="2"/>
  <c r="AR388" i="2"/>
  <c r="AS388" i="2"/>
  <c r="AT388" i="2"/>
  <c r="AP389" i="2"/>
  <c r="AQ389" i="2"/>
  <c r="AR389" i="2"/>
  <c r="AS389" i="2"/>
  <c r="AT389" i="2"/>
  <c r="AP406" i="2"/>
  <c r="AQ400" i="2"/>
  <c r="AQ406" i="2" s="1"/>
  <c r="AR400" i="2"/>
  <c r="AR406" i="2" s="1"/>
  <c r="AS400" i="2"/>
  <c r="AS406" i="2" s="1"/>
  <c r="AT400" i="2"/>
  <c r="AT406" i="2" s="1"/>
  <c r="AP402" i="2"/>
  <c r="AQ402" i="2"/>
  <c r="AR402" i="2"/>
  <c r="AS402" i="2"/>
  <c r="AT402" i="2"/>
  <c r="AP404" i="2"/>
  <c r="AQ404" i="2"/>
  <c r="AR404" i="2"/>
  <c r="AS404" i="2"/>
  <c r="AT404" i="2"/>
  <c r="AY454" i="2" l="1"/>
  <c r="AP454" i="2" s="1"/>
  <c r="AY448" i="2"/>
  <c r="AP448" i="2" s="1"/>
  <c r="AQ448" i="2" s="1"/>
  <c r="AR448" i="2" s="1"/>
  <c r="AS448" i="2" s="1"/>
  <c r="AT448" i="2" s="1"/>
  <c r="AQ1159" i="2"/>
  <c r="AT465" i="2"/>
  <c r="AY442" i="2"/>
  <c r="AP442" i="2" s="1"/>
  <c r="AQ442" i="2" s="1"/>
  <c r="AR442" i="2" s="1"/>
  <c r="AS442" i="2" s="1"/>
  <c r="AY432" i="2"/>
  <c r="AP433" i="2" s="1"/>
  <c r="AQ433" i="2" s="1"/>
  <c r="AR433" i="2" s="1"/>
  <c r="AS433" i="2" s="1"/>
  <c r="AT433" i="2" s="1"/>
  <c r="AY453" i="2"/>
  <c r="AP453" i="2" s="1"/>
  <c r="AQ453" i="2" s="1"/>
  <c r="AR453" i="2" s="1"/>
  <c r="AY440" i="2"/>
  <c r="AP440" i="2" s="1"/>
  <c r="AQ440" i="2" s="1"/>
  <c r="AR440" i="2" s="1"/>
  <c r="AS440" i="2" s="1"/>
  <c r="AT440" i="2" s="1"/>
  <c r="AY443" i="2"/>
  <c r="AP443" i="2" s="1"/>
  <c r="AQ443" i="2" s="1"/>
  <c r="BH532" i="2"/>
  <c r="AP532" i="2" s="1"/>
  <c r="AQ532" i="2" s="1"/>
  <c r="AR532" i="2" s="1"/>
  <c r="AS532" i="2" s="1"/>
  <c r="AT532" i="2" s="1"/>
  <c r="BH536" i="2"/>
  <c r="AP536" i="2" s="1"/>
  <c r="AQ536" i="2" s="1"/>
  <c r="AY437" i="2"/>
  <c r="AP437" i="2" s="1"/>
  <c r="AQ437" i="2" s="1"/>
  <c r="AR437" i="2" s="1"/>
  <c r="BH521" i="2"/>
  <c r="AP521" i="2" s="1"/>
  <c r="AQ521" i="2" s="1"/>
  <c r="AR521" i="2" s="1"/>
  <c r="AS521" i="2" s="1"/>
  <c r="AT521" i="2" s="1"/>
  <c r="BH531" i="2"/>
  <c r="AP531" i="2" s="1"/>
  <c r="AQ531" i="2" s="1"/>
  <c r="AR531" i="2" s="1"/>
  <c r="AS531" i="2" s="1"/>
  <c r="AT531" i="2" s="1"/>
  <c r="BH537" i="2"/>
  <c r="AP537" i="2" s="1"/>
  <c r="AQ537" i="2" s="1"/>
  <c r="AR537" i="2" s="1"/>
  <c r="AS537" i="2" s="1"/>
  <c r="AT537" i="2" s="1"/>
  <c r="AQ422" i="2"/>
  <c r="AQ1158" i="2" s="1"/>
  <c r="BH533" i="2"/>
  <c r="AP533" i="2" s="1"/>
  <c r="AQ533" i="2" s="1"/>
  <c r="AR533" i="2" s="1"/>
  <c r="AS533" i="2" s="1"/>
  <c r="AT533" i="2" s="1"/>
  <c r="BH529" i="2"/>
  <c r="AP529" i="2" s="1"/>
  <c r="BH530" i="2"/>
  <c r="AP530" i="2" s="1"/>
  <c r="AQ530" i="2" s="1"/>
  <c r="AR530" i="2" s="1"/>
  <c r="AS530" i="2" s="1"/>
  <c r="AT530" i="2" s="1"/>
  <c r="AP397" i="2"/>
  <c r="AR422" i="2"/>
  <c r="AR1158" i="2" s="1"/>
  <c r="AR1159" i="2"/>
  <c r="BC459" i="2"/>
  <c r="AP459" i="2" s="1"/>
  <c r="AQ459" i="2" s="1"/>
  <c r="AR459" i="2" s="1"/>
  <c r="AS459" i="2" s="1"/>
  <c r="AT459" i="2" s="1"/>
  <c r="BA484" i="2"/>
  <c r="AY450" i="2"/>
  <c r="AP450" i="2" s="1"/>
  <c r="AQ450" i="2" s="1"/>
  <c r="BH534" i="2"/>
  <c r="AP534" i="2" s="1"/>
  <c r="AQ534" i="2" s="1"/>
  <c r="AR534" i="2" s="1"/>
  <c r="AS534" i="2" s="1"/>
  <c r="AT534" i="2" s="1"/>
  <c r="AS422" i="2"/>
  <c r="AS1158" i="2" s="1"/>
  <c r="AS1159" i="2"/>
  <c r="AT422" i="2"/>
  <c r="AT1158" i="2" s="1"/>
  <c r="AT1159" i="2"/>
  <c r="AY434" i="2"/>
  <c r="AP435" i="2" s="1"/>
  <c r="AQ435" i="2" s="1"/>
  <c r="AR435" i="2" s="1"/>
  <c r="AS435" i="2" s="1"/>
  <c r="AT435" i="2" s="1"/>
  <c r="AP422" i="2"/>
  <c r="AP1158" i="2" s="1"/>
  <c r="AP1159" i="2"/>
  <c r="AQ454" i="2"/>
  <c r="AR454" i="2" s="1"/>
  <c r="AS454" i="2" s="1"/>
  <c r="AT454" i="2" s="1"/>
  <c r="AQ447" i="2"/>
  <c r="AY449" i="2"/>
  <c r="AP449" i="2" s="1"/>
  <c r="AQ449" i="2" s="1"/>
  <c r="AR449" i="2" s="1"/>
  <c r="AS449" i="2" s="1"/>
  <c r="AT449" i="2" s="1"/>
  <c r="AY444" i="2"/>
  <c r="AP444" i="2" s="1"/>
  <c r="BB477" i="2"/>
  <c r="BC477" i="2"/>
  <c r="AY433" i="2"/>
  <c r="AP434" i="2" s="1"/>
  <c r="AQ434" i="2" s="1"/>
  <c r="AR434" i="2" s="1"/>
  <c r="AS434" i="2" s="1"/>
  <c r="AT434" i="2" s="1"/>
  <c r="AY438" i="2"/>
  <c r="AP438" i="2" s="1"/>
  <c r="AY435" i="2"/>
  <c r="AY439" i="2"/>
  <c r="AP439" i="2" s="1"/>
  <c r="AQ439" i="2" s="1"/>
  <c r="AR439" i="2" s="1"/>
  <c r="AS439" i="2" s="1"/>
  <c r="AT439" i="2" s="1"/>
  <c r="AR536" i="2" l="1"/>
  <c r="AN484" i="2"/>
  <c r="AO484" i="2" s="1"/>
  <c r="AP484" i="2" s="1"/>
  <c r="AQ529" i="2"/>
  <c r="AQ397" i="2"/>
  <c r="AR450" i="2"/>
  <c r="AR447" i="2"/>
  <c r="AS453" i="2"/>
  <c r="AQ444" i="2"/>
  <c r="AT442" i="2"/>
  <c r="AR443" i="2"/>
  <c r="AQ438" i="2"/>
  <c r="AS437" i="2"/>
  <c r="AQ484" i="2" l="1"/>
  <c r="AP483" i="2"/>
  <c r="AP929" i="2"/>
  <c r="AP403" i="2"/>
  <c r="AS536" i="2"/>
  <c r="AQ940" i="2"/>
  <c r="AR397" i="2"/>
  <c r="AR529" i="2"/>
  <c r="AT437" i="2"/>
  <c r="AR438" i="2"/>
  <c r="AR444" i="2"/>
  <c r="AS450" i="2"/>
  <c r="AS443" i="2"/>
  <c r="AT453" i="2"/>
  <c r="AS447" i="2"/>
  <c r="AR940" i="2" l="1"/>
  <c r="AT536" i="2"/>
  <c r="AQ929" i="2"/>
  <c r="AQ403" i="2"/>
  <c r="AQ405" i="2" s="1"/>
  <c r="AS529" i="2"/>
  <c r="AT397" i="2"/>
  <c r="AS397" i="2"/>
  <c r="AR484" i="2"/>
  <c r="AQ483" i="2"/>
  <c r="AT447" i="2"/>
  <c r="AT443" i="2"/>
  <c r="AT450" i="2"/>
  <c r="AS444" i="2"/>
  <c r="AS438" i="2"/>
  <c r="AS940" i="2" l="1"/>
  <c r="AS484" i="2"/>
  <c r="AR483" i="2"/>
  <c r="AT940" i="2"/>
  <c r="AT529" i="2"/>
  <c r="AR928" i="2"/>
  <c r="AR929" i="2"/>
  <c r="AR403" i="2"/>
  <c r="AR405" i="2" s="1"/>
  <c r="AT438" i="2"/>
  <c r="AT444" i="2"/>
  <c r="AS928" i="2" l="1"/>
  <c r="AS929" i="2"/>
  <c r="AS403" i="2"/>
  <c r="AS405" i="2" s="1"/>
  <c r="AT484" i="2"/>
  <c r="AT483" i="2" s="1"/>
  <c r="AS483" i="2"/>
  <c r="AT928" i="2"/>
  <c r="AT929" i="2"/>
  <c r="AT403" i="2"/>
  <c r="H3" i="9"/>
  <c r="I3" i="9"/>
  <c r="H5" i="9"/>
  <c r="I5" i="9"/>
  <c r="H6" i="9"/>
  <c r="I6" i="9"/>
  <c r="H7" i="9"/>
  <c r="I7" i="9"/>
  <c r="H8" i="9"/>
  <c r="I8" i="9"/>
  <c r="H9" i="9"/>
  <c r="I9" i="9"/>
  <c r="H10" i="9"/>
  <c r="I10" i="9"/>
  <c r="H11" i="9"/>
  <c r="I11" i="9"/>
  <c r="H12" i="9"/>
  <c r="I12" i="9"/>
  <c r="H13" i="9"/>
  <c r="I13" i="9"/>
  <c r="H14" i="9"/>
  <c r="I14"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2" i="9"/>
  <c r="I42" i="9"/>
  <c r="AT405" i="2" l="1"/>
  <c r="AM1024" i="2"/>
  <c r="AN932" i="2" l="1"/>
  <c r="AO932" i="2" s="1"/>
  <c r="AM1107" i="2"/>
  <c r="AM1140" i="2" s="1"/>
  <c r="AO931" i="2" l="1"/>
  <c r="AO1108" i="2" s="1"/>
  <c r="AO1139" i="2" s="1"/>
  <c r="AO1107" i="2"/>
  <c r="AO1140" i="2" s="1"/>
  <c r="AO1024" i="2"/>
  <c r="AN1107" i="2"/>
  <c r="AN1140" i="2" s="1"/>
  <c r="AN1024" i="2"/>
  <c r="AP932" i="2"/>
  <c r="AO1025" i="2" l="1"/>
  <c r="AO1028" i="2" s="1"/>
  <c r="AP1024" i="2"/>
  <c r="AP931" i="2"/>
  <c r="AP1107" i="2"/>
  <c r="AP1140" i="2" s="1"/>
  <c r="AQ932" i="2"/>
  <c r="AQ1024" i="2" l="1"/>
  <c r="AQ931" i="2"/>
  <c r="AP1108" i="2"/>
  <c r="AP1139" i="2" s="1"/>
  <c r="AP1025" i="2"/>
  <c r="AP1028" i="2" s="1"/>
  <c r="AQ1107" i="2"/>
  <c r="AQ1140" i="2" s="1"/>
  <c r="AR932" i="2"/>
  <c r="AR931" i="2" s="1"/>
  <c r="AP1231" i="2"/>
  <c r="Y1214" i="2"/>
  <c r="Z1214" i="2" s="1"/>
  <c r="AA1214" i="2" s="1"/>
  <c r="AB1214" i="2" s="1"/>
  <c r="AC1214" i="2" s="1"/>
  <c r="AD1214" i="2" s="1"/>
  <c r="AE1214" i="2" s="1"/>
  <c r="AF1214" i="2" s="1"/>
  <c r="AG1214" i="2" s="1"/>
  <c r="AH1214" i="2" s="1"/>
  <c r="Y1216" i="2"/>
  <c r="Z1216" i="2" s="1"/>
  <c r="AA1216" i="2" s="1"/>
  <c r="AB1216" i="2" s="1"/>
  <c r="AC1216" i="2" s="1"/>
  <c r="AD1216" i="2" s="1"/>
  <c r="AE1216" i="2" s="1"/>
  <c r="AF1216" i="2" s="1"/>
  <c r="AG1216" i="2" s="1"/>
  <c r="AH1216" i="2" s="1"/>
  <c r="AI1216" i="2" s="1"/>
  <c r="AJ1216" i="2" s="1"/>
  <c r="AK1216" i="2" s="1"/>
  <c r="AL1216" i="2" s="1"/>
  <c r="AM1216" i="2" s="1"/>
  <c r="AN1216" i="2" s="1"/>
  <c r="AO1216" i="2" s="1"/>
  <c r="AP1216" i="2" s="1"/>
  <c r="AQ1216" i="2" s="1"/>
  <c r="AR1216" i="2" s="1"/>
  <c r="AS1216" i="2" s="1"/>
  <c r="AT1216" i="2" s="1"/>
  <c r="Y1215" i="2"/>
  <c r="Z1215" i="2" s="1"/>
  <c r="AA1215" i="2" s="1"/>
  <c r="AB1215" i="2" s="1"/>
  <c r="AC1215" i="2" s="1"/>
  <c r="AD1215" i="2" s="1"/>
  <c r="AE1215" i="2" s="1"/>
  <c r="AF1215" i="2" s="1"/>
  <c r="AG1215" i="2" s="1"/>
  <c r="AH1215" i="2" s="1"/>
  <c r="AI1215" i="2" s="1"/>
  <c r="AJ1215" i="2" s="1"/>
  <c r="AK1215" i="2" s="1"/>
  <c r="AL1215" i="2" s="1"/>
  <c r="AM1215" i="2" s="1"/>
  <c r="AN1215" i="2" s="1"/>
  <c r="AO1215" i="2" s="1"/>
  <c r="AP1215" i="2" s="1"/>
  <c r="AQ1215" i="2" s="1"/>
  <c r="AR1215" i="2" s="1"/>
  <c r="AS1215" i="2" s="1"/>
  <c r="AT1215" i="2" s="1"/>
  <c r="X907" i="2"/>
  <c r="Y907" i="2" s="1"/>
  <c r="AR1108" i="2" l="1"/>
  <c r="AR1139" i="2" s="1"/>
  <c r="AR1025" i="2"/>
  <c r="AR1028" i="2" s="1"/>
  <c r="AR1107" i="2"/>
  <c r="AR1140" i="2" s="1"/>
  <c r="AR1024" i="2"/>
  <c r="AQ1108" i="2"/>
  <c r="AQ1139" i="2" s="1"/>
  <c r="AQ1025" i="2"/>
  <c r="AQ1028" i="2" s="1"/>
  <c r="AI1214" i="2"/>
  <c r="AJ1214" i="2" s="1"/>
  <c r="AK1214" i="2" s="1"/>
  <c r="AL1214" i="2" s="1"/>
  <c r="AM1214" i="2" s="1"/>
  <c r="AN1214" i="2" s="1"/>
  <c r="AO1214" i="2" s="1"/>
  <c r="AP1214" i="2" s="1"/>
  <c r="AQ1214" i="2" s="1"/>
  <c r="AR1214" i="2" s="1"/>
  <c r="AS1214" i="2" s="1"/>
  <c r="AT1214" i="2" s="1"/>
  <c r="AS932" i="2"/>
  <c r="AQ1231" i="2"/>
  <c r="AI1220" i="2"/>
  <c r="AI1221" i="2" s="1"/>
  <c r="AI1218" i="2"/>
  <c r="AI1219" i="2" s="1"/>
  <c r="AS931" i="2" l="1"/>
  <c r="AS1107" i="2"/>
  <c r="AS1140" i="2" s="1"/>
  <c r="AS1024" i="2"/>
  <c r="AT932" i="2"/>
  <c r="AT1024" i="2" s="1"/>
  <c r="AR1231" i="2"/>
  <c r="AH877" i="2"/>
  <c r="AA390" i="2"/>
  <c r="AT931" i="2" l="1"/>
  <c r="AS1108" i="2"/>
  <c r="AS1139" i="2" s="1"/>
  <c r="AS1025" i="2"/>
  <c r="AS1028" i="2" s="1"/>
  <c r="AT1107" i="2"/>
  <c r="AT1140" i="2" s="1"/>
  <c r="AH908" i="2"/>
  <c r="AT1108" i="2" l="1"/>
  <c r="AT1139" i="2" s="1"/>
  <c r="AT1025" i="2"/>
  <c r="AT1028" i="2" s="1"/>
  <c r="AS1231" i="2"/>
  <c r="AH934" i="2"/>
  <c r="Y913" i="2"/>
  <c r="Z913" i="2" s="1"/>
  <c r="AA913" i="2" s="1"/>
  <c r="AB913" i="2" s="1"/>
  <c r="AC913" i="2" s="1"/>
  <c r="AD913" i="2" s="1"/>
  <c r="AE913" i="2" s="1"/>
  <c r="AF913" i="2" s="1"/>
  <c r="AG913" i="2" s="1"/>
  <c r="AH913" i="2" s="1"/>
  <c r="AI913" i="2" s="1"/>
  <c r="AJ913" i="2" s="1"/>
  <c r="AK913" i="2" s="1"/>
  <c r="AL913" i="2" s="1"/>
  <c r="AM913" i="2" s="1"/>
  <c r="AN913" i="2" s="1"/>
  <c r="AO913" i="2" s="1"/>
  <c r="AP913" i="2" s="1"/>
  <c r="AQ913" i="2" s="1"/>
  <c r="AR913" i="2" s="1"/>
  <c r="AS913" i="2" s="1"/>
  <c r="AT913" i="2" s="1"/>
  <c r="Y912" i="2"/>
  <c r="Z912" i="2" s="1"/>
  <c r="AA912" i="2" s="1"/>
  <c r="AB912" i="2" s="1"/>
  <c r="AC912" i="2" s="1"/>
  <c r="AD912" i="2" s="1"/>
  <c r="AE912" i="2" s="1"/>
  <c r="AF912" i="2" s="1"/>
  <c r="AT1231" i="2" l="1"/>
  <c r="AG912" i="2"/>
  <c r="AO928" i="2"/>
  <c r="AP940" i="2"/>
  <c r="AI429" i="2"/>
  <c r="AH431" i="2" s="1"/>
  <c r="AH912" i="2" l="1"/>
  <c r="AP452" i="2"/>
  <c r="AQ452" i="2"/>
  <c r="AP446" i="2"/>
  <c r="AP451" i="2"/>
  <c r="AP441" i="2"/>
  <c r="AQ451" i="2"/>
  <c r="AR452" i="2"/>
  <c r="AP436" i="2"/>
  <c r="AQ446" i="2"/>
  <c r="AP445" i="2"/>
  <c r="AQ441" i="2"/>
  <c r="AQ436" i="2"/>
  <c r="AR451" i="2"/>
  <c r="AR441" i="2"/>
  <c r="AS452" i="2"/>
  <c r="AR446" i="2"/>
  <c r="AQ445" i="2"/>
  <c r="AT452" i="2"/>
  <c r="AS441" i="2"/>
  <c r="AS451" i="2"/>
  <c r="AR445" i="2"/>
  <c r="AS446" i="2"/>
  <c r="AR436" i="2"/>
  <c r="AS445" i="2"/>
  <c r="AT441" i="2"/>
  <c r="AS436" i="2"/>
  <c r="AT451" i="2"/>
  <c r="AT446" i="2"/>
  <c r="AT445" i="2"/>
  <c r="AT436" i="2"/>
  <c r="AI912" i="2" l="1"/>
  <c r="AJ912" i="2" s="1"/>
  <c r="AK912" i="2" s="1"/>
  <c r="AL912" i="2" s="1"/>
  <c r="AM912" i="2" s="1"/>
  <c r="AN912" i="2" s="1"/>
  <c r="AO912" i="2" s="1"/>
  <c r="AP912" i="2" s="1"/>
  <c r="AQ912" i="2" s="1"/>
  <c r="AR912" i="2" s="1"/>
  <c r="AS912" i="2" s="1"/>
  <c r="AT912" i="2" s="1"/>
  <c r="AH1220" i="2" l="1"/>
  <c r="AH1221" i="2" s="1"/>
  <c r="AH1218" i="2"/>
  <c r="AH1219" i="2" s="1"/>
  <c r="U172" i="5" l="1"/>
  <c r="AJ577" i="2" s="1"/>
  <c r="AJ622" i="2" l="1"/>
  <c r="U166" i="5"/>
  <c r="AJ571" i="2" s="1"/>
  <c r="AJ616" i="2" l="1"/>
  <c r="AJ614" i="2" s="1"/>
  <c r="U181" i="5"/>
  <c r="AJ582" i="2" s="1"/>
  <c r="AJ627" i="2" l="1"/>
  <c r="M162" i="5"/>
  <c r="L162" i="5" l="1"/>
  <c r="L159" i="5" s="1"/>
  <c r="P162" i="5"/>
  <c r="P159" i="5" s="1"/>
  <c r="Z6" i="11"/>
  <c r="AA6" i="11" s="1"/>
  <c r="AB6" i="11" s="1"/>
  <c r="AC6" i="11" s="1"/>
  <c r="AD6" i="11" s="1"/>
  <c r="AE6" i="11" s="1"/>
  <c r="AF6" i="11"/>
  <c r="AG6" i="11" s="1"/>
  <c r="AH6" i="11" s="1"/>
  <c r="AI6" i="11" s="1"/>
  <c r="AJ6" i="11" s="1"/>
  <c r="AK6" i="11" s="1"/>
  <c r="T5" i="11"/>
  <c r="L154" i="5" l="1"/>
  <c r="P154" i="5"/>
  <c r="AD519" i="2" l="1"/>
  <c r="AD520" i="2"/>
  <c r="AD521" i="2"/>
  <c r="AD518" i="2"/>
  <c r="BC481" i="2" l="1"/>
  <c r="BB481" i="2"/>
  <c r="AW520" i="2"/>
  <c r="AX520" i="2"/>
  <c r="AX518" i="2"/>
  <c r="AW518" i="2"/>
  <c r="AW521" i="2"/>
  <c r="AX521" i="2"/>
  <c r="AX519" i="2"/>
  <c r="AW519" i="2"/>
  <c r="AE460" i="2"/>
  <c r="BH518" i="2" l="1"/>
  <c r="AP518" i="2" s="1"/>
  <c r="AQ518" i="2" s="1"/>
  <c r="BH519" i="2"/>
  <c r="AP519" i="2" s="1"/>
  <c r="AQ519" i="2" s="1"/>
  <c r="AR519" i="2" s="1"/>
  <c r="AS519" i="2" s="1"/>
  <c r="AT519" i="2" s="1"/>
  <c r="BH520" i="2"/>
  <c r="AP520" i="2" s="1"/>
  <c r="AQ520" i="2" s="1"/>
  <c r="AR520" i="2" s="1"/>
  <c r="AS520" i="2" s="1"/>
  <c r="AT520" i="2" s="1"/>
  <c r="AI508" i="2"/>
  <c r="E537" i="2"/>
  <c r="AB508" i="2"/>
  <c r="AC508" i="2" l="1"/>
  <c r="AV508" i="2" s="1"/>
  <c r="AU508" i="2"/>
  <c r="AL535" i="2"/>
  <c r="AP535" i="2"/>
  <c r="AQ535" i="2"/>
  <c r="AR535" i="2"/>
  <c r="AS535" i="2"/>
  <c r="AT535" i="2"/>
  <c r="BC508" i="2"/>
  <c r="AQ517" i="2"/>
  <c r="AR518" i="2"/>
  <c r="AP517" i="2"/>
  <c r="AF535" i="2"/>
  <c r="AK535" i="2"/>
  <c r="AJ535" i="2"/>
  <c r="AI535" i="2"/>
  <c r="AH535" i="2"/>
  <c r="AG535" i="2"/>
  <c r="AE535" i="2"/>
  <c r="AO535" i="2"/>
  <c r="AM535" i="2"/>
  <c r="AC535" i="2"/>
  <c r="AD535" i="2"/>
  <c r="AN535" i="2"/>
  <c r="BG535" i="2" l="1"/>
  <c r="AW535" i="2"/>
  <c r="AZ535" i="2"/>
  <c r="BF535" i="2"/>
  <c r="BB535" i="2"/>
  <c r="AQ368" i="2"/>
  <c r="AS518" i="2"/>
  <c r="AR517" i="2"/>
  <c r="AR368" i="2" s="1"/>
  <c r="AX535" i="2"/>
  <c r="BA535" i="2"/>
  <c r="BC535" i="2"/>
  <c r="AY535" i="2"/>
  <c r="BD535" i="2"/>
  <c r="BE535" i="2"/>
  <c r="T2" i="11"/>
  <c r="M5" i="11"/>
  <c r="L5" i="11"/>
  <c r="BH535" i="2" l="1"/>
  <c r="AT518" i="2"/>
  <c r="AT517" i="2" s="1"/>
  <c r="AS517" i="2"/>
  <c r="AS368" i="2" s="1"/>
  <c r="N5" i="11"/>
  <c r="AR6" i="11"/>
  <c r="AS6" i="11" s="1"/>
  <c r="AT6" i="11" s="1"/>
  <c r="AU6" i="11" s="1"/>
  <c r="AM6" i="11"/>
  <c r="AN6" i="11" s="1"/>
  <c r="AO6" i="11" s="1"/>
  <c r="AP6" i="11" s="1"/>
  <c r="AW6" i="11"/>
  <c r="AX6" i="11" s="1"/>
  <c r="AY6" i="11" s="1"/>
  <c r="AZ6" i="11" s="1"/>
  <c r="AT368" i="2" l="1"/>
  <c r="AL19" i="11"/>
  <c r="AF4" i="11"/>
  <c r="AG4" i="11" s="1"/>
  <c r="AH4" i="11" s="1"/>
  <c r="AI4" i="11" s="1"/>
  <c r="AJ4" i="11" s="1"/>
  <c r="AK4" i="11" s="1"/>
  <c r="AL4" i="11" s="1"/>
  <c r="A25" i="11"/>
  <c r="AM4" i="11" l="1"/>
  <c r="AM19" i="11"/>
  <c r="AI24" i="11"/>
  <c r="AJ24" i="11" s="1"/>
  <c r="AK24" i="11" s="1"/>
  <c r="AL24" i="11" s="1"/>
  <c r="AM24" i="11" s="1"/>
  <c r="AN24" i="11" s="1"/>
  <c r="AO24" i="11" s="1"/>
  <c r="AP24" i="11" s="1"/>
  <c r="AQ24" i="11" s="1"/>
  <c r="AR24" i="11" s="1"/>
  <c r="AS24" i="11" s="1"/>
  <c r="AT24" i="11" s="1"/>
  <c r="AU24" i="11" s="1"/>
  <c r="AV24" i="11" s="1"/>
  <c r="AW24" i="11" s="1"/>
  <c r="AX24" i="11" s="1"/>
  <c r="AY24" i="11" s="1"/>
  <c r="AZ24" i="11" s="1"/>
  <c r="AD15" i="11"/>
  <c r="AE15" i="11" s="1"/>
  <c r="AF15" i="11" s="1"/>
  <c r="AG15" i="11" s="1"/>
  <c r="AH15" i="11" s="1"/>
  <c r="AI15" i="11" s="1"/>
  <c r="AJ15" i="11" s="1"/>
  <c r="AK15" i="11" s="1"/>
  <c r="AL15" i="11" s="1"/>
  <c r="Z37" i="11"/>
  <c r="AN4" i="11" l="1"/>
  <c r="AN19" i="11"/>
  <c r="AM15" i="11"/>
  <c r="AN15" i="11" s="1"/>
  <c r="AO15" i="11" s="1"/>
  <c r="AP15" i="11" s="1"/>
  <c r="AQ15" i="11" s="1"/>
  <c r="AR15" i="11" s="1"/>
  <c r="AS15" i="11" s="1"/>
  <c r="AT15" i="11" s="1"/>
  <c r="AU15" i="11" s="1"/>
  <c r="AV15" i="11" s="1"/>
  <c r="AW15" i="11" s="1"/>
  <c r="AX15" i="11" s="1"/>
  <c r="AY15" i="11" s="1"/>
  <c r="AZ15" i="11" s="1"/>
  <c r="AO4" i="11" l="1"/>
  <c r="AO19" i="11"/>
  <c r="U23" i="11"/>
  <c r="U20" i="11" s="1"/>
  <c r="AP4" i="11" l="1"/>
  <c r="AP19" i="11"/>
  <c r="V2" i="11"/>
  <c r="B2" i="11"/>
  <c r="C2" i="11"/>
  <c r="D2" i="11"/>
  <c r="E2" i="11"/>
  <c r="F2" i="11"/>
  <c r="G2" i="11"/>
  <c r="H2" i="11"/>
  <c r="I2" i="11"/>
  <c r="J2" i="11"/>
  <c r="K2" i="11"/>
  <c r="O2" i="11"/>
  <c r="P2" i="11"/>
  <c r="Q2" i="11"/>
  <c r="R2" i="11"/>
  <c r="S2" i="11"/>
  <c r="J24" i="11"/>
  <c r="Y24" i="11" s="1"/>
  <c r="K24" i="11"/>
  <c r="O24" i="11"/>
  <c r="P24" i="11"/>
  <c r="Q24" i="11"/>
  <c r="R24" i="11"/>
  <c r="S24" i="11"/>
  <c r="A1" i="11"/>
  <c r="A33" i="11"/>
  <c r="A34" i="11"/>
  <c r="A35" i="11"/>
  <c r="A36" i="11"/>
  <c r="A27" i="11"/>
  <c r="A28" i="11"/>
  <c r="A29" i="11"/>
  <c r="A30" i="11"/>
  <c r="A31" i="11"/>
  <c r="A32" i="11"/>
  <c r="A18" i="11"/>
  <c r="A20" i="11"/>
  <c r="A22" i="11"/>
  <c r="A23" i="11"/>
  <c r="A24" i="11"/>
  <c r="A16" i="11"/>
  <c r="A12" i="11"/>
  <c r="A7" i="11"/>
  <c r="A8" i="11"/>
  <c r="A10" i="11"/>
  <c r="A11" i="11"/>
  <c r="A4" i="11"/>
  <c r="T24" i="11" l="1"/>
  <c r="AQ4" i="11"/>
  <c r="AQ19" i="11"/>
  <c r="AR4" i="11" l="1"/>
  <c r="AR19" i="11"/>
  <c r="AS4" i="11" l="1"/>
  <c r="AS19" i="11"/>
  <c r="AB376" i="2"/>
  <c r="AC376" i="2"/>
  <c r="AD376" i="2"/>
  <c r="AE376" i="2"/>
  <c r="AE377" i="2" s="1"/>
  <c r="AF376" i="2"/>
  <c r="AF377" i="2" s="1"/>
  <c r="AG376" i="2"/>
  <c r="AG377" i="2" s="1"/>
  <c r="AJ376" i="2"/>
  <c r="AK376" i="2"/>
  <c r="AL376" i="2"/>
  <c r="AO376" i="2"/>
  <c r="AB377" i="2"/>
  <c r="AC377" i="2"/>
  <c r="AD377" i="2"/>
  <c r="AL325" i="2"/>
  <c r="AK325" i="2"/>
  <c r="AJ325" i="2"/>
  <c r="AB323" i="2"/>
  <c r="AB324" i="2" s="1"/>
  <c r="AB325" i="2" s="1"/>
  <c r="AC323" i="2"/>
  <c r="AC324" i="2" s="1"/>
  <c r="AC325" i="2" s="1"/>
  <c r="AD323" i="2"/>
  <c r="AD324" i="2" s="1"/>
  <c r="AD325" i="2" s="1"/>
  <c r="AE323" i="2"/>
  <c r="AE324" i="2" s="1"/>
  <c r="AE325" i="2" s="1"/>
  <c r="AF323" i="2"/>
  <c r="AF324" i="2" s="1"/>
  <c r="AF325" i="2" s="1"/>
  <c r="AG323" i="2"/>
  <c r="AG324" i="2" s="1"/>
  <c r="AG325" i="2" s="1"/>
  <c r="AT4" i="11" l="1"/>
  <c r="AT19" i="11"/>
  <c r="AJ377" i="2" l="1"/>
  <c r="AU4" i="11"/>
  <c r="AU19" i="11"/>
  <c r="AL446" i="2" l="1"/>
  <c r="AO451" i="2"/>
  <c r="AK377" i="2"/>
  <c r="AL377" i="2" s="1"/>
  <c r="AJ446" i="2"/>
  <c r="AN452" i="2"/>
  <c r="AO431" i="2"/>
  <c r="AN431" i="2"/>
  <c r="AM451" i="2"/>
  <c r="AK431" i="2"/>
  <c r="AJ451" i="2"/>
  <c r="AO445" i="2"/>
  <c r="AM452" i="2"/>
  <c r="AK452" i="2"/>
  <c r="AN446" i="2"/>
  <c r="AI451" i="2"/>
  <c r="AN451" i="2"/>
  <c r="AL431" i="2"/>
  <c r="AJ431" i="2"/>
  <c r="AI452" i="2"/>
  <c r="AN445" i="2"/>
  <c r="AL445" i="2"/>
  <c r="AK445" i="2"/>
  <c r="AJ452" i="2"/>
  <c r="AO446" i="2"/>
  <c r="AM446" i="2"/>
  <c r="AI431" i="2"/>
  <c r="AM431" i="2"/>
  <c r="AL451" i="2"/>
  <c r="AK451" i="2"/>
  <c r="AI445" i="2"/>
  <c r="AO452" i="2"/>
  <c r="AM445" i="2"/>
  <c r="AL452" i="2"/>
  <c r="AJ445" i="2"/>
  <c r="AI446" i="2"/>
  <c r="AH452" i="2"/>
  <c r="AJ441" i="2"/>
  <c r="AM441" i="2"/>
  <c r="AO441" i="2"/>
  <c r="AK436" i="2"/>
  <c r="AO436" i="2"/>
  <c r="AH451" i="2"/>
  <c r="AH445" i="2"/>
  <c r="AH446" i="2"/>
  <c r="AL441" i="2"/>
  <c r="AH441" i="2"/>
  <c r="AL436" i="2"/>
  <c r="AN436" i="2"/>
  <c r="AI436" i="2"/>
  <c r="AK441" i="2"/>
  <c r="AN441" i="2"/>
  <c r="AJ436" i="2"/>
  <c r="AM436" i="2"/>
  <c r="AI441" i="2"/>
  <c r="AH436" i="2"/>
  <c r="AK446" i="2"/>
  <c r="AV4" i="11"/>
  <c r="AV19" i="11"/>
  <c r="AH430" i="2" l="1"/>
  <c r="AM377" i="2"/>
  <c r="AW4" i="11"/>
  <c r="AW19" i="11"/>
  <c r="AN377" i="2" l="1"/>
  <c r="AX4" i="11"/>
  <c r="AX19" i="11"/>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5" i="7"/>
  <c r="G6"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5" i="7"/>
  <c r="I6"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5" i="7"/>
  <c r="K6"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5" i="7"/>
  <c r="M6"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5" i="7"/>
  <c r="E6"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5" i="7"/>
  <c r="C6" i="7"/>
  <c r="AO377" i="2" l="1"/>
  <c r="AP377" i="2" s="1"/>
  <c r="AY4" i="11"/>
  <c r="AZ19" i="11"/>
  <c r="AY19" i="11"/>
  <c r="AQ377" i="2" l="1"/>
  <c r="AZ4" i="11"/>
  <c r="AJ387" i="2"/>
  <c r="AK387" i="2"/>
  <c r="AL387" i="2"/>
  <c r="AM387" i="2"/>
  <c r="AN387" i="2"/>
  <c r="AO387" i="2"/>
  <c r="AJ388" i="2"/>
  <c r="AK388" i="2"/>
  <c r="AL388" i="2"/>
  <c r="AM388" i="2"/>
  <c r="AN388" i="2"/>
  <c r="AO388" i="2"/>
  <c r="AJ389" i="2"/>
  <c r="AK389" i="2"/>
  <c r="AL389" i="2"/>
  <c r="AM389" i="2"/>
  <c r="AN389" i="2"/>
  <c r="AO389" i="2"/>
  <c r="AJ402" i="2"/>
  <c r="AK402" i="2"/>
  <c r="AL402" i="2"/>
  <c r="AM402" i="2"/>
  <c r="AR377" i="2" l="1"/>
  <c r="AD517" i="2"/>
  <c r="AE517" i="2"/>
  <c r="AF517" i="2"/>
  <c r="AG517" i="2"/>
  <c r="AH517" i="2"/>
  <c r="AI517" i="2"/>
  <c r="AJ517" i="2"/>
  <c r="AK517" i="2"/>
  <c r="AL517" i="2"/>
  <c r="AM517" i="2"/>
  <c r="AN517" i="2"/>
  <c r="AO517" i="2"/>
  <c r="AP368" i="2" s="1"/>
  <c r="AI368" i="2" l="1"/>
  <c r="AH368" i="2"/>
  <c r="AJ368" i="2"/>
  <c r="AS377" i="2"/>
  <c r="AM368" i="2"/>
  <c r="AE368" i="2"/>
  <c r="AO368" i="2"/>
  <c r="AL368" i="2"/>
  <c r="AN368" i="2"/>
  <c r="AK368" i="2"/>
  <c r="AF368" i="2"/>
  <c r="AG368" i="2"/>
  <c r="AJ747" i="2"/>
  <c r="AK747" i="2"/>
  <c r="AL747" i="2"/>
  <c r="AM747" i="2"/>
  <c r="AN747" i="2"/>
  <c r="AO747" i="2"/>
  <c r="AG747" i="2"/>
  <c r="AH747" i="2"/>
  <c r="AB747" i="2"/>
  <c r="AC747" i="2"/>
  <c r="AD747" i="2"/>
  <c r="AE747" i="2"/>
  <c r="AF747" i="2"/>
  <c r="AA747" i="2"/>
  <c r="X747" i="2"/>
  <c r="Y747" i="2"/>
  <c r="Z747" i="2"/>
  <c r="W747" i="2"/>
  <c r="AT377" i="2" l="1"/>
  <c r="B24" i="11"/>
  <c r="D24" i="11"/>
  <c r="E24" i="11"/>
  <c r="F24" i="11"/>
  <c r="G24" i="11"/>
  <c r="C24" i="11" l="1"/>
  <c r="I24" i="11"/>
  <c r="X24" i="11" s="1"/>
  <c r="H24" i="11"/>
  <c r="AL383" i="2"/>
  <c r="AM383" i="2"/>
  <c r="AN383" i="2"/>
  <c r="AO383" i="2"/>
  <c r="AL384" i="2"/>
  <c r="AL581" i="2" s="1"/>
  <c r="AM384" i="2"/>
  <c r="AM581" i="2" s="1"/>
  <c r="AN384" i="2"/>
  <c r="AN581" i="2" s="1"/>
  <c r="AO384" i="2"/>
  <c r="AO581" i="2" s="1"/>
  <c r="AL385" i="2"/>
  <c r="AL582" i="2" s="1"/>
  <c r="AM385" i="2"/>
  <c r="AM582" i="2" s="1"/>
  <c r="AN385" i="2"/>
  <c r="AN582" i="2" s="1"/>
  <c r="AO385" i="2"/>
  <c r="AO582" i="2" s="1"/>
  <c r="AK383" i="2"/>
  <c r="AK384" i="2"/>
  <c r="AK581" i="2" s="1"/>
  <c r="AK385" i="2"/>
  <c r="AK582" i="2" s="1"/>
  <c r="AJ383" i="2"/>
  <c r="AJ384" i="2"/>
  <c r="AJ385" i="2"/>
  <c r="AG383" i="2"/>
  <c r="AG384" i="2"/>
  <c r="AG385" i="2"/>
  <c r="L24" i="11" l="1"/>
  <c r="AP481" i="2"/>
  <c r="AQ481" i="2" s="1"/>
  <c r="AR481" i="2" s="1"/>
  <c r="AS481" i="2" s="1"/>
  <c r="AT481" i="2" s="1"/>
  <c r="AE451" i="2" l="1"/>
  <c r="AN458" i="2"/>
  <c r="AJ458" i="2"/>
  <c r="AK458" i="2"/>
  <c r="AL458" i="2"/>
  <c r="AM458" i="2"/>
  <c r="AE458" i="2"/>
  <c r="AF458" i="2"/>
  <c r="AG458" i="2"/>
  <c r="AH458" i="2"/>
  <c r="AI458" i="2"/>
  <c r="BD458" i="2" l="1"/>
  <c r="BE458" i="2"/>
  <c r="BF458" i="2"/>
  <c r="AN457" i="2"/>
  <c r="AN456" i="2" s="1"/>
  <c r="AM457" i="2"/>
  <c r="AM456" i="2" s="1"/>
  <c r="O12" i="11" l="1"/>
  <c r="P12" i="11"/>
  <c r="Q12" i="11"/>
  <c r="R12" i="11"/>
  <c r="S12" i="11"/>
  <c r="P14" i="11" l="1"/>
  <c r="AB14" i="11" s="1"/>
  <c r="AB15" i="11" s="1"/>
  <c r="V12" i="11"/>
  <c r="Q14" i="11"/>
  <c r="AC14" i="11" s="1"/>
  <c r="S14" i="11"/>
  <c r="AE14" i="11" s="1"/>
  <c r="AF14" i="11" s="1"/>
  <c r="AG14" i="11" s="1"/>
  <c r="AH14" i="11" s="1"/>
  <c r="AI14" i="11" s="1"/>
  <c r="AJ14" i="11" s="1"/>
  <c r="AK14" i="11" s="1"/>
  <c r="AL14" i="11" s="1"/>
  <c r="AM14" i="11" s="1"/>
  <c r="AN14" i="11" s="1"/>
  <c r="AO14" i="11" s="1"/>
  <c r="AP14" i="11" s="1"/>
  <c r="AQ14" i="11" s="1"/>
  <c r="AR14" i="11" s="1"/>
  <c r="AS14" i="11" s="1"/>
  <c r="AT14" i="11" s="1"/>
  <c r="AU14" i="11" s="1"/>
  <c r="AV14" i="11" s="1"/>
  <c r="AW14" i="11" s="1"/>
  <c r="AX14" i="11" s="1"/>
  <c r="AY14" i="11" s="1"/>
  <c r="AZ14" i="11" s="1"/>
  <c r="R14" i="11"/>
  <c r="AD14" i="11" s="1"/>
  <c r="O11" i="11" l="1"/>
  <c r="O10" i="11"/>
  <c r="AH983" i="2" l="1"/>
  <c r="AH982" i="2"/>
  <c r="AH975" i="2"/>
  <c r="AH1109" i="2" s="1"/>
  <c r="AH971" i="2"/>
  <c r="AH952" i="2"/>
  <c r="AH955" i="2"/>
  <c r="AH849" i="2"/>
  <c r="AH924" i="2"/>
  <c r="AH926" i="2"/>
  <c r="AH404" i="2" s="1"/>
  <c r="AH403" i="2"/>
  <c r="AI405" i="2" s="1"/>
  <c r="AI928" i="2" l="1"/>
  <c r="AI929" i="2"/>
  <c r="AH984" i="2"/>
  <c r="AH977" i="2" s="1"/>
  <c r="AH970" i="2"/>
  <c r="AH973" i="2"/>
  <c r="AH859" i="2" l="1"/>
  <c r="AH863" i="2"/>
  <c r="AH1114" i="2"/>
  <c r="AH867" i="2"/>
  <c r="AH868" i="2"/>
  <c r="AH833" i="2"/>
  <c r="AH838" i="2"/>
  <c r="AH840" i="2"/>
  <c r="AH851" i="2"/>
  <c r="AH853" i="2"/>
  <c r="AH856" i="2" s="1"/>
  <c r="AH846" i="2"/>
  <c r="AH1072" i="2" s="1"/>
  <c r="AI1082" i="2" l="1"/>
  <c r="AH1102" i="2"/>
  <c r="AH1169" i="2" s="1"/>
  <c r="AH1113" i="2"/>
  <c r="AH1111" i="2" s="1"/>
  <c r="AH841" i="2"/>
  <c r="AH400" i="2"/>
  <c r="AH48" i="12"/>
  <c r="AH842" i="2"/>
  <c r="X956" i="2"/>
  <c r="AH951" i="2"/>
  <c r="AH872" i="2"/>
  <c r="AG360" i="2"/>
  <c r="AH1104" i="2" l="1"/>
  <c r="AH1070" i="2" s="1"/>
  <c r="AH1141" i="2"/>
  <c r="AH406" i="2"/>
  <c r="AH410" i="2" s="1"/>
  <c r="AH843" i="2"/>
  <c r="AH1105" i="2" l="1"/>
  <c r="AH1080" i="2" s="1"/>
  <c r="AH1246" i="2" s="1"/>
  <c r="F134" i="5"/>
  <c r="F135" i="5"/>
  <c r="F136" i="5"/>
  <c r="F133" i="5"/>
  <c r="F132" i="5"/>
  <c r="F125" i="5"/>
  <c r="F126" i="5"/>
  <c r="F124" i="5"/>
  <c r="F129" i="5"/>
  <c r="F130" i="5"/>
  <c r="F131" i="5"/>
  <c r="F128" i="5"/>
  <c r="F110" i="5"/>
  <c r="F111" i="5"/>
  <c r="F106" i="5"/>
  <c r="F107" i="5"/>
  <c r="F108" i="5"/>
  <c r="F105" i="5"/>
  <c r="F103" i="5"/>
  <c r="F101" i="5"/>
  <c r="F100" i="5"/>
  <c r="F98" i="5"/>
  <c r="F96" i="5"/>
  <c r="F97" i="5"/>
  <c r="F95" i="5"/>
  <c r="F94" i="5"/>
  <c r="F92" i="5"/>
  <c r="F90" i="5"/>
  <c r="F91" i="5"/>
  <c r="F89" i="5"/>
  <c r="AB431" i="2"/>
  <c r="F86" i="5"/>
  <c r="Z451" i="2"/>
  <c r="AA451" i="2"/>
  <c r="AB451" i="2"/>
  <c r="AC451" i="2"/>
  <c r="AD451" i="2"/>
  <c r="AF451" i="2"/>
  <c r="AG451" i="2"/>
  <c r="AC483" i="2"/>
  <c r="AD483" i="2"/>
  <c r="AE483" i="2"/>
  <c r="AF483" i="2"/>
  <c r="AG483" i="2"/>
  <c r="AH483" i="2"/>
  <c r="AI483" i="2"/>
  <c r="AJ483" i="2"/>
  <c r="AK483" i="2"/>
  <c r="AL483" i="2"/>
  <c r="AM483" i="2"/>
  <c r="AB483" i="2"/>
  <c r="AA476" i="2"/>
  <c r="AA472" i="2" s="1"/>
  <c r="AB476" i="2"/>
  <c r="AB472" i="2" s="1"/>
  <c r="AC476" i="2"/>
  <c r="AC472" i="2" s="1"/>
  <c r="AD472" i="2"/>
  <c r="AE472" i="2"/>
  <c r="AF472" i="2"/>
  <c r="AG472" i="2"/>
  <c r="AH472" i="2"/>
  <c r="AI472" i="2"/>
  <c r="AJ472" i="2"/>
  <c r="AK472" i="2"/>
  <c r="AL472" i="2"/>
  <c r="AM472" i="2"/>
  <c r="Z476" i="2"/>
  <c r="Z472" i="2" s="1"/>
  <c r="AA460" i="2"/>
  <c r="AB460" i="2"/>
  <c r="AC460" i="2"/>
  <c r="AD460" i="2"/>
  <c r="AF460" i="2"/>
  <c r="AG460" i="2"/>
  <c r="AH460" i="2"/>
  <c r="AI460" i="2"/>
  <c r="AJ460" i="2"/>
  <c r="AK460" i="2"/>
  <c r="AL460" i="2"/>
  <c r="AM460" i="2"/>
  <c r="Z460" i="2"/>
  <c r="AA452" i="2"/>
  <c r="AB452" i="2"/>
  <c r="AC452" i="2"/>
  <c r="AD452" i="2"/>
  <c r="AE452" i="2"/>
  <c r="AF452" i="2"/>
  <c r="AG452" i="2"/>
  <c r="Z452" i="2"/>
  <c r="AA445" i="2"/>
  <c r="AB445" i="2"/>
  <c r="AC445" i="2"/>
  <c r="AD445" i="2"/>
  <c r="AE445" i="2"/>
  <c r="AF445" i="2"/>
  <c r="AG445" i="2"/>
  <c r="Z445" i="2"/>
  <c r="AA446" i="2"/>
  <c r="AC446" i="2"/>
  <c r="AD446" i="2"/>
  <c r="AE446" i="2"/>
  <c r="AF446" i="2"/>
  <c r="AG446" i="2"/>
  <c r="Z446" i="2"/>
  <c r="AA441" i="2"/>
  <c r="AB441" i="2"/>
  <c r="AC441" i="2"/>
  <c r="AD441" i="2"/>
  <c r="AE441" i="2"/>
  <c r="AF441" i="2"/>
  <c r="AG441" i="2"/>
  <c r="Z441" i="2"/>
  <c r="E441" i="2"/>
  <c r="F99" i="5" s="1"/>
  <c r="AD436" i="2"/>
  <c r="AE436" i="2"/>
  <c r="AF436" i="2"/>
  <c r="AG436" i="2"/>
  <c r="AB436" i="2"/>
  <c r="AC436" i="2"/>
  <c r="Z436" i="2"/>
  <c r="AA436" i="2"/>
  <c r="AH1106" i="2" l="1"/>
  <c r="AH1081" i="2"/>
  <c r="E446" i="2"/>
  <c r="E452" i="2" s="1"/>
  <c r="AI430" i="2"/>
  <c r="AJ430" i="2"/>
  <c r="Z431" i="2"/>
  <c r="AF431" i="2"/>
  <c r="AE431" i="2"/>
  <c r="AC431" i="2"/>
  <c r="AA431" i="2"/>
  <c r="AD431" i="2"/>
  <c r="AD430" i="2" s="1"/>
  <c r="Z430" i="2"/>
  <c r="F109" i="5" l="1"/>
  <c r="E455" i="2"/>
  <c r="AU431" i="2"/>
  <c r="AV431" i="2"/>
  <c r="AX431" i="2"/>
  <c r="AW431" i="2"/>
  <c r="AO852" i="2"/>
  <c r="AM926" i="2"/>
  <c r="AN926" i="2"/>
  <c r="AO404" i="2"/>
  <c r="L455" i="2" l="1"/>
  <c r="P455" i="2"/>
  <c r="O455" i="2"/>
  <c r="N455" i="2"/>
  <c r="M455" i="2"/>
  <c r="K455" i="2"/>
  <c r="AM404" i="2"/>
  <c r="AM929" i="2"/>
  <c r="AN404" i="2"/>
  <c r="AN929" i="2"/>
  <c r="AY431" i="2"/>
  <c r="AP432" i="2" s="1"/>
  <c r="AH827" i="2"/>
  <c r="AN1227" i="2"/>
  <c r="DF1255" i="2" s="1"/>
  <c r="AO1227" i="2"/>
  <c r="AN1229" i="2"/>
  <c r="DF1257" i="2" s="1"/>
  <c r="AO1229" i="2"/>
  <c r="AN1233" i="2"/>
  <c r="DF1261" i="2" s="1"/>
  <c r="AO1233" i="2"/>
  <c r="AN1234" i="2"/>
  <c r="DF1262" i="2" s="1"/>
  <c r="AO1234" i="2"/>
  <c r="AN1235" i="2"/>
  <c r="DF1263" i="2" s="1"/>
  <c r="AO1235" i="2"/>
  <c r="AN1236" i="2"/>
  <c r="DF1264" i="2" s="1"/>
  <c r="AO1236" i="2"/>
  <c r="AN1237" i="2"/>
  <c r="DF1265" i="2" s="1"/>
  <c r="AO1237" i="2"/>
  <c r="AM831" i="2"/>
  <c r="AN831" i="2"/>
  <c r="AN745" i="2"/>
  <c r="AN1084" i="2" s="1"/>
  <c r="AN1238" i="2"/>
  <c r="DF1266" i="2" s="1"/>
  <c r="AO1238" i="2"/>
  <c r="AN1232" i="2"/>
  <c r="DF1260" i="2" s="1"/>
  <c r="AO1232" i="2"/>
  <c r="AH881" i="2"/>
  <c r="AH882" i="2"/>
  <c r="AO875" i="2"/>
  <c r="AO400" i="2"/>
  <c r="AN852" i="2"/>
  <c r="AN875" i="2" s="1"/>
  <c r="AN418" i="2"/>
  <c r="AN1154" i="2" s="1"/>
  <c r="AO418" i="2"/>
  <c r="AO1154" i="2" s="1"/>
  <c r="AN419" i="2"/>
  <c r="AN1155" i="2" s="1"/>
  <c r="AO419" i="2"/>
  <c r="AO1155" i="2" s="1"/>
  <c r="AN420" i="2"/>
  <c r="AN1156" i="2" s="1"/>
  <c r="AO420" i="2"/>
  <c r="AO1156" i="2" s="1"/>
  <c r="AN421" i="2"/>
  <c r="AN1157" i="2" s="1"/>
  <c r="AO421" i="2"/>
  <c r="AO1157" i="2" s="1"/>
  <c r="AN423" i="2"/>
  <c r="AN422" i="2" s="1"/>
  <c r="AN1158" i="2" s="1"/>
  <c r="AO423" i="2"/>
  <c r="AO422" i="2" s="1"/>
  <c r="AO1158" i="2" s="1"/>
  <c r="AN938" i="2"/>
  <c r="AO938" i="2"/>
  <c r="AN493" i="2"/>
  <c r="AN492" i="2"/>
  <c r="AN491" i="2"/>
  <c r="AN460" i="2"/>
  <c r="AP468" i="2"/>
  <c r="BG477" i="2"/>
  <c r="AQ468" i="2" l="1"/>
  <c r="AQ464" i="2" s="1"/>
  <c r="AP464" i="2"/>
  <c r="AN746" i="2"/>
  <c r="AH910" i="2"/>
  <c r="AP480" i="2"/>
  <c r="AQ480" i="2" s="1"/>
  <c r="AR480" i="2" s="1"/>
  <c r="AS480" i="2" s="1"/>
  <c r="AT480" i="2" s="1"/>
  <c r="BG480" i="2"/>
  <c r="AP479" i="2"/>
  <c r="AQ479" i="2" s="1"/>
  <c r="AR479" i="2" s="1"/>
  <c r="AS479" i="2" s="1"/>
  <c r="AT479" i="2" s="1"/>
  <c r="BG479" i="2"/>
  <c r="AP478" i="2"/>
  <c r="AQ478" i="2" s="1"/>
  <c r="AR478" i="2" s="1"/>
  <c r="AS478" i="2" s="1"/>
  <c r="AT478" i="2" s="1"/>
  <c r="BG478" i="2"/>
  <c r="BG475" i="2"/>
  <c r="BG474" i="2"/>
  <c r="AQ432" i="2"/>
  <c r="AP431" i="2"/>
  <c r="AP430" i="2" s="1"/>
  <c r="AN400" i="2"/>
  <c r="AN406" i="2" s="1"/>
  <c r="AO406" i="2"/>
  <c r="AN490" i="2"/>
  <c r="DE1261" i="2"/>
  <c r="DD1261" i="2"/>
  <c r="DC1261" i="2"/>
  <c r="DE1266" i="2"/>
  <c r="DD1266" i="2"/>
  <c r="DC1266" i="2"/>
  <c r="AN483" i="2"/>
  <c r="AO483" i="2"/>
  <c r="AO460" i="2"/>
  <c r="AP477" i="2"/>
  <c r="AO1159" i="2"/>
  <c r="AN1159" i="2"/>
  <c r="AN345" i="2"/>
  <c r="AN360" i="2"/>
  <c r="AO360" i="2"/>
  <c r="AQ477" i="2" l="1"/>
  <c r="AR468" i="2"/>
  <c r="AR477" i="2"/>
  <c r="AR432" i="2"/>
  <c r="AQ431" i="2"/>
  <c r="AQ430" i="2" s="1"/>
  <c r="AQ549" i="2" s="1"/>
  <c r="AP474" i="2"/>
  <c r="AQ474" i="2" s="1"/>
  <c r="AR474" i="2" s="1"/>
  <c r="AS474" i="2" s="1"/>
  <c r="AT474" i="2" s="1"/>
  <c r="AP475" i="2"/>
  <c r="AQ475" i="2" s="1"/>
  <c r="AR475" i="2" s="1"/>
  <c r="AS475" i="2" s="1"/>
  <c r="AT475" i="2" s="1"/>
  <c r="AO345" i="2"/>
  <c r="AP345" i="2" l="1"/>
  <c r="AS468" i="2"/>
  <c r="AR464" i="2"/>
  <c r="AQ345" i="2"/>
  <c r="AQ323" i="2"/>
  <c r="AQ557" i="2" s="1"/>
  <c r="AQ571" i="2" s="1"/>
  <c r="AS477" i="2"/>
  <c r="AS432" i="2"/>
  <c r="AR431" i="2"/>
  <c r="AR430" i="2" s="1"/>
  <c r="AR549" i="2" s="1"/>
  <c r="AN319" i="2"/>
  <c r="AO319" i="2"/>
  <c r="AO324" i="2"/>
  <c r="AL1294" i="2"/>
  <c r="AM1294" i="2"/>
  <c r="AN1294" i="2"/>
  <c r="AO1294" i="2"/>
  <c r="AN679" i="2"/>
  <c r="AO679" i="2"/>
  <c r="AN1224" i="2"/>
  <c r="AO1224" i="2"/>
  <c r="AT468" i="2" l="1"/>
  <c r="AT464" i="2" s="1"/>
  <c r="AS464" i="2"/>
  <c r="AR323" i="2"/>
  <c r="AR557" i="2" s="1"/>
  <c r="AR571" i="2" s="1"/>
  <c r="AR345" i="2"/>
  <c r="AT477" i="2"/>
  <c r="AT432" i="2"/>
  <c r="AT431" i="2" s="1"/>
  <c r="AT430" i="2" s="1"/>
  <c r="AS431" i="2"/>
  <c r="AS430" i="2" s="1"/>
  <c r="AS549" i="2" s="1"/>
  <c r="AS323" i="2" l="1"/>
  <c r="AS557" i="2" s="1"/>
  <c r="AS571" i="2" s="1"/>
  <c r="AT549" i="2"/>
  <c r="AS345" i="2"/>
  <c r="AH1237" i="2"/>
  <c r="AI1237" i="2"/>
  <c r="AJ1237" i="2"/>
  <c r="DB1265" i="2" s="1"/>
  <c r="AK1237" i="2"/>
  <c r="AL1237" i="2"/>
  <c r="AM1237" i="2"/>
  <c r="AH1236" i="2"/>
  <c r="AI1236" i="2"/>
  <c r="AJ1236" i="2"/>
  <c r="DB1264" i="2" s="1"/>
  <c r="AK1236" i="2"/>
  <c r="AL1236" i="2"/>
  <c r="AM1236" i="2"/>
  <c r="AH1235" i="2"/>
  <c r="AI1235" i="2"/>
  <c r="AJ1235" i="2"/>
  <c r="DB1263" i="2" s="1"/>
  <c r="AK1235" i="2"/>
  <c r="AL1235" i="2"/>
  <c r="AM1235" i="2"/>
  <c r="AH1234" i="2"/>
  <c r="AI1234" i="2"/>
  <c r="AJ1234" i="2"/>
  <c r="DB1262" i="2" s="1"/>
  <c r="AK1234" i="2"/>
  <c r="AL1234" i="2"/>
  <c r="AM1234" i="2"/>
  <c r="AH1233" i="2"/>
  <c r="AI1233" i="2"/>
  <c r="AJ1233" i="2"/>
  <c r="DB1261" i="2" s="1"/>
  <c r="AK1233" i="2"/>
  <c r="AL1233" i="2"/>
  <c r="AM1233" i="2"/>
  <c r="AH1229" i="2"/>
  <c r="AI1229" i="2"/>
  <c r="AJ1229" i="2"/>
  <c r="DB1257" i="2" s="1"/>
  <c r="AK1229" i="2"/>
  <c r="AL1229" i="2"/>
  <c r="AM1229" i="2"/>
  <c r="AH1227" i="2"/>
  <c r="AI1227" i="2"/>
  <c r="AJ1227" i="2"/>
  <c r="DB1255" i="2" s="1"/>
  <c r="AK1227" i="2"/>
  <c r="AL1227" i="2"/>
  <c r="AM1227" i="2"/>
  <c r="AM1224" i="2"/>
  <c r="AH1224" i="2"/>
  <c r="AI1224" i="2"/>
  <c r="AJ1224" i="2"/>
  <c r="AK1224" i="2"/>
  <c r="AL1224" i="2"/>
  <c r="AT345" i="2" l="1"/>
  <c r="AT323" i="2"/>
  <c r="AT557" i="2" s="1"/>
  <c r="AT571" i="2" s="1"/>
  <c r="AM400" i="2"/>
  <c r="AM406" i="2" s="1"/>
  <c r="DA1261" i="2"/>
  <c r="CZ1261" i="2"/>
  <c r="CY1261" i="2"/>
  <c r="AM423" i="2"/>
  <c r="AM422" i="2" s="1"/>
  <c r="AM421" i="2"/>
  <c r="AM420" i="2"/>
  <c r="AM419" i="2"/>
  <c r="AM418" i="2"/>
  <c r="F114" i="5" l="1"/>
  <c r="AM455" i="2" l="1"/>
  <c r="AN455" i="2"/>
  <c r="F113" i="5"/>
  <c r="AO430" i="2"/>
  <c r="AN430" i="2"/>
  <c r="AL430" i="2"/>
  <c r="AM430" i="2"/>
  <c r="AK430" i="2"/>
  <c r="AK549" i="2" s="1"/>
  <c r="V9" i="7" s="1"/>
  <c r="AP549" i="2" l="1"/>
  <c r="AO549" i="2"/>
  <c r="AL429" i="2"/>
  <c r="F112" i="5"/>
  <c r="P112" i="5" s="1"/>
  <c r="AN549" i="2"/>
  <c r="AM549" i="2"/>
  <c r="AL549" i="2"/>
  <c r="X9" i="7" s="1"/>
  <c r="AF9" i="7" s="1"/>
  <c r="J112" i="5" l="1"/>
  <c r="M112" i="5"/>
  <c r="U112" i="5" s="1"/>
  <c r="AL323" i="2"/>
  <c r="AL557" i="2" s="1"/>
  <c r="X17" i="7" s="1"/>
  <c r="AN323" i="2"/>
  <c r="AM323" i="2"/>
  <c r="AM557" i="2" s="1"/>
  <c r="AK323" i="2"/>
  <c r="AK557" i="2" s="1"/>
  <c r="AO323" i="2"/>
  <c r="AO557" i="2" s="1"/>
  <c r="U170" i="5"/>
  <c r="AJ575" i="2" s="1"/>
  <c r="AJ620" i="2" s="1"/>
  <c r="U171" i="5"/>
  <c r="AJ576" i="2" s="1"/>
  <c r="AJ621" i="2" s="1"/>
  <c r="U173" i="5"/>
  <c r="AJ578" i="2" s="1"/>
  <c r="AJ623" i="2" s="1"/>
  <c r="U174" i="5"/>
  <c r="AJ579" i="2" s="1"/>
  <c r="AJ624" i="2" s="1"/>
  <c r="U175" i="5"/>
  <c r="AJ580" i="2" s="1"/>
  <c r="U182" i="5"/>
  <c r="AJ583" i="2" s="1"/>
  <c r="AJ628" i="2" s="1"/>
  <c r="S169" i="5"/>
  <c r="F127" i="5"/>
  <c r="J123" i="5" s="1"/>
  <c r="AO571" i="2" l="1"/>
  <c r="AD31" i="7" s="1"/>
  <c r="AD17" i="7"/>
  <c r="AM571" i="2"/>
  <c r="Z31" i="7" s="1"/>
  <c r="Z17" i="7"/>
  <c r="AK571" i="2"/>
  <c r="V31" i="7" s="1"/>
  <c r="V17" i="7"/>
  <c r="AJ625" i="2"/>
  <c r="AK583" i="2"/>
  <c r="AL575" i="2"/>
  <c r="AN575" i="2" s="1"/>
  <c r="AM575" i="2"/>
  <c r="M123" i="5"/>
  <c r="AK579" i="2"/>
  <c r="AL579" i="2" s="1"/>
  <c r="V112" i="5"/>
  <c r="AJ550" i="2"/>
  <c r="T10" i="7" s="1"/>
  <c r="AL571" i="2"/>
  <c r="X31" i="7" s="1"/>
  <c r="AJ595" i="2" l="1"/>
  <c r="AO575" i="2"/>
  <c r="AM579" i="2"/>
  <c r="AP575" i="2" l="1"/>
  <c r="AQ575" i="2" s="1"/>
  <c r="AR575" i="2" s="1"/>
  <c r="AS575" i="2" s="1"/>
  <c r="AT575" i="2" s="1"/>
  <c r="AN579" i="2"/>
  <c r="AO579" i="2" s="1"/>
  <c r="F139" i="5"/>
  <c r="J139" i="5" s="1"/>
  <c r="F179" i="5"/>
  <c r="F180" i="5"/>
  <c r="AP579" i="2" l="1"/>
  <c r="P176" i="5"/>
  <c r="M176" i="5"/>
  <c r="J176" i="5"/>
  <c r="P139" i="5"/>
  <c r="S139" i="5" s="1"/>
  <c r="U139" i="5" s="1"/>
  <c r="AQ579" i="2"/>
  <c r="AR579" i="2" s="1"/>
  <c r="M139" i="5"/>
  <c r="H108" i="1"/>
  <c r="F108" i="1"/>
  <c r="D92" i="1"/>
  <c r="AS579" i="2" l="1"/>
  <c r="AT579" i="2" s="1"/>
  <c r="S176" i="5"/>
  <c r="U176" i="5" s="1"/>
  <c r="AJ555" i="2"/>
  <c r="V139" i="5"/>
  <c r="AG345" i="2"/>
  <c r="AH345" i="2" s="1"/>
  <c r="AI345" i="2" s="1"/>
  <c r="AJ600" i="2" l="1"/>
  <c r="X850" i="2"/>
  <c r="AE430" i="2"/>
  <c r="AG430" i="2"/>
  <c r="AF430" i="2"/>
  <c r="D124" i="1"/>
  <c r="E53" i="1" l="1"/>
  <c r="E48" i="1"/>
  <c r="D134" i="1"/>
  <c r="D132" i="1"/>
  <c r="D130" i="1"/>
  <c r="D128" i="1"/>
  <c r="D126" i="1"/>
  <c r="D122" i="1"/>
  <c r="D120" i="1"/>
  <c r="D118" i="1"/>
  <c r="D112" i="1"/>
  <c r="D114" i="1"/>
  <c r="D110" i="1"/>
  <c r="D108" i="1"/>
  <c r="D107" i="1"/>
  <c r="D103" i="1"/>
  <c r="D100" i="1"/>
  <c r="D96" i="1"/>
  <c r="D88" i="1"/>
  <c r="D86" i="1"/>
  <c r="D106" i="1"/>
  <c r="D81" i="1"/>
  <c r="D83" i="1"/>
  <c r="M64" i="1" s="1"/>
  <c r="D79" i="1"/>
  <c r="D77" i="1"/>
  <c r="D75" i="1"/>
  <c r="M63" i="1" s="1"/>
  <c r="D72" i="1"/>
  <c r="D71" i="1"/>
  <c r="D70" i="1"/>
  <c r="D67" i="1"/>
  <c r="D66" i="1"/>
  <c r="D63" i="1"/>
  <c r="D62" i="1"/>
  <c r="D58" i="1"/>
  <c r="D53" i="1"/>
  <c r="D48" i="1"/>
  <c r="D43" i="1"/>
  <c r="D38" i="1"/>
  <c r="D33" i="1"/>
  <c r="D30" i="1"/>
  <c r="D22" i="1"/>
  <c r="D12" i="1"/>
  <c r="AC971" i="2" l="1"/>
  <c r="AD971" i="2"/>
  <c r="AE971" i="2"/>
  <c r="AF971" i="2"/>
  <c r="AG971" i="2"/>
  <c r="AC517" i="2" l="1"/>
  <c r="AD368" i="2" s="1"/>
  <c r="AB517" i="2"/>
  <c r="AA517" i="2"/>
  <c r="Z517" i="2"/>
  <c r="X517" i="2"/>
  <c r="W517" i="2"/>
  <c r="V517" i="2"/>
  <c r="Y517" i="2"/>
  <c r="AE828" i="2" l="1"/>
  <c r="AD828" i="2"/>
  <c r="AC828" i="2"/>
  <c r="AB828" i="2"/>
  <c r="AA828" i="2"/>
  <c r="Z828" i="2"/>
  <c r="Y828" i="2"/>
  <c r="X828" i="2"/>
  <c r="W828" i="2"/>
  <c r="V828" i="2"/>
  <c r="AG827" i="2"/>
  <c r="AF827" i="2"/>
  <c r="AE827" i="2"/>
  <c r="AD827" i="2"/>
  <c r="AD829" i="2" s="1"/>
  <c r="AC827" i="2"/>
  <c r="AC829" i="2" s="1"/>
  <c r="AB827" i="2"/>
  <c r="AB829" i="2" s="1"/>
  <c r="AA827" i="2"/>
  <c r="Z827" i="2"/>
  <c r="Y827" i="2"/>
  <c r="X827" i="2"/>
  <c r="W827" i="2"/>
  <c r="V827" i="2"/>
  <c r="AE829" i="2" l="1"/>
  <c r="Z829" i="2"/>
  <c r="X829" i="2"/>
  <c r="AA829" i="2"/>
  <c r="V829" i="2"/>
  <c r="W829" i="2"/>
  <c r="Y829" i="2"/>
  <c r="AG828" i="2" l="1"/>
  <c r="AG829" i="2" s="1"/>
  <c r="AF828" i="2"/>
  <c r="AF829" i="2" s="1"/>
  <c r="AH938" i="2" l="1"/>
  <c r="X940" i="2" l="1"/>
  <c r="Y940" i="2"/>
  <c r="Y841" i="2"/>
  <c r="Y842" i="2"/>
  <c r="AF841" i="2"/>
  <c r="AE841" i="2"/>
  <c r="AD841" i="2"/>
  <c r="AC841" i="2"/>
  <c r="AB841" i="2"/>
  <c r="AA841" i="2"/>
  <c r="Z841" i="2"/>
  <c r="AG841" i="2" l="1"/>
  <c r="AH394" i="2" s="1"/>
  <c r="AA933" i="2"/>
  <c r="Z933" i="2" s="1"/>
  <c r="Y933" i="2" s="1"/>
  <c r="X933" i="2" s="1"/>
  <c r="W933" i="2" s="1"/>
  <c r="V933" i="2" s="1"/>
  <c r="AG934" i="2"/>
  <c r="AF934" i="2"/>
  <c r="AE934" i="2"/>
  <c r="AD934" i="2"/>
  <c r="AC934" i="2"/>
  <c r="V934" i="2"/>
  <c r="E850" i="2"/>
  <c r="Y376" i="2"/>
  <c r="Y377" i="2" s="1"/>
  <c r="X376" i="2"/>
  <c r="X377" i="2" s="1"/>
  <c r="W376" i="2"/>
  <c r="W377" i="2" s="1"/>
  <c r="V376" i="2"/>
  <c r="V377" i="2" s="1"/>
  <c r="Y831" i="2"/>
  <c r="X831" i="2"/>
  <c r="W831" i="2"/>
  <c r="V831" i="2"/>
  <c r="U851" i="2"/>
  <c r="T851" i="2"/>
  <c r="S851" i="2"/>
  <c r="R851" i="2"/>
  <c r="Q851" i="2"/>
  <c r="P851" i="2"/>
  <c r="O851" i="2"/>
  <c r="N851" i="2"/>
  <c r="M851" i="2"/>
  <c r="L851" i="2"/>
  <c r="K851" i="2"/>
  <c r="J851" i="2"/>
  <c r="U850" i="2"/>
  <c r="T850" i="2"/>
  <c r="S850" i="2"/>
  <c r="R850" i="2"/>
  <c r="Q850" i="2"/>
  <c r="P850" i="2"/>
  <c r="O850" i="2"/>
  <c r="N850" i="2"/>
  <c r="M850" i="2"/>
  <c r="L850" i="2"/>
  <c r="K850" i="2"/>
  <c r="J850" i="2"/>
  <c r="AG851" i="2"/>
  <c r="AF851" i="2"/>
  <c r="AE851" i="2"/>
  <c r="AD851" i="2"/>
  <c r="AC851" i="2"/>
  <c r="AB851" i="2"/>
  <c r="AA851" i="2"/>
  <c r="Z851" i="2"/>
  <c r="Y851" i="2"/>
  <c r="X851" i="2"/>
  <c r="W851" i="2"/>
  <c r="AC850" i="2"/>
  <c r="AB850" i="2"/>
  <c r="AA850" i="2"/>
  <c r="Z850" i="2"/>
  <c r="Y850" i="2"/>
  <c r="W850" i="2"/>
  <c r="V851" i="2"/>
  <c r="V850" i="2"/>
  <c r="Y838" i="2"/>
  <c r="X838" i="2"/>
  <c r="W838" i="2"/>
  <c r="V838" i="2"/>
  <c r="U838" i="2"/>
  <c r="T838" i="2"/>
  <c r="S838" i="2"/>
  <c r="R838" i="2"/>
  <c r="Q838" i="2"/>
  <c r="P838" i="2"/>
  <c r="O838" i="2"/>
  <c r="N838" i="2"/>
  <c r="M838" i="2"/>
  <c r="L838" i="2"/>
  <c r="K838" i="2"/>
  <c r="J838" i="2"/>
  <c r="Y837" i="2"/>
  <c r="X837" i="2"/>
  <c r="W837" i="2"/>
  <c r="V837" i="2"/>
  <c r="U837" i="2"/>
  <c r="T837" i="2"/>
  <c r="S837" i="2"/>
  <c r="R837" i="2"/>
  <c r="Q837" i="2"/>
  <c r="P837" i="2"/>
  <c r="O837" i="2"/>
  <c r="N837" i="2"/>
  <c r="M837" i="2"/>
  <c r="L837" i="2"/>
  <c r="K837" i="2"/>
  <c r="J837" i="2"/>
  <c r="AG838" i="2"/>
  <c r="AF838" i="2"/>
  <c r="AE838" i="2"/>
  <c r="AD838" i="2"/>
  <c r="AC838" i="2"/>
  <c r="AB838" i="2"/>
  <c r="AA838" i="2"/>
  <c r="AC837" i="2"/>
  <c r="AB837" i="2"/>
  <c r="AA837" i="2"/>
  <c r="Z838" i="2"/>
  <c r="Z837" i="2"/>
  <c r="AD850" i="2"/>
  <c r="AG394" i="2" l="1"/>
  <c r="Y849" i="2"/>
  <c r="AD837" i="2"/>
  <c r="V849" i="2"/>
  <c r="V852" i="2" s="1"/>
  <c r="W849" i="2"/>
  <c r="X849" i="2"/>
  <c r="AF850" i="2" l="1"/>
  <c r="AE837" i="2"/>
  <c r="AE850" i="2"/>
  <c r="AF837" i="2"/>
  <c r="AL831" i="2"/>
  <c r="AK831" i="2"/>
  <c r="AJ831" i="2"/>
  <c r="AH831" i="2"/>
  <c r="AG831" i="2"/>
  <c r="AF831" i="2"/>
  <c r="AE831" i="2"/>
  <c r="AD831" i="2"/>
  <c r="AC831" i="2"/>
  <c r="AB831" i="2"/>
  <c r="AA831" i="2"/>
  <c r="Z831" i="2"/>
  <c r="AA376" i="2"/>
  <c r="Z376" i="2"/>
  <c r="AG837" i="2" l="1"/>
  <c r="AG850" i="2"/>
  <c r="AE849" i="2"/>
  <c r="AF849" i="2"/>
  <c r="AG849" i="2"/>
  <c r="Z849" i="2"/>
  <c r="Z377" i="2"/>
  <c r="AA849" i="2"/>
  <c r="AA852" i="2" s="1"/>
  <c r="AA377" i="2"/>
  <c r="AB849" i="2"/>
  <c r="AC849" i="2"/>
  <c r="AD849" i="2"/>
  <c r="AH850" i="2" l="1"/>
  <c r="AH852" i="2" s="1"/>
  <c r="AH837" i="2"/>
  <c r="AG389" i="2"/>
  <c r="AG388" i="2"/>
  <c r="AA389" i="2"/>
  <c r="AA388" i="2"/>
  <c r="AA385" i="2"/>
  <c r="AA384" i="2"/>
  <c r="AH875" i="2" l="1"/>
  <c r="AG361" i="2"/>
  <c r="AH876" i="2" l="1"/>
  <c r="AM1232" i="2"/>
  <c r="AM1154" i="2"/>
  <c r="AM1155" i="2"/>
  <c r="AM1156" i="2"/>
  <c r="AM1157" i="2"/>
  <c r="AM1158" i="2"/>
  <c r="AM1159" i="2"/>
  <c r="AM1238" i="2"/>
  <c r="AM924" i="2"/>
  <c r="AM938" i="2"/>
  <c r="AM852" i="2"/>
  <c r="AM745" i="2"/>
  <c r="AM1084" i="2" s="1"/>
  <c r="AM679" i="2"/>
  <c r="AM491" i="2"/>
  <c r="AM492" i="2"/>
  <c r="AM493" i="2"/>
  <c r="AM746" i="2" l="1"/>
  <c r="AM490" i="2"/>
  <c r="AM875" i="2"/>
  <c r="AN555" i="2" l="1"/>
  <c r="V132" i="5"/>
  <c r="V123" i="5"/>
  <c r="AG1224" i="2"/>
  <c r="AG1227" i="2"/>
  <c r="AG1229" i="2"/>
  <c r="AG1233" i="2"/>
  <c r="AG1234" i="2"/>
  <c r="AG1235" i="2"/>
  <c r="AG1236" i="2"/>
  <c r="AG1237" i="2"/>
  <c r="AN1034" i="2" l="1"/>
  <c r="O49" i="7"/>
  <c r="AG738" i="2"/>
  <c r="AG745" i="2"/>
  <c r="AG1084" i="2" s="1"/>
  <c r="AG952" i="2"/>
  <c r="AG955" i="2"/>
  <c r="AG965" i="2"/>
  <c r="AG966" i="2"/>
  <c r="AG975" i="2"/>
  <c r="AG1109" i="2" s="1"/>
  <c r="AG982" i="2"/>
  <c r="AG983" i="2"/>
  <c r="AG833" i="2"/>
  <c r="AG840" i="2"/>
  <c r="AG846" i="2"/>
  <c r="AG1072" i="2" s="1"/>
  <c r="AG853" i="2"/>
  <c r="AG856" i="2" s="1"/>
  <c r="AG400" i="2"/>
  <c r="AG406" i="2" s="1"/>
  <c r="AG859" i="2"/>
  <c r="AG863" i="2"/>
  <c r="AG1114" i="2"/>
  <c r="AG867" i="2"/>
  <c r="AG868" i="2"/>
  <c r="AG870" i="2"/>
  <c r="AG871" i="2"/>
  <c r="AG873" i="2"/>
  <c r="AG874" i="2"/>
  <c r="AG1048" i="2" s="1"/>
  <c r="AG877" i="2"/>
  <c r="AG881" i="2"/>
  <c r="AG882" i="2"/>
  <c r="AG884" i="2"/>
  <c r="AG724" i="2" s="1"/>
  <c r="AG1218" i="2" s="1"/>
  <c r="AG1219" i="2" s="1"/>
  <c r="AG885" i="2"/>
  <c r="AG725" i="2" s="1"/>
  <c r="AG1220" i="2" s="1"/>
  <c r="AG1221" i="2" s="1"/>
  <c r="AB738" i="2"/>
  <c r="AC738" i="2"/>
  <c r="AD738" i="2"/>
  <c r="AE738" i="2"/>
  <c r="AF738" i="2"/>
  <c r="AB745" i="2"/>
  <c r="AB1084" i="2" s="1"/>
  <c r="AC745" i="2"/>
  <c r="AC1084" i="2" s="1"/>
  <c r="AD745" i="2"/>
  <c r="AD1084" i="2" s="1"/>
  <c r="AE745" i="2"/>
  <c r="AE1084" i="2" s="1"/>
  <c r="AF745" i="2"/>
  <c r="AF1084" i="2" s="1"/>
  <c r="AG1074" i="2" l="1"/>
  <c r="AG1065" i="2"/>
  <c r="AG908" i="2"/>
  <c r="AG1049" i="2"/>
  <c r="AH1073" i="2"/>
  <c r="AG1064" i="2"/>
  <c r="AG1062" i="2"/>
  <c r="AG1060" i="2"/>
  <c r="AG1063" i="2"/>
  <c r="AG1121" i="2"/>
  <c r="AG1061" i="2"/>
  <c r="AG1120" i="2"/>
  <c r="AG1059" i="2"/>
  <c r="AH1082" i="2"/>
  <c r="AE746" i="2"/>
  <c r="AG1113" i="2"/>
  <c r="AG1111" i="2" s="1"/>
  <c r="AG1102" i="2"/>
  <c r="AG1169" i="2" s="1"/>
  <c r="AH1096" i="2"/>
  <c r="AH1137" i="2" s="1"/>
  <c r="AC746" i="2"/>
  <c r="AD746" i="2"/>
  <c r="AF746" i="2"/>
  <c r="AB746" i="2"/>
  <c r="AG746" i="2"/>
  <c r="AG48" i="12"/>
  <c r="AH393" i="2"/>
  <c r="AG910" i="2"/>
  <c r="AF740" i="2"/>
  <c r="AF739" i="2"/>
  <c r="AD740" i="2"/>
  <c r="AD1085" i="2" s="1"/>
  <c r="AD739" i="2"/>
  <c r="AG842" i="2"/>
  <c r="AE739" i="2"/>
  <c r="AE740" i="2"/>
  <c r="AE1085" i="2" s="1"/>
  <c r="AB739" i="2"/>
  <c r="AB740" i="2"/>
  <c r="AB1085" i="2" s="1"/>
  <c r="AG740" i="2"/>
  <c r="AG1085" i="2" s="1"/>
  <c r="AG739" i="2"/>
  <c r="AC740" i="2"/>
  <c r="AC1085" i="2" s="1"/>
  <c r="AC739" i="2"/>
  <c r="AG986" i="2"/>
  <c r="AG902" i="2"/>
  <c r="AG901" i="2"/>
  <c r="AG1127" i="2" s="1"/>
  <c r="AG904" i="2"/>
  <c r="AG1011" i="2"/>
  <c r="AG1010" i="2"/>
  <c r="AG886" i="2"/>
  <c r="AG951" i="2"/>
  <c r="AH962" i="2" s="1"/>
  <c r="AG1240" i="2"/>
  <c r="AG997" i="2"/>
  <c r="AG996" i="2"/>
  <c r="AG984" i="2"/>
  <c r="AG977" i="2" s="1"/>
  <c r="AG872" i="2"/>
  <c r="AG852" i="2"/>
  <c r="AG1244" i="2"/>
  <c r="AG1245" i="2"/>
  <c r="AG1058" i="2" l="1"/>
  <c r="AF1085" i="2"/>
  <c r="AF751" i="2"/>
  <c r="AH1170" i="2"/>
  <c r="AH1098" i="2"/>
  <c r="AH1138" i="2" s="1"/>
  <c r="AH1022" i="2"/>
  <c r="AG1104" i="2"/>
  <c r="AG1070" i="2" s="1"/>
  <c r="AG1141" i="2"/>
  <c r="AG843" i="2"/>
  <c r="AH407" i="2" s="1"/>
  <c r="AH401" i="2"/>
  <c r="AG970" i="2"/>
  <c r="AG973" i="2"/>
  <c r="AG1249" i="2"/>
  <c r="AG875" i="2"/>
  <c r="AG1105" i="2" l="1"/>
  <c r="AG1080" i="2" s="1"/>
  <c r="AG1246" i="2" s="1"/>
  <c r="AH1097" i="2"/>
  <c r="AG876" i="2"/>
  <c r="AG729" i="2" s="1"/>
  <c r="AG1106" i="2" l="1"/>
  <c r="AG1081" i="2"/>
  <c r="V182" i="5"/>
  <c r="V181" i="5"/>
  <c r="V173" i="5"/>
  <c r="V172" i="5"/>
  <c r="V171" i="5"/>
  <c r="V170" i="5"/>
  <c r="V167" i="5"/>
  <c r="V166" i="5"/>
  <c r="V164" i="5" l="1"/>
  <c r="U164" i="5" s="1"/>
  <c r="AJ569" i="2" s="1"/>
  <c r="AL457" i="2" l="1"/>
  <c r="AL491" i="2"/>
  <c r="AL492" i="2"/>
  <c r="AL493" i="2"/>
  <c r="AL679" i="2"/>
  <c r="AL745" i="2"/>
  <c r="AL1084" i="2" s="1"/>
  <c r="AL852" i="2"/>
  <c r="AL875" i="2" s="1"/>
  <c r="AL924" i="2"/>
  <c r="AL926" i="2"/>
  <c r="AL404" i="2" s="1"/>
  <c r="AL938" i="2"/>
  <c r="AL1238" i="2"/>
  <c r="AL1232" i="2"/>
  <c r="AL418" i="2"/>
  <c r="AL1154" i="2" s="1"/>
  <c r="AL419" i="2"/>
  <c r="AL1155" i="2" s="1"/>
  <c r="AL420" i="2"/>
  <c r="AL1156" i="2" s="1"/>
  <c r="AL421" i="2"/>
  <c r="AL1157" i="2" s="1"/>
  <c r="AL423" i="2"/>
  <c r="AL422" i="2" s="1"/>
  <c r="AL1158" i="2" s="1"/>
  <c r="AL456" i="2" l="1"/>
  <c r="AL455" i="2" s="1"/>
  <c r="AL746" i="2"/>
  <c r="AL397" i="2"/>
  <c r="AM403" i="2"/>
  <c r="AL403" i="2"/>
  <c r="AL400" i="2"/>
  <c r="AL406" i="2" s="1"/>
  <c r="AL490" i="2"/>
  <c r="AM555" i="2" s="1"/>
  <c r="AA430" i="2"/>
  <c r="AM940" i="2"/>
  <c r="AL1159" i="2"/>
  <c r="AG926" i="2"/>
  <c r="AG404" i="2" s="1"/>
  <c r="AF965" i="2"/>
  <c r="AF966" i="2"/>
  <c r="AF975" i="2"/>
  <c r="AF1109" i="2" s="1"/>
  <c r="AF982" i="2"/>
  <c r="AF983" i="2"/>
  <c r="AF984" i="2" s="1"/>
  <c r="AF846" i="2"/>
  <c r="AF833" i="2"/>
  <c r="AF952" i="2"/>
  <c r="AF955" i="2"/>
  <c r="AF873" i="2"/>
  <c r="AF877" i="2"/>
  <c r="AF874" i="2"/>
  <c r="AF881" i="2"/>
  <c r="AF882" i="2"/>
  <c r="AF884" i="2"/>
  <c r="AF724" i="2" s="1"/>
  <c r="AF1218" i="2" s="1"/>
  <c r="AF1219" i="2" s="1"/>
  <c r="AF885" i="2"/>
  <c r="AF725" i="2" s="1"/>
  <c r="AF1220" i="2" s="1"/>
  <c r="AF1221" i="2" s="1"/>
  <c r="AF859" i="2"/>
  <c r="AF860" i="2"/>
  <c r="AF1112" i="2" s="1"/>
  <c r="AF863" i="2"/>
  <c r="AF1114" i="2"/>
  <c r="AF867" i="2"/>
  <c r="AF868" i="2"/>
  <c r="AF870" i="2"/>
  <c r="AF871" i="2"/>
  <c r="AF853" i="2"/>
  <c r="AF856" i="2" s="1"/>
  <c r="AF840" i="2"/>
  <c r="AF388" i="2"/>
  <c r="AF389" i="2"/>
  <c r="H229" i="5"/>
  <c r="J224" i="5"/>
  <c r="H225" i="5"/>
  <c r="T169" i="5"/>
  <c r="U169" i="5" s="1"/>
  <c r="AJ574" i="2" s="1"/>
  <c r="T34" i="7" s="1"/>
  <c r="J218" i="5"/>
  <c r="J217" i="5"/>
  <c r="CX1280" i="2"/>
  <c r="CW1280" i="2"/>
  <c r="CV1280" i="2"/>
  <c r="CU1280" i="2"/>
  <c r="AF1237" i="2"/>
  <c r="CX1265" i="2" s="1"/>
  <c r="AF1236" i="2"/>
  <c r="CX1264" i="2" s="1"/>
  <c r="AF1235" i="2"/>
  <c r="CX1263" i="2" s="1"/>
  <c r="AF1234" i="2"/>
  <c r="CX1262" i="2" s="1"/>
  <c r="AF1233" i="2"/>
  <c r="CX1261" i="2" s="1"/>
  <c r="CV1261" i="2" s="1"/>
  <c r="AF1229" i="2"/>
  <c r="CX1257" i="2" s="1"/>
  <c r="AF1227" i="2"/>
  <c r="CX1255" i="2" s="1"/>
  <c r="AF1224" i="2"/>
  <c r="AK491" i="2"/>
  <c r="AK492" i="2"/>
  <c r="AK493" i="2"/>
  <c r="AK457" i="2"/>
  <c r="AF383" i="2"/>
  <c r="AF384" i="2"/>
  <c r="AF385" i="2"/>
  <c r="AF387" i="2"/>
  <c r="AG387" i="2"/>
  <c r="E42" i="10"/>
  <c r="S154" i="5"/>
  <c r="F232" i="5"/>
  <c r="F230" i="5"/>
  <c r="F229" i="5"/>
  <c r="F228" i="5"/>
  <c r="F227" i="5"/>
  <c r="F223" i="5"/>
  <c r="F222" i="5"/>
  <c r="F221" i="5"/>
  <c r="F220" i="5"/>
  <c r="F219" i="5"/>
  <c r="F218" i="5"/>
  <c r="F214" i="5"/>
  <c r="F212" i="5"/>
  <c r="F210" i="5"/>
  <c r="F208" i="5"/>
  <c r="F207" i="5"/>
  <c r="F206" i="5"/>
  <c r="F205" i="5"/>
  <c r="F203" i="5"/>
  <c r="F202" i="5"/>
  <c r="F200" i="5"/>
  <c r="F199" i="5"/>
  <c r="F198" i="5"/>
  <c r="F197" i="5"/>
  <c r="F196" i="5"/>
  <c r="F195" i="5"/>
  <c r="F193" i="5"/>
  <c r="AK924" i="2"/>
  <c r="AK1294" i="2"/>
  <c r="AK1238" i="2"/>
  <c r="AK1232" i="2"/>
  <c r="AK926" i="2"/>
  <c r="AK404" i="2" s="1"/>
  <c r="AK403" i="2"/>
  <c r="AK938" i="2"/>
  <c r="AK852" i="2"/>
  <c r="AK875" i="2" s="1"/>
  <c r="AK679" i="2"/>
  <c r="AK745" i="2"/>
  <c r="AK1084" i="2" s="1"/>
  <c r="AK418" i="2"/>
  <c r="AK1154" i="2" s="1"/>
  <c r="AK419" i="2"/>
  <c r="AK1155" i="2" s="1"/>
  <c r="AK420" i="2"/>
  <c r="AK1156" i="2" s="1"/>
  <c r="AK421" i="2"/>
  <c r="AK1157" i="2" s="1"/>
  <c r="AK423" i="2"/>
  <c r="AK1159" i="2" s="1"/>
  <c r="X735" i="2"/>
  <c r="X736" i="2" s="1"/>
  <c r="CT1280" i="2"/>
  <c r="CS1280" i="2"/>
  <c r="CR1280" i="2"/>
  <c r="AE1224" i="2"/>
  <c r="AE1227" i="2"/>
  <c r="CT1255" i="2" s="1"/>
  <c r="AE1229" i="2"/>
  <c r="CT1257" i="2" s="1"/>
  <c r="AE1233" i="2"/>
  <c r="CT1261" i="2" s="1"/>
  <c r="AE1234" i="2"/>
  <c r="CT1262" i="2" s="1"/>
  <c r="AE1235" i="2"/>
  <c r="CT1263" i="2" s="1"/>
  <c r="AE1236" i="2"/>
  <c r="CT1264" i="2" s="1"/>
  <c r="AE1237" i="2"/>
  <c r="CT1265" i="2" s="1"/>
  <c r="AE1305" i="2"/>
  <c r="AD1305" i="2"/>
  <c r="AC1305" i="2"/>
  <c r="AE1304" i="2"/>
  <c r="AD1304" i="2"/>
  <c r="AC1304" i="2"/>
  <c r="AE1303" i="2"/>
  <c r="AD1303" i="2"/>
  <c r="AC1303" i="2"/>
  <c r="AE1302" i="2"/>
  <c r="AD1302" i="2"/>
  <c r="AC1302" i="2"/>
  <c r="AE1301" i="2"/>
  <c r="AD1301" i="2"/>
  <c r="AC1301" i="2"/>
  <c r="AE1299" i="2"/>
  <c r="AD1299" i="2"/>
  <c r="AC1299" i="2"/>
  <c r="AE1298" i="2"/>
  <c r="AD1298" i="2"/>
  <c r="AC1298" i="2"/>
  <c r="AE1297" i="2"/>
  <c r="AD1297" i="2"/>
  <c r="AC1297" i="2"/>
  <c r="AE1296" i="2"/>
  <c r="AD1296" i="2"/>
  <c r="AC1296" i="2"/>
  <c r="AJ1294" i="2"/>
  <c r="AI1294" i="2"/>
  <c r="AH1294" i="2"/>
  <c r="AG1294" i="2"/>
  <c r="AF1294" i="2"/>
  <c r="AE1294" i="2"/>
  <c r="AD1294" i="2"/>
  <c r="AC1294" i="2"/>
  <c r="AE965" i="2"/>
  <c r="AE966" i="2"/>
  <c r="AE975" i="2"/>
  <c r="AE1109" i="2" s="1"/>
  <c r="AE982" i="2"/>
  <c r="AE983" i="2"/>
  <c r="AE984" i="2" s="1"/>
  <c r="AE977" i="2" s="1"/>
  <c r="AE952" i="2"/>
  <c r="AE955" i="2"/>
  <c r="AE833" i="2"/>
  <c r="AE840" i="2"/>
  <c r="AE48" i="12" s="1"/>
  <c r="AE846" i="2"/>
  <c r="AE1072" i="2" s="1"/>
  <c r="AE853" i="2"/>
  <c r="AE856" i="2" s="1"/>
  <c r="AE859" i="2"/>
  <c r="AE860" i="2"/>
  <c r="AE1112" i="2" s="1"/>
  <c r="AE863" i="2"/>
  <c r="AE1114" i="2"/>
  <c r="AE867" i="2"/>
  <c r="AE868" i="2"/>
  <c r="AE870" i="2"/>
  <c r="AE871" i="2"/>
  <c r="AE873" i="2"/>
  <c r="AE874" i="2"/>
  <c r="AE877" i="2"/>
  <c r="AE881" i="2"/>
  <c r="AE882" i="2"/>
  <c r="AE884" i="2"/>
  <c r="AE724" i="2" s="1"/>
  <c r="AE1218" i="2" s="1"/>
  <c r="AE1219" i="2" s="1"/>
  <c r="AE885" i="2"/>
  <c r="AE725" i="2" s="1"/>
  <c r="AE1220" i="2" s="1"/>
  <c r="AE1221" i="2" s="1"/>
  <c r="AF402" i="2"/>
  <c r="AF360" i="2"/>
  <c r="F225" i="5"/>
  <c r="F217" i="5"/>
  <c r="F216" i="5"/>
  <c r="F215" i="5"/>
  <c r="F211" i="5"/>
  <c r="F209" i="5"/>
  <c r="F201" i="5"/>
  <c r="AM1280" i="2"/>
  <c r="AN1280" i="2"/>
  <c r="AO1280" i="2"/>
  <c r="AQ1280" i="2"/>
  <c r="AR1280" i="2"/>
  <c r="AS1280" i="2"/>
  <c r="AD965" i="2"/>
  <c r="AD966" i="2"/>
  <c r="AD975" i="2"/>
  <c r="AD1109" i="2" s="1"/>
  <c r="AD982" i="2"/>
  <c r="AD983" i="2"/>
  <c r="AD984" i="2" s="1"/>
  <c r="AD973" i="2" s="1"/>
  <c r="AD952" i="2"/>
  <c r="AD955" i="2"/>
  <c r="AD833" i="2"/>
  <c r="AD840" i="2"/>
  <c r="AD48" i="12" s="1"/>
  <c r="AD846" i="2"/>
  <c r="AD1072" i="2" s="1"/>
  <c r="AD853" i="2"/>
  <c r="AD856" i="2" s="1"/>
  <c r="AD859" i="2"/>
  <c r="AD860" i="2"/>
  <c r="AD1112" i="2" s="1"/>
  <c r="AD863" i="2"/>
  <c r="AD867" i="2"/>
  <c r="AD868" i="2"/>
  <c r="AD870" i="2"/>
  <c r="AD871" i="2"/>
  <c r="AD873" i="2"/>
  <c r="AD874" i="2"/>
  <c r="AD877" i="2"/>
  <c r="AD881" i="2"/>
  <c r="AD882" i="2"/>
  <c r="AD884" i="2"/>
  <c r="AD724" i="2" s="1"/>
  <c r="AD1218" i="2" s="1"/>
  <c r="AD1219" i="2" s="1"/>
  <c r="AD885" i="2"/>
  <c r="AD725" i="2" s="1"/>
  <c r="AD1220" i="2" s="1"/>
  <c r="AD1221" i="2" s="1"/>
  <c r="BV1269" i="2"/>
  <c r="BR1269" i="2"/>
  <c r="BN1269" i="2"/>
  <c r="BJ1269" i="2"/>
  <c r="AJ1232" i="2"/>
  <c r="DB1260" i="2" s="1"/>
  <c r="J12" i="11"/>
  <c r="I12" i="11"/>
  <c r="H12" i="11"/>
  <c r="E12" i="11"/>
  <c r="Y1232" i="2"/>
  <c r="BV1260" i="2" s="1"/>
  <c r="X1232" i="2"/>
  <c r="BR1260" i="2" s="1"/>
  <c r="W1232" i="2"/>
  <c r="BN1260" i="2" s="1"/>
  <c r="V1232" i="2"/>
  <c r="BJ1260" i="2" s="1"/>
  <c r="AJ1238" i="2"/>
  <c r="DB1266" i="2" s="1"/>
  <c r="AI1238" i="2"/>
  <c r="AH1238" i="2"/>
  <c r="AG1238" i="2"/>
  <c r="AF1238" i="2"/>
  <c r="CX1266" i="2" s="1"/>
  <c r="AE1238" i="2"/>
  <c r="CT1266" i="2" s="1"/>
  <c r="AD1238" i="2"/>
  <c r="CP1266" i="2" s="1"/>
  <c r="CO1266" i="2" s="1"/>
  <c r="AC1238" i="2"/>
  <c r="CL1266" i="2" s="1"/>
  <c r="CJ1266" i="2" s="1"/>
  <c r="AB1238" i="2"/>
  <c r="CH1266" i="2" s="1"/>
  <c r="CE1266" i="2" s="1"/>
  <c r="AA1238" i="2"/>
  <c r="CD1266" i="2" s="1"/>
  <c r="CB1266" i="2" s="1"/>
  <c r="Z1238" i="2"/>
  <c r="BZ1266" i="2" s="1"/>
  <c r="BY1266" i="2" s="1"/>
  <c r="Y1238" i="2"/>
  <c r="BV1266" i="2" s="1"/>
  <c r="BU1266" i="2" s="1"/>
  <c r="X1238" i="2"/>
  <c r="BR1266" i="2" s="1"/>
  <c r="BP1266" i="2" s="1"/>
  <c r="W1238" i="2"/>
  <c r="BN1266" i="2" s="1"/>
  <c r="BK1266" i="2" s="1"/>
  <c r="V1238" i="2"/>
  <c r="BJ1266" i="2" s="1"/>
  <c r="BH1266" i="2" s="1"/>
  <c r="Y1231" i="2"/>
  <c r="BV1259" i="2" s="1"/>
  <c r="BT1259" i="2" s="1"/>
  <c r="X1231" i="2"/>
  <c r="BR1259" i="2" s="1"/>
  <c r="W1231" i="2"/>
  <c r="BN1259" i="2" s="1"/>
  <c r="V1231" i="2"/>
  <c r="BJ1259" i="2" s="1"/>
  <c r="BH1259" i="2" s="1"/>
  <c r="G10" i="11"/>
  <c r="F10" i="11"/>
  <c r="E10" i="11"/>
  <c r="D10" i="11"/>
  <c r="C10" i="11"/>
  <c r="B10" i="11"/>
  <c r="AF926" i="2"/>
  <c r="AF404" i="2" s="1"/>
  <c r="AJ926" i="2"/>
  <c r="AJ404" i="2" s="1"/>
  <c r="AE926" i="2"/>
  <c r="AE402" i="2"/>
  <c r="AE389" i="2"/>
  <c r="AE388" i="2"/>
  <c r="AE387" i="2"/>
  <c r="AE385" i="2"/>
  <c r="AE384" i="2"/>
  <c r="AE383" i="2"/>
  <c r="AE360" i="2"/>
  <c r="AG1154" i="2"/>
  <c r="AH1154" i="2"/>
  <c r="AI418" i="2"/>
  <c r="AI1154" i="2" s="1"/>
  <c r="AJ418" i="2"/>
  <c r="AJ1154" i="2" s="1"/>
  <c r="AG1155" i="2"/>
  <c r="AH1155" i="2"/>
  <c r="AI419" i="2"/>
  <c r="AI1155" i="2" s="1"/>
  <c r="AJ419" i="2"/>
  <c r="AJ1155" i="2" s="1"/>
  <c r="AG1156" i="2"/>
  <c r="AH1156" i="2"/>
  <c r="AI420" i="2"/>
  <c r="AI1156" i="2" s="1"/>
  <c r="AJ420" i="2"/>
  <c r="AJ1156" i="2" s="1"/>
  <c r="AG1157" i="2"/>
  <c r="AH1157" i="2"/>
  <c r="AI421" i="2"/>
  <c r="AI1157" i="2" s="1"/>
  <c r="AJ421" i="2"/>
  <c r="AJ1157" i="2" s="1"/>
  <c r="AI423" i="2"/>
  <c r="AI1159" i="2" s="1"/>
  <c r="AJ423" i="2"/>
  <c r="AJ422" i="2" s="1"/>
  <c r="AJ1158" i="2" s="1"/>
  <c r="AD423" i="2"/>
  <c r="AC423" i="2"/>
  <c r="AF1157" i="2"/>
  <c r="AE1157" i="2"/>
  <c r="AD421" i="2"/>
  <c r="AD1157" i="2" s="1"/>
  <c r="AC421" i="2"/>
  <c r="AC1157" i="2" s="1"/>
  <c r="AF1156" i="2"/>
  <c r="AE1156" i="2"/>
  <c r="AD420" i="2"/>
  <c r="AD1156" i="2" s="1"/>
  <c r="AC420" i="2"/>
  <c r="AC1156" i="2" s="1"/>
  <c r="AF1155" i="2"/>
  <c r="AE1155" i="2"/>
  <c r="AD419" i="2"/>
  <c r="AD1155" i="2" s="1"/>
  <c r="AC419" i="2"/>
  <c r="AC1155" i="2" s="1"/>
  <c r="AF1154" i="2"/>
  <c r="AE1154" i="2"/>
  <c r="AD418" i="2"/>
  <c r="AD1154" i="2" s="1"/>
  <c r="AC418" i="2"/>
  <c r="AC1154" i="2" s="1"/>
  <c r="U1245" i="2"/>
  <c r="BF1273" i="2" s="1"/>
  <c r="T1245" i="2"/>
  <c r="BB1273" i="2" s="1"/>
  <c r="S1245" i="2"/>
  <c r="AX1273" i="2" s="1"/>
  <c r="R1245" i="2"/>
  <c r="AS1273" i="2" s="1"/>
  <c r="Q1245" i="2"/>
  <c r="AO1273" i="2" s="1"/>
  <c r="P1245" i="2"/>
  <c r="AK1273" i="2" s="1"/>
  <c r="O1245" i="2"/>
  <c r="AG1273" i="2" s="1"/>
  <c r="N1245" i="2"/>
  <c r="AC1273" i="2" s="1"/>
  <c r="M1245" i="2"/>
  <c r="Y1273" i="2" s="1"/>
  <c r="L1245" i="2"/>
  <c r="U1273" i="2" s="1"/>
  <c r="K1245" i="2"/>
  <c r="Q1273" i="2" s="1"/>
  <c r="J1245" i="2"/>
  <c r="M1273" i="2" s="1"/>
  <c r="U1244" i="2"/>
  <c r="T1244" i="2"/>
  <c r="S1244" i="2"/>
  <c r="R1244" i="2"/>
  <c r="Q1244" i="2"/>
  <c r="P1244" i="2"/>
  <c r="O1244" i="2"/>
  <c r="N1244" i="2"/>
  <c r="M1244" i="2"/>
  <c r="L1244" i="2"/>
  <c r="K1244" i="2"/>
  <c r="J1244" i="2"/>
  <c r="D1273" i="2"/>
  <c r="D1272" i="2"/>
  <c r="D1276" i="2"/>
  <c r="AC1245" i="2"/>
  <c r="CL1273" i="2" s="1"/>
  <c r="AB1245" i="2"/>
  <c r="CH1273" i="2" s="1"/>
  <c r="AA1245" i="2"/>
  <c r="CD1273" i="2" s="1"/>
  <c r="Z1245" i="2"/>
  <c r="BZ1273" i="2" s="1"/>
  <c r="Y1245" i="2"/>
  <c r="BV1273" i="2" s="1"/>
  <c r="X1245" i="2"/>
  <c r="BR1273" i="2" s="1"/>
  <c r="W1245" i="2"/>
  <c r="BN1273" i="2" s="1"/>
  <c r="AC1244" i="2"/>
  <c r="CL1272" i="2" s="1"/>
  <c r="AB1244" i="2"/>
  <c r="CH1272" i="2" s="1"/>
  <c r="AA1244" i="2"/>
  <c r="CD1272" i="2" s="1"/>
  <c r="Z1244" i="2"/>
  <c r="BZ1272" i="2" s="1"/>
  <c r="Y1244" i="2"/>
  <c r="BV1272" i="2" s="1"/>
  <c r="X1244" i="2"/>
  <c r="BR1272" i="2" s="1"/>
  <c r="W1244" i="2"/>
  <c r="V1245" i="2"/>
  <c r="BJ1273" i="2" s="1"/>
  <c r="V1244" i="2"/>
  <c r="AA915" i="2"/>
  <c r="Z846" i="2"/>
  <c r="Z1072" i="2" s="1"/>
  <c r="W835" i="2"/>
  <c r="W848" i="2" s="1"/>
  <c r="W847" i="2" s="1"/>
  <c r="W834" i="2" s="1"/>
  <c r="Z853" i="2"/>
  <c r="Z856" i="2" s="1"/>
  <c r="Z842" i="2"/>
  <c r="AA942" i="2"/>
  <c r="AB942" i="2" s="1"/>
  <c r="AC942" i="2" s="1"/>
  <c r="AD942" i="2" s="1"/>
  <c r="AE942" i="2" s="1"/>
  <c r="AF942" i="2" s="1"/>
  <c r="AG942" i="2" s="1"/>
  <c r="AH942" i="2" s="1"/>
  <c r="Y877" i="2"/>
  <c r="AD926" i="2"/>
  <c r="AD404" i="2" s="1"/>
  <c r="AD403" i="2"/>
  <c r="AC403" i="2"/>
  <c r="AD397" i="2"/>
  <c r="AC397" i="2"/>
  <c r="AC846" i="2"/>
  <c r="AC1072" i="2" s="1"/>
  <c r="AC853" i="2"/>
  <c r="AC856" i="2" s="1"/>
  <c r="AC833" i="2"/>
  <c r="E836" i="2"/>
  <c r="AC840" i="2"/>
  <c r="AC48" i="12" s="1"/>
  <c r="AE403" i="2"/>
  <c r="AE397" i="2"/>
  <c r="AC983" i="2"/>
  <c r="AC984" i="2" s="1"/>
  <c r="AC970" i="2" s="1"/>
  <c r="AC756" i="2"/>
  <c r="AD756" i="2" s="1"/>
  <c r="AE756" i="2" s="1"/>
  <c r="AF756" i="2" s="1"/>
  <c r="AG756" i="2" s="1"/>
  <c r="AH756" i="2" s="1"/>
  <c r="AI756" i="2" s="1"/>
  <c r="AJ756" i="2" s="1"/>
  <c r="AK756" i="2" s="1"/>
  <c r="AL756" i="2" s="1"/>
  <c r="AM756" i="2" s="1"/>
  <c r="AN756" i="2" s="1"/>
  <c r="AO756" i="2" s="1"/>
  <c r="AP756" i="2" s="1"/>
  <c r="AQ756" i="2" s="1"/>
  <c r="AR756" i="2" s="1"/>
  <c r="AS756" i="2" s="1"/>
  <c r="AT756" i="2" s="1"/>
  <c r="AB846" i="2"/>
  <c r="AB1072" i="2" s="1"/>
  <c r="AB853" i="2"/>
  <c r="AB856" i="2" s="1"/>
  <c r="AB833" i="2"/>
  <c r="AB992" i="2" s="1"/>
  <c r="AB840" i="2"/>
  <c r="AB48" i="12" s="1"/>
  <c r="AB983" i="2"/>
  <c r="AB984" i="2" s="1"/>
  <c r="AB977" i="2" s="1"/>
  <c r="Y323" i="2"/>
  <c r="Y324" i="2" s="1"/>
  <c r="Z323" i="2"/>
  <c r="Z324" i="2" s="1"/>
  <c r="Z325" i="2" s="1"/>
  <c r="AA323" i="2"/>
  <c r="AA324" i="2" s="1"/>
  <c r="AA325" i="2" s="1"/>
  <c r="AE497" i="2"/>
  <c r="E496" i="2"/>
  <c r="Z496" i="2" s="1"/>
  <c r="AD497" i="2"/>
  <c r="M1280" i="2"/>
  <c r="L1280" i="2"/>
  <c r="K1280" i="2"/>
  <c r="J1280" i="2"/>
  <c r="Q1280" i="2"/>
  <c r="P1280" i="2"/>
  <c r="O1280" i="2"/>
  <c r="N1252" i="2"/>
  <c r="N1280" i="2" s="1"/>
  <c r="U1280" i="2"/>
  <c r="T1280" i="2"/>
  <c r="S1280" i="2"/>
  <c r="D1290" i="2"/>
  <c r="D1289" i="2"/>
  <c r="D1288" i="2"/>
  <c r="D1287" i="2"/>
  <c r="CP1280" i="2"/>
  <c r="CO1280" i="2"/>
  <c r="CN1280" i="2"/>
  <c r="CL1280" i="2"/>
  <c r="CK1280" i="2"/>
  <c r="CJ1280" i="2"/>
  <c r="CH1280" i="2"/>
  <c r="CG1280" i="2"/>
  <c r="CF1280" i="2"/>
  <c r="CD1280" i="2"/>
  <c r="CC1280" i="2"/>
  <c r="CB1280" i="2"/>
  <c r="BZ1280" i="2"/>
  <c r="BY1280" i="2"/>
  <c r="BX1280" i="2"/>
  <c r="BV1280" i="2"/>
  <c r="BU1280" i="2"/>
  <c r="BT1280" i="2"/>
  <c r="BR1280" i="2"/>
  <c r="BQ1280" i="2"/>
  <c r="BP1280" i="2"/>
  <c r="BN1280" i="2"/>
  <c r="BM1280" i="2"/>
  <c r="BL1280" i="2"/>
  <c r="BJ1280" i="2"/>
  <c r="BI1280" i="2"/>
  <c r="BH1280" i="2"/>
  <c r="BF1280" i="2"/>
  <c r="BE1280" i="2"/>
  <c r="BD1280" i="2"/>
  <c r="BB1280" i="2"/>
  <c r="BA1280" i="2"/>
  <c r="AZ1280" i="2"/>
  <c r="AX1280" i="2"/>
  <c r="AW1280" i="2"/>
  <c r="AV1280" i="2"/>
  <c r="AK1280" i="2"/>
  <c r="AJ1280" i="2"/>
  <c r="AI1280" i="2"/>
  <c r="AG1280" i="2"/>
  <c r="AF1280" i="2"/>
  <c r="AE1280" i="2"/>
  <c r="AC1280" i="2"/>
  <c r="AB1280" i="2"/>
  <c r="AA1280" i="2"/>
  <c r="Y1280" i="2"/>
  <c r="X1280" i="2"/>
  <c r="W1280" i="2"/>
  <c r="AH1251" i="2"/>
  <c r="BC1251" i="2" s="1"/>
  <c r="BW1251" i="2" s="1"/>
  <c r="CQ1251" i="2" s="1"/>
  <c r="AD1237" i="2"/>
  <c r="CP1265" i="2" s="1"/>
  <c r="AC1237" i="2"/>
  <c r="CL1265" i="2" s="1"/>
  <c r="AD1233" i="2"/>
  <c r="CP1261" i="2" s="1"/>
  <c r="CN1261" i="2" s="1"/>
  <c r="AC1233" i="2"/>
  <c r="CL1261" i="2" s="1"/>
  <c r="CI1261" i="2" s="1"/>
  <c r="AD1227" i="2"/>
  <c r="CP1255" i="2" s="1"/>
  <c r="AC1227" i="2"/>
  <c r="CL1255" i="2" s="1"/>
  <c r="Z1237" i="2"/>
  <c r="BZ1265" i="2" s="1"/>
  <c r="AA1234" i="2"/>
  <c r="CD1262" i="2" s="1"/>
  <c r="AB1227" i="2"/>
  <c r="CH1255" i="2" s="1"/>
  <c r="Y1234" i="2"/>
  <c r="BV1262" i="2" s="1"/>
  <c r="X1234" i="2"/>
  <c r="BR1262" i="2" s="1"/>
  <c r="Y1229" i="2"/>
  <c r="BV1257" i="2" s="1"/>
  <c r="X1229" i="2"/>
  <c r="BR1257" i="2" s="1"/>
  <c r="BF1269" i="2"/>
  <c r="V1237" i="2"/>
  <c r="BJ1265" i="2" s="1"/>
  <c r="V1236" i="2"/>
  <c r="BJ1264" i="2" s="1"/>
  <c r="U1236" i="2"/>
  <c r="BF1264" i="2" s="1"/>
  <c r="U1235" i="2"/>
  <c r="BF1263" i="2" s="1"/>
  <c r="T1235" i="2"/>
  <c r="BB1263" i="2" s="1"/>
  <c r="V1233" i="2"/>
  <c r="BJ1261" i="2" s="1"/>
  <c r="BI1261" i="2" s="1"/>
  <c r="V1229" i="2"/>
  <c r="BJ1257" i="2" s="1"/>
  <c r="U1229" i="2"/>
  <c r="BF1257" i="2" s="1"/>
  <c r="R1236" i="2"/>
  <c r="AS1264" i="2" s="1"/>
  <c r="R1235" i="2"/>
  <c r="AS1263" i="2" s="1"/>
  <c r="Q1235" i="2"/>
  <c r="AO1263" i="2" s="1"/>
  <c r="Q1234" i="2"/>
  <c r="AO1262" i="2" s="1"/>
  <c r="R1229" i="2"/>
  <c r="AS1257" i="2" s="1"/>
  <c r="Q1229" i="2"/>
  <c r="AO1257" i="2" s="1"/>
  <c r="O1235" i="2"/>
  <c r="AG1263" i="2" s="1"/>
  <c r="N1237" i="2"/>
  <c r="AC1265" i="2" s="1"/>
  <c r="M1237" i="2"/>
  <c r="Y1265" i="2" s="1"/>
  <c r="K1235" i="2"/>
  <c r="Q1263" i="2" s="1"/>
  <c r="J1235" i="2"/>
  <c r="M1263" i="2" s="1"/>
  <c r="AK1269" i="2"/>
  <c r="AG1269" i="2"/>
  <c r="N1236" i="2"/>
  <c r="AC1264" i="2" s="1"/>
  <c r="P1234" i="2"/>
  <c r="AK1262" i="2" s="1"/>
  <c r="N1229" i="2"/>
  <c r="AC1257" i="2" s="1"/>
  <c r="M1236" i="2"/>
  <c r="Y1264" i="2" s="1"/>
  <c r="M1229" i="2"/>
  <c r="Y1257" i="2" s="1"/>
  <c r="U1269" i="2"/>
  <c r="Y1269" i="2"/>
  <c r="L1234" i="2"/>
  <c r="U1262" i="2" s="1"/>
  <c r="E1274" i="2"/>
  <c r="E1270" i="2"/>
  <c r="E1261" i="2"/>
  <c r="E1258" i="2"/>
  <c r="E1256" i="2"/>
  <c r="D1275" i="2"/>
  <c r="D1274" i="2"/>
  <c r="D1268" i="2"/>
  <c r="D1267" i="2"/>
  <c r="D1233" i="2"/>
  <c r="D1261" i="2" s="1"/>
  <c r="D1258" i="2"/>
  <c r="D1255" i="2"/>
  <c r="AX1269" i="2"/>
  <c r="AC1269" i="2"/>
  <c r="Q1269" i="2"/>
  <c r="AB1237" i="2"/>
  <c r="CH1265" i="2" s="1"/>
  <c r="AA1237" i="2"/>
  <c r="CD1265" i="2" s="1"/>
  <c r="Y1237" i="2"/>
  <c r="BV1265" i="2" s="1"/>
  <c r="X1237" i="2"/>
  <c r="BR1265" i="2" s="1"/>
  <c r="W1237" i="2"/>
  <c r="BN1265" i="2" s="1"/>
  <c r="U1237" i="2"/>
  <c r="BF1265" i="2" s="1"/>
  <c r="T1237" i="2"/>
  <c r="BB1265" i="2" s="1"/>
  <c r="S1237" i="2"/>
  <c r="AX1265" i="2" s="1"/>
  <c r="R1237" i="2"/>
  <c r="AS1265" i="2" s="1"/>
  <c r="Q1237" i="2"/>
  <c r="AO1265" i="2" s="1"/>
  <c r="P1237" i="2"/>
  <c r="AK1265" i="2" s="1"/>
  <c r="O1237" i="2"/>
  <c r="AG1265" i="2" s="1"/>
  <c r="L1237" i="2"/>
  <c r="U1265" i="2" s="1"/>
  <c r="K1237" i="2"/>
  <c r="Q1265" i="2" s="1"/>
  <c r="AD1236" i="2"/>
  <c r="CP1264" i="2" s="1"/>
  <c r="AC1236" i="2"/>
  <c r="CL1264" i="2" s="1"/>
  <c r="AB1236" i="2"/>
  <c r="CH1264" i="2" s="1"/>
  <c r="AA1236" i="2"/>
  <c r="CD1264" i="2" s="1"/>
  <c r="Z1236" i="2"/>
  <c r="BZ1264" i="2" s="1"/>
  <c r="Y1236" i="2"/>
  <c r="BV1264" i="2" s="1"/>
  <c r="X1236" i="2"/>
  <c r="BR1264" i="2" s="1"/>
  <c r="W1236" i="2"/>
  <c r="BN1264" i="2" s="1"/>
  <c r="T1236" i="2"/>
  <c r="BB1264" i="2" s="1"/>
  <c r="S1236" i="2"/>
  <c r="AX1264" i="2" s="1"/>
  <c r="Q1236" i="2"/>
  <c r="AO1264" i="2" s="1"/>
  <c r="P1236" i="2"/>
  <c r="AK1264" i="2" s="1"/>
  <c r="O1236" i="2"/>
  <c r="AG1264" i="2" s="1"/>
  <c r="L1236" i="2"/>
  <c r="U1264" i="2" s="1"/>
  <c r="K1236" i="2"/>
  <c r="Q1264" i="2" s="1"/>
  <c r="AD1235" i="2"/>
  <c r="CP1263" i="2" s="1"/>
  <c r="AC1235" i="2"/>
  <c r="CL1263" i="2" s="1"/>
  <c r="AB1235" i="2"/>
  <c r="CH1263" i="2" s="1"/>
  <c r="AA1235" i="2"/>
  <c r="CD1263" i="2" s="1"/>
  <c r="Z1235" i="2"/>
  <c r="BZ1263" i="2" s="1"/>
  <c r="Y1235" i="2"/>
  <c r="BV1263" i="2" s="1"/>
  <c r="X1235" i="2"/>
  <c r="BR1263" i="2" s="1"/>
  <c r="W1235" i="2"/>
  <c r="BN1263" i="2" s="1"/>
  <c r="V1235" i="2"/>
  <c r="BJ1263" i="2" s="1"/>
  <c r="S1235" i="2"/>
  <c r="AX1263" i="2" s="1"/>
  <c r="P1235" i="2"/>
  <c r="AK1263" i="2" s="1"/>
  <c r="N1235" i="2"/>
  <c r="AC1263" i="2" s="1"/>
  <c r="M1235" i="2"/>
  <c r="Y1263" i="2" s="1"/>
  <c r="L1235" i="2"/>
  <c r="U1263" i="2" s="1"/>
  <c r="AD1234" i="2"/>
  <c r="CP1262" i="2" s="1"/>
  <c r="AC1234" i="2"/>
  <c r="CL1262" i="2" s="1"/>
  <c r="AB1234" i="2"/>
  <c r="CH1262" i="2" s="1"/>
  <c r="Z1234" i="2"/>
  <c r="BZ1262" i="2" s="1"/>
  <c r="W1234" i="2"/>
  <c r="BN1262" i="2" s="1"/>
  <c r="V1234" i="2"/>
  <c r="BJ1262" i="2" s="1"/>
  <c r="U1234" i="2"/>
  <c r="BF1262" i="2" s="1"/>
  <c r="T1234" i="2"/>
  <c r="BB1262" i="2" s="1"/>
  <c r="S1234" i="2"/>
  <c r="AX1262" i="2" s="1"/>
  <c r="R1234" i="2"/>
  <c r="AS1262" i="2" s="1"/>
  <c r="O1234" i="2"/>
  <c r="AG1262" i="2" s="1"/>
  <c r="N1234" i="2"/>
  <c r="AC1262" i="2" s="1"/>
  <c r="M1234" i="2"/>
  <c r="Y1262" i="2" s="1"/>
  <c r="K1234" i="2"/>
  <c r="Q1262" i="2" s="1"/>
  <c r="AB1233" i="2"/>
  <c r="CH1261" i="2" s="1"/>
  <c r="CG1261" i="2" s="1"/>
  <c r="AA1233" i="2"/>
  <c r="CD1261" i="2" s="1"/>
  <c r="CA1261" i="2" s="1"/>
  <c r="Z1233" i="2"/>
  <c r="BZ1261" i="2" s="1"/>
  <c r="BW1261" i="2" s="1"/>
  <c r="Y1233" i="2"/>
  <c r="BV1261" i="2" s="1"/>
  <c r="BU1261" i="2" s="1"/>
  <c r="X1233" i="2"/>
  <c r="BR1261" i="2" s="1"/>
  <c r="W1233" i="2"/>
  <c r="BN1261" i="2" s="1"/>
  <c r="BK1261" i="2" s="1"/>
  <c r="U1233" i="2"/>
  <c r="BF1261" i="2" s="1"/>
  <c r="BE1261" i="2" s="1"/>
  <c r="T1233" i="2"/>
  <c r="BB1261" i="2" s="1"/>
  <c r="BA1261" i="2" s="1"/>
  <c r="S1233" i="2"/>
  <c r="AX1261" i="2" s="1"/>
  <c r="AW1261" i="2" s="1"/>
  <c r="R1233" i="2"/>
  <c r="AS1261" i="2" s="1"/>
  <c r="Q1233" i="2"/>
  <c r="AO1261" i="2" s="1"/>
  <c r="AM1261" i="2" s="1"/>
  <c r="P1233" i="2"/>
  <c r="AK1261" i="2" s="1"/>
  <c r="O1233" i="2"/>
  <c r="AG1261" i="2" s="1"/>
  <c r="N1233" i="2"/>
  <c r="AC1261" i="2" s="1"/>
  <c r="AB1261" i="2" s="1"/>
  <c r="M1233" i="2"/>
  <c r="Y1261" i="2" s="1"/>
  <c r="W1261" i="2" s="1"/>
  <c r="L1233" i="2"/>
  <c r="U1261" i="2" s="1"/>
  <c r="T1261" i="2" s="1"/>
  <c r="K1233" i="2"/>
  <c r="Q1261" i="2" s="1"/>
  <c r="P1261" i="2" s="1"/>
  <c r="M1269" i="2"/>
  <c r="BB1269" i="2"/>
  <c r="AS1269" i="2"/>
  <c r="AO1269" i="2"/>
  <c r="D1243" i="2"/>
  <c r="D1271" i="2" s="1"/>
  <c r="D1242" i="2"/>
  <c r="D1241" i="2"/>
  <c r="D1238" i="2"/>
  <c r="D1266" i="2" s="1"/>
  <c r="E1239" i="2"/>
  <c r="E1267" i="2" s="1"/>
  <c r="J1237" i="2"/>
  <c r="M1265" i="2" s="1"/>
  <c r="J1236" i="2"/>
  <c r="M1264" i="2" s="1"/>
  <c r="J1234" i="2"/>
  <c r="M1262" i="2" s="1"/>
  <c r="D1237" i="2"/>
  <c r="D1265" i="2" s="1"/>
  <c r="D1236" i="2"/>
  <c r="D1264" i="2" s="1"/>
  <c r="D1235" i="2"/>
  <c r="D1263" i="2" s="1"/>
  <c r="D1234" i="2"/>
  <c r="D1262" i="2" s="1"/>
  <c r="J1233" i="2"/>
  <c r="M1261" i="2" s="1"/>
  <c r="J1231" i="2"/>
  <c r="M1259" i="2" s="1"/>
  <c r="D1232" i="2"/>
  <c r="D1260" i="2" s="1"/>
  <c r="D1231" i="2"/>
  <c r="D1259" i="2" s="1"/>
  <c r="AD1229" i="2"/>
  <c r="CP1257" i="2" s="1"/>
  <c r="AC1229" i="2"/>
  <c r="CL1257" i="2" s="1"/>
  <c r="AB1229" i="2"/>
  <c r="CH1257" i="2" s="1"/>
  <c r="AA1229" i="2"/>
  <c r="CD1257" i="2" s="1"/>
  <c r="Z1229" i="2"/>
  <c r="BZ1257" i="2" s="1"/>
  <c r="W1229" i="2"/>
  <c r="BN1257" i="2" s="1"/>
  <c r="T1229" i="2"/>
  <c r="BB1257" i="2" s="1"/>
  <c r="S1229" i="2"/>
  <c r="AX1257" i="2" s="1"/>
  <c r="P1229" i="2"/>
  <c r="AK1257" i="2" s="1"/>
  <c r="O1229" i="2"/>
  <c r="AG1257" i="2" s="1"/>
  <c r="L1229" i="2"/>
  <c r="U1257" i="2" s="1"/>
  <c r="K1229" i="2"/>
  <c r="Q1257" i="2" s="1"/>
  <c r="AA1227" i="2"/>
  <c r="CD1255" i="2" s="1"/>
  <c r="Z1227" i="2"/>
  <c r="BZ1255" i="2" s="1"/>
  <c r="Y1227" i="2"/>
  <c r="BV1255" i="2" s="1"/>
  <c r="X1227" i="2"/>
  <c r="BR1255" i="2" s="1"/>
  <c r="W1227" i="2"/>
  <c r="BN1255" i="2" s="1"/>
  <c r="V1227" i="2"/>
  <c r="BJ1255" i="2" s="1"/>
  <c r="U1227" i="2"/>
  <c r="BF1255" i="2" s="1"/>
  <c r="T1227" i="2"/>
  <c r="BB1255" i="2" s="1"/>
  <c r="S1227" i="2"/>
  <c r="AX1255" i="2" s="1"/>
  <c r="R1227" i="2"/>
  <c r="AS1255" i="2" s="1"/>
  <c r="Q1227" i="2"/>
  <c r="AO1255" i="2" s="1"/>
  <c r="P1227" i="2"/>
  <c r="AK1255" i="2" s="1"/>
  <c r="O1227" i="2"/>
  <c r="AG1255" i="2" s="1"/>
  <c r="N1227" i="2"/>
  <c r="AC1255" i="2" s="1"/>
  <c r="M1227" i="2"/>
  <c r="Y1255" i="2" s="1"/>
  <c r="L1227" i="2"/>
  <c r="U1255" i="2" s="1"/>
  <c r="K1227" i="2"/>
  <c r="Q1255" i="2" s="1"/>
  <c r="J1229" i="2"/>
  <c r="M1257" i="2" s="1"/>
  <c r="D1229" i="2"/>
  <c r="D1257" i="2" s="1"/>
  <c r="J1227" i="2"/>
  <c r="M1255" i="2" s="1"/>
  <c r="D1228" i="2"/>
  <c r="D1256" i="2" s="1"/>
  <c r="D1226" i="2"/>
  <c r="D1254" i="2" s="1"/>
  <c r="AD1224" i="2"/>
  <c r="AC1224" i="2"/>
  <c r="AB1224" i="2"/>
  <c r="AA1224" i="2"/>
  <c r="Z1224" i="2"/>
  <c r="Y1224" i="2"/>
  <c r="X1224" i="2"/>
  <c r="W1224" i="2"/>
  <c r="V1224" i="2"/>
  <c r="K1231" i="2"/>
  <c r="Q1259" i="2" s="1"/>
  <c r="O1259" i="2" s="1"/>
  <c r="L1231" i="2"/>
  <c r="U1259" i="2" s="1"/>
  <c r="S1259" i="2" s="1"/>
  <c r="M1231" i="2"/>
  <c r="Y1259" i="2" s="1"/>
  <c r="V1259" i="2" s="1"/>
  <c r="N1231" i="2"/>
  <c r="AC1259" i="2" s="1"/>
  <c r="Z1259" i="2" s="1"/>
  <c r="O1231" i="2"/>
  <c r="AG1259" i="2" s="1"/>
  <c r="AE1259" i="2" s="1"/>
  <c r="P1231" i="2"/>
  <c r="AK1259" i="2" s="1"/>
  <c r="Q1231" i="2"/>
  <c r="AO1259" i="2" s="1"/>
  <c r="AM1259" i="2" s="1"/>
  <c r="R1231" i="2"/>
  <c r="AS1259" i="2" s="1"/>
  <c r="AR1259" i="2" s="1"/>
  <c r="S1231" i="2"/>
  <c r="AX1259" i="2" s="1"/>
  <c r="T1231" i="2"/>
  <c r="BB1259" i="2" s="1"/>
  <c r="BA1259" i="2" s="1"/>
  <c r="U1231" i="2"/>
  <c r="BF1259" i="2" s="1"/>
  <c r="BD1259" i="2" s="1"/>
  <c r="K1238" i="2"/>
  <c r="Q1266" i="2" s="1"/>
  <c r="P1266" i="2" s="1"/>
  <c r="L1238" i="2"/>
  <c r="U1266" i="2" s="1"/>
  <c r="R1266" i="2" s="1"/>
  <c r="M1238" i="2"/>
  <c r="Y1266" i="2" s="1"/>
  <c r="X1266" i="2" s="1"/>
  <c r="N1238" i="2"/>
  <c r="AC1266" i="2" s="1"/>
  <c r="AB1266" i="2" s="1"/>
  <c r="O1238" i="2"/>
  <c r="AG1266" i="2" s="1"/>
  <c r="AD1266" i="2" s="1"/>
  <c r="P1238" i="2"/>
  <c r="AK1266" i="2" s="1"/>
  <c r="AH1266" i="2" s="1"/>
  <c r="Q1238" i="2"/>
  <c r="AO1266" i="2" s="1"/>
  <c r="AL1266" i="2" s="1"/>
  <c r="R1238" i="2"/>
  <c r="AS1266" i="2" s="1"/>
  <c r="AQ1266" i="2" s="1"/>
  <c r="S1238" i="2"/>
  <c r="AX1266" i="2" s="1"/>
  <c r="AV1266" i="2" s="1"/>
  <c r="T1238" i="2"/>
  <c r="BB1266" i="2" s="1"/>
  <c r="AY1266" i="2" s="1"/>
  <c r="U1238" i="2"/>
  <c r="BF1266" i="2" s="1"/>
  <c r="BD1266" i="2" s="1"/>
  <c r="J1232" i="2"/>
  <c r="M1260" i="2" s="1"/>
  <c r="K1232" i="2"/>
  <c r="Q1260" i="2" s="1"/>
  <c r="L1232" i="2"/>
  <c r="U1260" i="2" s="1"/>
  <c r="M1232" i="2"/>
  <c r="Y1260" i="2" s="1"/>
  <c r="N1232" i="2"/>
  <c r="AC1260" i="2" s="1"/>
  <c r="O1232" i="2"/>
  <c r="AG1260" i="2" s="1"/>
  <c r="P1232" i="2"/>
  <c r="AK1260" i="2" s="1"/>
  <c r="Q1232" i="2"/>
  <c r="AO1260" i="2" s="1"/>
  <c r="R1232" i="2"/>
  <c r="AS1260" i="2" s="1"/>
  <c r="S1232" i="2"/>
  <c r="AX1260" i="2" s="1"/>
  <c r="T1232" i="2"/>
  <c r="BB1260" i="2" s="1"/>
  <c r="U1232" i="2"/>
  <c r="BF1260" i="2" s="1"/>
  <c r="Y962" i="2"/>
  <c r="X962" i="2"/>
  <c r="X1022" i="2" s="1"/>
  <c r="W962" i="2"/>
  <c r="W1022" i="2" s="1"/>
  <c r="V962" i="2"/>
  <c r="V1022" i="2" s="1"/>
  <c r="Z962" i="2"/>
  <c r="C49" i="7"/>
  <c r="E49" i="7"/>
  <c r="G49" i="7"/>
  <c r="I49" i="7"/>
  <c r="AC965" i="2"/>
  <c r="AC966" i="2"/>
  <c r="AC975" i="2"/>
  <c r="AC1109" i="2" s="1"/>
  <c r="AC982" i="2"/>
  <c r="AC952" i="2"/>
  <c r="AC955" i="2"/>
  <c r="AC859" i="2"/>
  <c r="AC860" i="2"/>
  <c r="AC1112" i="2" s="1"/>
  <c r="AC863" i="2"/>
  <c r="AC867" i="2"/>
  <c r="AC868" i="2"/>
  <c r="AC870" i="2"/>
  <c r="AC1311" i="2" s="1"/>
  <c r="AC871" i="2"/>
  <c r="AC1312" i="2" s="1"/>
  <c r="AC873" i="2"/>
  <c r="AC874" i="2"/>
  <c r="AC877" i="2"/>
  <c r="AC881" i="2"/>
  <c r="AC882" i="2"/>
  <c r="AC884" i="2"/>
  <c r="AC724" i="2" s="1"/>
  <c r="AC1218" i="2" s="1"/>
  <c r="AC1219" i="2" s="1"/>
  <c r="AC885" i="2"/>
  <c r="AC725" i="2" s="1"/>
  <c r="AC1220" i="2" s="1"/>
  <c r="AC1221" i="2" s="1"/>
  <c r="H230" i="5"/>
  <c r="F1171" i="2"/>
  <c r="G1171" i="2"/>
  <c r="H1171" i="2"/>
  <c r="I1171" i="2"/>
  <c r="F1172" i="2"/>
  <c r="G1172" i="2"/>
  <c r="H1172" i="2"/>
  <c r="I1172" i="2"/>
  <c r="G1168" i="2"/>
  <c r="H1168" i="2"/>
  <c r="I1168" i="2"/>
  <c r="J1168" i="2"/>
  <c r="F1168" i="2"/>
  <c r="G1167" i="2"/>
  <c r="H1167" i="2"/>
  <c r="I1167" i="2"/>
  <c r="J1167" i="2"/>
  <c r="K1167" i="2"/>
  <c r="L1167" i="2"/>
  <c r="M1167" i="2"/>
  <c r="N1167" i="2"/>
  <c r="O1167" i="2"/>
  <c r="P1167" i="2"/>
  <c r="Q1167" i="2"/>
  <c r="R1167" i="2"/>
  <c r="S1167" i="2"/>
  <c r="T1167" i="2"/>
  <c r="U1167" i="2"/>
  <c r="V1167" i="2"/>
  <c r="W1167" i="2"/>
  <c r="X1167" i="2"/>
  <c r="Y1167" i="2"/>
  <c r="Z1167" i="2"/>
  <c r="AA1167" i="2"/>
  <c r="AB1167" i="2"/>
  <c r="G1169" i="2"/>
  <c r="H1169" i="2"/>
  <c r="I1169" i="2"/>
  <c r="G1170" i="2"/>
  <c r="H1170" i="2"/>
  <c r="I1170" i="2"/>
  <c r="G1173" i="2"/>
  <c r="H1173" i="2"/>
  <c r="I1173" i="2"/>
  <c r="J1173" i="2"/>
  <c r="K1173" i="2"/>
  <c r="L1173" i="2"/>
  <c r="M1173" i="2"/>
  <c r="N1173" i="2"/>
  <c r="O1173" i="2"/>
  <c r="P1173" i="2"/>
  <c r="Q1173" i="2"/>
  <c r="R1173" i="2"/>
  <c r="S1173" i="2"/>
  <c r="T1173" i="2"/>
  <c r="U1173" i="2"/>
  <c r="F1173" i="2"/>
  <c r="F1169" i="2"/>
  <c r="F1170" i="2"/>
  <c r="F1167" i="2"/>
  <c r="Y1213" i="2"/>
  <c r="Z1213" i="2" s="1"/>
  <c r="AA1213" i="2" s="1"/>
  <c r="AB1213" i="2" s="1"/>
  <c r="AC1213" i="2" s="1"/>
  <c r="AD1213" i="2" s="1"/>
  <c r="AE1213" i="2" s="1"/>
  <c r="AF1213" i="2" s="1"/>
  <c r="AN1211" i="2"/>
  <c r="AO1211" i="2" s="1"/>
  <c r="AP1211" i="2" s="1"/>
  <c r="AQ1211" i="2" s="1"/>
  <c r="AR1211" i="2" s="1"/>
  <c r="AS1211" i="2" s="1"/>
  <c r="AT1211" i="2" s="1"/>
  <c r="Z1210" i="2"/>
  <c r="X1210" i="2"/>
  <c r="AB1209" i="2"/>
  <c r="AA1209" i="2"/>
  <c r="X1209" i="2"/>
  <c r="W1203" i="2"/>
  <c r="K1195" i="2"/>
  <c r="L1195" i="2" s="1"/>
  <c r="AD402" i="2"/>
  <c r="AC402" i="2"/>
  <c r="AD389" i="2"/>
  <c r="AC389" i="2"/>
  <c r="AD388" i="2"/>
  <c r="AC388" i="2"/>
  <c r="AD387" i="2"/>
  <c r="AC387" i="2"/>
  <c r="AD385" i="2"/>
  <c r="AC385" i="2"/>
  <c r="AD384" i="2"/>
  <c r="AC384" i="2"/>
  <c r="AD383" i="2"/>
  <c r="AC383" i="2"/>
  <c r="AD360" i="2"/>
  <c r="AC360" i="2"/>
  <c r="AA907" i="2"/>
  <c r="AB907" i="2" s="1"/>
  <c r="AC907" i="2" s="1"/>
  <c r="AD907" i="2" s="1"/>
  <c r="AE907" i="2" s="1"/>
  <c r="AF907" i="2" s="1"/>
  <c r="AB955" i="2"/>
  <c r="AA955" i="2"/>
  <c r="Z955" i="2"/>
  <c r="W491" i="2"/>
  <c r="W492" i="2"/>
  <c r="W493" i="2"/>
  <c r="V491" i="2"/>
  <c r="V492" i="2"/>
  <c r="V493" i="2"/>
  <c r="X491" i="2"/>
  <c r="X492" i="2"/>
  <c r="X493" i="2"/>
  <c r="Y491" i="2"/>
  <c r="Y492" i="2"/>
  <c r="Y493" i="2"/>
  <c r="Z491" i="2"/>
  <c r="Z492" i="2"/>
  <c r="Z493" i="2"/>
  <c r="AA491" i="2"/>
  <c r="AA492" i="2"/>
  <c r="AA493" i="2"/>
  <c r="AB491" i="2"/>
  <c r="AB492" i="2"/>
  <c r="AB493" i="2"/>
  <c r="Z457" i="2"/>
  <c r="Y457" i="2"/>
  <c r="Z458" i="2"/>
  <c r="Y458" i="2"/>
  <c r="AA457" i="2"/>
  <c r="AA458" i="2"/>
  <c r="AB457" i="2"/>
  <c r="AB458" i="2"/>
  <c r="Z926" i="2"/>
  <c r="Z404" i="2" s="1"/>
  <c r="Z403" i="2"/>
  <c r="Y397" i="2"/>
  <c r="AA926" i="2"/>
  <c r="AA397" i="2"/>
  <c r="AB926" i="2"/>
  <c r="AB403" i="2"/>
  <c r="AB397" i="2"/>
  <c r="AA745" i="2"/>
  <c r="AA1084" i="2" s="1"/>
  <c r="AB1154" i="2"/>
  <c r="AB1155" i="2"/>
  <c r="AB420" i="2"/>
  <c r="AB1156" i="2" s="1"/>
  <c r="AB1157" i="2"/>
  <c r="AB423" i="2"/>
  <c r="AB422" i="2" s="1"/>
  <c r="AB1158" i="2" s="1"/>
  <c r="Y423" i="2"/>
  <c r="Y422" i="2" s="1"/>
  <c r="Y1158" i="2" s="1"/>
  <c r="AB924" i="2"/>
  <c r="AC457" i="2"/>
  <c r="AC458" i="2"/>
  <c r="AC926" i="2"/>
  <c r="AC491" i="2"/>
  <c r="AC492" i="2"/>
  <c r="AC493" i="2"/>
  <c r="AC924" i="2"/>
  <c r="AC938" i="2"/>
  <c r="AA842" i="2"/>
  <c r="AB965" i="2"/>
  <c r="AB966" i="2"/>
  <c r="AB971" i="2"/>
  <c r="AB975" i="2"/>
  <c r="AB1109" i="2" s="1"/>
  <c r="AB982" i="2"/>
  <c r="AB938" i="2"/>
  <c r="AB934" i="2"/>
  <c r="AB873" i="2"/>
  <c r="AB874" i="2"/>
  <c r="AB877" i="2"/>
  <c r="AB881" i="2"/>
  <c r="AB882" i="2"/>
  <c r="AB884" i="2"/>
  <c r="AB724" i="2" s="1"/>
  <c r="AB1218" i="2" s="1"/>
  <c r="AB1219" i="2" s="1"/>
  <c r="AB885" i="2"/>
  <c r="AB725" i="2" s="1"/>
  <c r="AB1220" i="2" s="1"/>
  <c r="AB1221" i="2" s="1"/>
  <c r="AB859" i="2"/>
  <c r="AB860" i="2"/>
  <c r="AB1112" i="2" s="1"/>
  <c r="AB863" i="2"/>
  <c r="AB867" i="2"/>
  <c r="AB868" i="2"/>
  <c r="AB870" i="2"/>
  <c r="AB871" i="2"/>
  <c r="AB509" i="2"/>
  <c r="AD508" i="2"/>
  <c r="AB497" i="2"/>
  <c r="AB430" i="2"/>
  <c r="AB402" i="2"/>
  <c r="AB395" i="2"/>
  <c r="AB389" i="2"/>
  <c r="AB388" i="2"/>
  <c r="AB387" i="2"/>
  <c r="AB385" i="2"/>
  <c r="AB384" i="2"/>
  <c r="AB383" i="2"/>
  <c r="AB361" i="2"/>
  <c r="AB360" i="2"/>
  <c r="E16" i="10"/>
  <c r="E18" i="10"/>
  <c r="P137" i="10" s="1"/>
  <c r="E19" i="10"/>
  <c r="E33" i="10"/>
  <c r="E43" i="10"/>
  <c r="E44" i="10"/>
  <c r="E46" i="10"/>
  <c r="E56" i="10"/>
  <c r="E57" i="10"/>
  <c r="P184" i="10" s="1"/>
  <c r="I84" i="10"/>
  <c r="F84" i="10" s="1"/>
  <c r="L84" i="10" s="1"/>
  <c r="I85" i="10"/>
  <c r="M85" i="10" s="1"/>
  <c r="I86" i="10"/>
  <c r="F86" i="10" s="1"/>
  <c r="L86" i="10" s="1"/>
  <c r="K86" i="10" s="1"/>
  <c r="I87" i="10"/>
  <c r="M87" i="10" s="1"/>
  <c r="I89" i="10"/>
  <c r="M89" i="10" s="1"/>
  <c r="I90" i="10"/>
  <c r="I91" i="10"/>
  <c r="F91" i="10" s="1"/>
  <c r="L91" i="10" s="1"/>
  <c r="K91" i="10" s="1"/>
  <c r="I92" i="10"/>
  <c r="F92" i="10" s="1"/>
  <c r="L92" i="10" s="1"/>
  <c r="K92" i="10" s="1"/>
  <c r="I94" i="10"/>
  <c r="M94" i="10" s="1"/>
  <c r="I95" i="10"/>
  <c r="I96" i="10"/>
  <c r="M96" i="10" s="1"/>
  <c r="I98" i="10"/>
  <c r="F98" i="10" s="1"/>
  <c r="L98" i="10" s="1"/>
  <c r="K98" i="10" s="1"/>
  <c r="I99" i="10"/>
  <c r="M99" i="10" s="1"/>
  <c r="I100" i="10"/>
  <c r="F100" i="10" s="1"/>
  <c r="L100" i="10" s="1"/>
  <c r="K100" i="10" s="1"/>
  <c r="I101" i="10"/>
  <c r="M101" i="10" s="1"/>
  <c r="I103" i="10"/>
  <c r="M103" i="10" s="1"/>
  <c r="I104" i="10"/>
  <c r="M104" i="10" s="1"/>
  <c r="I106" i="10"/>
  <c r="I107" i="10"/>
  <c r="L106" i="10"/>
  <c r="L107" i="10"/>
  <c r="E132" i="10"/>
  <c r="I133" i="10"/>
  <c r="L133" i="10"/>
  <c r="I134" i="10"/>
  <c r="L134" i="10"/>
  <c r="I135" i="10"/>
  <c r="L135" i="10"/>
  <c r="E137" i="10"/>
  <c r="I138" i="10"/>
  <c r="F138" i="10" s="1"/>
  <c r="L138" i="10"/>
  <c r="I139" i="10"/>
  <c r="F139" i="10" s="1"/>
  <c r="L139" i="10"/>
  <c r="I140" i="10"/>
  <c r="F140" i="10" s="1"/>
  <c r="L140" i="10"/>
  <c r="I141" i="10"/>
  <c r="F141" i="10" s="1"/>
  <c r="L141" i="10"/>
  <c r="I142" i="10"/>
  <c r="F142" i="10" s="1"/>
  <c r="L142" i="10"/>
  <c r="I143" i="10"/>
  <c r="F143" i="10" s="1"/>
  <c r="L143" i="10"/>
  <c r="E145" i="10"/>
  <c r="I146" i="10"/>
  <c r="F146" i="10" s="1"/>
  <c r="L146" i="10"/>
  <c r="I147" i="10"/>
  <c r="F147" i="10" s="1"/>
  <c r="L147" i="10"/>
  <c r="I148" i="10"/>
  <c r="F148" i="10" s="1"/>
  <c r="L148" i="10"/>
  <c r="L149" i="10"/>
  <c r="L150" i="10"/>
  <c r="L151" i="10"/>
  <c r="I149" i="10"/>
  <c r="F149" i="10" s="1"/>
  <c r="I150" i="10"/>
  <c r="F150" i="10" s="1"/>
  <c r="I151" i="10"/>
  <c r="F151" i="10" s="1"/>
  <c r="I152" i="10"/>
  <c r="L152" i="10"/>
  <c r="I153" i="10"/>
  <c r="F153" i="10" s="1"/>
  <c r="L153" i="10"/>
  <c r="I155" i="10"/>
  <c r="F155" i="10" s="1"/>
  <c r="L155" i="10"/>
  <c r="I156" i="10"/>
  <c r="L156" i="10"/>
  <c r="E157" i="10"/>
  <c r="I158" i="10"/>
  <c r="F158" i="10" s="1"/>
  <c r="L158" i="10"/>
  <c r="I159" i="10"/>
  <c r="F159" i="10" s="1"/>
  <c r="L159" i="10"/>
  <c r="I160" i="10"/>
  <c r="F160" i="10" s="1"/>
  <c r="L160" i="10"/>
  <c r="I161" i="10"/>
  <c r="F161" i="10" s="1"/>
  <c r="L161" i="10"/>
  <c r="L162" i="10"/>
  <c r="L163" i="10"/>
  <c r="I162" i="10"/>
  <c r="F162" i="10" s="1"/>
  <c r="I163" i="10"/>
  <c r="F163" i="10" s="1"/>
  <c r="I167" i="10"/>
  <c r="F167" i="10" s="1"/>
  <c r="L167" i="10" s="1"/>
  <c r="O167" i="10" s="1"/>
  <c r="Q167" i="10" s="1"/>
  <c r="Q227" i="10" s="1"/>
  <c r="U227" i="10" s="1"/>
  <c r="I168" i="10"/>
  <c r="F168" i="10" s="1"/>
  <c r="L168" i="10" s="1"/>
  <c r="O168" i="10" s="1"/>
  <c r="Q168" i="10" s="1"/>
  <c r="I171" i="10"/>
  <c r="F171" i="10" s="1"/>
  <c r="L171" i="10" s="1"/>
  <c r="I172" i="10"/>
  <c r="F172" i="10" s="1"/>
  <c r="L172" i="10" s="1"/>
  <c r="K172" i="10" s="1"/>
  <c r="I173" i="10"/>
  <c r="F173" i="10" s="1"/>
  <c r="L173" i="10" s="1"/>
  <c r="K173" i="10" s="1"/>
  <c r="I175" i="10"/>
  <c r="F175" i="10" s="1"/>
  <c r="L175" i="10" s="1"/>
  <c r="P175" i="10" s="1"/>
  <c r="I176" i="10"/>
  <c r="F176" i="10" s="1"/>
  <c r="L176" i="10" s="1"/>
  <c r="I177" i="10"/>
  <c r="F177" i="10" s="1"/>
  <c r="L177" i="10" s="1"/>
  <c r="E194" i="10"/>
  <c r="E195" i="10"/>
  <c r="T247" i="10"/>
  <c r="N247" i="10"/>
  <c r="T245" i="10"/>
  <c r="N245" i="10"/>
  <c r="T244" i="10"/>
  <c r="S244" i="10"/>
  <c r="N244" i="10"/>
  <c r="T243" i="10"/>
  <c r="S243" i="10"/>
  <c r="N243" i="10"/>
  <c r="T242" i="10"/>
  <c r="S242" i="10"/>
  <c r="N242" i="10"/>
  <c r="T241" i="10"/>
  <c r="N241" i="10"/>
  <c r="T240" i="10"/>
  <c r="N240" i="10"/>
  <c r="T239" i="10"/>
  <c r="N239" i="10"/>
  <c r="T238" i="10"/>
  <c r="N238" i="10"/>
  <c r="T237" i="10"/>
  <c r="N237" i="10"/>
  <c r="T236" i="10"/>
  <c r="N236" i="10"/>
  <c r="T235" i="10"/>
  <c r="N235" i="10"/>
  <c r="T234" i="10"/>
  <c r="N234" i="10"/>
  <c r="T233" i="10"/>
  <c r="N233" i="10"/>
  <c r="T232" i="10"/>
  <c r="N232" i="10"/>
  <c r="T231" i="10"/>
  <c r="N231" i="10"/>
  <c r="T230" i="10"/>
  <c r="N230" i="10"/>
  <c r="T229" i="10"/>
  <c r="N229" i="10"/>
  <c r="T228" i="10"/>
  <c r="N228" i="10"/>
  <c r="T227" i="10"/>
  <c r="N227" i="10"/>
  <c r="T226" i="10"/>
  <c r="N226" i="10"/>
  <c r="T225" i="10"/>
  <c r="N225" i="10"/>
  <c r="T224" i="10"/>
  <c r="N224" i="10"/>
  <c r="T223" i="10"/>
  <c r="N223" i="10"/>
  <c r="T222" i="10"/>
  <c r="N222" i="10"/>
  <c r="T221" i="10"/>
  <c r="N221" i="10"/>
  <c r="T220" i="10"/>
  <c r="N220" i="10"/>
  <c r="T219" i="10"/>
  <c r="N219" i="10"/>
  <c r="T218" i="10"/>
  <c r="N218" i="10"/>
  <c r="T217" i="10"/>
  <c r="N217" i="10"/>
  <c r="T216" i="10"/>
  <c r="N216" i="10"/>
  <c r="T215" i="10"/>
  <c r="N215" i="10"/>
  <c r="T214" i="10"/>
  <c r="N214" i="10"/>
  <c r="T213" i="10"/>
  <c r="N213" i="10"/>
  <c r="T212" i="10"/>
  <c r="N212" i="10"/>
  <c r="T211" i="10"/>
  <c r="N211" i="10"/>
  <c r="T210" i="10"/>
  <c r="N210" i="10"/>
  <c r="T208" i="10"/>
  <c r="N208" i="10"/>
  <c r="M198" i="10"/>
  <c r="M247" i="10" s="1"/>
  <c r="Q197" i="10"/>
  <c r="Q245" i="10" s="1"/>
  <c r="U245" i="10" s="1"/>
  <c r="M197" i="10"/>
  <c r="Q196" i="10"/>
  <c r="Q244" i="10" s="1"/>
  <c r="M196" i="10"/>
  <c r="M244" i="10" s="1"/>
  <c r="M191" i="10"/>
  <c r="M243" i="10" s="1"/>
  <c r="Q190" i="10"/>
  <c r="Q242" i="10" s="1"/>
  <c r="M190" i="10"/>
  <c r="M242" i="10" s="1"/>
  <c r="Q189" i="10"/>
  <c r="M189" i="10"/>
  <c r="M241" i="10" s="1"/>
  <c r="Q188" i="10"/>
  <c r="M188" i="10"/>
  <c r="M240" i="10" s="1"/>
  <c r="Q187" i="10"/>
  <c r="Q239" i="10" s="1"/>
  <c r="U239" i="10" s="1"/>
  <c r="M187" i="10"/>
  <c r="Q186" i="10"/>
  <c r="Q238" i="10" s="1"/>
  <c r="U238" i="10" s="1"/>
  <c r="M186" i="10"/>
  <c r="M238" i="10" s="1"/>
  <c r="Q185" i="10"/>
  <c r="Q237" i="10" s="1"/>
  <c r="U237" i="10" s="1"/>
  <c r="M185" i="10"/>
  <c r="O184" i="10"/>
  <c r="M184" i="10"/>
  <c r="M236" i="10" s="1"/>
  <c r="M183" i="10"/>
  <c r="M235" i="10" s="1"/>
  <c r="Q182" i="10"/>
  <c r="Q234" i="10" s="1"/>
  <c r="U234" i="10" s="1"/>
  <c r="M182" i="10"/>
  <c r="M234" i="10" s="1"/>
  <c r="Q181" i="10"/>
  <c r="Q233" i="10" s="1"/>
  <c r="U233" i="10" s="1"/>
  <c r="M181" i="10"/>
  <c r="M233" i="10" s="1"/>
  <c r="Q180" i="10"/>
  <c r="Q232" i="10" s="1"/>
  <c r="U232" i="10" s="1"/>
  <c r="M180" i="10"/>
  <c r="M232" i="10" s="1"/>
  <c r="M179" i="10"/>
  <c r="M231" i="10" s="1"/>
  <c r="M178" i="10"/>
  <c r="M230" i="10" s="1"/>
  <c r="M169" i="10"/>
  <c r="M229" i="10" s="1"/>
  <c r="M168" i="10"/>
  <c r="M228" i="10" s="1"/>
  <c r="M167" i="10"/>
  <c r="M227" i="10" s="1"/>
  <c r="Q166" i="10"/>
  <c r="Q226" i="10" s="1"/>
  <c r="U226" i="10" s="1"/>
  <c r="M166" i="10"/>
  <c r="M226" i="10" s="1"/>
  <c r="Q165" i="10"/>
  <c r="Q225" i="10" s="1"/>
  <c r="U225" i="10" s="1"/>
  <c r="M165" i="10"/>
  <c r="M225" i="10" s="1"/>
  <c r="Q164" i="10"/>
  <c r="Q224" i="10" s="1"/>
  <c r="U224" i="10" s="1"/>
  <c r="M164" i="10"/>
  <c r="M224" i="10" s="1"/>
  <c r="M157" i="10"/>
  <c r="P154" i="10"/>
  <c r="M154" i="10"/>
  <c r="M222" i="10" s="1"/>
  <c r="P153" i="10"/>
  <c r="M153" i="10"/>
  <c r="M221" i="10" s="1"/>
  <c r="M144" i="10"/>
  <c r="M220" i="10" s="1"/>
  <c r="M137" i="10"/>
  <c r="M219" i="10" s="1"/>
  <c r="M136" i="10"/>
  <c r="M218" i="10" s="1"/>
  <c r="M132" i="10"/>
  <c r="M217" i="10" s="1"/>
  <c r="M131" i="10"/>
  <c r="M216" i="10" s="1"/>
  <c r="Q130" i="10"/>
  <c r="Q215" i="10" s="1"/>
  <c r="U215" i="10" s="1"/>
  <c r="M130" i="10"/>
  <c r="M215" i="10" s="1"/>
  <c r="Q125" i="10"/>
  <c r="Q214" i="10" s="1"/>
  <c r="U214" i="10" s="1"/>
  <c r="M125" i="10"/>
  <c r="M214" i="10" s="1"/>
  <c r="Q116" i="10"/>
  <c r="Q213" i="10" s="1"/>
  <c r="U213" i="10" s="1"/>
  <c r="M116" i="10"/>
  <c r="M213" i="10" s="1"/>
  <c r="M105" i="10"/>
  <c r="M212" i="10" s="1"/>
  <c r="M82" i="10"/>
  <c r="M211" i="10" s="1"/>
  <c r="M81" i="10"/>
  <c r="M210" i="10" s="1"/>
  <c r="M80" i="10"/>
  <c r="M208" i="10" s="1"/>
  <c r="B26" i="9"/>
  <c r="B27" i="9"/>
  <c r="B28" i="9"/>
  <c r="B29" i="9"/>
  <c r="B30" i="9"/>
  <c r="B31" i="9"/>
  <c r="B32" i="9"/>
  <c r="B33" i="9"/>
  <c r="B34" i="9"/>
  <c r="B35" i="9"/>
  <c r="B36" i="9"/>
  <c r="B37" i="9"/>
  <c r="B38" i="9"/>
  <c r="B39" i="9"/>
  <c r="B40" i="9"/>
  <c r="B42" i="9"/>
  <c r="B25" i="9"/>
  <c r="B13" i="9"/>
  <c r="B14" i="9"/>
  <c r="B15" i="9"/>
  <c r="B16" i="9"/>
  <c r="B17" i="9"/>
  <c r="B18" i="9"/>
  <c r="B19" i="9"/>
  <c r="B20" i="9"/>
  <c r="B21" i="9"/>
  <c r="B22" i="9"/>
  <c r="B23" i="9"/>
  <c r="B24" i="9"/>
  <c r="B12" i="9"/>
  <c r="B11" i="9"/>
  <c r="B7" i="9"/>
  <c r="B8" i="9"/>
  <c r="B9" i="9"/>
  <c r="B10" i="9"/>
  <c r="B6" i="9"/>
  <c r="B5" i="9"/>
  <c r="B3" i="9"/>
  <c r="E532" i="2"/>
  <c r="E533" i="2"/>
  <c r="AE924" i="2"/>
  <c r="AF924" i="2"/>
  <c r="AG924" i="2"/>
  <c r="AJ924" i="2"/>
  <c r="AC430" i="2"/>
  <c r="B307" i="2"/>
  <c r="V735" i="2"/>
  <c r="J738" i="2"/>
  <c r="J740" i="2" s="1"/>
  <c r="K738" i="2"/>
  <c r="K739" i="2" s="1"/>
  <c r="L738" i="2"/>
  <c r="L740" i="2" s="1"/>
  <c r="M738" i="2"/>
  <c r="M739" i="2" s="1"/>
  <c r="N738" i="2"/>
  <c r="N740" i="2" s="1"/>
  <c r="O738" i="2"/>
  <c r="P738" i="2"/>
  <c r="P739" i="2" s="1"/>
  <c r="Q738" i="2"/>
  <c r="Q739" i="2" s="1"/>
  <c r="R738" i="2"/>
  <c r="R739" i="2" s="1"/>
  <c r="S738" i="2"/>
  <c r="S739" i="2" s="1"/>
  <c r="T738" i="2"/>
  <c r="T739" i="2" s="1"/>
  <c r="U738" i="2"/>
  <c r="U740" i="2" s="1"/>
  <c r="V738" i="2"/>
  <c r="V739" i="2" s="1"/>
  <c r="I745" i="2"/>
  <c r="I746" i="2" s="1"/>
  <c r="J745" i="2"/>
  <c r="J746" i="2" s="1"/>
  <c r="K745" i="2"/>
  <c r="K746" i="2" s="1"/>
  <c r="L745" i="2"/>
  <c r="L746" i="2" s="1"/>
  <c r="M745" i="2"/>
  <c r="M746" i="2" s="1"/>
  <c r="N745" i="2"/>
  <c r="N746" i="2" s="1"/>
  <c r="O745" i="2"/>
  <c r="O746" i="2" s="1"/>
  <c r="P745" i="2"/>
  <c r="P746" i="2" s="1"/>
  <c r="Q745" i="2"/>
  <c r="Q746" i="2" s="1"/>
  <c r="R745" i="2"/>
  <c r="R746" i="2" s="1"/>
  <c r="S745" i="2"/>
  <c r="S746" i="2" s="1"/>
  <c r="T745" i="2"/>
  <c r="T746" i="2" s="1"/>
  <c r="U745" i="2"/>
  <c r="U746" i="2" s="1"/>
  <c r="V745" i="2"/>
  <c r="V746" i="2" s="1"/>
  <c r="I724" i="2"/>
  <c r="I725" i="2"/>
  <c r="J724" i="2"/>
  <c r="K724" i="2"/>
  <c r="L724" i="2"/>
  <c r="M724" i="2"/>
  <c r="N724" i="2"/>
  <c r="O724" i="2"/>
  <c r="P724" i="2"/>
  <c r="Q724" i="2"/>
  <c r="R724" i="2"/>
  <c r="S724" i="2"/>
  <c r="T724" i="2"/>
  <c r="U724" i="2"/>
  <c r="J725" i="2"/>
  <c r="K725" i="2"/>
  <c r="L725" i="2"/>
  <c r="M725" i="2"/>
  <c r="N725" i="2"/>
  <c r="O725" i="2"/>
  <c r="P725" i="2"/>
  <c r="Q725" i="2"/>
  <c r="R725" i="2"/>
  <c r="S725" i="2"/>
  <c r="T725" i="2"/>
  <c r="U725" i="2"/>
  <c r="AG169" i="2"/>
  <c r="AH169" i="2" s="1"/>
  <c r="AI169" i="2" s="1"/>
  <c r="AJ169" i="2" s="1"/>
  <c r="AK169" i="2" s="1"/>
  <c r="AL169" i="2" s="1"/>
  <c r="AM169" i="2" s="1"/>
  <c r="AN169" i="2" s="1"/>
  <c r="AO169" i="2" s="1"/>
  <c r="AP169" i="2" s="1"/>
  <c r="AQ169" i="2" s="1"/>
  <c r="AR169" i="2" s="1"/>
  <c r="AS169" i="2" s="1"/>
  <c r="AT169" i="2" s="1"/>
  <c r="W7" i="2"/>
  <c r="L1168" i="2"/>
  <c r="S1168" i="2"/>
  <c r="U1168" i="2"/>
  <c r="J1238" i="2"/>
  <c r="M1266" i="2" s="1"/>
  <c r="Q924" i="2"/>
  <c r="R924" i="2"/>
  <c r="S924" i="2"/>
  <c r="T924" i="2"/>
  <c r="U924" i="2"/>
  <c r="V924" i="2"/>
  <c r="W924" i="2"/>
  <c r="X924" i="2"/>
  <c r="Q926" i="2"/>
  <c r="R926" i="2"/>
  <c r="S926" i="2"/>
  <c r="T926" i="2"/>
  <c r="U926" i="2"/>
  <c r="V926" i="2"/>
  <c r="W926" i="2"/>
  <c r="X926" i="2"/>
  <c r="X404" i="2" s="1"/>
  <c r="AG403" i="2"/>
  <c r="AH405" i="2" s="1"/>
  <c r="AG397" i="2"/>
  <c r="AG938" i="2"/>
  <c r="AH397" i="2"/>
  <c r="AJ403" i="2"/>
  <c r="AJ852" i="2"/>
  <c r="AJ875" i="2" s="1"/>
  <c r="AJ938" i="2"/>
  <c r="AJ397" i="2"/>
  <c r="AH745" i="2"/>
  <c r="AH1084" i="2" s="1"/>
  <c r="AJ745" i="2"/>
  <c r="AJ1084" i="2" s="1"/>
  <c r="AG679" i="2"/>
  <c r="AH679" i="2"/>
  <c r="AI679" i="2"/>
  <c r="AJ679" i="2"/>
  <c r="AG457" i="2"/>
  <c r="AH457" i="2"/>
  <c r="AI457" i="2"/>
  <c r="AI456" i="2" s="1"/>
  <c r="AJ457" i="2"/>
  <c r="AG491" i="2"/>
  <c r="AH491" i="2"/>
  <c r="AI491" i="2"/>
  <c r="AJ491" i="2"/>
  <c r="AG492" i="2"/>
  <c r="AH492" i="2"/>
  <c r="AI492" i="2"/>
  <c r="AJ492" i="2"/>
  <c r="AG493" i="2"/>
  <c r="AH493" i="2"/>
  <c r="AI493" i="2"/>
  <c r="AJ493" i="2"/>
  <c r="AF403" i="2"/>
  <c r="AA884" i="2"/>
  <c r="AA738" i="2"/>
  <c r="AA739" i="2" s="1"/>
  <c r="AA934" i="2"/>
  <c r="W323" i="2"/>
  <c r="W324" i="2" s="1"/>
  <c r="W325" i="2" s="1"/>
  <c r="X323" i="2"/>
  <c r="X324" i="2" s="1"/>
  <c r="X325" i="2" s="1"/>
  <c r="AA965" i="2"/>
  <c r="AA966" i="2"/>
  <c r="AA971" i="2"/>
  <c r="AA975" i="2"/>
  <c r="AA1109" i="2" s="1"/>
  <c r="AA982" i="2"/>
  <c r="AA983" i="2"/>
  <c r="AA984" i="2" s="1"/>
  <c r="AA973" i="2" s="1"/>
  <c r="AA952" i="2"/>
  <c r="AA418" i="2"/>
  <c r="AA1154" i="2" s="1"/>
  <c r="AA419" i="2"/>
  <c r="AA1155" i="2" s="1"/>
  <c r="AA420" i="2"/>
  <c r="AA1156" i="2" s="1"/>
  <c r="AA421" i="2"/>
  <c r="AA1157" i="2" s="1"/>
  <c r="AA423" i="2"/>
  <c r="AA1159" i="2" s="1"/>
  <c r="AA873" i="2"/>
  <c r="AA874" i="2"/>
  <c r="AA877" i="2"/>
  <c r="AA881" i="2"/>
  <c r="AA882" i="2"/>
  <c r="AA885" i="2"/>
  <c r="AA860" i="2"/>
  <c r="AA1112" i="2" s="1"/>
  <c r="AA863" i="2"/>
  <c r="AA1114" i="2"/>
  <c r="AA867" i="2"/>
  <c r="AA868" i="2"/>
  <c r="AA870" i="2"/>
  <c r="AA871" i="2"/>
  <c r="AA846" i="2"/>
  <c r="AA1072" i="2" s="1"/>
  <c r="AA853" i="2"/>
  <c r="AA856" i="2" s="1"/>
  <c r="AA840" i="2"/>
  <c r="AA48" i="12" s="1"/>
  <c r="AA833" i="2"/>
  <c r="W859" i="2"/>
  <c r="X859" i="2"/>
  <c r="Z859" i="2"/>
  <c r="AA859" i="2"/>
  <c r="K859" i="2"/>
  <c r="L859" i="2"/>
  <c r="M859" i="2"/>
  <c r="N859" i="2"/>
  <c r="O859" i="2"/>
  <c r="P859" i="2"/>
  <c r="Q859" i="2"/>
  <c r="R859" i="2"/>
  <c r="S859" i="2"/>
  <c r="T859" i="2"/>
  <c r="U859" i="2"/>
  <c r="AF938" i="2"/>
  <c r="AF679" i="2"/>
  <c r="AF493" i="2"/>
  <c r="AF492" i="2"/>
  <c r="AF491" i="2"/>
  <c r="AF457" i="2"/>
  <c r="AE457" i="2"/>
  <c r="AE491" i="2"/>
  <c r="AE492" i="2"/>
  <c r="AE493" i="2"/>
  <c r="AE679" i="2"/>
  <c r="J860" i="2"/>
  <c r="K860" i="2"/>
  <c r="L860" i="2"/>
  <c r="M860" i="2"/>
  <c r="N860" i="2"/>
  <c r="O860" i="2"/>
  <c r="P860" i="2"/>
  <c r="Q860" i="2"/>
  <c r="R860" i="2"/>
  <c r="S860" i="2"/>
  <c r="T860" i="2"/>
  <c r="U860" i="2"/>
  <c r="J863" i="2"/>
  <c r="K863" i="2"/>
  <c r="L863" i="2"/>
  <c r="M863" i="2"/>
  <c r="N863" i="2"/>
  <c r="N1082" i="2" s="1"/>
  <c r="O863" i="2"/>
  <c r="P863" i="2"/>
  <c r="Q863" i="2"/>
  <c r="Q1082" i="2" s="1"/>
  <c r="R863" i="2"/>
  <c r="S863" i="2"/>
  <c r="S1082" i="2" s="1"/>
  <c r="T863" i="2"/>
  <c r="U863" i="2"/>
  <c r="J864" i="2"/>
  <c r="K864" i="2"/>
  <c r="L864" i="2"/>
  <c r="M864" i="2"/>
  <c r="M1114" i="2" s="1"/>
  <c r="N864" i="2"/>
  <c r="N1114" i="2" s="1"/>
  <c r="O864" i="2"/>
  <c r="O1114" i="2" s="1"/>
  <c r="P864" i="2"/>
  <c r="Q1114" i="2"/>
  <c r="R1114" i="2"/>
  <c r="S1114" i="2"/>
  <c r="J867" i="2"/>
  <c r="K867" i="2"/>
  <c r="L867" i="2"/>
  <c r="M867" i="2"/>
  <c r="N867" i="2"/>
  <c r="O867" i="2"/>
  <c r="P867" i="2"/>
  <c r="Q867" i="2"/>
  <c r="R867" i="2"/>
  <c r="S867" i="2"/>
  <c r="T867" i="2"/>
  <c r="U867" i="2"/>
  <c r="J868" i="2"/>
  <c r="K868" i="2"/>
  <c r="L868" i="2"/>
  <c r="M868" i="2"/>
  <c r="N868" i="2"/>
  <c r="O868" i="2"/>
  <c r="P868" i="2"/>
  <c r="Q868" i="2"/>
  <c r="R868" i="2"/>
  <c r="S868" i="2"/>
  <c r="T868" i="2"/>
  <c r="U868" i="2"/>
  <c r="J870" i="2"/>
  <c r="K870" i="2"/>
  <c r="L870" i="2"/>
  <c r="M870" i="2"/>
  <c r="N870" i="2"/>
  <c r="O870" i="2"/>
  <c r="P870" i="2"/>
  <c r="Q870" i="2"/>
  <c r="R870" i="2"/>
  <c r="S870" i="2"/>
  <c r="T870" i="2"/>
  <c r="U870" i="2"/>
  <c r="J871" i="2"/>
  <c r="K871" i="2"/>
  <c r="L871" i="2"/>
  <c r="M871" i="2"/>
  <c r="N871" i="2"/>
  <c r="O871" i="2"/>
  <c r="P871" i="2"/>
  <c r="Q871" i="2"/>
  <c r="R871" i="2"/>
  <c r="S871" i="2"/>
  <c r="T871" i="2"/>
  <c r="U871" i="2"/>
  <c r="J873" i="2"/>
  <c r="J1065" i="2" s="1"/>
  <c r="K873" i="2"/>
  <c r="K1065" i="2" s="1"/>
  <c r="L873" i="2"/>
  <c r="L1065" i="2" s="1"/>
  <c r="M873" i="2"/>
  <c r="M1065" i="2" s="1"/>
  <c r="N873" i="2"/>
  <c r="N1065" i="2" s="1"/>
  <c r="O873" i="2"/>
  <c r="O1065" i="2" s="1"/>
  <c r="P873" i="2"/>
  <c r="P1065" i="2" s="1"/>
  <c r="Q873" i="2"/>
  <c r="Q1065" i="2" s="1"/>
  <c r="R873" i="2"/>
  <c r="R1065" i="2" s="1"/>
  <c r="S873" i="2"/>
  <c r="S1065" i="2" s="1"/>
  <c r="T873" i="2"/>
  <c r="T1065" i="2" s="1"/>
  <c r="U873" i="2"/>
  <c r="J874" i="2"/>
  <c r="K874" i="2"/>
  <c r="L874" i="2"/>
  <c r="M874" i="2"/>
  <c r="N874" i="2"/>
  <c r="O874" i="2"/>
  <c r="P874" i="2"/>
  <c r="Q874" i="2"/>
  <c r="R874" i="2"/>
  <c r="S874" i="2"/>
  <c r="T874" i="2"/>
  <c r="U874" i="2"/>
  <c r="J877" i="2"/>
  <c r="K877" i="2"/>
  <c r="L877" i="2"/>
  <c r="M877" i="2"/>
  <c r="N877" i="2"/>
  <c r="O877" i="2"/>
  <c r="P877" i="2"/>
  <c r="Q877" i="2"/>
  <c r="R877" i="2"/>
  <c r="S877" i="2"/>
  <c r="T877" i="2"/>
  <c r="U877" i="2"/>
  <c r="J878" i="2"/>
  <c r="K878" i="2"/>
  <c r="L878" i="2"/>
  <c r="M878" i="2"/>
  <c r="N878" i="2"/>
  <c r="O878" i="2"/>
  <c r="P878" i="2"/>
  <c r="J881" i="2"/>
  <c r="K881" i="2"/>
  <c r="L881" i="2"/>
  <c r="M881" i="2"/>
  <c r="N881" i="2"/>
  <c r="O881" i="2"/>
  <c r="P881" i="2"/>
  <c r="Q881" i="2"/>
  <c r="R881" i="2"/>
  <c r="S881" i="2"/>
  <c r="T881" i="2"/>
  <c r="U881" i="2"/>
  <c r="J882" i="2"/>
  <c r="K882" i="2"/>
  <c r="L882" i="2"/>
  <c r="M882" i="2"/>
  <c r="N882" i="2"/>
  <c r="O882" i="2"/>
  <c r="P882" i="2"/>
  <c r="Q882" i="2"/>
  <c r="R882" i="2"/>
  <c r="S882" i="2"/>
  <c r="T882" i="2"/>
  <c r="U882" i="2"/>
  <c r="J883" i="2"/>
  <c r="K883" i="2"/>
  <c r="L883" i="2"/>
  <c r="M883" i="2"/>
  <c r="N883" i="2"/>
  <c r="O883" i="2"/>
  <c r="P883" i="2"/>
  <c r="J884" i="2"/>
  <c r="K884" i="2"/>
  <c r="L884" i="2"/>
  <c r="M884" i="2"/>
  <c r="N884" i="2"/>
  <c r="O884" i="2"/>
  <c r="P884" i="2"/>
  <c r="Q884" i="2"/>
  <c r="R884" i="2"/>
  <c r="S884" i="2"/>
  <c r="T884" i="2"/>
  <c r="U884" i="2"/>
  <c r="J885" i="2"/>
  <c r="K885" i="2"/>
  <c r="L885" i="2"/>
  <c r="M885" i="2"/>
  <c r="N885" i="2"/>
  <c r="O885" i="2"/>
  <c r="P885" i="2"/>
  <c r="Q885" i="2"/>
  <c r="R885" i="2"/>
  <c r="S885" i="2"/>
  <c r="T885" i="2"/>
  <c r="U885" i="2"/>
  <c r="J846" i="2"/>
  <c r="K846" i="2"/>
  <c r="L846" i="2"/>
  <c r="M846" i="2"/>
  <c r="N846" i="2"/>
  <c r="O846" i="2"/>
  <c r="P846" i="2"/>
  <c r="Q846" i="2"/>
  <c r="J849" i="2"/>
  <c r="K849" i="2"/>
  <c r="L849" i="2"/>
  <c r="M849" i="2"/>
  <c r="N849" i="2"/>
  <c r="O849" i="2"/>
  <c r="P849" i="2"/>
  <c r="Q849" i="2"/>
  <c r="J853" i="2"/>
  <c r="K853" i="2"/>
  <c r="L853" i="2"/>
  <c r="M853" i="2"/>
  <c r="N853" i="2"/>
  <c r="O853" i="2"/>
  <c r="P853" i="2"/>
  <c r="Q853" i="2"/>
  <c r="J854" i="2"/>
  <c r="K854" i="2"/>
  <c r="L854" i="2"/>
  <c r="M854" i="2"/>
  <c r="N854" i="2"/>
  <c r="O854" i="2"/>
  <c r="P854" i="2"/>
  <c r="Q854" i="2"/>
  <c r="J855" i="2"/>
  <c r="K855" i="2"/>
  <c r="L855" i="2"/>
  <c r="M855" i="2"/>
  <c r="N855" i="2"/>
  <c r="O855" i="2"/>
  <c r="P855" i="2"/>
  <c r="Q855" i="2"/>
  <c r="R846" i="2"/>
  <c r="S846" i="2"/>
  <c r="T846" i="2"/>
  <c r="U846" i="2"/>
  <c r="R849" i="2"/>
  <c r="S849" i="2"/>
  <c r="T849" i="2"/>
  <c r="U849" i="2"/>
  <c r="R853" i="2"/>
  <c r="S853" i="2"/>
  <c r="T853" i="2"/>
  <c r="U853" i="2"/>
  <c r="R854" i="2"/>
  <c r="S854" i="2"/>
  <c r="T854" i="2"/>
  <c r="U854" i="2"/>
  <c r="R855" i="2"/>
  <c r="S855" i="2"/>
  <c r="T855" i="2"/>
  <c r="U855" i="2"/>
  <c r="J833" i="2"/>
  <c r="J1240" i="2" s="1"/>
  <c r="M1268" i="2" s="1"/>
  <c r="K833" i="2"/>
  <c r="K1240" i="2" s="1"/>
  <c r="Q1268" i="2" s="1"/>
  <c r="L833" i="2"/>
  <c r="L1240" i="2" s="1"/>
  <c r="U1268" i="2" s="1"/>
  <c r="M833" i="2"/>
  <c r="M1240" i="2" s="1"/>
  <c r="Y1268" i="2" s="1"/>
  <c r="N833" i="2"/>
  <c r="N1240" i="2" s="1"/>
  <c r="AC1268" i="2" s="1"/>
  <c r="O833" i="2"/>
  <c r="O1240" i="2" s="1"/>
  <c r="AG1268" i="2" s="1"/>
  <c r="P833" i="2"/>
  <c r="P1240" i="2" s="1"/>
  <c r="AK1268" i="2" s="1"/>
  <c r="Q833" i="2"/>
  <c r="Q1240" i="2" s="1"/>
  <c r="AO1268" i="2" s="1"/>
  <c r="J840" i="2"/>
  <c r="J48" i="12" s="1"/>
  <c r="K840" i="2"/>
  <c r="K48" i="12" s="1"/>
  <c r="L840" i="2"/>
  <c r="L48" i="12" s="1"/>
  <c r="M840" i="2"/>
  <c r="M48" i="12" s="1"/>
  <c r="N840" i="2"/>
  <c r="N48" i="12" s="1"/>
  <c r="O840" i="2"/>
  <c r="O48" i="12" s="1"/>
  <c r="P840" i="2"/>
  <c r="P48" i="12" s="1"/>
  <c r="Q840" i="2"/>
  <c r="Q48" i="12" s="1"/>
  <c r="U835" i="2"/>
  <c r="U834" i="2" s="1"/>
  <c r="R833" i="2"/>
  <c r="R1240" i="2" s="1"/>
  <c r="AS1268" i="2" s="1"/>
  <c r="S833" i="2"/>
  <c r="S1240" i="2" s="1"/>
  <c r="AX1268" i="2" s="1"/>
  <c r="T833" i="2"/>
  <c r="T1240" i="2" s="1"/>
  <c r="BB1268" i="2" s="1"/>
  <c r="U833" i="2"/>
  <c r="U1240" i="2" s="1"/>
  <c r="BF1268" i="2" s="1"/>
  <c r="R840" i="2"/>
  <c r="R48" i="12" s="1"/>
  <c r="S840" i="2"/>
  <c r="S48" i="12" s="1"/>
  <c r="T840" i="2"/>
  <c r="T48" i="12" s="1"/>
  <c r="U840" i="2"/>
  <c r="U48" i="12" s="1"/>
  <c r="U781" i="2"/>
  <c r="T781" i="2" s="1"/>
  <c r="S781" i="2" s="1"/>
  <c r="R781" i="2" s="1"/>
  <c r="Q781" i="2" s="1"/>
  <c r="P781" i="2" s="1"/>
  <c r="O781" i="2" s="1"/>
  <c r="N781" i="2" s="1"/>
  <c r="M781" i="2" s="1"/>
  <c r="L781" i="2" s="1"/>
  <c r="K781" i="2" s="1"/>
  <c r="J781" i="2" s="1"/>
  <c r="K832" i="2"/>
  <c r="L832" i="2" s="1"/>
  <c r="M832" i="2" s="1"/>
  <c r="N832" i="2" s="1"/>
  <c r="O832" i="2" s="1"/>
  <c r="P832" i="2" s="1"/>
  <c r="Q832" i="2" s="1"/>
  <c r="R832" i="2" s="1"/>
  <c r="S832" i="2" s="1"/>
  <c r="T832" i="2" s="1"/>
  <c r="U832" i="2" s="1"/>
  <c r="V832" i="2" s="1"/>
  <c r="U803" i="2"/>
  <c r="T803" i="2" s="1"/>
  <c r="S803" i="2" s="1"/>
  <c r="R803" i="2" s="1"/>
  <c r="Q803" i="2" s="1"/>
  <c r="P803" i="2" s="1"/>
  <c r="O803" i="2" s="1"/>
  <c r="N803" i="2" s="1"/>
  <c r="M803" i="2" s="1"/>
  <c r="L803" i="2" s="1"/>
  <c r="K803" i="2" s="1"/>
  <c r="J803" i="2" s="1"/>
  <c r="U759" i="2"/>
  <c r="T759" i="2" s="1"/>
  <c r="S759" i="2" s="1"/>
  <c r="R759" i="2" s="1"/>
  <c r="Q759" i="2" s="1"/>
  <c r="P759" i="2" s="1"/>
  <c r="O759" i="2" s="1"/>
  <c r="N759" i="2" s="1"/>
  <c r="M759" i="2" s="1"/>
  <c r="L759" i="2" s="1"/>
  <c r="K759" i="2" s="1"/>
  <c r="J759" i="2" s="1"/>
  <c r="H590" i="2"/>
  <c r="G590" i="2" s="1"/>
  <c r="F590" i="2" s="1"/>
  <c r="AC497" i="2"/>
  <c r="AA497" i="2"/>
  <c r="AD924" i="2"/>
  <c r="AD457" i="2"/>
  <c r="AD458" i="2"/>
  <c r="AD491" i="2"/>
  <c r="AD492" i="2"/>
  <c r="AD493" i="2"/>
  <c r="AA938" i="2"/>
  <c r="Y874" i="2"/>
  <c r="Z874" i="2"/>
  <c r="Z1220" i="2"/>
  <c r="Z1221" i="2" s="1"/>
  <c r="Z924" i="2"/>
  <c r="Z873" i="2"/>
  <c r="Z877" i="2"/>
  <c r="Z881" i="2"/>
  <c r="Z882" i="2"/>
  <c r="Z884" i="2"/>
  <c r="Z724" i="2" s="1"/>
  <c r="Z1218" i="2" s="1"/>
  <c r="Z1219" i="2" s="1"/>
  <c r="Z885" i="2"/>
  <c r="Z725" i="2" s="1"/>
  <c r="Z860" i="2"/>
  <c r="Z1112" i="2" s="1"/>
  <c r="Z863" i="2"/>
  <c r="Z1114" i="2"/>
  <c r="Z867" i="2"/>
  <c r="Z868" i="2"/>
  <c r="Z870" i="2"/>
  <c r="Z871" i="2"/>
  <c r="Z833" i="2"/>
  <c r="Z1240" i="2" s="1"/>
  <c r="BZ1268" i="2" s="1"/>
  <c r="Z840" i="2"/>
  <c r="Z48" i="12" s="1"/>
  <c r="Z965" i="2"/>
  <c r="Z966" i="2"/>
  <c r="Z971" i="2"/>
  <c r="Z952" i="2"/>
  <c r="Z983" i="2"/>
  <c r="Z984" i="2" s="1"/>
  <c r="Z977" i="2" s="1"/>
  <c r="Z975" i="2"/>
  <c r="Z1109" i="2" s="1"/>
  <c r="Z738" i="2"/>
  <c r="Z739" i="2" s="1"/>
  <c r="Z982" i="2"/>
  <c r="Z423" i="2"/>
  <c r="Z422" i="2" s="1"/>
  <c r="Z1158" i="2" s="1"/>
  <c r="Z421" i="2"/>
  <c r="Z1157" i="2" s="1"/>
  <c r="Z420" i="2"/>
  <c r="Z1156" i="2" s="1"/>
  <c r="Z419" i="2"/>
  <c r="Z1155" i="2" s="1"/>
  <c r="Z418" i="2"/>
  <c r="Z1154" i="2" s="1"/>
  <c r="AD679" i="2"/>
  <c r="Y871" i="2"/>
  <c r="Z402" i="2"/>
  <c r="Y395" i="2"/>
  <c r="AA360" i="2"/>
  <c r="AA355" i="2"/>
  <c r="Z355" i="2"/>
  <c r="E393" i="2"/>
  <c r="AA402" i="2"/>
  <c r="Z389" i="2"/>
  <c r="Z388" i="2"/>
  <c r="AA387" i="2"/>
  <c r="Z387" i="2"/>
  <c r="E394" i="2"/>
  <c r="AE938" i="2"/>
  <c r="AD938" i="2"/>
  <c r="Z938" i="2"/>
  <c r="Z385" i="2"/>
  <c r="Z384" i="2"/>
  <c r="Z383" i="2"/>
  <c r="AA383" i="2"/>
  <c r="D1153" i="2"/>
  <c r="L493" i="2"/>
  <c r="M493" i="2"/>
  <c r="N493" i="2"/>
  <c r="O493" i="2"/>
  <c r="P493" i="2"/>
  <c r="Q493" i="2"/>
  <c r="R493" i="2"/>
  <c r="S493" i="2"/>
  <c r="T493" i="2"/>
  <c r="U493" i="2"/>
  <c r="K493" i="2"/>
  <c r="Q492" i="2"/>
  <c r="R492" i="2"/>
  <c r="S492" i="2"/>
  <c r="T492" i="2"/>
  <c r="U492" i="2"/>
  <c r="L492" i="2"/>
  <c r="M492" i="2"/>
  <c r="N492" i="2"/>
  <c r="O492" i="2"/>
  <c r="P492" i="2"/>
  <c r="K492" i="2"/>
  <c r="L491" i="2"/>
  <c r="M491" i="2"/>
  <c r="N491" i="2"/>
  <c r="O491" i="2"/>
  <c r="P491" i="2"/>
  <c r="Q491" i="2"/>
  <c r="R491" i="2"/>
  <c r="S491" i="2"/>
  <c r="T491" i="2"/>
  <c r="U491" i="2"/>
  <c r="K491" i="2"/>
  <c r="Q458" i="2"/>
  <c r="R458" i="2"/>
  <c r="S458" i="2"/>
  <c r="T458" i="2"/>
  <c r="U458" i="2"/>
  <c r="V458" i="2"/>
  <c r="W458" i="2"/>
  <c r="X458" i="2"/>
  <c r="Q457" i="2"/>
  <c r="R457" i="2"/>
  <c r="S457" i="2"/>
  <c r="T457" i="2"/>
  <c r="U457" i="2"/>
  <c r="V457" i="2"/>
  <c r="W457" i="2"/>
  <c r="X457" i="2"/>
  <c r="W894" i="2"/>
  <c r="W1122" i="2" s="1"/>
  <c r="Y926" i="2"/>
  <c r="AA924" i="2"/>
  <c r="Y924" i="2"/>
  <c r="AC933" i="2"/>
  <c r="AD933" i="2" s="1"/>
  <c r="AE933" i="2" s="1"/>
  <c r="AF933" i="2" s="1"/>
  <c r="D1159" i="2"/>
  <c r="D1158" i="2"/>
  <c r="D1157" i="2"/>
  <c r="D1156" i="2"/>
  <c r="D1155" i="2"/>
  <c r="D1154" i="2"/>
  <c r="D1152" i="2"/>
  <c r="D1151" i="2"/>
  <c r="D116" i="1" s="1"/>
  <c r="W415" i="2"/>
  <c r="X415" i="2" s="1"/>
  <c r="Y415" i="2" s="1"/>
  <c r="Z415" i="2" s="1"/>
  <c r="AA415" i="2" s="1"/>
  <c r="AB415" i="2" s="1"/>
  <c r="AC415" i="2" s="1"/>
  <c r="AD415" i="2" s="1"/>
  <c r="Y905" i="2"/>
  <c r="Z905" i="2" s="1"/>
  <c r="AA905" i="2" s="1"/>
  <c r="AD905" i="2"/>
  <c r="AE905" i="2" s="1"/>
  <c r="AF905" i="2" s="1"/>
  <c r="AG905" i="2" s="1"/>
  <c r="AH905" i="2" s="1"/>
  <c r="AI905" i="2" s="1"/>
  <c r="AJ905" i="2" s="1"/>
  <c r="AK905" i="2" s="1"/>
  <c r="AL905" i="2" s="1"/>
  <c r="AM905" i="2" s="1"/>
  <c r="AN905" i="2" s="1"/>
  <c r="AO905" i="2" s="1"/>
  <c r="AP905" i="2" s="1"/>
  <c r="AQ905" i="2" s="1"/>
  <c r="AR905" i="2" s="1"/>
  <c r="AS905" i="2" s="1"/>
  <c r="AT905" i="2" s="1"/>
  <c r="D1001" i="2"/>
  <c r="D1015" i="2"/>
  <c r="D843" i="2"/>
  <c r="D842" i="2"/>
  <c r="D1009" i="2"/>
  <c r="D1002" i="2"/>
  <c r="D1000" i="2"/>
  <c r="D999" i="2"/>
  <c r="D998" i="2"/>
  <c r="D997" i="2"/>
  <c r="D996" i="2"/>
  <c r="D995" i="2"/>
  <c r="D994" i="2"/>
  <c r="D993" i="2"/>
  <c r="D992" i="2"/>
  <c r="D862" i="2"/>
  <c r="D1005" i="2" s="1"/>
  <c r="D861" i="2"/>
  <c r="D1004" i="2" s="1"/>
  <c r="D858" i="2"/>
  <c r="Y863" i="2"/>
  <c r="X863" i="2"/>
  <c r="W863" i="2"/>
  <c r="V863" i="2"/>
  <c r="X871" i="2"/>
  <c r="W871" i="2"/>
  <c r="Y870" i="2"/>
  <c r="X870" i="2"/>
  <c r="W870" i="2"/>
  <c r="Y868" i="2"/>
  <c r="X868" i="2"/>
  <c r="W868" i="2"/>
  <c r="Y867" i="2"/>
  <c r="X867" i="2"/>
  <c r="W867" i="2"/>
  <c r="Y860" i="2"/>
  <c r="X860" i="2"/>
  <c r="W860" i="2"/>
  <c r="Y859" i="2"/>
  <c r="V859" i="2"/>
  <c r="V871" i="2"/>
  <c r="V870" i="2"/>
  <c r="V868" i="2"/>
  <c r="V867" i="2"/>
  <c r="V1114" i="2"/>
  <c r="V860" i="2"/>
  <c r="D863" i="2"/>
  <c r="D1006" i="2" s="1"/>
  <c r="D871" i="2"/>
  <c r="D1014" i="2" s="1"/>
  <c r="D870" i="2"/>
  <c r="D1013" i="2" s="1"/>
  <c r="D1012" i="2"/>
  <c r="D868" i="2"/>
  <c r="D1011" i="2" s="1"/>
  <c r="D867" i="2"/>
  <c r="D1010" i="2" s="1"/>
  <c r="D865" i="2"/>
  <c r="D1008" i="2" s="1"/>
  <c r="D864" i="2"/>
  <c r="D1007" i="2" s="1"/>
  <c r="D860" i="2"/>
  <c r="D1003" i="2" s="1"/>
  <c r="C873" i="2"/>
  <c r="C874" i="2" s="1"/>
  <c r="C875" i="2" s="1"/>
  <c r="C876" i="2" s="1"/>
  <c r="C877" i="2" s="1"/>
  <c r="C878" i="2" s="1"/>
  <c r="C879" i="2" s="1"/>
  <c r="C880" i="2" s="1"/>
  <c r="C881" i="2" s="1"/>
  <c r="C882" i="2" s="1"/>
  <c r="C883" i="2" s="1"/>
  <c r="C884" i="2" s="1"/>
  <c r="C885" i="2" s="1"/>
  <c r="C846" i="2"/>
  <c r="C847" i="2" s="1"/>
  <c r="C848" i="2" s="1"/>
  <c r="C849" i="2" s="1"/>
  <c r="C850" i="2" s="1"/>
  <c r="C851" i="2" s="1"/>
  <c r="C852" i="2" s="1"/>
  <c r="C853" i="2" s="1"/>
  <c r="C854" i="2" s="1"/>
  <c r="C855" i="2" s="1"/>
  <c r="C856" i="2" s="1"/>
  <c r="C857" i="2" s="1"/>
  <c r="C834" i="2"/>
  <c r="C835" i="2" s="1"/>
  <c r="C836" i="2" s="1"/>
  <c r="C837" i="2" s="1"/>
  <c r="C838" i="2" s="1"/>
  <c r="C839" i="2" s="1"/>
  <c r="C840" i="2" s="1"/>
  <c r="C841" i="2" s="1"/>
  <c r="C842" i="2" s="1"/>
  <c r="C843" i="2" s="1"/>
  <c r="C844" i="2" s="1"/>
  <c r="Z964" i="2"/>
  <c r="AA964" i="2" s="1"/>
  <c r="AC964" i="2"/>
  <c r="AD964" i="2" s="1"/>
  <c r="AE964" i="2" s="1"/>
  <c r="AF964" i="2" s="1"/>
  <c r="Y955" i="2"/>
  <c r="D911" i="2"/>
  <c r="Z950" i="2"/>
  <c r="AA950" i="2" s="1"/>
  <c r="AC950" i="2"/>
  <c r="AD950" i="2" s="1"/>
  <c r="AE950" i="2" s="1"/>
  <c r="AF950" i="2" s="1"/>
  <c r="D914" i="2"/>
  <c r="Y916" i="2"/>
  <c r="Y915" i="2"/>
  <c r="E848" i="2"/>
  <c r="Z922" i="2"/>
  <c r="AA922" i="2" s="1"/>
  <c r="AC922" i="2"/>
  <c r="AD922" i="2" s="1"/>
  <c r="AE922" i="2" s="1"/>
  <c r="AF922" i="2" s="1"/>
  <c r="AG922" i="2" s="1"/>
  <c r="AH922" i="2" s="1"/>
  <c r="AI922" i="2" s="1"/>
  <c r="AJ922" i="2" s="1"/>
  <c r="AK922" i="2" s="1"/>
  <c r="AL922" i="2" s="1"/>
  <c r="AM922" i="2" s="1"/>
  <c r="AN922" i="2" s="1"/>
  <c r="AO922" i="2" s="1"/>
  <c r="AP922" i="2" s="1"/>
  <c r="AQ922" i="2" s="1"/>
  <c r="AR922" i="2" s="1"/>
  <c r="AS922" i="2" s="1"/>
  <c r="AT922" i="2" s="1"/>
  <c r="W725" i="2"/>
  <c r="V725" i="2"/>
  <c r="Y917" i="2"/>
  <c r="Z917" i="2" s="1"/>
  <c r="AA917" i="2" s="1"/>
  <c r="AB917" i="2" s="1"/>
  <c r="AC917" i="2" s="1"/>
  <c r="AD917" i="2" s="1"/>
  <c r="AE917" i="2" s="1"/>
  <c r="AF917" i="2" s="1"/>
  <c r="AG917" i="2" s="1"/>
  <c r="AH917" i="2" s="1"/>
  <c r="AI917" i="2" s="1"/>
  <c r="AJ917" i="2" s="1"/>
  <c r="AK917" i="2" s="1"/>
  <c r="AL917" i="2" s="1"/>
  <c r="AM917" i="2" s="1"/>
  <c r="AN917" i="2" s="1"/>
  <c r="AO917" i="2" s="1"/>
  <c r="AP917" i="2" s="1"/>
  <c r="AQ917" i="2" s="1"/>
  <c r="AR917" i="2" s="1"/>
  <c r="AS917" i="2" s="1"/>
  <c r="AT917" i="2" s="1"/>
  <c r="Y882" i="2"/>
  <c r="X882" i="2"/>
  <c r="W882" i="2"/>
  <c r="V882" i="2"/>
  <c r="Y881" i="2"/>
  <c r="X881" i="2"/>
  <c r="W881" i="2"/>
  <c r="V881" i="2"/>
  <c r="X423" i="2"/>
  <c r="W423" i="2"/>
  <c r="W422" i="2" s="1"/>
  <c r="W1158" i="2" s="1"/>
  <c r="V423" i="2"/>
  <c r="V1159" i="2" s="1"/>
  <c r="W885" i="2"/>
  <c r="V885" i="2"/>
  <c r="W884" i="2"/>
  <c r="V884" i="2"/>
  <c r="W877" i="2"/>
  <c r="V877" i="2"/>
  <c r="V1172" i="2" s="1"/>
  <c r="W874" i="2"/>
  <c r="V874" i="2"/>
  <c r="V1171" i="2" s="1"/>
  <c r="W873" i="2"/>
  <c r="V873" i="2"/>
  <c r="W853" i="2"/>
  <c r="V853" i="2"/>
  <c r="V848" i="2"/>
  <c r="V899" i="2" s="1"/>
  <c r="V1126" i="2" s="1"/>
  <c r="W846" i="2"/>
  <c r="W1072" i="2" s="1"/>
  <c r="V846" i="2"/>
  <c r="V1072" i="2" s="1"/>
  <c r="W840" i="2"/>
  <c r="W48" i="12" s="1"/>
  <c r="V840" i="2"/>
  <c r="V48" i="12" s="1"/>
  <c r="W833" i="2"/>
  <c r="W1240" i="2" s="1"/>
  <c r="BN1268" i="2" s="1"/>
  <c r="V833" i="2"/>
  <c r="B677" i="2"/>
  <c r="A677" i="2"/>
  <c r="W724" i="2"/>
  <c r="V724" i="2"/>
  <c r="Y885" i="2"/>
  <c r="Y725" i="2" s="1"/>
  <c r="Y1220" i="2" s="1"/>
  <c r="Y1221" i="2" s="1"/>
  <c r="X885" i="2"/>
  <c r="X725" i="2" s="1"/>
  <c r="X1220" i="2" s="1"/>
  <c r="X1221" i="2" s="1"/>
  <c r="Y884" i="2"/>
  <c r="Y724" i="2" s="1"/>
  <c r="Y1218" i="2" s="1"/>
  <c r="Y1219" i="2" s="1"/>
  <c r="X884" i="2"/>
  <c r="X724" i="2" s="1"/>
  <c r="X1218" i="2" s="1"/>
  <c r="X1219" i="2" s="1"/>
  <c r="X877" i="2"/>
  <c r="X874" i="2"/>
  <c r="Y873" i="2"/>
  <c r="X873" i="2"/>
  <c r="D848" i="2"/>
  <c r="Y853" i="2"/>
  <c r="Y856" i="2" s="1"/>
  <c r="X853" i="2"/>
  <c r="D851" i="2"/>
  <c r="Y846" i="2"/>
  <c r="Y1072" i="2" s="1"/>
  <c r="X846" i="2"/>
  <c r="X1072" i="2" s="1"/>
  <c r="Y840" i="2"/>
  <c r="Y48" i="12" s="1"/>
  <c r="X840" i="2"/>
  <c r="X48" i="12" s="1"/>
  <c r="Y833" i="2"/>
  <c r="Y1240" i="2" s="1"/>
  <c r="BV1268" i="2" s="1"/>
  <c r="X833" i="2"/>
  <c r="Y421" i="2"/>
  <c r="Y1157" i="2" s="1"/>
  <c r="X421" i="2"/>
  <c r="X1157" i="2" s="1"/>
  <c r="W421" i="2"/>
  <c r="W1157" i="2" s="1"/>
  <c r="Y420" i="2"/>
  <c r="Y1156" i="2" s="1"/>
  <c r="X420" i="2"/>
  <c r="X1156" i="2" s="1"/>
  <c r="W420" i="2"/>
  <c r="W1156" i="2" s="1"/>
  <c r="Y419" i="2"/>
  <c r="Y1155" i="2" s="1"/>
  <c r="X419" i="2"/>
  <c r="X1155" i="2" s="1"/>
  <c r="W419" i="2"/>
  <c r="W1155" i="2" s="1"/>
  <c r="Y418" i="2"/>
  <c r="Y1154" i="2" s="1"/>
  <c r="X418" i="2"/>
  <c r="X1154" i="2" s="1"/>
  <c r="W418" i="2"/>
  <c r="W1154" i="2" s="1"/>
  <c r="Z745" i="2"/>
  <c r="Z1084" i="2" s="1"/>
  <c r="Y745" i="2"/>
  <c r="Y746" i="2" s="1"/>
  <c r="X745" i="2"/>
  <c r="X746" i="2" s="1"/>
  <c r="W745" i="2"/>
  <c r="W746" i="2" s="1"/>
  <c r="V420" i="2"/>
  <c r="V1156" i="2" s="1"/>
  <c r="V419" i="2"/>
  <c r="V1155" i="2" s="1"/>
  <c r="V421" i="2"/>
  <c r="V1157" i="2" s="1"/>
  <c r="V418" i="2"/>
  <c r="V1154" i="2" s="1"/>
  <c r="Y983" i="2"/>
  <c r="Y984" i="2" s="1"/>
  <c r="Y977" i="2" s="1"/>
  <c r="Y966" i="2"/>
  <c r="Y965" i="2"/>
  <c r="Y971" i="2"/>
  <c r="Z934" i="2"/>
  <c r="Y975" i="2"/>
  <c r="Y952" i="2"/>
  <c r="Y982" i="2"/>
  <c r="X934" i="2"/>
  <c r="W934" i="2"/>
  <c r="Y934" i="2"/>
  <c r="Y738" i="2"/>
  <c r="W738" i="2"/>
  <c r="X738" i="2"/>
  <c r="X739" i="2" s="1"/>
  <c r="AC679" i="2"/>
  <c r="AA679" i="2"/>
  <c r="Z679" i="2"/>
  <c r="Y679" i="2"/>
  <c r="V679" i="2"/>
  <c r="H679" i="2"/>
  <c r="G679" i="2"/>
  <c r="F679" i="2"/>
  <c r="W635" i="2"/>
  <c r="W679" i="2" s="1"/>
  <c r="A584" i="2"/>
  <c r="A592" i="2" s="1"/>
  <c r="A637" i="2" s="1"/>
  <c r="A674" i="2" s="1"/>
  <c r="X635" i="2"/>
  <c r="X679" i="2" s="1"/>
  <c r="D675" i="2"/>
  <c r="D719" i="2" s="1"/>
  <c r="D673" i="2"/>
  <c r="D717" i="2" s="1"/>
  <c r="D672" i="2"/>
  <c r="D716" i="2" s="1"/>
  <c r="D671" i="2"/>
  <c r="D715" i="2" s="1"/>
  <c r="D670" i="2"/>
  <c r="D714" i="2" s="1"/>
  <c r="D669" i="2"/>
  <c r="D713" i="2" s="1"/>
  <c r="D668" i="2"/>
  <c r="D712" i="2" s="1"/>
  <c r="D667" i="2"/>
  <c r="D711" i="2" s="1"/>
  <c r="D666" i="2"/>
  <c r="D710" i="2" s="1"/>
  <c r="D665" i="2"/>
  <c r="D709" i="2" s="1"/>
  <c r="D664" i="2"/>
  <c r="D708" i="2" s="1"/>
  <c r="D663" i="2"/>
  <c r="D707" i="2" s="1"/>
  <c r="D662" i="2"/>
  <c r="D706" i="2" s="1"/>
  <c r="D661" i="2"/>
  <c r="D705" i="2" s="1"/>
  <c r="D660" i="2"/>
  <c r="D704" i="2" s="1"/>
  <c r="D659" i="2"/>
  <c r="D703" i="2" s="1"/>
  <c r="D658" i="2"/>
  <c r="D702" i="2" s="1"/>
  <c r="D657" i="2"/>
  <c r="D701" i="2" s="1"/>
  <c r="D656" i="2"/>
  <c r="D700" i="2" s="1"/>
  <c r="D655" i="2"/>
  <c r="D699" i="2" s="1"/>
  <c r="D654" i="2"/>
  <c r="D698" i="2" s="1"/>
  <c r="D653" i="2"/>
  <c r="D697" i="2" s="1"/>
  <c r="D652" i="2"/>
  <c r="D696" i="2" s="1"/>
  <c r="D651" i="2"/>
  <c r="D695" i="2" s="1"/>
  <c r="D650" i="2"/>
  <c r="D694" i="2" s="1"/>
  <c r="D649" i="2"/>
  <c r="D693" i="2" s="1"/>
  <c r="D648" i="2"/>
  <c r="D692" i="2" s="1"/>
  <c r="D647" i="2"/>
  <c r="D691" i="2" s="1"/>
  <c r="D646" i="2"/>
  <c r="D690" i="2" s="1"/>
  <c r="D645" i="2"/>
  <c r="D689" i="2" s="1"/>
  <c r="D644" i="2"/>
  <c r="D688" i="2" s="1"/>
  <c r="D643" i="2"/>
  <c r="D687" i="2" s="1"/>
  <c r="D642" i="2"/>
  <c r="D686" i="2" s="1"/>
  <c r="D641" i="2"/>
  <c r="D685" i="2" s="1"/>
  <c r="D640" i="2"/>
  <c r="D684" i="2" s="1"/>
  <c r="D639" i="2"/>
  <c r="D683" i="2" s="1"/>
  <c r="D638" i="2"/>
  <c r="D682" i="2" s="1"/>
  <c r="D55" i="1"/>
  <c r="J493" i="2"/>
  <c r="I493" i="2"/>
  <c r="J492" i="2"/>
  <c r="I492" i="2"/>
  <c r="J491" i="2"/>
  <c r="I491" i="2"/>
  <c r="U517" i="2"/>
  <c r="Y361" i="2"/>
  <c r="X590" i="2"/>
  <c r="W590" i="2"/>
  <c r="X427" i="2"/>
  <c r="W427" i="2"/>
  <c r="Z361" i="2"/>
  <c r="Z395" i="2"/>
  <c r="AA361" i="2"/>
  <c r="AA395" i="2"/>
  <c r="AC1209" i="2"/>
  <c r="AC832" i="2"/>
  <c r="AC892" i="2" s="1"/>
  <c r="C21" i="9"/>
  <c r="Q21" i="9" s="1"/>
  <c r="C39" i="9"/>
  <c r="Q39" i="9" s="1"/>
  <c r="C19" i="9"/>
  <c r="Q19" i="9" s="1"/>
  <c r="C25" i="9"/>
  <c r="Q25" i="9" s="1"/>
  <c r="C7" i="9"/>
  <c r="Q7" i="9" s="1"/>
  <c r="C40" i="9"/>
  <c r="Q40" i="9" s="1"/>
  <c r="C27" i="9"/>
  <c r="Q27" i="9" s="1"/>
  <c r="C8" i="9"/>
  <c r="Q8" i="9" s="1"/>
  <c r="C12" i="9"/>
  <c r="Q12" i="9" s="1"/>
  <c r="C35" i="9"/>
  <c r="Q35" i="9" s="1"/>
  <c r="C28" i="9"/>
  <c r="Q28" i="9" s="1"/>
  <c r="C9" i="9"/>
  <c r="Q9" i="9" s="1"/>
  <c r="C22" i="9"/>
  <c r="Q22" i="9" s="1"/>
  <c r="C34" i="9"/>
  <c r="Q34" i="9" s="1"/>
  <c r="C16" i="9"/>
  <c r="Q16" i="9" s="1"/>
  <c r="C23" i="9"/>
  <c r="Q23" i="9" s="1"/>
  <c r="C5" i="9"/>
  <c r="Q5" i="9" s="1"/>
  <c r="C10" i="9"/>
  <c r="Q10" i="9" s="1"/>
  <c r="C6" i="9"/>
  <c r="Q6" i="9" s="1"/>
  <c r="C18" i="9"/>
  <c r="Q18" i="9" s="1"/>
  <c r="C3" i="9"/>
  <c r="Q3" i="9" s="1"/>
  <c r="C32" i="9"/>
  <c r="Q32" i="9" s="1"/>
  <c r="C15" i="9"/>
  <c r="Q15" i="9" s="1"/>
  <c r="C20" i="9"/>
  <c r="Q20" i="9" s="1"/>
  <c r="C24" i="9"/>
  <c r="Q24" i="9" s="1"/>
  <c r="C29" i="9"/>
  <c r="Q29" i="9" s="1"/>
  <c r="C17" i="9"/>
  <c r="Q17" i="9" s="1"/>
  <c r="C26" i="9"/>
  <c r="Q26" i="9" s="1"/>
  <c r="C38" i="9"/>
  <c r="Q38" i="9" s="1"/>
  <c r="C36" i="9"/>
  <c r="Q36" i="9" s="1"/>
  <c r="C37" i="9"/>
  <c r="Q37" i="9" s="1"/>
  <c r="C30" i="9"/>
  <c r="Q30" i="9" s="1"/>
  <c r="C33" i="9"/>
  <c r="Q33" i="9" s="1"/>
  <c r="C31" i="9"/>
  <c r="Q31" i="9" s="1"/>
  <c r="C14" i="9"/>
  <c r="Q14" i="9" s="1"/>
  <c r="C13" i="9"/>
  <c r="Q13" i="9" s="1"/>
  <c r="C11" i="9"/>
  <c r="Q11" i="9" s="1"/>
  <c r="C42" i="9"/>
  <c r="Q42" i="9" s="1"/>
  <c r="P1168" i="2"/>
  <c r="O1168" i="2"/>
  <c r="K1168" i="2"/>
  <c r="J1199" i="2"/>
  <c r="J1202" i="2"/>
  <c r="R1168" i="2"/>
  <c r="N1168" i="2"/>
  <c r="J859" i="2"/>
  <c r="T1168" i="2"/>
  <c r="Q1168" i="2"/>
  <c r="M1168" i="2"/>
  <c r="AD916" i="2"/>
  <c r="AC361" i="2"/>
  <c r="AC395" i="2"/>
  <c r="D36" i="9"/>
  <c r="R36" i="9" s="1"/>
  <c r="D3" i="9"/>
  <c r="R3" i="9" s="1"/>
  <c r="D15" i="9"/>
  <c r="R15" i="9" s="1"/>
  <c r="D12" i="9"/>
  <c r="R12" i="9" s="1"/>
  <c r="D20" i="9"/>
  <c r="R20" i="9" s="1"/>
  <c r="D34" i="9"/>
  <c r="R34" i="9" s="1"/>
  <c r="D27" i="9"/>
  <c r="R27" i="9" s="1"/>
  <c r="D37" i="9"/>
  <c r="R37" i="9" s="1"/>
  <c r="D31" i="9"/>
  <c r="R31" i="9" s="1"/>
  <c r="D21" i="9"/>
  <c r="R21" i="9" s="1"/>
  <c r="D25" i="9"/>
  <c r="R25" i="9" s="1"/>
  <c r="D13" i="9"/>
  <c r="R13" i="9" s="1"/>
  <c r="D18" i="9"/>
  <c r="R18" i="9" s="1"/>
  <c r="D19" i="9"/>
  <c r="R19" i="9" s="1"/>
  <c r="D29" i="9"/>
  <c r="R29" i="9" s="1"/>
  <c r="D26" i="9"/>
  <c r="R26" i="9" s="1"/>
  <c r="D39" i="9"/>
  <c r="R39" i="9" s="1"/>
  <c r="D17" i="9"/>
  <c r="R17" i="9" s="1"/>
  <c r="D24" i="9"/>
  <c r="R24" i="9" s="1"/>
  <c r="D40" i="9"/>
  <c r="R40" i="9" s="1"/>
  <c r="D23" i="9"/>
  <c r="R23" i="9" s="1"/>
  <c r="D14" i="9"/>
  <c r="R14" i="9" s="1"/>
  <c r="D33" i="9"/>
  <c r="R33" i="9" s="1"/>
  <c r="D35" i="9"/>
  <c r="R35" i="9" s="1"/>
  <c r="D30" i="9"/>
  <c r="R30" i="9" s="1"/>
  <c r="D11" i="9"/>
  <c r="R11" i="9" s="1"/>
  <c r="D9" i="9"/>
  <c r="R9" i="9" s="1"/>
  <c r="D38" i="9"/>
  <c r="R38" i="9" s="1"/>
  <c r="D10" i="9"/>
  <c r="R10" i="9" s="1"/>
  <c r="D8" i="9"/>
  <c r="R8" i="9" s="1"/>
  <c r="D6" i="9"/>
  <c r="R6" i="9" s="1"/>
  <c r="D28" i="9"/>
  <c r="R28" i="9" s="1"/>
  <c r="D22" i="9"/>
  <c r="R22" i="9" s="1"/>
  <c r="D16" i="9"/>
  <c r="R16" i="9" s="1"/>
  <c r="D32" i="9"/>
  <c r="R32" i="9" s="1"/>
  <c r="D7" i="9"/>
  <c r="R7" i="9" s="1"/>
  <c r="D5" i="9"/>
  <c r="R5" i="9" s="1"/>
  <c r="D42" i="9"/>
  <c r="R42" i="9" s="1"/>
  <c r="F226" i="5"/>
  <c r="AD361" i="2"/>
  <c r="AD395" i="2"/>
  <c r="E42" i="9"/>
  <c r="S42" i="9" s="1"/>
  <c r="E37" i="9"/>
  <c r="S37" i="9" s="1"/>
  <c r="E17" i="9"/>
  <c r="S17" i="9" s="1"/>
  <c r="E26" i="9"/>
  <c r="S26" i="9" s="1"/>
  <c r="E36" i="9"/>
  <c r="S36" i="9" s="1"/>
  <c r="E16" i="9"/>
  <c r="S16" i="9" s="1"/>
  <c r="E25" i="9"/>
  <c r="S25" i="9" s="1"/>
  <c r="E39" i="9"/>
  <c r="S39" i="9" s="1"/>
  <c r="E7" i="9"/>
  <c r="S7" i="9" s="1"/>
  <c r="E21" i="9"/>
  <c r="S21" i="9" s="1"/>
  <c r="E19" i="9"/>
  <c r="S19" i="9" s="1"/>
  <c r="E20" i="9"/>
  <c r="S20" i="9" s="1"/>
  <c r="E30" i="9"/>
  <c r="S30" i="9" s="1"/>
  <c r="AD1167" i="2"/>
  <c r="E38" i="9"/>
  <c r="S38" i="9" s="1"/>
  <c r="E8" i="9"/>
  <c r="S8" i="9" s="1"/>
  <c r="E35" i="9"/>
  <c r="S35" i="9" s="1"/>
  <c r="E31" i="9"/>
  <c r="S31" i="9" s="1"/>
  <c r="E5" i="9"/>
  <c r="S5" i="9" s="1"/>
  <c r="E14" i="9"/>
  <c r="S14" i="9" s="1"/>
  <c r="E13" i="9"/>
  <c r="S13" i="9" s="1"/>
  <c r="E18" i="9"/>
  <c r="S18" i="9" s="1"/>
  <c r="E33" i="9"/>
  <c r="S33" i="9" s="1"/>
  <c r="E12" i="9"/>
  <c r="S12" i="9" s="1"/>
  <c r="E15" i="9"/>
  <c r="S15" i="9" s="1"/>
  <c r="E24" i="9"/>
  <c r="S24" i="9" s="1"/>
  <c r="E9" i="9"/>
  <c r="S9" i="9" s="1"/>
  <c r="E3" i="9"/>
  <c r="S3" i="9" s="1"/>
  <c r="E23" i="9"/>
  <c r="S23" i="9" s="1"/>
  <c r="E27" i="9"/>
  <c r="S27" i="9" s="1"/>
  <c r="E40" i="9"/>
  <c r="S40" i="9" s="1"/>
  <c r="E32" i="9"/>
  <c r="S32" i="9" s="1"/>
  <c r="E11" i="9"/>
  <c r="S11" i="9" s="1"/>
  <c r="E22" i="9"/>
  <c r="S22" i="9" s="1"/>
  <c r="E10" i="9"/>
  <c r="S10" i="9" s="1"/>
  <c r="E6" i="9"/>
  <c r="S6" i="9" s="1"/>
  <c r="E28" i="9"/>
  <c r="S28" i="9" s="1"/>
  <c r="E29" i="9"/>
  <c r="S29" i="9" s="1"/>
  <c r="E34" i="9"/>
  <c r="S34" i="9" s="1"/>
  <c r="K49" i="7"/>
  <c r="F213" i="5"/>
  <c r="J229" i="5"/>
  <c r="J230" i="5"/>
  <c r="H10" i="11"/>
  <c r="I10" i="11"/>
  <c r="AF1297" i="2"/>
  <c r="AE395" i="2"/>
  <c r="AE361" i="2"/>
  <c r="F20" i="9"/>
  <c r="T20" i="9" s="1"/>
  <c r="F32" i="9"/>
  <c r="T32" i="9" s="1"/>
  <c r="F34" i="9"/>
  <c r="T34" i="9" s="1"/>
  <c r="F38" i="9"/>
  <c r="T38" i="9" s="1"/>
  <c r="F6" i="9"/>
  <c r="T6" i="9" s="1"/>
  <c r="F35" i="9"/>
  <c r="T35" i="9" s="1"/>
  <c r="F9" i="9"/>
  <c r="T9" i="9" s="1"/>
  <c r="F3" i="9"/>
  <c r="T3" i="9" s="1"/>
  <c r="F16" i="9"/>
  <c r="T16" i="9" s="1"/>
  <c r="F36" i="9"/>
  <c r="T36" i="9" s="1"/>
  <c r="F33" i="9"/>
  <c r="T33" i="9" s="1"/>
  <c r="F19" i="9"/>
  <c r="T19" i="9" s="1"/>
  <c r="F22" i="9"/>
  <c r="T22" i="9" s="1"/>
  <c r="F29" i="9"/>
  <c r="T29" i="9" s="1"/>
  <c r="F8" i="9"/>
  <c r="T8" i="9" s="1"/>
  <c r="F17" i="9"/>
  <c r="T17" i="9" s="1"/>
  <c r="F21" i="9"/>
  <c r="T21" i="9" s="1"/>
  <c r="AE1167" i="2"/>
  <c r="F30" i="9"/>
  <c r="T30" i="9" s="1"/>
  <c r="F25" i="9"/>
  <c r="T25" i="9" s="1"/>
  <c r="F31" i="9"/>
  <c r="T31" i="9" s="1"/>
  <c r="F10" i="9"/>
  <c r="T10" i="9" s="1"/>
  <c r="F14" i="9"/>
  <c r="T14" i="9" s="1"/>
  <c r="F15" i="9"/>
  <c r="T15" i="9" s="1"/>
  <c r="F37" i="9"/>
  <c r="T37" i="9" s="1"/>
  <c r="F39" i="9"/>
  <c r="T39" i="9" s="1"/>
  <c r="F40" i="9"/>
  <c r="T40" i="9" s="1"/>
  <c r="F28" i="9"/>
  <c r="T28" i="9" s="1"/>
  <c r="F12" i="9"/>
  <c r="T12" i="9" s="1"/>
  <c r="F27" i="9"/>
  <c r="T27" i="9" s="1"/>
  <c r="F26" i="9"/>
  <c r="T26" i="9" s="1"/>
  <c r="F23" i="9"/>
  <c r="T23" i="9" s="1"/>
  <c r="F24" i="9"/>
  <c r="T24" i="9" s="1"/>
  <c r="F5" i="9"/>
  <c r="T5" i="9" s="1"/>
  <c r="F7" i="9"/>
  <c r="T7" i="9" s="1"/>
  <c r="F18" i="9"/>
  <c r="T18" i="9" s="1"/>
  <c r="F13" i="9"/>
  <c r="T13" i="9" s="1"/>
  <c r="F11" i="9"/>
  <c r="T11" i="9" s="1"/>
  <c r="F42" i="9"/>
  <c r="T42" i="9" s="1"/>
  <c r="M49" i="7"/>
  <c r="AF1299" i="2"/>
  <c r="AF1298" i="2"/>
  <c r="AF1301" i="2"/>
  <c r="AF1302" i="2"/>
  <c r="AF1304" i="2"/>
  <c r="J222" i="5"/>
  <c r="H222" i="5"/>
  <c r="J223" i="5"/>
  <c r="H223" i="5"/>
  <c r="AF1303" i="2"/>
  <c r="AF1305" i="2"/>
  <c r="AF361" i="2"/>
  <c r="AF395" i="2"/>
  <c r="AG396" i="2" s="1"/>
  <c r="AG410" i="2" s="1"/>
  <c r="G17" i="9"/>
  <c r="U17" i="9" s="1"/>
  <c r="G10" i="9"/>
  <c r="U10" i="9" s="1"/>
  <c r="G29" i="9"/>
  <c r="U29" i="9" s="1"/>
  <c r="G19" i="9"/>
  <c r="U19" i="9" s="1"/>
  <c r="G15" i="9"/>
  <c r="U15" i="9" s="1"/>
  <c r="G22" i="9"/>
  <c r="U22" i="9" s="1"/>
  <c r="G18" i="9"/>
  <c r="U18" i="9" s="1"/>
  <c r="G28" i="9"/>
  <c r="U28" i="9" s="1"/>
  <c r="AF1296" i="2"/>
  <c r="G20" i="9"/>
  <c r="U20" i="9" s="1"/>
  <c r="G9" i="9"/>
  <c r="U9" i="9" s="1"/>
  <c r="G21" i="9"/>
  <c r="U21" i="9" s="1"/>
  <c r="AF1167" i="2"/>
  <c r="G5" i="9"/>
  <c r="U5" i="9" s="1"/>
  <c r="G14" i="9"/>
  <c r="U14" i="9" s="1"/>
  <c r="G12" i="9"/>
  <c r="U12" i="9" s="1"/>
  <c r="G27" i="9"/>
  <c r="U27" i="9" s="1"/>
  <c r="G8" i="9"/>
  <c r="U8" i="9" s="1"/>
  <c r="G6" i="9"/>
  <c r="U6" i="9" s="1"/>
  <c r="G13" i="9"/>
  <c r="U13" i="9" s="1"/>
  <c r="G40" i="9"/>
  <c r="U40" i="9" s="1"/>
  <c r="G11" i="9"/>
  <c r="U11" i="9" s="1"/>
  <c r="G7" i="9"/>
  <c r="U7" i="9" s="1"/>
  <c r="G3" i="9"/>
  <c r="U3" i="9" s="1"/>
  <c r="G39" i="9"/>
  <c r="U39" i="9" s="1"/>
  <c r="G23" i="9"/>
  <c r="U23" i="9" s="1"/>
  <c r="G26" i="9"/>
  <c r="U26" i="9" s="1"/>
  <c r="G16" i="9"/>
  <c r="U16" i="9" s="1"/>
  <c r="G24" i="9"/>
  <c r="U24" i="9" s="1"/>
  <c r="G34" i="9"/>
  <c r="U34" i="9" s="1"/>
  <c r="G31" i="9"/>
  <c r="U31" i="9" s="1"/>
  <c r="G32" i="9"/>
  <c r="U32" i="9" s="1"/>
  <c r="G36" i="9"/>
  <c r="U36" i="9" s="1"/>
  <c r="G37" i="9"/>
  <c r="U37" i="9" s="1"/>
  <c r="G35" i="9"/>
  <c r="U35" i="9" s="1"/>
  <c r="G33" i="9"/>
  <c r="U33" i="9" s="1"/>
  <c r="G38" i="9"/>
  <c r="U38" i="9" s="1"/>
  <c r="G30" i="9"/>
  <c r="U30" i="9" s="1"/>
  <c r="G25" i="9"/>
  <c r="U25" i="9" s="1"/>
  <c r="G42" i="9"/>
  <c r="U42" i="9" s="1"/>
  <c r="M1082" i="2" l="1"/>
  <c r="X1118" i="2"/>
  <c r="X733" i="2"/>
  <c r="AJ619" i="2"/>
  <c r="T1082" i="2"/>
  <c r="AF872" i="2"/>
  <c r="AF1072" i="2"/>
  <c r="AF1048" i="2"/>
  <c r="R1082" i="2"/>
  <c r="AD1320" i="2"/>
  <c r="AA1120" i="2"/>
  <c r="AA724" i="2"/>
  <c r="AA1218" i="2" s="1"/>
  <c r="AA1219" i="2" s="1"/>
  <c r="AA1121" i="2"/>
  <c r="AA725" i="2"/>
  <c r="AA1220" i="2" s="1"/>
  <c r="AA1221" i="2" s="1"/>
  <c r="K1061" i="2"/>
  <c r="S1061" i="2"/>
  <c r="R1061" i="2"/>
  <c r="Z1049" i="2"/>
  <c r="X456" i="2"/>
  <c r="X455" i="2" s="1"/>
  <c r="AB456" i="2"/>
  <c r="AB455" i="2" s="1"/>
  <c r="Q1061" i="2"/>
  <c r="P1061" i="2"/>
  <c r="O1061" i="2"/>
  <c r="K1082" i="2"/>
  <c r="J1061" i="2"/>
  <c r="N1048" i="2"/>
  <c r="W456" i="2"/>
  <c r="W455" i="2" s="1"/>
  <c r="AB1082" i="2"/>
  <c r="M1061" i="2"/>
  <c r="V456" i="2"/>
  <c r="V455" i="2" s="1"/>
  <c r="M159" i="5"/>
  <c r="AK429" i="2"/>
  <c r="AJ456" i="2"/>
  <c r="AJ455" i="2" s="1"/>
  <c r="AC456" i="2"/>
  <c r="AC455" i="2" s="1"/>
  <c r="AK1272" i="2"/>
  <c r="P1249" i="2"/>
  <c r="BF1272" i="2"/>
  <c r="U1249" i="2"/>
  <c r="AO1272" i="2"/>
  <c r="Q1249" i="2"/>
  <c r="AF456" i="2"/>
  <c r="AF455" i="2" s="1"/>
  <c r="AS1272" i="2"/>
  <c r="R1249" i="2"/>
  <c r="AK456" i="2"/>
  <c r="AK455" i="2" s="1"/>
  <c r="S456" i="2"/>
  <c r="Q1272" i="2"/>
  <c r="K1249" i="2"/>
  <c r="AA456" i="2"/>
  <c r="AA455" i="2" s="1"/>
  <c r="BN1272" i="2"/>
  <c r="BQ1272" i="2" s="1"/>
  <c r="W1249" i="2"/>
  <c r="AC1272" i="2"/>
  <c r="N1249" i="2"/>
  <c r="Y456" i="2"/>
  <c r="Y455" i="2" s="1"/>
  <c r="AE456" i="2"/>
  <c r="AE455" i="2" s="1"/>
  <c r="BJ1272" i="2"/>
  <c r="AG456" i="2"/>
  <c r="AG455" i="2" s="1"/>
  <c r="AD456" i="2"/>
  <c r="AD455" i="2" s="1"/>
  <c r="AG1272" i="2"/>
  <c r="O1249" i="2"/>
  <c r="Z456" i="2"/>
  <c r="Z455" i="2" s="1"/>
  <c r="AX1272" i="2"/>
  <c r="S1249" i="2"/>
  <c r="BB1272" i="2"/>
  <c r="T1249" i="2"/>
  <c r="U1272" i="2"/>
  <c r="L1249" i="2"/>
  <c r="AH456" i="2"/>
  <c r="AH455" i="2" s="1"/>
  <c r="U456" i="2"/>
  <c r="Y1272" i="2"/>
  <c r="M1249" i="2"/>
  <c r="T456" i="2"/>
  <c r="M1272" i="2"/>
  <c r="J1249" i="2"/>
  <c r="AE1082" i="2"/>
  <c r="Z1073" i="2"/>
  <c r="AE1073" i="2"/>
  <c r="O1048" i="2"/>
  <c r="O1082" i="2"/>
  <c r="M1048" i="2"/>
  <c r="L1082" i="2"/>
  <c r="AB1073" i="2"/>
  <c r="T1061" i="2"/>
  <c r="N1061" i="2"/>
  <c r="AB1048" i="2"/>
  <c r="AF1074" i="2"/>
  <c r="AF1065" i="2"/>
  <c r="L1048" i="2"/>
  <c r="K1048" i="2"/>
  <c r="J1048" i="2"/>
  <c r="U1074" i="2"/>
  <c r="U1075" i="2" s="1"/>
  <c r="U1065" i="2"/>
  <c r="AD1074" i="2"/>
  <c r="AD1065" i="2"/>
  <c r="AC1074" i="2"/>
  <c r="AC1065" i="2"/>
  <c r="W1082" i="2"/>
  <c r="AA1074" i="2"/>
  <c r="AA1065" i="2"/>
  <c r="Z1074" i="2"/>
  <c r="Z1065" i="2"/>
  <c r="AB1074" i="2"/>
  <c r="AB1065" i="2"/>
  <c r="AE1074" i="2"/>
  <c r="AE1065" i="2"/>
  <c r="X1074" i="2"/>
  <c r="X1065" i="2"/>
  <c r="V1074" i="2"/>
  <c r="V1065" i="2"/>
  <c r="W1074" i="2"/>
  <c r="W1065" i="2"/>
  <c r="Y1074" i="2"/>
  <c r="Y1065" i="2"/>
  <c r="U1082" i="2"/>
  <c r="AF1121" i="2"/>
  <c r="AF1061" i="2"/>
  <c r="AF1120" i="2"/>
  <c r="AF1059" i="2"/>
  <c r="AF908" i="2"/>
  <c r="AF1049" i="2"/>
  <c r="AF1060" i="2"/>
  <c r="AF1062" i="2"/>
  <c r="AF1064" i="2"/>
  <c r="AF1073" i="2"/>
  <c r="AG1073" i="2"/>
  <c r="AB1120" i="2"/>
  <c r="AB1059" i="2"/>
  <c r="X1203" i="2"/>
  <c r="W1064" i="2"/>
  <c r="M1064" i="2"/>
  <c r="Y1073" i="2"/>
  <c r="L1061" i="2"/>
  <c r="T1049" i="2"/>
  <c r="AA1073" i="2"/>
  <c r="S1049" i="2"/>
  <c r="K1064" i="2"/>
  <c r="K1063" i="2" s="1"/>
  <c r="V1049" i="2"/>
  <c r="R1049" i="2"/>
  <c r="U1059" i="2"/>
  <c r="AE1121" i="2"/>
  <c r="AE1061" i="2"/>
  <c r="T1059" i="2"/>
  <c r="X1171" i="2"/>
  <c r="X1048" i="2"/>
  <c r="Q1059" i="2"/>
  <c r="X1049" i="2"/>
  <c r="Z1121" i="2"/>
  <c r="Z1061" i="2"/>
  <c r="P1059" i="2"/>
  <c r="K1049" i="2"/>
  <c r="J1049" i="2"/>
  <c r="AE1171" i="2"/>
  <c r="AE1048" i="2"/>
  <c r="L1059" i="2"/>
  <c r="Y1098" i="2"/>
  <c r="Y1138" i="2" s="1"/>
  <c r="Y1022" i="2"/>
  <c r="S1102" i="2"/>
  <c r="S1104" i="2" s="1"/>
  <c r="S1072" i="2"/>
  <c r="K1059" i="2"/>
  <c r="S1048" i="2"/>
  <c r="Y908" i="2"/>
  <c r="Y906" i="2" s="1"/>
  <c r="Y1049" i="2"/>
  <c r="AD1120" i="2"/>
  <c r="AD1059" i="2"/>
  <c r="U1061" i="2"/>
  <c r="T1064" i="2"/>
  <c r="T1063" i="2" s="1"/>
  <c r="T1060" i="2"/>
  <c r="S1064" i="2"/>
  <c r="S1063" i="2" s="1"/>
  <c r="AD1171" i="2"/>
  <c r="AD1048" i="2"/>
  <c r="V1048" i="2"/>
  <c r="L1064" i="2"/>
  <c r="J1064" i="2"/>
  <c r="W1049" i="2"/>
  <c r="AA1059" i="2"/>
  <c r="P1049" i="2"/>
  <c r="AE1120" i="2"/>
  <c r="AE1059" i="2"/>
  <c r="X1064" i="2"/>
  <c r="S1059" i="2"/>
  <c r="S1058" i="2" s="1"/>
  <c r="O1049" i="2"/>
  <c r="AB1064" i="2"/>
  <c r="Y1064" i="2"/>
  <c r="Z1082" i="2"/>
  <c r="AD1073" i="2"/>
  <c r="Z1120" i="2"/>
  <c r="Z1059" i="2"/>
  <c r="O1059" i="2"/>
  <c r="AA1061" i="2"/>
  <c r="N1059" i="2"/>
  <c r="W1061" i="2"/>
  <c r="U1102" i="2"/>
  <c r="U1104" i="2" s="1"/>
  <c r="U1072" i="2"/>
  <c r="M1059" i="2"/>
  <c r="U1048" i="2"/>
  <c r="AC1121" i="2"/>
  <c r="AC1061" i="2"/>
  <c r="AE1062" i="2"/>
  <c r="AE1064" i="2"/>
  <c r="AE1060" i="2"/>
  <c r="T1048" i="2"/>
  <c r="AC1120" i="2"/>
  <c r="AC1059" i="2"/>
  <c r="Y1059" i="2"/>
  <c r="R1102" i="2"/>
  <c r="R1104" i="2" s="1"/>
  <c r="R1072" i="2"/>
  <c r="J1059" i="2"/>
  <c r="R1048" i="2"/>
  <c r="AA1049" i="2"/>
  <c r="AF1082" i="2"/>
  <c r="AG1082" i="2"/>
  <c r="O1102" i="2"/>
  <c r="O1104" i="2" s="1"/>
  <c r="O1105" i="2" s="1"/>
  <c r="O1080" i="2" s="1"/>
  <c r="O1246" i="2" s="1"/>
  <c r="O1247" i="2" s="1"/>
  <c r="O1248" i="2" s="1"/>
  <c r="O1072" i="2"/>
  <c r="X1082" i="2"/>
  <c r="Z1171" i="2"/>
  <c r="Z1048" i="2"/>
  <c r="Y1082" i="2"/>
  <c r="Y1171" i="2"/>
  <c r="Y1048" i="2"/>
  <c r="M1102" i="2"/>
  <c r="M1104" i="2" s="1"/>
  <c r="M1105" i="2" s="1"/>
  <c r="M1080" i="2" s="1"/>
  <c r="M1246" i="2" s="1"/>
  <c r="M1247" i="2" s="1"/>
  <c r="M1248" i="2" s="1"/>
  <c r="M1072" i="2"/>
  <c r="AC1062" i="2"/>
  <c r="AC1060" i="2"/>
  <c r="AC1064" i="2"/>
  <c r="K1102" i="2"/>
  <c r="K1104" i="2" s="1"/>
  <c r="K1105" i="2" s="1"/>
  <c r="K1080" i="2" s="1"/>
  <c r="K1246" i="2" s="1"/>
  <c r="K1247" i="2" s="1"/>
  <c r="K1248" i="2" s="1"/>
  <c r="K1072" i="2"/>
  <c r="AD1121" i="2"/>
  <c r="AD1061" i="2"/>
  <c r="J1102" i="2"/>
  <c r="J1104" i="2" s="1"/>
  <c r="J1105" i="2" s="1"/>
  <c r="J1080" i="2" s="1"/>
  <c r="J1246" i="2" s="1"/>
  <c r="J1247" i="2" s="1"/>
  <c r="J1248" i="2" s="1"/>
  <c r="J1072" i="2"/>
  <c r="W1073" i="2"/>
  <c r="R1064" i="2"/>
  <c r="R1063" i="2" s="1"/>
  <c r="AC1082" i="2"/>
  <c r="Q1064" i="2"/>
  <c r="Q1063" i="2" s="1"/>
  <c r="AD908" i="2"/>
  <c r="AD1049" i="2"/>
  <c r="P1064" i="2"/>
  <c r="P1063" i="2" s="1"/>
  <c r="O1064" i="2"/>
  <c r="O1063" i="2" s="1"/>
  <c r="X1073" i="2"/>
  <c r="U1049" i="2"/>
  <c r="W1171" i="2"/>
  <c r="W1048" i="2"/>
  <c r="Q1049" i="2"/>
  <c r="AB908" i="2"/>
  <c r="AB906" i="2" s="1"/>
  <c r="AB1049" i="2"/>
  <c r="AD1082" i="2"/>
  <c r="R1059" i="2"/>
  <c r="AA1082" i="2"/>
  <c r="Z1098" i="2"/>
  <c r="Z1138" i="2" s="1"/>
  <c r="Z1022" i="2"/>
  <c r="B7" i="11" s="1"/>
  <c r="AE908" i="2"/>
  <c r="AE1049" i="2"/>
  <c r="V1061" i="2"/>
  <c r="X1059" i="2"/>
  <c r="X1061" i="2"/>
  <c r="Z1064" i="2"/>
  <c r="Q1102" i="2"/>
  <c r="Q1104" i="2" s="1"/>
  <c r="Q1105" i="2" s="1"/>
  <c r="Q1080" i="2" s="1"/>
  <c r="Q1246" i="2" s="1"/>
  <c r="Q1247" i="2" s="1"/>
  <c r="Q1248" i="2" s="1"/>
  <c r="Q1072" i="2"/>
  <c r="Q1048" i="2"/>
  <c r="AA1171" i="2"/>
  <c r="AA1048" i="2"/>
  <c r="AC908" i="2"/>
  <c r="AC1049" i="2"/>
  <c r="N1102" i="2"/>
  <c r="N1104" i="2" s="1"/>
  <c r="N1105" i="2" s="1"/>
  <c r="N1080" i="2" s="1"/>
  <c r="N1246" i="2" s="1"/>
  <c r="N1247" i="2" s="1"/>
  <c r="N1248" i="2" s="1"/>
  <c r="N1072" i="2"/>
  <c r="AC1171" i="2"/>
  <c r="AC1048" i="2"/>
  <c r="L1102" i="2"/>
  <c r="L1104" i="2" s="1"/>
  <c r="L1105" i="2" s="1"/>
  <c r="L1080" i="2" s="1"/>
  <c r="L1246" i="2" s="1"/>
  <c r="L1247" i="2" s="1"/>
  <c r="L1248" i="2" s="1"/>
  <c r="L1072" i="2"/>
  <c r="U1060" i="2"/>
  <c r="U1064" i="2"/>
  <c r="AB1121" i="2"/>
  <c r="AB1061" i="2"/>
  <c r="AD1064" i="2"/>
  <c r="AD1062" i="2"/>
  <c r="AD1060" i="2"/>
  <c r="V1064" i="2"/>
  <c r="N1064" i="2"/>
  <c r="N1063" i="2" s="1"/>
  <c r="N1049" i="2"/>
  <c r="M1049" i="2"/>
  <c r="AC1073" i="2"/>
  <c r="V1059" i="2"/>
  <c r="L1049" i="2"/>
  <c r="W1059" i="2"/>
  <c r="T1102" i="2"/>
  <c r="T1104" i="2" s="1"/>
  <c r="T1072" i="2"/>
  <c r="Y1061" i="2"/>
  <c r="V1082" i="2"/>
  <c r="P1102" i="2"/>
  <c r="P1104" i="2" s="1"/>
  <c r="P1105" i="2" s="1"/>
  <c r="P1080" i="2" s="1"/>
  <c r="P1246" i="2" s="1"/>
  <c r="P1247" i="2" s="1"/>
  <c r="P1248" i="2" s="1"/>
  <c r="P1072" i="2"/>
  <c r="P1048" i="2"/>
  <c r="P1082" i="2"/>
  <c r="AA1064" i="2"/>
  <c r="Z1113" i="2"/>
  <c r="Z1111" i="2" s="1"/>
  <c r="G4" i="11"/>
  <c r="AE1113" i="2"/>
  <c r="AE1111" i="2" s="1"/>
  <c r="J53" i="12"/>
  <c r="AB1113" i="2"/>
  <c r="AB1111" i="2" s="1"/>
  <c r="AE1102" i="2"/>
  <c r="AE1169" i="2" s="1"/>
  <c r="AE1096" i="2"/>
  <c r="AE1137" i="2" s="1"/>
  <c r="K1205" i="2"/>
  <c r="K1114" i="2"/>
  <c r="B4" i="11"/>
  <c r="C4" i="11"/>
  <c r="AJ746" i="2"/>
  <c r="E4" i="11"/>
  <c r="P1205" i="2"/>
  <c r="P1114" i="2"/>
  <c r="J1205" i="2"/>
  <c r="J1114" i="2"/>
  <c r="U1205" i="2"/>
  <c r="U1114" i="2"/>
  <c r="V1102" i="2"/>
  <c r="V1169" i="2" s="1"/>
  <c r="AB915" i="2"/>
  <c r="AC915" i="2" s="1"/>
  <c r="L1205" i="2"/>
  <c r="L1114" i="2"/>
  <c r="W1205" i="2"/>
  <c r="W1114" i="2"/>
  <c r="AA1113" i="2"/>
  <c r="AA1111" i="2" s="1"/>
  <c r="AC1102" i="2"/>
  <c r="AC1169" i="2" s="1"/>
  <c r="AC1096" i="2"/>
  <c r="AC1137" i="2" s="1"/>
  <c r="V1168" i="2"/>
  <c r="Z746" i="2"/>
  <c r="Y1210" i="2"/>
  <c r="AC1205" i="2"/>
  <c r="AC1114" i="2"/>
  <c r="AF1113" i="2"/>
  <c r="AF1111" i="2" s="1"/>
  <c r="W1096" i="2"/>
  <c r="W1137" i="2" s="1"/>
  <c r="W1102" i="2"/>
  <c r="W1169" i="2" s="1"/>
  <c r="AB1102" i="2"/>
  <c r="AB1169" i="2" s="1"/>
  <c r="AB1096" i="2"/>
  <c r="AB1137" i="2" s="1"/>
  <c r="J60" i="12"/>
  <c r="X1205" i="2"/>
  <c r="X1114" i="2"/>
  <c r="AK746" i="2"/>
  <c r="H4" i="11"/>
  <c r="Y1102" i="2"/>
  <c r="Y1169" i="2" s="1"/>
  <c r="Y1096" i="2"/>
  <c r="Y1137" i="2" s="1"/>
  <c r="AD1113" i="2"/>
  <c r="AD1111" i="2"/>
  <c r="AC1307" i="2"/>
  <c r="AC1113" i="2"/>
  <c r="AC1111" i="2" s="1"/>
  <c r="D4" i="11"/>
  <c r="Z1102" i="2"/>
  <c r="Z1169" i="2" s="1"/>
  <c r="Z1096" i="2"/>
  <c r="Z1137" i="2" s="1"/>
  <c r="Y1205" i="2"/>
  <c r="Y1114" i="2"/>
  <c r="AF1096" i="2"/>
  <c r="AF1137" i="2" s="1"/>
  <c r="AF1102" i="2"/>
  <c r="AF1169" i="2" s="1"/>
  <c r="AG1096" i="2"/>
  <c r="AG1137" i="2" s="1"/>
  <c r="X1098" i="2"/>
  <c r="X1138" i="2" s="1"/>
  <c r="AD1102" i="2"/>
  <c r="AD1169" i="2" s="1"/>
  <c r="AD1096" i="2"/>
  <c r="AD1137" i="2" s="1"/>
  <c r="T1205" i="2"/>
  <c r="T1114" i="2"/>
  <c r="AA1102" i="2"/>
  <c r="AA1096" i="2"/>
  <c r="AA1137" i="2" s="1"/>
  <c r="AB1205" i="2"/>
  <c r="AB1114" i="2"/>
  <c r="F4" i="11"/>
  <c r="X1096" i="2"/>
  <c r="X1137" i="2" s="1"/>
  <c r="X1102" i="2"/>
  <c r="X1169" i="2" s="1"/>
  <c r="W1098" i="2"/>
  <c r="W1138" i="2" s="1"/>
  <c r="AD1205" i="2"/>
  <c r="AD1114" i="2"/>
  <c r="AI455" i="2"/>
  <c r="AJ1032" i="2" s="1"/>
  <c r="X1172" i="2"/>
  <c r="X908" i="2"/>
  <c r="X1207" i="2" s="1"/>
  <c r="V728" i="2"/>
  <c r="V736" i="2"/>
  <c r="V733" i="2" s="1"/>
  <c r="AA1172" i="2"/>
  <c r="AA908" i="2"/>
  <c r="AA906" i="2" s="1"/>
  <c r="AA1207" i="2" s="1"/>
  <c r="V965" i="2"/>
  <c r="Z1172" i="2"/>
  <c r="Z908" i="2"/>
  <c r="Z906" i="2" s="1"/>
  <c r="Z1207" i="2" s="1"/>
  <c r="X728" i="2"/>
  <c r="AZ458" i="2"/>
  <c r="AV458" i="2"/>
  <c r="AG405" i="2"/>
  <c r="AE415" i="2"/>
  <c r="AF415" i="2" s="1"/>
  <c r="AG415" i="2" s="1"/>
  <c r="AH415" i="2" s="1"/>
  <c r="AI415" i="2" s="1"/>
  <c r="AJ415" i="2" s="1"/>
  <c r="AK415" i="2" s="1"/>
  <c r="AL415" i="2" s="1"/>
  <c r="AM415" i="2" s="1"/>
  <c r="AN415" i="2" s="1"/>
  <c r="AO415" i="2" s="1"/>
  <c r="AP415" i="2" s="1"/>
  <c r="AQ415" i="2" s="1"/>
  <c r="AR415" i="2" s="1"/>
  <c r="AS415" i="2" s="1"/>
  <c r="AT415" i="2" s="1"/>
  <c r="AZ493" i="2"/>
  <c r="AF48" i="12"/>
  <c r="AG393" i="2"/>
  <c r="BF491" i="2"/>
  <c r="AV493" i="2"/>
  <c r="AZ457" i="2"/>
  <c r="AV491" i="2"/>
  <c r="AW457" i="2"/>
  <c r="AI940" i="2"/>
  <c r="AI942" i="2"/>
  <c r="AJ942" i="2" s="1"/>
  <c r="AK942" i="2" s="1"/>
  <c r="AL942" i="2" s="1"/>
  <c r="AM942" i="2" s="1"/>
  <c r="AN942" i="2" s="1"/>
  <c r="AO942" i="2" s="1"/>
  <c r="AP942" i="2" s="1"/>
  <c r="AQ942" i="2" s="1"/>
  <c r="AR942" i="2" s="1"/>
  <c r="AS942" i="2" s="1"/>
  <c r="AT942" i="2" s="1"/>
  <c r="AZ491" i="2"/>
  <c r="BC457" i="2"/>
  <c r="AU457" i="2"/>
  <c r="X836" i="2"/>
  <c r="X995" i="2" s="1"/>
  <c r="W836" i="2"/>
  <c r="W995" i="2" s="1"/>
  <c r="AH836" i="2"/>
  <c r="AH381" i="2" s="1"/>
  <c r="AG836" i="2"/>
  <c r="AF836" i="2"/>
  <c r="AF995" i="2" s="1"/>
  <c r="AE836" i="2"/>
  <c r="AE995" i="2" s="1"/>
  <c r="AD836" i="2"/>
  <c r="AC836" i="2"/>
  <c r="AC995" i="2" s="1"/>
  <c r="AB836" i="2"/>
  <c r="AB839" i="2" s="1"/>
  <c r="AA836" i="2"/>
  <c r="AA995" i="2" s="1"/>
  <c r="Z836" i="2"/>
  <c r="Z995" i="2" s="1"/>
  <c r="Y836" i="2"/>
  <c r="Y995" i="2" s="1"/>
  <c r="AW491" i="2"/>
  <c r="AY458" i="2"/>
  <c r="AO458" i="2" s="1"/>
  <c r="AY457" i="2"/>
  <c r="AO457" i="2" s="1"/>
  <c r="BF493" i="2"/>
  <c r="AW458" i="2"/>
  <c r="AV457" i="2"/>
  <c r="AU458" i="2"/>
  <c r="AP528" i="2"/>
  <c r="AQ528" i="2"/>
  <c r="AR528" i="2"/>
  <c r="AS528" i="2"/>
  <c r="AT528" i="2"/>
  <c r="BD493" i="2"/>
  <c r="AX457" i="2"/>
  <c r="E48" i="12"/>
  <c r="BB493" i="2"/>
  <c r="BE491" i="2"/>
  <c r="BB491" i="2"/>
  <c r="AE508" i="2"/>
  <c r="AW508" i="2"/>
  <c r="AC509" i="2"/>
  <c r="AU509" i="2"/>
  <c r="AX458" i="2"/>
  <c r="BA458" i="2"/>
  <c r="BB458" i="2"/>
  <c r="BC458" i="2"/>
  <c r="BA457" i="2"/>
  <c r="BB457" i="2"/>
  <c r="BF457" i="2"/>
  <c r="AX491" i="2"/>
  <c r="BD457" i="2"/>
  <c r="BE457" i="2"/>
  <c r="AW493" i="2"/>
  <c r="AW492" i="2"/>
  <c r="AX492" i="2"/>
  <c r="BF492" i="2"/>
  <c r="BB492" i="2"/>
  <c r="BC493" i="2"/>
  <c r="AZ492" i="2"/>
  <c r="BA492" i="2"/>
  <c r="AY493" i="2"/>
  <c r="AX493" i="2"/>
  <c r="K836" i="2"/>
  <c r="U836" i="2"/>
  <c r="S836" i="2"/>
  <c r="Q836" i="2"/>
  <c r="O836" i="2"/>
  <c r="N836" i="2"/>
  <c r="J836" i="2"/>
  <c r="R836" i="2"/>
  <c r="P836" i="2"/>
  <c r="M836" i="2"/>
  <c r="L836" i="2"/>
  <c r="T836" i="2"/>
  <c r="AU491" i="2"/>
  <c r="BC491" i="2"/>
  <c r="BD491" i="2"/>
  <c r="BA491" i="2"/>
  <c r="AY492" i="2"/>
  <c r="BE493" i="2"/>
  <c r="BE492" i="2"/>
  <c r="AV492" i="2"/>
  <c r="AU493" i="2"/>
  <c r="AU492" i="2"/>
  <c r="BC492" i="2"/>
  <c r="BA493" i="2"/>
  <c r="BD492" i="2"/>
  <c r="AY491" i="2"/>
  <c r="AC400" i="2"/>
  <c r="AC406" i="2" s="1"/>
  <c r="AC842" i="2"/>
  <c r="AC843" i="2" s="1"/>
  <c r="Q1172" i="2"/>
  <c r="P1172" i="2"/>
  <c r="O1172" i="2"/>
  <c r="AE886" i="2"/>
  <c r="AE901" i="2"/>
  <c r="AE1127" i="2" s="1"/>
  <c r="AE902" i="2"/>
  <c r="AF886" i="2"/>
  <c r="AF902" i="2"/>
  <c r="AF901" i="2"/>
  <c r="AF1127" i="2" s="1"/>
  <c r="N1172" i="2"/>
  <c r="J1201" i="2"/>
  <c r="V886" i="2"/>
  <c r="M1172" i="2"/>
  <c r="J1198" i="2"/>
  <c r="W886" i="2"/>
  <c r="Y1209" i="2"/>
  <c r="Z916" i="2"/>
  <c r="L1172" i="2"/>
  <c r="AA843" i="2"/>
  <c r="AG1213" i="2"/>
  <c r="AH1213" i="2" s="1"/>
  <c r="K1172" i="2"/>
  <c r="Z843" i="2"/>
  <c r="J1172" i="2"/>
  <c r="AB400" i="2"/>
  <c r="AB406" i="2" s="1"/>
  <c r="AB842" i="2"/>
  <c r="AB843" i="2" s="1"/>
  <c r="U1171" i="2"/>
  <c r="T1172" i="2"/>
  <c r="AE400" i="2"/>
  <c r="AE406" i="2" s="1"/>
  <c r="AE842" i="2"/>
  <c r="AE843" i="2" s="1"/>
  <c r="AF898" i="2"/>
  <c r="J1171" i="2"/>
  <c r="AE898" i="2"/>
  <c r="N1171" i="2"/>
  <c r="AG898" i="2"/>
  <c r="R1171" i="2"/>
  <c r="AH1158" i="2"/>
  <c r="AH897" i="2"/>
  <c r="AH911" i="2" s="1"/>
  <c r="AD886" i="2"/>
  <c r="AD902" i="2"/>
  <c r="AD901" i="2"/>
  <c r="AD1127" i="2" s="1"/>
  <c r="S1171" i="2"/>
  <c r="Y886" i="2"/>
  <c r="M1171" i="2"/>
  <c r="AB886" i="2"/>
  <c r="AD400" i="2"/>
  <c r="AD406" i="2" s="1"/>
  <c r="AD842" i="2"/>
  <c r="AD843" i="2" s="1"/>
  <c r="Z886" i="2"/>
  <c r="T1171" i="2"/>
  <c r="AD1172" i="2"/>
  <c r="AF400" i="2"/>
  <c r="AF406" i="2" s="1"/>
  <c r="AF842" i="2"/>
  <c r="L1171" i="2"/>
  <c r="S1172" i="2"/>
  <c r="R1172" i="2"/>
  <c r="X886" i="2"/>
  <c r="AD898" i="2"/>
  <c r="Q1171" i="2"/>
  <c r="P1171" i="2"/>
  <c r="O1171" i="2"/>
  <c r="K1171" i="2"/>
  <c r="AA902" i="2"/>
  <c r="AA886" i="2"/>
  <c r="AC886" i="2"/>
  <c r="U1172" i="2"/>
  <c r="K12" i="11"/>
  <c r="L12" i="11" s="1"/>
  <c r="N15" i="11" s="1"/>
  <c r="AM928" i="2"/>
  <c r="AN403" i="2"/>
  <c r="AN405" i="2" s="1"/>
  <c r="AH746" i="2"/>
  <c r="AD1231" i="2"/>
  <c r="CP1259" i="2" s="1"/>
  <c r="CO1259" i="2" s="1"/>
  <c r="F11" i="11"/>
  <c r="AF1231" i="2"/>
  <c r="CX1259" i="2" s="1"/>
  <c r="CV1259" i="2" s="1"/>
  <c r="H11" i="11"/>
  <c r="AE904" i="2"/>
  <c r="AC1231" i="2"/>
  <c r="CL1259" i="2" s="1"/>
  <c r="CJ1259" i="2" s="1"/>
  <c r="E11" i="11"/>
  <c r="AE1231" i="2"/>
  <c r="CT1259" i="2" s="1"/>
  <c r="CS1259" i="2" s="1"/>
  <c r="G11" i="11"/>
  <c r="Z1231" i="2"/>
  <c r="BZ1259" i="2" s="1"/>
  <c r="BW1259" i="2" s="1"/>
  <c r="B11" i="11"/>
  <c r="AA1231" i="2"/>
  <c r="CD1259" i="2" s="1"/>
  <c r="CA1259" i="2" s="1"/>
  <c r="C11" i="11"/>
  <c r="AB1231" i="2"/>
  <c r="CH1259" i="2" s="1"/>
  <c r="CG1259" i="2" s="1"/>
  <c r="D11" i="11"/>
  <c r="AL405" i="2"/>
  <c r="Z1232" i="2"/>
  <c r="BZ1260" i="2" s="1"/>
  <c r="BY1260" i="2" s="1"/>
  <c r="B12" i="11"/>
  <c r="AA1232" i="2"/>
  <c r="CD1260" i="2" s="1"/>
  <c r="C12" i="11"/>
  <c r="AB1232" i="2"/>
  <c r="CH1260" i="2" s="1"/>
  <c r="D12" i="11"/>
  <c r="AD1232" i="2"/>
  <c r="CP1260" i="2" s="1"/>
  <c r="F12" i="11"/>
  <c r="F14" i="11" s="1"/>
  <c r="AG1232" i="2"/>
  <c r="AH1232" i="2"/>
  <c r="AF1232" i="2"/>
  <c r="CX1260" i="2" s="1"/>
  <c r="AE1232" i="2"/>
  <c r="CT1260" i="2" s="1"/>
  <c r="G12" i="11"/>
  <c r="DE1262" i="2"/>
  <c r="DD1262" i="2"/>
  <c r="DA1262" i="2"/>
  <c r="CZ1262" i="2"/>
  <c r="DC1262" i="2"/>
  <c r="CY1262" i="2"/>
  <c r="DC1264" i="2"/>
  <c r="DE1264" i="2"/>
  <c r="DA1264" i="2"/>
  <c r="DD1264" i="2"/>
  <c r="CZ1264" i="2"/>
  <c r="CY1264" i="2"/>
  <c r="DE1263" i="2"/>
  <c r="DA1263" i="2"/>
  <c r="CZ1263" i="2"/>
  <c r="DC1263" i="2"/>
  <c r="CY1263" i="2"/>
  <c r="DD1263" i="2"/>
  <c r="CZ1266" i="2"/>
  <c r="CY1266" i="2"/>
  <c r="DA1266" i="2"/>
  <c r="DE1265" i="2"/>
  <c r="CZ1265" i="2"/>
  <c r="CY1265" i="2"/>
  <c r="DD1265" i="2"/>
  <c r="DA1265" i="2"/>
  <c r="DC1265" i="2"/>
  <c r="AJ400" i="2"/>
  <c r="AJ406" i="2" s="1"/>
  <c r="AL940" i="2"/>
  <c r="AK397" i="2"/>
  <c r="AK405" i="2"/>
  <c r="AJ405" i="2"/>
  <c r="AM405" i="2"/>
  <c r="AK400" i="2"/>
  <c r="AK406" i="2" s="1"/>
  <c r="AM397" i="2"/>
  <c r="AA746" i="2"/>
  <c r="AK490" i="2"/>
  <c r="AI528" i="2"/>
  <c r="AJ528" i="2"/>
  <c r="AK528" i="2"/>
  <c r="AL528" i="2"/>
  <c r="AN528" i="2"/>
  <c r="AO528" i="2"/>
  <c r="AE528" i="2"/>
  <c r="AM528" i="2"/>
  <c r="AC490" i="2"/>
  <c r="V966" i="2"/>
  <c r="AF490" i="2"/>
  <c r="Z490" i="2"/>
  <c r="AH928" i="2"/>
  <c r="AH929" i="2"/>
  <c r="AE490" i="2"/>
  <c r="AA490" i="2"/>
  <c r="AD490" i="2"/>
  <c r="AB490" i="2"/>
  <c r="AI1232" i="2"/>
  <c r="AI490" i="2"/>
  <c r="AH490" i="2"/>
  <c r="AG490" i="2"/>
  <c r="AJ490" i="2"/>
  <c r="AA506" i="2"/>
  <c r="AC1011" i="2"/>
  <c r="AC1010" i="2"/>
  <c r="AF1011" i="2"/>
  <c r="AC985" i="2"/>
  <c r="AF1010" i="2"/>
  <c r="AB985" i="2"/>
  <c r="AD1245" i="2"/>
  <c r="CP1273" i="2" s="1"/>
  <c r="AD985" i="2"/>
  <c r="AA985" i="2"/>
  <c r="AE1011" i="2"/>
  <c r="Z985" i="2"/>
  <c r="AD1011" i="2"/>
  <c r="AE1010" i="2"/>
  <c r="AD1010" i="2"/>
  <c r="AE985" i="2"/>
  <c r="AF1244" i="2"/>
  <c r="CX1272" i="2" s="1"/>
  <c r="AF985" i="2"/>
  <c r="AG985" i="2"/>
  <c r="Y1172" i="2"/>
  <c r="Y986" i="2"/>
  <c r="AD904" i="2"/>
  <c r="AF904" i="2"/>
  <c r="X490" i="2"/>
  <c r="Y872" i="2"/>
  <c r="X1002" i="2"/>
  <c r="X872" i="2"/>
  <c r="V490" i="2"/>
  <c r="W1002" i="2"/>
  <c r="W872" i="2"/>
  <c r="Y490" i="2"/>
  <c r="W490" i="2"/>
  <c r="V872" i="2"/>
  <c r="AG528" i="2"/>
  <c r="AF528" i="2"/>
  <c r="AC528" i="2"/>
  <c r="AD528" i="2"/>
  <c r="AB528" i="2"/>
  <c r="AA528" i="2"/>
  <c r="AH528" i="2"/>
  <c r="V975" i="2"/>
  <c r="V971" i="2"/>
  <c r="AB1171" i="2"/>
  <c r="V983" i="2"/>
  <c r="V982" i="2"/>
  <c r="V981" i="2"/>
  <c r="V836" i="2"/>
  <c r="V995" i="2" s="1"/>
  <c r="AF997" i="2"/>
  <c r="AF996" i="2"/>
  <c r="AC992" i="2"/>
  <c r="AC997" i="2"/>
  <c r="AC996" i="2"/>
  <c r="AD992" i="2"/>
  <c r="AD997" i="2"/>
  <c r="AD996" i="2"/>
  <c r="AE1240" i="2"/>
  <c r="CT1268" i="2" s="1"/>
  <c r="AE997" i="2"/>
  <c r="AE996" i="2"/>
  <c r="Y403" i="2"/>
  <c r="Z405" i="2" s="1"/>
  <c r="Y928" i="2"/>
  <c r="X403" i="2"/>
  <c r="Z397" i="2"/>
  <c r="Z940" i="2"/>
  <c r="V925" i="2"/>
  <c r="AC872" i="2"/>
  <c r="AA872" i="2"/>
  <c r="AD1002" i="2"/>
  <c r="AD872" i="2"/>
  <c r="Z1002" i="2"/>
  <c r="Z872" i="2"/>
  <c r="AE872" i="2"/>
  <c r="AD310" i="2"/>
  <c r="AB1002" i="2"/>
  <c r="AB872" i="2"/>
  <c r="AE1158" i="2"/>
  <c r="AE897" i="2"/>
  <c r="AE911" i="2" s="1"/>
  <c r="AG1158" i="2"/>
  <c r="AG893" i="2"/>
  <c r="AG897" i="2"/>
  <c r="AG911" i="2" s="1"/>
  <c r="AF1158" i="2"/>
  <c r="AF897" i="2"/>
  <c r="AF911" i="2" s="1"/>
  <c r="AC422" i="2"/>
  <c r="AC1158" i="2" s="1"/>
  <c r="AC897" i="2"/>
  <c r="AD422" i="2"/>
  <c r="AD1158" i="2" s="1"/>
  <c r="AD897" i="2"/>
  <c r="AD911" i="2" s="1"/>
  <c r="AA963" i="2"/>
  <c r="AF310" i="2"/>
  <c r="AC310" i="2"/>
  <c r="AG310" i="2"/>
  <c r="AG311" i="2" s="1"/>
  <c r="AE310" i="2"/>
  <c r="AB310" i="2"/>
  <c r="AB311" i="2" s="1"/>
  <c r="AF1311" i="2"/>
  <c r="AF1323" i="2"/>
  <c r="AG1323" i="2"/>
  <c r="AD1311" i="2"/>
  <c r="AD1323" i="2"/>
  <c r="AC1323" i="2"/>
  <c r="AF1324" i="2"/>
  <c r="AG1324" i="2"/>
  <c r="AE1307" i="2"/>
  <c r="AE1320" i="2"/>
  <c r="AD1307" i="2"/>
  <c r="AC1320" i="2"/>
  <c r="AE1308" i="2"/>
  <c r="AD1308" i="2"/>
  <c r="AE1312" i="2"/>
  <c r="AE1324" i="2"/>
  <c r="AF1320" i="2"/>
  <c r="AG1320" i="2"/>
  <c r="AD1312" i="2"/>
  <c r="AC1324" i="2"/>
  <c r="AD1324" i="2"/>
  <c r="AE1323" i="2"/>
  <c r="AF1014" i="2"/>
  <c r="W1010" i="2"/>
  <c r="X1012" i="2"/>
  <c r="H198" i="5"/>
  <c r="J198" i="5"/>
  <c r="H199" i="5"/>
  <c r="J199" i="5"/>
  <c r="AC1232" i="2"/>
  <c r="CL1260" i="2" s="1"/>
  <c r="AG964" i="2"/>
  <c r="AH964" i="2" s="1"/>
  <c r="AI964" i="2" s="1"/>
  <c r="AJ964" i="2" s="1"/>
  <c r="AK964" i="2" s="1"/>
  <c r="AL964" i="2" s="1"/>
  <c r="AM964" i="2" s="1"/>
  <c r="AN964" i="2" s="1"/>
  <c r="AO964" i="2" s="1"/>
  <c r="AP964" i="2" s="1"/>
  <c r="AQ964" i="2" s="1"/>
  <c r="AR964" i="2" s="1"/>
  <c r="AS964" i="2" s="1"/>
  <c r="AT964" i="2" s="1"/>
  <c r="AF1245" i="2"/>
  <c r="CX1273" i="2" s="1"/>
  <c r="AG963" i="2"/>
  <c r="AG950" i="2"/>
  <c r="AH950" i="2" s="1"/>
  <c r="AI950" i="2" s="1"/>
  <c r="AJ950" i="2" s="1"/>
  <c r="AK950" i="2" s="1"/>
  <c r="AL950" i="2" s="1"/>
  <c r="AM950" i="2" s="1"/>
  <c r="AN950" i="2" s="1"/>
  <c r="AO950" i="2" s="1"/>
  <c r="AP950" i="2" s="1"/>
  <c r="AQ950" i="2" s="1"/>
  <c r="AR950" i="2" s="1"/>
  <c r="AS950" i="2" s="1"/>
  <c r="AT950" i="2" s="1"/>
  <c r="AF1172" i="2"/>
  <c r="AF1259" i="2"/>
  <c r="BQ1266" i="2"/>
  <c r="AZ1266" i="2"/>
  <c r="W993" i="2"/>
  <c r="AD1259" i="2"/>
  <c r="AE1159" i="2"/>
  <c r="N852" i="2"/>
  <c r="N875" i="2" s="1"/>
  <c r="N876" i="2" s="1"/>
  <c r="N729" i="2" s="1"/>
  <c r="AA977" i="2"/>
  <c r="V740" i="2"/>
  <c r="AE910" i="2"/>
  <c r="AE404" i="2"/>
  <c r="AE405" i="2" s="1"/>
  <c r="BI1266" i="2"/>
  <c r="AB1014" i="2"/>
  <c r="AD970" i="2"/>
  <c r="AF999" i="2"/>
  <c r="AF393" i="2"/>
  <c r="AE1205" i="2"/>
  <c r="T1265" i="2"/>
  <c r="BO1266" i="2"/>
  <c r="BA1266" i="2"/>
  <c r="AF1007" i="2"/>
  <c r="AF1205" i="2"/>
  <c r="S1266" i="2"/>
  <c r="T1266" i="2"/>
  <c r="X835" i="2"/>
  <c r="P856" i="2"/>
  <c r="AA1010" i="2"/>
  <c r="AF1240" i="2"/>
  <c r="CX1268" i="2" s="1"/>
  <c r="AF992" i="2"/>
  <c r="E397" i="2"/>
  <c r="Z1168" i="2"/>
  <c r="R182" i="10"/>
  <c r="R234" i="10" s="1"/>
  <c r="Z1205" i="2"/>
  <c r="V213" i="10"/>
  <c r="AC1012" i="2"/>
  <c r="U244" i="10"/>
  <c r="V244" i="10" s="1"/>
  <c r="R42" i="7"/>
  <c r="V225" i="10"/>
  <c r="V237" i="10"/>
  <c r="V233" i="10"/>
  <c r="AM1260" i="2"/>
  <c r="AJ1269" i="2"/>
  <c r="BC1259" i="2"/>
  <c r="AP1266" i="2"/>
  <c r="AA1007" i="2"/>
  <c r="W929" i="2"/>
  <c r="V238" i="10"/>
  <c r="U242" i="10"/>
  <c r="V242" i="10" s="1"/>
  <c r="R164" i="10"/>
  <c r="R224" i="10" s="1"/>
  <c r="W1259" i="2"/>
  <c r="AR1266" i="2"/>
  <c r="AN1261" i="2"/>
  <c r="Z740" i="2"/>
  <c r="Z1085" i="2" s="1"/>
  <c r="AD396" i="2"/>
  <c r="AL1261" i="2"/>
  <c r="BX1261" i="2"/>
  <c r="Z393" i="2"/>
  <c r="Z1012" i="2"/>
  <c r="V226" i="10"/>
  <c r="BY1261" i="2"/>
  <c r="I174" i="10"/>
  <c r="Z1011" i="2"/>
  <c r="BE1259" i="2"/>
  <c r="X1259" i="2"/>
  <c r="V234" i="10"/>
  <c r="AF1002" i="2"/>
  <c r="Z1014" i="2"/>
  <c r="M852" i="2"/>
  <c r="M875" i="2" s="1"/>
  <c r="M876" i="2" s="1"/>
  <c r="M729" i="2" s="1"/>
  <c r="BQ1265" i="2"/>
  <c r="V1265" i="2"/>
  <c r="CK1261" i="2"/>
  <c r="X1261" i="2"/>
  <c r="R116" i="10"/>
  <c r="R213" i="10" s="1"/>
  <c r="R1261" i="2"/>
  <c r="Z1006" i="2"/>
  <c r="T835" i="2"/>
  <c r="T848" i="2" s="1"/>
  <c r="T847" i="2" s="1"/>
  <c r="F85" i="10"/>
  <c r="L85" i="10" s="1"/>
  <c r="K85" i="10" s="1"/>
  <c r="Z1010" i="2"/>
  <c r="AE992" i="2"/>
  <c r="CJ1261" i="2"/>
  <c r="M1205" i="2"/>
  <c r="AD832" i="2"/>
  <c r="AE832" i="2" s="1"/>
  <c r="AE892" i="2" s="1"/>
  <c r="Z1003" i="2"/>
  <c r="AA1210" i="2"/>
  <c r="AB1172" i="2"/>
  <c r="AB1168" i="2"/>
  <c r="Y1012" i="2"/>
  <c r="W1013" i="2"/>
  <c r="S852" i="2"/>
  <c r="S875" i="2" s="1"/>
  <c r="S876" i="2" s="1"/>
  <c r="S729" i="2" s="1"/>
  <c r="L852" i="2"/>
  <c r="L875" i="2" s="1"/>
  <c r="L876" i="2" s="1"/>
  <c r="L729" i="2" s="1"/>
  <c r="BD1260" i="2"/>
  <c r="W1260" i="2"/>
  <c r="AM1266" i="2"/>
  <c r="W1003" i="2"/>
  <c r="AJ928" i="2"/>
  <c r="AP1265" i="2"/>
  <c r="AM1262" i="2"/>
  <c r="AE1012" i="2"/>
  <c r="W1011" i="2"/>
  <c r="R196" i="10"/>
  <c r="R244" i="10" s="1"/>
  <c r="AB1159" i="2"/>
  <c r="W1014" i="2"/>
  <c r="AV1268" i="2"/>
  <c r="AB940" i="2"/>
  <c r="AA901" i="2"/>
  <c r="AA1127" i="2" s="1"/>
  <c r="BS1266" i="2"/>
  <c r="M740" i="2"/>
  <c r="AN1266" i="2"/>
  <c r="W1012" i="2"/>
  <c r="W1269" i="2"/>
  <c r="AP1263" i="2"/>
  <c r="K32" i="11"/>
  <c r="Z32" i="11" s="1"/>
  <c r="W1006" i="2"/>
  <c r="BK1262" i="2"/>
  <c r="L856" i="2"/>
  <c r="X997" i="2"/>
  <c r="I105" i="10"/>
  <c r="AB1007" i="2"/>
  <c r="AA951" i="2"/>
  <c r="CF1265" i="2"/>
  <c r="AE496" i="2"/>
  <c r="AA496" i="2"/>
  <c r="V1011" i="2"/>
  <c r="BH1260" i="2"/>
  <c r="AD951" i="2"/>
  <c r="L739" i="2"/>
  <c r="AB1006" i="2"/>
  <c r="BW1266" i="2"/>
  <c r="BX1266" i="2"/>
  <c r="F101" i="10"/>
  <c r="L101" i="10" s="1"/>
  <c r="K101" i="10" s="1"/>
  <c r="M91" i="10"/>
  <c r="T740" i="2"/>
  <c r="AF1012" i="2"/>
  <c r="J1228" i="2"/>
  <c r="M1256" i="2" s="1"/>
  <c r="F87" i="10"/>
  <c r="L87" i="10" s="1"/>
  <c r="K87" i="10" s="1"/>
  <c r="AA396" i="2"/>
  <c r="AH940" i="2"/>
  <c r="AC1240" i="2"/>
  <c r="CL1268" i="2" s="1"/>
  <c r="M98" i="10"/>
  <c r="AF1003" i="2"/>
  <c r="AB951" i="2"/>
  <c r="AF1312" i="2"/>
  <c r="AB1240" i="2"/>
  <c r="CH1268" i="2" s="1"/>
  <c r="BC1266" i="2"/>
  <c r="X852" i="2"/>
  <c r="X875" i="2" s="1"/>
  <c r="X876" i="2" s="1"/>
  <c r="E876" i="2" s="1"/>
  <c r="BE1266" i="2"/>
  <c r="AC999" i="2"/>
  <c r="Q740" i="2"/>
  <c r="Q490" i="2"/>
  <c r="O153" i="10"/>
  <c r="Q153" i="10" s="1"/>
  <c r="Q221" i="10" s="1"/>
  <c r="U221" i="10" s="1"/>
  <c r="V221" i="10" s="1"/>
  <c r="W310" i="2"/>
  <c r="W311" i="2" s="1"/>
  <c r="AB1013" i="2"/>
  <c r="AF1263" i="2"/>
  <c r="Z396" i="2"/>
  <c r="Z910" i="2"/>
  <c r="AA1268" i="2"/>
  <c r="AA1012" i="2"/>
  <c r="AB1012" i="2"/>
  <c r="AW1262" i="2"/>
  <c r="CJ1262" i="2"/>
  <c r="BP1264" i="2"/>
  <c r="AA875" i="2"/>
  <c r="AA876" i="2" s="1"/>
  <c r="AA729" i="2" s="1"/>
  <c r="AZ1262" i="2"/>
  <c r="CO1262" i="2"/>
  <c r="AA1014" i="2"/>
  <c r="J739" i="2"/>
  <c r="X397" i="2"/>
  <c r="V1240" i="2"/>
  <c r="BJ1268" i="2" s="1"/>
  <c r="BG1268" i="2" s="1"/>
  <c r="R740" i="2"/>
  <c r="AZ1268" i="2"/>
  <c r="AA910" i="2"/>
  <c r="L154" i="10"/>
  <c r="AB1011" i="2"/>
  <c r="AE1013" i="2"/>
  <c r="AE1007" i="2"/>
  <c r="AN1262" i="2"/>
  <c r="V992" i="2"/>
  <c r="X996" i="2"/>
  <c r="X901" i="2"/>
  <c r="X1127" i="2" s="1"/>
  <c r="BH1261" i="2"/>
  <c r="CG1266" i="2"/>
  <c r="AC898" i="2"/>
  <c r="AY1261" i="2"/>
  <c r="BD1261" i="2"/>
  <c r="Z1266" i="2"/>
  <c r="AP1268" i="2"/>
  <c r="N856" i="2"/>
  <c r="V1261" i="2"/>
  <c r="AD1244" i="2"/>
  <c r="CP1272" i="2" s="1"/>
  <c r="W1168" i="2"/>
  <c r="AA1266" i="2"/>
  <c r="Q929" i="2"/>
  <c r="AA1240" i="2"/>
  <c r="CD1268" i="2" s="1"/>
  <c r="CA1268" i="2" s="1"/>
  <c r="BG1261" i="2"/>
  <c r="AZ1261" i="2"/>
  <c r="S1261" i="2"/>
  <c r="AE1263" i="2"/>
  <c r="AB996" i="2"/>
  <c r="Z996" i="2"/>
  <c r="X1006" i="2"/>
  <c r="AD1263" i="2"/>
  <c r="AC940" i="2"/>
  <c r="Z902" i="2"/>
  <c r="Z901" i="2"/>
  <c r="Z1127" i="2" s="1"/>
  <c r="BM1262" i="2"/>
  <c r="AI1263" i="2"/>
  <c r="CA1266" i="2"/>
  <c r="AP1259" i="2"/>
  <c r="AA986" i="2"/>
  <c r="AL1262" i="2"/>
  <c r="X1010" i="2"/>
  <c r="X1003" i="2"/>
  <c r="AA400" i="2"/>
  <c r="AA406" i="2" s="1"/>
  <c r="S1265" i="2"/>
  <c r="AG928" i="2"/>
  <c r="F89" i="10"/>
  <c r="L89" i="10" s="1"/>
  <c r="K89" i="10" s="1"/>
  <c r="R186" i="10"/>
  <c r="R238" i="10" s="1"/>
  <c r="AA970" i="2"/>
  <c r="X1014" i="2"/>
  <c r="X1013" i="2"/>
  <c r="Y996" i="2"/>
  <c r="W996" i="2"/>
  <c r="V999" i="2"/>
  <c r="R189" i="10"/>
  <c r="R241" i="10" s="1"/>
  <c r="AA1013" i="2"/>
  <c r="AD405" i="2"/>
  <c r="BC1268" i="2"/>
  <c r="Z1268" i="2"/>
  <c r="AZ1269" i="2"/>
  <c r="AB852" i="2"/>
  <c r="X999" i="2"/>
  <c r="BL1262" i="2"/>
  <c r="AG929" i="2"/>
  <c r="AE1006" i="2"/>
  <c r="AF1268" i="2"/>
  <c r="AD852" i="2"/>
  <c r="X910" i="2"/>
  <c r="V245" i="10"/>
  <c r="V1012" i="2"/>
  <c r="V1006" i="2"/>
  <c r="V1014" i="2"/>
  <c r="AF1171" i="2"/>
  <c r="AD929" i="2"/>
  <c r="CF1266" i="2"/>
  <c r="AQ1263" i="2"/>
  <c r="N1265" i="2"/>
  <c r="R1265" i="2"/>
  <c r="X1269" i="2"/>
  <c r="C859" i="2"/>
  <c r="C860" i="2" s="1"/>
  <c r="C861" i="2" s="1"/>
  <c r="C862" i="2" s="1"/>
  <c r="C863" i="2" s="1"/>
  <c r="C864" i="2" s="1"/>
  <c r="C865" i="2" s="1"/>
  <c r="C866" i="2" s="1"/>
  <c r="C867" i="2" s="1"/>
  <c r="C868" i="2" s="1"/>
  <c r="C869" i="2" s="1"/>
  <c r="C870" i="2" s="1"/>
  <c r="C871" i="2" s="1"/>
  <c r="W902" i="2"/>
  <c r="R455" i="2"/>
  <c r="AT1268" i="2"/>
  <c r="BG1260" i="2"/>
  <c r="AE1311" i="2"/>
  <c r="AJ982" i="2"/>
  <c r="AK982" i="2" s="1"/>
  <c r="AL982" i="2" s="1"/>
  <c r="AM982" i="2" s="1"/>
  <c r="AN982" i="2" s="1"/>
  <c r="AO982" i="2" s="1"/>
  <c r="AP982" i="2" s="1"/>
  <c r="AQ982" i="2" s="1"/>
  <c r="AR982" i="2" s="1"/>
  <c r="AS982" i="2" s="1"/>
  <c r="AT982" i="2" s="1"/>
  <c r="AE1014" i="2"/>
  <c r="AR1263" i="2"/>
  <c r="BS1261" i="2"/>
  <c r="O1265" i="2"/>
  <c r="W901" i="2"/>
  <c r="W1127" i="2" s="1"/>
  <c r="AV1262" i="2"/>
  <c r="F94" i="10"/>
  <c r="L94" i="10" s="1"/>
  <c r="K94" i="10" s="1"/>
  <c r="W1265" i="2"/>
  <c r="AD496" i="2"/>
  <c r="AC852" i="2"/>
  <c r="Z1273" i="2"/>
  <c r="AQ1262" i="2"/>
  <c r="BG1259" i="2"/>
  <c r="AA1259" i="2"/>
  <c r="BC1269" i="2"/>
  <c r="AP1262" i="2"/>
  <c r="AT1262" i="2"/>
  <c r="F104" i="10"/>
  <c r="L104" i="10" s="1"/>
  <c r="K104" i="10" s="1"/>
  <c r="BI1259" i="2"/>
  <c r="L191" i="10"/>
  <c r="BA1260" i="2"/>
  <c r="CI1262" i="2"/>
  <c r="CK1262" i="2"/>
  <c r="X1168" i="2"/>
  <c r="AC973" i="2"/>
  <c r="V1269" i="2"/>
  <c r="AY1269" i="2"/>
  <c r="J872" i="2"/>
  <c r="AB897" i="2"/>
  <c r="AB911" i="2" s="1"/>
  <c r="W899" i="2"/>
  <c r="W1126" i="2" s="1"/>
  <c r="AR1262" i="2"/>
  <c r="Z928" i="2"/>
  <c r="R125" i="10"/>
  <c r="R214" i="10" s="1"/>
  <c r="AC977" i="2"/>
  <c r="AA740" i="2"/>
  <c r="AA1085" i="2" s="1"/>
  <c r="P490" i="2"/>
  <c r="K852" i="2"/>
  <c r="K875" i="2" s="1"/>
  <c r="K876" i="2" s="1"/>
  <c r="K729" i="2" s="1"/>
  <c r="J852" i="2"/>
  <c r="J875" i="2" s="1"/>
  <c r="J876" i="2" s="1"/>
  <c r="J729" i="2" s="1"/>
  <c r="AG907" i="2"/>
  <c r="Q241" i="10"/>
  <c r="U241" i="10" s="1"/>
  <c r="V241" i="10" s="1"/>
  <c r="T1260" i="2"/>
  <c r="AF1308" i="2"/>
  <c r="AE1002" i="2"/>
  <c r="AY1262" i="2"/>
  <c r="Y1159" i="2"/>
  <c r="BO1265" i="2"/>
  <c r="AE929" i="2"/>
  <c r="R190" i="10"/>
  <c r="R242" i="10" s="1"/>
  <c r="X1240" i="2"/>
  <c r="BR1268" i="2" s="1"/>
  <c r="BO1268" i="2" s="1"/>
  <c r="AB902" i="2"/>
  <c r="AB904" i="2"/>
  <c r="BE1260" i="2"/>
  <c r="P1259" i="2"/>
  <c r="AJ1159" i="2"/>
  <c r="AK928" i="2"/>
  <c r="O1261" i="2"/>
  <c r="N739" i="2"/>
  <c r="S1268" i="2"/>
  <c r="AV1260" i="2"/>
  <c r="AE999" i="2"/>
  <c r="BP1265" i="2"/>
  <c r="AE928" i="2"/>
  <c r="AT1261" i="2"/>
  <c r="BA1262" i="2"/>
  <c r="CE1261" i="2"/>
  <c r="AA992" i="2"/>
  <c r="AB901" i="2"/>
  <c r="AB1127" i="2" s="1"/>
  <c r="AB898" i="2"/>
  <c r="AY1268" i="2"/>
  <c r="BD1268" i="2"/>
  <c r="AF1159" i="2"/>
  <c r="N1261" i="2"/>
  <c r="AC496" i="2"/>
  <c r="K1224" i="2"/>
  <c r="O490" i="2"/>
  <c r="Y852" i="2"/>
  <c r="B878" i="2"/>
  <c r="V224" i="10"/>
  <c r="L137" i="10"/>
  <c r="I132" i="10"/>
  <c r="AB496" i="2"/>
  <c r="AD1300" i="2"/>
  <c r="AD1306" i="2" s="1"/>
  <c r="BL1260" i="2"/>
  <c r="BC1260" i="2"/>
  <c r="AF1307" i="2"/>
  <c r="AA898" i="2"/>
  <c r="CM1262" i="2"/>
  <c r="AV1261" i="2"/>
  <c r="CF1261" i="2"/>
  <c r="W897" i="2"/>
  <c r="AC1007" i="2"/>
  <c r="BE1269" i="2"/>
  <c r="A629" i="2"/>
  <c r="AD910" i="2"/>
  <c r="O1268" i="2"/>
  <c r="AC393" i="2"/>
  <c r="W852" i="2"/>
  <c r="W875" i="2" s="1"/>
  <c r="W876" i="2" s="1"/>
  <c r="W729" i="2" s="1"/>
  <c r="W727" i="2" s="1"/>
  <c r="AE393" i="2"/>
  <c r="AE963" i="2"/>
  <c r="N1259" i="2"/>
  <c r="AF1006" i="2"/>
  <c r="BU1259" i="2"/>
  <c r="BK1260" i="2"/>
  <c r="AD977" i="2"/>
  <c r="Y897" i="2"/>
  <c r="Y911" i="2" s="1"/>
  <c r="P1260" i="2"/>
  <c r="R1252" i="2"/>
  <c r="R1280" i="2" s="1"/>
  <c r="AZ1260" i="2"/>
  <c r="U739" i="2"/>
  <c r="BD1269" i="2"/>
  <c r="BE1268" i="2"/>
  <c r="AC1172" i="2"/>
  <c r="AI1266" i="2"/>
  <c r="I97" i="10"/>
  <c r="M97" i="10" s="1"/>
  <c r="V847" i="2"/>
  <c r="V834" i="2" s="1"/>
  <c r="V993" i="2" s="1"/>
  <c r="V1003" i="2"/>
  <c r="U852" i="2"/>
  <c r="U875" i="2" s="1"/>
  <c r="U876" i="2" s="1"/>
  <c r="U729" i="2" s="1"/>
  <c r="AE1260" i="2"/>
  <c r="BM1260" i="2"/>
  <c r="CK1266" i="2"/>
  <c r="BG1266" i="2"/>
  <c r="AF928" i="2"/>
  <c r="CC1261" i="2"/>
  <c r="AB1268" i="2"/>
  <c r="AQ1259" i="2"/>
  <c r="BA1268" i="2"/>
  <c r="AJ1266" i="2"/>
  <c r="CI1266" i="2"/>
  <c r="F99" i="10"/>
  <c r="L99" i="10" s="1"/>
  <c r="K99" i="10" s="1"/>
  <c r="M100" i="10"/>
  <c r="Y898" i="2"/>
  <c r="V232" i="10"/>
  <c r="AE1003" i="2"/>
  <c r="Z951" i="2"/>
  <c r="AJ929" i="2"/>
  <c r="Y1168" i="2"/>
  <c r="R185" i="10"/>
  <c r="R237" i="10" s="1"/>
  <c r="P1265" i="2"/>
  <c r="AJ558" i="2"/>
  <c r="K171" i="10"/>
  <c r="P171" i="10"/>
  <c r="P1269" i="2"/>
  <c r="M237" i="10"/>
  <c r="Z963" i="2"/>
  <c r="AA904" i="2"/>
  <c r="R1205" i="2"/>
  <c r="AD1003" i="2"/>
  <c r="Z986" i="2"/>
  <c r="AW1268" i="2"/>
  <c r="X740" i="2"/>
  <c r="AB1259" i="2"/>
  <c r="AB404" i="2"/>
  <c r="R1268" i="2"/>
  <c r="AB1003" i="2"/>
  <c r="AD1260" i="2"/>
  <c r="AH1260" i="2"/>
  <c r="F103" i="10"/>
  <c r="L103" i="10" s="1"/>
  <c r="K103" i="10" s="1"/>
  <c r="K490" i="2"/>
  <c r="N490" i="2"/>
  <c r="L490" i="2"/>
  <c r="S856" i="2"/>
  <c r="U872" i="2"/>
  <c r="M872" i="2"/>
  <c r="Q872" i="2"/>
  <c r="V1268" i="2"/>
  <c r="AJ1263" i="2"/>
  <c r="AJ1260" i="2"/>
  <c r="Y970" i="2"/>
  <c r="Y1014" i="2"/>
  <c r="S490" i="2"/>
  <c r="AN1268" i="2"/>
  <c r="R852" i="2"/>
  <c r="R875" i="2" s="1"/>
  <c r="R876" i="2" s="1"/>
  <c r="R729" i="2" s="1"/>
  <c r="O856" i="2"/>
  <c r="I137" i="10"/>
  <c r="Y973" i="2"/>
  <c r="M92" i="10"/>
  <c r="CN1262" i="2"/>
  <c r="AF1260" i="2"/>
  <c r="I102" i="10"/>
  <c r="Z1007" i="2"/>
  <c r="B864" i="2"/>
  <c r="N872" i="2"/>
  <c r="Z929" i="2"/>
  <c r="CO1261" i="2"/>
  <c r="AB986" i="2"/>
  <c r="AB963" i="2"/>
  <c r="AI1259" i="2"/>
  <c r="AJ1259" i="2"/>
  <c r="AH1259" i="2"/>
  <c r="AV1259" i="2"/>
  <c r="AT1259" i="2"/>
  <c r="AW1259" i="2"/>
  <c r="Y1002" i="2"/>
  <c r="BS1259" i="2"/>
  <c r="X929" i="2"/>
  <c r="CM1261" i="2"/>
  <c r="AD940" i="2"/>
  <c r="AC1168" i="2"/>
  <c r="AR1268" i="2"/>
  <c r="Z400" i="2"/>
  <c r="Z406" i="2" s="1"/>
  <c r="S1269" i="2"/>
  <c r="AC901" i="2"/>
  <c r="AC1127" i="2" s="1"/>
  <c r="AR1260" i="2"/>
  <c r="AH1269" i="2"/>
  <c r="AF1269" i="2"/>
  <c r="AA940" i="2"/>
  <c r="AC1308" i="2"/>
  <c r="AD1007" i="2"/>
  <c r="R929" i="2"/>
  <c r="V875" i="2"/>
  <c r="V876" i="2" s="1"/>
  <c r="V414" i="2" s="1"/>
  <c r="AF1013" i="2"/>
  <c r="AF963" i="2"/>
  <c r="AA897" i="2"/>
  <c r="AA911" i="2" s="1"/>
  <c r="AL1268" i="2"/>
  <c r="Y1011" i="2"/>
  <c r="AT1260" i="2"/>
  <c r="BT1266" i="2"/>
  <c r="Z1013" i="2"/>
  <c r="AD1006" i="2"/>
  <c r="P852" i="2"/>
  <c r="P875" i="2" s="1"/>
  <c r="P876" i="2" s="1"/>
  <c r="P729" i="2" s="1"/>
  <c r="AC396" i="2"/>
  <c r="J1226" i="2"/>
  <c r="M1254" i="2" s="1"/>
  <c r="M1087" i="2" s="1"/>
  <c r="Y400" i="2"/>
  <c r="Y406" i="2" s="1"/>
  <c r="AD393" i="2"/>
  <c r="Y1007" i="2"/>
  <c r="F96" i="10"/>
  <c r="L96" i="10" s="1"/>
  <c r="K96" i="10" s="1"/>
  <c r="AW1260" i="2"/>
  <c r="M86" i="10"/>
  <c r="W904" i="2"/>
  <c r="P872" i="2"/>
  <c r="Z852" i="2"/>
  <c r="Y1010" i="2"/>
  <c r="S872" i="2"/>
  <c r="T872" i="2"/>
  <c r="L872" i="2"/>
  <c r="AB393" i="2"/>
  <c r="AL1263" i="2"/>
  <c r="BM1261" i="2"/>
  <c r="AB999" i="2"/>
  <c r="T1259" i="2"/>
  <c r="AE1172" i="2"/>
  <c r="Y929" i="2"/>
  <c r="AA1261" i="2"/>
  <c r="BL1261" i="2"/>
  <c r="N1268" i="2"/>
  <c r="AQ1268" i="2"/>
  <c r="AC904" i="2"/>
  <c r="AE1266" i="2"/>
  <c r="R1259" i="2"/>
  <c r="Y1013" i="2"/>
  <c r="O1269" i="2"/>
  <c r="Y1003" i="2"/>
  <c r="X407" i="2"/>
  <c r="AF929" i="2"/>
  <c r="AM1268" i="2"/>
  <c r="AA422" i="2"/>
  <c r="AA1158" i="2" s="1"/>
  <c r="O1260" i="2"/>
  <c r="AF1266" i="2"/>
  <c r="AQ1260" i="2"/>
  <c r="AI1269" i="2"/>
  <c r="AG1159" i="2"/>
  <c r="AD1014" i="2"/>
  <c r="X897" i="2"/>
  <c r="AA1003" i="2"/>
  <c r="BI1260" i="2"/>
  <c r="AE396" i="2"/>
  <c r="Z1261" i="2"/>
  <c r="AE940" i="2"/>
  <c r="R166" i="10"/>
  <c r="R226" i="10" s="1"/>
  <c r="AC902" i="2"/>
  <c r="AD1012" i="2"/>
  <c r="Z1260" i="2"/>
  <c r="X422" i="2"/>
  <c r="X1158" i="2" s="1"/>
  <c r="Y992" i="2"/>
  <c r="W739" i="2"/>
  <c r="W740" i="2"/>
  <c r="N1205" i="2"/>
  <c r="AB973" i="2"/>
  <c r="AB970" i="2"/>
  <c r="AA996" i="2"/>
  <c r="V996" i="2"/>
  <c r="Q240" i="10"/>
  <c r="U240" i="10" s="1"/>
  <c r="V240" i="10" s="1"/>
  <c r="R188" i="10"/>
  <c r="R240" i="10" s="1"/>
  <c r="AA999" i="2"/>
  <c r="P740" i="2"/>
  <c r="AA393" i="2"/>
  <c r="R872" i="2"/>
  <c r="Z997" i="2"/>
  <c r="X1007" i="2"/>
  <c r="Z992" i="2"/>
  <c r="Z999" i="2"/>
  <c r="X1268" i="2"/>
  <c r="W1268" i="2"/>
  <c r="V901" i="2"/>
  <c r="V1127" i="2" s="1"/>
  <c r="V902" i="2"/>
  <c r="O872" i="2"/>
  <c r="AA997" i="2"/>
  <c r="AB997" i="2"/>
  <c r="L170" i="10"/>
  <c r="X1159" i="2"/>
  <c r="Y902" i="2"/>
  <c r="V904" i="2"/>
  <c r="Y910" i="2"/>
  <c r="V1002" i="2"/>
  <c r="V1013" i="2"/>
  <c r="Y404" i="2"/>
  <c r="Z970" i="2"/>
  <c r="Z973" i="2"/>
  <c r="P1268" i="2"/>
  <c r="T1268" i="2"/>
  <c r="W1266" i="2"/>
  <c r="V1266" i="2"/>
  <c r="BA1269" i="2"/>
  <c r="M223" i="5"/>
  <c r="N223" i="5" s="1"/>
  <c r="AF1300" i="2"/>
  <c r="AF1306" i="2" s="1"/>
  <c r="AB1273" i="2"/>
  <c r="O1205" i="2"/>
  <c r="AI422" i="2"/>
  <c r="AI1158" i="2" s="1"/>
  <c r="AF397" i="2"/>
  <c r="AF940" i="2"/>
  <c r="AI1260" i="2"/>
  <c r="AN1260" i="2"/>
  <c r="Y999" i="2"/>
  <c r="W737" i="2"/>
  <c r="Y951" i="2"/>
  <c r="I157" i="10"/>
  <c r="V997" i="2"/>
  <c r="V1007" i="2"/>
  <c r="U490" i="2"/>
  <c r="M490" i="2"/>
  <c r="V892" i="2"/>
  <c r="W832" i="2"/>
  <c r="U856" i="2"/>
  <c r="O852" i="2"/>
  <c r="O875" i="2" s="1"/>
  <c r="O876" i="2" s="1"/>
  <c r="O729" i="2" s="1"/>
  <c r="L1224" i="2"/>
  <c r="M1195" i="2"/>
  <c r="M222" i="5"/>
  <c r="N222" i="5" s="1"/>
  <c r="AB396" i="2"/>
  <c r="BW1268" i="2"/>
  <c r="V1010" i="2"/>
  <c r="Z898" i="2"/>
  <c r="Z897" i="2"/>
  <c r="Z911" i="2" s="1"/>
  <c r="AG940" i="2"/>
  <c r="U735" i="2"/>
  <c r="M230" i="5"/>
  <c r="N230" i="5" s="1"/>
  <c r="BP1259" i="2"/>
  <c r="BQ1259" i="2"/>
  <c r="X1011" i="2"/>
  <c r="AC368" i="2"/>
  <c r="O152" i="10"/>
  <c r="AN1263" i="2"/>
  <c r="AB368" i="2"/>
  <c r="I154" i="10"/>
  <c r="AA928" i="2"/>
  <c r="AC910" i="2"/>
  <c r="N1260" i="2"/>
  <c r="AV1269" i="2"/>
  <c r="AE852" i="2"/>
  <c r="M225" i="5"/>
  <c r="N225" i="5" s="1"/>
  <c r="Q1205" i="2"/>
  <c r="AA1011" i="2"/>
  <c r="M84" i="10"/>
  <c r="AB1010" i="2"/>
  <c r="AC963" i="2"/>
  <c r="Z310" i="2"/>
  <c r="Z311" i="2" s="1"/>
  <c r="X1265" i="2"/>
  <c r="V214" i="10"/>
  <c r="L145" i="10"/>
  <c r="AB910" i="2"/>
  <c r="AE1300" i="2"/>
  <c r="AE1306" i="2" s="1"/>
  <c r="M229" i="5"/>
  <c r="N229" i="5" s="1"/>
  <c r="T852" i="2"/>
  <c r="T875" i="2" s="1"/>
  <c r="T876" i="2" s="1"/>
  <c r="T729" i="2" s="1"/>
  <c r="M856" i="2"/>
  <c r="AC1014" i="2"/>
  <c r="AB1260" i="2"/>
  <c r="AR1265" i="2"/>
  <c r="BK1259" i="2"/>
  <c r="BL1259" i="2"/>
  <c r="BM1259" i="2"/>
  <c r="AT1266" i="2"/>
  <c r="AW1266" i="2"/>
  <c r="AF396" i="2"/>
  <c r="AZ1259" i="2"/>
  <c r="AY1259" i="2"/>
  <c r="AD1168" i="2"/>
  <c r="AL1269" i="2"/>
  <c r="AP1269" i="2"/>
  <c r="AR1269" i="2"/>
  <c r="AN1269" i="2"/>
  <c r="AM1269" i="2"/>
  <c r="AQ1269" i="2"/>
  <c r="R1269" i="2"/>
  <c r="T1269" i="2"/>
  <c r="N1269" i="2"/>
  <c r="AE1269" i="2"/>
  <c r="AB1269" i="2"/>
  <c r="AD1269" i="2"/>
  <c r="Z1269" i="2"/>
  <c r="AA1269" i="2"/>
  <c r="Y325" i="2"/>
  <c r="AN1259" i="2"/>
  <c r="AL1259" i="2"/>
  <c r="I145" i="10"/>
  <c r="O1266" i="2"/>
  <c r="Q852" i="2"/>
  <c r="Q875" i="2" s="1"/>
  <c r="Q876" i="2" s="1"/>
  <c r="Q729" i="2" s="1"/>
  <c r="X902" i="2"/>
  <c r="X904" i="2"/>
  <c r="Z904" i="2"/>
  <c r="AP1260" i="2"/>
  <c r="I93" i="10"/>
  <c r="M93" i="10" s="1"/>
  <c r="W1007" i="2"/>
  <c r="AD999" i="2"/>
  <c r="S1260" i="2"/>
  <c r="AA368" i="2"/>
  <c r="W999" i="2"/>
  <c r="AA1260" i="2"/>
  <c r="AD1013" i="2"/>
  <c r="F156" i="10"/>
  <c r="X992" i="2"/>
  <c r="R856" i="2"/>
  <c r="O156" i="10"/>
  <c r="F152" i="10"/>
  <c r="AC1003" i="2"/>
  <c r="AY1260" i="2"/>
  <c r="Y901" i="2"/>
  <c r="Y1127" i="2" s="1"/>
  <c r="CF1264" i="2"/>
  <c r="AA1265" i="2"/>
  <c r="AC1013" i="2"/>
  <c r="AD928" i="2"/>
  <c r="AD963" i="2"/>
  <c r="AK929" i="2"/>
  <c r="AQ1265" i="2"/>
  <c r="T455" i="2"/>
  <c r="S740" i="2"/>
  <c r="I191" i="10"/>
  <c r="O155" i="10"/>
  <c r="Q184" i="10"/>
  <c r="Q236" i="10" s="1"/>
  <c r="U236" i="10" s="1"/>
  <c r="V236" i="10" s="1"/>
  <c r="AC929" i="2"/>
  <c r="AE951" i="2"/>
  <c r="R1260" i="2"/>
  <c r="AA1168" i="2"/>
  <c r="X1260" i="2"/>
  <c r="W879" i="2"/>
  <c r="AC1006" i="2"/>
  <c r="AD1240" i="2"/>
  <c r="CP1268" i="2" s="1"/>
  <c r="AH1159" i="2"/>
  <c r="AC1002" i="2"/>
  <c r="V1260" i="2"/>
  <c r="I83" i="10"/>
  <c r="AJ564" i="2"/>
  <c r="AF852" i="2"/>
  <c r="K740" i="2"/>
  <c r="X898" i="2"/>
  <c r="AC928" i="2"/>
  <c r="AC957" i="2" s="1"/>
  <c r="AH1263" i="2"/>
  <c r="Z1159" i="2"/>
  <c r="BO1259" i="2"/>
  <c r="AW1269" i="2"/>
  <c r="Q455" i="2"/>
  <c r="W992" i="2"/>
  <c r="AM1263" i="2"/>
  <c r="R130" i="10"/>
  <c r="R215" i="10" s="1"/>
  <c r="Y904" i="2"/>
  <c r="L174" i="10"/>
  <c r="L157" i="10"/>
  <c r="BQ1264" i="2"/>
  <c r="S455" i="2"/>
  <c r="I170" i="10"/>
  <c r="U455" i="2"/>
  <c r="AC951" i="2"/>
  <c r="AT1269" i="2"/>
  <c r="N1266" i="2"/>
  <c r="U848" i="2"/>
  <c r="U847" i="2" s="1"/>
  <c r="Y1006" i="2"/>
  <c r="T856" i="2"/>
  <c r="BU1272" i="2"/>
  <c r="BT1273" i="2"/>
  <c r="AD1273" i="2"/>
  <c r="K10" i="11"/>
  <c r="J10" i="11"/>
  <c r="H218" i="5"/>
  <c r="H217" i="5"/>
  <c r="J225" i="5"/>
  <c r="H224" i="5"/>
  <c r="U152" i="5"/>
  <c r="AJ565" i="2" s="1"/>
  <c r="AJ610" i="2" s="1"/>
  <c r="U149" i="5"/>
  <c r="AJ562" i="2" s="1"/>
  <c r="AJ607" i="2" s="1"/>
  <c r="U153" i="5"/>
  <c r="AJ566" i="2" s="1"/>
  <c r="F224" i="5"/>
  <c r="Q228" i="10"/>
  <c r="U228" i="10" s="1"/>
  <c r="V228" i="10" s="1"/>
  <c r="R168" i="10"/>
  <c r="R228" i="10" s="1"/>
  <c r="BX1268" i="2"/>
  <c r="BY1268" i="2"/>
  <c r="AF1168" i="2"/>
  <c r="AJ1268" i="2"/>
  <c r="AI1268" i="2"/>
  <c r="AH1268" i="2"/>
  <c r="AE1268" i="2"/>
  <c r="AD1268" i="2"/>
  <c r="K84" i="10"/>
  <c r="W1172" i="2"/>
  <c r="F95" i="10"/>
  <c r="L95" i="10" s="1"/>
  <c r="M95" i="10"/>
  <c r="AL1260" i="2"/>
  <c r="AD1209" i="2"/>
  <c r="AE916" i="2"/>
  <c r="AA1002" i="2"/>
  <c r="AA1006" i="2"/>
  <c r="Y735" i="2"/>
  <c r="Y736" i="2" s="1"/>
  <c r="K856" i="2"/>
  <c r="AA1205" i="2"/>
  <c r="O740" i="2"/>
  <c r="O739" i="2"/>
  <c r="I88" i="10"/>
  <c r="M90" i="10"/>
  <c r="F90" i="10"/>
  <c r="L90" i="10" s="1"/>
  <c r="K90" i="10" s="1"/>
  <c r="AE1245" i="2"/>
  <c r="CT1273" i="2" s="1"/>
  <c r="AE1244" i="2"/>
  <c r="CT1272" i="2" s="1"/>
  <c r="AF973" i="2"/>
  <c r="AF977" i="2"/>
  <c r="AF970" i="2"/>
  <c r="BO1263" i="2"/>
  <c r="AF951" i="2"/>
  <c r="R187" i="10"/>
  <c r="R239" i="10" s="1"/>
  <c r="R197" i="10"/>
  <c r="R245" i="10" s="1"/>
  <c r="O1262" i="2"/>
  <c r="BC1262" i="2"/>
  <c r="AI1264" i="2"/>
  <c r="S1205" i="2"/>
  <c r="V215" i="10"/>
  <c r="V227" i="10"/>
  <c r="V239" i="10"/>
  <c r="AJ1262" i="2"/>
  <c r="CB1262" i="2"/>
  <c r="AC1300" i="2"/>
  <c r="AC1306" i="2" s="1"/>
  <c r="T929" i="2"/>
  <c r="AP1264" i="2"/>
  <c r="T490" i="2"/>
  <c r="J856" i="2"/>
  <c r="Q856" i="2"/>
  <c r="V929" i="2"/>
  <c r="AT1263" i="2"/>
  <c r="AW1263" i="2"/>
  <c r="AV1263" i="2"/>
  <c r="CV1264" i="2"/>
  <c r="CU1264" i="2"/>
  <c r="CS1264" i="2"/>
  <c r="CQ1264" i="2"/>
  <c r="CW1264" i="2"/>
  <c r="CR1264" i="2"/>
  <c r="CC1266" i="2"/>
  <c r="BO1264" i="2"/>
  <c r="R1262" i="2"/>
  <c r="AA404" i="2"/>
  <c r="AR1264" i="2"/>
  <c r="BD1262" i="2"/>
  <c r="BG1262" i="2"/>
  <c r="S1262" i="2"/>
  <c r="T1262" i="2"/>
  <c r="AA929" i="2"/>
  <c r="BH1262" i="2"/>
  <c r="P1262" i="2"/>
  <c r="AB1265" i="2"/>
  <c r="Y310" i="2"/>
  <c r="Y311" i="2" s="1"/>
  <c r="AD1159" i="2"/>
  <c r="BI1262" i="2"/>
  <c r="CK1265" i="2"/>
  <c r="AT1273" i="2"/>
  <c r="N1262" i="2"/>
  <c r="Z1265" i="2"/>
  <c r="AQ1264" i="2"/>
  <c r="O1264" i="2"/>
  <c r="BE1262" i="2"/>
  <c r="BG1273" i="2"/>
  <c r="AA310" i="2"/>
  <c r="AA311" i="2" s="1"/>
  <c r="X310" i="2"/>
  <c r="X311" i="2" s="1"/>
  <c r="AA1273" i="2"/>
  <c r="BT1272" i="2"/>
  <c r="AF1273" i="2"/>
  <c r="BX1273" i="2"/>
  <c r="Z1249" i="2"/>
  <c r="BS1273" i="2"/>
  <c r="BU1260" i="2"/>
  <c r="AB928" i="2"/>
  <c r="AA403" i="2"/>
  <c r="AB929" i="2"/>
  <c r="U929" i="2"/>
  <c r="AK940" i="2"/>
  <c r="BP1273" i="2"/>
  <c r="BO1273" i="2"/>
  <c r="BL1273" i="2"/>
  <c r="AW1264" i="2"/>
  <c r="AV1264" i="2"/>
  <c r="AT1264" i="2"/>
  <c r="BT1264" i="2"/>
  <c r="BU1264" i="2"/>
  <c r="BS1264" i="2"/>
  <c r="CR1265" i="2"/>
  <c r="CW1265" i="2"/>
  <c r="CS1265" i="2"/>
  <c r="R490" i="2"/>
  <c r="CW1263" i="2"/>
  <c r="CI1265" i="2"/>
  <c r="BP1269" i="2"/>
  <c r="BQ1269" i="2"/>
  <c r="BY1273" i="2"/>
  <c r="BU1273" i="2"/>
  <c r="BK1273" i="2"/>
  <c r="BQ1260" i="2"/>
  <c r="BS1260" i="2"/>
  <c r="BM1273" i="2"/>
  <c r="Y1249" i="2"/>
  <c r="BQ1273" i="2"/>
  <c r="BI1273" i="2"/>
  <c r="S1273" i="2"/>
  <c r="BW1273" i="2"/>
  <c r="BS1272" i="2"/>
  <c r="BP1260" i="2"/>
  <c r="BT1260" i="2"/>
  <c r="BO1260" i="2"/>
  <c r="CI1272" i="2"/>
  <c r="BH1273" i="2"/>
  <c r="BO1261" i="2"/>
  <c r="BQ1261" i="2"/>
  <c r="BP1261" i="2"/>
  <c r="AP1261" i="2"/>
  <c r="AQ1261" i="2"/>
  <c r="AR1261" i="2"/>
  <c r="AF1261" i="2"/>
  <c r="AE1261" i="2"/>
  <c r="AD1261" i="2"/>
  <c r="AH1261" i="2"/>
  <c r="AJ1261" i="2"/>
  <c r="AI1261" i="2"/>
  <c r="BT1261" i="2"/>
  <c r="BC1261" i="2"/>
  <c r="CB1261" i="2"/>
  <c r="L105" i="10"/>
  <c r="F204" i="5"/>
  <c r="R181" i="10"/>
  <c r="R233" i="10" s="1"/>
  <c r="L132" i="10"/>
  <c r="R165" i="10"/>
  <c r="R225" i="10" s="1"/>
  <c r="M239" i="10"/>
  <c r="R167" i="10"/>
  <c r="R227" i="10" s="1"/>
  <c r="M223" i="10"/>
  <c r="R180" i="10"/>
  <c r="M245" i="10"/>
  <c r="AF405" i="2"/>
  <c r="S929" i="2"/>
  <c r="AL929" i="2"/>
  <c r="AL928" i="2"/>
  <c r="AM1265" i="2"/>
  <c r="AN1265" i="2"/>
  <c r="AL1265" i="2"/>
  <c r="BX1262" i="2"/>
  <c r="BY1262" i="2"/>
  <c r="BW1262" i="2"/>
  <c r="BS1262" i="2"/>
  <c r="V1263" i="2"/>
  <c r="W1263" i="2"/>
  <c r="X1263" i="2"/>
  <c r="BW1265" i="2"/>
  <c r="BX1265" i="2"/>
  <c r="BU1265" i="2"/>
  <c r="BT1265" i="2"/>
  <c r="BY1265" i="2"/>
  <c r="BS1265" i="2"/>
  <c r="W1273" i="2"/>
  <c r="X1273" i="2"/>
  <c r="T1273" i="2"/>
  <c r="V1273" i="2"/>
  <c r="X1262" i="2"/>
  <c r="V1262" i="2"/>
  <c r="AB1262" i="2"/>
  <c r="AA1262" i="2"/>
  <c r="W1262" i="2"/>
  <c r="Z1262" i="2"/>
  <c r="AB1263" i="2"/>
  <c r="Z1263" i="2"/>
  <c r="AA1263" i="2"/>
  <c r="BC1264" i="2"/>
  <c r="AY1264" i="2"/>
  <c r="BA1264" i="2"/>
  <c r="BD1264" i="2"/>
  <c r="BE1264" i="2"/>
  <c r="AZ1264" i="2"/>
  <c r="CN1264" i="2"/>
  <c r="CO1264" i="2"/>
  <c r="CM1264" i="2"/>
  <c r="N1263" i="2"/>
  <c r="CF1262" i="2"/>
  <c r="CG1262" i="2"/>
  <c r="CE1262" i="2"/>
  <c r="CR1266" i="2"/>
  <c r="CS1266" i="2"/>
  <c r="CQ1266" i="2"/>
  <c r="BM1265" i="2"/>
  <c r="BK1265" i="2"/>
  <c r="BL1265" i="2"/>
  <c r="BH1265" i="2"/>
  <c r="BG1265" i="2"/>
  <c r="BI1265" i="2"/>
  <c r="AF1262" i="2"/>
  <c r="AD1262" i="2"/>
  <c r="AE1262" i="2"/>
  <c r="BW1263" i="2"/>
  <c r="BY1263" i="2"/>
  <c r="BX1263" i="2"/>
  <c r="R1264" i="2"/>
  <c r="S1264" i="2"/>
  <c r="V1264" i="2"/>
  <c r="X1264" i="2"/>
  <c r="T1264" i="2"/>
  <c r="W1264" i="2"/>
  <c r="AV1265" i="2"/>
  <c r="AW1265" i="2"/>
  <c r="AZ1265" i="2"/>
  <c r="AY1265" i="2"/>
  <c r="AT1265" i="2"/>
  <c r="BA1265" i="2"/>
  <c r="T1263" i="2"/>
  <c r="R1263" i="2"/>
  <c r="S1263" i="2"/>
  <c r="BA1263" i="2"/>
  <c r="AZ1263" i="2"/>
  <c r="BE1263" i="2"/>
  <c r="BD1263" i="2"/>
  <c r="BC1263" i="2"/>
  <c r="AY1263" i="2"/>
  <c r="CB1265" i="2"/>
  <c r="CC1265" i="2"/>
  <c r="CA1265" i="2"/>
  <c r="CW1266" i="2"/>
  <c r="CU1266" i="2"/>
  <c r="CV1266" i="2"/>
  <c r="CA1263" i="2"/>
  <c r="CB1263" i="2"/>
  <c r="CC1263" i="2"/>
  <c r="BC1265" i="2"/>
  <c r="BE1265" i="2"/>
  <c r="BD1265" i="2"/>
  <c r="CJ1273" i="2"/>
  <c r="CK1273" i="2"/>
  <c r="CI1273" i="2"/>
  <c r="CJ1263" i="2"/>
  <c r="CI1263" i="2"/>
  <c r="CK1263" i="2"/>
  <c r="CG1263" i="2"/>
  <c r="CE1263" i="2"/>
  <c r="CF1263" i="2"/>
  <c r="AN1264" i="2"/>
  <c r="AL1264" i="2"/>
  <c r="AM1264" i="2"/>
  <c r="BU1262" i="2"/>
  <c r="CW1262" i="2"/>
  <c r="CV1262" i="2"/>
  <c r="CR1262" i="2"/>
  <c r="CS1262" i="2"/>
  <c r="CQ1262" i="2"/>
  <c r="CU1262" i="2"/>
  <c r="BI1263" i="2"/>
  <c r="BM1263" i="2"/>
  <c r="BL1263" i="2"/>
  <c r="BH1263" i="2"/>
  <c r="BG1263" i="2"/>
  <c r="BK1263" i="2"/>
  <c r="CM1263" i="2"/>
  <c r="CN1263" i="2"/>
  <c r="CO1263" i="2"/>
  <c r="BW1264" i="2"/>
  <c r="CA1264" i="2"/>
  <c r="CC1264" i="2"/>
  <c r="CB1264" i="2"/>
  <c r="BX1264" i="2"/>
  <c r="BY1264" i="2"/>
  <c r="AE1265" i="2"/>
  <c r="AH1265" i="2"/>
  <c r="AJ1265" i="2"/>
  <c r="AI1265" i="2"/>
  <c r="AF1265" i="2"/>
  <c r="AD1265" i="2"/>
  <c r="AE1264" i="2"/>
  <c r="AA1264" i="2"/>
  <c r="Z1264" i="2"/>
  <c r="AB1264" i="2"/>
  <c r="AD1264" i="2"/>
  <c r="AF1264" i="2"/>
  <c r="BL1264" i="2"/>
  <c r="BM1264" i="2"/>
  <c r="BH1264" i="2"/>
  <c r="BI1264" i="2"/>
  <c r="BG1264" i="2"/>
  <c r="BK1264" i="2"/>
  <c r="CA1262" i="2"/>
  <c r="CK1264" i="2"/>
  <c r="BM1266" i="2"/>
  <c r="AI1262" i="2"/>
  <c r="AW1273" i="2"/>
  <c r="BU1263" i="2"/>
  <c r="BQ1263" i="2"/>
  <c r="CC1262" i="2"/>
  <c r="CQ1265" i="2"/>
  <c r="CM1265" i="2"/>
  <c r="CG1265" i="2"/>
  <c r="AH1264" i="2"/>
  <c r="AC1159" i="2"/>
  <c r="CN1266" i="2"/>
  <c r="AV1273" i="2"/>
  <c r="BQ1262" i="2"/>
  <c r="BP1263" i="2"/>
  <c r="O1263" i="2"/>
  <c r="AJ1264" i="2"/>
  <c r="V422" i="2"/>
  <c r="V1158" i="2" s="1"/>
  <c r="AC404" i="2"/>
  <c r="AC405" i="2" s="1"/>
  <c r="CQ1263" i="2"/>
  <c r="CG1264" i="2"/>
  <c r="CI1264" i="2"/>
  <c r="CV1265" i="2"/>
  <c r="AK422" i="2"/>
  <c r="AK1158" i="2" s="1"/>
  <c r="R1273" i="2"/>
  <c r="CJ1264" i="2"/>
  <c r="P1263" i="2"/>
  <c r="N1264" i="2"/>
  <c r="BO1262" i="2"/>
  <c r="CM1266" i="2"/>
  <c r="CS1263" i="2"/>
  <c r="CE1264" i="2"/>
  <c r="CN1265" i="2"/>
  <c r="CU1265" i="2"/>
  <c r="P1264" i="2"/>
  <c r="BT1262" i="2"/>
  <c r="BT1263" i="2"/>
  <c r="CR1263" i="2"/>
  <c r="BP1262" i="2"/>
  <c r="V897" i="2"/>
  <c r="BS1263" i="2"/>
  <c r="CO1265" i="2"/>
  <c r="CJ1265" i="2"/>
  <c r="CU1263" i="2"/>
  <c r="V900" i="2"/>
  <c r="BL1266" i="2"/>
  <c r="AH1262" i="2"/>
  <c r="CE1265" i="2"/>
  <c r="CV1263" i="2"/>
  <c r="V898" i="2"/>
  <c r="BS1269" i="2"/>
  <c r="BT1269" i="2"/>
  <c r="BU1269" i="2"/>
  <c r="AN1273" i="2"/>
  <c r="AL1273" i="2"/>
  <c r="AM1273" i="2"/>
  <c r="BW1272" i="2"/>
  <c r="BY1272" i="2"/>
  <c r="CA1272" i="2"/>
  <c r="CC1272" i="2"/>
  <c r="CB1272" i="2"/>
  <c r="BX1272" i="2"/>
  <c r="P1273" i="2"/>
  <c r="N1273" i="2"/>
  <c r="O1273" i="2"/>
  <c r="AQ1273" i="2"/>
  <c r="AR1273" i="2"/>
  <c r="AP1273" i="2"/>
  <c r="CA1273" i="2"/>
  <c r="CF1273" i="2"/>
  <c r="CB1273" i="2"/>
  <c r="CG1273" i="2"/>
  <c r="CC1273" i="2"/>
  <c r="BG1269" i="2"/>
  <c r="BH1269" i="2"/>
  <c r="BL1269" i="2"/>
  <c r="BK1269" i="2"/>
  <c r="BI1269" i="2"/>
  <c r="BM1269" i="2"/>
  <c r="BA1273" i="2"/>
  <c r="BE1273" i="2"/>
  <c r="AY1273" i="2"/>
  <c r="AZ1273" i="2"/>
  <c r="BD1273" i="2"/>
  <c r="BC1273" i="2"/>
  <c r="CF1272" i="2"/>
  <c r="BO1269" i="2"/>
  <c r="CE1273" i="2"/>
  <c r="AJ1273" i="2"/>
  <c r="AI1273" i="2"/>
  <c r="CK1272" i="2"/>
  <c r="CJ1272" i="2"/>
  <c r="CE1272" i="2"/>
  <c r="AE1273" i="2"/>
  <c r="CG1272" i="2"/>
  <c r="AH1273" i="2"/>
  <c r="AE1168" i="2"/>
  <c r="Y739" i="2"/>
  <c r="Y740" i="2"/>
  <c r="W898" i="2"/>
  <c r="V1205" i="2"/>
  <c r="W1159" i="2"/>
  <c r="X894" i="2"/>
  <c r="X1122" i="2" s="1"/>
  <c r="CQ1261" i="2"/>
  <c r="CR1261" i="2"/>
  <c r="CS1261" i="2"/>
  <c r="CU1261" i="2"/>
  <c r="CW1261" i="2"/>
  <c r="AE973" i="2"/>
  <c r="AE970" i="2"/>
  <c r="K1058" i="2" l="1"/>
  <c r="Y1118" i="2"/>
  <c r="Y733" i="2"/>
  <c r="AJ611" i="2"/>
  <c r="AJ603" i="2"/>
  <c r="AJ609" i="2"/>
  <c r="R1058" i="2"/>
  <c r="Q1058" i="2"/>
  <c r="P1058" i="2"/>
  <c r="O1058" i="2"/>
  <c r="AQ1272" i="2"/>
  <c r="W1075" i="2"/>
  <c r="AR1272" i="2"/>
  <c r="AK565" i="2"/>
  <c r="AO456" i="2"/>
  <c r="AO455" i="2" s="1"/>
  <c r="J1058" i="2"/>
  <c r="AI935" i="2"/>
  <c r="AT935" i="2"/>
  <c r="AA1058" i="2"/>
  <c r="BK1272" i="2"/>
  <c r="BO1272" i="2"/>
  <c r="AZ1272" i="2"/>
  <c r="AM1272" i="2"/>
  <c r="AI1272" i="2"/>
  <c r="BH1272" i="2"/>
  <c r="Z1058" i="2"/>
  <c r="AN1272" i="2"/>
  <c r="AM1034" i="2"/>
  <c r="P1272" i="2"/>
  <c r="AD1170" i="2"/>
  <c r="M1058" i="2"/>
  <c r="AE1058" i="2"/>
  <c r="W1272" i="2"/>
  <c r="V1249" i="2"/>
  <c r="X1272" i="2"/>
  <c r="AB1272" i="2"/>
  <c r="BM1272" i="2"/>
  <c r="X1170" i="2"/>
  <c r="T1073" i="2"/>
  <c r="S1272" i="2"/>
  <c r="AC1170" i="2"/>
  <c r="Z1272" i="2"/>
  <c r="S1141" i="2"/>
  <c r="BD1272" i="2"/>
  <c r="BP1272" i="2"/>
  <c r="O1272" i="2"/>
  <c r="N1272" i="2"/>
  <c r="Y1170" i="2"/>
  <c r="U1141" i="2"/>
  <c r="AB1075" i="2"/>
  <c r="D23" i="11" s="1"/>
  <c r="AY1272" i="2"/>
  <c r="BG1272" i="2"/>
  <c r="Z1075" i="2"/>
  <c r="B23" i="11" s="1"/>
  <c r="AL1272" i="2"/>
  <c r="BI1272" i="2"/>
  <c r="AH1272" i="2"/>
  <c r="AP1272" i="2"/>
  <c r="AJ557" i="2"/>
  <c r="M154" i="5"/>
  <c r="T154" i="5" s="1"/>
  <c r="U154" i="5" s="1"/>
  <c r="AJ567" i="2" s="1"/>
  <c r="AJ429" i="2"/>
  <c r="BL1272" i="2"/>
  <c r="AW1272" i="2"/>
  <c r="T1272" i="2"/>
  <c r="AF1272" i="2"/>
  <c r="AE1272" i="2"/>
  <c r="AA1272" i="2"/>
  <c r="V1272" i="2"/>
  <c r="BC1272" i="2"/>
  <c r="BE1272" i="2"/>
  <c r="R1272" i="2"/>
  <c r="AT1272" i="2"/>
  <c r="AD1272" i="2"/>
  <c r="AV1272" i="2"/>
  <c r="BA1272" i="2"/>
  <c r="AJ1272" i="2"/>
  <c r="U1063" i="2"/>
  <c r="AF1063" i="2"/>
  <c r="Z1170" i="2"/>
  <c r="P1073" i="2"/>
  <c r="N1058" i="2"/>
  <c r="V1128" i="2"/>
  <c r="Y1075" i="2"/>
  <c r="T1058" i="2"/>
  <c r="V1075" i="2"/>
  <c r="AE1170" i="2"/>
  <c r="AF1170" i="2"/>
  <c r="AG1170" i="2"/>
  <c r="X1075" i="2"/>
  <c r="AA1169" i="2"/>
  <c r="AA1170" i="2" s="1"/>
  <c r="AA1104" i="2"/>
  <c r="R1073" i="2"/>
  <c r="Y1058" i="2"/>
  <c r="AC1058" i="2"/>
  <c r="AE1075" i="2"/>
  <c r="G23" i="11" s="1"/>
  <c r="Q1073" i="2"/>
  <c r="W1063" i="2"/>
  <c r="AD1075" i="2"/>
  <c r="F23" i="11" s="1"/>
  <c r="Y1063" i="2"/>
  <c r="AD1058" i="2"/>
  <c r="AB1058" i="2"/>
  <c r="AC1075" i="2"/>
  <c r="E23" i="11" s="1"/>
  <c r="V1063" i="2"/>
  <c r="AA1075" i="2"/>
  <c r="C23" i="11" s="1"/>
  <c r="W1058" i="2"/>
  <c r="M1073" i="2"/>
  <c r="V1058" i="2"/>
  <c r="W1170" i="2"/>
  <c r="AF1058" i="2"/>
  <c r="AF1075" i="2"/>
  <c r="H23" i="11" s="1"/>
  <c r="AG1075" i="2"/>
  <c r="I23" i="11" s="1"/>
  <c r="X23" i="11" s="1"/>
  <c r="Y23" i="11" s="1"/>
  <c r="AB1063" i="2"/>
  <c r="AE1063" i="2"/>
  <c r="T1141" i="2"/>
  <c r="K1073" i="2"/>
  <c r="L1058" i="2"/>
  <c r="Y1203" i="2"/>
  <c r="L1063" i="2"/>
  <c r="L1073" i="2"/>
  <c r="R1141" i="2"/>
  <c r="N1073" i="2"/>
  <c r="O1073" i="2"/>
  <c r="Z1063" i="2"/>
  <c r="X1063" i="2"/>
  <c r="X1058" i="2"/>
  <c r="S1073" i="2"/>
  <c r="AC1063" i="2"/>
  <c r="U1073" i="2"/>
  <c r="W1056" i="2"/>
  <c r="W1067" i="2" s="1"/>
  <c r="U1058" i="2"/>
  <c r="M1063" i="2"/>
  <c r="AD1063" i="2"/>
  <c r="J1063" i="2"/>
  <c r="W880" i="2"/>
  <c r="W1052" i="2" s="1"/>
  <c r="W1051" i="2"/>
  <c r="AA1063" i="2"/>
  <c r="V1073" i="2"/>
  <c r="K1070" i="2"/>
  <c r="L1070" i="2"/>
  <c r="N1070" i="2"/>
  <c r="O1070" i="2"/>
  <c r="P1070" i="2"/>
  <c r="Q1070" i="2"/>
  <c r="J1070" i="2"/>
  <c r="M1070" i="2"/>
  <c r="Y1125" i="2"/>
  <c r="AC1210" i="2"/>
  <c r="AC1124" i="2"/>
  <c r="X1125" i="2"/>
  <c r="X1124" i="2"/>
  <c r="B33" i="11"/>
  <c r="V879" i="2"/>
  <c r="V1118" i="2"/>
  <c r="P1106" i="2"/>
  <c r="P1081" i="2" s="1"/>
  <c r="U1105" i="2"/>
  <c r="U1080" i="2" s="1"/>
  <c r="U1246" i="2" s="1"/>
  <c r="U1247" i="2" s="1"/>
  <c r="U1248" i="2" s="1"/>
  <c r="M1106" i="2"/>
  <c r="M1081" i="2" s="1"/>
  <c r="AE1141" i="2"/>
  <c r="K48" i="7" s="1"/>
  <c r="K51" i="7" s="1"/>
  <c r="AE1104" i="2"/>
  <c r="AE1070" i="2" s="1"/>
  <c r="Y1124" i="2"/>
  <c r="Z1209" i="2"/>
  <c r="Z1125" i="2"/>
  <c r="AF1141" i="2"/>
  <c r="M48" i="7" s="1"/>
  <c r="M51" i="7" s="1"/>
  <c r="AF1104" i="2"/>
  <c r="AF1070" i="2" s="1"/>
  <c r="V1104" i="2"/>
  <c r="V1070" i="2" s="1"/>
  <c r="V1141" i="2"/>
  <c r="AE1125" i="2"/>
  <c r="Z1104" i="2"/>
  <c r="Z1070" i="2" s="1"/>
  <c r="B1102" i="2"/>
  <c r="Z1141" i="2"/>
  <c r="AD1141" i="2"/>
  <c r="I48" i="7" s="1"/>
  <c r="I51" i="7" s="1"/>
  <c r="AD1104" i="2"/>
  <c r="AD1070" i="2" s="1"/>
  <c r="AA1124" i="2"/>
  <c r="Q1106" i="2"/>
  <c r="Q1081" i="2" s="1"/>
  <c r="J1106" i="2"/>
  <c r="J1081" i="2" s="1"/>
  <c r="W1125" i="2"/>
  <c r="W1124" i="2"/>
  <c r="N1106" i="2"/>
  <c r="N1081" i="2" s="1"/>
  <c r="AA1141" i="2"/>
  <c r="C48" i="7" s="1"/>
  <c r="C51" i="7" s="1"/>
  <c r="AB1141" i="2"/>
  <c r="E48" i="7" s="1"/>
  <c r="E51" i="7" s="1"/>
  <c r="AB1104" i="2"/>
  <c r="AB1070" i="2" s="1"/>
  <c r="R1105" i="2"/>
  <c r="R1080" i="2" s="1"/>
  <c r="R1246" i="2" s="1"/>
  <c r="R1247" i="2" s="1"/>
  <c r="R1248" i="2" s="1"/>
  <c r="AC1125" i="2"/>
  <c r="Z1124" i="2"/>
  <c r="AA1125" i="2"/>
  <c r="AB1125" i="2"/>
  <c r="AD1125" i="2"/>
  <c r="Y1104" i="2"/>
  <c r="Y1070" i="2" s="1"/>
  <c r="Y1141" i="2"/>
  <c r="X1141" i="2"/>
  <c r="X1104" i="2"/>
  <c r="X1070" i="2" s="1"/>
  <c r="V1125" i="2"/>
  <c r="V1124" i="2"/>
  <c r="T1105" i="2"/>
  <c r="T1080" i="2" s="1"/>
  <c r="T1246" i="2" s="1"/>
  <c r="T1247" i="2" s="1"/>
  <c r="T1248" i="2" s="1"/>
  <c r="W865" i="2"/>
  <c r="W1008" i="2" s="1"/>
  <c r="W1104" i="2"/>
  <c r="W1070" i="2" s="1"/>
  <c r="W1141" i="2"/>
  <c r="S1105" i="2"/>
  <c r="S1080" i="2" s="1"/>
  <c r="S1246" i="2" s="1"/>
  <c r="S1247" i="2" s="1"/>
  <c r="S1248" i="2" s="1"/>
  <c r="O1106" i="2"/>
  <c r="O1081" i="2" s="1"/>
  <c r="AB1210" i="2"/>
  <c r="AB1124" i="2"/>
  <c r="AC1141" i="2"/>
  <c r="G48" i="7" s="1"/>
  <c r="G51" i="7" s="1"/>
  <c r="AC1104" i="2"/>
  <c r="AC1070" i="2" s="1"/>
  <c r="L1106" i="2"/>
  <c r="L1081" i="2" s="1"/>
  <c r="AK555" i="2"/>
  <c r="AK1034" i="2" s="1"/>
  <c r="U728" i="2"/>
  <c r="U727" i="2" s="1"/>
  <c r="U1056" i="2" s="1"/>
  <c r="U1067" i="2" s="1"/>
  <c r="Y728" i="2"/>
  <c r="AJ1034" i="2"/>
  <c r="AK576" i="2"/>
  <c r="AL555" i="2"/>
  <c r="AL1034" i="2" s="1"/>
  <c r="AF843" i="2"/>
  <c r="AG407" i="2" s="1"/>
  <c r="AG401" i="2"/>
  <c r="AH839" i="2"/>
  <c r="AH861" i="2" s="1"/>
  <c r="AH862" i="2" s="1"/>
  <c r="BH457" i="2"/>
  <c r="AP457" i="2" s="1"/>
  <c r="AI1213" i="2"/>
  <c r="AJ1213" i="2" s="1"/>
  <c r="AK1213" i="2" s="1"/>
  <c r="AL1213" i="2" s="1"/>
  <c r="AM1213" i="2" s="1"/>
  <c r="AN1213" i="2" s="1"/>
  <c r="AO1213" i="2" s="1"/>
  <c r="AP1213" i="2" s="1"/>
  <c r="AQ1213" i="2" s="1"/>
  <c r="AR1213" i="2" s="1"/>
  <c r="AS1213" i="2" s="1"/>
  <c r="AT1213" i="2" s="1"/>
  <c r="AB995" i="2"/>
  <c r="BH458" i="2"/>
  <c r="AP458" i="2" s="1"/>
  <c r="AQ458" i="2" s="1"/>
  <c r="AR458" i="2" s="1"/>
  <c r="AS458" i="2" s="1"/>
  <c r="AT458" i="2" s="1"/>
  <c r="BG491" i="2"/>
  <c r="AO491" i="2" s="1"/>
  <c r="AP491" i="2" s="1"/>
  <c r="AL570" i="2"/>
  <c r="AF508" i="2"/>
  <c r="AX508" i="2"/>
  <c r="AD995" i="2"/>
  <c r="AD839" i="2"/>
  <c r="AD49" i="12" s="1"/>
  <c r="AD47" i="12" s="1"/>
  <c r="AE410" i="2"/>
  <c r="AP935" i="2"/>
  <c r="AQ935" i="2"/>
  <c r="AR935" i="2"/>
  <c r="AS935" i="2"/>
  <c r="BG493" i="2"/>
  <c r="AO493" i="2" s="1"/>
  <c r="AP493" i="2" s="1"/>
  <c r="AQ493" i="2" s="1"/>
  <c r="AR493" i="2" s="1"/>
  <c r="AS493" i="2" s="1"/>
  <c r="AT493" i="2" s="1"/>
  <c r="AF410" i="2"/>
  <c r="X741" i="2"/>
  <c r="X744" i="2" s="1"/>
  <c r="AD509" i="2"/>
  <c r="AV509" i="2"/>
  <c r="AD410" i="2"/>
  <c r="V737" i="2"/>
  <c r="AC410" i="2"/>
  <c r="BG492" i="2"/>
  <c r="AO492" i="2" s="1"/>
  <c r="AP492" i="2" s="1"/>
  <c r="AQ492" i="2" s="1"/>
  <c r="AR492" i="2" s="1"/>
  <c r="AS492" i="2" s="1"/>
  <c r="AT492" i="2" s="1"/>
  <c r="AB875" i="2"/>
  <c r="AB876" i="2" s="1"/>
  <c r="AB729" i="2" s="1"/>
  <c r="Y875" i="2"/>
  <c r="Y876" i="2" s="1"/>
  <c r="Y729" i="2" s="1"/>
  <c r="O14" i="11"/>
  <c r="AA14" i="11" s="1"/>
  <c r="AA15" i="11" s="1"/>
  <c r="AC875" i="2"/>
  <c r="AC876" i="2" s="1"/>
  <c r="AC729" i="2" s="1"/>
  <c r="V741" i="2"/>
  <c r="AD875" i="2"/>
  <c r="AD876" i="2" s="1"/>
  <c r="AD729" i="2" s="1"/>
  <c r="W741" i="2"/>
  <c r="W743" i="2" s="1"/>
  <c r="AE875" i="2"/>
  <c r="AE876" i="2" s="1"/>
  <c r="AF875" i="2"/>
  <c r="AF876" i="2" s="1"/>
  <c r="Z875" i="2"/>
  <c r="Z876" i="2" s="1"/>
  <c r="CM1259" i="2"/>
  <c r="CR1259" i="2"/>
  <c r="CQ1259" i="2"/>
  <c r="CN1259" i="2"/>
  <c r="CK1259" i="2"/>
  <c r="CI1259" i="2"/>
  <c r="C33" i="11"/>
  <c r="AA751" i="2"/>
  <c r="CU1259" i="2"/>
  <c r="K14" i="11"/>
  <c r="Z14" i="11" s="1"/>
  <c r="Z15" i="11" s="1"/>
  <c r="CW1259" i="2"/>
  <c r="T12" i="11"/>
  <c r="AJ983" i="2"/>
  <c r="AI984" i="2"/>
  <c r="CE1260" i="2"/>
  <c r="AO403" i="2"/>
  <c r="AN928" i="2"/>
  <c r="CC1260" i="2"/>
  <c r="CB1260" i="2"/>
  <c r="BW1260" i="2"/>
  <c r="BX1260" i="2"/>
  <c r="CA1260" i="2"/>
  <c r="CF1259" i="2"/>
  <c r="CE1259" i="2"/>
  <c r="CG1260" i="2"/>
  <c r="L10" i="11"/>
  <c r="CF1260" i="2"/>
  <c r="D14" i="11"/>
  <c r="CC1259" i="2"/>
  <c r="CB1259" i="2"/>
  <c r="DD1268" i="2"/>
  <c r="CZ1268" i="2"/>
  <c r="DE1268" i="2"/>
  <c r="DC1268" i="2"/>
  <c r="DA1268" i="2"/>
  <c r="CY1268" i="2"/>
  <c r="BY1259" i="2"/>
  <c r="G14" i="11"/>
  <c r="BX1259" i="2"/>
  <c r="CS1260" i="2"/>
  <c r="CI1260" i="2"/>
  <c r="J14" i="11"/>
  <c r="Y14" i="11" s="1"/>
  <c r="Y15" i="11" s="1"/>
  <c r="C14" i="11"/>
  <c r="CU1260" i="2"/>
  <c r="DA1260" i="2"/>
  <c r="I14" i="11"/>
  <c r="X14" i="11" s="1"/>
  <c r="I15" i="11"/>
  <c r="X15" i="11" s="1"/>
  <c r="X13" i="11" s="1"/>
  <c r="CY1260" i="2"/>
  <c r="CZ1260" i="2"/>
  <c r="E14" i="11"/>
  <c r="H14" i="11"/>
  <c r="CQ1260" i="2"/>
  <c r="CV1260" i="2"/>
  <c r="DC1260" i="2"/>
  <c r="DD1260" i="2"/>
  <c r="CR1260" i="2"/>
  <c r="CW1260" i="2"/>
  <c r="DE1260" i="2"/>
  <c r="CM1273" i="2"/>
  <c r="DA1273" i="2"/>
  <c r="DE1273" i="2"/>
  <c r="DD1273" i="2"/>
  <c r="DC1273" i="2"/>
  <c r="CZ1273" i="2"/>
  <c r="CY1273" i="2"/>
  <c r="CO1272" i="2"/>
  <c r="DA1272" i="2"/>
  <c r="DE1272" i="2"/>
  <c r="DC1272" i="2"/>
  <c r="CZ1272" i="2"/>
  <c r="CY1272" i="2"/>
  <c r="DD1272" i="2"/>
  <c r="AN397" i="2"/>
  <c r="AN940" i="2"/>
  <c r="AI838" i="2"/>
  <c r="M198" i="5"/>
  <c r="N198" i="5" s="1"/>
  <c r="Z410" i="2"/>
  <c r="CN1273" i="2"/>
  <c r="CO1273" i="2"/>
  <c r="CR1273" i="2"/>
  <c r="U146" i="5"/>
  <c r="U147" i="5"/>
  <c r="H211" i="5"/>
  <c r="AJ581" i="2"/>
  <c r="AJ626" i="2" s="1"/>
  <c r="AJ618" i="2" s="1"/>
  <c r="AJ613" i="2" s="1"/>
  <c r="M199" i="5"/>
  <c r="N199" i="5" s="1"/>
  <c r="U148" i="5"/>
  <c r="V153" i="5"/>
  <c r="J213" i="5" s="1"/>
  <c r="AG962" i="2"/>
  <c r="AG995" i="2"/>
  <c r="AG381" i="2"/>
  <c r="AN580" i="2" s="1"/>
  <c r="AD957" i="2"/>
  <c r="AE957" i="2" s="1"/>
  <c r="AF957" i="2" s="1"/>
  <c r="AG957" i="2" s="1"/>
  <c r="AH935" i="2"/>
  <c r="Y405" i="2"/>
  <c r="AC935" i="2"/>
  <c r="AB935" i="2"/>
  <c r="AA935" i="2"/>
  <c r="AD935" i="2"/>
  <c r="Z935" i="2"/>
  <c r="AG935" i="2"/>
  <c r="AF935" i="2"/>
  <c r="AE935" i="2"/>
  <c r="Y935" i="2"/>
  <c r="X935" i="2"/>
  <c r="X937" i="2" s="1"/>
  <c r="X943" i="2" s="1"/>
  <c r="W935" i="2"/>
  <c r="W937" i="2" s="1"/>
  <c r="V935" i="2"/>
  <c r="V937" i="2" s="1"/>
  <c r="AA957" i="2"/>
  <c r="Z957" i="2" s="1"/>
  <c r="Y957" i="2" s="1"/>
  <c r="W925" i="2"/>
  <c r="AB1207" i="2"/>
  <c r="CK1260" i="2"/>
  <c r="CO1260" i="2"/>
  <c r="CM1260" i="2"/>
  <c r="CN1260" i="2"/>
  <c r="CJ1260" i="2"/>
  <c r="Q839" i="2"/>
  <c r="Q49" i="12" s="1"/>
  <c r="Q47" i="12" s="1"/>
  <c r="T839" i="2"/>
  <c r="T49" i="12" s="1"/>
  <c r="T47" i="12" s="1"/>
  <c r="H204" i="5"/>
  <c r="V169" i="5"/>
  <c r="V145" i="5"/>
  <c r="J205" i="5" s="1"/>
  <c r="AG839" i="2"/>
  <c r="AG49" i="12" s="1"/>
  <c r="AG47" i="12" s="1"/>
  <c r="AH907" i="2"/>
  <c r="BM1268" i="2"/>
  <c r="CC1268" i="2"/>
  <c r="CU1272" i="2"/>
  <c r="AB320" i="2"/>
  <c r="AA893" i="2"/>
  <c r="X848" i="2"/>
  <c r="X847" i="2" s="1"/>
  <c r="V231" i="10"/>
  <c r="U231" i="10" s="1"/>
  <c r="Y835" i="2"/>
  <c r="W900" i="2"/>
  <c r="W1128" i="2" s="1"/>
  <c r="AF1249" i="2"/>
  <c r="S835" i="2"/>
  <c r="S848" i="2" s="1"/>
  <c r="S847" i="2" s="1"/>
  <c r="S857" i="2" s="1"/>
  <c r="U857" i="2"/>
  <c r="CB1268" i="2"/>
  <c r="BK1268" i="2"/>
  <c r="AE839" i="2"/>
  <c r="AE49" i="12" s="1"/>
  <c r="AE47" i="12" s="1"/>
  <c r="AA1249" i="2"/>
  <c r="I169" i="10"/>
  <c r="T834" i="2"/>
  <c r="CO1268" i="2"/>
  <c r="AC1249" i="2"/>
  <c r="BI1268" i="2"/>
  <c r="BH1268" i="2"/>
  <c r="BL1268" i="2"/>
  <c r="U839" i="2"/>
  <c r="U49" i="12" s="1"/>
  <c r="U47" i="12" s="1"/>
  <c r="E875" i="2"/>
  <c r="AD915" i="2"/>
  <c r="AD1124" i="2" s="1"/>
  <c r="P174" i="10"/>
  <c r="Q105" i="10"/>
  <c r="Q212" i="10" s="1"/>
  <c r="U212" i="10" s="1"/>
  <c r="V212" i="10" s="1"/>
  <c r="BT1268" i="2"/>
  <c r="BS1268" i="2"/>
  <c r="BQ1268" i="2"/>
  <c r="X1249" i="2"/>
  <c r="BP1268" i="2"/>
  <c r="X414" i="2"/>
  <c r="X729" i="2"/>
  <c r="X727" i="2" s="1"/>
  <c r="X1056" i="2" s="1"/>
  <c r="X1067" i="2" s="1"/>
  <c r="AD962" i="2"/>
  <c r="AD1022" i="2" s="1"/>
  <c r="R153" i="10"/>
  <c r="R221" i="10" s="1"/>
  <c r="BU1268" i="2"/>
  <c r="V1252" i="2"/>
  <c r="Z1252" i="2" s="1"/>
  <c r="AD1252" i="2" s="1"/>
  <c r="AH1252" i="2" s="1"/>
  <c r="V895" i="2"/>
  <c r="V1123" i="2" s="1"/>
  <c r="M839" i="2"/>
  <c r="M49" i="12" s="1"/>
  <c r="M47" i="12" s="1"/>
  <c r="V893" i="2"/>
  <c r="V903" i="2" s="1"/>
  <c r="V905" i="2" s="1"/>
  <c r="X893" i="2"/>
  <c r="AE962" i="2"/>
  <c r="AE1022" i="2" s="1"/>
  <c r="AF832" i="2"/>
  <c r="AG832" i="2" s="1"/>
  <c r="AH832" i="2" s="1"/>
  <c r="AI832" i="2" s="1"/>
  <c r="N839" i="2"/>
  <c r="N49" i="12" s="1"/>
  <c r="N47" i="12" s="1"/>
  <c r="E24" i="10"/>
  <c r="AD892" i="2"/>
  <c r="H205" i="5"/>
  <c r="L83" i="10"/>
  <c r="W893" i="2"/>
  <c r="AB962" i="2"/>
  <c r="AB1022" i="2" s="1"/>
  <c r="AG1311" i="2"/>
  <c r="X911" i="2"/>
  <c r="W1015" i="2"/>
  <c r="AA962" i="2"/>
  <c r="AF1015" i="2"/>
  <c r="O191" i="10"/>
  <c r="Q191" i="10" s="1"/>
  <c r="Q243" i="10" s="1"/>
  <c r="U243" i="10" s="1"/>
  <c r="V243" i="10" s="1"/>
  <c r="V235" i="10" s="1"/>
  <c r="U235" i="10" s="1"/>
  <c r="AA319" i="2"/>
  <c r="AA320" i="2" s="1"/>
  <c r="CF1268" i="2"/>
  <c r="AB1249" i="2"/>
  <c r="AA410" i="2"/>
  <c r="CG1268" i="2"/>
  <c r="CE1268" i="2"/>
  <c r="CK1268" i="2"/>
  <c r="CI1268" i="2"/>
  <c r="L97" i="10"/>
  <c r="E22" i="10" s="1"/>
  <c r="CJ1268" i="2"/>
  <c r="CN1272" i="2"/>
  <c r="W319" i="2"/>
  <c r="W320" i="2" s="1"/>
  <c r="W857" i="2"/>
  <c r="P839" i="2"/>
  <c r="P49" i="12" s="1"/>
  <c r="P47" i="12" s="1"/>
  <c r="CM1272" i="2"/>
  <c r="L102" i="10"/>
  <c r="V729" i="2"/>
  <c r="V727" i="2" s="1"/>
  <c r="V1056" i="2" s="1"/>
  <c r="V1067" i="2" s="1"/>
  <c r="W895" i="2"/>
  <c r="W1123" i="2" s="1"/>
  <c r="X401" i="2"/>
  <c r="S839" i="2"/>
  <c r="S49" i="12" s="1"/>
  <c r="S47" i="12" s="1"/>
  <c r="X394" i="2"/>
  <c r="AB1015" i="2"/>
  <c r="K839" i="2"/>
  <c r="K49" i="12" s="1"/>
  <c r="K47" i="12" s="1"/>
  <c r="O154" i="10"/>
  <c r="Q154" i="10" s="1"/>
  <c r="Q222" i="10" s="1"/>
  <c r="U222" i="10" s="1"/>
  <c r="V222" i="10" s="1"/>
  <c r="AF839" i="2"/>
  <c r="AF49" i="12" s="1"/>
  <c r="AF47" i="12" s="1"/>
  <c r="O137" i="10"/>
  <c r="Q137" i="10" s="1"/>
  <c r="Q219" i="10" s="1"/>
  <c r="U219" i="10" s="1"/>
  <c r="V219" i="10" s="1"/>
  <c r="AE1015" i="2"/>
  <c r="AD319" i="2"/>
  <c r="X1015" i="2"/>
  <c r="X319" i="2"/>
  <c r="X320" i="2" s="1"/>
  <c r="J839" i="2"/>
  <c r="J49" i="12" s="1"/>
  <c r="J47" i="12" s="1"/>
  <c r="AF962" i="2"/>
  <c r="X839" i="2"/>
  <c r="X49" i="12" s="1"/>
  <c r="X47" i="12" s="1"/>
  <c r="CS1273" i="2"/>
  <c r="CU1273" i="2"/>
  <c r="R184" i="10"/>
  <c r="R236" i="10" s="1"/>
  <c r="CV1273" i="2"/>
  <c r="O839" i="2"/>
  <c r="O49" i="12" s="1"/>
  <c r="O47" i="12" s="1"/>
  <c r="CW1273" i="2"/>
  <c r="CQ1273" i="2"/>
  <c r="V857" i="2"/>
  <c r="R839" i="2"/>
  <c r="R49" i="12" s="1"/>
  <c r="R47" i="12" s="1"/>
  <c r="O132" i="10"/>
  <c r="Q132" i="10" s="1"/>
  <c r="R132" i="10" s="1"/>
  <c r="R217" i="10" s="1"/>
  <c r="AB410" i="2"/>
  <c r="Q198" i="10" s="1"/>
  <c r="Q247" i="10" s="1"/>
  <c r="U247" i="10" s="1"/>
  <c r="V247" i="10" s="1"/>
  <c r="AB49" i="12"/>
  <c r="AB47" i="12" s="1"/>
  <c r="H221" i="5"/>
  <c r="AD1015" i="2"/>
  <c r="AC906" i="2"/>
  <c r="AC1207" i="2" s="1"/>
  <c r="Y1207" i="2"/>
  <c r="X737" i="2"/>
  <c r="AG1312" i="2"/>
  <c r="E35" i="10"/>
  <c r="O157" i="10" s="1"/>
  <c r="E34" i="10" s="1"/>
  <c r="P157" i="10" s="1"/>
  <c r="X734" i="2"/>
  <c r="AC311" i="2"/>
  <c r="X879" i="2"/>
  <c r="AB405" i="2"/>
  <c r="T857" i="2"/>
  <c r="L839" i="2"/>
  <c r="L49" i="12" s="1"/>
  <c r="L47" i="12" s="1"/>
  <c r="AC320" i="2"/>
  <c r="Z1015" i="2"/>
  <c r="AF910" i="2"/>
  <c r="Y319" i="2"/>
  <c r="Y320" i="2" s="1"/>
  <c r="AD1249" i="2"/>
  <c r="CR1272" i="2"/>
  <c r="CW1272" i="2"/>
  <c r="Y1015" i="2"/>
  <c r="L169" i="10"/>
  <c r="CV1272" i="2"/>
  <c r="CQ1272" i="2"/>
  <c r="CS1272" i="2"/>
  <c r="Q170" i="10"/>
  <c r="V839" i="2"/>
  <c r="V49" i="12" s="1"/>
  <c r="V47" i="12" s="1"/>
  <c r="O145" i="10"/>
  <c r="AA1015" i="2"/>
  <c r="AC839" i="2"/>
  <c r="AC49" i="12" s="1"/>
  <c r="AC47" i="12" s="1"/>
  <c r="AC962" i="2"/>
  <c r="AC1022" i="2" s="1"/>
  <c r="M224" i="5"/>
  <c r="N224" i="5" s="1"/>
  <c r="W892" i="2"/>
  <c r="X832" i="2"/>
  <c r="N217" i="5"/>
  <c r="N1195" i="2"/>
  <c r="M1224" i="2"/>
  <c r="V1015" i="2"/>
  <c r="L88" i="10"/>
  <c r="M218" i="5"/>
  <c r="N218" i="5" s="1"/>
  <c r="T735" i="2"/>
  <c r="T728" i="2" s="1"/>
  <c r="Y997" i="2"/>
  <c r="Y839" i="2"/>
  <c r="Y49" i="12" s="1"/>
  <c r="Y47" i="12" s="1"/>
  <c r="W997" i="2"/>
  <c r="W839" i="2"/>
  <c r="W49" i="12" s="1"/>
  <c r="W47" i="12" s="1"/>
  <c r="AE1249" i="2"/>
  <c r="AC1015" i="2"/>
  <c r="Z839" i="2"/>
  <c r="Z49" i="12" s="1"/>
  <c r="Z47" i="12" s="1"/>
  <c r="AA839" i="2"/>
  <c r="AA49" i="12" s="1"/>
  <c r="AA47" i="12" s="1"/>
  <c r="Q174" i="10"/>
  <c r="CQ1268" i="2"/>
  <c r="CS1268" i="2"/>
  <c r="CU1268" i="2"/>
  <c r="CN1268" i="2"/>
  <c r="CR1268" i="2"/>
  <c r="CV1268" i="2"/>
  <c r="CW1268" i="2"/>
  <c r="P170" i="10"/>
  <c r="AD906" i="2"/>
  <c r="AD1207" i="2" s="1"/>
  <c r="CM1268" i="2"/>
  <c r="K11" i="11"/>
  <c r="H197" i="5"/>
  <c r="Z319" i="2"/>
  <c r="Z320" i="2" s="1"/>
  <c r="AE1209" i="2"/>
  <c r="AF916" i="2"/>
  <c r="AF1125" i="2" s="1"/>
  <c r="M88" i="10"/>
  <c r="I82" i="10"/>
  <c r="Z735" i="2"/>
  <c r="Z736" i="2" s="1"/>
  <c r="K95" i="10"/>
  <c r="L93" i="10"/>
  <c r="AA405" i="2"/>
  <c r="R232" i="10"/>
  <c r="R231" i="10" s="1"/>
  <c r="R179" i="10"/>
  <c r="AC911" i="2"/>
  <c r="AI911" i="2" s="1"/>
  <c r="AJ911" i="2" s="1"/>
  <c r="AK911" i="2" s="1"/>
  <c r="AL911" i="2" s="1"/>
  <c r="AM911" i="2" s="1"/>
  <c r="AN911" i="2" s="1"/>
  <c r="AO911" i="2" s="1"/>
  <c r="AP911" i="2" s="1"/>
  <c r="AQ911" i="2" s="1"/>
  <c r="AR911" i="2" s="1"/>
  <c r="AS911" i="2" s="1"/>
  <c r="AT911" i="2" s="1"/>
  <c r="X1208" i="2"/>
  <c r="Y894" i="2"/>
  <c r="X895" i="2"/>
  <c r="X1123" i="2" s="1"/>
  <c r="AG933" i="2"/>
  <c r="AH933" i="2" s="1"/>
  <c r="AI933" i="2" s="1"/>
  <c r="I11" i="11"/>
  <c r="J11" i="11"/>
  <c r="AJ612" i="2" l="1"/>
  <c r="AK344" i="2"/>
  <c r="T27" i="7"/>
  <c r="U1118" i="2"/>
  <c r="U733" i="2"/>
  <c r="Z1118" i="2"/>
  <c r="Z733" i="2"/>
  <c r="AJ602" i="2"/>
  <c r="AJ1036" i="2"/>
  <c r="AM570" i="2"/>
  <c r="AP456" i="2"/>
  <c r="AP455" i="2" s="1"/>
  <c r="V146" i="5"/>
  <c r="J206" i="5" s="1"/>
  <c r="AJ559" i="2"/>
  <c r="V148" i="5"/>
  <c r="J208" i="5" s="1"/>
  <c r="AJ561" i="2"/>
  <c r="V147" i="5"/>
  <c r="J207" i="5" s="1"/>
  <c r="AJ560" i="2"/>
  <c r="V150" i="5"/>
  <c r="J210" i="5" s="1"/>
  <c r="AJ563" i="2"/>
  <c r="AJ608" i="2" s="1"/>
  <c r="AB1170" i="2"/>
  <c r="AQ457" i="2"/>
  <c r="AQ456" i="2" s="1"/>
  <c r="W1050" i="2"/>
  <c r="W1055" i="2" s="1"/>
  <c r="W1057" i="2" s="1"/>
  <c r="W1068" i="2" s="1"/>
  <c r="W1066" i="2" s="1"/>
  <c r="W1069" i="2" s="1"/>
  <c r="AA1105" i="2"/>
  <c r="AA1080" i="2" s="1"/>
  <c r="AA1246" i="2" s="1"/>
  <c r="AA1247" i="2" s="1"/>
  <c r="AA1248" i="2" s="1"/>
  <c r="AA1070" i="2"/>
  <c r="Z1203" i="2"/>
  <c r="AG1098" i="2"/>
  <c r="AG1138" i="2" s="1"/>
  <c r="AG1022" i="2"/>
  <c r="AF1098" i="2"/>
  <c r="AF1138" i="2" s="1"/>
  <c r="M47" i="7" s="1"/>
  <c r="AF1022" i="2"/>
  <c r="X880" i="2"/>
  <c r="X1052" i="2" s="1"/>
  <c r="X1051" i="2"/>
  <c r="U1101" i="2"/>
  <c r="AA1098" i="2"/>
  <c r="AA1138" i="2" s="1"/>
  <c r="C47" i="7" s="1"/>
  <c r="AA1022" i="2"/>
  <c r="C7" i="11" s="1"/>
  <c r="V880" i="2"/>
  <c r="V1052" i="2" s="1"/>
  <c r="V1051" i="2"/>
  <c r="S1101" i="2"/>
  <c r="W1204" i="2"/>
  <c r="T1101" i="2"/>
  <c r="U1070" i="2"/>
  <c r="S1070" i="2"/>
  <c r="R1243" i="2"/>
  <c r="AS1271" i="2" s="1"/>
  <c r="R1070" i="2"/>
  <c r="T1070" i="2"/>
  <c r="W858" i="2"/>
  <c r="W1101" i="2"/>
  <c r="W1097" i="2"/>
  <c r="W1105" i="2"/>
  <c r="W1080" i="2" s="1"/>
  <c r="W1246" i="2" s="1"/>
  <c r="W1247" i="2" s="1"/>
  <c r="W1248" i="2" s="1"/>
  <c r="Y1105" i="2"/>
  <c r="Y1080" i="2" s="1"/>
  <c r="Y1246" i="2" s="1"/>
  <c r="Y1247" i="2" s="1"/>
  <c r="Y1248" i="2" s="1"/>
  <c r="Y1097" i="2"/>
  <c r="AC1105" i="2"/>
  <c r="AC1080" i="2" s="1"/>
  <c r="AC1246" i="2" s="1"/>
  <c r="AC1097" i="2"/>
  <c r="E28" i="11"/>
  <c r="W1115" i="2"/>
  <c r="W1119" i="2"/>
  <c r="W1117" i="2" s="1"/>
  <c r="R1081" i="2"/>
  <c r="W1116" i="2"/>
  <c r="AB1105" i="2"/>
  <c r="AB1080" i="2" s="1"/>
  <c r="AB1246" i="2" s="1"/>
  <c r="AB1247" i="2" s="1"/>
  <c r="AB1248" i="2" s="1"/>
  <c r="AB1097" i="2"/>
  <c r="X1105" i="2"/>
  <c r="X1080" i="2" s="1"/>
  <c r="X1246" i="2" s="1"/>
  <c r="X1247" i="2" s="1"/>
  <c r="X1248" i="2" s="1"/>
  <c r="X1097" i="2"/>
  <c r="V417" i="2"/>
  <c r="V1153" i="2" s="1"/>
  <c r="V1101" i="2"/>
  <c r="AD1105" i="2"/>
  <c r="AD1080" i="2" s="1"/>
  <c r="AD1246" i="2" s="1"/>
  <c r="AD1097" i="2"/>
  <c r="E7" i="11"/>
  <c r="AC1098" i="2"/>
  <c r="AC1138" i="2" s="1"/>
  <c r="G47" i="7" s="1"/>
  <c r="B28" i="11"/>
  <c r="Z1097" i="2"/>
  <c r="Z1105" i="2"/>
  <c r="Z1080" i="2" s="1"/>
  <c r="Z1246" i="2" s="1"/>
  <c r="Z1247" i="2" s="1"/>
  <c r="Z1248" i="2" s="1"/>
  <c r="U1106" i="2"/>
  <c r="U1081" i="2" s="1"/>
  <c r="G7" i="11"/>
  <c r="AE1098" i="2"/>
  <c r="AE1138" i="2" s="1"/>
  <c r="K47" i="7" s="1"/>
  <c r="X865" i="2"/>
  <c r="X1008" i="2" s="1"/>
  <c r="D7" i="11"/>
  <c r="AB1098" i="2"/>
  <c r="AB1138" i="2" s="1"/>
  <c r="E47" i="7" s="1"/>
  <c r="T1106" i="2"/>
  <c r="T1081" i="2" s="1"/>
  <c r="AA1097" i="2"/>
  <c r="V1242" i="2"/>
  <c r="BJ1270" i="2" s="1"/>
  <c r="V1105" i="2"/>
  <c r="V1080" i="2" s="1"/>
  <c r="V1246" i="2" s="1"/>
  <c r="V1247" i="2" s="1"/>
  <c r="V1248" i="2" s="1"/>
  <c r="AE1097" i="2"/>
  <c r="G28" i="11"/>
  <c r="AE1105" i="2"/>
  <c r="AE1080" i="2" s="1"/>
  <c r="AE1246" i="2" s="1"/>
  <c r="V865" i="2"/>
  <c r="V1008" i="2" s="1"/>
  <c r="S1106" i="2"/>
  <c r="S1081" i="2" s="1"/>
  <c r="Z894" i="2"/>
  <c r="Y1122" i="2"/>
  <c r="F7" i="11"/>
  <c r="AD1098" i="2"/>
  <c r="AD1138" i="2" s="1"/>
  <c r="I47" i="7" s="1"/>
  <c r="AF1097" i="2"/>
  <c r="AF1105" i="2"/>
  <c r="AF1080" i="2" s="1"/>
  <c r="AF1246" i="2" s="1"/>
  <c r="AF1247" i="2" s="1"/>
  <c r="AF1248" i="2" s="1"/>
  <c r="CX1276" i="2" s="1"/>
  <c r="AG1097" i="2"/>
  <c r="Z728" i="2"/>
  <c r="Z729" i="2"/>
  <c r="Z414" i="2"/>
  <c r="AH954" i="2"/>
  <c r="AH967" i="2" s="1"/>
  <c r="V64" i="12"/>
  <c r="AS580" i="2"/>
  <c r="AT580" i="2"/>
  <c r="AQ580" i="2"/>
  <c r="AR580" i="2"/>
  <c r="AP580" i="2"/>
  <c r="AK577" i="2"/>
  <c r="AL577" i="2" s="1"/>
  <c r="AH49" i="12"/>
  <c r="AH47" i="12" s="1"/>
  <c r="AH64" i="12" s="1"/>
  <c r="AH409" i="2"/>
  <c r="AO580" i="2"/>
  <c r="AK580" i="2"/>
  <c r="AM580" i="2"/>
  <c r="AL580" i="2"/>
  <c r="AG409" i="2"/>
  <c r="AH382" i="2"/>
  <c r="AI973" i="2"/>
  <c r="AJ973" i="2" s="1"/>
  <c r="AK973" i="2" s="1"/>
  <c r="AL973" i="2" s="1"/>
  <c r="AM973" i="2" s="1"/>
  <c r="AN973" i="2" s="1"/>
  <c r="AI977" i="2"/>
  <c r="AJ977" i="2" s="1"/>
  <c r="AK977" i="2" s="1"/>
  <c r="AL977" i="2" s="1"/>
  <c r="AM977" i="2" s="1"/>
  <c r="AN977" i="2" s="1"/>
  <c r="AI970" i="2"/>
  <c r="AJ970" i="2" s="1"/>
  <c r="AK970" i="2" s="1"/>
  <c r="AL970" i="2" s="1"/>
  <c r="AM970" i="2" s="1"/>
  <c r="AN970" i="2" s="1"/>
  <c r="Z64" i="12"/>
  <c r="AL576" i="2"/>
  <c r="N64" i="12"/>
  <c r="K64" i="12"/>
  <c r="S64" i="12"/>
  <c r="AF64" i="12"/>
  <c r="AA64" i="12"/>
  <c r="AD64" i="12"/>
  <c r="L64" i="12"/>
  <c r="U64" i="12"/>
  <c r="O64" i="12"/>
  <c r="X866" i="2"/>
  <c r="X1009" i="2" s="1"/>
  <c r="P64" i="12"/>
  <c r="X743" i="2"/>
  <c r="W64" i="12"/>
  <c r="X742" i="2"/>
  <c r="X64" i="12"/>
  <c r="W866" i="2"/>
  <c r="W1009" i="2" s="1"/>
  <c r="Y64" i="12"/>
  <c r="M64" i="12"/>
  <c r="AY508" i="2"/>
  <c r="AG508" i="2"/>
  <c r="E47" i="12"/>
  <c r="E64" i="12" s="1"/>
  <c r="AB64" i="12"/>
  <c r="AG64" i="12"/>
  <c r="AE64" i="12"/>
  <c r="AE509" i="2"/>
  <c r="AW509" i="2"/>
  <c r="Q64" i="12"/>
  <c r="AC64" i="12"/>
  <c r="AO490" i="2"/>
  <c r="AO555" i="2" s="1"/>
  <c r="AO1034" i="2" s="1"/>
  <c r="T64" i="12"/>
  <c r="R64" i="12"/>
  <c r="AP490" i="2"/>
  <c r="AQ491" i="2"/>
  <c r="L861" i="2"/>
  <c r="L862" i="2" s="1"/>
  <c r="Y954" i="2"/>
  <c r="Y967" i="2" s="1"/>
  <c r="Y414" i="2"/>
  <c r="Y727" i="2"/>
  <c r="Y1056" i="2" s="1"/>
  <c r="Y1067" i="2" s="1"/>
  <c r="O861" i="2"/>
  <c r="O862" i="2" s="1"/>
  <c r="N861" i="2"/>
  <c r="N862" i="2" s="1"/>
  <c r="Z954" i="2"/>
  <c r="Z967" i="2" s="1"/>
  <c r="AB954" i="2"/>
  <c r="AB967" i="2" s="1"/>
  <c r="R861" i="2"/>
  <c r="R862" i="2" s="1"/>
  <c r="K861" i="2"/>
  <c r="K862" i="2" s="1"/>
  <c r="Y893" i="2"/>
  <c r="AE954" i="2"/>
  <c r="AE967" i="2" s="1"/>
  <c r="V967" i="2"/>
  <c r="AA954" i="2"/>
  <c r="AA967" i="2" s="1"/>
  <c r="S861" i="2"/>
  <c r="S862" i="2" s="1"/>
  <c r="W744" i="2"/>
  <c r="J861" i="2"/>
  <c r="J862" i="2" s="1"/>
  <c r="AC954" i="2"/>
  <c r="AC967" i="2" s="1"/>
  <c r="AF954" i="2"/>
  <c r="T861" i="2"/>
  <c r="T862" i="2" s="1"/>
  <c r="P861" i="2"/>
  <c r="P862" i="2" s="1"/>
  <c r="Q861" i="2"/>
  <c r="Q862" i="2" s="1"/>
  <c r="AO405" i="2"/>
  <c r="AP405" i="2"/>
  <c r="M861" i="2"/>
  <c r="M862" i="2" s="1"/>
  <c r="AG954" i="2"/>
  <c r="AD954" i="2"/>
  <c r="U844" i="2"/>
  <c r="AE915" i="2"/>
  <c r="W734" i="2"/>
  <c r="AC893" i="2"/>
  <c r="AS1270" i="2"/>
  <c r="AD893" i="2"/>
  <c r="AI907" i="2"/>
  <c r="AF998" i="2"/>
  <c r="AD998" i="2"/>
  <c r="AB861" i="2"/>
  <c r="AB1004" i="2" s="1"/>
  <c r="AL583" i="2"/>
  <c r="AM583" i="2" s="1"/>
  <c r="L11" i="11"/>
  <c r="AK983" i="2"/>
  <c r="AJ984" i="2"/>
  <c r="AO929" i="2"/>
  <c r="X12" i="11"/>
  <c r="Y12" i="11" s="1"/>
  <c r="Y13" i="11"/>
  <c r="Z13" i="11" s="1"/>
  <c r="AA13" i="11" s="1"/>
  <c r="AB13" i="11" s="1"/>
  <c r="AC13" i="11" s="1"/>
  <c r="AD13" i="11" s="1"/>
  <c r="AE13" i="11" s="1"/>
  <c r="AF13" i="11" s="1"/>
  <c r="AG13" i="11" s="1"/>
  <c r="AH13" i="11" s="1"/>
  <c r="AI13" i="11" s="1"/>
  <c r="AJ13" i="11" s="1"/>
  <c r="AK13" i="11" s="1"/>
  <c r="AL13" i="11" s="1"/>
  <c r="AM13" i="11" s="1"/>
  <c r="AN13" i="11" s="1"/>
  <c r="AO13" i="11" s="1"/>
  <c r="AP13" i="11" s="1"/>
  <c r="AQ13" i="11" s="1"/>
  <c r="AR13" i="11" s="1"/>
  <c r="AS13" i="11" s="1"/>
  <c r="AT13" i="11" s="1"/>
  <c r="AU13" i="11" s="1"/>
  <c r="AV13" i="11" s="1"/>
  <c r="AW13" i="11" s="1"/>
  <c r="AX13" i="11" s="1"/>
  <c r="AY13" i="11" s="1"/>
  <c r="AZ13" i="11" s="1"/>
  <c r="CD1270" i="2"/>
  <c r="C28" i="11"/>
  <c r="AO397" i="2"/>
  <c r="AO940" i="2"/>
  <c r="P10" i="11"/>
  <c r="H213" i="5"/>
  <c r="AI1231" i="2"/>
  <c r="AH1231" i="2"/>
  <c r="H210" i="5"/>
  <c r="H206" i="5"/>
  <c r="M205" i="5"/>
  <c r="N205" i="5" s="1"/>
  <c r="V151" i="5"/>
  <c r="J211" i="5" s="1"/>
  <c r="M204" i="5"/>
  <c r="N204" i="5" s="1"/>
  <c r="M221" i="5"/>
  <c r="N221" i="5" s="1"/>
  <c r="J204" i="5"/>
  <c r="J221" i="5"/>
  <c r="J197" i="5"/>
  <c r="AB893" i="2"/>
  <c r="X857" i="2"/>
  <c r="X834" i="2"/>
  <c r="X993" i="2" s="1"/>
  <c r="AF729" i="2"/>
  <c r="AF893" i="2"/>
  <c r="AE729" i="2"/>
  <c r="AE893" i="2"/>
  <c r="AG861" i="2"/>
  <c r="AG862" i="2" s="1"/>
  <c r="T844" i="2"/>
  <c r="AH1311" i="2"/>
  <c r="AH1323" i="2"/>
  <c r="AH1312" i="2"/>
  <c r="AH1324" i="2"/>
  <c r="V152" i="5"/>
  <c r="J212" i="5" s="1"/>
  <c r="H228" i="5"/>
  <c r="V176" i="5"/>
  <c r="AG1231" i="2"/>
  <c r="H202" i="5"/>
  <c r="J202" i="5"/>
  <c r="P169" i="10"/>
  <c r="Y848" i="2"/>
  <c r="R11" i="7"/>
  <c r="Z835" i="2"/>
  <c r="R835" i="2"/>
  <c r="Q835" i="2" s="1"/>
  <c r="Q834" i="2" s="1"/>
  <c r="Q844" i="2" s="1"/>
  <c r="AF861" i="2"/>
  <c r="AF1004" i="2" s="1"/>
  <c r="AF382" i="2"/>
  <c r="R191" i="10"/>
  <c r="R243" i="10" s="1"/>
  <c r="R235" i="10" s="1"/>
  <c r="R230" i="10" s="1"/>
  <c r="AD1210" i="2"/>
  <c r="AE998" i="2"/>
  <c r="AE861" i="2"/>
  <c r="AE862" i="2" s="1"/>
  <c r="AE1005" i="2" s="1"/>
  <c r="AG382" i="2"/>
  <c r="X899" i="2"/>
  <c r="X1126" i="2" s="1"/>
  <c r="W903" i="2"/>
  <c r="W905" i="2" s="1"/>
  <c r="CX1270" i="2"/>
  <c r="S834" i="2"/>
  <c r="S844" i="2" s="1"/>
  <c r="R105" i="10"/>
  <c r="R212" i="10" s="1"/>
  <c r="U861" i="2"/>
  <c r="U862" i="2" s="1"/>
  <c r="E20" i="10"/>
  <c r="P144" i="10" s="1"/>
  <c r="AH892" i="2"/>
  <c r="AG892" i="2"/>
  <c r="R36" i="7"/>
  <c r="H7" i="11"/>
  <c r="R154" i="10"/>
  <c r="R222" i="10" s="1"/>
  <c r="R198" i="10"/>
  <c r="R247" i="10" s="1"/>
  <c r="AF892" i="2"/>
  <c r="R137" i="10"/>
  <c r="R219" i="10" s="1"/>
  <c r="V1280" i="2"/>
  <c r="AD1280" i="2"/>
  <c r="Z1280" i="2"/>
  <c r="Q217" i="10"/>
  <c r="U217" i="10" s="1"/>
  <c r="V217" i="10" s="1"/>
  <c r="AB998" i="2"/>
  <c r="AC382" i="2"/>
  <c r="V416" i="2"/>
  <c r="V1152" i="2" s="1"/>
  <c r="Q157" i="10"/>
  <c r="Q223" i="10" s="1"/>
  <c r="U223" i="10" s="1"/>
  <c r="V223" i="10" s="1"/>
  <c r="W416" i="2"/>
  <c r="W1152" i="2" s="1"/>
  <c r="W417" i="2"/>
  <c r="W1153" i="2" s="1"/>
  <c r="X998" i="2"/>
  <c r="X861" i="2"/>
  <c r="V858" i="2"/>
  <c r="AD861" i="2"/>
  <c r="AD862" i="2" s="1"/>
  <c r="AD1005" i="2" s="1"/>
  <c r="L82" i="10"/>
  <c r="Q82" i="10" s="1"/>
  <c r="R82" i="10" s="1"/>
  <c r="AE382" i="2"/>
  <c r="O144" i="10"/>
  <c r="V844" i="2"/>
  <c r="V1000" i="2" s="1"/>
  <c r="V861" i="2"/>
  <c r="V998" i="2"/>
  <c r="AE319" i="2"/>
  <c r="Y861" i="2"/>
  <c r="Y998" i="2"/>
  <c r="W861" i="2"/>
  <c r="W844" i="2"/>
  <c r="W998" i="2"/>
  <c r="S735" i="2"/>
  <c r="S728" i="2" s="1"/>
  <c r="T727" i="2"/>
  <c r="T1056" i="2" s="1"/>
  <c r="T1067" i="2" s="1"/>
  <c r="M197" i="5"/>
  <c r="N197" i="5" s="1"/>
  <c r="U879" i="2"/>
  <c r="U1051" i="2" s="1"/>
  <c r="U737" i="2"/>
  <c r="X892" i="2"/>
  <c r="Y832" i="2"/>
  <c r="M211" i="5"/>
  <c r="N211" i="5" s="1"/>
  <c r="O1195" i="2"/>
  <c r="N1224" i="2"/>
  <c r="AC998" i="2"/>
  <c r="AD382" i="2"/>
  <c r="AC861" i="2"/>
  <c r="AA861" i="2"/>
  <c r="AA998" i="2"/>
  <c r="AA382" i="2"/>
  <c r="Z861" i="2"/>
  <c r="Z382" i="2"/>
  <c r="Z998" i="2"/>
  <c r="AB382" i="2"/>
  <c r="AE906" i="2"/>
  <c r="AE1207" i="2" s="1"/>
  <c r="H212" i="5"/>
  <c r="H208" i="5"/>
  <c r="H207" i="5"/>
  <c r="AA735" i="2"/>
  <c r="AA736" i="2" s="1"/>
  <c r="AL1252" i="2"/>
  <c r="AH1280" i="2"/>
  <c r="AG916" i="2"/>
  <c r="AG1125" i="2" s="1"/>
  <c r="AF1209" i="2"/>
  <c r="AI892" i="2"/>
  <c r="AJ832" i="2"/>
  <c r="Y741" i="2"/>
  <c r="Y879" i="2"/>
  <c r="Y1051" i="2" s="1"/>
  <c r="Y737" i="2"/>
  <c r="V230" i="10"/>
  <c r="U230" i="10" s="1"/>
  <c r="Q179" i="10"/>
  <c r="Q231" i="10" s="1"/>
  <c r="AK724" i="2"/>
  <c r="AK884" i="2" s="1"/>
  <c r="AK870" i="2" s="1"/>
  <c r="AJ884" i="2"/>
  <c r="AJ885" i="2"/>
  <c r="AJ890" i="2" s="1"/>
  <c r="AK725" i="2"/>
  <c r="Y1208" i="2"/>
  <c r="Y895" i="2"/>
  <c r="Y909" i="2" s="1"/>
  <c r="Y1123" i="2" s="1"/>
  <c r="V743" i="2"/>
  <c r="V1116" i="2" s="1"/>
  <c r="V866" i="2"/>
  <c r="V744" i="2"/>
  <c r="W742" i="2"/>
  <c r="X909" i="2"/>
  <c r="T1118" i="2" l="1"/>
  <c r="T733" i="2"/>
  <c r="AA1118" i="2"/>
  <c r="AA733" i="2"/>
  <c r="AJ605" i="2"/>
  <c r="AJ606" i="2"/>
  <c r="AJ604" i="2"/>
  <c r="AJ601" i="2" s="1"/>
  <c r="AJ599" i="2" s="1"/>
  <c r="AK559" i="2"/>
  <c r="AM576" i="2"/>
  <c r="AN576" i="2" s="1"/>
  <c r="X1050" i="2"/>
  <c r="X1055" i="2" s="1"/>
  <c r="X1057" i="2" s="1"/>
  <c r="X1068" i="2" s="1"/>
  <c r="X1066" i="2" s="1"/>
  <c r="X1069" i="2" s="1"/>
  <c r="X1071" i="2" s="1"/>
  <c r="AK563" i="2"/>
  <c r="AN570" i="2"/>
  <c r="AO570" i="2" s="1"/>
  <c r="AJ907" i="2"/>
  <c r="AK907" i="2" s="1"/>
  <c r="AL907" i="2" s="1"/>
  <c r="AM907" i="2" s="1"/>
  <c r="AN907" i="2" s="1"/>
  <c r="AO907" i="2" s="1"/>
  <c r="AP907" i="2" s="1"/>
  <c r="AQ907" i="2" s="1"/>
  <c r="AR907" i="2" s="1"/>
  <c r="AS907" i="2" s="1"/>
  <c r="AT907" i="2" s="1"/>
  <c r="X973" i="2"/>
  <c r="X972" i="2" s="1"/>
  <c r="T1023" i="2"/>
  <c r="BN1274" i="2"/>
  <c r="V1050" i="2"/>
  <c r="V1055" i="2" s="1"/>
  <c r="V1057" i="2" s="1"/>
  <c r="V1068" i="2" s="1"/>
  <c r="V1066" i="2" s="1"/>
  <c r="V1069" i="2" s="1"/>
  <c r="AR457" i="2"/>
  <c r="AR456" i="2" s="1"/>
  <c r="AQ455" i="2"/>
  <c r="W1023" i="2"/>
  <c r="Z1081" i="2"/>
  <c r="B30" i="11" s="1"/>
  <c r="Z1106" i="2"/>
  <c r="V1023" i="2"/>
  <c r="U1023" i="2"/>
  <c r="AB1106" i="2"/>
  <c r="AB1081" i="2"/>
  <c r="D30" i="11" s="1"/>
  <c r="AF1081" i="2"/>
  <c r="H30" i="11" s="1"/>
  <c r="AF1106" i="2"/>
  <c r="AC1106" i="2"/>
  <c r="AC1081" i="2"/>
  <c r="E30" i="11" s="1"/>
  <c r="Y1081" i="2"/>
  <c r="Y1106" i="2"/>
  <c r="X1081" i="2"/>
  <c r="X1106" i="2"/>
  <c r="AE1081" i="2"/>
  <c r="G30" i="11" s="1"/>
  <c r="AE1106" i="2"/>
  <c r="V1106" i="2"/>
  <c r="V1081" i="2"/>
  <c r="W1081" i="2"/>
  <c r="W1106" i="2"/>
  <c r="AA1106" i="2"/>
  <c r="AA1081" i="2"/>
  <c r="C30" i="11" s="1"/>
  <c r="AD1081" i="2"/>
  <c r="F30" i="11" s="1"/>
  <c r="AD1106" i="2"/>
  <c r="W1071" i="2"/>
  <c r="AA1203" i="2"/>
  <c r="AB1203" i="2" s="1"/>
  <c r="AC1203" i="2" s="1"/>
  <c r="AD1203" i="2" s="1"/>
  <c r="AE1203" i="2" s="1"/>
  <c r="AF1203" i="2" s="1"/>
  <c r="AG1203" i="2" s="1"/>
  <c r="AH1203" i="2" s="1"/>
  <c r="AI1203" i="2" s="1"/>
  <c r="AJ1203" i="2" s="1"/>
  <c r="AK1203" i="2" s="1"/>
  <c r="AL1203" i="2" s="1"/>
  <c r="AM1203" i="2" s="1"/>
  <c r="AN1203" i="2" s="1"/>
  <c r="AO1203" i="2" s="1"/>
  <c r="AP1203" i="2" s="1"/>
  <c r="AQ1203" i="2" s="1"/>
  <c r="AR1203" i="2" s="1"/>
  <c r="AS1203" i="2" s="1"/>
  <c r="AT1203" i="2" s="1"/>
  <c r="X1101" i="2"/>
  <c r="X914" i="2"/>
  <c r="W1243" i="2"/>
  <c r="BN1271" i="2" s="1"/>
  <c r="X1243" i="2"/>
  <c r="BR1271" i="2" s="1"/>
  <c r="Y1243" i="2"/>
  <c r="BV1271" i="2" s="1"/>
  <c r="AJ1120" i="2"/>
  <c r="V1243" i="2"/>
  <c r="BJ1271" i="2" s="1"/>
  <c r="CT1270" i="2"/>
  <c r="AJ1121" i="2"/>
  <c r="X1204" i="2"/>
  <c r="CT1274" i="2"/>
  <c r="H28" i="11"/>
  <c r="BV1270" i="2"/>
  <c r="V1204" i="2"/>
  <c r="AF915" i="2"/>
  <c r="AF1124" i="2" s="1"/>
  <c r="AE1124" i="2"/>
  <c r="V1115" i="2"/>
  <c r="V1119" i="2"/>
  <c r="V1117" i="2" s="1"/>
  <c r="AA894" i="2"/>
  <c r="AA1122" i="2" s="1"/>
  <c r="Z1122" i="2"/>
  <c r="X1115" i="2"/>
  <c r="X1119" i="2"/>
  <c r="X1117" i="2" s="1"/>
  <c r="X1116" i="2"/>
  <c r="Z727" i="2"/>
  <c r="Z1056" i="2" s="1"/>
  <c r="Z1067" i="2" s="1"/>
  <c r="AB735" i="2"/>
  <c r="AA728" i="2"/>
  <c r="AA727" i="2" s="1"/>
  <c r="AA1056" i="2" s="1"/>
  <c r="AA1067" i="2" s="1"/>
  <c r="AH386" i="2"/>
  <c r="AD386" i="2"/>
  <c r="AP555" i="2"/>
  <c r="AP1034" i="2" s="1"/>
  <c r="AL552" i="2"/>
  <c r="AE386" i="2"/>
  <c r="AK627" i="2"/>
  <c r="AK838" i="2" s="1"/>
  <c r="AJ838" i="2"/>
  <c r="X1200" i="2"/>
  <c r="AH508" i="2"/>
  <c r="AZ508" i="2"/>
  <c r="W1200" i="2"/>
  <c r="AR491" i="2"/>
  <c r="AQ490" i="2"/>
  <c r="AQ555" i="2" s="1"/>
  <c r="AQ1034" i="2" s="1"/>
  <c r="AE1210" i="2"/>
  <c r="AB862" i="2"/>
  <c r="AB1005" i="2" s="1"/>
  <c r="E80" i="12"/>
  <c r="E65" i="12"/>
  <c r="AF509" i="2"/>
  <c r="AX509" i="2"/>
  <c r="AF386" i="2"/>
  <c r="AK564" i="2"/>
  <c r="Z386" i="2"/>
  <c r="AF967" i="2"/>
  <c r="AB386" i="2"/>
  <c r="AD967" i="2"/>
  <c r="AA386" i="2"/>
  <c r="AC386" i="2"/>
  <c r="Q1270" i="2"/>
  <c r="K1243" i="2"/>
  <c r="Q1271" i="2" s="1"/>
  <c r="P1243" i="2"/>
  <c r="AK1271" i="2" s="1"/>
  <c r="AC1270" i="2"/>
  <c r="U1270" i="2"/>
  <c r="AS1274" i="2"/>
  <c r="AG1270" i="2"/>
  <c r="AO1270" i="2"/>
  <c r="M1270" i="2"/>
  <c r="S1243" i="2"/>
  <c r="AX1271" i="2" s="1"/>
  <c r="AV1271" i="2" s="1"/>
  <c r="AK1270" i="2"/>
  <c r="Q1243" i="2"/>
  <c r="AO1271" i="2" s="1"/>
  <c r="BF1270" i="2"/>
  <c r="BH1270" i="2" s="1"/>
  <c r="BB1270" i="2"/>
  <c r="Y847" i="2"/>
  <c r="Y857" i="2" s="1"/>
  <c r="O1243" i="2"/>
  <c r="AG1271" i="2" s="1"/>
  <c r="J1243" i="2"/>
  <c r="M1271" i="2" s="1"/>
  <c r="Y1270" i="2"/>
  <c r="L1243" i="2"/>
  <c r="U1271" i="2" s="1"/>
  <c r="U1243" i="2"/>
  <c r="BF1271" i="2" s="1"/>
  <c r="AX1270" i="2"/>
  <c r="N1243" i="2"/>
  <c r="AC1271" i="2" s="1"/>
  <c r="T1243" i="2"/>
  <c r="BB1271" i="2" s="1"/>
  <c r="M1243" i="2"/>
  <c r="Y1271" i="2" s="1"/>
  <c r="M213" i="5"/>
  <c r="N213" i="5" s="1"/>
  <c r="R25" i="7"/>
  <c r="R41" i="7"/>
  <c r="AL551" i="2"/>
  <c r="AO977" i="2"/>
  <c r="AP977" i="2" s="1"/>
  <c r="AQ977" i="2" s="1"/>
  <c r="AR977" i="2" s="1"/>
  <c r="AS977" i="2" s="1"/>
  <c r="AT977" i="2" s="1"/>
  <c r="AO970" i="2"/>
  <c r="AP970" i="2" s="1"/>
  <c r="AQ970" i="2" s="1"/>
  <c r="AR970" i="2" s="1"/>
  <c r="AS970" i="2" s="1"/>
  <c r="AT970" i="2" s="1"/>
  <c r="AO973" i="2"/>
  <c r="AP973" i="2" s="1"/>
  <c r="AQ973" i="2" s="1"/>
  <c r="AR973" i="2" s="1"/>
  <c r="AS973" i="2" s="1"/>
  <c r="AT973" i="2" s="1"/>
  <c r="AL983" i="2"/>
  <c r="AK984" i="2"/>
  <c r="CX1274" i="2"/>
  <c r="CX1275" i="2"/>
  <c r="P11" i="11"/>
  <c r="CP1274" i="2"/>
  <c r="F28" i="11"/>
  <c r="Z12" i="11"/>
  <c r="AA12" i="11" s="1"/>
  <c r="AB12" i="11" s="1"/>
  <c r="AC12" i="11" s="1"/>
  <c r="AD12" i="11" s="1"/>
  <c r="AE12" i="11" s="1"/>
  <c r="AF12" i="11" s="1"/>
  <c r="AG12" i="11" s="1"/>
  <c r="AH12" i="11" s="1"/>
  <c r="AI12" i="11" s="1"/>
  <c r="AJ12" i="11" s="1"/>
  <c r="AK12" i="11" s="1"/>
  <c r="AL12" i="11" s="1"/>
  <c r="AM12" i="11" s="1"/>
  <c r="AN12" i="11" s="1"/>
  <c r="AO12" i="11" s="1"/>
  <c r="AP12" i="11" s="1"/>
  <c r="AQ12" i="11" s="1"/>
  <c r="AR12" i="11" s="1"/>
  <c r="AS12" i="11" s="1"/>
  <c r="AT12" i="11" s="1"/>
  <c r="AU12" i="11" s="1"/>
  <c r="AV12" i="11" s="1"/>
  <c r="AW12" i="11" s="1"/>
  <c r="AX12" i="11" s="1"/>
  <c r="AY12" i="11" s="1"/>
  <c r="AZ12" i="11" s="1"/>
  <c r="BN1270" i="2"/>
  <c r="BM1270" i="2" s="1"/>
  <c r="BN1275" i="2"/>
  <c r="CH1270" i="2"/>
  <c r="CF1270" i="2" s="1"/>
  <c r="D28" i="11"/>
  <c r="U880" i="2"/>
  <c r="U1052" i="2" s="1"/>
  <c r="U1050" i="2" s="1"/>
  <c r="U1055" i="2" s="1"/>
  <c r="U1057" i="2" s="1"/>
  <c r="U1068" i="2" s="1"/>
  <c r="Q10" i="11"/>
  <c r="AK935" i="2"/>
  <c r="AK937" i="2" s="1"/>
  <c r="AJ1231" i="2"/>
  <c r="DB1259" i="2" s="1"/>
  <c r="M206" i="5"/>
  <c r="N206" i="5" s="1"/>
  <c r="M210" i="5"/>
  <c r="N210" i="5" s="1"/>
  <c r="R43" i="7"/>
  <c r="CP1270" i="2"/>
  <c r="M228" i="5"/>
  <c r="N228" i="5" s="1"/>
  <c r="M202" i="5"/>
  <c r="N202" i="5" s="1"/>
  <c r="X416" i="2"/>
  <c r="X1152" i="2" s="1"/>
  <c r="X858" i="2"/>
  <c r="X844" i="2"/>
  <c r="X1000" i="2" s="1"/>
  <c r="X1001" i="2" s="1"/>
  <c r="X417" i="2"/>
  <c r="X1153" i="2" s="1"/>
  <c r="AA401" i="2"/>
  <c r="Z401" i="2"/>
  <c r="X900" i="2"/>
  <c r="X1128" i="2" s="1"/>
  <c r="X925" i="2"/>
  <c r="AG967" i="2"/>
  <c r="AG386" i="2"/>
  <c r="AI1311" i="2"/>
  <c r="AI1323" i="2"/>
  <c r="AI1312" i="2"/>
  <c r="AI1324" i="2"/>
  <c r="CD1274" i="2"/>
  <c r="AK933" i="2"/>
  <c r="J228" i="5"/>
  <c r="Y899" i="2"/>
  <c r="Y1126" i="2" s="1"/>
  <c r="R848" i="2"/>
  <c r="R847" i="2" s="1"/>
  <c r="R857" i="2" s="1"/>
  <c r="Q848" i="2"/>
  <c r="Q847" i="2" s="1"/>
  <c r="Q857" i="2" s="1"/>
  <c r="P835" i="2"/>
  <c r="P834" i="2" s="1"/>
  <c r="P844" i="2" s="1"/>
  <c r="R834" i="2"/>
  <c r="R844" i="2" s="1"/>
  <c r="AF862" i="2"/>
  <c r="AF1005" i="2" s="1"/>
  <c r="AA835" i="2"/>
  <c r="AA848" i="2" s="1"/>
  <c r="R183" i="10"/>
  <c r="Q183" i="10" s="1"/>
  <c r="Q235" i="10" s="1"/>
  <c r="Z848" i="2"/>
  <c r="AE1004" i="2"/>
  <c r="Q144" i="10"/>
  <c r="Q220" i="10" s="1"/>
  <c r="U220" i="10" s="1"/>
  <c r="V220" i="10" s="1"/>
  <c r="V218" i="10" s="1"/>
  <c r="U218" i="10" s="1"/>
  <c r="CH1276" i="2"/>
  <c r="R35" i="7"/>
  <c r="X918" i="2"/>
  <c r="AD1004" i="2"/>
  <c r="AB401" i="2"/>
  <c r="R38" i="7"/>
  <c r="R12" i="7"/>
  <c r="R157" i="10"/>
  <c r="R223" i="10" s="1"/>
  <c r="AF319" i="2"/>
  <c r="AF320" i="2" s="1"/>
  <c r="X1004" i="2"/>
  <c r="X862" i="2"/>
  <c r="X1005" i="2" s="1"/>
  <c r="AD311" i="2"/>
  <c r="Q211" i="10"/>
  <c r="U211" i="10" s="1"/>
  <c r="V211" i="10" s="1"/>
  <c r="V210" i="10" s="1"/>
  <c r="U210" i="10" s="1"/>
  <c r="BZ1270" i="2"/>
  <c r="BR1270" i="2"/>
  <c r="V1004" i="2"/>
  <c r="V862" i="2"/>
  <c r="V1005" i="2" s="1"/>
  <c r="AE311" i="2"/>
  <c r="V1001" i="2"/>
  <c r="V845" i="2"/>
  <c r="CL1270" i="2"/>
  <c r="W845" i="2"/>
  <c r="W1000" i="2"/>
  <c r="W1001" i="2" s="1"/>
  <c r="M207" i="5"/>
  <c r="N207" i="5" s="1"/>
  <c r="Y892" i="2"/>
  <c r="Z832" i="2"/>
  <c r="W862" i="2"/>
  <c r="W1005" i="2" s="1"/>
  <c r="W1004" i="2"/>
  <c r="AG1305" i="2"/>
  <c r="AC862" i="2"/>
  <c r="AC1005" i="2" s="1"/>
  <c r="AC1004" i="2"/>
  <c r="U865" i="2"/>
  <c r="U1204" i="2" s="1"/>
  <c r="M208" i="5"/>
  <c r="N208" i="5" s="1"/>
  <c r="U741" i="2"/>
  <c r="V734" i="2"/>
  <c r="T737" i="2"/>
  <c r="T879" i="2"/>
  <c r="T1051" i="2" s="1"/>
  <c r="Y862" i="2"/>
  <c r="Y1005" i="2" s="1"/>
  <c r="Y1004" i="2"/>
  <c r="M212" i="5"/>
  <c r="N212" i="5" s="1"/>
  <c r="O1224" i="2"/>
  <c r="P1195" i="2"/>
  <c r="S727" i="2"/>
  <c r="S1056" i="2" s="1"/>
  <c r="S1067" i="2" s="1"/>
  <c r="R735" i="2"/>
  <c r="R728" i="2" s="1"/>
  <c r="Z862" i="2"/>
  <c r="Z1005" i="2" s="1"/>
  <c r="Z1004" i="2"/>
  <c r="AA862" i="2"/>
  <c r="AA1005" i="2" s="1"/>
  <c r="AA1004" i="2"/>
  <c r="AA737" i="2"/>
  <c r="AJ892" i="2"/>
  <c r="AK832" i="2"/>
  <c r="AP1252" i="2"/>
  <c r="AL1280" i="2"/>
  <c r="R211" i="10"/>
  <c r="R210" i="10" s="1"/>
  <c r="R81" i="10"/>
  <c r="Q81" i="10" s="1"/>
  <c r="Q210" i="10" s="1"/>
  <c r="Y865" i="2"/>
  <c r="Y880" i="2"/>
  <c r="Y1052" i="2" s="1"/>
  <c r="Y1050" i="2" s="1"/>
  <c r="Y1055" i="2" s="1"/>
  <c r="Y1057" i="2" s="1"/>
  <c r="Y734" i="2"/>
  <c r="AH916" i="2"/>
  <c r="AG1209" i="2"/>
  <c r="Z741" i="2"/>
  <c r="Z737" i="2"/>
  <c r="Z879" i="2"/>
  <c r="Z1051" i="2" s="1"/>
  <c r="AL724" i="2"/>
  <c r="AJ870" i="2"/>
  <c r="AK885" i="2"/>
  <c r="AK890" i="2" s="1"/>
  <c r="AL725" i="2"/>
  <c r="AJ871" i="2"/>
  <c r="V1009" i="2"/>
  <c r="V1200" i="2"/>
  <c r="Z1208" i="2"/>
  <c r="Z895" i="2"/>
  <c r="Z909" i="2" s="1"/>
  <c r="Z1123" i="2" s="1"/>
  <c r="CD1275" i="2"/>
  <c r="CD1276" i="2"/>
  <c r="S1118" i="2" l="1"/>
  <c r="S733" i="2"/>
  <c r="X1212" i="2"/>
  <c r="X1217" i="2" s="1"/>
  <c r="AP570" i="2"/>
  <c r="AQ570" i="2" s="1"/>
  <c r="AS457" i="2"/>
  <c r="AS456" i="2" s="1"/>
  <c r="AR455" i="2"/>
  <c r="V1071" i="2"/>
  <c r="Y1068" i="2"/>
  <c r="Y1212" i="2"/>
  <c r="Y1217" i="2" s="1"/>
  <c r="U1169" i="2"/>
  <c r="U1066" i="2"/>
  <c r="U1069" i="2" s="1"/>
  <c r="U1071" i="2" s="1"/>
  <c r="AF1210" i="2"/>
  <c r="AG915" i="2"/>
  <c r="AG1124" i="2" s="1"/>
  <c r="X1023" i="2"/>
  <c r="R1101" i="2"/>
  <c r="R1023" i="2"/>
  <c r="S1023" i="2"/>
  <c r="Q1101" i="2"/>
  <c r="F20" i="11"/>
  <c r="AK1120" i="2"/>
  <c r="D20" i="11"/>
  <c r="B20" i="11"/>
  <c r="C20" i="11"/>
  <c r="H20" i="11"/>
  <c r="BM1271" i="2"/>
  <c r="G20" i="11"/>
  <c r="E20" i="11"/>
  <c r="AH1125" i="2"/>
  <c r="AB894" i="2"/>
  <c r="BJ1274" i="2"/>
  <c r="BM1274" i="2" s="1"/>
  <c r="Y858" i="2"/>
  <c r="Y1101" i="2"/>
  <c r="CZ1274" i="2"/>
  <c r="BH1271" i="2"/>
  <c r="BV1274" i="2"/>
  <c r="AK1121" i="2"/>
  <c r="AE1247" i="2"/>
  <c r="CT1275" i="2" s="1"/>
  <c r="AB728" i="2"/>
  <c r="AB727" i="2" s="1"/>
  <c r="AB1056" i="2" s="1"/>
  <c r="AB1067" i="2" s="1"/>
  <c r="AB736" i="2"/>
  <c r="AB733" i="2" s="1"/>
  <c r="AC735" i="2"/>
  <c r="AC736" i="2" s="1"/>
  <c r="AM577" i="2"/>
  <c r="AM552" i="2"/>
  <c r="AL559" i="2"/>
  <c r="AM559" i="2" s="1"/>
  <c r="AL627" i="2"/>
  <c r="AM627" i="2" s="1"/>
  <c r="AG509" i="2"/>
  <c r="AY509" i="2"/>
  <c r="BA508" i="2"/>
  <c r="BB508" i="2"/>
  <c r="L82" i="12"/>
  <c r="V83" i="12"/>
  <c r="AG83" i="12"/>
  <c r="AA84" i="12"/>
  <c r="AG84" i="12"/>
  <c r="P82" i="12"/>
  <c r="AE83" i="12"/>
  <c r="Z82" i="12"/>
  <c r="Z83" i="12"/>
  <c r="X84" i="12"/>
  <c r="O82" i="12"/>
  <c r="M83" i="12"/>
  <c r="AE84" i="12"/>
  <c r="Q83" i="12"/>
  <c r="AE82" i="12"/>
  <c r="R82" i="12"/>
  <c r="AC84" i="12"/>
  <c r="AB82" i="12"/>
  <c r="AH84" i="12"/>
  <c r="AB84" i="12"/>
  <c r="AM82" i="12"/>
  <c r="AD83" i="12"/>
  <c r="AB83" i="12"/>
  <c r="U83" i="12"/>
  <c r="W84" i="12"/>
  <c r="Y83" i="12"/>
  <c r="T83" i="12"/>
  <c r="AO81" i="12"/>
  <c r="L83" i="12"/>
  <c r="K83" i="12"/>
  <c r="X82" i="12"/>
  <c r="V82" i="12"/>
  <c r="K84" i="12"/>
  <c r="T84" i="12"/>
  <c r="Q84" i="12"/>
  <c r="AJ82" i="12"/>
  <c r="AC83" i="12"/>
  <c r="M82" i="12"/>
  <c r="AA82" i="12"/>
  <c r="L84" i="12"/>
  <c r="N84" i="12"/>
  <c r="AL82" i="12"/>
  <c r="Z84" i="12"/>
  <c r="AF84" i="12"/>
  <c r="O83" i="12"/>
  <c r="Y82" i="12"/>
  <c r="AD84" i="12"/>
  <c r="AK82" i="12"/>
  <c r="N82" i="12"/>
  <c r="U84" i="12"/>
  <c r="AG82" i="12"/>
  <c r="AF82" i="12"/>
  <c r="S82" i="12"/>
  <c r="U82" i="12"/>
  <c r="X83" i="12"/>
  <c r="O84" i="12"/>
  <c r="R84" i="12"/>
  <c r="AF83" i="12"/>
  <c r="P84" i="12"/>
  <c r="AA83" i="12"/>
  <c r="Y84" i="12"/>
  <c r="V84" i="12"/>
  <c r="N83" i="12"/>
  <c r="M84" i="12"/>
  <c r="S83" i="12"/>
  <c r="AH82" i="12"/>
  <c r="R83" i="12"/>
  <c r="W82" i="12"/>
  <c r="AO82" i="12"/>
  <c r="K82" i="12"/>
  <c r="AH83" i="12"/>
  <c r="S84" i="12"/>
  <c r="P83" i="12"/>
  <c r="AC82" i="12"/>
  <c r="Q82" i="12"/>
  <c r="AD82" i="12"/>
  <c r="AN82" i="12"/>
  <c r="T82" i="12"/>
  <c r="W83" i="12"/>
  <c r="Z80" i="12"/>
  <c r="P80" i="12"/>
  <c r="M80" i="12"/>
  <c r="AC80" i="12"/>
  <c r="Y80" i="12"/>
  <c r="K80" i="12"/>
  <c r="AF80" i="12"/>
  <c r="O80" i="12"/>
  <c r="W80" i="12"/>
  <c r="U80" i="12"/>
  <c r="S80" i="12"/>
  <c r="X80" i="12"/>
  <c r="AH80" i="12"/>
  <c r="AG80" i="12"/>
  <c r="AE80" i="12"/>
  <c r="N80" i="12"/>
  <c r="V80" i="12"/>
  <c r="R80" i="12"/>
  <c r="L80" i="12"/>
  <c r="Q80" i="12"/>
  <c r="AO80" i="12"/>
  <c r="AD80" i="12"/>
  <c r="AB80" i="12"/>
  <c r="AA80" i="12"/>
  <c r="T80" i="12"/>
  <c r="AS491" i="2"/>
  <c r="AR490" i="2"/>
  <c r="AR555" i="2" s="1"/>
  <c r="AR1034" i="2" s="1"/>
  <c r="Y834" i="2"/>
  <c r="Y844" i="2" s="1"/>
  <c r="Y1023" i="2" s="1"/>
  <c r="J74" i="12"/>
  <c r="AL564" i="2"/>
  <c r="N1270" i="2"/>
  <c r="O1270" i="2"/>
  <c r="P1270" i="2"/>
  <c r="AK1274" i="2"/>
  <c r="AF1271" i="2"/>
  <c r="AE1271" i="2"/>
  <c r="AD1271" i="2"/>
  <c r="M1274" i="2"/>
  <c r="AA899" i="2"/>
  <c r="AA1126" i="2" s="1"/>
  <c r="AR1270" i="2"/>
  <c r="AQ1270" i="2"/>
  <c r="AP1270" i="2"/>
  <c r="AG1274" i="2"/>
  <c r="AQ1271" i="2"/>
  <c r="AR1271" i="2"/>
  <c r="AP1271" i="2"/>
  <c r="AA1271" i="2"/>
  <c r="AB1271" i="2"/>
  <c r="Z1271" i="2"/>
  <c r="AJ1270" i="2"/>
  <c r="AH1270" i="2"/>
  <c r="AI1270" i="2"/>
  <c r="BI1270" i="2"/>
  <c r="AM1271" i="2"/>
  <c r="AN1271" i="2"/>
  <c r="AL1271" i="2"/>
  <c r="BF1274" i="2"/>
  <c r="X1271" i="2"/>
  <c r="W1271" i="2"/>
  <c r="V1271" i="2"/>
  <c r="AC1274" i="2"/>
  <c r="AI1271" i="2"/>
  <c r="AJ1271" i="2"/>
  <c r="AH1271" i="2"/>
  <c r="Z847" i="2"/>
  <c r="Z834" i="2" s="1"/>
  <c r="AZ1270" i="2"/>
  <c r="AY1270" i="2"/>
  <c r="BA1270" i="2"/>
  <c r="AW1271" i="2"/>
  <c r="AB1270" i="2"/>
  <c r="Z1270" i="2"/>
  <c r="AA1270" i="2"/>
  <c r="AI910" i="2"/>
  <c r="R1271" i="2"/>
  <c r="S1271" i="2"/>
  <c r="T1271" i="2"/>
  <c r="AM1270" i="2"/>
  <c r="AL1270" i="2"/>
  <c r="AN1270" i="2"/>
  <c r="AX1274" i="2"/>
  <c r="AT1274" i="2" s="1"/>
  <c r="Y1274" i="2"/>
  <c r="V1270" i="2"/>
  <c r="X1270" i="2"/>
  <c r="W1270" i="2"/>
  <c r="O1271" i="2"/>
  <c r="P1271" i="2"/>
  <c r="N1271" i="2"/>
  <c r="AZ1271" i="2"/>
  <c r="AY1271" i="2"/>
  <c r="BA1271" i="2"/>
  <c r="BD1271" i="2"/>
  <c r="BC1271" i="2"/>
  <c r="BE1271" i="2"/>
  <c r="AT1271" i="2"/>
  <c r="BI1271" i="2"/>
  <c r="BG1271" i="2"/>
  <c r="R1270" i="2"/>
  <c r="S1270" i="2"/>
  <c r="T1270" i="2"/>
  <c r="AS1275" i="2"/>
  <c r="AS1276" i="2"/>
  <c r="AV1270" i="2"/>
  <c r="AT1270" i="2"/>
  <c r="U1274" i="2"/>
  <c r="AF1270" i="2"/>
  <c r="AE1270" i="2"/>
  <c r="AD1270" i="2"/>
  <c r="BG1270" i="2"/>
  <c r="BC1270" i="2"/>
  <c r="BE1270" i="2"/>
  <c r="BD1270" i="2"/>
  <c r="Q1274" i="2"/>
  <c r="AO1274" i="2"/>
  <c r="AR1274" i="2" s="1"/>
  <c r="AW1270" i="2"/>
  <c r="BB1274" i="2"/>
  <c r="R10" i="11"/>
  <c r="AM931" i="2"/>
  <c r="AM1025" i="2" s="1"/>
  <c r="AM1028" i="2" s="1"/>
  <c r="AJ735" i="2"/>
  <c r="AJ736" i="2" s="1"/>
  <c r="AJ1118" i="2" s="1"/>
  <c r="AL563" i="2"/>
  <c r="AN583" i="2"/>
  <c r="AK560" i="2"/>
  <c r="AK561" i="2"/>
  <c r="R26" i="7"/>
  <c r="DE1274" i="2"/>
  <c r="DD1274" i="2"/>
  <c r="AM551" i="2"/>
  <c r="AK578" i="2"/>
  <c r="DC1274" i="2"/>
  <c r="DA1274" i="2"/>
  <c r="CW1274" i="2"/>
  <c r="AM983" i="2"/>
  <c r="AL984" i="2"/>
  <c r="CR1274" i="2"/>
  <c r="S10" i="11"/>
  <c r="CV1274" i="2"/>
  <c r="AL933" i="2"/>
  <c r="CQ1274" i="2"/>
  <c r="CU1274" i="2"/>
  <c r="CS1274" i="2"/>
  <c r="CY1259" i="2"/>
  <c r="CZ1259" i="2"/>
  <c r="DA1259" i="2"/>
  <c r="AD1247" i="2"/>
  <c r="CY1274" i="2"/>
  <c r="BK1270" i="2"/>
  <c r="BL1270" i="2"/>
  <c r="BN1276" i="2"/>
  <c r="CE1270" i="2"/>
  <c r="CG1270" i="2"/>
  <c r="CR1270" i="2"/>
  <c r="CZ1270" i="2"/>
  <c r="DE1270" i="2"/>
  <c r="DC1270" i="2"/>
  <c r="DA1270" i="2"/>
  <c r="CY1270" i="2"/>
  <c r="DD1270" i="2"/>
  <c r="T880" i="2"/>
  <c r="T1052" i="2" s="1"/>
  <c r="T1050" i="2" s="1"/>
  <c r="T1055" i="2" s="1"/>
  <c r="T1057" i="2" s="1"/>
  <c r="T1068" i="2" s="1"/>
  <c r="AL935" i="2"/>
  <c r="AK1231" i="2"/>
  <c r="CQ1270" i="2"/>
  <c r="CV1270" i="2"/>
  <c r="CS1270" i="2"/>
  <c r="CU1270" i="2"/>
  <c r="CW1270" i="2"/>
  <c r="X845" i="2"/>
  <c r="Y941" i="2"/>
  <c r="Y937" i="2" s="1"/>
  <c r="Y416" i="2"/>
  <c r="Y1152" i="2" s="1"/>
  <c r="Y417" i="2"/>
  <c r="Y1153" i="2" s="1"/>
  <c r="X903" i="2"/>
  <c r="Y918" i="2"/>
  <c r="Y925" i="2"/>
  <c r="AJ1311" i="2"/>
  <c r="AJ1323" i="2"/>
  <c r="AJ1312" i="2"/>
  <c r="AJ1324" i="2"/>
  <c r="BK1271" i="2"/>
  <c r="BL1271" i="2"/>
  <c r="AL884" i="2"/>
  <c r="AM724" i="2"/>
  <c r="AL885" i="2"/>
  <c r="AL890" i="2" s="1"/>
  <c r="AM725" i="2"/>
  <c r="AK596" i="2"/>
  <c r="P848" i="2"/>
  <c r="P847" i="2" s="1"/>
  <c r="P857" i="2" s="1"/>
  <c r="Q1023" i="2" s="1"/>
  <c r="O835" i="2"/>
  <c r="O848" i="2" s="1"/>
  <c r="O847" i="2" s="1"/>
  <c r="O857" i="2" s="1"/>
  <c r="Y900" i="2"/>
  <c r="Y1128" i="2" s="1"/>
  <c r="CH1275" i="2"/>
  <c r="CE1275" i="2" s="1"/>
  <c r="R144" i="10"/>
  <c r="R220" i="10" s="1"/>
  <c r="R218" i="10" s="1"/>
  <c r="AB835" i="2"/>
  <c r="AB848" i="2" s="1"/>
  <c r="AA847" i="2"/>
  <c r="R178" i="10"/>
  <c r="Q178" i="10" s="1"/>
  <c r="Q230" i="10" s="1"/>
  <c r="Z899" i="2"/>
  <c r="AD401" i="2"/>
  <c r="CH1274" i="2"/>
  <c r="CF1274" i="2" s="1"/>
  <c r="R13" i="7"/>
  <c r="AC401" i="2"/>
  <c r="AK621" i="2"/>
  <c r="R30" i="7"/>
  <c r="R18" i="7"/>
  <c r="R37" i="7"/>
  <c r="BZ1274" i="2"/>
  <c r="BX1270" i="2"/>
  <c r="CB1270" i="2"/>
  <c r="BY1270" i="2"/>
  <c r="BW1270" i="2"/>
  <c r="CA1270" i="2"/>
  <c r="CC1270" i="2"/>
  <c r="BS1271" i="2"/>
  <c r="BT1271" i="2"/>
  <c r="BU1271" i="2"/>
  <c r="BO1271" i="2"/>
  <c r="BQ1271" i="2"/>
  <c r="BP1271" i="2"/>
  <c r="BR1274" i="2"/>
  <c r="BP1270" i="2"/>
  <c r="BQ1270" i="2"/>
  <c r="BO1270" i="2"/>
  <c r="BS1270" i="2"/>
  <c r="BU1270" i="2"/>
  <c r="BT1270" i="2"/>
  <c r="AF311" i="2"/>
  <c r="T865" i="2"/>
  <c r="T1204" i="2" s="1"/>
  <c r="AH1305" i="2"/>
  <c r="T741" i="2"/>
  <c r="U742" i="2" s="1"/>
  <c r="P1224" i="2"/>
  <c r="Q1195" i="2"/>
  <c r="U734" i="2"/>
  <c r="AC1247" i="2"/>
  <c r="AC1248" i="2" s="1"/>
  <c r="CL1274" i="2"/>
  <c r="U744" i="2"/>
  <c r="U743" i="2"/>
  <c r="U866" i="2"/>
  <c r="U1200" i="2" s="1"/>
  <c r="V742" i="2"/>
  <c r="CJ1270" i="2"/>
  <c r="CK1270" i="2"/>
  <c r="CI1270" i="2"/>
  <c r="CO1270" i="2"/>
  <c r="CM1270" i="2"/>
  <c r="CN1270" i="2"/>
  <c r="S879" i="2"/>
  <c r="S1051" i="2" s="1"/>
  <c r="S737" i="2"/>
  <c r="S741" i="2"/>
  <c r="AA832" i="2"/>
  <c r="AA892" i="2" s="1"/>
  <c r="Z892" i="2"/>
  <c r="R727" i="2"/>
  <c r="R1056" i="2" s="1"/>
  <c r="R1067" i="2" s="1"/>
  <c r="Q735" i="2"/>
  <c r="Q728" i="2" s="1"/>
  <c r="AG906" i="2"/>
  <c r="AF1207" i="2"/>
  <c r="AI916" i="2"/>
  <c r="AH1209" i="2"/>
  <c r="AA865" i="2"/>
  <c r="AA879" i="2"/>
  <c r="AA1051" i="2" s="1"/>
  <c r="Y914" i="2"/>
  <c r="Y1204" i="2"/>
  <c r="Y1008" i="2"/>
  <c r="Z865" i="2"/>
  <c r="AT1252" i="2"/>
  <c r="AP1280" i="2"/>
  <c r="AK892" i="2"/>
  <c r="AL832" i="2"/>
  <c r="Z880" i="2"/>
  <c r="Z734" i="2"/>
  <c r="Y744" i="2"/>
  <c r="Y743" i="2"/>
  <c r="Y866" i="2"/>
  <c r="Y742" i="2"/>
  <c r="AE401" i="2"/>
  <c r="AK871" i="2"/>
  <c r="BJ1276" i="2"/>
  <c r="BJ1275" i="2"/>
  <c r="CE1276" i="2"/>
  <c r="CF1276" i="2"/>
  <c r="CG1276" i="2"/>
  <c r="AA895" i="2"/>
  <c r="AA909" i="2" s="1"/>
  <c r="AA1123" i="2" s="1"/>
  <c r="AA1208" i="2"/>
  <c r="R1118" i="2" l="1"/>
  <c r="R733" i="2"/>
  <c r="AC1118" i="2"/>
  <c r="AC733" i="2"/>
  <c r="AH915" i="2"/>
  <c r="AH1124" i="2" s="1"/>
  <c r="AR570" i="2"/>
  <c r="AS570" i="2" s="1"/>
  <c r="AJ910" i="2"/>
  <c r="AK910" i="2" s="1"/>
  <c r="AL910" i="2" s="1"/>
  <c r="AM910" i="2" s="1"/>
  <c r="AN910" i="2" s="1"/>
  <c r="AO910" i="2" s="1"/>
  <c r="AP910" i="2" s="1"/>
  <c r="AQ910" i="2" s="1"/>
  <c r="AR910" i="2" s="1"/>
  <c r="AS910" i="2" s="1"/>
  <c r="AT910" i="2" s="1"/>
  <c r="X977" i="2"/>
  <c r="X976" i="2" s="1"/>
  <c r="AG1210" i="2"/>
  <c r="AI1125" i="2"/>
  <c r="X979" i="2"/>
  <c r="AN552" i="2"/>
  <c r="AO552" i="2" s="1"/>
  <c r="CP1275" i="2"/>
  <c r="CU1275" i="2" s="1"/>
  <c r="AD1248" i="2"/>
  <c r="CP1276" i="2" s="1"/>
  <c r="BG1274" i="2"/>
  <c r="AT457" i="2"/>
  <c r="AS455" i="2"/>
  <c r="BL1274" i="2"/>
  <c r="BK1274" i="2"/>
  <c r="T1169" i="2"/>
  <c r="T1066" i="2"/>
  <c r="T1069" i="2" s="1"/>
  <c r="T1071" i="2" s="1"/>
  <c r="O1101" i="2"/>
  <c r="Z1052" i="2"/>
  <c r="Z1050" i="2" s="1"/>
  <c r="Z1055" i="2" s="1"/>
  <c r="Z1057" i="2" s="1"/>
  <c r="Z1083" i="2"/>
  <c r="U1170" i="2"/>
  <c r="P1101" i="2"/>
  <c r="Y1066" i="2"/>
  <c r="Y1069" i="2" s="1"/>
  <c r="Y1071" i="2" s="1"/>
  <c r="AL1120" i="2"/>
  <c r="AL1121" i="2"/>
  <c r="AM935" i="2"/>
  <c r="AM1108" i="2"/>
  <c r="AM1139" i="2" s="1"/>
  <c r="AC894" i="2"/>
  <c r="AB1122" i="2"/>
  <c r="V970" i="2"/>
  <c r="V969" i="2" s="1"/>
  <c r="Z914" i="2"/>
  <c r="BV1276" i="2"/>
  <c r="BV1275" i="2"/>
  <c r="Z900" i="2"/>
  <c r="Z1128" i="2" s="1"/>
  <c r="Z1126" i="2"/>
  <c r="AE1248" i="2"/>
  <c r="CT1276" i="2" s="1"/>
  <c r="AB1118" i="2"/>
  <c r="Y1115" i="2"/>
  <c r="Y1119" i="2"/>
  <c r="Y1117" i="2" s="1"/>
  <c r="Y1116" i="2"/>
  <c r="U1115" i="2"/>
  <c r="U1119" i="2"/>
  <c r="U1117" i="2" s="1"/>
  <c r="U1116" i="2"/>
  <c r="AC728" i="2"/>
  <c r="AC727" i="2" s="1"/>
  <c r="AC1056" i="2" s="1"/>
  <c r="AC1067" i="2" s="1"/>
  <c r="AD735" i="2"/>
  <c r="AD736" i="2" s="1"/>
  <c r="BH508" i="2"/>
  <c r="AO508" i="2" s="1"/>
  <c r="AP508" i="2" s="1"/>
  <c r="AQ508" i="2" s="1"/>
  <c r="AR508" i="2" s="1"/>
  <c r="AS508" i="2" s="1"/>
  <c r="AT508" i="2" s="1"/>
  <c r="AK735" i="2"/>
  <c r="AJ728" i="2"/>
  <c r="AO583" i="2"/>
  <c r="AL838" i="2"/>
  <c r="AN551" i="2"/>
  <c r="AN577" i="2"/>
  <c r="AM563" i="2"/>
  <c r="AI82" i="12"/>
  <c r="AI84" i="12"/>
  <c r="AI80" i="12"/>
  <c r="AI83" i="12"/>
  <c r="AT491" i="2"/>
  <c r="AT490" i="2" s="1"/>
  <c r="AS490" i="2"/>
  <c r="AS555" i="2" s="1"/>
  <c r="AS1034" i="2" s="1"/>
  <c r="Y993" i="2"/>
  <c r="Z857" i="2"/>
  <c r="AA918" i="2"/>
  <c r="AH509" i="2"/>
  <c r="AZ509" i="2"/>
  <c r="AM564" i="2"/>
  <c r="T10" i="11"/>
  <c r="W1274" i="2"/>
  <c r="AB1274" i="2"/>
  <c r="AA1274" i="2"/>
  <c r="Z1274" i="2"/>
  <c r="X1274" i="2"/>
  <c r="V1274" i="2"/>
  <c r="Y1275" i="2"/>
  <c r="Y1276" i="2"/>
  <c r="AH1274" i="2"/>
  <c r="AJ1274" i="2"/>
  <c r="AI1274" i="2"/>
  <c r="AA741" i="2"/>
  <c r="AV1274" i="2"/>
  <c r="AA900" i="2"/>
  <c r="AA1128" i="2" s="1"/>
  <c r="AC1275" i="2"/>
  <c r="AC1276" i="2"/>
  <c r="AF1274" i="2"/>
  <c r="AD1274" i="2"/>
  <c r="AE1274" i="2"/>
  <c r="AK1275" i="2"/>
  <c r="AK1276" i="2"/>
  <c r="AB899" i="2"/>
  <c r="AG1275" i="2"/>
  <c r="AG1276" i="2"/>
  <c r="M1275" i="2"/>
  <c r="M1276" i="2"/>
  <c r="AO1276" i="2"/>
  <c r="AO1275" i="2"/>
  <c r="AL1274" i="2"/>
  <c r="AM1274" i="2"/>
  <c r="AN1274" i="2"/>
  <c r="U1275" i="2"/>
  <c r="U1276" i="2"/>
  <c r="BH1274" i="2"/>
  <c r="BI1274" i="2"/>
  <c r="AA925" i="2"/>
  <c r="AQ1274" i="2"/>
  <c r="AP1274" i="2"/>
  <c r="BF1275" i="2"/>
  <c r="BH1275" i="2" s="1"/>
  <c r="BF1276" i="2"/>
  <c r="BH1276" i="2" s="1"/>
  <c r="AY1274" i="2"/>
  <c r="AZ1274" i="2"/>
  <c r="BA1274" i="2"/>
  <c r="BC1274" i="2"/>
  <c r="BE1274" i="2"/>
  <c r="BD1274" i="2"/>
  <c r="AW1274" i="2"/>
  <c r="P1274" i="2"/>
  <c r="O1274" i="2"/>
  <c r="N1274" i="2"/>
  <c r="Q1276" i="2"/>
  <c r="Q1275" i="2"/>
  <c r="AX1275" i="2"/>
  <c r="AT1275" i="2" s="1"/>
  <c r="AX1276" i="2"/>
  <c r="AV1276" i="2" s="1"/>
  <c r="BB1275" i="2"/>
  <c r="BB1276" i="2"/>
  <c r="R1274" i="2"/>
  <c r="T1274" i="2"/>
  <c r="S1274" i="2"/>
  <c r="AN931" i="2"/>
  <c r="AN1025" i="2" s="1"/>
  <c r="AN1028" i="2" s="1"/>
  <c r="AK566" i="2"/>
  <c r="AL560" i="2"/>
  <c r="AL561" i="2"/>
  <c r="AL565" i="2"/>
  <c r="AL578" i="2"/>
  <c r="V10" i="11"/>
  <c r="AN983" i="2"/>
  <c r="AM984" i="2"/>
  <c r="AK558" i="2"/>
  <c r="AM933" i="2"/>
  <c r="Q11" i="11"/>
  <c r="AM1231" i="2"/>
  <c r="AL1231" i="2"/>
  <c r="S880" i="2"/>
  <c r="S1052" i="2" s="1"/>
  <c r="S1050" i="2" s="1"/>
  <c r="S1055" i="2" s="1"/>
  <c r="S1057" i="2" s="1"/>
  <c r="S1068" i="2" s="1"/>
  <c r="AM838" i="2"/>
  <c r="AN627" i="2"/>
  <c r="AM885" i="2"/>
  <c r="AM890" i="2" s="1"/>
  <c r="AN725" i="2"/>
  <c r="AM884" i="2"/>
  <c r="AN724" i="2"/>
  <c r="AA857" i="2"/>
  <c r="AA1101" i="2" s="1"/>
  <c r="AA834" i="2"/>
  <c r="AA844" i="2" s="1"/>
  <c r="AA1000" i="2" s="1"/>
  <c r="Y1000" i="2"/>
  <c r="Y845" i="2"/>
  <c r="Y953" i="2"/>
  <c r="Y960" i="2" s="1"/>
  <c r="Z844" i="2"/>
  <c r="Z993" i="2"/>
  <c r="Y943" i="2"/>
  <c r="Y398" i="2"/>
  <c r="Y399" i="2" s="1"/>
  <c r="AK1311" i="2"/>
  <c r="AK1323" i="2"/>
  <c r="AK1312" i="2"/>
  <c r="AK1324" i="2"/>
  <c r="AL870" i="2"/>
  <c r="AL871" i="2"/>
  <c r="AL892" i="2"/>
  <c r="AM832" i="2"/>
  <c r="N835" i="2"/>
  <c r="M835" i="2" s="1"/>
  <c r="O834" i="2"/>
  <c r="O844" i="2" s="1"/>
  <c r="AL596" i="2"/>
  <c r="AM596" i="2" s="1"/>
  <c r="Y903" i="2"/>
  <c r="Z918" i="2"/>
  <c r="CG1275" i="2"/>
  <c r="CF1275" i="2"/>
  <c r="AB847" i="2"/>
  <c r="R136" i="10"/>
  <c r="Q136" i="10" s="1"/>
  <c r="Q218" i="10" s="1"/>
  <c r="AC835" i="2"/>
  <c r="AC848" i="2" s="1"/>
  <c r="Z925" i="2"/>
  <c r="AK620" i="2"/>
  <c r="CE1274" i="2"/>
  <c r="CG1274" i="2"/>
  <c r="AK628" i="2"/>
  <c r="AK597" i="2"/>
  <c r="R23" i="7"/>
  <c r="R19" i="7"/>
  <c r="AL621" i="2"/>
  <c r="AK623" i="2"/>
  <c r="BZ1275" i="2"/>
  <c r="BZ1276" i="2"/>
  <c r="BX1274" i="2"/>
  <c r="CB1274" i="2"/>
  <c r="BW1274" i="2"/>
  <c r="CA1274" i="2"/>
  <c r="BY1274" i="2"/>
  <c r="CC1274" i="2"/>
  <c r="BR1275" i="2"/>
  <c r="BR1276" i="2"/>
  <c r="BP1274" i="2"/>
  <c r="BO1274" i="2"/>
  <c r="BQ1274" i="2"/>
  <c r="BU1274" i="2"/>
  <c r="BS1274" i="2"/>
  <c r="BT1274" i="2"/>
  <c r="S744" i="2"/>
  <c r="S743" i="2"/>
  <c r="S866" i="2"/>
  <c r="S1200" i="2" s="1"/>
  <c r="R24" i="7"/>
  <c r="Q1224" i="2"/>
  <c r="R1195" i="2"/>
  <c r="R879" i="2"/>
  <c r="R1051" i="2" s="1"/>
  <c r="R737" i="2"/>
  <c r="T742" i="2"/>
  <c r="T744" i="2"/>
  <c r="T866" i="2"/>
  <c r="T1200" i="2" s="1"/>
  <c r="T743" i="2"/>
  <c r="S865" i="2"/>
  <c r="S1204" i="2" s="1"/>
  <c r="T734" i="2"/>
  <c r="AI1305" i="2"/>
  <c r="CK1274" i="2"/>
  <c r="CI1274" i="2"/>
  <c r="CM1274" i="2"/>
  <c r="CJ1274" i="2"/>
  <c r="CO1274" i="2"/>
  <c r="CN1274" i="2"/>
  <c r="Q727" i="2"/>
  <c r="Q1056" i="2" s="1"/>
  <c r="Q1067" i="2" s="1"/>
  <c r="P735" i="2"/>
  <c r="P728" i="2" s="1"/>
  <c r="CL1275" i="2"/>
  <c r="CL1276" i="2"/>
  <c r="AG1207" i="2"/>
  <c r="AH906" i="2"/>
  <c r="AA880" i="2"/>
  <c r="AH1210" i="2"/>
  <c r="AI915" i="2"/>
  <c r="AA1008" i="2"/>
  <c r="AA1204" i="2"/>
  <c r="AA734" i="2"/>
  <c r="AT1280" i="2"/>
  <c r="AY1252" i="2"/>
  <c r="AB879" i="2"/>
  <c r="AB1051" i="2" s="1"/>
  <c r="Z866" i="2"/>
  <c r="Z1115" i="2" s="1"/>
  <c r="Z743" i="2"/>
  <c r="Z744" i="2"/>
  <c r="Z346" i="2" s="1"/>
  <c r="Z348" i="2" s="1"/>
  <c r="Z742" i="2"/>
  <c r="Z1204" i="2"/>
  <c r="Z1008" i="2"/>
  <c r="Y1009" i="2"/>
  <c r="Y1200" i="2"/>
  <c r="AI1209" i="2"/>
  <c r="AJ916" i="2"/>
  <c r="AJ1125" i="2" s="1"/>
  <c r="AF401" i="2"/>
  <c r="BL1275" i="2"/>
  <c r="BK1275" i="2"/>
  <c r="BM1275" i="2"/>
  <c r="AB1208" i="2"/>
  <c r="AB895" i="2"/>
  <c r="AB909" i="2" s="1"/>
  <c r="AB1123" i="2" s="1"/>
  <c r="BL1276" i="2"/>
  <c r="BK1276" i="2"/>
  <c r="BM1276" i="2"/>
  <c r="AD1118" i="2" l="1"/>
  <c r="AD733" i="2"/>
  <c r="Q1118" i="2"/>
  <c r="Q733" i="2"/>
  <c r="AM578" i="2"/>
  <c r="AN578" i="2" s="1"/>
  <c r="AO551" i="2"/>
  <c r="DD1275" i="2"/>
  <c r="AT570" i="2"/>
  <c r="CV1275" i="2"/>
  <c r="CW1275" i="2"/>
  <c r="DA1275" i="2"/>
  <c r="CZ1275" i="2"/>
  <c r="DE1275" i="2"/>
  <c r="CY1275" i="2"/>
  <c r="CQ1275" i="2"/>
  <c r="DC1275" i="2"/>
  <c r="AI1124" i="2"/>
  <c r="X978" i="2"/>
  <c r="CS1275" i="2"/>
  <c r="AE735" i="2"/>
  <c r="AE736" i="2" s="1"/>
  <c r="CR1275" i="2"/>
  <c r="AD728" i="2"/>
  <c r="AD727" i="2" s="1"/>
  <c r="AD1056" i="2" s="1"/>
  <c r="AD1067" i="2" s="1"/>
  <c r="AN563" i="2"/>
  <c r="Z1023" i="2"/>
  <c r="B8" i="11" s="1"/>
  <c r="AT456" i="2"/>
  <c r="AT455" i="2" s="1"/>
  <c r="AC734" i="2"/>
  <c r="P1023" i="2"/>
  <c r="Z1068" i="2"/>
  <c r="Z1212" i="2"/>
  <c r="Z1217" i="2" s="1"/>
  <c r="S1066" i="2"/>
  <c r="S1069" i="2" s="1"/>
  <c r="S1071" i="2" s="1"/>
  <c r="S1169" i="2"/>
  <c r="T1170" i="2"/>
  <c r="AA1052" i="2"/>
  <c r="AA1050" i="2" s="1"/>
  <c r="AA1055" i="2" s="1"/>
  <c r="AA1057" i="2" s="1"/>
  <c r="AA1083" i="2"/>
  <c r="Z1086" i="2"/>
  <c r="B32" i="11"/>
  <c r="AM1121" i="2"/>
  <c r="AM1120" i="2"/>
  <c r="DD1276" i="2"/>
  <c r="Z903" i="2"/>
  <c r="S1115" i="2"/>
  <c r="S1119" i="2"/>
  <c r="S1117" i="2" s="1"/>
  <c r="AB734" i="2"/>
  <c r="S1116" i="2"/>
  <c r="AD734" i="2"/>
  <c r="AB918" i="2"/>
  <c r="AB1126" i="2"/>
  <c r="AD894" i="2"/>
  <c r="AC1122" i="2"/>
  <c r="Z1119" i="2"/>
  <c r="Z1117" i="2" s="1"/>
  <c r="Z1116" i="2"/>
  <c r="T1115" i="2"/>
  <c r="T1119" i="2"/>
  <c r="T1117" i="2" s="1"/>
  <c r="T1116" i="2"/>
  <c r="AA858" i="2"/>
  <c r="AN1231" i="2"/>
  <c r="DF1259" i="2" s="1"/>
  <c r="AN1108" i="2"/>
  <c r="AN1139" i="2" s="1"/>
  <c r="Z858" i="2"/>
  <c r="Z1101" i="2"/>
  <c r="AL735" i="2"/>
  <c r="AK728" i="2"/>
  <c r="AK736" i="2"/>
  <c r="AK1118" i="2" s="1"/>
  <c r="AM871" i="2"/>
  <c r="AM1324" i="2" s="1"/>
  <c r="AN596" i="2"/>
  <c r="AM565" i="2"/>
  <c r="Y1001" i="2"/>
  <c r="AO577" i="2"/>
  <c r="AP583" i="2"/>
  <c r="AQ583" i="2" s="1"/>
  <c r="AP552" i="2"/>
  <c r="AQ552" i="2" s="1"/>
  <c r="AR552" i="2" s="1"/>
  <c r="AS552" i="2" s="1"/>
  <c r="AO576" i="2"/>
  <c r="AL566" i="2"/>
  <c r="AN564" i="2"/>
  <c r="AV1275" i="2"/>
  <c r="AW1275" i="2"/>
  <c r="AB900" i="2"/>
  <c r="AB1128" i="2" s="1"/>
  <c r="AT1276" i="2"/>
  <c r="AW1276" i="2"/>
  <c r="AK611" i="2"/>
  <c r="BA509" i="2"/>
  <c r="BB509" i="2"/>
  <c r="BH509" i="2" s="1"/>
  <c r="AO509" i="2" s="1"/>
  <c r="AP509" i="2" s="1"/>
  <c r="AQ509" i="2" s="1"/>
  <c r="AR509" i="2" s="1"/>
  <c r="AS509" i="2" s="1"/>
  <c r="AT509" i="2" s="1"/>
  <c r="BI1276" i="2"/>
  <c r="BG1276" i="2"/>
  <c r="Z941" i="2"/>
  <c r="AA941" i="2" s="1"/>
  <c r="AA937" i="2" s="1"/>
  <c r="AA1099" i="2" s="1"/>
  <c r="AT555" i="2"/>
  <c r="AT1034" i="2" s="1"/>
  <c r="Z417" i="2"/>
  <c r="Z1153" i="2" s="1"/>
  <c r="Z416" i="2"/>
  <c r="Z1152" i="2" s="1"/>
  <c r="AB925" i="2"/>
  <c r="AI837" i="2"/>
  <c r="AF1276" i="2"/>
  <c r="AE1276" i="2"/>
  <c r="AD1276" i="2"/>
  <c r="AM1275" i="2"/>
  <c r="AN1275" i="2"/>
  <c r="AL1275" i="2"/>
  <c r="AC847" i="2"/>
  <c r="AC857" i="2" s="1"/>
  <c r="BC1275" i="2"/>
  <c r="BE1275" i="2"/>
  <c r="BD1275" i="2"/>
  <c r="AF1275" i="2"/>
  <c r="AD1275" i="2"/>
  <c r="AE1275" i="2"/>
  <c r="AA1276" i="2"/>
  <c r="AB1276" i="2"/>
  <c r="Z1276" i="2"/>
  <c r="BA1276" i="2"/>
  <c r="AZ1276" i="2"/>
  <c r="AY1276" i="2"/>
  <c r="AI1275" i="2"/>
  <c r="AH1275" i="2"/>
  <c r="AJ1275" i="2"/>
  <c r="BI1275" i="2"/>
  <c r="BG1275" i="2"/>
  <c r="AR1276" i="2"/>
  <c r="AQ1276" i="2"/>
  <c r="AP1276" i="2"/>
  <c r="BE1276" i="2"/>
  <c r="BC1276" i="2"/>
  <c r="BD1276" i="2"/>
  <c r="AZ1275" i="2"/>
  <c r="AY1275" i="2"/>
  <c r="BA1275" i="2"/>
  <c r="R1275" i="2"/>
  <c r="S1275" i="2"/>
  <c r="T1275" i="2"/>
  <c r="W1275" i="2"/>
  <c r="V1275" i="2"/>
  <c r="X1275" i="2"/>
  <c r="O1276" i="2"/>
  <c r="N1276" i="2"/>
  <c r="P1276" i="2"/>
  <c r="Z1275" i="2"/>
  <c r="AA1275" i="2"/>
  <c r="AB1275" i="2"/>
  <c r="S1276" i="2"/>
  <c r="T1276" i="2"/>
  <c r="R1276" i="2"/>
  <c r="W1276" i="2"/>
  <c r="V1276" i="2"/>
  <c r="X1276" i="2"/>
  <c r="AP1275" i="2"/>
  <c r="AR1275" i="2"/>
  <c r="AQ1275" i="2"/>
  <c r="O1275" i="2"/>
  <c r="N1275" i="2"/>
  <c r="P1275" i="2"/>
  <c r="AI1276" i="2"/>
  <c r="AJ1276" i="2"/>
  <c r="AH1276" i="2"/>
  <c r="AA903" i="2"/>
  <c r="AN1276" i="2"/>
  <c r="AM1276" i="2"/>
  <c r="AL1276" i="2"/>
  <c r="AN935" i="2"/>
  <c r="AN933" i="2"/>
  <c r="AO983" i="2"/>
  <c r="AN984" i="2"/>
  <c r="CS1276" i="2"/>
  <c r="CQ1276" i="2"/>
  <c r="CW1276" i="2"/>
  <c r="DC1276" i="2"/>
  <c r="CZ1276" i="2"/>
  <c r="DA1276" i="2"/>
  <c r="CR1276" i="2"/>
  <c r="DE1276" i="2"/>
  <c r="CY1276" i="2"/>
  <c r="CV1276" i="2"/>
  <c r="CU1276" i="2"/>
  <c r="R11" i="11"/>
  <c r="B34" i="11"/>
  <c r="B31" i="11"/>
  <c r="AL558" i="2"/>
  <c r="AM892" i="2"/>
  <c r="AN832" i="2"/>
  <c r="R880" i="2"/>
  <c r="R1052" i="2" s="1"/>
  <c r="R1050" i="2" s="1"/>
  <c r="R1055" i="2" s="1"/>
  <c r="R1057" i="2" s="1"/>
  <c r="R1068" i="2" s="1"/>
  <c r="AM870" i="2"/>
  <c r="AM1311" i="2" s="1"/>
  <c r="AO627" i="2"/>
  <c r="AN838" i="2"/>
  <c r="AL1323" i="2"/>
  <c r="AL1311" i="2"/>
  <c r="AN884" i="2"/>
  <c r="AO724" i="2"/>
  <c r="AN885" i="2"/>
  <c r="AN890" i="2" s="1"/>
  <c r="AO725" i="2"/>
  <c r="AL1324" i="2"/>
  <c r="AL1312" i="2"/>
  <c r="AM621" i="2"/>
  <c r="N834" i="2"/>
  <c r="N844" i="2" s="1"/>
  <c r="AA416" i="2"/>
  <c r="AA1152" i="2" s="1"/>
  <c r="N848" i="2"/>
  <c r="N847" i="2" s="1"/>
  <c r="N857" i="2" s="1"/>
  <c r="AA417" i="2"/>
  <c r="AA1153" i="2" s="1"/>
  <c r="AA953" i="2"/>
  <c r="AA960" i="2" s="1"/>
  <c r="AA972" i="2" s="1"/>
  <c r="AA974" i="2" s="1"/>
  <c r="AA993" i="2"/>
  <c r="AA1001" i="2" s="1"/>
  <c r="AA845" i="2"/>
  <c r="Z1000" i="2"/>
  <c r="Z1001" i="2" s="1"/>
  <c r="Z953" i="2"/>
  <c r="Z960" i="2" s="1"/>
  <c r="Y976" i="2"/>
  <c r="Y972" i="2"/>
  <c r="Y974" i="2" s="1"/>
  <c r="Y969" i="2"/>
  <c r="AB857" i="2"/>
  <c r="AB834" i="2"/>
  <c r="AB993" i="2" s="1"/>
  <c r="Z845" i="2"/>
  <c r="AL628" i="2"/>
  <c r="AD835" i="2"/>
  <c r="AD848" i="2" s="1"/>
  <c r="AD899" i="2" s="1"/>
  <c r="AD1126" i="2" s="1"/>
  <c r="AC899" i="2"/>
  <c r="AL620" i="2"/>
  <c r="AL597" i="2"/>
  <c r="R21" i="7"/>
  <c r="AL623" i="2"/>
  <c r="AK615" i="2"/>
  <c r="AK603" i="2"/>
  <c r="BW1276" i="2"/>
  <c r="CA1276" i="2"/>
  <c r="CB1276" i="2"/>
  <c r="BY1276" i="2"/>
  <c r="BX1276" i="2"/>
  <c r="CC1276" i="2"/>
  <c r="CB1275" i="2"/>
  <c r="CC1275" i="2"/>
  <c r="BY1275" i="2"/>
  <c r="BW1275" i="2"/>
  <c r="BX1275" i="2"/>
  <c r="CA1275" i="2"/>
  <c r="BP1276" i="2"/>
  <c r="BO1276" i="2"/>
  <c r="BQ1276" i="2"/>
  <c r="BU1276" i="2"/>
  <c r="BT1276" i="2"/>
  <c r="BS1276" i="2"/>
  <c r="AK610" i="2"/>
  <c r="BQ1275" i="2"/>
  <c r="BP1275" i="2"/>
  <c r="BO1275" i="2"/>
  <c r="BU1275" i="2"/>
  <c r="BT1275" i="2"/>
  <c r="BS1275" i="2"/>
  <c r="Q879" i="2"/>
  <c r="Q1051" i="2" s="1"/>
  <c r="Q737" i="2"/>
  <c r="P1118" i="2"/>
  <c r="O735" i="2"/>
  <c r="O728" i="2" s="1"/>
  <c r="P727" i="2"/>
  <c r="P1056" i="2" s="1"/>
  <c r="P1067" i="2" s="1"/>
  <c r="AJ837" i="2"/>
  <c r="R865" i="2"/>
  <c r="R1204" i="2" s="1"/>
  <c r="AK622" i="2"/>
  <c r="AJ1305" i="2"/>
  <c r="S734" i="2"/>
  <c r="R741" i="2"/>
  <c r="S1195" i="2"/>
  <c r="R1224" i="2"/>
  <c r="CK1276" i="2"/>
  <c r="CJ1276" i="2"/>
  <c r="CI1276" i="2"/>
  <c r="CM1276" i="2"/>
  <c r="CN1276" i="2"/>
  <c r="CO1276" i="2"/>
  <c r="CJ1275" i="2"/>
  <c r="CK1275" i="2"/>
  <c r="CI1275" i="2"/>
  <c r="CO1275" i="2"/>
  <c r="CM1275" i="2"/>
  <c r="CN1275" i="2"/>
  <c r="R20" i="7"/>
  <c r="AG1299" i="2"/>
  <c r="AI906" i="2"/>
  <c r="AH1207" i="2"/>
  <c r="AA866" i="2"/>
  <c r="AA1115" i="2" s="1"/>
  <c r="AA744" i="2"/>
  <c r="AA346" i="2" s="1"/>
  <c r="AA348" i="2" s="1"/>
  <c r="AA742" i="2"/>
  <c r="AA743" i="2"/>
  <c r="BC1252" i="2"/>
  <c r="AY1280" i="2"/>
  <c r="L835" i="2"/>
  <c r="M848" i="2"/>
  <c r="M847" i="2" s="1"/>
  <c r="M857" i="2" s="1"/>
  <c r="M834" i="2"/>
  <c r="M844" i="2" s="1"/>
  <c r="AC879" i="2"/>
  <c r="AC1051" i="2" s="1"/>
  <c r="AK916" i="2"/>
  <c r="AK1125" i="2" s="1"/>
  <c r="AJ1209" i="2"/>
  <c r="AJ915" i="2"/>
  <c r="AJ1124" i="2" s="1"/>
  <c r="AI1210" i="2"/>
  <c r="AA914" i="2"/>
  <c r="Z1200" i="2"/>
  <c r="Z1009" i="2"/>
  <c r="AB880" i="2"/>
  <c r="AG1297" i="2"/>
  <c r="R15" i="7"/>
  <c r="AH957" i="2"/>
  <c r="AI957" i="2" s="1"/>
  <c r="AJ957" i="2" s="1"/>
  <c r="AC1208" i="2"/>
  <c r="AC895" i="2"/>
  <c r="AE1118" i="2" l="1"/>
  <c r="AE733" i="2"/>
  <c r="AO578" i="2"/>
  <c r="AF735" i="2"/>
  <c r="AF736" i="2" s="1"/>
  <c r="AO563" i="2"/>
  <c r="AP563" i="2" s="1"/>
  <c r="AQ563" i="2" s="1"/>
  <c r="AR563" i="2" s="1"/>
  <c r="AS563" i="2" s="1"/>
  <c r="AE728" i="2"/>
  <c r="AE727" i="2" s="1"/>
  <c r="AE1056" i="2" s="1"/>
  <c r="AE1067" i="2" s="1"/>
  <c r="R1169" i="2"/>
  <c r="R1066" i="2"/>
  <c r="R1069" i="2" s="1"/>
  <c r="R1071" i="2" s="1"/>
  <c r="M1101" i="2"/>
  <c r="N1101" i="2"/>
  <c r="N1023" i="2"/>
  <c r="S1170" i="2"/>
  <c r="B16" i="11"/>
  <c r="Z1066" i="2"/>
  <c r="Z1069" i="2" s="1"/>
  <c r="Z1071" i="2" s="1"/>
  <c r="AA1068" i="2"/>
  <c r="AA1212" i="2"/>
  <c r="AA1217" i="2"/>
  <c r="C32" i="11"/>
  <c r="AA1086" i="2"/>
  <c r="AB1052" i="2"/>
  <c r="AB1050" i="2" s="1"/>
  <c r="AB1055" i="2" s="1"/>
  <c r="AB1057" i="2" s="1"/>
  <c r="AB1083" i="2"/>
  <c r="O1023" i="2"/>
  <c r="AN1120" i="2"/>
  <c r="S11" i="11"/>
  <c r="T11" i="11" s="1"/>
  <c r="AE894" i="2"/>
  <c r="AD1122" i="2"/>
  <c r="AD895" i="2"/>
  <c r="AC858" i="2"/>
  <c r="AC1101" i="2"/>
  <c r="AN1121" i="2"/>
  <c r="AE734" i="2"/>
  <c r="AA1119" i="2"/>
  <c r="AA1117" i="2" s="1"/>
  <c r="AA1116" i="2"/>
  <c r="AB416" i="2"/>
  <c r="AB1152" i="2" s="1"/>
  <c r="AB1101" i="2"/>
  <c r="AC925" i="2"/>
  <c r="AC1126" i="2"/>
  <c r="AO596" i="2"/>
  <c r="AM1312" i="2"/>
  <c r="AM735" i="2"/>
  <c r="AL728" i="2"/>
  <c r="AL736" i="2"/>
  <c r="AL1118" i="2" s="1"/>
  <c r="AG735" i="2"/>
  <c r="AF728" i="2"/>
  <c r="AF727" i="2" s="1"/>
  <c r="AF1056" i="2" s="1"/>
  <c r="AF1067" i="2" s="1"/>
  <c r="AP551" i="2"/>
  <c r="AQ551" i="2" s="1"/>
  <c r="AR551" i="2" s="1"/>
  <c r="AS551" i="2" s="1"/>
  <c r="AL611" i="2"/>
  <c r="AB903" i="2"/>
  <c r="AM566" i="2"/>
  <c r="AP576" i="2"/>
  <c r="AQ576" i="2" s="1"/>
  <c r="AR576" i="2" s="1"/>
  <c r="AP577" i="2"/>
  <c r="AQ577" i="2" s="1"/>
  <c r="AR577" i="2" s="1"/>
  <c r="AS577" i="2" s="1"/>
  <c r="AT577" i="2" s="1"/>
  <c r="AN565" i="2"/>
  <c r="AO564" i="2"/>
  <c r="AA398" i="2"/>
  <c r="AA399" i="2" s="1"/>
  <c r="AB941" i="2"/>
  <c r="AB937" i="2" s="1"/>
  <c r="AA1197" i="2" s="1"/>
  <c r="Z1197" i="2" s="1"/>
  <c r="AA943" i="2"/>
  <c r="AT552" i="2"/>
  <c r="AO884" i="2"/>
  <c r="AP724" i="2"/>
  <c r="Z937" i="2"/>
  <c r="AO984" i="2"/>
  <c r="AP983" i="2"/>
  <c r="AO885" i="2"/>
  <c r="AO890" i="2" s="1"/>
  <c r="AP725" i="2"/>
  <c r="AR583" i="2"/>
  <c r="AO838" i="2"/>
  <c r="AP627" i="2"/>
  <c r="AC834" i="2"/>
  <c r="AC993" i="2" s="1"/>
  <c r="AO933" i="2"/>
  <c r="AP933" i="2" s="1"/>
  <c r="AQ933" i="2" s="1"/>
  <c r="AR933" i="2" s="1"/>
  <c r="AS933" i="2" s="1"/>
  <c r="AT933" i="2" s="1"/>
  <c r="AD847" i="2"/>
  <c r="AD857" i="2" s="1"/>
  <c r="AO935" i="2"/>
  <c r="V11" i="11"/>
  <c r="AM558" i="2"/>
  <c r="DC1259" i="2"/>
  <c r="DE1259" i="2"/>
  <c r="DD1259" i="2"/>
  <c r="C34" i="11"/>
  <c r="C31" i="11"/>
  <c r="Q880" i="2"/>
  <c r="Q1052" i="2" s="1"/>
  <c r="Q1050" i="2" s="1"/>
  <c r="Q1055" i="2" s="1"/>
  <c r="Q1057" i="2" s="1"/>
  <c r="Q1068" i="2" s="1"/>
  <c r="AM1323" i="2"/>
  <c r="AO832" i="2"/>
  <c r="AN892" i="2"/>
  <c r="AN621" i="2"/>
  <c r="AO621" i="2" s="1"/>
  <c r="AO1231" i="2"/>
  <c r="AN871" i="2"/>
  <c r="AN870" i="2"/>
  <c r="AM623" i="2"/>
  <c r="AM597" i="2"/>
  <c r="AA969" i="2"/>
  <c r="AA976" i="2"/>
  <c r="AA978" i="2" s="1"/>
  <c r="AA1110" i="2" s="1"/>
  <c r="AB417" i="2"/>
  <c r="AB1153" i="2" s="1"/>
  <c r="AC416" i="2"/>
  <c r="AC1152" i="2" s="1"/>
  <c r="AC417" i="2"/>
  <c r="AC1153" i="2" s="1"/>
  <c r="AB858" i="2"/>
  <c r="AB844" i="2"/>
  <c r="Z976" i="2"/>
  <c r="Z972" i="2"/>
  <c r="Z974" i="2" s="1"/>
  <c r="Z969" i="2"/>
  <c r="Y979" i="2"/>
  <c r="Y978" i="2"/>
  <c r="AM620" i="2"/>
  <c r="AN620" i="2" s="1"/>
  <c r="AO620" i="2" s="1"/>
  <c r="AP620" i="2" s="1"/>
  <c r="AM628" i="2"/>
  <c r="AN628" i="2" s="1"/>
  <c r="AO628" i="2" s="1"/>
  <c r="AP628" i="2" s="1"/>
  <c r="AC918" i="2"/>
  <c r="AC900" i="2"/>
  <c r="AD900" i="2"/>
  <c r="AD1128" i="2" s="1"/>
  <c r="AE835" i="2"/>
  <c r="AF835" i="2" s="1"/>
  <c r="AG835" i="2" s="1"/>
  <c r="AH835" i="2" s="1"/>
  <c r="AK608" i="2"/>
  <c r="R10" i="7"/>
  <c r="AK609" i="2"/>
  <c r="AK604" i="2"/>
  <c r="AL615" i="2"/>
  <c r="AL610" i="2"/>
  <c r="AL603" i="2"/>
  <c r="R743" i="2"/>
  <c r="R866" i="2"/>
  <c r="R1200" i="2" s="1"/>
  <c r="R744" i="2"/>
  <c r="S742" i="2"/>
  <c r="N735" i="2"/>
  <c r="N728" i="2" s="1"/>
  <c r="O727" i="2"/>
  <c r="O1056" i="2" s="1"/>
  <c r="O1067" i="2" s="1"/>
  <c r="O1118" i="2"/>
  <c r="P733" i="2"/>
  <c r="Q734" i="2" s="1"/>
  <c r="P737" i="2"/>
  <c r="P879" i="2"/>
  <c r="P1051" i="2" s="1"/>
  <c r="AL622" i="2"/>
  <c r="AL1305" i="2" s="1"/>
  <c r="AK1305" i="2"/>
  <c r="Q741" i="2"/>
  <c r="R742" i="2" s="1"/>
  <c r="Q865" i="2"/>
  <c r="Q1204" i="2" s="1"/>
  <c r="T1195" i="2"/>
  <c r="S1224" i="2"/>
  <c r="R734" i="2"/>
  <c r="AK626" i="2"/>
  <c r="AH1299" i="2"/>
  <c r="AJ906" i="2"/>
  <c r="AI1207" i="2"/>
  <c r="AG1302" i="2"/>
  <c r="AG1298" i="2"/>
  <c r="AG1300" i="2" s="1"/>
  <c r="AD879" i="2"/>
  <c r="AD1051" i="2" s="1"/>
  <c r="AL916" i="2"/>
  <c r="AK1209" i="2"/>
  <c r="AJ1210" i="2"/>
  <c r="AK915" i="2"/>
  <c r="AK1124" i="2" s="1"/>
  <c r="AB914" i="2"/>
  <c r="D31" i="11"/>
  <c r="L848" i="2"/>
  <c r="L847" i="2" s="1"/>
  <c r="L857" i="2" s="1"/>
  <c r="K835" i="2"/>
  <c r="L834" i="2"/>
  <c r="L844" i="2" s="1"/>
  <c r="AC880" i="2"/>
  <c r="BC1280" i="2"/>
  <c r="BG1252" i="2"/>
  <c r="AA1200" i="2"/>
  <c r="AA1009" i="2"/>
  <c r="AK957" i="2"/>
  <c r="AL957" i="2" s="1"/>
  <c r="AM957" i="2" s="1"/>
  <c r="AN957" i="2" s="1"/>
  <c r="AO957" i="2" s="1"/>
  <c r="AP957" i="2" s="1"/>
  <c r="AH1297" i="2"/>
  <c r="AC909" i="2"/>
  <c r="AC1123" i="2" s="1"/>
  <c r="AD1208" i="2"/>
  <c r="AF1118" i="2" l="1"/>
  <c r="AF733" i="2"/>
  <c r="AF734" i="2" s="1"/>
  <c r="Y1197" i="2"/>
  <c r="Q1066" i="2"/>
  <c r="Q1069" i="2" s="1"/>
  <c r="Q1071" i="2" s="1"/>
  <c r="Q1169" i="2"/>
  <c r="C16" i="11"/>
  <c r="AA1066" i="2"/>
  <c r="AA1069" i="2" s="1"/>
  <c r="AA1071" i="2" s="1"/>
  <c r="AB1068" i="2"/>
  <c r="AB1212" i="2"/>
  <c r="L1101" i="2"/>
  <c r="B18" i="11"/>
  <c r="B22" i="11"/>
  <c r="AB1217" i="2"/>
  <c r="M1023" i="2"/>
  <c r="R1170" i="2"/>
  <c r="AB1086" i="2"/>
  <c r="D32" i="11"/>
  <c r="AC1052" i="2"/>
  <c r="AC1050" i="2" s="1"/>
  <c r="AC1055" i="2" s="1"/>
  <c r="AC1057" i="2" s="1"/>
  <c r="AC1083" i="2"/>
  <c r="AO1121" i="2"/>
  <c r="AO1120" i="2"/>
  <c r="AA1023" i="2"/>
  <c r="C8" i="11" s="1"/>
  <c r="R1119" i="2"/>
  <c r="R1117" i="2" s="1"/>
  <c r="R1115" i="2"/>
  <c r="R1116" i="2"/>
  <c r="AM916" i="2"/>
  <c r="AM1209" i="2" s="1"/>
  <c r="AL1125" i="2"/>
  <c r="Z943" i="2"/>
  <c r="Z1099" i="2"/>
  <c r="AC903" i="2"/>
  <c r="AC1128" i="2"/>
  <c r="AD417" i="2"/>
  <c r="AD1153" i="2" s="1"/>
  <c r="AD1101" i="2"/>
  <c r="AB943" i="2"/>
  <c r="AA1196" i="2" s="1"/>
  <c r="Z1196" i="2" s="1"/>
  <c r="Y1196" i="2" s="1"/>
  <c r="AB1099" i="2"/>
  <c r="AF894" i="2"/>
  <c r="AE1122" i="2"/>
  <c r="AE895" i="2"/>
  <c r="AG728" i="2"/>
  <c r="AG727" i="2" s="1"/>
  <c r="AG1056" i="2" s="1"/>
  <c r="AG1067" i="2" s="1"/>
  <c r="AG736" i="2"/>
  <c r="AP596" i="2"/>
  <c r="AQ596" i="2" s="1"/>
  <c r="AN735" i="2"/>
  <c r="AM728" i="2"/>
  <c r="AM736" i="2"/>
  <c r="AM1118" i="2" s="1"/>
  <c r="AP621" i="2"/>
  <c r="AM611" i="2"/>
  <c r="AN566" i="2"/>
  <c r="AO566" i="2" s="1"/>
  <c r="AN558" i="2"/>
  <c r="AA958" i="2"/>
  <c r="Z958" i="2" s="1"/>
  <c r="Y958" i="2" s="1"/>
  <c r="AA956" i="2"/>
  <c r="Z956" i="2" s="1"/>
  <c r="Y956" i="2" s="1"/>
  <c r="Y843" i="2" s="1"/>
  <c r="AO565" i="2"/>
  <c r="AH848" i="2"/>
  <c r="AH899" i="2" s="1"/>
  <c r="AH1126" i="2" s="1"/>
  <c r="AG848" i="2"/>
  <c r="AG899" i="2" s="1"/>
  <c r="AG1126" i="2" s="1"/>
  <c r="AB398" i="2"/>
  <c r="AB399" i="2" s="1"/>
  <c r="AC941" i="2"/>
  <c r="AD941" i="2" s="1"/>
  <c r="AE941" i="2" s="1"/>
  <c r="Z398" i="2"/>
  <c r="Z399" i="2" s="1"/>
  <c r="AC844" i="2"/>
  <c r="AC845" i="2" s="1"/>
  <c r="AP984" i="2"/>
  <c r="AQ983" i="2"/>
  <c r="AT563" i="2"/>
  <c r="AP884" i="2"/>
  <c r="AQ724" i="2"/>
  <c r="AP885" i="2"/>
  <c r="AP890" i="2" s="1"/>
  <c r="AQ725" i="2"/>
  <c r="AQ628" i="2"/>
  <c r="AT551" i="2"/>
  <c r="AO892" i="2"/>
  <c r="AP832" i="2"/>
  <c r="AS576" i="2"/>
  <c r="AT576" i="2" s="1"/>
  <c r="AQ620" i="2"/>
  <c r="AS583" i="2"/>
  <c r="AT583" i="2" s="1"/>
  <c r="AO871" i="2"/>
  <c r="AO1324" i="2" s="1"/>
  <c r="AQ957" i="2"/>
  <c r="AP842" i="2"/>
  <c r="AP838" i="2"/>
  <c r="AQ627" i="2"/>
  <c r="AD834" i="2"/>
  <c r="AD993" i="2" s="1"/>
  <c r="AK837" i="2"/>
  <c r="AB1000" i="2"/>
  <c r="AB1001" i="2" s="1"/>
  <c r="AB845" i="2"/>
  <c r="AN559" i="2"/>
  <c r="AM603" i="2"/>
  <c r="P880" i="2"/>
  <c r="P1052" i="2" s="1"/>
  <c r="P1050" i="2" s="1"/>
  <c r="P1055" i="2" s="1"/>
  <c r="P1057" i="2" s="1"/>
  <c r="P1068" i="2" s="1"/>
  <c r="AN597" i="2"/>
  <c r="AN623" i="2"/>
  <c r="AN1311" i="2"/>
  <c r="AN1323" i="2"/>
  <c r="AN1312" i="2"/>
  <c r="AN1324" i="2"/>
  <c r="AM615" i="2"/>
  <c r="AM610" i="2"/>
  <c r="AM622" i="2"/>
  <c r="AM1305" i="2" s="1"/>
  <c r="AA979" i="2"/>
  <c r="AB953" i="2"/>
  <c r="AB960" i="2" s="1"/>
  <c r="AB976" i="2" s="1"/>
  <c r="AB979" i="2" s="1"/>
  <c r="AD416" i="2"/>
  <c r="AD1152" i="2" s="1"/>
  <c r="AD858" i="2"/>
  <c r="Z978" i="2"/>
  <c r="Z1110" i="2" s="1"/>
  <c r="Z979" i="2"/>
  <c r="Z394" i="2"/>
  <c r="AD918" i="2"/>
  <c r="AD925" i="2"/>
  <c r="AF848" i="2"/>
  <c r="AF899" i="2" s="1"/>
  <c r="AF1126" i="2" s="1"/>
  <c r="AE848" i="2"/>
  <c r="AE899" i="2" s="1"/>
  <c r="AL608" i="2"/>
  <c r="AL609" i="2"/>
  <c r="AM561" i="2"/>
  <c r="AL604" i="2"/>
  <c r="AK606" i="2"/>
  <c r="U1195" i="2"/>
  <c r="U1224" i="2" s="1"/>
  <c r="T1224" i="2"/>
  <c r="N1118" i="2"/>
  <c r="N727" i="2"/>
  <c r="N1056" i="2" s="1"/>
  <c r="N1067" i="2" s="1"/>
  <c r="M735" i="2"/>
  <c r="M728" i="2" s="1"/>
  <c r="AK605" i="2"/>
  <c r="P865" i="2"/>
  <c r="P1204" i="2" s="1"/>
  <c r="AL626" i="2"/>
  <c r="P741" i="2"/>
  <c r="Q743" i="2"/>
  <c r="Q744" i="2"/>
  <c r="Q866" i="2"/>
  <c r="Q1200" i="2" s="1"/>
  <c r="O879" i="2"/>
  <c r="O1051" i="2" s="1"/>
  <c r="O737" i="2"/>
  <c r="O733" i="2"/>
  <c r="P734" i="2" s="1"/>
  <c r="AJ1207" i="2"/>
  <c r="AK906" i="2"/>
  <c r="AH1302" i="2"/>
  <c r="BG1280" i="2"/>
  <c r="BK1252" i="2"/>
  <c r="AE879" i="2"/>
  <c r="AE1051" i="2" s="1"/>
  <c r="AL915" i="2"/>
  <c r="AK1210" i="2"/>
  <c r="AL1209" i="2"/>
  <c r="AC914" i="2"/>
  <c r="E31" i="11"/>
  <c r="AD880" i="2"/>
  <c r="K848" i="2"/>
  <c r="K847" i="2" s="1"/>
  <c r="K857" i="2" s="1"/>
  <c r="J835" i="2"/>
  <c r="K834" i="2"/>
  <c r="K844" i="2" s="1"/>
  <c r="AI842" i="2"/>
  <c r="AI401" i="2" s="1"/>
  <c r="AI1297" i="2"/>
  <c r="AD909" i="2"/>
  <c r="AD1123" i="2" s="1"/>
  <c r="AE1208" i="2"/>
  <c r="AG1118" i="2" l="1"/>
  <c r="AG733" i="2"/>
  <c r="AQ621" i="2"/>
  <c r="AR621" i="2" s="1"/>
  <c r="L1023" i="2"/>
  <c r="AC1212" i="2"/>
  <c r="AC1217" i="2" s="1"/>
  <c r="P1169" i="2"/>
  <c r="P1066" i="2"/>
  <c r="P1069" i="2" s="1"/>
  <c r="P1071" i="2" s="1"/>
  <c r="D16" i="11"/>
  <c r="AB1066" i="2"/>
  <c r="AB1069" i="2" s="1"/>
  <c r="AB1071" i="2" s="1"/>
  <c r="C18" i="11"/>
  <c r="C22" i="11"/>
  <c r="K1101" i="2"/>
  <c r="AC1086" i="2"/>
  <c r="E32" i="11"/>
  <c r="AD1083" i="2"/>
  <c r="AD1052" i="2"/>
  <c r="AD1050" i="2" s="1"/>
  <c r="AD1055" i="2" s="1"/>
  <c r="AD1057" i="2" s="1"/>
  <c r="Q1170" i="2"/>
  <c r="AB1023" i="2"/>
  <c r="D8" i="11" s="1"/>
  <c r="AP1121" i="2"/>
  <c r="AP1120" i="2"/>
  <c r="AE900" i="2"/>
  <c r="AE1128" i="2" s="1"/>
  <c r="AE1126" i="2"/>
  <c r="AD914" i="2"/>
  <c r="Q1119" i="2"/>
  <c r="Q1117" i="2" s="1"/>
  <c r="Q1115" i="2"/>
  <c r="Q1116" i="2"/>
  <c r="AM915" i="2"/>
  <c r="AL1124" i="2"/>
  <c r="AG894" i="2"/>
  <c r="AF1122" i="2"/>
  <c r="AF895" i="2"/>
  <c r="AN916" i="2"/>
  <c r="AM1125" i="2"/>
  <c r="AN611" i="2"/>
  <c r="AO611" i="2" s="1"/>
  <c r="AN728" i="2"/>
  <c r="AN736" i="2"/>
  <c r="AN1118" i="2" s="1"/>
  <c r="AO736" i="2"/>
  <c r="AO1312" i="2"/>
  <c r="AD937" i="2"/>
  <c r="AC953" i="2"/>
  <c r="AC960" i="2" s="1"/>
  <c r="AC976" i="2" s="1"/>
  <c r="AC1000" i="2"/>
  <c r="AC1001" i="2" s="1"/>
  <c r="AC937" i="2"/>
  <c r="AD844" i="2"/>
  <c r="AD845" i="2" s="1"/>
  <c r="AR620" i="2"/>
  <c r="AN561" i="2"/>
  <c r="AP892" i="2"/>
  <c r="AQ832" i="2"/>
  <c r="AP871" i="2"/>
  <c r="AP578" i="2"/>
  <c r="AQ984" i="2"/>
  <c r="AR983" i="2"/>
  <c r="AP566" i="2"/>
  <c r="AR628" i="2"/>
  <c r="AQ885" i="2"/>
  <c r="AQ890" i="2" s="1"/>
  <c r="AR725" i="2"/>
  <c r="AQ842" i="2"/>
  <c r="AQ401" i="2" s="1"/>
  <c r="AR957" i="2"/>
  <c r="AR596" i="2"/>
  <c r="AQ884" i="2"/>
  <c r="AR724" i="2"/>
  <c r="AQ838" i="2"/>
  <c r="AR627" i="2"/>
  <c r="AL837" i="2"/>
  <c r="AF847" i="2"/>
  <c r="AF834" i="2" s="1"/>
  <c r="AF993" i="2" s="1"/>
  <c r="AE847" i="2"/>
  <c r="AE857" i="2" s="1"/>
  <c r="AE1101" i="2" s="1"/>
  <c r="AN615" i="2"/>
  <c r="AO615" i="2" s="1"/>
  <c r="AO558" i="2"/>
  <c r="AO597" i="2"/>
  <c r="AP597" i="2" s="1"/>
  <c r="AN603" i="2"/>
  <c r="AO559" i="2"/>
  <c r="AM560" i="2"/>
  <c r="AB741" i="2"/>
  <c r="AB742" i="2" s="1"/>
  <c r="AB751" i="2"/>
  <c r="O880" i="2"/>
  <c r="O1052" i="2" s="1"/>
  <c r="O1050" i="2" s="1"/>
  <c r="O1055" i="2" s="1"/>
  <c r="O1057" i="2" s="1"/>
  <c r="O1068" i="2" s="1"/>
  <c r="AH847" i="2"/>
  <c r="AI835" i="2"/>
  <c r="AJ835" i="2" s="1"/>
  <c r="AK835" i="2" s="1"/>
  <c r="AL835" i="2" s="1"/>
  <c r="AM835" i="2" s="1"/>
  <c r="AN835" i="2" s="1"/>
  <c r="AO835" i="2" s="1"/>
  <c r="AP835" i="2" s="1"/>
  <c r="AQ835" i="2" s="1"/>
  <c r="AR835" i="2" s="1"/>
  <c r="AS835" i="2" s="1"/>
  <c r="AT835" i="2" s="1"/>
  <c r="AN610" i="2"/>
  <c r="AN622" i="2"/>
  <c r="AO622" i="2" s="1"/>
  <c r="AP622" i="2" s="1"/>
  <c r="AO623" i="2"/>
  <c r="AM604" i="2"/>
  <c r="AM609" i="2"/>
  <c r="AM608" i="2"/>
  <c r="AB972" i="2"/>
  <c r="AB974" i="2" s="1"/>
  <c r="AB969" i="2"/>
  <c r="AB978" i="2"/>
  <c r="AA394" i="2"/>
  <c r="AE918" i="2"/>
  <c r="Z407" i="2"/>
  <c r="Z409" i="2" s="1"/>
  <c r="AD903" i="2"/>
  <c r="AE925" i="2"/>
  <c r="AM626" i="2"/>
  <c r="AG879" i="2"/>
  <c r="AG1051" i="2" s="1"/>
  <c r="AG847" i="2"/>
  <c r="AL606" i="2"/>
  <c r="AL605" i="2"/>
  <c r="P744" i="2"/>
  <c r="P866" i="2"/>
  <c r="P1200" i="2" s="1"/>
  <c r="P743" i="2"/>
  <c r="M727" i="2"/>
  <c r="M1056" i="2" s="1"/>
  <c r="M1067" i="2" s="1"/>
  <c r="L735" i="2"/>
  <c r="L728" i="2" s="1"/>
  <c r="M1118" i="2"/>
  <c r="N879" i="2"/>
  <c r="N1051" i="2" s="1"/>
  <c r="N737" i="2"/>
  <c r="N733" i="2"/>
  <c r="N741" i="2" s="1"/>
  <c r="Q742" i="2"/>
  <c r="O865" i="2"/>
  <c r="O1204" i="2" s="1"/>
  <c r="O741" i="2"/>
  <c r="P742" i="2" s="1"/>
  <c r="AK1207" i="2"/>
  <c r="AL906" i="2"/>
  <c r="J848" i="2"/>
  <c r="J847" i="2" s="1"/>
  <c r="J857" i="2" s="1"/>
  <c r="J1101" i="2" s="1"/>
  <c r="J834" i="2"/>
  <c r="J844" i="2" s="1"/>
  <c r="F31" i="11"/>
  <c r="AF879" i="2"/>
  <c r="AF1051" i="2" s="1"/>
  <c r="AB394" i="2"/>
  <c r="AF941" i="2"/>
  <c r="AE937" i="2"/>
  <c r="AE1099" i="2" s="1"/>
  <c r="BK1280" i="2"/>
  <c r="BO1252" i="2"/>
  <c r="AE880" i="2"/>
  <c r="AL1210" i="2"/>
  <c r="AK600" i="2"/>
  <c r="AJ1297" i="2"/>
  <c r="AJ842" i="2"/>
  <c r="AJ401" i="2" s="1"/>
  <c r="AE909" i="2"/>
  <c r="AE1123" i="2" s="1"/>
  <c r="AF1208" i="2"/>
  <c r="AP1324" i="2" l="1"/>
  <c r="AP1312" i="2"/>
  <c r="K1023" i="2"/>
  <c r="O1169" i="2"/>
  <c r="O1066" i="2"/>
  <c r="O1069" i="2" s="1"/>
  <c r="O1071" i="2" s="1"/>
  <c r="AE1083" i="2"/>
  <c r="AE1052" i="2"/>
  <c r="AE1050" i="2" s="1"/>
  <c r="AE1055" i="2" s="1"/>
  <c r="AE1057" i="2" s="1"/>
  <c r="AD1086" i="2"/>
  <c r="F32" i="11"/>
  <c r="AE903" i="2"/>
  <c r="P1170" i="2"/>
  <c r="D18" i="11"/>
  <c r="D22" i="11"/>
  <c r="E16" i="11"/>
  <c r="AC1069" i="2"/>
  <c r="AC1071" i="2" s="1"/>
  <c r="AD1068" i="2"/>
  <c r="AD1212" i="2"/>
  <c r="AD1217" i="2" s="1"/>
  <c r="AQ1120" i="2"/>
  <c r="AQ1121" i="2"/>
  <c r="AB737" i="2"/>
  <c r="AB865" i="2" s="1"/>
  <c r="AB1008" i="2" s="1"/>
  <c r="AB1110" i="2"/>
  <c r="AD943" i="2"/>
  <c r="AD1099" i="2"/>
  <c r="AO916" i="2"/>
  <c r="AN1125" i="2"/>
  <c r="AN1209" i="2"/>
  <c r="AH894" i="2"/>
  <c r="AG1122" i="2"/>
  <c r="AG895" i="2"/>
  <c r="AE914" i="2"/>
  <c r="AN915" i="2"/>
  <c r="AM1124" i="2"/>
  <c r="AC956" i="2"/>
  <c r="AD956" i="2" s="1"/>
  <c r="AE956" i="2" s="1"/>
  <c r="AC1099" i="2"/>
  <c r="AM1210" i="2"/>
  <c r="P1119" i="2"/>
  <c r="P1117" i="2" s="1"/>
  <c r="P1115" i="2"/>
  <c r="P1116" i="2"/>
  <c r="AN879" i="2"/>
  <c r="AP735" i="2"/>
  <c r="AP736" i="2" s="1"/>
  <c r="AO1118" i="2"/>
  <c r="AO728" i="2"/>
  <c r="AC943" i="2"/>
  <c r="AC972" i="2"/>
  <c r="AC974" i="2" s="1"/>
  <c r="AC969" i="2"/>
  <c r="AC398" i="2"/>
  <c r="AC399" i="2" s="1"/>
  <c r="AD1000" i="2"/>
  <c r="AD1001" i="2" s="1"/>
  <c r="AD398" i="2"/>
  <c r="AD399" i="2" s="1"/>
  <c r="AD953" i="2"/>
  <c r="AD960" i="2" s="1"/>
  <c r="AD972" i="2" s="1"/>
  <c r="AD974" i="2" s="1"/>
  <c r="AC958" i="2"/>
  <c r="AD958" i="2" s="1"/>
  <c r="AE958" i="2" s="1"/>
  <c r="AE416" i="2"/>
  <c r="AE1152" i="2" s="1"/>
  <c r="AE417" i="2"/>
  <c r="AE1153" i="2" s="1"/>
  <c r="AC1197" i="2"/>
  <c r="AD1197" i="2" s="1"/>
  <c r="AE1197" i="2" s="1"/>
  <c r="AP611" i="2"/>
  <c r="AE834" i="2"/>
  <c r="AE993" i="2" s="1"/>
  <c r="AF857" i="2"/>
  <c r="AS621" i="2"/>
  <c r="AP565" i="2"/>
  <c r="AQ565" i="2" s="1"/>
  <c r="AS725" i="2"/>
  <c r="AR885" i="2"/>
  <c r="AR890" i="2" s="1"/>
  <c r="AQ871" i="2"/>
  <c r="AS628" i="2"/>
  <c r="AQ566" i="2"/>
  <c r="AR984" i="2"/>
  <c r="AS983" i="2"/>
  <c r="AS724" i="2"/>
  <c r="AR884" i="2"/>
  <c r="AQ892" i="2"/>
  <c r="AR832" i="2"/>
  <c r="AN560" i="2"/>
  <c r="AO560" i="2" s="1"/>
  <c r="AS957" i="2"/>
  <c r="AR842" i="2"/>
  <c r="AP559" i="2"/>
  <c r="AQ559" i="2" s="1"/>
  <c r="AS596" i="2"/>
  <c r="AP623" i="2"/>
  <c r="AP1305" i="2" s="1"/>
  <c r="AQ597" i="2"/>
  <c r="AS620" i="2"/>
  <c r="AP558" i="2"/>
  <c r="AQ578" i="2"/>
  <c r="AQ622" i="2"/>
  <c r="AS627" i="2"/>
  <c r="AR838" i="2"/>
  <c r="AO603" i="2"/>
  <c r="AG880" i="2"/>
  <c r="AF925" i="2"/>
  <c r="AF900" i="2"/>
  <c r="AF1128" i="2" s="1"/>
  <c r="AB744" i="2"/>
  <c r="AO610" i="2"/>
  <c r="AO561" i="2"/>
  <c r="AB743" i="2"/>
  <c r="AB1119" i="2" s="1"/>
  <c r="AB1117" i="2" s="1"/>
  <c r="AB866" i="2"/>
  <c r="D34" i="11"/>
  <c r="D33" i="11"/>
  <c r="AB407" i="2"/>
  <c r="AB409" i="2" s="1"/>
  <c r="AH857" i="2"/>
  <c r="AH1101" i="2" s="1"/>
  <c r="N880" i="2"/>
  <c r="N1052" i="2" s="1"/>
  <c r="N1050" i="2" s="1"/>
  <c r="N1055" i="2" s="1"/>
  <c r="N1057" i="2" s="1"/>
  <c r="N1068" i="2" s="1"/>
  <c r="AM606" i="2"/>
  <c r="AN606" i="2" s="1"/>
  <c r="AN609" i="2"/>
  <c r="AN1305" i="2"/>
  <c r="AO1305" i="2"/>
  <c r="AN608" i="2"/>
  <c r="AN604" i="2"/>
  <c r="AN626" i="2"/>
  <c r="AM837" i="2"/>
  <c r="AM605" i="2"/>
  <c r="AA407" i="2"/>
  <c r="AA409" i="2" s="1"/>
  <c r="AF844" i="2"/>
  <c r="AG834" i="2"/>
  <c r="AG844" i="2" s="1"/>
  <c r="AG845" i="2" s="1"/>
  <c r="AF918" i="2"/>
  <c r="AE858" i="2"/>
  <c r="AL1207" i="2"/>
  <c r="AM906" i="2"/>
  <c r="AG857" i="2"/>
  <c r="AG1101" i="2" s="1"/>
  <c r="AG734" i="2"/>
  <c r="AC979" i="2"/>
  <c r="AC978" i="2"/>
  <c r="O734" i="2"/>
  <c r="N865" i="2"/>
  <c r="N1204" i="2" s="1"/>
  <c r="O744" i="2"/>
  <c r="O866" i="2"/>
  <c r="O1200" i="2" s="1"/>
  <c r="O743" i="2"/>
  <c r="O742" i="2"/>
  <c r="N866" i="2"/>
  <c r="N1200" i="2" s="1"/>
  <c r="N744" i="2"/>
  <c r="N743" i="2"/>
  <c r="M879" i="2"/>
  <c r="M1051" i="2" s="1"/>
  <c r="M737" i="2"/>
  <c r="M733" i="2"/>
  <c r="L1118" i="2"/>
  <c r="K735" i="2"/>
  <c r="K728" i="2" s="1"/>
  <c r="L727" i="2"/>
  <c r="L1056" i="2" s="1"/>
  <c r="L1067" i="2" s="1"/>
  <c r="AG941" i="2"/>
  <c r="AF937" i="2"/>
  <c r="AF1099" i="2" s="1"/>
  <c r="BO1280" i="2"/>
  <c r="BS1252" i="2"/>
  <c r="AE943" i="2"/>
  <c r="AE398" i="2"/>
  <c r="AE399" i="2" s="1"/>
  <c r="AF880" i="2"/>
  <c r="AC407" i="2"/>
  <c r="AC394" i="2"/>
  <c r="AL600" i="2"/>
  <c r="AK1297" i="2"/>
  <c r="AK842" i="2"/>
  <c r="AK401" i="2" s="1"/>
  <c r="AF909" i="2"/>
  <c r="AF1123" i="2" s="1"/>
  <c r="AG1208" i="2"/>
  <c r="AF1101" i="2" l="1"/>
  <c r="AF858" i="2"/>
  <c r="AQ1324" i="2"/>
  <c r="AQ1312" i="2"/>
  <c r="AB346" i="2"/>
  <c r="E47" i="10" s="1"/>
  <c r="N1066" i="2"/>
  <c r="N1069" i="2" s="1"/>
  <c r="N1071" i="2" s="1"/>
  <c r="N1169" i="2"/>
  <c r="AG1083" i="2"/>
  <c r="AG1052" i="2"/>
  <c r="AG1050" i="2" s="1"/>
  <c r="AG1055" i="2" s="1"/>
  <c r="AG1057" i="2" s="1"/>
  <c r="AG1068" i="2" s="1"/>
  <c r="AG1066" i="2" s="1"/>
  <c r="AG1069" i="2" s="1"/>
  <c r="AE1068" i="2"/>
  <c r="AE1212" i="2"/>
  <c r="AE1217" i="2" s="1"/>
  <c r="AE1086" i="2"/>
  <c r="G32" i="11"/>
  <c r="AF1083" i="2"/>
  <c r="AF1052" i="2"/>
  <c r="AF1050" i="2" s="1"/>
  <c r="AF1055" i="2" s="1"/>
  <c r="AF1057" i="2" s="1"/>
  <c r="O1170" i="2"/>
  <c r="AD1066" i="2"/>
  <c r="AD1069" i="2" s="1"/>
  <c r="AD1071" i="2" s="1"/>
  <c r="F16" i="11"/>
  <c r="E18" i="11"/>
  <c r="E22" i="11"/>
  <c r="AE1023" i="2"/>
  <c r="G8" i="11" s="1"/>
  <c r="AR1120" i="2"/>
  <c r="AC1023" i="2"/>
  <c r="E8" i="11" s="1"/>
  <c r="AR1121" i="2"/>
  <c r="AD1023" i="2"/>
  <c r="F8" i="11" s="1"/>
  <c r="AH1122" i="2"/>
  <c r="AI894" i="2"/>
  <c r="X970" i="2"/>
  <c r="AP916" i="2"/>
  <c r="AO1125" i="2"/>
  <c r="AO1209" i="2"/>
  <c r="G31" i="11"/>
  <c r="AB1200" i="2"/>
  <c r="AB1115" i="2"/>
  <c r="N1115" i="2"/>
  <c r="N1119" i="2"/>
  <c r="N1117" i="2" s="1"/>
  <c r="AO915" i="2"/>
  <c r="AN1124" i="2"/>
  <c r="AN1210" i="2"/>
  <c r="N1116" i="2"/>
  <c r="O1115" i="2"/>
  <c r="O1119" i="2"/>
  <c r="O1117" i="2" s="1"/>
  <c r="O1116" i="2"/>
  <c r="AF914" i="2"/>
  <c r="AG914" i="2"/>
  <c r="AC737" i="2"/>
  <c r="AC1110" i="2"/>
  <c r="AB1116" i="2"/>
  <c r="AD969" i="2"/>
  <c r="AC1196" i="2"/>
  <c r="AD1196" i="2" s="1"/>
  <c r="AE1196" i="2" s="1"/>
  <c r="AO879" i="2"/>
  <c r="AQ735" i="2"/>
  <c r="AQ736" i="2" s="1"/>
  <c r="AP728" i="2"/>
  <c r="AP1118" i="2"/>
  <c r="AD976" i="2"/>
  <c r="AD979" i="2" s="1"/>
  <c r="AD751" i="2" s="1"/>
  <c r="AH416" i="2"/>
  <c r="AH417" i="2"/>
  <c r="AF417" i="2"/>
  <c r="AF1153" i="2" s="1"/>
  <c r="AF416" i="2"/>
  <c r="AF1152" i="2" s="1"/>
  <c r="AG858" i="2"/>
  <c r="AG417" i="2"/>
  <c r="AG416" i="2"/>
  <c r="AP603" i="2"/>
  <c r="AR565" i="2"/>
  <c r="AS565" i="2" s="1"/>
  <c r="AT565" i="2" s="1"/>
  <c r="AF903" i="2"/>
  <c r="AR578" i="2"/>
  <c r="AP610" i="2"/>
  <c r="AQ610" i="2" s="1"/>
  <c r="AR559" i="2"/>
  <c r="AS559" i="2" s="1"/>
  <c r="AT559" i="2" s="1"/>
  <c r="AR871" i="2"/>
  <c r="AP561" i="2"/>
  <c r="AQ561" i="2" s="1"/>
  <c r="AR561" i="2" s="1"/>
  <c r="AS885" i="2"/>
  <c r="AS890" i="2" s="1"/>
  <c r="AT725" i="2"/>
  <c r="AT885" i="2" s="1"/>
  <c r="AT890" i="2" s="1"/>
  <c r="AT983" i="2"/>
  <c r="AT984" i="2" s="1"/>
  <c r="AS984" i="2"/>
  <c r="AR597" i="2"/>
  <c r="AT621" i="2"/>
  <c r="AR401" i="2"/>
  <c r="AR892" i="2"/>
  <c r="AS832" i="2"/>
  <c r="AT620" i="2"/>
  <c r="AT628" i="2"/>
  <c r="AQ623" i="2"/>
  <c r="AQ1305" i="2" s="1"/>
  <c r="AQ611" i="2"/>
  <c r="AT957" i="2"/>
  <c r="AT842" i="2" s="1"/>
  <c r="AS842" i="2"/>
  <c r="AQ558" i="2"/>
  <c r="AR558" i="2" s="1"/>
  <c r="AS558" i="2" s="1"/>
  <c r="AT724" i="2"/>
  <c r="AT884" i="2" s="1"/>
  <c r="AS884" i="2"/>
  <c r="AT596" i="2"/>
  <c r="AR566" i="2"/>
  <c r="AF956" i="2"/>
  <c r="AE844" i="2"/>
  <c r="AE953" i="2" s="1"/>
  <c r="AE960" i="2" s="1"/>
  <c r="AE972" i="2" s="1"/>
  <c r="AE974" i="2" s="1"/>
  <c r="AP564" i="2"/>
  <c r="AR622" i="2"/>
  <c r="AT627" i="2"/>
  <c r="AS838" i="2"/>
  <c r="AP615" i="2"/>
  <c r="AG918" i="2"/>
  <c r="AG900" i="2"/>
  <c r="AG1128" i="2" s="1"/>
  <c r="AI734" i="2"/>
  <c r="AH879" i="2"/>
  <c r="AF1000" i="2"/>
  <c r="AF1001" i="2" s="1"/>
  <c r="AF845" i="2"/>
  <c r="AB1009" i="2"/>
  <c r="AC741" i="2"/>
  <c r="AC742" i="2" s="1"/>
  <c r="AC751" i="2"/>
  <c r="AO609" i="2"/>
  <c r="AO608" i="2"/>
  <c r="AP608" i="2" s="1"/>
  <c r="AO604" i="2"/>
  <c r="AP604" i="2" s="1"/>
  <c r="M880" i="2"/>
  <c r="M1052" i="2" s="1"/>
  <c r="M1050" i="2" s="1"/>
  <c r="M1055" i="2" s="1"/>
  <c r="M1057" i="2" s="1"/>
  <c r="M1068" i="2" s="1"/>
  <c r="AO606" i="2"/>
  <c r="AN605" i="2"/>
  <c r="AM1207" i="2"/>
  <c r="AN906" i="2"/>
  <c r="AO906" i="2" s="1"/>
  <c r="AP906" i="2" s="1"/>
  <c r="AN837" i="2"/>
  <c r="AO626" i="2"/>
  <c r="AM600" i="2"/>
  <c r="AL1297" i="2"/>
  <c r="AB1204" i="2"/>
  <c r="AG925" i="2"/>
  <c r="AH925" i="2"/>
  <c r="AF953" i="2"/>
  <c r="AF960" i="2" s="1"/>
  <c r="AI848" i="2"/>
  <c r="AI847" i="2" s="1"/>
  <c r="AL842" i="2"/>
  <c r="AL401" i="2" s="1"/>
  <c r="AG953" i="2"/>
  <c r="AG960" i="2" s="1"/>
  <c r="AF958" i="2"/>
  <c r="AF1197" i="2"/>
  <c r="J735" i="2"/>
  <c r="J728" i="2" s="1"/>
  <c r="K1118" i="2"/>
  <c r="K727" i="2"/>
  <c r="K1056" i="2" s="1"/>
  <c r="K1067" i="2" s="1"/>
  <c r="L879" i="2"/>
  <c r="L1051" i="2" s="1"/>
  <c r="L733" i="2"/>
  <c r="M734" i="2" s="1"/>
  <c r="L737" i="2"/>
  <c r="AC409" i="2"/>
  <c r="N734" i="2"/>
  <c r="M741" i="2"/>
  <c r="M865" i="2"/>
  <c r="M1204" i="2" s="1"/>
  <c r="AF398" i="2"/>
  <c r="AF399" i="2" s="1"/>
  <c r="AF943" i="2"/>
  <c r="AH941" i="2"/>
  <c r="AG937" i="2"/>
  <c r="AG1099" i="2" s="1"/>
  <c r="AD407" i="2"/>
  <c r="AD394" i="2"/>
  <c r="BS1280" i="2"/>
  <c r="BW1252" i="2"/>
  <c r="AH1208" i="2"/>
  <c r="AG909" i="2"/>
  <c r="AG1123" i="2" s="1"/>
  <c r="E45" i="10" l="1"/>
  <c r="O169" i="10" s="1"/>
  <c r="Q169" i="10" s="1"/>
  <c r="Q229" i="10" s="1"/>
  <c r="U229" i="10" s="1"/>
  <c r="V229" i="10" s="1"/>
  <c r="V216" i="10" s="1"/>
  <c r="U216" i="10" s="1"/>
  <c r="AR1324" i="2"/>
  <c r="AR1312" i="2"/>
  <c r="M1169" i="2"/>
  <c r="M1066" i="2"/>
  <c r="M1069" i="2" s="1"/>
  <c r="M1071" i="2" s="1"/>
  <c r="F18" i="11"/>
  <c r="F22" i="11"/>
  <c r="AF1068" i="2"/>
  <c r="AF1212" i="2"/>
  <c r="AF1217" i="2" s="1"/>
  <c r="G16" i="11"/>
  <c r="AE1066" i="2"/>
  <c r="AE1069" i="2" s="1"/>
  <c r="AE1071" i="2" s="1"/>
  <c r="AG1086" i="2"/>
  <c r="I32" i="11"/>
  <c r="AF1086" i="2"/>
  <c r="H32" i="11"/>
  <c r="N1170" i="2"/>
  <c r="AS1120" i="2"/>
  <c r="AT1120" i="2"/>
  <c r="AT1121" i="2"/>
  <c r="AF1023" i="2"/>
  <c r="H8" i="11" s="1"/>
  <c r="AS1121" i="2"/>
  <c r="H31" i="11"/>
  <c r="AJ894" i="2"/>
  <c r="AI1122" i="2"/>
  <c r="AP1125" i="2"/>
  <c r="AP1209" i="2"/>
  <c r="AQ916" i="2"/>
  <c r="AP915" i="2"/>
  <c r="AO1124" i="2"/>
  <c r="AO1210" i="2"/>
  <c r="AC865" i="2"/>
  <c r="AC1310" i="2" s="1"/>
  <c r="AD978" i="2"/>
  <c r="AD1110" i="2" s="1"/>
  <c r="AP879" i="2"/>
  <c r="AQ1118" i="2"/>
  <c r="AR735" i="2"/>
  <c r="AR736" i="2" s="1"/>
  <c r="AQ728" i="2"/>
  <c r="AG398" i="2"/>
  <c r="AG399" i="2" s="1"/>
  <c r="X952" i="2"/>
  <c r="AI834" i="2"/>
  <c r="AH937" i="2"/>
  <c r="AI941" i="2"/>
  <c r="AI937" i="2" s="1"/>
  <c r="AI1099" i="2" s="1"/>
  <c r="AP560" i="2"/>
  <c r="AQ560" i="2" s="1"/>
  <c r="AR560" i="2" s="1"/>
  <c r="AS560" i="2" s="1"/>
  <c r="AT560" i="2" s="1"/>
  <c r="AQ603" i="2"/>
  <c r="AR603" i="2" s="1"/>
  <c r="AG903" i="2"/>
  <c r="AE845" i="2"/>
  <c r="AE1000" i="2"/>
  <c r="AE1001" i="2" s="1"/>
  <c r="AS578" i="2"/>
  <c r="AT578" i="2" s="1"/>
  <c r="AS566" i="2"/>
  <c r="AT566" i="2" s="1"/>
  <c r="AS597" i="2"/>
  <c r="AS401" i="2"/>
  <c r="AR611" i="2"/>
  <c r="AS871" i="2"/>
  <c r="AP606" i="2"/>
  <c r="AQ608" i="2"/>
  <c r="AR610" i="2"/>
  <c r="AQ604" i="2"/>
  <c r="AS892" i="2"/>
  <c r="AT832" i="2"/>
  <c r="AT892" i="2" s="1"/>
  <c r="AT558" i="2"/>
  <c r="AT401" i="2"/>
  <c r="AT871" i="2"/>
  <c r="AQ906" i="2"/>
  <c r="AP1207" i="2"/>
  <c r="AR623" i="2"/>
  <c r="AR1305" i="2" s="1"/>
  <c r="AS561" i="2"/>
  <c r="AT561" i="2" s="1"/>
  <c r="AQ564" i="2"/>
  <c r="AR564" i="2" s="1"/>
  <c r="AS564" i="2" s="1"/>
  <c r="AS622" i="2"/>
  <c r="AP609" i="2"/>
  <c r="AO837" i="2"/>
  <c r="AP626" i="2"/>
  <c r="AT838" i="2"/>
  <c r="AQ615" i="2"/>
  <c r="AH880" i="2"/>
  <c r="AC744" i="2"/>
  <c r="AC346" i="2" s="1"/>
  <c r="AC348" i="2" s="1"/>
  <c r="AC743" i="2"/>
  <c r="AC1119" i="2" s="1"/>
  <c r="AC1117" i="2" s="1"/>
  <c r="E34" i="11"/>
  <c r="E33" i="11"/>
  <c r="AO605" i="2"/>
  <c r="L880" i="2"/>
  <c r="L1052" i="2" s="1"/>
  <c r="L1050" i="2" s="1"/>
  <c r="L1055" i="2" s="1"/>
  <c r="L1057" i="2" s="1"/>
  <c r="L1068" i="2" s="1"/>
  <c r="AO1207" i="2"/>
  <c r="AN1207" i="2"/>
  <c r="AG956" i="2"/>
  <c r="AM842" i="2"/>
  <c r="AM401" i="2" s="1"/>
  <c r="AM1297" i="2"/>
  <c r="AN600" i="2"/>
  <c r="AO600" i="2" s="1"/>
  <c r="AP600" i="2" s="1"/>
  <c r="AP1297" i="2" s="1"/>
  <c r="AI899" i="2"/>
  <c r="AI1126" i="2" s="1"/>
  <c r="AE976" i="2"/>
  <c r="AE969" i="2"/>
  <c r="AJ848" i="2"/>
  <c r="AD741" i="2"/>
  <c r="AD737" i="2"/>
  <c r="AG972" i="2"/>
  <c r="AG974" i="2" s="1"/>
  <c r="AG969" i="2"/>
  <c r="AG976" i="2"/>
  <c r="AG980" i="2" s="1"/>
  <c r="AG958" i="2"/>
  <c r="AC866" i="2"/>
  <c r="AC1115" i="2" s="1"/>
  <c r="AG1197" i="2"/>
  <c r="M744" i="2"/>
  <c r="M743" i="2"/>
  <c r="M866" i="2"/>
  <c r="M1200" i="2" s="1"/>
  <c r="N742" i="2"/>
  <c r="AD409" i="2"/>
  <c r="L865" i="2"/>
  <c r="L1204" i="2" s="1"/>
  <c r="K737" i="2"/>
  <c r="K733" i="2"/>
  <c r="L734" i="2" s="1"/>
  <c r="K879" i="2"/>
  <c r="K1051" i="2" s="1"/>
  <c r="L741" i="2"/>
  <c r="J727" i="2"/>
  <c r="J1056" i="2" s="1"/>
  <c r="J1067" i="2" s="1"/>
  <c r="I735" i="2"/>
  <c r="H735" i="2" s="1"/>
  <c r="G735" i="2" s="1"/>
  <c r="F735" i="2" s="1"/>
  <c r="E735" i="2" s="1"/>
  <c r="J1118" i="2"/>
  <c r="CA1252" i="2"/>
  <c r="BW1280" i="2"/>
  <c r="AF1196" i="2"/>
  <c r="AE407" i="2"/>
  <c r="AE394" i="2"/>
  <c r="AF969" i="2"/>
  <c r="AF976" i="2"/>
  <c r="AF980" i="2" s="1"/>
  <c r="AF972" i="2"/>
  <c r="AF974" i="2" s="1"/>
  <c r="AG943" i="2"/>
  <c r="AG1023" i="2" s="1"/>
  <c r="AI1208" i="2"/>
  <c r="AH909" i="2"/>
  <c r="AH1123" i="2" s="1"/>
  <c r="R169" i="10" l="1"/>
  <c r="R131" i="10" s="1"/>
  <c r="V208" i="10"/>
  <c r="U208" i="10" s="1"/>
  <c r="AS1324" i="2"/>
  <c r="AS1312" i="2"/>
  <c r="AT1324" i="2"/>
  <c r="AT1312" i="2"/>
  <c r="L1169" i="2"/>
  <c r="L1066" i="2"/>
  <c r="L1069" i="2" s="1"/>
  <c r="L1071" i="2" s="1"/>
  <c r="G18" i="11"/>
  <c r="G22" i="11"/>
  <c r="H16" i="11"/>
  <c r="AF1066" i="2"/>
  <c r="AF1069" i="2" s="1"/>
  <c r="AF1071" i="2" s="1"/>
  <c r="M1170" i="2"/>
  <c r="AH1083" i="2"/>
  <c r="AD865" i="2"/>
  <c r="AC1321" i="2" s="1"/>
  <c r="M1115" i="2"/>
  <c r="M1119" i="2"/>
  <c r="M1117" i="2" s="1"/>
  <c r="M1116" i="2"/>
  <c r="AC1008" i="2"/>
  <c r="AQ1125" i="2"/>
  <c r="AR916" i="2"/>
  <c r="AQ1209" i="2"/>
  <c r="AC1204" i="2"/>
  <c r="AH398" i="2"/>
  <c r="AH399" i="2" s="1"/>
  <c r="AH1099" i="2"/>
  <c r="AK894" i="2"/>
  <c r="AJ1122" i="2"/>
  <c r="AC1116" i="2"/>
  <c r="AP1124" i="2"/>
  <c r="AP1210" i="2"/>
  <c r="AQ915" i="2"/>
  <c r="AR1118" i="2"/>
  <c r="AS735" i="2"/>
  <c r="AS736" i="2" s="1"/>
  <c r="AR728" i="2"/>
  <c r="AQ879" i="2"/>
  <c r="AP605" i="2"/>
  <c r="AQ605" i="2" s="1"/>
  <c r="AH914" i="2"/>
  <c r="AI914" i="2" s="1"/>
  <c r="AJ914" i="2" s="1"/>
  <c r="AK914" i="2" s="1"/>
  <c r="AL914" i="2" s="1"/>
  <c r="AM914" i="2" s="1"/>
  <c r="AN914" i="2" s="1"/>
  <c r="AO914" i="2" s="1"/>
  <c r="AP914" i="2" s="1"/>
  <c r="AQ914" i="2" s="1"/>
  <c r="AR914" i="2" s="1"/>
  <c r="AS914" i="2" s="1"/>
  <c r="AT914" i="2" s="1"/>
  <c r="AI943" i="2"/>
  <c r="AI1023" i="2" s="1"/>
  <c r="AI398" i="2"/>
  <c r="AI399" i="2" s="1"/>
  <c r="AI925" i="2"/>
  <c r="AJ899" i="2"/>
  <c r="AJ1126" i="2" s="1"/>
  <c r="AK848" i="2"/>
  <c r="AL848" i="2" s="1"/>
  <c r="AJ847" i="2"/>
  <c r="AR608" i="2"/>
  <c r="AQ606" i="2"/>
  <c r="AS623" i="2"/>
  <c r="AS1305" i="2" s="1"/>
  <c r="AS611" i="2"/>
  <c r="AT597" i="2"/>
  <c r="AS603" i="2"/>
  <c r="AR604" i="2"/>
  <c r="AS610" i="2"/>
  <c r="AQ600" i="2"/>
  <c r="AQ1297" i="2" s="1"/>
  <c r="AR906" i="2"/>
  <c r="AQ1207" i="2"/>
  <c r="AT564" i="2"/>
  <c r="AT622" i="2"/>
  <c r="AQ609" i="2"/>
  <c r="AQ626" i="2"/>
  <c r="AP837" i="2"/>
  <c r="AR615" i="2"/>
  <c r="AE979" i="2"/>
  <c r="AE751" i="2" s="1"/>
  <c r="AE980" i="2"/>
  <c r="F34" i="11"/>
  <c r="F33" i="11"/>
  <c r="K880" i="2"/>
  <c r="K1052" i="2" s="1"/>
  <c r="K1050" i="2" s="1"/>
  <c r="K1055" i="2" s="1"/>
  <c r="K1057" i="2" s="1"/>
  <c r="K1068" i="2" s="1"/>
  <c r="AO1297" i="2"/>
  <c r="AN1297" i="2"/>
  <c r="AO842" i="2"/>
  <c r="AN842" i="2"/>
  <c r="AN401" i="2" s="1"/>
  <c r="AE978" i="2"/>
  <c r="R229" i="10"/>
  <c r="R216" i="10" s="1"/>
  <c r="R208" i="10" s="1"/>
  <c r="AE741" i="2"/>
  <c r="AE744" i="2" s="1"/>
  <c r="AD743" i="2"/>
  <c r="AD1119" i="2" s="1"/>
  <c r="AD1117" i="2" s="1"/>
  <c r="AD742" i="2"/>
  <c r="AD744" i="2"/>
  <c r="AD346" i="2" s="1"/>
  <c r="AD348" i="2" s="1"/>
  <c r="AD866" i="2"/>
  <c r="AD1115" i="2" s="1"/>
  <c r="AG979" i="2"/>
  <c r="AG741" i="2" s="1"/>
  <c r="AG978" i="2"/>
  <c r="AG1110" i="2" s="1"/>
  <c r="AC1309" i="2"/>
  <c r="AC1313" i="2" s="1"/>
  <c r="AC1200" i="2"/>
  <c r="AC1009" i="2"/>
  <c r="K865" i="2"/>
  <c r="K1204" i="2" s="1"/>
  <c r="K1202" i="2" s="1"/>
  <c r="J737" i="2"/>
  <c r="J879" i="2"/>
  <c r="J1051" i="2" s="1"/>
  <c r="J733" i="2"/>
  <c r="J741" i="2" s="1"/>
  <c r="M742" i="2"/>
  <c r="L866" i="2"/>
  <c r="L1200" i="2" s="1"/>
  <c r="L744" i="2"/>
  <c r="L743" i="2"/>
  <c r="K741" i="2"/>
  <c r="AE409" i="2"/>
  <c r="AF978" i="2"/>
  <c r="AF979" i="2"/>
  <c r="CE1252" i="2"/>
  <c r="CA1280" i="2"/>
  <c r="AH956" i="2"/>
  <c r="AI956" i="2" s="1"/>
  <c r="AH943" i="2"/>
  <c r="I8" i="11"/>
  <c r="X8" i="11" s="1"/>
  <c r="AJ879" i="2"/>
  <c r="AF394" i="2"/>
  <c r="AF407" i="2"/>
  <c r="Q131" i="10"/>
  <c r="Q216" i="10" s="1"/>
  <c r="R80" i="10"/>
  <c r="Q80" i="10" s="1"/>
  <c r="Q208" i="10" s="1"/>
  <c r="AJ941" i="2"/>
  <c r="AH958" i="2"/>
  <c r="AI958" i="2" s="1"/>
  <c r="AG1196" i="2"/>
  <c r="AH1197" i="2"/>
  <c r="AJ1208" i="2"/>
  <c r="AI909" i="2"/>
  <c r="AI1123" i="2" s="1"/>
  <c r="K1066" i="2" l="1"/>
  <c r="K1069" i="2" s="1"/>
  <c r="K1169" i="2"/>
  <c r="AD1321" i="2"/>
  <c r="J32" i="11"/>
  <c r="L32" i="11" s="1"/>
  <c r="AD1008" i="2"/>
  <c r="H18" i="11"/>
  <c r="H22" i="11"/>
  <c r="L1170" i="2"/>
  <c r="AD1204" i="2"/>
  <c r="AD1310" i="2"/>
  <c r="AH1023" i="2"/>
  <c r="J8" i="11" s="1"/>
  <c r="Y8" i="11" s="1"/>
  <c r="AL894" i="2"/>
  <c r="AL1208" i="2" s="1"/>
  <c r="AK1122" i="2"/>
  <c r="AF737" i="2"/>
  <c r="AF1110" i="2"/>
  <c r="L1119" i="2"/>
  <c r="L1117" i="2" s="1"/>
  <c r="L1115" i="2"/>
  <c r="L1116" i="2"/>
  <c r="AR1125" i="2"/>
  <c r="AS916" i="2"/>
  <c r="AR1209" i="2"/>
  <c r="K60" i="12"/>
  <c r="K75" i="12" s="1"/>
  <c r="K86" i="12" s="1"/>
  <c r="AD1116" i="2"/>
  <c r="AE737" i="2"/>
  <c r="AE1110" i="2"/>
  <c r="AQ1124" i="2"/>
  <c r="AR915" i="2"/>
  <c r="AQ1210" i="2"/>
  <c r="AJ925" i="2"/>
  <c r="AJ952" i="2" s="1"/>
  <c r="AJ645" i="2" s="1"/>
  <c r="AJ689" i="2" s="1"/>
  <c r="AK899" i="2"/>
  <c r="AK1126" i="2" s="1"/>
  <c r="AK847" i="2"/>
  <c r="AS1118" i="2"/>
  <c r="AT735" i="2"/>
  <c r="AT736" i="2" s="1"/>
  <c r="AS728" i="2"/>
  <c r="AR879" i="2"/>
  <c r="AP401" i="2"/>
  <c r="AO401" i="2"/>
  <c r="AR605" i="2"/>
  <c r="AR600" i="2"/>
  <c r="AR1297" i="2" s="1"/>
  <c r="AT610" i="2"/>
  <c r="AT603" i="2"/>
  <c r="AT611" i="2"/>
  <c r="AS604" i="2"/>
  <c r="AT623" i="2"/>
  <c r="AT1305" i="2" s="1"/>
  <c r="AR606" i="2"/>
  <c r="AS906" i="2"/>
  <c r="AR1207" i="2"/>
  <c r="AS608" i="2"/>
  <c r="AR609" i="2"/>
  <c r="AR626" i="2"/>
  <c r="AQ837" i="2"/>
  <c r="AS615" i="2"/>
  <c r="J880" i="2"/>
  <c r="J1052" i="2" s="1"/>
  <c r="J1050" i="2" s="1"/>
  <c r="J1055" i="2" s="1"/>
  <c r="J1057" i="2" s="1"/>
  <c r="J1068" i="2" s="1"/>
  <c r="G34" i="11"/>
  <c r="G33" i="11"/>
  <c r="AE743" i="2"/>
  <c r="AE1119" i="2" s="1"/>
  <c r="AE1117" i="2" s="1"/>
  <c r="AE742" i="2"/>
  <c r="AG751" i="2"/>
  <c r="AF741" i="2"/>
  <c r="AF743" i="2" s="1"/>
  <c r="AF1119" i="2" s="1"/>
  <c r="AF1117" i="2" s="1"/>
  <c r="AD1200" i="2"/>
  <c r="AC1322" i="2"/>
  <c r="AD1009" i="2"/>
  <c r="AD1309" i="2"/>
  <c r="AD1313" i="2" s="1"/>
  <c r="AD1322" i="2"/>
  <c r="AL847" i="2"/>
  <c r="AM848" i="2"/>
  <c r="AG737" i="2"/>
  <c r="AE866" i="2"/>
  <c r="K734" i="2"/>
  <c r="J743" i="2"/>
  <c r="J1116" i="2" s="1"/>
  <c r="J744" i="2"/>
  <c r="J866" i="2"/>
  <c r="J1200" i="2" s="1"/>
  <c r="K744" i="2"/>
  <c r="K742" i="2"/>
  <c r="K743" i="2"/>
  <c r="K866" i="2"/>
  <c r="K1200" i="2" s="1"/>
  <c r="L742" i="2"/>
  <c r="J865" i="2"/>
  <c r="J1204" i="2" s="1"/>
  <c r="K1228" i="2"/>
  <c r="Q1256" i="2" s="1"/>
  <c r="L1202" i="2"/>
  <c r="K1201" i="2"/>
  <c r="AF409" i="2"/>
  <c r="CE1280" i="2"/>
  <c r="CI1252" i="2"/>
  <c r="K8" i="11"/>
  <c r="AG1303" i="2"/>
  <c r="AK879" i="2"/>
  <c r="AK941" i="2"/>
  <c r="AI1197" i="2"/>
  <c r="AH1196" i="2"/>
  <c r="S208" i="10"/>
  <c r="AL899" i="2"/>
  <c r="AK925" i="2"/>
  <c r="AJ909" i="2"/>
  <c r="AJ1123" i="2" s="1"/>
  <c r="AK1208" i="2"/>
  <c r="AJ956" i="2" l="1"/>
  <c r="AJ958" i="2"/>
  <c r="J1066" i="2"/>
  <c r="J1069" i="2" s="1"/>
  <c r="J1169" i="2"/>
  <c r="I1200" i="2"/>
  <c r="J1087" i="2"/>
  <c r="AE1116" i="2"/>
  <c r="K1199" i="2"/>
  <c r="K1087" i="2"/>
  <c r="K1170" i="2"/>
  <c r="K1071" i="2"/>
  <c r="L60" i="12"/>
  <c r="L75" i="12" s="1"/>
  <c r="L86" i="12" s="1"/>
  <c r="AR1124" i="2"/>
  <c r="AS915" i="2"/>
  <c r="AR1210" i="2"/>
  <c r="K53" i="12"/>
  <c r="K66" i="12" s="1"/>
  <c r="K74" i="12" s="1"/>
  <c r="AM899" i="2"/>
  <c r="AL1126" i="2"/>
  <c r="J1119" i="2"/>
  <c r="J1117" i="2" s="1"/>
  <c r="J1115" i="2"/>
  <c r="AE346" i="2"/>
  <c r="AE348" i="2" s="1"/>
  <c r="AE865" i="2"/>
  <c r="AE1321" i="2" s="1"/>
  <c r="AF1116" i="2"/>
  <c r="K1119" i="2"/>
  <c r="K1117" i="2" s="1"/>
  <c r="K1115" i="2"/>
  <c r="K1116" i="2"/>
  <c r="AJ1099" i="2"/>
  <c r="AE1322" i="2"/>
  <c r="AE1115" i="2"/>
  <c r="AJ640" i="2"/>
  <c r="AJ684" i="2" s="1"/>
  <c r="AS1125" i="2"/>
  <c r="AS1209" i="2"/>
  <c r="AT916" i="2"/>
  <c r="AM894" i="2"/>
  <c r="AL1122" i="2"/>
  <c r="AT1118" i="2"/>
  <c r="AT728" i="2"/>
  <c r="AS879" i="2"/>
  <c r="AJ834" i="2"/>
  <c r="AK952" i="2"/>
  <c r="AS606" i="2"/>
  <c r="AT608" i="2"/>
  <c r="AT906" i="2"/>
  <c r="AT1207" i="2" s="1"/>
  <c r="AS1207" i="2"/>
  <c r="AT604" i="2"/>
  <c r="AS600" i="2"/>
  <c r="AS1297" i="2" s="1"/>
  <c r="AS605" i="2"/>
  <c r="AS609" i="2"/>
  <c r="AR837" i="2"/>
  <c r="AS626" i="2"/>
  <c r="AT615" i="2"/>
  <c r="Z8" i="11"/>
  <c r="L8" i="11"/>
  <c r="H34" i="11"/>
  <c r="H33" i="11"/>
  <c r="AJ398" i="2"/>
  <c r="AJ399" i="2" s="1"/>
  <c r="AM847" i="2"/>
  <c r="AN848" i="2"/>
  <c r="AF744" i="2"/>
  <c r="AF346" i="2" s="1"/>
  <c r="AF348" i="2" s="1"/>
  <c r="AF742" i="2"/>
  <c r="AG865" i="2"/>
  <c r="AM879" i="2"/>
  <c r="I33" i="11"/>
  <c r="AE1309" i="2"/>
  <c r="AE1313" i="2" s="1"/>
  <c r="AE1009" i="2"/>
  <c r="AE1200" i="2"/>
  <c r="R34" i="7"/>
  <c r="AJ1197" i="2"/>
  <c r="M1202" i="2"/>
  <c r="L1228" i="2"/>
  <c r="U1256" i="2" s="1"/>
  <c r="L1201" i="2"/>
  <c r="K1226" i="2"/>
  <c r="Q1254" i="2" s="1"/>
  <c r="Q1087" i="2" s="1"/>
  <c r="L1199" i="2"/>
  <c r="K1198" i="2"/>
  <c r="P1256" i="2"/>
  <c r="N1256" i="2"/>
  <c r="O1256" i="2"/>
  <c r="AI1196" i="2"/>
  <c r="AL941" i="2"/>
  <c r="AL879" i="2"/>
  <c r="CI1280" i="2"/>
  <c r="CM1252" i="2"/>
  <c r="AL925" i="2"/>
  <c r="AH1303" i="2"/>
  <c r="AI841" i="2"/>
  <c r="AI394" i="2" s="1"/>
  <c r="AF865" i="2"/>
  <c r="AF866" i="2"/>
  <c r="AK909" i="2"/>
  <c r="AK1123" i="2" s="1"/>
  <c r="T1256" i="2" l="1"/>
  <c r="J1170" i="2"/>
  <c r="J1071" i="2"/>
  <c r="AJ1023" i="2"/>
  <c r="O8" i="11" s="1"/>
  <c r="AA8" i="11" s="1"/>
  <c r="AK640" i="2"/>
  <c r="AF1321" i="2"/>
  <c r="AK645" i="2"/>
  <c r="AK689" i="2" s="1"/>
  <c r="AF1322" i="2"/>
  <c r="AF1115" i="2"/>
  <c r="AN899" i="2"/>
  <c r="AM1126" i="2"/>
  <c r="AK834" i="2"/>
  <c r="L53" i="12"/>
  <c r="L66" i="12" s="1"/>
  <c r="L74" i="12" s="1"/>
  <c r="M60" i="12"/>
  <c r="M75" i="12" s="1"/>
  <c r="M86" i="12" s="1"/>
  <c r="AN894" i="2"/>
  <c r="AM1122" i="2"/>
  <c r="AM1208" i="2"/>
  <c r="AE1310" i="2"/>
  <c r="K81" i="12"/>
  <c r="AK574" i="2"/>
  <c r="V34" i="7" s="1"/>
  <c r="AK1099" i="2"/>
  <c r="AE1204" i="2"/>
  <c r="AE1008" i="2"/>
  <c r="AT1125" i="2"/>
  <c r="AT1209" i="2"/>
  <c r="AM925" i="2"/>
  <c r="AS1124" i="2"/>
  <c r="AS1210" i="2"/>
  <c r="AT915" i="2"/>
  <c r="AL952" i="2"/>
  <c r="AL834" i="2" s="1"/>
  <c r="AT879" i="2"/>
  <c r="K85" i="12"/>
  <c r="K87" i="12" s="1"/>
  <c r="K76" i="12"/>
  <c r="AT605" i="2"/>
  <c r="AT600" i="2"/>
  <c r="AT1297" i="2" s="1"/>
  <c r="AT606" i="2"/>
  <c r="AT609" i="2"/>
  <c r="AT626" i="2"/>
  <c r="AS837" i="2"/>
  <c r="L1206" i="2"/>
  <c r="AK398" i="2"/>
  <c r="AK399" i="2" s="1"/>
  <c r="AK958" i="2"/>
  <c r="AK956" i="2"/>
  <c r="AO848" i="2"/>
  <c r="AN847" i="2"/>
  <c r="AG1321" i="2"/>
  <c r="AL937" i="2"/>
  <c r="AM941" i="2"/>
  <c r="L1226" i="2"/>
  <c r="U1254" i="2" s="1"/>
  <c r="L1198" i="2"/>
  <c r="M1199" i="2"/>
  <c r="O1254" i="2"/>
  <c r="O1087" i="2" s="1"/>
  <c r="P1254" i="2"/>
  <c r="P1087" i="2" s="1"/>
  <c r="N1254" i="2"/>
  <c r="N1087" i="2" s="1"/>
  <c r="S1256" i="2"/>
  <c r="R1256" i="2"/>
  <c r="N1202" i="2"/>
  <c r="M1228" i="2"/>
  <c r="Y1256" i="2" s="1"/>
  <c r="W1256" i="2" s="1"/>
  <c r="M1201" i="2"/>
  <c r="AH738" i="2"/>
  <c r="AK943" i="2"/>
  <c r="AJ841" i="2"/>
  <c r="AJ394" i="2" s="1"/>
  <c r="AI1303" i="2"/>
  <c r="AF1009" i="2"/>
  <c r="AF1309" i="2"/>
  <c r="AF1313" i="2" s="1"/>
  <c r="AF1200" i="2"/>
  <c r="AJ1196" i="2"/>
  <c r="CM1280" i="2"/>
  <c r="CQ1252" i="2"/>
  <c r="CQ1280" i="2" s="1"/>
  <c r="AF1008" i="2"/>
  <c r="AF1310" i="2"/>
  <c r="AF1204" i="2"/>
  <c r="AK1197" i="2"/>
  <c r="AL909" i="2"/>
  <c r="AL1123" i="2" s="1"/>
  <c r="L81" i="12" l="1"/>
  <c r="T1254" i="2"/>
  <c r="T1087" i="2" s="1"/>
  <c r="U1087" i="2"/>
  <c r="AK1023" i="2"/>
  <c r="P8" i="11" s="1"/>
  <c r="AB8" i="11" s="1"/>
  <c r="AL640" i="2"/>
  <c r="AL645" i="2"/>
  <c r="AL689" i="2" s="1"/>
  <c r="AT1124" i="2"/>
  <c r="AT1210" i="2"/>
  <c r="AM952" i="2"/>
  <c r="AM834" i="2" s="1"/>
  <c r="AO899" i="2"/>
  <c r="AP899" i="2" s="1"/>
  <c r="AQ899" i="2" s="1"/>
  <c r="AR899" i="2" s="1"/>
  <c r="AS899" i="2" s="1"/>
  <c r="AT899" i="2" s="1"/>
  <c r="AN1126" i="2"/>
  <c r="AN925" i="2"/>
  <c r="M53" i="12"/>
  <c r="M66" i="12" s="1"/>
  <c r="M81" i="12" s="1"/>
  <c r="AL574" i="2"/>
  <c r="X34" i="7" s="1"/>
  <c r="AL1099" i="2"/>
  <c r="AO894" i="2"/>
  <c r="AP894" i="2" s="1"/>
  <c r="AQ894" i="2" s="1"/>
  <c r="AR894" i="2" s="1"/>
  <c r="AS894" i="2" s="1"/>
  <c r="AT894" i="2" s="1"/>
  <c r="AN1122" i="2"/>
  <c r="AN1208" i="2"/>
  <c r="N60" i="12"/>
  <c r="N75" i="12" s="1"/>
  <c r="N86" i="12" s="1"/>
  <c r="AO847" i="2"/>
  <c r="AP848" i="2"/>
  <c r="L76" i="12"/>
  <c r="L85" i="12"/>
  <c r="L87" i="12" s="1"/>
  <c r="AT837" i="2"/>
  <c r="AH740" i="2"/>
  <c r="AH1085" i="2" s="1"/>
  <c r="AH1086" i="2" s="1"/>
  <c r="AH739" i="2"/>
  <c r="AL398" i="2"/>
  <c r="AL399" i="2" s="1"/>
  <c r="AL943" i="2"/>
  <c r="AL956" i="2"/>
  <c r="AL958" i="2"/>
  <c r="AM937" i="2"/>
  <c r="AM574" i="2" s="1"/>
  <c r="Z34" i="7" s="1"/>
  <c r="AN941" i="2"/>
  <c r="AL1197" i="2"/>
  <c r="AM909" i="2"/>
  <c r="AM1123" i="2" s="1"/>
  <c r="R1254" i="2"/>
  <c r="R1087" i="2" s="1"/>
  <c r="O1202" i="2"/>
  <c r="N1228" i="2"/>
  <c r="AC1256" i="2" s="1"/>
  <c r="N1201" i="2"/>
  <c r="V1256" i="2"/>
  <c r="M1226" i="2"/>
  <c r="Y1254" i="2" s="1"/>
  <c r="N1199" i="2"/>
  <c r="M1198" i="2"/>
  <c r="X1256" i="2"/>
  <c r="S1254" i="2"/>
  <c r="S1087" i="2" s="1"/>
  <c r="AK841" i="2"/>
  <c r="AK394" i="2" s="1"/>
  <c r="AK1196" i="2"/>
  <c r="AJ1303" i="2"/>
  <c r="AK619" i="2"/>
  <c r="AG1204" i="2"/>
  <c r="AG1310" i="2"/>
  <c r="AM640" i="2" l="1"/>
  <c r="AM645" i="2"/>
  <c r="AM689" i="2" s="1"/>
  <c r="X1254" i="2"/>
  <c r="AL1023" i="2"/>
  <c r="Q8" i="11" s="1"/>
  <c r="AC8" i="11" s="1"/>
  <c r="N53" i="12"/>
  <c r="N66" i="12" s="1"/>
  <c r="N74" i="12" s="1"/>
  <c r="AH741" i="2"/>
  <c r="AI742" i="2" s="1"/>
  <c r="AO1126" i="2"/>
  <c r="AO925" i="2"/>
  <c r="AM1099" i="2"/>
  <c r="M74" i="12"/>
  <c r="M85" i="12" s="1"/>
  <c r="M87" i="12" s="1"/>
  <c r="AO1122" i="2"/>
  <c r="AO1208" i="2"/>
  <c r="O60" i="12"/>
  <c r="O75" i="12" s="1"/>
  <c r="O86" i="12" s="1"/>
  <c r="AN952" i="2"/>
  <c r="AN645" i="2" s="1"/>
  <c r="AQ848" i="2"/>
  <c r="AP847" i="2"/>
  <c r="AL1196" i="2"/>
  <c r="AM398" i="2"/>
  <c r="AM399" i="2" s="1"/>
  <c r="AM943" i="2"/>
  <c r="AM956" i="2"/>
  <c r="AM958" i="2"/>
  <c r="AM1197" i="2"/>
  <c r="AO941" i="2"/>
  <c r="AN937" i="2"/>
  <c r="AN909" i="2"/>
  <c r="W1254" i="2"/>
  <c r="V1254" i="2"/>
  <c r="Z1256" i="2"/>
  <c r="O1228" i="2"/>
  <c r="AG1256" i="2" s="1"/>
  <c r="P1202" i="2"/>
  <c r="O1201" i="2"/>
  <c r="AA1256" i="2"/>
  <c r="AB1256" i="2"/>
  <c r="N1198" i="2"/>
  <c r="N1226" i="2"/>
  <c r="AC1254" i="2" s="1"/>
  <c r="O1199" i="2"/>
  <c r="AL841" i="2"/>
  <c r="AL394" i="2" s="1"/>
  <c r="AL619" i="2"/>
  <c r="AL1303" i="2" s="1"/>
  <c r="AK1303" i="2"/>
  <c r="AN943" i="2" l="1"/>
  <c r="AN1023" i="2" s="1"/>
  <c r="AN574" i="2"/>
  <c r="AB34" i="7" s="1"/>
  <c r="AN689" i="2"/>
  <c r="AF1256" i="2"/>
  <c r="AM1023" i="2"/>
  <c r="R8" i="11" s="1"/>
  <c r="AD8" i="11" s="1"/>
  <c r="AN1099" i="2"/>
  <c r="O53" i="12"/>
  <c r="O66" i="12" s="1"/>
  <c r="O74" i="12" s="1"/>
  <c r="AN640" i="2"/>
  <c r="M76" i="12"/>
  <c r="AO909" i="2"/>
  <c r="AN1123" i="2"/>
  <c r="AP1122" i="2"/>
  <c r="AP1208" i="2"/>
  <c r="N81" i="12"/>
  <c r="AO952" i="2"/>
  <c r="AN834" i="2"/>
  <c r="AP1126" i="2"/>
  <c r="AP925" i="2"/>
  <c r="P60" i="12"/>
  <c r="P75" i="12" s="1"/>
  <c r="P86" i="12" s="1"/>
  <c r="AO937" i="2"/>
  <c r="AP941" i="2"/>
  <c r="AR848" i="2"/>
  <c r="AQ847" i="2"/>
  <c r="N76" i="12"/>
  <c r="N85" i="12"/>
  <c r="N87" i="12" s="1"/>
  <c r="AM1196" i="2"/>
  <c r="AN398" i="2"/>
  <c r="AN399" i="2" s="1"/>
  <c r="AN956" i="2"/>
  <c r="AN958" i="2"/>
  <c r="S8" i="11"/>
  <c r="AE8" i="11" s="1"/>
  <c r="AN1197" i="2"/>
  <c r="AM841" i="2"/>
  <c r="AM619" i="2"/>
  <c r="AD1256" i="2"/>
  <c r="AE1256" i="2"/>
  <c r="P1201" i="2"/>
  <c r="P1228" i="2"/>
  <c r="AK1256" i="2" s="1"/>
  <c r="Q1202" i="2"/>
  <c r="AA1254" i="2"/>
  <c r="AB1254" i="2"/>
  <c r="O1226" i="2"/>
  <c r="AG1254" i="2" s="1"/>
  <c r="O1198" i="2"/>
  <c r="P1199" i="2"/>
  <c r="Z1254" i="2"/>
  <c r="AO943" i="2" l="1"/>
  <c r="AO1023" i="2" s="1"/>
  <c r="V8" i="11" s="1"/>
  <c r="AF8" i="11" s="1"/>
  <c r="AO574" i="2"/>
  <c r="AD34" i="7" s="1"/>
  <c r="AF34" i="7" s="1"/>
  <c r="AH1256" i="2"/>
  <c r="O81" i="12"/>
  <c r="AO1197" i="2"/>
  <c r="P53" i="12"/>
  <c r="P66" i="12" s="1"/>
  <c r="P74" i="12" s="1"/>
  <c r="AP952" i="2"/>
  <c r="AO834" i="2"/>
  <c r="Q60" i="12"/>
  <c r="Q75" i="12" s="1"/>
  <c r="Q86" i="12" s="1"/>
  <c r="AQ1122" i="2"/>
  <c r="AQ1208" i="2"/>
  <c r="AO1099" i="2"/>
  <c r="AQ1126" i="2"/>
  <c r="AQ925" i="2"/>
  <c r="AP909" i="2"/>
  <c r="AO1123" i="2"/>
  <c r="AO640" i="2"/>
  <c r="AO958" i="2"/>
  <c r="AO645" i="2"/>
  <c r="AO689" i="2" s="1"/>
  <c r="AO956" i="2"/>
  <c r="AO398" i="2"/>
  <c r="AO399" i="2" s="1"/>
  <c r="O85" i="12"/>
  <c r="O87" i="12" s="1"/>
  <c r="O76" i="12"/>
  <c r="AQ941" i="2"/>
  <c r="AP937" i="2"/>
  <c r="AS848" i="2"/>
  <c r="AR847" i="2"/>
  <c r="T8" i="11"/>
  <c r="AM394" i="2"/>
  <c r="AN619" i="2"/>
  <c r="AN1196" i="2"/>
  <c r="AN841" i="2"/>
  <c r="AN394" i="2" s="1"/>
  <c r="AM1303" i="2"/>
  <c r="Q1228" i="2"/>
  <c r="AO1256" i="2" s="1"/>
  <c r="Q1201" i="2"/>
  <c r="R1202" i="2"/>
  <c r="P1226" i="2"/>
  <c r="AK1254" i="2" s="1"/>
  <c r="P1198" i="2"/>
  <c r="Q1199" i="2"/>
  <c r="AI1256" i="2"/>
  <c r="AF1254" i="2"/>
  <c r="AD1254" i="2"/>
  <c r="AJ1256" i="2"/>
  <c r="AE1254" i="2"/>
  <c r="AG1205" i="2"/>
  <c r="AO1196" i="2" l="1"/>
  <c r="AP640" i="2"/>
  <c r="P81" i="12"/>
  <c r="AJ1254" i="2"/>
  <c r="AN1256" i="2"/>
  <c r="AP1123" i="2"/>
  <c r="AQ909" i="2"/>
  <c r="R60" i="12"/>
  <c r="R75" i="12" s="1"/>
  <c r="R86" i="12" s="1"/>
  <c r="AP645" i="2"/>
  <c r="AP689" i="2" s="1"/>
  <c r="Q53" i="12"/>
  <c r="Q66" i="12" s="1"/>
  <c r="Q81" i="12" s="1"/>
  <c r="AP958" i="2"/>
  <c r="AP1099" i="2"/>
  <c r="AR1122" i="2"/>
  <c r="AR1208" i="2"/>
  <c r="AR1126" i="2"/>
  <c r="AR925" i="2"/>
  <c r="AQ952" i="2"/>
  <c r="AQ834" i="2" s="1"/>
  <c r="AP834" i="2"/>
  <c r="AO619" i="2"/>
  <c r="AO1303" i="2" s="1"/>
  <c r="AP956" i="2"/>
  <c r="AP841" i="2" s="1"/>
  <c r="AP574" i="2"/>
  <c r="AT848" i="2"/>
  <c r="AT847" i="2" s="1"/>
  <c r="AS847" i="2"/>
  <c r="AR941" i="2"/>
  <c r="AQ937" i="2"/>
  <c r="AP943" i="2"/>
  <c r="AP1023" i="2" s="1"/>
  <c r="AP398" i="2"/>
  <c r="AP399" i="2" s="1"/>
  <c r="AP1197" i="2"/>
  <c r="P76" i="12"/>
  <c r="P85" i="12"/>
  <c r="P87" i="12" s="1"/>
  <c r="I34" i="11"/>
  <c r="I31" i="11"/>
  <c r="AO841" i="2"/>
  <c r="AN1303" i="2"/>
  <c r="AM1256" i="2"/>
  <c r="AI1254" i="2"/>
  <c r="Q1198" i="2"/>
  <c r="R1199" i="2"/>
  <c r="Q1226" i="2"/>
  <c r="AO1254" i="2" s="1"/>
  <c r="AM1254" i="2" s="1"/>
  <c r="S1202" i="2"/>
  <c r="R1228" i="2"/>
  <c r="AS1256" i="2" s="1"/>
  <c r="R1201" i="2"/>
  <c r="AH1254" i="2"/>
  <c r="AL1256" i="2"/>
  <c r="AH1205" i="2"/>
  <c r="AQ1197" i="2" l="1"/>
  <c r="Q74" i="12"/>
  <c r="Q85" i="12" s="1"/>
  <c r="Q87" i="12" s="1"/>
  <c r="AS1126" i="2"/>
  <c r="AS925" i="2"/>
  <c r="AQ958" i="2"/>
  <c r="AQ1099" i="2"/>
  <c r="AR952" i="2"/>
  <c r="AR834" i="2" s="1"/>
  <c r="AS1122" i="2"/>
  <c r="AS1208" i="2"/>
  <c r="S60" i="12"/>
  <c r="S75" i="12" s="1"/>
  <c r="S86" i="12" s="1"/>
  <c r="R53" i="12"/>
  <c r="R66" i="12" s="1"/>
  <c r="R74" i="12" s="1"/>
  <c r="AQ645" i="2"/>
  <c r="AQ689" i="2" s="1"/>
  <c r="AQ1123" i="2"/>
  <c r="AR909" i="2"/>
  <c r="AQ640" i="2"/>
  <c r="AR640" i="2" s="1"/>
  <c r="AP619" i="2"/>
  <c r="AP1303" i="2" s="1"/>
  <c r="AP1196" i="2"/>
  <c r="AQ943" i="2"/>
  <c r="AQ1023" i="2" s="1"/>
  <c r="AQ574" i="2"/>
  <c r="AQ398" i="2"/>
  <c r="AQ399" i="2" s="1"/>
  <c r="AQ956" i="2"/>
  <c r="AS941" i="2"/>
  <c r="AR937" i="2"/>
  <c r="AR1099" i="2" s="1"/>
  <c r="AO394" i="2"/>
  <c r="AP394" i="2"/>
  <c r="AN1254" i="2"/>
  <c r="AQ1256" i="2"/>
  <c r="S1228" i="2"/>
  <c r="AX1256" i="2" s="1"/>
  <c r="AW1256" i="2" s="1"/>
  <c r="T1202" i="2"/>
  <c r="S1201" i="2"/>
  <c r="AR1256" i="2"/>
  <c r="AP1256" i="2"/>
  <c r="AL1254" i="2"/>
  <c r="R1198" i="2"/>
  <c r="R1226" i="2"/>
  <c r="AS1254" i="2" s="1"/>
  <c r="S1199" i="2"/>
  <c r="AR645" i="2" l="1"/>
  <c r="AR689" i="2" s="1"/>
  <c r="Q76" i="12"/>
  <c r="AQ619" i="2"/>
  <c r="AQ1303" i="2" s="1"/>
  <c r="AR1123" i="2"/>
  <c r="AS909" i="2"/>
  <c r="AT1122" i="2"/>
  <c r="AT1208" i="2"/>
  <c r="R81" i="12"/>
  <c r="AT1126" i="2"/>
  <c r="AT925" i="2"/>
  <c r="S53" i="12"/>
  <c r="S66" i="12" s="1"/>
  <c r="S74" i="12" s="1"/>
  <c r="AS952" i="2"/>
  <c r="T60" i="12"/>
  <c r="T75" i="12" s="1"/>
  <c r="T86" i="12" s="1"/>
  <c r="AT941" i="2"/>
  <c r="AT937" i="2" s="1"/>
  <c r="AT1099" i="2" s="1"/>
  <c r="AS937" i="2"/>
  <c r="AS1099" i="2" s="1"/>
  <c r="AQ1196" i="2"/>
  <c r="AQ841" i="2"/>
  <c r="AR956" i="2"/>
  <c r="AR574" i="2"/>
  <c r="AR943" i="2"/>
  <c r="AR1023" i="2" s="1"/>
  <c r="AR398" i="2"/>
  <c r="AR399" i="2" s="1"/>
  <c r="AR958" i="2"/>
  <c r="AR1197" i="2"/>
  <c r="R76" i="12"/>
  <c r="R85" i="12"/>
  <c r="R87" i="12" s="1"/>
  <c r="AV1256" i="2"/>
  <c r="S1198" i="2"/>
  <c r="S1226" i="2"/>
  <c r="AX1254" i="2" s="1"/>
  <c r="AV1254" i="2" s="1"/>
  <c r="T1199" i="2"/>
  <c r="T1228" i="2"/>
  <c r="BB1256" i="2" s="1"/>
  <c r="U1202" i="2"/>
  <c r="T1201" i="2"/>
  <c r="AQ1254" i="2"/>
  <c r="AT1256" i="2"/>
  <c r="AR1254" i="2"/>
  <c r="AP1254" i="2"/>
  <c r="AR619" i="2" l="1"/>
  <c r="AR1303" i="2" s="1"/>
  <c r="U60" i="12"/>
  <c r="U75" i="12" s="1"/>
  <c r="U86" i="12" s="1"/>
  <c r="T53" i="12"/>
  <c r="T66" i="12" s="1"/>
  <c r="T74" i="12" s="1"/>
  <c r="AT952" i="2"/>
  <c r="AT834" i="2" s="1"/>
  <c r="AS834" i="2"/>
  <c r="S81" i="12"/>
  <c r="AS645" i="2"/>
  <c r="AT645" i="2" s="1"/>
  <c r="AS640" i="2"/>
  <c r="AT640" i="2" s="1"/>
  <c r="AS1123" i="2"/>
  <c r="AT909" i="2"/>
  <c r="AT1123" i="2" s="1"/>
  <c r="AS1197" i="2"/>
  <c r="AT1197" i="2" s="1"/>
  <c r="AS956" i="2"/>
  <c r="AR841" i="2"/>
  <c r="AS958" i="2"/>
  <c r="AS943" i="2"/>
  <c r="AS1023" i="2" s="1"/>
  <c r="AS574" i="2"/>
  <c r="AS398" i="2"/>
  <c r="AS399" i="2" s="1"/>
  <c r="S85" i="12"/>
  <c r="S87" i="12" s="1"/>
  <c r="S76" i="12"/>
  <c r="AQ394" i="2"/>
  <c r="AR1196" i="2"/>
  <c r="AT943" i="2"/>
  <c r="AT1023" i="2" s="1"/>
  <c r="AT574" i="2"/>
  <c r="AT398" i="2"/>
  <c r="AT399" i="2" s="1"/>
  <c r="AW1254" i="2"/>
  <c r="U1228" i="2"/>
  <c r="BF1256" i="2" s="1"/>
  <c r="BD1256" i="2" s="1"/>
  <c r="U1201" i="2"/>
  <c r="V1202" i="2"/>
  <c r="V1088" i="2" s="1"/>
  <c r="BA1256" i="2"/>
  <c r="AY1256" i="2"/>
  <c r="AZ1256" i="2"/>
  <c r="U1199" i="2"/>
  <c r="T1226" i="2"/>
  <c r="BB1254" i="2" s="1"/>
  <c r="AY1254" i="2" s="1"/>
  <c r="T1198" i="2"/>
  <c r="AT1254" i="2"/>
  <c r="AS619" i="2" l="1"/>
  <c r="AS1303" i="2" s="1"/>
  <c r="AS689" i="2"/>
  <c r="AT689" i="2" s="1"/>
  <c r="U53" i="12"/>
  <c r="U66" i="12" s="1"/>
  <c r="V60" i="12"/>
  <c r="V75" i="12" s="1"/>
  <c r="V86" i="12" s="1"/>
  <c r="T81" i="12"/>
  <c r="AS1196" i="2"/>
  <c r="AT1196" i="2" s="1"/>
  <c r="AT958" i="2"/>
  <c r="AR394" i="2"/>
  <c r="T76" i="12"/>
  <c r="T85" i="12"/>
  <c r="T87" i="12" s="1"/>
  <c r="U74" i="12"/>
  <c r="U81" i="12"/>
  <c r="AT956" i="2"/>
  <c r="AS841" i="2"/>
  <c r="AN346" i="2"/>
  <c r="BA1254" i="2"/>
  <c r="BE1256" i="2"/>
  <c r="BC1256" i="2"/>
  <c r="AZ1254" i="2"/>
  <c r="V1201" i="2"/>
  <c r="W1202" i="2"/>
  <c r="W1088" i="2" s="1"/>
  <c r="V1228" i="2"/>
  <c r="BJ1256" i="2" s="1"/>
  <c r="U1198" i="2"/>
  <c r="V1199" i="2"/>
  <c r="V1087" i="2" s="1"/>
  <c r="U1226" i="2"/>
  <c r="BF1254" i="2" s="1"/>
  <c r="BC1254" i="2" s="1"/>
  <c r="AT619" i="2" l="1"/>
  <c r="AT1303" i="2" s="1"/>
  <c r="V53" i="12"/>
  <c r="V66" i="12" s="1"/>
  <c r="V74" i="12" s="1"/>
  <c r="W60" i="12"/>
  <c r="W75" i="12" s="1"/>
  <c r="W86" i="12" s="1"/>
  <c r="V81" i="12"/>
  <c r="AS394" i="2"/>
  <c r="AT841" i="2"/>
  <c r="U76" i="12"/>
  <c r="U85" i="12"/>
  <c r="U87" i="12" s="1"/>
  <c r="AO346" i="2"/>
  <c r="X1202" i="2"/>
  <c r="X1088" i="2" s="1"/>
  <c r="W1201" i="2"/>
  <c r="W1228" i="2"/>
  <c r="BN1256" i="2" s="1"/>
  <c r="BG1256" i="2"/>
  <c r="BI1256" i="2"/>
  <c r="BD1254" i="2"/>
  <c r="W1199" i="2"/>
  <c r="W1087" i="2" s="1"/>
  <c r="V1198" i="2"/>
  <c r="V1226" i="2"/>
  <c r="BJ1254" i="2" s="1"/>
  <c r="BE1254" i="2"/>
  <c r="BH1256" i="2"/>
  <c r="W53" i="12" l="1"/>
  <c r="W66" i="12" s="1"/>
  <c r="X60" i="12"/>
  <c r="X75" i="12" s="1"/>
  <c r="X86" i="12" s="1"/>
  <c r="W74" i="12"/>
  <c r="W81" i="12"/>
  <c r="AT394" i="2"/>
  <c r="V85" i="12"/>
  <c r="V76" i="12"/>
  <c r="AP346" i="2"/>
  <c r="W1198" i="2"/>
  <c r="X1199" i="2"/>
  <c r="X1087" i="2" s="1"/>
  <c r="W1226" i="2"/>
  <c r="BN1254" i="2" s="1"/>
  <c r="BL1256" i="2"/>
  <c r="X1201" i="2"/>
  <c r="Y1202" i="2"/>
  <c r="Y1088" i="2" s="1"/>
  <c r="X1228" i="2"/>
  <c r="BR1256" i="2" s="1"/>
  <c r="BI1254" i="2"/>
  <c r="BM1256" i="2"/>
  <c r="BH1254" i="2"/>
  <c r="BG1254" i="2"/>
  <c r="BK1256" i="2"/>
  <c r="X53" i="12" l="1"/>
  <c r="X66" i="12" s="1"/>
  <c r="Y60" i="12"/>
  <c r="Y75" i="12" s="1"/>
  <c r="Y86" i="12" s="1"/>
  <c r="X74" i="12"/>
  <c r="X81" i="12"/>
  <c r="AQ346" i="2"/>
  <c r="AP567" i="2"/>
  <c r="V87" i="12"/>
  <c r="W76" i="12"/>
  <c r="W85" i="12"/>
  <c r="W87" i="12" s="1"/>
  <c r="Z1202" i="2"/>
  <c r="Z1088" i="2" s="1"/>
  <c r="Y1228" i="2"/>
  <c r="BV1256" i="2" s="1"/>
  <c r="Y1201" i="2"/>
  <c r="X1198" i="2"/>
  <c r="Y1199" i="2"/>
  <c r="Y1087" i="2" s="1"/>
  <c r="X1226" i="2"/>
  <c r="BR1254" i="2" s="1"/>
  <c r="BP1254" i="2" s="1"/>
  <c r="BP1256" i="2"/>
  <c r="BK1254" i="2"/>
  <c r="BQ1256" i="2"/>
  <c r="BL1254" i="2"/>
  <c r="BO1256" i="2"/>
  <c r="BM1254" i="2"/>
  <c r="AP1036" i="2" l="1"/>
  <c r="AP343" i="2"/>
  <c r="Y53" i="12"/>
  <c r="Y66" i="12" s="1"/>
  <c r="Z60" i="12"/>
  <c r="Z75" i="12" s="1"/>
  <c r="Z86" i="12" s="1"/>
  <c r="Y74" i="12"/>
  <c r="Y81" i="12"/>
  <c r="AR346" i="2"/>
  <c r="AQ567" i="2"/>
  <c r="X76" i="12"/>
  <c r="X85" i="12"/>
  <c r="X87" i="12" s="1"/>
  <c r="Z1201" i="2"/>
  <c r="AA1202" i="2"/>
  <c r="AA1088" i="2" s="1"/>
  <c r="Z1228" i="2"/>
  <c r="BZ1256" i="2" s="1"/>
  <c r="Z1199" i="2"/>
  <c r="Z1087" i="2" s="1"/>
  <c r="B36" i="11" s="1"/>
  <c r="Y1226" i="2"/>
  <c r="BV1254" i="2" s="1"/>
  <c r="BT1254" i="2" s="1"/>
  <c r="Y1198" i="2"/>
  <c r="BO1254" i="2"/>
  <c r="BQ1254" i="2"/>
  <c r="BT1256" i="2"/>
  <c r="BU1256" i="2"/>
  <c r="BS1256" i="2"/>
  <c r="AQ1036" i="2" l="1"/>
  <c r="AQ343" i="2"/>
  <c r="Z53" i="12"/>
  <c r="Z66" i="12" s="1"/>
  <c r="Z81" i="12" s="1"/>
  <c r="AA60" i="12"/>
  <c r="AA75" i="12" s="1"/>
  <c r="AA86" i="12" s="1"/>
  <c r="AS346" i="2"/>
  <c r="AR567" i="2"/>
  <c r="Y76" i="12"/>
  <c r="Y85" i="12"/>
  <c r="Y87" i="12" s="1"/>
  <c r="AA1228" i="2"/>
  <c r="CD1256" i="2" s="1"/>
  <c r="AA1201" i="2"/>
  <c r="AB1202" i="2"/>
  <c r="AB1088" i="2" s="1"/>
  <c r="Z1226" i="2"/>
  <c r="BZ1254" i="2" s="1"/>
  <c r="BY1254" i="2" s="1"/>
  <c r="Z1198" i="2"/>
  <c r="B35" i="11"/>
  <c r="AA1199" i="2"/>
  <c r="BX1256" i="2"/>
  <c r="BU1254" i="2"/>
  <c r="BW1256" i="2"/>
  <c r="BS1254" i="2"/>
  <c r="BY1256" i="2"/>
  <c r="AR1036" i="2" l="1"/>
  <c r="AR343" i="2"/>
  <c r="Z74" i="12"/>
  <c r="Z76" i="12" s="1"/>
  <c r="AB1199" i="2"/>
  <c r="AB1087" i="2" s="1"/>
  <c r="AA1087" i="2"/>
  <c r="C36" i="11" s="1"/>
  <c r="AB60" i="12"/>
  <c r="AB75" i="12" s="1"/>
  <c r="AB86" i="12" s="1"/>
  <c r="AA53" i="12"/>
  <c r="AA66" i="12" s="1"/>
  <c r="AA74" i="12" s="1"/>
  <c r="AT346" i="2"/>
  <c r="AT567" i="2" s="1"/>
  <c r="AS567" i="2"/>
  <c r="BW1254" i="2"/>
  <c r="BX1254" i="2"/>
  <c r="AB1201" i="2"/>
  <c r="AC1202" i="2"/>
  <c r="AC1088" i="2" s="1"/>
  <c r="AB1228" i="2"/>
  <c r="CH1256" i="2" s="1"/>
  <c r="CG1256" i="2" s="1"/>
  <c r="D36" i="11"/>
  <c r="AA1198" i="2"/>
  <c r="C35" i="11"/>
  <c r="AA1226" i="2"/>
  <c r="CD1254" i="2" s="1"/>
  <c r="CB1256" i="2"/>
  <c r="CC1256" i="2"/>
  <c r="CA1256" i="2"/>
  <c r="AS1036" i="2" l="1"/>
  <c r="AS343" i="2"/>
  <c r="AT1036" i="2"/>
  <c r="AT343" i="2"/>
  <c r="Z85" i="12"/>
  <c r="Z87" i="12" s="1"/>
  <c r="AA81" i="12"/>
  <c r="AB53" i="12"/>
  <c r="AB66" i="12" s="1"/>
  <c r="AB81" i="12" s="1"/>
  <c r="AC60" i="12"/>
  <c r="AC75" i="12" s="1"/>
  <c r="AC86" i="12" s="1"/>
  <c r="AA76" i="12"/>
  <c r="AA85" i="12"/>
  <c r="AA87" i="12" s="1"/>
  <c r="CF1256" i="2"/>
  <c r="CB1254" i="2"/>
  <c r="AC1228" i="2"/>
  <c r="CL1256" i="2" s="1"/>
  <c r="CJ1256" i="2" s="1"/>
  <c r="AC1201" i="2"/>
  <c r="AD1202" i="2"/>
  <c r="AD1088" i="2" s="1"/>
  <c r="AB1198" i="2"/>
  <c r="AC1199" i="2"/>
  <c r="D35" i="11"/>
  <c r="AB1226" i="2"/>
  <c r="CH1254" i="2" s="1"/>
  <c r="CF1254" i="2" s="1"/>
  <c r="CC1254" i="2"/>
  <c r="CE1256" i="2"/>
  <c r="CA1254" i="2"/>
  <c r="AC1087" i="2" l="1"/>
  <c r="E36" i="11" s="1"/>
  <c r="AC1198" i="2"/>
  <c r="AB74" i="12"/>
  <c r="AC53" i="12"/>
  <c r="AC66" i="12" s="1"/>
  <c r="AC74" i="12" s="1"/>
  <c r="AD60" i="12"/>
  <c r="AD75" i="12" s="1"/>
  <c r="AD86" i="12" s="1"/>
  <c r="AB85" i="12"/>
  <c r="AB76" i="12"/>
  <c r="CE1254" i="2"/>
  <c r="CG1254" i="2"/>
  <c r="AD1199" i="2"/>
  <c r="AC1226" i="2"/>
  <c r="CL1254" i="2" s="1"/>
  <c r="CK1254" i="2" s="1"/>
  <c r="E35" i="11"/>
  <c r="AD1201" i="2"/>
  <c r="AE1202" i="2"/>
  <c r="AE1088" i="2" s="1"/>
  <c r="AD1228" i="2"/>
  <c r="CP1256" i="2" s="1"/>
  <c r="CK1256" i="2"/>
  <c r="CI1256" i="2"/>
  <c r="AC81" i="12" l="1"/>
  <c r="AD1087" i="2"/>
  <c r="F36" i="11" s="1"/>
  <c r="AD1198" i="2"/>
  <c r="AE60" i="12"/>
  <c r="AE75" i="12" s="1"/>
  <c r="AE86" i="12" s="1"/>
  <c r="AD53" i="12"/>
  <c r="AD66" i="12" s="1"/>
  <c r="AD74" i="12" s="1"/>
  <c r="F35" i="11"/>
  <c r="AB87" i="12"/>
  <c r="AC85" i="12"/>
  <c r="AC87" i="12" s="1"/>
  <c r="AC76" i="12"/>
  <c r="CO1256" i="2"/>
  <c r="CM1256" i="2"/>
  <c r="CI1254" i="2"/>
  <c r="CJ1254" i="2"/>
  <c r="CN1256" i="2"/>
  <c r="AF1202" i="2"/>
  <c r="AF1088" i="2" s="1"/>
  <c r="AE1228" i="2"/>
  <c r="CT1256" i="2" s="1"/>
  <c r="CV1256" i="2" s="1"/>
  <c r="AE1201" i="2"/>
  <c r="AE1199" i="2"/>
  <c r="AD1226" i="2"/>
  <c r="CP1254" i="2" s="1"/>
  <c r="AE1087" i="2" l="1"/>
  <c r="G36" i="11" s="1"/>
  <c r="AE1198" i="2"/>
  <c r="AD81" i="12"/>
  <c r="AF60" i="12"/>
  <c r="AF75" i="12" s="1"/>
  <c r="AF86" i="12" s="1"/>
  <c r="AE53" i="12"/>
  <c r="AE66" i="12" s="1"/>
  <c r="AE74" i="12" s="1"/>
  <c r="AD76" i="12"/>
  <c r="AD85" i="12"/>
  <c r="AD87" i="12" s="1"/>
  <c r="DC1256" i="2"/>
  <c r="DD1256" i="2"/>
  <c r="CY1256" i="2"/>
  <c r="DA1256" i="2"/>
  <c r="CM1254" i="2"/>
  <c r="CZ1256" i="2"/>
  <c r="DE1256" i="2"/>
  <c r="CW1256" i="2"/>
  <c r="CO1254" i="2"/>
  <c r="CN1254" i="2"/>
  <c r="CS1256" i="2"/>
  <c r="CU1256" i="2"/>
  <c r="CR1256" i="2"/>
  <c r="CQ1256" i="2"/>
  <c r="AE1226" i="2"/>
  <c r="CT1254" i="2" s="1"/>
  <c r="CU1254" i="2" s="1"/>
  <c r="AF1199" i="2"/>
  <c r="G35" i="11"/>
  <c r="AG1202" i="2"/>
  <c r="AG1088" i="2" s="1"/>
  <c r="AF1201" i="2"/>
  <c r="AF1228" i="2"/>
  <c r="CX1256" i="2" s="1"/>
  <c r="AE81" i="12" l="1"/>
  <c r="AF1087" i="2"/>
  <c r="H36" i="11" s="1"/>
  <c r="AF1198" i="2"/>
  <c r="AG60" i="12"/>
  <c r="AG75" i="12" s="1"/>
  <c r="AG86" i="12" s="1"/>
  <c r="AF53" i="12"/>
  <c r="AF66" i="12" s="1"/>
  <c r="AF74" i="12" s="1"/>
  <c r="AE85" i="12"/>
  <c r="AE87" i="12" s="1"/>
  <c r="AE76" i="12"/>
  <c r="CZ1254" i="2"/>
  <c r="CY1254" i="2"/>
  <c r="DC1254" i="2"/>
  <c r="DD1254" i="2"/>
  <c r="DE1254" i="2"/>
  <c r="DA1254" i="2"/>
  <c r="AG1228" i="2"/>
  <c r="CW1254" i="2"/>
  <c r="CQ1254" i="2"/>
  <c r="CS1254" i="2"/>
  <c r="AF1226" i="2"/>
  <c r="CX1254" i="2" s="1"/>
  <c r="H35" i="11"/>
  <c r="CV1254" i="2"/>
  <c r="CR1254" i="2"/>
  <c r="AF81" i="12" l="1"/>
  <c r="AF76" i="12"/>
  <c r="AF85" i="12"/>
  <c r="AF87" i="12" s="1"/>
  <c r="AG1301" i="2" l="1"/>
  <c r="H219" i="5"/>
  <c r="J219" i="5"/>
  <c r="J216" i="5" s="1"/>
  <c r="M219" i="5" l="1"/>
  <c r="N219" i="5" s="1"/>
  <c r="N216" i="5" s="1"/>
  <c r="H216" i="5" l="1"/>
  <c r="M216" i="5"/>
  <c r="AG1304" i="2" l="1"/>
  <c r="AH1304" i="2" l="1"/>
  <c r="I4" i="11" l="1"/>
  <c r="X4" i="11" s="1"/>
  <c r="X6" i="11" s="1"/>
  <c r="AG1168" i="2"/>
  <c r="AG1306" i="2"/>
  <c r="AG1296" i="2"/>
  <c r="AG1167" i="2"/>
  <c r="AG992" i="2" l="1"/>
  <c r="AG993" i="2"/>
  <c r="AG999" i="2"/>
  <c r="AG998" i="2"/>
  <c r="AG1000" i="2"/>
  <c r="AG1201" i="2"/>
  <c r="AG1007" i="2" l="1"/>
  <c r="AG1012" i="2"/>
  <c r="AG1013" i="2"/>
  <c r="AG1004" i="2"/>
  <c r="AG1002" i="2"/>
  <c r="AG1014" i="2"/>
  <c r="AG1008" i="2"/>
  <c r="AG1001" i="2"/>
  <c r="I16" i="11" l="1"/>
  <c r="X16" i="11" s="1"/>
  <c r="I7" i="11"/>
  <c r="X7" i="11" s="1"/>
  <c r="O47" i="7"/>
  <c r="X18" i="11" l="1"/>
  <c r="X20" i="11"/>
  <c r="O48" i="7"/>
  <c r="AG1212" i="2"/>
  <c r="AG1152" i="2"/>
  <c r="AG1153" i="2"/>
  <c r="X39" i="11" l="1"/>
  <c r="X19" i="11"/>
  <c r="I18" i="11"/>
  <c r="I22" i="11"/>
  <c r="X22" i="11" s="1"/>
  <c r="I20" i="11"/>
  <c r="I28" i="11"/>
  <c r="AG1247" i="2" l="1"/>
  <c r="AG1248" i="2" s="1"/>
  <c r="AF946" i="2" l="1"/>
  <c r="AG1005" i="2" l="1"/>
  <c r="AG1171" i="2"/>
  <c r="AG1172" i="2" l="1"/>
  <c r="AG1217" i="2"/>
  <c r="AG1308" i="2"/>
  <c r="AG1003" i="2"/>
  <c r="AG1006" i="2" l="1"/>
  <c r="AG1015" i="2" s="1"/>
  <c r="I30" i="11"/>
  <c r="AG1307" i="2"/>
  <c r="AH1308" i="2" l="1"/>
  <c r="AC986" i="2" l="1"/>
  <c r="AD986" i="2"/>
  <c r="AF986" i="2"/>
  <c r="AE986" i="2"/>
  <c r="H214" i="5" l="1"/>
  <c r="H226" i="5"/>
  <c r="H227" i="5"/>
  <c r="V175" i="5"/>
  <c r="J227" i="5" s="1"/>
  <c r="V154" i="5"/>
  <c r="V174" i="5"/>
  <c r="V149" i="5"/>
  <c r="V143" i="5" s="1"/>
  <c r="U143" i="5" s="1"/>
  <c r="H209" i="5"/>
  <c r="AJ556" i="2" l="1"/>
  <c r="V168" i="5"/>
  <c r="V163" i="5" s="1"/>
  <c r="U163" i="5" s="1"/>
  <c r="AJ568" i="2" s="1"/>
  <c r="T28" i="7" s="1"/>
  <c r="M209" i="5"/>
  <c r="N209" i="5" s="1"/>
  <c r="N203" i="5" s="1"/>
  <c r="M203" i="5" s="1"/>
  <c r="J226" i="5"/>
  <c r="J220" i="5" s="1"/>
  <c r="J215" i="5" s="1"/>
  <c r="V138" i="5"/>
  <c r="U138" i="5" s="1"/>
  <c r="M227" i="5"/>
  <c r="N227" i="5" s="1"/>
  <c r="M226" i="5"/>
  <c r="N226" i="5" s="1"/>
  <c r="M214" i="5"/>
  <c r="N214" i="5" s="1"/>
  <c r="J214" i="5"/>
  <c r="H203" i="5"/>
  <c r="J209" i="5"/>
  <c r="J203" i="5" s="1"/>
  <c r="AK562" i="2" l="1"/>
  <c r="R22" i="7"/>
  <c r="N220" i="5"/>
  <c r="M220" i="5" s="1"/>
  <c r="N201" i="5"/>
  <c r="M201" i="5" s="1"/>
  <c r="J201" i="5"/>
  <c r="H215" i="5"/>
  <c r="U168" i="5"/>
  <c r="H220" i="5" l="1"/>
  <c r="AJ573" i="2"/>
  <c r="T33" i="7" s="1"/>
  <c r="H201" i="5"/>
  <c r="AJ554" i="2"/>
  <c r="T14" i="7" s="1"/>
  <c r="AL562" i="2"/>
  <c r="N215" i="5"/>
  <c r="M215" i="5" s="1"/>
  <c r="R39" i="7"/>
  <c r="AH1301" i="2"/>
  <c r="AH1298" i="2"/>
  <c r="AH1300" i="2" s="1"/>
  <c r="AM562" i="2" l="1"/>
  <c r="AK607" i="2"/>
  <c r="AN562" i="2" l="1"/>
  <c r="J4" i="11"/>
  <c r="Y4" i="11" s="1"/>
  <c r="Y6" i="11" s="1"/>
  <c r="AL607" i="2"/>
  <c r="AK624" i="2"/>
  <c r="J27" i="11"/>
  <c r="Y27" i="11" s="1"/>
  <c r="AH1168" i="2"/>
  <c r="AO562" i="2" l="1"/>
  <c r="AM607" i="2"/>
  <c r="AH1167" i="2"/>
  <c r="AH1306" i="2"/>
  <c r="AH1296" i="2"/>
  <c r="AL624" i="2"/>
  <c r="R32" i="7"/>
  <c r="AP562" i="2" l="1"/>
  <c r="AN607" i="2"/>
  <c r="AH1240" i="2"/>
  <c r="AH996" i="2"/>
  <c r="AH997" i="2"/>
  <c r="AH995" i="2"/>
  <c r="AM624" i="2"/>
  <c r="AI1304" i="2"/>
  <c r="AH992" i="2"/>
  <c r="AH999" i="2"/>
  <c r="AH998" i="2"/>
  <c r="AQ562" i="2" l="1"/>
  <c r="AR562" i="2" s="1"/>
  <c r="AS562" i="2" s="1"/>
  <c r="AT562" i="2" s="1"/>
  <c r="AN624" i="2"/>
  <c r="AO607" i="2"/>
  <c r="AP607" i="2" s="1"/>
  <c r="AH1007" i="2"/>
  <c r="AH1005" i="2"/>
  <c r="AH1013" i="2"/>
  <c r="AH1012" i="2"/>
  <c r="AH1004" i="2"/>
  <c r="AH1003" i="2"/>
  <c r="AH1014" i="2"/>
  <c r="AH1002" i="2"/>
  <c r="AJ1304" i="2"/>
  <c r="AQ607" i="2" l="1"/>
  <c r="AO624" i="2"/>
  <c r="AP624" i="2" s="1"/>
  <c r="AH828" i="2"/>
  <c r="AH829" i="2" s="1"/>
  <c r="AH834" i="2" s="1"/>
  <c r="AH1320" i="2"/>
  <c r="J30" i="11"/>
  <c r="AH1307" i="2"/>
  <c r="AH1006" i="2"/>
  <c r="AH1015" i="2" s="1"/>
  <c r="AR607" i="2" l="1"/>
  <c r="AQ624" i="2"/>
  <c r="AH844" i="2"/>
  <c r="AH845" i="2" s="1"/>
  <c r="AH993" i="2"/>
  <c r="AR624" i="2" l="1"/>
  <c r="AS607" i="2"/>
  <c r="AH953" i="2"/>
  <c r="AH960" i="2" s="1"/>
  <c r="AH1000" i="2"/>
  <c r="AH1001" i="2" s="1"/>
  <c r="AT607" i="2" l="1"/>
  <c r="AS624" i="2"/>
  <c r="AT624" i="2" l="1"/>
  <c r="AH969" i="2"/>
  <c r="AH976" i="2"/>
  <c r="AH972" i="2"/>
  <c r="X971" i="2" s="1"/>
  <c r="AH980" i="2" l="1"/>
  <c r="AH979" i="2"/>
  <c r="AH978" i="2"/>
  <c r="AH1110" i="2" s="1"/>
  <c r="AH974" i="2"/>
  <c r="AH751" i="2" l="1"/>
  <c r="J33" i="11"/>
  <c r="AH737" i="2"/>
  <c r="AH865" i="2" l="1"/>
  <c r="AH1204" i="2" l="1"/>
  <c r="AH1202" i="2" s="1"/>
  <c r="AH1310" i="2"/>
  <c r="AH1321" i="2"/>
  <c r="AH1008" i="2"/>
  <c r="AH1088" i="2" l="1"/>
  <c r="AH1201" i="2"/>
  <c r="AH60" i="12"/>
  <c r="AH75" i="12" s="1"/>
  <c r="AH86" i="12" s="1"/>
  <c r="AI86" i="12" s="1"/>
  <c r="AH1228" i="2"/>
  <c r="R27" i="7" l="1"/>
  <c r="AI1301" i="2" l="1"/>
  <c r="AJ1301" i="2" l="1"/>
  <c r="Q47" i="7" l="1"/>
  <c r="J7" i="11"/>
  <c r="Y7" i="11" s="1"/>
  <c r="AH873" i="2"/>
  <c r="AH948" i="2"/>
  <c r="AH1074" i="2" l="1"/>
  <c r="AH1075" i="2" s="1"/>
  <c r="AH1065" i="2"/>
  <c r="AH1062" i="2"/>
  <c r="AH1064" i="2"/>
  <c r="AH1060" i="2"/>
  <c r="AH1059" i="2"/>
  <c r="AH1061" i="2"/>
  <c r="AH1048" i="2"/>
  <c r="AH1049" i="2"/>
  <c r="AH1051" i="2"/>
  <c r="AH1052" i="2"/>
  <c r="AH886" i="2"/>
  <c r="AH965" i="2"/>
  <c r="AH902" i="2"/>
  <c r="AI902" i="2" s="1"/>
  <c r="AJ902" i="2" s="1"/>
  <c r="AK902" i="2" s="1"/>
  <c r="AL902" i="2" s="1"/>
  <c r="AM902" i="2" s="1"/>
  <c r="AN902" i="2" s="1"/>
  <c r="AO902" i="2" s="1"/>
  <c r="AP902" i="2" s="1"/>
  <c r="AQ902" i="2" s="1"/>
  <c r="AR902" i="2" s="1"/>
  <c r="AS902" i="2" s="1"/>
  <c r="AT902" i="2" s="1"/>
  <c r="AH901" i="2"/>
  <c r="AH1127" i="2" s="1"/>
  <c r="AH900" i="2"/>
  <c r="AH898" i="2"/>
  <c r="AI898" i="2" s="1"/>
  <c r="AJ898" i="2" s="1"/>
  <c r="AK898" i="2" s="1"/>
  <c r="AL898" i="2" s="1"/>
  <c r="AM898" i="2" s="1"/>
  <c r="AN898" i="2" s="1"/>
  <c r="AO898" i="2" s="1"/>
  <c r="AP898" i="2" s="1"/>
  <c r="AQ898" i="2" s="1"/>
  <c r="AR898" i="2" s="1"/>
  <c r="AS898" i="2" s="1"/>
  <c r="AT898" i="2" s="1"/>
  <c r="AH904" i="2"/>
  <c r="AH1153" i="2"/>
  <c r="AH1152" i="2"/>
  <c r="Q48" i="7"/>
  <c r="AH858" i="2"/>
  <c r="AH1063" i="2" l="1"/>
  <c r="AH1058" i="2"/>
  <c r="AH1050" i="2"/>
  <c r="AH1128" i="2"/>
  <c r="AI900" i="2"/>
  <c r="AI901" i="2"/>
  <c r="AI1127" i="2" s="1"/>
  <c r="J20" i="11"/>
  <c r="J28" i="11"/>
  <c r="AH1055" i="2" l="1"/>
  <c r="AI1128" i="2"/>
  <c r="AJ901" i="2"/>
  <c r="AJ1127" i="2" s="1"/>
  <c r="AJ900" i="2"/>
  <c r="AH1244" i="2"/>
  <c r="AH963" i="2"/>
  <c r="AH1245" i="2"/>
  <c r="AH1247" i="2"/>
  <c r="AH1248" i="2" s="1"/>
  <c r="AJ1128" i="2" l="1"/>
  <c r="AK900" i="2"/>
  <c r="AK901" i="2"/>
  <c r="AK1127" i="2" s="1"/>
  <c r="AH1249" i="2"/>
  <c r="AK1128" i="2" l="1"/>
  <c r="AL901" i="2"/>
  <c r="AL1127" i="2" s="1"/>
  <c r="AL900" i="2"/>
  <c r="AL1128" i="2" l="1"/>
  <c r="AM900" i="2"/>
  <c r="AM901" i="2"/>
  <c r="AM1127" i="2" s="1"/>
  <c r="AM1128" i="2" l="1"/>
  <c r="AN901" i="2"/>
  <c r="AN900" i="2"/>
  <c r="F27" i="11"/>
  <c r="G27" i="11"/>
  <c r="H27" i="11"/>
  <c r="D27" i="11"/>
  <c r="I27" i="11"/>
  <c r="X27" i="11" s="1"/>
  <c r="C25" i="11"/>
  <c r="E27" i="11"/>
  <c r="B25" i="11"/>
  <c r="AO900" i="2" l="1"/>
  <c r="AP900" i="2" s="1"/>
  <c r="AQ900" i="2" s="1"/>
  <c r="AR900" i="2" s="1"/>
  <c r="AS900" i="2" s="1"/>
  <c r="AT900" i="2" s="1"/>
  <c r="AN1128" i="2"/>
  <c r="AO901" i="2"/>
  <c r="AP901" i="2" s="1"/>
  <c r="AQ901" i="2" s="1"/>
  <c r="AR901" i="2" s="1"/>
  <c r="AS901" i="2" s="1"/>
  <c r="AT901" i="2" s="1"/>
  <c r="AN1127" i="2"/>
  <c r="J29" i="11"/>
  <c r="CD1269" i="2"/>
  <c r="BZ1269" i="2"/>
  <c r="BW1269" i="2" s="1"/>
  <c r="AH1243" i="2"/>
  <c r="AD1243" i="2"/>
  <c r="CP1271" i="2" s="1"/>
  <c r="F29" i="11"/>
  <c r="AC1243" i="2"/>
  <c r="CL1271" i="2" s="1"/>
  <c r="E29" i="11"/>
  <c r="Z1243" i="2"/>
  <c r="BZ1271" i="2" s="1"/>
  <c r="BX1271" i="2" s="1"/>
  <c r="B29" i="11"/>
  <c r="CH1269" i="2"/>
  <c r="D25" i="11"/>
  <c r="CX1269" i="2"/>
  <c r="X25" i="11"/>
  <c r="CT1269" i="2"/>
  <c r="G25" i="11"/>
  <c r="CP1269" i="2"/>
  <c r="F25" i="11"/>
  <c r="AG1243" i="2"/>
  <c r="I29" i="11"/>
  <c r="AA1243" i="2"/>
  <c r="CD1271" i="2" s="1"/>
  <c r="C29" i="11"/>
  <c r="AE1243" i="2"/>
  <c r="CT1271" i="2" s="1"/>
  <c r="G29" i="11"/>
  <c r="AF1243" i="2"/>
  <c r="CX1271" i="2" s="1"/>
  <c r="H29" i="11"/>
  <c r="AB1243" i="2"/>
  <c r="CH1271" i="2" s="1"/>
  <c r="D29" i="11"/>
  <c r="CL1269" i="2"/>
  <c r="E25" i="11"/>
  <c r="C27" i="11"/>
  <c r="B27" i="11"/>
  <c r="AO1127" i="2" l="1"/>
  <c r="AO1128" i="2"/>
  <c r="CE1269" i="2"/>
  <c r="CM1271" i="2"/>
  <c r="BY1269" i="2"/>
  <c r="CZ1271" i="2"/>
  <c r="CY1271" i="2"/>
  <c r="DD1271" i="2"/>
  <c r="DE1271" i="2"/>
  <c r="CK1271" i="2"/>
  <c r="CA1269" i="2"/>
  <c r="CB1269" i="2"/>
  <c r="BX1269" i="2"/>
  <c r="DA1271" i="2"/>
  <c r="CC1269" i="2"/>
  <c r="DC1271" i="2"/>
  <c r="DE1269" i="2"/>
  <c r="CN1271" i="2"/>
  <c r="CZ1269" i="2"/>
  <c r="CF1269" i="2"/>
  <c r="CK1269" i="2"/>
  <c r="CS1271" i="2"/>
  <c r="CR1271" i="2"/>
  <c r="CU1271" i="2"/>
  <c r="CQ1271" i="2"/>
  <c r="CV1271" i="2"/>
  <c r="CW1271" i="2"/>
  <c r="CO1271" i="2"/>
  <c r="CJ1269" i="2"/>
  <c r="CN1269" i="2"/>
  <c r="CI1269" i="2"/>
  <c r="CC1271" i="2"/>
  <c r="CG1271" i="2"/>
  <c r="DA1269" i="2"/>
  <c r="CE1271" i="2"/>
  <c r="CY1269" i="2"/>
  <c r="CA1271" i="2"/>
  <c r="CF1271" i="2"/>
  <c r="CI1271" i="2"/>
  <c r="DD1269" i="2"/>
  <c r="CM1269" i="2"/>
  <c r="CQ1269" i="2"/>
  <c r="CO1269" i="2"/>
  <c r="BY1271" i="2"/>
  <c r="CS1269" i="2"/>
  <c r="CJ1271" i="2"/>
  <c r="CU1269" i="2"/>
  <c r="Y25" i="11"/>
  <c r="CV1269" i="2"/>
  <c r="BW1271" i="2"/>
  <c r="CW1269" i="2"/>
  <c r="CR1269" i="2"/>
  <c r="CG1269" i="2"/>
  <c r="DC1269" i="2"/>
  <c r="CB1271" i="2"/>
  <c r="AP1128" i="2" l="1"/>
  <c r="AP1127" i="2"/>
  <c r="AQ1127" i="2" l="1"/>
  <c r="AQ1128" i="2"/>
  <c r="AR1128" i="2" l="1"/>
  <c r="AR1127" i="2"/>
  <c r="AS1127" i="2" l="1"/>
  <c r="AT1127" i="2"/>
  <c r="AS1128" i="2"/>
  <c r="AT1128" i="2"/>
  <c r="AN324" i="2" l="1"/>
  <c r="AN557" i="2" s="1"/>
  <c r="AN571" i="2" l="1"/>
  <c r="AB31" i="7" s="1"/>
  <c r="AF31" i="7" s="1"/>
  <c r="AB17" i="7"/>
  <c r="AF17" i="7" s="1"/>
  <c r="R17" i="7"/>
  <c r="R31" i="7"/>
  <c r="AI1299" i="2" l="1"/>
  <c r="AI1302" i="2"/>
  <c r="AI1298" i="2" l="1"/>
  <c r="AI1300" i="2" s="1"/>
  <c r="AJ1299" i="2"/>
  <c r="AK602" i="2"/>
  <c r="AK1299" i="2" l="1"/>
  <c r="AK601" i="2"/>
  <c r="AL602" i="2"/>
  <c r="AJ1035" i="2"/>
  <c r="AJ1298" i="2"/>
  <c r="AJ1300" i="2" s="1"/>
  <c r="R16" i="7"/>
  <c r="R29" i="7"/>
  <c r="AL601" i="2" l="1"/>
  <c r="AM602" i="2"/>
  <c r="AL1299" i="2"/>
  <c r="R14" i="7"/>
  <c r="AJ1033" i="2"/>
  <c r="AK556" i="2"/>
  <c r="AK1298" i="2"/>
  <c r="AK1300" i="2" s="1"/>
  <c r="AK1035" i="2" l="1"/>
  <c r="V16" i="7"/>
  <c r="AL1298" i="2"/>
  <c r="AL1300" i="2" s="1"/>
  <c r="AL556" i="2"/>
  <c r="AM601" i="2"/>
  <c r="AN602" i="2"/>
  <c r="AM1299" i="2"/>
  <c r="AL1035" i="2" l="1"/>
  <c r="X16" i="7"/>
  <c r="AO602" i="2"/>
  <c r="AN601" i="2"/>
  <c r="AN1299" i="2"/>
  <c r="AM1298" i="2"/>
  <c r="AM1300" i="2" s="1"/>
  <c r="AM556" i="2"/>
  <c r="Z16" i="7" s="1"/>
  <c r="AM1035" i="2" l="1"/>
  <c r="AO601" i="2"/>
  <c r="AN1298" i="2"/>
  <c r="AN1300" i="2" s="1"/>
  <c r="AN556" i="2"/>
  <c r="AO1299" i="2"/>
  <c r="AN1035" i="2" l="1"/>
  <c r="AB16" i="7"/>
  <c r="AO1298" i="2"/>
  <c r="AO1300" i="2" s="1"/>
  <c r="AO556" i="2"/>
  <c r="AO1035" i="2" l="1"/>
  <c r="AD16" i="7"/>
  <c r="AF16" i="7"/>
  <c r="R40" i="7" l="1"/>
  <c r="AI836" i="2" l="1"/>
  <c r="AI381" i="2" l="1"/>
  <c r="AI839" i="2"/>
  <c r="AI49" i="12" s="1"/>
  <c r="R33" i="7"/>
  <c r="AI861" i="2" l="1"/>
  <c r="AI862" i="2" s="1"/>
  <c r="AI382" i="2"/>
  <c r="R28" i="7"/>
  <c r="AI850" i="2" l="1"/>
  <c r="AI849" i="2"/>
  <c r="AI851" i="2"/>
  <c r="AI852" i="2" l="1"/>
  <c r="AI875" i="2" s="1"/>
  <c r="AI876" i="2" s="1"/>
  <c r="X967" i="2" l="1"/>
  <c r="AI954" i="2"/>
  <c r="AI386" i="2" s="1"/>
  <c r="AI729" i="2"/>
  <c r="AI727" i="2" s="1"/>
  <c r="AJ727" i="2" s="1"/>
  <c r="X954" i="2"/>
  <c r="AJ954" i="2"/>
  <c r="AK954" i="2" s="1"/>
  <c r="AI967" i="2"/>
  <c r="AK967" i="2" s="1"/>
  <c r="AL967" i="2" s="1"/>
  <c r="AM967" i="2" s="1"/>
  <c r="AN967" i="2" s="1"/>
  <c r="AO967" i="2" s="1"/>
  <c r="AP967" i="2" s="1"/>
  <c r="AQ967" i="2" s="1"/>
  <c r="AR967" i="2" s="1"/>
  <c r="AS967" i="2" s="1"/>
  <c r="AT967" i="2" s="1"/>
  <c r="AJ839" i="2" l="1"/>
  <c r="AJ671" i="2"/>
  <c r="AJ670" i="2"/>
  <c r="AJ672" i="2"/>
  <c r="X969" i="2"/>
  <c r="X966" i="2" s="1"/>
  <c r="AL954" i="2"/>
  <c r="AK839" i="2"/>
  <c r="AJ49" i="12"/>
  <c r="AJ861" i="2"/>
  <c r="AJ715" i="2"/>
  <c r="AK671" i="2"/>
  <c r="AK670" i="2"/>
  <c r="AJ716" i="2"/>
  <c r="AK672" i="2"/>
  <c r="AH966" i="2" l="1"/>
  <c r="AC968" i="2"/>
  <c r="Z968" i="2"/>
  <c r="X968" i="2"/>
  <c r="AA968" i="2"/>
  <c r="AB968" i="2"/>
  <c r="Y968" i="2"/>
  <c r="AD968" i="2"/>
  <c r="AE968" i="2"/>
  <c r="AF968" i="2"/>
  <c r="AG968" i="2"/>
  <c r="AH968" i="2"/>
  <c r="AL672" i="2"/>
  <c r="AL670" i="2"/>
  <c r="AL671" i="2"/>
  <c r="AJ851" i="2"/>
  <c r="AK716" i="2"/>
  <c r="AJ850" i="2"/>
  <c r="AK715" i="2"/>
  <c r="AK49" i="12"/>
  <c r="AK861" i="2"/>
  <c r="AL839" i="2"/>
  <c r="AM954" i="2"/>
  <c r="AM839" i="2" l="1"/>
  <c r="AN954" i="2"/>
  <c r="AL49" i="12"/>
  <c r="AL861" i="2"/>
  <c r="AK850" i="2"/>
  <c r="AL715" i="2"/>
  <c r="AM670" i="2"/>
  <c r="AN670" i="2" s="1"/>
  <c r="AM672" i="2"/>
  <c r="AM671" i="2"/>
  <c r="AL716" i="2"/>
  <c r="AK851" i="2"/>
  <c r="Z19" i="11"/>
  <c r="X17" i="11"/>
  <c r="X21" i="11" s="1"/>
  <c r="X26" i="11" s="1"/>
  <c r="AN671" i="2" l="1"/>
  <c r="AN672" i="2"/>
  <c r="AM715" i="2"/>
  <c r="AL850" i="2"/>
  <c r="AN839" i="2"/>
  <c r="AO954" i="2"/>
  <c r="AO670" i="2" s="1"/>
  <c r="AN386" i="2"/>
  <c r="AL851" i="2"/>
  <c r="AM716" i="2"/>
  <c r="AM861" i="2"/>
  <c r="AM49" i="12"/>
  <c r="AA19" i="11"/>
  <c r="AO672" i="2" l="1"/>
  <c r="AM851" i="2"/>
  <c r="AN716" i="2"/>
  <c r="AP954" i="2"/>
  <c r="AO839" i="2"/>
  <c r="AO861" i="2" s="1"/>
  <c r="AO386" i="2"/>
  <c r="AN715" i="2"/>
  <c r="AM850" i="2"/>
  <c r="AP670" i="2"/>
  <c r="AN49" i="12"/>
  <c r="AN861" i="2"/>
  <c r="AO671" i="2"/>
  <c r="AP671" i="2" s="1"/>
  <c r="AB19" i="11"/>
  <c r="AO715" i="2" l="1"/>
  <c r="AN850" i="2"/>
  <c r="AP839" i="2"/>
  <c r="AP861" i="2" s="1"/>
  <c r="AP386" i="2"/>
  <c r="AQ954" i="2"/>
  <c r="AQ670" i="2" s="1"/>
  <c r="AN851" i="2"/>
  <c r="AO716" i="2"/>
  <c r="AP672" i="2"/>
  <c r="AC19" i="11"/>
  <c r="AQ672" i="2" l="1"/>
  <c r="AO851" i="2"/>
  <c r="AP716" i="2"/>
  <c r="AQ839" i="2"/>
  <c r="AQ861" i="2" s="1"/>
  <c r="AR954" i="2"/>
  <c r="AQ386" i="2"/>
  <c r="AQ671" i="2"/>
  <c r="AO850" i="2"/>
  <c r="AP715" i="2"/>
  <c r="AD19" i="11"/>
  <c r="AR671" i="2" l="1"/>
  <c r="AR386" i="2"/>
  <c r="AR839" i="2"/>
  <c r="AR861" i="2" s="1"/>
  <c r="AS954" i="2"/>
  <c r="AP850" i="2"/>
  <c r="AQ715" i="2"/>
  <c r="AP851" i="2"/>
  <c r="AQ716" i="2"/>
  <c r="AR672" i="2"/>
  <c r="AS672" i="2" s="1"/>
  <c r="AR670" i="2"/>
  <c r="AS670" i="2" s="1"/>
  <c r="AE19" i="11"/>
  <c r="AS671" i="2" l="1"/>
  <c r="AQ851" i="2"/>
  <c r="AR716" i="2"/>
  <c r="AQ850" i="2"/>
  <c r="AR715" i="2"/>
  <c r="AS839" i="2"/>
  <c r="AS861" i="2" s="1"/>
  <c r="AT954" i="2"/>
  <c r="AS386" i="2"/>
  <c r="AF19" i="11"/>
  <c r="AT386" i="2" l="1"/>
  <c r="AT839" i="2"/>
  <c r="AT861" i="2" s="1"/>
  <c r="AR850" i="2"/>
  <c r="AS715" i="2"/>
  <c r="AT671" i="2"/>
  <c r="AS716" i="2"/>
  <c r="AR851" i="2"/>
  <c r="AT670" i="2"/>
  <c r="AT672" i="2"/>
  <c r="AG19" i="11"/>
  <c r="AT716" i="2" l="1"/>
  <c r="AT851" i="2" s="1"/>
  <c r="AS851" i="2"/>
  <c r="AT715" i="2"/>
  <c r="AT850" i="2" s="1"/>
  <c r="AS850" i="2"/>
  <c r="AH19" i="11"/>
  <c r="AI19" i="11" l="1"/>
  <c r="AJ19" i="11" l="1"/>
  <c r="AK19" i="11"/>
  <c r="AJ1302" i="2" l="1"/>
  <c r="AJ1038" i="2" l="1"/>
  <c r="AH985" i="2" l="1"/>
  <c r="AG742" i="2"/>
  <c r="AG866" i="2"/>
  <c r="AG744" i="2"/>
  <c r="AG346" i="2" s="1"/>
  <c r="AG348" i="2" s="1"/>
  <c r="AG743" i="2"/>
  <c r="AG1119" i="2" l="1"/>
  <c r="AG1117" i="2" s="1"/>
  <c r="AG1116" i="2"/>
  <c r="AG1322" i="2"/>
  <c r="AG1115" i="2"/>
  <c r="AG1200" i="2"/>
  <c r="AG1199" i="2" s="1"/>
  <c r="AG1309" i="2"/>
  <c r="AG1313" i="2" s="1"/>
  <c r="AG1009" i="2"/>
  <c r="AG1087" i="2" l="1"/>
  <c r="I36" i="11" s="1"/>
  <c r="AG1198" i="2"/>
  <c r="AG53" i="12"/>
  <c r="AG66" i="12" s="1"/>
  <c r="AG74" i="12" s="1"/>
  <c r="I35" i="11"/>
  <c r="AG1226" i="2"/>
  <c r="AG81" i="12" l="1"/>
  <c r="AG85" i="12"/>
  <c r="AG87" i="12" s="1"/>
  <c r="AG76" i="12"/>
  <c r="AH734" i="2"/>
  <c r="J34" i="11" l="1"/>
  <c r="J31" i="11"/>
  <c r="AP323" i="2" l="1"/>
  <c r="AP557" i="2" s="1"/>
  <c r="R9" i="7"/>
  <c r="AP571" i="2" l="1"/>
  <c r="AP602" i="2"/>
  <c r="AP1299" i="2" s="1"/>
  <c r="AQ602" i="2" l="1"/>
  <c r="AQ1299" i="2" s="1"/>
  <c r="AP601" i="2"/>
  <c r="AP1298" i="2" s="1"/>
  <c r="AP1300" i="2" s="1"/>
  <c r="R8" i="7"/>
  <c r="H232" i="5" l="1"/>
  <c r="M232" i="5" s="1"/>
  <c r="AP556" i="2"/>
  <c r="AP1035" i="2" s="1"/>
  <c r="AR602" i="2"/>
  <c r="AR1299" i="2" s="1"/>
  <c r="AQ601" i="2"/>
  <c r="AQ1298" i="2" s="1"/>
  <c r="AQ1300" i="2" s="1"/>
  <c r="V183" i="5"/>
  <c r="N232" i="5" l="1"/>
  <c r="AQ556" i="2"/>
  <c r="AQ1035" i="2" s="1"/>
  <c r="AS602" i="2"/>
  <c r="AS1299" i="2" s="1"/>
  <c r="AR601" i="2"/>
  <c r="AR1298" i="2" s="1"/>
  <c r="AR1300" i="2" s="1"/>
  <c r="J232" i="5"/>
  <c r="X183" i="5"/>
  <c r="R45" i="7" l="1"/>
  <c r="AR556" i="2"/>
  <c r="AR1035" i="2" s="1"/>
  <c r="AT602" i="2"/>
  <c r="AT1299" i="2" s="1"/>
  <c r="AS601" i="2"/>
  <c r="AS1298" i="2" s="1"/>
  <c r="AS1300" i="2" s="1"/>
  <c r="J10" i="9" l="1"/>
  <c r="J23" i="9"/>
  <c r="J21" i="9"/>
  <c r="J27" i="9"/>
  <c r="AS556" i="2"/>
  <c r="AS1035" i="2" s="1"/>
  <c r="AT601" i="2"/>
  <c r="AT1298" i="2" s="1"/>
  <c r="AT1300" i="2" s="1"/>
  <c r="R6" i="7"/>
  <c r="J3" i="9" l="1"/>
  <c r="J32" i="9"/>
  <c r="J16" i="9"/>
  <c r="J38" i="9"/>
  <c r="J24" i="9"/>
  <c r="J22" i="9"/>
  <c r="J13" i="9"/>
  <c r="J17" i="9"/>
  <c r="AI1167" i="2"/>
  <c r="AI1296" i="2"/>
  <c r="J8" i="9"/>
  <c r="J31" i="9"/>
  <c r="J9" i="9"/>
  <c r="J20" i="9"/>
  <c r="J36" i="9"/>
  <c r="J39" i="9"/>
  <c r="J7" i="9"/>
  <c r="J12" i="9"/>
  <c r="J35" i="9"/>
  <c r="J14" i="9"/>
  <c r="J29" i="9"/>
  <c r="J11" i="9"/>
  <c r="J30" i="9"/>
  <c r="J25" i="9"/>
  <c r="J26" i="9"/>
  <c r="J42" i="9"/>
  <c r="J15" i="9"/>
  <c r="J18" i="9"/>
  <c r="J19" i="9"/>
  <c r="AI833" i="2"/>
  <c r="J6" i="9"/>
  <c r="AI1306" i="2"/>
  <c r="J34" i="9"/>
  <c r="J37" i="9"/>
  <c r="J33" i="9"/>
  <c r="J40" i="9"/>
  <c r="J5" i="9"/>
  <c r="J28" i="9"/>
  <c r="AI46" i="12"/>
  <c r="AI63" i="12" s="1"/>
  <c r="AT556" i="2"/>
  <c r="AT1035" i="2" s="1"/>
  <c r="K27" i="11"/>
  <c r="K4" i="11"/>
  <c r="AI1168" i="2"/>
  <c r="AI997" i="2" l="1"/>
  <c r="AI993" i="2"/>
  <c r="AI1240" i="2"/>
  <c r="AI995" i="2"/>
  <c r="AI998" i="2"/>
  <c r="AI992" i="2"/>
  <c r="AI996" i="2"/>
  <c r="L4" i="11"/>
  <c r="N4" i="11" s="1"/>
  <c r="Z4" i="11"/>
  <c r="L27" i="11"/>
  <c r="N27" i="11" s="1"/>
  <c r="Z27" i="11"/>
  <c r="R49" i="7" l="1"/>
  <c r="AH1171" i="2" l="1"/>
  <c r="AH986" i="2" l="1"/>
  <c r="AJ908" i="2"/>
  <c r="AK908" i="2" s="1"/>
  <c r="AL908" i="2" s="1"/>
  <c r="AM908" i="2" s="1"/>
  <c r="AN908" i="2" s="1"/>
  <c r="AO908" i="2" s="1"/>
  <c r="AP908" i="2" s="1"/>
  <c r="AQ908" i="2" s="1"/>
  <c r="AR908" i="2" s="1"/>
  <c r="AS908" i="2" s="1"/>
  <c r="AT908" i="2" s="1"/>
  <c r="AH918" i="2"/>
  <c r="AI918" i="2" s="1"/>
  <c r="AJ918" i="2" s="1"/>
  <c r="AK918" i="2" s="1"/>
  <c r="AL918" i="2" s="1"/>
  <c r="AM918" i="2" s="1"/>
  <c r="AN918" i="2" s="1"/>
  <c r="AO918" i="2" s="1"/>
  <c r="AP918" i="2" s="1"/>
  <c r="AQ918" i="2" s="1"/>
  <c r="AR918" i="2" s="1"/>
  <c r="AS918" i="2" s="1"/>
  <c r="AT918" i="2" s="1"/>
  <c r="AH895" i="2"/>
  <c r="AI895" i="2" s="1"/>
  <c r="AJ895" i="2" s="1"/>
  <c r="AK895" i="2" s="1"/>
  <c r="AL895" i="2" s="1"/>
  <c r="AM895" i="2" s="1"/>
  <c r="AN895" i="2" s="1"/>
  <c r="AO895" i="2" s="1"/>
  <c r="AP895" i="2" s="1"/>
  <c r="AQ895" i="2" s="1"/>
  <c r="AR895" i="2" s="1"/>
  <c r="AS895" i="2" s="1"/>
  <c r="AT895" i="2" s="1"/>
  <c r="AH1172" i="2"/>
  <c r="AH729" i="2" l="1"/>
  <c r="AH893" i="2"/>
  <c r="AH903" i="2" s="1"/>
  <c r="AH727" i="2" l="1"/>
  <c r="AH1056" i="2" s="1"/>
  <c r="AH742" i="2"/>
  <c r="AH743" i="2"/>
  <c r="AH744" i="2"/>
  <c r="AH866" i="2"/>
  <c r="AH1067" i="2" l="1"/>
  <c r="AH1057" i="2"/>
  <c r="AH1068" i="2"/>
  <c r="AH1212" i="2"/>
  <c r="AH1217" i="2" s="1"/>
  <c r="AH1009" i="2"/>
  <c r="AH1115" i="2"/>
  <c r="AH1322" i="2"/>
  <c r="AH1119" i="2"/>
  <c r="AH1117" i="2" s="1"/>
  <c r="AH1116" i="2"/>
  <c r="AH1309" i="2"/>
  <c r="AH1313" i="2" s="1"/>
  <c r="AI346" i="2"/>
  <c r="AI348" i="2" s="1"/>
  <c r="AH346" i="2"/>
  <c r="AH348" i="2" s="1"/>
  <c r="AH1200" i="2"/>
  <c r="AH1199" i="2" s="1"/>
  <c r="AH1087" i="2" l="1"/>
  <c r="J36" i="11" s="1"/>
  <c r="AH1198" i="2"/>
  <c r="AH1066" i="2"/>
  <c r="AH1071" i="2" s="1"/>
  <c r="J16" i="11"/>
  <c r="Y16" i="11" s="1"/>
  <c r="AH53" i="12"/>
  <c r="AH66" i="12" s="1"/>
  <c r="AH74" i="12" s="1"/>
  <c r="J35" i="11"/>
  <c r="AH1226" i="2"/>
  <c r="Y18" i="11" l="1"/>
  <c r="Y20" i="11"/>
  <c r="J22" i="11"/>
  <c r="Y22" i="11" s="1"/>
  <c r="J18" i="11"/>
  <c r="AH81" i="12"/>
  <c r="AI81" i="12" s="1"/>
  <c r="AH85" i="12"/>
  <c r="AI85" i="12" s="1"/>
  <c r="AH76" i="12"/>
  <c r="Y19" i="11" l="1"/>
  <c r="Y17" i="11" s="1"/>
  <c r="Y39" i="11"/>
  <c r="AH87" i="12"/>
  <c r="AI87" i="12" s="1"/>
  <c r="Y21" i="11" l="1"/>
  <c r="Y26" i="11" s="1"/>
  <c r="Z17" i="11"/>
  <c r="V24" i="11"/>
  <c r="Z21" i="11" l="1"/>
  <c r="AA17" i="11"/>
  <c r="BB482" i="2"/>
  <c r="BC482" i="2"/>
  <c r="BH482" i="2" s="1"/>
  <c r="AO482" i="2" s="1"/>
  <c r="AN472" i="2"/>
  <c r="AM429" i="2" s="1"/>
  <c r="BG473" i="2"/>
  <c r="AO473" i="2"/>
  <c r="AP482" i="2" l="1"/>
  <c r="AO476" i="2"/>
  <c r="AA21" i="11"/>
  <c r="AB17" i="11"/>
  <c r="AO472" i="2"/>
  <c r="AN429" i="2" s="1"/>
  <c r="AP473" i="2"/>
  <c r="AQ482" i="2" l="1"/>
  <c r="AP476" i="2"/>
  <c r="AB21" i="11"/>
  <c r="AC17" i="11"/>
  <c r="AQ473" i="2"/>
  <c r="AP472" i="2"/>
  <c r="AO429" i="2" s="1"/>
  <c r="AR482" i="2" l="1"/>
  <c r="AQ476" i="2"/>
  <c r="AC21" i="11"/>
  <c r="AD17" i="11"/>
  <c r="AQ472" i="2"/>
  <c r="AP429" i="2" s="1"/>
  <c r="AR473" i="2"/>
  <c r="AS482" i="2" l="1"/>
  <c r="AR476" i="2"/>
  <c r="AE17" i="11"/>
  <c r="AD21" i="11"/>
  <c r="AR472" i="2"/>
  <c r="AQ429" i="2" s="1"/>
  <c r="AS473" i="2"/>
  <c r="AT482" i="2" l="1"/>
  <c r="AT476" i="2" s="1"/>
  <c r="AS476" i="2"/>
  <c r="AF17" i="11"/>
  <c r="AE21" i="11"/>
  <c r="AT473" i="2"/>
  <c r="AT472" i="2" s="1"/>
  <c r="AS429" i="2" s="1"/>
  <c r="AS472" i="2"/>
  <c r="AR429" i="2" s="1"/>
  <c r="AF21" i="11" l="1"/>
  <c r="AG17" i="11"/>
  <c r="AG21" i="11" l="1"/>
  <c r="AH17" i="11"/>
  <c r="AH21" i="11" l="1"/>
  <c r="AI17" i="11"/>
  <c r="AO870" i="2"/>
  <c r="AJ17" i="11" l="1"/>
  <c r="AI21" i="11"/>
  <c r="AO1311" i="2"/>
  <c r="AO1323" i="2"/>
  <c r="AJ21" i="11" l="1"/>
  <c r="AK17" i="11"/>
  <c r="AK21" i="11" l="1"/>
  <c r="AL17" i="11"/>
  <c r="AT870" i="2"/>
  <c r="AS870" i="2"/>
  <c r="AQ870" i="2"/>
  <c r="AR870" i="2"/>
  <c r="AP870" i="2"/>
  <c r="AR1323" i="2" l="1"/>
  <c r="AR1311" i="2"/>
  <c r="AP1323" i="2"/>
  <c r="AP1311" i="2"/>
  <c r="AQ1323" i="2"/>
  <c r="AQ1311" i="2"/>
  <c r="AS1323" i="2"/>
  <c r="AS1311" i="2"/>
  <c r="AT1323" i="2"/>
  <c r="AT1311" i="2"/>
  <c r="AM17" i="11"/>
  <c r="AL21" i="11"/>
  <c r="AN17" i="11" l="1"/>
  <c r="AM21" i="11"/>
  <c r="K25" i="11"/>
  <c r="AI846" i="2"/>
  <c r="AI1072" i="2" s="1"/>
  <c r="AI1073" i="2" s="1"/>
  <c r="AO17" i="11" l="1"/>
  <c r="AN21" i="11"/>
  <c r="AI1102" i="2"/>
  <c r="AI1096" i="2"/>
  <c r="AI1137" i="2" s="1"/>
  <c r="AI951" i="2"/>
  <c r="AI873" i="2"/>
  <c r="AI948" i="2"/>
  <c r="N25" i="11"/>
  <c r="Z25" i="11"/>
  <c r="X951" i="2"/>
  <c r="AI962" i="2"/>
  <c r="AI1022" i="2" s="1"/>
  <c r="W983" i="2"/>
  <c r="AI1169" i="2" l="1"/>
  <c r="AI1170" i="2" s="1"/>
  <c r="AI1141" i="2"/>
  <c r="AI1145" i="2" s="1"/>
  <c r="AI1074" i="2"/>
  <c r="AI1075" i="2" s="1"/>
  <c r="K23" i="11" s="1"/>
  <c r="AI1065" i="2"/>
  <c r="AI1060" i="2"/>
  <c r="AI1064" i="2"/>
  <c r="AI1062" i="2"/>
  <c r="AI1059" i="2"/>
  <c r="AI1212" i="2" s="1"/>
  <c r="AI1061" i="2"/>
  <c r="AI1048" i="2"/>
  <c r="AI1056" i="2" s="1"/>
  <c r="AI1049" i="2"/>
  <c r="AI1051" i="2"/>
  <c r="AI1052" i="2"/>
  <c r="AP17" i="11"/>
  <c r="AO21" i="11"/>
  <c r="AI1098" i="2"/>
  <c r="AI1138" i="2" s="1"/>
  <c r="R47" i="7" s="1"/>
  <c r="AI1104" i="2"/>
  <c r="AI1070" i="2" s="1"/>
  <c r="AI904" i="2"/>
  <c r="AI965" i="2"/>
  <c r="K7" i="11"/>
  <c r="Z7" i="11" s="1"/>
  <c r="W982" i="2"/>
  <c r="W952" i="2"/>
  <c r="W954" i="2"/>
  <c r="W965" i="2"/>
  <c r="W967" i="2"/>
  <c r="W957" i="2"/>
  <c r="W956" i="2"/>
  <c r="AI1063" i="2" l="1"/>
  <c r="AI1067" i="2"/>
  <c r="Z23" i="11"/>
  <c r="Z26" i="11" s="1"/>
  <c r="N23" i="11"/>
  <c r="AQ17" i="11"/>
  <c r="AP21" i="11"/>
  <c r="AI1050" i="2"/>
  <c r="AI1058" i="2"/>
  <c r="L7" i="11"/>
  <c r="R48" i="7"/>
  <c r="AI1105" i="2"/>
  <c r="AI1080" i="2" s="1"/>
  <c r="AI1246" i="2" s="1"/>
  <c r="AI1097" i="2"/>
  <c r="AI1106" i="2" l="1"/>
  <c r="AI1081" i="2"/>
  <c r="AI1055" i="2"/>
  <c r="AI1057" i="2" s="1"/>
  <c r="AR17" i="11"/>
  <c r="AQ21" i="11"/>
  <c r="K28" i="11"/>
  <c r="AS17" i="11" l="1"/>
  <c r="AR21" i="11"/>
  <c r="AI1068" i="2"/>
  <c r="K20" i="11"/>
  <c r="K29" i="11"/>
  <c r="AI1243" i="2"/>
  <c r="Z28" i="11"/>
  <c r="L28" i="11"/>
  <c r="AI1247" i="2"/>
  <c r="AI1248" i="2" s="1"/>
  <c r="AI963" i="2"/>
  <c r="AI1245" i="2"/>
  <c r="AI985" i="2"/>
  <c r="AI1244" i="2"/>
  <c r="K16" i="11" l="1"/>
  <c r="Z16" i="11" s="1"/>
  <c r="AI1069" i="2"/>
  <c r="AI1071" i="2" s="1"/>
  <c r="AT17" i="11"/>
  <c r="AS21" i="11"/>
  <c r="L29" i="11"/>
  <c r="Z29" i="11"/>
  <c r="AI1249" i="2"/>
  <c r="Z18" i="11" l="1"/>
  <c r="Z39" i="11" s="1"/>
  <c r="Z20" i="11"/>
  <c r="AU17" i="11"/>
  <c r="AT21" i="11"/>
  <c r="K18" i="11"/>
  <c r="L18" i="11" s="1"/>
  <c r="N18" i="11" s="1"/>
  <c r="K22" i="11"/>
  <c r="AI955" i="2"/>
  <c r="Z22" i="11" l="1"/>
  <c r="L22" i="11"/>
  <c r="N22" i="11" s="1"/>
  <c r="AV17" i="11"/>
  <c r="AU21" i="11"/>
  <c r="AI1014" i="2"/>
  <c r="AW17" i="11" l="1"/>
  <c r="AV21" i="11"/>
  <c r="AI1004" i="2"/>
  <c r="AI1002" i="2"/>
  <c r="AI1012" i="2"/>
  <c r="AI1013" i="2"/>
  <c r="AX17" i="11" l="1"/>
  <c r="AW21" i="11"/>
  <c r="AI857" i="2"/>
  <c r="AI1101" i="2" s="1"/>
  <c r="X955" i="2"/>
  <c r="W955" i="2" s="1"/>
  <c r="AI858" i="2"/>
  <c r="AY17" i="11" l="1"/>
  <c r="AX21" i="11"/>
  <c r="X958" i="2"/>
  <c r="W958" i="2" s="1"/>
  <c r="AI843" i="2"/>
  <c r="AI407" i="2" s="1"/>
  <c r="AI409" i="2" s="1"/>
  <c r="X953" i="2"/>
  <c r="AI417" i="2"/>
  <c r="AI1153" i="2" s="1"/>
  <c r="AI416" i="2"/>
  <c r="AI1152" i="2" s="1"/>
  <c r="AG959" i="2" l="1"/>
  <c r="AJ959" i="2"/>
  <c r="AZ17" i="11"/>
  <c r="AZ21" i="11" s="1"/>
  <c r="AY21" i="11"/>
  <c r="AK959" i="2"/>
  <c r="W953" i="2"/>
  <c r="X959" i="2"/>
  <c r="AI840" i="2"/>
  <c r="AI393" i="2" s="1"/>
  <c r="AI959" i="2"/>
  <c r="AH959" i="2"/>
  <c r="AN959" i="2"/>
  <c r="AS959" i="2"/>
  <c r="AQ959" i="2"/>
  <c r="AO959" i="2"/>
  <c r="AP959" i="2"/>
  <c r="AM959" i="2"/>
  <c r="AR959" i="2"/>
  <c r="AT959" i="2"/>
  <c r="AL959" i="2"/>
  <c r="AJ955" i="2" l="1"/>
  <c r="AJ675" i="2"/>
  <c r="AI844" i="2"/>
  <c r="AI845" i="2" s="1"/>
  <c r="AI48" i="12"/>
  <c r="AI47" i="12" s="1"/>
  <c r="AI64" i="12" s="1"/>
  <c r="AI999" i="2"/>
  <c r="W951" i="2"/>
  <c r="AK955" i="2" l="1"/>
  <c r="AL955" i="2" s="1"/>
  <c r="AM955" i="2" s="1"/>
  <c r="AN955" i="2" s="1"/>
  <c r="AO955" i="2" s="1"/>
  <c r="AP955" i="2" s="1"/>
  <c r="AQ955" i="2" s="1"/>
  <c r="AR955" i="2" s="1"/>
  <c r="AS955" i="2" s="1"/>
  <c r="AT955" i="2" s="1"/>
  <c r="AI1000" i="2"/>
  <c r="AI1001" i="2" s="1"/>
  <c r="AI953" i="2"/>
  <c r="AI960" i="2" s="1"/>
  <c r="AK675" i="2" l="1"/>
  <c r="AL675" i="2" s="1"/>
  <c r="AM675" i="2" s="1"/>
  <c r="AN675" i="2" s="1"/>
  <c r="AO675" i="2" s="1"/>
  <c r="AP675" i="2" s="1"/>
  <c r="AQ675" i="2" s="1"/>
  <c r="AR675" i="2" s="1"/>
  <c r="AS675" i="2" s="1"/>
  <c r="AT675" i="2" s="1"/>
  <c r="AI976" i="2"/>
  <c r="X975" i="2" s="1"/>
  <c r="X965" i="2" s="1"/>
  <c r="AI972" i="2"/>
  <c r="AI969" i="2"/>
  <c r="AJ953" i="2"/>
  <c r="AJ960" i="2" l="1"/>
  <c r="AJ951" i="2"/>
  <c r="AI974" i="2"/>
  <c r="AJ972" i="2"/>
  <c r="AI966" i="2"/>
  <c r="AI968" i="2"/>
  <c r="AI979" i="2"/>
  <c r="AI980" i="2"/>
  <c r="AJ976" i="2"/>
  <c r="AI978" i="2"/>
  <c r="AI1110" i="2" s="1"/>
  <c r="AJ642" i="2"/>
  <c r="AJ686" i="2" s="1"/>
  <c r="AJ653" i="2"/>
  <c r="AJ697" i="2" s="1"/>
  <c r="AJ641" i="2"/>
  <c r="AJ685" i="2" s="1"/>
  <c r="AJ654" i="2"/>
  <c r="AJ698" i="2" s="1"/>
  <c r="AJ650" i="2"/>
  <c r="AJ694" i="2" s="1"/>
  <c r="AJ646" i="2"/>
  <c r="AJ690" i="2" s="1"/>
  <c r="AJ648" i="2"/>
  <c r="AJ692" i="2" s="1"/>
  <c r="AJ657" i="2"/>
  <c r="AJ649" i="2"/>
  <c r="AJ693" i="2" s="1"/>
  <c r="AJ658" i="2"/>
  <c r="AJ661" i="2"/>
  <c r="AJ643" i="2"/>
  <c r="AJ652" i="2"/>
  <c r="AJ696" i="2" s="1"/>
  <c r="AJ659" i="2"/>
  <c r="AK953" i="2"/>
  <c r="AK960" i="2" s="1"/>
  <c r="AJ673" i="2"/>
  <c r="AJ644" i="2"/>
  <c r="AJ688" i="2" s="1"/>
  <c r="AJ639" i="2"/>
  <c r="AJ669" i="2"/>
  <c r="AJ662" i="2"/>
  <c r="AJ656" i="2"/>
  <c r="AJ666" i="2"/>
  <c r="AJ651" i="2"/>
  <c r="AJ695" i="2" s="1"/>
  <c r="AJ665" i="2"/>
  <c r="AJ667" i="2"/>
  <c r="AJ638" i="2"/>
  <c r="AJ647" i="2"/>
  <c r="AJ691" i="2" s="1"/>
  <c r="AJ663" i="2"/>
  <c r="AJ660" i="2"/>
  <c r="AJ664" i="2"/>
  <c r="AJ668" i="2"/>
  <c r="AJ655" i="2"/>
  <c r="K33" i="11" l="1"/>
  <c r="AJ968" i="2"/>
  <c r="AK969" i="2"/>
  <c r="AJ979" i="2"/>
  <c r="AJ740" i="2" s="1"/>
  <c r="AJ975" i="2"/>
  <c r="AJ1109" i="2" s="1"/>
  <c r="AJ980" i="2"/>
  <c r="AJ978" i="2"/>
  <c r="AJ1110" i="2" s="1"/>
  <c r="AK976" i="2"/>
  <c r="AJ974" i="2"/>
  <c r="AJ971" i="2" s="1"/>
  <c r="AJ965" i="2" s="1"/>
  <c r="AJ985" i="2" s="1"/>
  <c r="AK972" i="2"/>
  <c r="AK642" i="2"/>
  <c r="AK686" i="2" s="1"/>
  <c r="AK652" i="2"/>
  <c r="AK696" i="2" s="1"/>
  <c r="AK643" i="2"/>
  <c r="AK661" i="2"/>
  <c r="AJ705" i="2"/>
  <c r="AJ704" i="2"/>
  <c r="AK660" i="2"/>
  <c r="AK667" i="2"/>
  <c r="AJ711" i="2"/>
  <c r="AJ709" i="2"/>
  <c r="AK665" i="2"/>
  <c r="AK651" i="2"/>
  <c r="AK695" i="2" s="1"/>
  <c r="AJ710" i="2"/>
  <c r="AK666" i="2"/>
  <c r="AK653" i="2"/>
  <c r="AK697" i="2" s="1"/>
  <c r="AK656" i="2"/>
  <c r="AJ700" i="2"/>
  <c r="AK639" i="2"/>
  <c r="AK673" i="2"/>
  <c r="AJ717" i="2"/>
  <c r="AL953" i="2"/>
  <c r="AK951" i="2"/>
  <c r="AK962" i="2" s="1"/>
  <c r="AJ636" i="2"/>
  <c r="AJ699" i="2"/>
  <c r="AK655" i="2"/>
  <c r="AJ712" i="2"/>
  <c r="AK668" i="2"/>
  <c r="AK664" i="2"/>
  <c r="AJ708" i="2"/>
  <c r="AK649" i="2"/>
  <c r="AK693" i="2" s="1"/>
  <c r="AK663" i="2"/>
  <c r="AK657" i="2"/>
  <c r="AJ701" i="2"/>
  <c r="AK647" i="2"/>
  <c r="AK691" i="2" s="1"/>
  <c r="AK648" i="2"/>
  <c r="AK692" i="2" s="1"/>
  <c r="AK646" i="2"/>
  <c r="AK690" i="2" s="1"/>
  <c r="AK650" i="2"/>
  <c r="AK694" i="2" s="1"/>
  <c r="AK654" i="2"/>
  <c r="AK698" i="2" s="1"/>
  <c r="AK641" i="2"/>
  <c r="AK685" i="2" s="1"/>
  <c r="AK662" i="2"/>
  <c r="AJ706" i="2"/>
  <c r="AJ713" i="2"/>
  <c r="AK669" i="2"/>
  <c r="AK644" i="2"/>
  <c r="AJ703" i="2"/>
  <c r="AK659" i="2"/>
  <c r="AJ1085" i="2" l="1"/>
  <c r="AJ743" i="2"/>
  <c r="AK711" i="2"/>
  <c r="AL960" i="2"/>
  <c r="AL951" i="2"/>
  <c r="AL962" i="2" s="1"/>
  <c r="AJ1098" i="2"/>
  <c r="AJ1138" i="2" s="1"/>
  <c r="AJ1022" i="2"/>
  <c r="O7" i="11" s="1"/>
  <c r="AK700" i="2"/>
  <c r="AL646" i="2"/>
  <c r="AL690" i="2" s="1"/>
  <c r="AK708" i="2"/>
  <c r="O33" i="11"/>
  <c r="AJ751" i="2"/>
  <c r="AL976" i="2"/>
  <c r="AK975" i="2"/>
  <c r="AK1109" i="2" s="1"/>
  <c r="AK980" i="2"/>
  <c r="AK978" i="2"/>
  <c r="AK1110" i="2" s="1"/>
  <c r="AK979" i="2"/>
  <c r="AK740" i="2" s="1"/>
  <c r="AK1085" i="2" s="1"/>
  <c r="AJ739" i="2"/>
  <c r="AJ737" i="2" s="1"/>
  <c r="Z33" i="11"/>
  <c r="L33" i="11"/>
  <c r="AK974" i="2"/>
  <c r="AK971" i="2" s="1"/>
  <c r="AL972" i="2"/>
  <c r="AL969" i="2"/>
  <c r="AK968" i="2"/>
  <c r="AK966" i="2"/>
  <c r="AJ738" i="2"/>
  <c r="AL666" i="2"/>
  <c r="AK717" i="2"/>
  <c r="AL648" i="2"/>
  <c r="AL692" i="2" s="1"/>
  <c r="AL659" i="2"/>
  <c r="AL651" i="2"/>
  <c r="AL695" i="2" s="1"/>
  <c r="AL660" i="2"/>
  <c r="AM953" i="2"/>
  <c r="AM960" i="2" s="1"/>
  <c r="AL647" i="2"/>
  <c r="AL691" i="2" s="1"/>
  <c r="AL662" i="2"/>
  <c r="AL642" i="2"/>
  <c r="AL686" i="2" s="1"/>
  <c r="AL668" i="2"/>
  <c r="AK712" i="2"/>
  <c r="AL655" i="2"/>
  <c r="AK699" i="2"/>
  <c r="AL650" i="2"/>
  <c r="AL694" i="2" s="1"/>
  <c r="AL656" i="2"/>
  <c r="AL652" i="2"/>
  <c r="AL696" i="2" s="1"/>
  <c r="AK636" i="2"/>
  <c r="AK710" i="2"/>
  <c r="AL665" i="2"/>
  <c r="AK709" i="2"/>
  <c r="AL657" i="2"/>
  <c r="AL667" i="2"/>
  <c r="AL663" i="2"/>
  <c r="AL664" i="2"/>
  <c r="AL641" i="2"/>
  <c r="AL685" i="2" s="1"/>
  <c r="AL643" i="2"/>
  <c r="AL673" i="2"/>
  <c r="AL669" i="2"/>
  <c r="AL639" i="2"/>
  <c r="AK713" i="2"/>
  <c r="AL649" i="2"/>
  <c r="AL693" i="2" s="1"/>
  <c r="AK704" i="2"/>
  <c r="AL661" i="2"/>
  <c r="AL654" i="2"/>
  <c r="AL698" i="2" s="1"/>
  <c r="AL653" i="2"/>
  <c r="AL697" i="2" s="1"/>
  <c r="AK965" i="2" l="1"/>
  <c r="AJ741" i="2"/>
  <c r="AJ963" i="2"/>
  <c r="AK1098" i="2"/>
  <c r="AK1138" i="2" s="1"/>
  <c r="V47" i="7" s="1"/>
  <c r="AK1022" i="2"/>
  <c r="P7" i="11" s="1"/>
  <c r="AB7" i="11" s="1"/>
  <c r="AM650" i="2"/>
  <c r="AM694" i="2" s="1"/>
  <c r="AM673" i="2"/>
  <c r="AL699" i="2"/>
  <c r="AM639" i="2"/>
  <c r="AM652" i="2"/>
  <c r="AM696" i="2" s="1"/>
  <c r="AM647" i="2"/>
  <c r="AM691" i="2" s="1"/>
  <c r="AM669" i="2"/>
  <c r="AM653" i="2"/>
  <c r="AM697" i="2" s="1"/>
  <c r="AM656" i="2"/>
  <c r="AL710" i="2"/>
  <c r="AL968" i="2"/>
  <c r="AM969" i="2"/>
  <c r="AL966" i="2"/>
  <c r="AK738" i="2"/>
  <c r="AM972" i="2"/>
  <c r="AL974" i="2"/>
  <c r="AL971" i="2" s="1"/>
  <c r="AI1310" i="2"/>
  <c r="AI1204" i="2"/>
  <c r="AI1202" i="2" s="1"/>
  <c r="AI1008" i="2"/>
  <c r="AJ865" i="2"/>
  <c r="AK739" i="2"/>
  <c r="AK737" i="2" s="1"/>
  <c r="AL975" i="2"/>
  <c r="AL1109" i="2" s="1"/>
  <c r="AL980" i="2"/>
  <c r="AL978" i="2"/>
  <c r="AL1110" i="2" s="1"/>
  <c r="AL979" i="2"/>
  <c r="AL740" i="2" s="1"/>
  <c r="AL1085" i="2" s="1"/>
  <c r="AM976" i="2"/>
  <c r="AK751" i="2"/>
  <c r="P33" i="11"/>
  <c r="AL712" i="2"/>
  <c r="AM655" i="2"/>
  <c r="AM643" i="2"/>
  <c r="AL704" i="2"/>
  <c r="AM641" i="2"/>
  <c r="AM685" i="2" s="1"/>
  <c r="AM664" i="2"/>
  <c r="AL700" i="2"/>
  <c r="AM642" i="2"/>
  <c r="AM686" i="2" s="1"/>
  <c r="AM663" i="2"/>
  <c r="AM667" i="2"/>
  <c r="AM668" i="2"/>
  <c r="AM649" i="2"/>
  <c r="AM693" i="2" s="1"/>
  <c r="AL713" i="2"/>
  <c r="AL709" i="2"/>
  <c r="AN953" i="2"/>
  <c r="AN960" i="2" s="1"/>
  <c r="AM951" i="2"/>
  <c r="AM662" i="2"/>
  <c r="AM665" i="2"/>
  <c r="AM651" i="2"/>
  <c r="AM695" i="2" s="1"/>
  <c r="AL636" i="2"/>
  <c r="AM657" i="2"/>
  <c r="AM648" i="2"/>
  <c r="AM692" i="2" s="1"/>
  <c r="AM660" i="2"/>
  <c r="AM646" i="2"/>
  <c r="AM690" i="2" s="1"/>
  <c r="AM654" i="2"/>
  <c r="AM698" i="2" s="1"/>
  <c r="AL708" i="2"/>
  <c r="AL717" i="2"/>
  <c r="AM666" i="2"/>
  <c r="AL711" i="2"/>
  <c r="AM661" i="2"/>
  <c r="AA7" i="11"/>
  <c r="AM659" i="2"/>
  <c r="AI1088" i="2" l="1"/>
  <c r="AI1201" i="2"/>
  <c r="AL1098" i="2"/>
  <c r="AL1138" i="2" s="1"/>
  <c r="X47" i="7" s="1"/>
  <c r="AL1022" i="2"/>
  <c r="Q7" i="11" s="1"/>
  <c r="AC7" i="11" s="1"/>
  <c r="AM699" i="2"/>
  <c r="AM708" i="2"/>
  <c r="AN647" i="2"/>
  <c r="AN691" i="2" s="1"/>
  <c r="AN661" i="2"/>
  <c r="AM717" i="2"/>
  <c r="AM700" i="2"/>
  <c r="AN652" i="2"/>
  <c r="AN696" i="2" s="1"/>
  <c r="AM713" i="2"/>
  <c r="AN665" i="2"/>
  <c r="AM712" i="2"/>
  <c r="AI60" i="12"/>
  <c r="AI75" i="12" s="1"/>
  <c r="AI1228" i="2"/>
  <c r="Q33" i="11"/>
  <c r="AL751" i="2"/>
  <c r="AL738" i="2"/>
  <c r="AJ1204" i="2"/>
  <c r="AJ1202" i="2" s="1"/>
  <c r="AJ1310" i="2"/>
  <c r="AL739" i="2"/>
  <c r="AL737" i="2" s="1"/>
  <c r="AM968" i="2"/>
  <c r="AN969" i="2"/>
  <c r="AM966" i="2"/>
  <c r="AM710" i="2"/>
  <c r="AM978" i="2"/>
  <c r="AM1110" i="2" s="1"/>
  <c r="AM979" i="2"/>
  <c r="AM740" i="2" s="1"/>
  <c r="AM1085" i="2" s="1"/>
  <c r="AN976" i="2"/>
  <c r="AM975" i="2"/>
  <c r="AM1109" i="2" s="1"/>
  <c r="AM980" i="2"/>
  <c r="AM974" i="2"/>
  <c r="AM971" i="2" s="1"/>
  <c r="AN972" i="2"/>
  <c r="AK865" i="2"/>
  <c r="AN667" i="2"/>
  <c r="AN662" i="2"/>
  <c r="AM711" i="2"/>
  <c r="AN656" i="2"/>
  <c r="AN642" i="2"/>
  <c r="AN686" i="2" s="1"/>
  <c r="AN646" i="2"/>
  <c r="AN690" i="2" s="1"/>
  <c r="AN660" i="2"/>
  <c r="AN657" i="2"/>
  <c r="AN641" i="2"/>
  <c r="AN685" i="2" s="1"/>
  <c r="AN648" i="2"/>
  <c r="AN692" i="2" s="1"/>
  <c r="AN650" i="2"/>
  <c r="AN694" i="2" s="1"/>
  <c r="AM636" i="2"/>
  <c r="AM962" i="2"/>
  <c r="AM704" i="2"/>
  <c r="AN673" i="2"/>
  <c r="AN663" i="2"/>
  <c r="AN655" i="2"/>
  <c r="AN664" i="2"/>
  <c r="AN643" i="2"/>
  <c r="AN654" i="2"/>
  <c r="AN698" i="2" s="1"/>
  <c r="AN669" i="2"/>
  <c r="AN639" i="2"/>
  <c r="AN649" i="2"/>
  <c r="AN693" i="2" s="1"/>
  <c r="AM709" i="2"/>
  <c r="AO953" i="2"/>
  <c r="AN951" i="2"/>
  <c r="AN668" i="2"/>
  <c r="AN659" i="2"/>
  <c r="AN653" i="2"/>
  <c r="AN697" i="2" s="1"/>
  <c r="AN666" i="2"/>
  <c r="AN651" i="2"/>
  <c r="AN695" i="2" s="1"/>
  <c r="AJ1088" i="2" l="1"/>
  <c r="AM1098" i="2"/>
  <c r="AM1138" i="2" s="1"/>
  <c r="Z47" i="7" s="1"/>
  <c r="AM1022" i="2"/>
  <c r="R7" i="11" s="1"/>
  <c r="AN704" i="2"/>
  <c r="AN700" i="2"/>
  <c r="AN709" i="2"/>
  <c r="AO648" i="2"/>
  <c r="AO692" i="2" s="1"/>
  <c r="AN711" i="2"/>
  <c r="AN968" i="2"/>
  <c r="AO969" i="2"/>
  <c r="AN966" i="2"/>
  <c r="AL865" i="2"/>
  <c r="AK1310" i="2"/>
  <c r="AK1204" i="2"/>
  <c r="AK1202" i="2" s="1"/>
  <c r="AN974" i="2"/>
  <c r="AN971" i="2" s="1"/>
  <c r="AO972" i="2"/>
  <c r="AO659" i="2"/>
  <c r="AM738" i="2"/>
  <c r="AO646" i="2"/>
  <c r="AO690" i="2" s="1"/>
  <c r="AN975" i="2"/>
  <c r="AN1109" i="2" s="1"/>
  <c r="AN980" i="2"/>
  <c r="AO976" i="2"/>
  <c r="AN978" i="2"/>
  <c r="AN1110" i="2" s="1"/>
  <c r="AN979" i="2"/>
  <c r="AN740" i="2" s="1"/>
  <c r="AN1085" i="2" s="1"/>
  <c r="AO649" i="2"/>
  <c r="AO693" i="2" s="1"/>
  <c r="AM751" i="2"/>
  <c r="R33" i="11"/>
  <c r="AJ60" i="12"/>
  <c r="AJ75" i="12" s="1"/>
  <c r="AJ86" i="12" s="1"/>
  <c r="AJ87" i="12" s="1"/>
  <c r="AJ1228" i="2"/>
  <c r="DB1256" i="2" s="1"/>
  <c r="AM739" i="2"/>
  <c r="AM737" i="2" s="1"/>
  <c r="AO673" i="2"/>
  <c r="AO642" i="2"/>
  <c r="AO686" i="2" s="1"/>
  <c r="AO661" i="2"/>
  <c r="AO647" i="2"/>
  <c r="AO691" i="2" s="1"/>
  <c r="AO650" i="2"/>
  <c r="AO694" i="2" s="1"/>
  <c r="AO641" i="2"/>
  <c r="AO685" i="2" s="1"/>
  <c r="AO665" i="2"/>
  <c r="AO664" i="2"/>
  <c r="AO651" i="2"/>
  <c r="AO695" i="2" s="1"/>
  <c r="AO656" i="2"/>
  <c r="AO666" i="2"/>
  <c r="AO660" i="2"/>
  <c r="AO667" i="2"/>
  <c r="AO662" i="2"/>
  <c r="AO657" i="2"/>
  <c r="AO639" i="2"/>
  <c r="AO653" i="2"/>
  <c r="AO697" i="2" s="1"/>
  <c r="AO655" i="2"/>
  <c r="AN699" i="2"/>
  <c r="AN710" i="2"/>
  <c r="AO663" i="2"/>
  <c r="AN708" i="2"/>
  <c r="AO669" i="2"/>
  <c r="AN713" i="2"/>
  <c r="AP953" i="2"/>
  <c r="AO960" i="2"/>
  <c r="AO951" i="2"/>
  <c r="AO654" i="2"/>
  <c r="AO698" i="2" s="1"/>
  <c r="AO652" i="2"/>
  <c r="AO696" i="2" s="1"/>
  <c r="AO643" i="2"/>
  <c r="AN717" i="2"/>
  <c r="AO668" i="2"/>
  <c r="AN712" i="2"/>
  <c r="AN636" i="2"/>
  <c r="AN962" i="2"/>
  <c r="AO704" i="2" l="1"/>
  <c r="AK1088" i="2"/>
  <c r="AO700" i="2"/>
  <c r="AO711" i="2"/>
  <c r="AN1098" i="2"/>
  <c r="AN1138" i="2" s="1"/>
  <c r="AB47" i="7" s="1"/>
  <c r="AN1022" i="2"/>
  <c r="S7" i="11" s="1"/>
  <c r="AE7" i="11" s="1"/>
  <c r="AO712" i="2"/>
  <c r="AO709" i="2"/>
  <c r="AO713" i="2"/>
  <c r="AO717" i="2"/>
  <c r="AP673" i="2"/>
  <c r="AL1310" i="2"/>
  <c r="AL1204" i="2"/>
  <c r="AL1202" i="2" s="1"/>
  <c r="AN739" i="2"/>
  <c r="AN737" i="2" s="1"/>
  <c r="AP969" i="2"/>
  <c r="AO968" i="2"/>
  <c r="AO966" i="2"/>
  <c r="AP976" i="2"/>
  <c r="AO975" i="2"/>
  <c r="AO1109" i="2" s="1"/>
  <c r="AO978" i="2"/>
  <c r="AO1110" i="2" s="1"/>
  <c r="AO980" i="2"/>
  <c r="AO979" i="2"/>
  <c r="AO740" i="2" s="1"/>
  <c r="AO1085" i="2" s="1"/>
  <c r="AK60" i="12"/>
  <c r="AK75" i="12" s="1"/>
  <c r="AK86" i="12" s="1"/>
  <c r="AK87" i="12" s="1"/>
  <c r="AK1228" i="2"/>
  <c r="AN738" i="2"/>
  <c r="AO974" i="2"/>
  <c r="AO971" i="2" s="1"/>
  <c r="AP972" i="2"/>
  <c r="AM865" i="2"/>
  <c r="AN751" i="2"/>
  <c r="S33" i="11"/>
  <c r="AO699" i="2"/>
  <c r="AP661" i="2"/>
  <c r="AP664" i="2"/>
  <c r="AP642" i="2"/>
  <c r="AP686" i="2" s="1"/>
  <c r="AO710" i="2"/>
  <c r="AP639" i="2"/>
  <c r="AP668" i="2"/>
  <c r="AP660" i="2"/>
  <c r="AP646" i="2"/>
  <c r="AP690" i="2" s="1"/>
  <c r="AP641" i="2"/>
  <c r="AP685" i="2" s="1"/>
  <c r="AP653" i="2"/>
  <c r="AP697" i="2" s="1"/>
  <c r="AP648" i="2"/>
  <c r="AP692" i="2" s="1"/>
  <c r="AO708" i="2"/>
  <c r="AP662" i="2"/>
  <c r="AP651" i="2"/>
  <c r="AP695" i="2" s="1"/>
  <c r="AP659" i="2"/>
  <c r="AP666" i="2"/>
  <c r="AO636" i="2"/>
  <c r="AO962" i="2"/>
  <c r="AO1098" i="2" s="1"/>
  <c r="AP643" i="2"/>
  <c r="AP654" i="2"/>
  <c r="AP698" i="2" s="1"/>
  <c r="AP669" i="2"/>
  <c r="AD7" i="11"/>
  <c r="AQ953" i="2"/>
  <c r="AP960" i="2"/>
  <c r="AP951" i="2"/>
  <c r="AP657" i="2"/>
  <c r="AP647" i="2"/>
  <c r="AP691" i="2" s="1"/>
  <c r="AP656" i="2"/>
  <c r="AP652" i="2"/>
  <c r="AP696" i="2" s="1"/>
  <c r="AP649" i="2"/>
  <c r="AP693" i="2" s="1"/>
  <c r="AP667" i="2"/>
  <c r="AP650" i="2"/>
  <c r="AP694" i="2" s="1"/>
  <c r="AP663" i="2"/>
  <c r="AP665" i="2"/>
  <c r="AP655" i="2"/>
  <c r="AP704" i="2" l="1"/>
  <c r="AP711" i="2"/>
  <c r="AL1088" i="2"/>
  <c r="AO1138" i="2"/>
  <c r="AD47" i="7" s="1"/>
  <c r="AF47" i="7" s="1"/>
  <c r="AO1022" i="2"/>
  <c r="V7" i="11" s="1"/>
  <c r="AP712" i="2"/>
  <c r="AP708" i="2"/>
  <c r="AP717" i="2"/>
  <c r="AQ649" i="2"/>
  <c r="AQ693" i="2" s="1"/>
  <c r="AQ660" i="2"/>
  <c r="AQ639" i="2"/>
  <c r="AP699" i="2"/>
  <c r="AP979" i="2"/>
  <c r="AP740" i="2" s="1"/>
  <c r="AP1085" i="2" s="1"/>
  <c r="AQ976" i="2"/>
  <c r="AP980" i="2"/>
  <c r="AP975" i="2"/>
  <c r="AP1109" i="2" s="1"/>
  <c r="AP978" i="2"/>
  <c r="AP1110" i="2" s="1"/>
  <c r="AN865" i="2"/>
  <c r="AQ972" i="2"/>
  <c r="AP974" i="2"/>
  <c r="AP971" i="2" s="1"/>
  <c r="AO751" i="2"/>
  <c r="V33" i="11"/>
  <c r="AL60" i="12"/>
  <c r="AL75" i="12" s="1"/>
  <c r="AL86" i="12" s="1"/>
  <c r="AL87" i="12" s="1"/>
  <c r="AL1228" i="2"/>
  <c r="AQ969" i="2"/>
  <c r="AP968" i="2"/>
  <c r="AP966" i="2"/>
  <c r="AO739" i="2"/>
  <c r="AO737" i="2" s="1"/>
  <c r="AM1310" i="2"/>
  <c r="AM1204" i="2"/>
  <c r="AM1202" i="2" s="1"/>
  <c r="AO738" i="2"/>
  <c r="AQ661" i="2"/>
  <c r="AQ643" i="2"/>
  <c r="AP710" i="2"/>
  <c r="AQ663" i="2"/>
  <c r="AQ652" i="2"/>
  <c r="AQ696" i="2" s="1"/>
  <c r="AQ646" i="2"/>
  <c r="AQ690" i="2" s="1"/>
  <c r="AQ650" i="2"/>
  <c r="AQ694" i="2" s="1"/>
  <c r="AQ662" i="2"/>
  <c r="AQ668" i="2"/>
  <c r="AQ647" i="2"/>
  <c r="AQ691" i="2" s="1"/>
  <c r="AQ657" i="2"/>
  <c r="AQ669" i="2"/>
  <c r="AQ641" i="2"/>
  <c r="AQ685" i="2" s="1"/>
  <c r="AQ656" i="2"/>
  <c r="AP700" i="2"/>
  <c r="AP962" i="2"/>
  <c r="AP1098" i="2" s="1"/>
  <c r="AP636" i="2"/>
  <c r="AQ648" i="2"/>
  <c r="AQ692" i="2" s="1"/>
  <c r="AP713" i="2"/>
  <c r="T7" i="11"/>
  <c r="AQ642" i="2"/>
  <c r="AQ686" i="2" s="1"/>
  <c r="AQ666" i="2"/>
  <c r="AQ659" i="2"/>
  <c r="AF7" i="11"/>
  <c r="AR953" i="2"/>
  <c r="AQ960" i="2"/>
  <c r="AQ951" i="2"/>
  <c r="AQ654" i="2"/>
  <c r="AQ698" i="2" s="1"/>
  <c r="AQ653" i="2"/>
  <c r="AQ697" i="2" s="1"/>
  <c r="AQ655" i="2"/>
  <c r="AQ667" i="2"/>
  <c r="AQ664" i="2"/>
  <c r="AQ665" i="2"/>
  <c r="AP709" i="2"/>
  <c r="AQ651" i="2"/>
  <c r="AQ695" i="2" s="1"/>
  <c r="AQ673" i="2"/>
  <c r="AQ704" i="2" l="1"/>
  <c r="AM1088" i="2"/>
  <c r="AQ712" i="2"/>
  <c r="AP1138" i="2"/>
  <c r="AP1022" i="2"/>
  <c r="AQ710" i="2"/>
  <c r="AQ700" i="2"/>
  <c r="AP751" i="2"/>
  <c r="AP739" i="2"/>
  <c r="AP737" i="2" s="1"/>
  <c r="AM60" i="12"/>
  <c r="AM75" i="12" s="1"/>
  <c r="AM86" i="12" s="1"/>
  <c r="AM87" i="12" s="1"/>
  <c r="AM1228" i="2"/>
  <c r="AQ968" i="2"/>
  <c r="AR969" i="2"/>
  <c r="AQ966" i="2"/>
  <c r="AQ980" i="2"/>
  <c r="AQ979" i="2"/>
  <c r="AQ740" i="2" s="1"/>
  <c r="AQ1085" i="2" s="1"/>
  <c r="AQ975" i="2"/>
  <c r="AQ1109" i="2" s="1"/>
  <c r="AQ978" i="2"/>
  <c r="AQ1110" i="2" s="1"/>
  <c r="AR976" i="2"/>
  <c r="AO865" i="2"/>
  <c r="AP738" i="2"/>
  <c r="AN1310" i="2"/>
  <c r="AN1204" i="2"/>
  <c r="AN1202" i="2" s="1"/>
  <c r="AQ974" i="2"/>
  <c r="AQ971" i="2" s="1"/>
  <c r="AR972" i="2"/>
  <c r="AR654" i="2"/>
  <c r="AR698" i="2" s="1"/>
  <c r="AR647" i="2"/>
  <c r="AR691" i="2" s="1"/>
  <c r="AR673" i="2"/>
  <c r="AR665" i="2"/>
  <c r="AQ713" i="2"/>
  <c r="AR656" i="2"/>
  <c r="AR664" i="2"/>
  <c r="AR667" i="2"/>
  <c r="AR655" i="2"/>
  <c r="AR657" i="2"/>
  <c r="AR663" i="2"/>
  <c r="AR648" i="2"/>
  <c r="AR692" i="2" s="1"/>
  <c r="AR639" i="2"/>
  <c r="AQ699" i="2"/>
  <c r="AR666" i="2"/>
  <c r="AR649" i="2"/>
  <c r="AR693" i="2" s="1"/>
  <c r="AR641" i="2"/>
  <c r="AR685" i="2" s="1"/>
  <c r="AQ962" i="2"/>
  <c r="AQ1098" i="2" s="1"/>
  <c r="AQ636" i="2"/>
  <c r="AR642" i="2"/>
  <c r="AR686" i="2" s="1"/>
  <c r="AQ709" i="2"/>
  <c r="AR960" i="2"/>
  <c r="AS953" i="2"/>
  <c r="AR951" i="2"/>
  <c r="AR669" i="2"/>
  <c r="AR653" i="2"/>
  <c r="AR697" i="2" s="1"/>
  <c r="AR662" i="2"/>
  <c r="AQ711" i="2"/>
  <c r="AR660" i="2"/>
  <c r="AR659" i="2"/>
  <c r="AQ717" i="2"/>
  <c r="AR646" i="2"/>
  <c r="AR690" i="2" s="1"/>
  <c r="AR652" i="2"/>
  <c r="AR696" i="2" s="1"/>
  <c r="AR643" i="2"/>
  <c r="AR650" i="2"/>
  <c r="AR694" i="2" s="1"/>
  <c r="AR661" i="2"/>
  <c r="AQ708" i="2"/>
  <c r="AF18" i="11"/>
  <c r="AG7" i="11"/>
  <c r="AR668" i="2"/>
  <c r="AR651" i="2"/>
  <c r="AR695" i="2" s="1"/>
  <c r="AN1088" i="2" l="1"/>
  <c r="AQ1138" i="2"/>
  <c r="AQ1022" i="2"/>
  <c r="AR700" i="2"/>
  <c r="AR709" i="2"/>
  <c r="AR710" i="2"/>
  <c r="AS669" i="2"/>
  <c r="AS659" i="2"/>
  <c r="AS654" i="2"/>
  <c r="AS698" i="2" s="1"/>
  <c r="AP865" i="2"/>
  <c r="AP1310" i="2" s="1"/>
  <c r="AQ751" i="2"/>
  <c r="AQ738" i="2"/>
  <c r="AS969" i="2"/>
  <c r="AR966" i="2"/>
  <c r="AR968" i="2"/>
  <c r="AO1204" i="2"/>
  <c r="AO1202" i="2" s="1"/>
  <c r="AO1310" i="2"/>
  <c r="AN60" i="12"/>
  <c r="AN1228" i="2"/>
  <c r="DF1256" i="2" s="1"/>
  <c r="AR975" i="2"/>
  <c r="AR1109" i="2" s="1"/>
  <c r="AR980" i="2"/>
  <c r="AS976" i="2"/>
  <c r="AR979" i="2"/>
  <c r="AR740" i="2" s="1"/>
  <c r="AR1085" i="2" s="1"/>
  <c r="AR978" i="2"/>
  <c r="AR1110" i="2" s="1"/>
  <c r="AS972" i="2"/>
  <c r="AR974" i="2"/>
  <c r="AR971" i="2" s="1"/>
  <c r="AR708" i="2"/>
  <c r="AQ739" i="2"/>
  <c r="AQ737" i="2" s="1"/>
  <c r="AS673" i="2"/>
  <c r="AR711" i="2"/>
  <c r="AR699" i="2"/>
  <c r="AR717" i="2"/>
  <c r="AR713" i="2"/>
  <c r="AS660" i="2"/>
  <c r="AS649" i="2"/>
  <c r="AS693" i="2" s="1"/>
  <c r="AR704" i="2"/>
  <c r="AS647" i="2"/>
  <c r="AS691" i="2" s="1"/>
  <c r="AS667" i="2"/>
  <c r="AS643" i="2"/>
  <c r="AS657" i="2"/>
  <c r="AS650" i="2"/>
  <c r="AS694" i="2" s="1"/>
  <c r="AS655" i="2"/>
  <c r="AS656" i="2"/>
  <c r="AS653" i="2"/>
  <c r="AS697" i="2" s="1"/>
  <c r="AS666" i="2"/>
  <c r="AS652" i="2"/>
  <c r="AS696" i="2" s="1"/>
  <c r="AS663" i="2"/>
  <c r="AS662" i="2"/>
  <c r="AS641" i="2"/>
  <c r="AS685" i="2" s="1"/>
  <c r="AS651" i="2"/>
  <c r="AS695" i="2" s="1"/>
  <c r="AS668" i="2"/>
  <c r="AS664" i="2"/>
  <c r="AS648" i="2"/>
  <c r="AS692" i="2" s="1"/>
  <c r="AS646" i="2"/>
  <c r="AS690" i="2" s="1"/>
  <c r="AF39" i="11"/>
  <c r="AS661" i="2"/>
  <c r="AS642" i="2"/>
  <c r="AS686" i="2" s="1"/>
  <c r="AG18" i="11"/>
  <c r="AG39" i="11" s="1"/>
  <c r="AH7" i="11"/>
  <c r="AR712" i="2"/>
  <c r="AS960" i="2"/>
  <c r="AT953" i="2"/>
  <c r="AS951" i="2"/>
  <c r="AS665" i="2"/>
  <c r="AS639" i="2"/>
  <c r="AR636" i="2"/>
  <c r="AR962" i="2"/>
  <c r="AR1098" i="2" s="1"/>
  <c r="AT659" i="2" l="1"/>
  <c r="AS709" i="2"/>
  <c r="AS700" i="2"/>
  <c r="AO1088" i="2"/>
  <c r="AS713" i="2"/>
  <c r="AS717" i="2"/>
  <c r="AR1138" i="2"/>
  <c r="AR1022" i="2"/>
  <c r="AS708" i="2"/>
  <c r="AS704" i="2"/>
  <c r="AT969" i="2"/>
  <c r="AS966" i="2"/>
  <c r="AS968" i="2"/>
  <c r="AR751" i="2"/>
  <c r="AP1204" i="2"/>
  <c r="AP1202" i="2" s="1"/>
  <c r="AR739" i="2"/>
  <c r="AR737" i="2" s="1"/>
  <c r="AR738" i="2"/>
  <c r="AT976" i="2"/>
  <c r="AS980" i="2"/>
  <c r="AS978" i="2"/>
  <c r="AS1110" i="2" s="1"/>
  <c r="AS975" i="2"/>
  <c r="AS1109" i="2" s="1"/>
  <c r="AS979" i="2"/>
  <c r="AS740" i="2" s="1"/>
  <c r="AS1085" i="2" s="1"/>
  <c r="AS711" i="2"/>
  <c r="AO1228" i="2"/>
  <c r="AQ865" i="2"/>
  <c r="AQ1310" i="2" s="1"/>
  <c r="AS974" i="2"/>
  <c r="AS971" i="2" s="1"/>
  <c r="AT972" i="2"/>
  <c r="AT974" i="2" s="1"/>
  <c r="AN75" i="12"/>
  <c r="AN86" i="12" s="1"/>
  <c r="AN87" i="12" s="1"/>
  <c r="AO75" i="12"/>
  <c r="AO86" i="12" s="1"/>
  <c r="AO87" i="12" s="1"/>
  <c r="AS699" i="2"/>
  <c r="AT666" i="2"/>
  <c r="AT646" i="2"/>
  <c r="AT690" i="2" s="1"/>
  <c r="AT651" i="2"/>
  <c r="AT695" i="2" s="1"/>
  <c r="AT647" i="2"/>
  <c r="AT691" i="2" s="1"/>
  <c r="AS712" i="2"/>
  <c r="AT667" i="2"/>
  <c r="AT662" i="2"/>
  <c r="AT661" i="2"/>
  <c r="AS710" i="2"/>
  <c r="AT649" i="2"/>
  <c r="AT693" i="2" s="1"/>
  <c r="AT653" i="2"/>
  <c r="AT697" i="2" s="1"/>
  <c r="AT664" i="2"/>
  <c r="AT650" i="2"/>
  <c r="AT694" i="2" s="1"/>
  <c r="AT660" i="2"/>
  <c r="AT643" i="2"/>
  <c r="AT657" i="2"/>
  <c r="AT663" i="2"/>
  <c r="AT648" i="2"/>
  <c r="AT692" i="2" s="1"/>
  <c r="AT641" i="2"/>
  <c r="AT685" i="2" s="1"/>
  <c r="AT639" i="2"/>
  <c r="AT665" i="2"/>
  <c r="AT656" i="2"/>
  <c r="AT668" i="2"/>
  <c r="AT655" i="2"/>
  <c r="AH18" i="11"/>
  <c r="AH39" i="11" s="1"/>
  <c r="AI7" i="11"/>
  <c r="AT673" i="2"/>
  <c r="AT652" i="2"/>
  <c r="AT696" i="2" s="1"/>
  <c r="AS636" i="2"/>
  <c r="AS962" i="2"/>
  <c r="AS1098" i="2" s="1"/>
  <c r="AT960" i="2"/>
  <c r="AT951" i="2"/>
  <c r="AT654" i="2"/>
  <c r="AT698" i="2" s="1"/>
  <c r="AT669" i="2"/>
  <c r="AT642" i="2"/>
  <c r="AT686" i="2" s="1"/>
  <c r="AT713" i="2" l="1"/>
  <c r="AT700" i="2"/>
  <c r="AT709" i="2"/>
  <c r="AT717" i="2"/>
  <c r="AP1088" i="2"/>
  <c r="AT704" i="2"/>
  <c r="AS1138" i="2"/>
  <c r="AS1022" i="2"/>
  <c r="AT708" i="2"/>
  <c r="AT710" i="2"/>
  <c r="AT711" i="2"/>
  <c r="AT971" i="2"/>
  <c r="AR865" i="2"/>
  <c r="AR1310" i="2" s="1"/>
  <c r="AS751" i="2"/>
  <c r="AP1228" i="2"/>
  <c r="AS738" i="2"/>
  <c r="AQ1204" i="2"/>
  <c r="AQ1202" i="2" s="1"/>
  <c r="AS739" i="2"/>
  <c r="AS737" i="2" s="1"/>
  <c r="AT979" i="2"/>
  <c r="AT740" i="2" s="1"/>
  <c r="AT1085" i="2" s="1"/>
  <c r="AT975" i="2"/>
  <c r="AT1109" i="2" s="1"/>
  <c r="AT978" i="2"/>
  <c r="AT1110" i="2" s="1"/>
  <c r="AT980" i="2"/>
  <c r="AT968" i="2"/>
  <c r="AT966" i="2"/>
  <c r="AT699" i="2"/>
  <c r="AT712" i="2"/>
  <c r="AI18" i="11"/>
  <c r="AI39" i="11" s="1"/>
  <c r="AJ7" i="11"/>
  <c r="AT962" i="2"/>
  <c r="AT1098" i="2" s="1"/>
  <c r="AT636" i="2"/>
  <c r="AQ1088" i="2" l="1"/>
  <c r="AT1138" i="2"/>
  <c r="AT1022" i="2"/>
  <c r="AT751" i="2"/>
  <c r="AT739" i="2"/>
  <c r="AT737" i="2" s="1"/>
  <c r="AR1204" i="2"/>
  <c r="AR1202" i="2" s="1"/>
  <c r="AT738" i="2"/>
  <c r="AQ1228" i="2"/>
  <c r="AS865" i="2"/>
  <c r="AS1310" i="2" s="1"/>
  <c r="AJ18" i="11"/>
  <c r="AJ39" i="11" s="1"/>
  <c r="AK7" i="11"/>
  <c r="AR1088" i="2" l="1"/>
  <c r="AS1204" i="2"/>
  <c r="AS1202" i="2" s="1"/>
  <c r="AT865" i="2"/>
  <c r="AT1310" i="2" s="1"/>
  <c r="AR1228" i="2"/>
  <c r="AK18" i="11"/>
  <c r="AL7" i="11"/>
  <c r="AS1088" i="2" l="1"/>
  <c r="AK39" i="11"/>
  <c r="AS1228" i="2"/>
  <c r="AT1204" i="2"/>
  <c r="AT1202" i="2" s="1"/>
  <c r="AM7" i="11"/>
  <c r="AL18" i="11"/>
  <c r="AT1088" i="2" l="1"/>
  <c r="AT1228" i="2"/>
  <c r="AM18" i="11"/>
  <c r="AN7" i="11"/>
  <c r="AN18" i="11" l="1"/>
  <c r="AO7" i="11"/>
  <c r="AO18" i="11" l="1"/>
  <c r="AP7" i="11"/>
  <c r="AQ7" i="11" l="1"/>
  <c r="AP18" i="11"/>
  <c r="AQ18" i="11" l="1"/>
  <c r="AR7" i="11"/>
  <c r="AS7" i="11" l="1"/>
  <c r="AR18" i="11"/>
  <c r="AS18" i="11" l="1"/>
  <c r="AT7" i="11"/>
  <c r="AU7" i="11" l="1"/>
  <c r="AT18" i="11"/>
  <c r="AV7" i="11" l="1"/>
  <c r="AU18" i="11"/>
  <c r="AW7" i="11" l="1"/>
  <c r="AV18" i="11"/>
  <c r="AW18" i="11" l="1"/>
  <c r="AX7" i="11"/>
  <c r="AY7" i="11" l="1"/>
  <c r="AX18" i="11"/>
  <c r="AY18" i="11" l="1"/>
  <c r="AZ7" i="11"/>
  <c r="AZ18" i="11" s="1"/>
  <c r="K34" i="11" l="1"/>
  <c r="Z34" i="11" s="1"/>
  <c r="K31" i="11"/>
  <c r="W975" i="2"/>
  <c r="L34" i="11" l="1"/>
  <c r="L31" i="11"/>
  <c r="Z31" i="11"/>
  <c r="AI897" i="2"/>
  <c r="AJ1119" i="2" l="1"/>
  <c r="AJ1117" i="2" s="1"/>
  <c r="AJ1116" i="2"/>
  <c r="AK743" i="2"/>
  <c r="AI1200" i="2"/>
  <c r="AI1199" i="2" s="1"/>
  <c r="AI1309" i="2"/>
  <c r="AI1313" i="2" s="1"/>
  <c r="AI1322" i="2"/>
  <c r="AI1009" i="2"/>
  <c r="AI1087" i="2" l="1"/>
  <c r="K36" i="11" s="1"/>
  <c r="Z36" i="11" s="1"/>
  <c r="AI1198" i="2"/>
  <c r="AK1119" i="2"/>
  <c r="AK1117" i="2" s="1"/>
  <c r="AK1116" i="2"/>
  <c r="AI1226" i="2"/>
  <c r="AI53" i="12"/>
  <c r="AI66" i="12" s="1"/>
  <c r="K35" i="11"/>
  <c r="AI1007" i="2"/>
  <c r="AI1205" i="2"/>
  <c r="AJ866" i="2"/>
  <c r="AJ1115" i="2" s="1"/>
  <c r="AJ744" i="2"/>
  <c r="AJ733" i="2"/>
  <c r="AJ880" i="2" s="1"/>
  <c r="AJ889" i="2" s="1"/>
  <c r="AJ742" i="2"/>
  <c r="AL743" i="2"/>
  <c r="AK741" i="2"/>
  <c r="L36" i="11" l="1"/>
  <c r="AJ1083" i="2"/>
  <c r="AL1119" i="2"/>
  <c r="AL1117" i="2" s="1"/>
  <c r="AL1116" i="2"/>
  <c r="AL741" i="2"/>
  <c r="AM743" i="2"/>
  <c r="AJ864" i="2"/>
  <c r="AJ1309" i="2"/>
  <c r="AJ1322" i="2"/>
  <c r="AJ1200" i="2"/>
  <c r="AJ1199" i="2" s="1"/>
  <c r="AK866" i="2"/>
  <c r="AK1115" i="2" s="1"/>
  <c r="AK733" i="2"/>
  <c r="AK742" i="2"/>
  <c r="AK744" i="2"/>
  <c r="AJ734" i="2"/>
  <c r="L35" i="11"/>
  <c r="Z35" i="11"/>
  <c r="AJ1114" i="2" l="1"/>
  <c r="AJ1087" i="2"/>
  <c r="O36" i="11" s="1"/>
  <c r="O32" i="11"/>
  <c r="AJ1086" i="2"/>
  <c r="O35" i="11" s="1"/>
  <c r="AM1119" i="2"/>
  <c r="AM1117" i="2" s="1"/>
  <c r="AM1116" i="2"/>
  <c r="AK734" i="2"/>
  <c r="AK880" i="2"/>
  <c r="AK889" i="2" s="1"/>
  <c r="AJ53" i="12"/>
  <c r="AJ66" i="12" s="1"/>
  <c r="AJ81" i="12" s="1"/>
  <c r="AJ1226" i="2"/>
  <c r="DB1254" i="2" s="1"/>
  <c r="AJ1205" i="2"/>
  <c r="AJ878" i="2"/>
  <c r="AK864" i="2"/>
  <c r="AK1114" i="2" s="1"/>
  <c r="AK1309" i="2"/>
  <c r="AK1322" i="2"/>
  <c r="AK1200" i="2"/>
  <c r="AK1199" i="2" s="1"/>
  <c r="AM741" i="2"/>
  <c r="AN743" i="2"/>
  <c r="AL866" i="2"/>
  <c r="AL1115" i="2" s="1"/>
  <c r="AL744" i="2"/>
  <c r="AL742" i="2"/>
  <c r="AL733" i="2"/>
  <c r="AK1087" i="2" l="1"/>
  <c r="P36" i="11" s="1"/>
  <c r="AK1083" i="2"/>
  <c r="AN1119" i="2"/>
  <c r="AN1117" i="2" s="1"/>
  <c r="AN1116" i="2"/>
  <c r="AN741" i="2"/>
  <c r="AO743" i="2"/>
  <c r="AK878" i="2"/>
  <c r="AK1205" i="2"/>
  <c r="AJ897" i="2"/>
  <c r="O34" i="11"/>
  <c r="AL734" i="2"/>
  <c r="AL880" i="2"/>
  <c r="AL889" i="2" s="1"/>
  <c r="AL1322" i="2"/>
  <c r="AL1309" i="2"/>
  <c r="AL864" i="2"/>
  <c r="AL1114" i="2" s="1"/>
  <c r="AL1200" i="2"/>
  <c r="AL1199" i="2" s="1"/>
  <c r="AK53" i="12"/>
  <c r="AK66" i="12" s="1"/>
  <c r="AK81" i="12" s="1"/>
  <c r="AK1226" i="2"/>
  <c r="AM742" i="2"/>
  <c r="AM744" i="2"/>
  <c r="AM866" i="2"/>
  <c r="AM1115" i="2" s="1"/>
  <c r="AM733" i="2"/>
  <c r="AL1087" i="2" l="1"/>
  <c r="Q36" i="11" s="1"/>
  <c r="AL1083" i="2"/>
  <c r="AK1086" i="2"/>
  <c r="P35" i="11" s="1"/>
  <c r="P32" i="11"/>
  <c r="AO1119" i="2"/>
  <c r="AO1117" i="2" s="1"/>
  <c r="AO1116" i="2"/>
  <c r="AM880" i="2"/>
  <c r="AM889" i="2" s="1"/>
  <c r="AM734" i="2"/>
  <c r="AM1309" i="2"/>
  <c r="AM864" i="2"/>
  <c r="AM1114" i="2" s="1"/>
  <c r="AM1322" i="2"/>
  <c r="AM1200" i="2"/>
  <c r="AL53" i="12"/>
  <c r="AL66" i="12" s="1"/>
  <c r="AL81" i="12" s="1"/>
  <c r="AL1226" i="2"/>
  <c r="AL1205" i="2"/>
  <c r="AP743" i="2"/>
  <c r="AO741" i="2"/>
  <c r="AL878" i="2"/>
  <c r="AK897" i="2"/>
  <c r="P34" i="11"/>
  <c r="AN866" i="2"/>
  <c r="AN1115" i="2" s="1"/>
  <c r="AN742" i="2"/>
  <c r="AN733" i="2"/>
  <c r="AN744" i="2"/>
  <c r="AM1199" i="2" l="1"/>
  <c r="AM1226" i="2" s="1"/>
  <c r="AM1083" i="2"/>
  <c r="AL1086" i="2"/>
  <c r="Q35" i="11" s="1"/>
  <c r="Q32" i="11"/>
  <c r="AP1119" i="2"/>
  <c r="AP1117" i="2" s="1"/>
  <c r="AP1116" i="2"/>
  <c r="Q34" i="11"/>
  <c r="AN1200" i="2"/>
  <c r="AN1322" i="2"/>
  <c r="AN1309" i="2"/>
  <c r="AN864" i="2"/>
  <c r="AN1114" i="2" s="1"/>
  <c r="AL897" i="2"/>
  <c r="AO742" i="2"/>
  <c r="AO744" i="2"/>
  <c r="AO733" i="2"/>
  <c r="AO866" i="2"/>
  <c r="AP741" i="2"/>
  <c r="AQ743" i="2"/>
  <c r="AM1205" i="2"/>
  <c r="AN734" i="2"/>
  <c r="AN880" i="2"/>
  <c r="AN889" i="2" s="1"/>
  <c r="AM878" i="2"/>
  <c r="AN1199" i="2" l="1"/>
  <c r="AN1087" i="2" s="1"/>
  <c r="S36" i="11" s="1"/>
  <c r="AM53" i="12"/>
  <c r="AM66" i="12" s="1"/>
  <c r="AM81" i="12" s="1"/>
  <c r="AM1087" i="2"/>
  <c r="R36" i="11" s="1"/>
  <c r="AO1115" i="2"/>
  <c r="AO864" i="2"/>
  <c r="AO1114" i="2" s="1"/>
  <c r="AN1083" i="2"/>
  <c r="AM1086" i="2"/>
  <c r="R35" i="11" s="1"/>
  <c r="R32" i="11"/>
  <c r="AQ1119" i="2"/>
  <c r="AQ1117" i="2" s="1"/>
  <c r="AQ1116" i="2"/>
  <c r="AP744" i="2"/>
  <c r="AP742" i="2"/>
  <c r="AP733" i="2"/>
  <c r="AP866" i="2"/>
  <c r="AM897" i="2"/>
  <c r="AN878" i="2"/>
  <c r="AO1309" i="2"/>
  <c r="AO1322" i="2"/>
  <c r="AO1200" i="2"/>
  <c r="AN1205" i="2"/>
  <c r="AR743" i="2"/>
  <c r="AQ741" i="2"/>
  <c r="AO880" i="2"/>
  <c r="AO889" i="2" s="1"/>
  <c r="AO734" i="2"/>
  <c r="R34" i="11"/>
  <c r="AN1226" i="2" l="1"/>
  <c r="DF1254" i="2" s="1"/>
  <c r="AN53" i="12"/>
  <c r="AN66" i="12" s="1"/>
  <c r="AN81" i="12" s="1"/>
  <c r="AP1115" i="2"/>
  <c r="AP1309" i="2"/>
  <c r="AP1322" i="2"/>
  <c r="AO1199" i="2"/>
  <c r="AO1226" i="2" s="1"/>
  <c r="AN1086" i="2"/>
  <c r="S35" i="11" s="1"/>
  <c r="S32" i="11"/>
  <c r="AO1083" i="2"/>
  <c r="AR1119" i="2"/>
  <c r="AR1117" i="2" s="1"/>
  <c r="AR1116" i="2"/>
  <c r="AO878" i="2"/>
  <c r="AQ742" i="2"/>
  <c r="AQ733" i="2"/>
  <c r="AQ866" i="2"/>
  <c r="AQ744" i="2"/>
  <c r="AO1205" i="2"/>
  <c r="S34" i="11"/>
  <c r="AS743" i="2"/>
  <c r="AR741" i="2"/>
  <c r="AN897" i="2"/>
  <c r="AP1200" i="2"/>
  <c r="AP864" i="2"/>
  <c r="AP1114" i="2" s="1"/>
  <c r="AP880" i="2"/>
  <c r="AP734" i="2"/>
  <c r="AQ1115" i="2" l="1"/>
  <c r="AQ1309" i="2"/>
  <c r="AQ1322" i="2"/>
  <c r="AO1087" i="2"/>
  <c r="V36" i="11" s="1"/>
  <c r="AP1199" i="2"/>
  <c r="AP1083" i="2"/>
  <c r="AP1086" i="2" s="1"/>
  <c r="AO1086" i="2"/>
  <c r="V35" i="11" s="1"/>
  <c r="V32" i="11"/>
  <c r="AP889" i="2"/>
  <c r="AS1119" i="2"/>
  <c r="AS1117" i="2" s="1"/>
  <c r="AS1116" i="2"/>
  <c r="AP878" i="2"/>
  <c r="AP897" i="2" s="1"/>
  <c r="AP1205" i="2"/>
  <c r="AT743" i="2"/>
  <c r="AS741" i="2"/>
  <c r="AR866" i="2"/>
  <c r="AR744" i="2"/>
  <c r="AR742" i="2"/>
  <c r="AR733" i="2"/>
  <c r="AQ864" i="2"/>
  <c r="AQ1114" i="2" s="1"/>
  <c r="AQ1200" i="2"/>
  <c r="AO897" i="2"/>
  <c r="AQ880" i="2"/>
  <c r="AQ734" i="2"/>
  <c r="V34" i="11"/>
  <c r="AR1115" i="2" l="1"/>
  <c r="AR1309" i="2"/>
  <c r="AR1322" i="2"/>
  <c r="AP1226" i="2"/>
  <c r="AP1087" i="2"/>
  <c r="AQ1199" i="2"/>
  <c r="AQ1083" i="2"/>
  <c r="AQ1086" i="2" s="1"/>
  <c r="AQ889" i="2"/>
  <c r="AT1119" i="2"/>
  <c r="AT1117" i="2" s="1"/>
  <c r="AT1116" i="2"/>
  <c r="AR864" i="2"/>
  <c r="AR1114" i="2" s="1"/>
  <c r="AR1200" i="2"/>
  <c r="AT741" i="2"/>
  <c r="AQ878" i="2"/>
  <c r="AQ897" i="2" s="1"/>
  <c r="AS866" i="2"/>
  <c r="AS744" i="2"/>
  <c r="AS742" i="2"/>
  <c r="AS733" i="2"/>
  <c r="AQ1205" i="2"/>
  <c r="AR880" i="2"/>
  <c r="AR734" i="2"/>
  <c r="AS1115" i="2" l="1"/>
  <c r="AS1322" i="2"/>
  <c r="AS1309" i="2"/>
  <c r="AQ1226" i="2"/>
  <c r="AQ1087" i="2"/>
  <c r="AR1083" i="2"/>
  <c r="AR1086" i="2" s="1"/>
  <c r="AR1199" i="2"/>
  <c r="AR889" i="2"/>
  <c r="AT866" i="2"/>
  <c r="AT733" i="2"/>
  <c r="AT742" i="2"/>
  <c r="AT744" i="2"/>
  <c r="AS880" i="2"/>
  <c r="AS734" i="2"/>
  <c r="AS1200" i="2"/>
  <c r="AS864" i="2"/>
  <c r="AS1114" i="2" s="1"/>
  <c r="AR878" i="2"/>
  <c r="AR897" i="2" s="1"/>
  <c r="AR1205" i="2"/>
  <c r="AT1115" i="2" l="1"/>
  <c r="AT1309" i="2"/>
  <c r="AT1322" i="2"/>
  <c r="AR1226" i="2"/>
  <c r="AR1087" i="2"/>
  <c r="AS1199" i="2"/>
  <c r="AS1083" i="2"/>
  <c r="AS1086" i="2" s="1"/>
  <c r="AS889" i="2"/>
  <c r="AT1200" i="2"/>
  <c r="AT864" i="2"/>
  <c r="AT1114" i="2" s="1"/>
  <c r="AS878" i="2"/>
  <c r="AS897" i="2" s="1"/>
  <c r="AT880" i="2"/>
  <c r="AT734" i="2"/>
  <c r="AS1205" i="2"/>
  <c r="AS1226" i="2" l="1"/>
  <c r="AS1087" i="2"/>
  <c r="AT1083" i="2"/>
  <c r="AT1086" i="2" s="1"/>
  <c r="AT1199" i="2"/>
  <c r="AT889" i="2"/>
  <c r="AT878" i="2"/>
  <c r="AT897" i="2" s="1"/>
  <c r="AT1205" i="2"/>
  <c r="AI1171" i="2"/>
  <c r="AI1172" i="2"/>
  <c r="W971" i="2"/>
  <c r="AI886" i="2"/>
  <c r="W966" i="2"/>
  <c r="AT1226" i="2" l="1"/>
  <c r="AT1087" i="2"/>
  <c r="AI1217" i="2"/>
  <c r="W987" i="2"/>
  <c r="AR965" i="2"/>
  <c r="AM965" i="2"/>
  <c r="AN965" i="2"/>
  <c r="AQ965" i="2"/>
  <c r="AL965" i="2"/>
  <c r="AS965" i="2"/>
  <c r="AO965" i="2"/>
  <c r="AP965" i="2"/>
  <c r="AT965" i="2"/>
  <c r="AP1245" i="2" l="1"/>
  <c r="AP1244" i="2"/>
  <c r="AP963" i="2"/>
  <c r="AP985" i="2"/>
  <c r="AO963" i="2"/>
  <c r="AO1244" i="2"/>
  <c r="AO1245" i="2"/>
  <c r="AO985" i="2"/>
  <c r="AQ1245" i="2"/>
  <c r="AQ1244" i="2"/>
  <c r="AQ963" i="2"/>
  <c r="AQ985" i="2"/>
  <c r="AT963" i="2"/>
  <c r="AT1244" i="2"/>
  <c r="AT985" i="2"/>
  <c r="AT1245" i="2"/>
  <c r="AS1245" i="2"/>
  <c r="AS1244" i="2"/>
  <c r="AS985" i="2"/>
  <c r="AS963" i="2"/>
  <c r="AL1244" i="2"/>
  <c r="AL985" i="2"/>
  <c r="AL963" i="2"/>
  <c r="AL1245" i="2"/>
  <c r="AK985" i="2"/>
  <c r="AK1244" i="2"/>
  <c r="AK963" i="2"/>
  <c r="AK1245" i="2"/>
  <c r="AJ1244" i="2"/>
  <c r="AJ1245" i="2"/>
  <c r="DB1273" i="2" s="1"/>
  <c r="AN1244" i="2"/>
  <c r="AN985" i="2"/>
  <c r="AN1245" i="2"/>
  <c r="DF1273" i="2" s="1"/>
  <c r="AN963" i="2"/>
  <c r="AM963" i="2"/>
  <c r="AM985" i="2"/>
  <c r="AM1244" i="2"/>
  <c r="AM1245" i="2"/>
  <c r="AR1245" i="2"/>
  <c r="AR985" i="2"/>
  <c r="AR963" i="2"/>
  <c r="AR1244" i="2"/>
  <c r="DB1272" i="2" l="1"/>
  <c r="DF1272" i="2"/>
  <c r="W969" i="2"/>
  <c r="AI1005" i="2"/>
  <c r="AI893" i="2"/>
  <c r="AI903" i="2" s="1"/>
  <c r="AI1321" i="2" l="1"/>
  <c r="AI1003" i="2"/>
  <c r="K30" i="11"/>
  <c r="Z30" i="11" s="1"/>
  <c r="AI1308" i="2"/>
  <c r="AI986" i="2"/>
  <c r="AI872" i="2"/>
  <c r="L30" i="11"/>
  <c r="AI1006" i="2" l="1"/>
  <c r="AI1015" i="2" s="1"/>
  <c r="AI1320" i="2"/>
  <c r="AI1307" i="2"/>
  <c r="L94" i="5" l="1"/>
  <c r="L99" i="5"/>
  <c r="L88" i="5"/>
  <c r="L104" i="5"/>
  <c r="L87" i="5" l="1"/>
  <c r="G88" i="5"/>
  <c r="G87" i="5" l="1"/>
  <c r="AK727" i="2" l="1"/>
  <c r="AL727" i="2" s="1"/>
  <c r="AJ876" i="2"/>
  <c r="AJ887" i="2" s="1"/>
  <c r="AK876" i="2" l="1"/>
  <c r="AK887" i="2" s="1"/>
  <c r="AJ874" i="2"/>
  <c r="AK862" i="2"/>
  <c r="AK860" i="2" s="1"/>
  <c r="AJ729" i="2"/>
  <c r="AJ1171" i="2"/>
  <c r="AJ862" i="2"/>
  <c r="AL876" i="2"/>
  <c r="AL887" i="2" s="1"/>
  <c r="AM727" i="2"/>
  <c r="AK729" i="2" l="1"/>
  <c r="AK874" i="2"/>
  <c r="AK1171" i="2" s="1"/>
  <c r="AK1308" i="2"/>
  <c r="AK1112" i="2"/>
  <c r="AN727" i="2"/>
  <c r="AM876" i="2"/>
  <c r="AM887" i="2" s="1"/>
  <c r="AL729" i="2"/>
  <c r="AL874" i="2"/>
  <c r="AL862" i="2"/>
  <c r="AJ860" i="2"/>
  <c r="AJ1112" i="2" l="1"/>
  <c r="AL1171" i="2"/>
  <c r="AM862" i="2"/>
  <c r="AM874" i="2"/>
  <c r="AM729" i="2"/>
  <c r="AJ1321" i="2"/>
  <c r="AJ1308" i="2"/>
  <c r="AK1321" i="2"/>
  <c r="AL860" i="2"/>
  <c r="AL1112" i="2" s="1"/>
  <c r="AN876" i="2"/>
  <c r="AN887" i="2" s="1"/>
  <c r="AO727" i="2"/>
  <c r="AO876" i="2" s="1"/>
  <c r="AO887" i="2" l="1"/>
  <c r="AP727" i="2"/>
  <c r="AN862" i="2"/>
  <c r="AN729" i="2"/>
  <c r="AN874" i="2"/>
  <c r="AL1321" i="2"/>
  <c r="AL1308" i="2"/>
  <c r="AM860" i="2"/>
  <c r="AM1112" i="2" s="1"/>
  <c r="AM1308" i="2" l="1"/>
  <c r="AM1321" i="2"/>
  <c r="AN860" i="2"/>
  <c r="AN1112" i="2" s="1"/>
  <c r="AP876" i="2"/>
  <c r="AP887" i="2" s="1"/>
  <c r="AQ727" i="2"/>
  <c r="AO862" i="2"/>
  <c r="AO729" i="2"/>
  <c r="AO874" i="2"/>
  <c r="AO860" i="2" l="1"/>
  <c r="AO1112" i="2" s="1"/>
  <c r="AR727" i="2"/>
  <c r="AQ876" i="2"/>
  <c r="AQ887" i="2" s="1"/>
  <c r="AP729" i="2"/>
  <c r="AP874" i="2"/>
  <c r="AP862" i="2"/>
  <c r="AN1308" i="2"/>
  <c r="AN1321" i="2"/>
  <c r="AQ862" i="2" l="1"/>
  <c r="AQ729" i="2"/>
  <c r="AQ874" i="2"/>
  <c r="AR876" i="2"/>
  <c r="AR887" i="2" s="1"/>
  <c r="AS727" i="2"/>
  <c r="AP860" i="2"/>
  <c r="AO1321" i="2"/>
  <c r="AO1308" i="2"/>
  <c r="AP1112" i="2" l="1"/>
  <c r="AP1308" i="2"/>
  <c r="AP1321" i="2"/>
  <c r="AT727" i="2"/>
  <c r="AT876" i="2" s="1"/>
  <c r="AT887" i="2" s="1"/>
  <c r="AS876" i="2"/>
  <c r="AS887" i="2" s="1"/>
  <c r="AR874" i="2"/>
  <c r="AR729" i="2"/>
  <c r="AR862" i="2"/>
  <c r="AQ860" i="2"/>
  <c r="AQ1112" i="2" l="1"/>
  <c r="AQ1308" i="2"/>
  <c r="AQ1321" i="2"/>
  <c r="AR860" i="2"/>
  <c r="AS862" i="2"/>
  <c r="AS729" i="2"/>
  <c r="AS874" i="2"/>
  <c r="AT874" i="2"/>
  <c r="AT729" i="2"/>
  <c r="AT862" i="2"/>
  <c r="AR1112" i="2" l="1"/>
  <c r="AR1308" i="2"/>
  <c r="AR1321" i="2"/>
  <c r="AT860" i="2"/>
  <c r="AS860" i="2"/>
  <c r="AS1112" i="2" l="1"/>
  <c r="AS1308" i="2"/>
  <c r="AS1321" i="2"/>
  <c r="AT1112" i="2"/>
  <c r="AT1308" i="2"/>
  <c r="AT1321" i="2"/>
  <c r="AK705" i="2"/>
  <c r="AL705" i="2" s="1"/>
  <c r="AM705" i="2" s="1"/>
  <c r="AN705" i="2" s="1"/>
  <c r="AO705" i="2" s="1"/>
  <c r="AP705" i="2" s="1"/>
  <c r="AQ705" i="2" s="1"/>
  <c r="AR705" i="2" s="1"/>
  <c r="AS705" i="2" s="1"/>
  <c r="AT705" i="2" s="1"/>
  <c r="AK616" i="2"/>
  <c r="AK1302" i="2" l="1"/>
  <c r="AL616" i="2"/>
  <c r="AL1302" i="2" l="1"/>
  <c r="AM616" i="2"/>
  <c r="AM1302" i="2" l="1"/>
  <c r="AN616" i="2"/>
  <c r="AO616" i="2" l="1"/>
  <c r="AN1302" i="2"/>
  <c r="AO1302" i="2" l="1"/>
  <c r="AP616" i="2"/>
  <c r="AP1302" i="2" s="1"/>
  <c r="AQ616" i="2" l="1"/>
  <c r="AQ1302" i="2" s="1"/>
  <c r="AR616" i="2" l="1"/>
  <c r="AR1302" i="2" s="1"/>
  <c r="AS616" i="2" l="1"/>
  <c r="AS1302" i="2" s="1"/>
  <c r="AT616" i="2" l="1"/>
  <c r="AT1302" i="2" s="1"/>
  <c r="AJ714" i="2" l="1"/>
  <c r="AJ849" i="2" s="1"/>
  <c r="AJ836" i="2" l="1"/>
  <c r="AJ381" i="2" s="1"/>
  <c r="AJ1039" i="2"/>
  <c r="AK625" i="2"/>
  <c r="AK1039" i="2" s="1"/>
  <c r="AK714" i="2"/>
  <c r="AK618" i="2" l="1"/>
  <c r="AK836" i="2"/>
  <c r="AL625" i="2"/>
  <c r="AL1039" i="2" s="1"/>
  <c r="AK849" i="2"/>
  <c r="AL714" i="2"/>
  <c r="AJ1037" i="2" l="1"/>
  <c r="AK658" i="2"/>
  <c r="AL849" i="2"/>
  <c r="AM714" i="2"/>
  <c r="AL836" i="2"/>
  <c r="AL618" i="2"/>
  <c r="AM625" i="2"/>
  <c r="AM1039" i="2" s="1"/>
  <c r="AJ707" i="2"/>
  <c r="AK573" i="2"/>
  <c r="V33" i="7" s="1"/>
  <c r="AL573" i="2" l="1"/>
  <c r="X33" i="7" s="1"/>
  <c r="AM849" i="2"/>
  <c r="AN714" i="2"/>
  <c r="AK707" i="2"/>
  <c r="AM618" i="2"/>
  <c r="AM836" i="2"/>
  <c r="AN625" i="2"/>
  <c r="AN1039" i="2" s="1"/>
  <c r="AJ702" i="2"/>
  <c r="AL707" i="2" l="1"/>
  <c r="AM573" i="2"/>
  <c r="Z33" i="7" s="1"/>
  <c r="AN849" i="2"/>
  <c r="AO714" i="2"/>
  <c r="AO625" i="2"/>
  <c r="AO1039" i="2" s="1"/>
  <c r="AN836" i="2"/>
  <c r="AN618" i="2"/>
  <c r="AM707" i="2" l="1"/>
  <c r="AN573" i="2"/>
  <c r="AB33" i="7" s="1"/>
  <c r="AO849" i="2"/>
  <c r="AP714" i="2"/>
  <c r="AP625" i="2"/>
  <c r="AP1039" i="2" s="1"/>
  <c r="AO836" i="2"/>
  <c r="AO618" i="2"/>
  <c r="AN707" i="2" l="1"/>
  <c r="AQ625" i="2"/>
  <c r="AQ1039" i="2" s="1"/>
  <c r="AP618" i="2"/>
  <c r="AP836" i="2"/>
  <c r="AO573" i="2"/>
  <c r="AD33" i="7" s="1"/>
  <c r="AF33" i="7" s="1"/>
  <c r="AP849" i="2"/>
  <c r="AQ714" i="2"/>
  <c r="AQ836" i="2" l="1"/>
  <c r="AR625" i="2"/>
  <c r="AR1039" i="2" s="1"/>
  <c r="AQ618" i="2"/>
  <c r="AQ849" i="2"/>
  <c r="AR714" i="2"/>
  <c r="AO707" i="2"/>
  <c r="AP573" i="2"/>
  <c r="AP707" i="2" l="1"/>
  <c r="AS714" i="2"/>
  <c r="AR849" i="2"/>
  <c r="AQ573" i="2"/>
  <c r="AR836" i="2"/>
  <c r="AS625" i="2"/>
  <c r="AS1039" i="2" s="1"/>
  <c r="AR618" i="2"/>
  <c r="AQ707" i="2" l="1"/>
  <c r="AS849" i="2"/>
  <c r="AT714" i="2"/>
  <c r="AT849" i="2" s="1"/>
  <c r="AR573" i="2"/>
  <c r="AT625" i="2"/>
  <c r="AT1039" i="2" s="1"/>
  <c r="AS836" i="2"/>
  <c r="AS618" i="2"/>
  <c r="AR707" i="2" l="1"/>
  <c r="AT836" i="2"/>
  <c r="AT618" i="2"/>
  <c r="AS573" i="2"/>
  <c r="AS707" i="2" l="1"/>
  <c r="AT573" i="2"/>
  <c r="AT707" i="2" l="1"/>
  <c r="AK856" i="2" l="1"/>
  <c r="AL856" i="2" s="1"/>
  <c r="AJ853" i="2"/>
  <c r="AJ843" i="2"/>
  <c r="AK843" i="2" l="1"/>
  <c r="AK840" i="2" s="1"/>
  <c r="AK48" i="12" s="1"/>
  <c r="AK47" i="12" s="1"/>
  <c r="AK853" i="2"/>
  <c r="AJ407" i="2"/>
  <c r="AJ409" i="2" s="1"/>
  <c r="AL843" i="2"/>
  <c r="AM856" i="2"/>
  <c r="AL853" i="2"/>
  <c r="AJ840" i="2"/>
  <c r="AK393" i="2" l="1"/>
  <c r="AK407" i="2"/>
  <c r="AK409" i="2" s="1"/>
  <c r="AM843" i="2"/>
  <c r="AM853" i="2"/>
  <c r="AN856" i="2"/>
  <c r="AO856" i="2" s="1"/>
  <c r="AP856" i="2" s="1"/>
  <c r="AQ856" i="2" s="1"/>
  <c r="AR856" i="2" s="1"/>
  <c r="AS856" i="2" s="1"/>
  <c r="AT856" i="2" s="1"/>
  <c r="AJ48" i="12"/>
  <c r="AJ47" i="12" s="1"/>
  <c r="AJ64" i="12" s="1"/>
  <c r="AJ80" i="12" s="1"/>
  <c r="AJ393" i="2"/>
  <c r="AL407" i="2"/>
  <c r="AL409" i="2" s="1"/>
  <c r="AL840" i="2"/>
  <c r="AK64" i="12" l="1"/>
  <c r="AK80" i="12" s="1"/>
  <c r="AL48" i="12"/>
  <c r="AL47" i="12" s="1"/>
  <c r="AL64" i="12" s="1"/>
  <c r="AL80" i="12" s="1"/>
  <c r="AL393" i="2"/>
  <c r="AN843" i="2"/>
  <c r="AN853" i="2"/>
  <c r="AM840" i="2"/>
  <c r="AM407" i="2"/>
  <c r="AM409" i="2" s="1"/>
  <c r="AN407" i="2" l="1"/>
  <c r="AN409" i="2" s="1"/>
  <c r="AN840" i="2"/>
  <c r="AO853" i="2"/>
  <c r="AO843" i="2"/>
  <c r="AM393" i="2"/>
  <c r="AM48" i="12"/>
  <c r="AM47" i="12" s="1"/>
  <c r="AM64" i="12" s="1"/>
  <c r="AM80" i="12" s="1"/>
  <c r="AN393" i="2" l="1"/>
  <c r="AN48" i="12"/>
  <c r="AN47" i="12" s="1"/>
  <c r="AN64" i="12" s="1"/>
  <c r="AN80" i="12" s="1"/>
  <c r="AO407" i="2"/>
  <c r="AO409" i="2" s="1"/>
  <c r="AO840" i="2"/>
  <c r="AP853" i="2"/>
  <c r="AP843" i="2"/>
  <c r="AP407" i="2" l="1"/>
  <c r="AP409" i="2" s="1"/>
  <c r="AP840" i="2"/>
  <c r="AO393" i="2"/>
  <c r="AQ853" i="2"/>
  <c r="AQ843" i="2"/>
  <c r="AQ407" i="2" l="1"/>
  <c r="AQ409" i="2" s="1"/>
  <c r="AQ840" i="2"/>
  <c r="AP393" i="2"/>
  <c r="AR843" i="2"/>
  <c r="AR853" i="2"/>
  <c r="AR407" i="2" l="1"/>
  <c r="AR409" i="2" s="1"/>
  <c r="AR840" i="2"/>
  <c r="AS843" i="2"/>
  <c r="AS853" i="2"/>
  <c r="AQ393" i="2"/>
  <c r="AT843" i="2" l="1"/>
  <c r="AT853" i="2"/>
  <c r="AR393" i="2"/>
  <c r="AS840" i="2"/>
  <c r="AS407" i="2"/>
  <c r="AS409" i="2" s="1"/>
  <c r="AS393" i="2" l="1"/>
  <c r="AT840" i="2"/>
  <c r="AT407" i="2"/>
  <c r="AT409" i="2" s="1"/>
  <c r="AT393" i="2" l="1"/>
  <c r="AJ719" i="2" l="1"/>
  <c r="O25" i="11" l="1"/>
  <c r="AA25" i="11" s="1"/>
  <c r="P25" i="11" l="1"/>
  <c r="AB25" i="11" s="1"/>
  <c r="Q25" i="11" l="1"/>
  <c r="AC25" i="11" s="1"/>
  <c r="R25" i="11" l="1"/>
  <c r="AD25" i="11" s="1"/>
  <c r="S25" i="11" l="1"/>
  <c r="V25" i="11" l="1"/>
  <c r="AE25" i="11"/>
  <c r="U27" i="11"/>
  <c r="O88" i="5" l="1"/>
  <c r="H200" i="5" l="1"/>
  <c r="M200" i="5" s="1"/>
  <c r="N200" i="5" s="1"/>
  <c r="V137" i="5" l="1"/>
  <c r="AJ687" i="2" l="1"/>
  <c r="AM553" i="2"/>
  <c r="J200" i="5"/>
  <c r="AK687" i="2" l="1"/>
  <c r="AL687" i="2" s="1"/>
  <c r="AM687" i="2" s="1"/>
  <c r="AN553" i="2"/>
  <c r="AK598" i="2"/>
  <c r="AN687" i="2" l="1"/>
  <c r="AL598" i="2"/>
  <c r="AO553" i="2"/>
  <c r="AO687" i="2" l="1"/>
  <c r="AP553" i="2"/>
  <c r="AQ553" i="2" s="1"/>
  <c r="AM598" i="2"/>
  <c r="AP687" i="2" l="1"/>
  <c r="AQ687" i="2" s="1"/>
  <c r="AR553" i="2"/>
  <c r="AS553" i="2" s="1"/>
  <c r="AT553" i="2" s="1"/>
  <c r="AN598" i="2"/>
  <c r="AR687" i="2" l="1"/>
  <c r="AS687" i="2" s="1"/>
  <c r="AT687" i="2" s="1"/>
  <c r="AO598" i="2"/>
  <c r="AP598" i="2" l="1"/>
  <c r="AQ598" i="2" l="1"/>
  <c r="AR598" i="2" l="1"/>
  <c r="AS598" i="2" l="1"/>
  <c r="AT598" i="2" l="1"/>
  <c r="AI1146" i="2" l="1"/>
  <c r="AI1148" i="2" s="1"/>
  <c r="AH1146" i="2"/>
  <c r="AG946" i="2" s="1"/>
  <c r="AH1103" i="2"/>
  <c r="Q49" i="7" s="1"/>
  <c r="AH1148" i="2" l="1"/>
  <c r="AH946" i="2"/>
  <c r="P87" i="5" l="1"/>
  <c r="U87" i="5" s="1"/>
  <c r="O109" i="5"/>
  <c r="O87" i="5" s="1"/>
  <c r="V87" i="5" l="1"/>
  <c r="AJ549" i="2"/>
  <c r="H196" i="5"/>
  <c r="M196" i="5" s="1"/>
  <c r="N196" i="5" s="1"/>
  <c r="N195" i="5" s="1"/>
  <c r="N193" i="5" s="1"/>
  <c r="M193" i="5" s="1"/>
  <c r="V86" i="5"/>
  <c r="J196" i="5"/>
  <c r="J195" i="5" s="1"/>
  <c r="J193" i="5" s="1"/>
  <c r="M195" i="5" l="1"/>
  <c r="AJ323" i="2"/>
  <c r="AJ594" i="2"/>
  <c r="AJ683" i="2"/>
  <c r="AK683" i="2" s="1"/>
  <c r="AL683" i="2" s="1"/>
  <c r="AM683" i="2" s="1"/>
  <c r="AN683" i="2" s="1"/>
  <c r="AO683" i="2" s="1"/>
  <c r="AP683" i="2" s="1"/>
  <c r="AQ683" i="2" s="1"/>
  <c r="AR683" i="2" s="1"/>
  <c r="AS683" i="2" s="1"/>
  <c r="AT683" i="2" s="1"/>
  <c r="V85" i="5"/>
  <c r="U85" i="5" s="1"/>
  <c r="U86" i="5"/>
  <c r="AJ593" i="2" l="1"/>
  <c r="AJ361" i="2" s="1"/>
  <c r="AJ362" i="2" s="1"/>
  <c r="AK594" i="2"/>
  <c r="AK638" i="2"/>
  <c r="H195" i="5"/>
  <c r="AJ548" i="2"/>
  <c r="T8" i="7" s="1"/>
  <c r="H193" i="5"/>
  <c r="K193" i="5" s="1"/>
  <c r="AJ546" i="2"/>
  <c r="T6" i="7" s="1"/>
  <c r="AL594" i="2" l="1"/>
  <c r="AJ395" i="2"/>
  <c r="AJ396" i="2" s="1"/>
  <c r="AJ410" i="2" s="1"/>
  <c r="AJ591" i="2"/>
  <c r="K5" i="9" s="1"/>
  <c r="AJ680" i="2"/>
  <c r="S53" i="7"/>
  <c r="AJ1021" i="2"/>
  <c r="AJ1095" i="2"/>
  <c r="AJ1136" i="2" s="1"/>
  <c r="AJ682" i="2"/>
  <c r="AJ1031" i="2"/>
  <c r="AJ1143" i="2" l="1"/>
  <c r="AM594" i="2"/>
  <c r="Y5" i="9"/>
  <c r="V5" i="9"/>
  <c r="K38" i="9"/>
  <c r="K33" i="9"/>
  <c r="AJ1167" i="2"/>
  <c r="AJ1313" i="2"/>
  <c r="K14" i="9"/>
  <c r="K9" i="9"/>
  <c r="AJ46" i="12"/>
  <c r="AJ63" i="12" s="1"/>
  <c r="AJ79" i="12" s="1"/>
  <c r="K39" i="9"/>
  <c r="K19" i="9"/>
  <c r="K20" i="9"/>
  <c r="K31" i="9"/>
  <c r="K36" i="9"/>
  <c r="AJ1296" i="2"/>
  <c r="K11" i="9"/>
  <c r="K29" i="9"/>
  <c r="K25" i="9"/>
  <c r="K27" i="9"/>
  <c r="K18" i="9"/>
  <c r="K34" i="9"/>
  <c r="K16" i="9"/>
  <c r="K40" i="9"/>
  <c r="K12" i="9"/>
  <c r="K26" i="9"/>
  <c r="K37" i="9"/>
  <c r="AJ833" i="2"/>
  <c r="K32" i="9"/>
  <c r="K3" i="9"/>
  <c r="K7" i="9"/>
  <c r="AJ1306" i="2"/>
  <c r="K28" i="9"/>
  <c r="K35" i="9"/>
  <c r="K22" i="9"/>
  <c r="K17" i="9"/>
  <c r="K42" i="9"/>
  <c r="K23" i="9"/>
  <c r="K30" i="9"/>
  <c r="K24" i="9"/>
  <c r="K13" i="9"/>
  <c r="K21" i="9"/>
  <c r="K10" i="9"/>
  <c r="K8" i="9"/>
  <c r="K15" i="9"/>
  <c r="K6" i="9"/>
  <c r="AJ1168" i="2"/>
  <c r="AJ1241" i="2"/>
  <c r="DB1269" i="2" s="1"/>
  <c r="O4" i="11"/>
  <c r="AJ1079" i="2"/>
  <c r="S54" i="7"/>
  <c r="AJ1100" i="2"/>
  <c r="AJ1040" i="2"/>
  <c r="AJ1078" i="2"/>
  <c r="O27" i="11" s="1"/>
  <c r="AJ1042" i="2"/>
  <c r="AJ1041" i="2"/>
  <c r="AJ1044" i="2"/>
  <c r="AJ1043" i="2"/>
  <c r="AJ1045" i="2"/>
  <c r="V11" i="9" l="1"/>
  <c r="Y11" i="9"/>
  <c r="V36" i="9"/>
  <c r="Y36" i="9"/>
  <c r="Y7" i="9"/>
  <c r="V7" i="9"/>
  <c r="V3" i="9"/>
  <c r="Y3" i="9"/>
  <c r="V9" i="9"/>
  <c r="Y9" i="9"/>
  <c r="Y33" i="9"/>
  <c r="V33" i="9"/>
  <c r="Y38" i="9"/>
  <c r="V38" i="9"/>
  <c r="Y21" i="9"/>
  <c r="V21" i="9"/>
  <c r="Y34" i="9"/>
  <c r="V34" i="9"/>
  <c r="Y42" i="9"/>
  <c r="V42" i="9"/>
  <c r="V28" i="9"/>
  <c r="Y28" i="9"/>
  <c r="Y13" i="9"/>
  <c r="V13" i="9"/>
  <c r="V18" i="9"/>
  <c r="Y18" i="9"/>
  <c r="Y35" i="9"/>
  <c r="V35" i="9"/>
  <c r="V20" i="9"/>
  <c r="Y20" i="9"/>
  <c r="Y32" i="9"/>
  <c r="V32" i="9"/>
  <c r="Y26" i="9"/>
  <c r="V26" i="9"/>
  <c r="Y24" i="9"/>
  <c r="V24" i="9"/>
  <c r="V27" i="9"/>
  <c r="Y27" i="9"/>
  <c r="Y17" i="9"/>
  <c r="V17" i="9"/>
  <c r="V22" i="9"/>
  <c r="Y22" i="9"/>
  <c r="V19" i="9"/>
  <c r="Y19" i="9"/>
  <c r="Y14" i="9"/>
  <c r="V14" i="9"/>
  <c r="V15" i="9"/>
  <c r="Y15" i="9"/>
  <c r="Y40" i="9"/>
  <c r="V40" i="9"/>
  <c r="Y10" i="9"/>
  <c r="V10" i="9"/>
  <c r="V30" i="9"/>
  <c r="Y30" i="9"/>
  <c r="V25" i="9"/>
  <c r="Y25" i="9"/>
  <c r="AN594" i="2"/>
  <c r="Y31" i="9"/>
  <c r="V31" i="9"/>
  <c r="Y39" i="9"/>
  <c r="V39" i="9"/>
  <c r="AJ996" i="2"/>
  <c r="AJ993" i="2"/>
  <c r="AJ998" i="2"/>
  <c r="AJ846" i="2"/>
  <c r="AJ1240" i="2"/>
  <c r="AJ859" i="2"/>
  <c r="AJ997" i="2"/>
  <c r="AJ999" i="2"/>
  <c r="AJ844" i="2"/>
  <c r="AJ1000" i="2" s="1"/>
  <c r="AJ992" i="2"/>
  <c r="AJ995" i="2"/>
  <c r="Y37" i="9"/>
  <c r="V37" i="9"/>
  <c r="Y6" i="9"/>
  <c r="V6" i="9"/>
  <c r="Y12" i="9"/>
  <c r="V12" i="9"/>
  <c r="V8" i="9"/>
  <c r="Y8" i="9"/>
  <c r="V16" i="9"/>
  <c r="Y16" i="9"/>
  <c r="Y23" i="9"/>
  <c r="V23" i="9"/>
  <c r="V29" i="9"/>
  <c r="Y29" i="9"/>
  <c r="AA4" i="11"/>
  <c r="AA27" i="11"/>
  <c r="AJ1046" i="2"/>
  <c r="AJ1242" i="2"/>
  <c r="DB1270" i="2" s="1"/>
  <c r="O28" i="11"/>
  <c r="AJ845" i="2" l="1"/>
  <c r="AJ1009" i="2"/>
  <c r="AJ1008" i="2"/>
  <c r="AJ1007" i="2"/>
  <c r="AJ1013" i="2"/>
  <c r="AJ1014" i="2"/>
  <c r="AJ1005" i="2"/>
  <c r="AJ1002" i="2"/>
  <c r="AJ1012" i="2"/>
  <c r="AJ863" i="2"/>
  <c r="AJ872" i="2" s="1"/>
  <c r="AJ1004" i="2"/>
  <c r="AJ1003" i="2"/>
  <c r="AJ762" i="2"/>
  <c r="AJ1096" i="2"/>
  <c r="AJ1137" i="2" s="1"/>
  <c r="AJ948" i="2"/>
  <c r="AJ1072" i="2"/>
  <c r="AJ1073" i="2" s="1"/>
  <c r="AJ857" i="2"/>
  <c r="AJ873" i="2"/>
  <c r="AJ1102" i="2"/>
  <c r="AJ858" i="2"/>
  <c r="AJ1249" i="2"/>
  <c r="DB1268" i="2"/>
  <c r="AO594" i="2"/>
  <c r="AJ1001" i="2"/>
  <c r="AJ1201" i="2" l="1"/>
  <c r="AJ1198" i="2"/>
  <c r="AP594" i="2"/>
  <c r="AJ1169" i="2"/>
  <c r="AJ1170" i="2" s="1"/>
  <c r="AJ1141" i="2"/>
  <c r="AJ1144" i="2" s="1"/>
  <c r="AJ1104" i="2"/>
  <c r="AJ417" i="2"/>
  <c r="AJ1153" i="2" s="1"/>
  <c r="AJ416" i="2"/>
  <c r="AJ1152" i="2" s="1"/>
  <c r="AJ1101" i="2"/>
  <c r="AJ1307" i="2"/>
  <c r="AJ1082" i="2"/>
  <c r="O31" i="11" s="1"/>
  <c r="AJ1113" i="2"/>
  <c r="AJ1111" i="2" s="1"/>
  <c r="AJ1320" i="2"/>
  <c r="AJ1006" i="2"/>
  <c r="AJ1015" i="2" s="1"/>
  <c r="AJ877" i="2"/>
  <c r="AJ1059" i="2"/>
  <c r="AJ1061" i="2"/>
  <c r="AJ1048" i="2"/>
  <c r="AJ1056" i="2" s="1"/>
  <c r="AJ1067" i="2" s="1"/>
  <c r="AJ806" i="2"/>
  <c r="AJ784" i="2" s="1"/>
  <c r="AJ1051" i="2"/>
  <c r="AJ1050" i="2" s="1"/>
  <c r="AJ904" i="2"/>
  <c r="AJ1062" i="2"/>
  <c r="AJ1060" i="2"/>
  <c r="AJ1074" i="2"/>
  <c r="AJ1075" i="2" s="1"/>
  <c r="O23" i="11" s="1"/>
  <c r="AA23" i="11" s="1"/>
  <c r="AA26" i="11" s="1"/>
  <c r="AJ1065" i="2"/>
  <c r="AJ1064" i="2"/>
  <c r="AJ1052" i="2"/>
  <c r="AJ1146" i="2" l="1"/>
  <c r="AJ1103" i="2"/>
  <c r="V49" i="7" s="1"/>
  <c r="AJ1063" i="2"/>
  <c r="V48" i="7"/>
  <c r="AJ1145" i="2"/>
  <c r="AQ594" i="2"/>
  <c r="AJ886" i="2"/>
  <c r="AJ986" i="2"/>
  <c r="AJ893" i="2"/>
  <c r="AJ903" i="2" s="1"/>
  <c r="AJ888" i="2"/>
  <c r="AJ1049" i="2"/>
  <c r="AJ1172" i="2"/>
  <c r="AJ1105" i="2"/>
  <c r="AJ1070" i="2"/>
  <c r="O20" i="11" s="1"/>
  <c r="AJ1097" i="2"/>
  <c r="AJ1058" i="2"/>
  <c r="AJ1055" i="2" s="1"/>
  <c r="AJ1057" i="2" s="1"/>
  <c r="AJ1068" i="2" s="1"/>
  <c r="AJ1212" i="2"/>
  <c r="AJ1148" i="2" l="1"/>
  <c r="AI946" i="2"/>
  <c r="AJ1217" i="2"/>
  <c r="O16" i="11"/>
  <c r="AA16" i="11" s="1"/>
  <c r="AJ1066" i="2"/>
  <c r="AJ1069" i="2" s="1"/>
  <c r="AR594" i="2"/>
  <c r="AJ1080" i="2"/>
  <c r="AJ1081" i="2"/>
  <c r="O30" i="11" s="1"/>
  <c r="AJ1106" i="2"/>
  <c r="AS594" i="2" l="1"/>
  <c r="O18" i="11"/>
  <c r="AJ1071" i="2"/>
  <c r="O22" i="11" s="1"/>
  <c r="AA22" i="11" s="1"/>
  <c r="AJ1243" i="2"/>
  <c r="DB1271" i="2" s="1"/>
  <c r="O29" i="11"/>
  <c r="AJ1246" i="2"/>
  <c r="AA18" i="11"/>
  <c r="AA39" i="11" s="1"/>
  <c r="AA20" i="11"/>
  <c r="AT594" i="2" l="1"/>
  <c r="DB1274" i="2"/>
  <c r="AJ1247" i="2"/>
  <c r="DB1275" i="2" l="1"/>
  <c r="AJ1248" i="2"/>
  <c r="DB1276" i="2" s="1"/>
  <c r="J1103" i="2" l="1"/>
  <c r="J1074" i="2" s="1"/>
  <c r="K1075" i="2" s="1"/>
  <c r="K1106" i="2" s="1"/>
  <c r="K1081" i="2" s="1"/>
  <c r="AJ310" i="2" l="1"/>
  <c r="AL310" i="2"/>
  <c r="AL550" i="2" s="1"/>
  <c r="AK310" i="2"/>
  <c r="AK550" i="2" s="1"/>
  <c r="AK1032" i="2" l="1"/>
  <c r="V10" i="7"/>
  <c r="AK595" i="2"/>
  <c r="AK684" i="2"/>
  <c r="AL1032" i="2"/>
  <c r="X10" i="7"/>
  <c r="AK593" i="2" l="1"/>
  <c r="AL595" i="2"/>
  <c r="AL684" i="2"/>
  <c r="AL593" i="2" l="1"/>
  <c r="AK548" i="2"/>
  <c r="AL638" i="2"/>
  <c r="AM638" i="2" s="1"/>
  <c r="AK1031" i="2" l="1"/>
  <c r="AK682" i="2"/>
  <c r="V8" i="7"/>
  <c r="AL548" i="2"/>
  <c r="X8" i="7" l="1"/>
  <c r="AL1031" i="2"/>
  <c r="AK1100" i="2"/>
  <c r="AL682" i="2"/>
  <c r="AL1100" i="2" l="1"/>
  <c r="AN310" i="2" l="1"/>
  <c r="AN550" i="2" s="1"/>
  <c r="AO310" i="2"/>
  <c r="AO550" i="2" s="1"/>
  <c r="AM310" i="2"/>
  <c r="AM550" i="2" s="1"/>
  <c r="AM1032" i="2" s="1"/>
  <c r="AN1032" i="2" l="1"/>
  <c r="AB10" i="7"/>
  <c r="AO1032" i="2"/>
  <c r="AD10" i="7"/>
  <c r="AM595" i="2"/>
  <c r="Z10" i="7"/>
  <c r="AF10" i="7" s="1"/>
  <c r="AM684" i="2"/>
  <c r="AN684" i="2" l="1"/>
  <c r="AM593" i="2"/>
  <c r="AN638" i="2"/>
  <c r="AN595" i="2"/>
  <c r="AN593" i="2" l="1"/>
  <c r="AO595" i="2"/>
  <c r="AO638" i="2"/>
  <c r="AM548" i="2"/>
  <c r="AO684" i="2"/>
  <c r="Z8" i="7" l="1"/>
  <c r="AM1031" i="2"/>
  <c r="AM682" i="2"/>
  <c r="AO593" i="2"/>
  <c r="AN548" i="2"/>
  <c r="AB8" i="7" l="1"/>
  <c r="AN1031" i="2"/>
  <c r="AM1100" i="2"/>
  <c r="AN682" i="2"/>
  <c r="AO548" i="2"/>
  <c r="AP638" i="2"/>
  <c r="AO1031" i="2" l="1"/>
  <c r="AD8" i="7"/>
  <c r="AF8" i="7" s="1"/>
  <c r="AN1100" i="2"/>
  <c r="AO682" i="2"/>
  <c r="AO1100" i="2" l="1"/>
  <c r="AQ310" i="2" l="1"/>
  <c r="AQ550" i="2" s="1"/>
  <c r="AS310" i="2"/>
  <c r="AS550" i="2"/>
  <c r="AS1032" i="2"/>
  <c r="AT310" i="2"/>
  <c r="AT550" i="2"/>
  <c r="AT1032" i="2" s="1"/>
  <c r="AR310" i="2"/>
  <c r="AR550" i="2" s="1"/>
  <c r="AR1032" i="2" s="1"/>
  <c r="AP1032" i="2"/>
  <c r="AP310" i="2"/>
  <c r="AP550" i="2"/>
  <c r="AP684" i="2" s="1"/>
  <c r="AP595" i="2"/>
  <c r="AP593" i="2" s="1"/>
  <c r="AQ1032" i="2" l="1"/>
  <c r="AQ595" i="2"/>
  <c r="AQ684" i="2"/>
  <c r="AP548" i="2"/>
  <c r="AQ638" i="2"/>
  <c r="AP1031" i="2" l="1"/>
  <c r="AP682" i="2"/>
  <c r="AR684" i="2"/>
  <c r="AR595" i="2"/>
  <c r="AQ593" i="2"/>
  <c r="AQ548" i="2" l="1"/>
  <c r="AQ1031" i="2" s="1"/>
  <c r="AS595" i="2"/>
  <c r="AR593" i="2"/>
  <c r="AS684" i="2"/>
  <c r="AP1100" i="2"/>
  <c r="AQ682" i="2"/>
  <c r="AR638" i="2"/>
  <c r="AS638" i="2" s="1"/>
  <c r="AT684" i="2" l="1"/>
  <c r="AQ1100" i="2"/>
  <c r="AS593" i="2"/>
  <c r="AT595" i="2"/>
  <c r="AT593" i="2" s="1"/>
  <c r="AT638" i="2"/>
  <c r="AR548" i="2"/>
  <c r="AR1031" i="2" s="1"/>
  <c r="AS548" i="2" l="1"/>
  <c r="AS1031" i="2" s="1"/>
  <c r="AT548" i="2"/>
  <c r="AT1031" i="2" s="1"/>
  <c r="AR682" i="2"/>
  <c r="AS682" i="2" l="1"/>
  <c r="AR1100" i="2"/>
  <c r="AT682" i="2" l="1"/>
  <c r="AS1100" i="2"/>
  <c r="AT1100" i="2" l="1"/>
  <c r="AO567" i="2"/>
  <c r="AO343" i="2" s="1"/>
  <c r="AN567" i="2"/>
  <c r="AN1036" i="2" s="1"/>
  <c r="AM567" i="2"/>
  <c r="Z27" i="7" s="1"/>
  <c r="AT344" i="2"/>
  <c r="AL567" i="2"/>
  <c r="X27" i="7" s="1"/>
  <c r="AO1036" i="2" l="1"/>
  <c r="AM343" i="2"/>
  <c r="AM1036" i="2"/>
  <c r="AN343" i="2"/>
  <c r="AB27" i="7"/>
  <c r="AD27" i="7"/>
  <c r="AL1036" i="2"/>
  <c r="AL343" i="2"/>
  <c r="AK567" i="2"/>
  <c r="AR344" i="2" l="1"/>
  <c r="AK1036" i="2"/>
  <c r="AS344" i="2"/>
  <c r="AM344" i="2"/>
  <c r="AQ344" i="2"/>
  <c r="AK343" i="2"/>
  <c r="AK701" i="2"/>
  <c r="AL701" i="2" s="1"/>
  <c r="AM701" i="2" s="1"/>
  <c r="AN701" i="2" s="1"/>
  <c r="AO701" i="2" s="1"/>
  <c r="AP701" i="2" s="1"/>
  <c r="AQ701" i="2" s="1"/>
  <c r="AR701" i="2" s="1"/>
  <c r="AS701" i="2" s="1"/>
  <c r="AT701" i="2" s="1"/>
  <c r="AL344" i="2"/>
  <c r="AN344" i="2"/>
  <c r="AP344" i="2"/>
  <c r="AO344" i="2"/>
  <c r="AK612" i="2"/>
  <c r="V27" i="7"/>
  <c r="AF27" i="7" s="1"/>
  <c r="AK1301" i="2" l="1"/>
  <c r="AL612" i="2"/>
  <c r="AK599" i="2"/>
  <c r="AK361" i="2" l="1"/>
  <c r="AK362" i="2" s="1"/>
  <c r="AK572" i="2" s="1"/>
  <c r="AK554" i="2"/>
  <c r="AL1301" i="2"/>
  <c r="AL599" i="2"/>
  <c r="AM612" i="2"/>
  <c r="AL644" i="2"/>
  <c r="AM644" i="2" s="1"/>
  <c r="AM1301" i="2" l="1"/>
  <c r="AM599" i="2"/>
  <c r="AN612" i="2"/>
  <c r="AL554" i="2"/>
  <c r="AL361" i="2"/>
  <c r="AL362" i="2" s="1"/>
  <c r="AL572" i="2" s="1"/>
  <c r="X32" i="7" s="1"/>
  <c r="V14" i="7"/>
  <c r="AK1033" i="2"/>
  <c r="AK688" i="2"/>
  <c r="AN644" i="2"/>
  <c r="AK706" i="2"/>
  <c r="V32" i="7"/>
  <c r="AK617" i="2"/>
  <c r="AL706" i="2" l="1"/>
  <c r="AL688" i="2"/>
  <c r="AL617" i="2"/>
  <c r="AK614" i="2"/>
  <c r="AK1304" i="2"/>
  <c r="AL1033" i="2"/>
  <c r="X14" i="7"/>
  <c r="AN1301" i="2"/>
  <c r="AN599" i="2"/>
  <c r="AO612" i="2"/>
  <c r="AM361" i="2"/>
  <c r="AM362" i="2" s="1"/>
  <c r="AM572" i="2" s="1"/>
  <c r="Z32" i="7" s="1"/>
  <c r="AM554" i="2"/>
  <c r="AO599" i="2" l="1"/>
  <c r="AO1301" i="2"/>
  <c r="AP612" i="2"/>
  <c r="AN554" i="2"/>
  <c r="AN361" i="2"/>
  <c r="AN362" i="2" s="1"/>
  <c r="AN572" i="2" s="1"/>
  <c r="AB32" i="7" s="1"/>
  <c r="AM706" i="2"/>
  <c r="AK569" i="2"/>
  <c r="AL658" i="2"/>
  <c r="AK613" i="2"/>
  <c r="AK395" i="2"/>
  <c r="AK396" i="2" s="1"/>
  <c r="AK410" i="2" s="1"/>
  <c r="AK585" i="2" s="1"/>
  <c r="AL1304" i="2"/>
  <c r="AM617" i="2"/>
  <c r="AL614" i="2"/>
  <c r="AM688" i="2"/>
  <c r="Z14" i="7"/>
  <c r="AM1033" i="2"/>
  <c r="AO644" i="2"/>
  <c r="AP644" i="2" s="1"/>
  <c r="AN706" i="2" l="1"/>
  <c r="AP1301" i="2"/>
  <c r="AP599" i="2"/>
  <c r="AQ612" i="2"/>
  <c r="AO554" i="2"/>
  <c r="AO361" i="2"/>
  <c r="AO362" i="2" s="1"/>
  <c r="AO572" i="2" s="1"/>
  <c r="AD32" i="7" s="1"/>
  <c r="AF32" i="7" s="1"/>
  <c r="AK568" i="2"/>
  <c r="AQ644" i="2"/>
  <c r="V45" i="7"/>
  <c r="AK719" i="2"/>
  <c r="AK630" i="2"/>
  <c r="V29" i="7"/>
  <c r="AK703" i="2"/>
  <c r="AK1038" i="2"/>
  <c r="AN1033" i="2"/>
  <c r="AB14" i="7"/>
  <c r="AN688" i="2"/>
  <c r="AL569" i="2"/>
  <c r="AL613" i="2"/>
  <c r="AL395" i="2"/>
  <c r="AL396" i="2" s="1"/>
  <c r="AL410" i="2" s="1"/>
  <c r="AL585" i="2" s="1"/>
  <c r="X45" i="7" s="1"/>
  <c r="AM1304" i="2"/>
  <c r="AM614" i="2"/>
  <c r="AN617" i="2"/>
  <c r="AL630" i="2" l="1"/>
  <c r="AL719" i="2"/>
  <c r="AN1304" i="2"/>
  <c r="AN614" i="2"/>
  <c r="AO617" i="2"/>
  <c r="AL568" i="2"/>
  <c r="AL591" i="2"/>
  <c r="M25" i="9" s="1"/>
  <c r="AO706" i="2"/>
  <c r="AM569" i="2"/>
  <c r="AM613" i="2"/>
  <c r="AM395" i="2"/>
  <c r="AM396" i="2" s="1"/>
  <c r="AM410" i="2" s="1"/>
  <c r="AM585" i="2" s="1"/>
  <c r="Z45" i="7" s="1"/>
  <c r="AQ1301" i="2"/>
  <c r="AQ599" i="2"/>
  <c r="AR644" i="2" s="1"/>
  <c r="AR612" i="2"/>
  <c r="AM658" i="2"/>
  <c r="AD14" i="7"/>
  <c r="AF14" i="7" s="1"/>
  <c r="AO1033" i="2"/>
  <c r="AK591" i="2"/>
  <c r="L42" i="9" s="1"/>
  <c r="V28" i="7"/>
  <c r="AK702" i="2"/>
  <c r="AK1037" i="2"/>
  <c r="X29" i="7"/>
  <c r="AL1038" i="2"/>
  <c r="AP554" i="2"/>
  <c r="AP1033" i="2" s="1"/>
  <c r="AP361" i="2"/>
  <c r="AP362" i="2" s="1"/>
  <c r="AP572" i="2" s="1"/>
  <c r="AO688" i="2"/>
  <c r="AL703" i="2"/>
  <c r="W42" i="9" l="1"/>
  <c r="Z42" i="9"/>
  <c r="X25" i="9"/>
  <c r="AA25" i="9"/>
  <c r="AP706" i="2"/>
  <c r="AP688" i="2"/>
  <c r="AM568" i="2"/>
  <c r="AS644" i="2"/>
  <c r="AO1304" i="2"/>
  <c r="AO614" i="2"/>
  <c r="AP617" i="2"/>
  <c r="AM630" i="2"/>
  <c r="M42" i="9"/>
  <c r="AM1038" i="2"/>
  <c r="Z29" i="7"/>
  <c r="M9" i="9"/>
  <c r="M17" i="9"/>
  <c r="M10" i="9"/>
  <c r="M15" i="9"/>
  <c r="M23" i="9"/>
  <c r="M6" i="9"/>
  <c r="M12" i="9"/>
  <c r="M36" i="9"/>
  <c r="M30" i="9"/>
  <c r="M38" i="9"/>
  <c r="M35" i="9"/>
  <c r="AL1296" i="2"/>
  <c r="M37" i="9"/>
  <c r="M20" i="9"/>
  <c r="M31" i="9"/>
  <c r="M39" i="9"/>
  <c r="M40" i="9"/>
  <c r="AL546" i="2"/>
  <c r="M21" i="9"/>
  <c r="M8" i="9"/>
  <c r="AL46" i="12"/>
  <c r="M3" i="9"/>
  <c r="M33" i="9"/>
  <c r="M14" i="9"/>
  <c r="M5" i="9"/>
  <c r="M7" i="9"/>
  <c r="M22" i="9"/>
  <c r="M28" i="9"/>
  <c r="AL1313" i="2"/>
  <c r="M32" i="9"/>
  <c r="AL1167" i="2"/>
  <c r="M16" i="9"/>
  <c r="M18" i="9"/>
  <c r="M34" i="9"/>
  <c r="M27" i="9"/>
  <c r="M19" i="9"/>
  <c r="AL833" i="2"/>
  <c r="M13" i="9"/>
  <c r="M24" i="9"/>
  <c r="M11" i="9"/>
  <c r="M29" i="9"/>
  <c r="AL1306" i="2"/>
  <c r="M26" i="9"/>
  <c r="AM719" i="2"/>
  <c r="AR1301" i="2"/>
  <c r="AS612" i="2"/>
  <c r="AR599" i="2"/>
  <c r="AL702" i="2"/>
  <c r="X28" i="7"/>
  <c r="AL1037" i="2"/>
  <c r="L30" i="9"/>
  <c r="L16" i="9"/>
  <c r="L17" i="9"/>
  <c r="L13" i="9"/>
  <c r="L20" i="9"/>
  <c r="L19" i="9"/>
  <c r="L10" i="9"/>
  <c r="L36" i="9"/>
  <c r="L3" i="9"/>
  <c r="L31" i="9"/>
  <c r="L8" i="9"/>
  <c r="L40" i="9"/>
  <c r="L38" i="9"/>
  <c r="L21" i="9"/>
  <c r="AK1167" i="2"/>
  <c r="L35" i="9"/>
  <c r="AK833" i="2"/>
  <c r="AK1296" i="2"/>
  <c r="L37" i="9"/>
  <c r="AK1313" i="2"/>
  <c r="L7" i="9"/>
  <c r="L39" i="9"/>
  <c r="L33" i="9"/>
  <c r="L14" i="9"/>
  <c r="L27" i="9"/>
  <c r="L34" i="9"/>
  <c r="L15" i="9"/>
  <c r="L22" i="9"/>
  <c r="L6" i="9"/>
  <c r="L9" i="9"/>
  <c r="L23" i="9"/>
  <c r="L12" i="9"/>
  <c r="L5" i="9"/>
  <c r="AK46" i="12"/>
  <c r="AK63" i="12" s="1"/>
  <c r="AK79" i="12" s="1"/>
  <c r="AK546" i="2"/>
  <c r="L32" i="9"/>
  <c r="L18" i="9"/>
  <c r="L28" i="9"/>
  <c r="L24" i="9"/>
  <c r="L11" i="9"/>
  <c r="L29" i="9"/>
  <c r="AK1306" i="2"/>
  <c r="L26" i="9"/>
  <c r="L25" i="9"/>
  <c r="AN569" i="2"/>
  <c r="AN613" i="2"/>
  <c r="AN395" i="2"/>
  <c r="AN396" i="2" s="1"/>
  <c r="AN410" i="2" s="1"/>
  <c r="AN585" i="2" s="1"/>
  <c r="AB45" i="7" s="1"/>
  <c r="AN658" i="2"/>
  <c r="AO658" i="2" s="1"/>
  <c r="AM703" i="2"/>
  <c r="AQ554" i="2"/>
  <c r="AQ1033" i="2" s="1"/>
  <c r="AQ361" i="2"/>
  <c r="AQ362" i="2" s="1"/>
  <c r="AQ572" i="2" s="1"/>
  <c r="Z7" i="9" l="1"/>
  <c r="W7" i="9"/>
  <c r="AP614" i="2"/>
  <c r="AP1304" i="2"/>
  <c r="AQ617" i="2"/>
  <c r="Z20" i="9"/>
  <c r="W20" i="9"/>
  <c r="AA42" i="9"/>
  <c r="X42" i="9"/>
  <c r="Z33" i="9"/>
  <c r="W33" i="9"/>
  <c r="AA19" i="9"/>
  <c r="X19" i="9"/>
  <c r="Z30" i="9"/>
  <c r="W30" i="9"/>
  <c r="W11" i="9"/>
  <c r="Z11" i="9"/>
  <c r="X34" i="9"/>
  <c r="AA34" i="9"/>
  <c r="W24" i="9"/>
  <c r="Z24" i="9"/>
  <c r="AA16" i="9"/>
  <c r="X16" i="9"/>
  <c r="W18" i="9"/>
  <c r="Z18" i="9"/>
  <c r="X35" i="9"/>
  <c r="AA35" i="9"/>
  <c r="Z28" i="7"/>
  <c r="AM1037" i="2"/>
  <c r="AA30" i="9"/>
  <c r="X30" i="9"/>
  <c r="W40" i="9"/>
  <c r="Z40" i="9"/>
  <c r="AA6" i="9"/>
  <c r="X6" i="9"/>
  <c r="W8" i="9"/>
  <c r="Z8" i="9"/>
  <c r="AN703" i="2"/>
  <c r="X15" i="9"/>
  <c r="AA15" i="9"/>
  <c r="W6" i="9"/>
  <c r="Z6" i="9"/>
  <c r="AA33" i="9"/>
  <c r="X33" i="9"/>
  <c r="X10" i="9"/>
  <c r="AA10" i="9"/>
  <c r="Z27" i="9"/>
  <c r="W27" i="9"/>
  <c r="X13" i="9"/>
  <c r="AA13" i="9"/>
  <c r="W17" i="9"/>
  <c r="Z17" i="9"/>
  <c r="N42" i="9"/>
  <c r="AB42" i="9" s="1"/>
  <c r="AN630" i="2"/>
  <c r="AN591" i="2" s="1"/>
  <c r="Z29" i="9"/>
  <c r="W29" i="9"/>
  <c r="AO613" i="2"/>
  <c r="AO569" i="2"/>
  <c r="AO395" i="2"/>
  <c r="AO396" i="2" s="1"/>
  <c r="AO410" i="2" s="1"/>
  <c r="AO585" i="2" s="1"/>
  <c r="AD45" i="7" s="1"/>
  <c r="AF45" i="7" s="1"/>
  <c r="Z28" i="9"/>
  <c r="W28" i="9"/>
  <c r="AM591" i="2"/>
  <c r="W32" i="9"/>
  <c r="Z32" i="9"/>
  <c r="AA32" i="9"/>
  <c r="X32" i="9"/>
  <c r="AA28" i="9"/>
  <c r="X28" i="9"/>
  <c r="X22" i="9"/>
  <c r="AA22" i="9"/>
  <c r="X5" i="9"/>
  <c r="AA5" i="9"/>
  <c r="AA3" i="9"/>
  <c r="X3" i="9"/>
  <c r="X17" i="9"/>
  <c r="AA17" i="9"/>
  <c r="X24" i="9"/>
  <c r="AA24" i="9"/>
  <c r="Z25" i="9"/>
  <c r="W25" i="9"/>
  <c r="X6" i="7"/>
  <c r="AL1095" i="2"/>
  <c r="AL1136" i="2" s="1"/>
  <c r="AL1021" i="2"/>
  <c r="U53" i="7"/>
  <c r="U54" i="7" s="1"/>
  <c r="AL1240" i="2"/>
  <c r="AL1249" i="2" s="1"/>
  <c r="AL992" i="2"/>
  <c r="AL846" i="2"/>
  <c r="AL996" i="2"/>
  <c r="AL997" i="2"/>
  <c r="AL999" i="2"/>
  <c r="AL998" i="2"/>
  <c r="AL993" i="2"/>
  <c r="AL995" i="2"/>
  <c r="AL859" i="2"/>
  <c r="AL844" i="2"/>
  <c r="AL1000" i="2" s="1"/>
  <c r="W39" i="9"/>
  <c r="Z39" i="9"/>
  <c r="X39" i="9"/>
  <c r="AA39" i="9"/>
  <c r="AA27" i="9"/>
  <c r="X27" i="9"/>
  <c r="AA20" i="9"/>
  <c r="X20" i="9"/>
  <c r="W37" i="9"/>
  <c r="Z37" i="9"/>
  <c r="X37" i="9"/>
  <c r="AA37" i="9"/>
  <c r="AK844" i="2"/>
  <c r="AK1000" i="2" s="1"/>
  <c r="AK1240" i="2"/>
  <c r="AK1249" i="2" s="1"/>
  <c r="AK846" i="2"/>
  <c r="AK998" i="2"/>
  <c r="AK999" i="2"/>
  <c r="AK996" i="2"/>
  <c r="AK995" i="2"/>
  <c r="AK993" i="2"/>
  <c r="AK992" i="2"/>
  <c r="AK997" i="2"/>
  <c r="AK859" i="2"/>
  <c r="X38" i="9"/>
  <c r="AA38" i="9"/>
  <c r="V6" i="7"/>
  <c r="AK1021" i="2"/>
  <c r="AK680" i="2"/>
  <c r="AK1095" i="2"/>
  <c r="AK1136" i="2" s="1"/>
  <c r="T53" i="7"/>
  <c r="W21" i="9"/>
  <c r="Z21" i="9"/>
  <c r="AA36" i="9"/>
  <c r="X36" i="9"/>
  <c r="Z5" i="9"/>
  <c r="W5" i="9"/>
  <c r="AN719" i="2"/>
  <c r="AQ706" i="2"/>
  <c r="AA23" i="9"/>
  <c r="X23" i="9"/>
  <c r="W31" i="9"/>
  <c r="Z31" i="9"/>
  <c r="X14" i="9"/>
  <c r="AA14" i="9"/>
  <c r="Z3" i="9"/>
  <c r="W3" i="9"/>
  <c r="X29" i="9"/>
  <c r="AA29" i="9"/>
  <c r="AL63" i="12"/>
  <c r="AL79" i="12" s="1"/>
  <c r="X9" i="9"/>
  <c r="AA9" i="9"/>
  <c r="AN1038" i="2"/>
  <c r="AB29" i="7"/>
  <c r="AA21" i="9"/>
  <c r="X21" i="9"/>
  <c r="W14" i="9"/>
  <c r="Z14" i="9"/>
  <c r="Z13" i="9"/>
  <c r="W13" i="9"/>
  <c r="W26" i="9"/>
  <c r="Z26" i="9"/>
  <c r="X40" i="9"/>
  <c r="AA40" i="9"/>
  <c r="W16" i="9"/>
  <c r="Z16" i="9"/>
  <c r="X31" i="9"/>
  <c r="AA31" i="9"/>
  <c r="AA18" i="9"/>
  <c r="X18" i="9"/>
  <c r="AM702" i="2"/>
  <c r="Z35" i="9"/>
  <c r="W35" i="9"/>
  <c r="AR554" i="2"/>
  <c r="AR1033" i="2" s="1"/>
  <c r="AR361" i="2"/>
  <c r="AR362" i="2" s="1"/>
  <c r="AR572" i="2" s="1"/>
  <c r="AT612" i="2"/>
  <c r="AS599" i="2"/>
  <c r="AT644" i="2" s="1"/>
  <c r="AS1301" i="2"/>
  <c r="AQ688" i="2"/>
  <c r="Z38" i="9"/>
  <c r="W38" i="9"/>
  <c r="X12" i="9"/>
  <c r="AA12" i="9"/>
  <c r="W12" i="9"/>
  <c r="Z12" i="9"/>
  <c r="AA7" i="9"/>
  <c r="X7" i="9"/>
  <c r="Z23" i="9"/>
  <c r="W23" i="9"/>
  <c r="Z9" i="9"/>
  <c r="W9" i="9"/>
  <c r="X26" i="9"/>
  <c r="AA26" i="9"/>
  <c r="W22" i="9"/>
  <c r="Z22" i="9"/>
  <c r="Z36" i="9"/>
  <c r="W36" i="9"/>
  <c r="AN568" i="2"/>
  <c r="W15" i="9"/>
  <c r="Z15" i="9"/>
  <c r="W10" i="9"/>
  <c r="Z10" i="9"/>
  <c r="Z34" i="9"/>
  <c r="W34" i="9"/>
  <c r="Z19" i="9"/>
  <c r="W19" i="9"/>
  <c r="AA11" i="9"/>
  <c r="X11" i="9"/>
  <c r="X8" i="9"/>
  <c r="AA8" i="9"/>
  <c r="O27" i="9" l="1"/>
  <c r="AC27" i="9" s="1"/>
  <c r="O13" i="9"/>
  <c r="AC13" i="9" s="1"/>
  <c r="O10" i="9"/>
  <c r="AC10" i="9" s="1"/>
  <c r="O28" i="9"/>
  <c r="AC28" i="9" s="1"/>
  <c r="O38" i="9"/>
  <c r="AC38" i="9" s="1"/>
  <c r="O31" i="9"/>
  <c r="AC31" i="9" s="1"/>
  <c r="O19" i="9"/>
  <c r="AC19" i="9" s="1"/>
  <c r="O18" i="9"/>
  <c r="AC18" i="9" s="1"/>
  <c r="O34" i="9"/>
  <c r="AC34" i="9" s="1"/>
  <c r="AN46" i="12"/>
  <c r="AN63" i="12" s="1"/>
  <c r="AN79" i="12" s="1"/>
  <c r="O7" i="9"/>
  <c r="AC7" i="9" s="1"/>
  <c r="O21" i="9"/>
  <c r="AC21" i="9" s="1"/>
  <c r="O40" i="9"/>
  <c r="AC40" i="9" s="1"/>
  <c r="O20" i="9"/>
  <c r="AC20" i="9" s="1"/>
  <c r="O37" i="9"/>
  <c r="AC37" i="9" s="1"/>
  <c r="AN1167" i="2"/>
  <c r="O12" i="9"/>
  <c r="AC12" i="9" s="1"/>
  <c r="O8" i="9"/>
  <c r="AC8" i="9" s="1"/>
  <c r="O30" i="9"/>
  <c r="AC30" i="9" s="1"/>
  <c r="O3" i="9"/>
  <c r="AC3" i="9" s="1"/>
  <c r="O33" i="9"/>
  <c r="AC33" i="9" s="1"/>
  <c r="O17" i="9"/>
  <c r="AC17" i="9" s="1"/>
  <c r="O32" i="9"/>
  <c r="AC32" i="9" s="1"/>
  <c r="O36" i="9"/>
  <c r="AC36" i="9" s="1"/>
  <c r="O6" i="9"/>
  <c r="AC6" i="9" s="1"/>
  <c r="O14" i="9"/>
  <c r="AC14" i="9" s="1"/>
  <c r="AN1296" i="2"/>
  <c r="O35" i="9"/>
  <c r="AC35" i="9" s="1"/>
  <c r="AN833" i="2"/>
  <c r="O39" i="9"/>
  <c r="AC39" i="9" s="1"/>
  <c r="O5" i="9"/>
  <c r="AC5" i="9" s="1"/>
  <c r="O23" i="9"/>
  <c r="AC23" i="9" s="1"/>
  <c r="O16" i="9"/>
  <c r="AC16" i="9" s="1"/>
  <c r="AN1313" i="2"/>
  <c r="O9" i="9"/>
  <c r="AC9" i="9" s="1"/>
  <c r="O15" i="9"/>
  <c r="AC15" i="9" s="1"/>
  <c r="O22" i="9"/>
  <c r="AC22" i="9" s="1"/>
  <c r="AN546" i="2"/>
  <c r="O24" i="9"/>
  <c r="AC24" i="9" s="1"/>
  <c r="O11" i="9"/>
  <c r="AC11" i="9" s="1"/>
  <c r="O29" i="9"/>
  <c r="AC29" i="9" s="1"/>
  <c r="O26" i="9"/>
  <c r="AC26" i="9" s="1"/>
  <c r="AN1306" i="2"/>
  <c r="O25" i="9"/>
  <c r="AC25" i="9" s="1"/>
  <c r="AR706" i="2"/>
  <c r="AL1003" i="2"/>
  <c r="AL1002" i="2"/>
  <c r="AL762" i="2"/>
  <c r="AL1014" i="2"/>
  <c r="AL1004" i="2"/>
  <c r="AL1008" i="2"/>
  <c r="AL1013" i="2"/>
  <c r="AL1012" i="2"/>
  <c r="AL1009" i="2"/>
  <c r="AL1007" i="2"/>
  <c r="AL863" i="2"/>
  <c r="AL1005" i="2"/>
  <c r="AL845" i="2"/>
  <c r="AL948" i="2"/>
  <c r="AL873" i="2"/>
  <c r="AL1072" i="2"/>
  <c r="AL1102" i="2"/>
  <c r="AL1096" i="2"/>
  <c r="AL1137" i="2" s="1"/>
  <c r="AL857" i="2"/>
  <c r="AO568" i="2"/>
  <c r="AK1079" i="2"/>
  <c r="P4" i="11"/>
  <c r="AK1168" i="2"/>
  <c r="AK1241" i="2"/>
  <c r="N23" i="9"/>
  <c r="AB23" i="9" s="1"/>
  <c r="N12" i="9"/>
  <c r="AB12" i="9" s="1"/>
  <c r="N8" i="9"/>
  <c r="AB8" i="9" s="1"/>
  <c r="N15" i="9"/>
  <c r="AB15" i="9" s="1"/>
  <c r="N13" i="9"/>
  <c r="AB13" i="9" s="1"/>
  <c r="N22" i="9"/>
  <c r="AB22" i="9" s="1"/>
  <c r="N39" i="9"/>
  <c r="AB39" i="9" s="1"/>
  <c r="N28" i="9"/>
  <c r="AB28" i="9" s="1"/>
  <c r="N31" i="9"/>
  <c r="AB31" i="9" s="1"/>
  <c r="N5" i="9"/>
  <c r="AB5" i="9" s="1"/>
  <c r="N17" i="9"/>
  <c r="AB17" i="9" s="1"/>
  <c r="N9" i="9"/>
  <c r="AB9" i="9" s="1"/>
  <c r="AM46" i="12"/>
  <c r="AM63" i="12" s="1"/>
  <c r="AM79" i="12" s="1"/>
  <c r="N36" i="9"/>
  <c r="AB36" i="9" s="1"/>
  <c r="N38" i="9"/>
  <c r="AB38" i="9" s="1"/>
  <c r="N7" i="9"/>
  <c r="AB7" i="9" s="1"/>
  <c r="N33" i="9"/>
  <c r="AB33" i="9" s="1"/>
  <c r="N14" i="9"/>
  <c r="AB14" i="9" s="1"/>
  <c r="N40" i="9"/>
  <c r="AB40" i="9" s="1"/>
  <c r="N16" i="9"/>
  <c r="AB16" i="9" s="1"/>
  <c r="N3" i="9"/>
  <c r="N19" i="9"/>
  <c r="AB19" i="9" s="1"/>
  <c r="N37" i="9"/>
  <c r="AB37" i="9" s="1"/>
  <c r="N21" i="9"/>
  <c r="AB21" i="9" s="1"/>
  <c r="AM546" i="2"/>
  <c r="AM1313" i="2"/>
  <c r="AM833" i="2"/>
  <c r="N20" i="9"/>
  <c r="AB20" i="9" s="1"/>
  <c r="AM1167" i="2"/>
  <c r="N27" i="9"/>
  <c r="AB27" i="9" s="1"/>
  <c r="N18" i="9"/>
  <c r="AB18" i="9" s="1"/>
  <c r="N10" i="9"/>
  <c r="AB10" i="9" s="1"/>
  <c r="N34" i="9"/>
  <c r="AB34" i="9" s="1"/>
  <c r="N32" i="9"/>
  <c r="AB32" i="9" s="1"/>
  <c r="N30" i="9"/>
  <c r="AB30" i="9" s="1"/>
  <c r="N6" i="9"/>
  <c r="AB6" i="9" s="1"/>
  <c r="N35" i="9"/>
  <c r="AB35" i="9" s="1"/>
  <c r="AM1296" i="2"/>
  <c r="N24" i="9"/>
  <c r="AB24" i="9" s="1"/>
  <c r="N11" i="9"/>
  <c r="AB11" i="9" s="1"/>
  <c r="N29" i="9"/>
  <c r="AB29" i="9" s="1"/>
  <c r="N26" i="9"/>
  <c r="AB26" i="9" s="1"/>
  <c r="AM1306" i="2"/>
  <c r="N25" i="9"/>
  <c r="AB25" i="9" s="1"/>
  <c r="AR688" i="2"/>
  <c r="AK1009" i="2"/>
  <c r="AK1012" i="2"/>
  <c r="AK1002" i="2"/>
  <c r="AK762" i="2"/>
  <c r="AK1014" i="2"/>
  <c r="AK1013" i="2"/>
  <c r="AK1003" i="2"/>
  <c r="AK1007" i="2"/>
  <c r="AK1008" i="2"/>
  <c r="AK1004" i="2"/>
  <c r="AK1005" i="2"/>
  <c r="AK863" i="2"/>
  <c r="AP658" i="2"/>
  <c r="AK1096" i="2"/>
  <c r="AK1137" i="2" s="1"/>
  <c r="AK948" i="2"/>
  <c r="AK1102" i="2"/>
  <c r="AK873" i="2"/>
  <c r="AK1072" i="2"/>
  <c r="AK1073" i="2" s="1"/>
  <c r="AK857" i="2"/>
  <c r="AK858" i="2" s="1"/>
  <c r="AK845" i="2"/>
  <c r="AO719" i="2"/>
  <c r="T54" i="7"/>
  <c r="AL1143" i="2"/>
  <c r="AK1143" i="2"/>
  <c r="AQ614" i="2"/>
  <c r="AR617" i="2"/>
  <c r="AQ1304" i="2"/>
  <c r="AP569" i="2"/>
  <c r="AP1038" i="2" s="1"/>
  <c r="AP613" i="2"/>
  <c r="AP395" i="2"/>
  <c r="AP396" i="2" s="1"/>
  <c r="AP410" i="2" s="1"/>
  <c r="AP585" i="2" s="1"/>
  <c r="AS554" i="2"/>
  <c r="AS1033" i="2" s="1"/>
  <c r="AS361" i="2"/>
  <c r="AS362" i="2" s="1"/>
  <c r="AS572" i="2" s="1"/>
  <c r="O42" i="9"/>
  <c r="AC42" i="9" s="1"/>
  <c r="AO630" i="2"/>
  <c r="AO591" i="2" s="1"/>
  <c r="AN702" i="2"/>
  <c r="AL1001" i="2"/>
  <c r="AK1043" i="2"/>
  <c r="AK1041" i="2"/>
  <c r="AK1040" i="2"/>
  <c r="AK1078" i="2"/>
  <c r="P27" i="11" s="1"/>
  <c r="AL680" i="2"/>
  <c r="AK1042" i="2"/>
  <c r="AK1045" i="2"/>
  <c r="AK1044" i="2"/>
  <c r="AL1079" i="2"/>
  <c r="Q4" i="11"/>
  <c r="AC4" i="11" s="1"/>
  <c r="AL1168" i="2"/>
  <c r="AL1241" i="2"/>
  <c r="AB28" i="7"/>
  <c r="AN1037" i="2"/>
  <c r="AT1301" i="2"/>
  <c r="AT599" i="2"/>
  <c r="AK1001" i="2"/>
  <c r="AO1038" i="2"/>
  <c r="AD29" i="7"/>
  <c r="AF29" i="7" s="1"/>
  <c r="AO703" i="2"/>
  <c r="AP568" i="2" l="1"/>
  <c r="AP1037" i="2" s="1"/>
  <c r="AL1320" i="2"/>
  <c r="AL1113" i="2"/>
  <c r="AL1111" i="2" s="1"/>
  <c r="AL1307" i="2"/>
  <c r="AL1006" i="2"/>
  <c r="AL1082" i="2"/>
  <c r="Q31" i="11" s="1"/>
  <c r="AQ569" i="2"/>
  <c r="AQ1038" i="2" s="1"/>
  <c r="AQ613" i="2"/>
  <c r="AQ395" i="2"/>
  <c r="AQ396" i="2" s="1"/>
  <c r="AQ410" i="2" s="1"/>
  <c r="AQ585" i="2" s="1"/>
  <c r="AK1169" i="2"/>
  <c r="AK1170" i="2" s="1"/>
  <c r="AK1141" i="2"/>
  <c r="AK1104" i="2"/>
  <c r="AS688" i="2"/>
  <c r="AK877" i="2"/>
  <c r="AK1051" i="2"/>
  <c r="AK1050" i="2" s="1"/>
  <c r="AK1064" i="2"/>
  <c r="AK1063" i="2" s="1"/>
  <c r="AK1059" i="2"/>
  <c r="AK1048" i="2"/>
  <c r="AK1056" i="2" s="1"/>
  <c r="AK1061" i="2"/>
  <c r="AK806" i="2"/>
  <c r="AK784" i="2" s="1"/>
  <c r="AK1074" i="2"/>
  <c r="AK1075" i="2" s="1"/>
  <c r="P23" i="11" s="1"/>
  <c r="AK1060" i="2"/>
  <c r="AK1062" i="2"/>
  <c r="AK904" i="2"/>
  <c r="AK1052" i="2"/>
  <c r="AK1065" i="2"/>
  <c r="AK1113" i="2"/>
  <c r="AK1111" i="2" s="1"/>
  <c r="AK1082" i="2"/>
  <c r="P31" i="11" s="1"/>
  <c r="AK1006" i="2"/>
  <c r="AK1015" i="2" s="1"/>
  <c r="AK1307" i="2"/>
  <c r="AK1320" i="2"/>
  <c r="AL1040" i="2"/>
  <c r="AL1041" i="2"/>
  <c r="AL1043" i="2"/>
  <c r="AM680" i="2"/>
  <c r="AL1078" i="2"/>
  <c r="Q27" i="11" s="1"/>
  <c r="AC27" i="11" s="1"/>
  <c r="AL1042" i="2"/>
  <c r="AL1045" i="2"/>
  <c r="AL1044" i="2"/>
  <c r="AP703" i="2"/>
  <c r="AK872" i="2"/>
  <c r="AK1198" i="2"/>
  <c r="AK1201" i="2"/>
  <c r="AL1059" i="2"/>
  <c r="AL806" i="2"/>
  <c r="AL784" i="2" s="1"/>
  <c r="AL877" i="2"/>
  <c r="AL886" i="2" s="1"/>
  <c r="AL1074" i="2"/>
  <c r="AL1075" i="2" s="1"/>
  <c r="Q23" i="11" s="1"/>
  <c r="AC23" i="11" s="1"/>
  <c r="AC26" i="11" s="1"/>
  <c r="AL1064" i="2"/>
  <c r="AL1052" i="2"/>
  <c r="AL1048" i="2"/>
  <c r="AL1056" i="2" s="1"/>
  <c r="AL1067" i="2" s="1"/>
  <c r="AL1061" i="2"/>
  <c r="AL1062" i="2"/>
  <c r="AL1051" i="2"/>
  <c r="AL1050" i="2" s="1"/>
  <c r="AL904" i="2"/>
  <c r="AL1060" i="2"/>
  <c r="AL1065" i="2"/>
  <c r="AB3" i="9"/>
  <c r="AB27" i="11"/>
  <c r="AO546" i="2"/>
  <c r="AO833" i="2"/>
  <c r="AO1167" i="2"/>
  <c r="AO1296" i="2"/>
  <c r="AO1313" i="2"/>
  <c r="AO1306" i="2"/>
  <c r="AK1046" i="2"/>
  <c r="AN993" i="2"/>
  <c r="AN1240" i="2"/>
  <c r="AN996" i="2"/>
  <c r="AN999" i="2"/>
  <c r="AN998" i="2"/>
  <c r="AN859" i="2"/>
  <c r="AN992" i="2"/>
  <c r="AN995" i="2"/>
  <c r="AN997" i="2"/>
  <c r="AN846" i="2"/>
  <c r="AN844" i="2"/>
  <c r="AN1000" i="2" s="1"/>
  <c r="AS706" i="2"/>
  <c r="AP719" i="2"/>
  <c r="AO702" i="2"/>
  <c r="AT554" i="2"/>
  <c r="AT1033" i="2" s="1"/>
  <c r="AT361" i="2"/>
  <c r="AT362" i="2" s="1"/>
  <c r="AT572" i="2" s="1"/>
  <c r="AP630" i="2"/>
  <c r="AL1242" i="2"/>
  <c r="Q28" i="11"/>
  <c r="AQ658" i="2"/>
  <c r="AR614" i="2"/>
  <c r="AR1304" i="2"/>
  <c r="AS617" i="2"/>
  <c r="AL872" i="2"/>
  <c r="AL1201" i="2"/>
  <c r="AL1198" i="2"/>
  <c r="AL1015" i="2"/>
  <c r="AL416" i="2"/>
  <c r="AL1152" i="2" s="1"/>
  <c r="AL1101" i="2"/>
  <c r="AL417" i="2"/>
  <c r="AL1153" i="2" s="1"/>
  <c r="AL858" i="2"/>
  <c r="AM1095" i="2"/>
  <c r="AM1136" i="2" s="1"/>
  <c r="AM1021" i="2"/>
  <c r="Z6" i="7"/>
  <c r="V53" i="7"/>
  <c r="W53" i="7"/>
  <c r="W54" i="7" s="1"/>
  <c r="AN1095" i="2"/>
  <c r="AN1136" i="2" s="1"/>
  <c r="AB6" i="7"/>
  <c r="AN1021" i="2"/>
  <c r="AB4" i="11"/>
  <c r="AK1242" i="2"/>
  <c r="P28" i="11"/>
  <c r="AD28" i="7"/>
  <c r="AF28" i="7" s="1"/>
  <c r="AO1037" i="2"/>
  <c r="AL1169" i="2"/>
  <c r="AL1104" i="2"/>
  <c r="AL1141" i="2"/>
  <c r="AL1073" i="2"/>
  <c r="AK417" i="2"/>
  <c r="AK1153" i="2" s="1"/>
  <c r="AK416" i="2"/>
  <c r="AK1152" i="2" s="1"/>
  <c r="AK1101" i="2"/>
  <c r="AM859" i="2"/>
  <c r="AM844" i="2"/>
  <c r="AM1000" i="2" s="1"/>
  <c r="AM998" i="2"/>
  <c r="AM992" i="2"/>
  <c r="AM993" i="2"/>
  <c r="AM995" i="2"/>
  <c r="AM996" i="2"/>
  <c r="AM1240" i="2"/>
  <c r="AM1249" i="2" s="1"/>
  <c r="AM997" i="2"/>
  <c r="AM846" i="2"/>
  <c r="AM999" i="2"/>
  <c r="AL1046" i="2" l="1"/>
  <c r="AN845" i="2"/>
  <c r="AL1063" i="2"/>
  <c r="AQ630" i="2"/>
  <c r="AQ591" i="2" s="1"/>
  <c r="AK888" i="2"/>
  <c r="AK986" i="2"/>
  <c r="AK1172" i="2"/>
  <c r="AK1049" i="2"/>
  <c r="AK893" i="2"/>
  <c r="AK903" i="2" s="1"/>
  <c r="AN1143" i="2"/>
  <c r="AM1143" i="2"/>
  <c r="DF1268" i="2"/>
  <c r="AN1249" i="2"/>
  <c r="AK1070" i="2"/>
  <c r="P20" i="11" s="1"/>
  <c r="AK1097" i="2"/>
  <c r="AK1105" i="2"/>
  <c r="V54" i="7"/>
  <c r="Y54" i="7" s="1"/>
  <c r="Y53" i="7"/>
  <c r="AR630" i="2"/>
  <c r="AT688" i="2"/>
  <c r="AP702" i="2"/>
  <c r="AB23" i="11"/>
  <c r="AB26" i="11" s="1"/>
  <c r="AM845" i="2"/>
  <c r="T48" i="7"/>
  <c r="AL1145" i="2"/>
  <c r="AK1144" i="2"/>
  <c r="AK1145" i="2"/>
  <c r="AL1144" i="2"/>
  <c r="AK1067" i="2"/>
  <c r="AO1021" i="2"/>
  <c r="X53" i="7"/>
  <c r="X54" i="7" s="1"/>
  <c r="AO1095" i="2"/>
  <c r="AO1136" i="2" s="1"/>
  <c r="AO1143" i="2" s="1"/>
  <c r="AD6" i="7"/>
  <c r="AF6" i="7" s="1"/>
  <c r="AT706" i="2"/>
  <c r="AK886" i="2"/>
  <c r="AP591" i="2"/>
  <c r="R4" i="11"/>
  <c r="AM1241" i="2"/>
  <c r="AM1168" i="2"/>
  <c r="AM1079" i="2"/>
  <c r="AL1070" i="2"/>
  <c r="Q20" i="11" s="1"/>
  <c r="AL1097" i="2"/>
  <c r="AL1105" i="2"/>
  <c r="AL1212" i="2"/>
  <c r="AL1058" i="2"/>
  <c r="AL1055" i="2" s="1"/>
  <c r="AL1057" i="2" s="1"/>
  <c r="AL1068" i="2" s="1"/>
  <c r="AM948" i="2"/>
  <c r="AM1072" i="2"/>
  <c r="AM1073" i="2" s="1"/>
  <c r="AM873" i="2"/>
  <c r="AM1096" i="2"/>
  <c r="AM1137" i="2" s="1"/>
  <c r="AM857" i="2"/>
  <c r="AM1102" i="2"/>
  <c r="AM858" i="2"/>
  <c r="AN857" i="2"/>
  <c r="AN858" i="2"/>
  <c r="AN948" i="2"/>
  <c r="AN1102" i="2"/>
  <c r="AN1096" i="2"/>
  <c r="AN1137" i="2" s="1"/>
  <c r="AN1072" i="2"/>
  <c r="AN873" i="2"/>
  <c r="AQ703" i="2"/>
  <c r="AT617" i="2"/>
  <c r="AS614" i="2"/>
  <c r="AS1304" i="2"/>
  <c r="AN1168" i="2"/>
  <c r="AN1241" i="2"/>
  <c r="DF1269" i="2" s="1"/>
  <c r="S4" i="11"/>
  <c r="AE4" i="11" s="1"/>
  <c r="AN1079" i="2"/>
  <c r="AR613" i="2"/>
  <c r="AR569" i="2"/>
  <c r="AR1038" i="2" s="1"/>
  <c r="AR395" i="2"/>
  <c r="AR396" i="2" s="1"/>
  <c r="AR410" i="2" s="1"/>
  <c r="AR585" i="2" s="1"/>
  <c r="AN1012" i="2"/>
  <c r="AN863" i="2"/>
  <c r="AN872" i="2" s="1"/>
  <c r="AN1008" i="2"/>
  <c r="AN1002" i="2"/>
  <c r="AN1005" i="2"/>
  <c r="AN1009" i="2"/>
  <c r="AN1014" i="2"/>
  <c r="AN1003" i="2"/>
  <c r="AN1007" i="2"/>
  <c r="AN762" i="2"/>
  <c r="AN1013" i="2"/>
  <c r="AN1004" i="2"/>
  <c r="AM1001" i="2"/>
  <c r="AM1003" i="2"/>
  <c r="AM1012" i="2"/>
  <c r="AM1007" i="2"/>
  <c r="AM762" i="2"/>
  <c r="AM1005" i="2"/>
  <c r="AM1009" i="2"/>
  <c r="AM863" i="2"/>
  <c r="AM872" i="2" s="1"/>
  <c r="AM1002" i="2"/>
  <c r="AM1008" i="2"/>
  <c r="AM1004" i="2"/>
  <c r="AM1013" i="2"/>
  <c r="AM1014" i="2"/>
  <c r="AL1172" i="2"/>
  <c r="AL986" i="2"/>
  <c r="AL888" i="2"/>
  <c r="AL1049" i="2"/>
  <c r="AL893" i="2"/>
  <c r="AL903" i="2" s="1"/>
  <c r="X48" i="7"/>
  <c r="AQ568" i="2"/>
  <c r="AQ1037" i="2" s="1"/>
  <c r="AQ719" i="2"/>
  <c r="AO859" i="2"/>
  <c r="AO993" i="2"/>
  <c r="AO997" i="2"/>
  <c r="AO1240" i="2"/>
  <c r="AO1249" i="2" s="1"/>
  <c r="AO992" i="2"/>
  <c r="AO999" i="2"/>
  <c r="AO844" i="2"/>
  <c r="AO1000" i="2" s="1"/>
  <c r="AO996" i="2"/>
  <c r="AO998" i="2"/>
  <c r="AO995" i="2"/>
  <c r="AO846" i="2"/>
  <c r="AL1170" i="2"/>
  <c r="AR658" i="2"/>
  <c r="AM1041" i="2"/>
  <c r="AM1078" i="2"/>
  <c r="R27" i="11" s="1"/>
  <c r="AM1043" i="2"/>
  <c r="AN680" i="2"/>
  <c r="AM1040" i="2"/>
  <c r="AM1042" i="2"/>
  <c r="AM1045" i="2"/>
  <c r="AM1044" i="2"/>
  <c r="AK1212" i="2"/>
  <c r="AK1058" i="2"/>
  <c r="AK1055" i="2" s="1"/>
  <c r="AK1057" i="2" s="1"/>
  <c r="AK1068" i="2" s="1"/>
  <c r="P16" i="11" s="1"/>
  <c r="AB16" i="11" s="1"/>
  <c r="AB20" i="11" l="1"/>
  <c r="AB18" i="11"/>
  <c r="AB39" i="11" s="1"/>
  <c r="Q16" i="11"/>
  <c r="AC16" i="11" s="1"/>
  <c r="AL1066" i="2"/>
  <c r="AL1069" i="2" s="1"/>
  <c r="AN1101" i="2"/>
  <c r="AN416" i="2"/>
  <c r="AN1152" i="2" s="1"/>
  <c r="AN417" i="2"/>
  <c r="AN1153" i="2" s="1"/>
  <c r="AO1002" i="2"/>
  <c r="AO762" i="2"/>
  <c r="AO1009" i="2"/>
  <c r="AO1004" i="2"/>
  <c r="AO1013" i="2"/>
  <c r="AO863" i="2"/>
  <c r="AO872" i="2" s="1"/>
  <c r="AO1014" i="2"/>
  <c r="AO1007" i="2"/>
  <c r="AO1003" i="2"/>
  <c r="AO1012" i="2"/>
  <c r="AO1005" i="2"/>
  <c r="AO1008" i="2"/>
  <c r="AM1169" i="2"/>
  <c r="AM1170" i="2" s="1"/>
  <c r="AM1104" i="2"/>
  <c r="AM1141" i="2"/>
  <c r="AR719" i="2"/>
  <c r="AK1103" i="2"/>
  <c r="T49" i="7" s="1"/>
  <c r="AK1146" i="2"/>
  <c r="AS613" i="2"/>
  <c r="AS569" i="2"/>
  <c r="AS1038" i="2" s="1"/>
  <c r="AS395" i="2"/>
  <c r="AS396" i="2" s="1"/>
  <c r="AS410" i="2" s="1"/>
  <c r="AS585" i="2" s="1"/>
  <c r="AS630" i="2" s="1"/>
  <c r="R28" i="11"/>
  <c r="AM1242" i="2"/>
  <c r="AP1167" i="2"/>
  <c r="AP833" i="2"/>
  <c r="AP546" i="2"/>
  <c r="AP1313" i="2"/>
  <c r="AP1296" i="2"/>
  <c r="AP1306" i="2"/>
  <c r="AN1015" i="2"/>
  <c r="AQ1313" i="2"/>
  <c r="AQ1296" i="2"/>
  <c r="AQ1167" i="2"/>
  <c r="AQ546" i="2"/>
  <c r="AQ833" i="2"/>
  <c r="AQ1306" i="2"/>
  <c r="AK1081" i="2"/>
  <c r="P30" i="11" s="1"/>
  <c r="AK1106" i="2"/>
  <c r="AK1080" i="2"/>
  <c r="S28" i="11"/>
  <c r="AN1242" i="2"/>
  <c r="DF1270" i="2" s="1"/>
  <c r="AO1168" i="2"/>
  <c r="AO1079" i="2"/>
  <c r="V4" i="11"/>
  <c r="AO1241" i="2"/>
  <c r="AK1066" i="2"/>
  <c r="AK1069" i="2" s="1"/>
  <c r="AT1304" i="2"/>
  <c r="AT614" i="2"/>
  <c r="AM1006" i="2"/>
  <c r="AM1015" i="2" s="1"/>
  <c r="AM1113" i="2"/>
  <c r="AM1111" i="2" s="1"/>
  <c r="AM1320" i="2"/>
  <c r="AM1082" i="2"/>
  <c r="R31" i="11" s="1"/>
  <c r="AM1307" i="2"/>
  <c r="AM1198" i="2"/>
  <c r="AM1201" i="2"/>
  <c r="AM1074" i="2"/>
  <c r="AM1075" i="2" s="1"/>
  <c r="R23" i="11" s="1"/>
  <c r="AM1060" i="2"/>
  <c r="AM1064" i="2"/>
  <c r="AM1062" i="2"/>
  <c r="AM1061" i="2"/>
  <c r="AM1051" i="2"/>
  <c r="AM1065" i="2"/>
  <c r="AM1052" i="2"/>
  <c r="AM904" i="2"/>
  <c r="AM877" i="2"/>
  <c r="AM806" i="2"/>
  <c r="AM784" i="2" s="1"/>
  <c r="AM1048" i="2"/>
  <c r="AM1056" i="2" s="1"/>
  <c r="AM1067" i="2" s="1"/>
  <c r="AM1059" i="2"/>
  <c r="AD27" i="11"/>
  <c r="AL1080" i="2"/>
  <c r="AL1081" i="2"/>
  <c r="Q30" i="11" s="1"/>
  <c r="AL1106" i="2"/>
  <c r="AO1102" i="2"/>
  <c r="AO1072" i="2"/>
  <c r="AO1073" i="2" s="1"/>
  <c r="AO948" i="2"/>
  <c r="AO857" i="2"/>
  <c r="AO858" i="2" s="1"/>
  <c r="AO873" i="2"/>
  <c r="AO1096" i="2"/>
  <c r="AO1137" i="2" s="1"/>
  <c r="AN1201" i="2"/>
  <c r="AN1198" i="2"/>
  <c r="AR703" i="2"/>
  <c r="AS703" i="2" s="1"/>
  <c r="AN1059" i="2"/>
  <c r="AN806" i="2"/>
  <c r="AN784" i="2" s="1"/>
  <c r="AN1051" i="2"/>
  <c r="AN1065" i="2"/>
  <c r="AN1048" i="2"/>
  <c r="AN1056" i="2"/>
  <c r="AN1062" i="2"/>
  <c r="AN1074" i="2"/>
  <c r="AN1061" i="2"/>
  <c r="AN1060" i="2"/>
  <c r="AN1052" i="2"/>
  <c r="AN904" i="2"/>
  <c r="AN1064" i="2"/>
  <c r="AN877" i="2"/>
  <c r="AD4" i="11"/>
  <c r="T4" i="11"/>
  <c r="AN1082" i="2"/>
  <c r="S31" i="11" s="1"/>
  <c r="AN1113" i="2"/>
  <c r="AN1111" i="2" s="1"/>
  <c r="AN1307" i="2"/>
  <c r="AN1320" i="2"/>
  <c r="AN1006" i="2"/>
  <c r="AM417" i="2"/>
  <c r="AM1153" i="2" s="1"/>
  <c r="AM1101" i="2"/>
  <c r="AM416" i="2"/>
  <c r="AM1152" i="2" s="1"/>
  <c r="AM1046" i="2"/>
  <c r="AR568" i="2"/>
  <c r="AR1037" i="2" s="1"/>
  <c r="AR591" i="2"/>
  <c r="AN1041" i="2"/>
  <c r="AN1043" i="2"/>
  <c r="AO680" i="2"/>
  <c r="AN1078" i="2"/>
  <c r="S27" i="11" s="1"/>
  <c r="AE27" i="11" s="1"/>
  <c r="AN1040" i="2"/>
  <c r="AN1042" i="2"/>
  <c r="AN1045" i="2"/>
  <c r="AN1044" i="2"/>
  <c r="AL1103" i="2"/>
  <c r="X49" i="7" s="1"/>
  <c r="AL1146" i="2"/>
  <c r="AS658" i="2"/>
  <c r="AT658" i="2" s="1"/>
  <c r="AL1217" i="2"/>
  <c r="AK1217" i="2"/>
  <c r="AN1073" i="2"/>
  <c r="AN1104" i="2"/>
  <c r="AN1169" i="2"/>
  <c r="AN1141" i="2"/>
  <c r="AQ702" i="2"/>
  <c r="AN1170" i="2" l="1"/>
  <c r="AN1063" i="2"/>
  <c r="AK946" i="2"/>
  <c r="AL1148" i="2"/>
  <c r="V28" i="11"/>
  <c r="AO1242" i="2"/>
  <c r="AT613" i="2"/>
  <c r="AT569" i="2"/>
  <c r="AT1038" i="2" s="1"/>
  <c r="AT395" i="2"/>
  <c r="AT396" i="2" s="1"/>
  <c r="AT410" i="2" s="1"/>
  <c r="AT585" i="2" s="1"/>
  <c r="AT630" i="2" s="1"/>
  <c r="AN1058" i="2"/>
  <c r="AN1212" i="2"/>
  <c r="AP1021" i="2"/>
  <c r="AP1095" i="2"/>
  <c r="AP1136" i="2" s="1"/>
  <c r="AP1240" i="2"/>
  <c r="AP1249" i="2" s="1"/>
  <c r="AP846" i="2"/>
  <c r="AP999" i="2"/>
  <c r="AP995" i="2"/>
  <c r="AP844" i="2"/>
  <c r="AP1000" i="2" s="1"/>
  <c r="AP859" i="2"/>
  <c r="AP993" i="2"/>
  <c r="AP997" i="2"/>
  <c r="AP992" i="2"/>
  <c r="AP998" i="2"/>
  <c r="AP996" i="2"/>
  <c r="AO806" i="2"/>
  <c r="AO784" i="2" s="1"/>
  <c r="AO1064" i="2"/>
  <c r="AO877" i="2"/>
  <c r="AO904" i="2"/>
  <c r="AO1059" i="2"/>
  <c r="AO886" i="2"/>
  <c r="AO1048" i="2"/>
  <c r="AO1061" i="2"/>
  <c r="AO1062" i="2"/>
  <c r="AO1052" i="2"/>
  <c r="AO1060" i="2"/>
  <c r="AO1051" i="2"/>
  <c r="AO1050" i="2" s="1"/>
  <c r="AO1065" i="2"/>
  <c r="AO1056" i="2"/>
  <c r="AO1067" i="2" s="1"/>
  <c r="AO1074" i="2"/>
  <c r="AO1075" i="2" s="1"/>
  <c r="V23" i="11" s="1"/>
  <c r="AF23" i="11" s="1"/>
  <c r="AN1049" i="2"/>
  <c r="AN893" i="2"/>
  <c r="AN903" i="2" s="1"/>
  <c r="AN986" i="2"/>
  <c r="AN1172" i="2"/>
  <c r="AN888" i="2"/>
  <c r="AO1169" i="2"/>
  <c r="AO1170" i="2" s="1"/>
  <c r="AO1141" i="2"/>
  <c r="AO1144" i="2" s="1"/>
  <c r="AO1104" i="2"/>
  <c r="AO1201" i="2"/>
  <c r="AO1198" i="2"/>
  <c r="AJ946" i="2"/>
  <c r="AK1148" i="2"/>
  <c r="AQ859" i="2"/>
  <c r="AQ992" i="2"/>
  <c r="AQ995" i="2"/>
  <c r="AQ999" i="2"/>
  <c r="AQ997" i="2"/>
  <c r="AQ844" i="2"/>
  <c r="AQ1000" i="2" s="1"/>
  <c r="AQ998" i="2"/>
  <c r="AQ996" i="2"/>
  <c r="AQ993" i="2"/>
  <c r="AQ1240" i="2"/>
  <c r="AQ1249" i="2" s="1"/>
  <c r="AQ846" i="2"/>
  <c r="AB48" i="7"/>
  <c r="AN1067" i="2"/>
  <c r="AS719" i="2"/>
  <c r="Q18" i="11"/>
  <c r="AL1071" i="2"/>
  <c r="Q22" i="11" s="1"/>
  <c r="AC22" i="11" s="1"/>
  <c r="AK1243" i="2"/>
  <c r="P29" i="11"/>
  <c r="AK1246" i="2"/>
  <c r="AK1247" i="2" s="1"/>
  <c r="AK1248" i="2" s="1"/>
  <c r="AD23" i="11"/>
  <c r="AD26" i="11" s="1"/>
  <c r="AR702" i="2"/>
  <c r="AN1075" i="2"/>
  <c r="S23" i="11" s="1"/>
  <c r="AE23" i="11" s="1"/>
  <c r="AE26" i="11" s="1"/>
  <c r="AL1246" i="2"/>
  <c r="AL1247" i="2" s="1"/>
  <c r="AL1248" i="2" s="1"/>
  <c r="AL1243" i="2"/>
  <c r="Q29" i="11"/>
  <c r="T27" i="11"/>
  <c r="AM1058" i="2"/>
  <c r="AM1212" i="2"/>
  <c r="AN1144" i="2"/>
  <c r="Z48" i="7"/>
  <c r="AN1145" i="2"/>
  <c r="AM1145" i="2"/>
  <c r="AM1144" i="2"/>
  <c r="AC20" i="11"/>
  <c r="AC18" i="11"/>
  <c r="AC39" i="11" s="1"/>
  <c r="AK1071" i="2"/>
  <c r="P22" i="11" s="1"/>
  <c r="P18" i="11"/>
  <c r="AM1050" i="2"/>
  <c r="AN1046" i="2"/>
  <c r="AS568" i="2"/>
  <c r="AS1037" i="2" s="1"/>
  <c r="AS591" i="2"/>
  <c r="AR1167" i="2"/>
  <c r="AR1296" i="2"/>
  <c r="AR1313" i="2"/>
  <c r="AR546" i="2"/>
  <c r="AR833" i="2"/>
  <c r="AR1306" i="2"/>
  <c r="AM1097" i="2"/>
  <c r="AM1105" i="2"/>
  <c r="AM1070" i="2"/>
  <c r="R20" i="11" s="1"/>
  <c r="AM986" i="2"/>
  <c r="AM1049" i="2"/>
  <c r="AM893" i="2"/>
  <c r="AM903" i="2" s="1"/>
  <c r="AM1172" i="2"/>
  <c r="AM888" i="2"/>
  <c r="AO1082" i="2"/>
  <c r="V31" i="11" s="1"/>
  <c r="AO1113" i="2"/>
  <c r="AO1111" i="2" s="1"/>
  <c r="AO1307" i="2"/>
  <c r="AO1320" i="2"/>
  <c r="AO1006" i="2"/>
  <c r="AO1015" i="2" s="1"/>
  <c r="AO416" i="2"/>
  <c r="AO1152" i="2" s="1"/>
  <c r="AO1101" i="2"/>
  <c r="AO417" i="2"/>
  <c r="AO1153" i="2" s="1"/>
  <c r="AO1041" i="2"/>
  <c r="AO1043" i="2"/>
  <c r="AP680" i="2"/>
  <c r="AO1040" i="2"/>
  <c r="AO1078" i="2"/>
  <c r="V27" i="11" s="1"/>
  <c r="AF27" i="11" s="1"/>
  <c r="AO1042" i="2"/>
  <c r="AO1045" i="2"/>
  <c r="AO1044" i="2"/>
  <c r="AM1063" i="2"/>
  <c r="AN886" i="2"/>
  <c r="AQ1021" i="2"/>
  <c r="AQ1095" i="2"/>
  <c r="AQ1136" i="2" s="1"/>
  <c r="AN1070" i="2"/>
  <c r="S20" i="11" s="1"/>
  <c r="U22" i="11" s="1"/>
  <c r="AN1105" i="2"/>
  <c r="AN1097" i="2"/>
  <c r="AN1050" i="2"/>
  <c r="AN1055" i="2" s="1"/>
  <c r="AN1057" i="2" s="1"/>
  <c r="AN1068" i="2" s="1"/>
  <c r="S16" i="11" s="1"/>
  <c r="AE16" i="11" s="1"/>
  <c r="AM886" i="2"/>
  <c r="AM1217" i="2" l="1"/>
  <c r="AT703" i="2"/>
  <c r="AM1055" i="2"/>
  <c r="AM1057" i="2" s="1"/>
  <c r="AM1068" i="2" s="1"/>
  <c r="R16" i="11" s="1"/>
  <c r="AD16" i="11" s="1"/>
  <c r="AD18" i="11" s="1"/>
  <c r="AD39" i="11" s="1"/>
  <c r="T23" i="11"/>
  <c r="AO1103" i="2"/>
  <c r="AD49" i="7" s="1"/>
  <c r="AO1146" i="2"/>
  <c r="AO1148" i="2" s="1"/>
  <c r="AP863" i="2"/>
  <c r="AP762" i="2"/>
  <c r="AP1002" i="2"/>
  <c r="AP1005" i="2"/>
  <c r="AP1007" i="2"/>
  <c r="AP1014" i="2"/>
  <c r="AP872" i="2"/>
  <c r="AP1003" i="2"/>
  <c r="AP1004" i="2"/>
  <c r="AP1012" i="2"/>
  <c r="AP1008" i="2"/>
  <c r="AP1009" i="2"/>
  <c r="AP1013" i="2"/>
  <c r="AD20" i="11"/>
  <c r="AE20" i="11"/>
  <c r="AE18" i="11"/>
  <c r="AE39" i="11" s="1"/>
  <c r="AF16" i="11"/>
  <c r="AS1167" i="2"/>
  <c r="AS1313" i="2"/>
  <c r="AS1296" i="2"/>
  <c r="AS546" i="2"/>
  <c r="AS833" i="2"/>
  <c r="AS1306" i="2"/>
  <c r="AS702" i="2"/>
  <c r="AR1143" i="2"/>
  <c r="AT719" i="2"/>
  <c r="AT568" i="2"/>
  <c r="AT1037" i="2" s="1"/>
  <c r="AT591" i="2"/>
  <c r="AR1240" i="2"/>
  <c r="AR1249" i="2" s="1"/>
  <c r="AR844" i="2"/>
  <c r="AR1000" i="2" s="1"/>
  <c r="AR993" i="2"/>
  <c r="AR846" i="2"/>
  <c r="AR998" i="2"/>
  <c r="AR999" i="2"/>
  <c r="AR992" i="2"/>
  <c r="AR997" i="2"/>
  <c r="AR859" i="2"/>
  <c r="AR996" i="2"/>
  <c r="AR995" i="2"/>
  <c r="AR1095" i="2"/>
  <c r="AR1136" i="2" s="1"/>
  <c r="AR1021" i="2"/>
  <c r="AN1106" i="2"/>
  <c r="AN1080" i="2"/>
  <c r="AN1081" i="2"/>
  <c r="S30" i="11" s="1"/>
  <c r="AB22" i="11"/>
  <c r="AQ1143" i="2"/>
  <c r="AP1143" i="2"/>
  <c r="AQ762" i="2"/>
  <c r="AQ1007" i="2"/>
  <c r="AQ1014" i="2"/>
  <c r="AQ1002" i="2"/>
  <c r="AQ1009" i="2"/>
  <c r="AQ1008" i="2"/>
  <c r="AQ1004" i="2"/>
  <c r="AQ1012" i="2"/>
  <c r="AQ1003" i="2"/>
  <c r="AQ863" i="2"/>
  <c r="AQ872" i="2"/>
  <c r="AQ1005" i="2"/>
  <c r="AQ1013" i="2"/>
  <c r="AP1079" i="2"/>
  <c r="AP1242" i="2" s="1"/>
  <c r="AP1241" i="2"/>
  <c r="AP1168" i="2"/>
  <c r="AM1146" i="2"/>
  <c r="AM1103" i="2"/>
  <c r="Z49" i="7" s="1"/>
  <c r="AM1066" i="2"/>
  <c r="AM1069" i="2" s="1"/>
  <c r="AO1212" i="2"/>
  <c r="AO1058" i="2"/>
  <c r="AN1146" i="2"/>
  <c r="AN1103" i="2"/>
  <c r="AB49" i="7" s="1"/>
  <c r="AO1097" i="2"/>
  <c r="AO1105" i="2"/>
  <c r="AO1070" i="2"/>
  <c r="V20" i="11" s="1"/>
  <c r="AO1063" i="2"/>
  <c r="AQ1102" i="2"/>
  <c r="AQ1096" i="2"/>
  <c r="AQ1137" i="2" s="1"/>
  <c r="AQ873" i="2"/>
  <c r="AQ1072" i="2"/>
  <c r="AQ857" i="2"/>
  <c r="AQ948" i="2"/>
  <c r="AG23" i="11"/>
  <c r="AF26" i="11"/>
  <c r="AP1102" i="2"/>
  <c r="AP1072" i="2"/>
  <c r="AP1073" i="2" s="1"/>
  <c r="AP857" i="2"/>
  <c r="AP858" i="2"/>
  <c r="AP1096" i="2"/>
  <c r="AP1137" i="2" s="1"/>
  <c r="AP948" i="2"/>
  <c r="AP873" i="2"/>
  <c r="AQ1079" i="2"/>
  <c r="AQ1242" i="2" s="1"/>
  <c r="AQ1168" i="2"/>
  <c r="AQ1241" i="2"/>
  <c r="AF48" i="7"/>
  <c r="AO1049" i="2"/>
  <c r="AO1172" i="2"/>
  <c r="AO893" i="2"/>
  <c r="AO903" i="2" s="1"/>
  <c r="AO986" i="2"/>
  <c r="AO888" i="2"/>
  <c r="AN1066" i="2"/>
  <c r="AN1069" i="2" s="1"/>
  <c r="AD48" i="7"/>
  <c r="AP1043" i="2"/>
  <c r="AP1078" i="2"/>
  <c r="AP1041" i="2"/>
  <c r="AQ680" i="2"/>
  <c r="AP1040" i="2"/>
  <c r="AP1042" i="2"/>
  <c r="AP1045" i="2"/>
  <c r="AP1044" i="2"/>
  <c r="AO1055" i="2"/>
  <c r="AO1057" i="2" s="1"/>
  <c r="AO1068" i="2" s="1"/>
  <c r="V16" i="11" s="1"/>
  <c r="AM1106" i="2"/>
  <c r="AM1080" i="2"/>
  <c r="AM1081" i="2"/>
  <c r="R30" i="11" s="1"/>
  <c r="AO1046" i="2"/>
  <c r="AO1145" i="2"/>
  <c r="AN1217" i="2"/>
  <c r="AP1074" i="2" l="1"/>
  <c r="AP1075" i="2" s="1"/>
  <c r="AP877" i="2"/>
  <c r="AP1064" i="2"/>
  <c r="AP1062" i="2"/>
  <c r="AP806" i="2"/>
  <c r="AP784" i="2" s="1"/>
  <c r="AP1059" i="2"/>
  <c r="AP1052" i="2"/>
  <c r="AP904" i="2"/>
  <c r="AP1061" i="2"/>
  <c r="AP1065" i="2"/>
  <c r="AP1051" i="2"/>
  <c r="AP1050" i="2" s="1"/>
  <c r="AP886" i="2"/>
  <c r="AP1048" i="2"/>
  <c r="AP1056" i="2" s="1"/>
  <c r="AP1067" i="2" s="1"/>
  <c r="AP1060" i="2"/>
  <c r="AN1148" i="2"/>
  <c r="AM946" i="2"/>
  <c r="AR680" i="2"/>
  <c r="AQ1040" i="2"/>
  <c r="AQ1046" i="2" s="1"/>
  <c r="AQ1043" i="2"/>
  <c r="AQ1041" i="2"/>
  <c r="AQ1078" i="2"/>
  <c r="AQ1042" i="2"/>
  <c r="AQ1045" i="2"/>
  <c r="AQ1044" i="2"/>
  <c r="AL946" i="2"/>
  <c r="AM1148" i="2"/>
  <c r="AT702" i="2"/>
  <c r="AR1168" i="2"/>
  <c r="AR1079" i="2"/>
  <c r="AR1242" i="2" s="1"/>
  <c r="AR1241" i="2"/>
  <c r="AS1021" i="2"/>
  <c r="AS1095" i="2"/>
  <c r="AS1136" i="2" s="1"/>
  <c r="AP1201" i="2"/>
  <c r="AP1198" i="2"/>
  <c r="AT1313" i="2"/>
  <c r="AT1167" i="2"/>
  <c r="AT546" i="2"/>
  <c r="AT833" i="2"/>
  <c r="AT1296" i="2"/>
  <c r="AT1306" i="2"/>
  <c r="S18" i="11"/>
  <c r="AN1071" i="2"/>
  <c r="S22" i="11" s="1"/>
  <c r="AE22" i="11" s="1"/>
  <c r="AQ1073" i="2"/>
  <c r="AS999" i="2"/>
  <c r="AS846" i="2"/>
  <c r="AS996" i="2"/>
  <c r="AS998" i="2"/>
  <c r="AS859" i="2"/>
  <c r="AS844" i="2"/>
  <c r="AS1000" i="2" s="1"/>
  <c r="AS1240" i="2"/>
  <c r="AS1249" i="2" s="1"/>
  <c r="AS997" i="2"/>
  <c r="AS992" i="2"/>
  <c r="AS993" i="2"/>
  <c r="AS995" i="2"/>
  <c r="AQ1006" i="2"/>
  <c r="AQ1015" i="2" s="1"/>
  <c r="AQ1320" i="2"/>
  <c r="AQ1082" i="2"/>
  <c r="AQ1307" i="2"/>
  <c r="AQ1113" i="2"/>
  <c r="AQ1111" i="2" s="1"/>
  <c r="AP1113" i="2"/>
  <c r="AP1111" i="2" s="1"/>
  <c r="AP1320" i="2"/>
  <c r="AP1006" i="2"/>
  <c r="AP1082" i="2"/>
  <c r="AP1307" i="2"/>
  <c r="AF20" i="11"/>
  <c r="AF25" i="11" s="1"/>
  <c r="AG16" i="11"/>
  <c r="AQ1201" i="2"/>
  <c r="AQ1198" i="2"/>
  <c r="AP1046" i="2"/>
  <c r="AP417" i="2"/>
  <c r="AP1153" i="2" s="1"/>
  <c r="AP1101" i="2"/>
  <c r="AP416" i="2"/>
  <c r="AP1152" i="2" s="1"/>
  <c r="AP1169" i="2"/>
  <c r="AP1170" i="2" s="1"/>
  <c r="AP1104" i="2"/>
  <c r="AP1141" i="2"/>
  <c r="AS1143" i="2"/>
  <c r="AR1008" i="2"/>
  <c r="AR1009" i="2"/>
  <c r="AR1014" i="2"/>
  <c r="AR1007" i="2"/>
  <c r="AR1013" i="2"/>
  <c r="AR1012" i="2"/>
  <c r="AR762" i="2"/>
  <c r="AR863" i="2"/>
  <c r="AR1004" i="2"/>
  <c r="AR1005" i="2"/>
  <c r="AR1002" i="2"/>
  <c r="AR1003" i="2"/>
  <c r="AO1081" i="2"/>
  <c r="V30" i="11" s="1"/>
  <c r="AO1080" i="2"/>
  <c r="AO1106" i="2"/>
  <c r="AO1066" i="2"/>
  <c r="AO1069" i="2" s="1"/>
  <c r="AR1096" i="2"/>
  <c r="AR1137" i="2" s="1"/>
  <c r="AR1072" i="2"/>
  <c r="AR1073" i="2" s="1"/>
  <c r="AR857" i="2"/>
  <c r="AR948" i="2"/>
  <c r="AR1102" i="2"/>
  <c r="AR873" i="2"/>
  <c r="AM1071" i="2"/>
  <c r="R22" i="11" s="1"/>
  <c r="R18" i="11"/>
  <c r="T18" i="11" s="1"/>
  <c r="AF49" i="7"/>
  <c r="AH23" i="11"/>
  <c r="AG26" i="11"/>
  <c r="S29" i="11"/>
  <c r="AN1243" i="2"/>
  <c r="DF1271" i="2" s="1"/>
  <c r="AN1246" i="2"/>
  <c r="AQ417" i="2"/>
  <c r="AQ1153" i="2" s="1"/>
  <c r="AQ416" i="2"/>
  <c r="AQ1152" i="2" s="1"/>
  <c r="AQ1101" i="2"/>
  <c r="AP1015" i="2"/>
  <c r="AQ1051" i="2"/>
  <c r="AQ1050" i="2" s="1"/>
  <c r="AQ1060" i="2"/>
  <c r="AQ1065" i="2"/>
  <c r="AQ904" i="2"/>
  <c r="AQ806" i="2"/>
  <c r="AQ784" i="2" s="1"/>
  <c r="AQ877" i="2"/>
  <c r="AQ886" i="2" s="1"/>
  <c r="AQ1059" i="2"/>
  <c r="AQ1074" i="2"/>
  <c r="AQ1075" i="2" s="1"/>
  <c r="AQ1064" i="2"/>
  <c r="AQ1048" i="2"/>
  <c r="AQ1056" i="2" s="1"/>
  <c r="AQ1067" i="2" s="1"/>
  <c r="AQ1061" i="2"/>
  <c r="AQ1052" i="2"/>
  <c r="AQ1062" i="2"/>
  <c r="AQ858" i="2"/>
  <c r="AM1243" i="2"/>
  <c r="R29" i="11"/>
  <c r="AM1246" i="2"/>
  <c r="AM1247" i="2" s="1"/>
  <c r="AM1248" i="2" s="1"/>
  <c r="AO1217" i="2"/>
  <c r="AQ1141" i="2"/>
  <c r="AQ1104" i="2"/>
  <c r="AQ1169" i="2"/>
  <c r="AQ1170" i="2" l="1"/>
  <c r="AS1079" i="2"/>
  <c r="AS1242" i="2" s="1"/>
  <c r="AS1241" i="2"/>
  <c r="AS1168" i="2"/>
  <c r="AR416" i="2"/>
  <c r="AR1152" i="2" s="1"/>
  <c r="AR417" i="2"/>
  <c r="AR1153" i="2" s="1"/>
  <c r="AR1101" i="2"/>
  <c r="AD22" i="11"/>
  <c r="T22" i="11"/>
  <c r="AT1021" i="2"/>
  <c r="AT1095" i="2"/>
  <c r="AT1136" i="2" s="1"/>
  <c r="AT1143" i="2" s="1"/>
  <c r="AR1113" i="2"/>
  <c r="AR1111" i="2" s="1"/>
  <c r="AR1320" i="2"/>
  <c r="AR1307" i="2"/>
  <c r="AR1006" i="2"/>
  <c r="AR1015" i="2" s="1"/>
  <c r="AR1082" i="2"/>
  <c r="AR872" i="2"/>
  <c r="AP1063" i="2"/>
  <c r="AQ1144" i="2"/>
  <c r="AQ1103" i="2" s="1"/>
  <c r="AP1144" i="2"/>
  <c r="AP1103" i="2" s="1"/>
  <c r="AR1043" i="2"/>
  <c r="AR1078" i="2"/>
  <c r="AR1040" i="2"/>
  <c r="AS680" i="2"/>
  <c r="AR1041" i="2"/>
  <c r="AR1042" i="2"/>
  <c r="AR1045" i="2"/>
  <c r="AR1044" i="2"/>
  <c r="AR1104" i="2"/>
  <c r="AR1141" i="2"/>
  <c r="AR1169" i="2"/>
  <c r="AR1170" i="2" s="1"/>
  <c r="AS863" i="2"/>
  <c r="AS1007" i="2"/>
  <c r="AS1012" i="2"/>
  <c r="AS1003" i="2"/>
  <c r="AS1002" i="2"/>
  <c r="AS1008" i="2"/>
  <c r="AS762" i="2"/>
  <c r="AS1004" i="2"/>
  <c r="AS1005" i="2"/>
  <c r="AS1014" i="2"/>
  <c r="AS1013" i="2"/>
  <c r="AS1009" i="2"/>
  <c r="AG20" i="11"/>
  <c r="AG25" i="11" s="1"/>
  <c r="AH16" i="11"/>
  <c r="AS948" i="2"/>
  <c r="AS873" i="2"/>
  <c r="AS1072" i="2"/>
  <c r="AS1073" i="2" s="1"/>
  <c r="AS857" i="2"/>
  <c r="AS858" i="2" s="1"/>
  <c r="AS1102" i="2"/>
  <c r="AS1096" i="2"/>
  <c r="AS1137" i="2" s="1"/>
  <c r="AP1212" i="2"/>
  <c r="AP1058" i="2"/>
  <c r="AP1055" i="2" s="1"/>
  <c r="AP1057" i="2" s="1"/>
  <c r="AP1068" i="2" s="1"/>
  <c r="AP1066" i="2" s="1"/>
  <c r="AP1069" i="2" s="1"/>
  <c r="AR1056" i="2"/>
  <c r="AR1074" i="2"/>
  <c r="AR1075" i="2" s="1"/>
  <c r="AR1051" i="2"/>
  <c r="AR877" i="2"/>
  <c r="AR886" i="2" s="1"/>
  <c r="AR1059" i="2"/>
  <c r="AR1064" i="2"/>
  <c r="AR806" i="2"/>
  <c r="AR784" i="2" s="1"/>
  <c r="AR904" i="2"/>
  <c r="AR1062" i="2"/>
  <c r="AR1048" i="2"/>
  <c r="AR1052" i="2"/>
  <c r="AR1065" i="2"/>
  <c r="AR1060" i="2"/>
  <c r="AR1061" i="2"/>
  <c r="AQ1058" i="2"/>
  <c r="AQ1212" i="2"/>
  <c r="AP888" i="2"/>
  <c r="AP986" i="2"/>
  <c r="AP1172" i="2"/>
  <c r="AP1049" i="2"/>
  <c r="AP1217" i="2" s="1"/>
  <c r="AP893" i="2"/>
  <c r="AP903" i="2" s="1"/>
  <c r="AT859" i="2"/>
  <c r="AT993" i="2"/>
  <c r="AT992" i="2"/>
  <c r="AT998" i="2"/>
  <c r="AT996" i="2"/>
  <c r="AT844" i="2"/>
  <c r="AT1000" i="2" s="1"/>
  <c r="AT997" i="2"/>
  <c r="AT999" i="2"/>
  <c r="AT1240" i="2"/>
  <c r="AT1249" i="2" s="1"/>
  <c r="AT995" i="2"/>
  <c r="AT846" i="2"/>
  <c r="AQ1105" i="2"/>
  <c r="AQ1097" i="2"/>
  <c r="AP1105" i="2"/>
  <c r="AP1097" i="2"/>
  <c r="AQ1055" i="2"/>
  <c r="AQ1057" i="2" s="1"/>
  <c r="AQ1068" i="2" s="1"/>
  <c r="AQ1066" i="2" s="1"/>
  <c r="AQ1069" i="2" s="1"/>
  <c r="AO1071" i="2"/>
  <c r="V22" i="11" s="1"/>
  <c r="AF22" i="11" s="1"/>
  <c r="V18" i="11"/>
  <c r="AO1246" i="2"/>
  <c r="AO1247" i="2" s="1"/>
  <c r="AO1248" i="2" s="1"/>
  <c r="AO1243" i="2"/>
  <c r="V29" i="11"/>
  <c r="DF1274" i="2"/>
  <c r="AN1247" i="2"/>
  <c r="AI23" i="11"/>
  <c r="AH26" i="11"/>
  <c r="AR1198" i="2"/>
  <c r="AR1201" i="2"/>
  <c r="AQ1063" i="2"/>
  <c r="AQ1049" i="2"/>
  <c r="AQ893" i="2"/>
  <c r="AQ903" i="2" s="1"/>
  <c r="AQ1172" i="2"/>
  <c r="AQ888" i="2"/>
  <c r="AQ986" i="2"/>
  <c r="AR858" i="2"/>
  <c r="AR1067" i="2" l="1"/>
  <c r="AS1320" i="2"/>
  <c r="AS1113" i="2"/>
  <c r="AS1111" i="2" s="1"/>
  <c r="AS1006" i="2"/>
  <c r="AS1015" i="2" s="1"/>
  <c r="AS1307" i="2"/>
  <c r="AS1082" i="2"/>
  <c r="AS1144" i="2"/>
  <c r="AS1103" i="2" s="1"/>
  <c r="AP1080" i="2"/>
  <c r="AP1106" i="2"/>
  <c r="AP1070" i="2"/>
  <c r="AP1081" i="2"/>
  <c r="AQ1080" i="2"/>
  <c r="AQ1070" i="2"/>
  <c r="AQ1106" i="2"/>
  <c r="AQ1081" i="2"/>
  <c r="AS904" i="2"/>
  <c r="AS1048" i="2"/>
  <c r="AS1056" i="2" s="1"/>
  <c r="AS1067" i="2" s="1"/>
  <c r="AS1061" i="2"/>
  <c r="AS1062" i="2"/>
  <c r="AS1065" i="2"/>
  <c r="AS1051" i="2"/>
  <c r="AS877" i="2"/>
  <c r="AS886" i="2"/>
  <c r="AS1052" i="2"/>
  <c r="AS1059" i="2"/>
  <c r="AS1064" i="2"/>
  <c r="AS1074" i="2"/>
  <c r="AS1075" i="2" s="1"/>
  <c r="AS1060" i="2"/>
  <c r="AS806" i="2"/>
  <c r="AS784" i="2" s="1"/>
  <c r="AT857" i="2"/>
  <c r="AT948" i="2"/>
  <c r="AT1102" i="2"/>
  <c r="AT1072" i="2"/>
  <c r="AT1073" i="2" s="1"/>
  <c r="AT1096" i="2"/>
  <c r="AT1137" i="2" s="1"/>
  <c r="AT858" i="2"/>
  <c r="AT873" i="2"/>
  <c r="AR1097" i="2"/>
  <c r="AR1105" i="2"/>
  <c r="AI26" i="11"/>
  <c r="AJ23" i="11"/>
  <c r="AS872" i="2"/>
  <c r="AS1104" i="2"/>
  <c r="AS1141" i="2"/>
  <c r="AS1169" i="2"/>
  <c r="AS1170" i="2" s="1"/>
  <c r="AQ1217" i="2"/>
  <c r="AI16" i="11"/>
  <c r="AH20" i="11"/>
  <c r="AH25" i="11" s="1"/>
  <c r="AS1040" i="2"/>
  <c r="AS1078" i="2"/>
  <c r="AS1041" i="2"/>
  <c r="AS1043" i="2"/>
  <c r="AT680" i="2"/>
  <c r="AS1042" i="2"/>
  <c r="AS1045" i="2"/>
  <c r="AS1044" i="2"/>
  <c r="AR1063" i="2"/>
  <c r="AR1049" i="2"/>
  <c r="AR1217" i="2" s="1"/>
  <c r="AR986" i="2"/>
  <c r="AR893" i="2"/>
  <c r="AR903" i="2" s="1"/>
  <c r="AR888" i="2"/>
  <c r="AR1172" i="2"/>
  <c r="AR1144" i="2"/>
  <c r="AR1103" i="2" s="1"/>
  <c r="AS1198" i="2"/>
  <c r="AS1201" i="2"/>
  <c r="AS417" i="2"/>
  <c r="AS1153" i="2" s="1"/>
  <c r="AS1101" i="2"/>
  <c r="AS416" i="2"/>
  <c r="AS1152" i="2" s="1"/>
  <c r="AT1168" i="2"/>
  <c r="AT1241" i="2"/>
  <c r="AT1079" i="2"/>
  <c r="AT1242" i="2" s="1"/>
  <c r="AN1248" i="2"/>
  <c r="DF1276" i="2" s="1"/>
  <c r="DF1275" i="2"/>
  <c r="AR1046" i="2"/>
  <c r="AR1212" i="2"/>
  <c r="AR1058" i="2"/>
  <c r="AT863" i="2"/>
  <c r="AT872" i="2" s="1"/>
  <c r="AT1002" i="2"/>
  <c r="AT1008" i="2"/>
  <c r="AT1013" i="2"/>
  <c r="AT1003" i="2"/>
  <c r="AT1004" i="2"/>
  <c r="AT1012" i="2"/>
  <c r="AT1009" i="2"/>
  <c r="AT1007" i="2"/>
  <c r="AT762" i="2"/>
  <c r="AT1005" i="2"/>
  <c r="AT1014" i="2"/>
  <c r="AR1050" i="2"/>
  <c r="AJ26" i="11" l="1"/>
  <c r="AK23" i="11"/>
  <c r="AT1015" i="2"/>
  <c r="AR1070" i="2"/>
  <c r="AR1080" i="2"/>
  <c r="AR1081" i="2"/>
  <c r="AR1106" i="2"/>
  <c r="AT1078" i="2"/>
  <c r="AT1041" i="2"/>
  <c r="AT1043" i="2"/>
  <c r="AT1040" i="2"/>
  <c r="AT1042" i="2"/>
  <c r="AT1045" i="2"/>
  <c r="AT1044" i="2"/>
  <c r="AP1243" i="2"/>
  <c r="AP1246" i="2"/>
  <c r="AP1247" i="2" s="1"/>
  <c r="AP1248" i="2" s="1"/>
  <c r="AT1082" i="2"/>
  <c r="AT1113" i="2"/>
  <c r="AT1111" i="2" s="1"/>
  <c r="AT1320" i="2"/>
  <c r="AT1307" i="2"/>
  <c r="AT1006" i="2"/>
  <c r="AT1141" i="2"/>
  <c r="AT1104" i="2"/>
  <c r="AT1169" i="2"/>
  <c r="AT1170" i="2" s="1"/>
  <c r="AQ1246" i="2"/>
  <c r="AQ1247" i="2" s="1"/>
  <c r="AQ1248" i="2" s="1"/>
  <c r="AQ1243" i="2"/>
  <c r="AS1046" i="2"/>
  <c r="AI20" i="11"/>
  <c r="AI25" i="11" s="1"/>
  <c r="AJ16" i="11"/>
  <c r="AT1198" i="2"/>
  <c r="AT1201" i="2"/>
  <c r="AS1063" i="2"/>
  <c r="AT1144" i="2"/>
  <c r="AT1103" i="2" s="1"/>
  <c r="AS1212" i="2"/>
  <c r="AS1058" i="2"/>
  <c r="AS1105" i="2"/>
  <c r="AS1097" i="2"/>
  <c r="AS888" i="2"/>
  <c r="AS1049" i="2"/>
  <c r="AS1217" i="2" s="1"/>
  <c r="AS893" i="2"/>
  <c r="AS903" i="2" s="1"/>
  <c r="AS986" i="2"/>
  <c r="AS1172" i="2"/>
  <c r="AT806" i="2"/>
  <c r="AT784" i="2" s="1"/>
  <c r="AT1051" i="2"/>
  <c r="AT1064" i="2"/>
  <c r="AT1061" i="2"/>
  <c r="AT1060" i="2"/>
  <c r="AT877" i="2"/>
  <c r="AT1059" i="2"/>
  <c r="AT1052" i="2"/>
  <c r="AT1074" i="2"/>
  <c r="AT1075" i="2" s="1"/>
  <c r="AT1048" i="2"/>
  <c r="AT904" i="2"/>
  <c r="AT1062" i="2"/>
  <c r="AT1056" i="2"/>
  <c r="AT1067" i="2" s="1"/>
  <c r="AT1065" i="2"/>
  <c r="AR1055" i="2"/>
  <c r="AR1057" i="2" s="1"/>
  <c r="AR1068" i="2" s="1"/>
  <c r="AR1066" i="2" s="1"/>
  <c r="AR1069" i="2" s="1"/>
  <c r="AT1101" i="2"/>
  <c r="AT417" i="2"/>
  <c r="AT1153" i="2" s="1"/>
  <c r="AT416" i="2"/>
  <c r="AT1152" i="2" s="1"/>
  <c r="AS1050" i="2"/>
  <c r="AT1212" i="2" l="1"/>
  <c r="AT1058" i="2"/>
  <c r="AT1046" i="2"/>
  <c r="AS1080" i="2"/>
  <c r="AS1081" i="2"/>
  <c r="AS1070" i="2"/>
  <c r="AS1106" i="2"/>
  <c r="AT1049" i="2"/>
  <c r="AT1217" i="2" s="1"/>
  <c r="AT986" i="2"/>
  <c r="AT1172" i="2"/>
  <c r="AT888" i="2"/>
  <c r="AT893" i="2"/>
  <c r="AT903" i="2" s="1"/>
  <c r="AJ20" i="11"/>
  <c r="AJ25" i="11" s="1"/>
  <c r="AK16" i="11"/>
  <c r="AL23" i="11"/>
  <c r="AK26" i="11"/>
  <c r="AK41" i="11" s="1"/>
  <c r="AT1063" i="2"/>
  <c r="AT886" i="2"/>
  <c r="AT1050" i="2"/>
  <c r="AT1055" i="2" s="1"/>
  <c r="AT1057" i="2" s="1"/>
  <c r="AT1068" i="2" s="1"/>
  <c r="AT1066" i="2" s="1"/>
  <c r="AT1069" i="2" s="1"/>
  <c r="AR1243" i="2"/>
  <c r="AR1246" i="2"/>
  <c r="AR1247" i="2" s="1"/>
  <c r="AR1248" i="2" s="1"/>
  <c r="AS1055" i="2"/>
  <c r="AS1057" i="2" s="1"/>
  <c r="AS1068" i="2" s="1"/>
  <c r="AS1066" i="2" s="1"/>
  <c r="AS1069" i="2" s="1"/>
  <c r="AT1097" i="2"/>
  <c r="AT1105" i="2"/>
  <c r="AL26" i="11" l="1"/>
  <c r="AM23" i="11"/>
  <c r="AS1243" i="2"/>
  <c r="AS1246" i="2"/>
  <c r="AS1247" i="2" s="1"/>
  <c r="AS1248" i="2" s="1"/>
  <c r="AL16" i="11"/>
  <c r="AK20" i="11"/>
  <c r="AK25" i="11" s="1"/>
  <c r="AK40" i="11" s="1"/>
  <c r="AT1106" i="2"/>
  <c r="AT1070" i="2"/>
  <c r="AT1081" i="2"/>
  <c r="AT1080" i="2"/>
  <c r="AL20" i="11" l="1"/>
  <c r="AL25" i="11" s="1"/>
  <c r="AM16" i="11"/>
  <c r="AT1243" i="2"/>
  <c r="AT1246" i="2"/>
  <c r="AT1247" i="2" s="1"/>
  <c r="AT1248" i="2" s="1"/>
  <c r="AM26" i="11"/>
  <c r="AN23" i="11"/>
  <c r="AN26" i="11" l="1"/>
  <c r="AO23" i="11"/>
  <c r="AM20" i="11"/>
  <c r="AM25" i="11" s="1"/>
  <c r="AN16" i="11"/>
  <c r="AN20" i="11" l="1"/>
  <c r="AN25" i="11" s="1"/>
  <c r="AO16" i="11"/>
  <c r="AO26" i="11"/>
  <c r="AO38" i="11" s="1"/>
  <c r="AP23" i="11"/>
  <c r="AQ23" i="11" l="1"/>
  <c r="AP26" i="11"/>
  <c r="AP38" i="11" s="1"/>
  <c r="AO20" i="11"/>
  <c r="AO25" i="11" s="1"/>
  <c r="AP16" i="11"/>
  <c r="AP20" i="11" l="1"/>
  <c r="AP25" i="11" s="1"/>
  <c r="AQ16" i="11"/>
  <c r="AQ26" i="11"/>
  <c r="AR23" i="11"/>
  <c r="AR26" i="11" l="1"/>
  <c r="AS23" i="11"/>
  <c r="AR16" i="11"/>
  <c r="AQ20" i="11"/>
  <c r="AQ25" i="11" s="1"/>
  <c r="AS16" i="11" l="1"/>
  <c r="AR20" i="11"/>
  <c r="AR25" i="11" s="1"/>
  <c r="AT23" i="11"/>
  <c r="AS26" i="11"/>
  <c r="AU23" i="11" l="1"/>
  <c r="AT26" i="11"/>
  <c r="AS20" i="11"/>
  <c r="AS25" i="11" s="1"/>
  <c r="AT16" i="11"/>
  <c r="AU16" i="11" l="1"/>
  <c r="AT20" i="11"/>
  <c r="AT25" i="11" s="1"/>
  <c r="AV23" i="11"/>
  <c r="AU26" i="11"/>
  <c r="AV26" i="11" l="1"/>
  <c r="AW23" i="11"/>
  <c r="AV16" i="11"/>
  <c r="AU20" i="11"/>
  <c r="AU25" i="11" s="1"/>
  <c r="AV20" i="11" l="1"/>
  <c r="AV25" i="11" s="1"/>
  <c r="AW16" i="11"/>
  <c r="AW26" i="11"/>
  <c r="AX23" i="11"/>
  <c r="AY23" i="11" l="1"/>
  <c r="AX26" i="11"/>
  <c r="AX16" i="11"/>
  <c r="AW20" i="11"/>
  <c r="AW25" i="11" s="1"/>
  <c r="AX20" i="11" l="1"/>
  <c r="AX25" i="11" s="1"/>
  <c r="AY16" i="11"/>
  <c r="AY26" i="11"/>
  <c r="AZ23" i="11"/>
  <c r="AZ26" i="11" s="1"/>
  <c r="AY20" i="11" l="1"/>
  <c r="AY25" i="11" s="1"/>
  <c r="AZ16" i="11"/>
  <c r="AZ20" i="11" s="1"/>
  <c r="AZ25"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89" authorId="0" shapeId="0" xr:uid="{DF5FF698-CE0E-4187-B7C8-1E351AF23AEF}">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M189" authorId="0" shapeId="0" xr:uid="{390EDF81-380D-4BC7-8A56-ACB13557DC0E}">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N189" authorId="0" shapeId="0" xr:uid="{47BE7E11-72A6-470B-A584-31FDAE6DC643}">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O189" authorId="0" shapeId="0" xr:uid="{34E7E1D2-AC6A-4A2E-BF78-7E39FD0CCFB1}">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P189" authorId="0" shapeId="0" xr:uid="{5D85F90C-2E61-4411-8369-BCD5926CBB3C}">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Q189" authorId="0" shapeId="0" xr:uid="{CE9B11C5-590F-4AB5-8D7E-C90D56B5E9B0}">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R189" authorId="0" shapeId="0" xr:uid="{BA2E1C98-E0D2-48A8-B0B9-18D83BA6F77B}">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S189" authorId="0" shapeId="0" xr:uid="{28248794-BCEC-4C85-B6D8-1E67FD916BF1}">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T189" authorId="0" shapeId="0" xr:uid="{1E922195-B98D-4C6B-8FEC-3BC49506212D}">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AA189" authorId="0" shapeId="0" xr:uid="{42CE7365-9AAA-4049-A62E-58158706256D}">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D201" authorId="0" shapeId="0" xr:uid="{86A4A502-BCA1-4B23-8A9C-01CD9635895D}">
      <text>
        <r>
          <rPr>
            <b/>
            <sz val="9"/>
            <color indexed="81"/>
            <rFont val="Tahoma"/>
            <family val="2"/>
          </rPr>
          <t xml:space="preserve">ak: </t>
        </r>
        <r>
          <rPr>
            <sz val="9"/>
            <color indexed="81"/>
            <rFont val="Tahoma"/>
            <family val="2"/>
          </rPr>
          <t>should be interest on govt debt excl. Rwandair /KCC etc; see change made</t>
        </r>
      </text>
    </comment>
    <comment ref="D210" authorId="0" shapeId="0" xr:uid="{779B141A-07DC-41B1-BFFD-B463FACB70FD}">
      <text>
        <r>
          <rPr>
            <b/>
            <sz val="9"/>
            <color indexed="81"/>
            <rFont val="Tahoma"/>
            <family val="2"/>
          </rPr>
          <t>Author:</t>
        </r>
        <r>
          <rPr>
            <sz val="9"/>
            <color indexed="81"/>
            <rFont val="Tahoma"/>
            <family val="2"/>
          </rPr>
          <t xml:space="preserve">
should be net central govt only; not Rwandair/KCC etc also for amortization</t>
        </r>
      </text>
    </comment>
    <comment ref="AE210" authorId="0" shapeId="0" xr:uid="{DDA22E41-6432-49AD-B3C3-54447E5F5B94}">
      <text>
        <r>
          <rPr>
            <b/>
            <sz val="9"/>
            <color indexed="81"/>
            <rFont val="Tahoma"/>
            <family val="2"/>
          </rPr>
          <t>Author:</t>
        </r>
        <r>
          <rPr>
            <sz val="9"/>
            <color indexed="81"/>
            <rFont val="Tahoma"/>
            <family val="2"/>
          </rPr>
          <t xml:space="preserve">
2020-25 were off before as they missed RCF, SDR all, and RSF loans to budget</t>
        </r>
      </text>
    </comment>
    <comment ref="D227" authorId="0" shapeId="0" xr:uid="{E366AFC8-214C-49C6-97B5-7037571AD2A6}">
      <text>
        <r>
          <rPr>
            <b/>
            <sz val="9"/>
            <color indexed="81"/>
            <rFont val="Tahoma"/>
            <family val="2"/>
          </rPr>
          <t>Author:</t>
        </r>
        <r>
          <rPr>
            <sz val="9"/>
            <color indexed="81"/>
            <rFont val="Tahoma"/>
            <family val="2"/>
          </rPr>
          <t xml:space="preserve">
including compensation of employees transferred to otherlevel of government as grants</t>
        </r>
      </text>
    </comment>
    <comment ref="C294" authorId="0" shapeId="0" xr:uid="{00000000-0006-0000-0100-00001C000000}">
      <text>
        <r>
          <rPr>
            <b/>
            <sz val="9"/>
            <color indexed="81"/>
            <rFont val="Tahoma"/>
            <family val="2"/>
          </rPr>
          <t>akouwenaar:</t>
        </r>
        <r>
          <rPr>
            <sz val="9"/>
            <color indexed="81"/>
            <rFont val="Tahoma"/>
            <family val="2"/>
          </rPr>
          <t xml:space="preserve">before 2014 excludes Aut Agencies as they were separated out in MonSur
</t>
        </r>
      </text>
    </comment>
    <comment ref="D294" authorId="0" shapeId="0" xr:uid="{00000000-0006-0000-0100-00001D000000}">
      <text>
        <r>
          <rPr>
            <b/>
            <sz val="9"/>
            <color rgb="FF000000"/>
            <rFont val="Tahoma"/>
            <family val="2"/>
          </rPr>
          <t>akouwenaar:</t>
        </r>
        <r>
          <rPr>
            <sz val="9"/>
            <color rgb="FF000000"/>
            <rFont val="Tahoma"/>
            <family val="2"/>
          </rPr>
          <t xml:space="preserve">before 2014 excludes Aut Agencies as they were separated out in MonSur
</t>
        </r>
      </text>
    </comment>
    <comment ref="AH377" authorId="0" shapeId="0" xr:uid="{00000000-0006-0000-0100-00001F000000}">
      <text>
        <r>
          <rPr>
            <sz val="13"/>
            <color indexed="81"/>
            <rFont val="Tahoma"/>
            <family val="2"/>
          </rPr>
          <t xml:space="preserve">growth of PKO in US$ is proxy for real growth)
</t>
        </r>
      </text>
    </comment>
    <comment ref="AI429" authorId="0" shapeId="0" xr:uid="{B9EF49C1-D86E-4872-B6DA-5094CF46D254}">
      <text>
        <r>
          <rPr>
            <b/>
            <sz val="9"/>
            <color indexed="81"/>
            <rFont val="Tahoma"/>
            <family val="2"/>
          </rPr>
          <t>denominator to deflate Agric VA to billion Rwf</t>
        </r>
      </text>
    </comment>
    <comment ref="E430" authorId="0" shapeId="0" xr:uid="{B9A47873-5C00-46D7-A4A8-B9191D1E0902}">
      <text>
        <r>
          <rPr>
            <sz val="13"/>
            <color indexed="81"/>
            <rFont val="Tahoma"/>
            <family val="2"/>
          </rPr>
          <t>NISR MINAGR/NAEB</t>
        </r>
      </text>
    </comment>
    <comment ref="AO447" authorId="0" shapeId="0" xr:uid="{B5673113-3A0E-4411-9DAF-5C481F2F13F2}">
      <text>
        <r>
          <rPr>
            <b/>
            <sz val="9"/>
            <color indexed="81"/>
            <rFont val="Tahoma"/>
            <family val="2"/>
          </rPr>
          <t>not updated with PSTA5 proj. instead keep MINAGRI</t>
        </r>
      </text>
    </comment>
    <comment ref="AO454" authorId="0" shapeId="0" xr:uid="{EDE21270-C574-4F5B-B5B8-98374ECD02D5}">
      <text>
        <r>
          <rPr>
            <b/>
            <sz val="9"/>
            <color indexed="81"/>
            <rFont val="Tahoma"/>
            <family val="2"/>
          </rPr>
          <t xml:space="preserve">not updated with PSTA5 proj. instead keep MINAGRI
</t>
        </r>
      </text>
    </comment>
    <comment ref="E455" authorId="0" shapeId="0" xr:uid="{00000000-0006-0000-0100-000023000000}">
      <text>
        <r>
          <rPr>
            <sz val="13"/>
            <color indexed="81"/>
            <rFont val="Tahoma"/>
            <family val="2"/>
          </rPr>
          <t>before: sum of MT*price was divided by sum of prices (no meaning)</t>
        </r>
      </text>
    </comment>
    <comment ref="E465" authorId="0" shapeId="0" xr:uid="{68AF92A6-8A57-48D5-AA44-3346EAE075DB}">
      <text>
        <r>
          <rPr>
            <b/>
            <sz val="9"/>
            <color indexed="81"/>
            <rFont val="Tahoma"/>
            <family val="2"/>
          </rPr>
          <t>the prices for items below measured in 2017 export prices USD/Kg from NAEB</t>
        </r>
      </text>
    </comment>
    <comment ref="D468" authorId="0" shapeId="0" xr:uid="{00000000-0006-0000-0100-000024000000}">
      <text>
        <r>
          <rPr>
            <sz val="11"/>
            <color theme="1"/>
            <rFont val="Calibri"/>
            <family val="2"/>
            <scheme val="minor"/>
          </rPr>
          <t xml:space="preserve">    What's the unit?</t>
        </r>
      </text>
    </comment>
    <comment ref="E490" authorId="0" shapeId="0" xr:uid="{00000000-0006-0000-0100-000025000000}">
      <text>
        <r>
          <rPr>
            <sz val="13"/>
            <color indexed="81"/>
            <rFont val="Tahoma"/>
            <family val="2"/>
          </rPr>
          <t>before: sum of MT*price was divided by sum of prices (no meaning)</t>
        </r>
      </text>
    </comment>
    <comment ref="AD499" authorId="0" shapeId="0" xr:uid="{00000000-0006-0000-0100-000026000000}">
      <text>
        <r>
          <rPr>
            <b/>
            <sz val="9"/>
            <color indexed="81"/>
            <rFont val="Tahoma"/>
            <family val="2"/>
          </rPr>
          <t>Author:</t>
        </r>
        <r>
          <rPr>
            <sz val="9"/>
            <color indexed="81"/>
            <rFont val="Tahoma"/>
            <family val="2"/>
          </rPr>
          <t xml:space="preserve">
Kept constant for (2019_2020) calculations purpose, lack of data
</t>
        </r>
      </text>
    </comment>
    <comment ref="E537" authorId="0" shapeId="0" xr:uid="{22A6827F-B6CB-4762-9880-26FBD8B22CD5}">
      <text>
        <r>
          <rPr>
            <b/>
            <sz val="9"/>
            <color indexed="81"/>
            <rFont val="Tahoma"/>
            <family val="2"/>
          </rPr>
          <t xml:space="preserve">assumed 1.5 higer than public wages
</t>
        </r>
      </text>
    </comment>
    <comment ref="Z580" authorId="0" shapeId="0" xr:uid="{00000000-0006-0000-0100-000027000000}">
      <text>
        <r>
          <rPr>
            <b/>
            <sz val="9"/>
            <color indexed="81"/>
            <rFont val="Tahoma"/>
            <family val="2"/>
          </rPr>
          <t xml:space="preserve">Author: </t>
        </r>
        <r>
          <rPr>
            <sz val="9"/>
            <color indexed="81"/>
            <rFont val="Tahoma"/>
            <family val="2"/>
          </rPr>
          <t>linked to growth in govt employment</t>
        </r>
      </text>
    </comment>
    <comment ref="AH580" authorId="0" shapeId="0" xr:uid="{00000000-0006-0000-0100-000028000000}">
      <text>
        <r>
          <rPr>
            <b/>
            <sz val="13"/>
            <color indexed="81"/>
            <rFont val="Tahoma"/>
            <family val="2"/>
          </rPr>
          <t>Author:</t>
        </r>
        <r>
          <rPr>
            <sz val="13"/>
            <color indexed="81"/>
            <rFont val="Tahoma"/>
            <family val="2"/>
          </rPr>
          <t xml:space="preserve">
weighted sum of growth CG employment (FISCAL) and real growth PKO VA (FISCAL)</t>
        </r>
      </text>
    </comment>
    <comment ref="Z581" authorId="0" shapeId="0" xr:uid="{00000000-0006-0000-0100-000029000000}">
      <text>
        <r>
          <rPr>
            <b/>
            <sz val="9"/>
            <color indexed="81"/>
            <rFont val="Tahoma"/>
            <family val="2"/>
          </rPr>
          <t xml:space="preserve">Author: </t>
        </r>
        <r>
          <rPr>
            <sz val="9"/>
            <color indexed="81"/>
            <rFont val="Tahoma"/>
            <family val="2"/>
          </rPr>
          <t>linked to growth govt employ, need include private sector educ+health</t>
        </r>
      </text>
    </comment>
    <comment ref="Z582" authorId="0" shapeId="0" xr:uid="{00000000-0006-0000-0100-00002A000000}">
      <text>
        <r>
          <rPr>
            <b/>
            <sz val="9"/>
            <color indexed="81"/>
            <rFont val="Tahoma"/>
            <family val="2"/>
          </rPr>
          <t xml:space="preserve">Author: </t>
        </r>
        <r>
          <rPr>
            <sz val="9"/>
            <color indexed="81"/>
            <rFont val="Tahoma"/>
            <family val="2"/>
          </rPr>
          <t>linked to growth govt employ, need include private sector educ+health</t>
        </r>
      </text>
    </comment>
    <comment ref="AE626" authorId="0" shapeId="0" xr:uid="{00000000-0006-0000-0100-00002C000000}">
      <text>
        <r>
          <rPr>
            <sz val="13"/>
            <color indexed="81"/>
            <rFont val="Tahoma"/>
            <family val="2"/>
          </rPr>
          <t>Covid: teachers ciul dnot work, public teachers were still paid</t>
        </r>
      </text>
    </comment>
    <comment ref="D636" authorId="0" shapeId="0" xr:uid="{00000000-0006-0000-0100-00002D000000}">
      <text>
        <r>
          <rPr>
            <sz val="10"/>
            <color indexed="81"/>
            <rFont val="Tahoma"/>
            <family val="2"/>
          </rPr>
          <t>sector deflators are weighted sum of subsector deflators (Paasche), weights previous-yr shares in KP</t>
        </r>
        <r>
          <rPr>
            <sz val="13"/>
            <color indexed="81"/>
            <rFont val="Tahoma"/>
            <family val="2"/>
          </rPr>
          <t xml:space="preserve">
</t>
        </r>
      </text>
    </comment>
    <comment ref="AI724" authorId="0" shapeId="0" xr:uid="{8548BD46-5980-4BE0-87A1-479C2241CCF8}">
      <text>
        <r>
          <rPr>
            <b/>
            <sz val="9"/>
            <color indexed="81"/>
            <rFont val="Tahoma"/>
            <family val="2"/>
          </rPr>
          <t>Author:</t>
        </r>
        <r>
          <rPr>
            <sz val="9"/>
            <color indexed="81"/>
            <rFont val="Tahoma"/>
            <family val="2"/>
          </rPr>
          <t xml:space="preserve">
disrepancy after correction for INVENT 2023
</t>
        </r>
      </text>
    </comment>
    <comment ref="AI725" authorId="0" shapeId="0" xr:uid="{8732B9E3-9278-454A-8795-5A8A04F727F8}">
      <text>
        <r>
          <rPr>
            <b/>
            <sz val="9"/>
            <color indexed="81"/>
            <rFont val="Tahoma"/>
            <family val="2"/>
          </rPr>
          <t>Author:</t>
        </r>
        <r>
          <rPr>
            <sz val="9"/>
            <color indexed="81"/>
            <rFont val="Tahoma"/>
            <family val="2"/>
          </rPr>
          <t xml:space="preserve">
disrepancy after correction for INVENT 2023
</t>
        </r>
      </text>
    </comment>
    <comment ref="D727" authorId="0" shapeId="0" xr:uid="{BFE46F38-71C5-40AA-82C0-5C554E53F487}">
      <text>
        <r>
          <rPr>
            <b/>
            <sz val="9"/>
            <color indexed="81"/>
            <rFont val="Tahoma"/>
            <family val="2"/>
          </rPr>
          <t xml:space="preserve">akouwenaar: </t>
        </r>
        <r>
          <rPr>
            <sz val="9"/>
            <color indexed="81"/>
            <rFont val="Tahoma"/>
            <family val="2"/>
          </rPr>
          <t>govt wages (WG), spending g&amp;s, and % of cap spending</t>
        </r>
      </text>
    </comment>
    <comment ref="AH727" authorId="0" shapeId="0" xr:uid="{B0375338-03F3-42A5-97C0-08CCF99717DC}">
      <text>
        <r>
          <rPr>
            <b/>
            <sz val="13"/>
            <color indexed="81"/>
            <rFont val="Tahoma"/>
            <family val="2"/>
          </rPr>
          <t xml:space="preserve">ak </t>
        </r>
        <r>
          <rPr>
            <sz val="13"/>
            <color indexed="81"/>
            <rFont val="Tahoma"/>
            <family val="2"/>
          </rPr>
          <t>after correction in aggregate demand bloc must be zero</t>
        </r>
      </text>
    </comment>
    <comment ref="AI727" authorId="0" shapeId="0" xr:uid="{F859227D-DC04-44DF-A1E6-5562428446D1}">
      <text>
        <r>
          <rPr>
            <b/>
            <sz val="13"/>
            <color indexed="81"/>
            <rFont val="Tahoma"/>
            <family val="2"/>
          </rPr>
          <t xml:space="preserve">ak </t>
        </r>
        <r>
          <rPr>
            <sz val="13"/>
            <color indexed="81"/>
            <rFont val="Tahoma"/>
            <family val="2"/>
          </rPr>
          <t>after correction in aggregate demand bloc must be zero</t>
        </r>
      </text>
    </comment>
    <comment ref="AH729" authorId="0" shapeId="0" xr:uid="{BEFA7924-E65B-49E8-BAF6-275472D51EFE}">
      <text>
        <r>
          <rPr>
            <b/>
            <sz val="9"/>
            <color indexed="81"/>
            <rFont val="Tahoma"/>
            <family val="2"/>
          </rPr>
          <t>AK:</t>
        </r>
        <r>
          <rPr>
            <sz val="9"/>
            <color indexed="81"/>
            <rFont val="Tahoma"/>
            <family val="2"/>
          </rPr>
          <t>after correction for INVENT (in aggregate FD  block) there is no discrepancy</t>
        </r>
      </text>
    </comment>
    <comment ref="AI729" authorId="0" shapeId="0" xr:uid="{09F3AD64-DB88-42CF-98A7-00AC32B4CBFB}">
      <text>
        <r>
          <rPr>
            <b/>
            <sz val="9"/>
            <color indexed="81"/>
            <rFont val="Tahoma"/>
            <family val="2"/>
          </rPr>
          <t>AK:</t>
        </r>
        <r>
          <rPr>
            <sz val="9"/>
            <color indexed="81"/>
            <rFont val="Tahoma"/>
            <family val="2"/>
          </rPr>
          <t>after correction for INVENT (in aggregate FD  block) there is no discrepancy</t>
        </r>
      </text>
    </comment>
    <comment ref="W735" authorId="0" shapeId="0" xr:uid="{D0EA5D34-AFD0-44E8-B827-D9C560F3D126}">
      <text>
        <r>
          <rPr>
            <b/>
            <sz val="9"/>
            <color indexed="81"/>
            <rFont val="Tahoma"/>
            <family val="2"/>
          </rPr>
          <t>EvM: action of govt capital spending considered to be GFCF, could be set at 0.8 or so, where the 20% of capital spending corresponds to the higher govt cons in NA (than fiscal)</t>
        </r>
      </text>
    </comment>
    <comment ref="D749" authorId="0" shapeId="0" xr:uid="{00000000-0006-0000-0100-000036000000}">
      <text>
        <r>
          <rPr>
            <b/>
            <sz val="9"/>
            <color indexed="81"/>
            <rFont val="Tahoma"/>
            <family val="2"/>
          </rPr>
          <t>Author:</t>
        </r>
        <r>
          <rPr>
            <sz val="9"/>
            <color indexed="81"/>
            <rFont val="Tahoma"/>
            <family val="2"/>
          </rPr>
          <t xml:space="preserve">
From rwandair tables, g4 mln in 2018 and a total of 317 in 2019
</t>
        </r>
      </text>
    </comment>
    <comment ref="D751" authorId="0" shapeId="0" xr:uid="{00000000-0006-0000-0100-000037000000}">
      <text>
        <r>
          <rPr>
            <b/>
            <sz val="9"/>
            <color indexed="81"/>
            <rFont val="Tahoma"/>
            <family val="2"/>
          </rPr>
          <t>Author:</t>
        </r>
        <r>
          <rPr>
            <sz val="9"/>
            <color indexed="81"/>
            <rFont val="Tahoma"/>
            <family val="2"/>
          </rPr>
          <t xml:space="preserve">
From Bugesera tables  september
</t>
        </r>
      </text>
    </comment>
    <comment ref="D752" authorId="0" shapeId="0" xr:uid="{00000000-0006-0000-0100-000038000000}">
      <text>
        <r>
          <rPr>
            <b/>
            <sz val="9"/>
            <color indexed="81"/>
            <rFont val="Tahoma"/>
            <family val="2"/>
          </rPr>
          <t>Author:</t>
        </r>
        <r>
          <rPr>
            <sz val="9"/>
            <color indexed="81"/>
            <rFont val="Tahoma"/>
            <family val="2"/>
          </rPr>
          <t xml:space="preserve">
From Bugesera tables  september
</t>
        </r>
      </text>
    </comment>
    <comment ref="AB752" authorId="0" shapeId="0" xr:uid="{00000000-0006-0000-0100-000039000000}">
      <text>
        <r>
          <rPr>
            <b/>
            <sz val="9"/>
            <color indexed="81"/>
            <rFont val="Tahoma"/>
            <family val="2"/>
          </rPr>
          <t xml:space="preserve">Didier Tabaro
prefinace close 210
 mln
</t>
        </r>
      </text>
    </comment>
    <comment ref="AE752" authorId="0" shapeId="0" xr:uid="{00000000-0006-0000-0100-00003A000000}">
      <text>
        <r>
          <rPr>
            <b/>
            <sz val="9"/>
            <color indexed="81"/>
            <rFont val="Tahoma"/>
            <family val="2"/>
          </rPr>
          <t>Author:</t>
        </r>
        <r>
          <rPr>
            <sz val="9"/>
            <color indexed="81"/>
            <rFont val="Tahoma"/>
            <family val="2"/>
          </rPr>
          <t xml:space="preserve">
From Bgesera table 2020-2025 Oct0ber
</t>
        </r>
      </text>
    </comment>
    <comment ref="AF752" authorId="0" shapeId="0" xr:uid="{00000000-0006-0000-0100-00003B000000}">
      <text>
        <r>
          <rPr>
            <b/>
            <sz val="9"/>
            <color indexed="81"/>
            <rFont val="Tahoma"/>
            <family val="2"/>
          </rPr>
          <t>Author:</t>
        </r>
        <r>
          <rPr>
            <sz val="9"/>
            <color indexed="81"/>
            <rFont val="Tahoma"/>
            <family val="2"/>
          </rPr>
          <t xml:space="preserve">
From Bugesera table converted in constan RWF 
</t>
        </r>
      </text>
    </comment>
    <comment ref="AH762" authorId="0" shapeId="0" xr:uid="{00000000-0006-0000-0100-00003C000000}">
      <text>
        <r>
          <rPr>
            <b/>
            <sz val="13"/>
            <color indexed="81"/>
            <rFont val="Tahoma"/>
            <family val="2"/>
          </rPr>
          <t>Author:</t>
        </r>
        <r>
          <rPr>
            <sz val="13"/>
            <color indexed="81"/>
            <rFont val="Tahoma"/>
            <family val="2"/>
          </rPr>
          <t xml:space="preserve">
equal to aggregate demand block; not used, this iblock is for NA data </t>
        </r>
      </text>
    </comment>
    <comment ref="AF784" authorId="0" shapeId="0" xr:uid="{00000000-0006-0000-0100-00003D000000}">
      <text>
        <r>
          <rPr>
            <b/>
            <sz val="13"/>
            <color indexed="81"/>
            <rFont val="Tahoma"/>
            <family val="2"/>
          </rPr>
          <t>Author:</t>
        </r>
        <r>
          <rPr>
            <sz val="13"/>
            <color indexed="81"/>
            <rFont val="Tahoma"/>
            <family val="2"/>
          </rPr>
          <t xml:space="preserve">
if calculated exactly the supply side deflator is not 129.0</t>
        </r>
      </text>
    </comment>
    <comment ref="AI791" authorId="0" shapeId="0" xr:uid="{267E5523-C830-484D-BE9C-E328D5C24482}">
      <text>
        <r>
          <rPr>
            <sz val="9"/>
            <color indexed="81"/>
            <rFont val="Tahoma"/>
            <family val="2"/>
          </rPr>
          <t xml:space="preserve">ak: calculated to avoid rounding error
</t>
        </r>
      </text>
    </comment>
    <comment ref="Z819" authorId="0" shapeId="0" xr:uid="{00000000-0006-0000-0100-000041000000}">
      <text>
        <r>
          <rPr>
            <b/>
            <sz val="9"/>
            <color indexed="81"/>
            <rFont val="Tahoma"/>
            <family val="2"/>
          </rPr>
          <t xml:space="preserve">akouwenaar: </t>
        </r>
        <r>
          <rPr>
            <sz val="9"/>
            <color indexed="81"/>
            <rFont val="Tahoma"/>
            <family val="2"/>
          </rPr>
          <t xml:space="preserve">need to allocate NA-/-BOP discrepancy between goods &amp; services
</t>
        </r>
      </text>
    </comment>
    <comment ref="Z822" authorId="0" shapeId="0" xr:uid="{00000000-0006-0000-0100-000042000000}">
      <text>
        <r>
          <rPr>
            <b/>
            <sz val="9"/>
            <color indexed="81"/>
            <rFont val="Tahoma"/>
            <family val="2"/>
          </rPr>
          <t xml:space="preserve">akouwenaar: </t>
        </r>
        <r>
          <rPr>
            <sz val="9"/>
            <color indexed="81"/>
            <rFont val="Tahoma"/>
            <family val="2"/>
          </rPr>
          <t xml:space="preserve">need to allocate NA-/-BOP discrepancy between goods &amp; services
</t>
        </r>
      </text>
    </comment>
    <comment ref="V835" authorId="0" shapeId="0" xr:uid="{00000000-0006-0000-0100-000043000000}">
      <text>
        <r>
          <rPr>
            <b/>
            <sz val="9"/>
            <color indexed="81"/>
            <rFont val="Tahoma"/>
            <family val="2"/>
          </rPr>
          <t xml:space="preserve">akouwenaar: </t>
        </r>
        <r>
          <rPr>
            <sz val="9"/>
            <color indexed="81"/>
            <rFont val="Tahoma"/>
            <family val="2"/>
          </rPr>
          <t>for now assumed constant</t>
        </r>
      </text>
    </comment>
    <comment ref="AG835" authorId="0" shapeId="0" xr:uid="{0CB9C122-2AFB-4D2E-9F39-E3B50A06C425}">
      <text>
        <r>
          <rPr>
            <sz val="13"/>
            <color indexed="81"/>
            <rFont val="Tahoma"/>
            <family val="2"/>
          </rPr>
          <t>increase in Mshare for processed gold exoports</t>
        </r>
      </text>
    </comment>
    <comment ref="AH835" authorId="0" shapeId="0" xr:uid="{E61C2A87-AE28-4120-A67C-E296CBCAE264}">
      <text>
        <r>
          <rPr>
            <sz val="13"/>
            <color indexed="81"/>
            <rFont val="Tahoma"/>
            <family val="2"/>
          </rPr>
          <t>increase in Mshare for processed gold exoports</t>
        </r>
      </text>
    </comment>
    <comment ref="AH860" authorId="0" shapeId="0" xr:uid="{9E7A7EAE-8050-43FA-9B9D-1DE258D296A0}">
      <text>
        <r>
          <rPr>
            <b/>
            <sz val="9"/>
            <color indexed="81"/>
            <rFont val="Tahoma"/>
            <family val="2"/>
          </rPr>
          <t>Author:</t>
        </r>
        <r>
          <rPr>
            <sz val="9"/>
            <color indexed="81"/>
            <rFont val="Tahoma"/>
            <family val="2"/>
          </rPr>
          <t xml:space="preserve">
use corrected govtC in CP, deflated by NA govtC deflator</t>
        </r>
      </text>
    </comment>
    <comment ref="AI860" authorId="0" shapeId="0" xr:uid="{D533C41E-57E2-4C74-9B9D-A366DCDCFB36}">
      <text>
        <r>
          <rPr>
            <b/>
            <sz val="9"/>
            <color indexed="81"/>
            <rFont val="Tahoma"/>
            <family val="2"/>
          </rPr>
          <t>Author:</t>
        </r>
        <r>
          <rPr>
            <sz val="9"/>
            <color indexed="81"/>
            <rFont val="Tahoma"/>
            <family val="2"/>
          </rPr>
          <t xml:space="preserve">
use corrected govtC in CP, deflated by NA govtC deflator</t>
        </r>
      </text>
    </comment>
    <comment ref="AH869" authorId="0" shapeId="0" xr:uid="{E067CCF2-7D1A-4F05-9ADE-CDDCFF139E5E}">
      <text>
        <r>
          <rPr>
            <b/>
            <sz val="9"/>
            <color indexed="81"/>
            <rFont val="Tahoma"/>
            <family val="2"/>
          </rPr>
          <t>Author:</t>
        </r>
        <r>
          <rPr>
            <sz val="9"/>
            <color indexed="81"/>
            <rFont val="Tahoma"/>
            <family val="2"/>
          </rPr>
          <t xml:space="preserve">
correct with sum of corrections of govtC, E, M, so that NA in KP add up</t>
        </r>
      </text>
    </comment>
    <comment ref="AI869" authorId="0" shapeId="0" xr:uid="{B38E5FC1-52AC-41A2-899C-E1AF44A6570B}">
      <text>
        <r>
          <rPr>
            <sz val="10"/>
            <color indexed="81"/>
            <rFont val="Tahoma"/>
            <family val="2"/>
          </rPr>
          <t>before: inventories in KP projected; given problem in NA 2022, now inventories in KP is derived from CP and a constructed deflator</t>
        </r>
      </text>
    </comment>
    <comment ref="AH870" authorId="0" shapeId="0" xr:uid="{56679454-4C1D-4852-A507-EE8EDFB9D914}">
      <text>
        <r>
          <rPr>
            <b/>
            <sz val="9"/>
            <color indexed="81"/>
            <rFont val="Tahoma"/>
            <family val="2"/>
          </rPr>
          <t>Author:</t>
        </r>
        <r>
          <rPr>
            <sz val="9"/>
            <color indexed="81"/>
            <rFont val="Tahoma"/>
            <family val="2"/>
          </rPr>
          <t xml:space="preserve">
use corrected E in CP, deflated by NA E deflator</t>
        </r>
      </text>
    </comment>
    <comment ref="AI870" authorId="0" shapeId="0" xr:uid="{777DA21B-AB0B-4D18-853E-CE0A77C9E17A}">
      <text>
        <r>
          <rPr>
            <b/>
            <sz val="9"/>
            <color indexed="81"/>
            <rFont val="Tahoma"/>
            <family val="2"/>
          </rPr>
          <t>Author:</t>
        </r>
        <r>
          <rPr>
            <sz val="9"/>
            <color indexed="81"/>
            <rFont val="Tahoma"/>
            <family val="2"/>
          </rPr>
          <t xml:space="preserve">
use corrected E in CP, deflated by NA E deflator</t>
        </r>
      </text>
    </comment>
    <comment ref="AH871" authorId="0" shapeId="0" xr:uid="{795CC31B-AB5C-414D-B646-7135FBA7D954}">
      <text>
        <r>
          <rPr>
            <b/>
            <sz val="9"/>
            <color indexed="81"/>
            <rFont val="Tahoma"/>
            <family val="2"/>
          </rPr>
          <t>Author:</t>
        </r>
        <r>
          <rPr>
            <sz val="9"/>
            <color indexed="81"/>
            <rFont val="Tahoma"/>
            <family val="2"/>
          </rPr>
          <t xml:space="preserve">
use corrected M in CP, deflated by NA M deflator</t>
        </r>
      </text>
    </comment>
    <comment ref="AI871" authorId="0" shapeId="0" xr:uid="{81F45D1A-817C-46F8-902A-DE5B8A0A74EF}">
      <text>
        <r>
          <rPr>
            <b/>
            <sz val="9"/>
            <color indexed="81"/>
            <rFont val="Tahoma"/>
            <family val="2"/>
          </rPr>
          <t>Author:</t>
        </r>
        <r>
          <rPr>
            <sz val="9"/>
            <color indexed="81"/>
            <rFont val="Tahoma"/>
            <family val="2"/>
          </rPr>
          <t xml:space="preserve">
use corrected M in CP, deflated by NA M deflator</t>
        </r>
      </text>
    </comment>
    <comment ref="AG872" authorId="0" shapeId="0" xr:uid="{C1E8255E-ED44-4708-98A5-44E175323518}">
      <text>
        <r>
          <rPr>
            <b/>
            <sz val="9"/>
            <color indexed="81"/>
            <rFont val="Tahoma"/>
            <family val="2"/>
          </rPr>
          <t>Author:</t>
        </r>
        <r>
          <rPr>
            <sz val="9"/>
            <color indexed="81"/>
            <rFont val="Tahoma"/>
            <family val="2"/>
          </rPr>
          <t xml:space="preserve">
NA does not add up</t>
        </r>
      </text>
    </comment>
    <comment ref="AH872" authorId="0" shapeId="0" xr:uid="{C622DD55-3425-4863-822D-4ACEA5242819}">
      <text>
        <r>
          <rPr>
            <b/>
            <sz val="9"/>
            <color indexed="81"/>
            <rFont val="Tahoma"/>
            <family val="2"/>
          </rPr>
          <t>Author:</t>
        </r>
        <r>
          <rPr>
            <sz val="9"/>
            <color indexed="81"/>
            <rFont val="Tahoma"/>
            <family val="2"/>
          </rPr>
          <t xml:space="preserve">
NA NISR do not add up exactly, but as we adjusted chINVENT as residual, they do add up now
</t>
        </r>
      </text>
    </comment>
    <comment ref="AH874" authorId="0" shapeId="0" xr:uid="{1E3556AA-8449-44EC-8A71-863010EBBE7A}">
      <text>
        <r>
          <rPr>
            <b/>
            <sz val="9"/>
            <color indexed="81"/>
            <rFont val="Tahoma"/>
            <family val="2"/>
          </rPr>
          <t>Author:</t>
        </r>
        <r>
          <rPr>
            <sz val="9"/>
            <color indexed="81"/>
            <rFont val="Tahoma"/>
            <family val="2"/>
          </rPr>
          <t xml:space="preserve">
take NA number -/- discrepancy NA-Budget: ie Budget number
</t>
        </r>
      </text>
    </comment>
    <comment ref="AI874" authorId="0" shapeId="0" xr:uid="{ED94A3CD-733A-4455-B1DB-5DFD5ED2244E}">
      <text>
        <r>
          <rPr>
            <b/>
            <sz val="9"/>
            <color indexed="81"/>
            <rFont val="Tahoma"/>
            <family val="2"/>
          </rPr>
          <t>Author:</t>
        </r>
        <r>
          <rPr>
            <sz val="9"/>
            <color indexed="81"/>
            <rFont val="Tahoma"/>
            <family val="2"/>
          </rPr>
          <t xml:space="preserve">
take NA number -/- discrepancy NA-Budget: ie Budget number
</t>
        </r>
      </text>
    </comment>
    <comment ref="AH883" authorId="0" shapeId="0" xr:uid="{478C0A10-5C45-40CA-9181-F82F6FBB46B6}">
      <text>
        <r>
          <rPr>
            <b/>
            <sz val="9"/>
            <color indexed="81"/>
            <rFont val="Tahoma"/>
            <family val="2"/>
          </rPr>
          <t>Author:</t>
        </r>
        <r>
          <rPr>
            <sz val="9"/>
            <color indexed="81"/>
            <rFont val="Tahoma"/>
            <family val="2"/>
          </rPr>
          <t xml:space="preserve">
take NA number +/+ sum of corrections govtC, E, M
</t>
        </r>
      </text>
    </comment>
    <comment ref="AI883" authorId="0" shapeId="0" xr:uid="{A644F93C-C003-41A7-B476-AE0C5E6CE8B8}">
      <text>
        <r>
          <rPr>
            <b/>
            <sz val="9"/>
            <color indexed="81"/>
            <rFont val="Tahoma"/>
            <family val="2"/>
          </rPr>
          <t>Author:</t>
        </r>
        <r>
          <rPr>
            <sz val="9"/>
            <color indexed="81"/>
            <rFont val="Tahoma"/>
            <family val="2"/>
          </rPr>
          <t xml:space="preserve">
take NA number +/+ sum of corrections govtC, E, M
</t>
        </r>
      </text>
    </comment>
    <comment ref="AH884" authorId="0" shapeId="0" xr:uid="{89F0959A-37BA-467C-9972-548F3E61FF45}">
      <text>
        <r>
          <rPr>
            <b/>
            <sz val="9"/>
            <color indexed="81"/>
            <rFont val="Tahoma"/>
            <family val="2"/>
          </rPr>
          <t>Author:</t>
        </r>
        <r>
          <rPr>
            <sz val="9"/>
            <color indexed="81"/>
            <rFont val="Tahoma"/>
            <family val="2"/>
          </rPr>
          <t xml:space="preserve">
take NA number -/- disrp NA-BOP: ie BOP number
</t>
        </r>
      </text>
    </comment>
    <comment ref="AI884" authorId="0" shapeId="0" xr:uid="{435CEEF2-88BD-4032-BA6B-E72FB5B9270A}">
      <text>
        <r>
          <rPr>
            <b/>
            <sz val="9"/>
            <color indexed="81"/>
            <rFont val="Tahoma"/>
            <family val="2"/>
          </rPr>
          <t>Author:</t>
        </r>
        <r>
          <rPr>
            <sz val="9"/>
            <color indexed="81"/>
            <rFont val="Tahoma"/>
            <family val="2"/>
          </rPr>
          <t xml:space="preserve">
take NA number -/- disrp NA-BOP: ie BOP number
</t>
        </r>
      </text>
    </comment>
    <comment ref="AH885" authorId="0" shapeId="0" xr:uid="{5BF49AE5-4150-4257-89C0-9B0F6E9DF6CD}">
      <text>
        <r>
          <rPr>
            <b/>
            <sz val="9"/>
            <color indexed="81"/>
            <rFont val="Tahoma"/>
            <family val="2"/>
          </rPr>
          <t>Author:</t>
        </r>
        <r>
          <rPr>
            <sz val="9"/>
            <color indexed="81"/>
            <rFont val="Tahoma"/>
            <family val="2"/>
          </rPr>
          <t xml:space="preserve">
take NA number -/- disrp NA-BOP: ie BOP number
</t>
        </r>
      </text>
    </comment>
    <comment ref="AI885" authorId="0" shapeId="0" xr:uid="{B4CE76AF-7A00-445D-A895-7EB3373F8B1C}">
      <text>
        <r>
          <rPr>
            <b/>
            <sz val="9"/>
            <color indexed="81"/>
            <rFont val="Tahoma"/>
            <family val="2"/>
          </rPr>
          <t>Author:</t>
        </r>
        <r>
          <rPr>
            <sz val="9"/>
            <color indexed="81"/>
            <rFont val="Tahoma"/>
            <family val="2"/>
          </rPr>
          <t xml:space="preserve">
take NA number -/- disrp NA-BOP: ie BOP number
</t>
        </r>
      </text>
    </comment>
    <comment ref="AH886" authorId="0" shapeId="0" xr:uid="{983D4C64-611A-4259-8298-59C4A3E4D33F}">
      <text>
        <r>
          <rPr>
            <sz val="13"/>
            <color indexed="81"/>
            <rFont val="Tahoma"/>
            <family val="2"/>
          </rPr>
          <t>this is adding-up error in NA NISR</t>
        </r>
      </text>
    </comment>
    <comment ref="V894" authorId="0" shapeId="0" xr:uid="{00000000-0006-0000-0100-00004A000000}">
      <text>
        <r>
          <rPr>
            <b/>
            <sz val="9"/>
            <color indexed="81"/>
            <rFont val="Tahoma"/>
            <family val="2"/>
          </rPr>
          <t xml:space="preserve">akouwenaar: </t>
        </r>
        <r>
          <rPr>
            <sz val="9"/>
            <color indexed="81"/>
            <rFont val="Tahoma"/>
            <family val="2"/>
          </rPr>
          <t xml:space="preserve">set at plausible value fr PDT and Budget data on foreign content G g&amp;S
</t>
        </r>
      </text>
    </comment>
    <comment ref="X907" authorId="0" shapeId="0" xr:uid="{00000000-0006-0000-0100-00004B000000}">
      <text>
        <r>
          <rPr>
            <b/>
            <sz val="9"/>
            <color indexed="81"/>
            <rFont val="Tahoma"/>
            <family val="2"/>
          </rPr>
          <t xml:space="preserve">Author: </t>
        </r>
        <r>
          <rPr>
            <sz val="9"/>
            <color indexed="81"/>
            <rFont val="Tahoma"/>
            <family val="2"/>
          </rPr>
          <t>share of imports in CPI 2013 weight</t>
        </r>
      </text>
    </comment>
    <comment ref="Z907" authorId="0" shapeId="0" xr:uid="{00000000-0006-0000-0100-00004C000000}">
      <text>
        <r>
          <rPr>
            <sz val="9"/>
            <color indexed="81"/>
            <rFont val="Tahoma"/>
            <family val="2"/>
          </rPr>
          <t xml:space="preserve">NBR/NISR new CPI weights 2015 plus top up indirect imports
</t>
        </r>
      </text>
    </comment>
    <comment ref="AI935" authorId="0" shapeId="0" xr:uid="{23B1795C-E371-4694-82B2-0A466B5CF053}">
      <text>
        <r>
          <rPr>
            <b/>
            <sz val="9"/>
            <color indexed="81"/>
            <rFont val="Tahoma"/>
            <family val="2"/>
          </rPr>
          <t>Author:</t>
        </r>
        <r>
          <rPr>
            <sz val="9"/>
            <color indexed="81"/>
            <rFont val="Tahoma"/>
            <family val="2"/>
          </rPr>
          <t xml:space="preserve">
plausible? Too little left for domestic prices, as inport prices rise by 16%</t>
        </r>
      </text>
    </comment>
    <comment ref="Y948" authorId="0" shapeId="0" xr:uid="{00000000-0006-0000-0100-000051000000}">
      <text>
        <r>
          <rPr>
            <sz val="8"/>
            <color indexed="81"/>
            <rFont val="Tahoma"/>
            <family val="2"/>
          </rPr>
          <t>needed degrees of freedom, as NA not fully</t>
        </r>
        <r>
          <rPr>
            <sz val="9"/>
            <color indexed="81"/>
            <rFont val="Tahoma"/>
            <family val="2"/>
          </rPr>
          <t xml:space="preserve"> </t>
        </r>
        <r>
          <rPr>
            <sz val="8"/>
            <color indexed="81"/>
            <rFont val="Tahoma"/>
            <family val="2"/>
          </rPr>
          <t>consistent</t>
        </r>
        <r>
          <rPr>
            <sz val="9"/>
            <color indexed="81"/>
            <rFont val="Tahoma"/>
            <family val="2"/>
          </rPr>
          <t xml:space="preserve">
</t>
        </r>
      </text>
    </comment>
    <comment ref="W951" authorId="0" shapeId="0" xr:uid="{00000000-0006-0000-0100-000052000000}">
      <text>
        <r>
          <rPr>
            <b/>
            <sz val="9"/>
            <color indexed="81"/>
            <rFont val="Tahoma"/>
            <family val="2"/>
          </rPr>
          <t xml:space="preserve">Author: </t>
        </r>
        <r>
          <rPr>
            <sz val="9"/>
            <color indexed="81"/>
            <rFont val="Tahoma"/>
            <family val="2"/>
          </rPr>
          <t>should be shares in constant prices</t>
        </r>
      </text>
    </comment>
    <comment ref="Y952" authorId="0" shapeId="0" xr:uid="{00000000-0006-0000-0100-000053000000}">
      <text>
        <r>
          <rPr>
            <b/>
            <sz val="9"/>
            <color indexed="81"/>
            <rFont val="Tahoma"/>
            <family val="2"/>
          </rPr>
          <t xml:space="preserve">Author: </t>
        </r>
        <r>
          <rPr>
            <sz val="9"/>
            <color indexed="81"/>
            <rFont val="Tahoma"/>
            <family val="2"/>
          </rPr>
          <t>deflator Eg&amp;S taken instead of deflator E value added</t>
        </r>
      </text>
    </comment>
    <comment ref="AG955" authorId="0" shapeId="0" xr:uid="{00000000-0006-0000-0100-000055000000}">
      <text>
        <r>
          <rPr>
            <sz val="10"/>
            <color indexed="81"/>
            <rFont val="Tahoma"/>
            <family val="2"/>
          </rPr>
          <t>NA indirect tax deflator hard to explain the tax base times av tax rate increased by 20% since 2017</t>
        </r>
      </text>
    </comment>
    <comment ref="AH955" authorId="0" shapeId="0" xr:uid="{00000000-0006-0000-0100-000056000000}">
      <text>
        <r>
          <rPr>
            <sz val="9"/>
            <color indexed="81"/>
            <rFont val="Tahoma"/>
            <family val="2"/>
          </rPr>
          <t>so we keep the base year deflator and add our projected growth rate of the deflator</t>
        </r>
      </text>
    </comment>
    <comment ref="AH960" authorId="0" shapeId="0" xr:uid="{A4474C52-A493-4313-B53E-59F1658EF265}">
      <text>
        <r>
          <rPr>
            <b/>
            <sz val="9"/>
            <color indexed="81"/>
            <rFont val="Tahoma"/>
            <family val="2"/>
          </rPr>
          <t>Author:</t>
        </r>
        <r>
          <rPr>
            <sz val="9"/>
            <color indexed="81"/>
            <rFont val="Tahoma"/>
            <family val="2"/>
          </rPr>
          <t xml:space="preserve">
adjust to get proj  demand-side deflator in line, as it is constructed, not data-based, eg depends on unknown export VA deflator.</t>
        </r>
      </text>
    </comment>
    <comment ref="X963" authorId="0" shapeId="0" xr:uid="{00000000-0006-0000-0100-000057000000}">
      <text>
        <r>
          <rPr>
            <b/>
            <sz val="9"/>
            <color indexed="81"/>
            <rFont val="Tahoma"/>
            <family val="2"/>
          </rPr>
          <t xml:space="preserve">Author: </t>
        </r>
        <r>
          <rPr>
            <sz val="9"/>
            <color indexed="81"/>
            <rFont val="Tahoma"/>
            <family val="2"/>
          </rPr>
          <t>make weights such that weighted average deflators is close to NA number, in base year</t>
        </r>
      </text>
    </comment>
    <comment ref="Y966" authorId="0" shapeId="0" xr:uid="{00000000-0006-0000-0100-000058000000}">
      <text>
        <r>
          <rPr>
            <b/>
            <sz val="9"/>
            <color indexed="81"/>
            <rFont val="Tahoma"/>
            <family val="2"/>
          </rPr>
          <t xml:space="preserve">Author: </t>
        </r>
        <r>
          <rPr>
            <sz val="9"/>
            <color indexed="81"/>
            <rFont val="Tahoma"/>
            <family val="2"/>
          </rPr>
          <t>check NISR number, implausible</t>
        </r>
      </text>
    </comment>
    <comment ref="Y967" authorId="0" shapeId="0" xr:uid="{00000000-0006-0000-0100-000059000000}">
      <text>
        <r>
          <rPr>
            <b/>
            <sz val="9"/>
            <color indexed="81"/>
            <rFont val="Tahoma"/>
            <family val="2"/>
          </rPr>
          <t xml:space="preserve">akouwenaar: </t>
        </r>
        <r>
          <rPr>
            <sz val="9"/>
            <color indexed="81"/>
            <rFont val="Tahoma"/>
            <family val="2"/>
          </rPr>
          <t>assume average deflator of admin, educ, health</t>
        </r>
      </text>
    </comment>
    <comment ref="AC971" authorId="0" shapeId="0" xr:uid="{00000000-0006-0000-0100-00005A000000}">
      <text>
        <r>
          <rPr>
            <sz val="9"/>
            <color indexed="81"/>
            <rFont val="Tahoma"/>
            <family val="2"/>
          </rPr>
          <t>NISR NA household consumption deflator is national, CPI NBR is urban</t>
        </r>
      </text>
    </comment>
    <comment ref="AH971" authorId="0" shapeId="0" xr:uid="{00000000-0006-0000-0100-00005B000000}">
      <text>
        <r>
          <rPr>
            <sz val="9"/>
            <color indexed="81"/>
            <rFont val="Tahoma"/>
            <family val="2"/>
          </rPr>
          <t>so we keep the base year deflator and add our projected growth rate of the deflator</t>
        </r>
      </text>
    </comment>
    <comment ref="X981" authorId="0" shapeId="0" xr:uid="{CE92DA6C-92CD-42F2-ADA4-D29A97E2C372}">
      <text>
        <r>
          <rPr>
            <b/>
            <sz val="9"/>
            <color indexed="81"/>
            <rFont val="Tahoma"/>
            <family val="2"/>
          </rPr>
          <t xml:space="preserve">AK </t>
        </r>
        <r>
          <rPr>
            <sz val="9"/>
            <color indexed="81"/>
            <rFont val="Tahoma"/>
            <family val="2"/>
          </rPr>
          <t xml:space="preserve">NISR has wrong implict deflators, so we must guess
</t>
        </r>
      </text>
    </comment>
    <comment ref="Z981" authorId="0" shapeId="0" xr:uid="{EB4498AC-6FDB-4DBC-B282-A84793EBFD4F}">
      <text>
        <r>
          <rPr>
            <b/>
            <sz val="9"/>
            <color indexed="81"/>
            <rFont val="Tahoma"/>
            <family val="2"/>
          </rPr>
          <t>Author:</t>
        </r>
        <r>
          <rPr>
            <sz val="9"/>
            <color indexed="81"/>
            <rFont val="Tahoma"/>
            <family val="2"/>
          </rPr>
          <t xml:space="preserve">
NISR implicit inventory deflators are nonsensical</t>
        </r>
      </text>
    </comment>
    <comment ref="AG981" authorId="0" shapeId="0" xr:uid="{DB230484-15F4-448E-8C16-33832D32A029}">
      <text>
        <r>
          <rPr>
            <b/>
            <sz val="9"/>
            <color indexed="81"/>
            <rFont val="Tahoma"/>
            <family val="2"/>
          </rPr>
          <t>Author:</t>
        </r>
        <r>
          <rPr>
            <sz val="9"/>
            <color indexed="81"/>
            <rFont val="Tahoma"/>
            <family val="2"/>
          </rPr>
          <t xml:space="preserve">
NISR implicit inventory deflators are nonsensical</t>
        </r>
      </text>
    </comment>
    <comment ref="AH981" authorId="0" shapeId="0" xr:uid="{528AC95B-D28F-4069-8B10-B6FCFD083BED}">
      <text>
        <r>
          <rPr>
            <b/>
            <sz val="9"/>
            <color indexed="81"/>
            <rFont val="Tahoma"/>
            <family val="2"/>
          </rPr>
          <t>Author:</t>
        </r>
        <r>
          <rPr>
            <sz val="9"/>
            <color indexed="81"/>
            <rFont val="Tahoma"/>
            <family val="2"/>
          </rPr>
          <t xml:space="preserve">
NISR implicit inventory deflators are non sensical; we revise chINVENT numbers in CP and KP, and calc implicit deflator</t>
        </r>
      </text>
    </comment>
    <comment ref="AI981" authorId="0" shapeId="0" xr:uid="{1D95A444-3144-49D2-AB06-7058F1ABD530}">
      <text>
        <r>
          <rPr>
            <b/>
            <sz val="9"/>
            <color indexed="81"/>
            <rFont val="Tahoma"/>
            <family val="2"/>
          </rPr>
          <t>Author:</t>
        </r>
        <r>
          <rPr>
            <sz val="9"/>
            <color indexed="81"/>
            <rFont val="Tahoma"/>
            <family val="2"/>
          </rPr>
          <t xml:space="preserve">
NISR implicit inventory deflators are non sensical; we revise chINVENT numbers in CP and KP, and calc implicit deflator</t>
        </r>
      </text>
    </comment>
    <comment ref="Y984" authorId="0" shapeId="0" xr:uid="{00000000-0006-0000-0100-00005C000000}">
      <text>
        <r>
          <rPr>
            <b/>
            <sz val="9"/>
            <color indexed="81"/>
            <rFont val="Tahoma"/>
            <family val="2"/>
          </rPr>
          <t xml:space="preserve">akouwenaar: </t>
        </r>
        <r>
          <rPr>
            <sz val="9"/>
            <color indexed="81"/>
            <rFont val="Tahoma"/>
            <family val="2"/>
          </rPr>
          <t xml:space="preserve">no data on this index in NA-NISR
must be set plausibly
a value PMT &lt; PM means M tariffs fell since 2011 
</t>
        </r>
      </text>
    </comment>
    <comment ref="D1022" authorId="0" shapeId="0" xr:uid="{00000000-0006-0000-0100-00005D000000}">
      <text>
        <r>
          <rPr>
            <sz val="10"/>
            <color indexed="81"/>
            <rFont val="Tahoma"/>
            <family val="2"/>
          </rPr>
          <t>we report the supply side deflator; the demand side deflator is very close</t>
        </r>
      </text>
    </comment>
    <comment ref="J1054" authorId="0" shapeId="0" xr:uid="{8206F27D-5574-419F-AE64-364D39C5F5A8}">
      <text>
        <r>
          <rPr>
            <sz val="9"/>
            <color indexed="81"/>
            <rFont val="Tahoma"/>
            <family val="2"/>
          </rPr>
          <t>deduct (NA-Budget) discrepancy in govt cons since this was added to govt cons, so was somehow included in transfers, net L etc</t>
        </r>
      </text>
    </comment>
    <comment ref="K1054" authorId="0" shapeId="0" xr:uid="{E2C153E1-9694-4AFF-9FC2-68243E261673}">
      <text>
        <r>
          <rPr>
            <sz val="9"/>
            <color indexed="81"/>
            <rFont val="Tahoma"/>
            <family val="2"/>
          </rPr>
          <t>deduct (NA-Budget) discrepancy in govt cons since this was added to govt cons, so was somehow included in transfers, net L etc</t>
        </r>
      </text>
    </comment>
    <comment ref="L1054" authorId="0" shapeId="0" xr:uid="{BBF68D3E-8C7E-457A-BD20-88FF0F619CB1}">
      <text>
        <r>
          <rPr>
            <sz val="9"/>
            <color indexed="81"/>
            <rFont val="Tahoma"/>
            <family val="2"/>
          </rPr>
          <t>deduct (NA-Budget) discrepancy in govt cons since this was added to govt cons, so was somehow included in transfers, net L etc</t>
        </r>
      </text>
    </comment>
    <comment ref="M1054" authorId="0" shapeId="0" xr:uid="{3ADE2EEE-7C62-4C43-BC3C-DCFF8406EBA1}">
      <text>
        <r>
          <rPr>
            <sz val="9"/>
            <color indexed="81"/>
            <rFont val="Tahoma"/>
            <family val="2"/>
          </rPr>
          <t>deduct (NA-Budget) discrepancy in govt cons since this was added to govt cons, so was somehow included in transfers, net L etc</t>
        </r>
      </text>
    </comment>
    <comment ref="N1054" authorId="0" shapeId="0" xr:uid="{B2C03406-484F-4682-A498-6589F20FFF36}">
      <text>
        <r>
          <rPr>
            <sz val="9"/>
            <color indexed="81"/>
            <rFont val="Tahoma"/>
            <family val="2"/>
          </rPr>
          <t>deduct (NA-Budget) discrepancy in govt cons since this was added to govt cons, so was somehow included in transfers, net L etc</t>
        </r>
      </text>
    </comment>
    <comment ref="O1054" authorId="0" shapeId="0" xr:uid="{3D0F326E-9D07-40B4-AAD9-763C36B72C08}">
      <text>
        <r>
          <rPr>
            <sz val="9"/>
            <color indexed="81"/>
            <rFont val="Tahoma"/>
            <family val="2"/>
          </rPr>
          <t>deduct (NA-Budget) discrepancy in govt cons since this was added to govt cons, so was somehow included in transfers, net L etc</t>
        </r>
      </text>
    </comment>
    <comment ref="P1054" authorId="0" shapeId="0" xr:uid="{8ACB62E0-FCCB-4400-AE72-EC02C259AD14}">
      <text>
        <r>
          <rPr>
            <sz val="9"/>
            <color indexed="81"/>
            <rFont val="Tahoma"/>
            <family val="2"/>
          </rPr>
          <t>deduct (NA-Budget) discrepancy in govt cons since this was added to govt cons, so was somehow included in transfers, net L etc</t>
        </r>
      </text>
    </comment>
    <comment ref="Q1054" authorId="0" shapeId="0" xr:uid="{6137E353-EA7A-4602-9AC1-438D67EEBED9}">
      <text>
        <r>
          <rPr>
            <sz val="9"/>
            <color indexed="81"/>
            <rFont val="Tahoma"/>
            <family val="2"/>
          </rPr>
          <t>deduct (NA-Budget) discrepancy in govt cons since this was added to govt cons, so was somehow included in transfers, net L etc</t>
        </r>
      </text>
    </comment>
    <comment ref="R1054" authorId="0" shapeId="0" xr:uid="{AA5434A4-5D89-47AA-BF26-06A580116BF6}">
      <text>
        <r>
          <rPr>
            <sz val="9"/>
            <color indexed="81"/>
            <rFont val="Tahoma"/>
            <family val="2"/>
          </rPr>
          <t>deduct (NA-Budget) discrepancy in govt cons since this was added to govt cons, so was somehow included in transfers, net L etc</t>
        </r>
      </text>
    </comment>
    <comment ref="S1054" authorId="0" shapeId="0" xr:uid="{54AE229D-A84F-4D83-90F1-CCB920C68459}">
      <text>
        <r>
          <rPr>
            <sz val="9"/>
            <color indexed="81"/>
            <rFont val="Tahoma"/>
            <family val="2"/>
          </rPr>
          <t>deduct (NA-Budget) discrepancy in govt cons since this was added to govt cons, so was somehow included in transfers, net L etc</t>
        </r>
      </text>
    </comment>
    <comment ref="T1054" authorId="0" shapeId="0" xr:uid="{9610B96C-6CA4-49E4-8706-520A86A1C07C}">
      <text>
        <r>
          <rPr>
            <sz val="9"/>
            <color indexed="81"/>
            <rFont val="Tahoma"/>
            <family val="2"/>
          </rPr>
          <t>deduct (NA-Budget) discrepancy in govt cons since this was added to govt cons, so was somehow included in transfers, net L etc</t>
        </r>
      </text>
    </comment>
    <comment ref="U1054" authorId="0" shapeId="0" xr:uid="{7D3C71C5-5B5F-4C09-A6AC-E06644B70678}">
      <text>
        <r>
          <rPr>
            <sz val="9"/>
            <color indexed="81"/>
            <rFont val="Tahoma"/>
            <family val="2"/>
          </rPr>
          <t>deduct (NA-Budget) discrepancy in govt cons since this was added to govt cons, so was somehow included in transfers, net L etc</t>
        </r>
      </text>
    </comment>
    <comment ref="AE1056" authorId="0" shapeId="0" xr:uid="{E7013F88-AB44-4C50-B30C-160B4AAA6F0A}">
      <text>
        <r>
          <rPr>
            <sz val="9"/>
            <color indexed="81"/>
            <rFont val="Tahoma"/>
            <family val="2"/>
          </rPr>
          <t>deduct (NA-Budget) discrepancy in govt cons since this was added to govt cons, so was somehow included in transfers, net L etc</t>
        </r>
      </text>
    </comment>
    <comment ref="AF1056" authorId="0" shapeId="0" xr:uid="{600403FB-235F-457C-B68D-7F7226681EC5}">
      <text>
        <r>
          <rPr>
            <sz val="9"/>
            <color indexed="81"/>
            <rFont val="Tahoma"/>
            <family val="2"/>
          </rPr>
          <t>deduct (NA-Budget) discrepancy in govt cons since this was added to govt cons, so was somehow included in transfers, net L etc</t>
        </r>
      </text>
    </comment>
    <comment ref="AG1056" authorId="0" shapeId="0" xr:uid="{53D30F83-0D9A-45C7-868F-9051C6631986}">
      <text>
        <r>
          <rPr>
            <sz val="9"/>
            <color indexed="81"/>
            <rFont val="Tahoma"/>
            <family val="2"/>
          </rPr>
          <t>deduct (NA-Budget) discrepancy in govt cons since this was added to govt cons, so was somehow included in transfers, net L etc</t>
        </r>
      </text>
    </comment>
    <comment ref="AH1056" authorId="0" shapeId="0" xr:uid="{FCFC3040-48E0-4C03-9AD6-AFE1E37476EF}">
      <text>
        <r>
          <rPr>
            <sz val="9"/>
            <color indexed="81"/>
            <rFont val="Tahoma"/>
            <family val="2"/>
          </rPr>
          <t>deduct (NA-Budget) discrepancy in govt cons since this was added to govt cons, so was somehow included in transfers, net L etc</t>
        </r>
      </text>
    </comment>
    <comment ref="AI1056" authorId="0" shapeId="0" xr:uid="{228EE9B6-EDF3-4945-B719-55FF19C39F7C}">
      <text>
        <r>
          <rPr>
            <sz val="9"/>
            <color indexed="81"/>
            <rFont val="Tahoma"/>
            <family val="2"/>
          </rPr>
          <t>deduct (NA-Budget) discrepancy in govt cons since this was added to govt cons, so was somehow included in transfers, net L etc</t>
        </r>
      </text>
    </comment>
    <comment ref="D1060" authorId="0" shapeId="0" xr:uid="{00000000-0006-0000-0100-000079000000}">
      <text>
        <r>
          <rPr>
            <b/>
            <sz val="9"/>
            <color indexed="81"/>
            <rFont val="Tahoma"/>
            <family val="2"/>
          </rPr>
          <t>Author:</t>
        </r>
        <r>
          <rPr>
            <sz val="9"/>
            <color indexed="81"/>
            <rFont val="Tahoma"/>
            <family val="2"/>
          </rPr>
          <t xml:space="preserve">
govt net prim+sec income changed because of BOP correction; also govt savings</t>
        </r>
      </text>
    </comment>
    <comment ref="AH1071" authorId="0" shapeId="0" xr:uid="{96B18CD5-F813-4FB4-9033-25863057CC6B}">
      <text>
        <r>
          <rPr>
            <b/>
            <sz val="9"/>
            <color indexed="81"/>
            <rFont val="Tahoma"/>
            <family val="2"/>
          </rPr>
          <t xml:space="preserve">ak </t>
        </r>
        <r>
          <rPr>
            <sz val="9"/>
            <color indexed="81"/>
            <rFont val="Tahoma"/>
            <family val="2"/>
          </rPr>
          <t>these checks remain, ,as there are discrepacnues NA~BOP but we already corrected NA "manually"</t>
        </r>
      </text>
    </comment>
    <comment ref="AI1071" authorId="0" shapeId="0" xr:uid="{489B373D-B175-430B-9690-CDF57B27C89B}">
      <text>
        <r>
          <rPr>
            <b/>
            <sz val="9"/>
            <color indexed="81"/>
            <rFont val="Tahoma"/>
            <family val="2"/>
          </rPr>
          <t xml:space="preserve">ak </t>
        </r>
        <r>
          <rPr>
            <sz val="9"/>
            <color indexed="81"/>
            <rFont val="Tahoma"/>
            <family val="2"/>
          </rPr>
          <t>these checks remain, ,as there are discrepacnues NA~BOP but we already corrected NA "manually"</t>
        </r>
      </text>
    </comment>
    <comment ref="J1076" authorId="0" shapeId="0" xr:uid="{A5D75700-64FC-46BE-8BE7-456283F3E787}">
      <text>
        <r>
          <rPr>
            <sz val="9"/>
            <color indexed="81"/>
            <rFont val="Tahoma"/>
            <family val="2"/>
          </rPr>
          <t>intercensal pop growth rate 2.61% 2002--2012</t>
        </r>
      </text>
    </comment>
    <comment ref="K1076" authorId="0" shapeId="0" xr:uid="{67DD84ED-0A67-41FE-ADBD-626494E259B2}">
      <text>
        <r>
          <rPr>
            <sz val="9"/>
            <color indexed="81"/>
            <rFont val="Tahoma"/>
            <family val="2"/>
          </rPr>
          <t>intercensal pop growth rate 2.61% 2002--2012</t>
        </r>
      </text>
    </comment>
    <comment ref="L1076" authorId="0" shapeId="0" xr:uid="{CE070D66-084C-410D-85A3-D4E30D21F9C0}">
      <text>
        <r>
          <rPr>
            <sz val="9"/>
            <color indexed="81"/>
            <rFont val="Tahoma"/>
            <family val="2"/>
          </rPr>
          <t>intercensal pop growth rate 2.61% 2002--2012</t>
        </r>
      </text>
    </comment>
    <comment ref="M1076" authorId="0" shapeId="0" xr:uid="{46F376D9-A2B6-41E7-8186-9220B0255600}">
      <text>
        <r>
          <rPr>
            <sz val="9"/>
            <color indexed="81"/>
            <rFont val="Tahoma"/>
            <family val="2"/>
          </rPr>
          <t>intercensal pop growth rate 2.61% 2002--2012</t>
        </r>
      </text>
    </comment>
    <comment ref="N1076" authorId="0" shapeId="0" xr:uid="{1FB255A0-67B3-403E-A586-CF2511AC9D55}">
      <text>
        <r>
          <rPr>
            <sz val="9"/>
            <color indexed="81"/>
            <rFont val="Tahoma"/>
            <family val="2"/>
          </rPr>
          <t>intercensal pop growth rate 2.61% 2002--2012</t>
        </r>
      </text>
    </comment>
    <comment ref="O1076" authorId="0" shapeId="0" xr:uid="{D7B8555C-B862-4F87-AB50-24335816EADD}">
      <text>
        <r>
          <rPr>
            <sz val="9"/>
            <color indexed="81"/>
            <rFont val="Tahoma"/>
            <family val="2"/>
          </rPr>
          <t>intercensal pop growth rate 2.61% 2002--2012</t>
        </r>
      </text>
    </comment>
    <comment ref="P1076" authorId="0" shapeId="0" xr:uid="{641F05CB-B4C9-4BB8-A045-3752A2F4C4BE}">
      <text>
        <r>
          <rPr>
            <sz val="9"/>
            <color indexed="81"/>
            <rFont val="Tahoma"/>
            <family val="2"/>
          </rPr>
          <t>intercensal pop growth rate 2.61% 2002--2012</t>
        </r>
      </text>
    </comment>
    <comment ref="Q1076" authorId="0" shapeId="0" xr:uid="{130271E5-4036-40E1-BB29-47D421BAB601}">
      <text>
        <r>
          <rPr>
            <sz val="9"/>
            <color indexed="81"/>
            <rFont val="Tahoma"/>
            <family val="2"/>
          </rPr>
          <t>intercensal pop growth rate 2.61% 2002--2012</t>
        </r>
      </text>
    </comment>
    <comment ref="R1076" authorId="0" shapeId="0" xr:uid="{5AF80901-3B27-4E92-B806-1BC83306BDDB}">
      <text>
        <r>
          <rPr>
            <sz val="9"/>
            <color indexed="81"/>
            <rFont val="Tahoma"/>
            <family val="2"/>
          </rPr>
          <t>intercensal pop growth rate 2.61% 2002--2012</t>
        </r>
      </text>
    </comment>
    <comment ref="S1076" authorId="0" shapeId="0" xr:uid="{96DCB702-287E-4404-8778-295E2F98AAF2}">
      <text>
        <r>
          <rPr>
            <sz val="9"/>
            <color indexed="81"/>
            <rFont val="Tahoma"/>
            <family val="2"/>
          </rPr>
          <t>intercensal pop growth rate 2.61% 2002--2012</t>
        </r>
      </text>
    </comment>
    <comment ref="T1076" authorId="0" shapeId="0" xr:uid="{71BB7CAF-6198-4435-BCC2-AA163A08A320}">
      <text>
        <r>
          <rPr>
            <sz val="9"/>
            <color indexed="81"/>
            <rFont val="Tahoma"/>
            <family val="2"/>
          </rPr>
          <t>intercensal pop growth rate 2.61% 2002--2012</t>
        </r>
      </text>
    </comment>
    <comment ref="U1076" authorId="0" shapeId="0" xr:uid="{61F0B54C-E0C5-4E22-BFB5-CC80695D71BB}">
      <text>
        <r>
          <rPr>
            <sz val="9"/>
            <color indexed="81"/>
            <rFont val="Tahoma"/>
            <family val="2"/>
          </rPr>
          <t>intercensal pop growth rate 2.61% 2002--2012</t>
        </r>
      </text>
    </comment>
    <comment ref="V1076" authorId="0" shapeId="0" xr:uid="{00000000-0006-0000-0100-00007A000000}">
      <text>
        <r>
          <rPr>
            <sz val="9"/>
            <color indexed="81"/>
            <rFont val="Tahoma"/>
            <family val="2"/>
          </rPr>
          <t>intercensal pop growth rate 2.61% 2002--2012</t>
        </r>
      </text>
    </comment>
    <comment ref="X1076" authorId="0" shapeId="0" xr:uid="{00000000-0006-0000-0100-00007B000000}">
      <text>
        <r>
          <rPr>
            <sz val="9"/>
            <color indexed="81"/>
            <rFont val="Tahoma"/>
            <family val="2"/>
          </rPr>
          <t xml:space="preserve">NISR projected pop growth 2012-22
</t>
        </r>
      </text>
    </comment>
    <comment ref="AB1076" authorId="0" shapeId="0" xr:uid="{00000000-0006-0000-0100-00007C000000}">
      <text>
        <r>
          <rPr>
            <sz val="9"/>
            <color indexed="81"/>
            <rFont val="Tahoma"/>
            <family val="2"/>
          </rPr>
          <t xml:space="preserve">Growth rate calculated from POP_PROJECTION_ PHC 2013-32
from 2017 0nward
</t>
        </r>
      </text>
    </comment>
    <comment ref="AB1116" authorId="0" shapeId="0" xr:uid="{00000000-0006-0000-0100-00007D000000}">
      <text>
        <r>
          <rPr>
            <b/>
            <sz val="9"/>
            <color indexed="81"/>
            <rFont val="Tahoma"/>
            <family val="2"/>
          </rPr>
          <t>Author:</t>
        </r>
        <r>
          <rPr>
            <sz val="9"/>
            <color indexed="81"/>
            <rFont val="Tahoma"/>
            <family val="2"/>
          </rPr>
          <t xml:space="preserve">
Goes to BOP - Formula changed because low investment deflator (NISR)</t>
        </r>
      </text>
    </comment>
    <comment ref="Y1124" authorId="0" shapeId="0" xr:uid="{00000000-0006-0000-0100-00007E000000}">
      <text>
        <r>
          <rPr>
            <b/>
            <sz val="9"/>
            <color indexed="81"/>
            <rFont val="Tahoma"/>
            <family val="2"/>
          </rPr>
          <t>akouwenaar:</t>
        </r>
        <r>
          <rPr>
            <sz val="9"/>
            <color indexed="81"/>
            <rFont val="Tahoma"/>
            <family val="2"/>
          </rPr>
          <t xml:space="preserve"> fr 2014: distinguish public and private investment for import content investm. Marked down with ratio direct/dir+indir imports
</t>
        </r>
      </text>
    </comment>
    <comment ref="Y1125" authorId="0" shapeId="0" xr:uid="{00000000-0006-0000-0100-00007F000000}">
      <text>
        <r>
          <rPr>
            <b/>
            <sz val="9"/>
            <color indexed="81"/>
            <rFont val="Tahoma"/>
            <family val="2"/>
          </rPr>
          <t>akouwenaar:</t>
        </r>
        <r>
          <rPr>
            <sz val="9"/>
            <color indexed="81"/>
            <rFont val="Tahoma"/>
            <family val="2"/>
          </rPr>
          <t xml:space="preserve"> fr 2014: distinguish public and private investment for import content investm. Marked down with ratio direct/dir+indir imports
</t>
        </r>
      </text>
    </comment>
    <comment ref="E1198" authorId="0" shapeId="0" xr:uid="{00000000-0006-0000-0100-000080000000}">
      <text>
        <r>
          <rPr>
            <sz val="9"/>
            <color indexed="81"/>
            <rFont val="Tahoma"/>
            <family val="2"/>
          </rPr>
          <t>private capital stock relatively low given low investment from NA; still a bit higher than if K(0)=I(0)/(</t>
        </r>
        <r>
          <rPr>
            <sz val="9"/>
            <color indexed="81"/>
            <rFont val="Symbol"/>
            <family val="1"/>
            <charset val="2"/>
          </rPr>
          <t>d</t>
        </r>
        <r>
          <rPr>
            <sz val="9"/>
            <color indexed="81"/>
            <rFont val="Tahoma"/>
            <family val="2"/>
          </rPr>
          <t>+g) with g growth rate steady state</t>
        </r>
      </text>
    </comment>
    <comment ref="F1200" authorId="0" shapeId="0" xr:uid="{00000000-0006-0000-0100-000081000000}">
      <text>
        <r>
          <rPr>
            <sz val="9"/>
            <color indexed="81"/>
            <rFont val="Tahoma"/>
            <family val="2"/>
          </rPr>
          <t>if g=0, Ko= Io/</t>
        </r>
        <r>
          <rPr>
            <sz val="9"/>
            <color indexed="81"/>
            <rFont val="Symbol"/>
            <family val="1"/>
            <charset val="2"/>
          </rPr>
          <t>d`</t>
        </r>
      </text>
    </comment>
    <comment ref="J1202" authorId="0" shapeId="0" xr:uid="{C8C56C69-EFA4-4C33-A74D-1F5D3AAEC91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Assumed base year stock</t>
        </r>
      </text>
    </comment>
    <comment ref="L1206" authorId="0" shapeId="0" xr:uid="{889250FC-CB4B-4465-8DDA-0DD2697DCF1A}">
      <text>
        <r>
          <rPr>
            <b/>
            <sz val="9"/>
            <color indexed="81"/>
            <rFont val="Tahoma"/>
            <family val="2"/>
          </rPr>
          <t>Author:</t>
        </r>
        <r>
          <rPr>
            <sz val="9"/>
            <color indexed="81"/>
            <rFont val="Tahoma"/>
            <family val="2"/>
          </rPr>
          <t xml:space="preserve">
capital stock in 2014$</t>
        </r>
      </text>
    </comment>
    <comment ref="D1212" authorId="0" shapeId="0" xr:uid="{78D67A82-3345-4339-9087-8EB245706BAE}">
      <text>
        <r>
          <rPr>
            <sz val="9"/>
            <color indexed="81"/>
            <rFont val="Tahoma"/>
            <family val="2"/>
          </rPr>
          <t>corrected Sept 8 2025 had wrong link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15" authorId="0" shapeId="0" xr:uid="{00000000-0006-0000-0200-000001000000}">
      <text>
        <r>
          <rPr>
            <b/>
            <sz val="9"/>
            <color indexed="81"/>
            <rFont val="Tahoma"/>
            <family val="2"/>
          </rPr>
          <t>Author:</t>
        </r>
        <r>
          <rPr>
            <sz val="9"/>
            <color indexed="81"/>
            <rFont val="Tahoma"/>
            <family val="2"/>
          </rPr>
          <t xml:space="preserve">
Adj. Fishing
</t>
        </r>
      </text>
    </comment>
    <comment ref="G43" authorId="0" shapeId="0" xr:uid="{00000000-0006-0000-0200-000002000000}">
      <text>
        <r>
          <rPr>
            <b/>
            <sz val="9"/>
            <color indexed="81"/>
            <rFont val="Tahoma"/>
            <family val="2"/>
          </rPr>
          <t>Author:</t>
        </r>
        <r>
          <rPr>
            <sz val="9"/>
            <color indexed="81"/>
            <rFont val="Tahoma"/>
            <family val="2"/>
          </rPr>
          <t xml:space="preserve">
adjustment water
</t>
        </r>
      </text>
    </comment>
    <comment ref="J159" authorId="0" shapeId="0" xr:uid="{00000000-0006-0000-0200-000003000000}">
      <text>
        <r>
          <rPr>
            <b/>
            <sz val="9"/>
            <color indexed="81"/>
            <rFont val="Tahoma"/>
            <family val="2"/>
          </rPr>
          <t>Author:</t>
        </r>
        <r>
          <rPr>
            <sz val="9"/>
            <color indexed="81"/>
            <rFont val="Tahoma"/>
            <family val="2"/>
          </rPr>
          <t xml:space="preserve">
Times zero due to lack of plastic and metal data. Using only cement production as proxy for domestic
</t>
        </r>
      </text>
    </comment>
    <comment ref="H192" authorId="0" shapeId="0" xr:uid="{F83684C7-8B88-4D7D-BA8D-DD188A46C822}">
      <text>
        <r>
          <rPr>
            <b/>
            <sz val="9"/>
            <color indexed="81"/>
            <rFont val="Tahoma"/>
            <family val="2"/>
          </rPr>
          <t>Author:</t>
        </r>
        <r>
          <rPr>
            <sz val="9"/>
            <color indexed="81"/>
            <rFont val="Tahoma"/>
            <family val="2"/>
          </rPr>
          <t xml:space="preserve">
December 2023 Exercise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S8" authorId="0" shapeId="0" xr:uid="{EAE818A1-7EF6-49D9-AE04-149DB444BD9E}">
      <text>
        <r>
          <rPr>
            <b/>
            <sz val="9"/>
            <color indexed="81"/>
            <rFont val="Tahoma"/>
            <family val="2"/>
          </rPr>
          <t>Reflection of rebasing sector structural effects in Agric…a higher intermadiate input cost that reduced GDP/VA</t>
        </r>
      </text>
    </comment>
    <comment ref="U15" authorId="0" shapeId="0" xr:uid="{398CCFDA-3047-43E8-BDA3-1E6A0EBECF5A}">
      <text>
        <r>
          <rPr>
            <b/>
            <sz val="9"/>
            <color indexed="81"/>
            <rFont val="Tahoma"/>
            <family val="2"/>
          </rPr>
          <t>quarrying construction activities associated with NKIA seem not to hold any longer.</t>
        </r>
      </text>
    </comment>
    <comment ref="S17" authorId="0" shapeId="0" xr:uid="{2B48EF97-75B1-4F0D-B802-236003D442A8}">
      <text>
        <r>
          <rPr>
            <b/>
            <sz val="9"/>
            <color indexed="81"/>
            <rFont val="Tahoma"/>
            <family val="2"/>
          </rPr>
          <t>Changes in food crops is not structural changes in production (food processing not hugely affected)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A34" authorId="0" shapeId="0" xr:uid="{BA920F31-C98D-4F8C-B9C3-E36E9611AB4A}">
      <text>
        <r>
          <rPr>
            <b/>
            <sz val="13"/>
            <color indexed="81"/>
            <rFont val="Tahoma"/>
            <family val="2"/>
          </rPr>
          <t>Author:</t>
        </r>
        <r>
          <rPr>
            <sz val="13"/>
            <color indexed="81"/>
            <rFont val="Tahoma"/>
            <family val="2"/>
          </rPr>
          <t xml:space="preserve">
should be labor force/pop working age</t>
        </r>
      </text>
    </comment>
    <comment ref="AI50" authorId="0" shapeId="0" xr:uid="{1759CE2B-DA1E-45BC-A55A-C07BEAAA36DA}">
      <text>
        <r>
          <rPr>
            <b/>
            <sz val="13"/>
            <color indexed="81"/>
            <rFont val="Tahoma"/>
            <family val="2"/>
          </rPr>
          <t xml:space="preserve">ak: </t>
        </r>
        <r>
          <rPr>
            <sz val="13"/>
            <color indexed="81"/>
            <rFont val="Tahoma"/>
            <family val="2"/>
          </rPr>
          <t>We can use intMF REAL proj, provided govt empl validated</t>
        </r>
      </text>
    </comment>
    <comment ref="AI51" authorId="0" shapeId="0" xr:uid="{0BC0B881-3A39-4994-ABAE-E4213C398BB4}">
      <text>
        <r>
          <rPr>
            <b/>
            <sz val="13"/>
            <color indexed="81"/>
            <rFont val="Tahoma"/>
            <family val="2"/>
          </rPr>
          <t xml:space="preserve">ak: </t>
        </r>
        <r>
          <rPr>
            <sz val="13"/>
            <color indexed="81"/>
            <rFont val="Tahoma"/>
            <family val="2"/>
          </rPr>
          <t>We can use intMF REAL proj, provided govt empl validated</t>
        </r>
      </text>
    </comment>
  </commentList>
</comments>
</file>

<file path=xl/sharedStrings.xml><?xml version="1.0" encoding="utf-8"?>
<sst xmlns="http://schemas.openxmlformats.org/spreadsheetml/2006/main" count="3077" uniqueCount="1768">
  <si>
    <t>Imports</t>
  </si>
  <si>
    <t>WEO_ALL</t>
  </si>
  <si>
    <t xml:space="preserve">WEO Assumptions </t>
  </si>
  <si>
    <t>EXTFIN_ALL</t>
  </si>
  <si>
    <t xml:space="preserve">External Financing Assumptions </t>
  </si>
  <si>
    <t>EXTDEBT_ALL</t>
  </si>
  <si>
    <t>External debt service</t>
  </si>
  <si>
    <t>BOP_REAL</t>
  </si>
  <si>
    <t>Proj. 2015</t>
  </si>
  <si>
    <t>Proj. 2016</t>
  </si>
  <si>
    <t>I. IMPORTED BLOCK (paste values)</t>
  </si>
  <si>
    <t>Sources</t>
  </si>
  <si>
    <t>__</t>
  </si>
  <si>
    <t>bln US$</t>
  </si>
  <si>
    <t>2005=100</t>
  </si>
  <si>
    <t>period average</t>
  </si>
  <si>
    <t>Real GDP</t>
  </si>
  <si>
    <t>Advanced economies</t>
  </si>
  <si>
    <t>Emerging market and developing economies</t>
  </si>
  <si>
    <t>GDP deflator</t>
  </si>
  <si>
    <t>Trade</t>
  </si>
  <si>
    <t>World trade volume (goods and services)</t>
  </si>
  <si>
    <t>Trade prices (export price deflator)</t>
  </si>
  <si>
    <t xml:space="preserve">    Manufactures—advanced economies</t>
  </si>
  <si>
    <t>Fuel</t>
  </si>
  <si>
    <t xml:space="preserve">   Petroleum spot price (APSP; US$)</t>
  </si>
  <si>
    <t>Euro area</t>
  </si>
  <si>
    <t>SDRs per U.S. dollar</t>
  </si>
  <si>
    <t>Six-month LIBOR on</t>
  </si>
  <si>
    <t>Precision</t>
  </si>
  <si>
    <t xml:space="preserve"> </t>
  </si>
  <si>
    <t>FISCAL variables for REAL</t>
  </si>
  <si>
    <r>
      <rPr>
        <b/>
        <sz val="11"/>
        <color theme="1"/>
        <rFont val="Calibri"/>
        <family val="2"/>
        <scheme val="minor"/>
      </rPr>
      <t xml:space="preserve">GDP current year: </t>
    </r>
    <r>
      <rPr>
        <sz val="11"/>
        <color theme="1"/>
        <rFont val="Calibri"/>
        <family val="2"/>
        <scheme val="minor"/>
      </rPr>
      <t>GDP for the current year, breakdown by quarter</t>
    </r>
  </si>
  <si>
    <t>GDP specific</t>
  </si>
  <si>
    <t>Industry</t>
  </si>
  <si>
    <t>Construction</t>
  </si>
  <si>
    <t>Wholesale &amp; retail trade</t>
  </si>
  <si>
    <t>Cultural, domestic &amp; other services</t>
  </si>
  <si>
    <t>NISR</t>
  </si>
  <si>
    <t>BOP variables for REAL (demand side)</t>
  </si>
  <si>
    <t xml:space="preserve">Cereals (céréales) </t>
  </si>
  <si>
    <t xml:space="preserve">   Maize (maïs)</t>
  </si>
  <si>
    <t xml:space="preserve">   Groundnuts (arachide)</t>
  </si>
  <si>
    <t xml:space="preserve">Roots &amp; tubers </t>
  </si>
  <si>
    <t xml:space="preserve">   Irish potatoes (pomme de terre)</t>
  </si>
  <si>
    <t xml:space="preserve">   Sweet potatoes (potates douces) </t>
  </si>
  <si>
    <t xml:space="preserve">   Cassava (manioc)</t>
  </si>
  <si>
    <t>Bananas</t>
  </si>
  <si>
    <t>Food crops</t>
  </si>
  <si>
    <t>Export crops</t>
  </si>
  <si>
    <t>Coffee</t>
  </si>
  <si>
    <t>Tea</t>
  </si>
  <si>
    <t>2013 (value)</t>
  </si>
  <si>
    <t>REAL GDP</t>
  </si>
  <si>
    <t>Nominal GDP</t>
  </si>
  <si>
    <t>Livestock &amp; livestock products</t>
  </si>
  <si>
    <t>Forestry</t>
  </si>
  <si>
    <t>Fishing</t>
  </si>
  <si>
    <t>Deflator</t>
  </si>
  <si>
    <t>GDP</t>
  </si>
  <si>
    <t xml:space="preserve">    Animal feeds </t>
  </si>
  <si>
    <t xml:space="preserve">    Bakeries production</t>
  </si>
  <si>
    <t xml:space="preserve">    Biscuits </t>
  </si>
  <si>
    <t xml:space="preserve">    Flour production</t>
  </si>
  <si>
    <t xml:space="preserve">    Rice production</t>
  </si>
  <si>
    <t xml:space="preserve">    Sugar</t>
  </si>
  <si>
    <t>Mining &amp; quarrying</t>
  </si>
  <si>
    <t>TOTAL MANUFACTURING</t>
  </si>
  <si>
    <t>Manufacturing of food</t>
  </si>
  <si>
    <t>Manufacturing of beverages &amp; tobacco</t>
  </si>
  <si>
    <t>Manufacturing of textiles, clothing &amp; leather goods</t>
  </si>
  <si>
    <t>Manufacturing of wood &amp; paper; printing</t>
  </si>
  <si>
    <t>Manufacturing of chemicals, rubber &amp; plastic products</t>
  </si>
  <si>
    <t>Manufacturing of non-metallic mineral products</t>
  </si>
  <si>
    <t>Manufacturing of metal products, machinery &amp; equipment</t>
  </si>
  <si>
    <t xml:space="preserve">Furniture &amp; other manufacturing </t>
  </si>
  <si>
    <t>Electricity</t>
  </si>
  <si>
    <t>Water &amp; waste management</t>
  </si>
  <si>
    <t>2014 (value)</t>
  </si>
  <si>
    <t xml:space="preserve">         Soft drinks</t>
  </si>
  <si>
    <t xml:space="preserve">         Milk</t>
  </si>
  <si>
    <t xml:space="preserve">         Modern beer</t>
  </si>
  <si>
    <t xml:space="preserve">         Juice</t>
  </si>
  <si>
    <t xml:space="preserve">        Mineral water</t>
  </si>
  <si>
    <t xml:space="preserve">        Banana wine</t>
  </si>
  <si>
    <t xml:space="preserve">    Tobacco</t>
  </si>
  <si>
    <t xml:space="preserve">   Beverages</t>
  </si>
  <si>
    <t>MINAGRI</t>
  </si>
  <si>
    <t>2013-2014</t>
  </si>
  <si>
    <t>2014 (volume)</t>
  </si>
  <si>
    <t>% change (volume)</t>
  </si>
  <si>
    <t>2013 (volume)</t>
  </si>
  <si>
    <t>% change (value)</t>
  </si>
  <si>
    <t>Food crops growth</t>
  </si>
  <si>
    <t>Cassiterite</t>
  </si>
  <si>
    <t>Coltan</t>
  </si>
  <si>
    <t>Wolfram</t>
  </si>
  <si>
    <t>2014                (share vol.)</t>
  </si>
  <si>
    <t>2014                  (1st Proj)</t>
  </si>
  <si>
    <t>2014                   (revised)</t>
  </si>
  <si>
    <t>Summary items of the GDP</t>
  </si>
  <si>
    <t>Structure of the sheet: 'GDP current year'</t>
  </si>
  <si>
    <t>I. Real and Nominal GDP</t>
  </si>
  <si>
    <t>Details</t>
  </si>
  <si>
    <t>II. Summary GDP Output</t>
  </si>
  <si>
    <t>III. GDP specific assumptions</t>
  </si>
  <si>
    <t>Trade and Transport</t>
  </si>
  <si>
    <t>Maintenance &amp; repair of motor vehicles</t>
  </si>
  <si>
    <t>Transport services</t>
  </si>
  <si>
    <t xml:space="preserve">BNR (industry production)                                                           </t>
  </si>
  <si>
    <t xml:space="preserve">   Wood</t>
  </si>
  <si>
    <t xml:space="preserve">   Paper</t>
  </si>
  <si>
    <t xml:space="preserve">   Cement and other similar products</t>
  </si>
  <si>
    <t xml:space="preserve">   Metalics construction material  </t>
  </si>
  <si>
    <t xml:space="preserve">   Other constructions materials</t>
  </si>
  <si>
    <t>Domestic</t>
  </si>
  <si>
    <t xml:space="preserve">   Cement</t>
  </si>
  <si>
    <t xml:space="preserve">   Plastic products</t>
  </si>
  <si>
    <t xml:space="preserve">   Metal products</t>
  </si>
  <si>
    <t>Method: use volumes, calculate real growth, then nominal using deflator</t>
  </si>
  <si>
    <t>Hotels &amp; restaurants</t>
  </si>
  <si>
    <t>Information &amp; communication</t>
  </si>
  <si>
    <t>Financial services</t>
  </si>
  <si>
    <t>Real estate activities</t>
  </si>
  <si>
    <t>Professional, scientific and technical activities</t>
  </si>
  <si>
    <t>Administrative and support service activities</t>
  </si>
  <si>
    <t>Public administration and defence; compulsory social security</t>
  </si>
  <si>
    <t>Education</t>
  </si>
  <si>
    <t>Human health and social work activities</t>
  </si>
  <si>
    <t>Taxes less subsidies on products</t>
  </si>
  <si>
    <t>SERVICES</t>
  </si>
  <si>
    <t>INDUSTRY</t>
  </si>
  <si>
    <t>AGRICULTURE</t>
  </si>
  <si>
    <t>Other services</t>
  </si>
  <si>
    <t>Method: use nominal data then calculate real with sme exceptions (specified)</t>
  </si>
  <si>
    <t>Budget</t>
  </si>
  <si>
    <t>DMX codes</t>
  </si>
  <si>
    <t>DMX Codes</t>
  </si>
  <si>
    <t>Integrated MF 10 file management Principles</t>
  </si>
  <si>
    <t>ii.        The “main projection module” should be in one work sheet (normally CY, except fiscal)</t>
  </si>
  <si>
    <t>iv.       Keep sector’s source data sheets in separate file, but avoid hotlinks to other files</t>
  </si>
  <si>
    <r>
      <t xml:space="preserve"> v.        </t>
    </r>
    <r>
      <rPr>
        <i/>
        <sz val="11"/>
        <color rgb="FF000000"/>
        <rFont val="Calibri"/>
        <family val="2"/>
      </rPr>
      <t>In-year</t>
    </r>
    <r>
      <rPr>
        <sz val="11"/>
        <color rgb="FF000000"/>
        <rFont val="Calibri"/>
        <family val="2"/>
      </rPr>
      <t xml:space="preserve"> estimates/updated projections  in separate ”in-year” sheet, with links or copy/paste value to main projection module; in-year sheet can have quarters, semesters etc. as needed</t>
    </r>
  </si>
  <si>
    <t>vi.        In-file documentation of all data sources; input of any data only once</t>
  </si>
  <si>
    <t>vii.      Parameters explicit in “sector specific assumptions” and calculation/projection method explained</t>
  </si>
  <si>
    <r>
      <t>viii.     Spreadsheet structure:</t>
    </r>
    <r>
      <rPr>
        <i/>
        <sz val="11"/>
        <color rgb="FF000000"/>
        <rFont val="Calibri"/>
        <family val="2"/>
      </rPr>
      <t xml:space="preserve"> </t>
    </r>
    <r>
      <rPr>
        <sz val="11"/>
        <color rgb="FF000000"/>
        <rFont val="Calibri"/>
        <family val="2"/>
      </rPr>
      <t xml:space="preserve">uniform </t>
    </r>
    <r>
      <rPr>
        <i/>
        <sz val="11"/>
        <color rgb="FF000000"/>
        <rFont val="Calibri"/>
        <family val="2"/>
      </rPr>
      <t>year -column</t>
    </r>
    <r>
      <rPr>
        <sz val="11"/>
        <color rgb="FF000000"/>
        <rFont val="Calibri"/>
        <family val="2"/>
      </rPr>
      <t xml:space="preserve">, </t>
    </r>
    <r>
      <rPr>
        <i/>
        <sz val="11"/>
        <color rgb="FF000000"/>
        <rFont val="Calibri"/>
        <family val="2"/>
      </rPr>
      <t>top-down, left-right</t>
    </r>
    <r>
      <rPr>
        <sz val="11"/>
        <color rgb="FF000000"/>
        <rFont val="Calibri"/>
        <family val="2"/>
      </rPr>
      <t xml:space="preserve"> logic, no circularity</t>
    </r>
  </si>
  <si>
    <t>ix.        Common blocks ‘imported’ or ‘exported’ from/to sectors must be safeguarded</t>
  </si>
  <si>
    <r>
      <t xml:space="preserve">x.         Translate CY projections to  FY basis with two-year average (and </t>
    </r>
    <r>
      <rPr>
        <i/>
        <sz val="11"/>
        <color rgb="FF000000"/>
        <rFont val="Calibri"/>
        <family val="2"/>
      </rPr>
      <t>vice versa</t>
    </r>
    <r>
      <rPr>
        <sz val="11"/>
        <color rgb="FF000000"/>
        <rFont val="Calibri"/>
        <family val="2"/>
      </rPr>
      <t>), for FISCAL and BOP</t>
    </r>
  </si>
  <si>
    <t>Commodity prices indices (except otherwise indicated)</t>
  </si>
  <si>
    <t>$/bl</t>
  </si>
  <si>
    <t>2005=100, Kg/Lbs</t>
  </si>
  <si>
    <t>Coffee, other mild (ICO, ex-dock New York)</t>
  </si>
  <si>
    <t>$/MT</t>
  </si>
  <si>
    <t>Hides</t>
  </si>
  <si>
    <t>$/MT?</t>
  </si>
  <si>
    <t>Gold</t>
  </si>
  <si>
    <t>$/ounce, 30.6 grams/ounce</t>
  </si>
  <si>
    <t>Tin</t>
  </si>
  <si>
    <t>U.S. dollars per unit of national currency</t>
  </si>
  <si>
    <t>$/Euro</t>
  </si>
  <si>
    <t>in %</t>
  </si>
  <si>
    <t>GEE_ALL</t>
  </si>
  <si>
    <t>95% of trade reporting country</t>
  </si>
  <si>
    <t>trading partners 100% of trade reporting country</t>
  </si>
  <si>
    <t>for RER calc</t>
  </si>
  <si>
    <t>for PMmanuf or PEmanuf</t>
  </si>
  <si>
    <t>PEnonoil</t>
  </si>
  <si>
    <t>PEcommodity-nonoil</t>
  </si>
  <si>
    <t xml:space="preserve">        Quarter I</t>
  </si>
  <si>
    <t xml:space="preserve">        Quarter II</t>
  </si>
  <si>
    <t xml:space="preserve">        Quarter III</t>
  </si>
  <si>
    <t xml:space="preserve">        Quarter IV</t>
  </si>
  <si>
    <t>III. Project grants (in US$ mln)</t>
  </si>
  <si>
    <t xml:space="preserve">Amortization due excl. IMF in mln US$ </t>
  </si>
  <si>
    <t>Bilateral</t>
  </si>
  <si>
    <t>Commercial</t>
  </si>
  <si>
    <t>Monetary variables for REAL</t>
  </si>
  <si>
    <t>MINAGRI for projections</t>
  </si>
  <si>
    <t>2015: adjustment 0.9*Minagri proj. (discussion with Minagri)</t>
  </si>
  <si>
    <t>Coffee and tea exports - volume in tons</t>
  </si>
  <si>
    <t>Pyrethrum</t>
  </si>
  <si>
    <t>Horticulture</t>
  </si>
  <si>
    <t>Flowers (stems)</t>
  </si>
  <si>
    <t>Hides and skins</t>
  </si>
  <si>
    <t>Milk</t>
  </si>
  <si>
    <t>Meat</t>
  </si>
  <si>
    <t>Live animals</t>
  </si>
  <si>
    <t>Cereals</t>
  </si>
  <si>
    <t>BOP/NAEB</t>
  </si>
  <si>
    <t xml:space="preserve">RAB       </t>
  </si>
  <si>
    <t xml:space="preserve">RAB     </t>
  </si>
  <si>
    <t>Food crops/ MINIMEX/Bakhresa</t>
  </si>
  <si>
    <t xml:space="preserve">Sulfo  </t>
  </si>
  <si>
    <t>Cimerwa</t>
  </si>
  <si>
    <t>MININFRA</t>
  </si>
  <si>
    <t>Capacity in MW</t>
  </si>
  <si>
    <t>REAL_MF</t>
  </si>
  <si>
    <t xml:space="preserve">REAL   </t>
  </si>
  <si>
    <t>Real GDP growth</t>
  </si>
  <si>
    <t xml:space="preserve">    Government consumption</t>
  </si>
  <si>
    <t xml:space="preserve">    Households and NGOs</t>
  </si>
  <si>
    <t>FISC_REAL</t>
  </si>
  <si>
    <t>GEE assumptions for Rwandan partners</t>
  </si>
  <si>
    <t>III. GDP in volume</t>
  </si>
  <si>
    <t>BOP (imports)</t>
  </si>
  <si>
    <t xml:space="preserve">   Holiday / Vacation/ Leisure</t>
  </si>
  <si>
    <t xml:space="preserve">   Visiting Friends and Relatives</t>
  </si>
  <si>
    <t xml:space="preserve">   Business, Conference, Official</t>
  </si>
  <si>
    <t xml:space="preserve">   Transit/Other Purposes</t>
  </si>
  <si>
    <t>Number of visitors</t>
  </si>
  <si>
    <t xml:space="preserve">RDB   </t>
  </si>
  <si>
    <t>Tourism</t>
  </si>
  <si>
    <t>New products BRD (agri financing, student loan, housing)</t>
  </si>
  <si>
    <t>Gross Domestic Product</t>
  </si>
  <si>
    <t>Total final consumption expenditure</t>
  </si>
  <si>
    <t>Gross capital formation</t>
  </si>
  <si>
    <t>Resource balance</t>
  </si>
  <si>
    <t>Government</t>
  </si>
  <si>
    <t>Households and NGOs</t>
  </si>
  <si>
    <t xml:space="preserve">Gross fixed capital formation </t>
  </si>
  <si>
    <t xml:space="preserve">   Construction</t>
  </si>
  <si>
    <t xml:space="preserve">   Other</t>
  </si>
  <si>
    <t xml:space="preserve">Change in inventories </t>
  </si>
  <si>
    <t>Exports of goods &amp; services</t>
  </si>
  <si>
    <t xml:space="preserve">   Goods (fob)</t>
  </si>
  <si>
    <t xml:space="preserve">   Services</t>
  </si>
  <si>
    <t>Imports of goods &amp; services</t>
  </si>
  <si>
    <t>GDP demand side</t>
  </si>
  <si>
    <t>I.1 Non Macro-Framework exogenous blocks</t>
  </si>
  <si>
    <t>data starting from 2005</t>
  </si>
  <si>
    <t>Pmnonoil - Could be found in the WEO (updated more often)</t>
  </si>
  <si>
    <t>APSP in % change Pmoil - Appears in the WEO (trade prices -export price deflator - manufactures</t>
  </si>
  <si>
    <t>Appears in the WEO -  petrolum spot price</t>
  </si>
  <si>
    <t>I.2 Macro-Framework exogenous blocks</t>
  </si>
  <si>
    <t>I. EXOGENOUS BLOCK (paste values)</t>
  </si>
  <si>
    <t xml:space="preserve">   idem of goods and services</t>
  </si>
  <si>
    <t>Import price index in Frw goods fob</t>
  </si>
  <si>
    <t>add</t>
  </si>
  <si>
    <t xml:space="preserve"> iii.      For common data input, insert well-formatted extract of source file (rather than whole sheet)</t>
  </si>
  <si>
    <t xml:space="preserve">MT </t>
  </si>
  <si>
    <t xml:space="preserve">MT (excl imports) </t>
  </si>
  <si>
    <t>MT (3 main commodities)</t>
  </si>
  <si>
    <t>MT</t>
  </si>
  <si>
    <t>add (TM+VAT/M) tax rate</t>
  </si>
  <si>
    <t>add govt unit wage costs</t>
  </si>
  <si>
    <t>Coffee volume (MT)</t>
  </si>
  <si>
    <t>Tea volume (MT)</t>
  </si>
  <si>
    <t>Cassiterite volume (MT)</t>
  </si>
  <si>
    <t>Coltan volume (MT)</t>
  </si>
  <si>
    <t>Wolfram volume (MT)</t>
  </si>
  <si>
    <t>Hides and skins (MT)</t>
  </si>
  <si>
    <t>Pyrethreum (MT)</t>
  </si>
  <si>
    <t xml:space="preserve">Sulfo </t>
  </si>
  <si>
    <t xml:space="preserve"> sugar,MINIMEX/Bakhresa</t>
  </si>
  <si>
    <t>insert line ~ NISR format</t>
  </si>
  <si>
    <t>40 lines</t>
  </si>
  <si>
    <t>NISR format</t>
  </si>
  <si>
    <t>43 lines</t>
  </si>
  <si>
    <t>close to NISR format</t>
  </si>
  <si>
    <t>Calculated ratios, parameters</t>
  </si>
  <si>
    <t xml:space="preserve">  ( in billion Rwf)      </t>
  </si>
  <si>
    <t>BNR data</t>
  </si>
  <si>
    <t>check</t>
  </si>
  <si>
    <t>Program exchange rate RWF/USD</t>
  </si>
  <si>
    <t>Effective import tax rate (incl. VAT and fuel excise) on imported goods &amp; services</t>
  </si>
  <si>
    <t>II. GDP specific assumptions (supply side)</t>
  </si>
  <si>
    <t>Private consumption</t>
  </si>
  <si>
    <t xml:space="preserve">Private investment </t>
  </si>
  <si>
    <t>22 lines  as in NISR publication</t>
  </si>
  <si>
    <t>20 lines  as in NISR publication</t>
  </si>
  <si>
    <t>Effective import tax rate (incl. VAT and fuel excise) on imported goods cif</t>
  </si>
  <si>
    <t xml:space="preserve">   fraction of Budget capital spending which is investment for NA</t>
  </si>
  <si>
    <t xml:space="preserve">         growth rate private investment</t>
  </si>
  <si>
    <t xml:space="preserve">        elasticity of private investment relative to GDP</t>
  </si>
  <si>
    <t>VIa. Expenditure on GDP</t>
  </si>
  <si>
    <t>Public admin&amp;defence; compulsory soc security</t>
  </si>
  <si>
    <t xml:space="preserve"> Total public wage bill</t>
  </si>
  <si>
    <t>GDP excl exports, public wages &amp; indirect taxes</t>
  </si>
  <si>
    <t xml:space="preserve">    Government</t>
  </si>
  <si>
    <t xml:space="preserve">    Gross fixed capital formation </t>
  </si>
  <si>
    <t xml:space="preserve">    Change in inventories </t>
  </si>
  <si>
    <t>Public wages and other VA in health</t>
  </si>
  <si>
    <t>Top-up factor imports g&amp;s over imports goods CIF</t>
  </si>
  <si>
    <t>Import g&amp;s share intermediate&amp; energy in GDP</t>
  </si>
  <si>
    <t>uniform top-up for services</t>
  </si>
  <si>
    <t xml:space="preserve">      Construction</t>
  </si>
  <si>
    <t xml:space="preserve">      Other</t>
  </si>
  <si>
    <t>share of imports in investment (chosen, incl. indirect imports)</t>
  </si>
  <si>
    <t>share of imports in inventories (chosen, incl. indirect imports)</t>
  </si>
  <si>
    <t>Chosen import shares consistent with BOP and NA figures--to play with</t>
  </si>
  <si>
    <t>calculated imports/GDP w. chosen pars incl. indirect imports</t>
  </si>
  <si>
    <t>Imports g&amp;s share in GDP from  BOP</t>
  </si>
  <si>
    <t>share of imports g&amp;s in GDP from National Accounts</t>
  </si>
  <si>
    <t>check calculated FD weighted import g&amp;s in GDP</t>
  </si>
  <si>
    <t xml:space="preserve">       Imports intermediate g&amp;s (excl for exports) in GDP</t>
  </si>
  <si>
    <t>% change PRICE exports g&amp;s in RWF   BOP</t>
  </si>
  <si>
    <t>% change PRICE imports g&amp;s  in RWF (excl taxes)   BOP</t>
  </si>
  <si>
    <t>% change PRICE imports g&amp;s  in RWF (incl taxes)   BOP</t>
  </si>
  <si>
    <t xml:space="preserve">    % change in effective indirect tax rate VA (fr FISCAL)</t>
  </si>
  <si>
    <t>indirect subsidies</t>
  </si>
  <si>
    <t xml:space="preserve">    % change in effective indirect subsidy rate (fr FISCAL)</t>
  </si>
  <si>
    <t>based on BOP data</t>
  </si>
  <si>
    <t xml:space="preserve">     share of import in government investment  (chosen, incl. indirect imports)  </t>
  </si>
  <si>
    <t xml:space="preserve">     share of import in private investment  (chosen, incl. indirect imports)</t>
  </si>
  <si>
    <t>used</t>
  </si>
  <si>
    <t>NA NISR</t>
  </si>
  <si>
    <r>
      <t xml:space="preserve">Private investment </t>
    </r>
    <r>
      <rPr>
        <sz val="9"/>
        <color theme="1"/>
        <rFont val="Calibri"/>
        <family val="2"/>
        <scheme val="minor"/>
      </rPr>
      <t>(deducting part of Budget capital spending)</t>
    </r>
    <r>
      <rPr>
        <sz val="11"/>
        <color theme="1"/>
        <rFont val="Calibri"/>
        <family val="2"/>
        <scheme val="minor"/>
      </rPr>
      <t xml:space="preserve"> </t>
    </r>
    <r>
      <rPr>
        <sz val="9"/>
        <color theme="1"/>
        <rFont val="Calibri"/>
        <family val="2"/>
        <scheme val="minor"/>
      </rPr>
      <t>current prices (MF proxy)</t>
    </r>
  </si>
  <si>
    <t>exports  g&amp;S</t>
  </si>
  <si>
    <t>other private GDP</t>
  </si>
  <si>
    <t>indirect taxes less subsidies</t>
  </si>
  <si>
    <t>VIII. Calculations deflators consistent with NA, supply &amp; demand side</t>
  </si>
  <si>
    <t xml:space="preserve">VIIIa.  Calculations on import shares in demand </t>
  </si>
  <si>
    <t xml:space="preserve">                   of which: direct imports (from BOP)</t>
  </si>
  <si>
    <t xml:space="preserve">          Other (chosen, incl. indirect imports)</t>
  </si>
  <si>
    <t xml:space="preserve">          Construction (chosen, incl. indirect imports)</t>
  </si>
  <si>
    <t xml:space="preserve">  Share of imports in govt consumption (excl. govt wage bill)</t>
  </si>
  <si>
    <t xml:space="preserve">              Of which: imports energy products in GDP</t>
  </si>
  <si>
    <t xml:space="preserve">  Share of energy products in GDP</t>
  </si>
  <si>
    <t xml:space="preserve">    indirect subsidies (residual fr NA)</t>
  </si>
  <si>
    <t xml:space="preserve">     Effective import tax rate (incl. VAT) on consumption goods&amp; services imports</t>
  </si>
  <si>
    <r>
      <t xml:space="preserve">     import g&amp;s share in private consumption</t>
    </r>
    <r>
      <rPr>
        <sz val="9"/>
        <color theme="1"/>
        <rFont val="Calibri"/>
        <family val="2"/>
        <scheme val="minor"/>
      </rPr>
      <t xml:space="preserve"> (after assumed govt import share), excl taxes</t>
    </r>
  </si>
  <si>
    <t xml:space="preserve">      import taxes (tariffs, VAT etc.) as a share of private consumption, MF proxy</t>
  </si>
  <si>
    <t xml:space="preserve">     % change PRICE exports g&amp;s domestic value added</t>
  </si>
  <si>
    <t xml:space="preserve">         wage bill</t>
  </si>
  <si>
    <t>assume discrepancies are constant in nominal terms</t>
  </si>
  <si>
    <t>matches NA%</t>
  </si>
  <si>
    <t>constructed nos.  in red</t>
  </si>
  <si>
    <t>check:</t>
  </si>
  <si>
    <r>
      <t xml:space="preserve">      import share reported in CPI </t>
    </r>
    <r>
      <rPr>
        <sz val="9"/>
        <color theme="1"/>
        <rFont val="Calibri"/>
        <family val="2"/>
        <scheme val="minor"/>
      </rPr>
      <t xml:space="preserve"> (likely incl. indirect taxes, indirect imports?)</t>
    </r>
  </si>
  <si>
    <t xml:space="preserve">       private sector investment deflator</t>
  </si>
  <si>
    <r>
      <t xml:space="preserve">       government investment deflator</t>
    </r>
    <r>
      <rPr>
        <sz val="9"/>
        <color theme="1"/>
        <rFont val="Calibri"/>
        <family val="2"/>
        <scheme val="minor"/>
      </rPr>
      <t xml:space="preserve"> </t>
    </r>
  </si>
  <si>
    <t>pr inv constant prices exogenous; govt inv fr FISCAL in current prices</t>
  </si>
  <si>
    <t>proj fr FISCAL</t>
  </si>
  <si>
    <t xml:space="preserve">         govt goods &amp; services</t>
  </si>
  <si>
    <t>still put in subsidies</t>
  </si>
  <si>
    <t xml:space="preserve">                 Government investment deflator</t>
  </si>
  <si>
    <t xml:space="preserve">                 Private investment deflator</t>
  </si>
  <si>
    <r>
      <t xml:space="preserve">         NB Imports of goods and services (</t>
    </r>
    <r>
      <rPr>
        <b/>
        <sz val="11"/>
        <color theme="1"/>
        <rFont val="Calibri"/>
        <family val="2"/>
        <scheme val="minor"/>
      </rPr>
      <t xml:space="preserve">incl. </t>
    </r>
    <r>
      <rPr>
        <sz val="11"/>
        <color theme="1"/>
        <rFont val="Calibri"/>
        <family val="2"/>
        <scheme val="minor"/>
      </rPr>
      <t>indirect taxes)</t>
    </r>
  </si>
  <si>
    <t>Effective excise tax rate (incl. VAT) on energy goods imports cif</t>
  </si>
  <si>
    <t xml:space="preserve">         Government capital spending in NA constant prices (MF proxy)</t>
  </si>
  <si>
    <t>GDP excl. exports, public wages incl. indirect taxes</t>
  </si>
  <si>
    <t>Effective import tax rate (incl. tariff, VAT) on non fuel goods imports cif</t>
  </si>
  <si>
    <t>WG share in</t>
  </si>
  <si>
    <t xml:space="preserve">NBR-NISR </t>
  </si>
  <si>
    <t xml:space="preserve">       CPI eop  (from NBR) in % change, target from 2015</t>
  </si>
  <si>
    <r>
      <t xml:space="preserve">CPI period average (from BNR)  in % change </t>
    </r>
    <r>
      <rPr>
        <sz val="11"/>
        <color theme="1"/>
        <rFont val="Calibri"/>
        <family val="2"/>
        <scheme val="minor"/>
      </rPr>
      <t>(target for projection)</t>
    </r>
  </si>
  <si>
    <t>checkBOP-NA</t>
  </si>
  <si>
    <t>Monetary variables for MF</t>
  </si>
  <si>
    <t>MON_MF</t>
  </si>
  <si>
    <t>$cts/lbs, 0.45 Kg/lbs</t>
  </si>
  <si>
    <t>from proj growth Table IV</t>
  </si>
  <si>
    <r>
      <t xml:space="preserve">discrepancy/adjustment </t>
    </r>
    <r>
      <rPr>
        <sz val="11"/>
        <color theme="1"/>
        <rFont val="Calibri"/>
        <family val="2"/>
        <scheme val="minor"/>
      </rPr>
      <t xml:space="preserve">Nat Accounts-/-exports g&amp;s BOP </t>
    </r>
    <r>
      <rPr>
        <sz val="9"/>
        <color theme="1"/>
        <rFont val="Calibri"/>
        <family val="2"/>
        <scheme val="minor"/>
      </rPr>
      <t>(current prices bln RWF)</t>
    </r>
  </si>
  <si>
    <r>
      <t xml:space="preserve">                                                   Nat Accounts -/ imports g&amp;s BOP </t>
    </r>
    <r>
      <rPr>
        <sz val="9"/>
        <color theme="1"/>
        <rFont val="Calibri"/>
        <family val="2"/>
        <scheme val="minor"/>
      </rPr>
      <t>(current prices bln RWF)</t>
    </r>
  </si>
  <si>
    <r>
      <t xml:space="preserve">discrepancy/adjustment </t>
    </r>
    <r>
      <rPr>
        <sz val="11"/>
        <color theme="1"/>
        <rFont val="Calibri"/>
        <family val="2"/>
        <scheme val="minor"/>
      </rPr>
      <t>govt cons g&amp;s Nat Acc -/-Budget (bln RWF) (NA higher)</t>
    </r>
  </si>
  <si>
    <t xml:space="preserve">   govt spending on g&amp;s from budget (g&amp;s+exceptional+fraction capital spending)</t>
  </si>
  <si>
    <t xml:space="preserve">  Share of intermediate imports (excl. energy products) in GDP</t>
  </si>
  <si>
    <t xml:space="preserve">   share of imports in domestic capital spending</t>
  </si>
  <si>
    <t>BNR-NISR CPI</t>
  </si>
  <si>
    <r>
      <t>Import g&amp;s share in consumption (</t>
    </r>
    <r>
      <rPr>
        <sz val="10"/>
        <color theme="1"/>
        <rFont val="Calibri"/>
        <family val="2"/>
        <scheme val="minor"/>
      </rPr>
      <t>private and govt excl. wagebill; current prices)</t>
    </r>
  </si>
  <si>
    <t>used for Import shares BOP</t>
  </si>
  <si>
    <t>used for DEFL</t>
  </si>
  <si>
    <t xml:space="preserve">       Imports intermediate g&amp;s share in exports g&amp;s</t>
  </si>
  <si>
    <t>approx. shares</t>
  </si>
  <si>
    <t xml:space="preserve">   o/w: mining</t>
  </si>
  <si>
    <t>Total investment</t>
  </si>
  <si>
    <t xml:space="preserve">     Government investment </t>
  </si>
  <si>
    <t xml:space="preserve">     Private investment (incl. inventories)</t>
  </si>
  <si>
    <t xml:space="preserve">      Private domestic savings </t>
  </si>
  <si>
    <t>Resource balance (current account excl. primary &amp; secondary income)</t>
  </si>
  <si>
    <t>new deflator</t>
  </si>
  <si>
    <t>&lt;2015 NA</t>
  </si>
  <si>
    <t>used for components</t>
  </si>
  <si>
    <t>import share INV</t>
  </si>
  <si>
    <t>domestic indirect tax rate (indirect tax excl. excise fuel/domestic share in private and govt cons)</t>
  </si>
  <si>
    <t>Constant Prices - weighted sum using 2011 values</t>
  </si>
  <si>
    <t>BOP</t>
  </si>
  <si>
    <t>BOP takes only 85% of NAEB proj.</t>
  </si>
  <si>
    <t>Note that the constant prices values are derived from BOP 2011</t>
  </si>
  <si>
    <t xml:space="preserve">           imports of energy products cif</t>
  </si>
  <si>
    <t xml:space="preserve">           imports of consumption goods cif</t>
  </si>
  <si>
    <t>Bralirwa, Inyange, Skol</t>
  </si>
  <si>
    <t xml:space="preserve">   Beers</t>
  </si>
  <si>
    <t xml:space="preserve">   Soft drinks</t>
  </si>
  <si>
    <t xml:space="preserve">   Juices</t>
  </si>
  <si>
    <t xml:space="preserve">   Mineral water</t>
  </si>
  <si>
    <t xml:space="preserve">   Diary</t>
  </si>
  <si>
    <t xml:space="preserve"> HL weighted by the current prices/liter estimates 2015 (in Frw)</t>
  </si>
  <si>
    <t>Food informal share</t>
  </si>
  <si>
    <t>Food informal growth</t>
  </si>
  <si>
    <t>Beverages informal share</t>
  </si>
  <si>
    <t>Beverages informal growth</t>
  </si>
  <si>
    <t>Chemicals informal share</t>
  </si>
  <si>
    <t>Chemicals informal growth</t>
  </si>
  <si>
    <t>Half formal growth - Half population growth 2.4%</t>
  </si>
  <si>
    <t>Construction modern informal share</t>
  </si>
  <si>
    <t>Informal share = 0.85 (NISR) - use the same share modern/traditional of previous figures</t>
  </si>
  <si>
    <t>Construction formal share</t>
  </si>
  <si>
    <t>Wholesale and retail trade formal weights</t>
  </si>
  <si>
    <t xml:space="preserve">   Weight imports</t>
  </si>
  <si>
    <t>Hotels and Restaurants informal share</t>
  </si>
  <si>
    <t>Hotels and Restaurants informal growth</t>
  </si>
  <si>
    <t xml:space="preserve">   share of import taxes (tariffs, VAT) on consumption goods proxy</t>
  </si>
  <si>
    <t>Real exchange rate (CPI trading partners in US$) % change (- depr)</t>
  </si>
  <si>
    <t>Human health</t>
  </si>
  <si>
    <t>MIFOTRA</t>
  </si>
  <si>
    <t>historical growth in the number of civil servants</t>
  </si>
  <si>
    <t>Taxes and subsidies assumptions</t>
  </si>
  <si>
    <t>Imports of goods cif in constant prices growth</t>
  </si>
  <si>
    <t>Assumed 2014 share</t>
  </si>
  <si>
    <t>Non-agricultural GDP growth set exogenous to avoid circularity</t>
  </si>
  <si>
    <r>
      <t xml:space="preserve">  </t>
    </r>
    <r>
      <rPr>
        <sz val="11"/>
        <color theme="1"/>
        <rFont val="Calibri"/>
        <family val="2"/>
        <scheme val="minor"/>
      </rPr>
      <t>domestic indirect tax rate</t>
    </r>
    <r>
      <rPr>
        <sz val="12"/>
        <color theme="1"/>
        <rFont val="Calibri"/>
        <family val="2"/>
        <scheme val="minor"/>
      </rPr>
      <t xml:space="preserve"> </t>
    </r>
    <r>
      <rPr>
        <sz val="9"/>
        <color theme="1"/>
        <rFont val="Calibri"/>
        <family val="2"/>
        <scheme val="minor"/>
      </rPr>
      <t>(excl. excise fuel)</t>
    </r>
    <r>
      <rPr>
        <sz val="12"/>
        <color theme="1"/>
        <rFont val="Calibri"/>
        <family val="2"/>
        <scheme val="minor"/>
      </rPr>
      <t xml:space="preserve"> </t>
    </r>
    <r>
      <rPr>
        <sz val="11"/>
        <color theme="1"/>
        <rFont val="Calibri"/>
        <family val="2"/>
        <scheme val="minor"/>
      </rPr>
      <t>on domestic VA excl govt</t>
    </r>
  </si>
  <si>
    <r>
      <rPr>
        <sz val="11"/>
        <color theme="1"/>
        <rFont val="Calibri"/>
        <family val="2"/>
        <scheme val="minor"/>
      </rPr>
      <t>domestic indirect tax rate</t>
    </r>
    <r>
      <rPr>
        <sz val="9"/>
        <color theme="1"/>
        <rFont val="Calibri"/>
        <family val="2"/>
        <scheme val="minor"/>
      </rPr>
      <t xml:space="preserve"> (excl. excise fuel)</t>
    </r>
    <r>
      <rPr>
        <sz val="10"/>
        <color theme="1"/>
        <rFont val="Calibri"/>
        <family val="2"/>
        <scheme val="minor"/>
      </rPr>
      <t xml:space="preserve"> </t>
    </r>
    <r>
      <rPr>
        <sz val="11"/>
        <color theme="1"/>
        <rFont val="Calibri"/>
        <family val="2"/>
        <scheme val="minor"/>
      </rPr>
      <t>on domestic VA excl govt, export</t>
    </r>
    <r>
      <rPr>
        <sz val="10"/>
        <color theme="1"/>
        <rFont val="Calibri"/>
        <family val="2"/>
        <scheme val="minor"/>
      </rPr>
      <t>s</t>
    </r>
  </si>
  <si>
    <t>set rate</t>
  </si>
  <si>
    <t xml:space="preserve">     Prices of domestic goods excluding taxes</t>
  </si>
  <si>
    <t>prel. proj</t>
  </si>
  <si>
    <t>seek data</t>
  </si>
  <si>
    <t>Import tax base: import growth g&amp;s in constant prices</t>
  </si>
  <si>
    <t>fr FISCAL</t>
  </si>
  <si>
    <r>
      <t xml:space="preserve">domestic indirect tax rate </t>
    </r>
    <r>
      <rPr>
        <sz val="8"/>
        <color theme="1"/>
        <rFont val="Calibri"/>
        <family val="2"/>
        <scheme val="minor"/>
      </rPr>
      <t>(excl. excise fuel; on GDP factorcost, excl. govt wages exports)</t>
    </r>
  </si>
  <si>
    <t>implicit in FISCAL</t>
  </si>
  <si>
    <t xml:space="preserve">    % change in effective import tax rate on g&amp;s  FISCAL</t>
  </si>
  <si>
    <t xml:space="preserve">     O/w: Private investment (MF proxy)</t>
  </si>
  <si>
    <t xml:space="preserve">Net primary and secondary income </t>
  </si>
  <si>
    <t xml:space="preserve">      Private sector (net current transfers and dividends &amp; interest) </t>
  </si>
  <si>
    <t xml:space="preserve">      Government (net transfers minus external interest; excl. PKO)</t>
  </si>
  <si>
    <t xml:space="preserve">     domestic tax base:  growth in that VA in constant prices in %</t>
  </si>
  <si>
    <r>
      <t>Public admin/educ /health</t>
    </r>
    <r>
      <rPr>
        <sz val="11"/>
        <color theme="1"/>
        <rFont val="Calibri"/>
        <family val="2"/>
        <scheme val="minor"/>
      </rPr>
      <t>: employment growth (=VA in constant prices)</t>
    </r>
  </si>
  <si>
    <r>
      <t>Public admin/educ /health</t>
    </r>
    <r>
      <rPr>
        <sz val="11"/>
        <color theme="1"/>
        <rFont val="Calibri"/>
        <family val="2"/>
        <scheme val="minor"/>
      </rPr>
      <t>: deflator (unit salary costs in govt)</t>
    </r>
  </si>
  <si>
    <t>Education (public teachers)</t>
  </si>
  <si>
    <t>Human health (public health workers)</t>
  </si>
  <si>
    <t>INV volume</t>
  </si>
  <si>
    <t>GDP excl. admin/educ/health (pu+pr); indirect taxes in constant prices</t>
  </si>
  <si>
    <r>
      <t>domestic indirect tax rate</t>
    </r>
    <r>
      <rPr>
        <sz val="9"/>
        <color theme="1"/>
        <rFont val="Calibri"/>
        <family val="2"/>
        <scheme val="minor"/>
      </rPr>
      <t xml:space="preserve"> (excl excise fuel; on GDP factorcost, excl WG, exports</t>
    </r>
    <r>
      <rPr>
        <sz val="11"/>
        <color theme="1"/>
        <rFont val="Calibri"/>
        <family val="2"/>
        <scheme val="minor"/>
      </rPr>
      <t>)</t>
    </r>
  </si>
  <si>
    <t>deflator of domestic indirect tax base</t>
  </si>
  <si>
    <t>import tax (incl VAT, excises petrol) over imports g&amp;s, CY in %</t>
  </si>
  <si>
    <t xml:space="preserve">      deflator domestic taxes (rate, price of base)</t>
  </si>
  <si>
    <t>~formal growth in MT</t>
  </si>
  <si>
    <r>
      <t>domestic indirect taxes</t>
    </r>
    <r>
      <rPr>
        <sz val="11"/>
        <color theme="1"/>
        <rFont val="Calibri"/>
        <family val="2"/>
        <scheme val="minor"/>
      </rPr>
      <t xml:space="preserve"> volume growth tax base</t>
    </r>
  </si>
  <si>
    <t xml:space="preserve">    Import taxes share in total taxes</t>
  </si>
  <si>
    <t xml:space="preserve">    domestic taxes share in total taxes</t>
  </si>
  <si>
    <r>
      <rPr>
        <u/>
        <sz val="11"/>
        <color theme="1"/>
        <rFont val="Calibri"/>
        <family val="2"/>
        <scheme val="minor"/>
      </rPr>
      <t>import taxes (incl VAT, excise fuel)</t>
    </r>
    <r>
      <rPr>
        <sz val="11"/>
        <color theme="1"/>
        <rFont val="Calibri"/>
        <family val="2"/>
        <scheme val="minor"/>
      </rPr>
      <t xml:space="preserve"> volume growth tax base</t>
    </r>
  </si>
  <si>
    <t>import tax rate (incl VAT, excise fuel; on imports g&amp;s)</t>
  </si>
  <si>
    <t xml:space="preserve">      deflator import taxes (rate, price of base)</t>
  </si>
  <si>
    <t>deflator of import tax base in RWF</t>
  </si>
  <si>
    <t xml:space="preserve">Subsidy growth in constant prices </t>
  </si>
  <si>
    <t>-/-PD excl taxes</t>
  </si>
  <si>
    <t xml:space="preserve">    Subsidy share in total taxes and subsidies</t>
  </si>
  <si>
    <t>FISC_REAL (in bln RWF) Calendar Year basis</t>
  </si>
  <si>
    <t>PD excl taxes VIII</t>
  </si>
  <si>
    <t>deflator domtax VIII</t>
  </si>
  <si>
    <t>Pm excl taxes VIII</t>
  </si>
  <si>
    <t>deflator import tax VIII</t>
  </si>
  <si>
    <t>% change domestic prices (incl indirect taxes&amp;subsidies) PDT</t>
  </si>
  <si>
    <t>from BOP</t>
  </si>
  <si>
    <t>from NA proj, not used for now</t>
  </si>
  <si>
    <t>Average increase in taxes and subsidies in constant prices</t>
  </si>
  <si>
    <t>share tax&amp;sub</t>
  </si>
  <si>
    <t>Average increase in taxes  in constant prices (ignoring subsidies for now)</t>
  </si>
  <si>
    <t xml:space="preserve">   Wheat and other</t>
  </si>
  <si>
    <t xml:space="preserve">  Sorghum (sorgho)</t>
  </si>
  <si>
    <t xml:space="preserve">  Paddy (riz)</t>
  </si>
  <si>
    <t xml:space="preserve">   Other roots</t>
  </si>
  <si>
    <t>Other fruits</t>
  </si>
  <si>
    <t>NISR Constant Prices</t>
  </si>
  <si>
    <t>Method: calculate real growth, then nominal using deflator</t>
  </si>
  <si>
    <t>Legumes</t>
  </si>
  <si>
    <t xml:space="preserve">   Beans, dried (haricot) </t>
  </si>
  <si>
    <t xml:space="preserve">   Soya beans</t>
  </si>
  <si>
    <t xml:space="preserve">   Peas, etc, dried (petits pois)</t>
  </si>
  <si>
    <t>Oil seed</t>
  </si>
  <si>
    <t>Other vegables</t>
  </si>
  <si>
    <t>NISR overestimates, we take food crops for now</t>
  </si>
  <si>
    <t>Food Formal growth</t>
  </si>
  <si>
    <t>Based on Volumes from companies - growth in 2015 and 2018 extrapolated using average of 2016-2017 volumes</t>
  </si>
  <si>
    <t>CPI</t>
  </si>
  <si>
    <t>assumed based on the share of CPI</t>
  </si>
  <si>
    <t>Total imports in constant prices</t>
  </si>
  <si>
    <t>GDP-Public admin-Helath-Education-Taxes growth</t>
  </si>
  <si>
    <t xml:space="preserve">   GDP excl Public admin, health, education, transport and taxes</t>
  </si>
  <si>
    <t>Use 2011 value to have constant prices in USD- wiehghted average growth</t>
  </si>
  <si>
    <t>Semester 1</t>
  </si>
  <si>
    <t>Semester 2</t>
  </si>
  <si>
    <t xml:space="preserve">KP                </t>
  </si>
  <si>
    <t>Total</t>
  </si>
  <si>
    <t>Share S1</t>
  </si>
  <si>
    <t>Formal</t>
  </si>
  <si>
    <t>Informal</t>
  </si>
  <si>
    <t>2014/2015 Banana and Sorghum production</t>
  </si>
  <si>
    <t>Textiles informal share</t>
  </si>
  <si>
    <t>Textiles informal growth</t>
  </si>
  <si>
    <t>Volume in yards</t>
  </si>
  <si>
    <t>volume in tons</t>
  </si>
  <si>
    <t>Soaps, cosmetics, paints, plastics products, matresses and other products</t>
  </si>
  <si>
    <t xml:space="preserve">   Soap</t>
  </si>
  <si>
    <t xml:space="preserve">   Cosmetics</t>
  </si>
  <si>
    <t xml:space="preserve">   Paints</t>
  </si>
  <si>
    <t xml:space="preserve">   Plastic</t>
  </si>
  <si>
    <t xml:space="preserve">   Matresses</t>
  </si>
  <si>
    <t xml:space="preserve">   Other chemicals</t>
  </si>
  <si>
    <t>volume in tons-prices rough estimates</t>
  </si>
  <si>
    <t>volume number of pieces (brooms) - price rough estimate per broom</t>
  </si>
  <si>
    <t xml:space="preserve">NISR/REG         </t>
  </si>
  <si>
    <t xml:space="preserve">NISR/WASAC      </t>
  </si>
  <si>
    <t>Volume in thousand of Kwh</t>
  </si>
  <si>
    <t>Volume in thousands of m3</t>
  </si>
  <si>
    <t>Constant prices</t>
  </si>
  <si>
    <t>BOP monthly imports</t>
  </si>
  <si>
    <t>Current prices</t>
  </si>
  <si>
    <t>volume in tons_Note: Construction growth is made up of growth in formal and informal sector and traditional sector. Formal and informal growth is based on domestic production and import volumes. Numbers here represent the modern informal sector, traditional is approx by pop growth, formal sector: RRA. See assumptions</t>
  </si>
  <si>
    <t xml:space="preserve">      Banana share</t>
  </si>
  <si>
    <t xml:space="preserve">      Banana growth</t>
  </si>
  <si>
    <t xml:space="preserve">      Sorghum growth</t>
  </si>
  <si>
    <t>Tobacco share in constant prices</t>
  </si>
  <si>
    <t>Share in the sector beverages and tobacco</t>
  </si>
  <si>
    <t>Wood and paper informal share</t>
  </si>
  <si>
    <t>Wood and paper informal growth</t>
  </si>
  <si>
    <t>Price per ton current price</t>
  </si>
  <si>
    <t>Services</t>
  </si>
  <si>
    <t>We assume formal and informal growth the same - imports already contain informal</t>
  </si>
  <si>
    <t>Hotels and Restaurants Nominal growth</t>
  </si>
  <si>
    <t>Real estate Nominal growth</t>
  </si>
  <si>
    <t>Same as annual proj</t>
  </si>
  <si>
    <t>II. REAL GDP in detail (Volumes + Formal/Informal)</t>
  </si>
  <si>
    <t xml:space="preserve">BOP        </t>
  </si>
  <si>
    <t>Average of quarters 1 and 2</t>
  </si>
  <si>
    <t>Average of quarters 1 and 2 - no informal - directly from NISR</t>
  </si>
  <si>
    <t xml:space="preserve">NISR      </t>
  </si>
  <si>
    <t>Agriculture</t>
  </si>
  <si>
    <t xml:space="preserve">NISR                 </t>
  </si>
  <si>
    <t xml:space="preserve">BOP       </t>
  </si>
  <si>
    <t xml:space="preserve">CPI         </t>
  </si>
  <si>
    <t xml:space="preserve">PPI          </t>
  </si>
  <si>
    <t>III. Summary GDP Output</t>
  </si>
  <si>
    <t>Deflator Increase in govt unit wages cost - linked to annual - comes from Fiscal</t>
  </si>
  <si>
    <t>Fiscal/Budget</t>
  </si>
  <si>
    <t>GDP/Annual</t>
  </si>
  <si>
    <t xml:space="preserve">Deflator - Deflator calculated in the annual (no link to avoid circularity) - considered as a target - exogenous </t>
  </si>
  <si>
    <t>GEE Aug 26 2015</t>
  </si>
  <si>
    <t xml:space="preserve">  Excluding oil—advanced economies</t>
  </si>
  <si>
    <t xml:space="preserve">   Food</t>
  </si>
  <si>
    <t xml:space="preserve">   Agricultural raw materials</t>
  </si>
  <si>
    <t xml:space="preserve">   Metals</t>
  </si>
  <si>
    <t>GAS Aug 26 2015</t>
  </si>
  <si>
    <t xml:space="preserve">bln US$        </t>
  </si>
  <si>
    <t>2015: in-year calculation - 2016-2018 Proj: average last 2 years</t>
  </si>
  <si>
    <t>2015: in-year calculation, 2016-2018: average last 3 years</t>
  </si>
  <si>
    <t>2015: in-year calculation - 2016-2017: Proj. volume growth weithed by 2011 values from the BOP - 2018: average last 4 years</t>
  </si>
  <si>
    <t>2015: in-year calculation - Formal -  volume projected  extrapolated/ Informal - food crops - see assumption bloc</t>
  </si>
  <si>
    <t xml:space="preserve">2015: in-year calculation - Total beverages weighted by the prices -tobacco neglected / Informal is assumed to grow at the same rate  </t>
  </si>
  <si>
    <t>2015: in-year calculation - 2016-2018 Proj Average last 2 years</t>
  </si>
  <si>
    <t>2015: in-year calculation - 2016-2018 Average last 4 years</t>
  </si>
  <si>
    <t>2015: in-year calculation - 2016-2018 Average last 3 years (Mininfra overestimates and before 2012 no distinction with Water)</t>
  </si>
  <si>
    <t>2015: in-year calculation - 2016-2018 Proj.: Formal and Modern Informal - Investment growth proj / Traditional informal pop growth 2.4%</t>
  </si>
  <si>
    <t>2015: in-year calculation - 2016-2018 Projections: weighted average of food crops, manufacturing of food and total imports growth in constant prices - Formal and Informal are assumed to grow at the same rate</t>
  </si>
  <si>
    <t>2015: in-year calculation - 2016-2018 Proj.: 50% Total imports growth in constant prices - 50% local transport based on the rest of the economy - We assume formal and infromal growth the same - imports already contain informal - see assumptions bloc</t>
  </si>
  <si>
    <t>2015: in-year calculation - 2016-2017: Formal volume from RDB / Informal see assumptions - 2018: average last 4 years</t>
  </si>
  <si>
    <t xml:space="preserve"> 2015: in-year calculation - 2016-2018 Proj.: average last 4 years</t>
  </si>
  <si>
    <t>2015: in-year calculation - 2016-2018 Proj.: Govt employment growth</t>
  </si>
  <si>
    <t>2015: in-year calculation - 2016-2018 Proj.: weighted average domestic and import taxes growth rates see assumptions</t>
  </si>
  <si>
    <t>I. GDP specific assumptions (in-year)</t>
  </si>
  <si>
    <t xml:space="preserve">Assumption: 3% depreciation per year </t>
  </si>
  <si>
    <t xml:space="preserve">NBR overdraft government </t>
  </si>
  <si>
    <t>Claims on central government  commercial banks bln RWF</t>
  </si>
  <si>
    <t>NBR monetary policy instruments (debt + if absorption) bln RWF</t>
  </si>
  <si>
    <t>not in MS</t>
  </si>
  <si>
    <t>for debt</t>
  </si>
  <si>
    <t xml:space="preserve"> 2015 SA and B from NISR</t>
  </si>
  <si>
    <t>Nominal GDP in mln USD</t>
  </si>
  <si>
    <t>fr 2011 WEO_ALL</t>
  </si>
  <si>
    <t>end WEO_ALL</t>
  </si>
  <si>
    <t>fr 2011 GEE_ALL</t>
  </si>
  <si>
    <t>REAL_OUTPUT below this</t>
  </si>
  <si>
    <t>REAL_OUTPUT above this</t>
  </si>
  <si>
    <t>fr 2011 REAL_MF</t>
  </si>
  <si>
    <t>March 2015 version - updated oct 12</t>
  </si>
  <si>
    <t xml:space="preserve">  Adjustment Information and communication NISR</t>
  </si>
  <si>
    <t>Chemicals formal growth</t>
  </si>
  <si>
    <t>Estimate based on 9 months CPI</t>
  </si>
  <si>
    <t>Exogenous based on judgement</t>
  </si>
  <si>
    <t xml:space="preserve">  Construction modern informal growth</t>
  </si>
  <si>
    <t xml:space="preserve">  Construction formal growth</t>
  </si>
  <si>
    <t>fr '11 MON_MF</t>
  </si>
  <si>
    <t>NISR/BNR Production data for major foodstuffs</t>
  </si>
  <si>
    <t xml:space="preserve">NISR/BNR (industry production)                                                           </t>
  </si>
  <si>
    <t>volume million of sticks - price per stick</t>
  </si>
  <si>
    <t>Price 2011 per liter</t>
  </si>
  <si>
    <t>Volume in Tons - Formal sum weighted using 2011 constant prices per kg - Informal see assumptions</t>
  </si>
  <si>
    <t>volume in kgs - price rough estimate per kg of toilet paper</t>
  </si>
  <si>
    <t>price rough per Kg</t>
  </si>
  <si>
    <t>Peace keeping operations (Government services/Military Units)</t>
  </si>
  <si>
    <t>Government capital transfers</t>
  </si>
  <si>
    <t>Direct foreign investment (liabilities)</t>
  </si>
  <si>
    <t>Link to total investment</t>
  </si>
  <si>
    <t>from FISCAL: policy assumptions and calcs of implicit rates</t>
  </si>
  <si>
    <t xml:space="preserve">         Current account balance in BOP</t>
  </si>
  <si>
    <t>Supposed in KP</t>
  </si>
  <si>
    <t>Inter EICVs</t>
  </si>
  <si>
    <t xml:space="preserve"> 2015: in-year calculation - 2016-2018 Proj.: average last 2 years (seems same growth as Administrative and professional before 2012, maybe was estimated the same way?)</t>
  </si>
  <si>
    <t>2015: in-year calculation - 2016-2018 Proj.: average last 2 years (seems same growth as Real estate and professional before 2012, maybe was estimated the same way?)</t>
  </si>
  <si>
    <t>Adjustment Export crops</t>
  </si>
  <si>
    <t>Domestic interest</t>
  </si>
  <si>
    <t>X. Summary REAL Output</t>
  </si>
  <si>
    <t>export deflator</t>
  </si>
  <si>
    <t>public admin deflator</t>
  </si>
  <si>
    <t>taxes deflator</t>
  </si>
  <si>
    <t>2015:in-year calculation - 2016-2018: average last 3 years (remove link with MINAGRI - proj too old)</t>
  </si>
  <si>
    <t>2015: in-year calculation - 2016-2017: Weighted average of growth (coffee + tea), proj vol from BOP - 2018: average last 2 years</t>
  </si>
  <si>
    <t>2015: in-year calculation - 2016-2018 : average last 4 years</t>
  </si>
  <si>
    <t>2015: in-year calculation - 2016-2017: Formal proj. volume growth / Informal see assumptions - 2018: average last 4 years</t>
  </si>
  <si>
    <t xml:space="preserve"> 2015: in-year calculation - 2016-2018 Proj.: average last 3 years (seems same growth as Real estate and administrative before 2012, maybe was estimated the same way?)</t>
  </si>
  <si>
    <t>2015: in-year calculation - 2016-2018 Proj.: average last 3 years</t>
  </si>
  <si>
    <t>2015: in-year calculation - 2016-2018: average last 5 years</t>
  </si>
  <si>
    <t xml:space="preserve">Working Assumptions </t>
  </si>
  <si>
    <t>Real GDP Growth</t>
  </si>
  <si>
    <t>Nominal GDP Growth</t>
  </si>
  <si>
    <t>GDP Deflator</t>
  </si>
  <si>
    <t>CPI p.a.</t>
  </si>
  <si>
    <t>CPI e.o.p</t>
  </si>
  <si>
    <t>Nominal FY GDP</t>
  </si>
  <si>
    <t>2013/14</t>
  </si>
  <si>
    <t>2014/15</t>
  </si>
  <si>
    <t>2015/16</t>
  </si>
  <si>
    <t>2016/17</t>
  </si>
  <si>
    <t>2017/18</t>
  </si>
  <si>
    <t>2018/19</t>
  </si>
  <si>
    <t>Real GDP Growth (Fiscal year)</t>
  </si>
  <si>
    <t>Source: MINECOFIN</t>
  </si>
  <si>
    <t>REAL_FISC above this</t>
  </si>
  <si>
    <t>REAL_REFOTO below this (macro variables for revenue forecasting)</t>
  </si>
  <si>
    <t xml:space="preserve">    Households and NGOs consumption</t>
  </si>
  <si>
    <t>(in % change, or bln RWF)</t>
  </si>
  <si>
    <t>REAL_REFOTO above this</t>
  </si>
  <si>
    <t>Nzove + Bugesera in 1000 m3</t>
  </si>
  <si>
    <t>2015: in-year calculation - 2016-2018 Nzove + Bugesera projects - 2019 Average last 3 years (before 2012 no distinction with Electricity)</t>
  </si>
  <si>
    <t>set variables</t>
  </si>
  <si>
    <t>2016 projection</t>
  </si>
  <si>
    <t>including C&amp;H</t>
  </si>
  <si>
    <t>Information &amp; communication Nominal growth</t>
  </si>
  <si>
    <t>2016 KP</t>
  </si>
  <si>
    <t>2016 (value)</t>
  </si>
  <si>
    <t>semester1=q1*2</t>
  </si>
  <si>
    <t>Turnovers</t>
  </si>
  <si>
    <t xml:space="preserve">        Semester I</t>
  </si>
  <si>
    <t xml:space="preserve">        Semester II</t>
  </si>
  <si>
    <t>end EXTFIN_PRINT</t>
  </si>
  <si>
    <t>MTN, Airtel, Tigo</t>
  </si>
  <si>
    <t>Adjustment Food crops</t>
  </si>
  <si>
    <t>Adjustment Forestry</t>
  </si>
  <si>
    <t xml:space="preserve">Adjustment wholesale trade </t>
  </si>
  <si>
    <t xml:space="preserve">Adjustment real estate </t>
  </si>
  <si>
    <t>Private investment in constant prices incl all big invest proj</t>
  </si>
  <si>
    <t>Construction adhoc adjust.</t>
  </si>
  <si>
    <t xml:space="preserve">      Adjustment Sorghum prod </t>
  </si>
  <si>
    <t>We expect bad season B</t>
  </si>
  <si>
    <t>Adjustment Cultural</t>
  </si>
  <si>
    <t>Bralirwa proj</t>
  </si>
  <si>
    <t>Skol proj</t>
  </si>
  <si>
    <t xml:space="preserve">Adjustement Transport </t>
  </si>
  <si>
    <t xml:space="preserve">      Adjustment Banana prod </t>
  </si>
  <si>
    <t>Adjustment Manufacturing of food Formal</t>
  </si>
  <si>
    <t>GDP specific assumptions (supply) (GDP_specific_assump_supply below this)</t>
  </si>
  <si>
    <t>GDP_specific_assump_supply above this</t>
  </si>
  <si>
    <r>
      <t xml:space="preserve">GDP specific assumptions (demand side) </t>
    </r>
    <r>
      <rPr>
        <sz val="8"/>
        <color theme="1"/>
        <rFont val="Calibri"/>
        <family val="2"/>
        <scheme val="minor"/>
      </rPr>
      <t>(GDP_specific_assump_demand below this)</t>
    </r>
  </si>
  <si>
    <t>GDP_specific_assump_demand above this</t>
  </si>
  <si>
    <t xml:space="preserve"> REAL_MF_PRINT above this</t>
  </si>
  <si>
    <t>REAL_MF_PRINT below this</t>
  </si>
  <si>
    <t xml:space="preserve">  Net foreign assets NBR (mln US$) end-June </t>
  </si>
  <si>
    <t xml:space="preserve">   idem at end June (from in-year MonSurvey, incl for projection)</t>
  </si>
  <si>
    <t>FISC_REAL above this</t>
  </si>
  <si>
    <t>n.a.</t>
  </si>
  <si>
    <t>VIb. GDP Deflators</t>
  </si>
  <si>
    <t>VIc. Expenditure on GDP</t>
  </si>
  <si>
    <t>Deflator CPI food and non-alcoholic beverages - Average Jan Dec 2016/2015</t>
  </si>
  <si>
    <t>Deflator general CPI  - Average Jan-Dec 2016/2015</t>
  </si>
  <si>
    <t>Deflator CPI meat  - Average Jan Dec 2016/2015</t>
  </si>
  <si>
    <t>Deflator general CPI  - Average Jan Dec 2016/2015</t>
  </si>
  <si>
    <t>Deflator CPI fish - Average Jan Dec 2016/2015</t>
  </si>
  <si>
    <t>Deflator PPI Mining - Average Jan-Dec 2016/2015</t>
  </si>
  <si>
    <t>Deflator PPI Manufacturing food - Average Jan Dec 2016/2015</t>
  </si>
  <si>
    <t xml:space="preserve">Deflator PPI Beverages (tobacco neglected) - Average Jan Dec 2016/2015 </t>
  </si>
  <si>
    <t xml:space="preserve">Deflator PPI textiles - Average Jan Dec 2016/2015 </t>
  </si>
  <si>
    <t xml:space="preserve">Deflator PPI Paper (wood neglected) - Average Jan Dec 2016/2015 </t>
  </si>
  <si>
    <t xml:space="preserve">Deflator PPI Chemicals and chemical products - Average Jan Dec 2016/2015 </t>
  </si>
  <si>
    <t xml:space="preserve">Deflator PPI non-metallic mineral products - Average Jan Dec 2016/2015 </t>
  </si>
  <si>
    <t xml:space="preserve">Deflator PPI  fabricated metal products, except machinery and equipment  - Average Jan Dec 2016/2015 </t>
  </si>
  <si>
    <t xml:space="preserve">Deflator PPI Furniture  - Average Jan Dec 2016/2015 </t>
  </si>
  <si>
    <t xml:space="preserve">Deflator PPI Electricity  - Average Jan Dec 2016/2015 </t>
  </si>
  <si>
    <t xml:space="preserve">Deflator PPI Water  - Average Jan Dec 2016/2015 </t>
  </si>
  <si>
    <t xml:space="preserve">Deflator general PPI  - Average Jan-Dec 2016/2015 </t>
  </si>
  <si>
    <t>Deflator CPI Transport - Average Jan Dec 2016/2015</t>
  </si>
  <si>
    <t>Deflator CPI Hotels and Restaurants - Average Jan Dec 2016/2015</t>
  </si>
  <si>
    <t>Deflator CPI Communication  - Average Jan Dec 2016/2015</t>
  </si>
  <si>
    <t xml:space="preserve">BNR                                                    </t>
  </si>
  <si>
    <t>Turnovers - Nominal as Formal - see assumptions for informal - deflated with corresponding CPI</t>
  </si>
  <si>
    <t>Turnovers - Nominal - May 2014: MTN sold an antenna,  May 2014 and 2015 both removed from analysis - deflated with corresponding CPI</t>
  </si>
  <si>
    <t>Turnovers - Nominal - deflated with general CPI</t>
  </si>
  <si>
    <t>Turnovers- Nominal - deflated with general CPI</t>
  </si>
  <si>
    <t>Turnovers - Nominal_ Formal  - deflated using Restaurants and hotels CPI - Formal and Informal grow at the same rate (we don't have informal growth)</t>
  </si>
  <si>
    <t>Professional, scientific and technical activities Avrg Q1+Q2+Q3</t>
  </si>
  <si>
    <t>Average Q1+Q2+Q3</t>
  </si>
  <si>
    <t>Average of quarters 1,2 and 3</t>
  </si>
  <si>
    <t>no considered for the moment need further research on each line actual value</t>
  </si>
  <si>
    <t xml:space="preserve">   Adjustement Financial services </t>
  </si>
  <si>
    <t>2019/20</t>
  </si>
  <si>
    <t>2020/21</t>
  </si>
  <si>
    <t>Not yet rebased</t>
  </si>
  <si>
    <t>Cofffee weight in export crops</t>
  </si>
  <si>
    <t>Tea weight in export crops</t>
  </si>
  <si>
    <t>Other products weithed growth</t>
  </si>
  <si>
    <t>Other products real growth</t>
  </si>
  <si>
    <t>Quarrying weighted growth</t>
  </si>
  <si>
    <t>Mining weight</t>
  </si>
  <si>
    <t>Quarrying real growth</t>
  </si>
  <si>
    <t>Food formal weighted growth</t>
  </si>
  <si>
    <t>Food formal real growth</t>
  </si>
  <si>
    <t xml:space="preserve">   Weight Manufacturing</t>
  </si>
  <si>
    <t>Hotels and Restaurants growth (from RDB)</t>
  </si>
  <si>
    <r>
      <t xml:space="preserve">     import g&amp;s share in govt  cons. excl. wagebill </t>
    </r>
    <r>
      <rPr>
        <sz val="11"/>
        <color rgb="FFFF0000"/>
        <rFont val="Calibri"/>
        <family val="2"/>
        <scheme val="minor"/>
      </rPr>
      <t>(get more data)</t>
    </r>
  </si>
  <si>
    <r>
      <t>share of imports (excl. taxes) in private  cons.(CPI)</t>
    </r>
    <r>
      <rPr>
        <sz val="9"/>
        <color theme="1"/>
        <rFont val="Calibri"/>
        <family val="2"/>
        <scheme val="minor"/>
      </rPr>
      <t xml:space="preserve"> incl. indirect imports?</t>
    </r>
  </si>
  <si>
    <t>0.6 weight past trend  construction investment= 13 + 0.4 total investment</t>
  </si>
  <si>
    <t>Construction Hist. average 20010-2016</t>
  </si>
  <si>
    <t>Construction Informal share growing with invest.</t>
  </si>
  <si>
    <t>o/w: imports of capital goods cif</t>
  </si>
  <si>
    <t>Consumption government (incl. wages; NatActs definition)</t>
  </si>
  <si>
    <t>REAL_LT below this</t>
  </si>
  <si>
    <t>Share of imports in private consumption (direct &amp; indirect imports)</t>
  </si>
  <si>
    <t>Share of imports in govt consumption</t>
  </si>
  <si>
    <t>Share of imports in private investment</t>
  </si>
  <si>
    <t>Share of imports in govt  investment</t>
  </si>
  <si>
    <t xml:space="preserve">    o/w: exports </t>
  </si>
  <si>
    <t>Share of  import substitutes in private consumption</t>
  </si>
  <si>
    <t>Share of  import substitutes in government consumption</t>
  </si>
  <si>
    <t>Share of import substitutes in private investment</t>
  </si>
  <si>
    <t>Share of import substitutes in govt  investment</t>
  </si>
  <si>
    <t>REAL_LT above this</t>
  </si>
  <si>
    <t xml:space="preserve">   O/w: project grants</t>
  </si>
  <si>
    <t xml:space="preserve">      Exports of goods &amp; services (NA def)</t>
  </si>
  <si>
    <t xml:space="preserve">      Imports of goods &amp; services (NA def)</t>
  </si>
  <si>
    <t>External interest</t>
  </si>
  <si>
    <t xml:space="preserve">              project loans</t>
  </si>
  <si>
    <t>Grants</t>
  </si>
  <si>
    <t/>
  </si>
  <si>
    <t>to verify</t>
  </si>
  <si>
    <t>Share of tradables in GDP</t>
  </si>
  <si>
    <t>World growth (Rwa export weigthed 2011-13)</t>
  </si>
  <si>
    <t>Real GDP growth all trading partners (95% of trade reporting country)</t>
  </si>
  <si>
    <r>
      <t xml:space="preserve">"All countries" real imports, goods excl.oil </t>
    </r>
    <r>
      <rPr>
        <sz val="8"/>
        <rFont val="Arial"/>
        <family val="2"/>
      </rPr>
      <t xml:space="preserve"> (i.e., trading partners 100% of trade reporting country)</t>
    </r>
  </si>
  <si>
    <t>Rwanda's import prices (import weighted 2011-13)</t>
  </si>
  <si>
    <t>CPI of advanced economy trading partners, in US dollars (for RER calc)</t>
  </si>
  <si>
    <t>Export deflator goods (excluding oil), "all countries", in US dollars (PMnonoil)</t>
  </si>
  <si>
    <t>Export unit value for manufactures (MUV) world in US dollars (for PMmanuf or PEmanuf)</t>
  </si>
  <si>
    <t>Petroleum spot price (APSP) in US dollars (in % change) (PMoil)</t>
  </si>
  <si>
    <t>Rwanda's export prices (export weighted 2011-13)</t>
  </si>
  <si>
    <t>Import deflator goods (excl. oil), "all countries", in US dollars (PEnonoil)</t>
  </si>
  <si>
    <t>Nonfuel commodity export price in US dollars (PEcommodity-nonoil)</t>
  </si>
  <si>
    <t>end of GEE_ALL</t>
  </si>
  <si>
    <t>Net primary income (net factor income)</t>
  </si>
  <si>
    <t xml:space="preserve">     Net labor income</t>
  </si>
  <si>
    <t xml:space="preserve">     Net private capital income (DFI and private debt)</t>
  </si>
  <si>
    <t xml:space="preserve">     Net government investment income (interest NBR)</t>
  </si>
  <si>
    <t xml:space="preserve">                domestic prices (excl. taxes) PD</t>
  </si>
  <si>
    <t>Private capital output ratio (GDP)</t>
  </si>
  <si>
    <t>or Ko=Io/(g+d)</t>
  </si>
  <si>
    <t>cap stock 2014 $b</t>
  </si>
  <si>
    <t xml:space="preserve">     efficiency &lt;1 parameter (not all inv generates capital)</t>
  </si>
  <si>
    <t>GNI per capita</t>
  </si>
  <si>
    <t>in formula don't delete</t>
  </si>
  <si>
    <t xml:space="preserve">  'Bananas for beer</t>
  </si>
  <si>
    <t xml:space="preserve">  'Bananas for cooking</t>
  </si>
  <si>
    <t xml:space="preserve">  'Bananas (sweet)</t>
  </si>
  <si>
    <t>Other vegables(q*P)</t>
  </si>
  <si>
    <t>Other fruits( Q*P)</t>
  </si>
  <si>
    <t xml:space="preserve">     Number of public  teachers in primary schools</t>
  </si>
  <si>
    <t xml:space="preserve">     Number of public  teachers in secondary schools</t>
  </si>
  <si>
    <t xml:space="preserve">       Milk  (L)</t>
  </si>
  <si>
    <t xml:space="preserve">      Eggs (piece)</t>
  </si>
  <si>
    <t xml:space="preserve">      Honey (Kg)</t>
  </si>
  <si>
    <t xml:space="preserve">     Meat </t>
  </si>
  <si>
    <t xml:space="preserve">            1. Goat</t>
  </si>
  <si>
    <t xml:space="preserve">            2. Pork</t>
  </si>
  <si>
    <t xml:space="preserve">            3. Mutton</t>
  </si>
  <si>
    <t xml:space="preserve">            4.Beef</t>
  </si>
  <si>
    <t>per Ton - USD</t>
  </si>
  <si>
    <t xml:space="preserve">     Number of public health workers</t>
  </si>
  <si>
    <t>2014 KP  otherwise indicated</t>
  </si>
  <si>
    <t>2016                                                                                  (volume)</t>
  </si>
  <si>
    <t>2017                                                      (volume)</t>
  </si>
  <si>
    <t>2017 KP</t>
  </si>
  <si>
    <t>Price 2014 NISR per kg</t>
  </si>
  <si>
    <t>Price 2014 per liter</t>
  </si>
  <si>
    <t>Price 2014 per kg</t>
  </si>
  <si>
    <t>Sum calculated using 2014 weight of tobacco (NISR)</t>
  </si>
  <si>
    <t>volume in Hl -  Formal sum weighted using 2014 constant prices</t>
  </si>
  <si>
    <t>Constant prices 2014</t>
  </si>
  <si>
    <t>BOP prices 2014</t>
  </si>
  <si>
    <t>sum all prices growth from 2011 to 2014 used to get the flouur 2014price</t>
  </si>
  <si>
    <t>to check the new weight</t>
  </si>
  <si>
    <t>2017 (value)</t>
  </si>
  <si>
    <t>Use 2014  unit value to have constant prices in RWf,using usd unit price 2014 convert with 2014 p.a exchr- weighted average growth</t>
  </si>
  <si>
    <t xml:space="preserve">Volume in tons - Use constant prices (value 2014BOP) to clculate weighted average growth - 2014 S1 and S2 assumed at 50 % </t>
  </si>
  <si>
    <t>to be checked</t>
  </si>
  <si>
    <t>average 2014 price per Kg fob</t>
  </si>
  <si>
    <t>Average Q1+Q2</t>
  </si>
  <si>
    <t>Average Q1+Q2 instead of nominal Turnover</t>
  </si>
  <si>
    <t>Average Q1+Q3</t>
  </si>
  <si>
    <t>Average Q1+Q4</t>
  </si>
  <si>
    <t>Adjustment professional</t>
  </si>
  <si>
    <t>Adjustment Admin</t>
  </si>
  <si>
    <t xml:space="preserve">     Number of private teachers in primary (remuneration x 2)</t>
  </si>
  <si>
    <t xml:space="preserve">     Number of private teachers  in secondary (remuneration x 2)</t>
  </si>
  <si>
    <t>Prices/unit 2014</t>
  </si>
  <si>
    <t>Textiles adjustment</t>
  </si>
  <si>
    <t>Adjustment Public administration</t>
  </si>
  <si>
    <t xml:space="preserve">Adjustment Human health </t>
  </si>
  <si>
    <t>Adjustment Electricity</t>
  </si>
  <si>
    <t>Adjustment Chemicals</t>
  </si>
  <si>
    <t xml:space="preserve">  Adjustment Hotels and Rest.</t>
  </si>
  <si>
    <t>Net secondary income Private (Other sectors + non budg grants)</t>
  </si>
  <si>
    <t>Tourism receipts</t>
  </si>
  <si>
    <t xml:space="preserve">     contribution of efficiency of land</t>
  </si>
  <si>
    <t xml:space="preserve">     contribution growth employment (excl. Govt)</t>
  </si>
  <si>
    <t xml:space="preserve">     contribution growth human capital</t>
  </si>
  <si>
    <t xml:space="preserve">                   residual TFP</t>
  </si>
  <si>
    <t>Shares</t>
  </si>
  <si>
    <t>Contributions</t>
  </si>
  <si>
    <t>Livestock Average Q1+Q2+Q3</t>
  </si>
  <si>
    <t>Forestry Average Q1+Q2+Q3</t>
  </si>
  <si>
    <t>Fishing Average Q1+Q2+Q3</t>
  </si>
  <si>
    <t>Textiles Average Q1+Q2+Q3</t>
  </si>
  <si>
    <t>Manufacturing of non-metallic Average Q1+Q2+Q3</t>
  </si>
  <si>
    <t>Manufacturing of metal products Av Q1+Q2+Q3</t>
  </si>
  <si>
    <t>Furniture Av Q1+Q2+Q3</t>
  </si>
  <si>
    <t>Maintenance Av Q1+Q2+Q3</t>
  </si>
  <si>
    <t>Wholesale &amp; retail trade Av Q1+Q2+Q3</t>
  </si>
  <si>
    <t>Transport av Q1+Q2+Q3</t>
  </si>
  <si>
    <t>Financial services Av Q1+Q2+Q3</t>
  </si>
  <si>
    <t>Admin and support services Av Q1+Q2+Q3</t>
  </si>
  <si>
    <t>Cultural Av Q1+Q2+Q3</t>
  </si>
  <si>
    <t>2017 Gr       (Nov Proj)</t>
  </si>
  <si>
    <t>2017 Gr                                       (March 2018 proj)</t>
  </si>
  <si>
    <t>2017 Gr        (Nov Proj)</t>
  </si>
  <si>
    <t>2017 Gr                   (March 2018 Rev.)</t>
  </si>
  <si>
    <t>2017 Av. growth Q1+Q2+Q3</t>
  </si>
  <si>
    <t>Exchange rate RWF/USD  (period average) CY</t>
  </si>
  <si>
    <t>Exchange rate RWF/USD (end of period) CY</t>
  </si>
  <si>
    <t>Exchange rate RWF/USD (period average) Fiscal Year (FY)</t>
  </si>
  <si>
    <t>Stock gross foreign liabilities NBR  end-year (in mln US$)</t>
  </si>
  <si>
    <t>Net foreign assets commercial banks end-period in mln USD</t>
  </si>
  <si>
    <t>for BOP</t>
  </si>
  <si>
    <t>Reserve money (bln RWF) (target: av. April-June; realized: daily average)</t>
  </si>
  <si>
    <t xml:space="preserve">                                                      (target: av. Oct-Dec; realized: daily average)</t>
  </si>
  <si>
    <t>Net credit to Govt monetary survey end-period stock (bln RWF)</t>
  </si>
  <si>
    <t>Real GDP in bln RWF</t>
  </si>
  <si>
    <t>Population growth rate (2002-12 average; ³  projection)</t>
  </si>
  <si>
    <t>discrepancy NA-/-BOP exports g&amp;s (current prces bln RWF)</t>
  </si>
  <si>
    <t>discrepancy NA-/-BOP imports g&amp;s (current prces bln RWF)</t>
  </si>
  <si>
    <t>Adjustment Livestock</t>
  </si>
  <si>
    <t>Adjustment wood</t>
  </si>
  <si>
    <t>Adjustment Beverages</t>
  </si>
  <si>
    <t>Adjustment Education</t>
  </si>
  <si>
    <t>Bralirwa,Skol, Inyange</t>
  </si>
  <si>
    <t>Adjustment Mining and Quarrying</t>
  </si>
  <si>
    <t>fr IMF website, verified Sept 9,2019</t>
  </si>
  <si>
    <t>Interest due US$ (excl. IMF) in mln US$</t>
  </si>
  <si>
    <t xml:space="preserve">   overestimation factor exports g&amp;s in BOP</t>
  </si>
  <si>
    <t xml:space="preserve">   overestimation factor imports g&amp;s in BOP</t>
  </si>
  <si>
    <t>depreciation rate</t>
  </si>
  <si>
    <t>fraction 0.8 of Budget</t>
  </si>
  <si>
    <t>WEOGEE</t>
  </si>
  <si>
    <t>fr REAL OUTPUT</t>
  </si>
  <si>
    <t>National accounts</t>
  </si>
  <si>
    <t>from 1999</t>
  </si>
  <si>
    <t>from 1999Q1</t>
  </si>
  <si>
    <t>Public capital stock (perpetual inventory) end-year 2014 prices (depr rate)</t>
  </si>
  <si>
    <t>IV</t>
  </si>
  <si>
    <t>III</t>
  </si>
  <si>
    <t>II</t>
  </si>
  <si>
    <t xml:space="preserve"> &lt;2011 </t>
  </si>
  <si>
    <t>BNRwebsite</t>
  </si>
  <si>
    <t>added AK Jan 10,19</t>
  </si>
  <si>
    <t>fr BOP</t>
  </si>
  <si>
    <t>all series annualized</t>
  </si>
  <si>
    <t>intrapolation (italic)</t>
  </si>
  <si>
    <r>
      <t>REAL_Rwametric_Qdata above this (</t>
    </r>
    <r>
      <rPr>
        <b/>
        <sz val="8"/>
        <color theme="1"/>
        <rFont val="Calibri"/>
        <family val="2"/>
        <scheme val="minor"/>
      </rPr>
      <t>Q</t>
    </r>
    <r>
      <rPr>
        <sz val="8"/>
        <color theme="1"/>
        <rFont val="Calibri"/>
        <family val="2"/>
        <scheme val="minor"/>
      </rPr>
      <t>uarterly data)</t>
    </r>
  </si>
  <si>
    <t>Real exchange rate components</t>
  </si>
  <si>
    <t>RSSB</t>
  </si>
  <si>
    <t>total</t>
  </si>
  <si>
    <t>Wage bill formal sector (RSSB enrolled)</t>
  </si>
  <si>
    <t>Employment formal sector (end-year)</t>
  </si>
  <si>
    <t>Average gross wage (incl. employer/ee contributions)</t>
  </si>
  <si>
    <t>Average net wage (excl. SS contributions, excl. income tax withheld)</t>
  </si>
  <si>
    <t>idem private sector</t>
  </si>
  <si>
    <t>REAL_RSSB_Rwametric_Qdata below this</t>
  </si>
  <si>
    <t>REAL_RSSB_Rwametric_Qdata above this</t>
  </si>
  <si>
    <t xml:space="preserve">   o/w: construction</t>
  </si>
  <si>
    <t xml:space="preserve">   o/w: manufacturing</t>
  </si>
  <si>
    <t xml:space="preserve">   o/w: trade and transport</t>
  </si>
  <si>
    <t xml:space="preserve">   o/w: administration, education, health</t>
  </si>
  <si>
    <t>Net secondary income Govt (General govt excl. non-budgetary grants)</t>
  </si>
  <si>
    <t xml:space="preserve">   Of which: net Rwandair, KCC, Bugesera etc. (-/- amortization)</t>
  </si>
  <si>
    <t>Net primary income in constant RWF bln ($ at current ER, divided by Pgdp)</t>
  </si>
  <si>
    <t>Net secondary income in constant RWF bln ($ at current ER, divided by Pgdp)</t>
  </si>
  <si>
    <t>2021/22</t>
  </si>
  <si>
    <t>2022/23</t>
  </si>
  <si>
    <t>2023/24</t>
  </si>
  <si>
    <t>2024/25</t>
  </si>
  <si>
    <t xml:space="preserve"> VCXXXXXXX </t>
  </si>
  <si>
    <t>2017 KP  otherwise indicated</t>
  </si>
  <si>
    <t>EXTFIN_PRINT</t>
  </si>
  <si>
    <t xml:space="preserve">From foreign governments </t>
  </si>
  <si>
    <t xml:space="preserve">From international organizations </t>
  </si>
  <si>
    <t xml:space="preserve">          Of which Global Fund</t>
  </si>
  <si>
    <t>Of which World Bank</t>
  </si>
  <si>
    <t xml:space="preserve">              Of which Euro Bond New</t>
  </si>
  <si>
    <t>Supply, constant prices (2017)</t>
  </si>
  <si>
    <t>Mining GDP in constant prices</t>
  </si>
  <si>
    <t>Manufacturing</t>
  </si>
  <si>
    <t>Manufacturing food &amp; beverages etc</t>
  </si>
  <si>
    <t>Manufacturing non-food</t>
  </si>
  <si>
    <t>transport &amp; travel</t>
  </si>
  <si>
    <t>professional; sports/leisure; financial/real estate services</t>
  </si>
  <si>
    <t>Demand, constant prices (2017)</t>
  </si>
  <si>
    <t>share supply affected</t>
  </si>
  <si>
    <t>Govt consumption</t>
  </si>
  <si>
    <t>Private investment (GFCF, incl.inventories)</t>
  </si>
  <si>
    <t>Govt investment</t>
  </si>
  <si>
    <t>Exports G&amp;S</t>
  </si>
  <si>
    <t>Imports G&amp;S</t>
  </si>
  <si>
    <t>share demand affected</t>
  </si>
  <si>
    <t>REAL_PCI4_may2021 below this (extract from GDP constant prices)</t>
  </si>
  <si>
    <t>REAL_PCI4_may2021 above this</t>
  </si>
  <si>
    <t xml:space="preserve">     o/w: payable by individuals</t>
  </si>
  <si>
    <t>Govt Expense  in bln RWF</t>
  </si>
  <si>
    <t>Use of goods and services</t>
  </si>
  <si>
    <t xml:space="preserve">     Net general govt capital income (interest public debt)</t>
  </si>
  <si>
    <t>2025/26</t>
  </si>
  <si>
    <t xml:space="preserve">NISR (Index Industrial Production)                                                           </t>
  </si>
  <si>
    <t>semester1=Average 6 months</t>
  </si>
  <si>
    <t>Revenue in bln RWF (Excluding grants)</t>
  </si>
  <si>
    <t>quarter-year</t>
  </si>
  <si>
    <t>Coffee weight in export crops</t>
  </si>
  <si>
    <t>Unallocable</t>
  </si>
  <si>
    <t>Other revenue (Incl. Taxes on property &amp; Other taxes)</t>
  </si>
  <si>
    <t xml:space="preserve">              payable by coorporations and other enterprises(Incl. Taxes on payroll)</t>
  </si>
  <si>
    <t>Transfers (Subsidies, Social benefits excl. grants to LG &amp; EBUs)</t>
  </si>
  <si>
    <t>Capital expenditure (incl Grants to  LG &amp; EBUs)</t>
  </si>
  <si>
    <t>Deficit excl. grants (Net lending&amp;borrowing)</t>
  </si>
  <si>
    <t>Net domestic financing</t>
  </si>
  <si>
    <t xml:space="preserve">   O/w: domestic (own ressources incl Grants to  LG &amp; EBUs )</t>
  </si>
  <si>
    <t>IV. GDP Growth (constant prices 2017)</t>
  </si>
  <si>
    <t xml:space="preserve">              Of which Fees Commercial</t>
  </si>
  <si>
    <t>EXTDEBT_ALL above this</t>
  </si>
  <si>
    <t>2026/27</t>
  </si>
  <si>
    <t>o/w COVID-19 Vaccine (COVAX,WB,INDIA)</t>
  </si>
  <si>
    <t>Other Cereals</t>
  </si>
  <si>
    <t xml:space="preserve">Adjustment Transport </t>
  </si>
  <si>
    <t>Coffee abica</t>
  </si>
  <si>
    <t>2027/28</t>
  </si>
  <si>
    <t>.</t>
  </si>
  <si>
    <r>
      <t>Final demand</t>
    </r>
    <r>
      <rPr>
        <sz val="11"/>
        <color theme="1"/>
        <rFont val="Calibri"/>
        <family val="2"/>
        <scheme val="minor"/>
      </rPr>
      <t xml:space="preserve"> (NA in constant prices)</t>
    </r>
  </si>
  <si>
    <t>2019 shares</t>
  </si>
  <si>
    <t>real consumption % growth</t>
  </si>
  <si>
    <t xml:space="preserve">real government % growth </t>
  </si>
  <si>
    <t xml:space="preserve">real investment % growth </t>
  </si>
  <si>
    <t xml:space="preserve">real export % growth </t>
  </si>
  <si>
    <t xml:space="preserve">real import % growth </t>
  </si>
  <si>
    <t>REAL_Rwametric_Outlook above this</t>
  </si>
  <si>
    <t>Other products weighted growth</t>
  </si>
  <si>
    <r>
      <t>Beverages informal share (</t>
    </r>
    <r>
      <rPr>
        <sz val="11"/>
        <color rgb="FFFF0000"/>
        <rFont val="Calibri"/>
        <family val="2"/>
        <scheme val="minor"/>
      </rPr>
      <t>not used</t>
    </r>
    <r>
      <rPr>
        <sz val="11"/>
        <color theme="1"/>
        <rFont val="Calibri"/>
        <family val="2"/>
        <scheme val="minor"/>
      </rPr>
      <t>)</t>
    </r>
  </si>
  <si>
    <r>
      <t>Food informal share  (</t>
    </r>
    <r>
      <rPr>
        <sz val="11"/>
        <color rgb="FFFF0000"/>
        <rFont val="Calibri"/>
        <family val="2"/>
        <scheme val="minor"/>
      </rPr>
      <t>update</t>
    </r>
    <r>
      <rPr>
        <sz val="11"/>
        <color theme="1"/>
        <rFont val="Calibri"/>
        <family val="2"/>
        <scheme val="minor"/>
      </rPr>
      <t>)</t>
    </r>
  </si>
  <si>
    <r>
      <t>Chemicals informal share (</t>
    </r>
    <r>
      <rPr>
        <sz val="11"/>
        <color rgb="FFFF0000"/>
        <rFont val="Calibri"/>
        <family val="2"/>
        <scheme val="minor"/>
      </rPr>
      <t>update</t>
    </r>
    <r>
      <rPr>
        <sz val="11"/>
        <color theme="1"/>
        <rFont val="Calibri"/>
        <family val="2"/>
        <scheme val="minor"/>
      </rPr>
      <t>)</t>
    </r>
  </si>
  <si>
    <r>
      <t xml:space="preserve">   </t>
    </r>
    <r>
      <rPr>
        <strike/>
        <sz val="11"/>
        <color theme="1"/>
        <rFont val="Calibri"/>
        <family val="2"/>
        <scheme val="minor"/>
      </rPr>
      <t>Transport / Imports</t>
    </r>
    <r>
      <rPr>
        <sz val="11"/>
        <color theme="1"/>
        <rFont val="Calibri"/>
        <family val="2"/>
        <scheme val="minor"/>
      </rPr>
      <t xml:space="preserve"> </t>
    </r>
    <r>
      <rPr>
        <sz val="11"/>
        <color rgb="FFFF0000"/>
        <rFont val="Calibri"/>
        <family val="2"/>
        <scheme val="minor"/>
      </rPr>
      <t>Growth rate imports volumes cif</t>
    </r>
  </si>
  <si>
    <r>
      <t>Hotels and Restaurants informal share (</t>
    </r>
    <r>
      <rPr>
        <sz val="11"/>
        <color rgb="FFFF0000"/>
        <rFont val="Calibri"/>
        <family val="2"/>
        <scheme val="minor"/>
      </rPr>
      <t>not used</t>
    </r>
    <r>
      <rPr>
        <sz val="11"/>
        <color theme="1"/>
        <rFont val="Calibri"/>
        <family val="2"/>
        <scheme val="minor"/>
      </rPr>
      <t>)</t>
    </r>
  </si>
  <si>
    <r>
      <t>Hotels and Restaurants informal growth (</t>
    </r>
    <r>
      <rPr>
        <sz val="11"/>
        <color rgb="FFFF0000"/>
        <rFont val="Calibri"/>
        <family val="2"/>
        <scheme val="minor"/>
      </rPr>
      <t>not used</t>
    </r>
    <r>
      <rPr>
        <sz val="11"/>
        <color theme="1"/>
        <rFont val="Calibri"/>
        <family val="2"/>
        <scheme val="minor"/>
      </rPr>
      <t>)</t>
    </r>
  </si>
  <si>
    <t>ass</t>
  </si>
  <si>
    <t>fr Fiscal</t>
  </si>
  <si>
    <t xml:space="preserve">          teachers (local govt)</t>
  </si>
  <si>
    <t>Public administration and defence</t>
  </si>
  <si>
    <r>
      <t xml:space="preserve">   Weight Agriculture (</t>
    </r>
    <r>
      <rPr>
        <sz val="11"/>
        <color rgb="FFFF0000"/>
        <rFont val="Calibri"/>
        <family val="2"/>
        <scheme val="minor"/>
      </rPr>
      <t>update</t>
    </r>
    <r>
      <rPr>
        <sz val="11"/>
        <color theme="1"/>
        <rFont val="Calibri"/>
        <family val="2"/>
        <scheme val="minor"/>
      </rPr>
      <t>)</t>
    </r>
  </si>
  <si>
    <t xml:space="preserve">  Construction formal growth (~ total investment growth)</t>
  </si>
  <si>
    <t>Construction total growth from actual NA</t>
  </si>
  <si>
    <t xml:space="preserve">Fiscal PKO revenue, part that is value added for NA </t>
  </si>
  <si>
    <t xml:space="preserve">         growth rate real private investment (resulting)</t>
  </si>
  <si>
    <t>Public wages and other VA in education (P+S+T)</t>
  </si>
  <si>
    <t xml:space="preserve">      o/w: Govt wages (not explicit in NA) from BUDGET and Educ, Health wagebills</t>
  </si>
  <si>
    <t>check NA discrepancies</t>
  </si>
  <si>
    <r>
      <t xml:space="preserve">    Change in inventories; projection: </t>
    </r>
    <r>
      <rPr>
        <sz val="12"/>
        <color rgb="FFFF0000"/>
        <rFont val="Calibri"/>
        <family val="2"/>
        <scheme val="minor"/>
      </rPr>
      <t>exogenous</t>
    </r>
  </si>
  <si>
    <t>GDP excl. exports, public wages &amp; indirect taxes (residual)</t>
  </si>
  <si>
    <t>Exports g&amp;s (domestic VA; assumed share inputs)</t>
  </si>
  <si>
    <t>Public admin&amp;defence (wage bill + surplus on G&amp;S, PKO)</t>
  </si>
  <si>
    <t xml:space="preserve">   Total public wage bill (past: must be close to wage bill FISCAL)</t>
  </si>
  <si>
    <t xml:space="preserve"> Share of public in education GDP</t>
  </si>
  <si>
    <t xml:space="preserve"> Share of public in health GDP</t>
  </si>
  <si>
    <t>fisc wagebill</t>
  </si>
  <si>
    <t>government wage bill deflator (est.&amp; proj. from FISC used)</t>
  </si>
  <si>
    <t>(target for) domestic prices, excl. taxes, subsidies (PD)</t>
  </si>
  <si>
    <t>GDP market prices (incl indirect taxes) NA)</t>
  </si>
  <si>
    <t>govt</t>
  </si>
  <si>
    <t>priv</t>
  </si>
  <si>
    <t xml:space="preserve">          calculate average deflator to apply growth to base year level (not used)</t>
  </si>
  <si>
    <t xml:space="preserve">          calculate average deflator to apply growth to base year level (used)</t>
  </si>
  <si>
    <t>Implicit (target) domestic prices, incl. taxes (PDT) using (dir+indir) import share CPI</t>
  </si>
  <si>
    <t>National savings Incl. primary &amp; secondary income)</t>
  </si>
  <si>
    <t xml:space="preserve">       Government (incl. budget grants)</t>
  </si>
  <si>
    <t>fr FISCAL via VII. Block</t>
  </si>
  <si>
    <t>UPDATE</t>
  </si>
  <si>
    <t>2017 shares</t>
  </si>
  <si>
    <t>weights don't matter much</t>
  </si>
  <si>
    <t>dom share G-/-WG</t>
  </si>
  <si>
    <t>Mshare G-/-WG</t>
  </si>
  <si>
    <t>help variables for summary bloc: VA of export sectors</t>
  </si>
  <si>
    <t xml:space="preserve">     constructed deflator for VA in export sectors </t>
  </si>
  <si>
    <t xml:space="preserve">     GDP deflator NA</t>
  </si>
  <si>
    <t xml:space="preserve">            govt domestic cons price (incl. taxes)</t>
  </si>
  <si>
    <t xml:space="preserve">            govt imports price (incl. taxes)</t>
  </si>
  <si>
    <t xml:space="preserve">         private domestic cons price (incl. taxes)</t>
  </si>
  <si>
    <t xml:space="preserve">         private import cons price (incl. taxes)</t>
  </si>
  <si>
    <t xml:space="preserve">         inv domestic price (incl. taxes)</t>
  </si>
  <si>
    <t xml:space="preserve">         inv import price (incl. taxes)</t>
  </si>
  <si>
    <t xml:space="preserve">    Exports of goods &amp; services (by def. excl. indirect taxes)</t>
  </si>
  <si>
    <t xml:space="preserve">    Imports of goods &amp; services (by def. excl. indirect taxes)</t>
  </si>
  <si>
    <t xml:space="preserve">     Exports of G&amp;S: demand side deflator implicit in NA</t>
  </si>
  <si>
    <t>factor/weight</t>
  </si>
  <si>
    <t>annual wage</t>
  </si>
  <si>
    <t>Education P+S at base year salaries in bln RWF</t>
  </si>
  <si>
    <r>
      <t>Hotels &amp; restaurants</t>
    </r>
    <r>
      <rPr>
        <sz val="11"/>
        <color rgb="FFFF0000"/>
        <rFont val="Calibri"/>
        <family val="2"/>
        <scheme val="minor"/>
      </rPr>
      <t xml:space="preserve"> (value in base year prices in 1000s)</t>
    </r>
  </si>
  <si>
    <t>Construction 8-year historic moving average</t>
  </si>
  <si>
    <t>Coltan in MT</t>
  </si>
  <si>
    <t>Wolfram in MT</t>
  </si>
  <si>
    <t xml:space="preserve">   Fiscal PKO revenue in constant prices (use GDP deflator NA, for proj: ER)</t>
  </si>
  <si>
    <t xml:space="preserve">   share of value added in PKO for NA</t>
  </si>
  <si>
    <t xml:space="preserve">     Number of public  teachers in tertiary and TVET schools</t>
  </si>
  <si>
    <t xml:space="preserve">     Number of public  teachers in pre/primary schools</t>
  </si>
  <si>
    <t xml:space="preserve">     Number of private teachers  in tertiary and TVET</t>
  </si>
  <si>
    <t xml:space="preserve">     Number of private health workers</t>
  </si>
  <si>
    <t>Assumptions</t>
  </si>
  <si>
    <t xml:space="preserve">see share in </t>
  </si>
  <si>
    <r>
      <t xml:space="preserve">Food informal growth </t>
    </r>
    <r>
      <rPr>
        <sz val="11"/>
        <color rgb="FFFF0000"/>
        <rFont val="Calibri"/>
        <family val="2"/>
        <scheme val="minor"/>
      </rPr>
      <t>(set equal to overall growth food, not used)</t>
    </r>
  </si>
  <si>
    <t>V. GDP specific assumptions (demand side)--parameters</t>
  </si>
  <si>
    <t xml:space="preserve">XI.a REAL variables for Macro-Framework </t>
  </si>
  <si>
    <t xml:space="preserve">XI.b GDP extract on demand </t>
  </si>
  <si>
    <t>XI.d REAL_REFOTO</t>
  </si>
  <si>
    <t>XI.e REAL variables for Long-term growth model</t>
  </si>
  <si>
    <t>XI.f Capital stocks</t>
  </si>
  <si>
    <t>Change in inventories (no data on inventories deflator in NA)</t>
  </si>
  <si>
    <t>check GDP shares</t>
  </si>
  <si>
    <t>Private investment NA, 2017 prices</t>
  </si>
  <si>
    <t>Government investment NA, 2017 prices</t>
  </si>
  <si>
    <t xml:space="preserve">   total investment GFCF in NA, 2017 prices</t>
  </si>
  <si>
    <t xml:space="preserve">      Private sector</t>
  </si>
  <si>
    <t>Growth rate private capital (from intMF)</t>
  </si>
  <si>
    <t>Growth human capital (from intMF)</t>
  </si>
  <si>
    <t>Growth TFP (residual)</t>
  </si>
  <si>
    <t>factorshares</t>
  </si>
  <si>
    <t xml:space="preserve">          o/w: public investment (elasticity of growth vis-à-vis Kpu)</t>
  </si>
  <si>
    <r>
      <rPr>
        <b/>
        <sz val="11"/>
        <color theme="1"/>
        <rFont val="Calibri"/>
        <family val="2"/>
        <scheme val="minor"/>
      </rPr>
      <t>GDP:</t>
    </r>
    <r>
      <rPr>
        <sz val="11"/>
        <color theme="1"/>
        <rFont val="Calibri"/>
        <family val="2"/>
        <scheme val="minor"/>
      </rPr>
      <t xml:space="preserve"> REAL and nominal GDP  in million RWF, constant prices, deflators, % change; supply and demand side</t>
    </r>
  </si>
  <si>
    <t>Structure of the 'GDP' sheet (annual)</t>
  </si>
  <si>
    <t>GDP in volume (tons, hectoliters, Kg, …)</t>
  </si>
  <si>
    <t>GDP_Growth_KP below this</t>
  </si>
  <si>
    <t>GDP_Growth_KP above this</t>
  </si>
  <si>
    <t>GDP deflators</t>
  </si>
  <si>
    <t>XI. SELECTED BLOCKS FOR MACRO-FRAMEWORK</t>
  </si>
  <si>
    <t>This file has 2 main working sheets excluding ToC:</t>
  </si>
  <si>
    <t>import WEO general assumptions GAS</t>
  </si>
  <si>
    <t>use macro" integrate EXOGENOUS"</t>
  </si>
  <si>
    <t>use macro" MF Sectors"</t>
  </si>
  <si>
    <t>import BOP_REAL block from BOP</t>
  </si>
  <si>
    <t>import WEO GEE assumptions for Rwanda</t>
  </si>
  <si>
    <t>import external debt service fron EXTDEBT</t>
  </si>
  <si>
    <t>import FISCAL_REAL block from FISCAL</t>
  </si>
  <si>
    <t>import MON_REAL block from MON</t>
  </si>
  <si>
    <t xml:space="preserve">   by sectors: projection method, adjustments,...</t>
  </si>
  <si>
    <t>past: from subsector data, manual input</t>
  </si>
  <si>
    <t>data and projections from subsectors</t>
  </si>
  <si>
    <t>with specific assumptions project growth rates</t>
  </si>
  <si>
    <t xml:space="preserve">from levels </t>
  </si>
  <si>
    <t>past: NISR NA data pasted in in standard format</t>
  </si>
  <si>
    <t xml:space="preserve">   by demand: projection method, adjustments,...</t>
  </si>
  <si>
    <t>Other vegetables</t>
  </si>
  <si>
    <t>Firewood</t>
  </si>
  <si>
    <t>Poles</t>
  </si>
  <si>
    <t>Timber</t>
  </si>
  <si>
    <t xml:space="preserve">   govt spending  G&amp;S from NA current prices (after deducting calculated wage bill)</t>
  </si>
  <si>
    <t xml:space="preserve">    Direct foreign investment excl Bugesera (in mln USD)</t>
  </si>
  <si>
    <t xml:space="preserve">    Private investment excl big projects in constant prices (past: MF proxy; MF projection)</t>
  </si>
  <si>
    <t xml:space="preserve">        Private inv. constant prices excl. Rwandar (incl. other projects) -&gt;project construction</t>
  </si>
  <si>
    <t xml:space="preserve">        Adjust big project (Bugesera) in KP bln RWF (DFI + ext.loans, also in BOP</t>
  </si>
  <si>
    <t>Real Extract domestic shock variables (Covid) bln RWF</t>
  </si>
  <si>
    <t>XI.f2 Capital stocks</t>
  </si>
  <si>
    <r>
      <t>Supply side deflator</t>
    </r>
    <r>
      <rPr>
        <sz val="11"/>
        <color theme="1"/>
        <rFont val="Calibri"/>
        <family val="2"/>
        <scheme val="minor"/>
      </rPr>
      <t xml:space="preserve"> (weights: previous-year shares at CP)</t>
    </r>
  </si>
  <si>
    <r>
      <t>Demand side deflator</t>
    </r>
    <r>
      <rPr>
        <sz val="11"/>
        <color theme="1"/>
        <rFont val="Calibri"/>
        <family val="2"/>
        <scheme val="minor"/>
      </rPr>
      <t xml:space="preserve"> (weights: previous-year shares at CP)</t>
    </r>
  </si>
  <si>
    <t>check: fr aggr suppy=demand block</t>
  </si>
  <si>
    <r>
      <t xml:space="preserve">Private capital stock (perpetual inventory) end-year 2017 prices </t>
    </r>
    <r>
      <rPr>
        <sz val="8"/>
        <color rgb="FF0070C0"/>
        <rFont val="Calibri"/>
        <family val="2"/>
        <scheme val="minor"/>
      </rPr>
      <t>(depr rate)</t>
    </r>
  </si>
  <si>
    <t>Public capital output ratio (GDP in constant prices)</t>
  </si>
  <si>
    <t>REAL_Rwametric_Outlook (real growth rates) below this</t>
  </si>
  <si>
    <t xml:space="preserve">  Construction informal growth</t>
  </si>
  <si>
    <r>
      <t>Wholesale and retail trade informal share</t>
    </r>
    <r>
      <rPr>
        <sz val="11"/>
        <color rgb="FFFF0000"/>
        <rFont val="Calibri"/>
        <family val="2"/>
        <scheme val="minor"/>
      </rPr>
      <t xml:space="preserve"> (not used)</t>
    </r>
  </si>
  <si>
    <t xml:space="preserve">   Transport growth with GDP as above (excl. govt, transport, taxes)</t>
  </si>
  <si>
    <t>In-year ToC and structure of sheet itself TO BE UPDATED</t>
  </si>
  <si>
    <t xml:space="preserve">      added up in base year prices (constant prices) or base year value weights (Laspeyres volume index).</t>
  </si>
  <si>
    <r>
      <rPr>
        <b/>
        <sz val="11"/>
        <color theme="1"/>
        <rFont val="Calibri"/>
        <family val="2"/>
        <scheme val="minor"/>
      </rPr>
      <t>Projection:</t>
    </r>
    <r>
      <rPr>
        <sz val="11"/>
        <color theme="1"/>
        <rFont val="Calibri"/>
        <family val="2"/>
        <scheme val="minor"/>
      </rPr>
      <t xml:space="preserve"> information on expected production, capacity increase, value added from the sector, company, sector board or line ministry</t>
    </r>
  </si>
  <si>
    <r>
      <rPr>
        <b/>
        <sz val="11"/>
        <color theme="1"/>
        <rFont val="Calibri"/>
        <family val="2"/>
        <scheme val="minor"/>
      </rPr>
      <t xml:space="preserve">Projection-various </t>
    </r>
    <r>
      <rPr>
        <sz val="11"/>
        <color theme="1"/>
        <rFont val="Calibri"/>
        <family val="2"/>
        <scheme val="minor"/>
      </rPr>
      <t>methods used:</t>
    </r>
  </si>
  <si>
    <t>--plausible info on projected sector VA growth is available (e.g. sector strategy, company info, sector board, etc.)</t>
  </si>
  <si>
    <t>--use moving average growth rate of recent or longer past, correcting as needed for outliers</t>
  </si>
  <si>
    <t>--good info on projected sector production/capacity growth (see previous block); assumption: growth production equals growth VA in KP (constant I/O coefficients)</t>
  </si>
  <si>
    <r>
      <rPr>
        <b/>
        <sz val="11"/>
        <color theme="1"/>
        <rFont val="Calibri"/>
        <family val="2"/>
        <scheme val="minor"/>
      </rPr>
      <t>Actual growth rates</t>
    </r>
    <r>
      <rPr>
        <sz val="11"/>
        <color theme="1"/>
        <rFont val="Calibri"/>
        <family val="2"/>
        <scheme val="minor"/>
      </rPr>
      <t xml:space="preserve"> GDP (value added) in constant prices: data pasted in from NISR NA supply side (annually).</t>
    </r>
  </si>
  <si>
    <r>
      <t>Projection: a</t>
    </r>
    <r>
      <rPr>
        <sz val="11"/>
        <color theme="1"/>
        <rFont val="Calibri"/>
        <family val="2"/>
        <scheme val="minor"/>
      </rPr>
      <t>pply sector real growth rates to last (base) year real GDP data in KP.</t>
    </r>
  </si>
  <si>
    <r>
      <rPr>
        <b/>
        <sz val="11"/>
        <color theme="1"/>
        <rFont val="Calibri"/>
        <family val="2"/>
        <scheme val="minor"/>
      </rPr>
      <t>Actual sector real GDP</t>
    </r>
    <r>
      <rPr>
        <sz val="11"/>
        <color theme="1"/>
        <rFont val="Calibri"/>
        <family val="2"/>
        <scheme val="minor"/>
      </rPr>
      <t xml:space="preserve"> (value added) in constant prices: data pasted in from NISR NA supply side (annually).</t>
    </r>
  </si>
  <si>
    <r>
      <rPr>
        <b/>
        <sz val="11"/>
        <color theme="1"/>
        <rFont val="Calibri"/>
        <family val="2"/>
        <scheme val="minor"/>
      </rPr>
      <t xml:space="preserve">Actual sector  GDP in current prices: data </t>
    </r>
    <r>
      <rPr>
        <sz val="11"/>
        <color theme="1"/>
        <rFont val="Calibri"/>
        <family val="2"/>
        <scheme val="minor"/>
      </rPr>
      <t>pasted in from NISR NA supply side (annually).</t>
    </r>
  </si>
  <si>
    <r>
      <rPr>
        <b/>
        <sz val="11"/>
        <color theme="1"/>
        <rFont val="Calibri"/>
        <family val="2"/>
        <scheme val="minor"/>
      </rPr>
      <t xml:space="preserve">Actual sector deflators: </t>
    </r>
    <r>
      <rPr>
        <sz val="11"/>
        <color theme="1"/>
        <rFont val="Calibri"/>
        <family val="2"/>
        <scheme val="minor"/>
      </rPr>
      <t>data pasted in from NISR NA supply side (annually). Alternative (morte accurate): calculate from CP over KP (block IVc over IVa).</t>
    </r>
  </si>
  <si>
    <r>
      <t xml:space="preserve">Projection: </t>
    </r>
    <r>
      <rPr>
        <sz val="11"/>
        <color theme="1"/>
        <rFont val="Calibri"/>
        <family val="2"/>
        <scheme val="minor"/>
      </rPr>
      <t>apply deflators (growth rates) derived for broad sectors in blocks VII-VIII.</t>
    </r>
  </si>
  <si>
    <r>
      <t xml:space="preserve">Projection: </t>
    </r>
    <r>
      <rPr>
        <sz val="11"/>
        <color theme="1"/>
        <rFont val="Calibri"/>
        <family val="2"/>
        <scheme val="minor"/>
      </rPr>
      <t>apply deflators (in block Ivb) to real GDP in KP (in block IVa) or apply compounded growth rates of GDP in KP and deflators to previous year GDP in CP.</t>
    </r>
  </si>
  <si>
    <r>
      <rPr>
        <b/>
        <sz val="11"/>
        <color theme="1"/>
        <rFont val="Calibri"/>
        <family val="2"/>
        <scheme val="minor"/>
      </rPr>
      <t>Projection</t>
    </r>
    <r>
      <rPr>
        <sz val="11"/>
        <color theme="1"/>
        <rFont val="Calibri"/>
        <family val="2"/>
        <scheme val="minor"/>
      </rPr>
      <t>: see below</t>
    </r>
  </si>
  <si>
    <r>
      <rPr>
        <b/>
        <sz val="11"/>
        <color theme="1"/>
        <rFont val="Calibri"/>
        <family val="2"/>
        <scheme val="minor"/>
      </rPr>
      <t>Assumptions</t>
    </r>
    <r>
      <rPr>
        <sz val="11"/>
        <color theme="1"/>
        <rFont val="Calibri"/>
        <family val="2"/>
        <scheme val="minor"/>
      </rPr>
      <t xml:space="preserve"> on supply, production growth, prices, data source, judgment factors, one-off adjustments etc. are to be documented.</t>
    </r>
  </si>
  <si>
    <r>
      <rPr>
        <b/>
        <sz val="11"/>
        <color theme="1"/>
        <rFont val="Calibri"/>
        <family val="2"/>
        <scheme val="minor"/>
      </rPr>
      <t>Actual</t>
    </r>
    <r>
      <rPr>
        <sz val="11"/>
        <color theme="1"/>
        <rFont val="Calibri"/>
        <family val="2"/>
        <scheme val="minor"/>
      </rPr>
      <t xml:space="preserve"> final demand in constant prices: data pasted in from NISR NA demand side (annually).</t>
    </r>
  </si>
  <si>
    <r>
      <rPr>
        <b/>
        <sz val="11"/>
        <color theme="1"/>
        <rFont val="Calibri"/>
        <family val="2"/>
        <scheme val="minor"/>
      </rPr>
      <t>Actual demand deflators</t>
    </r>
    <r>
      <rPr>
        <sz val="11"/>
        <color theme="1"/>
        <rFont val="Calibri"/>
        <family val="2"/>
        <scheme val="minor"/>
      </rPr>
      <t>: data pasted in from NISR NA demand side (annually). Alternative (more accurate): calculate from CP over KP (block VIc over VIa).</t>
    </r>
  </si>
  <si>
    <r>
      <t>All</t>
    </r>
    <r>
      <rPr>
        <b/>
        <sz val="11"/>
        <color theme="1"/>
        <rFont val="Calibri"/>
        <family val="2"/>
        <scheme val="minor"/>
      </rPr>
      <t xml:space="preserve"> NA accounts data used must be verified for plausibility</t>
    </r>
    <r>
      <rPr>
        <sz val="11"/>
        <color theme="1"/>
        <rFont val="Calibri"/>
        <family val="2"/>
        <scheme val="minor"/>
      </rPr>
      <t xml:space="preserve"> and as needed discussed with NISR staff before using them in intMF projections.</t>
    </r>
  </si>
  <si>
    <r>
      <rPr>
        <b/>
        <sz val="11"/>
        <color theme="1"/>
        <rFont val="Calibri"/>
        <family val="2"/>
        <scheme val="minor"/>
      </rPr>
      <t xml:space="preserve">Actual </t>
    </r>
    <r>
      <rPr>
        <sz val="11"/>
        <color theme="1"/>
        <rFont val="Calibri"/>
        <family val="2"/>
        <scheme val="minor"/>
      </rPr>
      <t>final demand in current prices: data pasted in from NISR NA demand side (annually).</t>
    </r>
  </si>
  <si>
    <t>This summary block aggregates the supply in only a few sectors:</t>
  </si>
  <si>
    <t>govt value added in public admin, education and health sectors--subject to govt fiscal policies</t>
  </si>
  <si>
    <t>govt indirect domestic &amp; import taxes and subsidies--subject to govt fiscal policies</t>
  </si>
  <si>
    <t>GDP in exports (part of GDP of sectors producing  exports)--subject to own projection method (BOP)</t>
  </si>
  <si>
    <t>The summary demand block breaks down somewhat the NA final demand (by considering govt wage bill, govt/private investment, ex/imports of G&amp;S).</t>
  </si>
  <si>
    <t>import_shares_in_demand above this</t>
  </si>
  <si>
    <t>import_shares_in_demand below this</t>
  </si>
  <si>
    <t>Supply_demand_aggregate below this</t>
  </si>
  <si>
    <t>Supply_demand_aggregate above this</t>
  </si>
  <si>
    <t>deflators_derivation below this</t>
  </si>
  <si>
    <t>VIIIb. Exogenous % price change (projections)</t>
  </si>
  <si>
    <t>Import shares (direct and indirect) for each final demand category (except public sector wages and imports) are estimated from data,</t>
  </si>
  <si>
    <t xml:space="preserve"> allocating intermediate imports to the relevant final demands. Import shares are projected to remain constant or as moving average.</t>
  </si>
  <si>
    <t>VIIIc. Supply and demand side deflators: summary</t>
  </si>
  <si>
    <t>supply_demand_deflators_summary below this</t>
  </si>
  <si>
    <t>deflators_derivation above this, supply_demand_deflators_summary above this</t>
  </si>
  <si>
    <r>
      <t>REAL_Rwametric_Adata (capital stocks) below this (</t>
    </r>
    <r>
      <rPr>
        <b/>
        <sz val="8"/>
        <color theme="1"/>
        <rFont val="Calibri"/>
        <family val="2"/>
        <scheme val="minor"/>
      </rPr>
      <t>A</t>
    </r>
    <r>
      <rPr>
        <sz val="8"/>
        <color theme="1"/>
        <rFont val="Calibri"/>
        <family val="2"/>
        <scheme val="minor"/>
      </rPr>
      <t>nnual data)</t>
    </r>
  </si>
  <si>
    <r>
      <t>REAL_Rwametric_Qdata  below this (</t>
    </r>
    <r>
      <rPr>
        <b/>
        <sz val="8"/>
        <color theme="1"/>
        <rFont val="Calibri"/>
        <family val="2"/>
        <scheme val="minor"/>
      </rPr>
      <t>Q</t>
    </r>
    <r>
      <rPr>
        <sz val="8"/>
        <color theme="1"/>
        <rFont val="Calibri"/>
        <family val="2"/>
        <scheme val="minor"/>
      </rPr>
      <t>uarterly data) (capital stocks), intrayear is intrapolation</t>
    </r>
  </si>
  <si>
    <t>The (urban) CPI is a target under NBR's IT or govt macro program. The urban CPI is used as measure of consumption orice for the country (see in this block historic difference between</t>
  </si>
  <si>
    <t>residual so-called domestic private sector GDP</t>
  </si>
  <si>
    <t>The block simplifies projection of GDP in KP and CP, i.e. for those aggregate sectors, using component deflators derived in VIII.</t>
  </si>
  <si>
    <t>It projects final demands in KP and CP, i.e. for the redefined final demands, using component deflators derived in VIII.</t>
  </si>
  <si>
    <t xml:space="preserve">                           goods and services from FISCAL</t>
  </si>
  <si>
    <t xml:space="preserve">    Households and NGOs (residual)</t>
  </si>
  <si>
    <t xml:space="preserve">         Government  (from FISCAL)</t>
  </si>
  <si>
    <t xml:space="preserve">         Private sector (residual from NA; projected in CP)</t>
  </si>
  <si>
    <r>
      <t xml:space="preserve">    Imports of goods &amp; services (excl. indirect taxes) </t>
    </r>
    <r>
      <rPr>
        <sz val="10"/>
        <color theme="1"/>
        <rFont val="Calibri"/>
        <family val="2"/>
        <scheme val="minor"/>
      </rPr>
      <t>(from BOP)</t>
    </r>
  </si>
  <si>
    <r>
      <t xml:space="preserve">    Exports of goods &amp; services (excl. indirect taxes)</t>
    </r>
    <r>
      <rPr>
        <sz val="10"/>
        <color theme="1"/>
        <rFont val="Calibri"/>
        <family val="2"/>
        <scheme val="minor"/>
      </rPr>
      <t xml:space="preserve"> (from BOP)</t>
    </r>
  </si>
  <si>
    <t>GDP_EXPENDITURE in current prices (equal to supply)</t>
  </si>
  <si>
    <t xml:space="preserve">the deflator (and nominal GDP) dependent on current year demand, in turn driven by nominal GDP, this simultaneity is to be avoided. </t>
  </si>
  <si>
    <t>IX. Shares of supply and demand components in GDP in constant prices 2017</t>
  </si>
  <si>
    <t>block used for Paasche weighting deflators (current volumes at KP) BUT: will make GDP deflator f(current volumes) with added simultaneity; for comparison only</t>
  </si>
  <si>
    <t xml:space="preserve"> i.        Keep structure of M  files as Uniform &amp; Small &amp; Self-contained as possible</t>
  </si>
  <si>
    <r>
      <rPr>
        <b/>
        <sz val="11"/>
        <color theme="1"/>
        <rFont val="Calibri"/>
        <family val="2"/>
        <scheme val="minor"/>
      </rPr>
      <t>Projection</t>
    </r>
    <r>
      <rPr>
        <sz val="11"/>
        <color theme="1"/>
        <rFont val="Calibri"/>
        <family val="2"/>
        <scheme val="minor"/>
      </rPr>
      <t>: apply deflators (growth rates) derived for broad sectors in blocks VII-VIII.</t>
    </r>
  </si>
  <si>
    <t>The supply and demand blocks project GDP components on supply and demand side in KP and CP and hence the (equal) implicit GDP deflators on both sides.</t>
  </si>
  <si>
    <t>All deflators derive from exogenous CPI target, export &amp; import pricses (BOP), govt and other public sector average wage rates, &amp; indirect tax rates (FISCAL), and import shares.</t>
  </si>
  <si>
    <t>The domestic deflator excl. indirect taxes combines with export VA price deflator, deflators for public admin, educ/health (driven by average public sector wages),</t>
  </si>
  <si>
    <t>and deflator for indirect taxes (product of deflators of tax rate and tax base; i.e., % change of tax deflator is sum of % change of tax rate and % change of tax base deflator).</t>
  </si>
  <si>
    <t>The deflator of each final demand is the sum of domestic deflator incl. indirect taxes and the import deflator incl. indirect taxes, weighted with the import share in FD.</t>
  </si>
  <si>
    <t xml:space="preserve">The current-year shares of supply and demand components at KP are only calculated for comparison. Using them to calculate GDP deflator would make </t>
  </si>
  <si>
    <r>
      <rPr>
        <b/>
        <sz val="11"/>
        <color theme="1"/>
        <rFont val="Calibri"/>
        <family val="2"/>
        <scheme val="minor"/>
      </rPr>
      <t>Projection:</t>
    </r>
    <r>
      <rPr>
        <sz val="11"/>
        <color theme="1"/>
        <rFont val="Calibri"/>
        <family val="2"/>
        <scheme val="minor"/>
      </rPr>
      <t xml:space="preserve"> apply deflators (in block VIb) to final demand in KP (in block VIa) or apply compounded growth rates of final demandin KP and deflators </t>
    </r>
  </si>
  <si>
    <t>to previous year final demand in CP.</t>
  </si>
  <si>
    <r>
      <rPr>
        <b/>
        <sz val="11"/>
        <color theme="1"/>
        <rFont val="Calibri"/>
        <family val="2"/>
        <scheme val="minor"/>
      </rPr>
      <t>Assumptions</t>
    </r>
    <r>
      <rPr>
        <sz val="11"/>
        <color theme="1"/>
        <rFont val="Calibri"/>
        <family val="2"/>
        <scheme val="minor"/>
      </rPr>
      <t xml:space="preserve"> on each FD (e.g. from FISCAL &amp; BOP, discrepancies FISCAL &amp; BOP with NA, real demand growth rates; all sources, adjustments...to be documented.</t>
    </r>
  </si>
  <si>
    <r>
      <rPr>
        <b/>
        <sz val="11"/>
        <color theme="1"/>
        <rFont val="Calibri"/>
        <family val="2"/>
        <scheme val="minor"/>
      </rPr>
      <t>Actual</t>
    </r>
    <r>
      <rPr>
        <sz val="11"/>
        <color theme="1"/>
        <rFont val="Calibri"/>
        <family val="2"/>
        <scheme val="minor"/>
      </rPr>
      <t>: data from production sector, company, board or line ministry, in quantities/units of output &amp; prices (of a moving base year). All sources to be documented.</t>
    </r>
  </si>
  <si>
    <t>Table of contents and Manual REAL SECTOR</t>
  </si>
  <si>
    <t>urban CPI and NA private consumption deflator). Fom the taget CPI and projected import prices (from BOP, in $ and ER) incl. taxes (from FISCAL), a domestic deflator incl. taxes is derived</t>
  </si>
  <si>
    <t xml:space="preserve"> (using import share in consumption), as well as a domestic deflator (i.e. Value Added Price) excl. indirect taxes. </t>
  </si>
  <si>
    <t>Weigthed sum of FD deflators weighted with current-year shares in GDP in KP returns Paasche GDP deflator. In practice, weights used are previous-year shares of FD in GDP in CP, good proxy.</t>
  </si>
  <si>
    <t>GDP_prod_volumes</t>
  </si>
  <si>
    <t>GDP_prod_volumes above this</t>
  </si>
  <si>
    <t>test by multiplying Table IVa. by Table IVb.</t>
  </si>
  <si>
    <t>Average share S1 in total ( 2017-2022)</t>
  </si>
  <si>
    <t xml:space="preserve">O/w Vegetables </t>
  </si>
  <si>
    <t>O/w fruits</t>
  </si>
  <si>
    <t>O/w Flowers (stems)</t>
  </si>
  <si>
    <t>Eggs</t>
  </si>
  <si>
    <t>Honey</t>
  </si>
  <si>
    <t>2028/29</t>
  </si>
  <si>
    <t>2029/30</t>
  </si>
  <si>
    <t>1998A1</t>
  </si>
  <si>
    <t>1999A1</t>
  </si>
  <si>
    <t>2000A1</t>
  </si>
  <si>
    <t>2001A1</t>
  </si>
  <si>
    <t>2002A1</t>
  </si>
  <si>
    <t>2003A1</t>
  </si>
  <si>
    <t>2004A1</t>
  </si>
  <si>
    <t>2005A1</t>
  </si>
  <si>
    <t>2006A1</t>
  </si>
  <si>
    <t>2007A1</t>
  </si>
  <si>
    <t>2008A1</t>
  </si>
  <si>
    <t>2009A1</t>
  </si>
  <si>
    <t>2010A1</t>
  </si>
  <si>
    <t>2011A1</t>
  </si>
  <si>
    <t>2012A1</t>
  </si>
  <si>
    <t>2013A1</t>
  </si>
  <si>
    <t>2014A1</t>
  </si>
  <si>
    <t>2015A1</t>
  </si>
  <si>
    <t>2016A1</t>
  </si>
  <si>
    <t>2017A1</t>
  </si>
  <si>
    <t>2018A1</t>
  </si>
  <si>
    <t>2019A1</t>
  </si>
  <si>
    <t>2020A1</t>
  </si>
  <si>
    <t>2021A1</t>
  </si>
  <si>
    <t>2022A1</t>
  </si>
  <si>
    <t>2023A1</t>
  </si>
  <si>
    <t>2024A1</t>
  </si>
  <si>
    <t>2025A1</t>
  </si>
  <si>
    <t>2026A1</t>
  </si>
  <si>
    <t>2027A1</t>
  </si>
  <si>
    <t>2028A1</t>
  </si>
  <si>
    <t>2029A1</t>
  </si>
  <si>
    <t>2030A1</t>
  </si>
  <si>
    <t>old LIBOR from previous WEOGAS</t>
  </si>
  <si>
    <t>Price/kg or in 1000 frw/MT</t>
  </si>
  <si>
    <t>value in bln RWF</t>
  </si>
  <si>
    <t>Roots &amp; tubers</t>
  </si>
  <si>
    <t>Oil seeds</t>
  </si>
  <si>
    <t>Unit price for flowers measured in Rwf/stem, while others are measured in Rwf/kg</t>
  </si>
  <si>
    <t xml:space="preserve">2107 export $ price/Kg * period aver exh rate from BOP </t>
  </si>
  <si>
    <r>
      <t xml:space="preserve">Mining &amp; quarrying </t>
    </r>
    <r>
      <rPr>
        <b/>
        <sz val="9"/>
        <color rgb="FFFF0000"/>
        <rFont val="Calibri"/>
        <family val="2"/>
        <scheme val="minor"/>
      </rPr>
      <t xml:space="preserve">(bln RWF, base year prices or US$?) from BOP </t>
    </r>
  </si>
  <si>
    <t>other fruits kept constant for proj due to lack of information/data</t>
  </si>
  <si>
    <t>value in Bln RWF</t>
  </si>
  <si>
    <t>Other vegatables</t>
  </si>
  <si>
    <t>Export crops 2017 prices Bln Rwf (Price/kg or in 1000 frw/MT)</t>
  </si>
  <si>
    <t>2023 weights</t>
  </si>
  <si>
    <t>Cereals &amp; grain</t>
  </si>
  <si>
    <t>1.AGRICULTURE</t>
  </si>
  <si>
    <t>2.INDUSTRY</t>
  </si>
  <si>
    <t>3.SERVICES</t>
  </si>
  <si>
    <t xml:space="preserve">            5. Poultry</t>
  </si>
  <si>
    <t xml:space="preserve">            6. Rabbit</t>
  </si>
  <si>
    <t>Nominal GDP FY</t>
  </si>
  <si>
    <t>Nominal GDP CY</t>
  </si>
  <si>
    <t>NST1</t>
  </si>
  <si>
    <t>Actual</t>
  </si>
  <si>
    <t xml:space="preserve">  Paddy rice (riz)</t>
  </si>
  <si>
    <t xml:space="preserve">   Other roots (Yams &amp; Taro)</t>
  </si>
  <si>
    <r>
      <t>Cereals (céréales)</t>
    </r>
    <r>
      <rPr>
        <b/>
        <sz val="11"/>
        <color rgb="FFFF0000"/>
        <rFont val="Calibri"/>
        <family val="2"/>
      </rPr>
      <t xml:space="preserve"> </t>
    </r>
  </si>
  <si>
    <t>Average</t>
  </si>
  <si>
    <t>Real GDP Required</t>
  </si>
  <si>
    <t>Nominal GDP growth in RWF Required</t>
  </si>
  <si>
    <t>Nominal GDP  in RWF Required</t>
  </si>
  <si>
    <t>GDP deflator (Pgdp) % change required</t>
  </si>
  <si>
    <t>GDP per capita in US$ Required</t>
  </si>
  <si>
    <t>Depreciation required</t>
  </si>
  <si>
    <t>Nom check</t>
  </si>
  <si>
    <t>Exchange rate RWF/US$ period average  required</t>
  </si>
  <si>
    <t>Real GDP growth, % (IMF prg. Mar Rev. 2024)</t>
  </si>
  <si>
    <t>Target</t>
  </si>
  <si>
    <t>Vision 2050</t>
  </si>
  <si>
    <t>Medium Target by 2035</t>
  </si>
  <si>
    <t>Loss vs. NST1</t>
  </si>
  <si>
    <t>NST2</t>
  </si>
  <si>
    <t>Achieved for NST1</t>
  </si>
  <si>
    <r>
      <t xml:space="preserve">GEE_All </t>
    </r>
    <r>
      <rPr>
        <b/>
        <sz val="9"/>
        <color rgb="FFFF0000"/>
        <rFont val="Arial"/>
        <family val="2"/>
      </rPr>
      <t>(Sept 2022 version) from column K;</t>
    </r>
    <r>
      <rPr>
        <b/>
        <sz val="9"/>
        <color rgb="FFC00000"/>
        <rFont val="Arial"/>
        <family val="2"/>
      </rPr>
      <t xml:space="preserve"> </t>
    </r>
  </si>
  <si>
    <t>GEE_PRINT below this</t>
  </si>
  <si>
    <t>3-mos US  Govt bonds (before 2013: U.S. dollar deposits</t>
  </si>
  <si>
    <t>3-mos Euro area Govt bonds (before 2013: Euro deposits)</t>
  </si>
  <si>
    <t>3-mos Japam Govt bonds (before 2013: ….)</t>
  </si>
  <si>
    <t>EXTDEBT_PRINT below this</t>
  </si>
  <si>
    <t>MON-MF below this</t>
  </si>
  <si>
    <t>WEO_PRINT below this</t>
  </si>
  <si>
    <r>
      <t>Water &amp; waste management (</t>
    </r>
    <r>
      <rPr>
        <b/>
        <sz val="8"/>
        <color rgb="FFC00000"/>
        <rFont val="Calibri"/>
        <family val="2"/>
        <scheme val="minor"/>
      </rPr>
      <t>Daily water production capacity from meter cube to MT from WTSAN -WASAC SSP for proj</t>
    </r>
  </si>
  <si>
    <r>
      <t xml:space="preserve">Electricity </t>
    </r>
    <r>
      <rPr>
        <b/>
        <sz val="8"/>
        <color rgb="FFC00000"/>
        <rFont val="Calibri"/>
        <family val="2"/>
        <scheme val="minor"/>
      </rPr>
      <t>(Electricity Generation Capacity  (MW) ESSP 2024/25-2028/29 from REG)</t>
    </r>
  </si>
  <si>
    <t>2017 Prices (average annual wage)</t>
  </si>
  <si>
    <r>
      <t xml:space="preserve">Human health and social work activities-- </t>
    </r>
    <r>
      <rPr>
        <sz val="8"/>
        <color rgb="FFC00000"/>
        <rFont val="Calibri"/>
        <family val="2"/>
        <scheme val="minor"/>
      </rPr>
      <t>from MINISANTE SSP targets 2024/25-2029/30</t>
    </r>
  </si>
  <si>
    <t xml:space="preserve">      Meat </t>
  </si>
  <si>
    <t>Growth Assumption</t>
  </si>
  <si>
    <r>
      <t xml:space="preserve">         Private sector (MF proxy); projection: </t>
    </r>
    <r>
      <rPr>
        <sz val="11"/>
        <color rgb="FFFF0000"/>
        <rFont val="Calibri"/>
        <family val="2"/>
        <scheme val="minor"/>
      </rPr>
      <t>exogenous</t>
    </r>
  </si>
  <si>
    <t>2024 KP</t>
  </si>
  <si>
    <t>Sem 1</t>
  </si>
  <si>
    <t>Sem 2</t>
  </si>
  <si>
    <t>2024 (value)</t>
  </si>
  <si>
    <t>Turnovers\Average YoY gr of Mo Indicators</t>
  </si>
  <si>
    <t>BNR</t>
  </si>
  <si>
    <t xml:space="preserve">BNR </t>
  </si>
  <si>
    <t xml:space="preserve">Aver yoy growth of quarters </t>
  </si>
  <si>
    <t>EICVs 2017</t>
  </si>
  <si>
    <t>Prod vol from MINICOM</t>
  </si>
  <si>
    <t>Other products (weighted)</t>
  </si>
  <si>
    <t>Wood and paper (informal share)</t>
  </si>
  <si>
    <t>Chemicals (informal share)</t>
  </si>
  <si>
    <t>Construction (Hist. average 2011-2019)</t>
  </si>
  <si>
    <t>Construction (formal share)</t>
  </si>
  <si>
    <t>Construction--modern (informal share)</t>
  </si>
  <si>
    <t>Financial services (yoy % of average Mo tunov)</t>
  </si>
  <si>
    <t>Information &amp; communication (yoy % of average Mo tunov)</t>
  </si>
  <si>
    <t>Hotels and Restaurants informal (% growth)</t>
  </si>
  <si>
    <t>Wholesale &amp; retail trade (yoy % of average Mo tunov)</t>
  </si>
  <si>
    <t>Professional, scientific and technical activities (yoy % of average Mo tunov)</t>
  </si>
  <si>
    <t>Textiles informal (% change)</t>
  </si>
  <si>
    <t>Furniture (average of Qo % change)</t>
  </si>
  <si>
    <t>Admin and support services (average of Qo % change)</t>
  </si>
  <si>
    <t>Human health (average of Qo % change)</t>
  </si>
  <si>
    <t>Public administration (average of Qo % change)</t>
  </si>
  <si>
    <t>Deflator-CPI food and non-alcoholic beverages - yoy % Change of ann. average</t>
  </si>
  <si>
    <t>Deflator-general CPI  - yoy % Change of ann. average</t>
  </si>
  <si>
    <t>Deflator CPI meat  -  yoy % Change of ann. average</t>
  </si>
  <si>
    <t>Deflator general CPI  - yoy % Change of ann. average</t>
  </si>
  <si>
    <t>Deflator CPI fish -  yoy % Change of ann. average</t>
  </si>
  <si>
    <t>Deflator PPI Mining -  yoy % Change of ann. average</t>
  </si>
  <si>
    <t>Deflator PPI Manufacturing food -  yoy % Change of ann. average</t>
  </si>
  <si>
    <t>Deflator PPI Beverages (tobacco neglected) -  yoy % Change of ann. average</t>
  </si>
  <si>
    <t>Deflator PPI textiles -  yoy % Change of ann. average</t>
  </si>
  <si>
    <t>Deflator PPI Paper (wood neglected) -  yoy % Change of ann. average</t>
  </si>
  <si>
    <t>Deflator PPI Chemicals and chemical products - yoy % Change of ann. average</t>
  </si>
  <si>
    <t>Deflator PPI non-metallic mineral products - yoy % Change of ann. average</t>
  </si>
  <si>
    <t>Deflator PPI  fabricated metal products, except machinery and equipment  - yoy % Change of ann. average</t>
  </si>
  <si>
    <t>Deflator PPI Furniture  - yoy % Change of ann. average</t>
  </si>
  <si>
    <t>Deflator PPI Electricity  - yoy % Change of ann. average</t>
  </si>
  <si>
    <t>Deflator PPI Water  - yoy % Change of ann. average</t>
  </si>
  <si>
    <t>Deflator general PPI  - yoy % Change of ann. average</t>
  </si>
  <si>
    <t>Deflator CPI Transport - yoy % Change of ann. average</t>
  </si>
  <si>
    <t>Deflator CPI Hotels and Restaurants - yoy % Change of ann. average</t>
  </si>
  <si>
    <t>Deflator CPI Communication  - yoy % Change of ann. average</t>
  </si>
  <si>
    <t>Deflator- Increase in govt unit wages cost - linked to annual - comes from Fiscal</t>
  </si>
  <si>
    <t>Agriculture sector</t>
  </si>
  <si>
    <t>Industry sector</t>
  </si>
  <si>
    <t>Services sector</t>
  </si>
  <si>
    <t>Information and communication</t>
  </si>
  <si>
    <t>Professional activities</t>
  </si>
  <si>
    <t>Financial Services</t>
  </si>
  <si>
    <t>Food processing</t>
  </si>
  <si>
    <t>Livestock(Gako beef)</t>
  </si>
  <si>
    <t>Exports\Other products</t>
  </si>
  <si>
    <t>Total Manufacturing</t>
  </si>
  <si>
    <t>beverages &amp; tobacco</t>
  </si>
  <si>
    <t>wood &amp; paper; printing</t>
  </si>
  <si>
    <t>textiles, clothing &amp; leather goods</t>
  </si>
  <si>
    <t>metal products, machinery &amp; equipment</t>
  </si>
  <si>
    <t>chemicals, rubber &amp; plastic products</t>
  </si>
  <si>
    <t>non-metalic mineral</t>
  </si>
  <si>
    <t xml:space="preserve">furniture &amp; other manufacturing </t>
  </si>
  <si>
    <t>Real Estate activities</t>
  </si>
  <si>
    <t>Hotels and Restaurants</t>
  </si>
  <si>
    <t>Education and Human health and social work activities</t>
  </si>
  <si>
    <t>Quarrying for construction activities</t>
  </si>
  <si>
    <t>Minning activities (minerals)</t>
  </si>
  <si>
    <t>Maintenance and repair of motor vehicles</t>
  </si>
  <si>
    <t>Construction (formal)</t>
  </si>
  <si>
    <t xml:space="preserve">FISC_REAL below this </t>
  </si>
  <si>
    <r>
      <t xml:space="preserve">FISCAL variables for REAL </t>
    </r>
    <r>
      <rPr>
        <sz val="8"/>
        <color rgb="FFC00000"/>
        <rFont val="Calibri"/>
        <family val="2"/>
        <scheme val="minor"/>
      </rPr>
      <t>FISC_REAL below this</t>
    </r>
  </si>
  <si>
    <t>BOP_REAL_PRINT above this</t>
  </si>
  <si>
    <t>GDP market prices (incl indirect taxes) (for past NA)</t>
  </si>
  <si>
    <t>Govt capital spending in NA, current prices (fr FISCAL*fraction GFCF-NA)</t>
  </si>
  <si>
    <r>
      <t xml:space="preserve">Investment deflator </t>
    </r>
    <r>
      <rPr>
        <b/>
        <sz val="9"/>
        <color theme="1"/>
        <rFont val="Calibri"/>
        <family val="2"/>
        <scheme val="minor"/>
      </rPr>
      <t>(from NA &lt;2024; &gt;2024: projected in Deflator block VIII.)</t>
    </r>
  </si>
  <si>
    <r>
      <t xml:space="preserve">     adjustment growth rate indirect tax rate--</t>
    </r>
    <r>
      <rPr>
        <sz val="11"/>
        <color rgb="FFFF0000"/>
        <rFont val="Calibri"/>
        <family val="2"/>
        <scheme val="minor"/>
      </rPr>
      <t>don’t use this line</t>
    </r>
  </si>
  <si>
    <t xml:space="preserve"> O/w: indirect taxes on dom.goods (excl fuel) (past: deflate with NA deflator net.ind.taxes</t>
  </si>
  <si>
    <t>O/w: indirect taxes on domestic goods (excl fuel)</t>
  </si>
  <si>
    <t xml:space="preserve">            indirect taxes on imported goods (incl. VAT and fuel excises)</t>
  </si>
  <si>
    <t xml:space="preserve">            indirect subsidies (-)  (implicit in Nat Accts) : residual</t>
  </si>
  <si>
    <r>
      <t xml:space="preserve">Import g&amp;s share in investment </t>
    </r>
    <r>
      <rPr>
        <sz val="9"/>
        <color theme="1"/>
        <rFont val="Calibri"/>
        <family val="2"/>
        <scheme val="minor"/>
      </rPr>
      <t>(capgood imports/private+govt NA def., CP)</t>
    </r>
  </si>
  <si>
    <t xml:space="preserve">      cp. CPI p.a. from NA in % change (incl. national, not just urban cons as CPI does)</t>
  </si>
  <si>
    <t>share of CG wage bill in GDP administration in constant prices</t>
  </si>
  <si>
    <t>GDP deflator (demand side) in % change (with last data-year weights)</t>
  </si>
  <si>
    <t>Export price index in Frw goods fob (2017=100)</t>
  </si>
  <si>
    <t>Energy products cif  in constant 2017 prices</t>
  </si>
  <si>
    <t>Consumption goods cif  in constant 2017 prices</t>
  </si>
  <si>
    <r>
      <t>1998, K =</t>
    </r>
    <r>
      <rPr>
        <sz val="10"/>
        <color rgb="FFC00000"/>
        <rFont val="Calibri"/>
        <family val="2"/>
        <scheme val="minor"/>
      </rPr>
      <t xml:space="preserve"> </t>
    </r>
    <r>
      <rPr>
        <sz val="10"/>
        <color rgb="FFC00000"/>
        <rFont val="Calibri"/>
        <family val="2"/>
      </rPr>
      <t>κ</t>
    </r>
    <r>
      <rPr>
        <sz val="8"/>
        <color rgb="FFC00000"/>
        <rFont val="Calibri"/>
        <family val="2"/>
        <scheme val="minor"/>
      </rPr>
      <t xml:space="preserve"> * GDP</t>
    </r>
  </si>
  <si>
    <t xml:space="preserve">   1-  share of VA in exports (assumption, high import share for minerals)</t>
  </si>
  <si>
    <t>Exports of goods (incl.non-mon.gold) (mln US$) fob</t>
  </si>
  <si>
    <r>
      <t xml:space="preserve">     contribution growth private capital stock </t>
    </r>
    <r>
      <rPr>
        <sz val="9"/>
        <color rgb="FFFF0000"/>
        <rFont val="Bahnschrift"/>
        <family val="2"/>
      </rPr>
      <t>(share in sector GDP)</t>
    </r>
  </si>
  <si>
    <t>Labour force participation rate(%)</t>
  </si>
  <si>
    <t>Working age population(16+ years)</t>
  </si>
  <si>
    <t>Employment-to-population ratio(%)</t>
  </si>
  <si>
    <t>Labor Force</t>
  </si>
  <si>
    <t>LFS</t>
  </si>
  <si>
    <t>Stock human capital HC (from LTGM)</t>
  </si>
  <si>
    <t xml:space="preserve">   Selfemployment (not in LFS)</t>
  </si>
  <si>
    <t xml:space="preserve">   Employment (LFS)</t>
  </si>
  <si>
    <t>`</t>
  </si>
  <si>
    <t>Employment</t>
  </si>
  <si>
    <t>Human capital</t>
  </si>
  <si>
    <t>LTGM</t>
  </si>
  <si>
    <t>Real GDP (in 2017 constant prices)</t>
  </si>
  <si>
    <t>factors of production (levels)</t>
  </si>
  <si>
    <t>Growth in govt VA</t>
  </si>
  <si>
    <t>factor shares</t>
  </si>
  <si>
    <t xml:space="preserve">      smoothened change in LE in years</t>
  </si>
  <si>
    <t xml:space="preserve">Growth rate efficiency land </t>
  </si>
  <si>
    <t xml:space="preserve">    Growth public capital, end-year (2017 prices)</t>
  </si>
  <si>
    <t xml:space="preserve">    Growth of other TFP (residual) </t>
  </si>
  <si>
    <r>
      <t xml:space="preserve">φ1 return </t>
    </r>
    <r>
      <rPr>
        <sz val="8"/>
        <color rgb="FFC00000"/>
        <rFont val="Aptos Narrow"/>
        <family val="2"/>
      </rPr>
      <t>Δ</t>
    </r>
    <r>
      <rPr>
        <sz val="8"/>
        <color rgb="FFC00000"/>
        <rFont val="Calibri"/>
        <family val="2"/>
        <scheme val="minor"/>
      </rPr>
      <t>LE</t>
    </r>
  </si>
  <si>
    <t>POP_REAL below this</t>
  </si>
  <si>
    <t xml:space="preserve">Growth in real GDP </t>
  </si>
  <si>
    <t xml:space="preserve">factor contributions to real GDP growth </t>
  </si>
  <si>
    <t>growth in factors of production for real GDP</t>
  </si>
  <si>
    <r>
      <t xml:space="preserve">Growth employment (from intMF)  </t>
    </r>
    <r>
      <rPr>
        <b/>
        <sz val="8"/>
        <color rgb="FFC00000"/>
        <rFont val="Bahnschrift"/>
        <family val="2"/>
      </rPr>
      <t>CHECK DATA</t>
    </r>
  </si>
  <si>
    <t xml:space="preserve">     contribution growth TFP (residual)</t>
  </si>
  <si>
    <r>
      <rPr>
        <sz val="8"/>
        <color rgb="FFC00000"/>
        <rFont val="Aptos Narrow"/>
        <family val="2"/>
      </rPr>
      <t>φ</t>
    </r>
    <r>
      <rPr>
        <sz val="8"/>
        <color rgb="FFC00000"/>
        <rFont val="Calibri"/>
        <family val="2"/>
      </rPr>
      <t>1</t>
    </r>
    <r>
      <rPr>
        <sz val="8"/>
        <color rgb="FFC00000"/>
        <rFont val="Calibri"/>
        <family val="2"/>
        <scheme val="minor"/>
      </rPr>
      <t xml:space="preserve"> return yrs educ</t>
    </r>
  </si>
  <si>
    <t>ψ return public K</t>
  </si>
  <si>
    <t>school-age population</t>
  </si>
  <si>
    <t>Selfemployment (not recorded in LFS)</t>
  </si>
  <si>
    <t xml:space="preserve">                         teachers (local govt)</t>
  </si>
  <si>
    <t xml:space="preserve">                         health workers ( local govt)</t>
  </si>
  <si>
    <t>%  increase in central govt employment (assumption in FISCAL, use to project)</t>
  </si>
  <si>
    <t xml:space="preserve">Exogenous demographic and HC data &amp; assumptions </t>
  </si>
  <si>
    <t>2011-23</t>
  </si>
  <si>
    <r>
      <t xml:space="preserve">    growth rate HC (education per worker) </t>
    </r>
    <r>
      <rPr>
        <b/>
        <sz val="8"/>
        <color rgb="FFC00000"/>
        <rFont val="Bahnschrift"/>
        <family val="2"/>
      </rPr>
      <t>CHECK</t>
    </r>
  </si>
  <si>
    <r>
      <t xml:space="preserve">    growth rate HC (health per worker) </t>
    </r>
    <r>
      <rPr>
        <b/>
        <sz val="8"/>
        <color rgb="FFC00000"/>
        <rFont val="Bahnschrift"/>
        <family val="2"/>
      </rPr>
      <t>CHECK</t>
    </r>
  </si>
  <si>
    <t>Private capital end-year (2017 prices) (from cum.inv, depr;  intMF)</t>
  </si>
  <si>
    <t>Stock of public capital (from cum.inv, depr; intMF)</t>
  </si>
  <si>
    <t>intMF</t>
  </si>
  <si>
    <t>proxy: # employed</t>
  </si>
  <si>
    <t xml:space="preserve">    Indirect taxes in KP (REAL aggregate supply side)</t>
  </si>
  <si>
    <t>Value added govt sector KP (intMF-REAL, in aggrgeate supply bloc KP)</t>
  </si>
  <si>
    <t xml:space="preserve">    Value added govt sectors in KP (NA: admin, educ, health; proj: govt employment)</t>
  </si>
  <si>
    <t>derived</t>
  </si>
  <si>
    <r>
      <t xml:space="preserve">adj if </t>
    </r>
    <r>
      <rPr>
        <sz val="8"/>
        <color rgb="FFC00000"/>
        <rFont val="Aptos Narrow"/>
        <family val="2"/>
      </rPr>
      <t>Δ</t>
    </r>
    <r>
      <rPr>
        <sz val="8"/>
        <color rgb="FFC00000"/>
        <rFont val="Calibri"/>
        <family val="2"/>
        <scheme val="minor"/>
      </rPr>
      <t>LE large</t>
    </r>
  </si>
  <si>
    <t xml:space="preserve">      smoothened year-to-year change in LE in years</t>
  </si>
  <si>
    <t xml:space="preserve">   average life expectancy in years</t>
  </si>
  <si>
    <t>fo</t>
  </si>
  <si>
    <r>
      <t>Food crops</t>
    </r>
    <r>
      <rPr>
        <b/>
        <sz val="9"/>
        <color rgb="FFFF0000"/>
        <rFont val="Calibri"/>
        <family val="2"/>
      </rPr>
      <t xml:space="preserve"> Actuals in MT from SAS and Projections in terms of GVA in current prices  converted to constant prices in billion Rwf from MINAGRI/SSP PASTA5</t>
    </r>
  </si>
  <si>
    <t>Total Fertility Rate (TFR)</t>
  </si>
  <si>
    <r>
      <t xml:space="preserve">WEO-GAS EXTRACT </t>
    </r>
    <r>
      <rPr>
        <b/>
        <sz val="8"/>
        <color rgb="FFFF0000"/>
        <rFont val="Calibri"/>
        <family val="2"/>
        <scheme val="minor"/>
      </rPr>
      <t xml:space="preserve">(version Sept 2022) </t>
    </r>
    <r>
      <rPr>
        <b/>
        <sz val="8"/>
        <rFont val="Calibri"/>
        <family val="2"/>
        <scheme val="minor"/>
      </rPr>
      <t>from column I</t>
    </r>
    <r>
      <rPr>
        <b/>
        <sz val="8"/>
        <color rgb="FFFF0000"/>
        <rFont val="Calibri"/>
        <family val="2"/>
        <scheme val="minor"/>
      </rPr>
      <t>;</t>
    </r>
    <r>
      <rPr>
        <b/>
        <sz val="8"/>
        <color rgb="FFC00000"/>
        <rFont val="Calibri"/>
        <family val="2"/>
        <scheme val="minor"/>
      </rPr>
      <t xml:space="preserve"> </t>
    </r>
  </si>
  <si>
    <t>Pre-covid average</t>
  </si>
  <si>
    <r>
      <t>Livestock &amp; livestock products</t>
    </r>
    <r>
      <rPr>
        <b/>
        <sz val="11"/>
        <color rgb="FFC00000"/>
        <rFont val="Calibri"/>
        <family val="2"/>
        <scheme val="minor"/>
      </rPr>
      <t xml:space="preserve"> </t>
    </r>
    <r>
      <rPr>
        <b/>
        <sz val="8"/>
        <color rgb="FFC00000"/>
        <rFont val="Calibri"/>
        <family val="2"/>
        <scheme val="minor"/>
      </rPr>
      <t>(Actuals from SAS --Projections from MINAGRI in MT,  value in bln RWF, base year prices)</t>
    </r>
  </si>
  <si>
    <r>
      <t xml:space="preserve">Cassiterite </t>
    </r>
    <r>
      <rPr>
        <sz val="8"/>
        <color indexed="8"/>
        <rFont val="Calibri"/>
        <family val="2"/>
        <scheme val="minor"/>
      </rPr>
      <t>(</t>
    </r>
    <r>
      <rPr>
        <sz val="8"/>
        <color rgb="FFC00000"/>
        <rFont val="Calibri"/>
        <family val="2"/>
        <scheme val="minor"/>
      </rPr>
      <t>raw =  total production excl. processed</t>
    </r>
    <r>
      <rPr>
        <sz val="8"/>
        <color indexed="8"/>
        <rFont val="Calibri"/>
        <family val="2"/>
        <scheme val="minor"/>
      </rPr>
      <t xml:space="preserve">) in MT </t>
    </r>
    <r>
      <rPr>
        <sz val="8"/>
        <color rgb="FFFF0000"/>
        <rFont val="Calibri"/>
        <family val="2"/>
        <scheme val="minor"/>
      </rPr>
      <t xml:space="preserve"> (E column:  2017 $ price/kg * period aver exh rate*1/2)</t>
    </r>
  </si>
  <si>
    <r>
      <t xml:space="preserve">Forestry </t>
    </r>
    <r>
      <rPr>
        <b/>
        <sz val="8"/>
        <color rgb="FFC00000"/>
        <rFont val="Calibri"/>
        <family val="2"/>
        <scheme val="minor"/>
      </rPr>
      <t>(Volume in MT of dry wood (Demand not prod) from Rwanda Forestry Authority RFA)</t>
    </r>
  </si>
  <si>
    <r>
      <t xml:space="preserve">Charcoal </t>
    </r>
    <r>
      <rPr>
        <sz val="8"/>
        <color rgb="FFC00000"/>
        <rFont val="Calibri"/>
        <family val="2"/>
      </rPr>
      <t xml:space="preserve"> (Units? ,E column:  '20**' prod price RWF/Kg)</t>
    </r>
  </si>
  <si>
    <t xml:space="preserve">Historical average growth </t>
  </si>
  <si>
    <t>Adjusted to growth in cereals production</t>
  </si>
  <si>
    <t>should be adjusted to growth in live animal production</t>
  </si>
  <si>
    <r>
      <t>Tea</t>
    </r>
    <r>
      <rPr>
        <sz val="8"/>
        <color rgb="FFC00000"/>
        <rFont val="Calibri"/>
        <family val="2"/>
        <scheme val="minor"/>
      </rPr>
      <t xml:space="preserve"> (Volume in  MT)</t>
    </r>
  </si>
  <si>
    <r>
      <t xml:space="preserve">Pyrethrum </t>
    </r>
    <r>
      <rPr>
        <sz val="8"/>
        <color rgb="FFC00000"/>
        <rFont val="Calibri"/>
        <family val="2"/>
        <scheme val="minor"/>
      </rPr>
      <t>(Volume in MT)</t>
    </r>
  </si>
  <si>
    <r>
      <t xml:space="preserve">Coffee </t>
    </r>
    <r>
      <rPr>
        <sz val="9"/>
        <color rgb="FFC00000"/>
        <rFont val="Calibri"/>
        <family val="2"/>
        <scheme val="minor"/>
      </rPr>
      <t>(Volume in MT)  (E colum</t>
    </r>
    <r>
      <rPr>
        <sz val="8"/>
        <color rgb="FFC00000"/>
        <rFont val="Calibri"/>
        <family val="2"/>
        <scheme val="minor"/>
      </rPr>
      <t>n:  '20**' prod price RWF/Kg</t>
    </r>
    <r>
      <rPr>
        <sz val="8"/>
        <color rgb="FFFF0000"/>
        <rFont val="Calibri"/>
        <family val="2"/>
        <scheme val="minor"/>
      </rPr>
      <t>)</t>
    </r>
  </si>
  <si>
    <t xml:space="preserve">   average number of years of schooling (Barro &amp; Lee database)</t>
  </si>
  <si>
    <r>
      <t xml:space="preserve">      </t>
    </r>
    <r>
      <rPr>
        <b/>
        <sz val="9"/>
        <color rgb="FFC00000"/>
        <rFont val="Calibri"/>
        <family val="2"/>
        <scheme val="minor"/>
      </rPr>
      <t xml:space="preserve">  Exogenous</t>
    </r>
    <r>
      <rPr>
        <sz val="9"/>
        <color rgb="FFC00000"/>
        <rFont val="Calibri"/>
        <family val="2"/>
        <scheme val="minor"/>
      </rPr>
      <t xml:space="preserve"> growth rate (look at real GDP growth a.o.)</t>
    </r>
  </si>
  <si>
    <t>2029/31</t>
  </si>
  <si>
    <t>2029/32</t>
  </si>
  <si>
    <t>2029/33</t>
  </si>
  <si>
    <t>2029/34</t>
  </si>
  <si>
    <t>2029/35</t>
  </si>
  <si>
    <t>other adjustment current prices: govt VA that is not wages or PKO</t>
  </si>
  <si>
    <t xml:space="preserve">    other adjustment constant prices</t>
  </si>
  <si>
    <r>
      <t>public admin wage bill From NA)---</t>
    </r>
    <r>
      <rPr>
        <sz val="11"/>
        <color rgb="FFA20000"/>
        <rFont val="Calibri"/>
        <family val="2"/>
        <scheme val="minor"/>
      </rPr>
      <t>reconstructed frm KP &amp; CUP</t>
    </r>
  </si>
  <si>
    <t>RPHC5 Thematic Report_Population Projection</t>
  </si>
  <si>
    <t>LFS, Should be derived</t>
  </si>
  <si>
    <t>Life expectancy at birth (Both Sexes)</t>
  </si>
  <si>
    <t>Infant Mortality Rate, IMR (%)</t>
  </si>
  <si>
    <t>PHC5, Table 94: Changes in key fertility indicators by projection medium scenario, 2022-2052</t>
  </si>
  <si>
    <t>PHC5-2022_Main_Indicators_Report_Tables_Final</t>
  </si>
  <si>
    <t xml:space="preserve">United Nations Population/demographic indicators </t>
  </si>
  <si>
    <t>https://population.un.org/wpp/downloads?folder=Standard%20Projections&amp;group=Most%20used</t>
  </si>
  <si>
    <t>Crude Birth Rate (births per 1,000 population)</t>
  </si>
  <si>
    <t>Total Fertility Rate (live births per woman)</t>
  </si>
  <si>
    <t>Crude Death Rate (deaths per 1,000 population)</t>
  </si>
  <si>
    <t>Infant Mortality Rate (infant deaths per 1,000 live births)</t>
  </si>
  <si>
    <t>Life Expectancy at Birth, both sexes (years)</t>
  </si>
  <si>
    <t>UN Population Projections report (2024) --World Population Prospects 2024, Momentum</t>
  </si>
  <si>
    <t>3-5 years</t>
  </si>
  <si>
    <t>3-6 years</t>
  </si>
  <si>
    <t>6-11 years</t>
  </si>
  <si>
    <t>7-12 years</t>
  </si>
  <si>
    <t>12-17 years</t>
  </si>
  <si>
    <t>13-18 years</t>
  </si>
  <si>
    <t>Table 43: Projections of the school-age population, 2022-2052 according to the medium projections scenario</t>
  </si>
  <si>
    <t>RPHC5 Thematic Report: Population Projection</t>
  </si>
  <si>
    <t>RPHC5 Thematic Report_Population Projection--Table 44: Projections of the working-age population, 2022-2052 according to the medium projections scenario</t>
  </si>
  <si>
    <t>RPHC5 Thematic Report_Population Projection--Table 15: Evolution of key mortality indicators, 2022-2052 by projection scenarios, Table 14: Evolution of other key fertility indicators, 2022-2052 by projection scenarios</t>
  </si>
  <si>
    <t>Crude Birth Rate (CBR) per 1000</t>
  </si>
  <si>
    <t>Crude Death Rate, CDR (‰)</t>
  </si>
  <si>
    <t>Aged 65+</t>
  </si>
  <si>
    <t>Aged &lt;-14</t>
  </si>
  <si>
    <t>Aged 15-&lt;-64</t>
  </si>
  <si>
    <t>Labor Force Survey</t>
  </si>
  <si>
    <t>Population and Housing Census (PHC2) 2022</t>
  </si>
  <si>
    <r>
      <t xml:space="preserve">Population size in mln </t>
    </r>
    <r>
      <rPr>
        <b/>
        <sz val="11"/>
        <color theme="1"/>
        <rFont val="Bahnschrift"/>
        <family val="2"/>
      </rPr>
      <t>(intMF-REAL must use this)</t>
    </r>
  </si>
  <si>
    <t>Population by age group,</t>
  </si>
  <si>
    <t>1999-2021 from NISR NA 2022-52 from RPHC5 Thematic Report_Population Projection, Table 35: Projections of the total population, 2022-2052 according to medium scenario</t>
  </si>
  <si>
    <t>Source</t>
  </si>
  <si>
    <t>Total Population, as of 1 July (mln)</t>
  </si>
  <si>
    <t>EICV</t>
  </si>
  <si>
    <t>Barro&amp;Lee UPDATE!</t>
  </si>
  <si>
    <t>still UN data 2017</t>
  </si>
  <si>
    <t>POP_REAL above this</t>
  </si>
  <si>
    <t>from LTGM to  BE UPDATED</t>
  </si>
  <si>
    <t>Employment (in % growth)</t>
  </si>
  <si>
    <t>Trad/nonTrad</t>
  </si>
  <si>
    <r>
      <rPr>
        <sz val="8"/>
        <color rgb="FFC00000"/>
        <rFont val="Calibri"/>
        <family val="2"/>
        <scheme val="minor"/>
      </rPr>
      <t xml:space="preserve">  check </t>
    </r>
    <r>
      <rPr>
        <sz val="8"/>
        <color theme="1"/>
        <rFont val="Calibri"/>
        <family val="2"/>
        <scheme val="minor"/>
      </rPr>
      <t xml:space="preserve"> Excess demand  for tradables(after imports) over supply tradables (after exports) % of GDP</t>
    </r>
  </si>
  <si>
    <t>2031A1</t>
  </si>
  <si>
    <t>2032A1</t>
  </si>
  <si>
    <t>2033A1</t>
  </si>
  <si>
    <t>2034A1</t>
  </si>
  <si>
    <t>2035A1</t>
  </si>
  <si>
    <t>Naïve extrapolation</t>
  </si>
  <si>
    <t>2025 (Oct. Proj.)</t>
  </si>
  <si>
    <t>NISR NA</t>
  </si>
  <si>
    <t>Construction (Informal share) growing with investment</t>
  </si>
  <si>
    <t>Aver of monthly yoy growth</t>
  </si>
  <si>
    <t xml:space="preserve">NISR  NA              </t>
  </si>
  <si>
    <t xml:space="preserve">NISR   NA    </t>
  </si>
  <si>
    <r>
      <t>Hotels and Restaurants (</t>
    </r>
    <r>
      <rPr>
        <sz val="8"/>
        <color rgb="FFC00000"/>
        <rFont val="Calibri"/>
        <family val="2"/>
        <scheme val="minor"/>
      </rPr>
      <t>Accommodation and Food Services Activities</t>
    </r>
    <r>
      <rPr>
        <sz val="11"/>
        <color theme="1"/>
        <rFont val="Calibri"/>
        <family val="2"/>
        <scheme val="minor"/>
      </rPr>
      <t>)</t>
    </r>
  </si>
  <si>
    <t>o/w IMF RST &amp; SCF</t>
  </si>
  <si>
    <t>o/w Bugesera</t>
  </si>
  <si>
    <t xml:space="preserve">Exports of goods and services (mln US$) </t>
  </si>
  <si>
    <t>Imports of goods (incl.non-mon.gold) (mln US$) fob</t>
  </si>
  <si>
    <t>Imports of goods (mln US$) cif</t>
  </si>
  <si>
    <t xml:space="preserve">           imports of intermediate goods (incl "adjustment") cif</t>
  </si>
  <si>
    <t xml:space="preserve">Imports of goods and services (mln US$) </t>
  </si>
  <si>
    <t>Capital goods  cif in constant 2017 prices</t>
  </si>
  <si>
    <t>Intermediate goods cif (incl. adjustment) in constant 2017 prices</t>
  </si>
  <si>
    <r>
      <t>XI.c REAL variables for FISCAL</t>
    </r>
    <r>
      <rPr>
        <sz val="8"/>
        <color rgb="FFFF0000"/>
        <rFont val="Calibri"/>
        <family val="2"/>
        <scheme val="minor"/>
      </rPr>
      <t xml:space="preserve"> REAL_FISC below this</t>
    </r>
  </si>
  <si>
    <t>2025 KP</t>
  </si>
  <si>
    <t>2024                                                   (volume)</t>
  </si>
  <si>
    <t>2025                                     (volume)</t>
  </si>
  <si>
    <t>Tax on Income, Profit and Capital gain (Incl. Taxes on payroll)</t>
  </si>
  <si>
    <t>Taxes on goods and services…</t>
  </si>
  <si>
    <t>Taxes on international trade (tariffs etc. but incl. VAT)</t>
  </si>
  <si>
    <t xml:space="preserve"> o/w Incidental sales by nonmarket establishments (PKO) </t>
  </si>
  <si>
    <t>Compensation of employees (incl. transfers/ Grants to LG&amp; EBUs)</t>
  </si>
  <si>
    <t xml:space="preserve">   % increase in central govt employment (fr MIFOTRA)</t>
  </si>
  <si>
    <t xml:space="preserve">         health workers ( local govt)</t>
  </si>
  <si>
    <t xml:space="preserve">   % increase in government unit wage costs</t>
  </si>
  <si>
    <t>Other Expense</t>
  </si>
  <si>
    <t>Statistical discrepency</t>
  </si>
  <si>
    <t>Net foreign financing</t>
  </si>
  <si>
    <t>Taxes on domestic goods &amp; services (incl VAT imports, fuel excises)</t>
  </si>
  <si>
    <t>of which: VAT on imports (prel. from RRA act., Refoto proj)</t>
  </si>
  <si>
    <t>Excise on fuel (incl. budget levy, Strategic reserve, RMF)</t>
  </si>
  <si>
    <t>Excises on imports (excl. fuel)</t>
  </si>
  <si>
    <t>Excises on domestic goods</t>
  </si>
  <si>
    <t xml:space="preserve">    international trade indirect taxes (incl excise fuel)/imports of g&amp;s in %</t>
  </si>
  <si>
    <t>2025-30</t>
  </si>
  <si>
    <t>IVc. GDP current prices (market prices)</t>
  </si>
  <si>
    <t xml:space="preserve">              Of which Bugesera</t>
  </si>
  <si>
    <t xml:space="preserve">              Of which Rwandair</t>
  </si>
  <si>
    <t xml:space="preserve">              Of which Euro bond(2021)</t>
  </si>
  <si>
    <t xml:space="preserve">              Of which Euro bond(2025)</t>
  </si>
  <si>
    <t xml:space="preserve">              Of which Euro Bond  (2025)</t>
  </si>
  <si>
    <t>corrected fr NA</t>
  </si>
  <si>
    <t>was correct</t>
  </si>
  <si>
    <t xml:space="preserve">  Net foreign assets NBR (mln US$) end-Dec </t>
  </si>
  <si>
    <t xml:space="preserve">     o/w: disbursements 2022 RSF (all channeled to Budget) sem 1</t>
  </si>
  <si>
    <t xml:space="preserve">                                                                                                    sem 2</t>
  </si>
  <si>
    <t xml:space="preserve">     o/w: disbursements 2023 SCF   sem1</t>
  </si>
  <si>
    <t xml:space="preserve">                                                           sem 2</t>
  </si>
  <si>
    <t xml:space="preserve">        Of which: SCF disbursements for Budget (one-fifth): sem 1 </t>
  </si>
  <si>
    <t xml:space="preserve">                                                                                                  sem 2</t>
  </si>
  <si>
    <t xml:space="preserve">     o/w: disbursements 202*  NEW  sem 1</t>
  </si>
  <si>
    <t xml:space="preserve">    Of which: NEW disbursements for Budget (10%): sem 1 </t>
  </si>
  <si>
    <t xml:space="preserve">    Foreign assets commercial banks, end-period in mln USD</t>
  </si>
  <si>
    <t xml:space="preserve">    Foreign liabilities commercial banks, end-period in mln USD</t>
  </si>
  <si>
    <t>Traditonal exports (Bln RWF of 2017)</t>
  </si>
  <si>
    <t>Horticulture share in weight of export crops</t>
  </si>
  <si>
    <r>
      <t>Export crops (traditional-coffe&amp;tea +horticulture</t>
    </r>
    <r>
      <rPr>
        <b/>
        <sz val="8"/>
        <color rgb="FFFF0000"/>
        <rFont val="Calibri"/>
        <family val="2"/>
        <scheme val="minor"/>
      </rPr>
      <t xml:space="preserve"> (from NAEB proj 2024-2030 in volume MT))</t>
    </r>
  </si>
  <si>
    <t>External debt service (incl on expected disbursement on signed loans)</t>
  </si>
  <si>
    <t>PM principal  IMF on budget part (acc to ExtDebt; US$)</t>
  </si>
  <si>
    <t>PM  interest IMF on budget part (acc to ExtDebt; US$)</t>
  </si>
  <si>
    <t>Stock external debt (excl. IMF, excl. guarantees, PE; end-year, US$ mln)</t>
  </si>
  <si>
    <t>Multilateral (excl. IMF)</t>
  </si>
  <si>
    <t>External debt govt guarantees (stock US$ mln)</t>
  </si>
  <si>
    <t>I. Project loan disbursements (in US$ mln)</t>
  </si>
  <si>
    <t>II. Budget loans (in US$ mln)</t>
  </si>
  <si>
    <t>Budget loans (excl. commercial)</t>
  </si>
  <si>
    <t>Bugesera commercial</t>
  </si>
  <si>
    <t>Rwandair commercial</t>
  </si>
  <si>
    <t xml:space="preserve">            plus: required budget loans (sem.)</t>
  </si>
  <si>
    <t>IV. Budget grants  (in US$ mln) (incl Global Fund)</t>
  </si>
  <si>
    <t xml:space="preserve">       plus: required budget grants (semester)</t>
  </si>
  <si>
    <r>
      <t>External Financing flows (in US$ mln)</t>
    </r>
    <r>
      <rPr>
        <sz val="8"/>
        <color theme="1"/>
        <rFont val="Calibri"/>
        <family val="2"/>
        <scheme val="minor"/>
      </rPr>
      <t xml:space="preserve"> EXTFIN_PRINT below this</t>
    </r>
  </si>
  <si>
    <t xml:space="preserve">        Adjust big project (Bugesera) in mln USD (DFI + Equity+ Ext.loans, also in BOP; ATL)</t>
  </si>
  <si>
    <t>Bugesera Govt Equity (ATL) (from 2024 as in BOP in mln USD)</t>
  </si>
  <si>
    <t xml:space="preserve">             Bugesera Ext/foreing loans  (from 2017-2022 as in BOP in mln USD)</t>
  </si>
  <si>
    <t>Indirect Subsidies (Electricity and Water)</t>
  </si>
  <si>
    <t>Loans+Equity (Net Lending GFS1986)     (+ acquistion (Spending))</t>
  </si>
  <si>
    <t xml:space="preserve">    inderect tax on fuel in  % imported energy products</t>
  </si>
  <si>
    <r>
      <t xml:space="preserve">    indirect taxes on domestic goods </t>
    </r>
    <r>
      <rPr>
        <sz val="8"/>
        <color theme="1"/>
        <rFont val="Calibri"/>
        <family val="2"/>
        <scheme val="minor"/>
      </rPr>
      <t>(fr FISCAL)</t>
    </r>
  </si>
  <si>
    <r>
      <t xml:space="preserve">    indirect taxes on imported  goods </t>
    </r>
    <r>
      <rPr>
        <sz val="8"/>
        <color theme="1"/>
        <rFont val="Calibri"/>
        <family val="2"/>
        <scheme val="minor"/>
      </rPr>
      <t>(fr FISCAL)</t>
    </r>
  </si>
  <si>
    <t>Real GDP (YOY % change)</t>
  </si>
  <si>
    <t>Nominal GDP (YOY % change, Billion RWF)</t>
  </si>
  <si>
    <t>Nominal GDP (YOY % change, Billion USD)</t>
  </si>
  <si>
    <t>GDP deflator (YOY % change)</t>
  </si>
  <si>
    <t>Agriculture GDP excl. export crops in current prices (Billion RWF)</t>
  </si>
  <si>
    <t>Nominal GDP (Billion RWF)</t>
  </si>
  <si>
    <t>Nominal GDP (Billion RWF FY)</t>
  </si>
  <si>
    <t>CPI (end-period) (YOY % change)</t>
  </si>
  <si>
    <t>CPI (period average) (YOY % change)</t>
  </si>
  <si>
    <t xml:space="preserve">    Of which Public investment</t>
  </si>
  <si>
    <t xml:space="preserve">    Of which Private investment</t>
  </si>
  <si>
    <t>Exports of goods and services, (Billion RWF, current prices)</t>
  </si>
  <si>
    <t>Imports of goods and services (Billion RWF, current prices)</t>
  </si>
  <si>
    <t xml:space="preserve">  Share of imports/consumer goods in private consumption</t>
  </si>
  <si>
    <t xml:space="preserve">  Share of imports/capital goods in Govt investment </t>
  </si>
  <si>
    <t xml:space="preserve">  Share of imports/capital goods in private investment </t>
  </si>
  <si>
    <t xml:space="preserve">  Share of imports/intermediate goods in exports</t>
  </si>
  <si>
    <t>Real macroecomic indicators, Growth rate in yoy % change)</t>
  </si>
  <si>
    <t>GDP deflator (Supply, Pgdp)</t>
  </si>
  <si>
    <t xml:space="preserve">Domestic deflator (domestic G&amp;S, incl. taxes) (PD) </t>
  </si>
  <si>
    <t>CPI (End Of Period, eop)</t>
  </si>
  <si>
    <t>CPI (Period Average, pa)</t>
  </si>
  <si>
    <t>Terms of trade (goods,fob)</t>
  </si>
  <si>
    <t xml:space="preserve">Exchange rate RWF/US$ (Period Average) </t>
  </si>
  <si>
    <t>Agriculture (YOY % change)</t>
  </si>
  <si>
    <t xml:space="preserve">  o/w: export crops</t>
  </si>
  <si>
    <t>Trade &amp; Services (YOY % change)</t>
  </si>
  <si>
    <t>Share of agriculture</t>
  </si>
  <si>
    <t>Share of industry</t>
  </si>
  <si>
    <t>Share of trade &amp; services</t>
  </si>
  <si>
    <t>Share of indirect taxes</t>
  </si>
  <si>
    <t>GDP by final demand (% of GDP)</t>
  </si>
  <si>
    <t>Savings and external (BOP) indicators (% of GDP)</t>
  </si>
  <si>
    <t xml:space="preserve">      Govt domestic savings (revenue -/- current exp (excl.ext interest) -/- net lending)</t>
  </si>
  <si>
    <t>Memorandum items</t>
  </si>
  <si>
    <t>Population size (Million people)</t>
  </si>
  <si>
    <t>Growth rate (YOY % change)</t>
  </si>
  <si>
    <t>Real per capita GDP (YOY % change)</t>
  </si>
  <si>
    <t>GNI per capita (USD)</t>
  </si>
  <si>
    <t>Real private consumption, (YOY % change)</t>
  </si>
  <si>
    <t>Private capital stock (Billion RWF of 2017, constant prices)</t>
  </si>
  <si>
    <t>Public capital stock (Billion RWF of 2017, constant prices)</t>
  </si>
  <si>
    <r>
      <t>VII. Supply and demand in aggregate format</t>
    </r>
    <r>
      <rPr>
        <sz val="10"/>
        <rFont val="Calibri"/>
        <family val="2"/>
        <scheme val="minor"/>
      </rPr>
      <t xml:space="preserve"> (Supply indicators for deflator calcs)</t>
    </r>
  </si>
  <si>
    <t>Summary GDP_Supply KP (sum of sector forecasts)</t>
  </si>
  <si>
    <t>GDP_Supply, Current prices (GDP_supply deflator used)</t>
  </si>
  <si>
    <t>GDP by sector of activity: Growth rates and shares of GDP</t>
  </si>
  <si>
    <t>Check on CA NA vs. BOP</t>
  </si>
  <si>
    <t>had wrong ER</t>
  </si>
  <si>
    <t>had GNI not GDP</t>
  </si>
  <si>
    <t>used FY GDP</t>
  </si>
  <si>
    <t>Non agricultural GDP, current prices (excl. govt &amp; taxes, exports) (Billion RWF)</t>
  </si>
  <si>
    <t>Nominal GDP (Million USD, p.a ER used)</t>
  </si>
  <si>
    <r>
      <t xml:space="preserve">GDP per capita </t>
    </r>
    <r>
      <rPr>
        <sz val="10"/>
        <rFont val="Bahnschrift"/>
        <family val="2"/>
      </rPr>
      <t>(USD, p.a ER used)</t>
    </r>
  </si>
  <si>
    <r>
      <t xml:space="preserve">Gross National Income </t>
    </r>
    <r>
      <rPr>
        <sz val="9"/>
        <rFont val="Bahnschrift"/>
        <family val="2"/>
      </rPr>
      <t>(GNI), (Million USD, current prices)</t>
    </r>
  </si>
  <si>
    <t xml:space="preserve">                        Domestically financed investment(USD)</t>
  </si>
  <si>
    <t>Govt. Consumption (incl. wages; NA definition, CUP)</t>
  </si>
  <si>
    <t>Private consumption (NA, residual)</t>
  </si>
  <si>
    <t>Industry (YOY % change)</t>
  </si>
  <si>
    <t>2010/11</t>
  </si>
  <si>
    <t>2011/12</t>
  </si>
  <si>
    <t>2012/13</t>
  </si>
  <si>
    <t>Growth rate (YOY% change)</t>
  </si>
  <si>
    <t>Nominal GDP (Million USD, pa ER used)</t>
  </si>
  <si>
    <r>
      <t xml:space="preserve">GDP deflator (supply side), % change </t>
    </r>
    <r>
      <rPr>
        <sz val="8"/>
        <color rgb="FFC00000"/>
        <rFont val="Calibri"/>
        <family val="2"/>
        <scheme val="minor"/>
      </rPr>
      <t>(with 2022 weights)</t>
    </r>
  </si>
  <si>
    <t>GDP deflator (demand side), % change</t>
  </si>
  <si>
    <t>Deflator adjuster</t>
  </si>
  <si>
    <r>
      <t xml:space="preserve">    Direct foreign investment </t>
    </r>
    <r>
      <rPr>
        <sz val="9"/>
        <color theme="1"/>
        <rFont val="Calibri"/>
        <family val="2"/>
        <scheme val="minor"/>
      </rPr>
      <t>(mln USD, from BOP)</t>
    </r>
    <r>
      <rPr>
        <sz val="8"/>
        <color theme="1"/>
        <rFont val="Calibri"/>
        <family val="2"/>
        <scheme val="minor"/>
      </rPr>
      <t xml:space="preserve"> its real growth adds to priv inv</t>
    </r>
  </si>
  <si>
    <r>
      <t xml:space="preserve">    Net private borrowing fr BOP (mln USD)</t>
    </r>
    <r>
      <rPr>
        <sz val="9"/>
        <color theme="1"/>
        <rFont val="Calibri"/>
        <family val="2"/>
        <scheme val="minor"/>
      </rPr>
      <t xml:space="preserve"> </t>
    </r>
    <r>
      <rPr>
        <sz val="8"/>
        <color theme="1"/>
        <rFont val="Calibri"/>
        <family val="2"/>
        <scheme val="minor"/>
      </rPr>
      <t>assuming financing private investment</t>
    </r>
  </si>
  <si>
    <t xml:space="preserve">   of which: exports non-monetary gold</t>
  </si>
  <si>
    <t xml:space="preserve">     of which: imports non-monetary gold</t>
  </si>
  <si>
    <t>Other net private capital inflows (incl. Rwandair etc., comm banks); exl. IMF</t>
  </si>
  <si>
    <t>Net borrowing by Govt excl.Rwandair etc (+ inflow) excl. IMF</t>
  </si>
  <si>
    <t>Change in NFA of BNR (+ accum) (all IMF "below the line")</t>
  </si>
  <si>
    <t xml:space="preserve">                        FDI (BOP incl. big projects, USD, pa ER used)</t>
  </si>
  <si>
    <t xml:space="preserve">        Adjust additional KCC in bln RWF constant prices</t>
  </si>
  <si>
    <t xml:space="preserve">        Adjust additional (planes) not in construction calc, bln RWF constant prices</t>
  </si>
  <si>
    <t>Private Investment (billion RWF, def. NA in current prices</t>
  </si>
  <si>
    <t xml:space="preserve">                        Net loans or govt equity (BOP, USD, pa ER used)</t>
  </si>
  <si>
    <t>used in BOP</t>
  </si>
  <si>
    <t>GFCF (excl big projects/Bugesera, excl inventories, KP, bln RWF)</t>
  </si>
  <si>
    <t>GFCF (excl big projects and FDI Bugesera, excl inventories, mln USD, CP)</t>
  </si>
  <si>
    <r>
      <t xml:space="preserve">Gross National Disposable Income </t>
    </r>
    <r>
      <rPr>
        <sz val="9"/>
        <color theme="1"/>
        <rFont val="Calibri"/>
        <family val="2"/>
        <scheme val="minor"/>
      </rPr>
      <t>(incl. prim+sec; cap transfers) RWF bln current prices</t>
    </r>
  </si>
  <si>
    <r>
      <t>Gross National Income (GNI)</t>
    </r>
    <r>
      <rPr>
        <sz val="9"/>
        <rFont val="Calibri"/>
        <family val="2"/>
        <scheme val="minor"/>
      </rPr>
      <t xml:space="preserve"> (incl net factor inc, mln USD, current prices)</t>
    </r>
  </si>
  <si>
    <r>
      <t>REAL_Rwametric_Adata above this (</t>
    </r>
    <r>
      <rPr>
        <b/>
        <sz val="8"/>
        <color theme="1"/>
        <rFont val="Calibri"/>
        <family val="2"/>
        <scheme val="minor"/>
      </rPr>
      <t>A</t>
    </r>
    <r>
      <rPr>
        <sz val="8"/>
        <color theme="1"/>
        <rFont val="Calibri"/>
        <family val="2"/>
        <scheme val="minor"/>
      </rPr>
      <t xml:space="preserve">nnual data)                          </t>
    </r>
    <r>
      <rPr>
        <sz val="8"/>
        <color rgb="FFFF0000"/>
        <rFont val="Calibri"/>
        <family val="2"/>
        <scheme val="minor"/>
      </rPr>
      <t xml:space="preserve">                                check GNDI in KP</t>
    </r>
  </si>
  <si>
    <t>Gross National Disposable Income RWF bln in constant 2017 prices</t>
  </si>
  <si>
    <t>Gross National Disposable Income, after taxes, RWF bln in constant 2017 prices</t>
  </si>
  <si>
    <r>
      <rPr>
        <b/>
        <sz val="9"/>
        <color rgb="FFC00000"/>
        <rFont val="Calibri"/>
        <family val="2"/>
        <scheme val="minor"/>
      </rPr>
      <t>check:</t>
    </r>
    <r>
      <rPr>
        <sz val="9"/>
        <color rgb="FFFF0000"/>
        <rFont val="Calibri"/>
        <family val="2"/>
        <scheme val="minor"/>
      </rPr>
      <t xml:space="preserve"> pr.consumption deflator (cp with implicit deflator consCP/consKP): abs difference</t>
    </r>
  </si>
  <si>
    <t>domestic prices (incl. taxes) PDT 2017-100</t>
  </si>
  <si>
    <t>GDP RWF bln in constant 2017 prices</t>
  </si>
  <si>
    <t>Growth rate (intrapolated Q-on-Q % change)</t>
  </si>
  <si>
    <t>Real per capita GDP (intrapolated Q-on-Q % change)</t>
  </si>
  <si>
    <t>2025                                 (Oct. Proj)</t>
  </si>
  <si>
    <t xml:space="preserve">       Milk  (MT) --RWF/L</t>
  </si>
  <si>
    <t xml:space="preserve">      Honey (MT)--RWF per 0.5KG</t>
  </si>
  <si>
    <t xml:space="preserve">Milk </t>
  </si>
  <si>
    <r>
      <t>Other exports (Bln RWF 2017) --</t>
    </r>
    <r>
      <rPr>
        <b/>
        <sz val="9"/>
        <color rgb="FFC00000"/>
        <rFont val="Calibri"/>
        <family val="2"/>
        <scheme val="minor"/>
      </rPr>
      <t>2017 Export Prices USD/Kg</t>
    </r>
  </si>
  <si>
    <r>
      <t xml:space="preserve">      Eggs(MT) </t>
    </r>
    <r>
      <rPr>
        <sz val="8"/>
        <color rgb="FFC00000"/>
        <rFont val="Calibri"/>
        <family val="2"/>
      </rPr>
      <t>(about 20 eggs per kg) --RWF per piece * 20 for RWF/Kg *1000 for RWF/MT</t>
    </r>
  </si>
  <si>
    <r>
      <t xml:space="preserve">TOTAL MANUFACTURING </t>
    </r>
    <r>
      <rPr>
        <b/>
        <sz val="8"/>
        <color rgb="FFC00000"/>
        <rFont val="Bahnschrift"/>
        <family val="2"/>
      </rPr>
      <t>(NISR Average IIP)</t>
    </r>
  </si>
  <si>
    <t xml:space="preserve"> Textiles, clothing &amp; leather goods (average of Qo % change)</t>
  </si>
  <si>
    <t>II. REAL GDP in details(Volumes + Formal/Informal)</t>
  </si>
  <si>
    <t>2025 (value)</t>
  </si>
  <si>
    <t>Current share of Sem 1 in tot</t>
  </si>
  <si>
    <t>Transport &amp; storage (yoy % of average Mo tunov)</t>
  </si>
  <si>
    <t>Real estate,  growth (yoy % of average Mo tunov)</t>
  </si>
  <si>
    <t>GDP, Nominal/Current Prices</t>
  </si>
  <si>
    <t>GDP, Real/Constant Prices (KP)</t>
  </si>
  <si>
    <t>2024, Constant Prices, KP</t>
  </si>
  <si>
    <t>Maintenance &amp; repair services (average of Qo % change)</t>
  </si>
  <si>
    <t>2025 (2024=100)</t>
  </si>
  <si>
    <t>Q1 (A 2025 &amp; B), Q2(B 2025)</t>
  </si>
  <si>
    <t>2024 in KP</t>
  </si>
  <si>
    <t xml:space="preserve">   Groundnuts (arachide) &amp; other oil seeds</t>
  </si>
  <si>
    <t>2024 shares in current prices</t>
  </si>
  <si>
    <t>Industry - Manufacturing</t>
  </si>
  <si>
    <t>Adjustment Cultural, domestic &amp; other services</t>
  </si>
  <si>
    <t>GDP (Current prices) % change</t>
  </si>
  <si>
    <t>GDP (Curent prices, levels) in bln RWF</t>
  </si>
  <si>
    <t>GDP (Constant prices) % change</t>
  </si>
  <si>
    <t>Adjustment of food (formal)</t>
  </si>
  <si>
    <t>Adjustment textile</t>
  </si>
  <si>
    <t>Adjustment Chemicals&amp; rubber plastics</t>
  </si>
  <si>
    <t>Non-metallic &amp; mineral products (average of Qo % change)</t>
  </si>
  <si>
    <t>Metal products &amp; machinery equipments (average of Qo % change)</t>
  </si>
  <si>
    <t>2024 base yr Prices Rwf/Tone from RFA)</t>
  </si>
  <si>
    <t>2024 production Price/kg from MINAGRI?</t>
  </si>
  <si>
    <t>(2024 base year production prices, value in Bln RWF)</t>
  </si>
  <si>
    <t>2024 KP /Kg</t>
  </si>
  <si>
    <t>IV. GDP Growth (constant prices 2024)</t>
  </si>
  <si>
    <t>IVa. GDP supply in constant prices (2024)</t>
  </si>
  <si>
    <t>IVb. GDP supply deflator (2024)</t>
  </si>
  <si>
    <t>2024 shares in constant prices</t>
  </si>
  <si>
    <t>now</t>
  </si>
  <si>
    <t>before</t>
  </si>
  <si>
    <t>old</t>
  </si>
  <si>
    <t xml:space="preserve">Gross foreign assets NBR end-period in mln USD </t>
  </si>
  <si>
    <t>proj fr chNFA (BOP)</t>
  </si>
  <si>
    <t xml:space="preserve">Gross "official" reserves (IMF def.) NBR end-period in mln USD </t>
  </si>
  <si>
    <t xml:space="preserve">   valuation change on SDR liabilties to IMF (- lower debt  as $ appr.)</t>
  </si>
  <si>
    <t xml:space="preserve"> total repayments on IMF loans to IMF by NBR (all facilities) in mln USD</t>
  </si>
  <si>
    <t>Govt deposits at NBR (treasury, line ministries) end-period (bln RWF)</t>
  </si>
  <si>
    <t>total interest/charges to IMF (converted to US$ mln at WEO US$/SDR rate)</t>
  </si>
  <si>
    <t>Ginv+Gcons</t>
  </si>
  <si>
    <t>Pcons</t>
  </si>
  <si>
    <t>Pinv</t>
  </si>
  <si>
    <t>Imp</t>
  </si>
  <si>
    <t xml:space="preserve">Bugesera Qatar FDI Equity (from 2025 as in BOP in mln USD) </t>
  </si>
  <si>
    <t>GDP_W/Bugesera.</t>
  </si>
  <si>
    <t>GDP WO/Bugesera.</t>
  </si>
  <si>
    <t>Contributions (pps)</t>
  </si>
  <si>
    <t>March. 2025 Proj.</t>
  </si>
  <si>
    <t>October. 2025 Proj.</t>
  </si>
  <si>
    <t>% Change</t>
  </si>
  <si>
    <t>Deviations</t>
  </si>
  <si>
    <t>GDP %Change, Supply VA on 2024=100 constant prices</t>
  </si>
  <si>
    <t>GFCF (Excl. inventories, constant prices, 2024=100)</t>
  </si>
  <si>
    <t>Investment deflator (2024=100)</t>
  </si>
  <si>
    <t>Government investment deflator (2024=100)</t>
  </si>
  <si>
    <t>Total final consumption expenditure (Constant prices, 2024=100)</t>
  </si>
  <si>
    <r>
      <t>GDP_EXPENDITURE in constant prices</t>
    </r>
    <r>
      <rPr>
        <b/>
        <sz val="12"/>
        <color theme="1"/>
        <rFont val="Calibri"/>
        <family val="2"/>
        <scheme val="minor"/>
      </rPr>
      <t xml:space="preserve"> (equal to supply) </t>
    </r>
  </si>
  <si>
    <t>Gross Capital Formation (GFCF incl. inventories)</t>
  </si>
  <si>
    <t>Gross fixed capital formation (GFCF)</t>
  </si>
  <si>
    <t>Gross Domestic Product (GDP)</t>
  </si>
  <si>
    <t>Gross capital formation(GCF)</t>
  </si>
  <si>
    <t>Gross Domestic Product(GDP)</t>
  </si>
  <si>
    <t xml:space="preserve">    Constant 2024 prices</t>
  </si>
  <si>
    <t xml:space="preserve">     Deflators 2024=100</t>
  </si>
  <si>
    <t xml:space="preserve">     In current prices       </t>
  </si>
  <si>
    <t>Amaranths</t>
  </si>
  <si>
    <t>Food crops (GVA food crops at 2024=100 constant prices) from NISR</t>
  </si>
  <si>
    <t xml:space="preserve">      Banana (%change)</t>
  </si>
  <si>
    <t xml:space="preserve">      Sorghum (%change)</t>
  </si>
  <si>
    <t>Beverages informal (%change)</t>
  </si>
  <si>
    <t>Fishing ((average of Qo %change))</t>
  </si>
  <si>
    <t>Livestock &amp; livestock products (average of Qo %change)</t>
  </si>
  <si>
    <t>Forestry (average of Qo %change)</t>
  </si>
  <si>
    <t>Food informal (%change)</t>
  </si>
  <si>
    <t>Wood and paper (informal %change)</t>
  </si>
  <si>
    <t>Chemicals (formal %change)</t>
  </si>
  <si>
    <t>Chemicals (informal %change)</t>
  </si>
  <si>
    <t xml:space="preserve">  Construction formal (%change)</t>
  </si>
  <si>
    <t xml:space="preserve">  Construction-modern (informal %change)</t>
  </si>
  <si>
    <t>Cultural, Arts, Entertainment and Recreation activities(aver of Qo % change)</t>
  </si>
  <si>
    <t>I. AGRICULTURE</t>
  </si>
  <si>
    <t>II. INDUSTRY</t>
  </si>
  <si>
    <t>IV. Taxes less subsidies</t>
  </si>
  <si>
    <r>
      <t xml:space="preserve">III. SERVICES </t>
    </r>
    <r>
      <rPr>
        <b/>
        <sz val="8"/>
        <color rgb="FFC00000"/>
        <rFont val="Bahnschrift"/>
        <family val="2"/>
      </rPr>
      <t>(y-o-y growth in monthly turnovers deflated)</t>
    </r>
  </si>
  <si>
    <t>2025 (Q1&amp;Q2&amp;Q3)</t>
  </si>
  <si>
    <t>2026 (March. Proj.)</t>
  </si>
  <si>
    <t xml:space="preserve">     CPI p.a. index 2024=100, source NBR (not equal to NA hhold cons deflator)</t>
  </si>
  <si>
    <t xml:space="preserve">    domestic indirect taxes (excl excise fuel)/GDP (excl govt) in %</t>
  </si>
  <si>
    <t>2025  (Oct. Proj.)</t>
  </si>
  <si>
    <t>Mining &amp; quarrying (Volume production MT from BOP)</t>
  </si>
  <si>
    <t>Gross fixed capital formation (assumed to be equal to GCF, since no invetories)</t>
  </si>
  <si>
    <t>External Current Account balance (NA definition)-S-I investiment balance</t>
  </si>
  <si>
    <t>Domestic savings (excl. primary and secondary income) -Disable inc - GCF</t>
  </si>
  <si>
    <t>March. Rev. Proj.</t>
  </si>
  <si>
    <t>Oct 2025. Proj.</t>
  </si>
  <si>
    <t xml:space="preserve">   Share of transport services linked to GDP</t>
  </si>
  <si>
    <t>Cofffee weight in export crops  (2025 share in tot marchandize exports)</t>
  </si>
  <si>
    <t>I. GDP (supply) specific assumptions (In-year)</t>
  </si>
  <si>
    <t>Construction Informal share  (updated with 2024 NISR)</t>
  </si>
  <si>
    <t>Construction formal share (updated with 2024 NISR)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</si>
</sst>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_-* #,##0_-;\-* #,##0_-;_-* &quot;-&quot;_-;_-@_-"/>
    <numFmt numFmtId="165" formatCode="_-* #,##0.00_-;\-* #,##0.00_-;_-* &quot;-&quot;??_-;_-@_-"/>
    <numFmt numFmtId="166" formatCode="_(&quot;£&quot;* #,##0.00_);_(&quot;£&quot;* \(#,##0.00\);_(&quot;£&quot;* &quot;-&quot;??_);_(@_)"/>
    <numFmt numFmtId="167" formatCode="0.00_)"/>
    <numFmt numFmtId="168" formatCode="0.0_)"/>
    <numFmt numFmtId="169" formatCode="0.0"/>
    <numFmt numFmtId="170" formatCode="#,##0.0"/>
    <numFmt numFmtId="171" formatCode="#,##0.0_);\(#,##0.0\)"/>
    <numFmt numFmtId="172" formatCode="_-* #,##0\ _€_-;\-* #,##0\ _€_-;_-* &quot;-&quot;??\ _€_-;_-@_-"/>
    <numFmt numFmtId="173" formatCode="_-* #,##0\ _F_-;\-* #,##0\ _F_-;_-* &quot;-&quot;??\ _F_-;_-@_-"/>
    <numFmt numFmtId="174" formatCode="_-* #,##0.0\ _F_-;\-* #,##0.0\ _F_-;_-* &quot;-&quot;??\ _F_-;_-@_-"/>
    <numFmt numFmtId="175" formatCode="0.0%"/>
    <numFmt numFmtId="176" formatCode="0_)"/>
    <numFmt numFmtId="177" formatCode="_(* #,##0.0_);_(* \(#,##0.0\);_(* &quot;-&quot;??_);_(@_)"/>
    <numFmt numFmtId="178" formatCode="_-* #,##0.00\ _€_-;\-* #,##0.00\ _€_-;_-* &quot;-&quot;??\ _€_-;_-@_-"/>
    <numFmt numFmtId="179" formatCode="#,##0_ ;[Red]\-#,##0\ "/>
    <numFmt numFmtId="180" formatCode="0.00000000000"/>
    <numFmt numFmtId="181" formatCode="0.000"/>
    <numFmt numFmtId="182" formatCode="0.000%"/>
    <numFmt numFmtId="183" formatCode="[&gt;=0.05]#,##0.0;[&lt;=-0.05]\-#,##0.0;?\-\-"/>
    <numFmt numFmtId="184" formatCode="_(* #,##0_);_(* \(#,##0\);_(* &quot;-&quot;??_);_(@_)"/>
    <numFmt numFmtId="185" formatCode="#,##0.0;[Red]#,##0.0"/>
    <numFmt numFmtId="186" formatCode="#,##0.0;\-#,##0.0"/>
    <numFmt numFmtId="187" formatCode="_(* #,##0.0_);_(* \(#,##0.0\);_(* &quot;-&quot;?_);_(@_)"/>
    <numFmt numFmtId="188" formatCode="_-* #,##0.00\ _F_-;\-* #,##0.00\ _F_-;_-* &quot;-&quot;??\ _F_-;_-@_-"/>
    <numFmt numFmtId="189" formatCode="_ * #,##0.00_ ;_ * \-#,##0.00_ ;_ * &quot;-&quot;??_ ;_ @_ "/>
    <numFmt numFmtId="190" formatCode="[$-409]mmmm\ d\,\ yyyy;@"/>
    <numFmt numFmtId="191" formatCode="m/d/yy;@"/>
    <numFmt numFmtId="192" formatCode="#,##0.0_ ;[Red]\-#,##0.0\ "/>
  </numFmts>
  <fonts count="280">
    <font>
      <sz val="11"/>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u/>
      <sz val="12"/>
      <color indexed="12"/>
      <name val="Arial"/>
      <family val="2"/>
    </font>
    <font>
      <sz val="12"/>
      <color theme="1"/>
      <name val="Calibri"/>
      <family val="2"/>
      <scheme val="minor"/>
    </font>
    <font>
      <b/>
      <u/>
      <sz val="12"/>
      <name val="Calibri"/>
      <family val="2"/>
      <scheme val="minor"/>
    </font>
    <font>
      <sz val="11"/>
      <name val="Calibri"/>
      <family val="2"/>
      <scheme val="minor"/>
    </font>
    <font>
      <sz val="12"/>
      <name val="Calibri"/>
      <family val="2"/>
      <scheme val="minor"/>
    </font>
    <font>
      <b/>
      <sz val="12"/>
      <name val="Calibri"/>
      <family val="2"/>
      <scheme val="minor"/>
    </font>
    <font>
      <b/>
      <sz val="11"/>
      <name val="Calibri"/>
      <family val="2"/>
      <scheme val="minor"/>
    </font>
    <font>
      <b/>
      <sz val="12"/>
      <color theme="1"/>
      <name val="Calibri"/>
      <family val="2"/>
      <scheme val="minor"/>
    </font>
    <font>
      <b/>
      <sz val="14"/>
      <color theme="1"/>
      <name val="Calibri"/>
      <family val="2"/>
      <scheme val="minor"/>
    </font>
    <font>
      <b/>
      <u/>
      <sz val="11"/>
      <color theme="1"/>
      <name val="Calibri"/>
      <family val="2"/>
      <scheme val="minor"/>
    </font>
    <font>
      <b/>
      <u/>
      <sz val="10"/>
      <color theme="1"/>
      <name val="Calibri"/>
      <family val="2"/>
      <scheme val="minor"/>
    </font>
    <font>
      <sz val="10"/>
      <color theme="1"/>
      <name val="Calibri"/>
      <family val="2"/>
      <scheme val="minor"/>
    </font>
    <font>
      <b/>
      <i/>
      <sz val="11"/>
      <color theme="1"/>
      <name val="Calibri"/>
      <family val="2"/>
      <scheme val="minor"/>
    </font>
    <font>
      <b/>
      <u/>
      <sz val="11"/>
      <name val="Calibri"/>
      <family val="2"/>
      <scheme val="minor"/>
    </font>
    <font>
      <b/>
      <sz val="11"/>
      <color indexed="8"/>
      <name val="Calibri"/>
      <family val="2"/>
      <scheme val="minor"/>
    </font>
    <font>
      <sz val="11"/>
      <color indexed="8"/>
      <name val="Calibri"/>
      <family val="2"/>
      <scheme val="minor"/>
    </font>
    <font>
      <b/>
      <sz val="11"/>
      <color rgb="FFFF0000"/>
      <name val="Calibri"/>
      <family val="2"/>
      <scheme val="minor"/>
    </font>
    <font>
      <sz val="10"/>
      <name val="Arial"/>
      <family val="2"/>
    </font>
    <font>
      <sz val="11"/>
      <color rgb="FFFF0000"/>
      <name val="Calibri"/>
      <family val="2"/>
      <scheme val="minor"/>
    </font>
    <font>
      <sz val="10"/>
      <name val="Calibri"/>
      <family val="2"/>
      <scheme val="minor"/>
    </font>
    <font>
      <b/>
      <u/>
      <sz val="12"/>
      <color rgb="FF000000"/>
      <name val="Calibri"/>
      <family val="2"/>
    </font>
    <font>
      <sz val="12"/>
      <color rgb="FF000000"/>
      <name val="Calibri"/>
      <family val="2"/>
    </font>
    <font>
      <sz val="11"/>
      <color theme="1"/>
      <name val="Calibri"/>
      <family val="2"/>
    </font>
    <font>
      <sz val="11"/>
      <color rgb="FF000000"/>
      <name val="Calibri"/>
      <family val="2"/>
    </font>
    <font>
      <i/>
      <sz val="11"/>
      <color rgb="FF000000"/>
      <name val="Calibri"/>
      <family val="2"/>
    </font>
    <font>
      <b/>
      <sz val="10"/>
      <name val="Calibri"/>
      <family val="2"/>
      <scheme val="minor"/>
    </font>
    <font>
      <b/>
      <sz val="10"/>
      <name val="Times New Roman"/>
      <family val="1"/>
    </font>
    <font>
      <sz val="10"/>
      <name val="Times New Roman"/>
      <family val="1"/>
    </font>
    <font>
      <sz val="8"/>
      <name val="Calibri"/>
      <family val="2"/>
      <scheme val="minor"/>
    </font>
    <font>
      <sz val="9"/>
      <name val="Arial"/>
      <family val="2"/>
    </font>
    <font>
      <b/>
      <sz val="8"/>
      <name val="Arial"/>
      <family val="2"/>
    </font>
    <font>
      <b/>
      <sz val="9"/>
      <name val="Arial"/>
      <family val="2"/>
    </font>
    <font>
      <b/>
      <sz val="9"/>
      <color theme="1"/>
      <name val="Calibri"/>
      <family val="2"/>
      <scheme val="minor"/>
    </font>
    <font>
      <sz val="9"/>
      <color theme="1"/>
      <name val="Calibri"/>
      <family val="2"/>
      <scheme val="minor"/>
    </font>
    <font>
      <b/>
      <sz val="10"/>
      <color theme="1"/>
      <name val="Calibri"/>
      <family val="2"/>
      <scheme val="minor"/>
    </font>
    <font>
      <sz val="10"/>
      <color rgb="FFFF0000"/>
      <name val="Calibri"/>
      <family val="2"/>
      <scheme val="minor"/>
    </font>
    <font>
      <i/>
      <sz val="11"/>
      <color theme="1"/>
      <name val="Calibri"/>
      <family val="2"/>
      <scheme val="minor"/>
    </font>
    <font>
      <sz val="12"/>
      <color rgb="FFFF0000"/>
      <name val="Calibri"/>
      <family val="2"/>
      <scheme val="minor"/>
    </font>
    <font>
      <sz val="9"/>
      <color rgb="FFFF0000"/>
      <name val="Calibri"/>
      <family val="2"/>
      <scheme val="minor"/>
    </font>
    <font>
      <sz val="8"/>
      <color rgb="FFFF0000"/>
      <name val="Calibri"/>
      <family val="2"/>
      <scheme val="minor"/>
    </font>
    <font>
      <sz val="8"/>
      <color theme="1"/>
      <name val="Calibri"/>
      <family val="2"/>
      <scheme val="minor"/>
    </font>
    <font>
      <b/>
      <sz val="9"/>
      <color rgb="FFFF0000"/>
      <name val="Calibri"/>
      <family val="2"/>
      <scheme val="minor"/>
    </font>
    <font>
      <b/>
      <sz val="8"/>
      <color rgb="FFFF0000"/>
      <name val="Calibri"/>
      <family val="2"/>
      <scheme val="minor"/>
    </font>
    <font>
      <b/>
      <sz val="9"/>
      <name val="Calibri"/>
      <family val="2"/>
      <scheme val="minor"/>
    </font>
    <font>
      <b/>
      <u/>
      <sz val="8"/>
      <color theme="1"/>
      <name val="Calibri"/>
      <family val="2"/>
      <scheme val="minor"/>
    </font>
    <font>
      <sz val="8"/>
      <name val="Arial"/>
      <family val="2"/>
    </font>
    <font>
      <sz val="8"/>
      <color rgb="FF4F4FFB"/>
      <name val="Calibri"/>
      <family val="2"/>
      <scheme val="minor"/>
    </font>
    <font>
      <b/>
      <sz val="10"/>
      <color rgb="FFFF0000"/>
      <name val="Calibri"/>
      <family val="2"/>
      <scheme val="minor"/>
    </font>
    <font>
      <sz val="9"/>
      <color indexed="81"/>
      <name val="Tahoma"/>
      <family val="2"/>
    </font>
    <font>
      <b/>
      <sz val="9"/>
      <color indexed="81"/>
      <name val="Tahoma"/>
      <family val="2"/>
    </font>
    <font>
      <b/>
      <sz val="8"/>
      <name val="Calibri"/>
      <family val="2"/>
      <scheme val="minor"/>
    </font>
    <font>
      <sz val="9"/>
      <name val="Calibri"/>
      <family val="2"/>
      <scheme val="minor"/>
    </font>
    <font>
      <sz val="9"/>
      <color indexed="8"/>
      <name val="Calibri"/>
      <family val="2"/>
      <scheme val="minor"/>
    </font>
    <font>
      <b/>
      <sz val="12"/>
      <color indexed="8"/>
      <name val="Calibri"/>
      <family val="2"/>
      <scheme val="minor"/>
    </font>
    <font>
      <u/>
      <sz val="12"/>
      <color theme="1"/>
      <name val="Calibri"/>
      <family val="2"/>
      <scheme val="minor"/>
    </font>
    <font>
      <sz val="9"/>
      <color rgb="FFC00000"/>
      <name val="Calibri"/>
      <family val="2"/>
      <scheme val="minor"/>
    </font>
    <font>
      <sz val="10"/>
      <color rgb="FFC00000"/>
      <name val="Times New Roman"/>
      <family val="1"/>
    </font>
    <font>
      <sz val="10"/>
      <color indexed="8"/>
      <name val="Times New Roman"/>
      <family val="1"/>
    </font>
    <font>
      <b/>
      <sz val="11"/>
      <color rgb="FFC00000"/>
      <name val="Calibri"/>
      <family val="2"/>
      <scheme val="minor"/>
    </font>
    <font>
      <b/>
      <sz val="11"/>
      <color theme="6" tint="-0.499984740745262"/>
      <name val="Calibri"/>
      <family val="2"/>
      <scheme val="minor"/>
    </font>
    <font>
      <sz val="11"/>
      <color rgb="FFC00000"/>
      <name val="Calibri"/>
      <family val="2"/>
      <scheme val="minor"/>
    </font>
    <font>
      <sz val="8"/>
      <color indexed="8"/>
      <name val="Times New Roman"/>
      <family val="1"/>
    </font>
    <font>
      <u/>
      <sz val="10"/>
      <color theme="1"/>
      <name val="Calibri"/>
      <family val="2"/>
      <scheme val="minor"/>
    </font>
    <font>
      <sz val="10"/>
      <color rgb="FFC00000"/>
      <name val="Calibri"/>
      <family val="2"/>
      <scheme val="minor"/>
    </font>
    <font>
      <i/>
      <sz val="8"/>
      <color rgb="FFFF0000"/>
      <name val="Calibri"/>
      <family val="2"/>
      <scheme val="minor"/>
    </font>
    <font>
      <i/>
      <sz val="12"/>
      <color theme="1"/>
      <name val="Calibri"/>
      <family val="2"/>
      <scheme val="minor"/>
    </font>
    <font>
      <i/>
      <sz val="10"/>
      <color indexed="8"/>
      <name val="Times New Roman"/>
      <family val="1"/>
    </font>
    <font>
      <i/>
      <sz val="10"/>
      <color rgb="FFC00000"/>
      <name val="Times New Roman"/>
      <family val="1"/>
    </font>
    <font>
      <u/>
      <sz val="10"/>
      <color indexed="8"/>
      <name val="Times New Roman"/>
      <family val="1"/>
    </font>
    <font>
      <u/>
      <sz val="9"/>
      <color theme="1"/>
      <name val="Calibri"/>
      <family val="2"/>
      <scheme val="minor"/>
    </font>
    <font>
      <b/>
      <sz val="8"/>
      <color theme="1"/>
      <name val="Calibri"/>
      <family val="2"/>
      <scheme val="minor"/>
    </font>
    <font>
      <u/>
      <sz val="8"/>
      <color rgb="FFFF0000"/>
      <name val="Calibri"/>
      <family val="2"/>
      <scheme val="minor"/>
    </font>
    <font>
      <b/>
      <sz val="9"/>
      <color rgb="FF2A7443"/>
      <name val="Calibri"/>
      <family val="2"/>
      <scheme val="minor"/>
    </font>
    <font>
      <u/>
      <sz val="10"/>
      <color rgb="FFFF0000"/>
      <name val="Calibri"/>
      <family val="2"/>
      <scheme val="minor"/>
    </font>
    <font>
      <sz val="8"/>
      <color rgb="FFC00000"/>
      <name val="Calibri"/>
      <family val="2"/>
      <scheme val="minor"/>
    </font>
    <font>
      <i/>
      <sz val="9"/>
      <color theme="1"/>
      <name val="Calibri"/>
      <family val="2"/>
      <scheme val="minor"/>
    </font>
    <font>
      <b/>
      <sz val="9"/>
      <color theme="6" tint="-0.249977111117893"/>
      <name val="Calibri"/>
      <family val="2"/>
      <scheme val="minor"/>
    </font>
    <font>
      <b/>
      <i/>
      <sz val="11"/>
      <name val="Calibri"/>
      <family val="2"/>
      <scheme val="minor"/>
    </font>
    <font>
      <b/>
      <i/>
      <sz val="11"/>
      <color rgb="FFC00000"/>
      <name val="Calibri"/>
      <family val="2"/>
      <scheme val="minor"/>
    </font>
    <font>
      <u/>
      <sz val="11"/>
      <color theme="1"/>
      <name val="Calibri"/>
      <family val="2"/>
      <scheme val="minor"/>
    </font>
    <font>
      <i/>
      <sz val="8"/>
      <color theme="1"/>
      <name val="Calibri"/>
      <family val="2"/>
      <scheme val="minor"/>
    </font>
    <font>
      <i/>
      <sz val="10"/>
      <color rgb="FFFF0000"/>
      <name val="Calibri"/>
      <family val="2"/>
      <scheme val="minor"/>
    </font>
    <font>
      <b/>
      <sz val="9"/>
      <color rgb="FFFF0000"/>
      <name val="Arial"/>
      <family val="2"/>
    </font>
    <font>
      <b/>
      <sz val="10"/>
      <name val="Arial"/>
      <family val="2"/>
    </font>
    <font>
      <sz val="11"/>
      <color theme="1"/>
      <name val="Times New Roman"/>
      <family val="1"/>
    </font>
    <font>
      <i/>
      <sz val="10"/>
      <name val="Times New Roman"/>
      <family val="1"/>
    </font>
    <font>
      <i/>
      <sz val="8"/>
      <name val="Arial"/>
      <family val="2"/>
    </font>
    <font>
      <b/>
      <sz val="11"/>
      <color theme="1"/>
      <name val="Times New Roman"/>
      <family val="1"/>
    </font>
    <font>
      <u/>
      <sz val="11"/>
      <color rgb="FFC00000"/>
      <name val="Calibri"/>
      <family val="2"/>
      <scheme val="minor"/>
    </font>
    <font>
      <i/>
      <sz val="11"/>
      <color rgb="FFC00000"/>
      <name val="Calibri"/>
      <family val="2"/>
      <scheme val="minor"/>
    </font>
    <font>
      <i/>
      <u/>
      <sz val="11"/>
      <color rgb="FFC00000"/>
      <name val="Calibri"/>
      <family val="2"/>
      <scheme val="minor"/>
    </font>
    <font>
      <sz val="11"/>
      <color rgb="FF0070C0"/>
      <name val="Calibri"/>
      <family val="2"/>
      <scheme val="minor"/>
    </font>
    <font>
      <i/>
      <sz val="11"/>
      <color rgb="FF00B050"/>
      <name val="Calibri"/>
      <family val="2"/>
      <scheme val="minor"/>
    </font>
    <font>
      <sz val="8"/>
      <color indexed="81"/>
      <name val="Tahoma"/>
      <family val="2"/>
    </font>
    <font>
      <i/>
      <sz val="10"/>
      <color theme="1"/>
      <name val="Calibri"/>
      <family val="2"/>
      <scheme val="minor"/>
    </font>
    <font>
      <sz val="11"/>
      <color rgb="FF000000"/>
      <name val="Times New Roman"/>
      <family val="1"/>
    </font>
    <font>
      <sz val="10"/>
      <color indexed="8"/>
      <name val="Arial"/>
      <family val="2"/>
    </font>
    <font>
      <i/>
      <sz val="9"/>
      <color rgb="FFFF0000"/>
      <name val="Calibri"/>
      <family val="2"/>
      <scheme val="minor"/>
    </font>
    <font>
      <b/>
      <u/>
      <sz val="9"/>
      <name val="Calibri"/>
      <family val="2"/>
      <scheme val="minor"/>
    </font>
    <font>
      <b/>
      <sz val="8"/>
      <name val="Times New Roman"/>
      <family val="1"/>
    </font>
    <font>
      <b/>
      <sz val="11"/>
      <name val="Calibri"/>
      <family val="2"/>
    </font>
    <font>
      <sz val="11"/>
      <name val="Calibri"/>
      <family val="2"/>
    </font>
    <font>
      <b/>
      <sz val="11"/>
      <color rgb="FF000000"/>
      <name val="Calibri"/>
      <family val="2"/>
    </font>
    <font>
      <b/>
      <sz val="10"/>
      <color theme="1"/>
      <name val="Times New Roman"/>
      <family val="1"/>
    </font>
    <font>
      <b/>
      <sz val="8"/>
      <color rgb="FF000000"/>
      <name val="Calibri"/>
      <family val="2"/>
    </font>
    <font>
      <b/>
      <sz val="10"/>
      <color rgb="FF000000"/>
      <name val="Calibri"/>
      <family val="2"/>
    </font>
    <font>
      <b/>
      <sz val="8"/>
      <color rgb="FFC00000"/>
      <name val="Calibri"/>
      <family val="2"/>
      <scheme val="minor"/>
    </font>
    <font>
      <sz val="8"/>
      <color rgb="FFC00000"/>
      <name val="Calibri"/>
      <family val="2"/>
    </font>
    <font>
      <sz val="8"/>
      <color rgb="FF0070C0"/>
      <name val="Calibri"/>
      <family val="2"/>
      <scheme val="minor"/>
    </font>
    <font>
      <b/>
      <sz val="9"/>
      <color rgb="FF0070C0"/>
      <name val="Calibri"/>
      <family val="2"/>
      <scheme val="minor"/>
    </font>
    <font>
      <b/>
      <sz val="8"/>
      <color theme="9" tint="-0.499984740745262"/>
      <name val="Calibri"/>
      <family val="2"/>
      <scheme val="minor"/>
    </font>
    <font>
      <b/>
      <sz val="9"/>
      <color theme="9" tint="-0.499984740745262"/>
      <name val="Calibri"/>
      <family val="2"/>
      <scheme val="minor"/>
    </font>
    <font>
      <sz val="9"/>
      <color indexed="81"/>
      <name val="Symbol"/>
      <family val="1"/>
      <charset val="2"/>
    </font>
    <font>
      <b/>
      <sz val="12"/>
      <color rgb="FFFF0000"/>
      <name val="Calibri"/>
      <family val="2"/>
      <scheme val="minor"/>
    </font>
    <font>
      <sz val="11"/>
      <color rgb="FFFF0000"/>
      <name val="Calibri"/>
      <family val="2"/>
    </font>
    <font>
      <sz val="11"/>
      <color rgb="FF000000"/>
      <name val="Cambria"/>
      <family val="1"/>
    </font>
    <font>
      <sz val="9"/>
      <name val="Calibri"/>
      <family val="2"/>
    </font>
    <font>
      <sz val="9"/>
      <color rgb="FF000000"/>
      <name val="Calibri"/>
      <family val="2"/>
    </font>
    <font>
      <sz val="10"/>
      <color rgb="FF000000"/>
      <name val="Calibri"/>
      <family val="2"/>
    </font>
    <font>
      <b/>
      <sz val="9"/>
      <color rgb="FF000000"/>
      <name val="Tahoma"/>
      <family val="2"/>
    </font>
    <font>
      <sz val="9"/>
      <color rgb="FF000000"/>
      <name val="Tahoma"/>
      <family val="2"/>
    </font>
    <font>
      <sz val="11"/>
      <color indexed="8"/>
      <name val="Calibri"/>
      <family val="2"/>
    </font>
    <font>
      <sz val="11"/>
      <color indexed="9"/>
      <name val="Calibri"/>
      <family val="2"/>
    </font>
    <font>
      <b/>
      <sz val="11"/>
      <color indexed="8"/>
      <name val="Calibri"/>
      <family val="2"/>
    </font>
    <font>
      <sz val="12"/>
      <name val="Arial MT"/>
    </font>
    <font>
      <sz val="11"/>
      <name val="Times New Roman"/>
      <family val="1"/>
    </font>
    <font>
      <b/>
      <sz val="18"/>
      <color indexed="62"/>
      <name val="Cambria"/>
      <family val="2"/>
    </font>
    <font>
      <sz val="8"/>
      <color rgb="FF000000"/>
      <name val="Calibri"/>
      <family val="2"/>
    </font>
    <font>
      <b/>
      <sz val="9"/>
      <color rgb="FFC00000"/>
      <name val="Calibri"/>
      <family val="2"/>
      <scheme val="minor"/>
    </font>
    <font>
      <i/>
      <sz val="10"/>
      <color rgb="FF00B0F0"/>
      <name val="Calibri"/>
      <family val="2"/>
      <scheme val="minor"/>
    </font>
    <font>
      <b/>
      <sz val="11"/>
      <color rgb="FF0070C0"/>
      <name val="Calibri"/>
      <family val="2"/>
      <scheme val="minor"/>
    </font>
    <font>
      <u/>
      <sz val="10"/>
      <color rgb="FF0070C0"/>
      <name val="Calibri"/>
      <family val="2"/>
      <scheme val="minor"/>
    </font>
    <font>
      <sz val="10"/>
      <color rgb="FF0070C0"/>
      <name val="Calibri"/>
      <family val="2"/>
      <scheme val="minor"/>
    </font>
    <font>
      <b/>
      <u/>
      <sz val="12"/>
      <color rgb="FFFF0000"/>
      <name val="Calibri"/>
      <family val="2"/>
      <scheme val="minor"/>
    </font>
    <font>
      <sz val="10"/>
      <name val="Arial"/>
      <family val="2"/>
    </font>
    <font>
      <i/>
      <sz val="11"/>
      <color rgb="FFFF0000"/>
      <name val="Calibri"/>
      <family val="2"/>
      <scheme val="minor"/>
    </font>
    <font>
      <i/>
      <sz val="9"/>
      <color rgb="FFC00000"/>
      <name val="Calibri"/>
      <family val="2"/>
      <scheme val="minor"/>
    </font>
    <font>
      <i/>
      <sz val="8"/>
      <color rgb="FFC00000"/>
      <name val="Calibri"/>
      <family val="2"/>
      <scheme val="minor"/>
    </font>
    <font>
      <sz val="13"/>
      <color indexed="81"/>
      <name val="Tahoma"/>
      <family val="2"/>
    </font>
    <font>
      <strike/>
      <sz val="11"/>
      <color theme="1"/>
      <name val="Calibri"/>
      <family val="2"/>
      <scheme val="minor"/>
    </font>
    <font>
      <sz val="10"/>
      <color rgb="FFFF0000"/>
      <name val="Times New Roman"/>
      <family val="1"/>
    </font>
    <font>
      <b/>
      <sz val="13"/>
      <color indexed="81"/>
      <name val="Tahoma"/>
      <family val="2"/>
    </font>
    <font>
      <sz val="10"/>
      <color indexed="81"/>
      <name val="Tahoma"/>
      <family val="2"/>
    </font>
    <font>
      <u/>
      <sz val="9"/>
      <color rgb="FFFF0000"/>
      <name val="Calibri"/>
      <family val="2"/>
      <scheme val="minor"/>
    </font>
    <font>
      <u/>
      <sz val="10"/>
      <name val="Calibri"/>
      <family val="2"/>
      <scheme val="minor"/>
    </font>
    <font>
      <b/>
      <u/>
      <sz val="11"/>
      <color rgb="FF002060"/>
      <name val="Calibri"/>
      <family val="2"/>
    </font>
    <font>
      <b/>
      <sz val="8"/>
      <color rgb="FF0070C0"/>
      <name val="Calibri"/>
      <family val="2"/>
      <scheme val="minor"/>
    </font>
    <font>
      <b/>
      <u/>
      <sz val="9"/>
      <color theme="1"/>
      <name val="Calibri"/>
      <family val="2"/>
      <scheme val="minor"/>
    </font>
    <font>
      <b/>
      <u/>
      <sz val="12"/>
      <color theme="1"/>
      <name val="Calibri"/>
      <family val="2"/>
      <scheme val="minor"/>
    </font>
    <font>
      <b/>
      <sz val="14"/>
      <color rgb="FF0070C0"/>
      <name val="Calibri"/>
      <family val="2"/>
      <scheme val="minor"/>
    </font>
    <font>
      <b/>
      <sz val="11"/>
      <color theme="4"/>
      <name val="Calibri"/>
      <family val="2"/>
    </font>
    <font>
      <sz val="11"/>
      <color theme="4"/>
      <name val="Calibri"/>
      <family val="2"/>
    </font>
    <font>
      <b/>
      <sz val="11"/>
      <color rgb="FF00B0F0"/>
      <name val="Calibri"/>
      <family val="2"/>
      <scheme val="minor"/>
    </font>
    <font>
      <sz val="11"/>
      <color rgb="FF00B0F0"/>
      <name val="Calibri"/>
      <family val="2"/>
      <scheme val="minor"/>
    </font>
    <font>
      <sz val="10"/>
      <color theme="9" tint="-0.249977111117893"/>
      <name val="Calibri"/>
      <family val="2"/>
      <scheme val="minor"/>
    </font>
    <font>
      <b/>
      <sz val="11"/>
      <color rgb="FFFF0000"/>
      <name val="Calibri"/>
      <family val="2"/>
    </font>
    <font>
      <b/>
      <sz val="9"/>
      <color rgb="FFFF0000"/>
      <name val="Calibri"/>
      <family val="2"/>
    </font>
    <font>
      <b/>
      <sz val="10"/>
      <color rgb="FFFF0000"/>
      <name val="Calibri"/>
      <family val="2"/>
    </font>
    <font>
      <b/>
      <sz val="10"/>
      <color rgb="FFC00000"/>
      <name val="Calibri"/>
      <family val="2"/>
    </font>
    <font>
      <b/>
      <sz val="8"/>
      <color rgb="FFFF0000"/>
      <name val="Calibri"/>
      <family val="2"/>
    </font>
    <font>
      <i/>
      <sz val="10"/>
      <name val="Calibri"/>
      <family val="2"/>
      <scheme val="minor"/>
    </font>
    <font>
      <b/>
      <sz val="10"/>
      <color indexed="8"/>
      <name val="Calibri"/>
      <family val="2"/>
      <scheme val="minor"/>
    </font>
    <font>
      <sz val="9"/>
      <color rgb="FFFF0000"/>
      <name val="Calibri"/>
      <family val="2"/>
    </font>
    <font>
      <sz val="11"/>
      <color rgb="FFC00000"/>
      <name val="Calibri"/>
      <family val="2"/>
    </font>
    <font>
      <b/>
      <u/>
      <sz val="9"/>
      <color rgb="FFFF0000"/>
      <name val="Calibri"/>
      <family val="2"/>
      <scheme val="minor"/>
    </font>
    <font>
      <sz val="11"/>
      <color rgb="FFC00000"/>
      <name val="Times New Roman"/>
      <family val="1"/>
    </font>
    <font>
      <b/>
      <sz val="11"/>
      <color rgb="FF7030A0"/>
      <name val="Calibri"/>
      <family val="2"/>
      <scheme val="minor"/>
    </font>
    <font>
      <sz val="11"/>
      <color rgb="FF7030A0"/>
      <name val="Calibri"/>
      <family val="2"/>
      <scheme val="minor"/>
    </font>
    <font>
      <b/>
      <sz val="10"/>
      <color rgb="FFC00000"/>
      <name val="Calibri"/>
      <family val="2"/>
      <scheme val="minor"/>
    </font>
    <font>
      <b/>
      <u/>
      <sz val="8"/>
      <name val="Calibri"/>
      <family val="2"/>
      <scheme val="minor"/>
    </font>
    <font>
      <b/>
      <u/>
      <sz val="8"/>
      <color rgb="FFC00000"/>
      <name val="Calibri"/>
      <family val="2"/>
      <scheme val="minor"/>
    </font>
    <font>
      <b/>
      <u/>
      <sz val="10"/>
      <color rgb="FFC00000"/>
      <name val="Calibri"/>
      <family val="2"/>
      <scheme val="minor"/>
    </font>
    <font>
      <b/>
      <sz val="9"/>
      <color rgb="FFC00000"/>
      <name val="Arial"/>
      <family val="2"/>
    </font>
    <font>
      <sz val="9"/>
      <color rgb="FFC00000"/>
      <name val="Arial"/>
      <family val="2"/>
    </font>
    <font>
      <sz val="12"/>
      <color rgb="FFC00000"/>
      <name val="Calibri"/>
      <family val="2"/>
      <scheme val="minor"/>
    </font>
    <font>
      <b/>
      <sz val="11"/>
      <color rgb="FFC00000"/>
      <name val="Calibri"/>
      <family val="2"/>
    </font>
    <font>
      <i/>
      <sz val="10"/>
      <color rgb="FFC00000"/>
      <name val="Calibri"/>
      <family val="2"/>
      <scheme val="minor"/>
    </font>
    <font>
      <b/>
      <sz val="9"/>
      <color rgb="FFC00000"/>
      <name val="Calibri"/>
      <family val="2"/>
    </font>
    <font>
      <b/>
      <sz val="8"/>
      <color rgb="FFC00000"/>
      <name val="Calibri"/>
      <family val="2"/>
    </font>
    <font>
      <b/>
      <i/>
      <sz val="9"/>
      <color rgb="FFC00000"/>
      <name val="Calibri"/>
      <family val="2"/>
    </font>
    <font>
      <sz val="10"/>
      <color theme="3" tint="0.59999389629810485"/>
      <name val="Calibri"/>
      <family val="2"/>
      <scheme val="minor"/>
    </font>
    <font>
      <i/>
      <sz val="9"/>
      <color rgb="FF00B050"/>
      <name val="Calibri"/>
      <family val="2"/>
      <scheme val="minor"/>
    </font>
    <font>
      <sz val="10"/>
      <color rgb="FFC00000"/>
      <name val="Calibri"/>
      <family val="2"/>
    </font>
    <font>
      <b/>
      <sz val="11"/>
      <color rgb="FFFF0000"/>
      <name val="Times New Roman"/>
      <family val="1"/>
    </font>
    <font>
      <b/>
      <i/>
      <sz val="11"/>
      <color rgb="FFFF0000"/>
      <name val="Times New Roman"/>
      <family val="1"/>
    </font>
    <font>
      <b/>
      <sz val="8"/>
      <color rgb="FFC00000"/>
      <name val="Bahnschrift"/>
      <family val="2"/>
    </font>
    <font>
      <sz val="8"/>
      <color theme="1"/>
      <name val="Bahnschrift"/>
      <family val="2"/>
    </font>
    <font>
      <sz val="11"/>
      <color theme="1"/>
      <name val="Bahnschrift"/>
      <family val="2"/>
    </font>
    <font>
      <sz val="8"/>
      <color rgb="FFC00000"/>
      <name val="Bahnschrift"/>
      <family val="2"/>
    </font>
    <font>
      <sz val="9"/>
      <color theme="1"/>
      <name val="Bahnschrift"/>
      <family val="2"/>
    </font>
    <font>
      <sz val="9"/>
      <color rgb="FFFF0000"/>
      <name val="Bahnschrift"/>
      <family val="2"/>
    </font>
    <font>
      <b/>
      <sz val="11"/>
      <color theme="1"/>
      <name val="Bahnschrift"/>
      <family val="2"/>
    </font>
    <font>
      <sz val="8"/>
      <name val="Bahnschrift"/>
      <family val="2"/>
    </font>
    <font>
      <u/>
      <sz val="8"/>
      <color theme="1"/>
      <name val="Calibri"/>
      <family val="2"/>
      <scheme val="minor"/>
    </font>
    <font>
      <sz val="8"/>
      <color rgb="FFC00000"/>
      <name val="Aptos Narrow"/>
      <family val="2"/>
    </font>
    <font>
      <i/>
      <sz val="8"/>
      <color rgb="FF0070C0"/>
      <name val="Calibri"/>
      <family val="2"/>
      <scheme val="minor"/>
    </font>
    <font>
      <sz val="8"/>
      <color theme="6" tint="-0.499984740745262"/>
      <name val="Calibri"/>
      <family val="2"/>
      <scheme val="minor"/>
    </font>
    <font>
      <sz val="9"/>
      <name val="Aptos Narrow"/>
      <family val="2"/>
    </font>
    <font>
      <b/>
      <sz val="9"/>
      <color rgb="FFC00000"/>
      <name val="Bahnschrift"/>
      <family val="2"/>
    </font>
    <font>
      <sz val="11"/>
      <color rgb="FFC00000"/>
      <name val="Bahnschrift"/>
      <family val="2"/>
    </font>
    <font>
      <b/>
      <i/>
      <u/>
      <sz val="9"/>
      <color rgb="FF0070C0"/>
      <name val="Calibri"/>
      <family val="2"/>
      <scheme val="minor"/>
    </font>
    <font>
      <b/>
      <i/>
      <sz val="9"/>
      <color rgb="FF0070C0"/>
      <name val="Calibri"/>
      <family val="2"/>
      <scheme val="minor"/>
    </font>
    <font>
      <b/>
      <i/>
      <sz val="8"/>
      <color rgb="FF0070C0"/>
      <name val="Calibri"/>
      <family val="2"/>
    </font>
    <font>
      <b/>
      <sz val="10"/>
      <color theme="1"/>
      <name val="Gill Sans MT"/>
      <family val="2"/>
    </font>
    <font>
      <b/>
      <sz val="8"/>
      <color rgb="FFC00000"/>
      <name val="Arial"/>
      <family val="2"/>
    </font>
    <font>
      <sz val="8"/>
      <color indexed="8"/>
      <name val="Calibri"/>
      <family val="2"/>
      <scheme val="minor"/>
    </font>
    <font>
      <u/>
      <sz val="10"/>
      <color rgb="FFC00000"/>
      <name val="Calibri"/>
      <family val="2"/>
      <scheme val="minor"/>
    </font>
    <font>
      <u/>
      <sz val="9"/>
      <color rgb="FFC00000"/>
      <name val="Calibri"/>
      <family val="2"/>
      <scheme val="minor"/>
    </font>
    <font>
      <b/>
      <sz val="9"/>
      <color rgb="FFC00000"/>
      <name val="Times New Roman"/>
      <family val="1"/>
    </font>
    <font>
      <b/>
      <u/>
      <sz val="9"/>
      <color rgb="FFC00000"/>
      <name val="Calibri"/>
      <family val="2"/>
      <scheme val="minor"/>
    </font>
    <font>
      <sz val="8"/>
      <color rgb="FFC00000"/>
      <name val="Times New Roman"/>
      <family val="1"/>
    </font>
    <font>
      <b/>
      <u/>
      <sz val="12"/>
      <color rgb="FFC00000"/>
      <name val="Calibri"/>
      <family val="2"/>
      <scheme val="minor"/>
    </font>
    <font>
      <b/>
      <sz val="11"/>
      <color rgb="FFC00000"/>
      <name val="Times New Roman"/>
      <family val="1"/>
    </font>
    <font>
      <sz val="11"/>
      <color rgb="FFA20000"/>
      <name val="Calibri"/>
      <family val="2"/>
      <scheme val="minor"/>
    </font>
    <font>
      <b/>
      <sz val="9"/>
      <color theme="1"/>
      <name val="Arial"/>
      <family val="2"/>
    </font>
    <font>
      <sz val="8"/>
      <color rgb="FF7030A0"/>
      <name val="Calibri"/>
      <family val="2"/>
      <scheme val="minor"/>
    </font>
    <font>
      <sz val="9"/>
      <color rgb="FF7030A0"/>
      <name val="Calibri"/>
      <family val="2"/>
      <scheme val="minor"/>
    </font>
    <font>
      <i/>
      <sz val="8"/>
      <color rgb="FF7030A0"/>
      <name val="Calibri"/>
      <family val="2"/>
      <scheme val="minor"/>
    </font>
    <font>
      <u/>
      <sz val="9"/>
      <color indexed="12"/>
      <name val="Arial"/>
      <family val="2"/>
    </font>
    <font>
      <i/>
      <sz val="9"/>
      <color rgb="FF0070C0"/>
      <name val="Calibri"/>
      <family val="2"/>
      <scheme val="minor"/>
    </font>
    <font>
      <b/>
      <sz val="12"/>
      <color rgb="FFC00000"/>
      <name val="Bahnschrift"/>
      <family val="2"/>
    </font>
    <font>
      <b/>
      <sz val="14"/>
      <color rgb="FFC00000"/>
      <name val="Bahnschrift"/>
      <family val="2"/>
    </font>
    <font>
      <b/>
      <sz val="11"/>
      <color theme="3"/>
      <name val="Calibri"/>
      <family val="2"/>
      <scheme val="minor"/>
    </font>
    <font>
      <b/>
      <sz val="9"/>
      <color theme="1"/>
      <name val="Bahnschrift"/>
      <family val="2"/>
    </font>
    <font>
      <b/>
      <sz val="11"/>
      <color theme="6" tint="-0.499984740745262"/>
      <name val="Bahnschrift"/>
      <family val="2"/>
    </font>
    <font>
      <sz val="9"/>
      <name val="Bahnschrift"/>
      <family val="2"/>
    </font>
    <font>
      <i/>
      <sz val="11"/>
      <color rgb="FFFF0000"/>
      <name val="Calibri"/>
      <family val="2"/>
    </font>
    <font>
      <b/>
      <sz val="10"/>
      <color rgb="FFFF0000"/>
      <name val="Times New Roman"/>
      <family val="1"/>
    </font>
    <font>
      <b/>
      <i/>
      <sz val="10"/>
      <color rgb="FFFF0000"/>
      <name val="Times New Roman"/>
      <family val="1"/>
    </font>
    <font>
      <i/>
      <sz val="9"/>
      <color rgb="FFC00000"/>
      <name val="Calibri"/>
      <family val="2"/>
    </font>
    <font>
      <i/>
      <sz val="8"/>
      <color rgb="FFC00000"/>
      <name val="Calibri"/>
      <family val="2"/>
    </font>
    <font>
      <strike/>
      <sz val="8"/>
      <color theme="1"/>
      <name val="Calibri"/>
      <family val="2"/>
      <scheme val="minor"/>
    </font>
    <font>
      <b/>
      <strike/>
      <sz val="11"/>
      <color theme="1"/>
      <name val="Calibri"/>
      <family val="2"/>
      <scheme val="minor"/>
    </font>
    <font>
      <strike/>
      <sz val="11"/>
      <name val="Calibri"/>
      <family val="2"/>
      <scheme val="minor"/>
    </font>
    <font>
      <strike/>
      <sz val="10"/>
      <color theme="1"/>
      <name val="Calibri"/>
      <family val="2"/>
      <scheme val="minor"/>
    </font>
    <font>
      <b/>
      <u/>
      <sz val="12"/>
      <name val="Bahnschrift"/>
      <family val="2"/>
    </font>
    <font>
      <sz val="12"/>
      <name val="Bahnschrift"/>
      <family val="2"/>
    </font>
    <font>
      <b/>
      <sz val="11"/>
      <name val="Bahnschrift"/>
      <family val="2"/>
    </font>
    <font>
      <sz val="11"/>
      <name val="Bahnschrift"/>
      <family val="2"/>
    </font>
    <font>
      <sz val="11"/>
      <color rgb="FFFF0000"/>
      <name val="Bahnschrift"/>
      <family val="2"/>
    </font>
    <font>
      <sz val="8"/>
      <color rgb="FFFF0000"/>
      <name val="Bahnschrift"/>
      <family val="2"/>
    </font>
    <font>
      <sz val="10"/>
      <name val="Bahnschrift"/>
      <family val="2"/>
    </font>
    <font>
      <sz val="10"/>
      <color theme="1"/>
      <name val="Times New Roman"/>
      <family val="1"/>
    </font>
    <font>
      <b/>
      <sz val="8"/>
      <color theme="1"/>
      <name val="Times New Roman"/>
      <family val="1"/>
    </font>
    <font>
      <sz val="8"/>
      <color theme="1"/>
      <name val="Times New Roman"/>
      <family val="1"/>
    </font>
    <font>
      <b/>
      <sz val="11"/>
      <color rgb="FF000000"/>
      <name val="Bahnschrift"/>
      <family val="2"/>
    </font>
    <font>
      <sz val="11"/>
      <color rgb="FF000000"/>
      <name val="Bahnschrift"/>
      <family val="2"/>
    </font>
    <font>
      <i/>
      <sz val="10"/>
      <color rgb="FF000000"/>
      <name val="Bahnschrift"/>
      <family val="2"/>
    </font>
    <font>
      <b/>
      <sz val="11"/>
      <color indexed="8"/>
      <name val="Bahnschrift"/>
      <family val="2"/>
    </font>
    <font>
      <sz val="11"/>
      <color indexed="8"/>
      <name val="Bahnschrift"/>
      <family val="2"/>
    </font>
    <font>
      <i/>
      <sz val="10"/>
      <color indexed="8"/>
      <name val="Bahnschrift"/>
      <family val="2"/>
    </font>
    <font>
      <i/>
      <sz val="10"/>
      <name val="Bahnschrift"/>
      <family val="2"/>
    </font>
    <font>
      <sz val="10"/>
      <color theme="1"/>
      <name val="Aptos"/>
      <family val="2"/>
    </font>
    <font>
      <b/>
      <sz val="10"/>
      <color rgb="FF2A7443"/>
      <name val="Calibri"/>
      <family val="2"/>
      <scheme val="minor"/>
    </font>
    <font>
      <b/>
      <sz val="11"/>
      <color rgb="FFFF0000"/>
      <name val="Bahnschrift"/>
      <family val="2"/>
    </font>
    <font>
      <b/>
      <sz val="11"/>
      <color rgb="FF00B0F0"/>
      <name val="Bahnschrift"/>
      <family val="2"/>
    </font>
    <font>
      <b/>
      <i/>
      <sz val="10"/>
      <color theme="3" tint="0.59999389629810485"/>
      <name val="Bahnschrift"/>
      <family val="2"/>
    </font>
    <font>
      <b/>
      <sz val="11"/>
      <color rgb="FFC00000"/>
      <name val="Bahnschrift"/>
      <family val="2"/>
    </font>
    <font>
      <b/>
      <i/>
      <sz val="11"/>
      <name val="Bahnschrift"/>
      <family val="2"/>
    </font>
    <font>
      <b/>
      <i/>
      <sz val="11"/>
      <color rgb="FFC00000"/>
      <name val="Bahnschrift"/>
      <family val="2"/>
    </font>
    <font>
      <b/>
      <sz val="8"/>
      <color rgb="FF501000"/>
      <name val="Calibri"/>
      <family val="2"/>
      <scheme val="minor"/>
    </font>
    <font>
      <sz val="11"/>
      <color rgb="FF7030A0"/>
      <name val="Times New Roman"/>
      <family val="1"/>
    </font>
    <font>
      <sz val="10"/>
      <color rgb="FF7030A0"/>
      <name val="Calibri"/>
      <family val="2"/>
      <scheme val="minor"/>
    </font>
    <font>
      <b/>
      <sz val="10"/>
      <color rgb="FF7030A0"/>
      <name val="Bahnschrift"/>
      <family val="2"/>
    </font>
    <font>
      <b/>
      <sz val="8"/>
      <name val="Bahnschrift"/>
      <family val="2"/>
    </font>
    <font>
      <b/>
      <sz val="8"/>
      <color theme="1"/>
      <name val="Bahnschrift"/>
      <family val="2"/>
    </font>
    <font>
      <b/>
      <sz val="8"/>
      <color indexed="8"/>
      <name val="Bahnschrift"/>
      <family val="2"/>
    </font>
    <font>
      <sz val="8"/>
      <color indexed="8"/>
      <name val="Bahnschrift"/>
      <family val="2"/>
    </font>
    <font>
      <b/>
      <sz val="9"/>
      <name val="Bahnschrift"/>
      <family val="2"/>
    </font>
    <font>
      <b/>
      <sz val="12"/>
      <name val="Cambria"/>
      <family val="1"/>
    </font>
    <font>
      <b/>
      <sz val="10"/>
      <name val="Cambria"/>
      <family val="1"/>
    </font>
    <font>
      <b/>
      <sz val="14"/>
      <name val="Cambria"/>
      <family val="1"/>
    </font>
    <font>
      <sz val="10"/>
      <color indexed="8"/>
      <name val="Cambria"/>
      <family val="1"/>
    </font>
    <font>
      <sz val="10"/>
      <name val="Cambria"/>
      <family val="1"/>
    </font>
    <font>
      <sz val="10"/>
      <color rgb="FFFF0000"/>
      <name val="Cambria"/>
      <family val="1"/>
    </font>
    <font>
      <b/>
      <sz val="10"/>
      <color rgb="FFFF0000"/>
      <name val="Cambria"/>
      <family val="1"/>
    </font>
  </fonts>
  <fills count="92">
    <fill>
      <patternFill patternType="none"/>
    </fill>
    <fill>
      <patternFill patternType="gray125"/>
    </fill>
    <fill>
      <patternFill patternType="solid">
        <fgColor rgb="FFFDE4CF"/>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BF9C9"/>
        <bgColor indexed="64"/>
      </patternFill>
    </fill>
    <fill>
      <patternFill patternType="solid">
        <fgColor rgb="FFA7B5CD"/>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CC"/>
        <bgColor indexed="64"/>
      </patternFill>
    </fill>
    <fill>
      <patternFill patternType="solid">
        <fgColor theme="5" tint="0.59999389629810485"/>
        <bgColor indexed="64"/>
      </patternFill>
    </fill>
    <fill>
      <patternFill patternType="solid">
        <fgColor rgb="FFFFFFEB"/>
        <bgColor indexed="64"/>
      </patternFill>
    </fill>
    <fill>
      <patternFill patternType="solid">
        <fgColor rgb="FFEEEAF2"/>
        <bgColor indexed="64"/>
      </patternFill>
    </fill>
    <fill>
      <patternFill patternType="solid">
        <fgColor rgb="FFDFDBC7"/>
        <bgColor indexed="64"/>
      </patternFill>
    </fill>
    <fill>
      <patternFill patternType="solid">
        <fgColor rgb="FFFFC000"/>
        <bgColor indexed="64"/>
      </patternFill>
    </fill>
    <fill>
      <patternFill patternType="solid">
        <fgColor rgb="FFFDE9D9"/>
        <bgColor rgb="FF000000"/>
      </patternFill>
    </fill>
    <fill>
      <patternFill patternType="solid">
        <fgColor rgb="FFFFFFEF"/>
        <bgColor indexed="64"/>
      </patternFill>
    </fill>
    <fill>
      <patternFill patternType="solid">
        <fgColor rgb="FFF3F1E9"/>
        <bgColor indexed="64"/>
      </patternFill>
    </fill>
    <fill>
      <patternFill patternType="solid">
        <fgColor rgb="FFEEECE2"/>
        <bgColor indexed="64"/>
      </patternFill>
    </fill>
    <fill>
      <patternFill patternType="solid">
        <fgColor rgb="FFF6F5EE"/>
        <bgColor indexed="64"/>
      </patternFill>
    </fill>
    <fill>
      <patternFill patternType="solid">
        <fgColor rgb="FFF1EFE7"/>
        <bgColor indexed="64"/>
      </patternFill>
    </fill>
    <fill>
      <patternFill patternType="solid">
        <fgColor rgb="FFEBF1DE"/>
        <bgColor rgb="FF000000"/>
      </patternFill>
    </fill>
    <fill>
      <patternFill patternType="solid">
        <fgColor rgb="FFFFFFCC"/>
        <bgColor rgb="FF000000"/>
      </patternFill>
    </fill>
    <fill>
      <patternFill patternType="solid">
        <fgColor theme="8" tint="0.79998168889431442"/>
        <bgColor indexed="64"/>
      </patternFill>
    </fill>
    <fill>
      <patternFill patternType="solid">
        <fgColor theme="0" tint="-0.34998626667073579"/>
        <bgColor indexed="64"/>
      </patternFill>
    </fill>
    <fill>
      <patternFill patternType="solid">
        <fgColor theme="6"/>
        <bgColor indexed="64"/>
      </patternFill>
    </fill>
    <fill>
      <patternFill patternType="solid">
        <fgColor theme="6"/>
        <bgColor rgb="FF000000"/>
      </patternFill>
    </fill>
    <fill>
      <patternFill patternType="solid">
        <fgColor rgb="FFE7F4D8"/>
        <bgColor indexed="64"/>
      </patternFill>
    </fill>
    <fill>
      <patternFill patternType="solid">
        <fgColor theme="0" tint="-0.249977111117893"/>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rgb="FFC5FFC1"/>
        <bgColor rgb="FF000000"/>
      </patternFill>
    </fill>
    <fill>
      <patternFill patternType="solid">
        <fgColor rgb="FFE8F5F8"/>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FFFF00"/>
        <bgColor rgb="FF000000"/>
      </patternFill>
    </fill>
    <fill>
      <patternFill patternType="solid">
        <fgColor rgb="FFDCE6F1"/>
        <bgColor rgb="FF000000"/>
      </patternFill>
    </fill>
    <fill>
      <patternFill patternType="solid">
        <fgColor rgb="FFF1F5E7"/>
        <bgColor indexed="64"/>
      </patternFill>
    </fill>
    <fill>
      <patternFill patternType="solid">
        <fgColor rgb="FFF4F3EC"/>
        <bgColor indexed="64"/>
      </patternFill>
    </fill>
    <fill>
      <patternFill patternType="solid">
        <fgColor theme="0"/>
        <bgColor indexed="64"/>
      </patternFill>
    </fill>
    <fill>
      <patternFill patternType="solid">
        <fgColor rgb="FFFFFFB7"/>
        <bgColor indexed="64"/>
      </patternFill>
    </fill>
    <fill>
      <patternFill patternType="solid">
        <fgColor rgb="FFFFFFC5"/>
        <bgColor indexed="64"/>
      </patternFill>
    </fill>
    <fill>
      <patternFill patternType="solid">
        <fgColor rgb="FFFFFFE7"/>
        <bgColor indexed="64"/>
      </patternFill>
    </fill>
    <fill>
      <patternFill patternType="solid">
        <fgColor theme="0" tint="-0.14996795556505021"/>
        <bgColor indexed="64"/>
      </patternFill>
    </fill>
    <fill>
      <patternFill patternType="solid">
        <fgColor rgb="FF00B050"/>
        <bgColor indexed="64"/>
      </patternFill>
    </fill>
    <fill>
      <patternFill patternType="solid">
        <fgColor theme="2"/>
        <bgColor indexed="64"/>
      </patternFill>
    </fill>
    <fill>
      <patternFill patternType="solid">
        <fgColor rgb="FFE8F5F8"/>
        <bgColor auto="1"/>
      </patternFill>
    </fill>
    <fill>
      <patternFill patternType="solid">
        <fgColor indexed="41"/>
        <bgColor indexed="64"/>
      </patternFill>
    </fill>
    <fill>
      <patternFill patternType="solid">
        <fgColor theme="6" tint="0.39994506668294322"/>
        <bgColor indexed="64"/>
      </patternFill>
    </fill>
    <fill>
      <patternFill patternType="solid">
        <fgColor rgb="FFB3FFFF"/>
        <bgColor indexed="64"/>
      </patternFill>
    </fill>
    <fill>
      <patternFill patternType="solid">
        <fgColor rgb="FFF7F5F9"/>
        <bgColor indexed="64"/>
      </patternFill>
    </fill>
    <fill>
      <patternFill patternType="solid">
        <fgColor theme="7" tint="0.79998168889431442"/>
        <bgColor indexed="64"/>
      </patternFill>
    </fill>
    <fill>
      <patternFill patternType="solid">
        <fgColor rgb="FFB2CCEC"/>
        <bgColor rgb="FF000000"/>
      </patternFill>
    </fill>
    <fill>
      <patternFill patternType="solid">
        <fgColor rgb="FFAFCAEB"/>
        <bgColor rgb="FF000000"/>
      </patternFill>
    </fill>
    <fill>
      <patternFill patternType="solid">
        <fgColor rgb="FFC00000"/>
        <bgColor rgb="FF000000"/>
      </patternFill>
    </fill>
    <fill>
      <patternFill patternType="solid">
        <fgColor rgb="FF8DB4E2"/>
        <bgColor rgb="FF000000"/>
      </patternFill>
    </fill>
    <fill>
      <patternFill patternType="solid">
        <fgColor rgb="FFBFD1E7"/>
        <bgColor rgb="FF000000"/>
      </patternFill>
    </fill>
    <fill>
      <patternFill patternType="solid">
        <fgColor rgb="FFB2CCEC"/>
        <bgColor indexed="64"/>
      </patternFill>
    </fill>
    <fill>
      <patternFill patternType="solid">
        <fgColor rgb="FFFCD3B2"/>
        <bgColor indexed="64"/>
      </patternFill>
    </fill>
    <fill>
      <patternFill patternType="solid">
        <fgColor rgb="FFFBD1AF"/>
        <bgColor indexed="64"/>
      </patternFill>
    </fill>
    <fill>
      <patternFill patternType="solid">
        <fgColor rgb="FFFCD6B6"/>
        <bgColor indexed="64"/>
      </patternFill>
    </fill>
    <fill>
      <patternFill patternType="solid">
        <fgColor rgb="FFDAE0EA"/>
        <bgColor indexed="64"/>
      </patternFill>
    </fill>
    <fill>
      <patternFill patternType="solid">
        <fgColor rgb="FFD5DBE7"/>
        <bgColor indexed="64"/>
      </patternFill>
    </fill>
    <fill>
      <patternFill patternType="solid">
        <fgColor rgb="FFD1D8E5"/>
        <bgColor indexed="64"/>
      </patternFill>
    </fill>
    <fill>
      <patternFill patternType="gray0625">
        <bgColor rgb="FFFFFFCC"/>
      </patternFill>
    </fill>
    <fill>
      <patternFill patternType="solid">
        <fgColor rgb="FFFFE285"/>
        <bgColor indexed="64"/>
      </patternFill>
    </fill>
    <fill>
      <patternFill patternType="gray0625">
        <fgColor rgb="FF000000"/>
        <bgColor rgb="FFFFFFCC"/>
      </patternFill>
    </fill>
    <fill>
      <patternFill patternType="solid">
        <fgColor rgb="FFE8F3E1"/>
        <bgColor indexed="64"/>
      </patternFill>
    </fill>
    <fill>
      <patternFill patternType="solid">
        <fgColor rgb="FFEAF4E4"/>
        <bgColor indexed="64"/>
      </patternFill>
    </fill>
    <fill>
      <patternFill patternType="solid">
        <fgColor rgb="FFD6CDE1"/>
        <bgColor indexed="64"/>
      </patternFill>
    </fill>
    <fill>
      <patternFill patternType="solid">
        <fgColor theme="9" tint="0.59999389629810485"/>
        <bgColor indexed="64"/>
      </patternFill>
    </fill>
    <fill>
      <patternFill patternType="solid">
        <fgColor rgb="FFFF0000"/>
        <bgColor indexed="64"/>
      </patternFill>
    </fill>
    <fill>
      <patternFill patternType="solid">
        <fgColor rgb="FFFFCCCC"/>
        <bgColor indexed="64"/>
      </patternFill>
    </fill>
    <fill>
      <patternFill patternType="solid">
        <fgColor theme="5" tint="0.79998168889431442"/>
        <bgColor indexed="64"/>
      </patternFill>
    </fill>
    <fill>
      <patternFill patternType="solid">
        <fgColor theme="5" tint="0.79998168889431442"/>
        <bgColor rgb="FF000000"/>
      </patternFill>
    </fill>
    <fill>
      <patternFill patternType="solid">
        <fgColor indexed="42"/>
        <bgColor indexed="64"/>
      </patternFill>
    </fill>
  </fills>
  <borders count="203">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thin">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right style="medium">
        <color indexed="64"/>
      </right>
      <top/>
      <bottom style="medium">
        <color indexed="64"/>
      </bottom>
      <diagonal/>
    </border>
    <border>
      <left style="thin">
        <color indexed="8"/>
      </left>
      <right style="medium">
        <color indexed="64"/>
      </right>
      <top/>
      <bottom style="thin">
        <color indexed="64"/>
      </bottom>
      <diagonal/>
    </border>
    <border>
      <left style="thin">
        <color indexed="8"/>
      </left>
      <right style="medium">
        <color indexed="64"/>
      </right>
      <top style="thin">
        <color indexed="8"/>
      </top>
      <bottom/>
      <diagonal/>
    </border>
    <border>
      <left style="thin">
        <color indexed="64"/>
      </left>
      <right/>
      <top/>
      <bottom style="thin">
        <color indexed="64"/>
      </bottom>
      <diagonal/>
    </border>
    <border>
      <left/>
      <right/>
      <top/>
      <bottom style="medium">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diagonal/>
    </border>
    <border>
      <left/>
      <right style="mediumDashed">
        <color indexed="64"/>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style="mediumDashed">
        <color indexed="64"/>
      </left>
      <right/>
      <top/>
      <bottom style="mediumDashed">
        <color indexed="64"/>
      </bottom>
      <diagonal/>
    </border>
    <border>
      <left/>
      <right/>
      <top/>
      <bottom style="mediumDashed">
        <color indexed="64"/>
      </bottom>
      <diagonal/>
    </border>
    <border>
      <left style="thin">
        <color indexed="64"/>
      </left>
      <right style="thin">
        <color indexed="64"/>
      </right>
      <top/>
      <bottom style="thin">
        <color indexed="64"/>
      </bottom>
      <diagonal/>
    </border>
    <border>
      <left style="thin">
        <color auto="1"/>
      </left>
      <right/>
      <top style="thin">
        <color indexed="64"/>
      </top>
      <bottom style="thin">
        <color auto="1"/>
      </bottom>
      <diagonal/>
    </border>
    <border>
      <left/>
      <right/>
      <top style="thin">
        <color indexed="64"/>
      </top>
      <bottom style="thin">
        <color auto="1"/>
      </bottom>
      <diagonal/>
    </border>
    <border>
      <left/>
      <right style="thin">
        <color auto="1"/>
      </right>
      <top style="mediumDashed">
        <color indexed="64"/>
      </top>
      <bottom/>
      <diagonal/>
    </border>
    <border>
      <left style="thin">
        <color auto="1"/>
      </left>
      <right/>
      <top/>
      <bottom/>
      <diagonal/>
    </border>
    <border>
      <left style="thin">
        <color auto="1"/>
      </left>
      <right style="thin">
        <color auto="1"/>
      </right>
      <top/>
      <bottom/>
      <diagonal/>
    </border>
    <border>
      <left style="thin">
        <color indexed="8"/>
      </left>
      <right style="medium">
        <color indexed="64"/>
      </right>
      <top style="thin">
        <color indexed="8"/>
      </top>
      <bottom/>
      <diagonal/>
    </border>
    <border>
      <left style="thin">
        <color indexed="8"/>
      </left>
      <right/>
      <top/>
      <bottom/>
      <diagonal/>
    </border>
    <border>
      <left style="thin">
        <color auto="1"/>
      </left>
      <right/>
      <top style="thin">
        <color indexed="64"/>
      </top>
      <bottom/>
      <diagonal/>
    </border>
    <border>
      <left/>
      <right/>
      <top style="thin">
        <color indexed="64"/>
      </top>
      <bottom/>
      <diagonal/>
    </border>
    <border>
      <left/>
      <right style="thin">
        <color auto="1"/>
      </right>
      <top style="thin">
        <color auto="1"/>
      </top>
      <bottom/>
      <diagonal/>
    </border>
    <border>
      <left style="thin">
        <color auto="1"/>
      </left>
      <right/>
      <top/>
      <bottom style="thin">
        <color auto="1"/>
      </bottom>
      <diagonal/>
    </border>
    <border>
      <left style="thin">
        <color auto="1"/>
      </left>
      <right style="thin">
        <color indexed="64"/>
      </right>
      <top style="thin">
        <color indexed="64"/>
      </top>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ck">
        <color rgb="FFC00000"/>
      </left>
      <right/>
      <top/>
      <bottom/>
      <diagonal/>
    </border>
    <border>
      <left style="thick">
        <color rgb="FFC00000"/>
      </left>
      <right/>
      <top style="thick">
        <color rgb="FFC00000"/>
      </top>
      <bottom/>
      <diagonal/>
    </border>
    <border>
      <left/>
      <right/>
      <top style="thick">
        <color rgb="FFC00000"/>
      </top>
      <bottom/>
      <diagonal/>
    </border>
    <border>
      <left style="thin">
        <color indexed="64"/>
      </left>
      <right style="thin">
        <color indexed="64"/>
      </right>
      <top style="thick">
        <color rgb="FFC00000"/>
      </top>
      <bottom style="double">
        <color indexed="64"/>
      </bottom>
      <diagonal/>
    </border>
    <border>
      <left style="thick">
        <color rgb="FFC00000"/>
      </left>
      <right/>
      <top/>
      <bottom style="thick">
        <color rgb="FFC00000"/>
      </bottom>
      <diagonal/>
    </border>
    <border>
      <left/>
      <right/>
      <top/>
      <bottom style="thick">
        <color rgb="FFC00000"/>
      </bottom>
      <diagonal/>
    </border>
    <border>
      <left style="mediumDashed">
        <color auto="1"/>
      </left>
      <right/>
      <top style="mediumDashed">
        <color auto="1"/>
      </top>
      <bottom style="mediumDashed">
        <color auto="1"/>
      </bottom>
      <diagonal/>
    </border>
    <border>
      <left style="mediumDashed">
        <color indexed="64"/>
      </left>
      <right style="thin">
        <color indexed="64"/>
      </right>
      <top style="mediumDashed">
        <color indexed="64"/>
      </top>
      <bottom/>
      <diagonal/>
    </border>
    <border>
      <left style="double">
        <color rgb="FFFF0000"/>
      </left>
      <right/>
      <top/>
      <bottom/>
      <diagonal/>
    </border>
    <border>
      <left style="double">
        <color rgb="FFFF0000"/>
      </left>
      <right/>
      <top/>
      <bottom style="double">
        <color rgb="FFFF0000"/>
      </bottom>
      <diagonal/>
    </border>
    <border>
      <left style="double">
        <color rgb="FFFF0000"/>
      </left>
      <right/>
      <top style="double">
        <color rgb="FFFF0000"/>
      </top>
      <bottom/>
      <diagonal/>
    </border>
    <border>
      <left/>
      <right/>
      <top style="double">
        <color rgb="FFFF0000"/>
      </top>
      <bottom/>
      <diagonal/>
    </border>
    <border>
      <left style="double">
        <color rgb="FFFF0000"/>
      </left>
      <right/>
      <top style="double">
        <color rgb="FFFF0000"/>
      </top>
      <bottom style="double">
        <color rgb="FFFF0000"/>
      </bottom>
      <diagonal/>
    </border>
    <border>
      <left/>
      <right/>
      <top style="double">
        <color rgb="FFFF0000"/>
      </top>
      <bottom style="double">
        <color rgb="FFFF0000"/>
      </bottom>
      <diagonal/>
    </border>
    <border>
      <left/>
      <right style="mediumDashed">
        <color rgb="FFC00000"/>
      </right>
      <top style="thick">
        <color rgb="FFC00000"/>
      </top>
      <bottom/>
      <diagonal/>
    </border>
    <border>
      <left/>
      <right style="mediumDashed">
        <color rgb="FFC00000"/>
      </right>
      <top/>
      <bottom/>
      <diagonal/>
    </border>
    <border>
      <left/>
      <right/>
      <top style="thick">
        <color auto="1"/>
      </top>
      <bottom/>
      <diagonal/>
    </border>
    <border>
      <left/>
      <right/>
      <top style="mediumDashed">
        <color theme="1"/>
      </top>
      <bottom/>
      <diagonal/>
    </border>
    <border>
      <left/>
      <right/>
      <top/>
      <bottom style="mediumDashed">
        <color theme="1"/>
      </bottom>
      <diagonal/>
    </border>
    <border>
      <left style="thin">
        <color indexed="64"/>
      </left>
      <right style="medium">
        <color indexed="64"/>
      </right>
      <top/>
      <bottom/>
      <diagonal/>
    </border>
    <border>
      <left style="thin">
        <color indexed="64"/>
      </left>
      <right style="thin">
        <color indexed="64"/>
      </right>
      <top/>
      <bottom/>
      <diagonal/>
    </border>
    <border>
      <left style="thin">
        <color indexed="64"/>
      </left>
      <right/>
      <top/>
      <bottom/>
      <diagonal/>
    </border>
    <border>
      <left/>
      <right/>
      <top style="double">
        <color auto="1"/>
      </top>
      <bottom style="thin">
        <color indexed="64"/>
      </bottom>
      <diagonal/>
    </border>
    <border>
      <left style="mediumDashed">
        <color auto="1"/>
      </left>
      <right/>
      <top style="mediumDashed">
        <color auto="1"/>
      </top>
      <bottom style="medium">
        <color rgb="FFFF0000"/>
      </bottom>
      <diagonal/>
    </border>
    <border>
      <left style="thin">
        <color auto="1"/>
      </left>
      <right style="mediumDashed">
        <color auto="1"/>
      </right>
      <top/>
      <bottom/>
      <diagonal/>
    </border>
    <border>
      <left/>
      <right/>
      <top style="mediumDashed">
        <color auto="1"/>
      </top>
      <bottom style="medium">
        <color rgb="FFFF0000"/>
      </bottom>
      <diagonal/>
    </border>
    <border>
      <left/>
      <right/>
      <top style="mediumDashed">
        <color auto="1"/>
      </top>
      <bottom style="mediumDashed">
        <color auto="1"/>
      </bottom>
      <diagonal/>
    </border>
    <border>
      <left style="thin">
        <color indexed="64"/>
      </left>
      <right style="thin">
        <color indexed="64"/>
      </right>
      <top style="dashed">
        <color indexed="64"/>
      </top>
      <bottom/>
      <diagonal/>
    </border>
    <border>
      <left/>
      <right style="mediumDashed">
        <color rgb="FFC00000"/>
      </right>
      <top/>
      <bottom style="thick">
        <color rgb="FFC00000"/>
      </bottom>
      <diagonal/>
    </border>
    <border>
      <left/>
      <right style="mediumDashed">
        <color rgb="FFFF0000"/>
      </right>
      <top style="medium">
        <color rgb="FFFF0000"/>
      </top>
      <bottom/>
      <diagonal/>
    </border>
    <border>
      <left/>
      <right style="mediumDashed">
        <color rgb="FFFF0000"/>
      </right>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auto="1"/>
      </left>
      <right style="thin">
        <color auto="1"/>
      </right>
      <top style="thin">
        <color auto="1"/>
      </top>
      <bottom style="thin">
        <color auto="1"/>
      </bottom>
      <diagonal/>
    </border>
    <border>
      <left/>
      <right style="mediumDashed">
        <color rgb="FFFF0000"/>
      </right>
      <top/>
      <bottom style="medium">
        <color rgb="FFFF0000"/>
      </bottom>
      <diagonal/>
    </border>
    <border>
      <left style="mediumDashed">
        <color auto="1"/>
      </left>
      <right style="thin">
        <color auto="1"/>
      </right>
      <top style="mediumDashed">
        <color auto="1"/>
      </top>
      <bottom style="mediumDashed">
        <color auto="1"/>
      </bottom>
      <diagonal/>
    </border>
    <border>
      <left style="dashed">
        <color indexed="64"/>
      </left>
      <right/>
      <top/>
      <bottom style="dashed">
        <color indexed="64"/>
      </bottom>
      <diagonal/>
    </border>
    <border>
      <left/>
      <right/>
      <top/>
      <bottom style="dashed">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diagonal/>
    </border>
    <border>
      <left style="thin">
        <color auto="1"/>
      </left>
      <right style="thin">
        <color auto="1"/>
      </right>
      <top/>
      <bottom style="thin">
        <color auto="1"/>
      </bottom>
      <diagonal/>
    </border>
    <border>
      <left/>
      <right/>
      <top style="thin">
        <color indexed="64"/>
      </top>
      <bottom style="thin">
        <color auto="1"/>
      </bottom>
      <diagonal/>
    </border>
    <border>
      <left style="thin">
        <color indexed="8"/>
      </left>
      <right/>
      <top/>
      <bottom style="thin">
        <color indexed="8"/>
      </bottom>
      <diagonal/>
    </border>
    <border>
      <left style="medium">
        <color indexed="64"/>
      </left>
      <right style="medium">
        <color indexed="64"/>
      </right>
      <top/>
      <bottom style="thin">
        <color indexed="8"/>
      </bottom>
      <diagonal/>
    </border>
    <border>
      <left/>
      <right/>
      <top/>
      <bottom style="thick">
        <color auto="1"/>
      </bottom>
      <diagonal/>
    </border>
    <border>
      <left/>
      <right/>
      <top style="thin">
        <color indexed="64"/>
      </top>
      <bottom/>
      <diagonal/>
    </border>
    <border>
      <left/>
      <right/>
      <top/>
      <bottom style="thin">
        <color indexed="64"/>
      </bottom>
      <diagonal/>
    </border>
    <border>
      <left/>
      <right/>
      <top/>
      <bottom style="double">
        <color rgb="FFC00000"/>
      </bottom>
      <diagonal/>
    </border>
    <border>
      <left style="thin">
        <color indexed="64"/>
      </left>
      <right style="thin">
        <color indexed="64"/>
      </right>
      <top/>
      <bottom style="double">
        <color indexed="64"/>
      </bottom>
      <diagonal/>
    </border>
    <border>
      <left style="thin">
        <color auto="1"/>
      </left>
      <right style="thin">
        <color indexed="64"/>
      </right>
      <top/>
      <bottom style="thin">
        <color indexed="64"/>
      </bottom>
      <diagonal/>
    </border>
    <border>
      <left/>
      <right style="mediumDashed">
        <color rgb="FFC00000"/>
      </right>
      <top/>
      <bottom style="thin">
        <color indexed="64"/>
      </bottom>
      <diagonal/>
    </border>
    <border>
      <left style="medium">
        <color indexed="64"/>
      </left>
      <right style="medium">
        <color indexed="64"/>
      </right>
      <top style="medium">
        <color indexed="64"/>
      </top>
      <bottom style="thin">
        <color indexed="64"/>
      </bottom>
      <diagonal/>
    </border>
    <border>
      <left style="thin">
        <color auto="1"/>
      </left>
      <right style="thin">
        <color auto="1"/>
      </right>
      <top style="thin">
        <color auto="1"/>
      </top>
      <bottom/>
      <diagonal/>
    </border>
    <border>
      <left/>
      <right style="thin">
        <color auto="1"/>
      </right>
      <top/>
      <bottom style="thin">
        <color indexed="64"/>
      </bottom>
      <diagonal/>
    </border>
    <border>
      <left/>
      <right/>
      <top style="thick">
        <color rgb="FFC00000"/>
      </top>
      <bottom style="thin">
        <color indexed="64"/>
      </bottom>
      <diagonal/>
    </border>
    <border>
      <left style="thin">
        <color auto="1"/>
      </left>
      <right/>
      <top style="thin">
        <color indexed="64"/>
      </top>
      <bottom/>
      <diagonal/>
    </border>
    <border>
      <left style="thin">
        <color auto="1"/>
      </left>
      <right/>
      <top/>
      <bottom style="thin">
        <color indexed="64"/>
      </bottom>
      <diagonal/>
    </border>
    <border>
      <left style="medium">
        <color indexed="64"/>
      </left>
      <right/>
      <top/>
      <bottom style="double">
        <color indexed="64"/>
      </bottom>
      <diagonal/>
    </border>
    <border>
      <left/>
      <right style="mediumDashDot">
        <color rgb="FFFF0000"/>
      </right>
      <top style="double">
        <color rgb="FFFF0000"/>
      </top>
      <bottom/>
      <diagonal/>
    </border>
    <border>
      <left style="thin">
        <color auto="1"/>
      </left>
      <right/>
      <top style="thin">
        <color auto="1"/>
      </top>
      <bottom style="thin">
        <color auto="1"/>
      </bottom>
      <diagonal/>
    </border>
    <border>
      <left/>
      <right style="mediumDashed">
        <color rgb="FFFF0000"/>
      </right>
      <top/>
      <bottom style="thin">
        <color indexed="64"/>
      </bottom>
      <diagonal/>
    </border>
    <border>
      <left/>
      <right style="mediumDashed">
        <color rgb="FFFF0000"/>
      </right>
      <top style="mediumDashed">
        <color auto="1"/>
      </top>
      <bottom style="mediumDashed">
        <color auto="1"/>
      </bottom>
      <diagonal/>
    </border>
    <border>
      <left style="medium">
        <color indexed="64"/>
      </left>
      <right style="mediumDashed">
        <color rgb="FFC00000"/>
      </right>
      <top style="medium">
        <color indexed="64"/>
      </top>
      <bottom style="medium">
        <color indexed="64"/>
      </bottom>
      <diagonal/>
    </border>
    <border>
      <left style="medium">
        <color indexed="64"/>
      </left>
      <right style="mediumDashed">
        <color rgb="FFC00000"/>
      </right>
      <top/>
      <bottom/>
      <diagonal/>
    </border>
    <border>
      <left style="medium">
        <color indexed="64"/>
      </left>
      <right style="mediumDashed">
        <color rgb="FFC00000"/>
      </right>
      <top/>
      <bottom style="medium">
        <color indexed="64"/>
      </bottom>
      <diagonal/>
    </border>
    <border>
      <left style="medium">
        <color indexed="64"/>
      </left>
      <right style="mediumDashDotDot">
        <color rgb="FFC00000"/>
      </right>
      <top style="medium">
        <color indexed="64"/>
      </top>
      <bottom style="medium">
        <color indexed="64"/>
      </bottom>
      <diagonal/>
    </border>
    <border>
      <left style="medium">
        <color indexed="64"/>
      </left>
      <right style="mediumDashDotDot">
        <color rgb="FFC00000"/>
      </right>
      <top/>
      <bottom/>
      <diagonal/>
    </border>
    <border>
      <left style="medium">
        <color indexed="64"/>
      </left>
      <right style="mediumDashDotDot">
        <color rgb="FFC00000"/>
      </right>
      <top/>
      <bottom style="medium">
        <color indexed="64"/>
      </bottom>
      <diagonal/>
    </border>
    <border>
      <left style="double">
        <color rgb="FFFF0000"/>
      </left>
      <right/>
      <top/>
      <bottom style="thin">
        <color indexed="64"/>
      </bottom>
      <diagonal/>
    </border>
    <border>
      <left/>
      <right style="mediumDashDotDot">
        <color rgb="FFC00000"/>
      </right>
      <top style="thin">
        <color indexed="64"/>
      </top>
      <bottom/>
      <diagonal/>
    </border>
    <border>
      <left/>
      <right style="mediumDashDotDot">
        <color rgb="FFC00000"/>
      </right>
      <top/>
      <bottom/>
      <diagonal/>
    </border>
    <border>
      <left/>
      <right style="mediumDashDotDot">
        <color rgb="FFC00000"/>
      </right>
      <top style="double">
        <color rgb="FFC00000"/>
      </top>
      <bottom style="double">
        <color rgb="FFC00000"/>
      </bottom>
      <diagonal/>
    </border>
    <border>
      <left/>
      <right style="mediumDashDotDot">
        <color rgb="FFC00000"/>
      </right>
      <top/>
      <bottom style="thin">
        <color indexed="64"/>
      </bottom>
      <diagonal/>
    </border>
    <border>
      <left/>
      <right style="mediumDashDotDot">
        <color rgb="FFC00000"/>
      </right>
      <top style="double">
        <color rgb="FFFF0000"/>
      </top>
      <bottom style="double">
        <color rgb="FFFF0000"/>
      </bottom>
      <diagonal/>
    </border>
    <border>
      <left style="mediumDashed">
        <color rgb="FFC00000"/>
      </left>
      <right/>
      <top style="thin">
        <color indexed="64"/>
      </top>
      <bottom/>
      <diagonal/>
    </border>
    <border>
      <left style="mediumDashed">
        <color rgb="FFC00000"/>
      </left>
      <right/>
      <top/>
      <bottom/>
      <diagonal/>
    </border>
    <border>
      <left style="mediumDashed">
        <color rgb="FFC00000"/>
      </left>
      <right/>
      <top/>
      <bottom style="double">
        <color rgb="FFFF0000"/>
      </bottom>
      <diagonal/>
    </border>
    <border>
      <left style="mediumDashed">
        <color rgb="FFC00000"/>
      </left>
      <right/>
      <top style="thick">
        <color rgb="FFC00000"/>
      </top>
      <bottom/>
      <diagonal/>
    </border>
    <border>
      <left style="mediumDashed">
        <color rgb="FFC00000"/>
      </left>
      <right/>
      <top style="double">
        <color rgb="FFFF0000"/>
      </top>
      <bottom/>
      <diagonal/>
    </border>
    <border>
      <left style="mediumDashed">
        <color rgb="FFC00000"/>
      </left>
      <right/>
      <top/>
      <bottom style="thick">
        <color rgb="FFC00000"/>
      </bottom>
      <diagonal/>
    </border>
    <border>
      <left style="mediumDashed">
        <color rgb="FFC00000"/>
      </left>
      <right/>
      <top style="thick">
        <color rgb="FFC00000"/>
      </top>
      <bottom style="thin">
        <color indexed="64"/>
      </bottom>
      <diagonal/>
    </border>
    <border>
      <left style="medium">
        <color rgb="FFC00000"/>
      </left>
      <right style="thin">
        <color indexed="64"/>
      </right>
      <top style="medium">
        <color rgb="FFC00000"/>
      </top>
      <bottom/>
      <diagonal/>
    </border>
    <border>
      <left style="medium">
        <color rgb="FFC00000"/>
      </left>
      <right style="thin">
        <color indexed="64"/>
      </right>
      <top/>
      <bottom style="medium">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top/>
      <bottom style="double">
        <color indexed="64"/>
      </bottom>
      <diagonal/>
    </border>
    <border>
      <left style="thin">
        <color auto="1"/>
      </left>
      <right/>
      <top style="thin">
        <color indexed="64"/>
      </top>
      <bottom style="double">
        <color indexed="64"/>
      </bottom>
      <diagonal/>
    </border>
    <border>
      <left style="thin">
        <color auto="1"/>
      </left>
      <right style="thin">
        <color indexed="64"/>
      </right>
      <top style="thin">
        <color indexed="64"/>
      </top>
      <bottom style="double">
        <color indexed="64"/>
      </bottom>
      <diagonal/>
    </border>
    <border>
      <left style="mediumDashed">
        <color rgb="FFC00000"/>
      </left>
      <right style="medium">
        <color indexed="64"/>
      </right>
      <top style="medium">
        <color indexed="64"/>
      </top>
      <bottom style="medium">
        <color indexed="64"/>
      </bottom>
      <diagonal/>
    </border>
    <border>
      <left/>
      <right style="thin">
        <color auto="1"/>
      </right>
      <top style="thin">
        <color indexed="64"/>
      </top>
      <bottom/>
      <diagonal/>
    </border>
    <border>
      <left/>
      <right style="thin">
        <color indexed="64"/>
      </right>
      <top style="dashed">
        <color indexed="64"/>
      </top>
      <bottom/>
      <diagonal/>
    </border>
    <border>
      <left/>
      <right style="thin">
        <color indexed="64"/>
      </right>
      <top/>
      <bottom style="double">
        <color indexed="64"/>
      </bottom>
      <diagonal/>
    </border>
    <border>
      <left/>
      <right style="thin">
        <color indexed="64"/>
      </right>
      <top style="thin">
        <color indexed="64"/>
      </top>
      <bottom style="double">
        <color indexed="64"/>
      </bottom>
      <diagonal/>
    </border>
    <border>
      <left/>
      <right style="thin">
        <color indexed="64"/>
      </right>
      <top style="thick">
        <color rgb="FFC00000"/>
      </top>
      <bottom style="double">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rgb="FFFF0000"/>
      </top>
      <bottom/>
      <diagonal/>
    </border>
    <border>
      <left style="thin">
        <color indexed="64"/>
      </left>
      <right style="thin">
        <color indexed="64"/>
      </right>
      <top/>
      <bottom style="medium">
        <color rgb="FFFF0000"/>
      </bottom>
      <diagonal/>
    </border>
    <border>
      <left style="thin">
        <color indexed="64"/>
      </left>
      <right style="thin">
        <color indexed="64"/>
      </right>
      <top/>
      <bottom style="double">
        <color rgb="FFFF0000"/>
      </bottom>
      <diagonal/>
    </border>
    <border>
      <left style="thin">
        <color indexed="64"/>
      </left>
      <right style="thin">
        <color indexed="64"/>
      </right>
      <top style="thick">
        <color rgb="FFC00000"/>
      </top>
      <bottom/>
      <diagonal/>
    </border>
    <border>
      <left style="thin">
        <color indexed="64"/>
      </left>
      <right style="thin">
        <color indexed="64"/>
      </right>
      <top/>
      <bottom style="thick">
        <color rgb="FFC00000"/>
      </bottom>
      <diagonal/>
    </border>
    <border>
      <left style="thin">
        <color indexed="64"/>
      </left>
      <right style="thin">
        <color indexed="64"/>
      </right>
      <top style="double">
        <color rgb="FFFF0000"/>
      </top>
      <bottom style="double">
        <color rgb="FFFF0000"/>
      </bottom>
      <diagonal/>
    </border>
    <border>
      <left style="thin">
        <color indexed="64"/>
      </left>
      <right style="thin">
        <color indexed="64"/>
      </right>
      <top style="thick">
        <color auto="1"/>
      </top>
      <bottom/>
      <diagonal/>
    </border>
    <border>
      <left style="thin">
        <color indexed="64"/>
      </left>
      <right style="thin">
        <color indexed="64"/>
      </right>
      <top style="double">
        <color auto="1"/>
      </top>
      <bottom style="thin">
        <color indexed="64"/>
      </bottom>
      <diagonal/>
    </border>
    <border>
      <left style="thin">
        <color indexed="64"/>
      </left>
      <right style="thin">
        <color indexed="64"/>
      </right>
      <top style="thin">
        <color rgb="FFC00000"/>
      </top>
      <bottom/>
      <diagonal/>
    </border>
    <border>
      <left style="thin">
        <color indexed="64"/>
      </left>
      <right style="thin">
        <color indexed="64"/>
      </right>
      <top/>
      <bottom style="thin">
        <color rgb="FFC00000"/>
      </bottom>
      <diagonal/>
    </border>
    <border>
      <left/>
      <right style="thin">
        <color auto="1"/>
      </right>
      <top style="mediumDashed">
        <color auto="1"/>
      </top>
      <bottom style="mediumDashed">
        <color auto="1"/>
      </bottom>
      <diagonal/>
    </border>
    <border>
      <left style="thin">
        <color auto="1"/>
      </left>
      <right style="mediumDashed">
        <color rgb="FFC00000"/>
      </right>
      <top style="thin">
        <color indexed="64"/>
      </top>
      <bottom style="double">
        <color indexed="64"/>
      </bottom>
      <diagonal/>
    </border>
    <border>
      <left style="thin">
        <color auto="1"/>
      </left>
      <right style="mediumDashed">
        <color rgb="FFC00000"/>
      </right>
      <top/>
      <bottom/>
      <diagonal/>
    </border>
    <border>
      <left style="thin">
        <color auto="1"/>
      </left>
      <right style="mediumDashed">
        <color rgb="FFC00000"/>
      </right>
      <top/>
      <bottom style="thin">
        <color indexed="64"/>
      </bottom>
      <diagonal/>
    </border>
    <border>
      <left style="thin">
        <color indexed="64"/>
      </left>
      <right style="mediumDashed">
        <color rgb="FFC00000"/>
      </right>
      <top style="medium">
        <color indexed="64"/>
      </top>
      <bottom style="medium">
        <color indexed="64"/>
      </bottom>
      <diagonal/>
    </border>
    <border>
      <left style="thin">
        <color indexed="64"/>
      </left>
      <right style="mediumDashed">
        <color rgb="FFC00000"/>
      </right>
      <top/>
      <bottom style="double">
        <color indexed="64"/>
      </bottom>
      <diagonal/>
    </border>
    <border>
      <left style="thin">
        <color indexed="64"/>
      </left>
      <right style="mediumDashed">
        <color rgb="FFC00000"/>
      </right>
      <top/>
      <bottom style="medium">
        <color indexed="64"/>
      </bottom>
      <diagonal/>
    </border>
    <border>
      <left style="thin">
        <color indexed="64"/>
      </left>
      <right style="mediumDashed">
        <color rgb="FFC00000"/>
      </right>
      <top style="dashed">
        <color indexed="64"/>
      </top>
      <bottom/>
      <diagonal/>
    </border>
    <border>
      <left style="thin">
        <color indexed="64"/>
      </left>
      <right style="mediumDashed">
        <color rgb="FFC00000"/>
      </right>
      <top style="medium">
        <color rgb="FFC00000"/>
      </top>
      <bottom/>
      <diagonal/>
    </border>
    <border>
      <left style="thin">
        <color indexed="64"/>
      </left>
      <right style="mediumDashed">
        <color rgb="FFC00000"/>
      </right>
      <top/>
      <bottom style="medium">
        <color rgb="FFC00000"/>
      </bottom>
      <diagonal/>
    </border>
    <border>
      <left style="thin">
        <color auto="1"/>
      </left>
      <right style="mediumDashed">
        <color rgb="FFC00000"/>
      </right>
      <top style="thin">
        <color indexed="64"/>
      </top>
      <bottom/>
      <diagonal/>
    </border>
    <border>
      <left/>
      <right style="mediumDashed">
        <color rgb="FFC00000"/>
      </right>
      <top style="mediumDashed">
        <color indexed="64"/>
      </top>
      <bottom/>
      <diagonal/>
    </border>
    <border>
      <left/>
      <right style="thin">
        <color rgb="FFFF0000"/>
      </right>
      <top style="thin">
        <color rgb="FFFF0000"/>
      </top>
      <bottom/>
      <diagonal/>
    </border>
    <border>
      <left/>
      <right style="thin">
        <color rgb="FFFF0000"/>
      </right>
      <top/>
      <bottom style="thin">
        <color rgb="FFFF0000"/>
      </bottom>
      <diagonal/>
    </border>
    <border>
      <left/>
      <right style="mediumDashed">
        <color rgb="FFC00000"/>
      </right>
      <top style="medium">
        <color indexed="64"/>
      </top>
      <bottom style="medium">
        <color indexed="64"/>
      </bottom>
      <diagonal/>
    </border>
    <border>
      <left style="medium">
        <color indexed="64"/>
      </left>
      <right style="mediumDashDotDot">
        <color rgb="FFC00000"/>
      </right>
      <top style="medium">
        <color indexed="64"/>
      </top>
      <bottom/>
      <diagonal/>
    </border>
  </borders>
  <cellStyleXfs count="54">
    <xf numFmtId="0" fontId="0" fillId="0" borderId="0"/>
    <xf numFmtId="43" fontId="2" fillId="0" borderId="0" applyFont="0" applyFill="0" applyBorder="0" applyAlignment="0" applyProtection="0"/>
    <xf numFmtId="9" fontId="2" fillId="0" borderId="0" applyFont="0" applyFill="0" applyBorder="0" applyAlignment="0" applyProtection="0"/>
    <xf numFmtId="0" fontId="4" fillId="0" borderId="0" applyNumberFormat="0" applyFill="0" applyBorder="0" applyAlignment="0" applyProtection="0">
      <alignment vertical="top"/>
      <protection locked="0"/>
    </xf>
    <xf numFmtId="9" fontId="21" fillId="0" borderId="0" applyFont="0" applyFill="0" applyBorder="0" applyAlignment="0" applyProtection="0"/>
    <xf numFmtId="0" fontId="21" fillId="0" borderId="0"/>
    <xf numFmtId="43" fontId="21" fillId="0" borderId="0" applyFont="0" applyFill="0" applyBorder="0" applyAlignment="0" applyProtection="0"/>
    <xf numFmtId="0" fontId="2" fillId="0" borderId="0"/>
    <xf numFmtId="43" fontId="21" fillId="0" borderId="0" applyFont="0" applyFill="0" applyBorder="0" applyAlignment="0" applyProtection="0"/>
    <xf numFmtId="178" fontId="21" fillId="0" borderId="0" applyFont="0" applyFill="0" applyBorder="0" applyAlignment="0" applyProtection="0"/>
    <xf numFmtId="178" fontId="100" fillId="0" borderId="0" applyFont="0" applyFill="0" applyBorder="0" applyAlignment="0" applyProtection="0">
      <alignment vertical="top"/>
    </xf>
    <xf numFmtId="43" fontId="21" fillId="0" borderId="0" applyFont="0" applyFill="0" applyBorder="0" applyAlignment="0" applyProtection="0"/>
    <xf numFmtId="166" fontId="21" fillId="0" borderId="0" applyFont="0" applyFill="0" applyBorder="0" applyAlignment="0" applyProtection="0"/>
    <xf numFmtId="0" fontId="21" fillId="0" borderId="0"/>
    <xf numFmtId="0" fontId="2" fillId="0" borderId="0"/>
    <xf numFmtId="0" fontId="21" fillId="0" borderId="0"/>
    <xf numFmtId="0" fontId="21" fillId="0" borderId="0"/>
    <xf numFmtId="0" fontId="21" fillId="0" borderId="0"/>
    <xf numFmtId="9" fontId="21"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125" fillId="36" borderId="0" applyNumberFormat="0" applyBorder="0" applyAlignment="0" applyProtection="0"/>
    <xf numFmtId="0" fontId="125" fillId="36" borderId="0" applyNumberFormat="0" applyBorder="0" applyAlignment="0" applyProtection="0"/>
    <xf numFmtId="0" fontId="126" fillId="37" borderId="0" applyNumberFormat="0" applyBorder="0" applyAlignment="0" applyProtection="0"/>
    <xf numFmtId="0" fontId="125" fillId="38" borderId="0" applyNumberFormat="0" applyBorder="0" applyAlignment="0" applyProtection="0"/>
    <xf numFmtId="0" fontId="125" fillId="39" borderId="0" applyNumberFormat="0" applyBorder="0" applyAlignment="0" applyProtection="0"/>
    <xf numFmtId="0" fontId="126" fillId="40" borderId="0" applyNumberFormat="0" applyBorder="0" applyAlignment="0" applyProtection="0"/>
    <xf numFmtId="0" fontId="125" fillId="38" borderId="0" applyNumberFormat="0" applyBorder="0" applyAlignment="0" applyProtection="0"/>
    <xf numFmtId="0" fontId="125" fillId="41" borderId="0" applyNumberFormat="0" applyBorder="0" applyAlignment="0" applyProtection="0"/>
    <xf numFmtId="0" fontId="126" fillId="39" borderId="0" applyNumberFormat="0" applyBorder="0" applyAlignment="0" applyProtection="0"/>
    <xf numFmtId="0" fontId="125" fillId="36" borderId="0" applyNumberFormat="0" applyBorder="0" applyAlignment="0" applyProtection="0"/>
    <xf numFmtId="0" fontId="125" fillId="39" borderId="0" applyNumberFormat="0" applyBorder="0" applyAlignment="0" applyProtection="0"/>
    <xf numFmtId="0" fontId="126" fillId="39" borderId="0" applyNumberFormat="0" applyBorder="0" applyAlignment="0" applyProtection="0"/>
    <xf numFmtId="0" fontId="125" fillId="42" borderId="0" applyNumberFormat="0" applyBorder="0" applyAlignment="0" applyProtection="0"/>
    <xf numFmtId="0" fontId="125" fillId="36" borderId="0" applyNumberFormat="0" applyBorder="0" applyAlignment="0" applyProtection="0"/>
    <xf numFmtId="0" fontId="126" fillId="37" borderId="0" applyNumberFormat="0" applyBorder="0" applyAlignment="0" applyProtection="0"/>
    <xf numFmtId="0" fontId="125" fillId="38" borderId="0" applyNumberFormat="0" applyBorder="0" applyAlignment="0" applyProtection="0"/>
    <xf numFmtId="0" fontId="125" fillId="43" borderId="0" applyNumberFormat="0" applyBorder="0" applyAlignment="0" applyProtection="0"/>
    <xf numFmtId="0" fontId="126" fillId="43" borderId="0" applyNumberFormat="0" applyBorder="0" applyAlignment="0" applyProtection="0"/>
    <xf numFmtId="188" fontId="21" fillId="0" borderId="0" applyFont="0" applyFill="0" applyBorder="0" applyAlignment="0" applyProtection="0"/>
    <xf numFmtId="43" fontId="21" fillId="0" borderId="0" applyFont="0" applyFill="0" applyBorder="0" applyAlignment="0" applyProtection="0"/>
    <xf numFmtId="0" fontId="127" fillId="44" borderId="0" applyNumberFormat="0" applyBorder="0" applyAlignment="0" applyProtection="0"/>
    <xf numFmtId="0" fontId="127" fillId="45" borderId="0" applyNumberFormat="0" applyBorder="0" applyAlignment="0" applyProtection="0"/>
    <xf numFmtId="0" fontId="127" fillId="46" borderId="0" applyNumberFormat="0" applyBorder="0" applyAlignment="0" applyProtection="0"/>
    <xf numFmtId="0" fontId="128" fillId="0" borderId="0"/>
    <xf numFmtId="0" fontId="21" fillId="0" borderId="0"/>
    <xf numFmtId="170" fontId="129" fillId="0" borderId="0" applyFill="0" applyBorder="0" applyProtection="0"/>
    <xf numFmtId="0" fontId="130" fillId="0" borderId="0" applyNumberFormat="0" applyFill="0" applyBorder="0" applyAlignment="0" applyProtection="0"/>
    <xf numFmtId="1" fontId="21" fillId="0" borderId="108" applyBorder="0">
      <alignment horizontal="center"/>
    </xf>
    <xf numFmtId="1" fontId="21" fillId="0" borderId="108" applyBorder="0">
      <alignment horizontal="center"/>
    </xf>
    <xf numFmtId="0" fontId="21" fillId="0" borderId="109"/>
    <xf numFmtId="41"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cellStyleXfs>
  <cellXfs count="3905">
    <xf numFmtId="0" fontId="0" fillId="0" borderId="0" xfId="0"/>
    <xf numFmtId="0" fontId="5" fillId="0" borderId="0" xfId="0" applyFont="1"/>
    <xf numFmtId="0" fontId="0" fillId="0" borderId="0" xfId="0" applyAlignment="1">
      <alignment horizontal="right"/>
    </xf>
    <xf numFmtId="0" fontId="13" fillId="0" borderId="0" xfId="0" applyFont="1"/>
    <xf numFmtId="0" fontId="0" fillId="0" borderId="13" xfId="0" applyBorder="1"/>
    <xf numFmtId="0" fontId="0" fillId="0" borderId="12" xfId="0" applyBorder="1"/>
    <xf numFmtId="0" fontId="0" fillId="0" borderId="4" xfId="0" applyBorder="1"/>
    <xf numFmtId="0" fontId="0" fillId="0" borderId="11" xfId="0" applyBorder="1"/>
    <xf numFmtId="0" fontId="0" fillId="0" borderId="7" xfId="0" applyBorder="1"/>
    <xf numFmtId="0" fontId="0" fillId="0" borderId="18" xfId="0" applyBorder="1"/>
    <xf numFmtId="0" fontId="0" fillId="0" borderId="14" xfId="0" applyBorder="1"/>
    <xf numFmtId="0" fontId="3" fillId="0" borderId="0" xfId="0" applyFont="1"/>
    <xf numFmtId="0" fontId="14" fillId="6" borderId="13" xfId="0" applyFont="1" applyFill="1" applyBorder="1" applyAlignment="1">
      <alignment horizontal="fill"/>
    </xf>
    <xf numFmtId="0" fontId="0" fillId="5" borderId="10" xfId="0" applyFill="1" applyBorder="1"/>
    <xf numFmtId="0" fontId="6" fillId="8" borderId="0" xfId="0" applyFont="1" applyFill="1"/>
    <xf numFmtId="0" fontId="8" fillId="8" borderId="0" xfId="0" applyFont="1" applyFill="1"/>
    <xf numFmtId="170" fontId="9" fillId="8" borderId="5" xfId="1" applyNumberFormat="1" applyFont="1" applyFill="1" applyBorder="1" applyAlignment="1" applyProtection="1">
      <alignment horizontal="center"/>
    </xf>
    <xf numFmtId="0" fontId="6" fillId="11" borderId="0" xfId="0" applyFont="1" applyFill="1"/>
    <xf numFmtId="0" fontId="5" fillId="11" borderId="0" xfId="0" applyFont="1" applyFill="1"/>
    <xf numFmtId="0" fontId="7" fillId="11" borderId="0" xfId="0" applyFont="1" applyFill="1"/>
    <xf numFmtId="0" fontId="10" fillId="11" borderId="5" xfId="0" applyFont="1" applyFill="1" applyBorder="1"/>
    <xf numFmtId="0" fontId="0" fillId="11" borderId="0" xfId="0" applyFill="1"/>
    <xf numFmtId="0" fontId="10" fillId="11" borderId="2" xfId="0" applyFont="1" applyFill="1" applyBorder="1"/>
    <xf numFmtId="0" fontId="10" fillId="11" borderId="4" xfId="0" applyFont="1" applyFill="1" applyBorder="1"/>
    <xf numFmtId="0" fontId="10" fillId="11" borderId="1" xfId="0" applyFont="1" applyFill="1" applyBorder="1"/>
    <xf numFmtId="0" fontId="3" fillId="0" borderId="20" xfId="0" applyFont="1" applyBorder="1"/>
    <xf numFmtId="0" fontId="0" fillId="11" borderId="0" xfId="0" applyFill="1" applyAlignment="1">
      <alignment horizontal="right"/>
    </xf>
    <xf numFmtId="0" fontId="17" fillId="11" borderId="0" xfId="0" applyFont="1" applyFill="1"/>
    <xf numFmtId="0" fontId="17" fillId="8" borderId="0" xfId="0" applyFont="1" applyFill="1"/>
    <xf numFmtId="0" fontId="7" fillId="8" borderId="0" xfId="0" applyFont="1" applyFill="1"/>
    <xf numFmtId="0" fontId="10" fillId="8" borderId="2" xfId="0" applyFont="1" applyFill="1" applyBorder="1" applyAlignment="1">
      <alignment horizontal="center"/>
    </xf>
    <xf numFmtId="3" fontId="18" fillId="11" borderId="5" xfId="0" quotePrefix="1" applyNumberFormat="1" applyFont="1" applyFill="1" applyBorder="1" applyAlignment="1">
      <alignment horizontal="left"/>
    </xf>
    <xf numFmtId="37" fontId="10" fillId="11" borderId="29" xfId="0" applyNumberFormat="1" applyFont="1" applyFill="1" applyBorder="1" applyAlignment="1">
      <alignment horizontal="right"/>
    </xf>
    <xf numFmtId="37" fontId="10" fillId="11" borderId="28" xfId="0" applyNumberFormat="1" applyFont="1" applyFill="1" applyBorder="1" applyAlignment="1">
      <alignment horizontal="right"/>
    </xf>
    <xf numFmtId="177" fontId="10" fillId="11" borderId="29" xfId="0" applyNumberFormat="1" applyFont="1" applyFill="1" applyBorder="1" applyAlignment="1">
      <alignment horizontal="right"/>
    </xf>
    <xf numFmtId="9" fontId="7" fillId="11" borderId="29" xfId="2" applyFont="1" applyFill="1" applyBorder="1" applyAlignment="1" applyProtection="1">
      <alignment horizontal="right"/>
    </xf>
    <xf numFmtId="37" fontId="7" fillId="11" borderId="29" xfId="0" applyNumberFormat="1" applyFont="1" applyFill="1" applyBorder="1" applyAlignment="1">
      <alignment horizontal="right"/>
    </xf>
    <xf numFmtId="9" fontId="7" fillId="11" borderId="28" xfId="2" applyFont="1" applyFill="1" applyBorder="1" applyAlignment="1" applyProtection="1">
      <alignment horizontal="right"/>
    </xf>
    <xf numFmtId="167" fontId="10" fillId="11" borderId="29" xfId="0" applyNumberFormat="1" applyFont="1" applyFill="1" applyBorder="1" applyAlignment="1">
      <alignment horizontal="right"/>
    </xf>
    <xf numFmtId="2" fontId="7" fillId="11" borderId="28" xfId="0" applyNumberFormat="1" applyFont="1" applyFill="1" applyBorder="1" applyAlignment="1">
      <alignment horizontal="right"/>
    </xf>
    <xf numFmtId="2" fontId="7" fillId="11" borderId="29" xfId="0" applyNumberFormat="1" applyFont="1" applyFill="1" applyBorder="1" applyAlignment="1">
      <alignment horizontal="right"/>
    </xf>
    <xf numFmtId="2" fontId="10" fillId="11" borderId="34" xfId="0" applyNumberFormat="1" applyFont="1" applyFill="1" applyBorder="1" applyAlignment="1">
      <alignment horizontal="right"/>
    </xf>
    <xf numFmtId="37" fontId="10" fillId="11" borderId="35" xfId="0" applyNumberFormat="1" applyFont="1" applyFill="1" applyBorder="1" applyAlignment="1">
      <alignment horizontal="right"/>
    </xf>
    <xf numFmtId="2" fontId="10" fillId="11" borderId="35" xfId="0" applyNumberFormat="1" applyFont="1" applyFill="1" applyBorder="1" applyAlignment="1">
      <alignment horizontal="right"/>
    </xf>
    <xf numFmtId="175" fontId="10" fillId="11" borderId="35" xfId="2" applyNumberFormat="1" applyFont="1" applyFill="1" applyBorder="1" applyAlignment="1">
      <alignment horizontal="right" vertical="justify"/>
    </xf>
    <xf numFmtId="175" fontId="10" fillId="11" borderId="29" xfId="2" applyNumberFormat="1" applyFont="1" applyFill="1" applyBorder="1" applyAlignment="1">
      <alignment horizontal="right" vertical="justify"/>
    </xf>
    <xf numFmtId="9" fontId="10" fillId="11" borderId="35" xfId="2" applyFont="1" applyFill="1" applyBorder="1" applyAlignment="1" applyProtection="1">
      <alignment horizontal="right"/>
    </xf>
    <xf numFmtId="37" fontId="10" fillId="11" borderId="34" xfId="0" applyNumberFormat="1" applyFont="1" applyFill="1" applyBorder="1" applyAlignment="1">
      <alignment horizontal="right"/>
    </xf>
    <xf numFmtId="0" fontId="3" fillId="11" borderId="1" xfId="0" applyFont="1" applyFill="1" applyBorder="1"/>
    <xf numFmtId="169" fontId="0" fillId="11" borderId="0" xfId="0" applyNumberFormat="1" applyFill="1" applyAlignment="1">
      <alignment horizontal="right"/>
    </xf>
    <xf numFmtId="169" fontId="0" fillId="0" borderId="0" xfId="0" applyNumberFormat="1"/>
    <xf numFmtId="9" fontId="10" fillId="11" borderId="29" xfId="2" applyFont="1" applyFill="1" applyBorder="1" applyAlignment="1" applyProtection="1">
      <alignment horizontal="right"/>
    </xf>
    <xf numFmtId="3" fontId="18" fillId="11" borderId="3" xfId="0" quotePrefix="1" applyNumberFormat="1" applyFont="1" applyFill="1" applyBorder="1" applyAlignment="1">
      <alignment horizontal="left"/>
    </xf>
    <xf numFmtId="0" fontId="0" fillId="0" borderId="29" xfId="0" applyBorder="1"/>
    <xf numFmtId="0" fontId="0" fillId="5" borderId="29" xfId="0" applyFill="1" applyBorder="1"/>
    <xf numFmtId="0" fontId="10" fillId="0" borderId="38" xfId="0" applyFont="1" applyBorder="1" applyAlignment="1">
      <alignment horizontal="right"/>
    </xf>
    <xf numFmtId="0" fontId="3" fillId="0" borderId="38" xfId="0" applyFont="1" applyBorder="1"/>
    <xf numFmtId="0" fontId="3" fillId="0" borderId="29" xfId="0" applyFont="1" applyBorder="1"/>
    <xf numFmtId="0" fontId="3" fillId="5" borderId="29" xfId="0" applyFont="1" applyFill="1" applyBorder="1"/>
    <xf numFmtId="37" fontId="10" fillId="11" borderId="41" xfId="0" applyNumberFormat="1" applyFont="1" applyFill="1" applyBorder="1" applyAlignment="1">
      <alignment horizontal="right"/>
    </xf>
    <xf numFmtId="37" fontId="10" fillId="11" borderId="36" xfId="0" applyNumberFormat="1" applyFont="1" applyFill="1" applyBorder="1" applyAlignment="1">
      <alignment horizontal="right"/>
    </xf>
    <xf numFmtId="175" fontId="10" fillId="11" borderId="32" xfId="2" applyNumberFormat="1" applyFont="1" applyFill="1" applyBorder="1" applyAlignment="1">
      <alignment horizontal="right" vertical="justify"/>
    </xf>
    <xf numFmtId="37" fontId="10" fillId="11" borderId="39" xfId="0" applyNumberFormat="1" applyFont="1" applyFill="1" applyBorder="1" applyAlignment="1">
      <alignment horizontal="right"/>
    </xf>
    <xf numFmtId="2" fontId="0" fillId="11" borderId="0" xfId="0" applyNumberFormat="1" applyFill="1"/>
    <xf numFmtId="0" fontId="0" fillId="8" borderId="0" xfId="0" applyFill="1"/>
    <xf numFmtId="2" fontId="0" fillId="8" borderId="0" xfId="0" applyNumberFormat="1" applyFill="1"/>
    <xf numFmtId="37" fontId="10" fillId="11" borderId="26" xfId="0" applyNumberFormat="1" applyFont="1" applyFill="1" applyBorder="1" applyAlignment="1">
      <alignment horizontal="right"/>
    </xf>
    <xf numFmtId="0" fontId="10" fillId="11" borderId="34" xfId="0" applyFont="1" applyFill="1" applyBorder="1" applyAlignment="1">
      <alignment horizontal="center" vertical="top" wrapText="1"/>
    </xf>
    <xf numFmtId="37" fontId="10" fillId="11" borderId="27" xfId="0" applyNumberFormat="1" applyFont="1" applyFill="1" applyBorder="1" applyAlignment="1">
      <alignment horizontal="right"/>
    </xf>
    <xf numFmtId="0" fontId="14" fillId="4" borderId="9" xfId="0" applyFont="1" applyFill="1" applyBorder="1"/>
    <xf numFmtId="0" fontId="0" fillId="5" borderId="17" xfId="0" applyFill="1" applyBorder="1"/>
    <xf numFmtId="0" fontId="0" fillId="5" borderId="8" xfId="0" applyFill="1" applyBorder="1"/>
    <xf numFmtId="0" fontId="0" fillId="5" borderId="42" xfId="0" applyFill="1" applyBorder="1"/>
    <xf numFmtId="0" fontId="9" fillId="8" borderId="0" xfId="0" applyFont="1" applyFill="1" applyAlignment="1">
      <alignment horizontal="center"/>
    </xf>
    <xf numFmtId="170" fontId="9" fillId="8" borderId="0" xfId="1" applyNumberFormat="1" applyFont="1" applyFill="1" applyBorder="1" applyAlignment="1" applyProtection="1">
      <alignment horizontal="center"/>
    </xf>
    <xf numFmtId="0" fontId="10" fillId="11" borderId="35" xfId="0" applyFont="1" applyFill="1" applyBorder="1" applyAlignment="1">
      <alignment horizontal="center" vertical="top" wrapText="1"/>
    </xf>
    <xf numFmtId="9" fontId="7" fillId="11" borderId="28" xfId="2" applyFont="1" applyFill="1" applyBorder="1" applyAlignment="1" applyProtection="1"/>
    <xf numFmtId="0" fontId="0" fillId="11" borderId="30" xfId="0" applyFill="1" applyBorder="1"/>
    <xf numFmtId="0" fontId="0" fillId="11" borderId="39" xfId="0" applyFill="1" applyBorder="1"/>
    <xf numFmtId="0" fontId="20" fillId="11" borderId="2" xfId="0" applyFont="1" applyFill="1" applyBorder="1" applyAlignment="1">
      <alignment horizontal="center"/>
    </xf>
    <xf numFmtId="0" fontId="0" fillId="11" borderId="3" xfId="0" applyFill="1" applyBorder="1"/>
    <xf numFmtId="0" fontId="10" fillId="11" borderId="40" xfId="0" applyFont="1" applyFill="1" applyBorder="1" applyAlignment="1">
      <alignment horizontal="center" vertical="top" wrapText="1"/>
    </xf>
    <xf numFmtId="0" fontId="10" fillId="11" borderId="2" xfId="0" applyFont="1" applyFill="1" applyBorder="1" applyAlignment="1">
      <alignment horizontal="center" vertical="top"/>
    </xf>
    <xf numFmtId="0" fontId="10" fillId="11" borderId="41" xfId="0" applyFont="1" applyFill="1" applyBorder="1" applyAlignment="1">
      <alignment horizontal="center" vertical="top" wrapText="1"/>
    </xf>
    <xf numFmtId="0" fontId="10" fillId="11" borderId="36" xfId="0" applyFont="1" applyFill="1" applyBorder="1" applyAlignment="1">
      <alignment horizontal="center" vertical="top" wrapText="1"/>
    </xf>
    <xf numFmtId="0" fontId="0" fillId="11" borderId="5" xfId="0" applyFill="1" applyBorder="1"/>
    <xf numFmtId="175" fontId="7" fillId="0" borderId="0" xfId="2" applyNumberFormat="1" applyFont="1" applyFill="1" applyBorder="1" applyAlignment="1">
      <alignment horizontal="right" vertical="justify"/>
    </xf>
    <xf numFmtId="175" fontId="0" fillId="0" borderId="0" xfId="0" applyNumberFormat="1"/>
    <xf numFmtId="0" fontId="10" fillId="11" borderId="6" xfId="0" applyFont="1" applyFill="1" applyBorder="1"/>
    <xf numFmtId="37" fontId="3" fillId="11" borderId="35" xfId="0" applyNumberFormat="1" applyFont="1" applyFill="1" applyBorder="1"/>
    <xf numFmtId="37" fontId="3" fillId="11" borderId="41" xfId="0" applyNumberFormat="1" applyFont="1" applyFill="1" applyBorder="1"/>
    <xf numFmtId="167" fontId="10" fillId="11" borderId="32" xfId="0" quotePrefix="1" applyNumberFormat="1" applyFont="1" applyFill="1" applyBorder="1" applyAlignment="1">
      <alignment horizontal="right"/>
    </xf>
    <xf numFmtId="37" fontId="10" fillId="11" borderId="32" xfId="0" applyNumberFormat="1" applyFont="1" applyFill="1" applyBorder="1" applyAlignment="1">
      <alignment horizontal="right"/>
    </xf>
    <xf numFmtId="0" fontId="3" fillId="11" borderId="34" xfId="0" applyFont="1" applyFill="1" applyBorder="1"/>
    <xf numFmtId="0" fontId="3" fillId="11" borderId="35" xfId="0" applyFont="1" applyFill="1" applyBorder="1"/>
    <xf numFmtId="0" fontId="20" fillId="8" borderId="22" xfId="0" applyFont="1" applyFill="1" applyBorder="1" applyAlignment="1">
      <alignment horizontal="center"/>
    </xf>
    <xf numFmtId="0" fontId="10" fillId="8" borderId="34" xfId="0" applyFont="1" applyFill="1" applyBorder="1" applyAlignment="1">
      <alignment horizontal="center" vertical="top" wrapText="1"/>
    </xf>
    <xf numFmtId="0" fontId="10" fillId="8" borderId="26" xfId="0" applyFont="1" applyFill="1" applyBorder="1" applyAlignment="1">
      <alignment horizontal="center" vertical="top" wrapText="1"/>
    </xf>
    <xf numFmtId="0" fontId="10" fillId="8" borderId="27" xfId="0" applyFont="1" applyFill="1" applyBorder="1" applyAlignment="1">
      <alignment horizontal="center" vertical="top" wrapText="1"/>
    </xf>
    <xf numFmtId="0" fontId="10" fillId="8" borderId="5" xfId="0" applyFont="1" applyFill="1" applyBorder="1" applyAlignment="1">
      <alignment horizontal="center" vertical="top"/>
    </xf>
    <xf numFmtId="0" fontId="3" fillId="8" borderId="1" xfId="0" applyFont="1" applyFill="1" applyBorder="1"/>
    <xf numFmtId="175" fontId="10" fillId="8" borderId="35" xfId="2" applyNumberFormat="1" applyFont="1" applyFill="1" applyBorder="1" applyAlignment="1">
      <alignment horizontal="right" vertical="justify"/>
    </xf>
    <xf numFmtId="0" fontId="10" fillId="8" borderId="2" xfId="0" applyFont="1" applyFill="1" applyBorder="1"/>
    <xf numFmtId="37" fontId="10" fillId="8" borderId="36" xfId="0" applyNumberFormat="1" applyFont="1" applyFill="1" applyBorder="1" applyAlignment="1">
      <alignment horizontal="right"/>
    </xf>
    <xf numFmtId="0" fontId="10" fillId="8" borderId="1" xfId="0" applyFont="1" applyFill="1" applyBorder="1"/>
    <xf numFmtId="37" fontId="10" fillId="8" borderId="33" xfId="0" applyNumberFormat="1" applyFont="1" applyFill="1" applyBorder="1" applyAlignment="1">
      <alignment horizontal="right"/>
    </xf>
    <xf numFmtId="0" fontId="10" fillId="8" borderId="6" xfId="0" applyFont="1" applyFill="1" applyBorder="1"/>
    <xf numFmtId="175" fontId="10" fillId="8" borderId="2" xfId="2" applyNumberFormat="1" applyFont="1" applyFill="1" applyBorder="1" applyAlignment="1">
      <alignment horizontal="right" vertical="justify"/>
    </xf>
    <xf numFmtId="37" fontId="10" fillId="8" borderId="23" xfId="0" applyNumberFormat="1" applyFont="1" applyFill="1" applyBorder="1" applyAlignment="1">
      <alignment horizontal="right"/>
    </xf>
    <xf numFmtId="0" fontId="10" fillId="8" borderId="47" xfId="0" applyFont="1" applyFill="1" applyBorder="1" applyAlignment="1">
      <alignment horizontal="center" vertical="top" wrapText="1"/>
    </xf>
    <xf numFmtId="0" fontId="10" fillId="8" borderId="12" xfId="0" applyFont="1" applyFill="1" applyBorder="1" applyAlignment="1">
      <alignment horizontal="center" vertical="top" wrapText="1"/>
    </xf>
    <xf numFmtId="0" fontId="0" fillId="0" borderId="37" xfId="0" applyBorder="1"/>
    <xf numFmtId="0" fontId="10" fillId="8" borderId="2" xfId="0" applyFont="1" applyFill="1" applyBorder="1" applyAlignment="1">
      <alignment horizontal="right"/>
    </xf>
    <xf numFmtId="168" fontId="7" fillId="8" borderId="2" xfId="0" applyNumberFormat="1" applyFont="1" applyFill="1" applyBorder="1" applyAlignment="1">
      <alignment horizontal="right"/>
    </xf>
    <xf numFmtId="1" fontId="10" fillId="8" borderId="2" xfId="0" applyNumberFormat="1" applyFont="1" applyFill="1" applyBorder="1" applyAlignment="1">
      <alignment horizontal="right"/>
    </xf>
    <xf numFmtId="167" fontId="10" fillId="8" borderId="2" xfId="0" applyNumberFormat="1" applyFont="1" applyFill="1" applyBorder="1" applyAlignment="1">
      <alignment horizontal="right"/>
    </xf>
    <xf numFmtId="0" fontId="0" fillId="8" borderId="2" xfId="0" applyFill="1" applyBorder="1" applyAlignment="1">
      <alignment horizontal="right"/>
    </xf>
    <xf numFmtId="1" fontId="3" fillId="8" borderId="2" xfId="0" applyNumberFormat="1" applyFont="1" applyFill="1" applyBorder="1" applyAlignment="1">
      <alignment horizontal="right"/>
    </xf>
    <xf numFmtId="3" fontId="18" fillId="0" borderId="3" xfId="0" quotePrefix="1" applyNumberFormat="1" applyFont="1" applyBorder="1" applyAlignment="1">
      <alignment horizontal="left"/>
    </xf>
    <xf numFmtId="168" fontId="7" fillId="0" borderId="3" xfId="0" applyNumberFormat="1" applyFont="1" applyBorder="1" applyAlignment="1">
      <alignment horizontal="right"/>
    </xf>
    <xf numFmtId="1" fontId="10" fillId="0" borderId="3" xfId="0" applyNumberFormat="1" applyFont="1" applyBorder="1" applyAlignment="1">
      <alignment horizontal="right"/>
    </xf>
    <xf numFmtId="168" fontId="10" fillId="0" borderId="3" xfId="0" applyNumberFormat="1" applyFont="1" applyBorder="1" applyAlignment="1">
      <alignment horizontal="right"/>
    </xf>
    <xf numFmtId="0" fontId="10" fillId="0" borderId="4" xfId="0" applyFont="1" applyBorder="1"/>
    <xf numFmtId="0" fontId="10" fillId="0" borderId="24" xfId="0" applyFont="1" applyBorder="1"/>
    <xf numFmtId="1" fontId="10" fillId="0" borderId="6" xfId="0" applyNumberFormat="1" applyFont="1" applyBorder="1" applyAlignment="1">
      <alignment horizontal="right"/>
    </xf>
    <xf numFmtId="3" fontId="18" fillId="0" borderId="5" xfId="0" quotePrefix="1" applyNumberFormat="1" applyFont="1" applyBorder="1" applyAlignment="1">
      <alignment horizontal="left"/>
    </xf>
    <xf numFmtId="167" fontId="10" fillId="0" borderId="3" xfId="0" applyNumberFormat="1" applyFont="1" applyBorder="1" applyAlignment="1">
      <alignment horizontal="right"/>
    </xf>
    <xf numFmtId="3" fontId="19" fillId="0" borderId="3" xfId="0" quotePrefix="1" applyNumberFormat="1" applyFont="1" applyBorder="1" applyAlignment="1">
      <alignment horizontal="left"/>
    </xf>
    <xf numFmtId="1" fontId="7" fillId="0" borderId="3" xfId="0" applyNumberFormat="1" applyFont="1" applyBorder="1" applyAlignment="1">
      <alignment horizontal="right"/>
    </xf>
    <xf numFmtId="0" fontId="7" fillId="0" borderId="4" xfId="0" applyFont="1" applyBorder="1"/>
    <xf numFmtId="2" fontId="7" fillId="0" borderId="3" xfId="0" applyNumberFormat="1" applyFont="1" applyBorder="1" applyAlignment="1">
      <alignment horizontal="right"/>
    </xf>
    <xf numFmtId="1" fontId="7" fillId="0" borderId="3" xfId="1" applyNumberFormat="1" applyFont="1" applyFill="1" applyBorder="1" applyAlignment="1" applyProtection="1">
      <alignment horizontal="right"/>
    </xf>
    <xf numFmtId="0" fontId="7" fillId="0" borderId="7" xfId="0" applyFont="1" applyBorder="1"/>
    <xf numFmtId="168" fontId="10" fillId="0" borderId="6" xfId="1" applyNumberFormat="1" applyFont="1" applyFill="1" applyBorder="1" applyAlignment="1" applyProtection="1">
      <alignment horizontal="right"/>
    </xf>
    <xf numFmtId="1" fontId="0" fillId="0" borderId="6" xfId="0" applyNumberFormat="1" applyBorder="1" applyAlignment="1">
      <alignment horizontal="right"/>
    </xf>
    <xf numFmtId="37" fontId="7" fillId="0" borderId="28" xfId="0" applyNumberFormat="1" applyFont="1" applyBorder="1" applyAlignment="1">
      <alignment horizontal="right"/>
    </xf>
    <xf numFmtId="0" fontId="7" fillId="0" borderId="29" xfId="0" applyFont="1" applyBorder="1" applyAlignment="1">
      <alignment horizontal="right"/>
    </xf>
    <xf numFmtId="37" fontId="7" fillId="0" borderId="29" xfId="0" applyNumberFormat="1" applyFont="1" applyBorder="1" applyAlignment="1">
      <alignment horizontal="right"/>
    </xf>
    <xf numFmtId="9" fontId="7" fillId="0" borderId="29" xfId="2" applyFont="1" applyFill="1" applyBorder="1" applyAlignment="1">
      <alignment horizontal="right" vertical="justify"/>
    </xf>
    <xf numFmtId="175" fontId="10" fillId="0" borderId="39" xfId="2" applyNumberFormat="1" applyFont="1" applyFill="1" applyBorder="1" applyAlignment="1">
      <alignment horizontal="right" vertical="justify"/>
    </xf>
    <xf numFmtId="168" fontId="10" fillId="0" borderId="29" xfId="0" applyNumberFormat="1" applyFont="1" applyBorder="1" applyAlignment="1">
      <alignment horizontal="right"/>
    </xf>
    <xf numFmtId="9" fontId="7" fillId="0" borderId="29" xfId="2" applyFont="1" applyFill="1" applyBorder="1" applyAlignment="1" applyProtection="1">
      <alignment horizontal="right"/>
    </xf>
    <xf numFmtId="173" fontId="7" fillId="0" borderId="29" xfId="1" applyNumberFormat="1" applyFont="1" applyFill="1" applyBorder="1" applyAlignment="1">
      <alignment horizontal="right"/>
    </xf>
    <xf numFmtId="167" fontId="7" fillId="0" borderId="29" xfId="0" applyNumberFormat="1" applyFont="1" applyBorder="1" applyAlignment="1">
      <alignment horizontal="right" vertical="justify"/>
    </xf>
    <xf numFmtId="175" fontId="7" fillId="0" borderId="29" xfId="2" applyNumberFormat="1" applyFont="1" applyFill="1" applyBorder="1" applyAlignment="1">
      <alignment horizontal="right"/>
    </xf>
    <xf numFmtId="43" fontId="7" fillId="0" borderId="29" xfId="1" applyFont="1" applyFill="1" applyBorder="1" applyAlignment="1">
      <alignment horizontal="right"/>
    </xf>
    <xf numFmtId="167" fontId="7" fillId="0" borderId="29" xfId="0" applyNumberFormat="1" applyFont="1" applyBorder="1" applyAlignment="1">
      <alignment horizontal="right"/>
    </xf>
    <xf numFmtId="167" fontId="7" fillId="0" borderId="39" xfId="0" applyNumberFormat="1" applyFont="1" applyBorder="1" applyAlignment="1">
      <alignment horizontal="right"/>
    </xf>
    <xf numFmtId="4" fontId="7" fillId="0" borderId="29" xfId="0" applyNumberFormat="1" applyFont="1" applyBorder="1" applyAlignment="1">
      <alignment horizontal="right"/>
    </xf>
    <xf numFmtId="175" fontId="7" fillId="0" borderId="29" xfId="2" applyNumberFormat="1" applyFont="1" applyFill="1" applyBorder="1" applyAlignment="1">
      <alignment horizontal="right" vertical="justify"/>
    </xf>
    <xf numFmtId="37" fontId="7" fillId="0" borderId="39" xfId="0" applyNumberFormat="1" applyFont="1" applyBorder="1" applyAlignment="1">
      <alignment horizontal="right"/>
    </xf>
    <xf numFmtId="37" fontId="7" fillId="0" borderId="30" xfId="0" applyNumberFormat="1" applyFont="1" applyBorder="1" applyAlignment="1">
      <alignment horizontal="right"/>
    </xf>
    <xf numFmtId="172" fontId="10" fillId="0" borderId="29" xfId="1" applyNumberFormat="1" applyFont="1" applyFill="1" applyBorder="1" applyAlignment="1" applyProtection="1">
      <alignment horizontal="right"/>
    </xf>
    <xf numFmtId="37" fontId="10" fillId="0" borderId="30" xfId="0" applyNumberFormat="1" applyFont="1" applyBorder="1" applyAlignment="1">
      <alignment horizontal="right"/>
    </xf>
    <xf numFmtId="3" fontId="19" fillId="0" borderId="4" xfId="0" quotePrefix="1" applyNumberFormat="1" applyFont="1" applyBorder="1" applyAlignment="1">
      <alignment horizontal="left"/>
    </xf>
    <xf numFmtId="9" fontId="7" fillId="0" borderId="29" xfId="0" applyNumberFormat="1" applyFont="1" applyBorder="1" applyAlignment="1">
      <alignment horizontal="right"/>
    </xf>
    <xf numFmtId="39" fontId="7" fillId="0" borderId="29" xfId="0" applyNumberFormat="1" applyFont="1" applyBorder="1" applyAlignment="1">
      <alignment horizontal="right"/>
    </xf>
    <xf numFmtId="2" fontId="7" fillId="0" borderId="28" xfId="0" applyNumberFormat="1" applyFont="1" applyBorder="1" applyAlignment="1">
      <alignment horizontal="right"/>
    </xf>
    <xf numFmtId="2" fontId="7" fillId="0" borderId="29" xfId="0" applyNumberFormat="1" applyFont="1" applyBorder="1" applyAlignment="1">
      <alignment horizontal="right"/>
    </xf>
    <xf numFmtId="167" fontId="7" fillId="0" borderId="32" xfId="0" applyNumberFormat="1" applyFont="1" applyBorder="1" applyAlignment="1">
      <alignment horizontal="right"/>
    </xf>
    <xf numFmtId="175" fontId="7" fillId="0" borderId="32" xfId="2" applyNumberFormat="1" applyFont="1" applyFill="1" applyBorder="1" applyAlignment="1">
      <alignment horizontal="right" vertical="justify"/>
    </xf>
    <xf numFmtId="37" fontId="7" fillId="0" borderId="33" xfId="0" applyNumberFormat="1" applyFont="1" applyBorder="1" applyAlignment="1">
      <alignment horizontal="right"/>
    </xf>
    <xf numFmtId="37" fontId="10" fillId="0" borderId="11" xfId="0" applyNumberFormat="1" applyFont="1" applyBorder="1" applyAlignment="1">
      <alignment horizontal="right"/>
    </xf>
    <xf numFmtId="175" fontId="10" fillId="0" borderId="3" xfId="2" applyNumberFormat="1" applyFont="1" applyFill="1" applyBorder="1" applyAlignment="1">
      <alignment horizontal="right" vertical="justify"/>
    </xf>
    <xf numFmtId="9" fontId="7" fillId="0" borderId="28" xfId="2" applyFont="1" applyFill="1" applyBorder="1" applyAlignment="1" applyProtection="1">
      <alignment horizontal="right"/>
    </xf>
    <xf numFmtId="37" fontId="10" fillId="0" borderId="12" xfId="0" applyNumberFormat="1" applyFont="1" applyBorder="1" applyAlignment="1">
      <alignment horizontal="right"/>
    </xf>
    <xf numFmtId="37" fontId="7" fillId="0" borderId="11" xfId="0" applyNumberFormat="1" applyFont="1" applyBorder="1" applyAlignment="1">
      <alignment horizontal="right"/>
    </xf>
    <xf numFmtId="175" fontId="22" fillId="0" borderId="6" xfId="2" applyNumberFormat="1" applyFont="1" applyFill="1" applyBorder="1" applyAlignment="1"/>
    <xf numFmtId="0" fontId="8" fillId="0" borderId="15" xfId="0" applyFont="1" applyBorder="1"/>
    <xf numFmtId="168" fontId="8" fillId="0" borderId="6" xfId="0" applyNumberFormat="1" applyFont="1" applyBorder="1" applyAlignment="1">
      <alignment horizontal="center"/>
    </xf>
    <xf numFmtId="173" fontId="7" fillId="0" borderId="28" xfId="1" applyNumberFormat="1" applyFont="1" applyFill="1" applyBorder="1" applyAlignment="1">
      <alignment horizontal="center"/>
    </xf>
    <xf numFmtId="173" fontId="7" fillId="0" borderId="29" xfId="1" applyNumberFormat="1" applyFont="1" applyFill="1" applyBorder="1" applyAlignment="1">
      <alignment horizontal="center"/>
    </xf>
    <xf numFmtId="0" fontId="0" fillId="0" borderId="3" xfId="0" applyBorder="1"/>
    <xf numFmtId="0" fontId="0" fillId="0" borderId="39" xfId="0" applyBorder="1"/>
    <xf numFmtId="0" fontId="0" fillId="0" borderId="30" xfId="0" applyBorder="1"/>
    <xf numFmtId="175" fontId="7" fillId="0" borderId="31" xfId="2" applyNumberFormat="1" applyFont="1" applyFill="1" applyBorder="1" applyAlignment="1"/>
    <xf numFmtId="175" fontId="7" fillId="0" borderId="32" xfId="2" applyNumberFormat="1" applyFont="1" applyFill="1" applyBorder="1" applyAlignment="1"/>
    <xf numFmtId="0" fontId="0" fillId="0" borderId="32" xfId="0" applyBorder="1"/>
    <xf numFmtId="0" fontId="0" fillId="0" borderId="44" xfId="0" applyBorder="1"/>
    <xf numFmtId="0" fontId="0" fillId="0" borderId="6" xfId="0" applyBorder="1"/>
    <xf numFmtId="0" fontId="0" fillId="0" borderId="45" xfId="0" applyBorder="1"/>
    <xf numFmtId="0" fontId="0" fillId="0" borderId="33" xfId="0" applyBorder="1"/>
    <xf numFmtId="0" fontId="20" fillId="8" borderId="2" xfId="0" applyFont="1" applyFill="1" applyBorder="1" applyAlignment="1">
      <alignment horizontal="center"/>
    </xf>
    <xf numFmtId="0" fontId="0" fillId="8" borderId="0" xfId="0" applyFill="1" applyAlignment="1">
      <alignment horizontal="right"/>
    </xf>
    <xf numFmtId="0" fontId="10" fillId="8" borderId="35" xfId="0" applyFont="1" applyFill="1" applyBorder="1" applyAlignment="1">
      <alignment horizontal="center" vertical="top" wrapText="1"/>
    </xf>
    <xf numFmtId="0" fontId="10" fillId="8" borderId="40" xfId="0" applyFont="1" applyFill="1" applyBorder="1" applyAlignment="1">
      <alignment horizontal="center" vertical="top" wrapText="1"/>
    </xf>
    <xf numFmtId="0" fontId="10" fillId="8" borderId="2" xfId="0" applyFont="1" applyFill="1" applyBorder="1" applyAlignment="1">
      <alignment horizontal="center" vertical="top"/>
    </xf>
    <xf numFmtId="0" fontId="10" fillId="8" borderId="41" xfId="0" applyFont="1" applyFill="1" applyBorder="1" applyAlignment="1">
      <alignment horizontal="center" vertical="top" wrapText="1"/>
    </xf>
    <xf numFmtId="0" fontId="10" fillId="8" borderId="36" xfId="0" applyFont="1" applyFill="1" applyBorder="1" applyAlignment="1">
      <alignment horizontal="center" vertical="top" wrapText="1"/>
    </xf>
    <xf numFmtId="9" fontId="7" fillId="8" borderId="28" xfId="2" applyFont="1" applyFill="1" applyBorder="1" applyAlignment="1" applyProtection="1"/>
    <xf numFmtId="0" fontId="0" fillId="8" borderId="3" xfId="0" applyFill="1" applyBorder="1"/>
    <xf numFmtId="0" fontId="0" fillId="8" borderId="39" xfId="0" applyFill="1" applyBorder="1"/>
    <xf numFmtId="0" fontId="0" fillId="8" borderId="30" xfId="0" applyFill="1" applyBorder="1"/>
    <xf numFmtId="0" fontId="0" fillId="8" borderId="5" xfId="0" applyFill="1" applyBorder="1"/>
    <xf numFmtId="0" fontId="10" fillId="8" borderId="5" xfId="0" applyFont="1" applyFill="1" applyBorder="1"/>
    <xf numFmtId="9" fontId="7" fillId="8" borderId="3" xfId="2" applyFont="1" applyFill="1" applyBorder="1" applyAlignment="1" applyProtection="1"/>
    <xf numFmtId="0" fontId="8" fillId="11" borderId="0" xfId="0" applyFont="1" applyFill="1"/>
    <xf numFmtId="0" fontId="24" fillId="0" borderId="0" xfId="0" applyFont="1" applyAlignment="1">
      <alignment horizontal="left" vertical="center"/>
    </xf>
    <xf numFmtId="0" fontId="25" fillId="0" borderId="0" xfId="0" applyFont="1" applyAlignment="1">
      <alignment horizontal="left" vertical="center"/>
    </xf>
    <xf numFmtId="0" fontId="26" fillId="0" borderId="0" xfId="0" applyFont="1" applyAlignment="1">
      <alignment horizontal="left" vertical="center"/>
    </xf>
    <xf numFmtId="0" fontId="27" fillId="0" borderId="0" xfId="0" applyFont="1" applyAlignment="1">
      <alignment horizontal="left" vertical="center"/>
    </xf>
    <xf numFmtId="0" fontId="3" fillId="0" borderId="46" xfId="0" applyFont="1" applyBorder="1" applyAlignment="1">
      <alignment horizontal="right"/>
    </xf>
    <xf numFmtId="0" fontId="0" fillId="0" borderId="19" xfId="0" applyBorder="1" applyAlignment="1">
      <alignment horizontal="right"/>
    </xf>
    <xf numFmtId="0" fontId="12" fillId="0" borderId="19" xfId="0" applyFont="1" applyBorder="1" applyAlignment="1">
      <alignment horizontal="right"/>
    </xf>
    <xf numFmtId="0" fontId="0" fillId="15" borderId="0" xfId="0" applyFill="1"/>
    <xf numFmtId="0" fontId="36" fillId="16" borderId="0" xfId="0" applyFont="1" applyFill="1"/>
    <xf numFmtId="0" fontId="0" fillId="0" borderId="43" xfId="0" applyBorder="1" applyAlignment="1">
      <alignment horizontal="right"/>
    </xf>
    <xf numFmtId="169" fontId="0" fillId="0" borderId="29" xfId="0" applyNumberFormat="1" applyBorder="1"/>
    <xf numFmtId="0" fontId="7" fillId="0" borderId="0" xfId="0" applyFont="1"/>
    <xf numFmtId="175" fontId="10" fillId="11" borderId="36" xfId="2" applyNumberFormat="1" applyFont="1" applyFill="1" applyBorder="1" applyAlignment="1">
      <alignment horizontal="right" vertical="justify"/>
    </xf>
    <xf numFmtId="167" fontId="7" fillId="11" borderId="29" xfId="0" applyNumberFormat="1" applyFont="1" applyFill="1" applyBorder="1" applyAlignment="1">
      <alignment horizontal="right"/>
    </xf>
    <xf numFmtId="175" fontId="7" fillId="0" borderId="33" xfId="2" applyNumberFormat="1" applyFont="1" applyFill="1" applyBorder="1" applyAlignment="1">
      <alignment horizontal="right" vertical="justify"/>
    </xf>
    <xf numFmtId="175" fontId="10" fillId="11" borderId="33" xfId="2" applyNumberFormat="1" applyFont="1" applyFill="1" applyBorder="1" applyAlignment="1">
      <alignment horizontal="right" vertical="justify"/>
    </xf>
    <xf numFmtId="0" fontId="10" fillId="11" borderId="35" xfId="0" applyFont="1" applyFill="1" applyBorder="1" applyAlignment="1">
      <alignment horizontal="right"/>
    </xf>
    <xf numFmtId="0" fontId="10" fillId="11" borderId="41" xfId="0" applyFont="1" applyFill="1" applyBorder="1" applyAlignment="1">
      <alignment horizontal="right"/>
    </xf>
    <xf numFmtId="0" fontId="3" fillId="11" borderId="41" xfId="0" applyFont="1" applyFill="1" applyBorder="1"/>
    <xf numFmtId="2" fontId="10" fillId="11" borderId="41" xfId="0" applyNumberFormat="1" applyFont="1" applyFill="1" applyBorder="1" applyAlignment="1">
      <alignment horizontal="right"/>
    </xf>
    <xf numFmtId="37" fontId="7" fillId="11" borderId="39" xfId="0" applyNumberFormat="1" applyFont="1" applyFill="1" applyBorder="1" applyAlignment="1">
      <alignment horizontal="right"/>
    </xf>
    <xf numFmtId="2" fontId="7" fillId="11" borderId="39" xfId="0" applyNumberFormat="1" applyFont="1" applyFill="1" applyBorder="1" applyAlignment="1">
      <alignment horizontal="right"/>
    </xf>
    <xf numFmtId="2" fontId="7" fillId="0" borderId="39" xfId="0" applyNumberFormat="1" applyFont="1" applyBorder="1" applyAlignment="1">
      <alignment horizontal="right"/>
    </xf>
    <xf numFmtId="2" fontId="10" fillId="11" borderId="39" xfId="0" applyNumberFormat="1" applyFont="1" applyFill="1" applyBorder="1" applyAlignment="1">
      <alignment horizontal="right"/>
    </xf>
    <xf numFmtId="2" fontId="7" fillId="0" borderId="45" xfId="0" applyNumberFormat="1" applyFont="1" applyBorder="1" applyAlignment="1">
      <alignment horizontal="right"/>
    </xf>
    <xf numFmtId="2" fontId="7" fillId="11" borderId="45" xfId="0" applyNumberFormat="1" applyFont="1" applyFill="1" applyBorder="1" applyAlignment="1">
      <alignment horizontal="right"/>
    </xf>
    <xf numFmtId="3" fontId="7" fillId="0" borderId="29" xfId="2" applyNumberFormat="1" applyFont="1" applyFill="1" applyBorder="1" applyAlignment="1">
      <alignment horizontal="right" vertical="justify"/>
    </xf>
    <xf numFmtId="3" fontId="7" fillId="0" borderId="29" xfId="0" applyNumberFormat="1" applyFont="1" applyBorder="1" applyAlignment="1">
      <alignment horizontal="right"/>
    </xf>
    <xf numFmtId="3" fontId="7" fillId="0" borderId="29" xfId="2" applyNumberFormat="1" applyFont="1" applyFill="1" applyBorder="1" applyAlignment="1" applyProtection="1">
      <alignment horizontal="right"/>
    </xf>
    <xf numFmtId="3" fontId="7" fillId="0" borderId="29" xfId="1" applyNumberFormat="1" applyFont="1" applyFill="1" applyBorder="1" applyAlignment="1">
      <alignment horizontal="right"/>
    </xf>
    <xf numFmtId="3" fontId="7" fillId="0" borderId="29" xfId="2" applyNumberFormat="1" applyFont="1" applyFill="1" applyBorder="1" applyAlignment="1">
      <alignment horizontal="right"/>
    </xf>
    <xf numFmtId="171" fontId="7" fillId="11" borderId="29" xfId="0" applyNumberFormat="1" applyFont="1" applyFill="1" applyBorder="1" applyAlignment="1">
      <alignment horizontal="right"/>
    </xf>
    <xf numFmtId="175" fontId="10" fillId="8" borderId="2" xfId="0" applyNumberFormat="1" applyFont="1" applyFill="1" applyBorder="1" applyAlignment="1">
      <alignment horizontal="right"/>
    </xf>
    <xf numFmtId="1" fontId="0" fillId="0" borderId="0" xfId="0" applyNumberFormat="1" applyAlignment="1">
      <alignment horizontal="right"/>
    </xf>
    <xf numFmtId="1" fontId="3" fillId="0" borderId="0" xfId="0" applyNumberFormat="1" applyFont="1" applyAlignment="1">
      <alignment horizontal="right"/>
    </xf>
    <xf numFmtId="175" fontId="10" fillId="0" borderId="3" xfId="0" applyNumberFormat="1" applyFont="1" applyBorder="1" applyAlignment="1">
      <alignment horizontal="right"/>
    </xf>
    <xf numFmtId="175" fontId="3" fillId="8" borderId="2" xfId="0" applyNumberFormat="1" applyFont="1" applyFill="1" applyBorder="1" applyAlignment="1">
      <alignment horizontal="right"/>
    </xf>
    <xf numFmtId="0" fontId="10" fillId="11" borderId="3" xfId="0" applyFont="1" applyFill="1" applyBorder="1"/>
    <xf numFmtId="0" fontId="7" fillId="0" borderId="3" xfId="0" applyFont="1" applyBorder="1"/>
    <xf numFmtId="0" fontId="7" fillId="0" borderId="6" xfId="0" applyFont="1" applyBorder="1"/>
    <xf numFmtId="169" fontId="0" fillId="5" borderId="29" xfId="0" applyNumberFormat="1" applyFill="1" applyBorder="1"/>
    <xf numFmtId="0" fontId="10" fillId="11" borderId="21" xfId="0" applyFont="1" applyFill="1" applyBorder="1"/>
    <xf numFmtId="0" fontId="5" fillId="0" borderId="29" xfId="0" applyFont="1" applyBorder="1"/>
    <xf numFmtId="4" fontId="7" fillId="11" borderId="29" xfId="0" applyNumberFormat="1" applyFont="1" applyFill="1" applyBorder="1" applyAlignment="1">
      <alignment horizontal="right"/>
    </xf>
    <xf numFmtId="43" fontId="10" fillId="11" borderId="31" xfId="1" applyFont="1" applyFill="1" applyBorder="1" applyAlignment="1">
      <alignment horizontal="right"/>
    </xf>
    <xf numFmtId="43" fontId="10" fillId="11" borderId="32" xfId="1" applyFont="1" applyFill="1" applyBorder="1" applyAlignment="1">
      <alignment horizontal="right"/>
    </xf>
    <xf numFmtId="3" fontId="10" fillId="11" borderId="32" xfId="2" applyNumberFormat="1" applyFont="1" applyFill="1" applyBorder="1" applyAlignment="1">
      <alignment horizontal="right" vertical="justify"/>
    </xf>
    <xf numFmtId="3" fontId="10" fillId="11" borderId="32" xfId="1" applyNumberFormat="1" applyFont="1" applyFill="1" applyBorder="1" applyAlignment="1">
      <alignment horizontal="right"/>
    </xf>
    <xf numFmtId="3" fontId="10" fillId="11" borderId="32" xfId="0" applyNumberFormat="1" applyFont="1" applyFill="1" applyBorder="1" applyAlignment="1">
      <alignment horizontal="right"/>
    </xf>
    <xf numFmtId="0" fontId="3" fillId="0" borderId="59" xfId="0" applyFont="1" applyBorder="1"/>
    <xf numFmtId="0" fontId="0" fillId="5" borderId="55" xfId="0" applyFill="1" applyBorder="1"/>
    <xf numFmtId="0" fontId="3" fillId="0" borderId="43" xfId="0" applyFont="1" applyBorder="1"/>
    <xf numFmtId="0" fontId="0" fillId="0" borderId="60" xfId="0" applyBorder="1"/>
    <xf numFmtId="0" fontId="0" fillId="2" borderId="60" xfId="0" applyFill="1" applyBorder="1"/>
    <xf numFmtId="0" fontId="0" fillId="15" borderId="60" xfId="0" applyFill="1" applyBorder="1"/>
    <xf numFmtId="0" fontId="0" fillId="9" borderId="60" xfId="0" applyFill="1" applyBorder="1"/>
    <xf numFmtId="0" fontId="0" fillId="10" borderId="55" xfId="0" applyFill="1" applyBorder="1"/>
    <xf numFmtId="0" fontId="14" fillId="13" borderId="13" xfId="0" applyFont="1" applyFill="1" applyBorder="1"/>
    <xf numFmtId="0" fontId="7" fillId="0" borderId="60" xfId="0" applyFont="1" applyBorder="1"/>
    <xf numFmtId="0" fontId="10" fillId="8" borderId="16" xfId="0" applyFont="1" applyFill="1" applyBorder="1"/>
    <xf numFmtId="170" fontId="10" fillId="8" borderId="5" xfId="1" applyNumberFormat="1" applyFont="1" applyFill="1" applyBorder="1" applyAlignment="1" applyProtection="1">
      <alignment horizontal="center"/>
    </xf>
    <xf numFmtId="0" fontId="0" fillId="3" borderId="55" xfId="0" applyFill="1" applyBorder="1"/>
    <xf numFmtId="0" fontId="14" fillId="4" borderId="9" xfId="0" applyFont="1" applyFill="1" applyBorder="1" applyAlignment="1">
      <alignment horizontal="fill"/>
    </xf>
    <xf numFmtId="9" fontId="7" fillId="11" borderId="60" xfId="2" applyFont="1" applyFill="1" applyBorder="1" applyAlignment="1" applyProtection="1"/>
    <xf numFmtId="0" fontId="0" fillId="11" borderId="60" xfId="0" applyFill="1" applyBorder="1"/>
    <xf numFmtId="0" fontId="0" fillId="11" borderId="59" xfId="0" applyFill="1" applyBorder="1"/>
    <xf numFmtId="173" fontId="7" fillId="0" borderId="60" xfId="1" applyNumberFormat="1" applyFont="1" applyFill="1" applyBorder="1" applyAlignment="1">
      <alignment horizontal="center"/>
    </xf>
    <xf numFmtId="0" fontId="0" fillId="0" borderId="59" xfId="0" applyBorder="1"/>
    <xf numFmtId="0" fontId="9" fillId="8" borderId="61" xfId="0" applyFont="1" applyFill="1" applyBorder="1"/>
    <xf numFmtId="9" fontId="7" fillId="8" borderId="60" xfId="2" applyFont="1" applyFill="1" applyBorder="1" applyAlignment="1" applyProtection="1"/>
    <xf numFmtId="0" fontId="0" fillId="8" borderId="60" xfId="0" applyFill="1" applyBorder="1"/>
    <xf numFmtId="0" fontId="0" fillId="8" borderId="59" xfId="0" applyFill="1" applyBorder="1"/>
    <xf numFmtId="0" fontId="8" fillId="0" borderId="62" xfId="0" applyFont="1" applyBorder="1"/>
    <xf numFmtId="0" fontId="3" fillId="0" borderId="63" xfId="0" applyFont="1" applyBorder="1"/>
    <xf numFmtId="0" fontId="0" fillId="0" borderId="64" xfId="0" applyBorder="1"/>
    <xf numFmtId="0" fontId="0" fillId="0" borderId="65" xfId="0" applyBorder="1"/>
    <xf numFmtId="39" fontId="7" fillId="0" borderId="39" xfId="0" applyNumberFormat="1" applyFont="1" applyBorder="1" applyAlignment="1">
      <alignment horizontal="right"/>
    </xf>
    <xf numFmtId="175" fontId="5" fillId="0" borderId="0" xfId="0" applyNumberFormat="1" applyFont="1"/>
    <xf numFmtId="3" fontId="0" fillId="0" borderId="3" xfId="0" applyNumberFormat="1" applyBorder="1"/>
    <xf numFmtId="3" fontId="10" fillId="8" borderId="2" xfId="0" applyNumberFormat="1" applyFont="1" applyFill="1" applyBorder="1" applyAlignment="1">
      <alignment horizontal="right"/>
    </xf>
    <xf numFmtId="3" fontId="7" fillId="0" borderId="3" xfId="0" applyNumberFormat="1" applyFont="1" applyBorder="1" applyAlignment="1">
      <alignment horizontal="right"/>
    </xf>
    <xf numFmtId="3" fontId="10" fillId="0" borderId="3" xfId="0" applyNumberFormat="1" applyFont="1" applyBorder="1" applyAlignment="1">
      <alignment horizontal="right"/>
    </xf>
    <xf numFmtId="3" fontId="10" fillId="0" borderId="6" xfId="0" applyNumberFormat="1" applyFont="1" applyBorder="1" applyAlignment="1">
      <alignment horizontal="right"/>
    </xf>
    <xf numFmtId="3" fontId="7" fillId="0" borderId="3" xfId="1" applyNumberFormat="1" applyFont="1" applyFill="1" applyBorder="1" applyAlignment="1" applyProtection="1">
      <alignment horizontal="right"/>
    </xf>
    <xf numFmtId="3" fontId="0" fillId="0" borderId="6" xfId="0" applyNumberFormat="1" applyBorder="1" applyAlignment="1">
      <alignment horizontal="right"/>
    </xf>
    <xf numFmtId="3" fontId="3" fillId="8" borderId="2" xfId="0" applyNumberFormat="1" applyFont="1" applyFill="1" applyBorder="1" applyAlignment="1">
      <alignment horizontal="right"/>
    </xf>
    <xf numFmtId="175" fontId="0" fillId="0" borderId="3" xfId="0" applyNumberFormat="1" applyBorder="1"/>
    <xf numFmtId="0" fontId="11" fillId="0" borderId="19" xfId="0" applyFont="1" applyBorder="1"/>
    <xf numFmtId="0" fontId="0" fillId="0" borderId="19" xfId="0" applyBorder="1"/>
    <xf numFmtId="0" fontId="3" fillId="0" borderId="56" xfId="0" applyFont="1" applyBorder="1"/>
    <xf numFmtId="0" fontId="11" fillId="0" borderId="67" xfId="0" applyFont="1" applyBorder="1"/>
    <xf numFmtId="0" fontId="41" fillId="0" borderId="0" xfId="0" applyFont="1"/>
    <xf numFmtId="0" fontId="42" fillId="0" borderId="0" xfId="0" applyFont="1"/>
    <xf numFmtId="0" fontId="43" fillId="0" borderId="0" xfId="0" quotePrefix="1" applyFont="1" applyAlignment="1">
      <alignment horizontal="fill"/>
    </xf>
    <xf numFmtId="0" fontId="43" fillId="0" borderId="0" xfId="0" applyFont="1" applyAlignment="1">
      <alignment horizontal="fill"/>
    </xf>
    <xf numFmtId="0" fontId="43" fillId="0" borderId="0" xfId="0" applyFont="1"/>
    <xf numFmtId="0" fontId="44" fillId="0" borderId="0" xfId="0" applyFont="1" applyAlignment="1">
      <alignment horizontal="fill"/>
    </xf>
    <xf numFmtId="0" fontId="44" fillId="0" borderId="0" xfId="0" applyFont="1" applyAlignment="1">
      <alignment shrinkToFit="1"/>
    </xf>
    <xf numFmtId="0" fontId="44" fillId="0" borderId="0" xfId="0" applyFont="1"/>
    <xf numFmtId="175" fontId="49" fillId="0" borderId="0" xfId="4" applyNumberFormat="1" applyFont="1" applyFill="1" applyBorder="1" applyAlignment="1">
      <alignment horizontal="left"/>
    </xf>
    <xf numFmtId="0" fontId="44" fillId="0" borderId="0" xfId="0" applyFont="1" applyAlignment="1">
      <alignment horizontal="left"/>
    </xf>
    <xf numFmtId="0" fontId="50" fillId="0" borderId="0" xfId="0" applyFont="1"/>
    <xf numFmtId="0" fontId="48" fillId="13" borderId="0" xfId="0" applyFont="1" applyFill="1" applyAlignment="1">
      <alignment horizontal="fill"/>
    </xf>
    <xf numFmtId="0" fontId="43" fillId="0" borderId="0" xfId="0" applyFont="1" applyAlignment="1">
      <alignment horizontal="left"/>
    </xf>
    <xf numFmtId="0" fontId="48" fillId="6" borderId="0" xfId="0" applyFont="1" applyFill="1"/>
    <xf numFmtId="0" fontId="43" fillId="0" borderId="0" xfId="0" quotePrefix="1" applyFont="1"/>
    <xf numFmtId="0" fontId="48" fillId="4" borderId="0" xfId="0" applyFont="1" applyFill="1" applyAlignment="1">
      <alignment horizontal="left"/>
    </xf>
    <xf numFmtId="0" fontId="44" fillId="0" borderId="0" xfId="0" applyFont="1" applyAlignment="1">
      <alignment horizontal="left" shrinkToFit="1"/>
    </xf>
    <xf numFmtId="169" fontId="44" fillId="0" borderId="0" xfId="0" applyNumberFormat="1" applyFont="1" applyAlignment="1">
      <alignment horizontal="left"/>
    </xf>
    <xf numFmtId="0" fontId="44" fillId="0" borderId="68" xfId="0" applyFont="1" applyBorder="1" applyAlignment="1">
      <alignment horizontal="left"/>
    </xf>
    <xf numFmtId="0" fontId="43" fillId="0" borderId="68" xfId="0" quotePrefix="1" applyFont="1" applyBorder="1"/>
    <xf numFmtId="0" fontId="43" fillId="0" borderId="68" xfId="0" quotePrefix="1" applyFont="1" applyBorder="1" applyAlignment="1">
      <alignment horizontal="fill"/>
    </xf>
    <xf numFmtId="0" fontId="11" fillId="0" borderId="69" xfId="0" applyFont="1" applyBorder="1"/>
    <xf numFmtId="0" fontId="5" fillId="0" borderId="70" xfId="0" applyFont="1" applyBorder="1"/>
    <xf numFmtId="0" fontId="0" fillId="0" borderId="70" xfId="0" applyBorder="1"/>
    <xf numFmtId="0" fontId="44" fillId="0" borderId="75" xfId="0" applyFont="1" applyBorder="1" applyAlignment="1">
      <alignment horizontal="fill"/>
    </xf>
    <xf numFmtId="1" fontId="3" fillId="0" borderId="69" xfId="0" applyNumberFormat="1" applyFont="1" applyBorder="1" applyAlignment="1">
      <alignment horizontal="left"/>
    </xf>
    <xf numFmtId="0" fontId="0" fillId="0" borderId="70" xfId="0" applyBorder="1" applyAlignment="1">
      <alignment horizontal="right"/>
    </xf>
    <xf numFmtId="1" fontId="3" fillId="0" borderId="70" xfId="0" applyNumberFormat="1" applyFont="1" applyBorder="1" applyAlignment="1">
      <alignment horizontal="right"/>
    </xf>
    <xf numFmtId="175" fontId="46" fillId="0" borderId="29" xfId="2" applyNumberFormat="1" applyFont="1" applyFill="1" applyBorder="1" applyAlignment="1">
      <alignment horizontal="right" vertical="justify"/>
    </xf>
    <xf numFmtId="168" fontId="10" fillId="0" borderId="0" xfId="1" applyNumberFormat="1" applyFont="1" applyFill="1" applyBorder="1" applyAlignment="1" applyProtection="1">
      <alignment horizontal="right"/>
    </xf>
    <xf numFmtId="3" fontId="0" fillId="0" borderId="0" xfId="0" applyNumberFormat="1" applyAlignment="1">
      <alignment horizontal="right"/>
    </xf>
    <xf numFmtId="3" fontId="19" fillId="0" borderId="3" xfId="0" quotePrefix="1" applyNumberFormat="1" applyFont="1" applyBorder="1" applyAlignment="1">
      <alignment horizontal="right"/>
    </xf>
    <xf numFmtId="0" fontId="0" fillId="0" borderId="72" xfId="0" applyBorder="1"/>
    <xf numFmtId="0" fontId="55" fillId="11" borderId="0" xfId="0" applyFont="1" applyFill="1"/>
    <xf numFmtId="3" fontId="19" fillId="0" borderId="6" xfId="0" quotePrefix="1" applyNumberFormat="1" applyFont="1" applyBorder="1" applyAlignment="1">
      <alignment horizontal="left"/>
    </xf>
    <xf numFmtId="168" fontId="7" fillId="0" borderId="6" xfId="0" applyNumberFormat="1" applyFont="1" applyBorder="1" applyAlignment="1">
      <alignment horizontal="right"/>
    </xf>
    <xf numFmtId="1" fontId="47" fillId="8" borderId="2" xfId="0" applyNumberFormat="1" applyFont="1" applyFill="1" applyBorder="1" applyAlignment="1">
      <alignment horizontal="right"/>
    </xf>
    <xf numFmtId="1" fontId="0" fillId="0" borderId="72" xfId="0" applyNumberFormat="1" applyBorder="1" applyAlignment="1">
      <alignment horizontal="left"/>
    </xf>
    <xf numFmtId="1" fontId="36" fillId="0" borderId="70" xfId="0" applyNumberFormat="1" applyFont="1" applyBorder="1" applyAlignment="1">
      <alignment horizontal="right"/>
    </xf>
    <xf numFmtId="0" fontId="36" fillId="0" borderId="70" xfId="0" applyFont="1" applyBorder="1" applyAlignment="1">
      <alignment horizontal="right"/>
    </xf>
    <xf numFmtId="0" fontId="37" fillId="0" borderId="70" xfId="0" applyFont="1" applyBorder="1" applyAlignment="1">
      <alignment horizontal="right"/>
    </xf>
    <xf numFmtId="0" fontId="37" fillId="0" borderId="0" xfId="0" applyFont="1" applyAlignment="1">
      <alignment horizontal="right"/>
    </xf>
    <xf numFmtId="175" fontId="37" fillId="0" borderId="0" xfId="0" applyNumberFormat="1" applyFont="1" applyAlignment="1">
      <alignment horizontal="right"/>
    </xf>
    <xf numFmtId="0" fontId="3" fillId="5" borderId="60" xfId="0" applyFont="1" applyFill="1" applyBorder="1"/>
    <xf numFmtId="1" fontId="0" fillId="5" borderId="60" xfId="0" applyNumberFormat="1" applyFill="1" applyBorder="1"/>
    <xf numFmtId="0" fontId="0" fillId="5" borderId="60" xfId="0" applyFill="1" applyBorder="1"/>
    <xf numFmtId="169" fontId="0" fillId="5" borderId="60" xfId="0" applyNumberFormat="1" applyFill="1" applyBorder="1"/>
    <xf numFmtId="0" fontId="30" fillId="0" borderId="0" xfId="9" applyNumberFormat="1" applyFont="1" applyBorder="1" applyAlignment="1">
      <alignment horizontal="center" vertical="center" wrapText="1"/>
    </xf>
    <xf numFmtId="0" fontId="30" fillId="0" borderId="0" xfId="9" applyNumberFormat="1" applyFont="1" applyBorder="1" applyAlignment="1">
      <alignment horizontal="right" vertical="center" wrapText="1"/>
    </xf>
    <xf numFmtId="179" fontId="5" fillId="0" borderId="77" xfId="0" applyNumberFormat="1" applyFont="1" applyBorder="1"/>
    <xf numFmtId="1" fontId="15" fillId="0" borderId="0" xfId="0" applyNumberFormat="1" applyFont="1" applyAlignment="1">
      <alignment horizontal="right"/>
    </xf>
    <xf numFmtId="0" fontId="5" fillId="0" borderId="77" xfId="0" applyFont="1" applyBorder="1"/>
    <xf numFmtId="3" fontId="31" fillId="0" borderId="0" xfId="9" applyNumberFormat="1" applyFont="1" applyBorder="1" applyAlignment="1">
      <alignment horizontal="right" vertical="center" wrapText="1"/>
    </xf>
    <xf numFmtId="1" fontId="31" fillId="0" borderId="0" xfId="9" applyNumberFormat="1" applyFont="1" applyBorder="1" applyAlignment="1">
      <alignment horizontal="right" vertical="center" wrapText="1"/>
    </xf>
    <xf numFmtId="1" fontId="15" fillId="0" borderId="0" xfId="0" applyNumberFormat="1" applyFont="1"/>
    <xf numFmtId="1" fontId="39" fillId="0" borderId="0" xfId="0" applyNumberFormat="1" applyFont="1"/>
    <xf numFmtId="179" fontId="37" fillId="0" borderId="77" xfId="0" applyNumberFormat="1" applyFont="1" applyBorder="1"/>
    <xf numFmtId="9" fontId="55" fillId="0" borderId="0" xfId="9" applyNumberFormat="1" applyFont="1" applyBorder="1" applyAlignment="1">
      <alignment horizontal="right" vertical="center" wrapText="1"/>
    </xf>
    <xf numFmtId="0" fontId="32" fillId="0" borderId="0" xfId="0" applyFont="1"/>
    <xf numFmtId="0" fontId="9" fillId="0" borderId="78" xfId="0" applyFont="1" applyBorder="1"/>
    <xf numFmtId="0" fontId="30" fillId="0" borderId="80" xfId="9" applyNumberFormat="1" applyFont="1" applyBorder="1" applyAlignment="1">
      <alignment vertical="center" wrapText="1"/>
    </xf>
    <xf numFmtId="0" fontId="0" fillId="0" borderId="82" xfId="0" applyBorder="1"/>
    <xf numFmtId="0" fontId="5" fillId="0" borderId="82" xfId="0" applyFont="1" applyBorder="1"/>
    <xf numFmtId="1" fontId="38" fillId="0" borderId="0" xfId="0" applyNumberFormat="1" applyFont="1"/>
    <xf numFmtId="0" fontId="0" fillId="0" borderId="74" xfId="0" applyBorder="1"/>
    <xf numFmtId="9" fontId="37" fillId="0" borderId="0" xfId="0" applyNumberFormat="1" applyFont="1" applyAlignment="1">
      <alignment horizontal="right"/>
    </xf>
    <xf numFmtId="3" fontId="5" fillId="0" borderId="77" xfId="0" applyNumberFormat="1" applyFont="1" applyBorder="1"/>
    <xf numFmtId="3" fontId="44" fillId="0" borderId="0" xfId="0" applyNumberFormat="1" applyFont="1"/>
    <xf numFmtId="0" fontId="3" fillId="16" borderId="77" xfId="0" applyFont="1" applyFill="1" applyBorder="1"/>
    <xf numFmtId="0" fontId="0" fillId="16" borderId="77" xfId="0" applyFill="1" applyBorder="1"/>
    <xf numFmtId="0" fontId="0" fillId="16" borderId="0" xfId="0" applyFill="1"/>
    <xf numFmtId="0" fontId="44" fillId="16" borderId="0" xfId="0" applyFont="1" applyFill="1" applyAlignment="1">
      <alignment horizontal="right"/>
    </xf>
    <xf numFmtId="10" fontId="0" fillId="16" borderId="0" xfId="0" applyNumberFormat="1" applyFill="1" applyAlignment="1">
      <alignment horizontal="right"/>
    </xf>
    <xf numFmtId="175" fontId="0" fillId="16" borderId="0" xfId="0" applyNumberFormat="1" applyFill="1" applyAlignment="1">
      <alignment horizontal="right"/>
    </xf>
    <xf numFmtId="9" fontId="37" fillId="16" borderId="0" xfId="0" applyNumberFormat="1" applyFont="1" applyFill="1"/>
    <xf numFmtId="9" fontId="37" fillId="16" borderId="0" xfId="0" applyNumberFormat="1" applyFont="1" applyFill="1" applyAlignment="1">
      <alignment horizontal="right"/>
    </xf>
    <xf numFmtId="175" fontId="3" fillId="16" borderId="0" xfId="0" applyNumberFormat="1" applyFont="1" applyFill="1" applyAlignment="1">
      <alignment horizontal="right"/>
    </xf>
    <xf numFmtId="175" fontId="3" fillId="16" borderId="0" xfId="0" applyNumberFormat="1" applyFont="1" applyFill="1"/>
    <xf numFmtId="0" fontId="0" fillId="16" borderId="0" xfId="0" applyFill="1" applyAlignment="1">
      <alignment horizontal="right"/>
    </xf>
    <xf numFmtId="9" fontId="0" fillId="16" borderId="0" xfId="0" applyNumberFormat="1" applyFill="1" applyAlignment="1">
      <alignment horizontal="right"/>
    </xf>
    <xf numFmtId="0" fontId="5" fillId="0" borderId="72" xfId="0" applyFont="1" applyBorder="1"/>
    <xf numFmtId="2" fontId="0" fillId="0" borderId="75" xfId="0" applyNumberFormat="1" applyBorder="1"/>
    <xf numFmtId="1" fontId="45" fillId="0" borderId="72" xfId="0" applyNumberFormat="1" applyFont="1" applyBorder="1" applyAlignment="1">
      <alignment horizontal="left"/>
    </xf>
    <xf numFmtId="0" fontId="0" fillId="0" borderId="74" xfId="0" applyBorder="1" applyAlignment="1">
      <alignment horizontal="left"/>
    </xf>
    <xf numFmtId="0" fontId="37" fillId="0" borderId="75" xfId="0" applyFont="1" applyBorder="1"/>
    <xf numFmtId="175" fontId="37" fillId="0" borderId="75" xfId="0" applyNumberFormat="1" applyFont="1" applyBorder="1" applyAlignment="1">
      <alignment horizontal="right"/>
    </xf>
    <xf numFmtId="0" fontId="3" fillId="16" borderId="78" xfId="0" applyFont="1" applyFill="1" applyBorder="1"/>
    <xf numFmtId="0" fontId="5" fillId="0" borderId="81" xfId="0" applyFont="1" applyBorder="1"/>
    <xf numFmtId="0" fontId="37" fillId="0" borderId="0" xfId="0" applyFont="1"/>
    <xf numFmtId="0" fontId="45" fillId="0" borderId="72" xfId="0" applyFont="1" applyBorder="1" applyAlignment="1">
      <alignment horizontal="left"/>
    </xf>
    <xf numFmtId="175" fontId="37" fillId="0" borderId="0" xfId="0" applyNumberFormat="1" applyFont="1"/>
    <xf numFmtId="0" fontId="44" fillId="0" borderId="70" xfId="0" applyFont="1" applyBorder="1"/>
    <xf numFmtId="175" fontId="44" fillId="0" borderId="70" xfId="0" applyNumberFormat="1" applyFont="1" applyBorder="1"/>
    <xf numFmtId="175" fontId="65" fillId="18" borderId="0" xfId="8" applyNumberFormat="1" applyFont="1" applyFill="1" applyBorder="1"/>
    <xf numFmtId="1" fontId="40" fillId="0" borderId="72" xfId="0" applyNumberFormat="1" applyFont="1" applyBorder="1" applyAlignment="1">
      <alignment horizontal="left"/>
    </xf>
    <xf numFmtId="9" fontId="71" fillId="0" borderId="0" xfId="8" applyNumberFormat="1" applyFont="1" applyFill="1" applyBorder="1" applyAlignment="1">
      <alignment horizontal="right"/>
    </xf>
    <xf numFmtId="9" fontId="60" fillId="0" borderId="0" xfId="8" applyNumberFormat="1" applyFont="1" applyFill="1" applyBorder="1" applyAlignment="1">
      <alignment horizontal="right"/>
    </xf>
    <xf numFmtId="0" fontId="0" fillId="0" borderId="60" xfId="0" applyBorder="1" applyAlignment="1">
      <alignment horizontal="right"/>
    </xf>
    <xf numFmtId="175" fontId="37" fillId="16" borderId="0" xfId="0" applyNumberFormat="1" applyFont="1" applyFill="1" applyAlignment="1">
      <alignment horizontal="right"/>
    </xf>
    <xf numFmtId="0" fontId="43" fillId="0" borderId="0" xfId="0" applyFont="1" applyAlignment="1">
      <alignment horizontal="center"/>
    </xf>
    <xf numFmtId="3" fontId="37" fillId="0" borderId="0" xfId="0" applyNumberFormat="1" applyFont="1"/>
    <xf numFmtId="1" fontId="42" fillId="0" borderId="0" xfId="0" applyNumberFormat="1" applyFont="1"/>
    <xf numFmtId="0" fontId="43" fillId="0" borderId="81" xfId="0" applyFont="1" applyBorder="1" applyAlignment="1">
      <alignment horizontal="right"/>
    </xf>
    <xf numFmtId="0" fontId="74" fillId="0" borderId="79" xfId="0" applyFont="1" applyBorder="1"/>
    <xf numFmtId="0" fontId="43" fillId="0" borderId="77" xfId="0" applyFont="1" applyBorder="1" applyAlignment="1">
      <alignment horizontal="right"/>
    </xf>
    <xf numFmtId="0" fontId="30" fillId="0" borderId="82" xfId="9" applyNumberFormat="1" applyFont="1" applyBorder="1" applyAlignment="1">
      <alignment horizontal="center" vertical="center" wrapText="1"/>
    </xf>
    <xf numFmtId="0" fontId="30" fillId="0" borderId="82" xfId="9" applyNumberFormat="1" applyFont="1" applyBorder="1" applyAlignment="1">
      <alignment horizontal="right" vertical="center" wrapText="1"/>
    </xf>
    <xf numFmtId="1" fontId="75" fillId="0" borderId="0" xfId="0" applyNumberFormat="1" applyFont="1" applyAlignment="1">
      <alignment horizontal="right"/>
    </xf>
    <xf numFmtId="0" fontId="15" fillId="0" borderId="77" xfId="0" applyFont="1" applyBorder="1"/>
    <xf numFmtId="0" fontId="11" fillId="0" borderId="0" xfId="0" applyFont="1"/>
    <xf numFmtId="0" fontId="43" fillId="16" borderId="0" xfId="0" applyFont="1" applyFill="1" applyAlignment="1">
      <alignment horizontal="right"/>
    </xf>
    <xf numFmtId="179" fontId="5" fillId="0" borderId="0" xfId="0" applyNumberFormat="1" applyFont="1"/>
    <xf numFmtId="179" fontId="58" fillId="0" borderId="0" xfId="0" applyNumberFormat="1" applyFont="1"/>
    <xf numFmtId="179" fontId="43" fillId="0" borderId="0" xfId="0" applyNumberFormat="1" applyFont="1" applyAlignment="1">
      <alignment horizontal="right"/>
    </xf>
    <xf numFmtId="9" fontId="15" fillId="0" borderId="0" xfId="0" applyNumberFormat="1" applyFont="1"/>
    <xf numFmtId="9" fontId="66" fillId="0" borderId="0" xfId="0" applyNumberFormat="1" applyFont="1"/>
    <xf numFmtId="1" fontId="77" fillId="0" borderId="0" xfId="0" applyNumberFormat="1" applyFont="1" applyAlignment="1">
      <alignment horizontal="right"/>
    </xf>
    <xf numFmtId="179" fontId="37" fillId="0" borderId="0" xfId="0" applyNumberFormat="1" applyFont="1"/>
    <xf numFmtId="0" fontId="42" fillId="0" borderId="0" xfId="0" applyFont="1" applyAlignment="1">
      <alignment horizontal="right"/>
    </xf>
    <xf numFmtId="170" fontId="3" fillId="5" borderId="60" xfId="0" applyNumberFormat="1" applyFont="1" applyFill="1" applyBorder="1"/>
    <xf numFmtId="0" fontId="36" fillId="5" borderId="60" xfId="0" applyFont="1" applyFill="1" applyBorder="1"/>
    <xf numFmtId="179" fontId="15" fillId="0" borderId="0" xfId="0" applyNumberFormat="1" applyFont="1"/>
    <xf numFmtId="175" fontId="79" fillId="0" borderId="0" xfId="0" applyNumberFormat="1" applyFont="1"/>
    <xf numFmtId="1" fontId="74" fillId="0" borderId="0" xfId="0" applyNumberFormat="1" applyFont="1" applyAlignment="1">
      <alignment horizontal="right"/>
    </xf>
    <xf numFmtId="0" fontId="43" fillId="0" borderId="69" xfId="0" applyFont="1" applyBorder="1" applyAlignment="1">
      <alignment horizontal="right"/>
    </xf>
    <xf numFmtId="0" fontId="43" fillId="0" borderId="72" xfId="0" applyFont="1" applyBorder="1" applyAlignment="1">
      <alignment horizontal="right"/>
    </xf>
    <xf numFmtId="0" fontId="74" fillId="0" borderId="70" xfId="0" applyFont="1" applyBorder="1"/>
    <xf numFmtId="0" fontId="44" fillId="0" borderId="93" xfId="0" applyFont="1" applyBorder="1" applyAlignment="1">
      <alignment horizontal="left"/>
    </xf>
    <xf numFmtId="0" fontId="44" fillId="0" borderId="93" xfId="0" applyFont="1" applyBorder="1"/>
    <xf numFmtId="0" fontId="44" fillId="0" borderId="93" xfId="0" applyFont="1" applyBorder="1" applyAlignment="1">
      <alignment horizontal="fill"/>
    </xf>
    <xf numFmtId="169" fontId="37" fillId="0" borderId="0" xfId="0" applyNumberFormat="1" applyFont="1"/>
    <xf numFmtId="0" fontId="3" fillId="19" borderId="59" xfId="0" applyFont="1" applyFill="1" applyBorder="1"/>
    <xf numFmtId="175" fontId="79" fillId="0" borderId="0" xfId="0" applyNumberFormat="1" applyFont="1" applyAlignment="1">
      <alignment horizontal="right"/>
    </xf>
    <xf numFmtId="0" fontId="36" fillId="16" borderId="0" xfId="0" applyFont="1" applyFill="1" applyAlignment="1">
      <alignment horizontal="right"/>
    </xf>
    <xf numFmtId="17" fontId="44" fillId="16" borderId="0" xfId="0" applyNumberFormat="1" applyFont="1" applyFill="1"/>
    <xf numFmtId="0" fontId="74" fillId="16" borderId="79" xfId="0" applyFont="1" applyFill="1" applyBorder="1" applyAlignment="1">
      <alignment horizontal="right"/>
    </xf>
    <xf numFmtId="0" fontId="74" fillId="16" borderId="79" xfId="0" applyFont="1" applyFill="1" applyBorder="1"/>
    <xf numFmtId="175" fontId="36" fillId="16" borderId="0" xfId="0" applyNumberFormat="1" applyFont="1" applyFill="1" applyAlignment="1">
      <alignment horizontal="right"/>
    </xf>
    <xf numFmtId="175" fontId="3" fillId="16" borderId="94" xfId="0" applyNumberFormat="1" applyFont="1" applyFill="1" applyBorder="1" applyAlignment="1">
      <alignment horizontal="right"/>
    </xf>
    <xf numFmtId="0" fontId="37" fillId="16" borderId="77" xfId="0" applyFont="1" applyFill="1" applyBorder="1"/>
    <xf numFmtId="169" fontId="44" fillId="16" borderId="0" xfId="0" applyNumberFormat="1" applyFont="1" applyFill="1" applyAlignment="1">
      <alignment horizontal="right"/>
    </xf>
    <xf numFmtId="1" fontId="37" fillId="5" borderId="60" xfId="0" applyNumberFormat="1" applyFont="1" applyFill="1" applyBorder="1"/>
    <xf numFmtId="3" fontId="37" fillId="5" borderId="60" xfId="0" applyNumberFormat="1" applyFont="1" applyFill="1" applyBorder="1"/>
    <xf numFmtId="175" fontId="37" fillId="16" borderId="0" xfId="0" applyNumberFormat="1" applyFont="1" applyFill="1"/>
    <xf numFmtId="175" fontId="36" fillId="16" borderId="0" xfId="0" applyNumberFormat="1" applyFont="1" applyFill="1"/>
    <xf numFmtId="0" fontId="6" fillId="20" borderId="0" xfId="0" applyFont="1" applyFill="1"/>
    <xf numFmtId="175" fontId="7" fillId="20" borderId="0" xfId="0" applyNumberFormat="1" applyFont="1" applyFill="1"/>
    <xf numFmtId="175" fontId="44" fillId="0" borderId="0" xfId="0" applyNumberFormat="1" applyFont="1"/>
    <xf numFmtId="0" fontId="3" fillId="0" borderId="46" xfId="0" applyFont="1" applyBorder="1"/>
    <xf numFmtId="9" fontId="7" fillId="0" borderId="60" xfId="2" applyFont="1" applyFill="1" applyBorder="1" applyAlignment="1" applyProtection="1">
      <alignment horizontal="right"/>
    </xf>
    <xf numFmtId="37" fontId="7" fillId="0" borderId="60" xfId="0" applyNumberFormat="1" applyFont="1" applyBorder="1" applyAlignment="1">
      <alignment horizontal="right"/>
    </xf>
    <xf numFmtId="175" fontId="7" fillId="0" borderId="60" xfId="2" applyNumberFormat="1" applyFont="1" applyFill="1" applyBorder="1" applyAlignment="1">
      <alignment horizontal="right" vertical="justify"/>
    </xf>
    <xf numFmtId="3" fontId="7" fillId="0" borderId="60" xfId="2" applyNumberFormat="1" applyFont="1" applyFill="1" applyBorder="1" applyAlignment="1" applyProtection="1">
      <alignment horizontal="right"/>
    </xf>
    <xf numFmtId="167" fontId="7" fillId="0" borderId="60" xfId="0" applyNumberFormat="1" applyFont="1" applyBorder="1" applyAlignment="1">
      <alignment horizontal="right"/>
    </xf>
    <xf numFmtId="0" fontId="5" fillId="16" borderId="0" xfId="0" applyFont="1" applyFill="1"/>
    <xf numFmtId="3" fontId="7" fillId="0" borderId="6" xfId="0" applyNumberFormat="1" applyFont="1" applyBorder="1" applyAlignment="1">
      <alignment horizontal="right"/>
    </xf>
    <xf numFmtId="175" fontId="59" fillId="16" borderId="0" xfId="0" applyNumberFormat="1" applyFont="1" applyFill="1"/>
    <xf numFmtId="0" fontId="84" fillId="16" borderId="0" xfId="0" applyFont="1" applyFill="1" applyAlignment="1">
      <alignment horizontal="right"/>
    </xf>
    <xf numFmtId="0" fontId="44" fillId="0" borderId="59" xfId="0" applyFont="1" applyBorder="1"/>
    <xf numFmtId="0" fontId="44" fillId="0" borderId="39" xfId="0" applyFont="1" applyBorder="1"/>
    <xf numFmtId="0" fontId="0" fillId="0" borderId="39" xfId="0" applyBorder="1" applyAlignment="1">
      <alignment horizontal="right"/>
    </xf>
    <xf numFmtId="37" fontId="7" fillId="0" borderId="59" xfId="0" applyNumberFormat="1" applyFont="1" applyBorder="1" applyAlignment="1">
      <alignment horizontal="right"/>
    </xf>
    <xf numFmtId="175" fontId="10" fillId="0" borderId="60" xfId="2" applyNumberFormat="1" applyFont="1" applyFill="1" applyBorder="1" applyAlignment="1">
      <alignment horizontal="right" vertical="justify"/>
    </xf>
    <xf numFmtId="43" fontId="7" fillId="0" borderId="60" xfId="1" applyFont="1" applyFill="1" applyBorder="1" applyAlignment="1">
      <alignment horizontal="right"/>
    </xf>
    <xf numFmtId="174" fontId="10" fillId="0" borderId="60" xfId="1" applyNumberFormat="1" applyFont="1" applyFill="1" applyBorder="1" applyAlignment="1" applyProtection="1">
      <alignment horizontal="right"/>
    </xf>
    <xf numFmtId="175" fontId="7" fillId="0" borderId="60" xfId="2" applyNumberFormat="1" applyFont="1" applyFill="1" applyBorder="1" applyAlignment="1">
      <alignment horizontal="right"/>
    </xf>
    <xf numFmtId="3" fontId="18" fillId="0" borderId="4" xfId="0" quotePrefix="1" applyNumberFormat="1" applyFont="1" applyBorder="1" applyAlignment="1">
      <alignment horizontal="left"/>
    </xf>
    <xf numFmtId="0" fontId="10" fillId="8" borderId="7" xfId="0" applyFont="1" applyFill="1" applyBorder="1"/>
    <xf numFmtId="175" fontId="10" fillId="11" borderId="60" xfId="2" applyNumberFormat="1" applyFont="1" applyFill="1" applyBorder="1" applyAlignment="1">
      <alignment horizontal="right" vertical="justify"/>
    </xf>
    <xf numFmtId="2" fontId="7" fillId="11" borderId="60" xfId="0" applyNumberFormat="1" applyFont="1" applyFill="1" applyBorder="1" applyAlignment="1">
      <alignment horizontal="right"/>
    </xf>
    <xf numFmtId="2" fontId="7" fillId="0" borderId="60" xfId="0" applyNumberFormat="1" applyFont="1" applyBorder="1" applyAlignment="1">
      <alignment horizontal="right"/>
    </xf>
    <xf numFmtId="37" fontId="7" fillId="11" borderId="60" xfId="0" applyNumberFormat="1" applyFont="1" applyFill="1" applyBorder="1" applyAlignment="1">
      <alignment horizontal="right"/>
    </xf>
    <xf numFmtId="9" fontId="7" fillId="11" borderId="60" xfId="2" applyFont="1" applyFill="1" applyBorder="1" applyAlignment="1" applyProtection="1">
      <alignment horizontal="right"/>
    </xf>
    <xf numFmtId="43" fontId="10" fillId="11" borderId="60" xfId="1" applyFont="1" applyFill="1" applyBorder="1" applyAlignment="1">
      <alignment horizontal="right"/>
    </xf>
    <xf numFmtId="167" fontId="7" fillId="0" borderId="59" xfId="0" applyNumberFormat="1" applyFont="1" applyBorder="1" applyAlignment="1">
      <alignment horizontal="right"/>
    </xf>
    <xf numFmtId="167" fontId="10" fillId="11" borderId="59" xfId="0" applyNumberFormat="1" applyFont="1" applyFill="1" applyBorder="1" applyAlignment="1">
      <alignment horizontal="right"/>
    </xf>
    <xf numFmtId="39" fontId="7" fillId="0" borderId="60" xfId="0" applyNumberFormat="1" applyFont="1" applyBorder="1" applyAlignment="1">
      <alignment horizontal="right"/>
    </xf>
    <xf numFmtId="37" fontId="10" fillId="11" borderId="60" xfId="0" applyNumberFormat="1" applyFont="1" applyFill="1" applyBorder="1" applyAlignment="1">
      <alignment horizontal="right"/>
    </xf>
    <xf numFmtId="37" fontId="10" fillId="11" borderId="96" xfId="0" applyNumberFormat="1" applyFont="1" applyFill="1" applyBorder="1" applyAlignment="1">
      <alignment horizontal="right"/>
    </xf>
    <xf numFmtId="37" fontId="7" fillId="0" borderId="96" xfId="0" applyNumberFormat="1" applyFont="1" applyBorder="1" applyAlignment="1">
      <alignment horizontal="right"/>
    </xf>
    <xf numFmtId="3" fontId="7" fillId="0" borderId="60" xfId="0" applyNumberFormat="1" applyFont="1" applyBorder="1" applyAlignment="1">
      <alignment horizontal="right"/>
    </xf>
    <xf numFmtId="168" fontId="10" fillId="0" borderId="28" xfId="0" applyNumberFormat="1" applyFont="1" applyBorder="1" applyAlignment="1">
      <alignment horizontal="right"/>
    </xf>
    <xf numFmtId="9" fontId="7" fillId="0" borderId="28" xfId="2" applyFont="1" applyFill="1" applyBorder="1" applyAlignment="1">
      <alignment horizontal="right" vertical="justify"/>
    </xf>
    <xf numFmtId="173" fontId="7" fillId="0" borderId="28" xfId="1" applyNumberFormat="1" applyFont="1" applyFill="1" applyBorder="1" applyAlignment="1">
      <alignment horizontal="right"/>
    </xf>
    <xf numFmtId="1" fontId="7" fillId="0" borderId="28" xfId="0" applyNumberFormat="1" applyFont="1" applyBorder="1" applyAlignment="1">
      <alignment horizontal="right"/>
    </xf>
    <xf numFmtId="167" fontId="7" fillId="0" borderId="28" xfId="0" applyNumberFormat="1" applyFont="1" applyBorder="1" applyAlignment="1">
      <alignment horizontal="right"/>
    </xf>
    <xf numFmtId="167" fontId="7" fillId="0" borderId="28" xfId="0" applyNumberFormat="1" applyFont="1" applyBorder="1" applyAlignment="1">
      <alignment horizontal="right" vertical="justify"/>
    </xf>
    <xf numFmtId="175" fontId="7" fillId="0" borderId="28" xfId="2" applyNumberFormat="1" applyFont="1" applyFill="1" applyBorder="1" applyAlignment="1">
      <alignment horizontal="right"/>
    </xf>
    <xf numFmtId="43" fontId="7" fillId="0" borderId="28" xfId="1" applyFont="1" applyFill="1" applyBorder="1" applyAlignment="1">
      <alignment horizontal="right"/>
    </xf>
    <xf numFmtId="174" fontId="10" fillId="0" borderId="28" xfId="1" applyNumberFormat="1" applyFont="1" applyFill="1" applyBorder="1" applyAlignment="1" applyProtection="1">
      <alignment horizontal="right"/>
    </xf>
    <xf numFmtId="37" fontId="7" fillId="11" borderId="28" xfId="0" applyNumberFormat="1" applyFont="1" applyFill="1" applyBorder="1" applyAlignment="1">
      <alignment horizontal="right"/>
    </xf>
    <xf numFmtId="167" fontId="10" fillId="11" borderId="28" xfId="0" applyNumberFormat="1" applyFont="1" applyFill="1" applyBorder="1" applyAlignment="1">
      <alignment horizontal="right"/>
    </xf>
    <xf numFmtId="39" fontId="7" fillId="0" borderId="28" xfId="0" applyNumberFormat="1" applyFont="1" applyBorder="1" applyAlignment="1">
      <alignment horizontal="right"/>
    </xf>
    <xf numFmtId="167" fontId="7" fillId="0" borderId="31" xfId="0" applyNumberFormat="1" applyFont="1" applyBorder="1" applyAlignment="1">
      <alignment horizontal="right"/>
    </xf>
    <xf numFmtId="167" fontId="10" fillId="11" borderId="31" xfId="0" quotePrefix="1" applyNumberFormat="1" applyFont="1" applyFill="1" applyBorder="1" applyAlignment="1">
      <alignment horizontal="right"/>
    </xf>
    <xf numFmtId="37" fontId="10" fillId="0" borderId="96" xfId="0" applyNumberFormat="1" applyFont="1" applyBorder="1" applyAlignment="1">
      <alignment horizontal="right"/>
    </xf>
    <xf numFmtId="3" fontId="18" fillId="0" borderId="9" xfId="0" quotePrefix="1" applyNumberFormat="1" applyFont="1" applyBorder="1" applyAlignment="1">
      <alignment horizontal="left"/>
    </xf>
    <xf numFmtId="175" fontId="10" fillId="0" borderId="60" xfId="0" applyNumberFormat="1" applyFont="1" applyBorder="1" applyAlignment="1">
      <alignment horizontal="right"/>
    </xf>
    <xf numFmtId="37" fontId="3" fillId="8" borderId="36" xfId="0" applyNumberFormat="1" applyFont="1" applyFill="1" applyBorder="1"/>
    <xf numFmtId="0" fontId="81" fillId="11" borderId="41" xfId="0" applyFont="1" applyFill="1" applyBorder="1" applyAlignment="1">
      <alignment horizontal="center" vertical="top" wrapText="1"/>
    </xf>
    <xf numFmtId="0" fontId="81" fillId="11" borderId="47" xfId="0" applyFont="1" applyFill="1" applyBorder="1" applyAlignment="1">
      <alignment horizontal="center" vertical="top" wrapText="1"/>
    </xf>
    <xf numFmtId="0" fontId="81" fillId="11" borderId="26" xfId="0" applyFont="1" applyFill="1" applyBorder="1" applyAlignment="1">
      <alignment horizontal="center" vertical="top" wrapText="1"/>
    </xf>
    <xf numFmtId="4" fontId="7" fillId="11" borderId="60" xfId="0" applyNumberFormat="1" applyFont="1" applyFill="1" applyBorder="1" applyAlignment="1">
      <alignment horizontal="right"/>
    </xf>
    <xf numFmtId="3" fontId="18" fillId="11" borderId="26" xfId="0" quotePrefix="1" applyNumberFormat="1" applyFont="1" applyFill="1" applyBorder="1" applyAlignment="1">
      <alignment horizontal="right"/>
    </xf>
    <xf numFmtId="2" fontId="85" fillId="11" borderId="34" xfId="0" applyNumberFormat="1" applyFont="1" applyFill="1" applyBorder="1" applyAlignment="1">
      <alignment horizontal="left"/>
    </xf>
    <xf numFmtId="0" fontId="10" fillId="0" borderId="0" xfId="0" applyFont="1" applyAlignment="1">
      <alignment horizontal="right"/>
    </xf>
    <xf numFmtId="9" fontId="7" fillId="11" borderId="39" xfId="2" applyFont="1" applyFill="1" applyBorder="1" applyAlignment="1" applyProtection="1">
      <alignment horizontal="right"/>
    </xf>
    <xf numFmtId="43" fontId="10" fillId="11" borderId="45" xfId="1" applyFont="1" applyFill="1" applyBorder="1" applyAlignment="1">
      <alignment horizontal="right"/>
    </xf>
    <xf numFmtId="175" fontId="15" fillId="0" borderId="0" xfId="0" applyNumberFormat="1" applyFont="1"/>
    <xf numFmtId="9" fontId="0" fillId="5" borderId="60" xfId="0" applyNumberFormat="1" applyFill="1" applyBorder="1"/>
    <xf numFmtId="175" fontId="7" fillId="5" borderId="60" xfId="0" applyNumberFormat="1" applyFont="1" applyFill="1" applyBorder="1"/>
    <xf numFmtId="3" fontId="0" fillId="0" borderId="28" xfId="0" applyNumberFormat="1" applyBorder="1"/>
    <xf numFmtId="0" fontId="48" fillId="4" borderId="0" xfId="0" applyFont="1" applyFill="1" applyAlignment="1">
      <alignment horizontal="fill"/>
    </xf>
    <xf numFmtId="0" fontId="48" fillId="6" borderId="0" xfId="0" applyFont="1" applyFill="1" applyAlignment="1">
      <alignment horizontal="fill"/>
    </xf>
    <xf numFmtId="0" fontId="48" fillId="13" borderId="0" xfId="0" applyFont="1" applyFill="1"/>
    <xf numFmtId="0" fontId="10" fillId="8" borderId="25" xfId="0" applyFont="1" applyFill="1" applyBorder="1" applyAlignment="1">
      <alignment horizontal="center" vertical="top" wrapText="1"/>
    </xf>
    <xf numFmtId="2" fontId="10" fillId="11" borderId="60" xfId="0" applyNumberFormat="1" applyFont="1" applyFill="1" applyBorder="1" applyAlignment="1">
      <alignment horizontal="right"/>
    </xf>
    <xf numFmtId="168" fontId="10" fillId="0" borderId="59" xfId="0" applyNumberFormat="1" applyFont="1" applyBorder="1" applyAlignment="1">
      <alignment horizontal="right"/>
    </xf>
    <xf numFmtId="9" fontId="7" fillId="0" borderId="59" xfId="2" applyFont="1" applyFill="1" applyBorder="1" applyAlignment="1">
      <alignment horizontal="right" vertical="justify"/>
    </xf>
    <xf numFmtId="9" fontId="7" fillId="0" borderId="59" xfId="2" applyFont="1" applyFill="1" applyBorder="1" applyAlignment="1" applyProtection="1">
      <alignment horizontal="right"/>
    </xf>
    <xf numFmtId="173" fontId="7" fillId="0" borderId="59" xfId="1" applyNumberFormat="1" applyFont="1" applyFill="1" applyBorder="1" applyAlignment="1">
      <alignment horizontal="right"/>
    </xf>
    <xf numFmtId="1" fontId="7" fillId="0" borderId="59" xfId="0" applyNumberFormat="1" applyFont="1" applyBorder="1" applyAlignment="1">
      <alignment horizontal="right"/>
    </xf>
    <xf numFmtId="167" fontId="7" fillId="0" borderId="59" xfId="0" applyNumberFormat="1" applyFont="1" applyBorder="1" applyAlignment="1">
      <alignment horizontal="right" vertical="justify"/>
    </xf>
    <xf numFmtId="175" fontId="7" fillId="0" borderId="59" xfId="2" applyNumberFormat="1" applyFont="1" applyFill="1" applyBorder="1" applyAlignment="1">
      <alignment horizontal="right"/>
    </xf>
    <xf numFmtId="43" fontId="7" fillId="0" borderId="59" xfId="1" applyFont="1" applyFill="1" applyBorder="1" applyAlignment="1">
      <alignment horizontal="right"/>
    </xf>
    <xf numFmtId="175" fontId="10" fillId="11" borderId="59" xfId="2" applyNumberFormat="1" applyFont="1" applyFill="1" applyBorder="1" applyAlignment="1">
      <alignment horizontal="right" vertical="justify"/>
    </xf>
    <xf numFmtId="175" fontId="7" fillId="0" borderId="59" xfId="2" applyNumberFormat="1" applyFont="1" applyFill="1" applyBorder="1" applyAlignment="1">
      <alignment horizontal="right" vertical="justify"/>
    </xf>
    <xf numFmtId="9" fontId="10" fillId="11" borderId="40" xfId="2" applyFont="1" applyFill="1" applyBorder="1" applyAlignment="1" applyProtection="1">
      <alignment horizontal="right"/>
    </xf>
    <xf numFmtId="9" fontId="10" fillId="0" borderId="59" xfId="2" applyFont="1" applyFill="1" applyBorder="1" applyAlignment="1" applyProtection="1">
      <alignment horizontal="right"/>
    </xf>
    <xf numFmtId="175" fontId="10" fillId="0" borderId="59" xfId="2" applyNumberFormat="1" applyFont="1" applyFill="1" applyBorder="1" applyAlignment="1">
      <alignment horizontal="right" vertical="justify"/>
    </xf>
    <xf numFmtId="176" fontId="7" fillId="0" borderId="59" xfId="0" applyNumberFormat="1" applyFont="1" applyBorder="1" applyAlignment="1">
      <alignment horizontal="right"/>
    </xf>
    <xf numFmtId="167" fontId="10" fillId="0" borderId="59" xfId="0" applyNumberFormat="1" applyFont="1" applyBorder="1" applyAlignment="1">
      <alignment horizontal="right"/>
    </xf>
    <xf numFmtId="9" fontId="10" fillId="11" borderId="59" xfId="2" applyFont="1" applyFill="1" applyBorder="1" applyAlignment="1" applyProtection="1">
      <alignment horizontal="right"/>
    </xf>
    <xf numFmtId="175" fontId="10" fillId="11" borderId="41" xfId="2" applyNumberFormat="1" applyFont="1" applyFill="1" applyBorder="1" applyAlignment="1">
      <alignment horizontal="right" vertical="justify"/>
    </xf>
    <xf numFmtId="175" fontId="7" fillId="0" borderId="44" xfId="2" applyNumberFormat="1" applyFont="1" applyFill="1" applyBorder="1" applyAlignment="1">
      <alignment horizontal="right" vertical="justify"/>
    </xf>
    <xf numFmtId="175" fontId="10" fillId="11" borderId="44" xfId="2" applyNumberFormat="1" applyFont="1" applyFill="1" applyBorder="1" applyAlignment="1">
      <alignment horizontal="right" vertical="justify"/>
    </xf>
    <xf numFmtId="0" fontId="81" fillId="11" borderId="44" xfId="0" applyFont="1" applyFill="1" applyBorder="1" applyAlignment="1">
      <alignment horizontal="center" vertical="top" wrapText="1"/>
    </xf>
    <xf numFmtId="0" fontId="3" fillId="11" borderId="2" xfId="0" applyFont="1" applyFill="1" applyBorder="1"/>
    <xf numFmtId="2" fontId="85" fillId="11" borderId="2" xfId="0" applyNumberFormat="1" applyFont="1" applyFill="1" applyBorder="1" applyAlignment="1">
      <alignment horizontal="left"/>
    </xf>
    <xf numFmtId="0" fontId="7" fillId="0" borderId="3" xfId="0" applyFont="1" applyBorder="1" applyAlignment="1">
      <alignment horizontal="right"/>
    </xf>
    <xf numFmtId="9" fontId="7" fillId="0" borderId="3" xfId="2" applyFont="1" applyFill="1" applyBorder="1" applyAlignment="1" applyProtection="1">
      <alignment horizontal="right"/>
    </xf>
    <xf numFmtId="167" fontId="7" fillId="0" borderId="3" xfId="0" applyNumberFormat="1" applyFont="1" applyBorder="1" applyAlignment="1">
      <alignment horizontal="right"/>
    </xf>
    <xf numFmtId="43" fontId="10" fillId="11" borderId="6" xfId="1" applyFont="1" applyFill="1" applyBorder="1" applyAlignment="1">
      <alignment horizontal="right"/>
    </xf>
    <xf numFmtId="37" fontId="10" fillId="11" borderId="2" xfId="0" applyNumberFormat="1" applyFont="1" applyFill="1" applyBorder="1" applyAlignment="1">
      <alignment horizontal="right"/>
    </xf>
    <xf numFmtId="37" fontId="10" fillId="11" borderId="3" xfId="0" applyNumberFormat="1" applyFont="1" applyFill="1" applyBorder="1" applyAlignment="1">
      <alignment horizontal="right"/>
    </xf>
    <xf numFmtId="3" fontId="7" fillId="0" borderId="3" xfId="2" applyNumberFormat="1" applyFont="1" applyFill="1" applyBorder="1" applyAlignment="1" applyProtection="1">
      <alignment horizontal="right"/>
    </xf>
    <xf numFmtId="172" fontId="10" fillId="0" borderId="3" xfId="1" applyNumberFormat="1" applyFont="1" applyFill="1" applyBorder="1" applyAlignment="1" applyProtection="1">
      <alignment horizontal="right"/>
    </xf>
    <xf numFmtId="167" fontId="7" fillId="11" borderId="3" xfId="0" applyNumberFormat="1" applyFont="1" applyFill="1" applyBorder="1" applyAlignment="1">
      <alignment horizontal="right"/>
    </xf>
    <xf numFmtId="167" fontId="10" fillId="11" borderId="3" xfId="0" applyNumberFormat="1" applyFont="1" applyFill="1" applyBorder="1" applyAlignment="1">
      <alignment horizontal="right"/>
    </xf>
    <xf numFmtId="2" fontId="10" fillId="11" borderId="2" xfId="0" applyNumberFormat="1" applyFont="1" applyFill="1" applyBorder="1" applyAlignment="1">
      <alignment horizontal="right"/>
    </xf>
    <xf numFmtId="2" fontId="7" fillId="11" borderId="3" xfId="0" applyNumberFormat="1" applyFont="1" applyFill="1" applyBorder="1" applyAlignment="1">
      <alignment horizontal="right"/>
    </xf>
    <xf numFmtId="39" fontId="7" fillId="0" borderId="3" xfId="0" applyNumberFormat="1" applyFont="1" applyBorder="1" applyAlignment="1">
      <alignment horizontal="right"/>
    </xf>
    <xf numFmtId="167" fontId="7" fillId="0" borderId="6" xfId="0" applyNumberFormat="1" applyFont="1" applyBorder="1" applyAlignment="1">
      <alignment horizontal="right"/>
    </xf>
    <xf numFmtId="167" fontId="10" fillId="11" borderId="6" xfId="0" quotePrefix="1" applyNumberFormat="1" applyFont="1" applyFill="1" applyBorder="1" applyAlignment="1">
      <alignment horizontal="right"/>
    </xf>
    <xf numFmtId="0" fontId="81" fillId="11" borderId="34" xfId="0" applyFont="1" applyFill="1" applyBorder="1" applyAlignment="1">
      <alignment horizontal="center" vertical="top" wrapText="1"/>
    </xf>
    <xf numFmtId="0" fontId="81" fillId="11" borderId="12" xfId="0" applyFont="1" applyFill="1" applyBorder="1" applyAlignment="1">
      <alignment horizontal="center" vertical="top" wrapText="1"/>
    </xf>
    <xf numFmtId="0" fontId="3" fillId="11" borderId="23" xfId="0" applyFont="1" applyFill="1" applyBorder="1"/>
    <xf numFmtId="2" fontId="10" fillId="11" borderId="23" xfId="0" applyNumberFormat="1" applyFont="1" applyFill="1" applyBorder="1" applyAlignment="1">
      <alignment horizontal="right"/>
    </xf>
    <xf numFmtId="9" fontId="10" fillId="11" borderId="25" xfId="0" applyNumberFormat="1" applyFont="1" applyFill="1" applyBorder="1" applyAlignment="1">
      <alignment horizontal="right"/>
    </xf>
    <xf numFmtId="9" fontId="7" fillId="0" borderId="28" xfId="0" applyNumberFormat="1" applyFont="1" applyBorder="1" applyAlignment="1">
      <alignment horizontal="right"/>
    </xf>
    <xf numFmtId="3" fontId="0" fillId="0" borderId="96" xfId="0" applyNumberFormat="1" applyBorder="1"/>
    <xf numFmtId="9" fontId="10" fillId="11" borderId="28" xfId="0" applyNumberFormat="1" applyFont="1" applyFill="1" applyBorder="1" applyAlignment="1">
      <alignment horizontal="right"/>
    </xf>
    <xf numFmtId="3" fontId="7" fillId="0" borderId="96" xfId="0" applyNumberFormat="1" applyFont="1" applyBorder="1" applyAlignment="1">
      <alignment horizontal="right"/>
    </xf>
    <xf numFmtId="9" fontId="7" fillId="11" borderId="28" xfId="0" applyNumberFormat="1" applyFont="1" applyFill="1" applyBorder="1" applyAlignment="1">
      <alignment horizontal="right"/>
    </xf>
    <xf numFmtId="4" fontId="7" fillId="11" borderId="96" xfId="0" applyNumberFormat="1" applyFont="1" applyFill="1" applyBorder="1" applyAlignment="1">
      <alignment horizontal="right"/>
    </xf>
    <xf numFmtId="9" fontId="7" fillId="11" borderId="96" xfId="2" applyFont="1" applyFill="1" applyBorder="1" applyAlignment="1" applyProtection="1">
      <alignment horizontal="right"/>
    </xf>
    <xf numFmtId="9" fontId="10" fillId="11" borderId="31" xfId="1" applyNumberFormat="1" applyFont="1" applyFill="1" applyBorder="1" applyAlignment="1">
      <alignment horizontal="right"/>
    </xf>
    <xf numFmtId="43" fontId="10" fillId="11" borderId="33" xfId="1" applyFont="1" applyFill="1" applyBorder="1" applyAlignment="1">
      <alignment horizontal="right"/>
    </xf>
    <xf numFmtId="9" fontId="10" fillId="11" borderId="34" xfId="0" applyNumberFormat="1" applyFont="1" applyFill="1" applyBorder="1" applyAlignment="1">
      <alignment horizontal="right"/>
    </xf>
    <xf numFmtId="9" fontId="85" fillId="11" borderId="28" xfId="0" applyNumberFormat="1" applyFont="1" applyFill="1" applyBorder="1" applyAlignment="1">
      <alignment horizontal="left"/>
    </xf>
    <xf numFmtId="37" fontId="7" fillId="11" borderId="96" xfId="0" applyNumberFormat="1" applyFont="1" applyFill="1" applyBorder="1" applyAlignment="1">
      <alignment horizontal="right"/>
    </xf>
    <xf numFmtId="2" fontId="7" fillId="11" borderId="11" xfId="0" applyNumberFormat="1" applyFont="1" applyFill="1" applyBorder="1" applyAlignment="1">
      <alignment horizontal="right"/>
    </xf>
    <xf numFmtId="2" fontId="7" fillId="0" borderId="11" xfId="0" applyNumberFormat="1" applyFont="1" applyBorder="1" applyAlignment="1">
      <alignment horizontal="right"/>
    </xf>
    <xf numFmtId="2" fontId="10" fillId="11" borderId="11" xfId="0" applyNumberFormat="1" applyFont="1" applyFill="1" applyBorder="1" applyAlignment="1">
      <alignment horizontal="right"/>
    </xf>
    <xf numFmtId="2" fontId="7" fillId="0" borderId="14" xfId="0" applyNumberFormat="1" applyFont="1" applyBorder="1" applyAlignment="1">
      <alignment horizontal="right"/>
    </xf>
    <xf numFmtId="2" fontId="7" fillId="11" borderId="14" xfId="0" applyNumberFormat="1" applyFont="1" applyFill="1" applyBorder="1" applyAlignment="1">
      <alignment horizontal="right"/>
    </xf>
    <xf numFmtId="0" fontId="81" fillId="11" borderId="25" xfId="0" applyFont="1" applyFill="1" applyBorder="1" applyAlignment="1">
      <alignment horizontal="center" vertical="top" wrapText="1"/>
    </xf>
    <xf numFmtId="0" fontId="3" fillId="11" borderId="36" xfId="0" applyFont="1" applyFill="1" applyBorder="1"/>
    <xf numFmtId="2" fontId="10" fillId="11" borderId="36" xfId="0" applyNumberFormat="1" applyFont="1" applyFill="1" applyBorder="1" applyAlignment="1">
      <alignment horizontal="right"/>
    </xf>
    <xf numFmtId="3" fontId="18" fillId="11" borderId="25" xfId="0" quotePrefix="1" applyNumberFormat="1" applyFont="1" applyFill="1" applyBorder="1" applyAlignment="1">
      <alignment horizontal="right"/>
    </xf>
    <xf numFmtId="43" fontId="10" fillId="11" borderId="96" xfId="1" applyFont="1" applyFill="1" applyBorder="1" applyAlignment="1">
      <alignment horizontal="right"/>
    </xf>
    <xf numFmtId="37" fontId="22" fillId="0" borderId="96" xfId="0" applyNumberFormat="1" applyFont="1" applyBorder="1" applyAlignment="1">
      <alignment horizontal="right"/>
    </xf>
    <xf numFmtId="9" fontId="7" fillId="0" borderId="96" xfId="2" applyFont="1" applyFill="1" applyBorder="1" applyAlignment="1" applyProtection="1">
      <alignment horizontal="right"/>
    </xf>
    <xf numFmtId="167" fontId="7" fillId="0" borderId="96" xfId="0" applyNumberFormat="1" applyFont="1" applyBorder="1" applyAlignment="1">
      <alignment horizontal="right"/>
    </xf>
    <xf numFmtId="2" fontId="7" fillId="11" borderId="96" xfId="0" applyNumberFormat="1" applyFont="1" applyFill="1" applyBorder="1" applyAlignment="1">
      <alignment horizontal="right"/>
    </xf>
    <xf numFmtId="37" fontId="7" fillId="0" borderId="4" xfId="0" applyNumberFormat="1" applyFont="1" applyBorder="1" applyAlignment="1">
      <alignment horizontal="right"/>
    </xf>
    <xf numFmtId="167" fontId="7" fillId="0" borderId="4" xfId="0" applyNumberFormat="1" applyFont="1" applyBorder="1" applyAlignment="1">
      <alignment horizontal="right"/>
    </xf>
    <xf numFmtId="167" fontId="10" fillId="11" borderId="4" xfId="0" applyNumberFormat="1" applyFont="1" applyFill="1" applyBorder="1" applyAlignment="1">
      <alignment horizontal="right"/>
    </xf>
    <xf numFmtId="167" fontId="10" fillId="11" borderId="96" xfId="0" applyNumberFormat="1" applyFont="1" applyFill="1" applyBorder="1" applyAlignment="1">
      <alignment horizontal="right"/>
    </xf>
    <xf numFmtId="39" fontId="7" fillId="0" borderId="96" xfId="0" applyNumberFormat="1" applyFont="1" applyBorder="1" applyAlignment="1">
      <alignment horizontal="right"/>
    </xf>
    <xf numFmtId="2" fontId="7" fillId="0" borderId="96" xfId="0" applyNumberFormat="1" applyFont="1" applyBorder="1" applyAlignment="1">
      <alignment horizontal="right"/>
    </xf>
    <xf numFmtId="167" fontId="7" fillId="0" borderId="33" xfId="0" applyNumberFormat="1" applyFont="1" applyBorder="1" applyAlignment="1">
      <alignment horizontal="right"/>
    </xf>
    <xf numFmtId="167" fontId="10" fillId="11" borderId="33" xfId="0" quotePrefix="1" applyNumberFormat="1" applyFont="1" applyFill="1" applyBorder="1" applyAlignment="1">
      <alignment horizontal="right"/>
    </xf>
    <xf numFmtId="175" fontId="10" fillId="11" borderId="2" xfId="0" applyNumberFormat="1" applyFont="1" applyFill="1" applyBorder="1" applyAlignment="1">
      <alignment horizontal="right"/>
    </xf>
    <xf numFmtId="175" fontId="10" fillId="11" borderId="5" xfId="0" applyNumberFormat="1" applyFont="1" applyFill="1" applyBorder="1" applyAlignment="1">
      <alignment horizontal="right"/>
    </xf>
    <xf numFmtId="37" fontId="7" fillId="0" borderId="3" xfId="0" applyNumberFormat="1" applyFont="1" applyBorder="1" applyAlignment="1">
      <alignment horizontal="right"/>
    </xf>
    <xf numFmtId="175" fontId="10" fillId="11" borderId="3" xfId="2" applyNumberFormat="1" applyFont="1" applyFill="1" applyBorder="1" applyAlignment="1">
      <alignment horizontal="right" vertical="justify"/>
    </xf>
    <xf numFmtId="4" fontId="7" fillId="0" borderId="3" xfId="0" applyNumberFormat="1" applyFont="1" applyBorder="1" applyAlignment="1">
      <alignment horizontal="right"/>
    </xf>
    <xf numFmtId="175" fontId="10" fillId="11" borderId="6" xfId="2" applyNumberFormat="1" applyFont="1" applyFill="1" applyBorder="1" applyAlignment="1">
      <alignment horizontal="right" vertical="justify"/>
    </xf>
    <xf numFmtId="175" fontId="10" fillId="11" borderId="2" xfId="2" applyNumberFormat="1" applyFont="1" applyFill="1" applyBorder="1" applyAlignment="1">
      <alignment horizontal="right" vertical="justify"/>
    </xf>
    <xf numFmtId="37" fontId="10" fillId="0" borderId="3" xfId="0" applyNumberFormat="1" applyFont="1" applyBorder="1" applyAlignment="1">
      <alignment horizontal="right"/>
    </xf>
    <xf numFmtId="175" fontId="7" fillId="0" borderId="3" xfId="2" applyNumberFormat="1" applyFont="1" applyFill="1" applyBorder="1" applyAlignment="1">
      <alignment horizontal="right" vertical="justify"/>
    </xf>
    <xf numFmtId="2" fontId="10" fillId="0" borderId="3" xfId="0" applyNumberFormat="1" applyFont="1" applyBorder="1" applyAlignment="1">
      <alignment horizontal="right"/>
    </xf>
    <xf numFmtId="37" fontId="10" fillId="0" borderId="6" xfId="0" applyNumberFormat="1" applyFont="1" applyBorder="1" applyAlignment="1">
      <alignment horizontal="right"/>
    </xf>
    <xf numFmtId="37" fontId="3" fillId="11" borderId="2" xfId="0" applyNumberFormat="1" applyFont="1" applyFill="1" applyBorder="1"/>
    <xf numFmtId="37" fontId="7" fillId="0" borderId="6" xfId="0" applyNumberFormat="1" applyFont="1" applyBorder="1" applyAlignment="1">
      <alignment horizontal="right"/>
    </xf>
    <xf numFmtId="175" fontId="7" fillId="0" borderId="6" xfId="2" applyNumberFormat="1" applyFont="1" applyFill="1" applyBorder="1" applyAlignment="1">
      <alignment horizontal="right" vertical="justify"/>
    </xf>
    <xf numFmtId="37" fontId="10" fillId="11" borderId="6" xfId="0" applyNumberFormat="1" applyFont="1" applyFill="1" applyBorder="1" applyAlignment="1">
      <alignment horizontal="right"/>
    </xf>
    <xf numFmtId="37" fontId="10" fillId="11" borderId="23" xfId="0" applyNumberFormat="1" applyFont="1" applyFill="1" applyBorder="1" applyAlignment="1">
      <alignment horizontal="right"/>
    </xf>
    <xf numFmtId="37" fontId="10" fillId="11" borderId="11" xfId="0" applyNumberFormat="1" applyFont="1" applyFill="1" applyBorder="1" applyAlignment="1">
      <alignment horizontal="right"/>
    </xf>
    <xf numFmtId="169" fontId="7" fillId="0" borderId="11" xfId="0" applyNumberFormat="1" applyFont="1" applyBorder="1" applyAlignment="1">
      <alignment horizontal="right"/>
    </xf>
    <xf numFmtId="37" fontId="10" fillId="11" borderId="12" xfId="0" applyNumberFormat="1" applyFont="1" applyFill="1" applyBorder="1" applyAlignment="1">
      <alignment horizontal="right"/>
    </xf>
    <xf numFmtId="169" fontId="10" fillId="0" borderId="11" xfId="2" applyNumberFormat="1" applyFont="1" applyFill="1" applyBorder="1" applyAlignment="1" applyProtection="1">
      <alignment horizontal="right"/>
    </xf>
    <xf numFmtId="169" fontId="10" fillId="0" borderId="11" xfId="0" applyNumberFormat="1" applyFont="1" applyBorder="1" applyAlignment="1">
      <alignment horizontal="right"/>
    </xf>
    <xf numFmtId="37" fontId="10" fillId="11" borderId="14" xfId="0" applyNumberFormat="1" applyFont="1" applyFill="1" applyBorder="1" applyAlignment="1">
      <alignment horizontal="right"/>
    </xf>
    <xf numFmtId="0" fontId="81" fillId="11" borderId="31" xfId="0" applyFont="1" applyFill="1" applyBorder="1" applyAlignment="1">
      <alignment horizontal="center" vertical="top" wrapText="1"/>
    </xf>
    <xf numFmtId="0" fontId="81" fillId="11" borderId="33" xfId="0" applyFont="1" applyFill="1" applyBorder="1" applyAlignment="1">
      <alignment horizontal="center" vertical="top" wrapText="1"/>
    </xf>
    <xf numFmtId="175" fontId="10" fillId="11" borderId="34" xfId="2" applyNumberFormat="1" applyFont="1" applyFill="1" applyBorder="1" applyAlignment="1">
      <alignment horizontal="right" vertical="justify"/>
    </xf>
    <xf numFmtId="168" fontId="10" fillId="0" borderId="96" xfId="0" applyNumberFormat="1" applyFont="1" applyBorder="1" applyAlignment="1">
      <alignment horizontal="right"/>
    </xf>
    <xf numFmtId="9" fontId="7" fillId="0" borderId="96" xfId="2" applyFont="1" applyFill="1" applyBorder="1" applyAlignment="1">
      <alignment horizontal="right" vertical="justify"/>
    </xf>
    <xf numFmtId="173" fontId="7" fillId="0" borderId="96" xfId="1" applyNumberFormat="1" applyFont="1" applyFill="1" applyBorder="1" applyAlignment="1">
      <alignment horizontal="right"/>
    </xf>
    <xf numFmtId="1" fontId="7" fillId="0" borderId="96" xfId="0" applyNumberFormat="1" applyFont="1" applyBorder="1" applyAlignment="1">
      <alignment horizontal="right"/>
    </xf>
    <xf numFmtId="167" fontId="7" fillId="0" borderId="96" xfId="0" applyNumberFormat="1" applyFont="1" applyBorder="1" applyAlignment="1">
      <alignment horizontal="right" vertical="justify"/>
    </xf>
    <xf numFmtId="175" fontId="7" fillId="0" borderId="96" xfId="2" applyNumberFormat="1" applyFont="1" applyFill="1" applyBorder="1" applyAlignment="1">
      <alignment horizontal="right"/>
    </xf>
    <xf numFmtId="43" fontId="7" fillId="0" borderId="96" xfId="1" applyFont="1" applyFill="1" applyBorder="1" applyAlignment="1">
      <alignment horizontal="right"/>
    </xf>
    <xf numFmtId="175" fontId="10" fillId="11" borderId="28" xfId="2" applyNumberFormat="1" applyFont="1" applyFill="1" applyBorder="1" applyAlignment="1">
      <alignment horizontal="right" vertical="justify"/>
    </xf>
    <xf numFmtId="175" fontId="10" fillId="11" borderId="96" xfId="2" applyNumberFormat="1" applyFont="1" applyFill="1" applyBorder="1" applyAlignment="1">
      <alignment horizontal="right" vertical="justify"/>
    </xf>
    <xf numFmtId="175" fontId="7" fillId="0" borderId="28" xfId="2" applyNumberFormat="1" applyFont="1" applyFill="1" applyBorder="1" applyAlignment="1">
      <alignment horizontal="right" vertical="justify"/>
    </xf>
    <xf numFmtId="175" fontId="7" fillId="0" borderId="96" xfId="2" applyNumberFormat="1" applyFont="1" applyFill="1" applyBorder="1" applyAlignment="1">
      <alignment horizontal="right" vertical="justify"/>
    </xf>
    <xf numFmtId="9" fontId="10" fillId="0" borderId="28" xfId="2" applyFont="1" applyFill="1" applyBorder="1" applyAlignment="1" applyProtection="1">
      <alignment horizontal="right"/>
    </xf>
    <xf numFmtId="9" fontId="10" fillId="0" borderId="96" xfId="2" applyFont="1" applyFill="1" applyBorder="1" applyAlignment="1" applyProtection="1">
      <alignment horizontal="right"/>
    </xf>
    <xf numFmtId="175" fontId="10" fillId="0" borderId="28" xfId="2" applyNumberFormat="1" applyFont="1" applyFill="1" applyBorder="1" applyAlignment="1">
      <alignment horizontal="right" vertical="justify"/>
    </xf>
    <xf numFmtId="175" fontId="10" fillId="0" borderId="96" xfId="2" applyNumberFormat="1" applyFont="1" applyFill="1" applyBorder="1" applyAlignment="1">
      <alignment horizontal="right" vertical="justify"/>
    </xf>
    <xf numFmtId="176" fontId="7" fillId="0" borderId="28" xfId="0" applyNumberFormat="1" applyFont="1" applyBorder="1" applyAlignment="1">
      <alignment horizontal="right"/>
    </xf>
    <xf numFmtId="176" fontId="7" fillId="0" borderId="96" xfId="0" applyNumberFormat="1" applyFont="1" applyBorder="1" applyAlignment="1">
      <alignment horizontal="right"/>
    </xf>
    <xf numFmtId="167" fontId="10" fillId="0" borderId="28" xfId="0" applyNumberFormat="1" applyFont="1" applyBorder="1" applyAlignment="1">
      <alignment horizontal="right"/>
    </xf>
    <xf numFmtId="167" fontId="10" fillId="0" borderId="96" xfId="0" applyNumberFormat="1" applyFont="1" applyBorder="1" applyAlignment="1">
      <alignment horizontal="right"/>
    </xf>
    <xf numFmtId="167" fontId="10" fillId="0" borderId="31" xfId="0" applyNumberFormat="1" applyFont="1" applyBorder="1" applyAlignment="1">
      <alignment horizontal="right"/>
    </xf>
    <xf numFmtId="175" fontId="10" fillId="11" borderId="23" xfId="2" applyNumberFormat="1" applyFont="1" applyFill="1" applyBorder="1" applyAlignment="1">
      <alignment horizontal="right" vertical="justify"/>
    </xf>
    <xf numFmtId="175" fontId="7" fillId="0" borderId="31" xfId="2" applyNumberFormat="1" applyFont="1" applyFill="1" applyBorder="1" applyAlignment="1">
      <alignment horizontal="right" vertical="justify"/>
    </xf>
    <xf numFmtId="175" fontId="10" fillId="11" borderId="31" xfId="2" applyNumberFormat="1" applyFont="1" applyFill="1" applyBorder="1" applyAlignment="1">
      <alignment horizontal="right" vertical="justify"/>
    </xf>
    <xf numFmtId="175" fontId="10" fillId="11" borderId="60" xfId="0" applyNumberFormat="1" applyFont="1" applyFill="1" applyBorder="1" applyAlignment="1">
      <alignment horizontal="right"/>
    </xf>
    <xf numFmtId="174" fontId="10" fillId="0" borderId="11" xfId="1" applyNumberFormat="1" applyFont="1" applyFill="1" applyBorder="1" applyAlignment="1" applyProtection="1">
      <alignment horizontal="right"/>
    </xf>
    <xf numFmtId="175" fontId="10" fillId="11" borderId="11" xfId="2" applyNumberFormat="1" applyFont="1" applyFill="1" applyBorder="1" applyAlignment="1">
      <alignment horizontal="right" vertical="justify"/>
    </xf>
    <xf numFmtId="175" fontId="7" fillId="0" borderId="11" xfId="2" applyNumberFormat="1" applyFont="1" applyFill="1" applyBorder="1" applyAlignment="1">
      <alignment horizontal="right" vertical="justify"/>
    </xf>
    <xf numFmtId="175" fontId="7" fillId="0" borderId="11" xfId="2" applyNumberFormat="1" applyFont="1" applyFill="1" applyBorder="1" applyAlignment="1">
      <alignment horizontal="right"/>
    </xf>
    <xf numFmtId="43" fontId="7" fillId="0" borderId="11" xfId="1" applyFont="1" applyFill="1" applyBorder="1" applyAlignment="1">
      <alignment horizontal="right"/>
    </xf>
    <xf numFmtId="175" fontId="10" fillId="11" borderId="22" xfId="2" applyNumberFormat="1" applyFont="1" applyFill="1" applyBorder="1" applyAlignment="1">
      <alignment horizontal="right" vertical="justify"/>
    </xf>
    <xf numFmtId="0" fontId="0" fillId="0" borderId="96" xfId="0" applyBorder="1"/>
    <xf numFmtId="175" fontId="7" fillId="0" borderId="28" xfId="0" applyNumberFormat="1" applyFont="1" applyBorder="1" applyAlignment="1">
      <alignment horizontal="right"/>
    </xf>
    <xf numFmtId="37" fontId="7" fillId="0" borderId="0" xfId="0" applyNumberFormat="1" applyFont="1" applyAlignment="1">
      <alignment horizontal="right"/>
    </xf>
    <xf numFmtId="175" fontId="7" fillId="0" borderId="96" xfId="0" applyNumberFormat="1" applyFont="1" applyBorder="1" applyAlignment="1">
      <alignment horizontal="right"/>
    </xf>
    <xf numFmtId="9" fontId="39" fillId="0" borderId="3" xfId="2" applyFont="1" applyFill="1" applyBorder="1" applyAlignment="1" applyProtection="1">
      <alignment horizontal="left"/>
    </xf>
    <xf numFmtId="0" fontId="16" fillId="5" borderId="60" xfId="0" applyFont="1" applyFill="1" applyBorder="1"/>
    <xf numFmtId="167" fontId="39" fillId="0" borderId="3" xfId="0" applyNumberFormat="1" applyFont="1" applyBorder="1" applyAlignment="1">
      <alignment horizontal="left"/>
    </xf>
    <xf numFmtId="9" fontId="7" fillId="5" borderId="60" xfId="0" applyNumberFormat="1" applyFont="1" applyFill="1" applyBorder="1"/>
    <xf numFmtId="175" fontId="10" fillId="8" borderId="35" xfId="2" applyNumberFormat="1" applyFont="1" applyFill="1" applyBorder="1" applyAlignment="1" applyProtection="1">
      <alignment horizontal="right"/>
    </xf>
    <xf numFmtId="175" fontId="10" fillId="0" borderId="60" xfId="2" applyNumberFormat="1" applyFont="1" applyFill="1" applyBorder="1" applyAlignment="1" applyProtection="1">
      <alignment horizontal="right"/>
    </xf>
    <xf numFmtId="175" fontId="10" fillId="0" borderId="0" xfId="2" applyNumberFormat="1" applyFont="1" applyFill="1" applyBorder="1" applyAlignment="1">
      <alignment horizontal="right" vertical="justify"/>
    </xf>
    <xf numFmtId="175" fontId="10" fillId="8" borderId="41" xfId="2" applyNumberFormat="1" applyFont="1" applyFill="1" applyBorder="1" applyAlignment="1">
      <alignment horizontal="right" vertical="justify"/>
    </xf>
    <xf numFmtId="9" fontId="10" fillId="8" borderId="41" xfId="2" applyFont="1" applyFill="1" applyBorder="1" applyAlignment="1" applyProtection="1">
      <alignment horizontal="right"/>
    </xf>
    <xf numFmtId="175" fontId="7" fillId="0" borderId="39" xfId="2" applyNumberFormat="1" applyFont="1" applyFill="1" applyBorder="1" applyAlignment="1">
      <alignment horizontal="right" vertical="justify"/>
    </xf>
    <xf numFmtId="175" fontId="7" fillId="0" borderId="45" xfId="2" applyNumberFormat="1" applyFont="1" applyFill="1" applyBorder="1" applyAlignment="1">
      <alignment horizontal="right" vertical="justify"/>
    </xf>
    <xf numFmtId="175" fontId="10" fillId="8" borderId="45" xfId="2" applyNumberFormat="1" applyFont="1" applyFill="1" applyBorder="1" applyAlignment="1">
      <alignment horizontal="right" vertical="justify"/>
    </xf>
    <xf numFmtId="175" fontId="7" fillId="0" borderId="19" xfId="0" applyNumberFormat="1" applyFont="1" applyBorder="1"/>
    <xf numFmtId="3" fontId="0" fillId="0" borderId="0" xfId="0" applyNumberFormat="1"/>
    <xf numFmtId="175" fontId="10" fillId="11" borderId="28" xfId="2" applyNumberFormat="1" applyFont="1" applyFill="1" applyBorder="1" applyAlignment="1" applyProtection="1">
      <alignment horizontal="right"/>
    </xf>
    <xf numFmtId="175" fontId="82" fillId="8" borderId="2" xfId="2" applyNumberFormat="1" applyFont="1" applyFill="1" applyBorder="1" applyAlignment="1">
      <alignment horizontal="right" vertical="justify"/>
    </xf>
    <xf numFmtId="37" fontId="54" fillId="11" borderId="96" xfId="0" applyNumberFormat="1" applyFont="1" applyFill="1" applyBorder="1" applyAlignment="1">
      <alignment horizontal="right"/>
    </xf>
    <xf numFmtId="37" fontId="32" fillId="0" borderId="96" xfId="0" applyNumberFormat="1" applyFont="1" applyBorder="1" applyAlignment="1">
      <alignment horizontal="right"/>
    </xf>
    <xf numFmtId="37" fontId="46" fillId="11" borderId="60" xfId="0" applyNumberFormat="1" applyFont="1" applyFill="1" applyBorder="1" applyAlignment="1">
      <alignment horizontal="right"/>
    </xf>
    <xf numFmtId="37" fontId="32" fillId="0" borderId="11" xfId="0" applyNumberFormat="1" applyFont="1" applyBorder="1" applyAlignment="1">
      <alignment horizontal="right"/>
    </xf>
    <xf numFmtId="9" fontId="51" fillId="11" borderId="3" xfId="0" applyNumberFormat="1" applyFont="1" applyFill="1" applyBorder="1" applyAlignment="1">
      <alignment horizontal="left"/>
    </xf>
    <xf numFmtId="9" fontId="0" fillId="5" borderId="97" xfId="0" applyNumberFormat="1" applyFill="1" applyBorder="1"/>
    <xf numFmtId="0" fontId="37" fillId="0" borderId="0" xfId="0" applyFont="1" applyAlignment="1">
      <alignment horizontal="fill"/>
    </xf>
    <xf numFmtId="0" fontId="55" fillId="0" borderId="0" xfId="0" applyFont="1"/>
    <xf numFmtId="0" fontId="15" fillId="0" borderId="29" xfId="0" applyFont="1" applyBorder="1" applyAlignment="1">
      <alignment horizontal="right"/>
    </xf>
    <xf numFmtId="0" fontId="0" fillId="5" borderId="97" xfId="0" applyFill="1" applyBorder="1"/>
    <xf numFmtId="182" fontId="7" fillId="0" borderId="28" xfId="2" applyNumberFormat="1" applyFont="1" applyFill="1" applyBorder="1" applyAlignment="1">
      <alignment horizontal="right" vertical="justify"/>
    </xf>
    <xf numFmtId="10" fontId="44" fillId="0" borderId="0" xfId="0" applyNumberFormat="1" applyFont="1" applyAlignment="1">
      <alignment shrinkToFit="1"/>
    </xf>
    <xf numFmtId="0" fontId="32" fillId="0" borderId="0" xfId="0" quotePrefix="1" applyFont="1"/>
    <xf numFmtId="0" fontId="15" fillId="0" borderId="0" xfId="0" applyFont="1" applyAlignment="1">
      <alignment shrinkToFit="1"/>
    </xf>
    <xf numFmtId="169" fontId="0" fillId="5" borderId="97" xfId="0" applyNumberFormat="1" applyFill="1" applyBorder="1"/>
    <xf numFmtId="0" fontId="16" fillId="5" borderId="97" xfId="0" applyFont="1" applyFill="1" applyBorder="1"/>
    <xf numFmtId="0" fontId="44" fillId="0" borderId="29" xfId="0" applyFont="1" applyBorder="1" applyAlignment="1">
      <alignment horizontal="left"/>
    </xf>
    <xf numFmtId="37" fontId="10" fillId="8" borderId="1" xfId="0" applyNumberFormat="1" applyFont="1" applyFill="1" applyBorder="1" applyAlignment="1">
      <alignment horizontal="right"/>
    </xf>
    <xf numFmtId="37" fontId="7" fillId="0" borderId="7" xfId="0" applyNumberFormat="1" applyFont="1" applyBorder="1" applyAlignment="1">
      <alignment horizontal="right"/>
    </xf>
    <xf numFmtId="175" fontId="10" fillId="8" borderId="34" xfId="2" applyNumberFormat="1" applyFont="1" applyFill="1" applyBorder="1" applyAlignment="1">
      <alignment horizontal="right" vertical="justify"/>
    </xf>
    <xf numFmtId="175" fontId="10" fillId="0" borderId="28" xfId="0" applyNumberFormat="1" applyFont="1" applyBorder="1" applyAlignment="1">
      <alignment horizontal="right"/>
    </xf>
    <xf numFmtId="0" fontId="3" fillId="0" borderId="98" xfId="0" applyFont="1" applyBorder="1"/>
    <xf numFmtId="0" fontId="37" fillId="5" borderId="97" xfId="0" applyFont="1" applyFill="1" applyBorder="1"/>
    <xf numFmtId="0" fontId="3" fillId="5" borderId="97" xfId="0" applyFont="1" applyFill="1" applyBorder="1"/>
    <xf numFmtId="3" fontId="37" fillId="5" borderId="97" xfId="0" applyNumberFormat="1" applyFont="1" applyFill="1" applyBorder="1"/>
    <xf numFmtId="0" fontId="8" fillId="0" borderId="0" xfId="0" applyFont="1"/>
    <xf numFmtId="0" fontId="0" fillId="13" borderId="97" xfId="0" applyFill="1" applyBorder="1"/>
    <xf numFmtId="9" fontId="68" fillId="0" borderId="19" xfId="0" applyNumberFormat="1" applyFont="1" applyBorder="1" applyAlignment="1">
      <alignment horizontal="right"/>
    </xf>
    <xf numFmtId="175" fontId="68" fillId="0" borderId="0" xfId="0" applyNumberFormat="1" applyFont="1" applyAlignment="1">
      <alignment horizontal="right"/>
    </xf>
    <xf numFmtId="0" fontId="0" fillId="13" borderId="60" xfId="0" applyFill="1" applyBorder="1"/>
    <xf numFmtId="175" fontId="10" fillId="13" borderId="60" xfId="2" applyNumberFormat="1" applyFont="1" applyFill="1" applyBorder="1" applyAlignment="1">
      <alignment horizontal="right" vertical="justify"/>
    </xf>
    <xf numFmtId="175" fontId="20" fillId="16" borderId="57" xfId="0" applyNumberFormat="1" applyFont="1" applyFill="1" applyBorder="1" applyAlignment="1">
      <alignment horizontal="right"/>
    </xf>
    <xf numFmtId="3" fontId="0" fillId="3" borderId="97" xfId="0" applyNumberFormat="1" applyFill="1" applyBorder="1" applyAlignment="1">
      <alignment horizontal="right"/>
    </xf>
    <xf numFmtId="0" fontId="87" fillId="14" borderId="0" xfId="0" applyFont="1" applyFill="1"/>
    <xf numFmtId="0" fontId="0" fillId="14" borderId="0" xfId="0" applyFill="1"/>
    <xf numFmtId="0" fontId="5" fillId="14" borderId="0" xfId="0" applyFont="1" applyFill="1"/>
    <xf numFmtId="0" fontId="88" fillId="14" borderId="18" xfId="0" applyFont="1" applyFill="1" applyBorder="1" applyAlignment="1">
      <alignment horizontal="right"/>
    </xf>
    <xf numFmtId="169" fontId="0" fillId="14" borderId="0" xfId="0" applyNumberFormat="1" applyFill="1"/>
    <xf numFmtId="0" fontId="88" fillId="14" borderId="0" xfId="0" applyFont="1" applyFill="1" applyAlignment="1">
      <alignment horizontal="left" indent="1"/>
    </xf>
    <xf numFmtId="170" fontId="88" fillId="14" borderId="0" xfId="0" applyNumberFormat="1" applyFont="1" applyFill="1" applyAlignment="1">
      <alignment horizontal="right"/>
    </xf>
    <xf numFmtId="170" fontId="88" fillId="14" borderId="0" xfId="0" applyNumberFormat="1" applyFont="1" applyFill="1"/>
    <xf numFmtId="3" fontId="88" fillId="14" borderId="0" xfId="0" applyNumberFormat="1" applyFont="1" applyFill="1" applyAlignment="1">
      <alignment horizontal="right"/>
    </xf>
    <xf numFmtId="0" fontId="90" fillId="14" borderId="0" xfId="0" applyFont="1" applyFill="1"/>
    <xf numFmtId="0" fontId="91" fillId="14" borderId="13" xfId="0" applyFont="1" applyFill="1" applyBorder="1"/>
    <xf numFmtId="0" fontId="88" fillId="14" borderId="99" xfId="0" applyFont="1" applyFill="1" applyBorder="1" applyAlignment="1">
      <alignment horizontal="right"/>
    </xf>
    <xf numFmtId="175" fontId="5" fillId="0" borderId="0" xfId="2" applyNumberFormat="1" applyFont="1"/>
    <xf numFmtId="175" fontId="0" fillId="5" borderId="97" xfId="0" applyNumberFormat="1" applyFill="1" applyBorder="1"/>
    <xf numFmtId="175" fontId="0" fillId="13" borderId="97" xfId="0" applyNumberFormat="1" applyFill="1" applyBorder="1"/>
    <xf numFmtId="0" fontId="64" fillId="5" borderId="29" xfId="0" applyFont="1" applyFill="1" applyBorder="1"/>
    <xf numFmtId="10" fontId="7" fillId="0" borderId="60" xfId="0" applyNumberFormat="1" applyFont="1" applyBorder="1" applyAlignment="1">
      <alignment horizontal="right"/>
    </xf>
    <xf numFmtId="37" fontId="22" fillId="0" borderId="28" xfId="0" applyNumberFormat="1" applyFont="1" applyBorder="1" applyAlignment="1">
      <alignment horizontal="right"/>
    </xf>
    <xf numFmtId="37" fontId="20" fillId="11" borderId="28" xfId="0" applyNumberFormat="1" applyFont="1" applyFill="1" applyBorder="1" applyAlignment="1">
      <alignment horizontal="right"/>
    </xf>
    <xf numFmtId="37" fontId="22" fillId="0" borderId="0" xfId="0" applyNumberFormat="1" applyFont="1" applyAlignment="1">
      <alignment horizontal="right"/>
    </xf>
    <xf numFmtId="175" fontId="7" fillId="0" borderId="59" xfId="2" applyNumberFormat="1" applyFont="1" applyFill="1" applyBorder="1" applyAlignment="1" applyProtection="1">
      <alignment horizontal="right"/>
    </xf>
    <xf numFmtId="37" fontId="10" fillId="8" borderId="2" xfId="0" applyNumberFormat="1" applyFont="1" applyFill="1" applyBorder="1" applyAlignment="1">
      <alignment horizontal="right"/>
    </xf>
    <xf numFmtId="37" fontId="3" fillId="8" borderId="2" xfId="0" applyNumberFormat="1" applyFont="1" applyFill="1" applyBorder="1"/>
    <xf numFmtId="175" fontId="10" fillId="11" borderId="35" xfId="2" applyNumberFormat="1" applyFont="1" applyFill="1" applyBorder="1" applyAlignment="1" applyProtection="1">
      <alignment horizontal="right"/>
    </xf>
    <xf numFmtId="175" fontId="10" fillId="0" borderId="3" xfId="2" applyNumberFormat="1" applyFont="1" applyFill="1" applyBorder="1" applyAlignment="1">
      <alignment horizontal="right"/>
    </xf>
    <xf numFmtId="3" fontId="7" fillId="13" borderId="60" xfId="2" applyNumberFormat="1" applyFont="1" applyFill="1" applyBorder="1" applyAlignment="1" applyProtection="1">
      <alignment horizontal="right"/>
    </xf>
    <xf numFmtId="184" fontId="2" fillId="0" borderId="0" xfId="1" applyNumberFormat="1" applyFont="1"/>
    <xf numFmtId="175" fontId="10" fillId="13" borderId="47" xfId="0" applyNumberFormat="1" applyFont="1" applyFill="1" applyBorder="1" applyAlignment="1">
      <alignment horizontal="right"/>
    </xf>
    <xf numFmtId="175" fontId="7" fillId="13" borderId="97" xfId="0" applyNumberFormat="1" applyFont="1" applyFill="1" applyBorder="1"/>
    <xf numFmtId="175" fontId="7" fillId="13" borderId="60" xfId="0" applyNumberFormat="1" applyFont="1" applyFill="1" applyBorder="1"/>
    <xf numFmtId="175" fontId="0" fillId="13" borderId="60" xfId="0" applyNumberFormat="1" applyFill="1" applyBorder="1"/>
    <xf numFmtId="0" fontId="20" fillId="0" borderId="0" xfId="0" applyFont="1"/>
    <xf numFmtId="0" fontId="0" fillId="13" borderId="55" xfId="0" applyFill="1" applyBorder="1"/>
    <xf numFmtId="175" fontId="44" fillId="0" borderId="0" xfId="2" applyNumberFormat="1" applyFont="1" applyAlignment="1">
      <alignment horizontal="fill"/>
    </xf>
    <xf numFmtId="0" fontId="62" fillId="0" borderId="0" xfId="0" applyFont="1"/>
    <xf numFmtId="0" fontId="69" fillId="0" borderId="0" xfId="0" applyFont="1"/>
    <xf numFmtId="0" fontId="62" fillId="0" borderId="74" xfId="0" applyFont="1" applyBorder="1"/>
    <xf numFmtId="0" fontId="5" fillId="0" borderId="75" xfId="0" applyFont="1" applyBorder="1"/>
    <xf numFmtId="0" fontId="11" fillId="23" borderId="87" xfId="0" applyFont="1" applyFill="1" applyBorder="1"/>
    <xf numFmtId="0" fontId="5" fillId="23" borderId="88" xfId="0" applyFont="1" applyFill="1" applyBorder="1"/>
    <xf numFmtId="0" fontId="5" fillId="23" borderId="85" xfId="0" applyFont="1" applyFill="1" applyBorder="1"/>
    <xf numFmtId="0" fontId="5" fillId="23" borderId="0" xfId="0" applyFont="1" applyFill="1"/>
    <xf numFmtId="0" fontId="13" fillId="23" borderId="85" xfId="0" applyFont="1" applyFill="1" applyBorder="1"/>
    <xf numFmtId="0" fontId="3" fillId="23" borderId="85" xfId="0" applyFont="1" applyFill="1" applyBorder="1"/>
    <xf numFmtId="169" fontId="66" fillId="23" borderId="0" xfId="0" applyNumberFormat="1" applyFont="1" applyFill="1" applyAlignment="1">
      <alignment horizontal="right"/>
    </xf>
    <xf numFmtId="0" fontId="0" fillId="23" borderId="85" xfId="0" applyFill="1" applyBorder="1"/>
    <xf numFmtId="169" fontId="67" fillId="23" borderId="0" xfId="0" applyNumberFormat="1" applyFont="1" applyFill="1" applyAlignment="1">
      <alignment horizontal="right"/>
    </xf>
    <xf numFmtId="169" fontId="39" fillId="23" borderId="0" xfId="0" applyNumberFormat="1" applyFont="1" applyFill="1" applyAlignment="1">
      <alignment horizontal="right"/>
    </xf>
    <xf numFmtId="169" fontId="15" fillId="23" borderId="0" xfId="0" applyNumberFormat="1" applyFont="1" applyFill="1" applyAlignment="1">
      <alignment horizontal="right"/>
    </xf>
    <xf numFmtId="169" fontId="0" fillId="23" borderId="0" xfId="0" applyNumberFormat="1" applyFill="1" applyAlignment="1">
      <alignment horizontal="right"/>
    </xf>
    <xf numFmtId="0" fontId="0" fillId="23" borderId="0" xfId="0" applyFill="1" applyAlignment="1">
      <alignment horizontal="right"/>
    </xf>
    <xf numFmtId="2" fontId="0" fillId="23" borderId="0" xfId="0" applyNumberFormat="1" applyFill="1"/>
    <xf numFmtId="169" fontId="80" fillId="23" borderId="0" xfId="0" applyNumberFormat="1" applyFont="1" applyFill="1" applyAlignment="1">
      <alignment horizontal="right"/>
    </xf>
    <xf numFmtId="169" fontId="42" fillId="23" borderId="0" xfId="0" applyNumberFormat="1" applyFont="1" applyFill="1" applyAlignment="1">
      <alignment horizontal="right"/>
    </xf>
    <xf numFmtId="0" fontId="5" fillId="23" borderId="90" xfId="0" applyFont="1" applyFill="1" applyBorder="1"/>
    <xf numFmtId="175" fontId="62" fillId="23" borderId="90" xfId="0" applyNumberFormat="1" applyFont="1" applyFill="1" applyBorder="1" applyAlignment="1">
      <alignment horizontal="right"/>
    </xf>
    <xf numFmtId="175" fontId="78" fillId="23" borderId="0" xfId="0" applyNumberFormat="1" applyFont="1" applyFill="1"/>
    <xf numFmtId="169" fontId="23" fillId="23" borderId="0" xfId="0" applyNumberFormat="1" applyFont="1" applyFill="1" applyAlignment="1">
      <alignment horizontal="right"/>
    </xf>
    <xf numFmtId="169" fontId="44" fillId="23" borderId="0" xfId="0" applyNumberFormat="1" applyFont="1" applyFill="1" applyAlignment="1">
      <alignment horizontal="right"/>
    </xf>
    <xf numFmtId="0" fontId="43" fillId="23" borderId="0" xfId="0" applyFont="1" applyFill="1" applyAlignment="1">
      <alignment horizontal="right"/>
    </xf>
    <xf numFmtId="0" fontId="5" fillId="23" borderId="68" xfId="0" applyFont="1" applyFill="1" applyBorder="1"/>
    <xf numFmtId="169" fontId="0" fillId="0" borderId="97" xfId="0" applyNumberFormat="1" applyBorder="1"/>
    <xf numFmtId="0" fontId="6" fillId="24" borderId="0" xfId="0" applyFont="1" applyFill="1"/>
    <xf numFmtId="0" fontId="8" fillId="24" borderId="0" xfId="0" applyFont="1" applyFill="1"/>
    <xf numFmtId="0" fontId="7" fillId="24" borderId="0" xfId="0" applyFont="1" applyFill="1"/>
    <xf numFmtId="0" fontId="10" fillId="24" borderId="46" xfId="0" applyFont="1" applyFill="1" applyBorder="1" applyAlignment="1">
      <alignment horizontal="center"/>
    </xf>
    <xf numFmtId="175" fontId="7" fillId="24" borderId="0" xfId="0" applyNumberFormat="1" applyFont="1" applyFill="1"/>
    <xf numFmtId="1" fontId="7" fillId="24" borderId="0" xfId="0" applyNumberFormat="1" applyFont="1" applyFill="1"/>
    <xf numFmtId="3" fontId="7" fillId="24" borderId="0" xfId="0" applyNumberFormat="1" applyFont="1" applyFill="1"/>
    <xf numFmtId="175" fontId="7" fillId="24" borderId="0" xfId="2" applyNumberFormat="1" applyFont="1" applyFill="1"/>
    <xf numFmtId="169" fontId="7" fillId="24" borderId="0" xfId="0" applyNumberFormat="1" applyFont="1" applyFill="1"/>
    <xf numFmtId="175" fontId="32" fillId="25" borderId="0" xfId="0" applyNumberFormat="1" applyFont="1" applyFill="1"/>
    <xf numFmtId="0" fontId="6" fillId="27" borderId="0" xfId="0" applyFont="1" applyFill="1"/>
    <xf numFmtId="0" fontId="5" fillId="0" borderId="98" xfId="0" applyFont="1" applyBorder="1"/>
    <xf numFmtId="0" fontId="0" fillId="0" borderId="97" xfId="0" applyBorder="1" applyAlignment="1">
      <alignment horizontal="right"/>
    </xf>
    <xf numFmtId="0" fontId="0" fillId="0" borderId="97" xfId="0" applyBorder="1"/>
    <xf numFmtId="0" fontId="36" fillId="0" borderId="0" xfId="0" applyFont="1"/>
    <xf numFmtId="0" fontId="37" fillId="0" borderId="97" xfId="0" applyFont="1" applyBorder="1" applyAlignment="1">
      <alignment horizontal="right"/>
    </xf>
    <xf numFmtId="0" fontId="59" fillId="5" borderId="60" xfId="0" applyFont="1" applyFill="1" applyBorder="1"/>
    <xf numFmtId="0" fontId="59" fillId="5" borderId="97" xfId="0" applyFont="1" applyFill="1" applyBorder="1"/>
    <xf numFmtId="37" fontId="47" fillId="11" borderId="28" xfId="0" applyNumberFormat="1" applyFont="1" applyFill="1" applyBorder="1" applyAlignment="1">
      <alignment horizontal="right"/>
    </xf>
    <xf numFmtId="37" fontId="55" fillId="0" borderId="28" xfId="0" applyNumberFormat="1" applyFont="1" applyBorder="1" applyAlignment="1">
      <alignment horizontal="right"/>
    </xf>
    <xf numFmtId="0" fontId="37" fillId="0" borderId="28" xfId="0" applyFont="1" applyBorder="1"/>
    <xf numFmtId="4" fontId="55" fillId="11" borderId="28" xfId="0" applyNumberFormat="1" applyFont="1" applyFill="1" applyBorder="1" applyAlignment="1">
      <alignment horizontal="right"/>
    </xf>
    <xf numFmtId="9" fontId="55" fillId="11" borderId="28" xfId="2" applyFont="1" applyFill="1" applyBorder="1" applyAlignment="1" applyProtection="1">
      <alignment horizontal="right"/>
    </xf>
    <xf numFmtId="0" fontId="36" fillId="5" borderId="97" xfId="0" applyFont="1" applyFill="1" applyBorder="1"/>
    <xf numFmtId="0" fontId="37" fillId="13" borderId="0" xfId="0" applyFont="1" applyFill="1"/>
    <xf numFmtId="0" fontId="37" fillId="23" borderId="0" xfId="0" applyFont="1" applyFill="1"/>
    <xf numFmtId="0" fontId="36" fillId="0" borderId="46" xfId="0" applyFont="1" applyBorder="1"/>
    <xf numFmtId="0" fontId="44" fillId="0" borderId="0" xfId="0" applyFont="1" applyAlignment="1">
      <alignment horizontal="fill" shrinkToFit="1"/>
    </xf>
    <xf numFmtId="0" fontId="32" fillId="0" borderId="39" xfId="0" applyFont="1" applyBorder="1"/>
    <xf numFmtId="2" fontId="31" fillId="22" borderId="0" xfId="0" applyNumberFormat="1" applyFont="1" applyFill="1" applyAlignment="1">
      <alignment horizontal="right"/>
    </xf>
    <xf numFmtId="2" fontId="31" fillId="14" borderId="0" xfId="0" applyNumberFormat="1" applyFont="1" applyFill="1" applyAlignment="1">
      <alignment horizontal="right"/>
    </xf>
    <xf numFmtId="3" fontId="7" fillId="0" borderId="98" xfId="2" applyNumberFormat="1" applyFont="1" applyFill="1" applyBorder="1" applyAlignment="1" applyProtection="1">
      <alignment horizontal="right"/>
    </xf>
    <xf numFmtId="3" fontId="7" fillId="0" borderId="97" xfId="2" applyNumberFormat="1" applyFont="1" applyFill="1" applyBorder="1" applyAlignment="1" applyProtection="1">
      <alignment horizontal="right"/>
    </xf>
    <xf numFmtId="175" fontId="0" fillId="3" borderId="39" xfId="0" applyNumberFormat="1" applyFill="1" applyBorder="1" applyAlignment="1">
      <alignment horizontal="right"/>
    </xf>
    <xf numFmtId="175" fontId="37" fillId="3" borderId="39" xfId="0" applyNumberFormat="1" applyFont="1" applyFill="1" applyBorder="1" applyAlignment="1">
      <alignment horizontal="right"/>
    </xf>
    <xf numFmtId="3" fontId="37" fillId="3" borderId="39" xfId="0" applyNumberFormat="1" applyFont="1" applyFill="1" applyBorder="1" applyAlignment="1">
      <alignment horizontal="right"/>
    </xf>
    <xf numFmtId="3" fontId="0" fillId="3" borderId="60" xfId="0" applyNumberFormat="1" applyFill="1" applyBorder="1" applyAlignment="1">
      <alignment horizontal="right"/>
    </xf>
    <xf numFmtId="3" fontId="0" fillId="3" borderId="39" xfId="0" applyNumberFormat="1" applyFill="1" applyBorder="1" applyAlignment="1">
      <alignment horizontal="right"/>
    </xf>
    <xf numFmtId="0" fontId="104" fillId="0" borderId="0" xfId="0" applyFont="1" applyAlignment="1">
      <alignment horizontal="center" vertical="top" wrapText="1"/>
    </xf>
    <xf numFmtId="175" fontId="104" fillId="0" borderId="0" xfId="2" applyNumberFormat="1" applyFont="1" applyFill="1" applyBorder="1" applyAlignment="1">
      <alignment horizontal="right" vertical="justify"/>
    </xf>
    <xf numFmtId="175" fontId="104" fillId="0" borderId="0" xfId="0" applyNumberFormat="1" applyFont="1" applyAlignment="1">
      <alignment horizontal="right"/>
    </xf>
    <xf numFmtId="175" fontId="104" fillId="0" borderId="0" xfId="2" applyNumberFormat="1" applyFont="1" applyFill="1" applyBorder="1" applyAlignment="1" applyProtection="1">
      <alignment horizontal="right"/>
    </xf>
    <xf numFmtId="175" fontId="105" fillId="0" borderId="0" xfId="2" applyNumberFormat="1" applyFont="1" applyFill="1" applyBorder="1" applyAlignment="1">
      <alignment horizontal="right" vertical="justify"/>
    </xf>
    <xf numFmtId="3" fontId="106" fillId="28" borderId="46" xfId="0" quotePrefix="1" applyNumberFormat="1" applyFont="1" applyFill="1" applyBorder="1"/>
    <xf numFmtId="169" fontId="0" fillId="0" borderId="39" xfId="0" applyNumberFormat="1" applyBorder="1"/>
    <xf numFmtId="0" fontId="15" fillId="0" borderId="39" xfId="0" applyFont="1" applyBorder="1" applyAlignment="1">
      <alignment horizontal="right"/>
    </xf>
    <xf numFmtId="0" fontId="0" fillId="5" borderId="39" xfId="0" applyFill="1" applyBorder="1"/>
    <xf numFmtId="0" fontId="15" fillId="0" borderId="97" xfId="0" applyFont="1" applyBorder="1" applyAlignment="1">
      <alignment horizontal="right"/>
    </xf>
    <xf numFmtId="3" fontId="0" fillId="5" borderId="97" xfId="0" applyNumberFormat="1" applyFill="1" applyBorder="1"/>
    <xf numFmtId="175" fontId="92" fillId="5" borderId="97" xfId="0" applyNumberFormat="1" applyFont="1" applyFill="1" applyBorder="1"/>
    <xf numFmtId="175" fontId="93" fillId="5" borderId="97" xfId="0" applyNumberFormat="1" applyFont="1" applyFill="1" applyBorder="1"/>
    <xf numFmtId="175" fontId="94" fillId="5" borderId="97" xfId="0" applyNumberFormat="1" applyFont="1" applyFill="1" applyBorder="1"/>
    <xf numFmtId="175" fontId="96" fillId="5" borderId="97" xfId="0" applyNumberFormat="1" applyFont="1" applyFill="1" applyBorder="1"/>
    <xf numFmtId="175" fontId="64" fillId="5" borderId="97" xfId="0" applyNumberFormat="1" applyFont="1" applyFill="1" applyBorder="1"/>
    <xf numFmtId="4" fontId="0" fillId="5" borderId="97" xfId="0" applyNumberFormat="1" applyFill="1" applyBorder="1"/>
    <xf numFmtId="9" fontId="64" fillId="5" borderId="97" xfId="0" applyNumberFormat="1" applyFont="1" applyFill="1" applyBorder="1"/>
    <xf numFmtId="10" fontId="37" fillId="5" borderId="97" xfId="0" applyNumberFormat="1" applyFont="1" applyFill="1" applyBorder="1"/>
    <xf numFmtId="10" fontId="0" fillId="5" borderId="97" xfId="0" applyNumberFormat="1" applyFill="1" applyBorder="1"/>
    <xf numFmtId="9" fontId="0" fillId="5" borderId="97" xfId="2" applyFont="1" applyFill="1" applyBorder="1"/>
    <xf numFmtId="10" fontId="0" fillId="13" borderId="97" xfId="0" applyNumberFormat="1" applyFill="1" applyBorder="1"/>
    <xf numFmtId="0" fontId="0" fillId="5" borderId="98" xfId="0" applyFill="1" applyBorder="1"/>
    <xf numFmtId="0" fontId="0" fillId="13" borderId="98" xfId="0" applyFill="1" applyBorder="1"/>
    <xf numFmtId="41" fontId="0" fillId="5" borderId="97" xfId="1" applyNumberFormat="1" applyFont="1" applyFill="1" applyBorder="1"/>
    <xf numFmtId="175" fontId="0" fillId="3" borderId="97" xfId="0" applyNumberFormat="1" applyFill="1" applyBorder="1" applyAlignment="1">
      <alignment horizontal="right"/>
    </xf>
    <xf numFmtId="175" fontId="37" fillId="3" borderId="97" xfId="0" applyNumberFormat="1" applyFont="1" applyFill="1" applyBorder="1" applyAlignment="1">
      <alignment horizontal="right"/>
    </xf>
    <xf numFmtId="3" fontId="37" fillId="3" borderId="97" xfId="0" applyNumberFormat="1" applyFont="1" applyFill="1" applyBorder="1" applyAlignment="1">
      <alignment horizontal="right"/>
    </xf>
    <xf numFmtId="0" fontId="107" fillId="14" borderId="99" xfId="0" applyFont="1" applyFill="1" applyBorder="1" applyAlignment="1">
      <alignment horizontal="right"/>
    </xf>
    <xf numFmtId="9" fontId="5" fillId="0" borderId="0" xfId="2" applyFont="1"/>
    <xf numFmtId="175" fontId="0" fillId="0" borderId="0" xfId="2" applyNumberFormat="1" applyFont="1"/>
    <xf numFmtId="0" fontId="44" fillId="0" borderId="0" xfId="0" applyFont="1" applyAlignment="1">
      <alignment horizontal="right"/>
    </xf>
    <xf numFmtId="37" fontId="15" fillId="5" borderId="97" xfId="1" applyNumberFormat="1" applyFont="1" applyFill="1" applyBorder="1"/>
    <xf numFmtId="0" fontId="32" fillId="0" borderId="0" xfId="0" applyFont="1" applyAlignment="1">
      <alignment horizontal="center"/>
    </xf>
    <xf numFmtId="37" fontId="54" fillId="11" borderId="29" xfId="0" applyNumberFormat="1" applyFont="1" applyFill="1" applyBorder="1" applyAlignment="1">
      <alignment horizontal="right"/>
    </xf>
    <xf numFmtId="0" fontId="5" fillId="0" borderId="0" xfId="0" applyFont="1" applyAlignment="1">
      <alignment horizontal="right"/>
    </xf>
    <xf numFmtId="0" fontId="30" fillId="14" borderId="50" xfId="0" applyFont="1" applyFill="1" applyBorder="1" applyAlignment="1">
      <alignment horizontal="right"/>
    </xf>
    <xf numFmtId="0" fontId="31" fillId="14" borderId="0" xfId="0" applyFont="1" applyFill="1" applyAlignment="1">
      <alignment horizontal="right"/>
    </xf>
    <xf numFmtId="169" fontId="31" fillId="14" borderId="0" xfId="0" applyNumberFormat="1" applyFont="1" applyFill="1" applyAlignment="1">
      <alignment horizontal="right"/>
    </xf>
    <xf numFmtId="169" fontId="30" fillId="14" borderId="0" xfId="0" applyNumberFormat="1" applyFont="1" applyFill="1" applyAlignment="1">
      <alignment horizontal="right"/>
    </xf>
    <xf numFmtId="9" fontId="30" fillId="14" borderId="0" xfId="2" applyFont="1" applyFill="1" applyBorder="1" applyAlignment="1">
      <alignment horizontal="right"/>
    </xf>
    <xf numFmtId="175" fontId="30" fillId="14" borderId="0" xfId="2" applyNumberFormat="1" applyFont="1" applyFill="1" applyBorder="1" applyAlignment="1">
      <alignment horizontal="right"/>
    </xf>
    <xf numFmtId="2" fontId="30" fillId="14" borderId="0" xfId="0" applyNumberFormat="1" applyFont="1" applyFill="1" applyAlignment="1">
      <alignment horizontal="right"/>
    </xf>
    <xf numFmtId="1" fontId="31" fillId="14" borderId="0" xfId="0" applyNumberFormat="1" applyFont="1" applyFill="1" applyAlignment="1">
      <alignment horizontal="right"/>
    </xf>
    <xf numFmtId="0" fontId="31" fillId="14" borderId="54" xfId="0" applyFont="1" applyFill="1" applyBorder="1" applyAlignment="1">
      <alignment horizontal="right"/>
    </xf>
    <xf numFmtId="175" fontId="0" fillId="0" borderId="0" xfId="0" applyNumberFormat="1" applyAlignment="1">
      <alignment horizontal="right"/>
    </xf>
    <xf numFmtId="169" fontId="0" fillId="0" borderId="29" xfId="0" applyNumberFormat="1" applyBorder="1" applyAlignment="1">
      <alignment horizontal="right"/>
    </xf>
    <xf numFmtId="169" fontId="0" fillId="0" borderId="97" xfId="0" applyNumberFormat="1" applyBorder="1" applyAlignment="1">
      <alignment horizontal="right"/>
    </xf>
    <xf numFmtId="0" fontId="0" fillId="5" borderId="29" xfId="0" applyFill="1" applyBorder="1" applyAlignment="1">
      <alignment horizontal="right"/>
    </xf>
    <xf numFmtId="169" fontId="0" fillId="5" borderId="29" xfId="0" applyNumberFormat="1" applyFill="1" applyBorder="1" applyAlignment="1">
      <alignment horizontal="right"/>
    </xf>
    <xf numFmtId="9" fontId="0" fillId="5" borderId="97" xfId="2" applyFont="1" applyFill="1" applyBorder="1" applyAlignment="1">
      <alignment horizontal="right"/>
    </xf>
    <xf numFmtId="9" fontId="0" fillId="5" borderId="60" xfId="0" applyNumberFormat="1" applyFill="1" applyBorder="1" applyAlignment="1">
      <alignment horizontal="right"/>
    </xf>
    <xf numFmtId="175" fontId="0" fillId="5" borderId="60" xfId="0" applyNumberFormat="1" applyFill="1" applyBorder="1" applyAlignment="1">
      <alignment horizontal="right"/>
    </xf>
    <xf numFmtId="169" fontId="0" fillId="5" borderId="97" xfId="0" applyNumberFormat="1" applyFill="1" applyBorder="1" applyAlignment="1">
      <alignment horizontal="right"/>
    </xf>
    <xf numFmtId="175" fontId="0" fillId="5" borderId="97" xfId="0" applyNumberFormat="1" applyFill="1" applyBorder="1" applyAlignment="1">
      <alignment horizontal="right"/>
    </xf>
    <xf numFmtId="37" fontId="15" fillId="5" borderId="97" xfId="1" applyNumberFormat="1" applyFont="1" applyFill="1" applyBorder="1" applyAlignment="1">
      <alignment horizontal="right"/>
    </xf>
    <xf numFmtId="41" fontId="0" fillId="5" borderId="97" xfId="1" applyNumberFormat="1" applyFont="1" applyFill="1" applyBorder="1" applyAlignment="1">
      <alignment horizontal="right"/>
    </xf>
    <xf numFmtId="169" fontId="0" fillId="5" borderId="60" xfId="0" applyNumberFormat="1" applyFill="1" applyBorder="1" applyAlignment="1">
      <alignment horizontal="right"/>
    </xf>
    <xf numFmtId="9" fontId="0" fillId="5" borderId="97" xfId="0" applyNumberFormat="1" applyFill="1" applyBorder="1" applyAlignment="1">
      <alignment horizontal="right"/>
    </xf>
    <xf numFmtId="9" fontId="0" fillId="5" borderId="29" xfId="0" applyNumberFormat="1" applyFill="1" applyBorder="1" applyAlignment="1">
      <alignment horizontal="right"/>
    </xf>
    <xf numFmtId="3" fontId="0" fillId="5" borderId="60" xfId="0" applyNumberFormat="1" applyFill="1" applyBorder="1" applyAlignment="1">
      <alignment horizontal="right"/>
    </xf>
    <xf numFmtId="175" fontId="92" fillId="5" borderId="60" xfId="0" applyNumberFormat="1" applyFont="1" applyFill="1" applyBorder="1" applyAlignment="1">
      <alignment horizontal="right"/>
    </xf>
    <xf numFmtId="175" fontId="93" fillId="5" borderId="29" xfId="0" applyNumberFormat="1" applyFont="1" applyFill="1" applyBorder="1" applyAlignment="1">
      <alignment horizontal="right"/>
    </xf>
    <xf numFmtId="0" fontId="0" fillId="5" borderId="60" xfId="0" applyFill="1" applyBorder="1" applyAlignment="1">
      <alignment horizontal="right"/>
    </xf>
    <xf numFmtId="175" fontId="94" fillId="5" borderId="60" xfId="0" applyNumberFormat="1" applyFont="1" applyFill="1" applyBorder="1" applyAlignment="1">
      <alignment horizontal="right"/>
    </xf>
    <xf numFmtId="175" fontId="93" fillId="5" borderId="60" xfId="0" applyNumberFormat="1" applyFont="1" applyFill="1" applyBorder="1" applyAlignment="1">
      <alignment horizontal="right"/>
    </xf>
    <xf numFmtId="0" fontId="95" fillId="5" borderId="29" xfId="0" applyFont="1" applyFill="1" applyBorder="1" applyAlignment="1">
      <alignment horizontal="right"/>
    </xf>
    <xf numFmtId="0" fontId="22" fillId="5" borderId="29" xfId="0" applyFont="1" applyFill="1" applyBorder="1" applyAlignment="1">
      <alignment horizontal="right"/>
    </xf>
    <xf numFmtId="175" fontId="96" fillId="5" borderId="29" xfId="0" applyNumberFormat="1" applyFont="1" applyFill="1" applyBorder="1" applyAlignment="1">
      <alignment horizontal="right"/>
    </xf>
    <xf numFmtId="2" fontId="95" fillId="5" borderId="46" xfId="0" applyNumberFormat="1" applyFont="1" applyFill="1" applyBorder="1" applyAlignment="1">
      <alignment horizontal="right"/>
    </xf>
    <xf numFmtId="0" fontId="22" fillId="5" borderId="60" xfId="0" applyFont="1" applyFill="1" applyBorder="1" applyAlignment="1">
      <alignment horizontal="right"/>
    </xf>
    <xf numFmtId="1" fontId="7" fillId="5" borderId="60" xfId="0" applyNumberFormat="1" applyFont="1" applyFill="1" applyBorder="1" applyAlignment="1">
      <alignment horizontal="right"/>
    </xf>
    <xf numFmtId="0" fontId="93" fillId="5" borderId="60" xfId="0" applyFont="1" applyFill="1" applyBorder="1" applyAlignment="1">
      <alignment horizontal="right"/>
    </xf>
    <xf numFmtId="175" fontId="64" fillId="5" borderId="60" xfId="0" applyNumberFormat="1" applyFont="1" applyFill="1" applyBorder="1" applyAlignment="1">
      <alignment horizontal="right"/>
    </xf>
    <xf numFmtId="4" fontId="0" fillId="5" borderId="60" xfId="0" applyNumberFormat="1" applyFill="1" applyBorder="1" applyAlignment="1">
      <alignment horizontal="right"/>
    </xf>
    <xf numFmtId="2" fontId="0" fillId="5" borderId="60" xfId="0" applyNumberFormat="1" applyFill="1" applyBorder="1" applyAlignment="1">
      <alignment horizontal="right"/>
    </xf>
    <xf numFmtId="9" fontId="64" fillId="5" borderId="60" xfId="0" applyNumberFormat="1" applyFont="1" applyFill="1" applyBorder="1" applyAlignment="1">
      <alignment horizontal="right"/>
    </xf>
    <xf numFmtId="0" fontId="0" fillId="5" borderId="55" xfId="0" applyFill="1" applyBorder="1" applyAlignment="1">
      <alignment horizontal="right"/>
    </xf>
    <xf numFmtId="175" fontId="44" fillId="0" borderId="0" xfId="0" applyNumberFormat="1" applyFont="1" applyAlignment="1">
      <alignment horizontal="right"/>
    </xf>
    <xf numFmtId="0" fontId="74" fillId="0" borderId="70" xfId="0" applyFont="1" applyBorder="1" applyAlignment="1">
      <alignment horizontal="right"/>
    </xf>
    <xf numFmtId="2" fontId="0" fillId="0" borderId="75" xfId="0" applyNumberFormat="1" applyBorder="1" applyAlignment="1">
      <alignment horizontal="right"/>
    </xf>
    <xf numFmtId="0" fontId="7" fillId="11" borderId="0" xfId="0" applyFont="1" applyFill="1" applyAlignment="1">
      <alignment horizontal="right"/>
    </xf>
    <xf numFmtId="0" fontId="3" fillId="11" borderId="35" xfId="0" applyFont="1" applyFill="1" applyBorder="1" applyAlignment="1">
      <alignment horizontal="right"/>
    </xf>
    <xf numFmtId="3" fontId="0" fillId="0" borderId="29" xfId="0" applyNumberFormat="1" applyBorder="1" applyAlignment="1">
      <alignment horizontal="right"/>
    </xf>
    <xf numFmtId="37" fontId="3" fillId="11" borderId="35" xfId="0" applyNumberFormat="1" applyFont="1" applyFill="1" applyBorder="1" applyAlignment="1">
      <alignment horizontal="right"/>
    </xf>
    <xf numFmtId="0" fontId="43" fillId="11" borderId="0" xfId="0" applyFont="1" applyFill="1" applyAlignment="1">
      <alignment horizontal="right"/>
    </xf>
    <xf numFmtId="0" fontId="43" fillId="0" borderId="68" xfId="0" quotePrefix="1" applyFont="1" applyBorder="1" applyAlignment="1">
      <alignment horizontal="right"/>
    </xf>
    <xf numFmtId="0" fontId="43" fillId="0" borderId="0" xfId="0" quotePrefix="1" applyFont="1" applyAlignment="1">
      <alignment horizontal="right"/>
    </xf>
    <xf numFmtId="0" fontId="3" fillId="5" borderId="60" xfId="0" applyFont="1" applyFill="1" applyBorder="1" applyAlignment="1">
      <alignment horizontal="right"/>
    </xf>
    <xf numFmtId="0" fontId="36" fillId="5" borderId="60" xfId="0" applyFont="1" applyFill="1" applyBorder="1" applyAlignment="1">
      <alignment horizontal="right"/>
    </xf>
    <xf numFmtId="1" fontId="0" fillId="5" borderId="60" xfId="0" applyNumberFormat="1" applyFill="1" applyBorder="1" applyAlignment="1">
      <alignment horizontal="right"/>
    </xf>
    <xf numFmtId="3" fontId="37" fillId="5" borderId="60" xfId="0" applyNumberFormat="1" applyFont="1" applyFill="1" applyBorder="1" applyAlignment="1">
      <alignment horizontal="right"/>
    </xf>
    <xf numFmtId="180" fontId="3" fillId="5" borderId="60" xfId="0" applyNumberFormat="1" applyFont="1" applyFill="1" applyBorder="1" applyAlignment="1">
      <alignment horizontal="right"/>
    </xf>
    <xf numFmtId="9" fontId="37" fillId="5" borderId="60" xfId="0" applyNumberFormat="1" applyFont="1" applyFill="1" applyBorder="1" applyAlignment="1">
      <alignment horizontal="right"/>
    </xf>
    <xf numFmtId="9" fontId="37" fillId="5" borderId="59" xfId="0" applyNumberFormat="1" applyFont="1" applyFill="1" applyBorder="1" applyAlignment="1">
      <alignment horizontal="right"/>
    </xf>
    <xf numFmtId="1" fontId="42" fillId="5" borderId="60" xfId="0" applyNumberFormat="1" applyFont="1" applyFill="1" applyBorder="1" applyAlignment="1">
      <alignment horizontal="right"/>
    </xf>
    <xf numFmtId="1" fontId="42" fillId="5" borderId="59" xfId="0" applyNumberFormat="1" applyFont="1" applyFill="1" applyBorder="1" applyAlignment="1">
      <alignment horizontal="right"/>
    </xf>
    <xf numFmtId="1" fontId="55" fillId="5" borderId="60" xfId="0" applyNumberFormat="1" applyFont="1" applyFill="1" applyBorder="1" applyAlignment="1">
      <alignment horizontal="right"/>
    </xf>
    <xf numFmtId="1" fontId="55" fillId="5" borderId="59" xfId="0" applyNumberFormat="1" applyFont="1" applyFill="1" applyBorder="1" applyAlignment="1">
      <alignment horizontal="right"/>
    </xf>
    <xf numFmtId="9" fontId="37" fillId="5" borderId="97" xfId="0" applyNumberFormat="1" applyFont="1" applyFill="1" applyBorder="1" applyAlignment="1">
      <alignment horizontal="right"/>
    </xf>
    <xf numFmtId="3" fontId="37" fillId="5" borderId="97" xfId="0" applyNumberFormat="1" applyFont="1" applyFill="1" applyBorder="1" applyAlignment="1">
      <alignment horizontal="right"/>
    </xf>
    <xf numFmtId="1" fontId="76" fillId="0" borderId="0" xfId="0" applyNumberFormat="1" applyFont="1" applyAlignment="1">
      <alignment horizontal="right"/>
    </xf>
    <xf numFmtId="3" fontId="37" fillId="0" borderId="0" xfId="0" applyNumberFormat="1" applyFont="1" applyAlignment="1">
      <alignment horizontal="right"/>
    </xf>
    <xf numFmtId="1" fontId="42" fillId="0" borderId="0" xfId="0" applyNumberFormat="1" applyFont="1" applyAlignment="1">
      <alignment horizontal="right"/>
    </xf>
    <xf numFmtId="1" fontId="39" fillId="0" borderId="0" xfId="0" applyNumberFormat="1" applyFont="1" applyAlignment="1">
      <alignment horizontal="right"/>
    </xf>
    <xf numFmtId="3" fontId="44" fillId="0" borderId="0" xfId="0" applyNumberFormat="1" applyFont="1" applyAlignment="1">
      <alignment horizontal="right"/>
    </xf>
    <xf numFmtId="175" fontId="44" fillId="0" borderId="70" xfId="0" applyNumberFormat="1" applyFont="1" applyBorder="1" applyAlignment="1">
      <alignment horizontal="right"/>
    </xf>
    <xf numFmtId="175" fontId="65" fillId="18" borderId="0" xfId="8" applyNumberFormat="1" applyFont="1" applyFill="1" applyBorder="1" applyAlignment="1">
      <alignment horizontal="right"/>
    </xf>
    <xf numFmtId="175" fontId="65" fillId="18" borderId="83" xfId="8" applyNumberFormat="1" applyFont="1" applyFill="1" applyBorder="1" applyAlignment="1">
      <alignment horizontal="right"/>
    </xf>
    <xf numFmtId="175" fontId="65" fillId="18" borderId="103" xfId="8" applyNumberFormat="1" applyFont="1" applyFill="1" applyBorder="1" applyAlignment="1">
      <alignment horizontal="right"/>
    </xf>
    <xf numFmtId="9" fontId="72" fillId="0" borderId="0" xfId="8" applyNumberFormat="1" applyFont="1" applyFill="1" applyBorder="1" applyAlignment="1">
      <alignment horizontal="right"/>
    </xf>
    <xf numFmtId="175" fontId="61" fillId="0" borderId="0" xfId="8" applyNumberFormat="1" applyFont="1" applyFill="1" applyBorder="1" applyAlignment="1">
      <alignment horizontal="right"/>
    </xf>
    <xf numFmtId="9" fontId="71" fillId="18" borderId="0" xfId="8" applyNumberFormat="1" applyFont="1" applyFill="1" applyBorder="1" applyAlignment="1">
      <alignment horizontal="right"/>
    </xf>
    <xf numFmtId="0" fontId="69" fillId="0" borderId="0" xfId="0" applyFont="1" applyAlignment="1">
      <alignment horizontal="right"/>
    </xf>
    <xf numFmtId="9" fontId="70" fillId="0" borderId="0" xfId="8" applyNumberFormat="1" applyFont="1" applyFill="1" applyBorder="1" applyAlignment="1">
      <alignment horizontal="right"/>
    </xf>
    <xf numFmtId="0" fontId="5" fillId="0" borderId="75" xfId="0" applyFont="1" applyBorder="1" applyAlignment="1">
      <alignment horizontal="right"/>
    </xf>
    <xf numFmtId="175" fontId="61" fillId="0" borderId="100" xfId="8" applyNumberFormat="1" applyFont="1" applyFill="1" applyBorder="1" applyAlignment="1">
      <alignment horizontal="right"/>
    </xf>
    <xf numFmtId="175" fontId="61" fillId="0" borderId="102" xfId="8" applyNumberFormat="1" applyFont="1" applyFill="1" applyBorder="1" applyAlignment="1">
      <alignment horizontal="right"/>
    </xf>
    <xf numFmtId="17" fontId="44" fillId="16" borderId="0" xfId="0" applyNumberFormat="1" applyFont="1" applyFill="1" applyAlignment="1">
      <alignment horizontal="right"/>
    </xf>
    <xf numFmtId="175" fontId="10" fillId="16" borderId="0" xfId="0" applyNumberFormat="1" applyFont="1" applyFill="1" applyAlignment="1">
      <alignment horizontal="right"/>
    </xf>
    <xf numFmtId="0" fontId="5" fillId="16" borderId="0" xfId="0" applyFont="1" applyFill="1" applyAlignment="1">
      <alignment horizontal="right"/>
    </xf>
    <xf numFmtId="175" fontId="59" fillId="16" borderId="0" xfId="0" applyNumberFormat="1" applyFont="1" applyFill="1" applyAlignment="1">
      <alignment horizontal="right"/>
    </xf>
    <xf numFmtId="0" fontId="5" fillId="0" borderId="82" xfId="0" applyFont="1" applyBorder="1" applyAlignment="1">
      <alignment horizontal="right"/>
    </xf>
    <xf numFmtId="0" fontId="5" fillId="23" borderId="88" xfId="0" applyFont="1" applyFill="1" applyBorder="1" applyAlignment="1">
      <alignment horizontal="right"/>
    </xf>
    <xf numFmtId="0" fontId="44" fillId="23" borderId="88" xfId="0" applyFont="1" applyFill="1" applyBorder="1" applyAlignment="1">
      <alignment horizontal="right"/>
    </xf>
    <xf numFmtId="0" fontId="5" fillId="23" borderId="0" xfId="0" applyFont="1" applyFill="1" applyAlignment="1">
      <alignment horizontal="right"/>
    </xf>
    <xf numFmtId="9" fontId="37" fillId="23" borderId="0" xfId="0" applyNumberFormat="1" applyFont="1" applyFill="1" applyAlignment="1">
      <alignment horizontal="right"/>
    </xf>
    <xf numFmtId="3" fontId="61" fillId="23" borderId="0" xfId="8" applyNumberFormat="1" applyFont="1" applyFill="1" applyBorder="1" applyAlignment="1">
      <alignment horizontal="right"/>
    </xf>
    <xf numFmtId="175" fontId="78" fillId="23" borderId="0" xfId="0" applyNumberFormat="1" applyFont="1" applyFill="1" applyAlignment="1">
      <alignment horizontal="right"/>
    </xf>
    <xf numFmtId="10" fontId="78" fillId="23" borderId="0" xfId="0" applyNumberFormat="1" applyFont="1" applyFill="1" applyAlignment="1">
      <alignment horizontal="right"/>
    </xf>
    <xf numFmtId="0" fontId="46" fillId="23" borderId="0" xfId="0" applyFont="1" applyFill="1" applyAlignment="1">
      <alignment horizontal="right"/>
    </xf>
    <xf numFmtId="169" fontId="43" fillId="23" borderId="0" xfId="0" applyNumberFormat="1" applyFont="1" applyFill="1" applyAlignment="1">
      <alignment horizontal="right"/>
    </xf>
    <xf numFmtId="169" fontId="37" fillId="0" borderId="0" xfId="0" applyNumberFormat="1" applyFont="1" applyAlignment="1">
      <alignment horizontal="right"/>
    </xf>
    <xf numFmtId="9" fontId="66" fillId="0" borderId="0" xfId="0" applyNumberFormat="1" applyFont="1" applyAlignment="1">
      <alignment horizontal="right"/>
    </xf>
    <xf numFmtId="9" fontId="15" fillId="0" borderId="0" xfId="0" applyNumberFormat="1" applyFont="1" applyAlignment="1">
      <alignment horizontal="right"/>
    </xf>
    <xf numFmtId="0" fontId="44" fillId="0" borderId="93" xfId="0" applyFont="1" applyBorder="1" applyAlignment="1">
      <alignment horizontal="right"/>
    </xf>
    <xf numFmtId="0" fontId="32" fillId="0" borderId="0" xfId="0" applyFont="1" applyAlignment="1">
      <alignment horizontal="right"/>
    </xf>
    <xf numFmtId="0" fontId="8" fillId="24" borderId="0" xfId="0" applyFont="1" applyFill="1" applyAlignment="1">
      <alignment horizontal="right"/>
    </xf>
    <xf numFmtId="0" fontId="7" fillId="24" borderId="0" xfId="0" applyFont="1" applyFill="1" applyAlignment="1">
      <alignment horizontal="right"/>
    </xf>
    <xf numFmtId="0" fontId="10" fillId="24" borderId="46" xfId="0" applyFont="1" applyFill="1" applyBorder="1" applyAlignment="1">
      <alignment horizontal="right"/>
    </xf>
    <xf numFmtId="0" fontId="6" fillId="24" borderId="0" xfId="0" applyFont="1" applyFill="1" applyAlignment="1">
      <alignment horizontal="right"/>
    </xf>
    <xf numFmtId="175" fontId="7" fillId="24" borderId="0" xfId="0" applyNumberFormat="1" applyFont="1" applyFill="1" applyAlignment="1">
      <alignment horizontal="right"/>
    </xf>
    <xf numFmtId="1" fontId="7" fillId="24" borderId="0" xfId="0" applyNumberFormat="1" applyFont="1" applyFill="1" applyAlignment="1">
      <alignment horizontal="right"/>
    </xf>
    <xf numFmtId="175" fontId="7" fillId="20" borderId="0" xfId="0" applyNumberFormat="1" applyFont="1" applyFill="1" applyAlignment="1">
      <alignment horizontal="right"/>
    </xf>
    <xf numFmtId="0" fontId="6" fillId="20" borderId="0" xfId="0" applyFont="1" applyFill="1" applyAlignment="1">
      <alignment horizontal="right"/>
    </xf>
    <xf numFmtId="0" fontId="6" fillId="27" borderId="0" xfId="0" applyFont="1" applyFill="1" applyAlignment="1">
      <alignment horizontal="right"/>
    </xf>
    <xf numFmtId="1" fontId="6" fillId="27" borderId="0" xfId="0" applyNumberFormat="1" applyFont="1" applyFill="1" applyAlignment="1">
      <alignment horizontal="right"/>
    </xf>
    <xf numFmtId="175" fontId="7" fillId="24" borderId="0" xfId="2" applyNumberFormat="1" applyFont="1" applyFill="1" applyAlignment="1">
      <alignment horizontal="right"/>
    </xf>
    <xf numFmtId="3" fontId="7" fillId="24" borderId="0" xfId="0" applyNumberFormat="1" applyFont="1" applyFill="1" applyAlignment="1">
      <alignment horizontal="right"/>
    </xf>
    <xf numFmtId="0" fontId="3" fillId="0" borderId="59" xfId="0" applyFont="1" applyBorder="1" applyAlignment="1">
      <alignment horizontal="right"/>
    </xf>
    <xf numFmtId="0" fontId="5" fillId="14" borderId="0" xfId="0" applyFont="1" applyFill="1" applyAlignment="1">
      <alignment horizontal="right"/>
    </xf>
    <xf numFmtId="0" fontId="0" fillId="14" borderId="0" xfId="0" applyFill="1" applyAlignment="1">
      <alignment horizontal="right"/>
    </xf>
    <xf numFmtId="0" fontId="91" fillId="14" borderId="13" xfId="0" applyFont="1" applyFill="1" applyBorder="1" applyAlignment="1">
      <alignment horizontal="right"/>
    </xf>
    <xf numFmtId="0" fontId="88" fillId="14" borderId="0" xfId="0" applyFont="1" applyFill="1" applyAlignment="1">
      <alignment horizontal="right"/>
    </xf>
    <xf numFmtId="169" fontId="0" fillId="14" borderId="0" xfId="0" applyNumberFormat="1" applyFill="1" applyAlignment="1">
      <alignment horizontal="right"/>
    </xf>
    <xf numFmtId="3" fontId="99" fillId="22" borderId="18" xfId="0" applyNumberFormat="1" applyFont="1" applyFill="1" applyBorder="1" applyAlignment="1">
      <alignment horizontal="right"/>
    </xf>
    <xf numFmtId="0" fontId="35" fillId="0" borderId="98" xfId="0" applyFont="1" applyBorder="1"/>
    <xf numFmtId="0" fontId="29" fillId="15" borderId="98" xfId="0" applyFont="1" applyFill="1" applyBorder="1"/>
    <xf numFmtId="0" fontId="35" fillId="15" borderId="98" xfId="0" applyFont="1" applyFill="1" applyBorder="1"/>
    <xf numFmtId="0" fontId="33" fillId="15" borderId="98" xfId="0" applyFont="1" applyFill="1" applyBorder="1"/>
    <xf numFmtId="0" fontId="74" fillId="30" borderId="0" xfId="0" applyFont="1" applyFill="1"/>
    <xf numFmtId="0" fontId="44" fillId="30" borderId="0" xfId="0" applyFont="1" applyFill="1"/>
    <xf numFmtId="0" fontId="74" fillId="30" borderId="0" xfId="0" applyFont="1" applyFill="1" applyAlignment="1">
      <alignment horizontal="right"/>
    </xf>
    <xf numFmtId="9" fontId="44" fillId="30" borderId="0" xfId="0" applyNumberFormat="1" applyFont="1" applyFill="1" applyAlignment="1">
      <alignment horizontal="right"/>
    </xf>
    <xf numFmtId="9" fontId="44" fillId="30" borderId="0" xfId="0" applyNumberFormat="1" applyFont="1" applyFill="1"/>
    <xf numFmtId="169" fontId="44" fillId="30" borderId="0" xfId="0" applyNumberFormat="1" applyFont="1" applyFill="1"/>
    <xf numFmtId="0" fontId="44" fillId="30" borderId="0" xfId="0" applyFont="1" applyFill="1" applyAlignment="1">
      <alignment horizontal="right"/>
    </xf>
    <xf numFmtId="0" fontId="78" fillId="30" borderId="0" xfId="0" applyFont="1" applyFill="1"/>
    <xf numFmtId="169" fontId="78" fillId="30" borderId="0" xfId="0" applyNumberFormat="1" applyFont="1" applyFill="1"/>
    <xf numFmtId="1" fontId="78" fillId="30" borderId="0" xfId="0" applyNumberFormat="1" applyFont="1" applyFill="1"/>
    <xf numFmtId="1" fontId="78" fillId="30" borderId="0" xfId="0" applyNumberFormat="1" applyFont="1" applyFill="1" applyAlignment="1">
      <alignment horizontal="right"/>
    </xf>
    <xf numFmtId="1" fontId="44" fillId="30" borderId="0" xfId="0" applyNumberFormat="1" applyFont="1" applyFill="1" applyAlignment="1">
      <alignment horizontal="right"/>
    </xf>
    <xf numFmtId="9" fontId="115" fillId="30" borderId="0" xfId="0" applyNumberFormat="1" applyFont="1" applyFill="1"/>
    <xf numFmtId="3" fontId="44" fillId="30" borderId="0" xfId="0" applyNumberFormat="1" applyFont="1" applyFill="1"/>
    <xf numFmtId="3" fontId="44" fillId="30" borderId="0" xfId="0" applyNumberFormat="1" applyFont="1" applyFill="1" applyAlignment="1">
      <alignment horizontal="right"/>
    </xf>
    <xf numFmtId="1" fontId="44" fillId="30" borderId="0" xfId="0" applyNumberFormat="1" applyFont="1" applyFill="1"/>
    <xf numFmtId="175" fontId="44" fillId="30" borderId="0" xfId="0" applyNumberFormat="1" applyFont="1" applyFill="1" applyAlignment="1">
      <alignment horizontal="right"/>
    </xf>
    <xf numFmtId="1" fontId="114" fillId="30" borderId="55" xfId="0" applyNumberFormat="1" applyFont="1" applyFill="1" applyBorder="1"/>
    <xf numFmtId="1" fontId="74" fillId="30" borderId="67" xfId="0" applyNumberFormat="1" applyFont="1" applyFill="1" applyBorder="1" applyAlignment="1">
      <alignment horizontal="center"/>
    </xf>
    <xf numFmtId="1" fontId="5" fillId="0" borderId="0" xfId="1" applyNumberFormat="1" applyFont="1"/>
    <xf numFmtId="3" fontId="7" fillId="24" borderId="0" xfId="2" applyNumberFormat="1" applyFont="1" applyFill="1"/>
    <xf numFmtId="0" fontId="0" fillId="13" borderId="29" xfId="0" applyFill="1" applyBorder="1"/>
    <xf numFmtId="185" fontId="7" fillId="24" borderId="0" xfId="0" applyNumberFormat="1" applyFont="1" applyFill="1"/>
    <xf numFmtId="0" fontId="84" fillId="0" borderId="0" xfId="0" applyFont="1" applyAlignment="1">
      <alignment horizontal="left"/>
    </xf>
    <xf numFmtId="0" fontId="84" fillId="0" borderId="0" xfId="0" applyFont="1"/>
    <xf numFmtId="3" fontId="7" fillId="24" borderId="0" xfId="2" applyNumberFormat="1" applyFont="1" applyFill="1" applyAlignment="1">
      <alignment horizontal="right"/>
    </xf>
    <xf numFmtId="168" fontId="104" fillId="0" borderId="3" xfId="0" applyNumberFormat="1" applyFont="1" applyBorder="1" applyAlignment="1">
      <alignment horizontal="right"/>
    </xf>
    <xf numFmtId="175" fontId="7" fillId="0" borderId="97" xfId="2" applyNumberFormat="1" applyFont="1" applyFill="1" applyBorder="1" applyAlignment="1">
      <alignment horizontal="right"/>
    </xf>
    <xf numFmtId="37" fontId="7" fillId="0" borderId="97" xfId="0" applyNumberFormat="1" applyFont="1" applyBorder="1" applyAlignment="1">
      <alignment horizontal="right"/>
    </xf>
    <xf numFmtId="3" fontId="7" fillId="0" borderId="97" xfId="2" applyNumberFormat="1" applyFont="1" applyFill="1" applyBorder="1" applyAlignment="1">
      <alignment horizontal="right"/>
    </xf>
    <xf numFmtId="3" fontId="106" fillId="28" borderId="5" xfId="0" quotePrefix="1" applyNumberFormat="1" applyFont="1" applyFill="1" applyBorder="1" applyAlignment="1">
      <alignment horizontal="left"/>
    </xf>
    <xf numFmtId="3" fontId="27" fillId="0" borderId="3" xfId="0" quotePrefix="1" applyNumberFormat="1" applyFont="1" applyBorder="1" applyAlignment="1">
      <alignment horizontal="left"/>
    </xf>
    <xf numFmtId="3" fontId="27" fillId="0" borderId="3" xfId="0" applyNumberFormat="1" applyFont="1" applyBorder="1" applyAlignment="1">
      <alignment horizontal="left"/>
    </xf>
    <xf numFmtId="175" fontId="105" fillId="0" borderId="3" xfId="2" applyNumberFormat="1" applyFont="1" applyFill="1" applyBorder="1" applyAlignment="1">
      <alignment horizontal="right"/>
    </xf>
    <xf numFmtId="43" fontId="105" fillId="0" borderId="3" xfId="1" applyFont="1" applyFill="1" applyBorder="1" applyAlignment="1">
      <alignment horizontal="right"/>
    </xf>
    <xf numFmtId="37" fontId="23" fillId="13" borderId="29" xfId="0" applyNumberFormat="1" applyFont="1" applyFill="1" applyBorder="1" applyAlignment="1">
      <alignment horizontal="right"/>
    </xf>
    <xf numFmtId="184" fontId="7" fillId="13" borderId="29" xfId="0" applyNumberFormat="1" applyFont="1" applyFill="1" applyBorder="1" applyAlignment="1">
      <alignment horizontal="right"/>
    </xf>
    <xf numFmtId="167" fontId="7" fillId="0" borderId="97" xfId="0" applyNumberFormat="1" applyFont="1" applyBorder="1" applyAlignment="1">
      <alignment horizontal="right"/>
    </xf>
    <xf numFmtId="175" fontId="7" fillId="0" borderId="97" xfId="2" applyNumberFormat="1" applyFont="1" applyFill="1" applyBorder="1" applyAlignment="1">
      <alignment horizontal="right" vertical="justify"/>
    </xf>
    <xf numFmtId="37" fontId="7" fillId="11" borderId="97" xfId="0" applyNumberFormat="1" applyFont="1" applyFill="1" applyBorder="1" applyAlignment="1">
      <alignment horizontal="right"/>
    </xf>
    <xf numFmtId="37" fontId="10" fillId="11" borderId="97" xfId="0" applyNumberFormat="1" applyFont="1" applyFill="1" applyBorder="1" applyAlignment="1">
      <alignment horizontal="right"/>
    </xf>
    <xf numFmtId="175" fontId="10" fillId="11" borderId="97" xfId="2" applyNumberFormat="1" applyFont="1" applyFill="1" applyBorder="1" applyAlignment="1">
      <alignment horizontal="right" vertical="justify"/>
    </xf>
    <xf numFmtId="4" fontId="7" fillId="11" borderId="97" xfId="0" applyNumberFormat="1" applyFont="1" applyFill="1" applyBorder="1" applyAlignment="1">
      <alignment horizontal="right"/>
    </xf>
    <xf numFmtId="0" fontId="104" fillId="0" borderId="3" xfId="0" applyFont="1" applyBorder="1" applyAlignment="1">
      <alignment horizontal="right"/>
    </xf>
    <xf numFmtId="9" fontId="7" fillId="11" borderId="97" xfId="2" applyFont="1" applyFill="1" applyBorder="1" applyAlignment="1" applyProtection="1">
      <alignment horizontal="right"/>
    </xf>
    <xf numFmtId="3" fontId="104" fillId="0" borderId="3" xfId="0" applyNumberFormat="1" applyFont="1" applyBorder="1" applyAlignment="1">
      <alignment horizontal="right"/>
    </xf>
    <xf numFmtId="0" fontId="3" fillId="31" borderId="67" xfId="0" applyFont="1" applyFill="1" applyBorder="1" applyAlignment="1">
      <alignment horizontal="center"/>
    </xf>
    <xf numFmtId="167" fontId="7" fillId="0" borderId="0" xfId="0" applyNumberFormat="1" applyFont="1" applyAlignment="1">
      <alignment horizontal="right"/>
    </xf>
    <xf numFmtId="2" fontId="7" fillId="0" borderId="0" xfId="0" applyNumberFormat="1" applyFont="1" applyAlignment="1">
      <alignment horizontal="right"/>
    </xf>
    <xf numFmtId="3" fontId="7" fillId="0" borderId="0" xfId="0" applyNumberFormat="1" applyFont="1" applyAlignment="1">
      <alignment horizontal="right"/>
    </xf>
    <xf numFmtId="3" fontId="26" fillId="13" borderId="0" xfId="0" applyNumberFormat="1" applyFont="1" applyFill="1"/>
    <xf numFmtId="0" fontId="7" fillId="13" borderId="60" xfId="0" applyFont="1" applyFill="1" applyBorder="1" applyAlignment="1">
      <alignment horizontal="right"/>
    </xf>
    <xf numFmtId="0" fontId="26" fillId="13" borderId="0" xfId="0" applyFont="1" applyFill="1"/>
    <xf numFmtId="0" fontId="7" fillId="0" borderId="60" xfId="0" applyFont="1" applyBorder="1" applyAlignment="1">
      <alignment horizontal="right"/>
    </xf>
    <xf numFmtId="37" fontId="7" fillId="21" borderId="60" xfId="0" applyNumberFormat="1" applyFont="1" applyFill="1" applyBorder="1" applyAlignment="1">
      <alignment horizontal="right"/>
    </xf>
    <xf numFmtId="184" fontId="7" fillId="21" borderId="28" xfId="0" applyNumberFormat="1" applyFont="1" applyFill="1" applyBorder="1" applyAlignment="1">
      <alignment horizontal="right"/>
    </xf>
    <xf numFmtId="184" fontId="7" fillId="21" borderId="60" xfId="0" applyNumberFormat="1" applyFont="1" applyFill="1" applyBorder="1" applyAlignment="1">
      <alignment horizontal="right"/>
    </xf>
    <xf numFmtId="37" fontId="7" fillId="21" borderId="96" xfId="0" applyNumberFormat="1" applyFont="1" applyFill="1" applyBorder="1" applyAlignment="1">
      <alignment horizontal="right"/>
    </xf>
    <xf numFmtId="3" fontId="118" fillId="13" borderId="0" xfId="0" applyNumberFormat="1" applyFont="1" applyFill="1"/>
    <xf numFmtId="170" fontId="106" fillId="28" borderId="46" xfId="0" quotePrefix="1" applyNumberFormat="1" applyFont="1" applyFill="1" applyBorder="1"/>
    <xf numFmtId="3" fontId="7" fillId="0" borderId="97" xfId="0" applyNumberFormat="1" applyFont="1" applyBorder="1" applyAlignment="1">
      <alignment horizontal="right"/>
    </xf>
    <xf numFmtId="3" fontId="22" fillId="0" borderId="28" xfId="0" applyNumberFormat="1" applyFont="1" applyBorder="1"/>
    <xf numFmtId="170" fontId="18" fillId="11" borderId="27" xfId="0" quotePrefix="1" applyNumberFormat="1" applyFont="1" applyFill="1" applyBorder="1" applyAlignment="1">
      <alignment horizontal="right"/>
    </xf>
    <xf numFmtId="1" fontId="26" fillId="0" borderId="0" xfId="0" applyNumberFormat="1" applyFont="1"/>
    <xf numFmtId="0" fontId="7" fillId="11" borderId="3" xfId="2" applyNumberFormat="1" applyFont="1" applyFill="1" applyBorder="1" applyAlignment="1" applyProtection="1">
      <alignment horizontal="right"/>
    </xf>
    <xf numFmtId="3" fontId="26" fillId="13" borderId="97" xfId="0" applyNumberFormat="1" applyFont="1" applyFill="1" applyBorder="1"/>
    <xf numFmtId="3" fontId="118" fillId="13" borderId="97" xfId="0" applyNumberFormat="1" applyFont="1" applyFill="1" applyBorder="1"/>
    <xf numFmtId="0" fontId="10" fillId="8" borderId="35" xfId="2" applyNumberFormat="1" applyFont="1" applyFill="1" applyBorder="1" applyAlignment="1">
      <alignment horizontal="right" vertical="justify"/>
    </xf>
    <xf numFmtId="9" fontId="10" fillId="0" borderId="60" xfId="2" applyFont="1" applyFill="1" applyBorder="1" applyAlignment="1">
      <alignment horizontal="right" vertical="justify"/>
    </xf>
    <xf numFmtId="0" fontId="10" fillId="0" borderId="60" xfId="2" applyNumberFormat="1" applyFont="1" applyFill="1" applyBorder="1" applyAlignment="1">
      <alignment horizontal="right" vertical="justify"/>
    </xf>
    <xf numFmtId="9" fontId="7" fillId="0" borderId="60" xfId="2" applyFont="1" applyFill="1" applyBorder="1" applyAlignment="1">
      <alignment horizontal="right" vertical="justify"/>
    </xf>
    <xf numFmtId="9" fontId="10" fillId="0" borderId="60" xfId="2" applyFont="1" applyFill="1" applyBorder="1" applyAlignment="1" applyProtection="1">
      <alignment horizontal="right"/>
    </xf>
    <xf numFmtId="184" fontId="26" fillId="0" borderId="0" xfId="0" applyNumberFormat="1" applyFont="1"/>
    <xf numFmtId="175" fontId="119" fillId="0" borderId="0" xfId="0" applyNumberFormat="1" applyFont="1"/>
    <xf numFmtId="175" fontId="119" fillId="5" borderId="97" xfId="0" applyNumberFormat="1" applyFont="1" applyFill="1" applyBorder="1"/>
    <xf numFmtId="37" fontId="55" fillId="13" borderId="28" xfId="0" applyNumberFormat="1" applyFont="1" applyFill="1" applyBorder="1" applyAlignment="1">
      <alignment horizontal="right"/>
    </xf>
    <xf numFmtId="179" fontId="0" fillId="0" borderId="0" xfId="0" applyNumberFormat="1"/>
    <xf numFmtId="3" fontId="0" fillId="0" borderId="11" xfId="0" applyNumberFormat="1" applyBorder="1"/>
    <xf numFmtId="179" fontId="0" fillId="0" borderId="97" xfId="0" applyNumberFormat="1" applyBorder="1"/>
    <xf numFmtId="175" fontId="7" fillId="13" borderId="96" xfId="2" applyNumberFormat="1" applyFont="1" applyFill="1" applyBorder="1" applyAlignment="1">
      <alignment horizontal="right" vertical="justify"/>
    </xf>
    <xf numFmtId="175" fontId="7" fillId="13" borderId="59" xfId="2" applyNumberFormat="1" applyFont="1" applyFill="1" applyBorder="1" applyAlignment="1">
      <alignment horizontal="right" vertical="justify"/>
    </xf>
    <xf numFmtId="175" fontId="7" fillId="13" borderId="28" xfId="2" applyNumberFormat="1" applyFont="1" applyFill="1" applyBorder="1" applyAlignment="1">
      <alignment horizontal="right" vertical="justify"/>
    </xf>
    <xf numFmtId="10" fontId="7" fillId="0" borderId="96" xfId="2" applyNumberFormat="1" applyFont="1" applyFill="1" applyBorder="1" applyAlignment="1">
      <alignment horizontal="right" vertical="justify"/>
    </xf>
    <xf numFmtId="175" fontId="119" fillId="13" borderId="97" xfId="0" applyNumberFormat="1" applyFont="1" applyFill="1" applyBorder="1"/>
    <xf numFmtId="10" fontId="10" fillId="11" borderId="59" xfId="2" applyNumberFormat="1" applyFont="1" applyFill="1" applyBorder="1" applyAlignment="1">
      <alignment horizontal="right" vertical="justify"/>
    </xf>
    <xf numFmtId="175" fontId="93" fillId="5" borderId="97" xfId="0" applyNumberFormat="1" applyFont="1" applyFill="1" applyBorder="1" applyAlignment="1">
      <alignment horizontal="right"/>
    </xf>
    <xf numFmtId="2" fontId="42" fillId="34" borderId="0" xfId="0" applyNumberFormat="1" applyFont="1" applyFill="1"/>
    <xf numFmtId="175" fontId="73" fillId="34" borderId="0" xfId="0" applyNumberFormat="1" applyFont="1" applyFill="1"/>
    <xf numFmtId="175" fontId="37" fillId="34" borderId="0" xfId="0" applyNumberFormat="1" applyFont="1" applyFill="1"/>
    <xf numFmtId="0" fontId="0" fillId="35" borderId="0" xfId="0" applyFill="1"/>
    <xf numFmtId="9" fontId="10" fillId="8" borderId="2" xfId="0" applyNumberFormat="1" applyFont="1" applyFill="1" applyBorder="1" applyAlignment="1">
      <alignment horizontal="right"/>
    </xf>
    <xf numFmtId="9" fontId="10" fillId="0" borderId="3" xfId="0" applyNumberFormat="1" applyFont="1" applyBorder="1" applyAlignment="1">
      <alignment horizontal="right"/>
    </xf>
    <xf numFmtId="9" fontId="10" fillId="0" borderId="6" xfId="0" applyNumberFormat="1" applyFont="1" applyBorder="1" applyAlignment="1">
      <alignment horizontal="right"/>
    </xf>
    <xf numFmtId="9" fontId="7" fillId="0" borderId="3" xfId="0" applyNumberFormat="1" applyFont="1" applyBorder="1" applyAlignment="1">
      <alignment horizontal="right"/>
    </xf>
    <xf numFmtId="9" fontId="7" fillId="0" borderId="3" xfId="1" applyNumberFormat="1" applyFont="1" applyFill="1" applyBorder="1" applyAlignment="1" applyProtection="1">
      <alignment horizontal="right"/>
    </xf>
    <xf numFmtId="9" fontId="0" fillId="0" borderId="6" xfId="0" applyNumberFormat="1" applyBorder="1" applyAlignment="1">
      <alignment horizontal="right"/>
    </xf>
    <xf numFmtId="169" fontId="10" fillId="8" borderId="2" xfId="0" applyNumberFormat="1" applyFont="1" applyFill="1" applyBorder="1" applyAlignment="1">
      <alignment horizontal="right"/>
    </xf>
    <xf numFmtId="169" fontId="10" fillId="0" borderId="3" xfId="0" applyNumberFormat="1" applyFont="1" applyBorder="1" applyAlignment="1">
      <alignment horizontal="right"/>
    </xf>
    <xf numFmtId="169" fontId="10" fillId="0" borderId="6" xfId="0" applyNumberFormat="1" applyFont="1" applyBorder="1" applyAlignment="1">
      <alignment horizontal="right"/>
    </xf>
    <xf numFmtId="169" fontId="7" fillId="0" borderId="3" xfId="0" applyNumberFormat="1" applyFont="1" applyBorder="1" applyAlignment="1">
      <alignment horizontal="right"/>
    </xf>
    <xf numFmtId="169" fontId="7" fillId="0" borderId="3" xfId="1" applyNumberFormat="1" applyFont="1" applyFill="1" applyBorder="1" applyAlignment="1" applyProtection="1">
      <alignment horizontal="right"/>
    </xf>
    <xf numFmtId="169" fontId="0" fillId="0" borderId="6" xfId="0" applyNumberFormat="1" applyBorder="1" applyAlignment="1">
      <alignment horizontal="right"/>
    </xf>
    <xf numFmtId="0" fontId="26" fillId="13" borderId="97" xfId="0" applyFont="1" applyFill="1" applyBorder="1"/>
    <xf numFmtId="0" fontId="7" fillId="0" borderId="28" xfId="0" applyFont="1" applyBorder="1" applyAlignment="1">
      <alignment horizontal="right"/>
    </xf>
    <xf numFmtId="0" fontId="22" fillId="0" borderId="28" xfId="2" applyNumberFormat="1" applyFont="1" applyFill="1" applyBorder="1" applyAlignment="1" applyProtection="1">
      <alignment horizontal="right"/>
    </xf>
    <xf numFmtId="0" fontId="22" fillId="0" borderId="28" xfId="0" applyFont="1" applyBorder="1" applyAlignment="1">
      <alignment horizontal="right"/>
    </xf>
    <xf numFmtId="9" fontId="0" fillId="0" borderId="0" xfId="0" applyNumberFormat="1"/>
    <xf numFmtId="37" fontId="0" fillId="0" borderId="3" xfId="0" applyNumberFormat="1" applyBorder="1"/>
    <xf numFmtId="168" fontId="0" fillId="0" borderId="3" xfId="0" applyNumberFormat="1" applyBorder="1"/>
    <xf numFmtId="9" fontId="0" fillId="0" borderId="3" xfId="0" applyNumberFormat="1" applyBorder="1"/>
    <xf numFmtId="173" fontId="0" fillId="0" borderId="3" xfId="0" applyNumberFormat="1" applyBorder="1"/>
    <xf numFmtId="1" fontId="0" fillId="0" borderId="3" xfId="0" applyNumberFormat="1" applyBorder="1"/>
    <xf numFmtId="167" fontId="0" fillId="0" borderId="3" xfId="0" applyNumberFormat="1" applyBorder="1"/>
    <xf numFmtId="43" fontId="0" fillId="0" borderId="3" xfId="0" applyNumberFormat="1" applyBorder="1"/>
    <xf numFmtId="174" fontId="0" fillId="0" borderId="3" xfId="0" applyNumberFormat="1" applyBorder="1"/>
    <xf numFmtId="175" fontId="7" fillId="0" borderId="3" xfId="2" applyNumberFormat="1" applyFont="1" applyFill="1" applyBorder="1" applyAlignment="1" applyProtection="1">
      <alignment horizontal="right"/>
    </xf>
    <xf numFmtId="9" fontId="10" fillId="0" borderId="3" xfId="2" applyFont="1" applyFill="1" applyBorder="1" applyAlignment="1">
      <alignment horizontal="right" vertical="justify"/>
    </xf>
    <xf numFmtId="176" fontId="0" fillId="0" borderId="3" xfId="0" applyNumberFormat="1" applyBorder="1"/>
    <xf numFmtId="182" fontId="10" fillId="11" borderId="3" xfId="2" applyNumberFormat="1" applyFont="1" applyFill="1" applyBorder="1" applyAlignment="1">
      <alignment horizontal="right" vertical="justify"/>
    </xf>
    <xf numFmtId="10" fontId="10" fillId="11" borderId="3" xfId="2" applyNumberFormat="1" applyFont="1" applyFill="1" applyBorder="1" applyAlignment="1">
      <alignment horizontal="right" vertical="justify"/>
    </xf>
    <xf numFmtId="167" fontId="10" fillId="0" borderId="3" xfId="2" applyNumberFormat="1" applyFont="1" applyFill="1" applyBorder="1" applyAlignment="1">
      <alignment horizontal="right" vertical="justify"/>
    </xf>
    <xf numFmtId="167" fontId="10" fillId="0" borderId="6" xfId="2" applyNumberFormat="1" applyFont="1" applyFill="1" applyBorder="1" applyAlignment="1">
      <alignment horizontal="right" vertical="justify"/>
    </xf>
    <xf numFmtId="10" fontId="7" fillId="0" borderId="3" xfId="2" applyNumberFormat="1" applyFont="1" applyFill="1" applyBorder="1" applyAlignment="1">
      <alignment horizontal="right" vertical="justify"/>
    </xf>
    <xf numFmtId="175" fontId="10" fillId="13" borderId="96" xfId="2" applyNumberFormat="1" applyFont="1" applyFill="1" applyBorder="1" applyAlignment="1" applyProtection="1">
      <alignment horizontal="right"/>
    </xf>
    <xf numFmtId="179" fontId="10" fillId="8" borderId="2" xfId="0" applyNumberFormat="1" applyFont="1" applyFill="1" applyBorder="1" applyAlignment="1">
      <alignment horizontal="right"/>
    </xf>
    <xf numFmtId="9" fontId="3" fillId="8" borderId="2" xfId="0" applyNumberFormat="1" applyFont="1" applyFill="1" applyBorder="1" applyAlignment="1">
      <alignment horizontal="right"/>
    </xf>
    <xf numFmtId="3" fontId="0" fillId="5" borderId="97" xfId="0" applyNumberFormat="1" applyFill="1" applyBorder="1" applyAlignment="1">
      <alignment horizontal="right"/>
    </xf>
    <xf numFmtId="175" fontId="92" fillId="5" borderId="97" xfId="0" applyNumberFormat="1" applyFont="1" applyFill="1" applyBorder="1" applyAlignment="1">
      <alignment horizontal="right"/>
    </xf>
    <xf numFmtId="175" fontId="94" fillId="5" borderId="97" xfId="0" applyNumberFormat="1" applyFont="1" applyFill="1" applyBorder="1" applyAlignment="1">
      <alignment horizontal="right"/>
    </xf>
    <xf numFmtId="175" fontId="96" fillId="5" borderId="97" xfId="0" applyNumberFormat="1" applyFont="1" applyFill="1" applyBorder="1" applyAlignment="1">
      <alignment horizontal="right"/>
    </xf>
    <xf numFmtId="175" fontId="64" fillId="5" borderId="97" xfId="0" applyNumberFormat="1" applyFont="1" applyFill="1" applyBorder="1" applyAlignment="1">
      <alignment horizontal="right"/>
    </xf>
    <xf numFmtId="4" fontId="0" fillId="5" borderId="97" xfId="0" applyNumberFormat="1" applyFill="1" applyBorder="1" applyAlignment="1">
      <alignment horizontal="right"/>
    </xf>
    <xf numFmtId="9" fontId="64" fillId="5" borderId="97" xfId="0" applyNumberFormat="1" applyFont="1" applyFill="1" applyBorder="1" applyAlignment="1">
      <alignment horizontal="right"/>
    </xf>
    <xf numFmtId="186" fontId="10" fillId="11" borderId="97" xfId="0" applyNumberFormat="1" applyFont="1" applyFill="1" applyBorder="1" applyAlignment="1">
      <alignment horizontal="right"/>
    </xf>
    <xf numFmtId="175" fontId="63" fillId="16" borderId="0" xfId="0" applyNumberFormat="1" applyFont="1" applyFill="1" applyAlignment="1">
      <alignment horizontal="right"/>
    </xf>
    <xf numFmtId="175" fontId="20" fillId="16" borderId="0" xfId="0" applyNumberFormat="1" applyFont="1" applyFill="1" applyAlignment="1">
      <alignment horizontal="right"/>
    </xf>
    <xf numFmtId="175" fontId="0" fillId="5" borderId="97" xfId="2" applyNumberFormat="1" applyFont="1" applyFill="1" applyBorder="1" applyAlignment="1">
      <alignment horizontal="right"/>
    </xf>
    <xf numFmtId="175" fontId="0" fillId="5" borderId="29" xfId="0" applyNumberFormat="1" applyFill="1" applyBorder="1" applyAlignment="1">
      <alignment horizontal="right"/>
    </xf>
    <xf numFmtId="189" fontId="37" fillId="5" borderId="97" xfId="0" applyNumberFormat="1" applyFont="1" applyFill="1" applyBorder="1" applyAlignment="1">
      <alignment horizontal="right"/>
    </xf>
    <xf numFmtId="170" fontId="5" fillId="0" borderId="0" xfId="0" applyNumberFormat="1" applyFont="1"/>
    <xf numFmtId="0" fontId="131" fillId="0" borderId="0" xfId="0" applyFont="1"/>
    <xf numFmtId="0" fontId="26" fillId="0" borderId="0" xfId="0" applyFont="1"/>
    <xf numFmtId="0" fontId="25" fillId="0" borderId="0" xfId="0" applyFont="1"/>
    <xf numFmtId="0" fontId="25" fillId="0" borderId="0" xfId="0" applyFont="1" applyAlignment="1">
      <alignment horizontal="right"/>
    </xf>
    <xf numFmtId="0" fontId="26" fillId="0" borderId="0" xfId="0" applyFont="1" applyAlignment="1">
      <alignment horizontal="right"/>
    </xf>
    <xf numFmtId="0" fontId="26" fillId="47" borderId="0" xfId="0" applyFont="1" applyFill="1"/>
    <xf numFmtId="0" fontId="25" fillId="47" borderId="0" xfId="0" applyFont="1" applyFill="1"/>
    <xf numFmtId="0" fontId="108" fillId="47" borderId="0" xfId="0" applyFont="1" applyFill="1"/>
    <xf numFmtId="0" fontId="108" fillId="47" borderId="0" xfId="0" applyFont="1" applyFill="1" applyAlignment="1">
      <alignment horizontal="right"/>
    </xf>
    <xf numFmtId="0" fontId="109" fillId="47" borderId="0" xfId="0" applyFont="1" applyFill="1" applyAlignment="1">
      <alignment horizontal="right"/>
    </xf>
    <xf numFmtId="1" fontId="26" fillId="47" borderId="0" xfId="0" applyNumberFormat="1" applyFont="1" applyFill="1" applyAlignment="1">
      <alignment horizontal="right"/>
    </xf>
    <xf numFmtId="175" fontId="26" fillId="47" borderId="0" xfId="0" applyNumberFormat="1" applyFont="1" applyFill="1" applyAlignment="1">
      <alignment horizontal="right"/>
    </xf>
    <xf numFmtId="1" fontId="26" fillId="47" borderId="0" xfId="0" applyNumberFormat="1" applyFont="1" applyFill="1"/>
    <xf numFmtId="0" fontId="131" fillId="0" borderId="0" xfId="0" applyFont="1" applyAlignment="1">
      <alignment horizontal="right"/>
    </xf>
    <xf numFmtId="1" fontId="0" fillId="0" borderId="0" xfId="0" applyNumberFormat="1"/>
    <xf numFmtId="0" fontId="43" fillId="0" borderId="0" xfId="0" applyFont="1" applyAlignment="1">
      <alignment horizontal="right"/>
    </xf>
    <xf numFmtId="175" fontId="43" fillId="30" borderId="0" xfId="0" applyNumberFormat="1" applyFont="1" applyFill="1" applyAlignment="1">
      <alignment horizontal="right"/>
    </xf>
    <xf numFmtId="168" fontId="26" fillId="47" borderId="0" xfId="0" applyNumberFormat="1" applyFont="1" applyFill="1"/>
    <xf numFmtId="3" fontId="7" fillId="0" borderId="11" xfId="0" applyNumberFormat="1" applyFont="1" applyBorder="1" applyAlignment="1">
      <alignment horizontal="right"/>
    </xf>
    <xf numFmtId="175" fontId="0" fillId="14" borderId="0" xfId="0" applyNumberFormat="1" applyFill="1"/>
    <xf numFmtId="0" fontId="7" fillId="0" borderId="60" xfId="2" applyNumberFormat="1" applyFont="1" applyFill="1" applyBorder="1" applyAlignment="1">
      <alignment horizontal="right" vertical="justify"/>
    </xf>
    <xf numFmtId="0" fontId="37" fillId="13" borderId="77" xfId="0" applyFont="1" applyFill="1" applyBorder="1"/>
    <xf numFmtId="0" fontId="42" fillId="13" borderId="0" xfId="0" applyFont="1" applyFill="1" applyAlignment="1">
      <alignment horizontal="right"/>
    </xf>
    <xf numFmtId="175" fontId="79" fillId="13" borderId="0" xfId="0" applyNumberFormat="1" applyFont="1" applyFill="1" applyAlignment="1">
      <alignment horizontal="right"/>
    </xf>
    <xf numFmtId="181" fontId="37" fillId="13" borderId="0" xfId="2" applyNumberFormat="1" applyFont="1" applyFill="1" applyBorder="1" applyAlignment="1">
      <alignment horizontal="right"/>
    </xf>
    <xf numFmtId="169" fontId="37" fillId="13" borderId="0" xfId="2" applyNumberFormat="1" applyFont="1" applyFill="1" applyBorder="1" applyAlignment="1">
      <alignment horizontal="right"/>
    </xf>
    <xf numFmtId="175" fontId="132" fillId="23" borderId="90" xfId="0" applyNumberFormat="1" applyFont="1" applyFill="1" applyBorder="1" applyAlignment="1">
      <alignment horizontal="right"/>
    </xf>
    <xf numFmtId="0" fontId="62" fillId="23" borderId="89" xfId="0" applyFont="1" applyFill="1" applyBorder="1"/>
    <xf numFmtId="0" fontId="62" fillId="23" borderId="85" xfId="0" applyFont="1" applyFill="1" applyBorder="1"/>
    <xf numFmtId="0" fontId="74" fillId="0" borderId="0" xfId="0" applyFont="1" applyAlignment="1">
      <alignment horizontal="right"/>
    </xf>
    <xf numFmtId="0" fontId="38" fillId="48" borderId="0" xfId="0" applyFont="1" applyFill="1"/>
    <xf numFmtId="0" fontId="0" fillId="48" borderId="0" xfId="0" applyFill="1" applyAlignment="1">
      <alignment horizontal="right"/>
    </xf>
    <xf numFmtId="0" fontId="74" fillId="48" borderId="0" xfId="0" applyFont="1" applyFill="1" applyAlignment="1">
      <alignment horizontal="right"/>
    </xf>
    <xf numFmtId="0" fontId="15" fillId="48" borderId="0" xfId="0" applyFont="1" applyFill="1"/>
    <xf numFmtId="0" fontId="44" fillId="48" borderId="0" xfId="0" applyFont="1" applyFill="1"/>
    <xf numFmtId="1" fontId="37" fillId="48" borderId="0" xfId="0" applyNumberFormat="1" applyFont="1" applyFill="1"/>
    <xf numFmtId="9" fontId="44" fillId="48" borderId="0" xfId="0" applyNumberFormat="1" applyFont="1" applyFill="1"/>
    <xf numFmtId="175" fontId="44" fillId="48" borderId="0" xfId="0" applyNumberFormat="1" applyFont="1" applyFill="1"/>
    <xf numFmtId="0" fontId="44" fillId="48" borderId="0" xfId="0" applyFont="1" applyFill="1" applyAlignment="1">
      <alignment horizontal="right"/>
    </xf>
    <xf numFmtId="2" fontId="15" fillId="48" borderId="0" xfId="0" applyNumberFormat="1" applyFont="1" applyFill="1"/>
    <xf numFmtId="175" fontId="37" fillId="48" borderId="0" xfId="0" applyNumberFormat="1" applyFont="1" applyFill="1"/>
    <xf numFmtId="169" fontId="15" fillId="48" borderId="0" xfId="0" applyNumberFormat="1" applyFont="1" applyFill="1"/>
    <xf numFmtId="175" fontId="15" fillId="48" borderId="0" xfId="0" applyNumberFormat="1" applyFont="1" applyFill="1"/>
    <xf numFmtId="2" fontId="38" fillId="48" borderId="0" xfId="0" applyNumberFormat="1" applyFont="1" applyFill="1"/>
    <xf numFmtId="1" fontId="44" fillId="48" borderId="0" xfId="0" applyNumberFormat="1" applyFont="1" applyFill="1"/>
    <xf numFmtId="1" fontId="15" fillId="48" borderId="0" xfId="0" applyNumberFormat="1" applyFont="1" applyFill="1"/>
    <xf numFmtId="3" fontId="15" fillId="48" borderId="0" xfId="0" applyNumberFormat="1" applyFont="1" applyFill="1"/>
    <xf numFmtId="0" fontId="74" fillId="0" borderId="0" xfId="0" quotePrefix="1" applyFont="1" applyAlignment="1">
      <alignment horizontal="right"/>
    </xf>
    <xf numFmtId="169" fontId="39" fillId="48" borderId="0" xfId="0" applyNumberFormat="1" applyFont="1" applyFill="1"/>
    <xf numFmtId="1" fontId="37" fillId="48" borderId="48" xfId="0" applyNumberFormat="1" applyFont="1" applyFill="1" applyBorder="1"/>
    <xf numFmtId="9" fontId="44" fillId="48" borderId="48" xfId="0" applyNumberFormat="1" applyFont="1" applyFill="1" applyBorder="1"/>
    <xf numFmtId="175" fontId="44" fillId="48" borderId="48" xfId="0" applyNumberFormat="1" applyFont="1" applyFill="1" applyBorder="1"/>
    <xf numFmtId="0" fontId="44" fillId="48" borderId="48" xfId="0" applyFont="1" applyFill="1" applyBorder="1"/>
    <xf numFmtId="175" fontId="37" fillId="48" borderId="48" xfId="0" applyNumberFormat="1" applyFont="1" applyFill="1" applyBorder="1"/>
    <xf numFmtId="175" fontId="42" fillId="48" borderId="48" xfId="0" applyNumberFormat="1" applyFont="1" applyFill="1" applyBorder="1"/>
    <xf numFmtId="169" fontId="15" fillId="48" borderId="48" xfId="0" applyNumberFormat="1" applyFont="1" applyFill="1" applyBorder="1"/>
    <xf numFmtId="169" fontId="39" fillId="48" borderId="48" xfId="0" applyNumberFormat="1" applyFont="1" applyFill="1" applyBorder="1"/>
    <xf numFmtId="175" fontId="15" fillId="48" borderId="48" xfId="0" applyNumberFormat="1" applyFont="1" applyFill="1" applyBorder="1"/>
    <xf numFmtId="1" fontId="44" fillId="48" borderId="48" xfId="0" applyNumberFormat="1" applyFont="1" applyFill="1" applyBorder="1"/>
    <xf numFmtId="1" fontId="15" fillId="48" borderId="48" xfId="0" applyNumberFormat="1" applyFont="1" applyFill="1" applyBorder="1"/>
    <xf numFmtId="3" fontId="15" fillId="48" borderId="48" xfId="0" applyNumberFormat="1" applyFont="1" applyFill="1" applyBorder="1"/>
    <xf numFmtId="3" fontId="37" fillId="48" borderId="48" xfId="0" applyNumberFormat="1" applyFont="1" applyFill="1" applyBorder="1"/>
    <xf numFmtId="0" fontId="133" fillId="0" borderId="0" xfId="0" applyFont="1"/>
    <xf numFmtId="1" fontId="79" fillId="48" borderId="0" xfId="0" applyNumberFormat="1" applyFont="1" applyFill="1"/>
    <xf numFmtId="0" fontId="84" fillId="48" borderId="0" xfId="0" applyFont="1" applyFill="1"/>
    <xf numFmtId="175" fontId="79" fillId="48" borderId="0" xfId="0" applyNumberFormat="1" applyFont="1" applyFill="1"/>
    <xf numFmtId="1" fontId="101" fillId="48" borderId="0" xfId="0" applyNumberFormat="1" applyFont="1" applyFill="1"/>
    <xf numFmtId="175" fontId="98" fillId="48" borderId="0" xfId="0" applyNumberFormat="1" applyFont="1" applyFill="1"/>
    <xf numFmtId="175" fontId="98" fillId="48" borderId="48" xfId="0" applyNumberFormat="1" applyFont="1" applyFill="1" applyBorder="1"/>
    <xf numFmtId="175" fontId="79" fillId="48" borderId="48" xfId="0" applyNumberFormat="1" applyFont="1" applyFill="1" applyBorder="1"/>
    <xf numFmtId="0" fontId="37" fillId="16" borderId="97" xfId="0" applyFont="1" applyFill="1" applyBorder="1"/>
    <xf numFmtId="0" fontId="117" fillId="16" borderId="0" xfId="0" applyFont="1" applyFill="1"/>
    <xf numFmtId="175" fontId="45" fillId="16" borderId="0" xfId="0" applyNumberFormat="1" applyFont="1" applyFill="1" applyAlignment="1">
      <alignment horizontal="right"/>
    </xf>
    <xf numFmtId="175" fontId="42" fillId="16" borderId="0" xfId="0" applyNumberFormat="1" applyFont="1" applyFill="1" applyAlignment="1">
      <alignment horizontal="right"/>
    </xf>
    <xf numFmtId="1" fontId="39" fillId="48" borderId="48" xfId="0" applyNumberFormat="1" applyFont="1" applyFill="1" applyBorder="1"/>
    <xf numFmtId="0" fontId="74" fillId="48" borderId="0" xfId="0" applyFont="1" applyFill="1"/>
    <xf numFmtId="0" fontId="74" fillId="0" borderId="0" xfId="0" applyFont="1"/>
    <xf numFmtId="0" fontId="74" fillId="48" borderId="0" xfId="0" applyFont="1" applyFill="1" applyAlignment="1">
      <alignment horizontal="left"/>
    </xf>
    <xf numFmtId="0" fontId="74" fillId="48" borderId="0" xfId="0" applyFont="1" applyFill="1" applyAlignment="1">
      <alignment horizontal="center"/>
    </xf>
    <xf numFmtId="0" fontId="135" fillId="49" borderId="0" xfId="0" applyFont="1" applyFill="1" applyAlignment="1">
      <alignment horizontal="left"/>
    </xf>
    <xf numFmtId="0" fontId="136" fillId="49" borderId="0" xfId="0" applyFont="1" applyFill="1" applyAlignment="1">
      <alignment horizontal="left"/>
    </xf>
    <xf numFmtId="0" fontId="134" fillId="50" borderId="0" xfId="0" applyFont="1" applyFill="1" applyAlignment="1">
      <alignment horizontal="left"/>
    </xf>
    <xf numFmtId="0" fontId="0" fillId="50" borderId="0" xfId="0" applyFill="1"/>
    <xf numFmtId="0" fontId="5" fillId="50" borderId="0" xfId="0" applyFont="1" applyFill="1"/>
    <xf numFmtId="0" fontId="74" fillId="50" borderId="0" xfId="0" applyFont="1" applyFill="1" applyAlignment="1">
      <alignment horizontal="left"/>
    </xf>
    <xf numFmtId="0" fontId="74" fillId="50" borderId="0" xfId="0" applyFont="1" applyFill="1" applyAlignment="1">
      <alignment horizontal="right"/>
    </xf>
    <xf numFmtId="0" fontId="5" fillId="50" borderId="0" xfId="0" applyFont="1" applyFill="1" applyAlignment="1">
      <alignment horizontal="right"/>
    </xf>
    <xf numFmtId="0" fontId="0" fillId="50" borderId="0" xfId="0" applyFill="1" applyAlignment="1">
      <alignment horizontal="right"/>
    </xf>
    <xf numFmtId="175" fontId="39" fillId="20" borderId="0" xfId="0" applyNumberFormat="1" applyFont="1" applyFill="1"/>
    <xf numFmtId="175" fontId="42" fillId="20" borderId="0" xfId="0" applyNumberFormat="1" applyFont="1" applyFill="1"/>
    <xf numFmtId="175" fontId="22" fillId="24" borderId="0" xfId="2" applyNumberFormat="1" applyFont="1" applyFill="1"/>
    <xf numFmtId="0" fontId="137" fillId="27" borderId="0" xfId="0" applyFont="1" applyFill="1"/>
    <xf numFmtId="3" fontId="42" fillId="24" borderId="0" xfId="2" applyNumberFormat="1" applyFont="1" applyFill="1" applyAlignment="1">
      <alignment horizontal="right"/>
    </xf>
    <xf numFmtId="175" fontId="22" fillId="24" borderId="0" xfId="2" applyNumberFormat="1" applyFont="1" applyFill="1" applyAlignment="1">
      <alignment horizontal="right"/>
    </xf>
    <xf numFmtId="0" fontId="22" fillId="0" borderId="0" xfId="0" applyFont="1"/>
    <xf numFmtId="1" fontId="43" fillId="0" borderId="0" xfId="0" applyNumberFormat="1" applyFont="1"/>
    <xf numFmtId="0" fontId="74" fillId="0" borderId="71" xfId="0" applyFont="1" applyBorder="1" applyAlignment="1">
      <alignment horizontal="right"/>
    </xf>
    <xf numFmtId="175" fontId="0" fillId="0" borderId="73" xfId="0" applyNumberFormat="1" applyBorder="1" applyAlignment="1">
      <alignment horizontal="right"/>
    </xf>
    <xf numFmtId="2" fontId="0" fillId="0" borderId="76" xfId="0" applyNumberFormat="1" applyBorder="1" applyAlignment="1">
      <alignment horizontal="right"/>
    </xf>
    <xf numFmtId="0" fontId="74" fillId="0" borderId="106" xfId="0" applyFont="1" applyBorder="1" applyAlignment="1">
      <alignment horizontal="right"/>
    </xf>
    <xf numFmtId="175" fontId="0" fillId="0" borderId="107" xfId="0" applyNumberFormat="1" applyBorder="1" applyAlignment="1">
      <alignment horizontal="right"/>
    </xf>
    <xf numFmtId="2" fontId="0" fillId="0" borderId="111" xfId="0" applyNumberFormat="1" applyBorder="1" applyAlignment="1">
      <alignment horizontal="right"/>
    </xf>
    <xf numFmtId="0" fontId="34" fillId="52" borderId="0" xfId="0" applyFont="1" applyFill="1" applyAlignment="1">
      <alignment horizontal="right"/>
    </xf>
    <xf numFmtId="0" fontId="34" fillId="52" borderId="48" xfId="0" applyFont="1" applyFill="1" applyBorder="1" applyAlignment="1">
      <alignment horizontal="right"/>
    </xf>
    <xf numFmtId="0" fontId="34" fillId="52" borderId="50" xfId="0" applyFont="1" applyFill="1" applyBorder="1" applyAlignment="1">
      <alignment horizontal="right"/>
    </xf>
    <xf numFmtId="0" fontId="34" fillId="52" borderId="51" xfId="0" applyFont="1" applyFill="1" applyBorder="1" applyAlignment="1">
      <alignment horizontal="right"/>
    </xf>
    <xf numFmtId="0" fontId="138" fillId="52" borderId="0" xfId="0" applyFont="1" applyFill="1"/>
    <xf numFmtId="0" fontId="33" fillId="52" borderId="0" xfId="0" applyFont="1" applyFill="1"/>
    <xf numFmtId="0" fontId="33" fillId="52" borderId="48" xfId="0" applyFont="1" applyFill="1" applyBorder="1"/>
    <xf numFmtId="175" fontId="138" fillId="52" borderId="0" xfId="0" applyNumberFormat="1" applyFont="1" applyFill="1"/>
    <xf numFmtId="175" fontId="33" fillId="52" borderId="0" xfId="0" applyNumberFormat="1" applyFont="1" applyFill="1"/>
    <xf numFmtId="175" fontId="33" fillId="52" borderId="48" xfId="0" applyNumberFormat="1" applyFont="1" applyFill="1" applyBorder="1"/>
    <xf numFmtId="175" fontId="138" fillId="52" borderId="48" xfId="0" applyNumberFormat="1" applyFont="1" applyFill="1" applyBorder="1"/>
    <xf numFmtId="175" fontId="138" fillId="52" borderId="54" xfId="0" applyNumberFormat="1" applyFont="1" applyFill="1" applyBorder="1"/>
    <xf numFmtId="9" fontId="10" fillId="8" borderId="34" xfId="2" applyFont="1" applyFill="1" applyBorder="1" applyAlignment="1">
      <alignment horizontal="right" vertical="justify"/>
    </xf>
    <xf numFmtId="9" fontId="10" fillId="0" borderId="28" xfId="0" applyNumberFormat="1" applyFont="1" applyBorder="1" applyAlignment="1">
      <alignment horizontal="right"/>
    </xf>
    <xf numFmtId="9" fontId="10" fillId="0" borderId="28" xfId="2" applyFont="1" applyFill="1" applyBorder="1" applyAlignment="1">
      <alignment horizontal="right" vertical="justify"/>
    </xf>
    <xf numFmtId="9" fontId="7" fillId="0" borderId="31" xfId="2" applyFont="1" applyFill="1" applyBorder="1" applyAlignment="1">
      <alignment horizontal="right" vertical="justify"/>
    </xf>
    <xf numFmtId="189" fontId="37" fillId="13" borderId="97" xfId="0" applyNumberFormat="1" applyFont="1" applyFill="1" applyBorder="1" applyAlignment="1">
      <alignment horizontal="right"/>
    </xf>
    <xf numFmtId="189" fontId="37" fillId="13" borderId="97" xfId="0" applyNumberFormat="1" applyFont="1" applyFill="1" applyBorder="1"/>
    <xf numFmtId="43" fontId="0" fillId="0" borderId="0" xfId="0" applyNumberFormat="1"/>
    <xf numFmtId="3" fontId="22" fillId="0" borderId="3" xfId="0" applyNumberFormat="1" applyFont="1" applyBorder="1" applyAlignment="1">
      <alignment horizontal="right"/>
    </xf>
    <xf numFmtId="1" fontId="5" fillId="0" borderId="0" xfId="0" applyNumberFormat="1" applyFont="1"/>
    <xf numFmtId="1" fontId="36" fillId="0" borderId="0" xfId="0" applyNumberFormat="1" applyFont="1"/>
    <xf numFmtId="9" fontId="74" fillId="0" borderId="0" xfId="0" applyNumberFormat="1" applyFont="1"/>
    <xf numFmtId="1" fontId="41" fillId="0" borderId="0" xfId="0" applyNumberFormat="1" applyFont="1"/>
    <xf numFmtId="37" fontId="105" fillId="0" borderId="11" xfId="0" applyNumberFormat="1" applyFont="1" applyBorder="1" applyAlignment="1">
      <alignment horizontal="right"/>
    </xf>
    <xf numFmtId="37" fontId="105" fillId="0" borderId="28" xfId="0" applyNumberFormat="1" applyFont="1" applyBorder="1" applyAlignment="1">
      <alignment horizontal="right"/>
    </xf>
    <xf numFmtId="37" fontId="105" fillId="0" borderId="97" xfId="0" applyNumberFormat="1" applyFont="1" applyBorder="1" applyAlignment="1">
      <alignment horizontal="right"/>
    </xf>
    <xf numFmtId="37" fontId="105" fillId="0" borderId="39" xfId="0" applyNumberFormat="1" applyFont="1" applyBorder="1" applyAlignment="1">
      <alignment horizontal="right"/>
    </xf>
    <xf numFmtId="3" fontId="27" fillId="0" borderId="28" xfId="0" applyNumberFormat="1" applyFont="1" applyBorder="1"/>
    <xf numFmtId="3" fontId="27" fillId="0" borderId="97" xfId="0" applyNumberFormat="1" applyFont="1" applyBorder="1"/>
    <xf numFmtId="3" fontId="27" fillId="0" borderId="39" xfId="0" applyNumberFormat="1" applyFont="1" applyBorder="1"/>
    <xf numFmtId="9" fontId="5" fillId="0" borderId="0" xfId="2" applyFont="1" applyBorder="1"/>
    <xf numFmtId="9" fontId="119" fillId="0" borderId="0" xfId="0" applyNumberFormat="1" applyFont="1"/>
    <xf numFmtId="0" fontId="0" fillId="13" borderId="0" xfId="0" applyFill="1"/>
    <xf numFmtId="0" fontId="44" fillId="27" borderId="0" xfId="0" applyFont="1" applyFill="1"/>
    <xf numFmtId="0" fontId="44" fillId="27" borderId="0" xfId="0" applyFont="1" applyFill="1" applyAlignment="1">
      <alignment horizontal="fill"/>
    </xf>
    <xf numFmtId="175" fontId="10" fillId="0" borderId="96" xfId="0" applyNumberFormat="1" applyFont="1" applyBorder="1" applyAlignment="1">
      <alignment horizontal="right"/>
    </xf>
    <xf numFmtId="175" fontId="7" fillId="0" borderId="96" xfId="2" applyNumberFormat="1" applyFont="1" applyFill="1" applyBorder="1" applyAlignment="1" applyProtection="1">
      <alignment horizontal="right"/>
    </xf>
    <xf numFmtId="175" fontId="7" fillId="0" borderId="96" xfId="1" applyNumberFormat="1" applyFont="1" applyFill="1" applyBorder="1" applyAlignment="1">
      <alignment horizontal="right"/>
    </xf>
    <xf numFmtId="175" fontId="7" fillId="0" borderId="96" xfId="0" applyNumberFormat="1" applyFont="1" applyBorder="1" applyAlignment="1">
      <alignment horizontal="right" vertical="justify"/>
    </xf>
    <xf numFmtId="175" fontId="7" fillId="0" borderId="11" xfId="1" applyNumberFormat="1" applyFont="1" applyFill="1" applyBorder="1" applyAlignment="1">
      <alignment horizontal="right"/>
    </xf>
    <xf numFmtId="175" fontId="7" fillId="0" borderId="11" xfId="0" applyNumberFormat="1" applyFont="1" applyBorder="1" applyAlignment="1">
      <alignment horizontal="right"/>
    </xf>
    <xf numFmtId="175" fontId="10" fillId="0" borderId="11" xfId="1" applyNumberFormat="1" applyFont="1" applyFill="1" applyBorder="1" applyAlignment="1" applyProtection="1">
      <alignment horizontal="right"/>
    </xf>
    <xf numFmtId="175" fontId="7" fillId="0" borderId="28" xfId="2" applyNumberFormat="1" applyFont="1" applyFill="1" applyBorder="1" applyAlignment="1" applyProtection="1">
      <alignment horizontal="right"/>
    </xf>
    <xf numFmtId="175" fontId="10" fillId="0" borderId="96" xfId="2" applyNumberFormat="1" applyFont="1" applyFill="1" applyBorder="1" applyAlignment="1" applyProtection="1">
      <alignment horizontal="right"/>
    </xf>
    <xf numFmtId="10" fontId="10" fillId="8" borderId="2" xfId="0" applyNumberFormat="1" applyFont="1" applyFill="1" applyBorder="1" applyAlignment="1">
      <alignment horizontal="right"/>
    </xf>
    <xf numFmtId="173" fontId="7" fillId="0" borderId="98" xfId="1" applyNumberFormat="1" applyFont="1" applyFill="1" applyBorder="1" applyAlignment="1">
      <alignment horizontal="right"/>
    </xf>
    <xf numFmtId="179" fontId="22" fillId="0" borderId="96" xfId="0" applyNumberFormat="1" applyFont="1" applyBorder="1" applyAlignment="1">
      <alignment horizontal="right"/>
    </xf>
    <xf numFmtId="184" fontId="0" fillId="0" borderId="0" xfId="1" applyNumberFormat="1" applyFont="1"/>
    <xf numFmtId="3" fontId="106" fillId="0" borderId="3" xfId="0" applyNumberFormat="1" applyFont="1" applyBorder="1" applyAlignment="1">
      <alignment horizontal="left"/>
    </xf>
    <xf numFmtId="0" fontId="3" fillId="53" borderId="0" xfId="0" applyFont="1" applyFill="1" applyAlignment="1">
      <alignment horizontal="left"/>
    </xf>
    <xf numFmtId="0" fontId="0" fillId="53" borderId="0" xfId="0" applyFill="1"/>
    <xf numFmtId="0" fontId="110" fillId="53" borderId="0" xfId="0" applyFont="1" applyFill="1" applyAlignment="1">
      <alignment horizontal="center"/>
    </xf>
    <xf numFmtId="0" fontId="15" fillId="53" borderId="0" xfId="0" applyFont="1" applyFill="1"/>
    <xf numFmtId="0" fontId="0" fillId="53" borderId="0" xfId="0" applyFill="1" applyAlignment="1">
      <alignment horizontal="left"/>
    </xf>
    <xf numFmtId="175" fontId="110" fillId="53" borderId="0" xfId="0" applyNumberFormat="1" applyFont="1" applyFill="1"/>
    <xf numFmtId="0" fontId="36" fillId="53" borderId="0" xfId="0" applyFont="1" applyFill="1" applyAlignment="1">
      <alignment horizontal="right"/>
    </xf>
    <xf numFmtId="3" fontId="23" fillId="0" borderId="29" xfId="2" applyNumberFormat="1" applyFont="1" applyFill="1" applyBorder="1" applyAlignment="1" applyProtection="1">
      <alignment horizontal="right"/>
    </xf>
    <xf numFmtId="3" fontId="23" fillId="0" borderId="29" xfId="2" applyNumberFormat="1" applyFont="1" applyFill="1" applyBorder="1" applyAlignment="1">
      <alignment horizontal="right"/>
    </xf>
    <xf numFmtId="3" fontId="23" fillId="0" borderId="97" xfId="2" applyNumberFormat="1" applyFont="1" applyFill="1" applyBorder="1" applyAlignment="1">
      <alignment horizontal="right"/>
    </xf>
    <xf numFmtId="175" fontId="43" fillId="0" borderId="6" xfId="0" applyNumberFormat="1" applyFont="1" applyBorder="1" applyAlignment="1">
      <alignment horizontal="right"/>
    </xf>
    <xf numFmtId="3" fontId="43" fillId="0" borderId="0" xfId="0" applyNumberFormat="1" applyFont="1" applyAlignment="1">
      <alignment horizontal="right"/>
    </xf>
    <xf numFmtId="1" fontId="22" fillId="5" borderId="97" xfId="0" applyNumberFormat="1" applyFont="1" applyFill="1" applyBorder="1" applyAlignment="1">
      <alignment horizontal="right"/>
    </xf>
    <xf numFmtId="179" fontId="15" fillId="0" borderId="77" xfId="0" applyNumberFormat="1" applyFont="1" applyBorder="1"/>
    <xf numFmtId="179" fontId="0" fillId="0" borderId="77" xfId="0" applyNumberFormat="1" applyBorder="1"/>
    <xf numFmtId="0" fontId="0" fillId="0" borderId="77" xfId="0" applyBorder="1"/>
    <xf numFmtId="175" fontId="79" fillId="0" borderId="75" xfId="0" applyNumberFormat="1" applyFont="1" applyBorder="1" applyAlignment="1">
      <alignment horizontal="right"/>
    </xf>
    <xf numFmtId="175" fontId="3" fillId="16" borderId="92" xfId="0" applyNumberFormat="1" applyFont="1" applyFill="1" applyBorder="1" applyAlignment="1">
      <alignment horizontal="right"/>
    </xf>
    <xf numFmtId="169" fontId="44" fillId="16" borderId="92" xfId="0" applyNumberFormat="1" applyFont="1" applyFill="1" applyBorder="1" applyAlignment="1">
      <alignment horizontal="right"/>
    </xf>
    <xf numFmtId="175" fontId="20" fillId="16" borderId="92" xfId="0" applyNumberFormat="1" applyFont="1" applyFill="1" applyBorder="1" applyAlignment="1">
      <alignment horizontal="right"/>
    </xf>
    <xf numFmtId="175" fontId="0" fillId="16" borderId="92" xfId="0" applyNumberFormat="1" applyFill="1" applyBorder="1" applyAlignment="1">
      <alignment horizontal="right"/>
    </xf>
    <xf numFmtId="169" fontId="93" fillId="5" borderId="97" xfId="0" applyNumberFormat="1" applyFont="1" applyFill="1" applyBorder="1" applyAlignment="1">
      <alignment horizontal="right"/>
    </xf>
    <xf numFmtId="2" fontId="93" fillId="5" borderId="97" xfId="0" applyNumberFormat="1" applyFont="1" applyFill="1" applyBorder="1" applyAlignment="1">
      <alignment horizontal="right"/>
    </xf>
    <xf numFmtId="9" fontId="42" fillId="16" borderId="0" xfId="0" applyNumberFormat="1" applyFont="1" applyFill="1" applyAlignment="1">
      <alignment horizontal="right"/>
    </xf>
    <xf numFmtId="1" fontId="66" fillId="23" borderId="0" xfId="0" applyNumberFormat="1" applyFont="1" applyFill="1" applyAlignment="1">
      <alignment horizontal="right"/>
    </xf>
    <xf numFmtId="1" fontId="67" fillId="23" borderId="0" xfId="0" applyNumberFormat="1" applyFont="1" applyFill="1" applyAlignment="1">
      <alignment horizontal="right"/>
    </xf>
    <xf numFmtId="1" fontId="39" fillId="23" borderId="0" xfId="0" applyNumberFormat="1" applyFont="1" applyFill="1" applyAlignment="1">
      <alignment horizontal="right"/>
    </xf>
    <xf numFmtId="1" fontId="15" fillId="23" borderId="0" xfId="0" applyNumberFormat="1" applyFont="1" applyFill="1" applyAlignment="1">
      <alignment horizontal="right"/>
    </xf>
    <xf numFmtId="175" fontId="22" fillId="16" borderId="0" xfId="0" applyNumberFormat="1" applyFont="1" applyFill="1" applyAlignment="1">
      <alignment horizontal="right"/>
    </xf>
    <xf numFmtId="175" fontId="15" fillId="0" borderId="0" xfId="0" applyNumberFormat="1" applyFont="1" applyAlignment="1">
      <alignment horizontal="right"/>
    </xf>
    <xf numFmtId="1" fontId="147" fillId="23" borderId="0" xfId="0" applyNumberFormat="1" applyFont="1" applyFill="1"/>
    <xf numFmtId="169" fontId="51" fillId="23" borderId="88" xfId="0" applyNumberFormat="1" applyFont="1" applyFill="1" applyBorder="1" applyAlignment="1">
      <alignment horizontal="right"/>
    </xf>
    <xf numFmtId="169" fontId="77" fillId="23" borderId="97" xfId="0" applyNumberFormat="1" applyFont="1" applyFill="1" applyBorder="1" applyAlignment="1">
      <alignment horizontal="right"/>
    </xf>
    <xf numFmtId="9" fontId="39" fillId="23" borderId="97" xfId="0" applyNumberFormat="1" applyFont="1" applyFill="1" applyBorder="1" applyAlignment="1">
      <alignment horizontal="right"/>
    </xf>
    <xf numFmtId="9" fontId="43" fillId="23" borderId="97" xfId="0" applyNumberFormat="1" applyFont="1" applyFill="1" applyBorder="1" applyAlignment="1">
      <alignment horizontal="right"/>
    </xf>
    <xf numFmtId="169" fontId="66" fillId="23" borderId="97" xfId="0" applyNumberFormat="1" applyFont="1" applyFill="1" applyBorder="1" applyAlignment="1">
      <alignment horizontal="right"/>
    </xf>
    <xf numFmtId="169" fontId="66" fillId="23" borderId="118" xfId="0" applyNumberFormat="1" applyFont="1" applyFill="1" applyBorder="1" applyAlignment="1">
      <alignment horizontal="right"/>
    </xf>
    <xf numFmtId="169" fontId="44" fillId="26" borderId="0" xfId="0" applyNumberFormat="1" applyFont="1" applyFill="1" applyAlignment="1">
      <alignment horizontal="right"/>
    </xf>
    <xf numFmtId="169" fontId="43" fillId="26" borderId="0" xfId="0" applyNumberFormat="1" applyFont="1" applyFill="1" applyAlignment="1">
      <alignment horizontal="right"/>
    </xf>
    <xf numFmtId="169" fontId="46" fillId="26" borderId="0" xfId="0" applyNumberFormat="1" applyFont="1" applyFill="1" applyAlignment="1">
      <alignment horizontal="right"/>
    </xf>
    <xf numFmtId="175" fontId="40" fillId="16" borderId="0" xfId="0" applyNumberFormat="1" applyFont="1" applyFill="1" applyAlignment="1">
      <alignment horizontal="right"/>
    </xf>
    <xf numFmtId="0" fontId="22" fillId="23" borderId="85" xfId="0" applyFont="1" applyFill="1" applyBorder="1"/>
    <xf numFmtId="169" fontId="55" fillId="23" borderId="0" xfId="0" applyNumberFormat="1" applyFont="1" applyFill="1" applyAlignment="1">
      <alignment horizontal="right"/>
    </xf>
    <xf numFmtId="169" fontId="38" fillId="23" borderId="0" xfId="0" applyNumberFormat="1" applyFont="1" applyFill="1" applyAlignment="1">
      <alignment horizontal="right"/>
    </xf>
    <xf numFmtId="169" fontId="51" fillId="23" borderId="97" xfId="0" applyNumberFormat="1" applyFont="1" applyFill="1" applyBorder="1"/>
    <xf numFmtId="168" fontId="7" fillId="13" borderId="3" xfId="0" applyNumberFormat="1" applyFont="1" applyFill="1" applyBorder="1" applyAlignment="1">
      <alignment horizontal="right"/>
    </xf>
    <xf numFmtId="169" fontId="15" fillId="26" borderId="68" xfId="0" applyNumberFormat="1" applyFont="1" applyFill="1" applyBorder="1" applyAlignment="1">
      <alignment horizontal="right"/>
    </xf>
    <xf numFmtId="9" fontId="147" fillId="23" borderId="0" xfId="0" applyNumberFormat="1" applyFont="1" applyFill="1" applyAlignment="1">
      <alignment horizontal="right"/>
    </xf>
    <xf numFmtId="9" fontId="42" fillId="23" borderId="0" xfId="0" applyNumberFormat="1" applyFont="1" applyFill="1" applyAlignment="1">
      <alignment horizontal="right"/>
    </xf>
    <xf numFmtId="0" fontId="22" fillId="23" borderId="0" xfId="0" applyFont="1" applyFill="1" applyAlignment="1">
      <alignment horizontal="right"/>
    </xf>
    <xf numFmtId="168" fontId="7" fillId="0" borderId="0" xfId="0" applyNumberFormat="1" applyFont="1" applyAlignment="1">
      <alignment horizontal="right"/>
    </xf>
    <xf numFmtId="3" fontId="10" fillId="0" borderId="0" xfId="0" applyNumberFormat="1" applyFont="1" applyAlignment="1">
      <alignment horizontal="right"/>
    </xf>
    <xf numFmtId="3" fontId="19" fillId="54" borderId="0" xfId="0" quotePrefix="1" applyNumberFormat="1" applyFont="1" applyFill="1" applyAlignment="1">
      <alignment horizontal="left"/>
    </xf>
    <xf numFmtId="168" fontId="7" fillId="54" borderId="0" xfId="0" applyNumberFormat="1" applyFont="1" applyFill="1" applyAlignment="1">
      <alignment horizontal="right"/>
    </xf>
    <xf numFmtId="3" fontId="10" fillId="54" borderId="0" xfId="0" applyNumberFormat="1" applyFont="1" applyFill="1" applyAlignment="1">
      <alignment horizontal="right"/>
    </xf>
    <xf numFmtId="3" fontId="59" fillId="54" borderId="0" xfId="0" applyNumberFormat="1" applyFont="1" applyFill="1" applyAlignment="1">
      <alignment horizontal="right"/>
    </xf>
    <xf numFmtId="1" fontId="55" fillId="0" borderId="97" xfId="2" applyNumberFormat="1" applyFont="1" applyFill="1" applyBorder="1" applyAlignment="1">
      <alignment horizontal="right"/>
    </xf>
    <xf numFmtId="184" fontId="7" fillId="55" borderId="29" xfId="0" applyNumberFormat="1" applyFont="1" applyFill="1" applyBorder="1" applyAlignment="1">
      <alignment horizontal="right"/>
    </xf>
    <xf numFmtId="39" fontId="7" fillId="55" borderId="29" xfId="0" applyNumberFormat="1" applyFont="1" applyFill="1" applyBorder="1" applyAlignment="1">
      <alignment horizontal="right"/>
    </xf>
    <xf numFmtId="37" fontId="20" fillId="11" borderId="29" xfId="0" applyNumberFormat="1" applyFont="1" applyFill="1" applyBorder="1" applyAlignment="1">
      <alignment horizontal="right"/>
    </xf>
    <xf numFmtId="0" fontId="42" fillId="13" borderId="97" xfId="0" applyFont="1" applyFill="1" applyBorder="1"/>
    <xf numFmtId="1" fontId="55" fillId="0" borderId="29" xfId="0" applyNumberFormat="1" applyFont="1" applyBorder="1" applyAlignment="1">
      <alignment horizontal="right"/>
    </xf>
    <xf numFmtId="1" fontId="55" fillId="0" borderId="97" xfId="0" applyNumberFormat="1" applyFont="1" applyBorder="1" applyAlignment="1">
      <alignment horizontal="right"/>
    </xf>
    <xf numFmtId="1" fontId="55" fillId="0" borderId="29" xfId="2" applyNumberFormat="1" applyFont="1" applyFill="1" applyBorder="1" applyAlignment="1">
      <alignment horizontal="right" vertical="justify"/>
    </xf>
    <xf numFmtId="1" fontId="55" fillId="0" borderId="97" xfId="2" applyNumberFormat="1" applyFont="1" applyFill="1" applyBorder="1" applyAlignment="1">
      <alignment horizontal="right" vertical="justify"/>
    </xf>
    <xf numFmtId="1" fontId="55" fillId="0" borderId="29" xfId="2" applyNumberFormat="1" applyFont="1" applyFill="1" applyBorder="1" applyAlignment="1" applyProtection="1">
      <alignment horizontal="right"/>
    </xf>
    <xf numFmtId="1" fontId="55" fillId="0" borderId="97" xfId="2" applyNumberFormat="1" applyFont="1" applyFill="1" applyBorder="1" applyAlignment="1" applyProtection="1">
      <alignment horizontal="right"/>
    </xf>
    <xf numFmtId="1" fontId="55" fillId="0" borderId="29" xfId="1" applyNumberFormat="1" applyFont="1" applyFill="1" applyBorder="1" applyAlignment="1">
      <alignment horizontal="right"/>
    </xf>
    <xf numFmtId="1" fontId="55" fillId="0" borderId="97" xfId="1" applyNumberFormat="1" applyFont="1" applyFill="1" applyBorder="1" applyAlignment="1">
      <alignment horizontal="right"/>
    </xf>
    <xf numFmtId="184" fontId="7" fillId="56" borderId="29" xfId="0" applyNumberFormat="1" applyFont="1" applyFill="1" applyBorder="1" applyAlignment="1">
      <alignment horizontal="right"/>
    </xf>
    <xf numFmtId="184" fontId="7" fillId="56" borderId="97" xfId="0" applyNumberFormat="1" applyFont="1" applyFill="1" applyBorder="1" applyAlignment="1">
      <alignment horizontal="right"/>
    </xf>
    <xf numFmtId="169" fontId="43" fillId="26" borderId="82" xfId="0" applyNumberFormat="1" applyFont="1" applyFill="1" applyBorder="1" applyAlignment="1">
      <alignment horizontal="right"/>
    </xf>
    <xf numFmtId="1" fontId="15" fillId="50" borderId="0" xfId="0" applyNumberFormat="1" applyFont="1" applyFill="1"/>
    <xf numFmtId="1" fontId="15" fillId="50" borderId="0" xfId="0" applyNumberFormat="1" applyFont="1" applyFill="1" applyAlignment="1">
      <alignment horizontal="right"/>
    </xf>
    <xf numFmtId="0" fontId="42" fillId="27" borderId="0" xfId="0" applyFont="1" applyFill="1" applyAlignment="1">
      <alignment horizontal="right"/>
    </xf>
    <xf numFmtId="1" fontId="42" fillId="26" borderId="68" xfId="0" applyNumberFormat="1" applyFont="1" applyFill="1" applyBorder="1" applyAlignment="1">
      <alignment horizontal="right"/>
    </xf>
    <xf numFmtId="1" fontId="36" fillId="0" borderId="0" xfId="0" applyNumberFormat="1" applyFont="1" applyAlignment="1">
      <alignment horizontal="right"/>
    </xf>
    <xf numFmtId="0" fontId="4" fillId="0" borderId="60" xfId="3" applyBorder="1" applyAlignment="1" applyProtection="1"/>
    <xf numFmtId="169" fontId="4" fillId="17" borderId="60" xfId="3" applyNumberFormat="1" applyFill="1" applyBorder="1" applyAlignment="1" applyProtection="1"/>
    <xf numFmtId="0" fontId="4" fillId="12" borderId="60" xfId="3" applyFill="1" applyBorder="1" applyAlignment="1" applyProtection="1"/>
    <xf numFmtId="0" fontId="4" fillId="7" borderId="55" xfId="3" applyFill="1" applyBorder="1" applyAlignment="1" applyProtection="1"/>
    <xf numFmtId="168" fontId="8" fillId="0" borderId="0" xfId="0" applyNumberFormat="1" applyFont="1" applyAlignment="1">
      <alignment horizontal="center"/>
    </xf>
    <xf numFmtId="3" fontId="17" fillId="11" borderId="0" xfId="0" applyNumberFormat="1" applyFont="1" applyFill="1"/>
    <xf numFmtId="1" fontId="17" fillId="11" borderId="0" xfId="0" applyNumberFormat="1" applyFont="1" applyFill="1"/>
    <xf numFmtId="3" fontId="10" fillId="11" borderId="0" xfId="0" applyNumberFormat="1" applyFont="1" applyFill="1"/>
    <xf numFmtId="0" fontId="8" fillId="0" borderId="120" xfId="0" applyFont="1" applyBorder="1"/>
    <xf numFmtId="168" fontId="8" fillId="0" borderId="121" xfId="3" applyNumberFormat="1" applyFont="1" applyFill="1" applyBorder="1" applyAlignment="1" applyProtection="1">
      <alignment horizontal="center"/>
    </xf>
    <xf numFmtId="0" fontId="149" fillId="0" borderId="0" xfId="3" applyFont="1" applyFill="1" applyAlignment="1" applyProtection="1"/>
    <xf numFmtId="0" fontId="3" fillId="0" borderId="32" xfId="0" applyFont="1" applyBorder="1"/>
    <xf numFmtId="0" fontId="83" fillId="0" borderId="0" xfId="0" applyFont="1"/>
    <xf numFmtId="0" fontId="10" fillId="58" borderId="2" xfId="0" applyFont="1" applyFill="1" applyBorder="1" applyAlignment="1">
      <alignment horizontal="center"/>
    </xf>
    <xf numFmtId="169" fontId="0" fillId="59" borderId="97" xfId="0" applyNumberFormat="1" applyFill="1" applyBorder="1" applyAlignment="1">
      <alignment horizontal="right"/>
    </xf>
    <xf numFmtId="0" fontId="20" fillId="11" borderId="1" xfId="0" applyFont="1" applyFill="1" applyBorder="1" applyAlignment="1">
      <alignment horizontal="center"/>
    </xf>
    <xf numFmtId="0" fontId="20" fillId="11" borderId="22" xfId="0" applyFont="1" applyFill="1" applyBorder="1" applyAlignment="1">
      <alignment horizontal="center"/>
    </xf>
    <xf numFmtId="0" fontId="20" fillId="11" borderId="23" xfId="0" applyFont="1" applyFill="1" applyBorder="1" applyAlignment="1">
      <alignment horizontal="center"/>
    </xf>
    <xf numFmtId="0" fontId="20" fillId="8" borderId="1" xfId="0" applyFont="1" applyFill="1" applyBorder="1" applyAlignment="1">
      <alignment horizontal="center"/>
    </xf>
    <xf numFmtId="0" fontId="20" fillId="8" borderId="23" xfId="0" applyFont="1" applyFill="1" applyBorder="1" applyAlignment="1">
      <alignment horizontal="center"/>
    </xf>
    <xf numFmtId="0" fontId="3" fillId="0" borderId="97" xfId="0" applyFont="1" applyBorder="1"/>
    <xf numFmtId="0" fontId="3" fillId="0" borderId="60" xfId="0" applyFont="1" applyBorder="1"/>
    <xf numFmtId="1" fontId="38" fillId="23" borderId="0" xfId="0" applyNumberFormat="1" applyFont="1" applyFill="1" applyAlignment="1">
      <alignment horizontal="right"/>
    </xf>
    <xf numFmtId="1" fontId="23" fillId="23" borderId="0" xfId="0" applyNumberFormat="1" applyFont="1" applyFill="1" applyAlignment="1">
      <alignment horizontal="right"/>
    </xf>
    <xf numFmtId="1" fontId="55" fillId="23" borderId="0" xfId="0" applyNumberFormat="1" applyFont="1" applyFill="1" applyAlignment="1">
      <alignment horizontal="right"/>
    </xf>
    <xf numFmtId="1" fontId="43" fillId="23" borderId="0" xfId="0" applyNumberFormat="1" applyFont="1" applyFill="1" applyAlignment="1">
      <alignment horizontal="right"/>
    </xf>
    <xf numFmtId="1" fontId="80" fillId="23" borderId="0" xfId="0" applyNumberFormat="1" applyFont="1" applyFill="1" applyAlignment="1">
      <alignment horizontal="right"/>
    </xf>
    <xf numFmtId="9" fontId="22" fillId="5" borderId="97" xfId="0" applyNumberFormat="1" applyFont="1" applyFill="1" applyBorder="1" applyAlignment="1">
      <alignment horizontal="right"/>
    </xf>
    <xf numFmtId="0" fontId="0" fillId="0" borderId="0" xfId="0" quotePrefix="1"/>
    <xf numFmtId="0" fontId="3" fillId="3" borderId="55" xfId="0" applyFont="1" applyFill="1" applyBorder="1"/>
    <xf numFmtId="0" fontId="4" fillId="0" borderId="0" xfId="3" applyAlignment="1" applyProtection="1"/>
    <xf numFmtId="0" fontId="4" fillId="0" borderId="0" xfId="3" applyFill="1" applyAlignment="1" applyProtection="1"/>
    <xf numFmtId="0" fontId="4" fillId="23" borderId="0" xfId="3" applyFill="1" applyAlignment="1" applyProtection="1"/>
    <xf numFmtId="0" fontId="4" fillId="0" borderId="20" xfId="3" applyBorder="1" applyAlignment="1" applyProtection="1"/>
    <xf numFmtId="0" fontId="4" fillId="3" borderId="55" xfId="3" applyFill="1" applyBorder="1" applyAlignment="1" applyProtection="1"/>
    <xf numFmtId="0" fontId="4" fillId="0" borderId="18" xfId="3" applyBorder="1" applyAlignment="1" applyProtection="1"/>
    <xf numFmtId="0" fontId="10" fillId="58" borderId="0" xfId="0" applyFont="1" applyFill="1" applyAlignment="1">
      <alignment horizontal="center"/>
    </xf>
    <xf numFmtId="3" fontId="62" fillId="0" borderId="3" xfId="0" quotePrefix="1" applyNumberFormat="1" applyFont="1" applyBorder="1" applyAlignment="1">
      <alignment horizontal="right"/>
    </xf>
    <xf numFmtId="0" fontId="42" fillId="23" borderId="85" xfId="0" applyFont="1" applyFill="1" applyBorder="1" applyAlignment="1">
      <alignment horizontal="left"/>
    </xf>
    <xf numFmtId="0" fontId="152" fillId="24" borderId="0" xfId="0" applyFont="1" applyFill="1"/>
    <xf numFmtId="175" fontId="0" fillId="24" borderId="0" xfId="0" applyNumberFormat="1" applyFill="1"/>
    <xf numFmtId="175" fontId="37" fillId="24" borderId="0" xfId="0" applyNumberFormat="1" applyFont="1" applyFill="1" applyAlignment="1">
      <alignment horizontal="right"/>
    </xf>
    <xf numFmtId="0" fontId="153" fillId="0" borderId="0" xfId="0" applyFont="1"/>
    <xf numFmtId="3" fontId="55" fillId="0" borderId="97" xfId="2" applyNumberFormat="1" applyFont="1" applyFill="1" applyBorder="1" applyAlignment="1">
      <alignment horizontal="right"/>
    </xf>
    <xf numFmtId="1" fontId="32" fillId="0" borderId="97" xfId="2" applyNumberFormat="1" applyFont="1" applyFill="1" applyBorder="1" applyAlignment="1">
      <alignment horizontal="right"/>
    </xf>
    <xf numFmtId="0" fontId="4" fillId="11" borderId="0" xfId="3" applyFill="1" applyAlignment="1" applyProtection="1"/>
    <xf numFmtId="1" fontId="32" fillId="8" borderId="2" xfId="0" applyNumberFormat="1" applyFont="1" applyFill="1" applyBorder="1" applyAlignment="1">
      <alignment horizontal="right"/>
    </xf>
    <xf numFmtId="0" fontId="3" fillId="0" borderId="110" xfId="0" applyFont="1" applyBorder="1"/>
    <xf numFmtId="0" fontId="0" fillId="0" borderId="123" xfId="0" applyBorder="1"/>
    <xf numFmtId="9" fontId="154" fillId="0" borderId="3" xfId="2" quotePrefix="1" applyFont="1" applyBorder="1" applyAlignment="1">
      <alignment horizontal="left"/>
    </xf>
    <xf numFmtId="9" fontId="155" fillId="0" borderId="3" xfId="2" quotePrefix="1" applyFont="1" applyBorder="1" applyAlignment="1">
      <alignment horizontal="left"/>
    </xf>
    <xf numFmtId="9" fontId="155" fillId="0" borderId="3" xfId="2" applyFont="1" applyBorder="1" applyAlignment="1">
      <alignment horizontal="left"/>
    </xf>
    <xf numFmtId="9" fontId="154" fillId="0" borderId="3" xfId="2" applyFont="1" applyBorder="1" applyAlignment="1">
      <alignment horizontal="left"/>
    </xf>
    <xf numFmtId="2" fontId="7" fillId="0" borderId="28" xfId="2" applyNumberFormat="1" applyFont="1" applyFill="1" applyBorder="1" applyAlignment="1" applyProtection="1">
      <alignment horizontal="right"/>
    </xf>
    <xf numFmtId="175" fontId="156" fillId="8" borderId="35" xfId="2" applyNumberFormat="1" applyFont="1" applyFill="1" applyBorder="1" applyAlignment="1">
      <alignment horizontal="right" vertical="justify"/>
    </xf>
    <xf numFmtId="175" fontId="156" fillId="0" borderId="60" xfId="0" applyNumberFormat="1" applyFont="1" applyBorder="1" applyAlignment="1">
      <alignment horizontal="right"/>
    </xf>
    <xf numFmtId="175" fontId="156" fillId="0" borderId="60" xfId="2" applyNumberFormat="1" applyFont="1" applyFill="1" applyBorder="1" applyAlignment="1">
      <alignment horizontal="right" vertical="justify"/>
    </xf>
    <xf numFmtId="175" fontId="157" fillId="0" borderId="60" xfId="2" applyNumberFormat="1" applyFont="1" applyFill="1" applyBorder="1" applyAlignment="1">
      <alignment horizontal="right" vertical="justify"/>
    </xf>
    <xf numFmtId="10" fontId="156" fillId="8" borderId="35" xfId="2" applyNumberFormat="1" applyFont="1" applyFill="1" applyBorder="1" applyAlignment="1">
      <alignment horizontal="right" vertical="justify"/>
    </xf>
    <xf numFmtId="175" fontId="157" fillId="0" borderId="32" xfId="2" applyNumberFormat="1" applyFont="1" applyFill="1" applyBorder="1" applyAlignment="1">
      <alignment horizontal="right" vertical="justify"/>
    </xf>
    <xf numFmtId="3" fontId="55" fillId="0" borderId="29" xfId="1" applyNumberFormat="1" applyFont="1" applyFill="1" applyBorder="1" applyAlignment="1">
      <alignment horizontal="right"/>
    </xf>
    <xf numFmtId="3" fontId="55" fillId="0" borderId="97" xfId="1" applyNumberFormat="1" applyFont="1" applyFill="1" applyBorder="1" applyAlignment="1">
      <alignment horizontal="right"/>
    </xf>
    <xf numFmtId="3" fontId="0" fillId="0" borderId="97" xfId="0" applyNumberFormat="1" applyBorder="1" applyAlignment="1">
      <alignment horizontal="right"/>
    </xf>
    <xf numFmtId="0" fontId="5" fillId="0" borderId="97" xfId="0" applyFont="1" applyBorder="1"/>
    <xf numFmtId="9" fontId="0" fillId="0" borderId="0" xfId="2" applyFont="1"/>
    <xf numFmtId="175" fontId="3" fillId="8" borderId="35" xfId="2" applyNumberFormat="1" applyFont="1" applyFill="1" applyBorder="1" applyAlignment="1">
      <alignment horizontal="right" vertical="justify"/>
    </xf>
    <xf numFmtId="0" fontId="5" fillId="0" borderId="124" xfId="0" applyFont="1" applyBorder="1"/>
    <xf numFmtId="184" fontId="29" fillId="0" borderId="97" xfId="1" applyNumberFormat="1" applyFont="1" applyBorder="1" applyAlignment="1">
      <alignment horizontal="right"/>
    </xf>
    <xf numFmtId="184" fontId="29" fillId="11" borderId="97" xfId="1" applyNumberFormat="1" applyFont="1" applyFill="1" applyBorder="1" applyAlignment="1">
      <alignment horizontal="right"/>
    </xf>
    <xf numFmtId="0" fontId="74" fillId="0" borderId="0" xfId="0" applyFont="1" applyAlignment="1">
      <alignment horizontal="left"/>
    </xf>
    <xf numFmtId="175" fontId="10" fillId="0" borderId="97" xfId="2" applyNumberFormat="1" applyFont="1" applyFill="1" applyBorder="1" applyAlignment="1">
      <alignment horizontal="right"/>
    </xf>
    <xf numFmtId="37" fontId="10" fillId="0" borderId="97" xfId="0" applyNumberFormat="1" applyFont="1" applyBorder="1" applyAlignment="1">
      <alignment horizontal="right"/>
    </xf>
    <xf numFmtId="3" fontId="10" fillId="0" borderId="97" xfId="2" applyNumberFormat="1" applyFont="1" applyFill="1" applyBorder="1" applyAlignment="1">
      <alignment horizontal="right"/>
    </xf>
    <xf numFmtId="3" fontId="7" fillId="13" borderId="97" xfId="2" applyNumberFormat="1" applyFont="1" applyFill="1" applyBorder="1" applyAlignment="1">
      <alignment horizontal="right"/>
    </xf>
    <xf numFmtId="3" fontId="3" fillId="0" borderId="29" xfId="0" applyNumberFormat="1" applyFont="1" applyBorder="1" applyAlignment="1">
      <alignment horizontal="right"/>
    </xf>
    <xf numFmtId="184" fontId="32" fillId="0" borderId="97" xfId="1" applyNumberFormat="1" applyFont="1" applyFill="1" applyBorder="1" applyAlignment="1">
      <alignment horizontal="right"/>
    </xf>
    <xf numFmtId="184" fontId="55" fillId="0" borderId="97" xfId="1" applyNumberFormat="1" applyFont="1" applyFill="1" applyBorder="1" applyAlignment="1" applyProtection="1">
      <alignment horizontal="right"/>
    </xf>
    <xf numFmtId="3" fontId="44" fillId="0" borderId="97" xfId="0" applyNumberFormat="1" applyFont="1" applyBorder="1"/>
    <xf numFmtId="3" fontId="29" fillId="11" borderId="32" xfId="2" applyNumberFormat="1" applyFont="1" applyFill="1" applyBorder="1" applyAlignment="1">
      <alignment horizontal="right" vertical="justify"/>
    </xf>
    <xf numFmtId="37" fontId="23" fillId="0" borderId="29" xfId="0" applyNumberFormat="1" applyFont="1" applyBorder="1" applyAlignment="1">
      <alignment horizontal="right"/>
    </xf>
    <xf numFmtId="37" fontId="164" fillId="0" borderId="97" xfId="0" applyNumberFormat="1" applyFont="1" applyBorder="1" applyAlignment="1">
      <alignment horizontal="right"/>
    </xf>
    <xf numFmtId="37" fontId="164" fillId="0" borderId="29" xfId="0" applyNumberFormat="1" applyFont="1" applyBorder="1" applyAlignment="1">
      <alignment horizontal="right"/>
    </xf>
    <xf numFmtId="41" fontId="10" fillId="11" borderId="35" xfId="51" applyFont="1" applyFill="1" applyBorder="1" applyAlignment="1">
      <alignment horizontal="right" vertical="justify"/>
    </xf>
    <xf numFmtId="41" fontId="23" fillId="0" borderId="97" xfId="51" applyFont="1" applyFill="1" applyBorder="1" applyAlignment="1">
      <alignment horizontal="right"/>
    </xf>
    <xf numFmtId="3" fontId="55" fillId="0" borderId="97" xfId="2" applyNumberFormat="1" applyFont="1" applyFill="1" applyBorder="1" applyAlignment="1" applyProtection="1">
      <alignment horizontal="right"/>
    </xf>
    <xf numFmtId="3" fontId="55" fillId="0" borderId="29" xfId="2" applyNumberFormat="1" applyFont="1" applyFill="1" applyBorder="1" applyAlignment="1" applyProtection="1">
      <alignment horizontal="right"/>
    </xf>
    <xf numFmtId="3" fontId="55" fillId="0" borderId="29" xfId="2" applyNumberFormat="1" applyFont="1" applyFill="1" applyBorder="1" applyAlignment="1">
      <alignment horizontal="right"/>
    </xf>
    <xf numFmtId="0" fontId="23" fillId="0" borderId="3" xfId="0" applyFont="1" applyBorder="1" applyAlignment="1">
      <alignment horizontal="right"/>
    </xf>
    <xf numFmtId="0" fontId="74" fillId="0" borderId="0" xfId="0" applyFont="1" applyAlignment="1">
      <alignment horizontal="fill"/>
    </xf>
    <xf numFmtId="169" fontId="148" fillId="23" borderId="0" xfId="0" applyNumberFormat="1" applyFont="1" applyFill="1" applyAlignment="1">
      <alignment horizontal="right"/>
    </xf>
    <xf numFmtId="175" fontId="62" fillId="23" borderId="125" xfId="0" applyNumberFormat="1" applyFont="1" applyFill="1" applyBorder="1" applyAlignment="1">
      <alignment horizontal="right"/>
    </xf>
    <xf numFmtId="175" fontId="37" fillId="16" borderId="92" xfId="0" applyNumberFormat="1" applyFont="1" applyFill="1" applyBorder="1" applyAlignment="1">
      <alignment horizontal="right"/>
    </xf>
    <xf numFmtId="175" fontId="63" fillId="16" borderId="92" xfId="0" applyNumberFormat="1" applyFont="1" applyFill="1" applyBorder="1" applyAlignment="1">
      <alignment horizontal="right"/>
    </xf>
    <xf numFmtId="1" fontId="38" fillId="0" borderId="79" xfId="0" applyNumberFormat="1" applyFont="1" applyBorder="1" applyAlignment="1">
      <alignment horizontal="right"/>
    </xf>
    <xf numFmtId="2" fontId="31" fillId="14" borderId="54" xfId="0" applyNumberFormat="1" applyFont="1" applyFill="1" applyBorder="1" applyAlignment="1">
      <alignment horizontal="right"/>
    </xf>
    <xf numFmtId="3" fontId="7" fillId="13" borderId="29" xfId="2" applyNumberFormat="1" applyFont="1" applyFill="1" applyBorder="1" applyAlignment="1">
      <alignment horizontal="right"/>
    </xf>
    <xf numFmtId="3" fontId="7" fillId="13" borderId="29" xfId="0" applyNumberFormat="1" applyFont="1" applyFill="1" applyBorder="1" applyAlignment="1">
      <alignment horizontal="right"/>
    </xf>
    <xf numFmtId="41" fontId="55" fillId="0" borderId="29" xfId="51" applyFont="1" applyBorder="1" applyAlignment="1">
      <alignment horizontal="right"/>
    </xf>
    <xf numFmtId="41" fontId="55" fillId="0" borderId="29" xfId="51" applyFont="1" applyFill="1" applyBorder="1" applyAlignment="1">
      <alignment horizontal="right" vertical="justify"/>
    </xf>
    <xf numFmtId="41" fontId="55" fillId="0" borderId="29" xfId="51" applyFont="1" applyFill="1" applyBorder="1" applyAlignment="1" applyProtection="1">
      <alignment horizontal="right"/>
    </xf>
    <xf numFmtId="41" fontId="55" fillId="0" borderId="29" xfId="51" applyFont="1" applyFill="1" applyBorder="1" applyAlignment="1">
      <alignment horizontal="right"/>
    </xf>
    <xf numFmtId="41" fontId="29" fillId="0" borderId="97" xfId="51" applyFont="1" applyBorder="1" applyAlignment="1">
      <alignment horizontal="right"/>
    </xf>
    <xf numFmtId="41" fontId="55" fillId="0" borderId="97" xfId="51" applyFont="1" applyFill="1" applyBorder="1" applyAlignment="1">
      <alignment horizontal="right"/>
    </xf>
    <xf numFmtId="41" fontId="32" fillId="0" borderId="97" xfId="51" applyFont="1" applyFill="1" applyBorder="1" applyAlignment="1">
      <alignment horizontal="right"/>
    </xf>
    <xf numFmtId="174" fontId="10" fillId="0" borderId="126" xfId="1" applyNumberFormat="1" applyFont="1" applyFill="1" applyBorder="1" applyAlignment="1" applyProtection="1">
      <alignment horizontal="right"/>
    </xf>
    <xf numFmtId="37" fontId="7" fillId="0" borderId="126" xfId="0" applyNumberFormat="1" applyFont="1" applyBorder="1" applyAlignment="1">
      <alignment horizontal="right"/>
    </xf>
    <xf numFmtId="3" fontId="7" fillId="0" borderId="126" xfId="1" applyNumberFormat="1" applyFont="1" applyFill="1" applyBorder="1" applyAlignment="1" applyProtection="1">
      <alignment horizontal="right"/>
    </xf>
    <xf numFmtId="0" fontId="5" fillId="0" borderId="126" xfId="0" applyFont="1" applyBorder="1"/>
    <xf numFmtId="0" fontId="0" fillId="0" borderId="126" xfId="0" applyBorder="1"/>
    <xf numFmtId="3" fontId="7" fillId="0" borderId="126" xfId="2" applyNumberFormat="1" applyFont="1" applyFill="1" applyBorder="1" applyAlignment="1">
      <alignment horizontal="right"/>
    </xf>
    <xf numFmtId="3" fontId="0" fillId="0" borderId="126" xfId="0" applyNumberFormat="1" applyBorder="1" applyAlignment="1">
      <alignment horizontal="right"/>
    </xf>
    <xf numFmtId="37" fontId="7" fillId="11" borderId="126" xfId="0" applyNumberFormat="1" applyFont="1" applyFill="1" applyBorder="1" applyAlignment="1">
      <alignment horizontal="right"/>
    </xf>
    <xf numFmtId="37" fontId="10" fillId="11" borderId="126" xfId="0" applyNumberFormat="1" applyFont="1" applyFill="1" applyBorder="1" applyAlignment="1">
      <alignment horizontal="right"/>
    </xf>
    <xf numFmtId="175" fontId="10" fillId="11" borderId="126" xfId="2" applyNumberFormat="1" applyFont="1" applyFill="1" applyBorder="1" applyAlignment="1">
      <alignment horizontal="right" vertical="justify"/>
    </xf>
    <xf numFmtId="4" fontId="7" fillId="11" borderId="126" xfId="0" applyNumberFormat="1" applyFont="1" applyFill="1" applyBorder="1" applyAlignment="1">
      <alignment horizontal="right"/>
    </xf>
    <xf numFmtId="3" fontId="7" fillId="0" borderId="126" xfId="0" applyNumberFormat="1" applyFont="1" applyBorder="1" applyAlignment="1">
      <alignment horizontal="right"/>
    </xf>
    <xf numFmtId="184" fontId="32" fillId="0" borderId="126" xfId="1" applyNumberFormat="1" applyFont="1" applyFill="1" applyBorder="1" applyAlignment="1">
      <alignment horizontal="right"/>
    </xf>
    <xf numFmtId="9" fontId="7" fillId="11" borderId="126" xfId="2" applyFont="1" applyFill="1" applyBorder="1" applyAlignment="1" applyProtection="1">
      <alignment horizontal="right"/>
    </xf>
    <xf numFmtId="37" fontId="64" fillId="11" borderId="97" xfId="0" applyNumberFormat="1" applyFont="1" applyFill="1" applyBorder="1" applyAlignment="1">
      <alignment horizontal="right"/>
    </xf>
    <xf numFmtId="37" fontId="62" fillId="11" borderId="97" xfId="0" applyNumberFormat="1" applyFont="1" applyFill="1" applyBorder="1" applyAlignment="1">
      <alignment horizontal="right"/>
    </xf>
    <xf numFmtId="175" fontId="62" fillId="11" borderId="97" xfId="2" applyNumberFormat="1" applyFont="1" applyFill="1" applyBorder="1" applyAlignment="1">
      <alignment horizontal="right" vertical="justify"/>
    </xf>
    <xf numFmtId="4" fontId="64" fillId="11" borderId="97" xfId="0" applyNumberFormat="1" applyFont="1" applyFill="1" applyBorder="1" applyAlignment="1">
      <alignment horizontal="right"/>
    </xf>
    <xf numFmtId="3" fontId="64" fillId="0" borderId="97" xfId="0" applyNumberFormat="1" applyFont="1" applyBorder="1" applyAlignment="1">
      <alignment horizontal="right"/>
    </xf>
    <xf numFmtId="184" fontId="78" fillId="0" borderId="97" xfId="1" applyNumberFormat="1" applyFont="1" applyFill="1" applyBorder="1" applyAlignment="1">
      <alignment horizontal="right"/>
    </xf>
    <xf numFmtId="37" fontId="64" fillId="11" borderId="126" xfId="0" applyNumberFormat="1" applyFont="1" applyFill="1" applyBorder="1" applyAlignment="1">
      <alignment horizontal="right"/>
    </xf>
    <xf numFmtId="37" fontId="62" fillId="11" borderId="126" xfId="0" applyNumberFormat="1" applyFont="1" applyFill="1" applyBorder="1" applyAlignment="1">
      <alignment horizontal="right"/>
    </xf>
    <xf numFmtId="175" fontId="62" fillId="11" borderId="126" xfId="2" applyNumberFormat="1" applyFont="1" applyFill="1" applyBorder="1" applyAlignment="1">
      <alignment horizontal="right" vertical="justify"/>
    </xf>
    <xf numFmtId="4" fontId="64" fillId="11" borderId="126" xfId="0" applyNumberFormat="1" applyFont="1" applyFill="1" applyBorder="1" applyAlignment="1">
      <alignment horizontal="right"/>
    </xf>
    <xf numFmtId="3" fontId="64" fillId="0" borderId="126" xfId="0" applyNumberFormat="1" applyFont="1" applyBorder="1" applyAlignment="1">
      <alignment horizontal="right"/>
    </xf>
    <xf numFmtId="184" fontId="78" fillId="0" borderId="126" xfId="1" applyNumberFormat="1" applyFont="1" applyFill="1" applyBorder="1" applyAlignment="1">
      <alignment horizontal="right"/>
    </xf>
    <xf numFmtId="37" fontId="29" fillId="56" borderId="97" xfId="0" applyNumberFormat="1" applyFont="1" applyFill="1" applyBorder="1" applyAlignment="1">
      <alignment horizontal="right"/>
    </xf>
    <xf numFmtId="3" fontId="7" fillId="13" borderId="29" xfId="2" applyNumberFormat="1" applyFont="1" applyFill="1" applyBorder="1" applyAlignment="1" applyProtection="1">
      <alignment horizontal="right"/>
    </xf>
    <xf numFmtId="9" fontId="7" fillId="13" borderId="97" xfId="2" applyFont="1" applyFill="1" applyBorder="1" applyAlignment="1" applyProtection="1">
      <alignment horizontal="right"/>
    </xf>
    <xf numFmtId="9" fontId="7" fillId="13" borderId="29" xfId="2" applyFont="1" applyFill="1" applyBorder="1" applyAlignment="1" applyProtection="1">
      <alignment horizontal="right"/>
    </xf>
    <xf numFmtId="37" fontId="10" fillId="13" borderId="97" xfId="0" applyNumberFormat="1" applyFont="1" applyFill="1" applyBorder="1" applyAlignment="1">
      <alignment horizontal="right"/>
    </xf>
    <xf numFmtId="37" fontId="10" fillId="13" borderId="29" xfId="0" applyNumberFormat="1" applyFont="1" applyFill="1" applyBorder="1" applyAlignment="1">
      <alignment horizontal="right"/>
    </xf>
    <xf numFmtId="37" fontId="3" fillId="13" borderId="35" xfId="0" applyNumberFormat="1" applyFont="1" applyFill="1" applyBorder="1" applyAlignment="1">
      <alignment horizontal="right"/>
    </xf>
    <xf numFmtId="2" fontId="10" fillId="13" borderId="35" xfId="0" applyNumberFormat="1" applyFont="1" applyFill="1" applyBorder="1" applyAlignment="1">
      <alignment horizontal="right"/>
    </xf>
    <xf numFmtId="175" fontId="10" fillId="13" borderId="35" xfId="2" applyNumberFormat="1" applyFont="1" applyFill="1" applyBorder="1" applyAlignment="1">
      <alignment horizontal="right" vertical="justify"/>
    </xf>
    <xf numFmtId="2" fontId="7" fillId="13" borderId="29" xfId="0" applyNumberFormat="1" applyFont="1" applyFill="1" applyBorder="1" applyAlignment="1">
      <alignment horizontal="right"/>
    </xf>
    <xf numFmtId="175" fontId="10" fillId="13" borderId="29" xfId="2" applyNumberFormat="1" applyFont="1" applyFill="1" applyBorder="1" applyAlignment="1">
      <alignment horizontal="right" vertical="justify"/>
    </xf>
    <xf numFmtId="37" fontId="7" fillId="13" borderId="97" xfId="0" applyNumberFormat="1" applyFont="1" applyFill="1" applyBorder="1" applyAlignment="1">
      <alignment horizontal="right"/>
    </xf>
    <xf numFmtId="175" fontId="7" fillId="13" borderId="29" xfId="2" applyNumberFormat="1" applyFont="1" applyFill="1" applyBorder="1" applyAlignment="1">
      <alignment horizontal="right" vertical="justify"/>
    </xf>
    <xf numFmtId="167" fontId="10" fillId="13" borderId="29" xfId="0" applyNumberFormat="1" applyFont="1" applyFill="1" applyBorder="1" applyAlignment="1">
      <alignment horizontal="right"/>
    </xf>
    <xf numFmtId="184" fontId="7" fillId="13" borderId="0" xfId="0" applyNumberFormat="1" applyFont="1" applyFill="1" applyAlignment="1">
      <alignment horizontal="right"/>
    </xf>
    <xf numFmtId="184" fontId="0" fillId="3" borderId="97" xfId="1" applyNumberFormat="1" applyFont="1" applyFill="1" applyBorder="1" applyAlignment="1">
      <alignment horizontal="right"/>
    </xf>
    <xf numFmtId="43" fontId="10" fillId="13" borderId="29" xfId="1" applyFont="1" applyFill="1" applyBorder="1" applyAlignment="1">
      <alignment horizontal="right" vertical="justify"/>
    </xf>
    <xf numFmtId="175" fontId="64" fillId="13" borderId="97" xfId="0" applyNumberFormat="1" applyFont="1" applyFill="1" applyBorder="1"/>
    <xf numFmtId="0" fontId="134" fillId="8" borderId="2" xfId="0" applyFont="1" applyFill="1" applyBorder="1" applyAlignment="1">
      <alignment horizontal="center" vertical="center" wrapText="1"/>
    </xf>
    <xf numFmtId="0" fontId="10" fillId="32" borderId="1" xfId="0" applyFont="1" applyFill="1" applyBorder="1" applyAlignment="1">
      <alignment horizontal="center" vertical="center" wrapText="1"/>
    </xf>
    <xf numFmtId="3" fontId="169" fillId="14" borderId="0" xfId="0" applyNumberFormat="1" applyFont="1" applyFill="1" applyAlignment="1">
      <alignment horizontal="right"/>
    </xf>
    <xf numFmtId="0" fontId="64" fillId="0" borderId="0" xfId="0" applyFont="1"/>
    <xf numFmtId="170" fontId="78" fillId="0" borderId="0" xfId="0" applyNumberFormat="1" applyFont="1"/>
    <xf numFmtId="0" fontId="78" fillId="0" borderId="0" xfId="0" applyFont="1"/>
    <xf numFmtId="3" fontId="59" fillId="0" borderId="126" xfId="1" applyNumberFormat="1" applyFont="1" applyFill="1" applyBorder="1" applyAlignment="1" applyProtection="1">
      <alignment horizontal="right"/>
    </xf>
    <xf numFmtId="1" fontId="78" fillId="0" borderId="97" xfId="2" applyNumberFormat="1" applyFont="1" applyFill="1" applyBorder="1" applyAlignment="1">
      <alignment horizontal="right"/>
    </xf>
    <xf numFmtId="41" fontId="78" fillId="0" borderId="97" xfId="51" applyFont="1" applyFill="1" applyBorder="1" applyAlignment="1">
      <alignment horizontal="right"/>
    </xf>
    <xf numFmtId="0" fontId="32" fillId="0" borderId="0" xfId="0" applyFont="1" applyAlignment="1">
      <alignment horizontal="left"/>
    </xf>
    <xf numFmtId="0" fontId="55" fillId="5" borderId="97" xfId="0" applyFont="1" applyFill="1" applyBorder="1"/>
    <xf numFmtId="0" fontId="7" fillId="5" borderId="97" xfId="0" applyFont="1" applyFill="1" applyBorder="1"/>
    <xf numFmtId="169" fontId="7" fillId="5" borderId="97" xfId="0" applyNumberFormat="1" applyFont="1" applyFill="1" applyBorder="1"/>
    <xf numFmtId="169" fontId="7" fillId="5" borderId="97" xfId="0" applyNumberFormat="1" applyFont="1" applyFill="1" applyBorder="1" applyAlignment="1">
      <alignment horizontal="right"/>
    </xf>
    <xf numFmtId="175" fontId="7" fillId="5" borderId="97" xfId="0" applyNumberFormat="1" applyFont="1" applyFill="1" applyBorder="1" applyAlignment="1">
      <alignment horizontal="right"/>
    </xf>
    <xf numFmtId="10" fontId="0" fillId="5" borderId="29" xfId="0" applyNumberFormat="1" applyFill="1" applyBorder="1"/>
    <xf numFmtId="169" fontId="7" fillId="24" borderId="0" xfId="0" applyNumberFormat="1" applyFont="1" applyFill="1" applyAlignment="1">
      <alignment horizontal="right"/>
    </xf>
    <xf numFmtId="0" fontId="7" fillId="13" borderId="0" xfId="0" applyFont="1" applyFill="1"/>
    <xf numFmtId="175" fontId="7" fillId="13" borderId="0" xfId="0" applyNumberFormat="1" applyFont="1" applyFill="1" applyAlignment="1">
      <alignment horizontal="right"/>
    </xf>
    <xf numFmtId="9" fontId="7" fillId="24" borderId="0" xfId="2" applyFont="1" applyFill="1" applyAlignment="1">
      <alignment horizontal="right"/>
    </xf>
    <xf numFmtId="0" fontId="22" fillId="13" borderId="0" xfId="0" applyFont="1" applyFill="1"/>
    <xf numFmtId="175" fontId="22" fillId="13" borderId="0" xfId="0" applyNumberFormat="1" applyFont="1" applyFill="1" applyAlignment="1">
      <alignment horizontal="right"/>
    </xf>
    <xf numFmtId="1" fontId="22" fillId="13" borderId="0" xfId="0" applyNumberFormat="1" applyFont="1" applyFill="1" applyAlignment="1">
      <alignment horizontal="right"/>
    </xf>
    <xf numFmtId="3" fontId="22" fillId="13" borderId="0" xfId="2" applyNumberFormat="1" applyFont="1" applyFill="1"/>
    <xf numFmtId="3" fontId="20" fillId="13" borderId="0" xfId="1" applyNumberFormat="1" applyFont="1" applyFill="1"/>
    <xf numFmtId="184" fontId="20" fillId="13" borderId="0" xfId="1" applyNumberFormat="1" applyFont="1" applyFill="1"/>
    <xf numFmtId="3" fontId="20" fillId="13" borderId="0" xfId="0" applyNumberFormat="1" applyFont="1" applyFill="1"/>
    <xf numFmtId="0" fontId="3" fillId="60" borderId="0" xfId="0" applyFont="1" applyFill="1"/>
    <xf numFmtId="0" fontId="95" fillId="13" borderId="0" xfId="0" applyFont="1" applyFill="1"/>
    <xf numFmtId="175" fontId="95" fillId="13" borderId="0" xfId="0" applyNumberFormat="1" applyFont="1" applyFill="1" applyAlignment="1">
      <alignment horizontal="right"/>
    </xf>
    <xf numFmtId="175" fontId="64" fillId="13" borderId="0" xfId="0" applyNumberFormat="1" applyFont="1" applyFill="1" applyAlignment="1">
      <alignment horizontal="right"/>
    </xf>
    <xf numFmtId="175" fontId="64" fillId="24" borderId="0" xfId="0" applyNumberFormat="1" applyFont="1" applyFill="1" applyAlignment="1">
      <alignment horizontal="right"/>
    </xf>
    <xf numFmtId="1" fontId="64" fillId="24" borderId="0" xfId="0" applyNumberFormat="1" applyFont="1" applyFill="1" applyAlignment="1">
      <alignment horizontal="right"/>
    </xf>
    <xf numFmtId="1" fontId="64" fillId="13" borderId="0" xfId="0" applyNumberFormat="1" applyFont="1" applyFill="1" applyAlignment="1">
      <alignment horizontal="right"/>
    </xf>
    <xf numFmtId="9" fontId="62" fillId="13" borderId="0" xfId="2" applyFont="1" applyFill="1" applyAlignment="1">
      <alignment horizontal="right"/>
    </xf>
    <xf numFmtId="3" fontId="64" fillId="24" borderId="0" xfId="2" applyNumberFormat="1" applyFont="1" applyFill="1"/>
    <xf numFmtId="3" fontId="64" fillId="13" borderId="0" xfId="2" applyNumberFormat="1" applyFont="1" applyFill="1"/>
    <xf numFmtId="175" fontId="64" fillId="24" borderId="0" xfId="2" applyNumberFormat="1" applyFont="1" applyFill="1" applyAlignment="1">
      <alignment horizontal="right"/>
    </xf>
    <xf numFmtId="169" fontId="64" fillId="24" borderId="0" xfId="0" applyNumberFormat="1" applyFont="1" applyFill="1" applyAlignment="1">
      <alignment horizontal="right"/>
    </xf>
    <xf numFmtId="175" fontId="64" fillId="13" borderId="0" xfId="0" applyNumberFormat="1" applyFont="1" applyFill="1"/>
    <xf numFmtId="9" fontId="64" fillId="24" borderId="0" xfId="2" applyFont="1" applyFill="1" applyAlignment="1">
      <alignment horizontal="right"/>
    </xf>
    <xf numFmtId="175" fontId="78" fillId="0" borderId="0" xfId="2" applyNumberFormat="1" applyFont="1"/>
    <xf numFmtId="0" fontId="47" fillId="24" borderId="46" xfId="0" applyFont="1" applyFill="1" applyBorder="1" applyAlignment="1">
      <alignment horizontal="right" vertical="center"/>
    </xf>
    <xf numFmtId="0" fontId="10" fillId="24" borderId="46" xfId="0" applyFont="1" applyFill="1" applyBorder="1" applyAlignment="1">
      <alignment horizontal="right" vertical="center"/>
    </xf>
    <xf numFmtId="0" fontId="0" fillId="0" borderId="0" xfId="0" applyAlignment="1">
      <alignment vertical="center"/>
    </xf>
    <xf numFmtId="0" fontId="175" fillId="24" borderId="0" xfId="0" applyFont="1" applyFill="1" applyAlignment="1">
      <alignment horizontal="right" vertical="center"/>
    </xf>
    <xf numFmtId="0" fontId="6" fillId="24" borderId="0" xfId="0" applyFont="1" applyFill="1" applyAlignment="1">
      <alignment horizontal="right" vertical="center"/>
    </xf>
    <xf numFmtId="0" fontId="173" fillId="24" borderId="0" xfId="0" applyFont="1" applyFill="1" applyAlignment="1">
      <alignment horizontal="right" vertical="center"/>
    </xf>
    <xf numFmtId="0" fontId="17" fillId="24" borderId="0" xfId="0" applyFont="1" applyFill="1" applyAlignment="1">
      <alignment horizontal="right" vertical="center"/>
    </xf>
    <xf numFmtId="0" fontId="174" fillId="24" borderId="0" xfId="0" applyFont="1" applyFill="1" applyAlignment="1">
      <alignment horizontal="right" vertical="center" wrapText="1"/>
    </xf>
    <xf numFmtId="0" fontId="132" fillId="0" borderId="0" xfId="0" applyFont="1" applyAlignment="1">
      <alignment vertical="center"/>
    </xf>
    <xf numFmtId="0" fontId="172" fillId="0" borderId="0" xfId="0" applyFont="1" applyAlignment="1">
      <alignment vertical="center"/>
    </xf>
    <xf numFmtId="0" fontId="31" fillId="0" borderId="0" xfId="0" applyFont="1"/>
    <xf numFmtId="0" fontId="31" fillId="0" borderId="0" xfId="0" applyFont="1" applyAlignment="1">
      <alignment horizontal="right"/>
    </xf>
    <xf numFmtId="2" fontId="31" fillId="0" borderId="0" xfId="0" applyNumberFormat="1" applyFont="1" applyAlignment="1">
      <alignment horizontal="right"/>
    </xf>
    <xf numFmtId="2" fontId="31" fillId="0" borderId="0" xfId="0" applyNumberFormat="1" applyFont="1"/>
    <xf numFmtId="0" fontId="32" fillId="0" borderId="98" xfId="0" applyFont="1" applyBorder="1"/>
    <xf numFmtId="0" fontId="177" fillId="15" borderId="98" xfId="0" applyFont="1" applyFill="1" applyBorder="1"/>
    <xf numFmtId="0" fontId="59" fillId="0" borderId="98" xfId="0" applyFont="1" applyBorder="1"/>
    <xf numFmtId="0" fontId="78" fillId="0" borderId="98" xfId="0" applyFont="1" applyBorder="1"/>
    <xf numFmtId="0" fontId="78" fillId="0" borderId="72" xfId="0" applyFont="1" applyBorder="1"/>
    <xf numFmtId="0" fontId="31" fillId="22" borderId="0" xfId="0" applyFont="1" applyFill="1" applyAlignment="1">
      <alignment horizontal="right"/>
    </xf>
    <xf numFmtId="169" fontId="31" fillId="22" borderId="0" xfId="0" applyNumberFormat="1" applyFont="1" applyFill="1" applyAlignment="1">
      <alignment horizontal="right"/>
    </xf>
    <xf numFmtId="169" fontId="30" fillId="22" borderId="0" xfId="0" applyNumberFormat="1" applyFont="1" applyFill="1" applyAlignment="1">
      <alignment horizontal="right"/>
    </xf>
    <xf numFmtId="2" fontId="30" fillId="22" borderId="0" xfId="0" applyNumberFormat="1" applyFont="1" applyFill="1" applyAlignment="1">
      <alignment horizontal="right"/>
    </xf>
    <xf numFmtId="1" fontId="31" fillId="22" borderId="0" xfId="0" applyNumberFormat="1" applyFont="1" applyFill="1" applyAlignment="1">
      <alignment horizontal="right"/>
    </xf>
    <xf numFmtId="1" fontId="31" fillId="14" borderId="52" xfId="0" applyNumberFormat="1" applyFont="1" applyFill="1" applyBorder="1" applyAlignment="1">
      <alignment horizontal="right"/>
    </xf>
    <xf numFmtId="2" fontId="31" fillId="22" borderId="54" xfId="0" applyNumberFormat="1" applyFont="1" applyFill="1" applyBorder="1" applyAlignment="1">
      <alignment horizontal="right"/>
    </xf>
    <xf numFmtId="0" fontId="31" fillId="22" borderId="54" xfId="0" applyFont="1" applyFill="1" applyBorder="1" applyAlignment="1">
      <alignment horizontal="right"/>
    </xf>
    <xf numFmtId="0" fontId="12" fillId="0" borderId="0" xfId="0" applyFont="1" applyAlignment="1">
      <alignment horizontal="right"/>
    </xf>
    <xf numFmtId="0" fontId="110" fillId="0" borderId="98" xfId="0" applyFont="1" applyBorder="1"/>
    <xf numFmtId="37" fontId="62" fillId="13" borderId="29" xfId="0" applyNumberFormat="1" applyFont="1" applyFill="1" applyBorder="1" applyAlignment="1">
      <alignment horizontal="right"/>
    </xf>
    <xf numFmtId="9" fontId="78" fillId="0" borderId="0" xfId="2" applyFont="1"/>
    <xf numFmtId="3" fontId="64" fillId="0" borderId="29" xfId="0" applyNumberFormat="1" applyFont="1" applyBorder="1" applyAlignment="1">
      <alignment horizontal="right"/>
    </xf>
    <xf numFmtId="3" fontId="64" fillId="0" borderId="97" xfId="2" applyNumberFormat="1" applyFont="1" applyFill="1" applyBorder="1" applyAlignment="1">
      <alignment horizontal="right"/>
    </xf>
    <xf numFmtId="0" fontId="59" fillId="0" borderId="28" xfId="0" applyFont="1" applyBorder="1"/>
    <xf numFmtId="184" fontId="59" fillId="0" borderId="97" xfId="1" applyNumberFormat="1" applyFont="1" applyFill="1" applyBorder="1" applyAlignment="1" applyProtection="1">
      <alignment horizontal="right"/>
    </xf>
    <xf numFmtId="184" fontId="37" fillId="0" borderId="97" xfId="1" applyNumberFormat="1" applyFont="1" applyFill="1" applyBorder="1" applyAlignment="1" applyProtection="1">
      <alignment horizontal="right"/>
    </xf>
    <xf numFmtId="3" fontId="55" fillId="0" borderId="126" xfId="2" applyNumberFormat="1" applyFont="1" applyFill="1" applyBorder="1" applyAlignment="1">
      <alignment horizontal="right"/>
    </xf>
    <xf numFmtId="3" fontId="2" fillId="0" borderId="29" xfId="2" applyNumberFormat="1" applyFont="1" applyFill="1" applyBorder="1" applyAlignment="1">
      <alignment horizontal="right"/>
    </xf>
    <xf numFmtId="3" fontId="37" fillId="0" borderId="126" xfId="2" applyNumberFormat="1" applyFont="1" applyFill="1" applyBorder="1" applyAlignment="1">
      <alignment horizontal="right"/>
    </xf>
    <xf numFmtId="2" fontId="37" fillId="0" borderId="126" xfId="2" applyNumberFormat="1" applyFont="1" applyFill="1" applyBorder="1" applyAlignment="1">
      <alignment horizontal="right"/>
    </xf>
    <xf numFmtId="175" fontId="42" fillId="0" borderId="0" xfId="2" applyNumberFormat="1" applyFont="1"/>
    <xf numFmtId="184" fontId="64" fillId="55" borderId="29" xfId="0" applyNumberFormat="1" applyFont="1" applyFill="1" applyBorder="1" applyAlignment="1">
      <alignment horizontal="right"/>
    </xf>
    <xf numFmtId="3" fontId="64" fillId="0" borderId="29" xfId="2" applyNumberFormat="1" applyFont="1" applyFill="1" applyBorder="1" applyAlignment="1" applyProtection="1">
      <alignment horizontal="right"/>
    </xf>
    <xf numFmtId="3" fontId="64" fillId="13" borderId="97" xfId="2" applyNumberFormat="1" applyFont="1" applyFill="1" applyBorder="1" applyAlignment="1" applyProtection="1">
      <alignment horizontal="right"/>
    </xf>
    <xf numFmtId="3" fontId="64" fillId="13" borderId="29" xfId="2" applyNumberFormat="1" applyFont="1" applyFill="1" applyBorder="1" applyAlignment="1" applyProtection="1">
      <alignment horizontal="right"/>
    </xf>
    <xf numFmtId="3" fontId="64" fillId="0" borderId="60" xfId="2" applyNumberFormat="1" applyFont="1" applyFill="1" applyBorder="1" applyAlignment="1" applyProtection="1">
      <alignment horizontal="right"/>
    </xf>
    <xf numFmtId="3" fontId="64" fillId="13" borderId="60" xfId="2" applyNumberFormat="1" applyFont="1" applyFill="1" applyBorder="1" applyAlignment="1" applyProtection="1">
      <alignment horizontal="right"/>
    </xf>
    <xf numFmtId="169" fontId="67" fillId="13" borderId="29" xfId="0" applyNumberFormat="1" applyFont="1" applyFill="1" applyBorder="1" applyAlignment="1">
      <alignment horizontal="right"/>
    </xf>
    <xf numFmtId="3" fontId="62" fillId="0" borderId="39" xfId="2" applyNumberFormat="1" applyFont="1" applyFill="1" applyBorder="1" applyAlignment="1" applyProtection="1">
      <alignment horizontal="right"/>
    </xf>
    <xf numFmtId="3" fontId="62" fillId="0" borderId="29" xfId="2" applyNumberFormat="1" applyFont="1" applyFill="1" applyBorder="1" applyAlignment="1" applyProtection="1">
      <alignment horizontal="right"/>
    </xf>
    <xf numFmtId="3" fontId="62" fillId="13" borderId="97" xfId="2" applyNumberFormat="1" applyFont="1" applyFill="1" applyBorder="1" applyAlignment="1" applyProtection="1">
      <alignment horizontal="right"/>
    </xf>
    <xf numFmtId="3" fontId="62" fillId="13" borderId="29" xfId="2" applyNumberFormat="1" applyFont="1" applyFill="1" applyBorder="1" applyAlignment="1" applyProtection="1">
      <alignment horizontal="right"/>
    </xf>
    <xf numFmtId="2" fontId="55" fillId="0" borderId="97" xfId="0" applyNumberFormat="1" applyFont="1" applyBorder="1" applyAlignment="1">
      <alignment horizontal="right"/>
    </xf>
    <xf numFmtId="2" fontId="55" fillId="0" borderId="29" xfId="0" applyNumberFormat="1" applyFont="1" applyBorder="1" applyAlignment="1">
      <alignment horizontal="right"/>
    </xf>
    <xf numFmtId="2" fontId="55" fillId="0" borderId="126" xfId="0" applyNumberFormat="1" applyFont="1" applyBorder="1" applyAlignment="1">
      <alignment horizontal="right"/>
    </xf>
    <xf numFmtId="0" fontId="78" fillId="11" borderId="0" xfId="0" applyFont="1" applyFill="1"/>
    <xf numFmtId="175" fontId="64" fillId="24" borderId="0" xfId="2" applyNumberFormat="1" applyFont="1" applyFill="1"/>
    <xf numFmtId="0" fontId="78" fillId="13" borderId="0" xfId="0" applyFont="1" applyFill="1"/>
    <xf numFmtId="0" fontId="178" fillId="13" borderId="77" xfId="0" applyFont="1" applyFill="1" applyBorder="1"/>
    <xf numFmtId="175" fontId="78" fillId="0" borderId="0" xfId="0" applyNumberFormat="1" applyFont="1"/>
    <xf numFmtId="184" fontId="20" fillId="61" borderId="0" xfId="1" applyNumberFormat="1" applyFont="1" applyFill="1"/>
    <xf numFmtId="9" fontId="3" fillId="0" borderId="3" xfId="0" applyNumberFormat="1" applyFont="1" applyBorder="1" applyAlignment="1">
      <alignment horizontal="right"/>
    </xf>
    <xf numFmtId="175" fontId="3" fillId="0" borderId="3" xfId="0" applyNumberFormat="1" applyFont="1" applyBorder="1" applyAlignment="1">
      <alignment horizontal="right"/>
    </xf>
    <xf numFmtId="1" fontId="36" fillId="23" borderId="124" xfId="0" applyNumberFormat="1" applyFont="1" applyFill="1" applyBorder="1"/>
    <xf numFmtId="169" fontId="80" fillId="13" borderId="0" xfId="0" applyNumberFormat="1" applyFont="1" applyFill="1" applyAlignment="1">
      <alignment horizontal="right"/>
    </xf>
    <xf numFmtId="0" fontId="44" fillId="13" borderId="0" xfId="0" applyFont="1" applyFill="1" applyAlignment="1">
      <alignment horizontal="left"/>
    </xf>
    <xf numFmtId="0" fontId="44" fillId="13" borderId="0" xfId="0" applyFont="1" applyFill="1"/>
    <xf numFmtId="0" fontId="5" fillId="13" borderId="0" xfId="0" applyFont="1" applyFill="1"/>
    <xf numFmtId="41" fontId="44" fillId="0" borderId="0" xfId="51" applyFont="1"/>
    <xf numFmtId="175" fontId="44" fillId="0" borderId="0" xfId="2" applyNumberFormat="1" applyFont="1"/>
    <xf numFmtId="0" fontId="74" fillId="0" borderId="124" xfId="0" applyFont="1" applyBorder="1"/>
    <xf numFmtId="0" fontId="110" fillId="0" borderId="0" xfId="0" applyFont="1"/>
    <xf numFmtId="9" fontId="110" fillId="0" borderId="0" xfId="2" applyFont="1"/>
    <xf numFmtId="175" fontId="62" fillId="11" borderId="34" xfId="2" applyNumberFormat="1" applyFont="1" applyFill="1" applyBorder="1" applyAlignment="1">
      <alignment horizontal="right" vertical="justify"/>
    </xf>
    <xf numFmtId="175" fontId="62" fillId="11" borderId="35" xfId="2" applyNumberFormat="1" applyFont="1" applyFill="1" applyBorder="1" applyAlignment="1">
      <alignment horizontal="right" vertical="justify"/>
    </xf>
    <xf numFmtId="175" fontId="62" fillId="11" borderId="41" xfId="2" applyNumberFormat="1" applyFont="1" applyFill="1" applyBorder="1" applyAlignment="1">
      <alignment horizontal="right" vertical="justify"/>
    </xf>
    <xf numFmtId="168" fontId="162" fillId="0" borderId="3" xfId="0" applyNumberFormat="1" applyFont="1" applyBorder="1" applyAlignment="1">
      <alignment horizontal="right"/>
    </xf>
    <xf numFmtId="41" fontId="67" fillId="0" borderId="3" xfId="51" applyFont="1" applyFill="1" applyBorder="1" applyAlignment="1" applyProtection="1">
      <alignment horizontal="right"/>
    </xf>
    <xf numFmtId="9" fontId="67" fillId="0" borderId="3" xfId="2" applyFont="1" applyFill="1" applyBorder="1" applyAlignment="1" applyProtection="1">
      <alignment horizontal="right"/>
    </xf>
    <xf numFmtId="2" fontId="180" fillId="11" borderId="2" xfId="0" applyNumberFormat="1" applyFont="1" applyFill="1" applyBorder="1" applyAlignment="1">
      <alignment horizontal="left"/>
    </xf>
    <xf numFmtId="3" fontId="181" fillId="0" borderId="3" xfId="0" applyNumberFormat="1" applyFont="1" applyBorder="1" applyAlignment="1">
      <alignment horizontal="right"/>
    </xf>
    <xf numFmtId="168" fontId="182" fillId="13" borderId="3" xfId="0" applyNumberFormat="1" applyFont="1" applyFill="1" applyBorder="1" applyAlignment="1">
      <alignment horizontal="right"/>
    </xf>
    <xf numFmtId="175" fontId="10" fillId="0" borderId="28" xfId="2" applyNumberFormat="1" applyFont="1" applyFill="1" applyBorder="1" applyAlignment="1" applyProtection="1">
      <alignment horizontal="right"/>
    </xf>
    <xf numFmtId="3" fontId="67" fillId="0" borderId="3" xfId="0" applyNumberFormat="1" applyFont="1" applyBorder="1"/>
    <xf numFmtId="9" fontId="184" fillId="0" borderId="28" xfId="0" applyNumberFormat="1" applyFont="1" applyBorder="1" applyAlignment="1">
      <alignment horizontal="right"/>
    </xf>
    <xf numFmtId="37" fontId="167" fillId="0" borderId="97" xfId="0" applyNumberFormat="1" applyFont="1" applyBorder="1" applyAlignment="1">
      <alignment horizontal="right"/>
    </xf>
    <xf numFmtId="3" fontId="167" fillId="0" borderId="97" xfId="0" applyNumberFormat="1" applyFont="1" applyBorder="1"/>
    <xf numFmtId="37" fontId="10" fillId="11" borderId="2" xfId="0" applyNumberFormat="1" applyFont="1" applyFill="1" applyBorder="1"/>
    <xf numFmtId="9" fontId="154" fillId="28" borderId="2" xfId="2" quotePrefix="1" applyFont="1" applyFill="1" applyBorder="1" applyAlignment="1">
      <alignment horizontal="left"/>
    </xf>
    <xf numFmtId="3" fontId="165" fillId="11" borderId="2" xfId="0" quotePrefix="1" applyNumberFormat="1" applyFont="1" applyFill="1" applyBorder="1" applyAlignment="1">
      <alignment horizontal="left"/>
    </xf>
    <xf numFmtId="175" fontId="62" fillId="11" borderId="35" xfId="0" applyNumberFormat="1" applyFont="1" applyFill="1" applyBorder="1" applyAlignment="1">
      <alignment horizontal="right"/>
    </xf>
    <xf numFmtId="37" fontId="110" fillId="13" borderId="34" xfId="0" applyNumberFormat="1" applyFont="1" applyFill="1" applyBorder="1" applyAlignment="1">
      <alignment horizontal="right"/>
    </xf>
    <xf numFmtId="4" fontId="132" fillId="11" borderId="34" xfId="0" applyNumberFormat="1" applyFont="1" applyFill="1" applyBorder="1" applyAlignment="1">
      <alignment horizontal="right"/>
    </xf>
    <xf numFmtId="4" fontId="10" fillId="11" borderId="35" xfId="0" applyNumberFormat="1" applyFont="1" applyFill="1" applyBorder="1" applyAlignment="1">
      <alignment horizontal="right"/>
    </xf>
    <xf numFmtId="4" fontId="10" fillId="11" borderId="36" xfId="0" applyNumberFormat="1" applyFont="1" applyFill="1" applyBorder="1" applyAlignment="1">
      <alignment horizontal="right"/>
    </xf>
    <xf numFmtId="9" fontId="42" fillId="11" borderId="34" xfId="2" applyFont="1" applyFill="1" applyBorder="1" applyAlignment="1" applyProtection="1">
      <alignment horizontal="right"/>
    </xf>
    <xf numFmtId="9" fontId="7" fillId="11" borderId="34" xfId="2" applyFont="1" applyFill="1" applyBorder="1" applyAlignment="1" applyProtection="1">
      <alignment horizontal="right"/>
    </xf>
    <xf numFmtId="9" fontId="7" fillId="11" borderId="41" xfId="2" applyFont="1" applyFill="1" applyBorder="1" applyAlignment="1" applyProtection="1">
      <alignment horizontal="right"/>
    </xf>
    <xf numFmtId="9" fontId="7" fillId="11" borderId="35" xfId="2" applyFont="1" applyFill="1" applyBorder="1" applyAlignment="1" applyProtection="1">
      <alignment horizontal="right"/>
    </xf>
    <xf numFmtId="9" fontId="7" fillId="11" borderId="36" xfId="2" applyFont="1" applyFill="1" applyBorder="1" applyAlignment="1" applyProtection="1">
      <alignment horizontal="right"/>
    </xf>
    <xf numFmtId="43" fontId="62" fillId="11" borderId="2" xfId="1" applyFont="1" applyFill="1" applyBorder="1" applyAlignment="1">
      <alignment horizontal="right"/>
    </xf>
    <xf numFmtId="9" fontId="10" fillId="11" borderId="34" xfId="1" applyNumberFormat="1" applyFont="1" applyFill="1" applyBorder="1" applyAlignment="1">
      <alignment horizontal="right"/>
    </xf>
    <xf numFmtId="43" fontId="10" fillId="11" borderId="41" xfId="1" applyFont="1" applyFill="1" applyBorder="1" applyAlignment="1">
      <alignment horizontal="right"/>
    </xf>
    <xf numFmtId="43" fontId="10" fillId="11" borderId="35" xfId="1" applyFont="1" applyFill="1" applyBorder="1" applyAlignment="1">
      <alignment horizontal="right"/>
    </xf>
    <xf numFmtId="43" fontId="10" fillId="11" borderId="36" xfId="1" applyFont="1" applyFill="1" applyBorder="1" applyAlignment="1">
      <alignment horizontal="right"/>
    </xf>
    <xf numFmtId="43" fontId="10" fillId="11" borderId="34" xfId="1" applyFont="1" applyFill="1" applyBorder="1" applyAlignment="1">
      <alignment horizontal="right"/>
    </xf>
    <xf numFmtId="43" fontId="10" fillId="11" borderId="26" xfId="1" applyFont="1" applyFill="1" applyBorder="1" applyAlignment="1">
      <alignment horizontal="right"/>
    </xf>
    <xf numFmtId="43" fontId="10" fillId="11" borderId="27" xfId="1" applyFont="1" applyFill="1" applyBorder="1" applyAlignment="1">
      <alignment horizontal="right"/>
    </xf>
    <xf numFmtId="37" fontId="10" fillId="11" borderId="5" xfId="0" applyNumberFormat="1" applyFont="1" applyFill="1" applyBorder="1" applyAlignment="1">
      <alignment horizontal="right"/>
    </xf>
    <xf numFmtId="175" fontId="10" fillId="11" borderId="26" xfId="2" applyNumberFormat="1" applyFont="1" applyFill="1" applyBorder="1" applyAlignment="1">
      <alignment horizontal="right" vertical="justify"/>
    </xf>
    <xf numFmtId="3" fontId="18" fillId="11" borderId="2" xfId="0" quotePrefix="1" applyNumberFormat="1" applyFont="1" applyFill="1" applyBorder="1" applyAlignment="1">
      <alignment horizontal="left"/>
    </xf>
    <xf numFmtId="3" fontId="18" fillId="11" borderId="6" xfId="0" quotePrefix="1" applyNumberFormat="1" applyFont="1" applyFill="1" applyBorder="1" applyAlignment="1">
      <alignment horizontal="left"/>
    </xf>
    <xf numFmtId="37" fontId="62" fillId="11" borderId="6" xfId="0" applyNumberFormat="1" applyFont="1" applyFill="1" applyBorder="1" applyAlignment="1">
      <alignment horizontal="right"/>
    </xf>
    <xf numFmtId="9" fontId="10" fillId="11" borderId="31" xfId="0" applyNumberFormat="1" applyFont="1" applyFill="1" applyBorder="1" applyAlignment="1">
      <alignment horizontal="right"/>
    </xf>
    <xf numFmtId="37" fontId="10" fillId="11" borderId="45" xfId="0" applyNumberFormat="1" applyFont="1" applyFill="1" applyBorder="1" applyAlignment="1">
      <alignment horizontal="right"/>
    </xf>
    <xf numFmtId="37" fontId="10" fillId="11" borderId="31" xfId="0" applyNumberFormat="1" applyFont="1" applyFill="1" applyBorder="1" applyAlignment="1">
      <alignment horizontal="right"/>
    </xf>
    <xf numFmtId="37" fontId="10" fillId="11" borderId="33" xfId="0" applyNumberFormat="1" applyFont="1" applyFill="1" applyBorder="1" applyAlignment="1">
      <alignment horizontal="right"/>
    </xf>
    <xf numFmtId="9" fontId="51" fillId="11" borderId="2" xfId="0" applyNumberFormat="1" applyFont="1" applyFill="1" applyBorder="1" applyAlignment="1">
      <alignment horizontal="left"/>
    </xf>
    <xf numFmtId="175" fontId="10" fillId="11" borderId="40" xfId="2" applyNumberFormat="1" applyFont="1" applyFill="1" applyBorder="1" applyAlignment="1">
      <alignment horizontal="right" vertical="justify"/>
    </xf>
    <xf numFmtId="167" fontId="7" fillId="11" borderId="6" xfId="0" applyNumberFormat="1" applyFont="1" applyFill="1" applyBorder="1" applyAlignment="1">
      <alignment horizontal="right"/>
    </xf>
    <xf numFmtId="37" fontId="54" fillId="11" borderId="33" xfId="0" applyNumberFormat="1" applyFont="1" applyFill="1" applyBorder="1" applyAlignment="1">
      <alignment horizontal="right"/>
    </xf>
    <xf numFmtId="37" fontId="46" fillId="11" borderId="32" xfId="0" applyNumberFormat="1" applyFont="1" applyFill="1" applyBorder="1" applyAlignment="1">
      <alignment horizontal="right"/>
    </xf>
    <xf numFmtId="175" fontId="10" fillId="11" borderId="31" xfId="2" applyNumberFormat="1" applyFont="1" applyFill="1" applyBorder="1" applyAlignment="1" applyProtection="1">
      <alignment horizontal="right"/>
    </xf>
    <xf numFmtId="0" fontId="7" fillId="11" borderId="2" xfId="2" applyNumberFormat="1" applyFont="1" applyFill="1" applyBorder="1" applyAlignment="1" applyProtection="1">
      <alignment horizontal="right"/>
    </xf>
    <xf numFmtId="37" fontId="104" fillId="28" borderId="34" xfId="0" applyNumberFormat="1" applyFont="1" applyFill="1" applyBorder="1" applyAlignment="1">
      <alignment horizontal="right"/>
    </xf>
    <xf numFmtId="37" fontId="104" fillId="28" borderId="35" xfId="0" applyNumberFormat="1" applyFont="1" applyFill="1" applyBorder="1" applyAlignment="1">
      <alignment horizontal="right"/>
    </xf>
    <xf numFmtId="37" fontId="104" fillId="28" borderId="23" xfId="0" applyNumberFormat="1" applyFont="1" applyFill="1" applyBorder="1" applyAlignment="1">
      <alignment horizontal="right"/>
    </xf>
    <xf numFmtId="37" fontId="62" fillId="11" borderId="34" xfId="0" applyNumberFormat="1" applyFont="1" applyFill="1" applyBorder="1" applyAlignment="1">
      <alignment horizontal="right"/>
    </xf>
    <xf numFmtId="167" fontId="7" fillId="11" borderId="2" xfId="0" applyNumberFormat="1" applyFont="1" applyFill="1" applyBorder="1" applyAlignment="1">
      <alignment horizontal="right"/>
    </xf>
    <xf numFmtId="167" fontId="39" fillId="0" borderId="11" xfId="0" applyNumberFormat="1" applyFont="1" applyBorder="1" applyAlignment="1">
      <alignment horizontal="left"/>
    </xf>
    <xf numFmtId="9" fontId="39" fillId="0" borderId="11" xfId="2" applyFont="1" applyFill="1" applyBorder="1" applyAlignment="1" applyProtection="1">
      <alignment horizontal="left"/>
    </xf>
    <xf numFmtId="3" fontId="19" fillId="0" borderId="5" xfId="0" quotePrefix="1" applyNumberFormat="1" applyFont="1" applyBorder="1" applyAlignment="1">
      <alignment horizontal="left"/>
    </xf>
    <xf numFmtId="2" fontId="7" fillId="11" borderId="2" xfId="0" applyNumberFormat="1" applyFont="1" applyFill="1" applyBorder="1" applyAlignment="1">
      <alignment horizontal="right"/>
    </xf>
    <xf numFmtId="2" fontId="7" fillId="11" borderId="34" xfId="0" applyNumberFormat="1" applyFont="1" applyFill="1" applyBorder="1" applyAlignment="1">
      <alignment horizontal="right"/>
    </xf>
    <xf numFmtId="2" fontId="7" fillId="11" borderId="41" xfId="0" applyNumberFormat="1" applyFont="1" applyFill="1" applyBorder="1" applyAlignment="1">
      <alignment horizontal="right"/>
    </xf>
    <xf numFmtId="2" fontId="7" fillId="11" borderId="35" xfId="0" applyNumberFormat="1" applyFont="1" applyFill="1" applyBorder="1" applyAlignment="1">
      <alignment horizontal="right"/>
    </xf>
    <xf numFmtId="2" fontId="7" fillId="11" borderId="23" xfId="0" applyNumberFormat="1" applyFont="1" applyFill="1" applyBorder="1" applyAlignment="1">
      <alignment horizontal="right"/>
    </xf>
    <xf numFmtId="2" fontId="7" fillId="11" borderId="36" xfId="0" applyNumberFormat="1" applyFont="1" applyFill="1" applyBorder="1" applyAlignment="1">
      <alignment horizontal="right"/>
    </xf>
    <xf numFmtId="167" fontId="10" fillId="11" borderId="2" xfId="0" applyNumberFormat="1" applyFont="1" applyFill="1" applyBorder="1" applyAlignment="1">
      <alignment horizontal="right"/>
    </xf>
    <xf numFmtId="167" fontId="10" fillId="11" borderId="34" xfId="0" applyNumberFormat="1" applyFont="1" applyFill="1" applyBorder="1" applyAlignment="1">
      <alignment horizontal="right"/>
    </xf>
    <xf numFmtId="167" fontId="10" fillId="11" borderId="1" xfId="0" applyNumberFormat="1" applyFont="1" applyFill="1" applyBorder="1" applyAlignment="1">
      <alignment horizontal="right"/>
    </xf>
    <xf numFmtId="167" fontId="10" fillId="11" borderId="40" xfId="0" applyNumberFormat="1" applyFont="1" applyFill="1" applyBorder="1" applyAlignment="1">
      <alignment horizontal="right"/>
    </xf>
    <xf numFmtId="167" fontId="10" fillId="11" borderId="36" xfId="0" applyNumberFormat="1" applyFont="1" applyFill="1" applyBorder="1" applyAlignment="1">
      <alignment horizontal="right"/>
    </xf>
    <xf numFmtId="37" fontId="179" fillId="28" borderId="35" xfId="0" applyNumberFormat="1" applyFont="1" applyFill="1" applyBorder="1" applyAlignment="1">
      <alignment horizontal="right"/>
    </xf>
    <xf numFmtId="0" fontId="78" fillId="0" borderId="0" xfId="0" applyFont="1" applyAlignment="1">
      <alignment horizontal="fill"/>
    </xf>
    <xf numFmtId="175" fontId="7" fillId="0" borderId="3" xfId="0" applyNumberFormat="1" applyFont="1" applyBorder="1" applyAlignment="1">
      <alignment horizontal="right"/>
    </xf>
    <xf numFmtId="175" fontId="0" fillId="0" borderId="6" xfId="0" applyNumberFormat="1" applyBorder="1" applyAlignment="1">
      <alignment horizontal="right"/>
    </xf>
    <xf numFmtId="9" fontId="0" fillId="5" borderId="39" xfId="2" applyFont="1" applyFill="1" applyBorder="1" applyAlignment="1">
      <alignment horizontal="right"/>
    </xf>
    <xf numFmtId="175" fontId="0" fillId="5" borderId="39" xfId="0" applyNumberFormat="1" applyFill="1" applyBorder="1" applyAlignment="1">
      <alignment horizontal="right"/>
    </xf>
    <xf numFmtId="169" fontId="64" fillId="5" borderId="60" xfId="0" applyNumberFormat="1" applyFont="1" applyFill="1" applyBorder="1" applyAlignment="1">
      <alignment horizontal="right"/>
    </xf>
    <xf numFmtId="0" fontId="78" fillId="0" borderId="0" xfId="0" applyFont="1" applyAlignment="1">
      <alignment horizontal="left"/>
    </xf>
    <xf numFmtId="0" fontId="78" fillId="0" borderId="0" xfId="0" quotePrefix="1" applyFont="1"/>
    <xf numFmtId="0" fontId="78" fillId="0" borderId="0" xfId="0" quotePrefix="1" applyFont="1" applyAlignment="1">
      <alignment horizontal="fill"/>
    </xf>
    <xf numFmtId="1" fontId="62" fillId="0" borderId="0" xfId="0" applyNumberFormat="1" applyFont="1" applyAlignment="1">
      <alignment horizontal="right"/>
    </xf>
    <xf numFmtId="0" fontId="178" fillId="0" borderId="0" xfId="0" applyFont="1"/>
    <xf numFmtId="2" fontId="78" fillId="30" borderId="0" xfId="0" applyNumberFormat="1" applyFont="1" applyFill="1"/>
    <xf numFmtId="2" fontId="64" fillId="5" borderId="60" xfId="0" applyNumberFormat="1" applyFont="1" applyFill="1" applyBorder="1" applyAlignment="1">
      <alignment horizontal="right"/>
    </xf>
    <xf numFmtId="9" fontId="185" fillId="5" borderId="60" xfId="0" applyNumberFormat="1" applyFont="1" applyFill="1" applyBorder="1" applyAlignment="1">
      <alignment horizontal="right"/>
    </xf>
    <xf numFmtId="184" fontId="110" fillId="0" borderId="97" xfId="1" applyNumberFormat="1" applyFont="1" applyFill="1" applyBorder="1" applyAlignment="1">
      <alignment horizontal="right"/>
    </xf>
    <xf numFmtId="41" fontId="78" fillId="0" borderId="29" xfId="51" applyFont="1" applyBorder="1" applyAlignment="1">
      <alignment horizontal="right"/>
    </xf>
    <xf numFmtId="41" fontId="78" fillId="0" borderId="29" xfId="51" applyFont="1" applyFill="1" applyBorder="1" applyAlignment="1">
      <alignment horizontal="right"/>
    </xf>
    <xf numFmtId="41" fontId="78" fillId="0" borderId="29" xfId="51" applyFont="1" applyFill="1" applyBorder="1" applyAlignment="1">
      <alignment horizontal="right" vertical="justify"/>
    </xf>
    <xf numFmtId="41" fontId="78" fillId="0" borderId="29" xfId="51" applyFont="1" applyFill="1" applyBorder="1" applyAlignment="1" applyProtection="1">
      <alignment horizontal="right"/>
    </xf>
    <xf numFmtId="41" fontId="110" fillId="0" borderId="97" xfId="51" applyFont="1" applyFill="1" applyBorder="1" applyAlignment="1">
      <alignment horizontal="right"/>
    </xf>
    <xf numFmtId="3" fontId="78" fillId="0" borderId="97" xfId="2" applyNumberFormat="1" applyFont="1" applyFill="1" applyBorder="1" applyAlignment="1">
      <alignment horizontal="right"/>
    </xf>
    <xf numFmtId="3" fontId="78" fillId="0" borderId="29" xfId="2" applyNumberFormat="1" applyFont="1" applyFill="1" applyBorder="1" applyAlignment="1" applyProtection="1">
      <alignment horizontal="right"/>
    </xf>
    <xf numFmtId="184" fontId="110" fillId="0" borderId="97" xfId="1" applyNumberFormat="1" applyFont="1" applyBorder="1" applyAlignment="1">
      <alignment horizontal="right"/>
    </xf>
    <xf numFmtId="3" fontId="78" fillId="0" borderId="29" xfId="1" applyNumberFormat="1" applyFont="1" applyFill="1" applyBorder="1" applyAlignment="1">
      <alignment horizontal="right"/>
    </xf>
    <xf numFmtId="3" fontId="78" fillId="0" borderId="126" xfId="1" applyNumberFormat="1" applyFont="1" applyFill="1" applyBorder="1" applyAlignment="1" applyProtection="1">
      <alignment horizontal="right"/>
    </xf>
    <xf numFmtId="9" fontId="144" fillId="0" borderId="0" xfId="8" applyNumberFormat="1" applyFont="1" applyFill="1" applyBorder="1" applyAlignment="1">
      <alignment horizontal="right"/>
    </xf>
    <xf numFmtId="1" fontId="85" fillId="23" borderId="0" xfId="0" applyNumberFormat="1" applyFont="1" applyFill="1" applyAlignment="1">
      <alignment horizontal="right"/>
    </xf>
    <xf numFmtId="169" fontId="85" fillId="23" borderId="97" xfId="0" applyNumberFormat="1" applyFont="1" applyFill="1" applyBorder="1" applyAlignment="1">
      <alignment horizontal="right"/>
    </xf>
    <xf numFmtId="175" fontId="37" fillId="55" borderId="0" xfId="0" applyNumberFormat="1" applyFont="1" applyFill="1" applyAlignment="1">
      <alignment horizontal="right"/>
    </xf>
    <xf numFmtId="1" fontId="0" fillId="55" borderId="72" xfId="0" applyNumberFormat="1" applyFill="1" applyBorder="1" applyAlignment="1">
      <alignment horizontal="left"/>
    </xf>
    <xf numFmtId="175" fontId="44" fillId="13" borderId="0" xfId="0" applyNumberFormat="1" applyFont="1" applyFill="1" applyAlignment="1">
      <alignment horizontal="right"/>
    </xf>
    <xf numFmtId="175" fontId="138" fillId="52" borderId="54" xfId="0" applyNumberFormat="1" applyFont="1" applyFill="1" applyBorder="1" applyAlignment="1">
      <alignment horizontal="right"/>
    </xf>
    <xf numFmtId="0" fontId="3" fillId="0" borderId="0" xfId="0" applyFont="1" applyAlignment="1">
      <alignment horizontal="right"/>
    </xf>
    <xf numFmtId="0" fontId="5" fillId="0" borderId="124" xfId="0" applyFont="1" applyBorder="1" applyAlignment="1">
      <alignment horizontal="right"/>
    </xf>
    <xf numFmtId="175" fontId="64" fillId="13" borderId="97" xfId="2" applyNumberFormat="1" applyFont="1" applyFill="1" applyBorder="1" applyAlignment="1">
      <alignment horizontal="right"/>
    </xf>
    <xf numFmtId="175" fontId="64" fillId="13" borderId="39" xfId="0" applyNumberFormat="1" applyFont="1" applyFill="1" applyBorder="1" applyAlignment="1">
      <alignment horizontal="right"/>
    </xf>
    <xf numFmtId="175" fontId="64" fillId="13" borderId="97" xfId="0" applyNumberFormat="1" applyFont="1" applyFill="1" applyBorder="1" applyAlignment="1">
      <alignment horizontal="right"/>
    </xf>
    <xf numFmtId="0" fontId="59" fillId="5" borderId="60" xfId="0" applyFont="1" applyFill="1" applyBorder="1" applyAlignment="1">
      <alignment horizontal="right"/>
    </xf>
    <xf numFmtId="0" fontId="59" fillId="5" borderId="97" xfId="0" applyFont="1" applyFill="1" applyBorder="1" applyAlignment="1">
      <alignment horizontal="right"/>
    </xf>
    <xf numFmtId="175" fontId="93" fillId="5" borderId="39" xfId="0" applyNumberFormat="1" applyFont="1" applyFill="1" applyBorder="1" applyAlignment="1">
      <alignment horizontal="right"/>
    </xf>
    <xf numFmtId="3" fontId="44" fillId="0" borderId="97" xfId="0" applyNumberFormat="1" applyFont="1" applyBorder="1" applyAlignment="1">
      <alignment horizontal="right"/>
    </xf>
    <xf numFmtId="0" fontId="7" fillId="0" borderId="6" xfId="0" applyFont="1" applyBorder="1" applyAlignment="1">
      <alignment horizontal="right"/>
    </xf>
    <xf numFmtId="9" fontId="0" fillId="0" borderId="0" xfId="2" applyFont="1" applyAlignment="1">
      <alignment horizontal="right"/>
    </xf>
    <xf numFmtId="175" fontId="0" fillId="11" borderId="0" xfId="2" applyNumberFormat="1" applyFont="1" applyFill="1" applyAlignment="1">
      <alignment horizontal="right"/>
    </xf>
    <xf numFmtId="9" fontId="37" fillId="13" borderId="60" xfId="0" applyNumberFormat="1" applyFont="1" applyFill="1" applyBorder="1" applyAlignment="1">
      <alignment horizontal="right"/>
    </xf>
    <xf numFmtId="1" fontId="55" fillId="5" borderId="39" xfId="0" applyNumberFormat="1" applyFont="1" applyFill="1" applyBorder="1" applyAlignment="1">
      <alignment horizontal="right"/>
    </xf>
    <xf numFmtId="1" fontId="37" fillId="5" borderId="39" xfId="0" applyNumberFormat="1" applyFont="1" applyFill="1" applyBorder="1" applyAlignment="1">
      <alignment horizontal="right"/>
    </xf>
    <xf numFmtId="175" fontId="59" fillId="55" borderId="19" xfId="0" applyNumberFormat="1" applyFont="1" applyFill="1" applyBorder="1" applyAlignment="1">
      <alignment horizontal="right"/>
    </xf>
    <xf numFmtId="169" fontId="5" fillId="0" borderId="82" xfId="0" applyNumberFormat="1" applyFont="1" applyBorder="1" applyAlignment="1">
      <alignment horizontal="right"/>
    </xf>
    <xf numFmtId="169" fontId="150" fillId="23" borderId="88" xfId="0" applyNumberFormat="1" applyFont="1" applyFill="1" applyBorder="1" applyAlignment="1">
      <alignment horizontal="right"/>
    </xf>
    <xf numFmtId="175" fontId="78" fillId="23" borderId="88" xfId="0" applyNumberFormat="1" applyFont="1" applyFill="1" applyBorder="1" applyAlignment="1">
      <alignment horizontal="right"/>
    </xf>
    <xf numFmtId="0" fontId="5" fillId="23" borderId="68" xfId="0" applyFont="1" applyFill="1" applyBorder="1" applyAlignment="1">
      <alignment horizontal="right"/>
    </xf>
    <xf numFmtId="9" fontId="5" fillId="0" borderId="0" xfId="2" applyFont="1" applyAlignment="1">
      <alignment horizontal="right"/>
    </xf>
    <xf numFmtId="169" fontId="78" fillId="30" borderId="0" xfId="0" applyNumberFormat="1" applyFont="1" applyFill="1" applyAlignment="1">
      <alignment horizontal="right"/>
    </xf>
    <xf numFmtId="0" fontId="44" fillId="48" borderId="48" xfId="0" applyFont="1" applyFill="1" applyBorder="1" applyAlignment="1">
      <alignment horizontal="right"/>
    </xf>
    <xf numFmtId="1" fontId="37" fillId="48" borderId="48" xfId="0" applyNumberFormat="1" applyFont="1" applyFill="1" applyBorder="1" applyAlignment="1">
      <alignment horizontal="right"/>
    </xf>
    <xf numFmtId="175" fontId="44" fillId="48" borderId="48" xfId="0" applyNumberFormat="1" applyFont="1" applyFill="1" applyBorder="1" applyAlignment="1">
      <alignment horizontal="right"/>
    </xf>
    <xf numFmtId="175" fontId="79" fillId="48" borderId="48" xfId="0" applyNumberFormat="1" applyFont="1" applyFill="1" applyBorder="1" applyAlignment="1">
      <alignment horizontal="right"/>
    </xf>
    <xf numFmtId="169" fontId="15" fillId="48" borderId="48" xfId="0" applyNumberFormat="1" applyFont="1" applyFill="1" applyBorder="1" applyAlignment="1">
      <alignment horizontal="right"/>
    </xf>
    <xf numFmtId="175" fontId="98" fillId="48" borderId="48" xfId="0" applyNumberFormat="1" applyFont="1" applyFill="1" applyBorder="1" applyAlignment="1">
      <alignment horizontal="right"/>
    </xf>
    <xf numFmtId="3" fontId="37" fillId="48" borderId="48" xfId="0" applyNumberFormat="1" applyFont="1" applyFill="1" applyBorder="1" applyAlignment="1">
      <alignment horizontal="right"/>
    </xf>
    <xf numFmtId="1" fontId="5" fillId="0" borderId="0" xfId="0" applyNumberFormat="1" applyFont="1" applyAlignment="1">
      <alignment horizontal="right"/>
    </xf>
    <xf numFmtId="9" fontId="74" fillId="0" borderId="0" xfId="0" applyNumberFormat="1" applyFont="1" applyAlignment="1">
      <alignment horizontal="right"/>
    </xf>
    <xf numFmtId="0" fontId="15" fillId="53" borderId="0" xfId="0" applyFont="1" applyFill="1" applyAlignment="1">
      <alignment horizontal="right"/>
    </xf>
    <xf numFmtId="175" fontId="15" fillId="53" borderId="0" xfId="0" applyNumberFormat="1" applyFont="1" applyFill="1" applyAlignment="1">
      <alignment horizontal="right"/>
    </xf>
    <xf numFmtId="175" fontId="78" fillId="0" borderId="0" xfId="2" applyNumberFormat="1" applyFont="1" applyAlignment="1">
      <alignment horizontal="right"/>
    </xf>
    <xf numFmtId="41" fontId="44" fillId="0" borderId="0" xfId="51" applyFont="1" applyAlignment="1">
      <alignment horizontal="right"/>
    </xf>
    <xf numFmtId="175" fontId="78" fillId="0" borderId="0" xfId="0" applyNumberFormat="1" applyFont="1" applyAlignment="1">
      <alignment horizontal="right"/>
    </xf>
    <xf numFmtId="175" fontId="44" fillId="0" borderId="0" xfId="2" applyNumberFormat="1" applyFont="1" applyAlignment="1">
      <alignment horizontal="right"/>
    </xf>
    <xf numFmtId="175" fontId="64" fillId="0" borderId="0" xfId="2" applyNumberFormat="1" applyFont="1"/>
    <xf numFmtId="0" fontId="190" fillId="0" borderId="0" xfId="0" applyFont="1"/>
    <xf numFmtId="0" fontId="191" fillId="0" borderId="0" xfId="0" applyFont="1"/>
    <xf numFmtId="0" fontId="193" fillId="34" borderId="0" xfId="0" applyFont="1" applyFill="1"/>
    <xf numFmtId="0" fontId="192" fillId="0" borderId="0" xfId="0" applyFont="1" applyAlignment="1">
      <alignment horizontal="left" indent="1"/>
    </xf>
    <xf numFmtId="0" fontId="111" fillId="0" borderId="0" xfId="0" applyFont="1"/>
    <xf numFmtId="2" fontId="196" fillId="0" borderId="0" xfId="0" applyNumberFormat="1" applyFont="1"/>
    <xf numFmtId="2" fontId="192" fillId="0" borderId="0" xfId="0" applyNumberFormat="1" applyFont="1"/>
    <xf numFmtId="175" fontId="197" fillId="0" borderId="0" xfId="2" applyNumberFormat="1" applyFont="1"/>
    <xf numFmtId="0" fontId="78" fillId="49" borderId="127" xfId="0" applyFont="1" applyFill="1" applyBorder="1"/>
    <xf numFmtId="169" fontId="84" fillId="49" borderId="0" xfId="0" applyNumberFormat="1" applyFont="1" applyFill="1"/>
    <xf numFmtId="169" fontId="44" fillId="49" borderId="0" xfId="0" applyNumberFormat="1" applyFont="1" applyFill="1"/>
    <xf numFmtId="169" fontId="74" fillId="49" borderId="0" xfId="0" applyNumberFormat="1" applyFont="1" applyFill="1"/>
    <xf numFmtId="175" fontId="200" fillId="49" borderId="0" xfId="0" applyNumberFormat="1" applyFont="1" applyFill="1"/>
    <xf numFmtId="169" fontId="84" fillId="49" borderId="39" xfId="0" applyNumberFormat="1" applyFont="1" applyFill="1" applyBorder="1"/>
    <xf numFmtId="0" fontId="74" fillId="0" borderId="131" xfId="0" applyFont="1" applyBorder="1"/>
    <xf numFmtId="41" fontId="44" fillId="0" borderId="39" xfId="51" applyFont="1" applyBorder="1"/>
    <xf numFmtId="175" fontId="78" fillId="0" borderId="39" xfId="2" applyNumberFormat="1" applyFont="1" applyBorder="1"/>
    <xf numFmtId="175" fontId="78" fillId="0" borderId="39" xfId="0" applyNumberFormat="1" applyFont="1" applyBorder="1"/>
    <xf numFmtId="175" fontId="197" fillId="0" borderId="39" xfId="2" applyNumberFormat="1" applyFont="1" applyBorder="1"/>
    <xf numFmtId="175" fontId="44" fillId="0" borderId="39" xfId="0" applyNumberFormat="1" applyFont="1" applyBorder="1"/>
    <xf numFmtId="175" fontId="44" fillId="62" borderId="0" xfId="0" applyNumberFormat="1" applyFont="1" applyFill="1"/>
    <xf numFmtId="175" fontId="141" fillId="62" borderId="0" xfId="0" applyNumberFormat="1" applyFont="1" applyFill="1"/>
    <xf numFmtId="175" fontId="44" fillId="50" borderId="0" xfId="0" applyNumberFormat="1" applyFont="1" applyFill="1"/>
    <xf numFmtId="175" fontId="44" fillId="50" borderId="39" xfId="0" applyNumberFormat="1" applyFont="1" applyFill="1" applyBorder="1"/>
    <xf numFmtId="175" fontId="44" fillId="50" borderId="0" xfId="0" applyNumberFormat="1" applyFont="1" applyFill="1" applyAlignment="1">
      <alignment horizontal="right"/>
    </xf>
    <xf numFmtId="175" fontId="197" fillId="50" borderId="0" xfId="0" applyNumberFormat="1" applyFont="1" applyFill="1"/>
    <xf numFmtId="175" fontId="59" fillId="34" borderId="0" xfId="0" applyNumberFormat="1" applyFont="1" applyFill="1"/>
    <xf numFmtId="0" fontId="0" fillId="26" borderId="0" xfId="0" applyFill="1"/>
    <xf numFmtId="169" fontId="199" fillId="26" borderId="0" xfId="0" applyNumberFormat="1" applyFont="1" applyFill="1"/>
    <xf numFmtId="2" fontId="202" fillId="34" borderId="0" xfId="0" applyNumberFormat="1" applyFont="1" applyFill="1"/>
    <xf numFmtId="2" fontId="36" fillId="34" borderId="0" xfId="0" applyNumberFormat="1" applyFont="1" applyFill="1"/>
    <xf numFmtId="175" fontId="204" fillId="34" borderId="0" xfId="0" applyNumberFormat="1" applyFont="1" applyFill="1"/>
    <xf numFmtId="175" fontId="205" fillId="34" borderId="0" xfId="0" applyNumberFormat="1" applyFont="1" applyFill="1"/>
    <xf numFmtId="0" fontId="110" fillId="49" borderId="130" xfId="0" applyFont="1" applyFill="1" applyBorder="1" applyAlignment="1">
      <alignment horizontal="right"/>
    </xf>
    <xf numFmtId="0" fontId="78" fillId="0" borderId="0" xfId="0" applyFont="1" applyAlignment="1">
      <alignment horizontal="right"/>
    </xf>
    <xf numFmtId="0" fontId="208" fillId="52" borderId="50" xfId="0" applyFont="1" applyFill="1" applyBorder="1" applyAlignment="1">
      <alignment horizontal="right"/>
    </xf>
    <xf numFmtId="0" fontId="208" fillId="52" borderId="51" xfId="0" applyFont="1" applyFill="1" applyBorder="1" applyAlignment="1">
      <alignment horizontal="right"/>
    </xf>
    <xf numFmtId="0" fontId="177" fillId="52" borderId="0" xfId="0" applyFont="1" applyFill="1" applyAlignment="1">
      <alignment horizontal="right"/>
    </xf>
    <xf numFmtId="169" fontId="60" fillId="22" borderId="0" xfId="0" applyNumberFormat="1" applyFont="1" applyFill="1" applyAlignment="1">
      <alignment horizontal="right"/>
    </xf>
    <xf numFmtId="1" fontId="60" fillId="22" borderId="0" xfId="0" applyNumberFormat="1" applyFont="1" applyFill="1" applyAlignment="1">
      <alignment horizontal="right"/>
    </xf>
    <xf numFmtId="0" fontId="60" fillId="22" borderId="54" xfId="0" applyFont="1" applyFill="1" applyBorder="1" applyAlignment="1">
      <alignment horizontal="right"/>
    </xf>
    <xf numFmtId="0" fontId="67" fillId="0" borderId="39" xfId="0" applyFont="1" applyBorder="1" applyAlignment="1">
      <alignment horizontal="right"/>
    </xf>
    <xf numFmtId="0" fontId="110" fillId="0" borderId="70" xfId="0" applyFont="1" applyBorder="1" applyAlignment="1">
      <alignment horizontal="right"/>
    </xf>
    <xf numFmtId="175" fontId="64" fillId="0" borderId="73" xfId="0" applyNumberFormat="1" applyFont="1" applyBorder="1" applyAlignment="1">
      <alignment horizontal="right"/>
    </xf>
    <xf numFmtId="2" fontId="64" fillId="0" borderId="76" xfId="0" applyNumberFormat="1" applyFont="1" applyBorder="1" applyAlignment="1">
      <alignment horizontal="right"/>
    </xf>
    <xf numFmtId="0" fontId="64" fillId="5" borderId="39" xfId="0" applyFont="1" applyFill="1" applyBorder="1" applyAlignment="1">
      <alignment horizontal="right"/>
    </xf>
    <xf numFmtId="9" fontId="64" fillId="5" borderId="97" xfId="2" applyFont="1" applyFill="1" applyBorder="1" applyAlignment="1">
      <alignment horizontal="right"/>
    </xf>
    <xf numFmtId="175" fontId="64" fillId="5" borderId="97" xfId="2" applyNumberFormat="1" applyFont="1" applyFill="1" applyBorder="1" applyAlignment="1">
      <alignment horizontal="right"/>
    </xf>
    <xf numFmtId="169" fontId="64" fillId="5" borderId="39" xfId="0" applyNumberFormat="1" applyFont="1" applyFill="1" applyBorder="1" applyAlignment="1">
      <alignment horizontal="right"/>
    </xf>
    <xf numFmtId="175" fontId="64" fillId="5" borderId="39" xfId="0" applyNumberFormat="1" applyFont="1" applyFill="1" applyBorder="1" applyAlignment="1">
      <alignment horizontal="right"/>
    </xf>
    <xf numFmtId="9" fontId="64" fillId="5" borderId="39" xfId="0" applyNumberFormat="1" applyFont="1" applyFill="1" applyBorder="1" applyAlignment="1">
      <alignment horizontal="right"/>
    </xf>
    <xf numFmtId="3" fontId="64" fillId="5" borderId="97" xfId="0" applyNumberFormat="1" applyFont="1" applyFill="1" applyBorder="1" applyAlignment="1">
      <alignment horizontal="right"/>
    </xf>
    <xf numFmtId="1" fontId="64" fillId="5" borderId="60" xfId="0" applyNumberFormat="1" applyFont="1" applyFill="1" applyBorder="1" applyAlignment="1">
      <alignment horizontal="right"/>
    </xf>
    <xf numFmtId="1" fontId="64" fillId="5" borderId="97" xfId="0" applyNumberFormat="1" applyFont="1" applyFill="1" applyBorder="1" applyAlignment="1">
      <alignment horizontal="right"/>
    </xf>
    <xf numFmtId="4" fontId="64" fillId="5" borderId="60" xfId="0" applyNumberFormat="1" applyFont="1" applyFill="1" applyBorder="1" applyAlignment="1">
      <alignment horizontal="right"/>
    </xf>
    <xf numFmtId="4" fontId="64" fillId="5" borderId="39" xfId="0" applyNumberFormat="1" applyFont="1" applyFill="1" applyBorder="1" applyAlignment="1">
      <alignment horizontal="right"/>
    </xf>
    <xf numFmtId="9" fontId="64" fillId="13" borderId="55" xfId="0" applyNumberFormat="1" applyFont="1" applyFill="1" applyBorder="1" applyAlignment="1">
      <alignment horizontal="right"/>
    </xf>
    <xf numFmtId="10" fontId="7" fillId="11" borderId="0" xfId="2" applyNumberFormat="1" applyFont="1" applyFill="1"/>
    <xf numFmtId="9" fontId="78" fillId="13" borderId="0" xfId="2" applyFont="1" applyFill="1"/>
    <xf numFmtId="9" fontId="5" fillId="0" borderId="0" xfId="0" applyNumberFormat="1" applyFont="1"/>
    <xf numFmtId="9" fontId="110" fillId="13" borderId="0" xfId="2" applyFont="1" applyFill="1"/>
    <xf numFmtId="9" fontId="2" fillId="0" borderId="0" xfId="2" applyFont="1"/>
    <xf numFmtId="0" fontId="59" fillId="0" borderId="0" xfId="0" applyFont="1"/>
    <xf numFmtId="41" fontId="78" fillId="0" borderId="126" xfId="51" applyFont="1" applyBorder="1" applyAlignment="1">
      <alignment horizontal="right"/>
    </xf>
    <xf numFmtId="175" fontId="110" fillId="0" borderId="0" xfId="2" applyNumberFormat="1" applyFont="1"/>
    <xf numFmtId="2" fontId="59" fillId="0" borderId="29" xfId="0" applyNumberFormat="1" applyFont="1" applyBorder="1" applyAlignment="1">
      <alignment horizontal="right"/>
    </xf>
    <xf numFmtId="186" fontId="62" fillId="11" borderId="97" xfId="0" applyNumberFormat="1" applyFont="1" applyFill="1" applyBorder="1" applyAlignment="1">
      <alignment horizontal="right"/>
    </xf>
    <xf numFmtId="41" fontId="78" fillId="0" borderId="0" xfId="51" applyFont="1" applyBorder="1" applyAlignment="1">
      <alignment horizontal="right"/>
    </xf>
    <xf numFmtId="3" fontId="62" fillId="0" borderId="29" xfId="0" applyNumberFormat="1" applyFont="1" applyBorder="1" applyAlignment="1">
      <alignment horizontal="right"/>
    </xf>
    <xf numFmtId="37" fontId="62" fillId="11" borderId="29" xfId="0" applyNumberFormat="1" applyFont="1" applyFill="1" applyBorder="1" applyAlignment="1">
      <alignment horizontal="right"/>
    </xf>
    <xf numFmtId="37" fontId="64" fillId="13" borderId="29" xfId="0" applyNumberFormat="1" applyFont="1" applyFill="1" applyBorder="1" applyAlignment="1">
      <alignment horizontal="right"/>
    </xf>
    <xf numFmtId="37" fontId="172" fillId="56" borderId="97" xfId="0" applyNumberFormat="1" applyFont="1" applyFill="1" applyBorder="1" applyAlignment="1">
      <alignment horizontal="right"/>
    </xf>
    <xf numFmtId="3" fontId="62" fillId="0" borderId="3" xfId="0" applyNumberFormat="1" applyFont="1" applyBorder="1" applyAlignment="1">
      <alignment horizontal="right"/>
    </xf>
    <xf numFmtId="0" fontId="62" fillId="8" borderId="2" xfId="0" applyFont="1" applyFill="1" applyBorder="1" applyAlignment="1">
      <alignment horizontal="right"/>
    </xf>
    <xf numFmtId="3" fontId="62" fillId="8" borderId="2" xfId="0" applyNumberFormat="1" applyFont="1" applyFill="1" applyBorder="1" applyAlignment="1">
      <alignment horizontal="right"/>
    </xf>
    <xf numFmtId="3" fontId="64" fillId="0" borderId="3" xfId="0" applyNumberFormat="1" applyFont="1" applyBorder="1" applyAlignment="1">
      <alignment horizontal="right"/>
    </xf>
    <xf numFmtId="3" fontId="64" fillId="0" borderId="6" xfId="0" applyNumberFormat="1" applyFont="1" applyBorder="1" applyAlignment="1">
      <alignment horizontal="right"/>
    </xf>
    <xf numFmtId="175" fontId="62" fillId="8" borderId="2" xfId="0" applyNumberFormat="1" applyFont="1" applyFill="1" applyBorder="1" applyAlignment="1">
      <alignment horizontal="right"/>
    </xf>
    <xf numFmtId="10" fontId="62" fillId="8" borderId="2" xfId="0" applyNumberFormat="1" applyFont="1" applyFill="1" applyBorder="1" applyAlignment="1">
      <alignment horizontal="right"/>
    </xf>
    <xf numFmtId="175" fontId="62" fillId="0" borderId="3" xfId="0" applyNumberFormat="1" applyFont="1" applyBorder="1" applyAlignment="1">
      <alignment horizontal="right"/>
    </xf>
    <xf numFmtId="175" fontId="64" fillId="0" borderId="3" xfId="0" applyNumberFormat="1" applyFont="1" applyBorder="1" applyAlignment="1">
      <alignment horizontal="right"/>
    </xf>
    <xf numFmtId="175" fontId="64" fillId="0" borderId="6" xfId="0" applyNumberFormat="1" applyFont="1" applyBorder="1" applyAlignment="1">
      <alignment horizontal="right"/>
    </xf>
    <xf numFmtId="1" fontId="132" fillId="23" borderId="124" xfId="0" applyNumberFormat="1" applyFont="1" applyFill="1" applyBorder="1" applyAlignment="1">
      <alignment horizontal="right"/>
    </xf>
    <xf numFmtId="2" fontId="59" fillId="0" borderId="126" xfId="0" applyNumberFormat="1" applyFont="1" applyBorder="1" applyAlignment="1">
      <alignment horizontal="right"/>
    </xf>
    <xf numFmtId="1" fontId="62" fillId="8" borderId="2" xfId="0" applyNumberFormat="1" applyFont="1" applyFill="1" applyBorder="1" applyAlignment="1">
      <alignment horizontal="right"/>
    </xf>
    <xf numFmtId="1" fontId="62" fillId="0" borderId="3" xfId="0" applyNumberFormat="1" applyFont="1" applyBorder="1" applyAlignment="1">
      <alignment horizontal="right"/>
    </xf>
    <xf numFmtId="1" fontId="62" fillId="0" borderId="6" xfId="0" applyNumberFormat="1" applyFont="1" applyBorder="1" applyAlignment="1">
      <alignment horizontal="right"/>
    </xf>
    <xf numFmtId="1" fontId="64" fillId="0" borderId="3" xfId="0" applyNumberFormat="1" applyFont="1" applyBorder="1" applyAlignment="1">
      <alignment horizontal="right"/>
    </xf>
    <xf numFmtId="1" fontId="64" fillId="0" borderId="3" xfId="1" applyNumberFormat="1" applyFont="1" applyFill="1" applyBorder="1" applyAlignment="1" applyProtection="1">
      <alignment horizontal="right"/>
    </xf>
    <xf numFmtId="1" fontId="64" fillId="0" borderId="6" xfId="0" applyNumberFormat="1" applyFont="1" applyBorder="1" applyAlignment="1">
      <alignment horizontal="right"/>
    </xf>
    <xf numFmtId="175" fontId="78" fillId="0" borderId="6" xfId="0" applyNumberFormat="1" applyFont="1" applyBorder="1" applyAlignment="1">
      <alignment horizontal="right"/>
    </xf>
    <xf numFmtId="1" fontId="78" fillId="8" borderId="2" xfId="0" applyNumberFormat="1" applyFont="1" applyFill="1" applyBorder="1" applyAlignment="1">
      <alignment horizontal="right"/>
    </xf>
    <xf numFmtId="175" fontId="132" fillId="16" borderId="0" xfId="0" applyNumberFormat="1" applyFont="1" applyFill="1" applyAlignment="1">
      <alignment horizontal="right"/>
    </xf>
    <xf numFmtId="175" fontId="62" fillId="16" borderId="0" xfId="0" applyNumberFormat="1" applyFont="1" applyFill="1" applyAlignment="1">
      <alignment horizontal="right"/>
    </xf>
    <xf numFmtId="175" fontId="62" fillId="16" borderId="94" xfId="0" applyNumberFormat="1" applyFont="1" applyFill="1" applyBorder="1" applyAlignment="1">
      <alignment horizontal="right"/>
    </xf>
    <xf numFmtId="169" fontId="78" fillId="16" borderId="0" xfId="0" applyNumberFormat="1" applyFont="1" applyFill="1" applyAlignment="1">
      <alignment horizontal="right"/>
    </xf>
    <xf numFmtId="0" fontId="64" fillId="16" borderId="0" xfId="0" applyFont="1" applyFill="1" applyAlignment="1">
      <alignment horizontal="right"/>
    </xf>
    <xf numFmtId="175" fontId="62" fillId="16" borderId="119" xfId="0" applyNumberFormat="1" applyFont="1" applyFill="1" applyBorder="1" applyAlignment="1">
      <alignment horizontal="right"/>
    </xf>
    <xf numFmtId="9" fontId="59" fillId="16" borderId="0" xfId="0" applyNumberFormat="1" applyFont="1" applyFill="1" applyAlignment="1">
      <alignment horizontal="right"/>
    </xf>
    <xf numFmtId="175" fontId="64" fillId="16" borderId="119" xfId="0" applyNumberFormat="1" applyFont="1" applyFill="1" applyBorder="1" applyAlignment="1">
      <alignment horizontal="right"/>
    </xf>
    <xf numFmtId="169" fontId="210" fillId="13" borderId="0" xfId="0" applyNumberFormat="1" applyFont="1" applyFill="1" applyAlignment="1">
      <alignment horizontal="right"/>
    </xf>
    <xf numFmtId="1" fontId="211" fillId="23" borderId="0" xfId="0" applyNumberFormat="1" applyFont="1" applyFill="1" applyAlignment="1">
      <alignment horizontal="right"/>
    </xf>
    <xf numFmtId="169" fontId="132" fillId="23" borderId="0" xfId="0" applyNumberFormat="1" applyFont="1" applyFill="1" applyAlignment="1">
      <alignment horizontal="right"/>
    </xf>
    <xf numFmtId="2" fontId="64" fillId="23" borderId="68" xfId="0" applyNumberFormat="1" applyFont="1" applyFill="1" applyBorder="1" applyAlignment="1">
      <alignment horizontal="right"/>
    </xf>
    <xf numFmtId="169" fontId="172" fillId="23" borderId="0" xfId="0" applyNumberFormat="1" applyFont="1" applyFill="1" applyAlignment="1">
      <alignment horizontal="right"/>
    </xf>
    <xf numFmtId="169" fontId="210" fillId="23" borderId="0" xfId="0" applyNumberFormat="1" applyFont="1" applyFill="1" applyAlignment="1">
      <alignment horizontal="right"/>
    </xf>
    <xf numFmtId="169" fontId="78" fillId="23" borderId="0" xfId="0" applyNumberFormat="1" applyFont="1" applyFill="1" applyAlignment="1">
      <alignment horizontal="right"/>
    </xf>
    <xf numFmtId="169" fontId="132" fillId="13" borderId="0" xfId="0" applyNumberFormat="1" applyFont="1" applyFill="1" applyAlignment="1">
      <alignment horizontal="right"/>
    </xf>
    <xf numFmtId="9" fontId="59" fillId="0" borderId="0" xfId="9" applyNumberFormat="1" applyFont="1" applyBorder="1" applyAlignment="1">
      <alignment horizontal="right" vertical="center" wrapText="1"/>
    </xf>
    <xf numFmtId="1" fontId="67" fillId="0" borderId="0" xfId="0" applyNumberFormat="1" applyFont="1" applyAlignment="1">
      <alignment horizontal="right"/>
    </xf>
    <xf numFmtId="1" fontId="213" fillId="0" borderId="0" xfId="0" applyNumberFormat="1" applyFont="1" applyAlignment="1">
      <alignment horizontal="right"/>
    </xf>
    <xf numFmtId="1" fontId="132" fillId="0" borderId="0" xfId="0" applyNumberFormat="1" applyFont="1" applyAlignment="1">
      <alignment horizontal="right"/>
    </xf>
    <xf numFmtId="169" fontId="67" fillId="26" borderId="68" xfId="0" applyNumberFormat="1" applyFont="1" applyFill="1" applyBorder="1" applyAlignment="1">
      <alignment horizontal="right"/>
    </xf>
    <xf numFmtId="9" fontId="59" fillId="0" borderId="0" xfId="0" applyNumberFormat="1" applyFont="1" applyAlignment="1">
      <alignment horizontal="right"/>
    </xf>
    <xf numFmtId="3" fontId="132" fillId="0" borderId="0" xfId="0" applyNumberFormat="1" applyFont="1" applyAlignment="1">
      <alignment horizontal="right"/>
    </xf>
    <xf numFmtId="1" fontId="172" fillId="0" borderId="0" xfId="0" applyNumberFormat="1" applyFont="1" applyAlignment="1">
      <alignment horizontal="right"/>
    </xf>
    <xf numFmtId="169" fontId="67" fillId="26" borderId="82" xfId="0" applyNumberFormat="1" applyFont="1" applyFill="1" applyBorder="1" applyAlignment="1">
      <alignment horizontal="right"/>
    </xf>
    <xf numFmtId="175" fontId="59" fillId="13" borderId="60" xfId="0" applyNumberFormat="1" applyFont="1" applyFill="1" applyBorder="1" applyAlignment="1">
      <alignment horizontal="right"/>
    </xf>
    <xf numFmtId="9" fontId="59" fillId="5" borderId="60" xfId="0" applyNumberFormat="1" applyFont="1" applyFill="1" applyBorder="1" applyAlignment="1">
      <alignment horizontal="right"/>
    </xf>
    <xf numFmtId="1" fontId="59" fillId="5" borderId="39" xfId="0" applyNumberFormat="1" applyFont="1" applyFill="1" applyBorder="1" applyAlignment="1">
      <alignment horizontal="right"/>
    </xf>
    <xf numFmtId="0" fontId="203" fillId="26" borderId="124" xfId="0" applyFont="1" applyFill="1" applyBorder="1"/>
    <xf numFmtId="0" fontId="38" fillId="26" borderId="124" xfId="0" applyFont="1" applyFill="1" applyBorder="1"/>
    <xf numFmtId="169" fontId="84" fillId="49" borderId="0" xfId="0" applyNumberFormat="1" applyFont="1" applyFill="1" applyAlignment="1">
      <alignment vertical="center"/>
    </xf>
    <xf numFmtId="0" fontId="108" fillId="0" borderId="124" xfId="0" applyFont="1" applyBorder="1"/>
    <xf numFmtId="0" fontId="206" fillId="0" borderId="124" xfId="0" quotePrefix="1" applyFont="1" applyBorder="1" applyAlignment="1">
      <alignment horizontal="right"/>
    </xf>
    <xf numFmtId="0" fontId="0" fillId="0" borderId="0" xfId="0" applyAlignment="1">
      <alignment horizontal="center"/>
    </xf>
    <xf numFmtId="0" fontId="0" fillId="26" borderId="0" xfId="0" applyFill="1" applyAlignment="1">
      <alignment horizontal="center"/>
    </xf>
    <xf numFmtId="0" fontId="132" fillId="0" borderId="0" xfId="0" applyFont="1" applyAlignment="1">
      <alignment horizontal="center"/>
    </xf>
    <xf numFmtId="9" fontId="59" fillId="0" borderId="0" xfId="0" applyNumberFormat="1" applyFont="1" applyAlignment="1">
      <alignment horizontal="center"/>
    </xf>
    <xf numFmtId="175" fontId="59" fillId="0" borderId="0" xfId="0" applyNumberFormat="1" applyFont="1" applyAlignment="1">
      <alignment horizontal="center"/>
    </xf>
    <xf numFmtId="0" fontId="78" fillId="0" borderId="0" xfId="0" applyFont="1" applyAlignment="1">
      <alignment horizontal="center"/>
    </xf>
    <xf numFmtId="2" fontId="42" fillId="0" borderId="0" xfId="0" applyNumberFormat="1" applyFont="1" applyAlignment="1">
      <alignment horizontal="center"/>
    </xf>
    <xf numFmtId="2" fontId="39" fillId="0" borderId="0" xfId="0" applyNumberFormat="1" applyFont="1" applyAlignment="1">
      <alignment horizontal="center"/>
    </xf>
    <xf numFmtId="0" fontId="182" fillId="62" borderId="130" xfId="0" applyFont="1" applyFill="1" applyBorder="1" applyAlignment="1">
      <alignment horizontal="center"/>
    </xf>
    <xf numFmtId="0" fontId="78" fillId="62" borderId="127" xfId="0" applyFont="1" applyFill="1" applyBorder="1" applyAlignment="1">
      <alignment horizontal="center"/>
    </xf>
    <xf numFmtId="0" fontId="110" fillId="49" borderId="130" xfId="0" applyFont="1" applyFill="1" applyBorder="1" applyAlignment="1">
      <alignment horizontal="center"/>
    </xf>
    <xf numFmtId="0" fontId="78" fillId="49" borderId="127" xfId="0" applyFont="1" applyFill="1" applyBorder="1" applyAlignment="1">
      <alignment horizontal="center"/>
    </xf>
    <xf numFmtId="2" fontId="43" fillId="34" borderId="130" xfId="0" applyNumberFormat="1" applyFont="1" applyFill="1" applyBorder="1" applyAlignment="1">
      <alignment horizontal="center"/>
    </xf>
    <xf numFmtId="2" fontId="110" fillId="34" borderId="127" xfId="0" applyNumberFormat="1" applyFont="1" applyFill="1" applyBorder="1" applyAlignment="1">
      <alignment horizontal="center"/>
    </xf>
    <xf numFmtId="2" fontId="42" fillId="34" borderId="0" xfId="0" applyNumberFormat="1" applyFont="1" applyFill="1" applyAlignment="1">
      <alignment horizontal="center"/>
    </xf>
    <xf numFmtId="1" fontId="42" fillId="34" borderId="0" xfId="0" applyNumberFormat="1" applyFont="1" applyFill="1" applyAlignment="1">
      <alignment horizontal="center"/>
    </xf>
    <xf numFmtId="175" fontId="64" fillId="0" borderId="0" xfId="2" applyNumberFormat="1" applyFont="1" applyFill="1"/>
    <xf numFmtId="0" fontId="0" fillId="0" borderId="0" xfId="0" applyAlignment="1">
      <alignment horizontal="right" vertical="center"/>
    </xf>
    <xf numFmtId="0" fontId="67" fillId="0" borderId="0" xfId="0" applyFont="1" applyAlignment="1">
      <alignment horizontal="center"/>
    </xf>
    <xf numFmtId="184" fontId="37" fillId="0" borderId="0" xfId="1" applyNumberFormat="1" applyFont="1" applyFill="1" applyAlignment="1">
      <alignment vertical="center"/>
    </xf>
    <xf numFmtId="3" fontId="37" fillId="0" borderId="39" xfId="0" applyNumberFormat="1" applyFont="1" applyBorder="1"/>
    <xf numFmtId="3" fontId="37" fillId="0" borderId="0" xfId="0" applyNumberFormat="1" applyFont="1" applyAlignment="1">
      <alignment vertical="center"/>
    </xf>
    <xf numFmtId="175" fontId="22" fillId="0" borderId="0" xfId="2" applyNumberFormat="1" applyFont="1" applyFill="1"/>
    <xf numFmtId="175" fontId="22" fillId="0" borderId="0" xfId="2" applyNumberFormat="1" applyFont="1" applyFill="1" applyAlignment="1">
      <alignment vertical="center"/>
    </xf>
    <xf numFmtId="9" fontId="139" fillId="0" borderId="0" xfId="2" applyFont="1" applyFill="1" applyAlignment="1">
      <alignment vertical="center"/>
    </xf>
    <xf numFmtId="3" fontId="201" fillId="0" borderId="0" xfId="0" applyNumberFormat="1" applyFont="1" applyAlignment="1">
      <alignment horizontal="right"/>
    </xf>
    <xf numFmtId="3" fontId="201" fillId="0" borderId="39" xfId="0" applyNumberFormat="1" applyFont="1" applyBorder="1" applyAlignment="1">
      <alignment horizontal="right"/>
    </xf>
    <xf numFmtId="3" fontId="201" fillId="0" borderId="0" xfId="0" applyNumberFormat="1" applyFont="1" applyAlignment="1">
      <alignment horizontal="right" vertical="center"/>
    </xf>
    <xf numFmtId="0" fontId="59" fillId="0" borderId="0" xfId="0" applyFont="1" applyAlignment="1">
      <alignment horizontal="center"/>
    </xf>
    <xf numFmtId="2" fontId="44" fillId="0" borderId="0" xfId="0" applyNumberFormat="1" applyFont="1"/>
    <xf numFmtId="2" fontId="141" fillId="0" borderId="0" xfId="0" applyNumberFormat="1" applyFont="1"/>
    <xf numFmtId="2" fontId="141" fillId="0" borderId="39" xfId="0" applyNumberFormat="1" applyFont="1" applyBorder="1"/>
    <xf numFmtId="169" fontId="199" fillId="0" borderId="0" xfId="0" applyNumberFormat="1" applyFont="1"/>
    <xf numFmtId="169" fontId="199" fillId="0" borderId="110" xfId="0" applyNumberFormat="1" applyFont="1" applyBorder="1"/>
    <xf numFmtId="169" fontId="84" fillId="0" borderId="0" xfId="0" applyNumberFormat="1" applyFont="1"/>
    <xf numFmtId="175" fontId="10" fillId="0" borderId="0" xfId="2" applyNumberFormat="1" applyFont="1" applyAlignment="1">
      <alignment horizontal="right"/>
    </xf>
    <xf numFmtId="175" fontId="170" fillId="0" borderId="0" xfId="2" applyNumberFormat="1" applyFont="1" applyAlignment="1">
      <alignment horizontal="right"/>
    </xf>
    <xf numFmtId="184" fontId="43" fillId="0" borderId="0" xfId="1" applyNumberFormat="1" applyFont="1" applyAlignment="1">
      <alignment horizontal="left"/>
    </xf>
    <xf numFmtId="184" fontId="43" fillId="0" borderId="0" xfId="1" quotePrefix="1" applyNumberFormat="1" applyFont="1"/>
    <xf numFmtId="184" fontId="43" fillId="0" borderId="0" xfId="1" quotePrefix="1" applyNumberFormat="1" applyFont="1" applyAlignment="1">
      <alignment horizontal="fill"/>
    </xf>
    <xf numFmtId="184" fontId="10" fillId="8" borderId="1" xfId="1" applyNumberFormat="1" applyFont="1" applyFill="1" applyBorder="1"/>
    <xf numFmtId="184" fontId="7" fillId="8" borderId="2" xfId="1" applyNumberFormat="1" applyFont="1" applyFill="1" applyBorder="1" applyAlignment="1">
      <alignment horizontal="right"/>
    </xf>
    <xf numFmtId="184" fontId="10" fillId="8" borderId="2" xfId="1" applyNumberFormat="1" applyFont="1" applyFill="1" applyBorder="1" applyAlignment="1">
      <alignment horizontal="right"/>
    </xf>
    <xf numFmtId="184" fontId="62" fillId="8" borderId="2" xfId="1" applyNumberFormat="1" applyFont="1" applyFill="1" applyBorder="1" applyAlignment="1">
      <alignment horizontal="right"/>
    </xf>
    <xf numFmtId="184" fontId="3" fillId="0" borderId="0" xfId="1" applyNumberFormat="1" applyFont="1" applyAlignment="1">
      <alignment horizontal="right"/>
    </xf>
    <xf numFmtId="184" fontId="5" fillId="0" borderId="0" xfId="1" applyNumberFormat="1" applyFont="1"/>
    <xf numFmtId="184" fontId="44" fillId="0" borderId="0" xfId="1" applyNumberFormat="1" applyFont="1" applyAlignment="1">
      <alignment horizontal="left"/>
    </xf>
    <xf numFmtId="184" fontId="3" fillId="8" borderId="1" xfId="1" applyNumberFormat="1" applyFont="1" applyFill="1" applyBorder="1"/>
    <xf numFmtId="184" fontId="3" fillId="8" borderId="2" xfId="1" applyNumberFormat="1" applyFont="1" applyFill="1" applyBorder="1" applyAlignment="1">
      <alignment horizontal="right"/>
    </xf>
    <xf numFmtId="184" fontId="0" fillId="8" borderId="2" xfId="1" applyNumberFormat="1" applyFont="1" applyFill="1" applyBorder="1" applyAlignment="1">
      <alignment horizontal="right"/>
    </xf>
    <xf numFmtId="0" fontId="62" fillId="5" borderId="55" xfId="0" applyFont="1" applyFill="1" applyBorder="1"/>
    <xf numFmtId="169" fontId="62" fillId="5" borderId="55" xfId="0" applyNumberFormat="1" applyFont="1" applyFill="1" applyBorder="1" applyAlignment="1">
      <alignment horizontal="right"/>
    </xf>
    <xf numFmtId="169" fontId="67" fillId="5" borderId="55" xfId="0" applyNumberFormat="1" applyFont="1" applyFill="1" applyBorder="1" applyAlignment="1">
      <alignment horizontal="right"/>
    </xf>
    <xf numFmtId="169" fontId="67" fillId="5" borderId="55" xfId="0" applyNumberFormat="1" applyFont="1" applyFill="1" applyBorder="1"/>
    <xf numFmtId="0" fontId="62" fillId="5" borderId="97" xfId="0" applyFont="1" applyFill="1" applyBorder="1"/>
    <xf numFmtId="9" fontId="59" fillId="5" borderId="97" xfId="0" applyNumberFormat="1" applyFont="1" applyFill="1" applyBorder="1" applyAlignment="1">
      <alignment horizontal="right"/>
    </xf>
    <xf numFmtId="2" fontId="59" fillId="5" borderId="97" xfId="0" applyNumberFormat="1" applyFont="1" applyFill="1" applyBorder="1" applyAlignment="1">
      <alignment horizontal="right"/>
    </xf>
    <xf numFmtId="0" fontId="62" fillId="5" borderId="60" xfId="0" applyFont="1" applyFill="1" applyBorder="1"/>
    <xf numFmtId="1" fontId="74" fillId="0" borderId="124" xfId="0" applyNumberFormat="1" applyFont="1" applyBorder="1" applyAlignment="1">
      <alignment horizontal="right"/>
    </xf>
    <xf numFmtId="0" fontId="74" fillId="0" borderId="132" xfId="0" applyFont="1" applyBorder="1"/>
    <xf numFmtId="0" fontId="74" fillId="0" borderId="132" xfId="0" applyFont="1" applyBorder="1" applyAlignment="1">
      <alignment horizontal="right"/>
    </xf>
    <xf numFmtId="0" fontId="110" fillId="0" borderId="132" xfId="0" applyFont="1" applyBorder="1" applyAlignment="1">
      <alignment horizontal="right"/>
    </xf>
    <xf numFmtId="175" fontId="59" fillId="0" borderId="0" xfId="0" applyNumberFormat="1" applyFont="1" applyAlignment="1">
      <alignment horizontal="right"/>
    </xf>
    <xf numFmtId="175" fontId="140" fillId="0" borderId="0" xfId="0" applyNumberFormat="1" applyFont="1" applyAlignment="1">
      <alignment horizontal="right"/>
    </xf>
    <xf numFmtId="0" fontId="59" fillId="0" borderId="0" xfId="0" applyFont="1" applyAlignment="1">
      <alignment horizontal="right"/>
    </xf>
    <xf numFmtId="175" fontId="140" fillId="0" borderId="75" xfId="0" applyNumberFormat="1" applyFont="1" applyBorder="1" applyAlignment="1">
      <alignment horizontal="right"/>
    </xf>
    <xf numFmtId="175" fontId="78" fillId="0" borderId="70" xfId="0" applyNumberFormat="1" applyFont="1" applyBorder="1" applyAlignment="1">
      <alignment horizontal="right"/>
    </xf>
    <xf numFmtId="175" fontId="214" fillId="18" borderId="103" xfId="8" applyNumberFormat="1" applyFont="1" applyFill="1" applyBorder="1" applyAlignment="1">
      <alignment horizontal="right"/>
    </xf>
    <xf numFmtId="9" fontId="67" fillId="0" borderId="0" xfId="0" applyNumberFormat="1" applyFont="1" applyAlignment="1">
      <alignment horizontal="right"/>
    </xf>
    <xf numFmtId="175" fontId="67" fillId="0" borderId="0" xfId="0" applyNumberFormat="1" applyFont="1" applyAlignment="1">
      <alignment horizontal="right"/>
    </xf>
    <xf numFmtId="3" fontId="78" fillId="0" borderId="77" xfId="0" applyNumberFormat="1" applyFont="1" applyBorder="1"/>
    <xf numFmtId="175" fontId="78" fillId="24" borderId="0" xfId="2" applyNumberFormat="1" applyFont="1" applyFill="1" applyAlignment="1">
      <alignment horizontal="right"/>
    </xf>
    <xf numFmtId="0" fontId="59" fillId="27" borderId="0" xfId="0" applyFont="1" applyFill="1" applyAlignment="1">
      <alignment horizontal="right"/>
    </xf>
    <xf numFmtId="3" fontId="64" fillId="24" borderId="0" xfId="0" applyNumberFormat="1" applyFont="1" applyFill="1" applyAlignment="1">
      <alignment horizontal="right"/>
    </xf>
    <xf numFmtId="3" fontId="64" fillId="24" borderId="0" xfId="2" applyNumberFormat="1" applyFont="1" applyFill="1" applyAlignment="1">
      <alignment horizontal="right"/>
    </xf>
    <xf numFmtId="0" fontId="215" fillId="24" borderId="0" xfId="0" applyFont="1" applyFill="1" applyAlignment="1">
      <alignment horizontal="right"/>
    </xf>
    <xf numFmtId="175" fontId="59" fillId="24" borderId="0" xfId="0" applyNumberFormat="1" applyFont="1" applyFill="1" applyAlignment="1">
      <alignment horizontal="right"/>
    </xf>
    <xf numFmtId="175" fontId="64" fillId="20" borderId="0" xfId="0" applyNumberFormat="1" applyFont="1" applyFill="1" applyAlignment="1">
      <alignment horizontal="right"/>
    </xf>
    <xf numFmtId="175" fontId="67" fillId="20" borderId="0" xfId="0" applyNumberFormat="1" applyFont="1" applyFill="1" applyAlignment="1">
      <alignment horizontal="right"/>
    </xf>
    <xf numFmtId="175" fontId="59" fillId="20" borderId="0" xfId="0" applyNumberFormat="1" applyFont="1" applyFill="1" applyAlignment="1">
      <alignment horizontal="right"/>
    </xf>
    <xf numFmtId="0" fontId="215" fillId="27" borderId="0" xfId="0" applyFont="1" applyFill="1" applyAlignment="1">
      <alignment horizontal="right"/>
    </xf>
    <xf numFmtId="0" fontId="62" fillId="0" borderId="46" xfId="0" applyFont="1" applyBorder="1" applyAlignment="1">
      <alignment horizontal="right"/>
    </xf>
    <xf numFmtId="0" fontId="64" fillId="0" borderId="0" xfId="0" applyFont="1" applyAlignment="1">
      <alignment horizontal="right"/>
    </xf>
    <xf numFmtId="0" fontId="110" fillId="3" borderId="97" xfId="0" applyFont="1" applyFill="1" applyBorder="1" applyAlignment="1">
      <alignment horizontal="right"/>
    </xf>
    <xf numFmtId="175" fontId="64" fillId="3" borderId="97" xfId="0" applyNumberFormat="1" applyFont="1" applyFill="1" applyBorder="1" applyAlignment="1">
      <alignment horizontal="right"/>
    </xf>
    <xf numFmtId="175" fontId="59" fillId="3" borderId="97" xfId="0" applyNumberFormat="1" applyFont="1" applyFill="1" applyBorder="1" applyAlignment="1">
      <alignment horizontal="right"/>
    </xf>
    <xf numFmtId="3" fontId="59" fillId="3" borderId="97" xfId="0" applyNumberFormat="1" applyFont="1" applyFill="1" applyBorder="1" applyAlignment="1">
      <alignment horizontal="right"/>
    </xf>
    <xf numFmtId="41" fontId="64" fillId="13" borderId="97" xfId="51" applyFont="1" applyFill="1" applyBorder="1" applyAlignment="1">
      <alignment horizontal="right"/>
    </xf>
    <xf numFmtId="184" fontId="64" fillId="13" borderId="97" xfId="1" applyNumberFormat="1" applyFont="1" applyFill="1" applyBorder="1" applyAlignment="1">
      <alignment horizontal="right"/>
    </xf>
    <xf numFmtId="1" fontId="64" fillId="3" borderId="97" xfId="0" applyNumberFormat="1" applyFont="1" applyFill="1" applyBorder="1" applyAlignment="1">
      <alignment horizontal="right"/>
    </xf>
    <xf numFmtId="3" fontId="64" fillId="3" borderId="97" xfId="0" applyNumberFormat="1" applyFont="1" applyFill="1" applyBorder="1" applyAlignment="1">
      <alignment horizontal="right"/>
    </xf>
    <xf numFmtId="3" fontId="64" fillId="13" borderId="39" xfId="0" applyNumberFormat="1" applyFont="1" applyFill="1" applyBorder="1" applyAlignment="1">
      <alignment horizontal="right"/>
    </xf>
    <xf numFmtId="3" fontId="64" fillId="3" borderId="60" xfId="0" applyNumberFormat="1" applyFont="1" applyFill="1" applyBorder="1" applyAlignment="1">
      <alignment horizontal="right"/>
    </xf>
    <xf numFmtId="175" fontId="59" fillId="3" borderId="127" xfId="0" applyNumberFormat="1" applyFont="1" applyFill="1" applyBorder="1" applyAlignment="1">
      <alignment horizontal="right"/>
    </xf>
    <xf numFmtId="0" fontId="178" fillId="14" borderId="0" xfId="0" applyFont="1" applyFill="1" applyAlignment="1">
      <alignment horizontal="right"/>
    </xf>
    <xf numFmtId="0" fontId="216" fillId="14" borderId="13" xfId="0" applyFont="1" applyFill="1" applyBorder="1" applyAlignment="1">
      <alignment horizontal="right"/>
    </xf>
    <xf numFmtId="0" fontId="169" fillId="14" borderId="18" xfId="0" applyFont="1" applyFill="1" applyBorder="1" applyAlignment="1">
      <alignment horizontal="right"/>
    </xf>
    <xf numFmtId="169" fontId="64" fillId="14" borderId="0" xfId="0" applyNumberFormat="1" applyFont="1" applyFill="1" applyAlignment="1">
      <alignment horizontal="right"/>
    </xf>
    <xf numFmtId="170" fontId="169" fillId="14" borderId="0" xfId="0" applyNumberFormat="1" applyFont="1" applyFill="1" applyAlignment="1">
      <alignment horizontal="right"/>
    </xf>
    <xf numFmtId="175" fontId="64" fillId="0" borderId="0" xfId="0" applyNumberFormat="1" applyFont="1" applyAlignment="1">
      <alignment horizontal="right"/>
    </xf>
    <xf numFmtId="2" fontId="64" fillId="0" borderId="75" xfId="0" applyNumberFormat="1" applyFont="1" applyBorder="1" applyAlignment="1">
      <alignment horizontal="right"/>
    </xf>
    <xf numFmtId="0" fontId="110" fillId="0" borderId="0" xfId="0" applyFont="1" applyAlignment="1">
      <alignment horizontal="right"/>
    </xf>
    <xf numFmtId="0" fontId="110" fillId="48" borderId="0" xfId="0" applyFont="1" applyFill="1" applyAlignment="1">
      <alignment horizontal="right"/>
    </xf>
    <xf numFmtId="1" fontId="59" fillId="48" borderId="0" xfId="0" applyNumberFormat="1" applyFont="1" applyFill="1" applyAlignment="1">
      <alignment horizontal="right"/>
    </xf>
    <xf numFmtId="9" fontId="78" fillId="48" borderId="0" xfId="0" applyNumberFormat="1" applyFont="1" applyFill="1" applyAlignment="1">
      <alignment horizontal="right"/>
    </xf>
    <xf numFmtId="175" fontId="78" fillId="48" borderId="0" xfId="0" applyNumberFormat="1" applyFont="1" applyFill="1" applyAlignment="1">
      <alignment horizontal="right"/>
    </xf>
    <xf numFmtId="0" fontId="78" fillId="48" borderId="0" xfId="0" applyFont="1" applyFill="1" applyAlignment="1">
      <alignment horizontal="right"/>
    </xf>
    <xf numFmtId="175" fontId="59" fillId="48" borderId="0" xfId="0" applyNumberFormat="1" applyFont="1" applyFill="1" applyAlignment="1">
      <alignment horizontal="right"/>
    </xf>
    <xf numFmtId="169" fontId="67" fillId="48" borderId="0" xfId="0" applyNumberFormat="1" applyFont="1" applyFill="1" applyAlignment="1">
      <alignment horizontal="right"/>
    </xf>
    <xf numFmtId="175" fontId="67" fillId="48" borderId="0" xfId="0" applyNumberFormat="1" applyFont="1" applyFill="1" applyAlignment="1">
      <alignment horizontal="right"/>
    </xf>
    <xf numFmtId="1" fontId="78" fillId="48" borderId="0" xfId="0" applyNumberFormat="1" applyFont="1" applyFill="1" applyAlignment="1">
      <alignment horizontal="right"/>
    </xf>
    <xf numFmtId="1" fontId="67" fillId="48" borderId="0" xfId="0" applyNumberFormat="1" applyFont="1" applyFill="1" applyAlignment="1">
      <alignment horizontal="right"/>
    </xf>
    <xf numFmtId="1" fontId="78" fillId="0" borderId="0" xfId="0" applyNumberFormat="1" applyFont="1" applyAlignment="1">
      <alignment horizontal="right"/>
    </xf>
    <xf numFmtId="0" fontId="110" fillId="30" borderId="0" xfId="0" applyFont="1" applyFill="1" applyAlignment="1">
      <alignment horizontal="right"/>
    </xf>
    <xf numFmtId="9" fontId="78" fillId="30" borderId="0" xfId="0" applyNumberFormat="1" applyFont="1" applyFill="1" applyAlignment="1">
      <alignment horizontal="right"/>
    </xf>
    <xf numFmtId="3" fontId="78" fillId="30" borderId="0" xfId="0" applyNumberFormat="1" applyFont="1" applyFill="1" applyAlignment="1">
      <alignment horizontal="right"/>
    </xf>
    <xf numFmtId="175" fontId="78" fillId="30" borderId="0" xfId="0" applyNumberFormat="1" applyFont="1" applyFill="1" applyAlignment="1">
      <alignment horizontal="right"/>
    </xf>
    <xf numFmtId="0" fontId="182" fillId="47" borderId="0" xfId="0" applyFont="1" applyFill="1" applyAlignment="1">
      <alignment horizontal="right"/>
    </xf>
    <xf numFmtId="175" fontId="167" fillId="47" borderId="0" xfId="0" applyNumberFormat="1" applyFont="1" applyFill="1" applyAlignment="1">
      <alignment horizontal="right"/>
    </xf>
    <xf numFmtId="1" fontId="167" fillId="47" borderId="0" xfId="0" applyNumberFormat="1" applyFont="1" applyFill="1" applyAlignment="1">
      <alignment horizontal="right"/>
    </xf>
    <xf numFmtId="169" fontId="67" fillId="0" borderId="0" xfId="2" applyNumberFormat="1" applyFont="1" applyFill="1"/>
    <xf numFmtId="175" fontId="67" fillId="0" borderId="0" xfId="2" applyNumberFormat="1" applyFont="1" applyFill="1"/>
    <xf numFmtId="2" fontId="67" fillId="0" borderId="0" xfId="2" applyNumberFormat="1" applyFont="1" applyFill="1"/>
    <xf numFmtId="0" fontId="15" fillId="0" borderId="0" xfId="0" applyFont="1" applyAlignment="1">
      <alignment horizontal="right" vertical="center"/>
    </xf>
    <xf numFmtId="0" fontId="15" fillId="0" borderId="0" xfId="0" applyFont="1"/>
    <xf numFmtId="175" fontId="44" fillId="13" borderId="0" xfId="2" applyNumberFormat="1" applyFont="1" applyFill="1"/>
    <xf numFmtId="2" fontId="0" fillId="0" borderId="0" xfId="2" applyNumberFormat="1" applyFont="1"/>
    <xf numFmtId="2" fontId="64" fillId="0" borderId="0" xfId="2" applyNumberFormat="1" applyFont="1" applyFill="1"/>
    <xf numFmtId="2" fontId="0" fillId="0" borderId="39" xfId="2" applyNumberFormat="1" applyFont="1" applyBorder="1"/>
    <xf numFmtId="44" fontId="64" fillId="0" borderId="0" xfId="2" applyNumberFormat="1" applyFont="1" applyFill="1"/>
    <xf numFmtId="2" fontId="67" fillId="0" borderId="0" xfId="2" applyNumberFormat="1" applyFont="1" applyFill="1" applyAlignment="1">
      <alignment vertical="center"/>
    </xf>
    <xf numFmtId="2" fontId="67" fillId="0" borderId="39" xfId="2" applyNumberFormat="1" applyFont="1" applyFill="1" applyBorder="1"/>
    <xf numFmtId="169" fontId="15" fillId="0" borderId="0" xfId="0" applyNumberFormat="1" applyFont="1"/>
    <xf numFmtId="169" fontId="64" fillId="0" borderId="0" xfId="0" applyNumberFormat="1" applyFont="1"/>
    <xf numFmtId="0" fontId="218" fillId="63" borderId="0" xfId="0" applyFont="1" applyFill="1"/>
    <xf numFmtId="0" fontId="171" fillId="0" borderId="0" xfId="0" applyFont="1"/>
    <xf numFmtId="2" fontId="171" fillId="0" borderId="0" xfId="2" applyNumberFormat="1" applyFont="1"/>
    <xf numFmtId="2" fontId="171" fillId="0" borderId="0" xfId="2" applyNumberFormat="1" applyFont="1" applyFill="1"/>
    <xf numFmtId="169" fontId="171" fillId="0" borderId="0" xfId="2" applyNumberFormat="1" applyFont="1" applyFill="1" applyAlignment="1">
      <alignment vertical="center"/>
    </xf>
    <xf numFmtId="169" fontId="171" fillId="0" borderId="0" xfId="0" applyNumberFormat="1" applyFont="1" applyAlignment="1">
      <alignment horizontal="right" vertical="center"/>
    </xf>
    <xf numFmtId="169" fontId="171" fillId="0" borderId="0" xfId="0" applyNumberFormat="1" applyFont="1"/>
    <xf numFmtId="43" fontId="220" fillId="49" borderId="0" xfId="1" applyFont="1" applyFill="1"/>
    <xf numFmtId="0" fontId="171" fillId="0" borderId="0" xfId="0" applyFont="1" applyAlignment="1">
      <alignment horizontal="left" indent="1"/>
    </xf>
    <xf numFmtId="0" fontId="59" fillId="0" borderId="0" xfId="0" applyFont="1" applyAlignment="1">
      <alignment vertical="center" wrapText="1"/>
    </xf>
    <xf numFmtId="184" fontId="220" fillId="0" borderId="0" xfId="1" applyNumberFormat="1" applyFont="1" applyFill="1" applyAlignment="1">
      <alignment vertical="center"/>
    </xf>
    <xf numFmtId="184" fontId="220" fillId="0" borderId="0" xfId="1" applyNumberFormat="1" applyFont="1"/>
    <xf numFmtId="184" fontId="220" fillId="0" borderId="39" xfId="1" applyNumberFormat="1" applyFont="1" applyBorder="1"/>
    <xf numFmtId="184" fontId="220" fillId="0" borderId="0" xfId="1" applyNumberFormat="1" applyFont="1" applyAlignment="1">
      <alignment vertical="center"/>
    </xf>
    <xf numFmtId="184" fontId="220" fillId="0" borderId="0" xfId="1" applyNumberFormat="1" applyFont="1" applyAlignment="1">
      <alignment horizontal="right" vertical="center"/>
    </xf>
    <xf numFmtId="169" fontId="221" fillId="0" borderId="0" xfId="0" applyNumberFormat="1" applyFont="1"/>
    <xf numFmtId="2" fontId="171" fillId="0" borderId="39" xfId="2" applyNumberFormat="1" applyFont="1" applyFill="1" applyBorder="1"/>
    <xf numFmtId="0" fontId="171" fillId="0" borderId="0" xfId="0" applyFont="1" applyAlignment="1">
      <alignment horizontal="right" vertical="center"/>
    </xf>
    <xf numFmtId="184" fontId="44" fillId="13" borderId="0" xfId="1" applyNumberFormat="1" applyFont="1" applyFill="1"/>
    <xf numFmtId="0" fontId="222" fillId="26" borderId="0" xfId="3" applyFont="1" applyFill="1" applyAlignment="1" applyProtection="1">
      <alignment horizontal="center" vertical="center" wrapText="1"/>
    </xf>
    <xf numFmtId="0" fontId="64" fillId="0" borderId="0" xfId="0" applyFont="1" applyAlignment="1">
      <alignment vertical="center"/>
    </xf>
    <xf numFmtId="0" fontId="64" fillId="0" borderId="0" xfId="0" applyFont="1" applyAlignment="1">
      <alignment horizontal="right" vertical="center"/>
    </xf>
    <xf numFmtId="0" fontId="37" fillId="26" borderId="0" xfId="0" applyFont="1" applyFill="1" applyAlignment="1">
      <alignment vertical="center"/>
    </xf>
    <xf numFmtId="169" fontId="223" fillId="26" borderId="0" xfId="0" applyNumberFormat="1" applyFont="1" applyFill="1" applyAlignment="1">
      <alignment vertical="center"/>
    </xf>
    <xf numFmtId="177" fontId="220" fillId="0" borderId="0" xfId="0" applyNumberFormat="1" applyFont="1" applyAlignment="1">
      <alignment vertical="center"/>
    </xf>
    <xf numFmtId="0" fontId="37" fillId="0" borderId="0" xfId="0" applyFont="1" applyAlignment="1">
      <alignment vertical="center"/>
    </xf>
    <xf numFmtId="0" fontId="78" fillId="0" borderId="0" xfId="0" applyFont="1" applyAlignment="1">
      <alignment horizontal="left" wrapText="1"/>
    </xf>
    <xf numFmtId="0" fontId="3" fillId="6" borderId="0" xfId="0" applyFont="1" applyFill="1" applyAlignment="1">
      <alignment vertical="center"/>
    </xf>
    <xf numFmtId="0" fontId="132" fillId="6" borderId="0" xfId="0" applyFont="1" applyFill="1" applyAlignment="1">
      <alignment horizontal="center" vertical="center" wrapText="1"/>
    </xf>
    <xf numFmtId="2" fontId="224" fillId="0" borderId="0" xfId="0" applyNumberFormat="1" applyFont="1"/>
    <xf numFmtId="2" fontId="225" fillId="34" borderId="0" xfId="0" applyNumberFormat="1" applyFont="1" applyFill="1"/>
    <xf numFmtId="0" fontId="193" fillId="0" borderId="0" xfId="0" applyFont="1"/>
    <xf numFmtId="0" fontId="227" fillId="0" borderId="0" xfId="0" applyFont="1"/>
    <xf numFmtId="0" fontId="3" fillId="0" borderId="0" xfId="0" applyFont="1" applyAlignment="1">
      <alignment vertical="center"/>
    </xf>
    <xf numFmtId="0" fontId="228" fillId="64" borderId="0" xfId="0" applyFont="1" applyFill="1"/>
    <xf numFmtId="0" fontId="38" fillId="64" borderId="124" xfId="0" applyFont="1" applyFill="1" applyBorder="1" applyAlignment="1">
      <alignment horizontal="center"/>
    </xf>
    <xf numFmtId="0" fontId="0" fillId="64" borderId="0" xfId="0" applyFill="1"/>
    <xf numFmtId="0" fontId="38" fillId="64" borderId="124" xfId="0" applyFont="1" applyFill="1" applyBorder="1"/>
    <xf numFmtId="0" fontId="207" fillId="64" borderId="124" xfId="0" applyFont="1" applyFill="1" applyBorder="1"/>
    <xf numFmtId="0" fontId="207" fillId="64" borderId="131" xfId="0" applyFont="1" applyFill="1" applyBorder="1"/>
    <xf numFmtId="0" fontId="207" fillId="64" borderId="124" xfId="0" applyFont="1" applyFill="1" applyBorder="1" applyAlignment="1">
      <alignment vertical="center"/>
    </xf>
    <xf numFmtId="0" fontId="226" fillId="6" borderId="0" xfId="0" applyFont="1" applyFill="1" applyAlignment="1">
      <alignment horizontal="left" vertical="center"/>
    </xf>
    <xf numFmtId="0" fontId="78" fillId="13" borderId="0" xfId="0" applyFont="1" applyFill="1" applyAlignment="1">
      <alignment wrapText="1"/>
    </xf>
    <xf numFmtId="0" fontId="222" fillId="63" borderId="0" xfId="3" applyFont="1" applyFill="1" applyAlignment="1" applyProtection="1"/>
    <xf numFmtId="0" fontId="64" fillId="0" borderId="0" xfId="0" applyFont="1" applyAlignment="1">
      <alignment horizontal="center"/>
    </xf>
    <xf numFmtId="0" fontId="202" fillId="0" borderId="0" xfId="0" applyFont="1"/>
    <xf numFmtId="0" fontId="229" fillId="0" borderId="0" xfId="0" applyFont="1" applyAlignment="1">
      <alignment horizontal="left" indent="1"/>
    </xf>
    <xf numFmtId="0" fontId="193" fillId="26" borderId="0" xfId="0" applyFont="1" applyFill="1"/>
    <xf numFmtId="169" fontId="171" fillId="0" borderId="98" xfId="2" applyNumberFormat="1" applyFont="1" applyFill="1" applyBorder="1"/>
    <xf numFmtId="184" fontId="220" fillId="0" borderId="39" xfId="1" applyNumberFormat="1" applyFont="1" applyBorder="1" applyAlignment="1">
      <alignment vertical="center"/>
    </xf>
    <xf numFmtId="0" fontId="218" fillId="63" borderId="39" xfId="0" applyFont="1" applyFill="1" applyBorder="1"/>
    <xf numFmtId="43" fontId="220" fillId="49" borderId="39" xfId="1" applyFont="1" applyFill="1" applyBorder="1"/>
    <xf numFmtId="0" fontId="3" fillId="6" borderId="39" xfId="0" applyFont="1" applyFill="1" applyBorder="1" applyAlignment="1">
      <alignment vertical="center"/>
    </xf>
    <xf numFmtId="169" fontId="221" fillId="0" borderId="39" xfId="0" applyNumberFormat="1" applyFont="1" applyBorder="1"/>
    <xf numFmtId="9" fontId="0" fillId="0" borderId="39" xfId="2" applyFont="1" applyBorder="1"/>
    <xf numFmtId="175" fontId="141" fillId="62" borderId="39" xfId="0" applyNumberFormat="1" applyFont="1" applyFill="1" applyBorder="1"/>
    <xf numFmtId="0" fontId="108" fillId="0" borderId="131" xfId="0" applyFont="1" applyBorder="1"/>
    <xf numFmtId="175" fontId="44" fillId="0" borderId="39" xfId="2" applyNumberFormat="1" applyFont="1" applyBorder="1"/>
    <xf numFmtId="175" fontId="44" fillId="62" borderId="39" xfId="0" applyNumberFormat="1" applyFont="1" applyFill="1" applyBorder="1"/>
    <xf numFmtId="175" fontId="197" fillId="50" borderId="39" xfId="0" applyNumberFormat="1" applyFont="1" applyFill="1" applyBorder="1"/>
    <xf numFmtId="175" fontId="200" fillId="49" borderId="39" xfId="0" applyNumberFormat="1" applyFont="1" applyFill="1" applyBorder="1"/>
    <xf numFmtId="169" fontId="44" fillId="49" borderId="39" xfId="0" applyNumberFormat="1" applyFont="1" applyFill="1" applyBorder="1"/>
    <xf numFmtId="175" fontId="73" fillId="34" borderId="39" xfId="0" applyNumberFormat="1" applyFont="1" applyFill="1" applyBorder="1"/>
    <xf numFmtId="175" fontId="37" fillId="34" borderId="39" xfId="0" applyNumberFormat="1" applyFont="1" applyFill="1" applyBorder="1"/>
    <xf numFmtId="0" fontId="228" fillId="65" borderId="0" xfId="0" applyFont="1" applyFill="1"/>
    <xf numFmtId="175" fontId="64" fillId="0" borderId="0" xfId="0" applyNumberFormat="1" applyFont="1"/>
    <xf numFmtId="175" fontId="64" fillId="0" borderId="39" xfId="0" applyNumberFormat="1" applyFont="1" applyBorder="1"/>
    <xf numFmtId="177" fontId="220" fillId="66" borderId="0" xfId="0" applyNumberFormat="1" applyFont="1" applyFill="1" applyAlignment="1">
      <alignment vertical="center"/>
    </xf>
    <xf numFmtId="177" fontId="220" fillId="66" borderId="39" xfId="0" applyNumberFormat="1" applyFont="1" applyFill="1" applyBorder="1" applyAlignment="1">
      <alignment vertical="center"/>
    </xf>
    <xf numFmtId="177" fontId="220" fillId="66" borderId="0" xfId="1" applyNumberFormat="1" applyFont="1" applyFill="1" applyAlignment="1">
      <alignment vertical="center"/>
    </xf>
    <xf numFmtId="187" fontId="220" fillId="66" borderId="0" xfId="1" applyNumberFormat="1" applyFont="1" applyFill="1" applyAlignment="1">
      <alignment vertical="center"/>
    </xf>
    <xf numFmtId="0" fontId="227" fillId="0" borderId="0" xfId="0" applyFont="1" applyAlignment="1">
      <alignment vertical="center"/>
    </xf>
    <xf numFmtId="185" fontId="7" fillId="26" borderId="0" xfId="0" applyNumberFormat="1" applyFont="1" applyFill="1"/>
    <xf numFmtId="177" fontId="7" fillId="26" borderId="0" xfId="1" applyNumberFormat="1" applyFont="1" applyFill="1" applyAlignment="1"/>
    <xf numFmtId="177" fontId="22" fillId="26" borderId="0" xfId="1" applyNumberFormat="1" applyFont="1" applyFill="1" applyAlignment="1"/>
    <xf numFmtId="43" fontId="7" fillId="26" borderId="39" xfId="1" applyFont="1" applyFill="1" applyBorder="1" applyAlignment="1"/>
    <xf numFmtId="177" fontId="0" fillId="26" borderId="0" xfId="0" applyNumberFormat="1" applyFill="1" applyAlignment="1">
      <alignment horizontal="right"/>
    </xf>
    <xf numFmtId="177" fontId="0" fillId="26" borderId="0" xfId="0" applyNumberFormat="1" applyFill="1"/>
    <xf numFmtId="177" fontId="0" fillId="0" borderId="0" xfId="0" applyNumberFormat="1"/>
    <xf numFmtId="177" fontId="0" fillId="13" borderId="0" xfId="0" applyNumberFormat="1" applyFill="1"/>
    <xf numFmtId="0" fontId="67" fillId="0" borderId="0" xfId="0" applyFont="1" applyAlignment="1">
      <alignment horizontal="left" vertical="center" wrapText="1"/>
    </xf>
    <xf numFmtId="184" fontId="37" fillId="13" borderId="0" xfId="1" applyNumberFormat="1" applyFont="1" applyFill="1" applyAlignment="1">
      <alignment vertical="center"/>
    </xf>
    <xf numFmtId="184" fontId="220" fillId="0" borderId="39" xfId="1" applyNumberFormat="1" applyFont="1" applyFill="1" applyBorder="1" applyAlignment="1">
      <alignment vertical="center"/>
    </xf>
    <xf numFmtId="0" fontId="11" fillId="0" borderId="133" xfId="0" applyFont="1" applyBorder="1"/>
    <xf numFmtId="0" fontId="54" fillId="0" borderId="98" xfId="0" applyFont="1" applyBorder="1"/>
    <xf numFmtId="0" fontId="29" fillId="14" borderId="98" xfId="0" applyFont="1" applyFill="1" applyBorder="1"/>
    <xf numFmtId="0" fontId="23" fillId="14" borderId="98" xfId="0" applyFont="1" applyFill="1" applyBorder="1"/>
    <xf numFmtId="0" fontId="78" fillId="14" borderId="98" xfId="0" applyFont="1" applyFill="1" applyBorder="1"/>
    <xf numFmtId="0" fontId="33" fillId="0" borderId="98" xfId="0" applyFont="1" applyBorder="1"/>
    <xf numFmtId="0" fontId="78" fillId="0" borderId="123" xfId="0" applyFont="1" applyBorder="1"/>
    <xf numFmtId="0" fontId="10" fillId="0" borderId="98" xfId="0" applyFont="1" applyBorder="1"/>
    <xf numFmtId="0" fontId="3" fillId="5" borderId="98" xfId="0" applyFont="1" applyFill="1" applyBorder="1"/>
    <xf numFmtId="0" fontId="16" fillId="5" borderId="98" xfId="0" applyFont="1" applyFill="1" applyBorder="1"/>
    <xf numFmtId="0" fontId="7" fillId="13" borderId="98" xfId="0" applyFont="1" applyFill="1" applyBorder="1"/>
    <xf numFmtId="0" fontId="22" fillId="5" borderId="98" xfId="0" applyFont="1" applyFill="1" applyBorder="1"/>
    <xf numFmtId="0" fontId="83" fillId="5" borderId="98" xfId="0" applyFont="1" applyFill="1" applyBorder="1"/>
    <xf numFmtId="0" fontId="0" fillId="5" borderId="134" xfId="0" applyFill="1" applyBorder="1"/>
    <xf numFmtId="3" fontId="106" fillId="28" borderId="9" xfId="0" quotePrefix="1" applyNumberFormat="1" applyFont="1" applyFill="1" applyBorder="1" applyAlignment="1">
      <alignment horizontal="left"/>
    </xf>
    <xf numFmtId="3" fontId="106" fillId="0" borderId="4" xfId="0" quotePrefix="1" applyNumberFormat="1" applyFont="1" applyBorder="1" applyAlignment="1">
      <alignment horizontal="left"/>
    </xf>
    <xf numFmtId="3" fontId="27" fillId="0" borderId="4" xfId="0" quotePrefix="1" applyNumberFormat="1" applyFont="1" applyBorder="1" applyAlignment="1">
      <alignment horizontal="left"/>
    </xf>
    <xf numFmtId="3" fontId="27" fillId="0" borderId="4" xfId="0" applyNumberFormat="1" applyFont="1" applyBorder="1" applyAlignment="1">
      <alignment horizontal="left"/>
    </xf>
    <xf numFmtId="3" fontId="106" fillId="0" borderId="4" xfId="0" applyNumberFormat="1" applyFont="1" applyBorder="1" applyAlignment="1">
      <alignment horizontal="left"/>
    </xf>
    <xf numFmtId="3" fontId="27" fillId="0" borderId="135" xfId="0" quotePrefix="1" applyNumberFormat="1" applyFont="1" applyBorder="1" applyAlignment="1">
      <alignment horizontal="left"/>
    </xf>
    <xf numFmtId="0" fontId="7" fillId="13" borderId="4" xfId="0" applyFont="1" applyFill="1" applyBorder="1"/>
    <xf numFmtId="0" fontId="10" fillId="0" borderId="4" xfId="0" applyFont="1" applyBorder="1" applyAlignment="1">
      <alignment horizontal="left"/>
    </xf>
    <xf numFmtId="0" fontId="55" fillId="0" borderId="4" xfId="0" applyFont="1" applyBorder="1" applyAlignment="1">
      <alignment horizontal="left" indent="2"/>
    </xf>
    <xf numFmtId="0" fontId="158" fillId="0" borderId="4" xfId="0" applyFont="1" applyBorder="1" applyAlignment="1">
      <alignment horizontal="left"/>
    </xf>
    <xf numFmtId="0" fontId="7" fillId="0" borderId="135" xfId="0" applyFont="1" applyBorder="1"/>
    <xf numFmtId="3" fontId="167" fillId="0" borderId="4" xfId="0" applyNumberFormat="1" applyFont="1" applyBorder="1" applyAlignment="1">
      <alignment horizontal="left"/>
    </xf>
    <xf numFmtId="3" fontId="167" fillId="0" borderId="135" xfId="0" applyNumberFormat="1" applyFont="1" applyBorder="1" applyAlignment="1">
      <alignment horizontal="left"/>
    </xf>
    <xf numFmtId="3" fontId="26" fillId="0" borderId="4" xfId="0" applyNumberFormat="1" applyFont="1" applyBorder="1" applyAlignment="1">
      <alignment horizontal="left"/>
    </xf>
    <xf numFmtId="3" fontId="26" fillId="0" borderId="135" xfId="0" applyNumberFormat="1" applyFont="1" applyBorder="1" applyAlignment="1">
      <alignment horizontal="left"/>
    </xf>
    <xf numFmtId="0" fontId="10" fillId="11" borderId="24" xfId="0" applyFont="1" applyFill="1" applyBorder="1"/>
    <xf numFmtId="3" fontId="18" fillId="11" borderId="9" xfId="0" quotePrefix="1" applyNumberFormat="1" applyFont="1" applyFill="1" applyBorder="1" applyAlignment="1">
      <alignment horizontal="left"/>
    </xf>
    <xf numFmtId="3" fontId="18" fillId="11" borderId="4" xfId="0" quotePrefix="1" applyNumberFormat="1" applyFont="1" applyFill="1" applyBorder="1" applyAlignment="1">
      <alignment horizontal="left"/>
    </xf>
    <xf numFmtId="3" fontId="7" fillId="0" borderId="4" xfId="0" quotePrefix="1" applyNumberFormat="1" applyFont="1" applyBorder="1" applyAlignment="1">
      <alignment horizontal="left"/>
    </xf>
    <xf numFmtId="0" fontId="10" fillId="11" borderId="7" xfId="0" applyFont="1" applyFill="1" applyBorder="1"/>
    <xf numFmtId="184" fontId="10" fillId="8" borderId="7" xfId="1" applyNumberFormat="1" applyFont="1" applyFill="1" applyBorder="1"/>
    <xf numFmtId="0" fontId="3" fillId="0" borderId="133" xfId="0" applyFont="1" applyBorder="1"/>
    <xf numFmtId="0" fontId="37" fillId="5" borderId="98" xfId="0" applyFont="1" applyFill="1" applyBorder="1"/>
    <xf numFmtId="0" fontId="64" fillId="5" borderId="98" xfId="0" applyFont="1" applyFill="1" applyBorder="1"/>
    <xf numFmtId="0" fontId="38" fillId="5" borderId="98" xfId="0" applyFont="1" applyFill="1" applyBorder="1"/>
    <xf numFmtId="0" fontId="59" fillId="13" borderId="98" xfId="0" applyFont="1" applyFill="1" applyBorder="1"/>
    <xf numFmtId="0" fontId="59" fillId="5" borderId="98" xfId="0" applyFont="1" applyFill="1" applyBorder="1"/>
    <xf numFmtId="0" fontId="59" fillId="5" borderId="134" xfId="0" applyFont="1" applyFill="1" applyBorder="1"/>
    <xf numFmtId="3" fontId="57" fillId="0" borderId="9" xfId="0" applyNumberFormat="1" applyFont="1" applyBorder="1" applyAlignment="1">
      <alignment horizontal="left"/>
    </xf>
    <xf numFmtId="3" fontId="57" fillId="0" borderId="4" xfId="0" quotePrefix="1" applyNumberFormat="1" applyFont="1" applyBorder="1" applyAlignment="1">
      <alignment horizontal="left"/>
    </xf>
    <xf numFmtId="1" fontId="9" fillId="0" borderId="1" xfId="0" applyNumberFormat="1" applyFont="1" applyBorder="1" applyAlignment="1">
      <alignment horizontal="left"/>
    </xf>
    <xf numFmtId="3" fontId="10" fillId="0" borderId="9" xfId="0" applyNumberFormat="1" applyFont="1" applyBorder="1" applyAlignment="1">
      <alignment horizontal="right"/>
    </xf>
    <xf numFmtId="183" fontId="88" fillId="14" borderId="13" xfId="0" applyNumberFormat="1" applyFont="1" applyFill="1" applyBorder="1" applyAlignment="1">
      <alignment horizontal="right"/>
    </xf>
    <xf numFmtId="0" fontId="88" fillId="14" borderId="18" xfId="0" applyFont="1" applyFill="1" applyBorder="1" applyAlignment="1">
      <alignment horizontal="left" indent="1"/>
    </xf>
    <xf numFmtId="183" fontId="89" fillId="14" borderId="0" xfId="0" applyNumberFormat="1" applyFont="1" applyFill="1" applyAlignment="1">
      <alignment horizontal="left"/>
    </xf>
    <xf numFmtId="0" fontId="91" fillId="14" borderId="0" xfId="0" applyFont="1" applyFill="1" applyAlignment="1">
      <alignment horizontal="left" indent="1"/>
    </xf>
    <xf numFmtId="0" fontId="91" fillId="14" borderId="18" xfId="0" applyFont="1" applyFill="1" applyBorder="1" applyAlignment="1">
      <alignment horizontal="left" indent="1"/>
    </xf>
    <xf numFmtId="0" fontId="106" fillId="47" borderId="0" xfId="0" applyFont="1" applyFill="1"/>
    <xf numFmtId="0" fontId="109" fillId="47" borderId="0" xfId="0" applyFont="1" applyFill="1"/>
    <xf numFmtId="0" fontId="37" fillId="0" borderId="130" xfId="0" applyFont="1" applyBorder="1" applyAlignment="1">
      <alignment horizontal="right"/>
    </xf>
    <xf numFmtId="169" fontId="37" fillId="0" borderId="97" xfId="0" applyNumberFormat="1" applyFont="1" applyBorder="1"/>
    <xf numFmtId="0" fontId="36" fillId="0" borderId="97" xfId="0" applyFont="1" applyBorder="1"/>
    <xf numFmtId="0" fontId="59" fillId="5" borderId="130" xfId="0" applyFont="1" applyFill="1" applyBorder="1"/>
    <xf numFmtId="0" fontId="59" fillId="5" borderId="97" xfId="0" quotePrefix="1" applyFont="1" applyFill="1" applyBorder="1"/>
    <xf numFmtId="0" fontId="36" fillId="11" borderId="35" xfId="0" applyFont="1" applyFill="1" applyBorder="1" applyAlignment="1">
      <alignment horizontal="left"/>
    </xf>
    <xf numFmtId="0" fontId="45" fillId="11" borderId="35" xfId="0" applyFont="1" applyFill="1" applyBorder="1"/>
    <xf numFmtId="9" fontId="45" fillId="11" borderId="35" xfId="0" applyNumberFormat="1" applyFont="1" applyFill="1" applyBorder="1" applyAlignment="1">
      <alignment horizontal="right"/>
    </xf>
    <xf numFmtId="0" fontId="46" fillId="0" borderId="97" xfId="0" applyFont="1" applyBorder="1"/>
    <xf numFmtId="0" fontId="59" fillId="0" borderId="97" xfId="0" applyFont="1" applyBorder="1"/>
    <xf numFmtId="43" fontId="47" fillId="11" borderId="32" xfId="1" applyFont="1" applyFill="1" applyBorder="1" applyAlignment="1">
      <alignment horizontal="right"/>
    </xf>
    <xf numFmtId="37" fontId="47" fillId="11" borderId="35" xfId="0" applyNumberFormat="1" applyFont="1" applyFill="1" applyBorder="1" applyAlignment="1">
      <alignment horizontal="right"/>
    </xf>
    <xf numFmtId="37" fontId="45" fillId="11" borderId="97" xfId="0" applyNumberFormat="1" applyFont="1" applyFill="1" applyBorder="1" applyAlignment="1">
      <alignment horizontal="right"/>
    </xf>
    <xf numFmtId="37" fontId="42" fillId="0" borderId="97" xfId="0" applyNumberFormat="1" applyFont="1" applyBorder="1" applyAlignment="1">
      <alignment horizontal="right"/>
    </xf>
    <xf numFmtId="186" fontId="55" fillId="11" borderId="97" xfId="0" applyNumberFormat="1" applyFont="1" applyFill="1" applyBorder="1" applyAlignment="1">
      <alignment horizontal="right"/>
    </xf>
    <xf numFmtId="37" fontId="55" fillId="0" borderId="97" xfId="0" applyNumberFormat="1" applyFont="1" applyBorder="1" applyAlignment="1">
      <alignment horizontal="right"/>
    </xf>
    <xf numFmtId="37" fontId="47" fillId="11" borderId="97" xfId="0" applyNumberFormat="1" applyFont="1" applyFill="1" applyBorder="1" applyAlignment="1">
      <alignment horizontal="right"/>
    </xf>
    <xf numFmtId="2" fontId="47" fillId="11" borderId="35" xfId="0" applyNumberFormat="1" applyFont="1" applyFill="1" applyBorder="1" applyAlignment="1">
      <alignment horizontal="right"/>
    </xf>
    <xf numFmtId="2" fontId="55" fillId="11" borderId="97" xfId="0" applyNumberFormat="1" applyFont="1" applyFill="1" applyBorder="1" applyAlignment="1">
      <alignment horizontal="right"/>
    </xf>
    <xf numFmtId="2" fontId="47" fillId="11" borderId="97" xfId="0" applyNumberFormat="1" applyFont="1" applyFill="1" applyBorder="1" applyAlignment="1">
      <alignment horizontal="right"/>
    </xf>
    <xf numFmtId="1" fontId="45" fillId="0" borderId="97" xfId="0" applyNumberFormat="1" applyFont="1" applyBorder="1" applyAlignment="1">
      <alignment horizontal="right"/>
    </xf>
    <xf numFmtId="2" fontId="42" fillId="0" borderId="97" xfId="0" applyNumberFormat="1" applyFont="1" applyBorder="1" applyAlignment="1">
      <alignment horizontal="right"/>
    </xf>
    <xf numFmtId="37" fontId="55" fillId="57" borderId="97" xfId="0" applyNumberFormat="1" applyFont="1" applyFill="1" applyBorder="1" applyAlignment="1">
      <alignment horizontal="right"/>
    </xf>
    <xf numFmtId="37" fontId="78" fillId="0" borderId="97" xfId="0" applyNumberFormat="1" applyFont="1" applyBorder="1" applyAlignment="1">
      <alignment horizontal="right"/>
    </xf>
    <xf numFmtId="37" fontId="59" fillId="0" borderId="97" xfId="0" applyNumberFormat="1" applyFont="1" applyBorder="1" applyAlignment="1">
      <alignment horizontal="right"/>
    </xf>
    <xf numFmtId="2" fontId="64" fillId="5" borderId="97" xfId="0" applyNumberFormat="1" applyFont="1" applyFill="1" applyBorder="1" applyAlignment="1">
      <alignment horizontal="right"/>
    </xf>
    <xf numFmtId="0" fontId="45" fillId="0" borderId="130" xfId="0" applyFont="1" applyBorder="1" applyAlignment="1">
      <alignment horizontal="right"/>
    </xf>
    <xf numFmtId="0" fontId="45" fillId="0" borderId="130" xfId="0" applyFont="1" applyBorder="1" applyAlignment="1">
      <alignment horizontal="left"/>
    </xf>
    <xf numFmtId="0" fontId="37" fillId="16" borderId="130" xfId="0" applyFont="1" applyFill="1" applyBorder="1"/>
    <xf numFmtId="0" fontId="78" fillId="30" borderId="130" xfId="0" applyFont="1" applyFill="1" applyBorder="1" applyAlignment="1">
      <alignment horizontal="right"/>
    </xf>
    <xf numFmtId="0" fontId="44" fillId="0" borderId="124" xfId="0" applyFont="1" applyBorder="1" applyAlignment="1">
      <alignment horizontal="left"/>
    </xf>
    <xf numFmtId="0" fontId="44" fillId="0" borderId="124" xfId="0" applyFont="1" applyBorder="1"/>
    <xf numFmtId="0" fontId="3" fillId="0" borderId="134" xfId="0" applyFont="1" applyBorder="1"/>
    <xf numFmtId="0" fontId="0" fillId="0" borderId="127" xfId="0" applyBorder="1"/>
    <xf numFmtId="0" fontId="44" fillId="0" borderId="127" xfId="0" applyFont="1" applyBorder="1"/>
    <xf numFmtId="0" fontId="44" fillId="0" borderId="127" xfId="0" applyFont="1" applyBorder="1" applyAlignment="1">
      <alignment horizontal="right"/>
    </xf>
    <xf numFmtId="0" fontId="23" fillId="0" borderId="127" xfId="0" applyFont="1" applyBorder="1"/>
    <xf numFmtId="0" fontId="23" fillId="13" borderId="131" xfId="0" applyFont="1" applyFill="1" applyBorder="1" applyAlignment="1">
      <alignment horizontal="right"/>
    </xf>
    <xf numFmtId="0" fontId="3" fillId="0" borderId="124" xfId="0" applyFont="1" applyBorder="1"/>
    <xf numFmtId="0" fontId="3" fillId="0" borderId="127" xfId="0" applyFont="1" applyBorder="1" applyAlignment="1">
      <alignment horizontal="right"/>
    </xf>
    <xf numFmtId="0" fontId="0" fillId="0" borderId="127" xfId="0" applyBorder="1" applyAlignment="1">
      <alignment horizontal="right"/>
    </xf>
    <xf numFmtId="0" fontId="44" fillId="0" borderId="124" xfId="0" applyFont="1" applyBorder="1" applyAlignment="1">
      <alignment horizontal="left" shrinkToFit="1"/>
    </xf>
    <xf numFmtId="0" fontId="0" fillId="0" borderId="124" xfId="0" applyBorder="1"/>
    <xf numFmtId="0" fontId="11" fillId="5" borderId="134" xfId="0" applyFont="1" applyFill="1" applyBorder="1"/>
    <xf numFmtId="0" fontId="0" fillId="5" borderId="127" xfId="0" applyFill="1" applyBorder="1"/>
    <xf numFmtId="0" fontId="74" fillId="5" borderId="127" xfId="0" applyFont="1" applyFill="1" applyBorder="1"/>
    <xf numFmtId="0" fontId="74" fillId="5" borderId="127" xfId="0" applyFont="1" applyFill="1" applyBorder="1" applyAlignment="1">
      <alignment horizontal="right"/>
    </xf>
    <xf numFmtId="0" fontId="110" fillId="5" borderId="131" xfId="0" applyFont="1" applyFill="1" applyBorder="1" applyAlignment="1">
      <alignment horizontal="right"/>
    </xf>
    <xf numFmtId="175" fontId="41" fillId="0" borderId="0" xfId="0" applyNumberFormat="1" applyFont="1"/>
    <xf numFmtId="175" fontId="64" fillId="5" borderId="60" xfId="0" applyNumberFormat="1" applyFont="1" applyFill="1" applyBorder="1"/>
    <xf numFmtId="9" fontId="64" fillId="5" borderId="60" xfId="0" applyNumberFormat="1" applyFont="1" applyFill="1" applyBorder="1"/>
    <xf numFmtId="179" fontId="64" fillId="0" borderId="96" xfId="0" applyNumberFormat="1" applyFont="1" applyBorder="1" applyAlignment="1">
      <alignment horizontal="right"/>
    </xf>
    <xf numFmtId="175" fontId="62" fillId="67" borderId="22" xfId="2" applyNumberFormat="1" applyFont="1" applyFill="1" applyBorder="1" applyAlignment="1">
      <alignment horizontal="right" vertical="justify"/>
    </xf>
    <xf numFmtId="175" fontId="178" fillId="0" borderId="0" xfId="0" applyNumberFormat="1" applyFont="1"/>
    <xf numFmtId="0" fontId="106" fillId="29" borderId="0" xfId="0" applyFont="1" applyFill="1"/>
    <xf numFmtId="0" fontId="108" fillId="29" borderId="0" xfId="0" applyFont="1" applyFill="1"/>
    <xf numFmtId="170" fontId="26" fillId="29" borderId="0" xfId="0" applyNumberFormat="1" applyFont="1" applyFill="1"/>
    <xf numFmtId="0" fontId="118" fillId="29" borderId="0" xfId="0" applyFont="1" applyFill="1" applyAlignment="1">
      <alignment horizontal="right"/>
    </xf>
    <xf numFmtId="170" fontId="230" fillId="29" borderId="0" xfId="0" applyNumberFormat="1" applyFont="1" applyFill="1" applyAlignment="1">
      <alignment horizontal="right"/>
    </xf>
    <xf numFmtId="0" fontId="37" fillId="0" borderId="106" xfId="0" applyFont="1" applyBorder="1" applyAlignment="1">
      <alignment horizontal="right"/>
    </xf>
    <xf numFmtId="1" fontId="74" fillId="0" borderId="138" xfId="0" applyNumberFormat="1" applyFont="1" applyBorder="1" applyAlignment="1">
      <alignment horizontal="right"/>
    </xf>
    <xf numFmtId="175" fontId="37" fillId="0" borderId="107" xfId="0" applyNumberFormat="1" applyFont="1" applyBorder="1" applyAlignment="1">
      <alignment horizontal="right"/>
    </xf>
    <xf numFmtId="175" fontId="79" fillId="0" borderId="107" xfId="0" applyNumberFormat="1" applyFont="1" applyBorder="1" applyAlignment="1">
      <alignment horizontal="right"/>
    </xf>
    <xf numFmtId="0" fontId="37" fillId="0" borderId="107" xfId="0" applyFont="1" applyBorder="1" applyAlignment="1">
      <alignment horizontal="right"/>
    </xf>
    <xf numFmtId="175" fontId="44" fillId="0" borderId="106" xfId="0" applyNumberFormat="1" applyFont="1" applyBorder="1" applyAlignment="1">
      <alignment horizontal="right"/>
    </xf>
    <xf numFmtId="175" fontId="65" fillId="18" borderId="139" xfId="8" applyNumberFormat="1" applyFont="1" applyFill="1" applyBorder="1" applyAlignment="1">
      <alignment horizontal="right"/>
    </xf>
    <xf numFmtId="9" fontId="71" fillId="18" borderId="107" xfId="8" applyNumberFormat="1" applyFont="1" applyFill="1" applyBorder="1" applyAlignment="1">
      <alignment horizontal="right"/>
    </xf>
    <xf numFmtId="9" fontId="71" fillId="0" borderId="107" xfId="8" applyNumberFormat="1" applyFont="1" applyFill="1" applyBorder="1" applyAlignment="1">
      <alignment horizontal="right"/>
    </xf>
    <xf numFmtId="0" fontId="10" fillId="8" borderId="23" xfId="0" applyFont="1" applyFill="1" applyBorder="1" applyAlignment="1">
      <alignment horizontal="right"/>
    </xf>
    <xf numFmtId="184" fontId="10" fillId="8" borderId="23" xfId="1" applyNumberFormat="1" applyFont="1" applyFill="1" applyBorder="1" applyAlignment="1">
      <alignment horizontal="right"/>
    </xf>
    <xf numFmtId="1" fontId="32" fillId="8" borderId="23" xfId="0" applyNumberFormat="1" applyFont="1" applyFill="1" applyBorder="1" applyAlignment="1">
      <alignment horizontal="right"/>
    </xf>
    <xf numFmtId="1" fontId="10" fillId="0" borderId="11" xfId="0" applyNumberFormat="1" applyFont="1" applyBorder="1" applyAlignment="1">
      <alignment horizontal="right"/>
    </xf>
    <xf numFmtId="1" fontId="10" fillId="0" borderId="14" xfId="0" applyNumberFormat="1" applyFont="1" applyBorder="1" applyAlignment="1">
      <alignment horizontal="right"/>
    </xf>
    <xf numFmtId="1" fontId="7" fillId="0" borderId="11" xfId="0" applyNumberFormat="1" applyFont="1" applyBorder="1" applyAlignment="1">
      <alignment horizontal="right"/>
    </xf>
    <xf numFmtId="1" fontId="7" fillId="0" borderId="11" xfId="1" applyNumberFormat="1" applyFont="1" applyFill="1" applyBorder="1" applyAlignment="1" applyProtection="1">
      <alignment horizontal="right"/>
    </xf>
    <xf numFmtId="1" fontId="0" fillId="0" borderId="14" xfId="0" applyNumberFormat="1" applyBorder="1" applyAlignment="1">
      <alignment horizontal="right"/>
    </xf>
    <xf numFmtId="1" fontId="10" fillId="8" borderId="23" xfId="0" applyNumberFormat="1" applyFont="1" applyFill="1" applyBorder="1" applyAlignment="1">
      <alignment horizontal="right"/>
    </xf>
    <xf numFmtId="175" fontId="43" fillId="0" borderId="14" xfId="0" applyNumberFormat="1" applyFont="1" applyBorder="1" applyAlignment="1">
      <alignment horizontal="right"/>
    </xf>
    <xf numFmtId="0" fontId="10" fillId="8" borderId="143" xfId="0" applyFont="1" applyFill="1" applyBorder="1" applyAlignment="1">
      <alignment horizontal="right"/>
    </xf>
    <xf numFmtId="1" fontId="10" fillId="0" borderId="144" xfId="0" applyNumberFormat="1" applyFont="1" applyBorder="1" applyAlignment="1">
      <alignment horizontal="right"/>
    </xf>
    <xf numFmtId="1" fontId="7" fillId="0" borderId="144" xfId="0" applyNumberFormat="1" applyFont="1" applyBorder="1" applyAlignment="1">
      <alignment horizontal="right"/>
    </xf>
    <xf numFmtId="3" fontId="10" fillId="8" borderId="23" xfId="0" applyNumberFormat="1" applyFont="1" applyFill="1" applyBorder="1" applyAlignment="1">
      <alignment horizontal="right"/>
    </xf>
    <xf numFmtId="3" fontId="10" fillId="0" borderId="11" xfId="0" applyNumberFormat="1" applyFont="1" applyBorder="1" applyAlignment="1">
      <alignment horizontal="right"/>
    </xf>
    <xf numFmtId="3" fontId="7" fillId="0" borderId="14" xfId="0" applyNumberFormat="1" applyFont="1" applyBorder="1" applyAlignment="1">
      <alignment horizontal="right"/>
    </xf>
    <xf numFmtId="3" fontId="0" fillId="0" borderId="14" xfId="0" applyNumberFormat="1" applyBorder="1" applyAlignment="1">
      <alignment horizontal="right"/>
    </xf>
    <xf numFmtId="3" fontId="3" fillId="8" borderId="23" xfId="0" applyNumberFormat="1" applyFont="1" applyFill="1" applyBorder="1" applyAlignment="1">
      <alignment horizontal="right"/>
    </xf>
    <xf numFmtId="3" fontId="10" fillId="8" borderId="143" xfId="0" applyNumberFormat="1" applyFont="1" applyFill="1" applyBorder="1" applyAlignment="1">
      <alignment horizontal="right"/>
    </xf>
    <xf numFmtId="3" fontId="10" fillId="0" borderId="144" xfId="0" applyNumberFormat="1" applyFont="1" applyBorder="1" applyAlignment="1">
      <alignment horizontal="right"/>
    </xf>
    <xf numFmtId="175" fontId="10" fillId="0" borderId="11" xfId="0" applyNumberFormat="1" applyFont="1" applyBorder="1" applyAlignment="1">
      <alignment horizontal="right"/>
    </xf>
    <xf numFmtId="1" fontId="47" fillId="8" borderId="23" xfId="0" applyNumberFormat="1" applyFont="1" applyFill="1" applyBorder="1" applyAlignment="1">
      <alignment horizontal="right"/>
    </xf>
    <xf numFmtId="3" fontId="19" fillId="0" borderId="11" xfId="0" quotePrefix="1" applyNumberFormat="1" applyFont="1" applyBorder="1" applyAlignment="1">
      <alignment horizontal="left"/>
    </xf>
    <xf numFmtId="3" fontId="62" fillId="0" borderId="11" xfId="0" quotePrefix="1" applyNumberFormat="1" applyFont="1" applyBorder="1" applyAlignment="1">
      <alignment horizontal="right"/>
    </xf>
    <xf numFmtId="168" fontId="7" fillId="0" borderId="11" xfId="0" applyNumberFormat="1" applyFont="1" applyBorder="1" applyAlignment="1">
      <alignment horizontal="right"/>
    </xf>
    <xf numFmtId="168" fontId="10" fillId="0" borderId="11" xfId="0" applyNumberFormat="1" applyFont="1" applyBorder="1" applyAlignment="1">
      <alignment horizontal="right"/>
    </xf>
    <xf numFmtId="168" fontId="10" fillId="0" borderId="14" xfId="1" applyNumberFormat="1" applyFont="1" applyFill="1" applyBorder="1" applyAlignment="1" applyProtection="1">
      <alignment horizontal="right"/>
    </xf>
    <xf numFmtId="3" fontId="10" fillId="0" borderId="14" xfId="0" applyNumberFormat="1" applyFont="1" applyBorder="1" applyAlignment="1">
      <alignment horizontal="right"/>
    </xf>
    <xf numFmtId="167" fontId="10" fillId="0" borderId="11" xfId="0" applyNumberFormat="1" applyFont="1" applyBorder="1" applyAlignment="1">
      <alignment horizontal="right"/>
    </xf>
    <xf numFmtId="1" fontId="47" fillId="8" borderId="143" xfId="0" applyNumberFormat="1" applyFont="1" applyFill="1" applyBorder="1" applyAlignment="1">
      <alignment horizontal="right"/>
    </xf>
    <xf numFmtId="3" fontId="62" fillId="0" borderId="144" xfId="0" quotePrefix="1" applyNumberFormat="1" applyFont="1" applyBorder="1" applyAlignment="1">
      <alignment horizontal="right"/>
    </xf>
    <xf numFmtId="0" fontId="13" fillId="23" borderId="146" xfId="0" applyFont="1" applyFill="1" applyBorder="1"/>
    <xf numFmtId="0" fontId="5" fillId="23" borderId="124" xfId="0" applyFont="1" applyFill="1" applyBorder="1"/>
    <xf numFmtId="1" fontId="46" fillId="23" borderId="124" xfId="0" applyNumberFormat="1" applyFont="1" applyFill="1" applyBorder="1" applyAlignment="1">
      <alignment horizontal="right"/>
    </xf>
    <xf numFmtId="1" fontId="46" fillId="23" borderId="124" xfId="0" applyNumberFormat="1" applyFont="1" applyFill="1" applyBorder="1"/>
    <xf numFmtId="1" fontId="45" fillId="23" borderId="110" xfId="0" applyNumberFormat="1" applyFont="1" applyFill="1" applyBorder="1" applyAlignment="1">
      <alignment horizontal="right"/>
    </xf>
    <xf numFmtId="1" fontId="36" fillId="23" borderId="124" xfId="0" applyNumberFormat="1" applyFont="1" applyFill="1" applyBorder="1" applyAlignment="1">
      <alignment horizontal="right"/>
    </xf>
    <xf numFmtId="1" fontId="147" fillId="23" borderId="0" xfId="0" applyNumberFormat="1" applyFont="1" applyFill="1" applyAlignment="1">
      <alignment horizontal="right"/>
    </xf>
    <xf numFmtId="1" fontId="42" fillId="23" borderId="0" xfId="0" applyNumberFormat="1" applyFont="1" applyFill="1" applyAlignment="1">
      <alignment horizontal="right"/>
    </xf>
    <xf numFmtId="3" fontId="144" fillId="23" borderId="0" xfId="8" applyNumberFormat="1" applyFont="1" applyFill="1" applyBorder="1" applyAlignment="1">
      <alignment horizontal="right"/>
    </xf>
    <xf numFmtId="0" fontId="20" fillId="0" borderId="98" xfId="0" applyFont="1" applyBorder="1"/>
    <xf numFmtId="0" fontId="43" fillId="0" borderId="98" xfId="0" applyFont="1" applyBorder="1"/>
    <xf numFmtId="184" fontId="38" fillId="0" borderId="79" xfId="1" applyNumberFormat="1" applyFont="1" applyBorder="1" applyAlignment="1">
      <alignment horizontal="right"/>
    </xf>
    <xf numFmtId="184" fontId="144" fillId="0" borderId="0" xfId="1" applyNumberFormat="1" applyFont="1" applyBorder="1" applyAlignment="1">
      <alignment horizontal="right" vertical="center" wrapText="1"/>
    </xf>
    <xf numFmtId="184" fontId="38" fillId="0" borderId="0" xfId="1" applyNumberFormat="1" applyFont="1"/>
    <xf numFmtId="169" fontId="67" fillId="23" borderId="148" xfId="0" applyNumberFormat="1" applyFont="1" applyFill="1" applyBorder="1" applyAlignment="1">
      <alignment horizontal="right"/>
    </xf>
    <xf numFmtId="169" fontId="39" fillId="23" borderId="148" xfId="0" applyNumberFormat="1" applyFont="1" applyFill="1" applyBorder="1" applyAlignment="1">
      <alignment horizontal="right"/>
    </xf>
    <xf numFmtId="169" fontId="15" fillId="23" borderId="148" xfId="0" applyNumberFormat="1" applyFont="1" applyFill="1" applyBorder="1" applyAlignment="1">
      <alignment horizontal="right"/>
    </xf>
    <xf numFmtId="169" fontId="80" fillId="23" borderId="148" xfId="0" applyNumberFormat="1" applyFont="1" applyFill="1" applyBorder="1" applyAlignment="1">
      <alignment horizontal="right"/>
    </xf>
    <xf numFmtId="175" fontId="156" fillId="11" borderId="2" xfId="0" applyNumberFormat="1" applyFont="1" applyFill="1" applyBorder="1" applyAlignment="1">
      <alignment horizontal="right"/>
    </xf>
    <xf numFmtId="179" fontId="156" fillId="0" borderId="0" xfId="0" applyNumberFormat="1" applyFont="1"/>
    <xf numFmtId="179" fontId="157" fillId="0" borderId="0" xfId="0" applyNumberFormat="1" applyFont="1"/>
    <xf numFmtId="179" fontId="157" fillId="0" borderId="3" xfId="0" applyNumberFormat="1" applyFont="1" applyBorder="1"/>
    <xf numFmtId="3" fontId="157" fillId="0" borderId="3" xfId="0" applyNumberFormat="1" applyFont="1" applyBorder="1"/>
    <xf numFmtId="184" fontId="157" fillId="0" borderId="3" xfId="0" applyNumberFormat="1" applyFont="1" applyBorder="1"/>
    <xf numFmtId="175" fontId="156" fillId="11" borderId="2" xfId="2" applyNumberFormat="1" applyFont="1" applyFill="1" applyBorder="1" applyAlignment="1">
      <alignment horizontal="right" vertical="justify"/>
    </xf>
    <xf numFmtId="175" fontId="157" fillId="0" borderId="3" xfId="2" applyNumberFormat="1" applyFont="1" applyFill="1" applyBorder="1" applyAlignment="1" applyProtection="1">
      <alignment horizontal="right"/>
    </xf>
    <xf numFmtId="9" fontId="157" fillId="0" borderId="28" xfId="2" applyFont="1" applyFill="1" applyBorder="1" applyAlignment="1" applyProtection="1">
      <alignment horizontal="right"/>
    </xf>
    <xf numFmtId="9" fontId="156" fillId="0" borderId="28" xfId="2" applyFont="1" applyFill="1" applyBorder="1" applyAlignment="1" applyProtection="1">
      <alignment horizontal="right"/>
    </xf>
    <xf numFmtId="175" fontId="156" fillId="11" borderId="6" xfId="2" applyNumberFormat="1" applyFont="1" applyFill="1" applyBorder="1" applyAlignment="1">
      <alignment horizontal="right" vertical="justify"/>
    </xf>
    <xf numFmtId="9" fontId="156" fillId="0" borderId="3" xfId="2" applyFont="1" applyFill="1" applyBorder="1" applyAlignment="1">
      <alignment horizontal="right" vertical="justify"/>
    </xf>
    <xf numFmtId="175" fontId="157" fillId="0" borderId="3" xfId="2" applyNumberFormat="1" applyFont="1" applyFill="1" applyBorder="1" applyAlignment="1">
      <alignment horizontal="right" vertical="justify"/>
    </xf>
    <xf numFmtId="175" fontId="156" fillId="0" borderId="3" xfId="2" applyNumberFormat="1" applyFont="1" applyFill="1" applyBorder="1" applyAlignment="1">
      <alignment horizontal="right" vertical="justify"/>
    </xf>
    <xf numFmtId="167" fontId="156" fillId="0" borderId="3" xfId="2" applyNumberFormat="1" applyFont="1" applyFill="1" applyBorder="1" applyAlignment="1">
      <alignment horizontal="right" vertical="justify"/>
    </xf>
    <xf numFmtId="167" fontId="156" fillId="0" borderId="6" xfId="2" applyNumberFormat="1" applyFont="1" applyFill="1" applyBorder="1" applyAlignment="1">
      <alignment horizontal="right" vertical="justify"/>
    </xf>
    <xf numFmtId="176" fontId="7" fillId="0" borderId="144" xfId="0" applyNumberFormat="1" applyFont="1" applyBorder="1" applyAlignment="1">
      <alignment horizontal="right"/>
    </xf>
    <xf numFmtId="1" fontId="10" fillId="0" borderId="145" xfId="1" applyNumberFormat="1" applyFont="1" applyFill="1" applyBorder="1" applyAlignment="1" applyProtection="1">
      <alignment horizontal="right"/>
    </xf>
    <xf numFmtId="184" fontId="7" fillId="0" borderId="3" xfId="1" applyNumberFormat="1" applyFont="1" applyBorder="1" applyAlignment="1">
      <alignment horizontal="right"/>
    </xf>
    <xf numFmtId="3" fontId="7" fillId="0" borderId="144" xfId="0" applyNumberFormat="1" applyFont="1" applyBorder="1" applyAlignment="1">
      <alignment horizontal="right"/>
    </xf>
    <xf numFmtId="3" fontId="7" fillId="0" borderId="145" xfId="0" applyNumberFormat="1" applyFont="1" applyBorder="1" applyAlignment="1">
      <alignment horizontal="right"/>
    </xf>
    <xf numFmtId="175" fontId="10" fillId="8" borderId="1" xfId="2" applyNumberFormat="1" applyFont="1" applyFill="1" applyBorder="1" applyAlignment="1">
      <alignment horizontal="right"/>
    </xf>
    <xf numFmtId="175" fontId="62" fillId="23" borderId="149" xfId="0" applyNumberFormat="1" applyFont="1" applyFill="1" applyBorder="1" applyAlignment="1">
      <alignment horizontal="right"/>
    </xf>
    <xf numFmtId="169" fontId="44" fillId="23" borderId="148" xfId="0" applyNumberFormat="1" applyFont="1" applyFill="1" applyBorder="1" applyAlignment="1">
      <alignment horizontal="right"/>
    </xf>
    <xf numFmtId="169" fontId="66" fillId="23" borderId="148" xfId="0" applyNumberFormat="1" applyFont="1" applyFill="1" applyBorder="1" applyAlignment="1">
      <alignment horizontal="right"/>
    </xf>
    <xf numFmtId="169" fontId="80" fillId="13" borderId="148" xfId="0" applyNumberFormat="1" applyFont="1" applyFill="1" applyBorder="1" applyAlignment="1">
      <alignment horizontal="right"/>
    </xf>
    <xf numFmtId="175" fontId="62" fillId="23" borderId="151" xfId="0" applyNumberFormat="1" applyFont="1" applyFill="1" applyBorder="1" applyAlignment="1">
      <alignment horizontal="right"/>
    </xf>
    <xf numFmtId="1" fontId="10" fillId="8" borderId="143" xfId="0" applyNumberFormat="1" applyFont="1" applyFill="1" applyBorder="1" applyAlignment="1">
      <alignment horizontal="right"/>
    </xf>
    <xf numFmtId="1" fontId="10" fillId="0" borderId="145" xfId="0" applyNumberFormat="1" applyFont="1" applyBorder="1" applyAlignment="1">
      <alignment horizontal="right"/>
    </xf>
    <xf numFmtId="1" fontId="7" fillId="0" borderId="144" xfId="1" applyNumberFormat="1" applyFont="1" applyFill="1" applyBorder="1" applyAlignment="1" applyProtection="1">
      <alignment horizontal="right"/>
    </xf>
    <xf numFmtId="1" fontId="7" fillId="0" borderId="145" xfId="0" applyNumberFormat="1" applyFont="1" applyBorder="1" applyAlignment="1">
      <alignment horizontal="right"/>
    </xf>
    <xf numFmtId="175" fontId="32" fillId="0" borderId="145" xfId="0" applyNumberFormat="1" applyFont="1" applyBorder="1" applyAlignment="1">
      <alignment horizontal="right"/>
    </xf>
    <xf numFmtId="0" fontId="10" fillId="8" borderId="140" xfId="0" applyFont="1" applyFill="1" applyBorder="1" applyAlignment="1">
      <alignment horizontal="right"/>
    </xf>
    <xf numFmtId="184" fontId="10" fillId="8" borderId="140" xfId="1" applyNumberFormat="1" applyFont="1" applyFill="1" applyBorder="1" applyAlignment="1">
      <alignment horizontal="right"/>
    </xf>
    <xf numFmtId="1" fontId="32" fillId="8" borderId="140" xfId="0" applyNumberFormat="1" applyFont="1" applyFill="1" applyBorder="1" applyAlignment="1">
      <alignment horizontal="right"/>
    </xf>
    <xf numFmtId="1" fontId="10" fillId="0" borderId="141" xfId="0" applyNumberFormat="1" applyFont="1" applyBorder="1" applyAlignment="1">
      <alignment horizontal="right"/>
    </xf>
    <xf numFmtId="1" fontId="10" fillId="0" borderId="142" xfId="0" applyNumberFormat="1" applyFont="1" applyBorder="1" applyAlignment="1">
      <alignment horizontal="right"/>
    </xf>
    <xf numFmtId="1" fontId="7" fillId="0" borderId="141" xfId="0" applyNumberFormat="1" applyFont="1" applyBorder="1" applyAlignment="1">
      <alignment horizontal="right"/>
    </xf>
    <xf numFmtId="1" fontId="7" fillId="0" borderId="141" xfId="1" applyNumberFormat="1" applyFont="1" applyFill="1" applyBorder="1" applyAlignment="1" applyProtection="1">
      <alignment horizontal="right"/>
    </xf>
    <xf numFmtId="1" fontId="7" fillId="0" borderId="142" xfId="0" applyNumberFormat="1" applyFont="1" applyBorder="1" applyAlignment="1">
      <alignment horizontal="right"/>
    </xf>
    <xf numFmtId="9" fontId="55" fillId="0" borderId="153" xfId="9" applyNumberFormat="1" applyFont="1" applyFill="1" applyBorder="1" applyAlignment="1">
      <alignment horizontal="right" vertical="center" wrapText="1"/>
    </xf>
    <xf numFmtId="1" fontId="15" fillId="0" borderId="153" xfId="0" applyNumberFormat="1" applyFont="1" applyBorder="1" applyAlignment="1">
      <alignment horizontal="right"/>
    </xf>
    <xf numFmtId="1" fontId="77" fillId="0" borderId="153" xfId="0" applyNumberFormat="1" applyFont="1" applyBorder="1" applyAlignment="1">
      <alignment horizontal="right"/>
    </xf>
    <xf numFmtId="3" fontId="31" fillId="0" borderId="153" xfId="9" applyNumberFormat="1" applyFont="1" applyFill="1" applyBorder="1" applyAlignment="1">
      <alignment horizontal="right" vertical="center" wrapText="1"/>
    </xf>
    <xf numFmtId="1" fontId="76" fillId="0" borderId="153" xfId="0" applyNumberFormat="1" applyFont="1" applyBorder="1" applyAlignment="1">
      <alignment horizontal="right"/>
    </xf>
    <xf numFmtId="184" fontId="38" fillId="0" borderId="155" xfId="1" applyNumberFormat="1" applyFont="1" applyFill="1" applyBorder="1" applyAlignment="1">
      <alignment horizontal="right"/>
    </xf>
    <xf numFmtId="1" fontId="39" fillId="0" borderId="153" xfId="0" applyNumberFormat="1" applyFont="1" applyBorder="1" applyAlignment="1">
      <alignment horizontal="right"/>
    </xf>
    <xf numFmtId="1" fontId="75" fillId="0" borderId="153" xfId="0" applyNumberFormat="1" applyFont="1" applyBorder="1" applyAlignment="1">
      <alignment horizontal="right"/>
    </xf>
    <xf numFmtId="184" fontId="144" fillId="0" borderId="153" xfId="1" applyNumberFormat="1" applyFont="1" applyFill="1" applyBorder="1" applyAlignment="1">
      <alignment horizontal="right" vertical="center" wrapText="1"/>
    </xf>
    <xf numFmtId="3" fontId="37" fillId="0" borderId="153" xfId="0" applyNumberFormat="1" applyFont="1" applyBorder="1" applyAlignment="1">
      <alignment horizontal="right"/>
    </xf>
    <xf numFmtId="1" fontId="42" fillId="0" borderId="153" xfId="0" applyNumberFormat="1" applyFont="1" applyBorder="1" applyAlignment="1">
      <alignment horizontal="right"/>
    </xf>
    <xf numFmtId="169" fontId="15" fillId="26" borderId="154" xfId="0" applyNumberFormat="1" applyFont="1" applyFill="1" applyBorder="1" applyAlignment="1">
      <alignment horizontal="right"/>
    </xf>
    <xf numFmtId="1" fontId="42" fillId="26" borderId="154" xfId="0" applyNumberFormat="1" applyFont="1" applyFill="1" applyBorder="1" applyAlignment="1">
      <alignment horizontal="right"/>
    </xf>
    <xf numFmtId="169" fontId="43" fillId="26" borderId="157" xfId="0" applyNumberFormat="1" applyFont="1" applyFill="1" applyBorder="1" applyAlignment="1">
      <alignment horizontal="right"/>
    </xf>
    <xf numFmtId="1" fontId="66" fillId="23" borderId="147" xfId="0" applyNumberFormat="1" applyFont="1" applyFill="1" applyBorder="1" applyAlignment="1">
      <alignment horizontal="right"/>
    </xf>
    <xf numFmtId="1" fontId="38" fillId="23" borderId="148" xfId="0" applyNumberFormat="1" applyFont="1" applyFill="1" applyBorder="1" applyAlignment="1">
      <alignment horizontal="right"/>
    </xf>
    <xf numFmtId="37" fontId="10" fillId="0" borderId="34" xfId="0" applyNumberFormat="1" applyFont="1" applyBorder="1" applyAlignment="1">
      <alignment horizontal="right"/>
    </xf>
    <xf numFmtId="37" fontId="10" fillId="0" borderId="35" xfId="0" applyNumberFormat="1" applyFont="1" applyBorder="1" applyAlignment="1">
      <alignment horizontal="right"/>
    </xf>
    <xf numFmtId="37" fontId="10" fillId="0" borderId="36" xfId="0" applyNumberFormat="1" applyFont="1" applyBorder="1" applyAlignment="1">
      <alignment horizontal="right"/>
    </xf>
    <xf numFmtId="9" fontId="7" fillId="0" borderId="34" xfId="2" applyFont="1" applyFill="1" applyBorder="1" applyAlignment="1" applyProtection="1">
      <alignment horizontal="right"/>
    </xf>
    <xf numFmtId="9" fontId="7" fillId="0" borderId="35" xfId="2" applyFont="1" applyFill="1" applyBorder="1" applyAlignment="1" applyProtection="1">
      <alignment horizontal="right"/>
    </xf>
    <xf numFmtId="9" fontId="7" fillId="0" borderId="36" xfId="2" applyFont="1" applyFill="1" applyBorder="1" applyAlignment="1" applyProtection="1">
      <alignment horizontal="right"/>
    </xf>
    <xf numFmtId="43" fontId="10" fillId="0" borderId="34" xfId="1" applyFont="1" applyFill="1" applyBorder="1" applyAlignment="1">
      <alignment horizontal="right"/>
    </xf>
    <xf numFmtId="43" fontId="10" fillId="0" borderId="26" xfId="1" applyFont="1" applyFill="1" applyBorder="1" applyAlignment="1">
      <alignment horizontal="right"/>
    </xf>
    <xf numFmtId="43" fontId="10" fillId="0" borderId="27" xfId="1" applyFont="1" applyFill="1" applyBorder="1" applyAlignment="1">
      <alignment horizontal="right"/>
    </xf>
    <xf numFmtId="37" fontId="10" fillId="0" borderId="31" xfId="0" applyNumberFormat="1" applyFont="1" applyBorder="1" applyAlignment="1">
      <alignment horizontal="right"/>
    </xf>
    <xf numFmtId="37" fontId="10" fillId="0" borderId="32" xfId="0" applyNumberFormat="1" applyFont="1" applyBorder="1" applyAlignment="1">
      <alignment horizontal="right"/>
    </xf>
    <xf numFmtId="37" fontId="62" fillId="0" borderId="23" xfId="0" applyNumberFormat="1" applyFont="1" applyBorder="1" applyAlignment="1">
      <alignment horizontal="right"/>
    </xf>
    <xf numFmtId="37" fontId="104" fillId="0" borderId="34" xfId="0" applyNumberFormat="1" applyFont="1" applyBorder="1" applyAlignment="1">
      <alignment horizontal="right"/>
    </xf>
    <xf numFmtId="37" fontId="179" fillId="0" borderId="35" xfId="0" applyNumberFormat="1" applyFont="1" applyBorder="1" applyAlignment="1">
      <alignment horizontal="right"/>
    </xf>
    <xf numFmtId="37" fontId="54" fillId="0" borderId="33" xfId="0" applyNumberFormat="1" applyFont="1" applyBorder="1" applyAlignment="1">
      <alignment horizontal="right"/>
    </xf>
    <xf numFmtId="37" fontId="20" fillId="0" borderId="32" xfId="0" applyNumberFormat="1" applyFont="1" applyBorder="1" applyAlignment="1">
      <alignment horizontal="right"/>
    </xf>
    <xf numFmtId="184" fontId="7" fillId="0" borderId="28" xfId="0" applyNumberFormat="1" applyFont="1" applyBorder="1" applyAlignment="1">
      <alignment horizontal="right"/>
    </xf>
    <xf numFmtId="2" fontId="10" fillId="0" borderId="34" xfId="0" applyNumberFormat="1" applyFont="1" applyBorder="1" applyAlignment="1">
      <alignment horizontal="right"/>
    </xf>
    <xf numFmtId="2" fontId="10" fillId="0" borderId="35" xfId="0" applyNumberFormat="1" applyFont="1" applyBorder="1" applyAlignment="1">
      <alignment horizontal="right"/>
    </xf>
    <xf numFmtId="2" fontId="10" fillId="0" borderId="36" xfId="0" applyNumberFormat="1" applyFont="1" applyBorder="1" applyAlignment="1">
      <alignment horizontal="right"/>
    </xf>
    <xf numFmtId="2" fontId="7" fillId="0" borderId="34" xfId="0" applyNumberFormat="1" applyFont="1" applyBorder="1" applyAlignment="1">
      <alignment horizontal="right"/>
    </xf>
    <xf numFmtId="2" fontId="7" fillId="0" borderId="35" xfId="0" applyNumberFormat="1" applyFont="1" applyBorder="1" applyAlignment="1">
      <alignment horizontal="right"/>
    </xf>
    <xf numFmtId="2" fontId="7" fillId="0" borderId="36" xfId="0" applyNumberFormat="1" applyFont="1" applyBorder="1" applyAlignment="1">
      <alignment horizontal="right"/>
    </xf>
    <xf numFmtId="167" fontId="10" fillId="0" borderId="1" xfId="0" applyNumberFormat="1" applyFont="1" applyBorder="1" applyAlignment="1">
      <alignment horizontal="right"/>
    </xf>
    <xf numFmtId="167" fontId="10" fillId="0" borderId="40" xfId="0" applyNumberFormat="1" applyFont="1" applyBorder="1" applyAlignment="1">
      <alignment horizontal="right"/>
    </xf>
    <xf numFmtId="167" fontId="10" fillId="0" borderId="36" xfId="0" applyNumberFormat="1" applyFont="1" applyBorder="1" applyAlignment="1">
      <alignment horizontal="right"/>
    </xf>
    <xf numFmtId="167" fontId="10" fillId="0" borderId="31" xfId="0" quotePrefix="1" applyNumberFormat="1" applyFont="1" applyBorder="1" applyAlignment="1">
      <alignment horizontal="right"/>
    </xf>
    <xf numFmtId="167" fontId="10" fillId="0" borderId="32" xfId="0" quotePrefix="1" applyNumberFormat="1" applyFont="1" applyBorder="1" applyAlignment="1">
      <alignment horizontal="right"/>
    </xf>
    <xf numFmtId="167" fontId="10" fillId="0" borderId="33" xfId="0" quotePrefix="1" applyNumberFormat="1" applyFont="1" applyBorder="1" applyAlignment="1">
      <alignment horizontal="right"/>
    </xf>
    <xf numFmtId="175" fontId="10" fillId="32" borderId="34" xfId="0" applyNumberFormat="1" applyFont="1" applyFill="1" applyBorder="1" applyAlignment="1">
      <alignment horizontal="right"/>
    </xf>
    <xf numFmtId="175" fontId="10" fillId="32" borderId="41" xfId="0" applyNumberFormat="1" applyFont="1" applyFill="1" applyBorder="1" applyAlignment="1">
      <alignment horizontal="right"/>
    </xf>
    <xf numFmtId="0" fontId="32" fillId="0" borderId="0" xfId="0" applyFont="1" applyAlignment="1">
      <alignment horizontal="fill"/>
    </xf>
    <xf numFmtId="175" fontId="8" fillId="0" borderId="0" xfId="0" applyNumberFormat="1" applyFont="1"/>
    <xf numFmtId="0" fontId="106" fillId="68" borderId="97" xfId="0" applyFont="1" applyFill="1" applyBorder="1"/>
    <xf numFmtId="0" fontId="26" fillId="68" borderId="97" xfId="0" applyFont="1" applyFill="1" applyBorder="1" applyAlignment="1">
      <alignment horizontal="right"/>
    </xf>
    <xf numFmtId="0" fontId="106" fillId="68" borderId="97" xfId="0" applyFont="1" applyFill="1" applyBorder="1" applyAlignment="1">
      <alignment horizontal="right"/>
    </xf>
    <xf numFmtId="0" fontId="108" fillId="68" borderId="97" xfId="0" applyFont="1" applyFill="1" applyBorder="1" applyAlignment="1">
      <alignment horizontal="right"/>
    </xf>
    <xf numFmtId="0" fontId="108" fillId="69" borderId="97" xfId="0" applyFont="1" applyFill="1" applyBorder="1" applyAlignment="1">
      <alignment horizontal="right"/>
    </xf>
    <xf numFmtId="170" fontId="26" fillId="68" borderId="97" xfId="0" applyNumberFormat="1" applyFont="1" applyFill="1" applyBorder="1" applyAlignment="1">
      <alignment horizontal="right"/>
    </xf>
    <xf numFmtId="0" fontId="109" fillId="68" borderId="97" xfId="0" applyFont="1" applyFill="1" applyBorder="1"/>
    <xf numFmtId="0" fontId="122" fillId="68" borderId="97" xfId="0" applyFont="1" applyFill="1" applyBorder="1" applyAlignment="1">
      <alignment horizontal="right"/>
    </xf>
    <xf numFmtId="0" fontId="109" fillId="68" borderId="97" xfId="0" applyFont="1" applyFill="1" applyBorder="1" applyAlignment="1">
      <alignment horizontal="right"/>
    </xf>
    <xf numFmtId="170" fontId="122" fillId="68" borderId="97" xfId="0" applyNumberFormat="1" applyFont="1" applyFill="1" applyBorder="1" applyAlignment="1">
      <alignment horizontal="right"/>
    </xf>
    <xf numFmtId="0" fontId="122" fillId="68" borderId="97" xfId="0" applyFont="1" applyFill="1" applyBorder="1"/>
    <xf numFmtId="0" fontId="122" fillId="68" borderId="97" xfId="0" applyFont="1" applyFill="1" applyBorder="1" applyAlignment="1">
      <alignment horizontal="left" indent="4"/>
    </xf>
    <xf numFmtId="0" fontId="122" fillId="68" borderId="97" xfId="0" applyFont="1" applyFill="1" applyBorder="1" applyAlignment="1">
      <alignment horizontal="left" indent="2"/>
    </xf>
    <xf numFmtId="170" fontId="106" fillId="68" borderId="97" xfId="0" applyNumberFormat="1" applyFont="1" applyFill="1" applyBorder="1" applyAlignment="1">
      <alignment horizontal="right"/>
    </xf>
    <xf numFmtId="0" fontId="26" fillId="68" borderId="97" xfId="0" applyFont="1" applyFill="1" applyBorder="1"/>
    <xf numFmtId="0" fontId="121" fillId="68" borderId="97" xfId="0" applyFont="1" applyFill="1" applyBorder="1"/>
    <xf numFmtId="0" fontId="111" fillId="68" borderId="97" xfId="0" applyFont="1" applyFill="1" applyBorder="1" applyAlignment="1">
      <alignment horizontal="right"/>
    </xf>
    <xf numFmtId="0" fontId="121" fillId="68" borderId="97" xfId="0" applyFont="1" applyFill="1" applyBorder="1" applyAlignment="1">
      <alignment horizontal="right"/>
    </xf>
    <xf numFmtId="175" fontId="233" fillId="68" borderId="97" xfId="0" applyNumberFormat="1" applyFont="1" applyFill="1" applyBorder="1" applyAlignment="1">
      <alignment horizontal="right"/>
    </xf>
    <xf numFmtId="0" fontId="166" fillId="68" borderId="97" xfId="0" applyFont="1" applyFill="1" applyBorder="1"/>
    <xf numFmtId="170" fontId="159" fillId="68" borderId="97" xfId="0" applyNumberFormat="1" applyFont="1" applyFill="1" applyBorder="1" applyAlignment="1">
      <alignment horizontal="right"/>
    </xf>
    <xf numFmtId="0" fontId="118" fillId="68" borderId="97" xfId="0" applyFont="1" applyFill="1" applyBorder="1"/>
    <xf numFmtId="170" fontId="161" fillId="68" borderId="97" xfId="0" applyNumberFormat="1" applyFont="1" applyFill="1" applyBorder="1" applyAlignment="1">
      <alignment horizontal="right"/>
    </xf>
    <xf numFmtId="170" fontId="161" fillId="22" borderId="97" xfId="0" applyNumberFormat="1" applyFont="1" applyFill="1" applyBorder="1" applyAlignment="1">
      <alignment horizontal="right"/>
    </xf>
    <xf numFmtId="170" fontId="122" fillId="22" borderId="97" xfId="0" applyNumberFormat="1" applyFont="1" applyFill="1" applyBorder="1" applyAlignment="1">
      <alignment horizontal="right"/>
    </xf>
    <xf numFmtId="9" fontId="121" fillId="68" borderId="97" xfId="0" applyNumberFormat="1" applyFont="1" applyFill="1" applyBorder="1" applyAlignment="1">
      <alignment horizontal="right"/>
    </xf>
    <xf numFmtId="170" fontId="121" fillId="68" borderId="97" xfId="0" applyNumberFormat="1" applyFont="1" applyFill="1" applyBorder="1" applyAlignment="1">
      <alignment horizontal="right"/>
    </xf>
    <xf numFmtId="1" fontId="121" fillId="68" borderId="97" xfId="0" applyNumberFormat="1" applyFont="1" applyFill="1" applyBorder="1" applyAlignment="1">
      <alignment horizontal="right"/>
    </xf>
    <xf numFmtId="0" fontId="159" fillId="68" borderId="97" xfId="0" applyFont="1" applyFill="1" applyBorder="1"/>
    <xf numFmtId="1" fontId="26" fillId="68" borderId="39" xfId="0" applyNumberFormat="1" applyFont="1" applyFill="1" applyBorder="1" applyAlignment="1">
      <alignment horizontal="right"/>
    </xf>
    <xf numFmtId="1" fontId="26" fillId="70" borderId="39" xfId="0" applyNumberFormat="1" applyFont="1" applyFill="1" applyBorder="1" applyAlignment="1">
      <alignment horizontal="right"/>
    </xf>
    <xf numFmtId="1" fontId="26" fillId="68" borderId="97" xfId="0" applyNumberFormat="1" applyFont="1" applyFill="1" applyBorder="1" applyAlignment="1">
      <alignment horizontal="right"/>
    </xf>
    <xf numFmtId="0" fontId="182" fillId="68" borderId="97" xfId="0" applyFont="1" applyFill="1" applyBorder="1" applyAlignment="1">
      <alignment horizontal="right"/>
    </xf>
    <xf numFmtId="9" fontId="121" fillId="71" borderId="97" xfId="0" applyNumberFormat="1" applyFont="1" applyFill="1" applyBorder="1" applyAlignment="1">
      <alignment horizontal="right"/>
    </xf>
    <xf numFmtId="0" fontId="121" fillId="71" borderId="97" xfId="0" applyFont="1" applyFill="1" applyBorder="1" applyAlignment="1">
      <alignment horizontal="right"/>
    </xf>
    <xf numFmtId="1" fontId="131" fillId="51" borderId="39" xfId="0" applyNumberFormat="1" applyFont="1" applyFill="1" applyBorder="1" applyAlignment="1">
      <alignment horizontal="right"/>
    </xf>
    <xf numFmtId="0" fontId="121" fillId="71" borderId="104" xfId="0" applyFont="1" applyFill="1" applyBorder="1" applyAlignment="1">
      <alignment horizontal="left"/>
    </xf>
    <xf numFmtId="0" fontId="26" fillId="71" borderId="104" xfId="0" applyFont="1" applyFill="1" applyBorder="1" applyAlignment="1">
      <alignment horizontal="right"/>
    </xf>
    <xf numFmtId="1" fontId="26" fillId="69" borderId="104" xfId="0" applyNumberFormat="1" applyFont="1" applyFill="1" applyBorder="1" applyAlignment="1">
      <alignment horizontal="right"/>
    </xf>
    <xf numFmtId="9" fontId="234" fillId="71" borderId="97" xfId="0" applyNumberFormat="1" applyFont="1" applyFill="1" applyBorder="1" applyAlignment="1">
      <alignment horizontal="right"/>
    </xf>
    <xf numFmtId="0" fontId="26" fillId="71" borderId="97" xfId="0" applyFont="1" applyFill="1" applyBorder="1" applyAlignment="1">
      <alignment horizontal="right"/>
    </xf>
    <xf numFmtId="1" fontId="120" fillId="71" borderId="97" xfId="0" applyNumberFormat="1" applyFont="1" applyFill="1" applyBorder="1" applyAlignment="1">
      <alignment horizontal="right"/>
    </xf>
    <xf numFmtId="1" fontId="120" fillId="69" borderId="97" xfId="0" applyNumberFormat="1" applyFont="1" applyFill="1" applyBorder="1" applyAlignment="1">
      <alignment horizontal="right"/>
    </xf>
    <xf numFmtId="0" fontId="118" fillId="72" borderId="97" xfId="0" applyFont="1" applyFill="1" applyBorder="1"/>
    <xf numFmtId="170" fontId="121" fillId="71" borderId="97" xfId="0" applyNumberFormat="1" applyFont="1" applyFill="1" applyBorder="1" applyAlignment="1">
      <alignment horizontal="right"/>
    </xf>
    <xf numFmtId="0" fontId="159" fillId="72" borderId="97" xfId="0" applyFont="1" applyFill="1" applyBorder="1"/>
    <xf numFmtId="170" fontId="26" fillId="71" borderId="97" xfId="0" applyNumberFormat="1" applyFont="1" applyFill="1" applyBorder="1" applyAlignment="1">
      <alignment horizontal="right"/>
    </xf>
    <xf numFmtId="0" fontId="26" fillId="0" borderId="97" xfId="0" applyFont="1" applyBorder="1" applyAlignment="1">
      <alignment horizontal="right"/>
    </xf>
    <xf numFmtId="1" fontId="26" fillId="69" borderId="97" xfId="0" applyNumberFormat="1" applyFont="1" applyFill="1" applyBorder="1" applyAlignment="1">
      <alignment horizontal="right"/>
    </xf>
    <xf numFmtId="1" fontId="26" fillId="69" borderId="101" xfId="0" applyNumberFormat="1" applyFont="1" applyFill="1" applyBorder="1" applyAlignment="1">
      <alignment horizontal="right"/>
    </xf>
    <xf numFmtId="0" fontId="131" fillId="71" borderId="97" xfId="0" applyFont="1" applyFill="1" applyBorder="1"/>
    <xf numFmtId="175" fontId="121" fillId="71" borderId="97" xfId="0" applyNumberFormat="1" applyFont="1" applyFill="1" applyBorder="1" applyAlignment="1">
      <alignment horizontal="right"/>
    </xf>
    <xf numFmtId="175" fontId="121" fillId="69" borderId="97" xfId="0" applyNumberFormat="1" applyFont="1" applyFill="1" applyBorder="1" applyAlignment="1">
      <alignment horizontal="right"/>
    </xf>
    <xf numFmtId="10" fontId="178" fillId="0" borderId="0" xfId="0" applyNumberFormat="1" applyFont="1"/>
    <xf numFmtId="0" fontId="64" fillId="73" borderId="97" xfId="0" applyFont="1" applyFill="1" applyBorder="1"/>
    <xf numFmtId="0" fontId="0" fillId="73" borderId="97" xfId="0" applyFill="1" applyBorder="1" applyAlignment="1">
      <alignment horizontal="right"/>
    </xf>
    <xf numFmtId="170" fontId="0" fillId="73" borderId="97" xfId="0" applyNumberFormat="1" applyFill="1" applyBorder="1" applyAlignment="1">
      <alignment horizontal="right"/>
    </xf>
    <xf numFmtId="170" fontId="0" fillId="0" borderId="97" xfId="0" applyNumberFormat="1" applyBorder="1" applyAlignment="1">
      <alignment horizontal="right"/>
    </xf>
    <xf numFmtId="170" fontId="64" fillId="0" borderId="97" xfId="0" applyNumberFormat="1" applyFont="1" applyBorder="1" applyAlignment="1">
      <alignment horizontal="right"/>
    </xf>
    <xf numFmtId="1" fontId="43" fillId="26" borderId="82" xfId="0" applyNumberFormat="1" applyFont="1" applyFill="1" applyBorder="1" applyAlignment="1">
      <alignment horizontal="right"/>
    </xf>
    <xf numFmtId="169" fontId="0" fillId="13" borderId="60" xfId="0" applyNumberFormat="1" applyFill="1" applyBorder="1" applyAlignment="1">
      <alignment horizontal="right"/>
    </xf>
    <xf numFmtId="1" fontId="15" fillId="13" borderId="0" xfId="0" applyNumberFormat="1" applyFont="1" applyFill="1" applyAlignment="1">
      <alignment horizontal="right"/>
    </xf>
    <xf numFmtId="175" fontId="0" fillId="13" borderId="0" xfId="0" applyNumberFormat="1" applyFill="1" applyAlignment="1">
      <alignment horizontal="right"/>
    </xf>
    <xf numFmtId="9" fontId="67" fillId="0" borderId="0" xfId="2" applyFont="1" applyAlignment="1">
      <alignment horizontal="center"/>
    </xf>
    <xf numFmtId="1" fontId="15" fillId="55" borderId="0" xfId="0" applyNumberFormat="1" applyFont="1" applyFill="1" applyAlignment="1">
      <alignment horizontal="right"/>
    </xf>
    <xf numFmtId="171" fontId="7" fillId="11" borderId="97" xfId="0" applyNumberFormat="1" applyFont="1" applyFill="1" applyBorder="1" applyAlignment="1">
      <alignment horizontal="right"/>
    </xf>
    <xf numFmtId="184" fontId="132" fillId="0" borderId="97" xfId="1" applyNumberFormat="1" applyFont="1" applyFill="1" applyBorder="1" applyAlignment="1" applyProtection="1">
      <alignment horizontal="right"/>
    </xf>
    <xf numFmtId="0" fontId="62" fillId="11" borderId="4" xfId="0" applyFont="1" applyFill="1" applyBorder="1"/>
    <xf numFmtId="0" fontId="64" fillId="5" borderId="59" xfId="0" applyFont="1" applyFill="1" applyBorder="1"/>
    <xf numFmtId="0" fontId="37" fillId="5" borderId="98" xfId="0" applyFont="1" applyFill="1" applyBorder="1" applyAlignment="1">
      <alignment horizontal="left" indent="3"/>
    </xf>
    <xf numFmtId="0" fontId="10" fillId="7" borderId="62" xfId="0" applyFont="1" applyFill="1" applyBorder="1"/>
    <xf numFmtId="0" fontId="29" fillId="7" borderId="97" xfId="0" applyFont="1" applyFill="1" applyBorder="1"/>
    <xf numFmtId="0" fontId="8" fillId="7" borderId="97" xfId="0" applyFont="1" applyFill="1" applyBorder="1"/>
    <xf numFmtId="0" fontId="54" fillId="7" borderId="97" xfId="0" applyFont="1" applyFill="1" applyBorder="1"/>
    <xf numFmtId="169" fontId="0" fillId="7" borderId="97" xfId="0" applyNumberFormat="1" applyFill="1" applyBorder="1"/>
    <xf numFmtId="1" fontId="0" fillId="7" borderId="97" xfId="0" applyNumberFormat="1" applyFill="1" applyBorder="1"/>
    <xf numFmtId="169" fontId="0" fillId="7" borderId="39" xfId="0" applyNumberFormat="1" applyFill="1" applyBorder="1"/>
    <xf numFmtId="169" fontId="0" fillId="7" borderId="59" xfId="0" applyNumberFormat="1" applyFill="1" applyBorder="1"/>
    <xf numFmtId="0" fontId="10" fillId="74" borderId="62" xfId="0" applyFont="1" applyFill="1" applyBorder="1"/>
    <xf numFmtId="0" fontId="7" fillId="7" borderId="0" xfId="0" applyFont="1" applyFill="1"/>
    <xf numFmtId="0" fontId="8" fillId="7" borderId="60" xfId="0" applyFont="1" applyFill="1" applyBorder="1"/>
    <xf numFmtId="169" fontId="0" fillId="7" borderId="60" xfId="0" applyNumberFormat="1" applyFill="1" applyBorder="1"/>
    <xf numFmtId="1" fontId="0" fillId="7" borderId="60" xfId="0" applyNumberFormat="1" applyFill="1" applyBorder="1"/>
    <xf numFmtId="0" fontId="8" fillId="7" borderId="0" xfId="0" applyFont="1" applyFill="1"/>
    <xf numFmtId="0" fontId="10" fillId="7" borderId="97" xfId="0" applyFont="1" applyFill="1" applyBorder="1"/>
    <xf numFmtId="0" fontId="32" fillId="7" borderId="97" xfId="0" applyFont="1" applyFill="1" applyBorder="1"/>
    <xf numFmtId="0" fontId="8" fillId="7" borderId="97" xfId="0" applyFont="1" applyFill="1" applyBorder="1" applyAlignment="1">
      <alignment horizontal="right"/>
    </xf>
    <xf numFmtId="169" fontId="7" fillId="7" borderId="97" xfId="0" applyNumberFormat="1" applyFont="1" applyFill="1" applyBorder="1" applyAlignment="1">
      <alignment horizontal="right"/>
    </xf>
    <xf numFmtId="1" fontId="7" fillId="7" borderId="97" xfId="0" applyNumberFormat="1" applyFont="1" applyFill="1" applyBorder="1" applyAlignment="1">
      <alignment horizontal="right"/>
    </xf>
    <xf numFmtId="1" fontId="7" fillId="76" borderId="97" xfId="0" applyNumberFormat="1" applyFont="1" applyFill="1" applyBorder="1" applyAlignment="1">
      <alignment horizontal="right"/>
    </xf>
    <xf numFmtId="1" fontId="7" fillId="13" borderId="97" xfId="0" applyNumberFormat="1" applyFont="1" applyFill="1" applyBorder="1" applyAlignment="1">
      <alignment horizontal="right"/>
    </xf>
    <xf numFmtId="0" fontId="7" fillId="7" borderId="59" xfId="0" applyFont="1" applyFill="1" applyBorder="1"/>
    <xf numFmtId="0" fontId="8" fillId="7" borderId="60" xfId="0" applyFont="1" applyFill="1" applyBorder="1" applyAlignment="1">
      <alignment horizontal="right"/>
    </xf>
    <xf numFmtId="169" fontId="7" fillId="7" borderId="60" xfId="0" applyNumberFormat="1" applyFont="1" applyFill="1" applyBorder="1" applyAlignment="1">
      <alignment horizontal="right"/>
    </xf>
    <xf numFmtId="1" fontId="7" fillId="7" borderId="60" xfId="0" applyNumberFormat="1" applyFont="1" applyFill="1" applyBorder="1" applyAlignment="1">
      <alignment horizontal="right"/>
    </xf>
    <xf numFmtId="1" fontId="7" fillId="7" borderId="59" xfId="0" applyNumberFormat="1" applyFont="1" applyFill="1" applyBorder="1" applyAlignment="1">
      <alignment horizontal="right"/>
    </xf>
    <xf numFmtId="1" fontId="7" fillId="7" borderId="39" xfId="0" applyNumberFormat="1" applyFont="1" applyFill="1" applyBorder="1" applyAlignment="1">
      <alignment horizontal="right"/>
    </xf>
    <xf numFmtId="1" fontId="55" fillId="7" borderId="60" xfId="0" applyNumberFormat="1" applyFont="1" applyFill="1" applyBorder="1" applyAlignment="1">
      <alignment horizontal="right"/>
    </xf>
    <xf numFmtId="0" fontId="8" fillId="7" borderId="39" xfId="0" applyFont="1" applyFill="1" applyBorder="1" applyAlignment="1">
      <alignment horizontal="right"/>
    </xf>
    <xf numFmtId="0" fontId="23" fillId="7" borderId="0" xfId="0" applyFont="1" applyFill="1"/>
    <xf numFmtId="187" fontId="55" fillId="7" borderId="60" xfId="0" applyNumberFormat="1" applyFont="1" applyFill="1" applyBorder="1" applyAlignment="1">
      <alignment horizontal="right"/>
    </xf>
    <xf numFmtId="1" fontId="8" fillId="7" borderId="60" xfId="0" applyNumberFormat="1" applyFont="1" applyFill="1" applyBorder="1" applyAlignment="1">
      <alignment horizontal="right"/>
    </xf>
    <xf numFmtId="1" fontId="8" fillId="7" borderId="0" xfId="0" applyNumberFormat="1" applyFont="1" applyFill="1" applyAlignment="1">
      <alignment horizontal="right"/>
    </xf>
    <xf numFmtId="0" fontId="8" fillId="7" borderId="0" xfId="0" applyFont="1" applyFill="1" applyAlignment="1">
      <alignment horizontal="right"/>
    </xf>
    <xf numFmtId="187" fontId="55" fillId="7" borderId="0" xfId="0" applyNumberFormat="1" applyFont="1" applyFill="1" applyAlignment="1">
      <alignment horizontal="right"/>
    </xf>
    <xf numFmtId="1" fontId="55" fillId="7" borderId="0" xfId="0" applyNumberFormat="1" applyFont="1" applyFill="1" applyAlignment="1">
      <alignment horizontal="right"/>
    </xf>
    <xf numFmtId="169" fontId="55" fillId="7" borderId="0" xfId="0" applyNumberFormat="1" applyFont="1" applyFill="1" applyAlignment="1">
      <alignment horizontal="right"/>
    </xf>
    <xf numFmtId="0" fontId="3" fillId="77" borderId="0" xfId="0" applyFont="1" applyFill="1"/>
    <xf numFmtId="0" fontId="38" fillId="77" borderId="0" xfId="0" applyFont="1" applyFill="1"/>
    <xf numFmtId="0" fontId="38" fillId="78" borderId="0" xfId="0" applyFont="1" applyFill="1" applyAlignment="1">
      <alignment horizontal="right"/>
    </xf>
    <xf numFmtId="0" fontId="0" fillId="77" borderId="0" xfId="0" applyFill="1"/>
    <xf numFmtId="169" fontId="38" fillId="77" borderId="0" xfId="0" applyNumberFormat="1" applyFont="1" applyFill="1"/>
    <xf numFmtId="169" fontId="3" fillId="77" borderId="0" xfId="0" applyNumberFormat="1" applyFont="1" applyFill="1"/>
    <xf numFmtId="169" fontId="3" fillId="13" borderId="0" xfId="0" applyNumberFormat="1" applyFont="1" applyFill="1" applyAlignment="1">
      <alignment horizontal="right"/>
    </xf>
    <xf numFmtId="169" fontId="0" fillId="77" borderId="0" xfId="0" applyNumberFormat="1" applyFill="1"/>
    <xf numFmtId="169" fontId="0" fillId="79" borderId="0" xfId="1" applyNumberFormat="1" applyFont="1" applyFill="1" applyBorder="1" applyAlignment="1">
      <alignment horizontal="right"/>
    </xf>
    <xf numFmtId="169" fontId="22" fillId="79" borderId="0" xfId="1" applyNumberFormat="1" applyFont="1" applyFill="1" applyBorder="1" applyAlignment="1">
      <alignment horizontal="right"/>
    </xf>
    <xf numFmtId="0" fontId="22" fillId="77" borderId="0" xfId="0" applyFont="1" applyFill="1"/>
    <xf numFmtId="1" fontId="36" fillId="13" borderId="0" xfId="0" applyNumberFormat="1" applyFont="1" applyFill="1" applyAlignment="1">
      <alignment horizontal="right"/>
    </xf>
    <xf numFmtId="1" fontId="0" fillId="79" borderId="0" xfId="1" applyNumberFormat="1" applyFont="1" applyFill="1" applyBorder="1" applyAlignment="1">
      <alignment horizontal="right"/>
    </xf>
    <xf numFmtId="0" fontId="3" fillId="16" borderId="0" xfId="0" applyFont="1" applyFill="1"/>
    <xf numFmtId="0" fontId="74" fillId="16" borderId="0" xfId="0" applyFont="1" applyFill="1"/>
    <xf numFmtId="0" fontId="3" fillId="16" borderId="59" xfId="0" applyFont="1" applyFill="1" applyBorder="1"/>
    <xf numFmtId="2" fontId="0" fillId="16" borderId="0" xfId="0" applyNumberFormat="1" applyFill="1"/>
    <xf numFmtId="169" fontId="0" fillId="16" borderId="0" xfId="0" applyNumberFormat="1" applyFill="1"/>
    <xf numFmtId="170" fontId="7" fillId="16" borderId="0" xfId="0" applyNumberFormat="1" applyFont="1" applyFill="1"/>
    <xf numFmtId="170" fontId="10" fillId="16" borderId="0" xfId="0" applyNumberFormat="1" applyFont="1" applyFill="1"/>
    <xf numFmtId="0" fontId="0" fillId="16" borderId="59" xfId="0" applyFill="1" applyBorder="1"/>
    <xf numFmtId="0" fontId="44" fillId="16" borderId="59" xfId="0" applyFont="1" applyFill="1" applyBorder="1" applyAlignment="1">
      <alignment horizontal="left" indent="1"/>
    </xf>
    <xf numFmtId="0" fontId="22" fillId="16" borderId="0" xfId="0" applyFont="1" applyFill="1"/>
    <xf numFmtId="0" fontId="44" fillId="16" borderId="59" xfId="0" applyFont="1" applyFill="1" applyBorder="1"/>
    <xf numFmtId="170" fontId="7" fillId="16" borderId="0" xfId="0" applyNumberFormat="1" applyFont="1" applyFill="1" applyAlignment="1">
      <alignment horizontal="right"/>
    </xf>
    <xf numFmtId="170" fontId="7" fillId="80" borderId="0" xfId="0" applyNumberFormat="1" applyFont="1" applyFill="1" applyAlignment="1">
      <alignment horizontal="right"/>
    </xf>
    <xf numFmtId="170" fontId="3" fillId="16" borderId="0" xfId="0" applyNumberFormat="1" applyFont="1" applyFill="1"/>
    <xf numFmtId="0" fontId="0" fillId="16" borderId="59" xfId="0" applyFill="1" applyBorder="1" applyAlignment="1">
      <alignment horizontal="left" indent="1"/>
    </xf>
    <xf numFmtId="0" fontId="235" fillId="21" borderId="59" xfId="0" applyFont="1" applyFill="1" applyBorder="1" applyAlignment="1">
      <alignment horizontal="left" indent="1"/>
    </xf>
    <xf numFmtId="0" fontId="236" fillId="16" borderId="0" xfId="0" applyFont="1" applyFill="1"/>
    <xf numFmtId="170" fontId="237" fillId="16" borderId="0" xfId="0" applyNumberFormat="1" applyFont="1" applyFill="1"/>
    <xf numFmtId="0" fontId="15" fillId="16" borderId="59" xfId="0" applyFont="1" applyFill="1" applyBorder="1" applyAlignment="1">
      <alignment horizontal="left" indent="1"/>
    </xf>
    <xf numFmtId="0" fontId="22" fillId="16" borderId="59" xfId="0" applyFont="1" applyFill="1" applyBorder="1"/>
    <xf numFmtId="170" fontId="230" fillId="82" borderId="0" xfId="0" applyNumberFormat="1" applyFont="1" applyFill="1" applyAlignment="1">
      <alignment horizontal="right"/>
    </xf>
    <xf numFmtId="0" fontId="238" fillId="21" borderId="59" xfId="0" applyFont="1" applyFill="1" applyBorder="1" applyAlignment="1">
      <alignment horizontal="left" indent="1"/>
    </xf>
    <xf numFmtId="170" fontId="139" fillId="16" borderId="0" xfId="0" applyNumberFormat="1" applyFont="1" applyFill="1"/>
    <xf numFmtId="0" fontId="3" fillId="16" borderId="115" xfId="0" applyFont="1" applyFill="1" applyBorder="1"/>
    <xf numFmtId="2" fontId="0" fillId="16" borderId="116" xfId="0" applyNumberFormat="1" applyFill="1" applyBorder="1"/>
    <xf numFmtId="169" fontId="0" fillId="16" borderId="116" xfId="0" applyNumberFormat="1" applyFill="1" applyBorder="1"/>
    <xf numFmtId="0" fontId="3" fillId="16" borderId="117" xfId="0" applyFont="1" applyFill="1" applyBorder="1"/>
    <xf numFmtId="170" fontId="7" fillId="83" borderId="0" xfId="0" applyNumberFormat="1" applyFont="1" applyFill="1" applyAlignment="1">
      <alignment horizontal="right"/>
    </xf>
    <xf numFmtId="0" fontId="3" fillId="16" borderId="113" xfId="0" applyFont="1" applyFill="1" applyBorder="1"/>
    <xf numFmtId="0" fontId="3" fillId="16" borderId="114" xfId="0" applyFont="1" applyFill="1" applyBorder="1"/>
    <xf numFmtId="170" fontId="7" fillId="84" borderId="0" xfId="0" applyNumberFormat="1" applyFont="1" applyFill="1" applyAlignment="1">
      <alignment horizontal="right"/>
    </xf>
    <xf numFmtId="170" fontId="22" fillId="80" borderId="0" xfId="0" applyNumberFormat="1" applyFont="1" applyFill="1" applyAlignment="1">
      <alignment horizontal="right"/>
    </xf>
    <xf numFmtId="0" fontId="98" fillId="16" borderId="59" xfId="0" applyFont="1" applyFill="1" applyBorder="1"/>
    <xf numFmtId="170" fontId="23" fillId="16" borderId="0" xfId="0" applyNumberFormat="1" applyFont="1" applyFill="1" applyAlignment="1">
      <alignment horizontal="right"/>
    </xf>
    <xf numFmtId="170" fontId="39" fillId="16" borderId="0" xfId="0" applyNumberFormat="1" applyFont="1" applyFill="1" applyAlignment="1">
      <alignment horizontal="right"/>
    </xf>
    <xf numFmtId="0" fontId="98" fillId="16" borderId="59" xfId="0" applyFont="1" applyFill="1" applyBorder="1" applyAlignment="1">
      <alignment horizontal="left" indent="4"/>
    </xf>
    <xf numFmtId="170" fontId="0" fillId="83" borderId="0" xfId="0" applyNumberFormat="1" applyFill="1" applyAlignment="1">
      <alignment horizontal="right"/>
    </xf>
    <xf numFmtId="0" fontId="37" fillId="16" borderId="59" xfId="0" applyFont="1" applyFill="1" applyBorder="1"/>
    <xf numFmtId="0" fontId="3" fillId="85" borderId="98" xfId="0" applyFont="1" applyFill="1" applyBorder="1"/>
    <xf numFmtId="0" fontId="3" fillId="85" borderId="59" xfId="0" applyFont="1" applyFill="1" applyBorder="1"/>
    <xf numFmtId="0" fontId="74" fillId="85" borderId="59" xfId="0" applyFont="1" applyFill="1" applyBorder="1"/>
    <xf numFmtId="0" fontId="74" fillId="85" borderId="59" xfId="0" applyFont="1" applyFill="1" applyBorder="1" applyAlignment="1">
      <alignment horizontal="right"/>
    </xf>
    <xf numFmtId="0" fontId="74" fillId="85" borderId="97" xfId="0" applyFont="1" applyFill="1" applyBorder="1" applyAlignment="1">
      <alignment horizontal="right"/>
    </xf>
    <xf numFmtId="0" fontId="0" fillId="85" borderId="98" xfId="0" applyFill="1" applyBorder="1"/>
    <xf numFmtId="0" fontId="37" fillId="85" borderId="98" xfId="0" applyFont="1" applyFill="1" applyBorder="1"/>
    <xf numFmtId="0" fontId="0" fillId="85" borderId="59" xfId="0" applyFill="1" applyBorder="1"/>
    <xf numFmtId="175" fontId="0" fillId="85" borderId="60" xfId="0" applyNumberFormat="1" applyFill="1" applyBorder="1" applyAlignment="1">
      <alignment horizontal="right"/>
    </xf>
    <xf numFmtId="175" fontId="0" fillId="85" borderId="39" xfId="0" applyNumberFormat="1" applyFill="1" applyBorder="1" applyAlignment="1">
      <alignment horizontal="right"/>
    </xf>
    <xf numFmtId="175" fontId="0" fillId="85" borderId="97" xfId="0" applyNumberFormat="1" applyFill="1" applyBorder="1" applyAlignment="1">
      <alignment horizontal="right"/>
    </xf>
    <xf numFmtId="0" fontId="7" fillId="85" borderId="98" xfId="0" applyFont="1" applyFill="1" applyBorder="1"/>
    <xf numFmtId="0" fontId="7" fillId="85" borderId="59" xfId="0" applyFont="1" applyFill="1" applyBorder="1"/>
    <xf numFmtId="175" fontId="7" fillId="85" borderId="60" xfId="0" applyNumberFormat="1" applyFont="1" applyFill="1" applyBorder="1" applyAlignment="1">
      <alignment horizontal="right"/>
    </xf>
    <xf numFmtId="175" fontId="7" fillId="85" borderId="39" xfId="0" applyNumberFormat="1" applyFont="1" applyFill="1" applyBorder="1" applyAlignment="1">
      <alignment horizontal="right"/>
    </xf>
    <xf numFmtId="0" fontId="37" fillId="85" borderId="59" xfId="0" applyFont="1" applyFill="1" applyBorder="1"/>
    <xf numFmtId="175" fontId="37" fillId="85" borderId="59" xfId="0" applyNumberFormat="1" applyFont="1" applyFill="1" applyBorder="1" applyAlignment="1">
      <alignment horizontal="right"/>
    </xf>
    <xf numFmtId="175" fontId="37" fillId="85" borderId="60" xfId="0" applyNumberFormat="1" applyFont="1" applyFill="1" applyBorder="1" applyAlignment="1">
      <alignment horizontal="right"/>
    </xf>
    <xf numFmtId="175" fontId="37" fillId="85" borderId="39" xfId="0" applyNumberFormat="1" applyFont="1" applyFill="1" applyBorder="1" applyAlignment="1">
      <alignment horizontal="right"/>
    </xf>
    <xf numFmtId="175" fontId="37" fillId="85" borderId="97" xfId="0" applyNumberFormat="1" applyFont="1" applyFill="1" applyBorder="1" applyAlignment="1">
      <alignment horizontal="right"/>
    </xf>
    <xf numFmtId="3" fontId="37" fillId="85" borderId="59" xfId="0" applyNumberFormat="1" applyFont="1" applyFill="1" applyBorder="1" applyAlignment="1">
      <alignment horizontal="right"/>
    </xf>
    <xf numFmtId="3" fontId="37" fillId="85" borderId="97" xfId="0" applyNumberFormat="1" applyFont="1" applyFill="1" applyBorder="1" applyAlignment="1">
      <alignment horizontal="right"/>
    </xf>
    <xf numFmtId="3" fontId="37" fillId="85" borderId="60" xfId="0" applyNumberFormat="1" applyFont="1" applyFill="1" applyBorder="1" applyAlignment="1">
      <alignment horizontal="right"/>
    </xf>
    <xf numFmtId="3" fontId="37" fillId="85" borderId="39" xfId="0" applyNumberFormat="1" applyFont="1" applyFill="1" applyBorder="1" applyAlignment="1">
      <alignment horizontal="right"/>
    </xf>
    <xf numFmtId="3" fontId="0" fillId="85" borderId="59" xfId="0" applyNumberFormat="1" applyFill="1" applyBorder="1" applyAlignment="1">
      <alignment horizontal="right"/>
    </xf>
    <xf numFmtId="1" fontId="0" fillId="85" borderId="59" xfId="0" applyNumberFormat="1" applyFill="1" applyBorder="1" applyAlignment="1">
      <alignment horizontal="right"/>
    </xf>
    <xf numFmtId="184" fontId="0" fillId="85" borderId="60" xfId="1" applyNumberFormat="1" applyFont="1" applyFill="1" applyBorder="1" applyAlignment="1">
      <alignment horizontal="right"/>
    </xf>
    <xf numFmtId="184" fontId="0" fillId="85" borderId="0" xfId="1" applyNumberFormat="1" applyFont="1" applyFill="1" applyBorder="1" applyAlignment="1">
      <alignment horizontal="right"/>
    </xf>
    <xf numFmtId="184" fontId="0" fillId="85" borderId="97" xfId="1" applyNumberFormat="1" applyFont="1" applyFill="1" applyBorder="1" applyAlignment="1">
      <alignment horizontal="right"/>
    </xf>
    <xf numFmtId="3" fontId="7" fillId="85" borderId="59" xfId="0" applyNumberFormat="1" applyFont="1" applyFill="1" applyBorder="1" applyAlignment="1">
      <alignment horizontal="right"/>
    </xf>
    <xf numFmtId="1" fontId="7" fillId="85" borderId="59" xfId="0" applyNumberFormat="1" applyFont="1" applyFill="1" applyBorder="1" applyAlignment="1">
      <alignment horizontal="right"/>
    </xf>
    <xf numFmtId="1" fontId="7" fillId="85" borderId="60" xfId="0" applyNumberFormat="1" applyFont="1" applyFill="1" applyBorder="1" applyAlignment="1">
      <alignment horizontal="right"/>
    </xf>
    <xf numFmtId="1" fontId="7" fillId="85" borderId="39" xfId="0" applyNumberFormat="1" applyFont="1" applyFill="1" applyBorder="1" applyAlignment="1">
      <alignment horizontal="right"/>
    </xf>
    <xf numFmtId="184" fontId="7" fillId="85" borderId="59" xfId="1" applyNumberFormat="1" applyFont="1" applyFill="1" applyBorder="1" applyAlignment="1">
      <alignment horizontal="right"/>
    </xf>
    <xf numFmtId="0" fontId="37" fillId="85" borderId="97" xfId="0" applyFont="1" applyFill="1" applyBorder="1" applyAlignment="1">
      <alignment horizontal="left"/>
    </xf>
    <xf numFmtId="0" fontId="0" fillId="85" borderId="60" xfId="0" applyFill="1" applyBorder="1"/>
    <xf numFmtId="175" fontId="0" fillId="85" borderId="59" xfId="0" applyNumberFormat="1" applyFill="1" applyBorder="1" applyAlignment="1">
      <alignment horizontal="right"/>
    </xf>
    <xf numFmtId="175" fontId="0" fillId="85" borderId="60" xfId="0" applyNumberFormat="1" applyFill="1" applyBorder="1"/>
    <xf numFmtId="1" fontId="0" fillId="85" borderId="60" xfId="0" applyNumberFormat="1" applyFill="1" applyBorder="1"/>
    <xf numFmtId="1" fontId="0" fillId="85" borderId="60" xfId="0" applyNumberFormat="1" applyFill="1" applyBorder="1" applyAlignment="1">
      <alignment horizontal="right"/>
    </xf>
    <xf numFmtId="1" fontId="0" fillId="85" borderId="97" xfId="0" applyNumberFormat="1" applyFill="1" applyBorder="1" applyAlignment="1">
      <alignment horizontal="right"/>
    </xf>
    <xf numFmtId="3" fontId="0" fillId="85" borderId="60" xfId="0" applyNumberFormat="1" applyFill="1" applyBorder="1" applyAlignment="1">
      <alignment horizontal="right"/>
    </xf>
    <xf numFmtId="3" fontId="0" fillId="85" borderId="97" xfId="0" applyNumberFormat="1" applyFill="1" applyBorder="1" applyAlignment="1">
      <alignment horizontal="right"/>
    </xf>
    <xf numFmtId="0" fontId="37" fillId="85" borderId="97" xfId="0" applyFont="1" applyFill="1" applyBorder="1"/>
    <xf numFmtId="3" fontId="0" fillId="85" borderId="39" xfId="0" applyNumberFormat="1" applyFill="1" applyBorder="1" applyAlignment="1">
      <alignment horizontal="right"/>
    </xf>
    <xf numFmtId="0" fontId="40" fillId="85" borderId="98" xfId="0" applyFont="1" applyFill="1" applyBorder="1"/>
    <xf numFmtId="3" fontId="40" fillId="85" borderId="60" xfId="0" applyNumberFormat="1" applyFont="1" applyFill="1" applyBorder="1" applyAlignment="1">
      <alignment horizontal="right"/>
    </xf>
    <xf numFmtId="3" fontId="40" fillId="85" borderId="97" xfId="0" applyNumberFormat="1" applyFont="1" applyFill="1" applyBorder="1" applyAlignment="1">
      <alignment horizontal="right"/>
    </xf>
    <xf numFmtId="175" fontId="37" fillId="85" borderId="60" xfId="0" applyNumberFormat="1" applyFont="1" applyFill="1" applyBorder="1"/>
    <xf numFmtId="175" fontId="37" fillId="85" borderId="59" xfId="0" applyNumberFormat="1" applyFont="1" applyFill="1" applyBorder="1"/>
    <xf numFmtId="0" fontId="0" fillId="85" borderId="134" xfId="0" applyFill="1" applyBorder="1"/>
    <xf numFmtId="0" fontId="0" fillId="85" borderId="55" xfId="0" applyFill="1" applyBorder="1"/>
    <xf numFmtId="175" fontId="37" fillId="85" borderId="66" xfId="0" applyNumberFormat="1" applyFont="1" applyFill="1" applyBorder="1"/>
    <xf numFmtId="175" fontId="37" fillId="85" borderId="66" xfId="0" applyNumberFormat="1" applyFont="1" applyFill="1" applyBorder="1" applyAlignment="1">
      <alignment horizontal="right"/>
    </xf>
    <xf numFmtId="175" fontId="37" fillId="85" borderId="55" xfId="0" applyNumberFormat="1" applyFont="1" applyFill="1" applyBorder="1" applyAlignment="1">
      <alignment horizontal="right"/>
    </xf>
    <xf numFmtId="3" fontId="43" fillId="0" borderId="0" xfId="0" quotePrefix="1" applyNumberFormat="1" applyFont="1" applyAlignment="1">
      <alignment horizontal="left" indent="26"/>
    </xf>
    <xf numFmtId="0" fontId="108" fillId="68" borderId="97" xfId="0" applyFont="1" applyFill="1" applyBorder="1"/>
    <xf numFmtId="184" fontId="0" fillId="5" borderId="97" xfId="1" applyNumberFormat="1" applyFont="1" applyFill="1" applyBorder="1" applyAlignment="1">
      <alignment horizontal="right"/>
    </xf>
    <xf numFmtId="0" fontId="239" fillId="24" borderId="0" xfId="0" applyFont="1" applyFill="1"/>
    <xf numFmtId="0" fontId="240" fillId="24" borderId="0" xfId="0" applyFont="1" applyFill="1"/>
    <xf numFmtId="0" fontId="241" fillId="24" borderId="0" xfId="0" applyFont="1" applyFill="1"/>
    <xf numFmtId="0" fontId="242" fillId="24" borderId="0" xfId="0" applyFont="1" applyFill="1"/>
    <xf numFmtId="0" fontId="191" fillId="24" borderId="0" xfId="0" applyFont="1" applyFill="1"/>
    <xf numFmtId="0" fontId="242" fillId="20" borderId="0" xfId="0" applyFont="1" applyFill="1"/>
    <xf numFmtId="0" fontId="243" fillId="20" borderId="0" xfId="0" applyFont="1" applyFill="1"/>
    <xf numFmtId="0" fontId="244" fillId="20" borderId="0" xfId="0" applyFont="1" applyFill="1" applyAlignment="1">
      <alignment horizontal="right"/>
    </xf>
    <xf numFmtId="0" fontId="241" fillId="26" borderId="0" xfId="0" applyFont="1" applyFill="1"/>
    <xf numFmtId="0" fontId="242" fillId="26" borderId="0" xfId="0" applyFont="1" applyFill="1"/>
    <xf numFmtId="0" fontId="240" fillId="26" borderId="0" xfId="0" applyFont="1" applyFill="1"/>
    <xf numFmtId="0" fontId="203" fillId="26" borderId="0" xfId="0" applyFont="1" applyFill="1"/>
    <xf numFmtId="0" fontId="243" fillId="26" borderId="0" xfId="0" applyFont="1" applyFill="1"/>
    <xf numFmtId="0" fontId="229" fillId="26" borderId="0" xfId="0" applyFont="1" applyFill="1"/>
    <xf numFmtId="0" fontId="242" fillId="24" borderId="0" xfId="0" applyFont="1" applyFill="1" applyAlignment="1">
      <alignment horizontal="left" indent="1"/>
    </xf>
    <xf numFmtId="0" fontId="245" fillId="24" borderId="0" xfId="0" applyFont="1" applyFill="1" applyAlignment="1">
      <alignment horizontal="left" indent="1"/>
    </xf>
    <xf numFmtId="3" fontId="240" fillId="24" borderId="0" xfId="0" applyNumberFormat="1" applyFont="1" applyFill="1"/>
    <xf numFmtId="175" fontId="242" fillId="24" borderId="0" xfId="2" applyNumberFormat="1" applyFont="1" applyFill="1" applyBorder="1"/>
    <xf numFmtId="175" fontId="243" fillId="24" borderId="0" xfId="2" applyNumberFormat="1" applyFont="1" applyFill="1" applyBorder="1"/>
    <xf numFmtId="175" fontId="7" fillId="86" borderId="0" xfId="0" applyNumberFormat="1" applyFont="1" applyFill="1"/>
    <xf numFmtId="175" fontId="7" fillId="86" borderId="0" xfId="0" applyNumberFormat="1" applyFont="1" applyFill="1" applyAlignment="1">
      <alignment horizontal="right"/>
    </xf>
    <xf numFmtId="169" fontId="203" fillId="26" borderId="0" xfId="0" applyNumberFormat="1" applyFont="1" applyFill="1" applyAlignment="1">
      <alignment horizontal="left" indent="4"/>
    </xf>
    <xf numFmtId="0" fontId="215" fillId="27" borderId="0" xfId="0" applyFont="1" applyFill="1"/>
    <xf numFmtId="10" fontId="64" fillId="24" borderId="0" xfId="2" applyNumberFormat="1" applyFont="1" applyFill="1" applyAlignment="1">
      <alignment horizontal="right"/>
    </xf>
    <xf numFmtId="184" fontId="26" fillId="47" borderId="0" xfId="1" applyNumberFormat="1" applyFont="1" applyFill="1"/>
    <xf numFmtId="184" fontId="167" fillId="47" borderId="0" xfId="1" applyNumberFormat="1" applyFont="1" applyFill="1" applyAlignment="1">
      <alignment horizontal="right"/>
    </xf>
    <xf numFmtId="184" fontId="26" fillId="47" borderId="0" xfId="1" applyNumberFormat="1" applyFont="1" applyFill="1" applyAlignment="1">
      <alignment horizontal="right"/>
    </xf>
    <xf numFmtId="184" fontId="10" fillId="0" borderId="6" xfId="1" applyNumberFormat="1" applyFont="1" applyBorder="1" applyAlignment="1">
      <alignment horizontal="right"/>
    </xf>
    <xf numFmtId="184" fontId="10" fillId="0" borderId="142" xfId="1" applyNumberFormat="1" applyFont="1" applyBorder="1" applyAlignment="1">
      <alignment horizontal="right"/>
    </xf>
    <xf numFmtId="184" fontId="10" fillId="0" borderId="14" xfId="1" applyNumberFormat="1" applyFont="1" applyBorder="1" applyAlignment="1">
      <alignment horizontal="right"/>
    </xf>
    <xf numFmtId="184" fontId="10" fillId="0" borderId="3" xfId="1" applyNumberFormat="1" applyFont="1" applyBorder="1" applyAlignment="1">
      <alignment horizontal="right"/>
    </xf>
    <xf numFmtId="184" fontId="10" fillId="0" borderId="141" xfId="1" applyNumberFormat="1" applyFont="1" applyBorder="1" applyAlignment="1">
      <alignment horizontal="right"/>
    </xf>
    <xf numFmtId="184" fontId="10" fillId="0" borderId="11" xfId="1" applyNumberFormat="1" applyFont="1" applyBorder="1" applyAlignment="1">
      <alignment horizontal="right"/>
    </xf>
    <xf numFmtId="0" fontId="3" fillId="24" borderId="46" xfId="0" applyFont="1" applyFill="1" applyBorder="1" applyAlignment="1">
      <alignment horizontal="right"/>
    </xf>
    <xf numFmtId="184" fontId="44" fillId="0" borderId="0" xfId="1" applyNumberFormat="1" applyFont="1"/>
    <xf numFmtId="184" fontId="43" fillId="0" borderId="0" xfId="1" applyNumberFormat="1" applyFont="1" applyAlignment="1">
      <alignment horizontal="center"/>
    </xf>
    <xf numFmtId="184" fontId="5" fillId="0" borderId="77" xfId="1" applyNumberFormat="1" applyFont="1" applyBorder="1"/>
    <xf numFmtId="184" fontId="30" fillId="0" borderId="0" xfId="1" applyNumberFormat="1" applyFont="1" applyBorder="1" applyAlignment="1">
      <alignment horizontal="center" vertical="center" wrapText="1"/>
    </xf>
    <xf numFmtId="184" fontId="30" fillId="0" borderId="0" xfId="1" applyNumberFormat="1" applyFont="1" applyBorder="1" applyAlignment="1">
      <alignment horizontal="right" vertical="center" wrapText="1"/>
    </xf>
    <xf numFmtId="184" fontId="31" fillId="0" borderId="0" xfId="1" applyNumberFormat="1" applyFont="1" applyBorder="1" applyAlignment="1">
      <alignment horizontal="right" vertical="center" wrapText="1"/>
    </xf>
    <xf numFmtId="184" fontId="132" fillId="0" borderId="0" xfId="1" applyNumberFormat="1" applyFont="1" applyAlignment="1">
      <alignment horizontal="right"/>
    </xf>
    <xf numFmtId="184" fontId="32" fillId="0" borderId="0" xfId="1" quotePrefix="1" applyNumberFormat="1" applyFont="1"/>
    <xf numFmtId="184" fontId="0" fillId="5" borderId="98" xfId="1" applyNumberFormat="1" applyFont="1" applyFill="1" applyBorder="1"/>
    <xf numFmtId="184" fontId="36" fillId="5" borderId="97" xfId="1" applyNumberFormat="1" applyFont="1" applyFill="1" applyBorder="1"/>
    <xf numFmtId="184" fontId="3" fillId="5" borderId="60" xfId="1" applyNumberFormat="1" applyFont="1" applyFill="1" applyBorder="1"/>
    <xf numFmtId="184" fontId="22" fillId="5" borderId="60" xfId="1" applyNumberFormat="1" applyFont="1" applyFill="1" applyBorder="1" applyAlignment="1">
      <alignment horizontal="right"/>
    </xf>
    <xf numFmtId="184" fontId="22" fillId="5" borderId="59" xfId="1" applyNumberFormat="1" applyFont="1" applyFill="1" applyBorder="1" applyAlignment="1">
      <alignment horizontal="right"/>
    </xf>
    <xf numFmtId="184" fontId="3" fillId="5" borderId="98" xfId="1" applyNumberFormat="1" applyFont="1" applyFill="1" applyBorder="1"/>
    <xf numFmtId="184" fontId="3" fillId="5" borderId="97" xfId="1" applyNumberFormat="1" applyFont="1" applyFill="1" applyBorder="1"/>
    <xf numFmtId="184" fontId="64" fillId="5" borderId="97" xfId="1" applyNumberFormat="1" applyFont="1" applyFill="1" applyBorder="1" applyAlignment="1">
      <alignment horizontal="right"/>
    </xf>
    <xf numFmtId="184" fontId="37" fillId="0" borderId="0" xfId="1" applyNumberFormat="1" applyFont="1"/>
    <xf numFmtId="184" fontId="0" fillId="5" borderId="60" xfId="1" applyNumberFormat="1" applyFont="1" applyFill="1" applyBorder="1" applyAlignment="1">
      <alignment horizontal="right"/>
    </xf>
    <xf numFmtId="184" fontId="0" fillId="5" borderId="112" xfId="1" applyNumberFormat="1" applyFont="1" applyFill="1" applyBorder="1" applyAlignment="1">
      <alignment horizontal="right"/>
    </xf>
    <xf numFmtId="184" fontId="64" fillId="5" borderId="112" xfId="1" applyNumberFormat="1" applyFont="1" applyFill="1" applyBorder="1" applyAlignment="1">
      <alignment horizontal="right"/>
    </xf>
    <xf numFmtId="184" fontId="0" fillId="59" borderId="60" xfId="1" applyNumberFormat="1" applyFont="1" applyFill="1" applyBorder="1" applyAlignment="1">
      <alignment horizontal="right"/>
    </xf>
    <xf numFmtId="184" fontId="64" fillId="59" borderId="60" xfId="1" applyNumberFormat="1" applyFont="1" applyFill="1" applyBorder="1" applyAlignment="1">
      <alignment horizontal="right"/>
    </xf>
    <xf numFmtId="184" fontId="0" fillId="59" borderId="97" xfId="1" applyNumberFormat="1" applyFont="1" applyFill="1" applyBorder="1" applyAlignment="1">
      <alignment horizontal="right"/>
    </xf>
    <xf numFmtId="184" fontId="64" fillId="59" borderId="97" xfId="1" applyNumberFormat="1" applyFont="1" applyFill="1" applyBorder="1" applyAlignment="1">
      <alignment horizontal="right"/>
    </xf>
    <xf numFmtId="184" fontId="22" fillId="5" borderId="84" xfId="1" applyNumberFormat="1" applyFont="1" applyFill="1" applyBorder="1" applyAlignment="1">
      <alignment horizontal="right"/>
    </xf>
    <xf numFmtId="184" fontId="43" fillId="0" borderId="0" xfId="1" applyNumberFormat="1" applyFont="1"/>
    <xf numFmtId="184" fontId="26" fillId="68" borderId="97" xfId="1" applyNumberFormat="1" applyFont="1" applyFill="1" applyBorder="1"/>
    <xf numFmtId="184" fontId="26" fillId="68" borderId="97" xfId="1" applyNumberFormat="1" applyFont="1" applyFill="1" applyBorder="1" applyAlignment="1">
      <alignment horizontal="right"/>
    </xf>
    <xf numFmtId="184" fontId="161" fillId="68" borderId="97" xfId="1" applyNumberFormat="1" applyFont="1" applyFill="1" applyBorder="1" applyAlignment="1">
      <alignment horizontal="right"/>
    </xf>
    <xf numFmtId="184" fontId="161" fillId="22" borderId="97" xfId="1" applyNumberFormat="1" applyFont="1" applyFill="1" applyBorder="1" applyAlignment="1">
      <alignment horizontal="right"/>
    </xf>
    <xf numFmtId="175" fontId="177" fillId="52" borderId="0" xfId="0" applyNumberFormat="1" applyFont="1" applyFill="1" applyAlignment="1">
      <alignment horizontal="right"/>
    </xf>
    <xf numFmtId="170" fontId="10" fillId="80" borderId="0" xfId="0" applyNumberFormat="1" applyFont="1" applyFill="1" applyAlignment="1">
      <alignment horizontal="right"/>
    </xf>
    <xf numFmtId="0" fontId="0" fillId="80" borderId="0" xfId="0" applyFill="1" applyAlignment="1">
      <alignment horizontal="right"/>
    </xf>
    <xf numFmtId="170" fontId="3" fillId="80" borderId="0" xfId="0" applyNumberFormat="1" applyFont="1" applyFill="1" applyAlignment="1">
      <alignment horizontal="right"/>
    </xf>
    <xf numFmtId="170" fontId="139" fillId="80" borderId="0" xfId="0" applyNumberFormat="1" applyFont="1" applyFill="1" applyAlignment="1">
      <alignment horizontal="right"/>
    </xf>
    <xf numFmtId="0" fontId="54" fillId="7" borderId="97" xfId="0" applyFont="1" applyFill="1" applyBorder="1" applyAlignment="1">
      <alignment horizontal="right"/>
    </xf>
    <xf numFmtId="1" fontId="0" fillId="7" borderId="97" xfId="0" applyNumberFormat="1" applyFill="1" applyBorder="1" applyAlignment="1">
      <alignment horizontal="right"/>
    </xf>
    <xf numFmtId="169" fontId="0" fillId="7" borderId="60" xfId="0" applyNumberFormat="1" applyFill="1" applyBorder="1" applyAlignment="1">
      <alignment horizontal="right"/>
    </xf>
    <xf numFmtId="1" fontId="0" fillId="7" borderId="60" xfId="0" applyNumberFormat="1" applyFill="1" applyBorder="1" applyAlignment="1">
      <alignment horizontal="right"/>
    </xf>
    <xf numFmtId="0" fontId="0" fillId="5" borderId="39" xfId="0" applyFill="1" applyBorder="1" applyAlignment="1">
      <alignment horizontal="right"/>
    </xf>
    <xf numFmtId="10" fontId="64" fillId="13" borderId="97" xfId="2" applyNumberFormat="1" applyFont="1" applyFill="1" applyBorder="1" applyAlignment="1">
      <alignment horizontal="right"/>
    </xf>
    <xf numFmtId="175" fontId="0" fillId="13" borderId="97" xfId="0" applyNumberFormat="1" applyFill="1" applyBorder="1" applyAlignment="1">
      <alignment horizontal="right"/>
    </xf>
    <xf numFmtId="1" fontId="40" fillId="5" borderId="60" xfId="0" applyNumberFormat="1" applyFont="1" applyFill="1" applyBorder="1" applyAlignment="1">
      <alignment horizontal="right"/>
    </xf>
    <xf numFmtId="1" fontId="79" fillId="5" borderId="60" xfId="0" applyNumberFormat="1" applyFont="1" applyFill="1" applyBorder="1" applyAlignment="1">
      <alignment horizontal="right"/>
    </xf>
    <xf numFmtId="43" fontId="37" fillId="13" borderId="97" xfId="0" applyNumberFormat="1" applyFont="1" applyFill="1" applyBorder="1" applyAlignment="1">
      <alignment horizontal="right"/>
    </xf>
    <xf numFmtId="1" fontId="110" fillId="0" borderId="0" xfId="0" applyNumberFormat="1" applyFont="1" applyAlignment="1">
      <alignment horizontal="right"/>
    </xf>
    <xf numFmtId="0" fontId="110" fillId="16" borderId="79" xfId="0" applyFont="1" applyFill="1" applyBorder="1" applyAlignment="1">
      <alignment horizontal="right"/>
    </xf>
    <xf numFmtId="0" fontId="132" fillId="16" borderId="0" xfId="0" applyFont="1" applyFill="1" applyAlignment="1">
      <alignment horizontal="right"/>
    </xf>
    <xf numFmtId="175" fontId="62" fillId="16" borderId="95" xfId="0" applyNumberFormat="1" applyFont="1" applyFill="1" applyBorder="1" applyAlignment="1">
      <alignment horizontal="right"/>
    </xf>
    <xf numFmtId="9" fontId="210" fillId="0" borderId="0" xfId="0" applyNumberFormat="1" applyFont="1" applyAlignment="1">
      <alignment horizontal="right"/>
    </xf>
    <xf numFmtId="0" fontId="178" fillId="0" borderId="0" xfId="0" applyFont="1" applyAlignment="1">
      <alignment horizontal="right"/>
    </xf>
    <xf numFmtId="1" fontId="67" fillId="50" borderId="122" xfId="0" applyNumberFormat="1" applyFont="1" applyFill="1" applyBorder="1" applyAlignment="1">
      <alignment horizontal="right"/>
    </xf>
    <xf numFmtId="185" fontId="7" fillId="24" borderId="0" xfId="0" applyNumberFormat="1" applyFont="1" applyFill="1" applyAlignment="1">
      <alignment horizontal="right"/>
    </xf>
    <xf numFmtId="3" fontId="22" fillId="24" borderId="0" xfId="2" applyNumberFormat="1" applyFont="1" applyFill="1" applyAlignment="1">
      <alignment horizontal="right"/>
    </xf>
    <xf numFmtId="1" fontId="79" fillId="48" borderId="0" xfId="0" applyNumberFormat="1" applyFont="1" applyFill="1" applyAlignment="1">
      <alignment horizontal="right"/>
    </xf>
    <xf numFmtId="0" fontId="84" fillId="48" borderId="0" xfId="0" applyFont="1" applyFill="1" applyAlignment="1">
      <alignment horizontal="right"/>
    </xf>
    <xf numFmtId="175" fontId="79" fillId="48" borderId="0" xfId="0" applyNumberFormat="1" applyFont="1" applyFill="1" applyAlignment="1">
      <alignment horizontal="right"/>
    </xf>
    <xf numFmtId="175" fontId="98" fillId="48" borderId="0" xfId="0" applyNumberFormat="1" applyFont="1" applyFill="1" applyAlignment="1">
      <alignment horizontal="right"/>
    </xf>
    <xf numFmtId="0" fontId="44" fillId="0" borderId="167" xfId="0" applyFont="1" applyBorder="1" applyAlignment="1">
      <alignment horizontal="left"/>
    </xf>
    <xf numFmtId="0" fontId="43" fillId="0" borderId="167" xfId="0" quotePrefix="1" applyFont="1" applyBorder="1"/>
    <xf numFmtId="0" fontId="43" fillId="0" borderId="167" xfId="0" quotePrefix="1" applyFont="1" applyBorder="1" applyAlignment="1">
      <alignment horizontal="fill"/>
    </xf>
    <xf numFmtId="0" fontId="3" fillId="5" borderId="168" xfId="0" applyFont="1" applyFill="1" applyBorder="1"/>
    <xf numFmtId="0" fontId="3" fillId="5" borderId="169" xfId="0" applyFont="1" applyFill="1" applyBorder="1"/>
    <xf numFmtId="0" fontId="74" fillId="5" borderId="169" xfId="0" applyFont="1" applyFill="1" applyBorder="1"/>
    <xf numFmtId="0" fontId="74" fillId="5" borderId="169" xfId="0" applyFont="1" applyFill="1" applyBorder="1" applyAlignment="1">
      <alignment horizontal="right"/>
    </xf>
    <xf numFmtId="1" fontId="3" fillId="0" borderId="167" xfId="0" applyNumberFormat="1" applyFont="1" applyBorder="1" applyAlignment="1">
      <alignment horizontal="right"/>
    </xf>
    <xf numFmtId="0" fontId="5" fillId="0" borderId="167" xfId="0" applyFont="1" applyBorder="1"/>
    <xf numFmtId="184" fontId="59" fillId="5" borderId="97" xfId="1" applyNumberFormat="1" applyFont="1" applyFill="1" applyBorder="1"/>
    <xf numFmtId="184" fontId="0" fillId="5" borderId="60" xfId="1" applyNumberFormat="1" applyFont="1" applyFill="1" applyBorder="1"/>
    <xf numFmtId="184" fontId="7" fillId="5" borderId="60" xfId="1" applyNumberFormat="1" applyFont="1" applyFill="1" applyBorder="1" applyAlignment="1">
      <alignment horizontal="right"/>
    </xf>
    <xf numFmtId="184" fontId="7" fillId="5" borderId="97" xfId="1" applyNumberFormat="1" applyFont="1" applyFill="1" applyBorder="1" applyAlignment="1">
      <alignment horizontal="right"/>
    </xf>
    <xf numFmtId="184" fontId="7" fillId="5" borderId="97" xfId="1" applyNumberFormat="1" applyFont="1" applyFill="1" applyBorder="1"/>
    <xf numFmtId="184" fontId="37" fillId="5" borderId="98" xfId="1" applyNumberFormat="1" applyFont="1" applyFill="1" applyBorder="1"/>
    <xf numFmtId="184" fontId="37" fillId="13" borderId="39" xfId="1" applyNumberFormat="1" applyFont="1" applyFill="1" applyBorder="1" applyAlignment="1">
      <alignment horizontal="right"/>
    </xf>
    <xf numFmtId="184" fontId="37" fillId="59" borderId="39" xfId="1" applyNumberFormat="1" applyFont="1" applyFill="1" applyBorder="1" applyAlignment="1">
      <alignment horizontal="right"/>
    </xf>
    <xf numFmtId="184" fontId="59" fillId="59" borderId="39" xfId="1" applyNumberFormat="1" applyFont="1" applyFill="1" applyBorder="1" applyAlignment="1">
      <alignment horizontal="right"/>
    </xf>
    <xf numFmtId="184" fontId="10" fillId="0" borderId="4" xfId="1" applyNumberFormat="1" applyFont="1" applyBorder="1"/>
    <xf numFmtId="184" fontId="62" fillId="0" borderId="3" xfId="1" applyNumberFormat="1" applyFont="1" applyBorder="1" applyAlignment="1">
      <alignment horizontal="right"/>
    </xf>
    <xf numFmtId="184" fontId="18" fillId="0" borderId="4" xfId="1" quotePrefix="1" applyNumberFormat="1" applyFont="1" applyBorder="1" applyAlignment="1">
      <alignment horizontal="left"/>
    </xf>
    <xf numFmtId="184" fontId="62" fillId="0" borderId="6" xfId="1" applyNumberFormat="1" applyFont="1" applyBorder="1" applyAlignment="1">
      <alignment horizontal="right"/>
    </xf>
    <xf numFmtId="184" fontId="18" fillId="0" borderId="9" xfId="1" quotePrefix="1" applyNumberFormat="1" applyFont="1" applyBorder="1" applyAlignment="1">
      <alignment horizontal="left"/>
    </xf>
    <xf numFmtId="184" fontId="19" fillId="0" borderId="4" xfId="1" quotePrefix="1" applyNumberFormat="1" applyFont="1" applyBorder="1" applyAlignment="1">
      <alignment horizontal="left"/>
    </xf>
    <xf numFmtId="184" fontId="7" fillId="0" borderId="141" xfId="1" applyNumberFormat="1" applyFont="1" applyBorder="1" applyAlignment="1">
      <alignment horizontal="right"/>
    </xf>
    <xf numFmtId="184" fontId="7" fillId="0" borderId="11" xfId="1" applyNumberFormat="1" applyFont="1" applyBorder="1" applyAlignment="1">
      <alignment horizontal="right"/>
    </xf>
    <xf numFmtId="184" fontId="64" fillId="0" borderId="3" xfId="1" applyNumberFormat="1" applyFont="1" applyBorder="1" applyAlignment="1">
      <alignment horizontal="right"/>
    </xf>
    <xf numFmtId="9" fontId="64" fillId="13" borderId="97" xfId="2" applyFont="1" applyFill="1" applyBorder="1" applyAlignment="1">
      <alignment horizontal="right"/>
    </xf>
    <xf numFmtId="9" fontId="64" fillId="13" borderId="39" xfId="0" applyNumberFormat="1" applyFont="1" applyFill="1" applyBorder="1" applyAlignment="1">
      <alignment horizontal="right"/>
    </xf>
    <xf numFmtId="3" fontId="169" fillId="14" borderId="18" xfId="0" applyNumberFormat="1" applyFont="1" applyFill="1" applyBorder="1" applyAlignment="1">
      <alignment horizontal="right"/>
    </xf>
    <xf numFmtId="0" fontId="1" fillId="0" borderId="0" xfId="0" applyFont="1"/>
    <xf numFmtId="0" fontId="60" fillId="14" borderId="99" xfId="0" applyFont="1" applyFill="1" applyBorder="1" applyAlignment="1">
      <alignment horizontal="right"/>
    </xf>
    <xf numFmtId="184" fontId="15" fillId="0" borderId="0" xfId="1" applyNumberFormat="1" applyFont="1"/>
    <xf numFmtId="184" fontId="15" fillId="0" borderId="0" xfId="1" applyNumberFormat="1" applyFont="1" applyAlignment="1">
      <alignment horizontal="right"/>
    </xf>
    <xf numFmtId="184" fontId="5" fillId="0" borderId="0" xfId="1" applyNumberFormat="1" applyFont="1" applyBorder="1"/>
    <xf numFmtId="184" fontId="39" fillId="0" borderId="0" xfId="1" applyNumberFormat="1" applyFont="1" applyAlignment="1">
      <alignment horizontal="right"/>
    </xf>
    <xf numFmtId="184" fontId="178" fillId="13" borderId="77" xfId="1" applyNumberFormat="1" applyFont="1" applyFill="1" applyBorder="1"/>
    <xf numFmtId="184" fontId="0" fillId="0" borderId="0" xfId="1" applyNumberFormat="1" applyFont="1" applyAlignment="1">
      <alignment horizontal="right"/>
    </xf>
    <xf numFmtId="184" fontId="15" fillId="0" borderId="153" xfId="1" applyNumberFormat="1" applyFont="1" applyBorder="1" applyAlignment="1">
      <alignment horizontal="right"/>
    </xf>
    <xf numFmtId="184" fontId="39" fillId="0" borderId="0" xfId="1" applyNumberFormat="1" applyFont="1"/>
    <xf numFmtId="184" fontId="39" fillId="0" borderId="153" xfId="1" applyNumberFormat="1" applyFont="1" applyBorder="1" applyAlignment="1">
      <alignment horizontal="right"/>
    </xf>
    <xf numFmtId="184" fontId="78" fillId="13" borderId="0" xfId="1" applyNumberFormat="1" applyFont="1" applyFill="1"/>
    <xf numFmtId="184" fontId="178" fillId="13" borderId="0" xfId="1" applyNumberFormat="1" applyFont="1" applyFill="1"/>
    <xf numFmtId="184" fontId="78" fillId="13" borderId="0" xfId="1" applyNumberFormat="1" applyFont="1" applyFill="1" applyAlignment="1">
      <alignment horizontal="center"/>
    </xf>
    <xf numFmtId="184" fontId="64" fillId="13" borderId="0" xfId="1" applyNumberFormat="1" applyFont="1" applyFill="1"/>
    <xf numFmtId="184" fontId="64" fillId="13" borderId="0" xfId="1" applyNumberFormat="1" applyFont="1" applyFill="1" applyAlignment="1">
      <alignment horizontal="right"/>
    </xf>
    <xf numFmtId="184" fontId="67" fillId="13" borderId="0" xfId="1" applyNumberFormat="1" applyFont="1" applyFill="1"/>
    <xf numFmtId="184" fontId="67" fillId="13" borderId="0" xfId="1" applyNumberFormat="1" applyFont="1" applyFill="1" applyAlignment="1">
      <alignment horizontal="right"/>
    </xf>
    <xf numFmtId="184" fontId="67" fillId="13" borderId="153" xfId="1" applyNumberFormat="1" applyFont="1" applyFill="1" applyBorder="1" applyAlignment="1">
      <alignment horizontal="right"/>
    </xf>
    <xf numFmtId="184" fontId="132" fillId="13" borderId="0" xfId="1" applyNumberFormat="1" applyFont="1" applyFill="1" applyAlignment="1">
      <alignment horizontal="right"/>
    </xf>
    <xf numFmtId="184" fontId="15" fillId="0" borderId="77" xfId="1" applyNumberFormat="1" applyFont="1" applyBorder="1"/>
    <xf numFmtId="184" fontId="39" fillId="13" borderId="0" xfId="1" applyNumberFormat="1" applyFont="1" applyFill="1" applyAlignment="1">
      <alignment horizontal="right"/>
    </xf>
    <xf numFmtId="175" fontId="44" fillId="13" borderId="0" xfId="2" applyNumberFormat="1" applyFont="1" applyFill="1" applyAlignment="1">
      <alignment horizontal="right"/>
    </xf>
    <xf numFmtId="175" fontId="121" fillId="51" borderId="97" xfId="0" applyNumberFormat="1" applyFont="1" applyFill="1" applyBorder="1" applyAlignment="1">
      <alignment horizontal="right"/>
    </xf>
    <xf numFmtId="189" fontId="101" fillId="13" borderId="97" xfId="0" applyNumberFormat="1" applyFont="1" applyFill="1" applyBorder="1" applyAlignment="1">
      <alignment horizontal="right"/>
    </xf>
    <xf numFmtId="169" fontId="91" fillId="17" borderId="97" xfId="0" applyNumberFormat="1" applyFont="1" applyFill="1" applyBorder="1"/>
    <xf numFmtId="0" fontId="107" fillId="17" borderId="39" xfId="0" applyFont="1" applyFill="1" applyBorder="1"/>
    <xf numFmtId="0" fontId="107" fillId="17" borderId="97" xfId="0" applyFont="1" applyFill="1" applyBorder="1"/>
    <xf numFmtId="0" fontId="247" fillId="17" borderId="97" xfId="0" applyFont="1" applyFill="1" applyBorder="1"/>
    <xf numFmtId="1" fontId="247" fillId="17" borderId="97" xfId="0" applyNumberFormat="1" applyFont="1" applyFill="1" applyBorder="1"/>
    <xf numFmtId="1" fontId="107" fillId="17" borderId="97" xfId="0" applyNumberFormat="1" applyFont="1" applyFill="1" applyBorder="1"/>
    <xf numFmtId="169" fontId="88" fillId="17" borderId="97" xfId="0" applyNumberFormat="1" applyFont="1" applyFill="1" applyBorder="1"/>
    <xf numFmtId="169" fontId="88" fillId="17" borderId="39" xfId="0" applyNumberFormat="1" applyFont="1" applyFill="1" applyBorder="1"/>
    <xf numFmtId="1" fontId="88" fillId="17" borderId="97" xfId="0" applyNumberFormat="1" applyFont="1" applyFill="1" applyBorder="1"/>
    <xf numFmtId="1" fontId="246" fillId="17" borderId="97" xfId="0" applyNumberFormat="1" applyFont="1" applyFill="1" applyBorder="1"/>
    <xf numFmtId="3" fontId="88" fillId="17" borderId="97" xfId="0" applyNumberFormat="1" applyFont="1" applyFill="1" applyBorder="1"/>
    <xf numFmtId="169" fontId="88" fillId="13" borderId="97" xfId="0" applyNumberFormat="1" applyFont="1" applyFill="1" applyBorder="1"/>
    <xf numFmtId="169" fontId="187" fillId="17" borderId="97" xfId="0" applyNumberFormat="1" applyFont="1" applyFill="1" applyBorder="1"/>
    <xf numFmtId="169" fontId="187" fillId="17" borderId="39" xfId="0" applyNumberFormat="1" applyFont="1" applyFill="1" applyBorder="1"/>
    <xf numFmtId="1" fontId="187" fillId="17" borderId="97" xfId="0" applyNumberFormat="1" applyFont="1" applyFill="1" applyBorder="1"/>
    <xf numFmtId="1" fontId="231" fillId="17" borderId="97" xfId="0" applyNumberFormat="1" applyFont="1" applyFill="1" applyBorder="1"/>
    <xf numFmtId="1" fontId="231" fillId="17" borderId="39" xfId="0" applyNumberFormat="1" applyFont="1" applyFill="1" applyBorder="1"/>
    <xf numFmtId="170" fontId="88" fillId="17" borderId="97" xfId="0" applyNumberFormat="1" applyFont="1" applyFill="1" applyBorder="1"/>
    <xf numFmtId="1" fontId="187" fillId="17" borderId="39" xfId="0" applyNumberFormat="1" applyFont="1" applyFill="1" applyBorder="1"/>
    <xf numFmtId="169" fontId="188" fillId="17" borderId="97" xfId="0" applyNumberFormat="1" applyFont="1" applyFill="1" applyBorder="1"/>
    <xf numFmtId="169" fontId="188" fillId="17" borderId="39" xfId="0" applyNumberFormat="1" applyFont="1" applyFill="1" applyBorder="1"/>
    <xf numFmtId="1" fontId="188" fillId="17" borderId="97" xfId="0" applyNumberFormat="1" applyFont="1" applyFill="1" applyBorder="1"/>
    <xf numFmtId="1" fontId="232" fillId="17" borderId="97" xfId="0" applyNumberFormat="1" applyFont="1" applyFill="1" applyBorder="1"/>
    <xf numFmtId="169" fontId="187" fillId="16" borderId="97" xfId="0" applyNumberFormat="1" applyFont="1" applyFill="1" applyBorder="1"/>
    <xf numFmtId="169" fontId="88" fillId="17" borderId="127" xfId="0" applyNumberFormat="1" applyFont="1" applyFill="1" applyBorder="1"/>
    <xf numFmtId="169" fontId="88" fillId="17" borderId="42" xfId="0" applyNumberFormat="1" applyFont="1" applyFill="1" applyBorder="1"/>
    <xf numFmtId="1" fontId="88" fillId="17" borderId="127" xfId="0" applyNumberFormat="1" applyFont="1" applyFill="1" applyBorder="1"/>
    <xf numFmtId="1" fontId="246" fillId="17" borderId="127" xfId="0" applyNumberFormat="1" applyFont="1" applyFill="1" applyBorder="1"/>
    <xf numFmtId="175" fontId="242" fillId="13" borderId="0" xfId="2" applyNumberFormat="1" applyFont="1" applyFill="1" applyBorder="1"/>
    <xf numFmtId="3" fontId="42" fillId="13" borderId="0" xfId="2" applyNumberFormat="1" applyFont="1" applyFill="1" applyAlignment="1">
      <alignment horizontal="right"/>
    </xf>
    <xf numFmtId="0" fontId="15" fillId="13" borderId="0" xfId="0" applyFont="1" applyFill="1"/>
    <xf numFmtId="0" fontId="45" fillId="23" borderId="86" xfId="0" applyFont="1" applyFill="1" applyBorder="1" applyAlignment="1">
      <alignment horizontal="right"/>
    </xf>
    <xf numFmtId="175" fontId="37" fillId="48" borderId="48" xfId="0" applyNumberFormat="1" applyFont="1" applyFill="1" applyBorder="1" applyAlignment="1">
      <alignment horizontal="right"/>
    </xf>
    <xf numFmtId="179" fontId="3" fillId="15" borderId="0" xfId="0" applyNumberFormat="1" applyFont="1" applyFill="1"/>
    <xf numFmtId="179" fontId="3" fillId="15" borderId="39" xfId="0" applyNumberFormat="1" applyFont="1" applyFill="1" applyBorder="1"/>
    <xf numFmtId="179" fontId="0" fillId="0" borderId="39" xfId="0" applyNumberFormat="1" applyBorder="1"/>
    <xf numFmtId="192" fontId="0" fillId="0" borderId="0" xfId="0" applyNumberFormat="1"/>
    <xf numFmtId="179" fontId="0" fillId="0" borderId="18" xfId="0" applyNumberFormat="1" applyBorder="1"/>
    <xf numFmtId="179" fontId="0" fillId="0" borderId="45" xfId="0" applyNumberFormat="1" applyBorder="1"/>
    <xf numFmtId="184" fontId="45" fillId="11" borderId="35" xfId="1" applyNumberFormat="1" applyFont="1" applyFill="1" applyBorder="1" applyAlignment="1">
      <alignment horizontal="right"/>
    </xf>
    <xf numFmtId="169" fontId="37" fillId="0" borderId="126" xfId="0" applyNumberFormat="1" applyFont="1" applyBorder="1"/>
    <xf numFmtId="184" fontId="179" fillId="0" borderId="3" xfId="1" applyNumberFormat="1" applyFont="1" applyBorder="1" applyAlignment="1">
      <alignment horizontal="right"/>
    </xf>
    <xf numFmtId="184" fontId="183" fillId="0" borderId="3" xfId="1" applyNumberFormat="1" applyFont="1" applyBorder="1" applyAlignment="1">
      <alignment horizontal="right"/>
    </xf>
    <xf numFmtId="184" fontId="29" fillId="11" borderId="29" xfId="1" applyNumberFormat="1" applyFont="1" applyFill="1" applyBorder="1" applyAlignment="1">
      <alignment horizontal="right"/>
    </xf>
    <xf numFmtId="184" fontId="78" fillId="0" borderId="0" xfId="1" applyNumberFormat="1" applyFont="1"/>
    <xf numFmtId="184" fontId="46" fillId="0" borderId="97" xfId="1" applyNumberFormat="1" applyFont="1" applyBorder="1"/>
    <xf numFmtId="184" fontId="62" fillId="11" borderId="36" xfId="1" applyNumberFormat="1" applyFont="1" applyFill="1" applyBorder="1" applyAlignment="1">
      <alignment horizontal="right" vertical="justify"/>
    </xf>
    <xf numFmtId="175" fontId="7" fillId="0" borderId="11" xfId="2" applyNumberFormat="1" applyFont="1" applyBorder="1" applyAlignment="1">
      <alignment horizontal="right"/>
    </xf>
    <xf numFmtId="179" fontId="62" fillId="15" borderId="39" xfId="0" applyNumberFormat="1" applyFont="1" applyFill="1" applyBorder="1"/>
    <xf numFmtId="179" fontId="64" fillId="0" borderId="0" xfId="0" applyNumberFormat="1" applyFont="1"/>
    <xf numFmtId="192" fontId="64" fillId="0" borderId="0" xfId="0" applyNumberFormat="1" applyFont="1"/>
    <xf numFmtId="179" fontId="64" fillId="0" borderId="18" xfId="0" applyNumberFormat="1" applyFont="1" applyBorder="1"/>
    <xf numFmtId="3" fontId="105" fillId="0" borderId="97" xfId="0" applyNumberFormat="1" applyFont="1" applyBorder="1"/>
    <xf numFmtId="37" fontId="167" fillId="0" borderId="39" xfId="0" applyNumberFormat="1" applyFont="1" applyBorder="1" applyAlignment="1">
      <alignment horizontal="right"/>
    </xf>
    <xf numFmtId="3" fontId="167" fillId="0" borderId="39" xfId="0" applyNumberFormat="1" applyFont="1" applyBorder="1"/>
    <xf numFmtId="0" fontId="195" fillId="11" borderId="1" xfId="0" applyFont="1" applyFill="1" applyBorder="1"/>
    <xf numFmtId="0" fontId="241" fillId="11" borderId="2" xfId="0" applyFont="1" applyFill="1" applyBorder="1"/>
    <xf numFmtId="3" fontId="249" fillId="28" borderId="2" xfId="0" quotePrefix="1" applyNumberFormat="1" applyFont="1" applyFill="1" applyBorder="1" applyAlignment="1">
      <alignment horizontal="left"/>
    </xf>
    <xf numFmtId="3" fontId="249" fillId="0" borderId="3" xfId="0" quotePrefix="1" applyNumberFormat="1" applyFont="1" applyBorder="1" applyAlignment="1">
      <alignment horizontal="left" indent="1"/>
    </xf>
    <xf numFmtId="3" fontId="250" fillId="0" borderId="3" xfId="0" quotePrefix="1" applyNumberFormat="1" applyFont="1" applyBorder="1" applyAlignment="1">
      <alignment horizontal="left" indent="2"/>
    </xf>
    <xf numFmtId="3" fontId="250" fillId="0" borderId="3" xfId="0" applyNumberFormat="1" applyFont="1" applyBorder="1" applyAlignment="1">
      <alignment horizontal="left" indent="2"/>
    </xf>
    <xf numFmtId="3" fontId="249" fillId="0" borderId="3" xfId="0" applyNumberFormat="1" applyFont="1" applyBorder="1" applyAlignment="1">
      <alignment horizontal="left" indent="1"/>
    </xf>
    <xf numFmtId="0" fontId="241" fillId="11" borderId="2" xfId="0" applyFont="1" applyFill="1" applyBorder="1" applyAlignment="1">
      <alignment horizontal="left"/>
    </xf>
    <xf numFmtId="0" fontId="242" fillId="0" borderId="3" xfId="0" applyFont="1" applyBorder="1" applyAlignment="1">
      <alignment horizontal="left" indent="1"/>
    </xf>
    <xf numFmtId="3" fontId="250" fillId="0" borderId="3" xfId="0" applyNumberFormat="1" applyFont="1" applyBorder="1" applyAlignment="1">
      <alignment horizontal="left"/>
    </xf>
    <xf numFmtId="3" fontId="249" fillId="0" borderId="3" xfId="0" applyNumberFormat="1" applyFont="1" applyBorder="1" applyAlignment="1">
      <alignment horizontal="left"/>
    </xf>
    <xf numFmtId="3" fontId="251" fillId="0" borderId="3" xfId="0" applyNumberFormat="1" applyFont="1" applyBorder="1" applyAlignment="1">
      <alignment horizontal="left"/>
    </xf>
    <xf numFmtId="0" fontId="241" fillId="11" borderId="129" xfId="0" applyFont="1" applyFill="1" applyBorder="1" applyAlignment="1">
      <alignment horizontal="left"/>
    </xf>
    <xf numFmtId="0" fontId="241" fillId="11" borderId="1" xfId="0" applyFont="1" applyFill="1" applyBorder="1"/>
    <xf numFmtId="3" fontId="252" fillId="11" borderId="2" xfId="0" quotePrefix="1" applyNumberFormat="1" applyFont="1" applyFill="1" applyBorder="1" applyAlignment="1">
      <alignment horizontal="left"/>
    </xf>
    <xf numFmtId="3" fontId="253" fillId="0" borderId="3" xfId="0" quotePrefix="1" applyNumberFormat="1" applyFont="1" applyBorder="1" applyAlignment="1">
      <alignment horizontal="left" indent="1"/>
    </xf>
    <xf numFmtId="3" fontId="252" fillId="11" borderId="6" xfId="0" quotePrefix="1" applyNumberFormat="1" applyFont="1" applyFill="1" applyBorder="1" applyAlignment="1">
      <alignment horizontal="left"/>
    </xf>
    <xf numFmtId="3" fontId="254" fillId="0" borderId="3" xfId="0" quotePrefix="1" applyNumberFormat="1" applyFont="1" applyBorder="1" applyAlignment="1">
      <alignment horizontal="left" indent="1"/>
    </xf>
    <xf numFmtId="0" fontId="241" fillId="11" borderId="1" xfId="0" applyFont="1" applyFill="1" applyBorder="1" applyAlignment="1">
      <alignment horizontal="left"/>
    </xf>
    <xf numFmtId="0" fontId="242" fillId="0" borderId="4" xfId="0" applyFont="1" applyBorder="1" applyAlignment="1">
      <alignment horizontal="left" indent="1"/>
    </xf>
    <xf numFmtId="0" fontId="255" fillId="0" borderId="3" xfId="0" applyFont="1" applyBorder="1" applyAlignment="1">
      <alignment horizontal="left" indent="1"/>
    </xf>
    <xf numFmtId="0" fontId="242" fillId="0" borderId="7" xfId="0" applyFont="1" applyBorder="1" applyAlignment="1">
      <alignment horizontal="left" indent="1"/>
    </xf>
    <xf numFmtId="2" fontId="10" fillId="0" borderId="11" xfId="0" applyNumberFormat="1" applyFont="1" applyBorder="1" applyAlignment="1">
      <alignment horizontal="right"/>
    </xf>
    <xf numFmtId="167" fontId="10" fillId="0" borderId="60" xfId="0" applyNumberFormat="1" applyFont="1" applyBorder="1" applyAlignment="1">
      <alignment horizontal="right"/>
    </xf>
    <xf numFmtId="37" fontId="29" fillId="13" borderId="29" xfId="0" applyNumberFormat="1" applyFont="1" applyFill="1" applyBorder="1" applyAlignment="1">
      <alignment horizontal="right"/>
    </xf>
    <xf numFmtId="37" fontId="62" fillId="11" borderId="33" xfId="0" applyNumberFormat="1" applyFont="1" applyFill="1" applyBorder="1" applyAlignment="1">
      <alignment horizontal="right"/>
    </xf>
    <xf numFmtId="175" fontId="62" fillId="11" borderId="32" xfId="2" applyNumberFormat="1" applyFont="1" applyFill="1" applyBorder="1" applyAlignment="1">
      <alignment horizontal="right" vertical="justify"/>
    </xf>
    <xf numFmtId="2" fontId="64" fillId="0" borderId="28" xfId="2" applyNumberFormat="1" applyFont="1" applyFill="1" applyBorder="1" applyAlignment="1" applyProtection="1">
      <alignment horizontal="right"/>
    </xf>
    <xf numFmtId="175" fontId="20" fillId="0" borderId="60" xfId="0" applyNumberFormat="1" applyFont="1" applyBorder="1" applyAlignment="1">
      <alignment horizontal="right"/>
    </xf>
    <xf numFmtId="175" fontId="20" fillId="0" borderId="60" xfId="2" applyNumberFormat="1" applyFont="1" applyFill="1" applyBorder="1" applyAlignment="1">
      <alignment horizontal="right" vertical="justify"/>
    </xf>
    <xf numFmtId="0" fontId="20" fillId="8" borderId="35" xfId="2" applyNumberFormat="1" applyFont="1" applyFill="1" applyBorder="1" applyAlignment="1">
      <alignment horizontal="right" vertical="justify"/>
    </xf>
    <xf numFmtId="9" fontId="20" fillId="0" borderId="60" xfId="2" applyFont="1" applyFill="1" applyBorder="1" applyAlignment="1">
      <alignment horizontal="right" vertical="justify"/>
    </xf>
    <xf numFmtId="9" fontId="22" fillId="0" borderId="60" xfId="2" applyFont="1" applyFill="1" applyBorder="1" applyAlignment="1">
      <alignment horizontal="right" vertical="justify"/>
    </xf>
    <xf numFmtId="9" fontId="20" fillId="0" borderId="60" xfId="2" applyFont="1" applyFill="1" applyBorder="1" applyAlignment="1" applyProtection="1">
      <alignment horizontal="right"/>
    </xf>
    <xf numFmtId="0" fontId="20" fillId="0" borderId="0" xfId="2" applyNumberFormat="1" applyFont="1" applyFill="1" applyBorder="1" applyAlignment="1">
      <alignment horizontal="right" vertical="justify"/>
    </xf>
    <xf numFmtId="175" fontId="22" fillId="0" borderId="60" xfId="2" applyNumberFormat="1" applyFont="1" applyFill="1" applyBorder="1" applyAlignment="1">
      <alignment horizontal="right" vertical="justify"/>
    </xf>
    <xf numFmtId="175" fontId="22" fillId="0" borderId="39" xfId="2" applyNumberFormat="1" applyFont="1" applyFill="1" applyBorder="1" applyAlignment="1">
      <alignment horizontal="right" vertical="justify"/>
    </xf>
    <xf numFmtId="0" fontId="20" fillId="0" borderId="39" xfId="2" applyNumberFormat="1" applyFont="1" applyFill="1" applyBorder="1" applyAlignment="1">
      <alignment horizontal="right" vertical="justify"/>
    </xf>
    <xf numFmtId="0" fontId="22" fillId="0" borderId="60" xfId="2" applyNumberFormat="1" applyFont="1" applyFill="1" applyBorder="1" applyAlignment="1">
      <alignment horizontal="right" vertical="justify"/>
    </xf>
    <xf numFmtId="175" fontId="22" fillId="0" borderId="32" xfId="2" applyNumberFormat="1" applyFont="1" applyFill="1" applyBorder="1" applyAlignment="1">
      <alignment horizontal="right" vertical="justify"/>
    </xf>
    <xf numFmtId="175" fontId="22" fillId="0" borderId="3" xfId="2" applyNumberFormat="1" applyFont="1" applyFill="1" applyBorder="1" applyAlignment="1">
      <alignment horizontal="right" vertical="justify"/>
    </xf>
    <xf numFmtId="9" fontId="22" fillId="5" borderId="97" xfId="0" applyNumberFormat="1" applyFont="1" applyFill="1" applyBorder="1"/>
    <xf numFmtId="9" fontId="22" fillId="0" borderId="0" xfId="0" applyNumberFormat="1" applyFont="1"/>
    <xf numFmtId="37" fontId="46" fillId="13" borderId="32" xfId="0" applyNumberFormat="1" applyFont="1" applyFill="1" applyBorder="1" applyAlignment="1">
      <alignment horizontal="right"/>
    </xf>
    <xf numFmtId="37" fontId="32" fillId="13" borderId="96" xfId="0" applyNumberFormat="1" applyFont="1" applyFill="1" applyBorder="1" applyAlignment="1">
      <alignment horizontal="right"/>
    </xf>
    <xf numFmtId="3" fontId="64" fillId="13" borderId="28" xfId="0" applyNumberFormat="1" applyFont="1" applyFill="1" applyBorder="1"/>
    <xf numFmtId="3" fontId="22" fillId="13" borderId="28" xfId="0" applyNumberFormat="1" applyFont="1" applyFill="1" applyBorder="1"/>
    <xf numFmtId="175" fontId="7" fillId="13" borderId="59" xfId="2" applyNumberFormat="1" applyFont="1" applyFill="1" applyBorder="1" applyAlignment="1" applyProtection="1">
      <alignment horizontal="right"/>
    </xf>
    <xf numFmtId="167" fontId="10" fillId="13" borderId="59" xfId="0" applyNumberFormat="1" applyFont="1" applyFill="1" applyBorder="1" applyAlignment="1">
      <alignment horizontal="right"/>
    </xf>
    <xf numFmtId="175" fontId="20" fillId="13" borderId="44" xfId="2" applyNumberFormat="1" applyFont="1" applyFill="1" applyBorder="1" applyAlignment="1">
      <alignment horizontal="right" vertical="justify"/>
    </xf>
    <xf numFmtId="175" fontId="3" fillId="13" borderId="94" xfId="0" applyNumberFormat="1" applyFont="1" applyFill="1" applyBorder="1" applyAlignment="1">
      <alignment horizontal="right"/>
    </xf>
    <xf numFmtId="184" fontId="30" fillId="0" borderId="152" xfId="1" applyNumberFormat="1" applyFont="1" applyFill="1" applyBorder="1" applyAlignment="1">
      <alignment horizontal="right" vertical="center" wrapText="1"/>
    </xf>
    <xf numFmtId="184" fontId="212" fillId="0" borderId="0" xfId="1" applyNumberFormat="1" applyFont="1" applyBorder="1" applyAlignment="1">
      <alignment horizontal="right" wrapText="1"/>
    </xf>
    <xf numFmtId="184" fontId="60" fillId="0" borderId="0" xfId="1" applyNumberFormat="1" applyFont="1" applyBorder="1" applyAlignment="1">
      <alignment horizontal="right" vertical="center" wrapText="1"/>
    </xf>
    <xf numFmtId="184" fontId="60" fillId="0" borderId="153" xfId="1" applyNumberFormat="1" applyFont="1" applyFill="1" applyBorder="1" applyAlignment="1">
      <alignment horizontal="right" vertical="center" wrapText="1"/>
    </xf>
    <xf numFmtId="37" fontId="22" fillId="0" borderId="3" xfId="0" applyNumberFormat="1" applyFont="1" applyBorder="1" applyAlignment="1">
      <alignment horizontal="right"/>
    </xf>
    <xf numFmtId="175" fontId="20" fillId="13" borderId="31" xfId="2" applyNumberFormat="1" applyFont="1" applyFill="1" applyBorder="1" applyAlignment="1" applyProtection="1">
      <alignment horizontal="right"/>
    </xf>
    <xf numFmtId="175" fontId="22" fillId="13" borderId="59" xfId="2" applyNumberFormat="1" applyFont="1" applyFill="1" applyBorder="1" applyAlignment="1" applyProtection="1">
      <alignment horizontal="right"/>
    </xf>
    <xf numFmtId="175" fontId="22" fillId="0" borderId="28" xfId="2" applyNumberFormat="1" applyFont="1" applyFill="1" applyBorder="1" applyAlignment="1">
      <alignment horizontal="right" vertical="justify"/>
    </xf>
    <xf numFmtId="175" fontId="22" fillId="13" borderId="97" xfId="0" applyNumberFormat="1" applyFont="1" applyFill="1" applyBorder="1"/>
    <xf numFmtId="175" fontId="10" fillId="13" borderId="35" xfId="2" applyNumberFormat="1" applyFont="1" applyFill="1" applyBorder="1" applyAlignment="1" applyProtection="1">
      <alignment horizontal="right"/>
    </xf>
    <xf numFmtId="9" fontId="7" fillId="0" borderId="3" xfId="2" applyFont="1" applyFill="1" applyBorder="1" applyAlignment="1">
      <alignment horizontal="right" vertical="justify"/>
    </xf>
    <xf numFmtId="9" fontId="22" fillId="0" borderId="3" xfId="2" applyFont="1" applyFill="1" applyBorder="1" applyAlignment="1">
      <alignment horizontal="right" vertical="justify"/>
    </xf>
    <xf numFmtId="175" fontId="22" fillId="13" borderId="60" xfId="0" applyNumberFormat="1" applyFont="1" applyFill="1" applyBorder="1"/>
    <xf numFmtId="37" fontId="172" fillId="13" borderId="29" xfId="0" applyNumberFormat="1" applyFont="1" applyFill="1" applyBorder="1" applyAlignment="1">
      <alignment horizontal="right"/>
    </xf>
    <xf numFmtId="184" fontId="64" fillId="13" borderId="29" xfId="0" applyNumberFormat="1" applyFont="1" applyFill="1" applyBorder="1" applyAlignment="1">
      <alignment horizontal="right"/>
    </xf>
    <xf numFmtId="0" fontId="74" fillId="11" borderId="34" xfId="0" applyFont="1" applyFill="1" applyBorder="1"/>
    <xf numFmtId="0" fontId="3" fillId="16" borderId="124" xfId="0" applyFont="1" applyFill="1" applyBorder="1"/>
    <xf numFmtId="0" fontId="74" fillId="16" borderId="124" xfId="0" applyFont="1" applyFill="1" applyBorder="1"/>
    <xf numFmtId="0" fontId="36" fillId="80" borderId="124" xfId="0" applyFont="1" applyFill="1" applyBorder="1" applyAlignment="1">
      <alignment horizontal="right"/>
    </xf>
    <xf numFmtId="184" fontId="88" fillId="17" borderId="97" xfId="1" applyNumberFormat="1" applyFont="1" applyFill="1" applyBorder="1"/>
    <xf numFmtId="184" fontId="88" fillId="17" borderId="39" xfId="1" applyNumberFormat="1" applyFont="1" applyFill="1" applyBorder="1"/>
    <xf numFmtId="184" fontId="246" fillId="17" borderId="97" xfId="1" applyNumberFormat="1" applyFont="1" applyFill="1" applyBorder="1"/>
    <xf numFmtId="184" fontId="88" fillId="16" borderId="97" xfId="1" applyNumberFormat="1" applyFont="1" applyFill="1" applyBorder="1"/>
    <xf numFmtId="184" fontId="88" fillId="16" borderId="39" xfId="1" applyNumberFormat="1" applyFont="1" applyFill="1" applyBorder="1"/>
    <xf numFmtId="184" fontId="144" fillId="16" borderId="97" xfId="1" applyNumberFormat="1" applyFont="1" applyFill="1" applyBorder="1"/>
    <xf numFmtId="184" fontId="144" fillId="17" borderId="97" xfId="1" applyNumberFormat="1" applyFont="1" applyFill="1" applyBorder="1"/>
    <xf numFmtId="184" fontId="26" fillId="69" borderId="104" xfId="1" applyNumberFormat="1" applyFont="1" applyFill="1" applyBorder="1" applyAlignment="1">
      <alignment horizontal="right"/>
    </xf>
    <xf numFmtId="184" fontId="26" fillId="68" borderId="39" xfId="1" applyNumberFormat="1" applyFont="1" applyFill="1" applyBorder="1" applyAlignment="1">
      <alignment horizontal="right"/>
    </xf>
    <xf numFmtId="184" fontId="44" fillId="0" borderId="0" xfId="1" applyNumberFormat="1" applyFont="1" applyAlignment="1">
      <alignment horizontal="left" shrinkToFit="1"/>
    </xf>
    <xf numFmtId="184" fontId="32" fillId="0" borderId="0" xfId="1" applyNumberFormat="1" applyFont="1"/>
    <xf numFmtId="184" fontId="7" fillId="7" borderId="62" xfId="1" applyNumberFormat="1" applyFont="1" applyFill="1" applyBorder="1"/>
    <xf numFmtId="184" fontId="8" fillId="7" borderId="97" xfId="1" applyNumberFormat="1" applyFont="1" applyFill="1" applyBorder="1"/>
    <xf numFmtId="184" fontId="0" fillId="7" borderId="97" xfId="1" applyNumberFormat="1" applyFont="1" applyFill="1" applyBorder="1"/>
    <xf numFmtId="184" fontId="0" fillId="7" borderId="97" xfId="1" applyNumberFormat="1" applyFont="1" applyFill="1" applyBorder="1" applyAlignment="1">
      <alignment horizontal="right"/>
    </xf>
    <xf numFmtId="184" fontId="0" fillId="7" borderId="39" xfId="1" applyNumberFormat="1" applyFont="1" applyFill="1" applyBorder="1"/>
    <xf numFmtId="184" fontId="0" fillId="7" borderId="59" xfId="1" applyNumberFormat="1" applyFont="1" applyFill="1" applyBorder="1"/>
    <xf numFmtId="184" fontId="0" fillId="7" borderId="137" xfId="1" applyNumberFormat="1" applyFont="1" applyFill="1" applyBorder="1"/>
    <xf numFmtId="184" fontId="0" fillId="7" borderId="39" xfId="1" applyNumberFormat="1" applyFont="1" applyFill="1" applyBorder="1" applyAlignment="1">
      <alignment horizontal="right"/>
    </xf>
    <xf numFmtId="184" fontId="0" fillId="7" borderId="97" xfId="1" applyNumberFormat="1" applyFont="1" applyFill="1" applyBorder="1" applyProtection="1">
      <protection locked="0"/>
    </xf>
    <xf numFmtId="184" fontId="0" fillId="7" borderId="97" xfId="1" applyNumberFormat="1" applyFont="1" applyFill="1" applyBorder="1" applyAlignment="1" applyProtection="1">
      <alignment horizontal="right"/>
      <protection locked="0"/>
    </xf>
    <xf numFmtId="184" fontId="55" fillId="7" borderId="62" xfId="1" applyNumberFormat="1" applyFont="1" applyFill="1" applyBorder="1"/>
    <xf numFmtId="184" fontId="37" fillId="7" borderId="97" xfId="1" applyNumberFormat="1" applyFont="1" applyFill="1" applyBorder="1"/>
    <xf numFmtId="184" fontId="37" fillId="7" borderId="97" xfId="1" applyNumberFormat="1" applyFont="1" applyFill="1" applyBorder="1" applyAlignment="1">
      <alignment horizontal="right"/>
    </xf>
    <xf numFmtId="184" fontId="54" fillId="0" borderId="0" xfId="1" applyNumberFormat="1" applyFont="1"/>
    <xf numFmtId="184" fontId="10" fillId="74" borderId="62" xfId="1" applyNumberFormat="1" applyFont="1" applyFill="1" applyBorder="1"/>
    <xf numFmtId="184" fontId="54" fillId="7" borderId="97" xfId="1" applyNumberFormat="1" applyFont="1" applyFill="1" applyBorder="1"/>
    <xf numFmtId="184" fontId="0" fillId="75" borderId="97" xfId="1" applyNumberFormat="1" applyFont="1" applyFill="1" applyBorder="1"/>
    <xf numFmtId="184" fontId="0" fillId="75" borderId="97" xfId="1" applyNumberFormat="1" applyFont="1" applyFill="1" applyBorder="1" applyAlignment="1">
      <alignment horizontal="right"/>
    </xf>
    <xf numFmtId="184" fontId="7" fillId="7" borderId="0" xfId="1" applyNumberFormat="1" applyFont="1" applyFill="1"/>
    <xf numFmtId="184" fontId="15" fillId="7" borderId="97" xfId="1" applyNumberFormat="1" applyFont="1" applyFill="1" applyBorder="1"/>
    <xf numFmtId="184" fontId="8" fillId="7" borderId="60" xfId="1" applyNumberFormat="1" applyFont="1" applyFill="1" applyBorder="1"/>
    <xf numFmtId="184" fontId="0" fillId="7" borderId="60" xfId="1" applyNumberFormat="1" applyFont="1" applyFill="1" applyBorder="1"/>
    <xf numFmtId="184" fontId="0" fillId="75" borderId="60" xfId="1" applyNumberFormat="1" applyFont="1" applyFill="1" applyBorder="1"/>
    <xf numFmtId="184" fontId="15" fillId="75" borderId="60" xfId="1" applyNumberFormat="1" applyFont="1" applyFill="1" applyBorder="1"/>
    <xf numFmtId="184" fontId="15" fillId="75" borderId="60" xfId="1" applyNumberFormat="1" applyFont="1" applyFill="1" applyBorder="1" applyAlignment="1">
      <alignment horizontal="right"/>
    </xf>
    <xf numFmtId="184" fontId="0" fillId="75" borderId="60" xfId="1" applyNumberFormat="1" applyFont="1" applyFill="1" applyBorder="1" applyAlignment="1">
      <alignment horizontal="right"/>
    </xf>
    <xf numFmtId="184" fontId="8" fillId="7" borderId="59" xfId="1" applyNumberFormat="1" applyFont="1" applyFill="1" applyBorder="1"/>
    <xf numFmtId="184" fontId="8" fillId="7" borderId="60" xfId="1" applyNumberFormat="1" applyFont="1" applyFill="1" applyBorder="1" applyAlignment="1">
      <alignment horizontal="right"/>
    </xf>
    <xf numFmtId="184" fontId="7" fillId="7" borderId="60" xfId="1" applyNumberFormat="1" applyFont="1" applyFill="1" applyBorder="1" applyAlignment="1">
      <alignment horizontal="right"/>
    </xf>
    <xf numFmtId="184" fontId="23" fillId="7" borderId="59" xfId="1" applyNumberFormat="1" applyFont="1" applyFill="1" applyBorder="1"/>
    <xf numFmtId="184" fontId="55" fillId="7" borderId="60" xfId="1" applyNumberFormat="1" applyFont="1" applyFill="1" applyBorder="1" applyAlignment="1">
      <alignment horizontal="right"/>
    </xf>
    <xf numFmtId="184" fontId="7" fillId="7" borderId="59" xfId="1" applyNumberFormat="1" applyFont="1" applyFill="1" applyBorder="1"/>
    <xf numFmtId="184" fontId="8" fillId="7" borderId="39" xfId="1" applyNumberFormat="1" applyFont="1" applyFill="1" applyBorder="1" applyAlignment="1">
      <alignment horizontal="right"/>
    </xf>
    <xf numFmtId="9" fontId="7" fillId="13" borderId="28" xfId="2" applyFont="1" applyFill="1" applyBorder="1" applyAlignment="1">
      <alignment horizontal="right" vertical="justify"/>
    </xf>
    <xf numFmtId="179" fontId="0" fillId="0" borderId="96" xfId="0" applyNumberFormat="1" applyBorder="1" applyAlignment="1">
      <alignment horizontal="right"/>
    </xf>
    <xf numFmtId="37" fontId="44" fillId="0" borderId="11" xfId="0" applyNumberFormat="1" applyFont="1" applyBorder="1" applyAlignment="1">
      <alignment horizontal="right"/>
    </xf>
    <xf numFmtId="37" fontId="74" fillId="0" borderId="11" xfId="0" applyNumberFormat="1" applyFont="1" applyBorder="1" applyAlignment="1">
      <alignment horizontal="right"/>
    </xf>
    <xf numFmtId="175" fontId="0" fillId="87" borderId="97" xfId="0" applyNumberFormat="1" applyFill="1" applyBorder="1"/>
    <xf numFmtId="9" fontId="0" fillId="13" borderId="0" xfId="0" applyNumberFormat="1" applyFill="1"/>
    <xf numFmtId="175" fontId="62" fillId="13" borderId="35" xfId="2" applyNumberFormat="1" applyFont="1" applyFill="1" applyBorder="1" applyAlignment="1">
      <alignment horizontal="right" vertical="justify"/>
    </xf>
    <xf numFmtId="3" fontId="64" fillId="0" borderId="0" xfId="0" quotePrefix="1" applyNumberFormat="1" applyFont="1" applyAlignment="1">
      <alignment horizontal="left"/>
    </xf>
    <xf numFmtId="3" fontId="78" fillId="0" borderId="4" xfId="0" quotePrefix="1" applyNumberFormat="1" applyFont="1" applyBorder="1" applyAlignment="1">
      <alignment horizontal="left"/>
    </xf>
    <xf numFmtId="175" fontId="10" fillId="13" borderId="12" xfId="2" applyNumberFormat="1" applyFont="1" applyFill="1" applyBorder="1" applyAlignment="1">
      <alignment horizontal="right" vertical="justify"/>
    </xf>
    <xf numFmtId="175" fontId="26" fillId="51" borderId="0" xfId="0" applyNumberFormat="1" applyFont="1" applyFill="1" applyAlignment="1">
      <alignment horizontal="right"/>
    </xf>
    <xf numFmtId="184" fontId="26" fillId="51" borderId="0" xfId="1" applyNumberFormat="1" applyFont="1" applyFill="1" applyAlignment="1">
      <alignment horizontal="right"/>
    </xf>
    <xf numFmtId="175" fontId="64" fillId="13" borderId="60" xfId="0" applyNumberFormat="1" applyFont="1" applyFill="1" applyBorder="1"/>
    <xf numFmtId="175" fontId="64" fillId="88" borderId="60" xfId="2" applyNumberFormat="1" applyFont="1" applyFill="1" applyBorder="1" applyAlignment="1">
      <alignment horizontal="right" vertical="justify"/>
    </xf>
    <xf numFmtId="9" fontId="64" fillId="0" borderId="0" xfId="0" applyNumberFormat="1" applyFont="1"/>
    <xf numFmtId="175" fontId="64" fillId="13" borderId="96" xfId="2" applyNumberFormat="1" applyFont="1" applyFill="1" applyBorder="1" applyAlignment="1">
      <alignment horizontal="right" vertical="justify"/>
    </xf>
    <xf numFmtId="1" fontId="107" fillId="17" borderId="97" xfId="0" applyNumberFormat="1" applyFont="1" applyFill="1" applyBorder="1" applyAlignment="1">
      <alignment horizontal="right"/>
    </xf>
    <xf numFmtId="184" fontId="246" fillId="17" borderId="97" xfId="1" applyNumberFormat="1" applyFont="1" applyFill="1" applyBorder="1" applyAlignment="1">
      <alignment horizontal="right"/>
    </xf>
    <xf numFmtId="184" fontId="88" fillId="17" borderId="97" xfId="1" applyNumberFormat="1" applyFont="1" applyFill="1" applyBorder="1" applyAlignment="1">
      <alignment horizontal="right"/>
    </xf>
    <xf numFmtId="184" fontId="144" fillId="17" borderId="97" xfId="1" applyNumberFormat="1" applyFont="1" applyFill="1" applyBorder="1" applyAlignment="1">
      <alignment horizontal="right"/>
    </xf>
    <xf numFmtId="1" fontId="246" fillId="17" borderId="97" xfId="0" applyNumberFormat="1" applyFont="1" applyFill="1" applyBorder="1" applyAlignment="1">
      <alignment horizontal="right"/>
    </xf>
    <xf numFmtId="1" fontId="231" fillId="17" borderId="97" xfId="0" applyNumberFormat="1" applyFont="1" applyFill="1" applyBorder="1" applyAlignment="1">
      <alignment horizontal="right"/>
    </xf>
    <xf numFmtId="1" fontId="187" fillId="17" borderId="97" xfId="0" applyNumberFormat="1" applyFont="1" applyFill="1" applyBorder="1" applyAlignment="1">
      <alignment horizontal="right"/>
    </xf>
    <xf numFmtId="1" fontId="232" fillId="17" borderId="97" xfId="0" applyNumberFormat="1" applyFont="1" applyFill="1" applyBorder="1" applyAlignment="1">
      <alignment horizontal="right"/>
    </xf>
    <xf numFmtId="1" fontId="246" fillId="17" borderId="127" xfId="0" applyNumberFormat="1" applyFont="1" applyFill="1" applyBorder="1" applyAlignment="1">
      <alignment horizontal="right"/>
    </xf>
    <xf numFmtId="9" fontId="44" fillId="13" borderId="0" xfId="2" applyFont="1" applyFill="1" applyBorder="1" applyAlignment="1">
      <alignment horizontal="right"/>
    </xf>
    <xf numFmtId="9" fontId="44" fillId="13" borderId="0" xfId="2" applyFont="1" applyFill="1" applyAlignment="1">
      <alignment horizontal="right"/>
    </xf>
    <xf numFmtId="3" fontId="7" fillId="13" borderId="0" xfId="2" applyNumberFormat="1" applyFont="1" applyFill="1" applyAlignment="1">
      <alignment horizontal="right"/>
    </xf>
    <xf numFmtId="0" fontId="8" fillId="0" borderId="0" xfId="0" applyFont="1" applyAlignment="1">
      <alignment horizontal="right"/>
    </xf>
    <xf numFmtId="2" fontId="78" fillId="30" borderId="0" xfId="0" applyNumberFormat="1" applyFont="1" applyFill="1" applyAlignment="1">
      <alignment horizontal="right"/>
    </xf>
    <xf numFmtId="3" fontId="67" fillId="48" borderId="0" xfId="0" applyNumberFormat="1" applyFont="1" applyFill="1" applyAlignment="1">
      <alignment horizontal="right"/>
    </xf>
    <xf numFmtId="175" fontId="217" fillId="13" borderId="97" xfId="0" applyNumberFormat="1" applyFont="1" applyFill="1" applyBorder="1"/>
    <xf numFmtId="0" fontId="10" fillId="8" borderId="1" xfId="0" applyFont="1" applyFill="1" applyBorder="1" applyAlignment="1">
      <alignment horizontal="right"/>
    </xf>
    <xf numFmtId="175" fontId="10" fillId="8" borderId="1" xfId="0" applyNumberFormat="1" applyFont="1" applyFill="1" applyBorder="1" applyAlignment="1">
      <alignment horizontal="right"/>
    </xf>
    <xf numFmtId="0" fontId="10" fillId="8" borderId="170" xfId="0" applyFont="1" applyFill="1" applyBorder="1" applyAlignment="1">
      <alignment horizontal="right"/>
    </xf>
    <xf numFmtId="175" fontId="5" fillId="0" borderId="0" xfId="0" applyNumberFormat="1" applyFont="1" applyAlignment="1">
      <alignment horizontal="right"/>
    </xf>
    <xf numFmtId="175" fontId="132" fillId="0" borderId="0" xfId="2" applyNumberFormat="1" applyFont="1" applyAlignment="1">
      <alignment horizontal="right"/>
    </xf>
    <xf numFmtId="175" fontId="132" fillId="0" borderId="0" xfId="0" applyNumberFormat="1" applyFont="1" applyAlignment="1">
      <alignment horizontal="right"/>
    </xf>
    <xf numFmtId="0" fontId="11" fillId="0" borderId="123" xfId="0" applyFont="1" applyBorder="1"/>
    <xf numFmtId="0" fontId="3" fillId="16" borderId="8" xfId="0" applyFont="1" applyFill="1" applyBorder="1"/>
    <xf numFmtId="0" fontId="0" fillId="0" borderId="171" xfId="0" applyBorder="1" applyAlignment="1">
      <alignment horizontal="right"/>
    </xf>
    <xf numFmtId="0" fontId="0" fillId="0" borderId="42" xfId="0" applyBorder="1"/>
    <xf numFmtId="0" fontId="3" fillId="0" borderId="42" xfId="0" applyFont="1" applyBorder="1" applyAlignment="1">
      <alignment horizontal="right"/>
    </xf>
    <xf numFmtId="0" fontId="26" fillId="68" borderId="39" xfId="0" applyFont="1" applyFill="1" applyBorder="1" applyAlignment="1">
      <alignment horizontal="right"/>
    </xf>
    <xf numFmtId="0" fontId="122" fillId="68" borderId="39" xfId="0" applyFont="1" applyFill="1" applyBorder="1" applyAlignment="1">
      <alignment horizontal="right"/>
    </xf>
    <xf numFmtId="170" fontId="26" fillId="68" borderId="39" xfId="0" applyNumberFormat="1" applyFont="1" applyFill="1" applyBorder="1" applyAlignment="1">
      <alignment horizontal="right"/>
    </xf>
    <xf numFmtId="0" fontId="121" fillId="68" borderId="39" xfId="0" applyFont="1" applyFill="1" applyBorder="1" applyAlignment="1">
      <alignment horizontal="right"/>
    </xf>
    <xf numFmtId="0" fontId="0" fillId="73" borderId="39" xfId="0" applyFill="1" applyBorder="1" applyAlignment="1">
      <alignment horizontal="right"/>
    </xf>
    <xf numFmtId="0" fontId="121" fillId="71" borderId="39" xfId="0" applyFont="1" applyFill="1" applyBorder="1" applyAlignment="1">
      <alignment horizontal="right"/>
    </xf>
    <xf numFmtId="0" fontId="26" fillId="71" borderId="172" xfId="0" applyFont="1" applyFill="1" applyBorder="1" applyAlignment="1">
      <alignment horizontal="right"/>
    </xf>
    <xf numFmtId="0" fontId="26" fillId="71" borderId="39" xfId="0" applyFont="1" applyFill="1" applyBorder="1" applyAlignment="1">
      <alignment horizontal="right"/>
    </xf>
    <xf numFmtId="0" fontId="26" fillId="0" borderId="39" xfId="0" applyFont="1" applyBorder="1" applyAlignment="1">
      <alignment horizontal="right"/>
    </xf>
    <xf numFmtId="0" fontId="3" fillId="0" borderId="39" xfId="0" applyFont="1" applyBorder="1"/>
    <xf numFmtId="0" fontId="8" fillId="7" borderId="39" xfId="0" applyFont="1" applyFill="1" applyBorder="1"/>
    <xf numFmtId="184" fontId="8" fillId="7" borderId="39" xfId="1" applyNumberFormat="1" applyFont="1" applyFill="1" applyBorder="1"/>
    <xf numFmtId="10" fontId="0" fillId="5" borderId="39" xfId="0" applyNumberFormat="1" applyFill="1" applyBorder="1"/>
    <xf numFmtId="10" fontId="0" fillId="13" borderId="39" xfId="0" applyNumberFormat="1" applyFill="1" applyBorder="1"/>
    <xf numFmtId="175" fontId="0" fillId="5" borderId="39" xfId="2" applyNumberFormat="1" applyFont="1" applyFill="1" applyBorder="1" applyAlignment="1">
      <alignment horizontal="right"/>
    </xf>
    <xf numFmtId="169" fontId="0" fillId="5" borderId="39" xfId="0" applyNumberFormat="1" applyFill="1" applyBorder="1" applyAlignment="1">
      <alignment horizontal="right"/>
    </xf>
    <xf numFmtId="0" fontId="7" fillId="5" borderId="39" xfId="0" applyFont="1" applyFill="1" applyBorder="1"/>
    <xf numFmtId="184" fontId="0" fillId="5" borderId="39" xfId="1" applyNumberFormat="1" applyFont="1" applyFill="1" applyBorder="1"/>
    <xf numFmtId="177" fontId="10" fillId="11" borderId="39" xfId="0" applyNumberFormat="1" applyFont="1" applyFill="1" applyBorder="1" applyAlignment="1">
      <alignment horizontal="right"/>
    </xf>
    <xf numFmtId="0" fontId="7" fillId="0" borderId="39" xfId="0" applyFont="1" applyBorder="1" applyAlignment="1">
      <alignment horizontal="right"/>
    </xf>
    <xf numFmtId="168" fontId="10" fillId="0" borderId="39" xfId="0" applyNumberFormat="1" applyFont="1" applyBorder="1" applyAlignment="1">
      <alignment horizontal="right"/>
    </xf>
    <xf numFmtId="9" fontId="7" fillId="0" borderId="39" xfId="2" applyFont="1" applyFill="1" applyBorder="1" applyAlignment="1">
      <alignment horizontal="right" vertical="justify"/>
    </xf>
    <xf numFmtId="9" fontId="7" fillId="0" borderId="39" xfId="2" applyFont="1" applyFill="1" applyBorder="1" applyAlignment="1" applyProtection="1">
      <alignment horizontal="right"/>
    </xf>
    <xf numFmtId="173" fontId="7" fillId="0" borderId="39" xfId="1" applyNumberFormat="1" applyFont="1" applyFill="1" applyBorder="1" applyAlignment="1">
      <alignment horizontal="right"/>
    </xf>
    <xf numFmtId="167" fontId="7" fillId="0" borderId="39" xfId="0" applyNumberFormat="1" applyFont="1" applyBorder="1" applyAlignment="1">
      <alignment horizontal="right" vertical="justify"/>
    </xf>
    <xf numFmtId="175" fontId="7" fillId="0" borderId="39" xfId="2" applyNumberFormat="1" applyFont="1" applyFill="1" applyBorder="1" applyAlignment="1">
      <alignment horizontal="right"/>
    </xf>
    <xf numFmtId="175" fontId="10" fillId="0" borderId="39" xfId="2" applyNumberFormat="1" applyFont="1" applyFill="1" applyBorder="1" applyAlignment="1">
      <alignment horizontal="right"/>
    </xf>
    <xf numFmtId="43" fontId="7" fillId="0" borderId="39" xfId="1" applyFont="1" applyFill="1" applyBorder="1" applyAlignment="1">
      <alignment horizontal="right"/>
    </xf>
    <xf numFmtId="174" fontId="10" fillId="0" borderId="173" xfId="1" applyNumberFormat="1" applyFont="1" applyFill="1" applyBorder="1" applyAlignment="1" applyProtection="1">
      <alignment horizontal="right"/>
    </xf>
    <xf numFmtId="171" fontId="7" fillId="11" borderId="39" xfId="0" applyNumberFormat="1" applyFont="1" applyFill="1" applyBorder="1" applyAlignment="1">
      <alignment horizontal="right"/>
    </xf>
    <xf numFmtId="0" fontId="0" fillId="13" borderId="39" xfId="0" applyFill="1" applyBorder="1"/>
    <xf numFmtId="0" fontId="5" fillId="0" borderId="39" xfId="0" applyFont="1" applyBorder="1"/>
    <xf numFmtId="0" fontId="5" fillId="0" borderId="173" xfId="0" applyFont="1" applyBorder="1"/>
    <xf numFmtId="37" fontId="7" fillId="11" borderId="173" xfId="0" applyNumberFormat="1" applyFont="1" applyFill="1" applyBorder="1" applyAlignment="1">
      <alignment horizontal="right"/>
    </xf>
    <xf numFmtId="37" fontId="64" fillId="11" borderId="39" xfId="0" applyNumberFormat="1" applyFont="1" applyFill="1" applyBorder="1" applyAlignment="1">
      <alignment horizontal="right"/>
    </xf>
    <xf numFmtId="37" fontId="64" fillId="11" borderId="173" xfId="0" applyNumberFormat="1" applyFont="1" applyFill="1" applyBorder="1" applyAlignment="1">
      <alignment horizontal="right"/>
    </xf>
    <xf numFmtId="9" fontId="7" fillId="11" borderId="173" xfId="2" applyFont="1" applyFill="1" applyBorder="1" applyAlignment="1" applyProtection="1">
      <alignment horizontal="right"/>
    </xf>
    <xf numFmtId="9" fontId="10" fillId="11" borderId="41" xfId="2" applyFont="1" applyFill="1" applyBorder="1" applyAlignment="1" applyProtection="1">
      <alignment horizontal="right"/>
    </xf>
    <xf numFmtId="9" fontId="10" fillId="11" borderId="47" xfId="2" applyFont="1" applyFill="1" applyBorder="1" applyAlignment="1" applyProtection="1">
      <alignment horizontal="right"/>
    </xf>
    <xf numFmtId="9" fontId="10" fillId="11" borderId="39" xfId="2" applyFont="1" applyFill="1" applyBorder="1" applyAlignment="1" applyProtection="1">
      <alignment horizontal="right"/>
    </xf>
    <xf numFmtId="9" fontId="7" fillId="0" borderId="39" xfId="0" applyNumberFormat="1" applyFont="1" applyBorder="1" applyAlignment="1">
      <alignment horizontal="right"/>
    </xf>
    <xf numFmtId="167" fontId="10" fillId="11" borderId="39" xfId="0" applyNumberFormat="1" applyFont="1" applyFill="1" applyBorder="1" applyAlignment="1">
      <alignment horizontal="right"/>
    </xf>
    <xf numFmtId="0" fontId="7" fillId="0" borderId="14" xfId="0" applyFont="1" applyBorder="1"/>
    <xf numFmtId="0" fontId="10" fillId="11" borderId="14" xfId="0" applyFont="1" applyFill="1" applyBorder="1"/>
    <xf numFmtId="168" fontId="7" fillId="8" borderId="23" xfId="0" applyNumberFormat="1" applyFont="1" applyFill="1" applyBorder="1" applyAlignment="1">
      <alignment horizontal="right"/>
    </xf>
    <xf numFmtId="167" fontId="10" fillId="8" borderId="23" xfId="0" applyNumberFormat="1" applyFont="1" applyFill="1" applyBorder="1" applyAlignment="1">
      <alignment horizontal="right"/>
    </xf>
    <xf numFmtId="0" fontId="0" fillId="8" borderId="23" xfId="0" applyFill="1" applyBorder="1" applyAlignment="1">
      <alignment horizontal="right"/>
    </xf>
    <xf numFmtId="1" fontId="59" fillId="8" borderId="23" xfId="0" applyNumberFormat="1" applyFont="1" applyFill="1" applyBorder="1" applyAlignment="1">
      <alignment horizontal="right"/>
    </xf>
    <xf numFmtId="1" fontId="59" fillId="0" borderId="11" xfId="0" applyNumberFormat="1" applyFont="1" applyBorder="1" applyAlignment="1">
      <alignment horizontal="right"/>
    </xf>
    <xf numFmtId="1" fontId="132" fillId="8" borderId="23" xfId="0" applyNumberFormat="1" applyFont="1" applyFill="1" applyBorder="1" applyAlignment="1">
      <alignment horizontal="right"/>
    </xf>
    <xf numFmtId="184" fontId="7" fillId="8" borderId="23" xfId="1" applyNumberFormat="1" applyFont="1" applyFill="1" applyBorder="1" applyAlignment="1">
      <alignment horizontal="right"/>
    </xf>
    <xf numFmtId="184" fontId="0" fillId="8" borderId="23" xfId="1" applyNumberFormat="1" applyFont="1" applyFill="1" applyBorder="1" applyAlignment="1">
      <alignment horizontal="right"/>
    </xf>
    <xf numFmtId="0" fontId="3" fillId="5" borderId="174" xfId="0" applyFont="1" applyFill="1" applyBorder="1"/>
    <xf numFmtId="0" fontId="3" fillId="5" borderId="39" xfId="0" applyFont="1" applyFill="1" applyBorder="1"/>
    <xf numFmtId="0" fontId="36" fillId="5" borderId="39" xfId="0" applyFont="1" applyFill="1" applyBorder="1"/>
    <xf numFmtId="184" fontId="3" fillId="5" borderId="39" xfId="1" applyNumberFormat="1" applyFont="1" applyFill="1" applyBorder="1"/>
    <xf numFmtId="2" fontId="64" fillId="5" borderId="39" xfId="0" applyNumberFormat="1" applyFont="1" applyFill="1" applyBorder="1" applyAlignment="1">
      <alignment horizontal="right"/>
    </xf>
    <xf numFmtId="0" fontId="62" fillId="5" borderId="39" xfId="0" applyFont="1" applyFill="1" applyBorder="1"/>
    <xf numFmtId="0" fontId="62" fillId="5" borderId="42" xfId="0" applyFont="1" applyFill="1" applyBorder="1"/>
    <xf numFmtId="168" fontId="7" fillId="0" borderId="14" xfId="0" applyNumberFormat="1" applyFont="1" applyBorder="1" applyAlignment="1">
      <alignment horizontal="right"/>
    </xf>
    <xf numFmtId="0" fontId="30" fillId="0" borderId="175" xfId="9" applyNumberFormat="1" applyFont="1" applyBorder="1" applyAlignment="1">
      <alignment vertical="center" wrapText="1"/>
    </xf>
    <xf numFmtId="0" fontId="5" fillId="23" borderId="8" xfId="0" applyFont="1" applyFill="1" applyBorder="1"/>
    <xf numFmtId="0" fontId="3" fillId="0" borderId="176" xfId="0" applyFont="1" applyBorder="1"/>
    <xf numFmtId="0" fontId="3" fillId="85" borderId="0" xfId="0" applyFont="1" applyFill="1"/>
    <xf numFmtId="0" fontId="0" fillId="85" borderId="0" xfId="0" applyFill="1"/>
    <xf numFmtId="0" fontId="7" fillId="85" borderId="0" xfId="0" applyFont="1" applyFill="1"/>
    <xf numFmtId="0" fontId="37" fillId="85" borderId="0" xfId="0" applyFont="1" applyFill="1"/>
    <xf numFmtId="0" fontId="0" fillId="85" borderId="39" xfId="0" applyFill="1" applyBorder="1"/>
    <xf numFmtId="0" fontId="0" fillId="85" borderId="42" xfId="0" applyFill="1" applyBorder="1"/>
    <xf numFmtId="0" fontId="3" fillId="19" borderId="0" xfId="0" applyFont="1" applyFill="1"/>
    <xf numFmtId="0" fontId="37" fillId="0" borderId="97" xfId="0" applyFont="1" applyBorder="1"/>
    <xf numFmtId="0" fontId="36" fillId="0" borderId="130" xfId="0" applyFont="1" applyBorder="1"/>
    <xf numFmtId="0" fontId="55" fillId="14" borderId="97" xfId="0" applyFont="1" applyFill="1" applyBorder="1"/>
    <xf numFmtId="0" fontId="55" fillId="0" borderId="97" xfId="0" applyFont="1" applyBorder="1"/>
    <xf numFmtId="0" fontId="0" fillId="15" borderId="97" xfId="0" applyFill="1" applyBorder="1"/>
    <xf numFmtId="0" fontId="3" fillId="16" borderId="42" xfId="0" applyFont="1" applyFill="1" applyBorder="1"/>
    <xf numFmtId="0" fontId="3" fillId="16" borderId="39" xfId="0" applyFont="1" applyFill="1" applyBorder="1"/>
    <xf numFmtId="0" fontId="236" fillId="16" borderId="39" xfId="0" applyFont="1" applyFill="1" applyBorder="1"/>
    <xf numFmtId="0" fontId="3" fillId="77" borderId="39" xfId="0" applyFont="1" applyFill="1" applyBorder="1"/>
    <xf numFmtId="0" fontId="0" fillId="77" borderId="39" xfId="0" applyFill="1" applyBorder="1"/>
    <xf numFmtId="0" fontId="44" fillId="77" borderId="39" xfId="0" applyFont="1" applyFill="1" applyBorder="1"/>
    <xf numFmtId="0" fontId="37" fillId="0" borderId="118" xfId="0" applyFont="1" applyBorder="1"/>
    <xf numFmtId="169" fontId="248" fillId="17" borderId="118" xfId="0" applyNumberFormat="1" applyFont="1" applyFill="1" applyBorder="1"/>
    <xf numFmtId="0" fontId="36" fillId="0" borderId="118" xfId="0" applyFont="1" applyBorder="1" applyAlignment="1">
      <alignment horizontal="right"/>
    </xf>
    <xf numFmtId="184" fontId="8" fillId="7" borderId="97" xfId="1" applyNumberFormat="1" applyFont="1" applyFill="1" applyBorder="1" applyAlignment="1">
      <alignment horizontal="right"/>
    </xf>
    <xf numFmtId="0" fontId="32" fillId="7" borderId="97" xfId="0" applyFont="1" applyFill="1" applyBorder="1" applyAlignment="1">
      <alignment horizontal="right"/>
    </xf>
    <xf numFmtId="0" fontId="32" fillId="7" borderId="39" xfId="0" applyFont="1" applyFill="1" applyBorder="1" applyAlignment="1">
      <alignment horizontal="right"/>
    </xf>
    <xf numFmtId="0" fontId="37" fillId="5" borderId="118" xfId="0" applyFont="1" applyFill="1" applyBorder="1"/>
    <xf numFmtId="0" fontId="59" fillId="5" borderId="118" xfId="0" applyFont="1" applyFill="1" applyBorder="1"/>
    <xf numFmtId="0" fontId="37" fillId="0" borderId="177" xfId="0" applyFont="1" applyBorder="1"/>
    <xf numFmtId="0" fontId="37" fillId="0" borderId="178" xfId="0" applyFont="1" applyBorder="1" applyAlignment="1">
      <alignment horizontal="fill"/>
    </xf>
    <xf numFmtId="0" fontId="44" fillId="0" borderId="97" xfId="0" applyFont="1" applyBorder="1" applyAlignment="1">
      <alignment horizontal="fill"/>
    </xf>
    <xf numFmtId="0" fontId="55" fillId="11" borderId="97" xfId="0" applyFont="1" applyFill="1" applyBorder="1"/>
    <xf numFmtId="0" fontId="113" fillId="0" borderId="97" xfId="0" applyFont="1" applyBorder="1"/>
    <xf numFmtId="168" fontId="160" fillId="0" borderId="97" xfId="0" applyNumberFormat="1" applyFont="1" applyBorder="1" applyAlignment="1">
      <alignment horizontal="right"/>
    </xf>
    <xf numFmtId="9" fontId="166" fillId="0" borderId="97" xfId="2" applyFont="1" applyFill="1" applyBorder="1" applyAlignment="1" applyProtection="1">
      <alignment horizontal="right"/>
    </xf>
    <xf numFmtId="168" fontId="160" fillId="13" borderId="97" xfId="0" applyNumberFormat="1" applyFont="1" applyFill="1" applyBorder="1" applyAlignment="1">
      <alignment horizontal="right"/>
    </xf>
    <xf numFmtId="168" fontId="161" fillId="0" borderId="97" xfId="0" applyNumberFormat="1" applyFont="1" applyBorder="1" applyAlignment="1">
      <alignment horizontal="right"/>
    </xf>
    <xf numFmtId="168" fontId="161" fillId="13" borderId="97" xfId="0" applyNumberFormat="1" applyFont="1" applyFill="1" applyBorder="1" applyAlignment="1">
      <alignment horizontal="right"/>
    </xf>
    <xf numFmtId="176" fontId="161" fillId="0" borderId="97" xfId="0" applyNumberFormat="1" applyFont="1" applyBorder="1" applyAlignment="1">
      <alignment horizontal="right"/>
    </xf>
    <xf numFmtId="176" fontId="161" fillId="13" borderId="97" xfId="0" applyNumberFormat="1" applyFont="1" applyFill="1" applyBorder="1" applyAlignment="1">
      <alignment horizontal="right"/>
    </xf>
    <xf numFmtId="168" fontId="104" fillId="0" borderId="97" xfId="0" applyNumberFormat="1" applyFont="1" applyBorder="1" applyAlignment="1">
      <alignment horizontal="right"/>
    </xf>
    <xf numFmtId="184" fontId="161" fillId="0" borderId="126" xfId="1" applyNumberFormat="1" applyFont="1" applyBorder="1" applyAlignment="1">
      <alignment horizontal="right"/>
    </xf>
    <xf numFmtId="176" fontId="162" fillId="0" borderId="97" xfId="0" applyNumberFormat="1" applyFont="1" applyBorder="1" applyAlignment="1">
      <alignment horizontal="right"/>
    </xf>
    <xf numFmtId="184" fontId="162" fillId="0" borderId="97" xfId="1" applyNumberFormat="1" applyFont="1" applyBorder="1" applyAlignment="1">
      <alignment horizontal="right"/>
    </xf>
    <xf numFmtId="184" fontId="161" fillId="0" borderId="97" xfId="1" applyNumberFormat="1" applyFont="1" applyBorder="1" applyAlignment="1">
      <alignment horizontal="right"/>
    </xf>
    <xf numFmtId="184" fontId="162" fillId="13" borderId="97" xfId="1" applyNumberFormat="1" applyFont="1" applyFill="1" applyBorder="1" applyAlignment="1">
      <alignment horizontal="right"/>
    </xf>
    <xf numFmtId="184" fontId="162" fillId="0" borderId="126" xfId="1" applyNumberFormat="1" applyFont="1" applyBorder="1" applyAlignment="1">
      <alignment horizontal="right"/>
    </xf>
    <xf numFmtId="3" fontId="163" fillId="0" borderId="97" xfId="0" applyNumberFormat="1" applyFont="1" applyBorder="1" applyAlignment="1">
      <alignment horizontal="right"/>
    </xf>
    <xf numFmtId="3" fontId="163" fillId="0" borderId="126" xfId="0" applyNumberFormat="1" applyFont="1" applyBorder="1" applyAlignment="1">
      <alignment horizontal="right"/>
    </xf>
    <xf numFmtId="0" fontId="10" fillId="11" borderId="32" xfId="0" applyFont="1" applyFill="1" applyBorder="1"/>
    <xf numFmtId="0" fontId="37" fillId="11" borderId="97" xfId="0" applyFont="1" applyFill="1" applyBorder="1"/>
    <xf numFmtId="0" fontId="47" fillId="8" borderId="35" xfId="0" applyFont="1" applyFill="1" applyBorder="1" applyAlignment="1">
      <alignment horizontal="right"/>
    </xf>
    <xf numFmtId="168" fontId="55" fillId="8" borderId="35" xfId="0" applyNumberFormat="1" applyFont="1" applyFill="1" applyBorder="1" applyAlignment="1">
      <alignment horizontal="right"/>
    </xf>
    <xf numFmtId="168" fontId="55" fillId="0" borderId="97" xfId="0" applyNumberFormat="1" applyFont="1" applyBorder="1" applyAlignment="1">
      <alignment horizontal="right"/>
    </xf>
    <xf numFmtId="168" fontId="47" fillId="0" borderId="97" xfId="0" applyNumberFormat="1" applyFont="1" applyBorder="1" applyAlignment="1">
      <alignment horizontal="right"/>
    </xf>
    <xf numFmtId="167" fontId="47" fillId="8" borderId="35" xfId="0" applyNumberFormat="1" applyFont="1" applyFill="1" applyBorder="1" applyAlignment="1">
      <alignment horizontal="right"/>
    </xf>
    <xf numFmtId="167" fontId="47" fillId="0" borderId="97" xfId="0" applyNumberFormat="1" applyFont="1" applyBorder="1" applyAlignment="1">
      <alignment horizontal="right"/>
    </xf>
    <xf numFmtId="168" fontId="55" fillId="0" borderId="97" xfId="0" applyNumberFormat="1" applyFont="1" applyBorder="1" applyAlignment="1">
      <alignment horizontal="center"/>
    </xf>
    <xf numFmtId="168" fontId="47" fillId="0" borderId="32" xfId="1" applyNumberFormat="1" applyFont="1" applyFill="1" applyBorder="1" applyAlignment="1" applyProtection="1">
      <alignment horizontal="right"/>
    </xf>
    <xf numFmtId="0" fontId="37" fillId="8" borderId="35" xfId="0" applyFont="1" applyFill="1" applyBorder="1" applyAlignment="1">
      <alignment horizontal="right"/>
    </xf>
    <xf numFmtId="168" fontId="132" fillId="8" borderId="35" xfId="0" applyNumberFormat="1" applyFont="1" applyFill="1" applyBorder="1" applyAlignment="1">
      <alignment horizontal="right"/>
    </xf>
    <xf numFmtId="9" fontId="59" fillId="8" borderId="35" xfId="0" applyNumberFormat="1" applyFont="1" applyFill="1" applyBorder="1" applyAlignment="1">
      <alignment horizontal="right"/>
    </xf>
    <xf numFmtId="9" fontId="59" fillId="0" borderId="97" xfId="0" applyNumberFormat="1" applyFont="1" applyBorder="1" applyAlignment="1">
      <alignment horizontal="right"/>
    </xf>
    <xf numFmtId="9" fontId="132" fillId="0" borderId="97" xfId="0" applyNumberFormat="1" applyFont="1" applyBorder="1" applyAlignment="1">
      <alignment horizontal="right"/>
    </xf>
    <xf numFmtId="9" fontId="47" fillId="0" borderId="97" xfId="0" applyNumberFormat="1" applyFont="1" applyBorder="1" applyAlignment="1">
      <alignment horizontal="right"/>
    </xf>
    <xf numFmtId="9" fontId="55" fillId="0" borderId="97" xfId="0" applyNumberFormat="1" applyFont="1" applyBorder="1" applyAlignment="1">
      <alignment horizontal="right"/>
    </xf>
    <xf numFmtId="184" fontId="55" fillId="8" borderId="35" xfId="1" applyNumberFormat="1" applyFont="1" applyFill="1" applyBorder="1" applyAlignment="1">
      <alignment horizontal="right"/>
    </xf>
    <xf numFmtId="184" fontId="55" fillId="0" borderId="97" xfId="1" applyNumberFormat="1" applyFont="1" applyBorder="1" applyAlignment="1">
      <alignment horizontal="right"/>
    </xf>
    <xf numFmtId="184" fontId="47" fillId="0" borderId="97" xfId="1" applyNumberFormat="1" applyFont="1" applyBorder="1" applyAlignment="1">
      <alignment horizontal="right"/>
    </xf>
    <xf numFmtId="184" fontId="47" fillId="8" borderId="35" xfId="1" applyNumberFormat="1" applyFont="1" applyFill="1" applyBorder="1" applyAlignment="1">
      <alignment horizontal="right"/>
    </xf>
    <xf numFmtId="184" fontId="37" fillId="8" borderId="35" xfId="1" applyNumberFormat="1" applyFont="1" applyFill="1" applyBorder="1" applyAlignment="1">
      <alignment horizontal="right"/>
    </xf>
    <xf numFmtId="0" fontId="42" fillId="0" borderId="179" xfId="0" quotePrefix="1" applyFont="1" applyBorder="1" applyAlignment="1">
      <alignment horizontal="fill"/>
    </xf>
    <xf numFmtId="0" fontId="42" fillId="0" borderId="97" xfId="0" quotePrefix="1" applyFont="1" applyBorder="1" applyAlignment="1">
      <alignment horizontal="fill"/>
    </xf>
    <xf numFmtId="14" fontId="132" fillId="0" borderId="126" xfId="0" applyNumberFormat="1" applyFont="1" applyBorder="1"/>
    <xf numFmtId="0" fontId="132" fillId="5" borderId="118" xfId="0" applyFont="1" applyFill="1" applyBorder="1"/>
    <xf numFmtId="168" fontId="55" fillId="0" borderId="26" xfId="0" applyNumberFormat="1" applyFont="1" applyBorder="1" applyAlignment="1">
      <alignment horizontal="right"/>
    </xf>
    <xf numFmtId="3" fontId="56" fillId="0" borderId="97" xfId="0" quotePrefix="1" applyNumberFormat="1" applyFont="1" applyBorder="1" applyAlignment="1">
      <alignment horizontal="left"/>
    </xf>
    <xf numFmtId="1" fontId="47" fillId="8" borderId="35" xfId="0" applyNumberFormat="1" applyFont="1" applyFill="1" applyBorder="1" applyAlignment="1">
      <alignment horizontal="right"/>
    </xf>
    <xf numFmtId="3" fontId="47" fillId="8" borderId="35" xfId="0" applyNumberFormat="1" applyFont="1" applyFill="1" applyBorder="1" applyAlignment="1">
      <alignment horizontal="right"/>
    </xf>
    <xf numFmtId="3" fontId="47" fillId="0" borderId="32" xfId="0" applyNumberFormat="1" applyFont="1" applyBorder="1" applyAlignment="1">
      <alignment horizontal="right"/>
    </xf>
    <xf numFmtId="168" fontId="47" fillId="0" borderId="97" xfId="1" applyNumberFormat="1" applyFont="1" applyFill="1" applyBorder="1" applyAlignment="1" applyProtection="1">
      <alignment horizontal="right"/>
    </xf>
    <xf numFmtId="3" fontId="47" fillId="0" borderId="97" xfId="0" applyNumberFormat="1" applyFont="1" applyBorder="1" applyAlignment="1">
      <alignment horizontal="right"/>
    </xf>
    <xf numFmtId="168" fontId="55" fillId="0" borderId="32" xfId="0" applyNumberFormat="1" applyFont="1" applyBorder="1" applyAlignment="1">
      <alignment horizontal="right"/>
    </xf>
    <xf numFmtId="168" fontId="42" fillId="54" borderId="97" xfId="0" applyNumberFormat="1" applyFont="1" applyFill="1" applyBorder="1" applyAlignment="1">
      <alignment horizontal="right"/>
    </xf>
    <xf numFmtId="2" fontId="42" fillId="54" borderId="97" xfId="0" applyNumberFormat="1" applyFont="1" applyFill="1" applyBorder="1" applyAlignment="1">
      <alignment horizontal="right"/>
    </xf>
    <xf numFmtId="0" fontId="42" fillId="0" borderId="97" xfId="0" applyFont="1" applyBorder="1"/>
    <xf numFmtId="0" fontId="37" fillId="0" borderId="180" xfId="0" applyFont="1" applyBorder="1"/>
    <xf numFmtId="184" fontId="37" fillId="0" borderId="97" xfId="1" applyNumberFormat="1" applyFont="1" applyBorder="1"/>
    <xf numFmtId="184" fontId="42" fillId="0" borderId="97" xfId="1" applyNumberFormat="1" applyFont="1" applyBorder="1"/>
    <xf numFmtId="9" fontId="42" fillId="13" borderId="118" xfId="0" applyNumberFormat="1" applyFont="1" applyFill="1" applyBorder="1"/>
    <xf numFmtId="0" fontId="42" fillId="13" borderId="118" xfId="0" applyFont="1" applyFill="1" applyBorder="1"/>
    <xf numFmtId="0" fontId="42" fillId="0" borderId="181" xfId="0" applyFont="1" applyBorder="1" applyAlignment="1">
      <alignment wrapText="1"/>
    </xf>
    <xf numFmtId="9" fontId="59" fillId="0" borderId="97" xfId="0" applyNumberFormat="1" applyFont="1" applyBorder="1"/>
    <xf numFmtId="184" fontId="59" fillId="13" borderId="97" xfId="1" applyNumberFormat="1" applyFont="1" applyFill="1" applyBorder="1"/>
    <xf numFmtId="0" fontId="37" fillId="0" borderId="181" xfId="0" applyFont="1" applyBorder="1"/>
    <xf numFmtId="14" fontId="132" fillId="0" borderId="97" xfId="0" applyNumberFormat="1" applyFont="1" applyBorder="1"/>
    <xf numFmtId="0" fontId="43" fillId="0" borderId="97" xfId="0" applyFont="1" applyBorder="1" applyAlignment="1">
      <alignment horizontal="center"/>
    </xf>
    <xf numFmtId="0" fontId="43" fillId="0" borderId="97" xfId="0" applyFont="1" applyBorder="1" applyAlignment="1">
      <alignment horizontal="right"/>
    </xf>
    <xf numFmtId="0" fontId="43" fillId="0" borderId="97" xfId="0" applyFont="1" applyBorder="1" applyAlignment="1">
      <alignment horizontal="left"/>
    </xf>
    <xf numFmtId="0" fontId="37" fillId="0" borderId="178" xfId="0" applyFont="1" applyBorder="1"/>
    <xf numFmtId="0" fontId="45" fillId="0" borderId="97" xfId="0" applyFont="1" applyBorder="1"/>
    <xf numFmtId="0" fontId="101" fillId="0" borderId="97" xfId="0" applyFont="1" applyBorder="1"/>
    <xf numFmtId="0" fontId="42" fillId="0" borderId="178" xfId="0" applyFont="1" applyBorder="1"/>
    <xf numFmtId="0" fontId="37" fillId="16" borderId="118" xfId="0" applyFont="1" applyFill="1" applyBorder="1"/>
    <xf numFmtId="0" fontId="37" fillId="13" borderId="97" xfId="0" applyFont="1" applyFill="1" applyBorder="1"/>
    <xf numFmtId="0" fontId="37" fillId="23" borderId="97" xfId="0" applyFont="1" applyFill="1" applyBorder="1"/>
    <xf numFmtId="0" fontId="37" fillId="23" borderId="118" xfId="0" applyFont="1" applyFill="1" applyBorder="1"/>
    <xf numFmtId="0" fontId="37" fillId="23" borderId="182" xfId="0" applyFont="1" applyFill="1" applyBorder="1"/>
    <xf numFmtId="0" fontId="43" fillId="23" borderId="97" xfId="0" applyFont="1" applyFill="1" applyBorder="1" applyAlignment="1">
      <alignment horizontal="right"/>
    </xf>
    <xf numFmtId="0" fontId="37" fillId="23" borderId="179" xfId="0" applyFont="1" applyFill="1" applyBorder="1"/>
    <xf numFmtId="0" fontId="37" fillId="0" borderId="183" xfId="0" applyFont="1" applyBorder="1" applyAlignment="1">
      <alignment horizontal="fill"/>
    </xf>
    <xf numFmtId="191" fontId="42" fillId="24" borderId="97" xfId="0" applyNumberFormat="1" applyFont="1" applyFill="1" applyBorder="1"/>
    <xf numFmtId="0" fontId="55" fillId="24" borderId="97" xfId="0" applyFont="1" applyFill="1" applyBorder="1"/>
    <xf numFmtId="0" fontId="102" fillId="24" borderId="97" xfId="0" applyFont="1" applyFill="1" applyBorder="1"/>
    <xf numFmtId="0" fontId="151" fillId="24" borderId="97" xfId="0" applyFont="1" applyFill="1" applyBorder="1"/>
    <xf numFmtId="0" fontId="102" fillId="20" borderId="97" xfId="0" applyFont="1" applyFill="1" applyBorder="1"/>
    <xf numFmtId="0" fontId="22" fillId="20" borderId="97" xfId="0" applyFont="1" applyFill="1" applyBorder="1"/>
    <xf numFmtId="0" fontId="6" fillId="27" borderId="97" xfId="0" applyFont="1" applyFill="1" applyBorder="1"/>
    <xf numFmtId="0" fontId="215" fillId="27" borderId="97" xfId="0" applyFont="1" applyFill="1" applyBorder="1"/>
    <xf numFmtId="0" fontId="137" fillId="27" borderId="97" xfId="0" applyFont="1" applyFill="1" applyBorder="1"/>
    <xf numFmtId="0" fontId="43" fillId="13" borderId="97" xfId="0" applyFont="1" applyFill="1" applyBorder="1"/>
    <xf numFmtId="0" fontId="43" fillId="13" borderId="97" xfId="0" applyFont="1" applyFill="1" applyBorder="1" applyAlignment="1">
      <alignment horizontal="right"/>
    </xf>
    <xf numFmtId="3" fontId="7" fillId="24" borderId="39" xfId="2" applyNumberFormat="1" applyFont="1" applyFill="1" applyBorder="1"/>
    <xf numFmtId="0" fontId="37" fillId="0" borderId="97" xfId="0" applyFont="1" applyBorder="1" applyAlignment="1">
      <alignment horizontal="fill"/>
    </xf>
    <xf numFmtId="0" fontId="55" fillId="85" borderId="97" xfId="0" applyFont="1" applyFill="1" applyBorder="1"/>
    <xf numFmtId="0" fontId="55" fillId="85" borderId="97" xfId="0" applyFont="1" applyFill="1" applyBorder="1" applyAlignment="1">
      <alignment horizontal="left"/>
    </xf>
    <xf numFmtId="0" fontId="37" fillId="85" borderId="97" xfId="0" applyFont="1" applyFill="1" applyBorder="1" applyAlignment="1">
      <alignment horizontal="right"/>
    </xf>
    <xf numFmtId="0" fontId="59" fillId="85" borderId="97" xfId="0" applyFont="1" applyFill="1" applyBorder="1"/>
    <xf numFmtId="0" fontId="37" fillId="85" borderId="118" xfId="0" applyFont="1" applyFill="1" applyBorder="1"/>
    <xf numFmtId="0" fontId="37" fillId="14" borderId="97" xfId="0" applyFont="1" applyFill="1" applyBorder="1"/>
    <xf numFmtId="0" fontId="91" fillId="14" borderId="26" xfId="0" applyFont="1" applyFill="1" applyBorder="1" applyAlignment="1">
      <alignment horizontal="right"/>
    </xf>
    <xf numFmtId="0" fontId="88" fillId="14" borderId="32" xfId="0" applyFont="1" applyFill="1" applyBorder="1" applyAlignment="1">
      <alignment horizontal="right"/>
    </xf>
    <xf numFmtId="0" fontId="88" fillId="14" borderId="97" xfId="0" applyFont="1" applyFill="1" applyBorder="1" applyAlignment="1">
      <alignment horizontal="right"/>
    </xf>
    <xf numFmtId="169" fontId="0" fillId="14" borderId="97" xfId="0" applyNumberFormat="1" applyFill="1" applyBorder="1" applyAlignment="1">
      <alignment horizontal="right"/>
    </xf>
    <xf numFmtId="170" fontId="88" fillId="14" borderId="97" xfId="0" applyNumberFormat="1" applyFont="1" applyFill="1" applyBorder="1" applyAlignment="1">
      <alignment horizontal="right"/>
    </xf>
    <xf numFmtId="3" fontId="88" fillId="14" borderId="97" xfId="0" applyNumberFormat="1" applyFont="1" applyFill="1" applyBorder="1" applyAlignment="1">
      <alignment horizontal="right"/>
    </xf>
    <xf numFmtId="0" fontId="88" fillId="14" borderId="184" xfId="0" applyFont="1" applyFill="1" applyBorder="1" applyAlignment="1">
      <alignment horizontal="right"/>
    </xf>
    <xf numFmtId="175" fontId="0" fillId="14" borderId="97" xfId="0" applyNumberFormat="1" applyFill="1" applyBorder="1"/>
    <xf numFmtId="3" fontId="99" fillId="22" borderId="32" xfId="0" applyNumberFormat="1" applyFont="1" applyFill="1" applyBorder="1" applyAlignment="1">
      <alignment horizontal="right"/>
    </xf>
    <xf numFmtId="169" fontId="37" fillId="14" borderId="97" xfId="0" applyNumberFormat="1" applyFont="1" applyFill="1" applyBorder="1"/>
    <xf numFmtId="0" fontId="36" fillId="19" borderId="97" xfId="0" applyFont="1" applyFill="1" applyBorder="1"/>
    <xf numFmtId="0" fontId="121" fillId="0" borderId="97" xfId="0" applyFont="1" applyBorder="1"/>
    <xf numFmtId="0" fontId="121" fillId="47" borderId="97" xfId="0" applyFont="1" applyFill="1" applyBorder="1"/>
    <xf numFmtId="1" fontId="26" fillId="47" borderId="97" xfId="0" applyNumberFormat="1" applyFont="1" applyFill="1" applyBorder="1" applyAlignment="1">
      <alignment horizontal="right"/>
    </xf>
    <xf numFmtId="0" fontId="44" fillId="30" borderId="97" xfId="0" applyFont="1" applyFill="1" applyBorder="1"/>
    <xf numFmtId="0" fontId="78" fillId="30" borderId="97" xfId="0" applyFont="1" applyFill="1" applyBorder="1" applyAlignment="1">
      <alignment horizontal="left"/>
    </xf>
    <xf numFmtId="9" fontId="113" fillId="30" borderId="118" xfId="0" applyNumberFormat="1" applyFont="1" applyFill="1" applyBorder="1"/>
    <xf numFmtId="0" fontId="115" fillId="30" borderId="97" xfId="0" applyFont="1" applyFill="1" applyBorder="1"/>
    <xf numFmtId="175" fontId="113" fillId="30" borderId="118" xfId="0" applyNumberFormat="1" applyFont="1" applyFill="1" applyBorder="1"/>
    <xf numFmtId="175" fontId="113" fillId="30" borderId="97" xfId="0" applyNumberFormat="1" applyFont="1" applyFill="1" applyBorder="1"/>
    <xf numFmtId="9" fontId="113" fillId="30" borderId="97" xfId="0" applyNumberFormat="1" applyFont="1" applyFill="1" applyBorder="1"/>
    <xf numFmtId="0" fontId="37" fillId="30" borderId="97" xfId="0" applyFont="1" applyFill="1" applyBorder="1"/>
    <xf numFmtId="0" fontId="110" fillId="30" borderId="185" xfId="0" applyFont="1" applyFill="1" applyBorder="1" applyAlignment="1">
      <alignment horizontal="right"/>
    </xf>
    <xf numFmtId="0" fontId="37" fillId="30" borderId="186" xfId="0" applyFont="1" applyFill="1" applyBorder="1"/>
    <xf numFmtId="0" fontId="37" fillId="48" borderId="97" xfId="0" applyFont="1" applyFill="1" applyBorder="1"/>
    <xf numFmtId="175" fontId="15" fillId="48" borderId="39" xfId="0" applyNumberFormat="1" applyFont="1" applyFill="1" applyBorder="1"/>
    <xf numFmtId="3" fontId="15" fillId="48" borderId="39" xfId="0" applyNumberFormat="1" applyFont="1" applyFill="1" applyBorder="1"/>
    <xf numFmtId="1" fontId="15" fillId="48" borderId="39" xfId="0" applyNumberFormat="1" applyFont="1" applyFill="1" applyBorder="1"/>
    <xf numFmtId="0" fontId="37" fillId="48" borderId="97" xfId="0" applyFont="1" applyFill="1" applyBorder="1" applyAlignment="1">
      <alignment horizontal="left"/>
    </xf>
    <xf numFmtId="0" fontId="15" fillId="48" borderId="97" xfId="0" applyFont="1" applyFill="1" applyBorder="1"/>
    <xf numFmtId="0" fontId="38" fillId="48" borderId="97" xfId="0" applyFont="1" applyFill="1" applyBorder="1"/>
    <xf numFmtId="2" fontId="15" fillId="48" borderId="97" xfId="0" applyNumberFormat="1" applyFont="1" applyFill="1" applyBorder="1"/>
    <xf numFmtId="2" fontId="38" fillId="48" borderId="97" xfId="0" applyNumberFormat="1" applyFont="1" applyFill="1" applyBorder="1"/>
    <xf numFmtId="0" fontId="132" fillId="48" borderId="97" xfId="0" applyFont="1" applyFill="1" applyBorder="1"/>
    <xf numFmtId="175" fontId="15" fillId="48" borderId="97" xfId="0" applyNumberFormat="1" applyFont="1" applyFill="1" applyBorder="1"/>
    <xf numFmtId="0" fontId="37" fillId="50" borderId="97" xfId="0" applyFont="1" applyFill="1" applyBorder="1"/>
    <xf numFmtId="0" fontId="37" fillId="0" borderId="97" xfId="0" applyFont="1" applyBorder="1" applyAlignment="1">
      <alignment horizontal="left"/>
    </xf>
    <xf numFmtId="0" fontId="42" fillId="0" borderId="97" xfId="0" applyFont="1" applyBorder="1" applyAlignment="1">
      <alignment horizontal="right"/>
    </xf>
    <xf numFmtId="0" fontId="0" fillId="53" borderId="97" xfId="0" applyFill="1" applyBorder="1"/>
    <xf numFmtId="9" fontId="42" fillId="0" borderId="97" xfId="2" applyFont="1" applyBorder="1"/>
    <xf numFmtId="184" fontId="121" fillId="47" borderId="97" xfId="1" applyNumberFormat="1" applyFont="1" applyFill="1" applyBorder="1"/>
    <xf numFmtId="3" fontId="256" fillId="0" borderId="0" xfId="0" applyNumberFormat="1" applyFont="1"/>
    <xf numFmtId="0" fontId="33" fillId="52" borderId="0" xfId="0" applyFont="1" applyFill="1" applyAlignment="1">
      <alignment horizontal="right"/>
    </xf>
    <xf numFmtId="175" fontId="33" fillId="52" borderId="0" xfId="0" applyNumberFormat="1" applyFont="1" applyFill="1" applyAlignment="1">
      <alignment horizontal="right"/>
    </xf>
    <xf numFmtId="175" fontId="0" fillId="0" borderId="50" xfId="0" applyNumberFormat="1" applyBorder="1" applyAlignment="1">
      <alignment horizontal="right"/>
    </xf>
    <xf numFmtId="175" fontId="0" fillId="0" borderId="58" xfId="0" applyNumberFormat="1" applyBorder="1" applyAlignment="1">
      <alignment horizontal="right"/>
    </xf>
    <xf numFmtId="0" fontId="74" fillId="16" borderId="124" xfId="0" applyFont="1" applyFill="1" applyBorder="1" applyAlignment="1">
      <alignment horizontal="right"/>
    </xf>
    <xf numFmtId="0" fontId="36" fillId="16" borderId="124" xfId="0" applyFont="1" applyFill="1" applyBorder="1" applyAlignment="1">
      <alignment horizontal="right"/>
    </xf>
    <xf numFmtId="170" fontId="10" fillId="16" borderId="0" xfId="0" applyNumberFormat="1" applyFont="1" applyFill="1" applyAlignment="1">
      <alignment horizontal="right"/>
    </xf>
    <xf numFmtId="170" fontId="64" fillId="81" borderId="0" xfId="0" applyNumberFormat="1" applyFont="1" applyFill="1" applyAlignment="1">
      <alignment horizontal="right"/>
    </xf>
    <xf numFmtId="170" fontId="7" fillId="81" borderId="0" xfId="0" applyNumberFormat="1" applyFont="1" applyFill="1" applyAlignment="1">
      <alignment horizontal="right"/>
    </xf>
    <xf numFmtId="0" fontId="22" fillId="16" borderId="0" xfId="0" applyFont="1" applyFill="1" applyAlignment="1">
      <alignment horizontal="right"/>
    </xf>
    <xf numFmtId="169" fontId="22" fillId="16" borderId="0" xfId="0" applyNumberFormat="1" applyFont="1" applyFill="1" applyAlignment="1">
      <alignment horizontal="right"/>
    </xf>
    <xf numFmtId="170" fontId="3" fillId="16" borderId="0" xfId="0" applyNumberFormat="1" applyFont="1" applyFill="1" applyAlignment="1">
      <alignment horizontal="right"/>
    </xf>
    <xf numFmtId="170" fontId="237" fillId="16" borderId="0" xfId="0" applyNumberFormat="1" applyFont="1" applyFill="1" applyAlignment="1">
      <alignment horizontal="right"/>
    </xf>
    <xf numFmtId="170" fontId="26" fillId="29" borderId="0" xfId="0" applyNumberFormat="1" applyFont="1" applyFill="1" applyAlignment="1">
      <alignment horizontal="right"/>
    </xf>
    <xf numFmtId="170" fontId="62" fillId="16" borderId="0" xfId="0" applyNumberFormat="1" applyFont="1" applyFill="1" applyAlignment="1">
      <alignment horizontal="right"/>
    </xf>
    <xf numFmtId="170" fontId="139" fillId="16" borderId="0" xfId="0" applyNumberFormat="1" applyFont="1" applyFill="1" applyAlignment="1">
      <alignment horizontal="right"/>
    </xf>
    <xf numFmtId="0" fontId="3" fillId="16" borderId="0" xfId="0" applyFont="1" applyFill="1" applyAlignment="1">
      <alignment horizontal="right"/>
    </xf>
    <xf numFmtId="0" fontId="5" fillId="0" borderId="8" xfId="0" applyFont="1" applyBorder="1" applyAlignment="1">
      <alignment horizontal="right"/>
    </xf>
    <xf numFmtId="0" fontId="23" fillId="0" borderId="127" xfId="0" applyFont="1" applyBorder="1" applyAlignment="1">
      <alignment horizontal="right"/>
    </xf>
    <xf numFmtId="0" fontId="23" fillId="0" borderId="131" xfId="0" applyFont="1" applyBorder="1" applyAlignment="1">
      <alignment horizontal="right"/>
    </xf>
    <xf numFmtId="1" fontId="107" fillId="17" borderId="39" xfId="0" applyNumberFormat="1" applyFont="1" applyFill="1" applyBorder="1" applyAlignment="1">
      <alignment horizontal="right"/>
    </xf>
    <xf numFmtId="184" fontId="246" fillId="17" borderId="39" xfId="1" applyNumberFormat="1" applyFont="1" applyFill="1" applyBorder="1" applyAlignment="1">
      <alignment horizontal="right"/>
    </xf>
    <xf numFmtId="184" fontId="88" fillId="17" borderId="39" xfId="1" applyNumberFormat="1" applyFont="1" applyFill="1" applyBorder="1" applyAlignment="1">
      <alignment horizontal="right"/>
    </xf>
    <xf numFmtId="184" fontId="144" fillId="17" borderId="39" xfId="1" applyNumberFormat="1" applyFont="1" applyFill="1" applyBorder="1" applyAlignment="1">
      <alignment horizontal="right"/>
    </xf>
    <xf numFmtId="1" fontId="246" fillId="17" borderId="39" xfId="0" applyNumberFormat="1" applyFont="1" applyFill="1" applyBorder="1" applyAlignment="1">
      <alignment horizontal="right"/>
    </xf>
    <xf numFmtId="1" fontId="231" fillId="17" borderId="39" xfId="0" applyNumberFormat="1" applyFont="1" applyFill="1" applyBorder="1" applyAlignment="1">
      <alignment horizontal="right"/>
    </xf>
    <xf numFmtId="1" fontId="187" fillId="17" borderId="39" xfId="0" applyNumberFormat="1" applyFont="1" applyFill="1" applyBorder="1" applyAlignment="1">
      <alignment horizontal="right"/>
    </xf>
    <xf numFmtId="1" fontId="232" fillId="17" borderId="39" xfId="0" applyNumberFormat="1" applyFont="1" applyFill="1" applyBorder="1" applyAlignment="1">
      <alignment horizontal="right"/>
    </xf>
    <xf numFmtId="1" fontId="246" fillId="17" borderId="42" xfId="0" applyNumberFormat="1" applyFont="1" applyFill="1" applyBorder="1" applyAlignment="1">
      <alignment horizontal="right"/>
    </xf>
    <xf numFmtId="169" fontId="0" fillId="0" borderId="39" xfId="0" applyNumberFormat="1" applyBorder="1" applyAlignment="1">
      <alignment horizontal="right"/>
    </xf>
    <xf numFmtId="184" fontId="0" fillId="7" borderId="137" xfId="1" applyNumberFormat="1" applyFont="1" applyFill="1" applyBorder="1" applyAlignment="1">
      <alignment horizontal="right"/>
    </xf>
    <xf numFmtId="184" fontId="15" fillId="7" borderId="97" xfId="1" applyNumberFormat="1" applyFont="1" applyFill="1" applyBorder="1" applyAlignment="1">
      <alignment horizontal="right"/>
    </xf>
    <xf numFmtId="2" fontId="0" fillId="7" borderId="60" xfId="0" applyNumberFormat="1" applyFill="1" applyBorder="1" applyAlignment="1">
      <alignment horizontal="right"/>
    </xf>
    <xf numFmtId="1" fontId="0" fillId="7" borderId="59" xfId="0" applyNumberFormat="1" applyFill="1" applyBorder="1" applyAlignment="1">
      <alignment horizontal="right"/>
    </xf>
    <xf numFmtId="1" fontId="0" fillId="7" borderId="159" xfId="0" applyNumberFormat="1" applyFill="1" applyBorder="1" applyAlignment="1">
      <alignment horizontal="right"/>
    </xf>
    <xf numFmtId="1" fontId="0" fillId="7" borderId="39" xfId="0" applyNumberFormat="1" applyFill="1" applyBorder="1" applyAlignment="1">
      <alignment horizontal="right"/>
    </xf>
    <xf numFmtId="1" fontId="0" fillId="7" borderId="160" xfId="0" applyNumberFormat="1" applyFill="1" applyBorder="1" applyAlignment="1">
      <alignment horizontal="right"/>
    </xf>
    <xf numFmtId="169" fontId="93" fillId="7" borderId="161" xfId="0" applyNumberFormat="1" applyFont="1" applyFill="1" applyBorder="1" applyAlignment="1">
      <alignment horizontal="right"/>
    </xf>
    <xf numFmtId="169" fontId="93" fillId="7" borderId="162" xfId="0" applyNumberFormat="1" applyFont="1" applyFill="1" applyBorder="1" applyAlignment="1">
      <alignment horizontal="right"/>
    </xf>
    <xf numFmtId="169" fontId="93" fillId="7" borderId="163" xfId="0" applyNumberFormat="1" applyFont="1" applyFill="1" applyBorder="1" applyAlignment="1">
      <alignment horizontal="right"/>
    </xf>
    <xf numFmtId="169" fontId="93" fillId="7" borderId="164" xfId="0" applyNumberFormat="1" applyFont="1" applyFill="1" applyBorder="1" applyAlignment="1">
      <alignment horizontal="right"/>
    </xf>
    <xf numFmtId="169" fontId="93" fillId="7" borderId="165" xfId="0" applyNumberFormat="1" applyFont="1" applyFill="1" applyBorder="1" applyAlignment="1">
      <alignment horizontal="right"/>
    </xf>
    <xf numFmtId="169" fontId="93" fillId="7" borderId="166" xfId="0" applyNumberFormat="1" applyFont="1" applyFill="1" applyBorder="1" applyAlignment="1">
      <alignment horizontal="right"/>
    </xf>
    <xf numFmtId="2" fontId="93" fillId="7" borderId="161" xfId="0" applyNumberFormat="1" applyFont="1" applyFill="1" applyBorder="1" applyAlignment="1">
      <alignment horizontal="right"/>
    </xf>
    <xf numFmtId="2" fontId="93" fillId="7" borderId="162" xfId="0" applyNumberFormat="1" applyFont="1" applyFill="1" applyBorder="1" applyAlignment="1">
      <alignment horizontal="right"/>
    </xf>
    <xf numFmtId="2" fontId="93" fillId="7" borderId="163" xfId="0" applyNumberFormat="1" applyFont="1" applyFill="1" applyBorder="1" applyAlignment="1">
      <alignment horizontal="right"/>
    </xf>
    <xf numFmtId="2" fontId="93" fillId="7" borderId="164" xfId="0" applyNumberFormat="1" applyFont="1" applyFill="1" applyBorder="1" applyAlignment="1">
      <alignment horizontal="right"/>
    </xf>
    <xf numFmtId="2" fontId="93" fillId="7" borderId="165" xfId="0" applyNumberFormat="1" applyFont="1" applyFill="1" applyBorder="1" applyAlignment="1">
      <alignment horizontal="right"/>
    </xf>
    <xf numFmtId="2" fontId="93" fillId="7" borderId="166" xfId="0" applyNumberFormat="1" applyFont="1" applyFill="1" applyBorder="1" applyAlignment="1">
      <alignment horizontal="right"/>
    </xf>
    <xf numFmtId="0" fontId="44" fillId="0" borderId="39" xfId="0" applyFont="1" applyBorder="1" applyAlignment="1">
      <alignment horizontal="right"/>
    </xf>
    <xf numFmtId="0" fontId="74" fillId="5" borderId="131" xfId="0" applyFont="1" applyFill="1" applyBorder="1" applyAlignment="1">
      <alignment horizontal="right"/>
    </xf>
    <xf numFmtId="0" fontId="0" fillId="5" borderId="97" xfId="0" applyFill="1" applyBorder="1" applyAlignment="1">
      <alignment horizontal="right"/>
    </xf>
    <xf numFmtId="175" fontId="0" fillId="13" borderId="97" xfId="2" applyNumberFormat="1" applyFont="1" applyFill="1" applyBorder="1" applyAlignment="1">
      <alignment horizontal="right"/>
    </xf>
    <xf numFmtId="184" fontId="15" fillId="5" borderId="97" xfId="1" applyNumberFormat="1" applyFont="1" applyFill="1" applyBorder="1" applyAlignment="1">
      <alignment horizontal="right"/>
    </xf>
    <xf numFmtId="175" fontId="22" fillId="13" borderId="39" xfId="0" applyNumberFormat="1" applyFont="1" applyFill="1" applyBorder="1" applyAlignment="1">
      <alignment horizontal="right"/>
    </xf>
    <xf numFmtId="9" fontId="22" fillId="13" borderId="39" xfId="0" applyNumberFormat="1" applyFont="1" applyFill="1" applyBorder="1" applyAlignment="1">
      <alignment horizontal="right"/>
    </xf>
    <xf numFmtId="9" fontId="0" fillId="5" borderId="39" xfId="0" applyNumberFormat="1" applyFill="1" applyBorder="1" applyAlignment="1">
      <alignment horizontal="right"/>
    </xf>
    <xf numFmtId="4" fontId="0" fillId="5" borderId="39" xfId="0" applyNumberFormat="1" applyFill="1" applyBorder="1" applyAlignment="1">
      <alignment horizontal="right"/>
    </xf>
    <xf numFmtId="9" fontId="22" fillId="13" borderId="55" xfId="0" applyNumberFormat="1" applyFont="1" applyFill="1" applyBorder="1" applyAlignment="1">
      <alignment horizontal="right"/>
    </xf>
    <xf numFmtId="10" fontId="7" fillId="11" borderId="0" xfId="2" applyNumberFormat="1" applyFont="1" applyFill="1" applyAlignment="1">
      <alignment horizontal="right"/>
    </xf>
    <xf numFmtId="175" fontId="7" fillId="11" borderId="0" xfId="2" applyNumberFormat="1" applyFont="1" applyFill="1" applyAlignment="1">
      <alignment horizontal="right"/>
    </xf>
    <xf numFmtId="3" fontId="78" fillId="0" borderId="97" xfId="0" applyNumberFormat="1" applyFont="1" applyBorder="1" applyAlignment="1">
      <alignment horizontal="right"/>
    </xf>
    <xf numFmtId="0" fontId="10" fillId="11" borderId="6" xfId="0" applyFont="1" applyFill="1" applyBorder="1" applyAlignment="1">
      <alignment horizontal="right"/>
    </xf>
    <xf numFmtId="182" fontId="5" fillId="0" borderId="0" xfId="2" applyNumberFormat="1" applyFont="1" applyAlignment="1">
      <alignment horizontal="right"/>
    </xf>
    <xf numFmtId="175" fontId="0" fillId="11" borderId="0" xfId="0" applyNumberFormat="1" applyFill="1" applyAlignment="1">
      <alignment horizontal="right"/>
    </xf>
    <xf numFmtId="9" fontId="7" fillId="11" borderId="0" xfId="2" applyFont="1" applyFill="1" applyAlignment="1">
      <alignment horizontal="right"/>
    </xf>
    <xf numFmtId="169" fontId="40" fillId="5" borderId="60" xfId="0" applyNumberFormat="1" applyFont="1" applyFill="1" applyBorder="1" applyAlignment="1">
      <alignment horizontal="right"/>
    </xf>
    <xf numFmtId="1" fontId="37" fillId="5" borderId="60" xfId="0" applyNumberFormat="1" applyFont="1" applyFill="1" applyBorder="1" applyAlignment="1">
      <alignment horizontal="right"/>
    </xf>
    <xf numFmtId="3" fontId="3" fillId="5" borderId="60" xfId="0" applyNumberFormat="1" applyFont="1" applyFill="1" applyBorder="1" applyAlignment="1">
      <alignment horizontal="right"/>
    </xf>
    <xf numFmtId="169" fontId="3" fillId="5" borderId="60" xfId="0" applyNumberFormat="1" applyFont="1" applyFill="1" applyBorder="1" applyAlignment="1">
      <alignment horizontal="right"/>
    </xf>
    <xf numFmtId="189" fontId="42" fillId="13" borderId="97" xfId="0" applyNumberFormat="1" applyFont="1" applyFill="1" applyBorder="1" applyAlignment="1">
      <alignment horizontal="right"/>
    </xf>
    <xf numFmtId="43" fontId="42" fillId="13" borderId="97" xfId="0" applyNumberFormat="1" applyFont="1" applyFill="1" applyBorder="1" applyAlignment="1">
      <alignment horizontal="right"/>
    </xf>
    <xf numFmtId="184" fontId="37" fillId="13" borderId="97" xfId="1" applyNumberFormat="1" applyFont="1" applyFill="1" applyBorder="1" applyAlignment="1">
      <alignment horizontal="right"/>
    </xf>
    <xf numFmtId="3" fontId="19" fillId="0" borderId="144" xfId="0" quotePrefix="1" applyNumberFormat="1" applyFont="1" applyBorder="1" applyAlignment="1">
      <alignment horizontal="right"/>
    </xf>
    <xf numFmtId="3" fontId="19" fillId="0" borderId="11" xfId="0" quotePrefix="1" applyNumberFormat="1" applyFont="1" applyBorder="1" applyAlignment="1">
      <alignment horizontal="right"/>
    </xf>
    <xf numFmtId="0" fontId="74" fillId="0" borderId="158" xfId="0" applyFont="1" applyBorder="1" applyAlignment="1">
      <alignment horizontal="right"/>
    </xf>
    <xf numFmtId="184" fontId="5" fillId="0" borderId="0" xfId="1" applyNumberFormat="1" applyFont="1" applyBorder="1" applyAlignment="1">
      <alignment horizontal="right"/>
    </xf>
    <xf numFmtId="9" fontId="5" fillId="0" borderId="0" xfId="2" applyFont="1" applyBorder="1" applyAlignment="1">
      <alignment horizontal="right"/>
    </xf>
    <xf numFmtId="1" fontId="74" fillId="0" borderId="107" xfId="0" applyNumberFormat="1" applyFont="1" applyBorder="1" applyAlignment="1">
      <alignment horizontal="right"/>
    </xf>
    <xf numFmtId="175" fontId="101" fillId="0" borderId="0" xfId="0" applyNumberFormat="1" applyFont="1" applyAlignment="1">
      <alignment horizontal="right"/>
    </xf>
    <xf numFmtId="175" fontId="101" fillId="0" borderId="107" xfId="0" applyNumberFormat="1" applyFont="1" applyBorder="1" applyAlignment="1">
      <alignment horizontal="right"/>
    </xf>
    <xf numFmtId="175" fontId="79" fillId="0" borderId="111" xfId="0" applyNumberFormat="1" applyFont="1" applyBorder="1" applyAlignment="1">
      <alignment horizontal="right"/>
    </xf>
    <xf numFmtId="0" fontId="74" fillId="16" borderId="91" xfId="0" applyFont="1" applyFill="1" applyBorder="1" applyAlignment="1">
      <alignment horizontal="right"/>
    </xf>
    <xf numFmtId="0" fontId="36" fillId="16" borderId="92" xfId="0" applyFont="1" applyFill="1" applyBorder="1" applyAlignment="1">
      <alignment horizontal="right"/>
    </xf>
    <xf numFmtId="175" fontId="36" fillId="16" borderId="92" xfId="0" applyNumberFormat="1" applyFont="1" applyFill="1" applyBorder="1" applyAlignment="1">
      <alignment horizontal="right"/>
    </xf>
    <xf numFmtId="175" fontId="3" fillId="13" borderId="95" xfId="0" applyNumberFormat="1" applyFont="1" applyFill="1" applyBorder="1" applyAlignment="1">
      <alignment horizontal="right"/>
    </xf>
    <xf numFmtId="175" fontId="3" fillId="16" borderId="95" xfId="0" applyNumberFormat="1" applyFont="1" applyFill="1" applyBorder="1" applyAlignment="1">
      <alignment horizontal="right"/>
    </xf>
    <xf numFmtId="0" fontId="0" fillId="16" borderId="92" xfId="0" applyFill="1" applyBorder="1" applyAlignment="1">
      <alignment horizontal="right"/>
    </xf>
    <xf numFmtId="175" fontId="59" fillId="16" borderId="92" xfId="0" applyNumberFormat="1" applyFont="1" applyFill="1" applyBorder="1" applyAlignment="1">
      <alignment horizontal="right"/>
    </xf>
    <xf numFmtId="9" fontId="37" fillId="16" borderId="92" xfId="0" applyNumberFormat="1" applyFont="1" applyFill="1" applyBorder="1" applyAlignment="1">
      <alignment horizontal="right"/>
    </xf>
    <xf numFmtId="175" fontId="0" fillId="16" borderId="57" xfId="0" applyNumberFormat="1" applyFill="1" applyBorder="1" applyAlignment="1">
      <alignment horizontal="right"/>
    </xf>
    <xf numFmtId="175" fontId="0" fillId="16" borderId="119" xfId="0" applyNumberFormat="1" applyFill="1" applyBorder="1" applyAlignment="1">
      <alignment horizontal="right"/>
    </xf>
    <xf numFmtId="169" fontId="37" fillId="13" borderId="123" xfId="2" applyNumberFormat="1" applyFont="1" applyFill="1" applyBorder="1" applyAlignment="1">
      <alignment horizontal="right"/>
    </xf>
    <xf numFmtId="169" fontId="5" fillId="0" borderId="105" xfId="0" applyNumberFormat="1" applyFont="1" applyBorder="1" applyAlignment="1">
      <alignment horizontal="right"/>
    </xf>
    <xf numFmtId="1" fontId="5" fillId="0" borderId="82" xfId="0" applyNumberFormat="1" applyFont="1" applyBorder="1" applyAlignment="1">
      <alignment horizontal="right"/>
    </xf>
    <xf numFmtId="175" fontId="5" fillId="0" borderId="92" xfId="0" applyNumberFormat="1" applyFont="1" applyBorder="1" applyAlignment="1">
      <alignment horizontal="right"/>
    </xf>
    <xf numFmtId="0" fontId="5" fillId="0" borderId="92" xfId="0" applyFont="1" applyBorder="1" applyAlignment="1">
      <alignment horizontal="right"/>
    </xf>
    <xf numFmtId="169" fontId="150" fillId="23" borderId="136" xfId="0" applyNumberFormat="1" applyFont="1" applyFill="1" applyBorder="1" applyAlignment="1">
      <alignment horizontal="right"/>
    </xf>
    <xf numFmtId="0" fontId="51" fillId="23" borderId="92" xfId="0" applyFont="1" applyFill="1" applyBorder="1" applyAlignment="1">
      <alignment horizontal="right"/>
    </xf>
    <xf numFmtId="1" fontId="36" fillId="23" borderId="128" xfId="0" applyNumberFormat="1" applyFont="1" applyFill="1" applyBorder="1" applyAlignment="1">
      <alignment horizontal="right"/>
    </xf>
    <xf numFmtId="169" fontId="66" fillId="13" borderId="0" xfId="0" applyNumberFormat="1" applyFont="1" applyFill="1" applyAlignment="1">
      <alignment horizontal="right"/>
    </xf>
    <xf numFmtId="2" fontId="0" fillId="23" borderId="0" xfId="0" applyNumberFormat="1" applyFill="1" applyAlignment="1">
      <alignment horizontal="right"/>
    </xf>
    <xf numFmtId="1" fontId="147" fillId="23" borderId="148" xfId="0" applyNumberFormat="1" applyFont="1" applyFill="1" applyBorder="1" applyAlignment="1">
      <alignment horizontal="right"/>
    </xf>
    <xf numFmtId="2" fontId="0" fillId="23" borderId="125" xfId="0" applyNumberFormat="1" applyFill="1" applyBorder="1" applyAlignment="1">
      <alignment horizontal="right"/>
    </xf>
    <xf numFmtId="2" fontId="0" fillId="23" borderId="68" xfId="0" applyNumberFormat="1" applyFill="1" applyBorder="1" applyAlignment="1">
      <alignment horizontal="right"/>
    </xf>
    <xf numFmtId="175" fontId="78" fillId="13" borderId="0" xfId="0" applyNumberFormat="1" applyFont="1" applyFill="1" applyAlignment="1">
      <alignment horizontal="right"/>
    </xf>
    <xf numFmtId="175" fontId="78" fillId="13" borderId="148" xfId="0" applyNumberFormat="1" applyFont="1" applyFill="1" applyBorder="1" applyAlignment="1">
      <alignment horizontal="right"/>
    </xf>
    <xf numFmtId="1" fontId="36" fillId="23" borderId="150" xfId="0" applyNumberFormat="1" applyFont="1" applyFill="1" applyBorder="1" applyAlignment="1">
      <alignment horizontal="right"/>
    </xf>
    <xf numFmtId="1" fontId="15" fillId="50" borderId="122" xfId="0" applyNumberFormat="1" applyFont="1" applyFill="1" applyBorder="1" applyAlignment="1">
      <alignment horizontal="right"/>
    </xf>
    <xf numFmtId="175" fontId="39" fillId="20" borderId="0" xfId="0" applyNumberFormat="1" applyFont="1" applyFill="1" applyAlignment="1">
      <alignment horizontal="right"/>
    </xf>
    <xf numFmtId="175" fontId="42" fillId="20" borderId="0" xfId="0" applyNumberFormat="1" applyFont="1" applyFill="1" applyAlignment="1">
      <alignment horizontal="right"/>
    </xf>
    <xf numFmtId="0" fontId="168" fillId="20" borderId="0" xfId="0" applyFont="1" applyFill="1" applyAlignment="1">
      <alignment horizontal="right"/>
    </xf>
    <xf numFmtId="181" fontId="45" fillId="20" borderId="0" xfId="0" applyNumberFormat="1" applyFont="1" applyFill="1" applyAlignment="1">
      <alignment horizontal="right"/>
    </xf>
    <xf numFmtId="175" fontId="32" fillId="25" borderId="0" xfId="0" applyNumberFormat="1" applyFont="1" applyFill="1" applyAlignment="1">
      <alignment horizontal="right"/>
    </xf>
    <xf numFmtId="9" fontId="44" fillId="0" borderId="0" xfId="2" applyFont="1" applyFill="1" applyAlignment="1">
      <alignment horizontal="right"/>
    </xf>
    <xf numFmtId="0" fontId="3" fillId="0" borderId="98" xfId="0" applyFont="1" applyBorder="1" applyAlignment="1">
      <alignment horizontal="right"/>
    </xf>
    <xf numFmtId="0" fontId="3" fillId="0" borderId="67" xfId="0" applyFont="1" applyBorder="1" applyAlignment="1">
      <alignment horizontal="right"/>
    </xf>
    <xf numFmtId="0" fontId="74" fillId="3" borderId="39" xfId="0" applyFont="1" applyFill="1" applyBorder="1" applyAlignment="1">
      <alignment horizontal="right"/>
    </xf>
    <xf numFmtId="0" fontId="74" fillId="3" borderId="97" xfId="0" applyFont="1" applyFill="1" applyBorder="1" applyAlignment="1">
      <alignment horizontal="right"/>
    </xf>
    <xf numFmtId="1" fontId="0" fillId="3" borderId="39" xfId="0" applyNumberFormat="1" applyFill="1" applyBorder="1" applyAlignment="1">
      <alignment horizontal="right"/>
    </xf>
    <xf numFmtId="1" fontId="0" fillId="3" borderId="97" xfId="0" applyNumberFormat="1" applyFill="1" applyBorder="1" applyAlignment="1">
      <alignment horizontal="right"/>
    </xf>
    <xf numFmtId="175" fontId="37" fillId="3" borderId="127" xfId="0" applyNumberFormat="1" applyFont="1" applyFill="1" applyBorder="1" applyAlignment="1">
      <alignment horizontal="right"/>
    </xf>
    <xf numFmtId="3" fontId="88" fillId="14" borderId="18" xfId="0" applyNumberFormat="1" applyFont="1" applyFill="1" applyBorder="1" applyAlignment="1">
      <alignment horizontal="right"/>
    </xf>
    <xf numFmtId="175" fontId="1" fillId="0" borderId="0" xfId="2" applyNumberFormat="1" applyFont="1" applyAlignment="1">
      <alignment horizontal="right"/>
    </xf>
    <xf numFmtId="175" fontId="36" fillId="0" borderId="0" xfId="2" applyNumberFormat="1" applyFont="1" applyAlignment="1">
      <alignment horizontal="right"/>
    </xf>
    <xf numFmtId="0" fontId="1" fillId="0" borderId="0" xfId="0" applyFont="1" applyAlignment="1">
      <alignment horizontal="right"/>
    </xf>
    <xf numFmtId="175" fontId="36" fillId="0" borderId="0" xfId="0" applyNumberFormat="1" applyFont="1" applyAlignment="1">
      <alignment horizontal="right"/>
    </xf>
    <xf numFmtId="1" fontId="37" fillId="48" borderId="0" xfId="0" applyNumberFormat="1" applyFont="1" applyFill="1" applyAlignment="1">
      <alignment horizontal="right"/>
    </xf>
    <xf numFmtId="9" fontId="44" fillId="48" borderId="0" xfId="0" applyNumberFormat="1" applyFont="1" applyFill="1" applyAlignment="1">
      <alignment horizontal="right"/>
    </xf>
    <xf numFmtId="175" fontId="44" fillId="48" borderId="0" xfId="0" applyNumberFormat="1" applyFont="1" applyFill="1" applyAlignment="1">
      <alignment horizontal="right"/>
    </xf>
    <xf numFmtId="175" fontId="37" fillId="48" borderId="0" xfId="0" applyNumberFormat="1" applyFont="1" applyFill="1" applyAlignment="1">
      <alignment horizontal="right"/>
    </xf>
    <xf numFmtId="169" fontId="15" fillId="48" borderId="0" xfId="0" applyNumberFormat="1" applyFont="1" applyFill="1" applyAlignment="1">
      <alignment horizontal="right"/>
    </xf>
    <xf numFmtId="175" fontId="15" fillId="48" borderId="0" xfId="0" applyNumberFormat="1" applyFont="1" applyFill="1" applyAlignment="1">
      <alignment horizontal="right"/>
    </xf>
    <xf numFmtId="1" fontId="44" fillId="48" borderId="0" xfId="0" applyNumberFormat="1" applyFont="1" applyFill="1" applyAlignment="1">
      <alignment horizontal="right"/>
    </xf>
    <xf numFmtId="1" fontId="15" fillId="48" borderId="0" xfId="0" applyNumberFormat="1" applyFont="1" applyFill="1" applyAlignment="1">
      <alignment horizontal="right"/>
    </xf>
    <xf numFmtId="3" fontId="15" fillId="48" borderId="0" xfId="0" applyNumberFormat="1" applyFont="1" applyFill="1" applyAlignment="1">
      <alignment horizontal="right"/>
    </xf>
    <xf numFmtId="1" fontId="43" fillId="0" borderId="0" xfId="0" applyNumberFormat="1" applyFont="1" applyAlignment="1">
      <alignment horizontal="right"/>
    </xf>
    <xf numFmtId="0" fontId="133" fillId="0" borderId="0" xfId="0" applyFont="1" applyAlignment="1">
      <alignment horizontal="right"/>
    </xf>
    <xf numFmtId="9" fontId="44" fillId="48" borderId="48" xfId="0" applyNumberFormat="1" applyFont="1" applyFill="1" applyBorder="1" applyAlignment="1">
      <alignment horizontal="right"/>
    </xf>
    <xf numFmtId="1" fontId="101" fillId="48" borderId="0" xfId="0" applyNumberFormat="1" applyFont="1" applyFill="1" applyAlignment="1">
      <alignment horizontal="right"/>
    </xf>
    <xf numFmtId="1" fontId="39" fillId="48" borderId="48" xfId="0" applyNumberFormat="1" applyFont="1" applyFill="1" applyBorder="1" applyAlignment="1">
      <alignment horizontal="right"/>
    </xf>
    <xf numFmtId="1" fontId="41" fillId="0" borderId="0" xfId="0" applyNumberFormat="1" applyFont="1" applyAlignment="1">
      <alignment horizontal="right"/>
    </xf>
    <xf numFmtId="1" fontId="25" fillId="0" borderId="0" xfId="0" applyNumberFormat="1" applyFont="1" applyAlignment="1">
      <alignment horizontal="right"/>
    </xf>
    <xf numFmtId="175" fontId="39" fillId="53" borderId="0" xfId="0" applyNumberFormat="1" applyFont="1" applyFill="1" applyAlignment="1">
      <alignment horizontal="right"/>
    </xf>
    <xf numFmtId="184" fontId="3" fillId="0" borderId="0" xfId="1" applyNumberFormat="1" applyFont="1"/>
    <xf numFmtId="184" fontId="38" fillId="0" borderId="0" xfId="1" applyNumberFormat="1" applyFont="1" applyAlignment="1">
      <alignment horizontal="right"/>
    </xf>
    <xf numFmtId="184" fontId="36" fillId="0" borderId="0" xfId="1" applyNumberFormat="1" applyFont="1" applyAlignment="1">
      <alignment horizontal="right"/>
    </xf>
    <xf numFmtId="184" fontId="1" fillId="0" borderId="0" xfId="1" applyNumberFormat="1" applyFont="1"/>
    <xf numFmtId="184" fontId="257" fillId="0" borderId="156" xfId="1" applyNumberFormat="1" applyFont="1" applyBorder="1" applyAlignment="1">
      <alignment horizontal="right"/>
    </xf>
    <xf numFmtId="184" fontId="257" fillId="0" borderId="88" xfId="1" applyNumberFormat="1" applyFont="1" applyBorder="1" applyAlignment="1">
      <alignment horizontal="right"/>
    </xf>
    <xf numFmtId="184" fontId="172" fillId="0" borderId="88" xfId="1" applyNumberFormat="1" applyFont="1" applyBorder="1" applyAlignment="1">
      <alignment horizontal="right"/>
    </xf>
    <xf numFmtId="1" fontId="7" fillId="13" borderId="144" xfId="0" applyNumberFormat="1" applyFont="1" applyFill="1" applyBorder="1" applyAlignment="1">
      <alignment horizontal="right"/>
    </xf>
    <xf numFmtId="3" fontId="10" fillId="13" borderId="0" xfId="0" applyNumberFormat="1" applyFont="1" applyFill="1" applyAlignment="1">
      <alignment horizontal="left"/>
    </xf>
    <xf numFmtId="3" fontId="18" fillId="13" borderId="4" xfId="0" quotePrefix="1" applyNumberFormat="1" applyFont="1" applyFill="1" applyBorder="1" applyAlignment="1">
      <alignment horizontal="left"/>
    </xf>
    <xf numFmtId="175" fontId="62" fillId="8" borderId="35" xfId="2" applyNumberFormat="1" applyFont="1" applyFill="1" applyBorder="1" applyAlignment="1">
      <alignment horizontal="right" vertical="justify"/>
    </xf>
    <xf numFmtId="175" fontId="62" fillId="8" borderId="34" xfId="2" applyNumberFormat="1" applyFont="1" applyFill="1" applyBorder="1" applyAlignment="1">
      <alignment horizontal="right" vertical="justify"/>
    </xf>
    <xf numFmtId="9" fontId="64" fillId="0" borderId="31" xfId="2" applyFont="1" applyFill="1" applyBorder="1" applyAlignment="1">
      <alignment horizontal="right" vertical="justify"/>
    </xf>
    <xf numFmtId="175" fontId="64" fillId="0" borderId="97" xfId="2" applyNumberFormat="1" applyFont="1" applyFill="1" applyBorder="1" applyAlignment="1">
      <alignment horizontal="right" vertical="justify"/>
    </xf>
    <xf numFmtId="0" fontId="258" fillId="8" borderId="22" xfId="0" applyFont="1" applyFill="1" applyBorder="1" applyAlignment="1">
      <alignment horizontal="center"/>
    </xf>
    <xf numFmtId="0" fontId="241" fillId="8" borderId="25" xfId="0" applyFont="1" applyFill="1" applyBorder="1" applyAlignment="1">
      <alignment horizontal="center" vertical="top" wrapText="1"/>
    </xf>
    <xf numFmtId="0" fontId="258" fillId="13" borderId="26" xfId="0" applyFont="1" applyFill="1" applyBorder="1" applyAlignment="1">
      <alignment horizontal="center" vertical="top" wrapText="1"/>
    </xf>
    <xf numFmtId="0" fontId="259" fillId="8" borderId="26" xfId="0" applyFont="1" applyFill="1" applyBorder="1" applyAlignment="1">
      <alignment horizontal="center" vertical="top" wrapText="1"/>
    </xf>
    <xf numFmtId="0" fontId="241" fillId="8" borderId="27" xfId="0" applyFont="1" applyFill="1" applyBorder="1" applyAlignment="1">
      <alignment horizontal="center" vertical="top" wrapText="1"/>
    </xf>
    <xf numFmtId="0" fontId="241" fillId="8" borderId="5" xfId="0" applyFont="1" applyFill="1" applyBorder="1" applyAlignment="1">
      <alignment horizontal="center" vertical="top"/>
    </xf>
    <xf numFmtId="0" fontId="241" fillId="8" borderId="12" xfId="0" applyFont="1" applyFill="1" applyBorder="1" applyAlignment="1">
      <alignment horizontal="center" vertical="top" wrapText="1"/>
    </xf>
    <xf numFmtId="0" fontId="241" fillId="8" borderId="26" xfId="0" applyFont="1" applyFill="1" applyBorder="1" applyAlignment="1">
      <alignment horizontal="center" vertical="top" wrapText="1"/>
    </xf>
    <xf numFmtId="0" fontId="258" fillId="13" borderId="12" xfId="0" applyFont="1" applyFill="1" applyBorder="1" applyAlignment="1">
      <alignment horizontal="center" vertical="top" wrapText="1"/>
    </xf>
    <xf numFmtId="0" fontId="260" fillId="11" borderId="34" xfId="0" applyFont="1" applyFill="1" applyBorder="1" applyAlignment="1">
      <alignment horizontal="center" vertical="top" wrapText="1"/>
    </xf>
    <xf numFmtId="0" fontId="262" fillId="11" borderId="41" xfId="0" applyFont="1" applyFill="1" applyBorder="1" applyAlignment="1">
      <alignment horizontal="center" vertical="top" wrapText="1"/>
    </xf>
    <xf numFmtId="0" fontId="262" fillId="11" borderId="47" xfId="0" applyFont="1" applyFill="1" applyBorder="1" applyAlignment="1">
      <alignment horizontal="center" vertical="top" wrapText="1"/>
    </xf>
    <xf numFmtId="0" fontId="262" fillId="11" borderId="12" xfId="0" applyFont="1" applyFill="1" applyBorder="1" applyAlignment="1">
      <alignment horizontal="center" vertical="top" wrapText="1"/>
    </xf>
    <xf numFmtId="0" fontId="262" fillId="11" borderId="25" xfId="0" applyFont="1" applyFill="1" applyBorder="1" applyAlignment="1">
      <alignment horizontal="center" vertical="top" wrapText="1"/>
    </xf>
    <xf numFmtId="0" fontId="262" fillId="11" borderId="26" xfId="0" applyFont="1" applyFill="1" applyBorder="1" applyAlignment="1">
      <alignment horizontal="center" vertical="top" wrapText="1"/>
    </xf>
    <xf numFmtId="0" fontId="263" fillId="11" borderId="25" xfId="0" applyFont="1" applyFill="1" applyBorder="1" applyAlignment="1">
      <alignment horizontal="center" vertical="top" wrapText="1"/>
    </xf>
    <xf numFmtId="0" fontId="263" fillId="11" borderId="26" xfId="0" applyFont="1" applyFill="1" applyBorder="1" applyAlignment="1">
      <alignment horizontal="center" vertical="top" wrapText="1"/>
    </xf>
    <xf numFmtId="0" fontId="263" fillId="11" borderId="12" xfId="0" applyFont="1" applyFill="1" applyBorder="1" applyAlignment="1">
      <alignment horizontal="center" vertical="top" wrapText="1"/>
    </xf>
    <xf numFmtId="37" fontId="7" fillId="0" borderId="31" xfId="0" applyNumberFormat="1" applyFont="1" applyBorder="1" applyAlignment="1">
      <alignment horizontal="right"/>
    </xf>
    <xf numFmtId="175" fontId="62" fillId="0" borderId="28" xfId="0" applyNumberFormat="1" applyFont="1" applyBorder="1" applyAlignment="1">
      <alignment horizontal="right"/>
    </xf>
    <xf numFmtId="175" fontId="62" fillId="0" borderId="28" xfId="2" applyNumberFormat="1" applyFont="1" applyFill="1" applyBorder="1" applyAlignment="1">
      <alignment horizontal="right" vertical="justify"/>
    </xf>
    <xf numFmtId="175" fontId="64" fillId="0" borderId="28" xfId="2" applyNumberFormat="1" applyFont="1" applyFill="1" applyBorder="1" applyAlignment="1">
      <alignment horizontal="right" vertical="justify"/>
    </xf>
    <xf numFmtId="190" fontId="264" fillId="0" borderId="97" xfId="0" applyNumberFormat="1" applyFont="1" applyBorder="1"/>
    <xf numFmtId="179" fontId="10" fillId="8" borderId="1" xfId="0" applyNumberFormat="1" applyFont="1" applyFill="1" applyBorder="1" applyAlignment="1">
      <alignment horizontal="right"/>
    </xf>
    <xf numFmtId="9" fontId="10" fillId="8" borderId="1" xfId="0" applyNumberFormat="1" applyFont="1" applyFill="1" applyBorder="1" applyAlignment="1">
      <alignment horizontal="right"/>
    </xf>
    <xf numFmtId="9" fontId="10" fillId="0" borderId="4" xfId="0" applyNumberFormat="1" applyFont="1" applyBorder="1" applyAlignment="1">
      <alignment horizontal="right"/>
    </xf>
    <xf numFmtId="9" fontId="10" fillId="0" borderId="7" xfId="0" applyNumberFormat="1" applyFont="1" applyBorder="1" applyAlignment="1">
      <alignment horizontal="right"/>
    </xf>
    <xf numFmtId="9" fontId="7" fillId="0" borderId="4" xfId="0" applyNumberFormat="1" applyFont="1" applyBorder="1" applyAlignment="1">
      <alignment horizontal="right"/>
    </xf>
    <xf numFmtId="9" fontId="7" fillId="0" borderId="4" xfId="1" applyNumberFormat="1" applyFont="1" applyFill="1" applyBorder="1" applyAlignment="1" applyProtection="1">
      <alignment horizontal="right"/>
    </xf>
    <xf numFmtId="9" fontId="0" fillId="0" borderId="7" xfId="0" applyNumberFormat="1" applyBorder="1" applyAlignment="1">
      <alignment horizontal="right"/>
    </xf>
    <xf numFmtId="175" fontId="10" fillId="8" borderId="23" xfId="0" applyNumberFormat="1" applyFont="1" applyFill="1" applyBorder="1" applyAlignment="1">
      <alignment horizontal="right"/>
    </xf>
    <xf numFmtId="10" fontId="10" fillId="8" borderId="23" xfId="0" applyNumberFormat="1" applyFont="1" applyFill="1" applyBorder="1" applyAlignment="1">
      <alignment horizontal="right"/>
    </xf>
    <xf numFmtId="9" fontId="10" fillId="0" borderId="11" xfId="0" applyNumberFormat="1" applyFont="1" applyBorder="1" applyAlignment="1">
      <alignment horizontal="right"/>
    </xf>
    <xf numFmtId="175" fontId="10" fillId="8" borderId="140" xfId="0" applyNumberFormat="1" applyFont="1" applyFill="1" applyBorder="1" applyAlignment="1">
      <alignment horizontal="right"/>
    </xf>
    <xf numFmtId="179" fontId="10" fillId="8" borderId="23" xfId="0" applyNumberFormat="1" applyFont="1" applyFill="1" applyBorder="1" applyAlignment="1">
      <alignment horizontal="right"/>
    </xf>
    <xf numFmtId="179" fontId="10" fillId="8" borderId="140" xfId="0" applyNumberFormat="1" applyFont="1" applyFill="1" applyBorder="1" applyAlignment="1">
      <alignment horizontal="right"/>
    </xf>
    <xf numFmtId="9" fontId="10" fillId="8" borderId="23" xfId="0" applyNumberFormat="1" applyFont="1" applyFill="1" applyBorder="1" applyAlignment="1">
      <alignment horizontal="right"/>
    </xf>
    <xf numFmtId="9" fontId="10" fillId="8" borderId="140" xfId="0" applyNumberFormat="1" applyFont="1" applyFill="1" applyBorder="1" applyAlignment="1">
      <alignment horizontal="right"/>
    </xf>
    <xf numFmtId="9" fontId="10" fillId="0" borderId="141" xfId="0" applyNumberFormat="1" applyFont="1" applyBorder="1" applyAlignment="1">
      <alignment horizontal="right"/>
    </xf>
    <xf numFmtId="9" fontId="10" fillId="0" borderId="14" xfId="0" applyNumberFormat="1" applyFont="1" applyBorder="1" applyAlignment="1">
      <alignment horizontal="right"/>
    </xf>
    <xf numFmtId="9" fontId="10" fillId="0" borderId="142" xfId="0" applyNumberFormat="1" applyFont="1" applyBorder="1" applyAlignment="1">
      <alignment horizontal="right"/>
    </xf>
    <xf numFmtId="9" fontId="7" fillId="0" borderId="11" xfId="0" applyNumberFormat="1" applyFont="1" applyBorder="1" applyAlignment="1">
      <alignment horizontal="right"/>
    </xf>
    <xf numFmtId="9" fontId="7" fillId="0" borderId="141" xfId="0" applyNumberFormat="1" applyFont="1" applyBorder="1" applyAlignment="1">
      <alignment horizontal="right"/>
    </xf>
    <xf numFmtId="9" fontId="7" fillId="0" borderId="11" xfId="1" applyNumberFormat="1" applyFont="1" applyFill="1" applyBorder="1" applyAlignment="1" applyProtection="1">
      <alignment horizontal="right"/>
    </xf>
    <xf numFmtId="9" fontId="7" fillId="0" borderId="141" xfId="1" applyNumberFormat="1" applyFont="1" applyFill="1" applyBorder="1" applyAlignment="1" applyProtection="1">
      <alignment horizontal="right"/>
    </xf>
    <xf numFmtId="9" fontId="0" fillId="0" borderId="14" xfId="0" applyNumberFormat="1" applyBorder="1" applyAlignment="1">
      <alignment horizontal="right"/>
    </xf>
    <xf numFmtId="9" fontId="0" fillId="0" borderId="142" xfId="0" applyNumberFormat="1" applyBorder="1" applyAlignment="1">
      <alignment horizontal="right"/>
    </xf>
    <xf numFmtId="0" fontId="74" fillId="5" borderId="174" xfId="0" applyFont="1" applyFill="1" applyBorder="1" applyAlignment="1">
      <alignment horizontal="right"/>
    </xf>
    <xf numFmtId="0" fontId="3" fillId="5" borderId="39" xfId="0" applyFont="1" applyFill="1" applyBorder="1" applyAlignment="1">
      <alignment horizontal="right"/>
    </xf>
    <xf numFmtId="1" fontId="0" fillId="5" borderId="39" xfId="0" applyNumberFormat="1" applyFill="1" applyBorder="1" applyAlignment="1">
      <alignment horizontal="right"/>
    </xf>
    <xf numFmtId="1" fontId="40" fillId="5" borderId="39" xfId="0" applyNumberFormat="1" applyFont="1" applyFill="1" applyBorder="1" applyAlignment="1">
      <alignment horizontal="right"/>
    </xf>
    <xf numFmtId="169" fontId="40" fillId="5" borderId="39" xfId="0" applyNumberFormat="1" applyFont="1" applyFill="1" applyBorder="1" applyAlignment="1">
      <alignment horizontal="right"/>
    </xf>
    <xf numFmtId="1" fontId="79" fillId="5" borderId="39" xfId="0" applyNumberFormat="1" applyFont="1" applyFill="1" applyBorder="1" applyAlignment="1">
      <alignment horizontal="right"/>
    </xf>
    <xf numFmtId="3" fontId="37" fillId="5" borderId="39" xfId="0" applyNumberFormat="1" applyFont="1" applyFill="1" applyBorder="1" applyAlignment="1">
      <alignment horizontal="right"/>
    </xf>
    <xf numFmtId="184" fontId="22" fillId="5" borderId="58" xfId="1" applyNumberFormat="1" applyFont="1" applyFill="1" applyBorder="1" applyAlignment="1">
      <alignment horizontal="right"/>
    </xf>
    <xf numFmtId="9" fontId="37" fillId="13" borderId="39" xfId="0" applyNumberFormat="1" applyFont="1" applyFill="1" applyBorder="1" applyAlignment="1">
      <alignment horizontal="right"/>
    </xf>
    <xf numFmtId="184" fontId="22" fillId="5" borderId="0" xfId="1" applyNumberFormat="1" applyFont="1" applyFill="1" applyBorder="1" applyAlignment="1">
      <alignment horizontal="right"/>
    </xf>
    <xf numFmtId="1" fontId="42" fillId="5" borderId="39" xfId="0" applyNumberFormat="1" applyFont="1" applyFill="1" applyBorder="1" applyAlignment="1">
      <alignment horizontal="right"/>
    </xf>
    <xf numFmtId="184" fontId="0" fillId="5" borderId="39" xfId="1" applyNumberFormat="1" applyFont="1" applyFill="1" applyBorder="1" applyAlignment="1">
      <alignment horizontal="right"/>
    </xf>
    <xf numFmtId="9" fontId="37" fillId="5" borderId="39" xfId="0" applyNumberFormat="1" applyFont="1" applyFill="1" applyBorder="1" applyAlignment="1">
      <alignment horizontal="right"/>
    </xf>
    <xf numFmtId="184" fontId="0" fillId="5" borderId="187" xfId="1" applyNumberFormat="1" applyFont="1" applyFill="1" applyBorder="1" applyAlignment="1">
      <alignment horizontal="right"/>
    </xf>
    <xf numFmtId="184" fontId="0" fillId="59" borderId="39" xfId="1" applyNumberFormat="1" applyFont="1" applyFill="1" applyBorder="1" applyAlignment="1">
      <alignment horizontal="right"/>
    </xf>
    <xf numFmtId="169" fontId="0" fillId="59" borderId="39" xfId="0" applyNumberFormat="1" applyFill="1" applyBorder="1" applyAlignment="1">
      <alignment horizontal="right"/>
    </xf>
    <xf numFmtId="2" fontId="59" fillId="5" borderId="39" xfId="0" applyNumberFormat="1" applyFont="1" applyFill="1" applyBorder="1" applyAlignment="1">
      <alignment horizontal="right"/>
    </xf>
    <xf numFmtId="189" fontId="101" fillId="13" borderId="39" xfId="0" applyNumberFormat="1" applyFont="1" applyFill="1" applyBorder="1" applyAlignment="1">
      <alignment horizontal="right"/>
    </xf>
    <xf numFmtId="43" fontId="37" fillId="13" borderId="39" xfId="0" applyNumberFormat="1" applyFont="1" applyFill="1" applyBorder="1" applyAlignment="1">
      <alignment horizontal="right"/>
    </xf>
    <xf numFmtId="169" fontId="67" fillId="5" borderId="42" xfId="0" applyNumberFormat="1" applyFont="1" applyFill="1" applyBorder="1" applyAlignment="1">
      <alignment horizontal="right"/>
    </xf>
    <xf numFmtId="0" fontId="74" fillId="5" borderId="188" xfId="0" applyFont="1" applyFill="1" applyBorder="1" applyAlignment="1">
      <alignment horizontal="right"/>
    </xf>
    <xf numFmtId="0" fontId="64" fillId="5" borderId="189" xfId="0" applyFont="1" applyFill="1" applyBorder="1" applyAlignment="1">
      <alignment horizontal="right"/>
    </xf>
    <xf numFmtId="1" fontId="0" fillId="5" borderId="189" xfId="0" applyNumberFormat="1" applyFill="1" applyBorder="1" applyAlignment="1">
      <alignment horizontal="right"/>
    </xf>
    <xf numFmtId="0" fontId="3" fillId="5" borderId="189" xfId="0" applyFont="1" applyFill="1" applyBorder="1" applyAlignment="1">
      <alignment horizontal="right"/>
    </xf>
    <xf numFmtId="169" fontId="0" fillId="13" borderId="189" xfId="0" applyNumberFormat="1" applyFill="1" applyBorder="1" applyAlignment="1">
      <alignment horizontal="right"/>
    </xf>
    <xf numFmtId="1" fontId="37" fillId="5" borderId="189" xfId="0" applyNumberFormat="1" applyFont="1" applyFill="1" applyBorder="1" applyAlignment="1">
      <alignment horizontal="right"/>
    </xf>
    <xf numFmtId="3" fontId="37" fillId="5" borderId="189" xfId="0" applyNumberFormat="1" applyFont="1" applyFill="1" applyBorder="1" applyAlignment="1">
      <alignment horizontal="right"/>
    </xf>
    <xf numFmtId="184" fontId="22" fillId="5" borderId="189" xfId="1" applyNumberFormat="1" applyFont="1" applyFill="1" applyBorder="1" applyAlignment="1">
      <alignment horizontal="right"/>
    </xf>
    <xf numFmtId="9" fontId="37" fillId="13" borderId="189" xfId="0" applyNumberFormat="1" applyFont="1" applyFill="1" applyBorder="1" applyAlignment="1">
      <alignment horizontal="right"/>
    </xf>
    <xf numFmtId="2" fontId="64" fillId="5" borderId="189" xfId="0" applyNumberFormat="1" applyFont="1" applyFill="1" applyBorder="1" applyAlignment="1">
      <alignment horizontal="right"/>
    </xf>
    <xf numFmtId="1" fontId="42" fillId="5" borderId="189" xfId="0" applyNumberFormat="1" applyFont="1" applyFill="1" applyBorder="1" applyAlignment="1">
      <alignment horizontal="right"/>
    </xf>
    <xf numFmtId="1" fontId="55" fillId="5" borderId="189" xfId="0" applyNumberFormat="1" applyFont="1" applyFill="1" applyBorder="1" applyAlignment="1">
      <alignment horizontal="right"/>
    </xf>
    <xf numFmtId="184" fontId="0" fillId="5" borderId="189" xfId="1" applyNumberFormat="1" applyFont="1" applyFill="1" applyBorder="1" applyAlignment="1">
      <alignment horizontal="right"/>
    </xf>
    <xf numFmtId="9" fontId="37" fillId="5" borderId="189" xfId="0" applyNumberFormat="1" applyFont="1" applyFill="1" applyBorder="1" applyAlignment="1">
      <alignment horizontal="right"/>
    </xf>
    <xf numFmtId="184" fontId="37" fillId="59" borderId="189" xfId="1" applyNumberFormat="1" applyFont="1" applyFill="1" applyBorder="1" applyAlignment="1">
      <alignment horizontal="right"/>
    </xf>
    <xf numFmtId="184" fontId="0" fillId="59" borderId="189" xfId="1" applyNumberFormat="1" applyFont="1" applyFill="1" applyBorder="1" applyAlignment="1">
      <alignment horizontal="right"/>
    </xf>
    <xf numFmtId="169" fontId="0" fillId="59" borderId="189" xfId="0" applyNumberFormat="1" applyFill="1" applyBorder="1" applyAlignment="1">
      <alignment horizontal="right"/>
    </xf>
    <xf numFmtId="9" fontId="59" fillId="5" borderId="189" xfId="0" applyNumberFormat="1" applyFont="1" applyFill="1" applyBorder="1" applyAlignment="1">
      <alignment horizontal="right"/>
    </xf>
    <xf numFmtId="2" fontId="59" fillId="5" borderId="189" xfId="0" applyNumberFormat="1" applyFont="1" applyFill="1" applyBorder="1" applyAlignment="1">
      <alignment horizontal="right"/>
    </xf>
    <xf numFmtId="189" fontId="101" fillId="13" borderId="189" xfId="0" applyNumberFormat="1" applyFont="1" applyFill="1" applyBorder="1" applyAlignment="1">
      <alignment horizontal="right"/>
    </xf>
    <xf numFmtId="43" fontId="42" fillId="13" borderId="189" xfId="0" applyNumberFormat="1" applyFont="1" applyFill="1" applyBorder="1" applyAlignment="1">
      <alignment horizontal="right"/>
    </xf>
    <xf numFmtId="43" fontId="37" fillId="13" borderId="189" xfId="0" applyNumberFormat="1" applyFont="1" applyFill="1" applyBorder="1" applyAlignment="1">
      <alignment horizontal="right"/>
    </xf>
    <xf numFmtId="169" fontId="67" fillId="5" borderId="190" xfId="0" applyNumberFormat="1" applyFont="1" applyFill="1" applyBorder="1" applyAlignment="1">
      <alignment horizontal="right"/>
    </xf>
    <xf numFmtId="9" fontId="0" fillId="0" borderId="0" xfId="2" applyFont="1" applyBorder="1" applyAlignment="1">
      <alignment horizontal="right"/>
    </xf>
    <xf numFmtId="184" fontId="62" fillId="11" borderId="23" xfId="1" applyNumberFormat="1" applyFont="1" applyFill="1" applyBorder="1" applyAlignment="1">
      <alignment horizontal="right" vertical="justify"/>
    </xf>
    <xf numFmtId="37" fontId="20" fillId="11" borderId="39" xfId="0" applyNumberFormat="1" applyFont="1" applyFill="1" applyBorder="1" applyAlignment="1">
      <alignment horizontal="right"/>
    </xf>
    <xf numFmtId="184" fontId="110" fillId="0" borderId="39" xfId="1" applyNumberFormat="1" applyFont="1" applyFill="1" applyBorder="1" applyAlignment="1">
      <alignment horizontal="right"/>
    </xf>
    <xf numFmtId="41" fontId="78" fillId="0" borderId="39" xfId="51" applyFont="1" applyBorder="1" applyAlignment="1">
      <alignment horizontal="right"/>
    </xf>
    <xf numFmtId="41" fontId="78" fillId="0" borderId="39" xfId="51" applyFont="1" applyFill="1" applyBorder="1" applyAlignment="1">
      <alignment horizontal="right" vertical="justify"/>
    </xf>
    <xf numFmtId="41" fontId="78" fillId="0" borderId="39" xfId="51" applyFont="1" applyFill="1" applyBorder="1" applyAlignment="1" applyProtection="1">
      <alignment horizontal="right"/>
    </xf>
    <xf numFmtId="41" fontId="78" fillId="0" borderId="39" xfId="51" applyFont="1" applyFill="1" applyBorder="1" applyAlignment="1">
      <alignment horizontal="right"/>
    </xf>
    <xf numFmtId="41" fontId="110" fillId="0" borderId="39" xfId="51" applyFont="1" applyFill="1" applyBorder="1" applyAlignment="1">
      <alignment horizontal="right"/>
    </xf>
    <xf numFmtId="3" fontId="78" fillId="0" borderId="39" xfId="2" applyNumberFormat="1" applyFont="1" applyFill="1" applyBorder="1" applyAlignment="1" applyProtection="1">
      <alignment horizontal="right"/>
    </xf>
    <xf numFmtId="3" fontId="78" fillId="0" borderId="39" xfId="2" applyNumberFormat="1" applyFont="1" applyFill="1" applyBorder="1" applyAlignment="1">
      <alignment horizontal="right"/>
    </xf>
    <xf numFmtId="184" fontId="110" fillId="0" borderId="39" xfId="1" applyNumberFormat="1" applyFont="1" applyBorder="1" applyAlignment="1">
      <alignment horizontal="right"/>
    </xf>
    <xf numFmtId="3" fontId="78" fillId="0" borderId="39" xfId="1" applyNumberFormat="1" applyFont="1" applyFill="1" applyBorder="1" applyAlignment="1">
      <alignment horizontal="right"/>
    </xf>
    <xf numFmtId="3" fontId="78" fillId="0" borderId="173" xfId="1" applyNumberFormat="1" applyFont="1" applyFill="1" applyBorder="1" applyAlignment="1" applyProtection="1">
      <alignment horizontal="right"/>
    </xf>
    <xf numFmtId="3" fontId="7" fillId="0" borderId="39" xfId="0" applyNumberFormat="1" applyFont="1" applyBorder="1" applyAlignment="1">
      <alignment horizontal="right"/>
    </xf>
    <xf numFmtId="3" fontId="7" fillId="13" borderId="39" xfId="0" applyNumberFormat="1" applyFont="1" applyFill="1" applyBorder="1" applyAlignment="1">
      <alignment horizontal="right"/>
    </xf>
    <xf numFmtId="3" fontId="3" fillId="0" borderId="39" xfId="0" applyNumberFormat="1" applyFont="1" applyBorder="1" applyAlignment="1">
      <alignment horizontal="right"/>
    </xf>
    <xf numFmtId="3" fontId="44" fillId="0" borderId="39" xfId="0" applyNumberFormat="1" applyFont="1" applyBorder="1" applyAlignment="1">
      <alignment horizontal="right"/>
    </xf>
    <xf numFmtId="184" fontId="55" fillId="0" borderId="39" xfId="1" applyNumberFormat="1" applyFont="1" applyFill="1" applyBorder="1" applyAlignment="1" applyProtection="1">
      <alignment horizontal="right"/>
    </xf>
    <xf numFmtId="184" fontId="132" fillId="0" borderId="39" xfId="1" applyNumberFormat="1" applyFont="1" applyFill="1" applyBorder="1" applyAlignment="1" applyProtection="1">
      <alignment horizontal="right"/>
    </xf>
    <xf numFmtId="3" fontId="7" fillId="0" borderId="39" xfId="2" applyNumberFormat="1" applyFont="1" applyFill="1" applyBorder="1" applyAlignment="1">
      <alignment horizontal="right"/>
    </xf>
    <xf numFmtId="3" fontId="64" fillId="0" borderId="39" xfId="2" applyNumberFormat="1" applyFont="1" applyFill="1" applyBorder="1" applyAlignment="1">
      <alignment horizontal="right"/>
    </xf>
    <xf numFmtId="3" fontId="2" fillId="0" borderId="39" xfId="2" applyNumberFormat="1" applyFont="1" applyFill="1" applyBorder="1" applyAlignment="1">
      <alignment horizontal="right"/>
    </xf>
    <xf numFmtId="3" fontId="37" fillId="0" borderId="173" xfId="2" applyNumberFormat="1" applyFont="1" applyFill="1" applyBorder="1" applyAlignment="1">
      <alignment horizontal="right"/>
    </xf>
    <xf numFmtId="184" fontId="29" fillId="11" borderId="39" xfId="1" applyNumberFormat="1" applyFont="1" applyFill="1" applyBorder="1" applyAlignment="1">
      <alignment horizontal="right"/>
    </xf>
    <xf numFmtId="184" fontId="32" fillId="0" borderId="39" xfId="1" applyNumberFormat="1" applyFont="1" applyFill="1" applyBorder="1" applyAlignment="1">
      <alignment horizontal="right"/>
    </xf>
    <xf numFmtId="184" fontId="29" fillId="0" borderId="39" xfId="1" applyNumberFormat="1" applyFont="1" applyBorder="1" applyAlignment="1">
      <alignment horizontal="right"/>
    </xf>
    <xf numFmtId="184" fontId="78" fillId="0" borderId="39" xfId="1" applyNumberFormat="1" applyFont="1" applyFill="1" applyBorder="1" applyAlignment="1">
      <alignment horizontal="right"/>
    </xf>
    <xf numFmtId="184" fontId="78" fillId="0" borderId="173" xfId="1" applyNumberFormat="1" applyFont="1" applyFill="1" applyBorder="1" applyAlignment="1">
      <alignment horizontal="right"/>
    </xf>
    <xf numFmtId="186" fontId="10" fillId="11" borderId="39" xfId="0" applyNumberFormat="1" applyFont="1" applyFill="1" applyBorder="1" applyAlignment="1">
      <alignment horizontal="right"/>
    </xf>
    <xf numFmtId="2" fontId="55" fillId="0" borderId="39" xfId="0" applyNumberFormat="1" applyFont="1" applyBorder="1" applyAlignment="1">
      <alignment horizontal="right"/>
    </xf>
    <xf numFmtId="2" fontId="55" fillId="0" borderId="173" xfId="0" applyNumberFormat="1" applyFont="1" applyBorder="1" applyAlignment="1">
      <alignment horizontal="right"/>
    </xf>
    <xf numFmtId="175" fontId="10" fillId="11" borderId="45" xfId="2" applyNumberFormat="1" applyFont="1" applyFill="1" applyBorder="1" applyAlignment="1">
      <alignment horizontal="right" vertical="justify"/>
    </xf>
    <xf numFmtId="37" fontId="164" fillId="0" borderId="39" xfId="0" applyNumberFormat="1" applyFont="1" applyBorder="1" applyAlignment="1">
      <alignment horizontal="right"/>
    </xf>
    <xf numFmtId="175" fontId="10" fillId="11" borderId="39" xfId="2" applyNumberFormat="1" applyFont="1" applyFill="1" applyBorder="1" applyAlignment="1">
      <alignment horizontal="right" vertical="justify"/>
    </xf>
    <xf numFmtId="3" fontId="7" fillId="13" borderId="39" xfId="2" applyNumberFormat="1" applyFont="1" applyFill="1" applyBorder="1" applyAlignment="1" applyProtection="1">
      <alignment horizontal="right"/>
    </xf>
    <xf numFmtId="37" fontId="62" fillId="13" borderId="39" xfId="0" applyNumberFormat="1" applyFont="1" applyFill="1" applyBorder="1" applyAlignment="1">
      <alignment horizontal="right"/>
    </xf>
    <xf numFmtId="37" fontId="10" fillId="13" borderId="39" xfId="0" applyNumberFormat="1" applyFont="1" applyFill="1" applyBorder="1" applyAlignment="1">
      <alignment horizontal="right"/>
    </xf>
    <xf numFmtId="175" fontId="10" fillId="13" borderId="41" xfId="2" applyNumberFormat="1" applyFont="1" applyFill="1" applyBorder="1" applyAlignment="1">
      <alignment horizontal="right" vertical="justify"/>
    </xf>
    <xf numFmtId="175" fontId="10" fillId="13" borderId="39" xfId="2" applyNumberFormat="1" applyFont="1" applyFill="1" applyBorder="1" applyAlignment="1">
      <alignment horizontal="right" vertical="justify"/>
    </xf>
    <xf numFmtId="175" fontId="7" fillId="13" borderId="39" xfId="2" applyNumberFormat="1" applyFont="1" applyFill="1" applyBorder="1" applyAlignment="1">
      <alignment horizontal="right" vertical="justify"/>
    </xf>
    <xf numFmtId="43" fontId="10" fillId="13" borderId="39" xfId="1" applyFont="1" applyFill="1" applyBorder="1" applyAlignment="1">
      <alignment horizontal="right" vertical="justify"/>
    </xf>
    <xf numFmtId="184" fontId="7" fillId="13" borderId="39" xfId="0" applyNumberFormat="1" applyFont="1" applyFill="1" applyBorder="1" applyAlignment="1">
      <alignment horizontal="right"/>
    </xf>
    <xf numFmtId="37" fontId="29" fillId="56" borderId="39" xfId="0" applyNumberFormat="1" applyFont="1" applyFill="1" applyBorder="1" applyAlignment="1">
      <alignment horizontal="right"/>
    </xf>
    <xf numFmtId="184" fontId="7" fillId="56" borderId="39" xfId="0" applyNumberFormat="1" applyFont="1" applyFill="1" applyBorder="1" applyAlignment="1">
      <alignment horizontal="right"/>
    </xf>
    <xf numFmtId="3" fontId="64" fillId="0" borderId="39" xfId="0" applyNumberFormat="1" applyFont="1" applyBorder="1" applyAlignment="1">
      <alignment horizontal="right"/>
    </xf>
    <xf numFmtId="0" fontId="7" fillId="0" borderId="14" xfId="0" applyFont="1" applyBorder="1" applyAlignment="1">
      <alignment horizontal="right"/>
    </xf>
    <xf numFmtId="0" fontId="10" fillId="11" borderId="191" xfId="0" applyFont="1" applyFill="1" applyBorder="1" applyAlignment="1">
      <alignment horizontal="right"/>
    </xf>
    <xf numFmtId="175" fontId="10" fillId="11" borderId="191" xfId="2" applyNumberFormat="1" applyFont="1" applyFill="1" applyBorder="1" applyAlignment="1">
      <alignment horizontal="right" vertical="justify"/>
    </xf>
    <xf numFmtId="41" fontId="46" fillId="11" borderId="191" xfId="51" applyFont="1" applyFill="1" applyBorder="1" applyAlignment="1">
      <alignment horizontal="right" vertical="justify"/>
    </xf>
    <xf numFmtId="37" fontId="20" fillId="11" borderId="189" xfId="0" applyNumberFormat="1" applyFont="1" applyFill="1" applyBorder="1" applyAlignment="1">
      <alignment horizontal="right"/>
    </xf>
    <xf numFmtId="184" fontId="110" fillId="0" borderId="189" xfId="1" applyNumberFormat="1" applyFont="1" applyFill="1" applyBorder="1" applyAlignment="1">
      <alignment horizontal="right"/>
    </xf>
    <xf numFmtId="41" fontId="78" fillId="0" borderId="189" xfId="51" applyFont="1" applyFill="1" applyBorder="1" applyAlignment="1">
      <alignment horizontal="right"/>
    </xf>
    <xf numFmtId="41" fontId="78" fillId="0" borderId="189" xfId="51" applyFont="1" applyFill="1" applyBorder="1" applyAlignment="1">
      <alignment horizontal="right" vertical="justify"/>
    </xf>
    <xf numFmtId="41" fontId="78" fillId="0" borderId="189" xfId="51" applyFont="1" applyFill="1" applyBorder="1" applyAlignment="1" applyProtection="1">
      <alignment horizontal="right"/>
    </xf>
    <xf numFmtId="41" fontId="110" fillId="0" borderId="189" xfId="51" applyFont="1" applyFill="1" applyBorder="1" applyAlignment="1">
      <alignment horizontal="right"/>
    </xf>
    <xf numFmtId="3" fontId="78" fillId="0" borderId="189" xfId="2" applyNumberFormat="1" applyFont="1" applyFill="1" applyBorder="1" applyAlignment="1">
      <alignment horizontal="right"/>
    </xf>
    <xf numFmtId="3" fontId="78" fillId="0" borderId="189" xfId="1" applyNumberFormat="1" applyFont="1" applyFill="1" applyBorder="1" applyAlignment="1" applyProtection="1">
      <alignment horizontal="right"/>
    </xf>
    <xf numFmtId="3" fontId="78" fillId="0" borderId="192" xfId="1" applyNumberFormat="1" applyFont="1" applyFill="1" applyBorder="1" applyAlignment="1">
      <alignment horizontal="right"/>
    </xf>
    <xf numFmtId="3" fontId="7" fillId="0" borderId="189" xfId="0" applyNumberFormat="1" applyFont="1" applyBorder="1" applyAlignment="1">
      <alignment horizontal="right"/>
    </xf>
    <xf numFmtId="3" fontId="7" fillId="13" borderId="189" xfId="0" applyNumberFormat="1" applyFont="1" applyFill="1" applyBorder="1" applyAlignment="1">
      <alignment horizontal="right"/>
    </xf>
    <xf numFmtId="3" fontId="3" fillId="0" borderId="189" xfId="0" applyNumberFormat="1" applyFont="1" applyBorder="1" applyAlignment="1">
      <alignment horizontal="right"/>
    </xf>
    <xf numFmtId="3" fontId="44" fillId="0" borderId="189" xfId="0" applyNumberFormat="1" applyFont="1" applyBorder="1" applyAlignment="1">
      <alignment horizontal="right"/>
    </xf>
    <xf numFmtId="184" fontId="55" fillId="0" borderId="189" xfId="1" applyNumberFormat="1" applyFont="1" applyFill="1" applyBorder="1" applyAlignment="1" applyProtection="1">
      <alignment horizontal="right"/>
    </xf>
    <xf numFmtId="184" fontId="132" fillId="0" borderId="189" xfId="1" applyNumberFormat="1" applyFont="1" applyFill="1" applyBorder="1" applyAlignment="1" applyProtection="1">
      <alignment horizontal="right"/>
    </xf>
    <xf numFmtId="3" fontId="7" fillId="0" borderId="189" xfId="2" applyNumberFormat="1" applyFont="1" applyFill="1" applyBorder="1" applyAlignment="1">
      <alignment horizontal="right"/>
    </xf>
    <xf numFmtId="3" fontId="64" fillId="0" borderId="189" xfId="2" applyNumberFormat="1" applyFont="1" applyFill="1" applyBorder="1" applyAlignment="1">
      <alignment horizontal="right"/>
    </xf>
    <xf numFmtId="3" fontId="2" fillId="0" borderId="189" xfId="2" applyNumberFormat="1" applyFont="1" applyFill="1" applyBorder="1" applyAlignment="1">
      <alignment horizontal="right"/>
    </xf>
    <xf numFmtId="3" fontId="37" fillId="0" borderId="192" xfId="2" applyNumberFormat="1" applyFont="1" applyFill="1" applyBorder="1" applyAlignment="1">
      <alignment horizontal="right"/>
    </xf>
    <xf numFmtId="184" fontId="29" fillId="11" borderId="189" xfId="1" applyNumberFormat="1" applyFont="1" applyFill="1" applyBorder="1" applyAlignment="1">
      <alignment horizontal="right"/>
    </xf>
    <xf numFmtId="184" fontId="32" fillId="13" borderId="189" xfId="1" applyNumberFormat="1" applyFont="1" applyFill="1" applyBorder="1" applyAlignment="1">
      <alignment horizontal="right"/>
    </xf>
    <xf numFmtId="184" fontId="29" fillId="0" borderId="189" xfId="1" applyNumberFormat="1" applyFont="1" applyBorder="1" applyAlignment="1">
      <alignment horizontal="right"/>
    </xf>
    <xf numFmtId="184" fontId="78" fillId="13" borderId="189" xfId="1" applyNumberFormat="1" applyFont="1" applyFill="1" applyBorder="1" applyAlignment="1">
      <alignment horizontal="right"/>
    </xf>
    <xf numFmtId="186" fontId="10" fillId="11" borderId="189" xfId="0" applyNumberFormat="1" applyFont="1" applyFill="1" applyBorder="1" applyAlignment="1">
      <alignment horizontal="right"/>
    </xf>
    <xf numFmtId="2" fontId="55" fillId="0" borderId="189" xfId="0" applyNumberFormat="1" applyFont="1" applyBorder="1" applyAlignment="1">
      <alignment horizontal="right"/>
    </xf>
    <xf numFmtId="2" fontId="55" fillId="0" borderId="192" xfId="0" applyNumberFormat="1" applyFont="1" applyBorder="1" applyAlignment="1">
      <alignment horizontal="right"/>
    </xf>
    <xf numFmtId="175" fontId="10" fillId="11" borderId="193" xfId="2" applyNumberFormat="1" applyFont="1" applyFill="1" applyBorder="1" applyAlignment="1">
      <alignment horizontal="right" vertical="justify"/>
    </xf>
    <xf numFmtId="37" fontId="10" fillId="11" borderId="191" xfId="0" applyNumberFormat="1" applyFont="1" applyFill="1" applyBorder="1" applyAlignment="1">
      <alignment horizontal="right"/>
    </xf>
    <xf numFmtId="37" fontId="164" fillId="0" borderId="189" xfId="0" applyNumberFormat="1" applyFont="1" applyBorder="1" applyAlignment="1">
      <alignment horizontal="right"/>
    </xf>
    <xf numFmtId="175" fontId="10" fillId="11" borderId="189" xfId="2" applyNumberFormat="1" applyFont="1" applyFill="1" applyBorder="1" applyAlignment="1">
      <alignment horizontal="right" vertical="justify"/>
    </xf>
    <xf numFmtId="3" fontId="7" fillId="13" borderId="189" xfId="2" applyNumberFormat="1" applyFont="1" applyFill="1" applyBorder="1" applyAlignment="1" applyProtection="1">
      <alignment horizontal="right"/>
    </xf>
    <xf numFmtId="37" fontId="62" fillId="13" borderId="189" xfId="0" applyNumberFormat="1" applyFont="1" applyFill="1" applyBorder="1" applyAlignment="1">
      <alignment horizontal="right"/>
    </xf>
    <xf numFmtId="37" fontId="10" fillId="13" borderId="189" xfId="0" applyNumberFormat="1" applyFont="1" applyFill="1" applyBorder="1" applyAlignment="1">
      <alignment horizontal="right"/>
    </xf>
    <xf numFmtId="175" fontId="10" fillId="13" borderId="191" xfId="2" applyNumberFormat="1" applyFont="1" applyFill="1" applyBorder="1" applyAlignment="1">
      <alignment horizontal="right" vertical="justify"/>
    </xf>
    <xf numFmtId="175" fontId="10" fillId="13" borderId="189" xfId="2" applyNumberFormat="1" applyFont="1" applyFill="1" applyBorder="1" applyAlignment="1">
      <alignment horizontal="right" vertical="justify"/>
    </xf>
    <xf numFmtId="175" fontId="7" fillId="13" borderId="189" xfId="2" applyNumberFormat="1" applyFont="1" applyFill="1" applyBorder="1" applyAlignment="1">
      <alignment horizontal="right" vertical="justify"/>
    </xf>
    <xf numFmtId="43" fontId="10" fillId="13" borderId="189" xfId="1" applyFont="1" applyFill="1" applyBorder="1" applyAlignment="1">
      <alignment horizontal="right" vertical="justify"/>
    </xf>
    <xf numFmtId="37" fontId="10" fillId="11" borderId="189" xfId="0" applyNumberFormat="1" applyFont="1" applyFill="1" applyBorder="1" applyAlignment="1">
      <alignment horizontal="right"/>
    </xf>
    <xf numFmtId="184" fontId="7" fillId="13" borderId="189" xfId="0" applyNumberFormat="1" applyFont="1" applyFill="1" applyBorder="1" applyAlignment="1">
      <alignment horizontal="right"/>
    </xf>
    <xf numFmtId="37" fontId="29" fillId="56" borderId="189" xfId="0" applyNumberFormat="1" applyFont="1" applyFill="1" applyBorder="1" applyAlignment="1">
      <alignment horizontal="right"/>
    </xf>
    <xf numFmtId="184" fontId="7" fillId="56" borderId="189" xfId="0" applyNumberFormat="1" applyFont="1" applyFill="1" applyBorder="1" applyAlignment="1">
      <alignment horizontal="right"/>
    </xf>
    <xf numFmtId="3" fontId="64" fillId="0" borderId="189" xfId="0" applyNumberFormat="1" applyFont="1" applyBorder="1" applyAlignment="1">
      <alignment horizontal="right"/>
    </xf>
    <xf numFmtId="184" fontId="7" fillId="13" borderId="92" xfId="0" applyNumberFormat="1" applyFont="1" applyFill="1" applyBorder="1" applyAlignment="1">
      <alignment horizontal="right"/>
    </xf>
    <xf numFmtId="0" fontId="7" fillId="0" borderId="142" xfId="0" applyFont="1" applyBorder="1" applyAlignment="1">
      <alignment horizontal="right"/>
    </xf>
    <xf numFmtId="0" fontId="44" fillId="0" borderId="42" xfId="0" applyFont="1" applyBorder="1" applyAlignment="1">
      <alignment horizontal="right"/>
    </xf>
    <xf numFmtId="0" fontId="108" fillId="68" borderId="39" xfId="0" applyFont="1" applyFill="1" applyBorder="1" applyAlignment="1">
      <alignment horizontal="right"/>
    </xf>
    <xf numFmtId="170" fontId="122" fillId="68" borderId="39" xfId="0" applyNumberFormat="1" applyFont="1" applyFill="1" applyBorder="1" applyAlignment="1">
      <alignment horizontal="right"/>
    </xf>
    <xf numFmtId="170" fontId="106" fillId="68" borderId="39" xfId="0" applyNumberFormat="1" applyFont="1" applyFill="1" applyBorder="1" applyAlignment="1">
      <alignment horizontal="right"/>
    </xf>
    <xf numFmtId="175" fontId="233" fillId="68" borderId="39" xfId="0" applyNumberFormat="1" applyFont="1" applyFill="1" applyBorder="1" applyAlignment="1">
      <alignment horizontal="right"/>
    </xf>
    <xf numFmtId="170" fontId="0" fillId="0" borderId="39" xfId="0" applyNumberFormat="1" applyBorder="1" applyAlignment="1">
      <alignment horizontal="right"/>
    </xf>
    <xf numFmtId="170" fontId="159" fillId="68" borderId="39" xfId="0" applyNumberFormat="1" applyFont="1" applyFill="1" applyBorder="1" applyAlignment="1">
      <alignment horizontal="right"/>
    </xf>
    <xf numFmtId="184" fontId="161" fillId="22" borderId="39" xfId="1" applyNumberFormat="1" applyFont="1" applyFill="1" applyBorder="1" applyAlignment="1">
      <alignment horizontal="right"/>
    </xf>
    <xf numFmtId="170" fontId="161" fillId="22" borderId="39" xfId="0" applyNumberFormat="1" applyFont="1" applyFill="1" applyBorder="1" applyAlignment="1">
      <alignment horizontal="right"/>
    </xf>
    <xf numFmtId="170" fontId="122" fillId="22" borderId="39" xfId="0" applyNumberFormat="1" applyFont="1" applyFill="1" applyBorder="1" applyAlignment="1">
      <alignment horizontal="right"/>
    </xf>
    <xf numFmtId="1" fontId="121" fillId="68" borderId="39" xfId="0" applyNumberFormat="1" applyFont="1" applyFill="1" applyBorder="1" applyAlignment="1">
      <alignment horizontal="right"/>
    </xf>
    <xf numFmtId="184" fontId="26" fillId="69" borderId="172" xfId="1" applyNumberFormat="1" applyFont="1" applyFill="1" applyBorder="1" applyAlignment="1">
      <alignment horizontal="right"/>
    </xf>
    <xf numFmtId="1" fontId="120" fillId="69" borderId="39" xfId="0" applyNumberFormat="1" applyFont="1" applyFill="1" applyBorder="1" applyAlignment="1">
      <alignment horizontal="right"/>
    </xf>
    <xf numFmtId="170" fontId="26" fillId="71" borderId="39" xfId="0" applyNumberFormat="1" applyFont="1" applyFill="1" applyBorder="1" applyAlignment="1">
      <alignment horizontal="right"/>
    </xf>
    <xf numFmtId="1" fontId="26" fillId="69" borderId="48" xfId="0" applyNumberFormat="1" applyFont="1" applyFill="1" applyBorder="1" applyAlignment="1">
      <alignment horizontal="right"/>
    </xf>
    <xf numFmtId="175" fontId="121" fillId="71" borderId="39" xfId="0" applyNumberFormat="1" applyFont="1" applyFill="1" applyBorder="1" applyAlignment="1">
      <alignment horizontal="right"/>
    </xf>
    <xf numFmtId="175" fontId="121" fillId="69" borderId="39" xfId="0" applyNumberFormat="1" applyFont="1" applyFill="1" applyBorder="1" applyAlignment="1">
      <alignment horizontal="right"/>
    </xf>
    <xf numFmtId="0" fontId="44" fillId="0" borderId="190" xfId="0" applyFont="1" applyBorder="1" applyAlignment="1">
      <alignment horizontal="right"/>
    </xf>
    <xf numFmtId="0" fontId="108" fillId="68" borderId="189" xfId="0" applyFont="1" applyFill="1" applyBorder="1" applyAlignment="1">
      <alignment horizontal="right"/>
    </xf>
    <xf numFmtId="170" fontId="26" fillId="68" borderId="189" xfId="0" applyNumberFormat="1" applyFont="1" applyFill="1" applyBorder="1" applyAlignment="1">
      <alignment horizontal="right"/>
    </xf>
    <xf numFmtId="170" fontId="122" fillId="68" borderId="189" xfId="0" applyNumberFormat="1" applyFont="1" applyFill="1" applyBorder="1" applyAlignment="1">
      <alignment horizontal="right"/>
    </xf>
    <xf numFmtId="170" fontId="106" fillId="68" borderId="189" xfId="0" applyNumberFormat="1" applyFont="1" applyFill="1" applyBorder="1" applyAlignment="1">
      <alignment horizontal="right"/>
    </xf>
    <xf numFmtId="175" fontId="233" fillId="68" borderId="189" xfId="0" applyNumberFormat="1" applyFont="1" applyFill="1" applyBorder="1" applyAlignment="1">
      <alignment horizontal="right"/>
    </xf>
    <xf numFmtId="170" fontId="0" fillId="0" borderId="189" xfId="0" applyNumberFormat="1" applyBorder="1" applyAlignment="1">
      <alignment horizontal="right"/>
    </xf>
    <xf numFmtId="170" fontId="159" fillId="68" borderId="189" xfId="0" applyNumberFormat="1" applyFont="1" applyFill="1" applyBorder="1" applyAlignment="1">
      <alignment horizontal="right"/>
    </xf>
    <xf numFmtId="184" fontId="161" fillId="22" borderId="189" xfId="1" applyNumberFormat="1" applyFont="1" applyFill="1" applyBorder="1" applyAlignment="1">
      <alignment horizontal="right"/>
    </xf>
    <xf numFmtId="170" fontId="161" fillId="22" borderId="189" xfId="0" applyNumberFormat="1" applyFont="1" applyFill="1" applyBorder="1" applyAlignment="1">
      <alignment horizontal="right"/>
    </xf>
    <xf numFmtId="170" fontId="122" fillId="22" borderId="189" xfId="0" applyNumberFormat="1" applyFont="1" applyFill="1" applyBorder="1" applyAlignment="1">
      <alignment horizontal="right"/>
    </xf>
    <xf numFmtId="1" fontId="121" fillId="68" borderId="189" xfId="0" applyNumberFormat="1" applyFont="1" applyFill="1" applyBorder="1" applyAlignment="1">
      <alignment horizontal="right"/>
    </xf>
    <xf numFmtId="1" fontId="26" fillId="70" borderId="92" xfId="0" applyNumberFormat="1" applyFont="1" applyFill="1" applyBorder="1" applyAlignment="1">
      <alignment horizontal="right"/>
    </xf>
    <xf numFmtId="1" fontId="26" fillId="68" borderId="189" xfId="0" applyNumberFormat="1" applyFont="1" applyFill="1" applyBorder="1" applyAlignment="1">
      <alignment horizontal="right"/>
    </xf>
    <xf numFmtId="1" fontId="26" fillId="68" borderId="92" xfId="0" applyNumberFormat="1" applyFont="1" applyFill="1" applyBorder="1" applyAlignment="1">
      <alignment horizontal="right"/>
    </xf>
    <xf numFmtId="184" fontId="26" fillId="68" borderId="92" xfId="1" applyNumberFormat="1" applyFont="1" applyFill="1" applyBorder="1" applyAlignment="1">
      <alignment horizontal="right"/>
    </xf>
    <xf numFmtId="1" fontId="131" fillId="51" borderId="92" xfId="0" applyNumberFormat="1" applyFont="1" applyFill="1" applyBorder="1" applyAlignment="1">
      <alignment horizontal="right"/>
    </xf>
    <xf numFmtId="184" fontId="26" fillId="69" borderId="194" xfId="1" applyNumberFormat="1" applyFont="1" applyFill="1" applyBorder="1" applyAlignment="1">
      <alignment horizontal="right"/>
    </xf>
    <xf numFmtId="1" fontId="120" fillId="69" borderId="189" xfId="0" applyNumberFormat="1" applyFont="1" applyFill="1" applyBorder="1" applyAlignment="1">
      <alignment horizontal="right"/>
    </xf>
    <xf numFmtId="170" fontId="26" fillId="71" borderId="189" xfId="0" applyNumberFormat="1" applyFont="1" applyFill="1" applyBorder="1" applyAlignment="1">
      <alignment horizontal="right"/>
    </xf>
    <xf numFmtId="1" fontId="26" fillId="69" borderId="189" xfId="0" applyNumberFormat="1" applyFont="1" applyFill="1" applyBorder="1" applyAlignment="1">
      <alignment horizontal="right"/>
    </xf>
    <xf numFmtId="175" fontId="121" fillId="71" borderId="189" xfId="0" applyNumberFormat="1" applyFont="1" applyFill="1" applyBorder="1" applyAlignment="1">
      <alignment horizontal="right"/>
    </xf>
    <xf numFmtId="175" fontId="121" fillId="69" borderId="189" xfId="0" applyNumberFormat="1" applyFont="1" applyFill="1" applyBorder="1" applyAlignment="1">
      <alignment horizontal="right"/>
    </xf>
    <xf numFmtId="0" fontId="54" fillId="7" borderId="39" xfId="0" applyFont="1" applyFill="1" applyBorder="1" applyAlignment="1">
      <alignment horizontal="right"/>
    </xf>
    <xf numFmtId="184" fontId="0" fillId="7" borderId="39" xfId="1" applyNumberFormat="1" applyFont="1" applyFill="1" applyBorder="1" applyAlignment="1" applyProtection="1">
      <alignment horizontal="right"/>
      <protection locked="0"/>
    </xf>
    <xf numFmtId="184" fontId="37" fillId="7" borderId="39" xfId="1" applyNumberFormat="1" applyFont="1" applyFill="1" applyBorder="1" applyAlignment="1">
      <alignment horizontal="right"/>
    </xf>
    <xf numFmtId="184" fontId="0" fillId="75" borderId="39" xfId="1" applyNumberFormat="1" applyFont="1" applyFill="1" applyBorder="1" applyAlignment="1">
      <alignment horizontal="right"/>
    </xf>
    <xf numFmtId="184" fontId="15" fillId="75" borderId="39" xfId="1" applyNumberFormat="1" applyFont="1" applyFill="1" applyBorder="1" applyAlignment="1">
      <alignment horizontal="right"/>
    </xf>
    <xf numFmtId="1" fontId="7" fillId="13" borderId="39" xfId="0" applyNumberFormat="1" applyFont="1" applyFill="1" applyBorder="1" applyAlignment="1">
      <alignment horizontal="right"/>
    </xf>
    <xf numFmtId="1" fontId="7" fillId="76" borderId="39" xfId="0" applyNumberFormat="1" applyFont="1" applyFill="1" applyBorder="1" applyAlignment="1">
      <alignment horizontal="right"/>
    </xf>
    <xf numFmtId="184" fontId="7" fillId="7" borderId="39" xfId="1" applyNumberFormat="1" applyFont="1" applyFill="1" applyBorder="1" applyAlignment="1">
      <alignment horizontal="right"/>
    </xf>
    <xf numFmtId="184" fontId="55" fillId="7" borderId="39" xfId="1" applyNumberFormat="1" applyFont="1" applyFill="1" applyBorder="1" applyAlignment="1">
      <alignment horizontal="right"/>
    </xf>
    <xf numFmtId="1" fontId="8" fillId="7" borderId="39" xfId="0" applyNumberFormat="1" applyFont="1" applyFill="1" applyBorder="1" applyAlignment="1">
      <alignment horizontal="right"/>
    </xf>
    <xf numFmtId="0" fontId="15" fillId="0" borderId="92" xfId="0" applyFont="1" applyBorder="1" applyAlignment="1">
      <alignment horizontal="right"/>
    </xf>
    <xf numFmtId="0" fontId="54" fillId="7" borderId="189" xfId="0" applyFont="1" applyFill="1" applyBorder="1" applyAlignment="1">
      <alignment horizontal="right"/>
    </xf>
    <xf numFmtId="184" fontId="0" fillId="7" borderId="189" xfId="1" applyNumberFormat="1" applyFont="1" applyFill="1" applyBorder="1" applyAlignment="1">
      <alignment horizontal="right"/>
    </xf>
    <xf numFmtId="184" fontId="0" fillId="7" borderId="92" xfId="1" applyNumberFormat="1" applyFont="1" applyFill="1" applyBorder="1" applyAlignment="1">
      <alignment horizontal="right"/>
    </xf>
    <xf numFmtId="184" fontId="0" fillId="7" borderId="189" xfId="1" applyNumberFormat="1" applyFont="1" applyFill="1" applyBorder="1" applyAlignment="1" applyProtection="1">
      <alignment horizontal="right"/>
      <protection locked="0"/>
    </xf>
    <xf numFmtId="184" fontId="37" fillId="7" borderId="189" xfId="1" applyNumberFormat="1" applyFont="1" applyFill="1" applyBorder="1" applyAlignment="1">
      <alignment horizontal="right"/>
    </xf>
    <xf numFmtId="184" fontId="0" fillId="75" borderId="189" xfId="1" applyNumberFormat="1" applyFont="1" applyFill="1" applyBorder="1" applyAlignment="1">
      <alignment horizontal="right"/>
    </xf>
    <xf numFmtId="184" fontId="15" fillId="75" borderId="189" xfId="1" applyNumberFormat="1" applyFont="1" applyFill="1" applyBorder="1" applyAlignment="1">
      <alignment horizontal="right"/>
    </xf>
    <xf numFmtId="1" fontId="0" fillId="7" borderId="189" xfId="0" applyNumberFormat="1" applyFill="1" applyBorder="1" applyAlignment="1">
      <alignment horizontal="right"/>
    </xf>
    <xf numFmtId="1" fontId="0" fillId="7" borderId="195" xfId="0" applyNumberFormat="1" applyFill="1" applyBorder="1" applyAlignment="1">
      <alignment horizontal="right"/>
    </xf>
    <xf numFmtId="1" fontId="0" fillId="7" borderId="196" xfId="0" applyNumberFormat="1" applyFill="1" applyBorder="1" applyAlignment="1">
      <alignment horizontal="right"/>
    </xf>
    <xf numFmtId="1" fontId="7" fillId="13" borderId="189" xfId="0" applyNumberFormat="1" applyFont="1" applyFill="1" applyBorder="1" applyAlignment="1">
      <alignment horizontal="right"/>
    </xf>
    <xf numFmtId="1" fontId="7" fillId="76" borderId="189" xfId="0" applyNumberFormat="1" applyFont="1" applyFill="1" applyBorder="1" applyAlignment="1">
      <alignment horizontal="right"/>
    </xf>
    <xf numFmtId="184" fontId="7" fillId="7" borderId="189" xfId="1" applyNumberFormat="1" applyFont="1" applyFill="1" applyBorder="1" applyAlignment="1">
      <alignment horizontal="right"/>
    </xf>
    <xf numFmtId="184" fontId="55" fillId="7" borderId="189" xfId="1" applyNumberFormat="1" applyFont="1" applyFill="1" applyBorder="1" applyAlignment="1">
      <alignment horizontal="right"/>
    </xf>
    <xf numFmtId="1" fontId="8" fillId="7" borderId="189" xfId="0" applyNumberFormat="1" applyFont="1" applyFill="1" applyBorder="1" applyAlignment="1">
      <alignment horizontal="right"/>
    </xf>
    <xf numFmtId="1" fontId="8" fillId="7" borderId="92" xfId="0" applyNumberFormat="1" applyFont="1" applyFill="1" applyBorder="1" applyAlignment="1">
      <alignment horizontal="right"/>
    </xf>
    <xf numFmtId="0" fontId="74" fillId="5" borderId="42" xfId="0" applyFont="1" applyFill="1" applyBorder="1" applyAlignment="1">
      <alignment horizontal="right"/>
    </xf>
    <xf numFmtId="9" fontId="64" fillId="5" borderId="39" xfId="2" applyFont="1" applyFill="1" applyBorder="1" applyAlignment="1">
      <alignment horizontal="right"/>
    </xf>
    <xf numFmtId="175" fontId="64" fillId="13" borderId="39" xfId="2" applyNumberFormat="1" applyFont="1" applyFill="1" applyBorder="1" applyAlignment="1">
      <alignment horizontal="right"/>
    </xf>
    <xf numFmtId="175" fontId="0" fillId="13" borderId="39" xfId="0" applyNumberFormat="1" applyFill="1" applyBorder="1" applyAlignment="1">
      <alignment horizontal="right"/>
    </xf>
    <xf numFmtId="1" fontId="7" fillId="5" borderId="39" xfId="0" applyNumberFormat="1" applyFont="1" applyFill="1" applyBorder="1" applyAlignment="1">
      <alignment horizontal="right"/>
    </xf>
    <xf numFmtId="1" fontId="22" fillId="5" borderId="39" xfId="0" applyNumberFormat="1" applyFont="1" applyFill="1" applyBorder="1" applyAlignment="1">
      <alignment horizontal="right"/>
    </xf>
    <xf numFmtId="0" fontId="59" fillId="5" borderId="39" xfId="0" applyFont="1" applyFill="1" applyBorder="1" applyAlignment="1">
      <alignment horizontal="right"/>
    </xf>
    <xf numFmtId="175" fontId="92" fillId="5" borderId="39" xfId="0" applyNumberFormat="1" applyFont="1" applyFill="1" applyBorder="1" applyAlignment="1">
      <alignment horizontal="right"/>
    </xf>
    <xf numFmtId="175" fontId="94" fillId="5" borderId="39" xfId="0" applyNumberFormat="1" applyFont="1" applyFill="1" applyBorder="1" applyAlignment="1">
      <alignment horizontal="right"/>
    </xf>
    <xf numFmtId="175" fontId="96" fillId="5" borderId="39" xfId="0" applyNumberFormat="1" applyFont="1" applyFill="1" applyBorder="1" applyAlignment="1">
      <alignment horizontal="right"/>
    </xf>
    <xf numFmtId="184" fontId="7" fillId="5" borderId="39" xfId="1" applyNumberFormat="1" applyFont="1" applyFill="1" applyBorder="1" applyAlignment="1">
      <alignment horizontal="right"/>
    </xf>
    <xf numFmtId="9" fontId="185" fillId="5" borderId="39" xfId="0" applyNumberFormat="1" applyFont="1" applyFill="1" applyBorder="1" applyAlignment="1">
      <alignment horizontal="right"/>
    </xf>
    <xf numFmtId="9" fontId="22" fillId="13" borderId="42" xfId="0" applyNumberFormat="1" applyFont="1" applyFill="1" applyBorder="1" applyAlignment="1">
      <alignment horizontal="right"/>
    </xf>
    <xf numFmtId="0" fontId="74" fillId="5" borderId="190" xfId="0" applyFont="1" applyFill="1" applyBorder="1" applyAlignment="1">
      <alignment horizontal="right"/>
    </xf>
    <xf numFmtId="0" fontId="0" fillId="5" borderId="189" xfId="0" applyFill="1" applyBorder="1" applyAlignment="1">
      <alignment horizontal="right"/>
    </xf>
    <xf numFmtId="175" fontId="0" fillId="13" borderId="189" xfId="2" applyNumberFormat="1" applyFont="1" applyFill="1" applyBorder="1" applyAlignment="1">
      <alignment horizontal="right"/>
    </xf>
    <xf numFmtId="9" fontId="0" fillId="5" borderId="189" xfId="2" applyFont="1" applyFill="1" applyBorder="1" applyAlignment="1">
      <alignment horizontal="right"/>
    </xf>
    <xf numFmtId="9" fontId="64" fillId="5" borderId="189" xfId="2" applyFont="1" applyFill="1" applyBorder="1" applyAlignment="1">
      <alignment horizontal="right"/>
    </xf>
    <xf numFmtId="175" fontId="0" fillId="5" borderId="189" xfId="2" applyNumberFormat="1" applyFont="1" applyFill="1" applyBorder="1" applyAlignment="1">
      <alignment horizontal="right"/>
    </xf>
    <xf numFmtId="169" fontId="0" fillId="5" borderId="189" xfId="0" applyNumberFormat="1" applyFill="1" applyBorder="1" applyAlignment="1">
      <alignment horizontal="right"/>
    </xf>
    <xf numFmtId="9" fontId="0" fillId="5" borderId="189" xfId="0" applyNumberFormat="1" applyFill="1" applyBorder="1" applyAlignment="1">
      <alignment horizontal="right"/>
    </xf>
    <xf numFmtId="175" fontId="0" fillId="5" borderId="189" xfId="0" applyNumberFormat="1" applyFill="1" applyBorder="1" applyAlignment="1">
      <alignment horizontal="right"/>
    </xf>
    <xf numFmtId="3" fontId="0" fillId="5" borderId="189" xfId="0" applyNumberFormat="1" applyFill="1" applyBorder="1" applyAlignment="1">
      <alignment horizontal="right"/>
    </xf>
    <xf numFmtId="175" fontId="7" fillId="5" borderId="189" xfId="0" applyNumberFormat="1" applyFont="1" applyFill="1" applyBorder="1" applyAlignment="1">
      <alignment horizontal="right"/>
    </xf>
    <xf numFmtId="1" fontId="7" fillId="5" borderId="189" xfId="0" applyNumberFormat="1" applyFont="1" applyFill="1" applyBorder="1" applyAlignment="1">
      <alignment horizontal="right"/>
    </xf>
    <xf numFmtId="1" fontId="22" fillId="5" borderId="189" xfId="0" applyNumberFormat="1" applyFont="1" applyFill="1" applyBorder="1" applyAlignment="1">
      <alignment horizontal="right"/>
    </xf>
    <xf numFmtId="0" fontId="59" fillId="5" borderId="189" xfId="0" applyFont="1" applyFill="1" applyBorder="1" applyAlignment="1">
      <alignment horizontal="right"/>
    </xf>
    <xf numFmtId="175" fontId="92" fillId="5" borderId="189" xfId="0" applyNumberFormat="1" applyFont="1" applyFill="1" applyBorder="1" applyAlignment="1">
      <alignment horizontal="right"/>
    </xf>
    <xf numFmtId="175" fontId="93" fillId="5" borderId="189" xfId="0" applyNumberFormat="1" applyFont="1" applyFill="1" applyBorder="1" applyAlignment="1">
      <alignment horizontal="right"/>
    </xf>
    <xf numFmtId="175" fontId="94" fillId="5" borderId="189" xfId="0" applyNumberFormat="1" applyFont="1" applyFill="1" applyBorder="1" applyAlignment="1">
      <alignment horizontal="right"/>
    </xf>
    <xf numFmtId="2" fontId="93" fillId="5" borderId="189" xfId="0" applyNumberFormat="1" applyFont="1" applyFill="1" applyBorder="1" applyAlignment="1">
      <alignment horizontal="right"/>
    </xf>
    <xf numFmtId="175" fontId="96" fillId="5" borderId="189" xfId="0" applyNumberFormat="1" applyFont="1" applyFill="1" applyBorder="1" applyAlignment="1">
      <alignment horizontal="right"/>
    </xf>
    <xf numFmtId="184" fontId="7" fillId="5" borderId="189" xfId="1" applyNumberFormat="1" applyFont="1" applyFill="1" applyBorder="1" applyAlignment="1">
      <alignment horizontal="right"/>
    </xf>
    <xf numFmtId="175" fontId="64" fillId="5" borderId="189" xfId="0" applyNumberFormat="1" applyFont="1" applyFill="1" applyBorder="1" applyAlignment="1">
      <alignment horizontal="right"/>
    </xf>
    <xf numFmtId="4" fontId="0" fillId="5" borderId="189" xfId="0" applyNumberFormat="1" applyFill="1" applyBorder="1" applyAlignment="1">
      <alignment horizontal="right"/>
    </xf>
    <xf numFmtId="9" fontId="185" fillId="5" borderId="189" xfId="0" applyNumberFormat="1" applyFont="1" applyFill="1" applyBorder="1" applyAlignment="1">
      <alignment horizontal="right"/>
    </xf>
    <xf numFmtId="9" fontId="64" fillId="5" borderId="189" xfId="0" applyNumberFormat="1" applyFont="1" applyFill="1" applyBorder="1" applyAlignment="1">
      <alignment horizontal="right"/>
    </xf>
    <xf numFmtId="0" fontId="0" fillId="5" borderId="190" xfId="0" applyFill="1" applyBorder="1" applyAlignment="1">
      <alignment horizontal="right"/>
    </xf>
    <xf numFmtId="0" fontId="23" fillId="0" borderId="42" xfId="0" applyFont="1" applyBorder="1" applyAlignment="1">
      <alignment horizontal="right"/>
    </xf>
    <xf numFmtId="0" fontId="0" fillId="0" borderId="197" xfId="0" applyBorder="1" applyAlignment="1">
      <alignment horizontal="right"/>
    </xf>
    <xf numFmtId="0" fontId="23" fillId="0" borderId="190" xfId="0" applyFont="1" applyBorder="1" applyAlignment="1">
      <alignment horizontal="right"/>
    </xf>
    <xf numFmtId="1" fontId="107" fillId="17" borderId="189" xfId="0" applyNumberFormat="1" applyFont="1" applyFill="1" applyBorder="1" applyAlignment="1">
      <alignment horizontal="right"/>
    </xf>
    <xf numFmtId="184" fontId="246" fillId="17" borderId="189" xfId="1" applyNumberFormat="1" applyFont="1" applyFill="1" applyBorder="1" applyAlignment="1">
      <alignment horizontal="right"/>
    </xf>
    <xf numFmtId="184" fontId="88" fillId="17" borderId="189" xfId="1" applyNumberFormat="1" applyFont="1" applyFill="1" applyBorder="1" applyAlignment="1">
      <alignment horizontal="right"/>
    </xf>
    <xf numFmtId="184" fontId="144" fillId="17" borderId="189" xfId="1" applyNumberFormat="1" applyFont="1" applyFill="1" applyBorder="1" applyAlignment="1">
      <alignment horizontal="right"/>
    </xf>
    <xf numFmtId="1" fontId="246" fillId="17" borderId="189" xfId="0" applyNumberFormat="1" applyFont="1" applyFill="1" applyBorder="1" applyAlignment="1">
      <alignment horizontal="right"/>
    </xf>
    <xf numFmtId="1" fontId="231" fillId="17" borderId="189" xfId="0" applyNumberFormat="1" applyFont="1" applyFill="1" applyBorder="1" applyAlignment="1">
      <alignment horizontal="right"/>
    </xf>
    <xf numFmtId="1" fontId="187" fillId="17" borderId="189" xfId="0" applyNumberFormat="1" applyFont="1" applyFill="1" applyBorder="1" applyAlignment="1">
      <alignment horizontal="right"/>
    </xf>
    <xf numFmtId="1" fontId="232" fillId="17" borderId="189" xfId="0" applyNumberFormat="1" applyFont="1" applyFill="1" applyBorder="1" applyAlignment="1">
      <alignment horizontal="right"/>
    </xf>
    <xf numFmtId="1" fontId="246" fillId="17" borderId="190" xfId="0" applyNumberFormat="1" applyFont="1" applyFill="1" applyBorder="1" applyAlignment="1">
      <alignment horizontal="right"/>
    </xf>
    <xf numFmtId="0" fontId="36" fillId="16" borderId="8" xfId="0" applyFont="1" applyFill="1" applyBorder="1" applyAlignment="1">
      <alignment horizontal="right"/>
    </xf>
    <xf numFmtId="170" fontId="7" fillId="16" borderId="199" xfId="0" applyNumberFormat="1" applyFont="1" applyFill="1" applyBorder="1" applyAlignment="1">
      <alignment horizontal="right"/>
    </xf>
    <xf numFmtId="170" fontId="7" fillId="16" borderId="200" xfId="0" applyNumberFormat="1" applyFont="1" applyFill="1" applyBorder="1" applyAlignment="1">
      <alignment horizontal="right"/>
    </xf>
    <xf numFmtId="0" fontId="30" fillId="14" borderId="198" xfId="0" applyFont="1" applyFill="1" applyBorder="1" applyAlignment="1">
      <alignment horizontal="right"/>
    </xf>
    <xf numFmtId="0" fontId="31" fillId="22" borderId="92" xfId="0" applyFont="1" applyFill="1" applyBorder="1" applyAlignment="1">
      <alignment horizontal="right"/>
    </xf>
    <xf numFmtId="169" fontId="31" fillId="22" borderId="92" xfId="0" applyNumberFormat="1" applyFont="1" applyFill="1" applyBorder="1" applyAlignment="1">
      <alignment horizontal="right"/>
    </xf>
    <xf numFmtId="1" fontId="31" fillId="22" borderId="92" xfId="0" applyNumberFormat="1" applyFont="1" applyFill="1" applyBorder="1" applyAlignment="1">
      <alignment horizontal="right"/>
    </xf>
    <xf numFmtId="2" fontId="31" fillId="22" borderId="92" xfId="0" applyNumberFormat="1" applyFont="1" applyFill="1" applyBorder="1" applyAlignment="1">
      <alignment horizontal="right"/>
    </xf>
    <xf numFmtId="0" fontId="44" fillId="0" borderId="92" xfId="0" applyFont="1" applyBorder="1" applyAlignment="1">
      <alignment horizontal="right"/>
    </xf>
    <xf numFmtId="0" fontId="34" fillId="52" borderId="92" xfId="0" applyFont="1" applyFill="1" applyBorder="1" applyAlignment="1">
      <alignment horizontal="right"/>
    </xf>
    <xf numFmtId="0" fontId="33" fillId="52" borderId="92" xfId="0" applyFont="1" applyFill="1" applyBorder="1" applyAlignment="1">
      <alignment horizontal="right"/>
    </xf>
    <xf numFmtId="175" fontId="33" fillId="52" borderId="92" xfId="0" applyNumberFormat="1" applyFont="1" applyFill="1" applyBorder="1" applyAlignment="1">
      <alignment horizontal="right"/>
    </xf>
    <xf numFmtId="175" fontId="138" fillId="52" borderId="92" xfId="0" applyNumberFormat="1" applyFont="1" applyFill="1" applyBorder="1" applyAlignment="1">
      <alignment horizontal="right"/>
    </xf>
    <xf numFmtId="170" fontId="10" fillId="16" borderId="92" xfId="0" applyNumberFormat="1" applyFont="1" applyFill="1" applyBorder="1" applyAlignment="1">
      <alignment horizontal="right"/>
    </xf>
    <xf numFmtId="170" fontId="7" fillId="16" borderId="92" xfId="0" applyNumberFormat="1" applyFont="1" applyFill="1" applyBorder="1" applyAlignment="1">
      <alignment horizontal="right"/>
    </xf>
    <xf numFmtId="0" fontId="22" fillId="16" borderId="92" xfId="0" applyFont="1" applyFill="1" applyBorder="1" applyAlignment="1">
      <alignment horizontal="right"/>
    </xf>
    <xf numFmtId="0" fontId="118" fillId="29" borderId="92" xfId="0" applyFont="1" applyFill="1" applyBorder="1" applyAlignment="1">
      <alignment horizontal="right"/>
    </xf>
    <xf numFmtId="170" fontId="3" fillId="16" borderId="92" xfId="0" applyNumberFormat="1" applyFont="1" applyFill="1" applyBorder="1" applyAlignment="1">
      <alignment horizontal="right"/>
    </xf>
    <xf numFmtId="170" fontId="237" fillId="16" borderId="92" xfId="0" applyNumberFormat="1" applyFont="1" applyFill="1" applyBorder="1" applyAlignment="1">
      <alignment horizontal="right"/>
    </xf>
    <xf numFmtId="170" fontId="230" fillId="29" borderId="92" xfId="0" applyNumberFormat="1" applyFont="1" applyFill="1" applyBorder="1" applyAlignment="1">
      <alignment horizontal="right"/>
    </xf>
    <xf numFmtId="170" fontId="26" fillId="29" borderId="92" xfId="0" applyNumberFormat="1" applyFont="1" applyFill="1" applyBorder="1" applyAlignment="1">
      <alignment horizontal="right"/>
    </xf>
    <xf numFmtId="170" fontId="139" fillId="16" borderId="92" xfId="0" applyNumberFormat="1" applyFont="1" applyFill="1" applyBorder="1" applyAlignment="1">
      <alignment horizontal="right"/>
    </xf>
    <xf numFmtId="170" fontId="23" fillId="16" borderId="92" xfId="0" applyNumberFormat="1" applyFont="1" applyFill="1" applyBorder="1" applyAlignment="1">
      <alignment horizontal="right"/>
    </xf>
    <xf numFmtId="0" fontId="3" fillId="16" borderId="92" xfId="0" applyFont="1" applyFill="1" applyBorder="1" applyAlignment="1">
      <alignment horizontal="right"/>
    </xf>
    <xf numFmtId="0" fontId="38" fillId="78" borderId="92" xfId="0" applyFont="1" applyFill="1" applyBorder="1" applyAlignment="1">
      <alignment horizontal="right"/>
    </xf>
    <xf numFmtId="169" fontId="3" fillId="13" borderId="92" xfId="0" applyNumberFormat="1" applyFont="1" applyFill="1" applyBorder="1" applyAlignment="1">
      <alignment horizontal="right"/>
    </xf>
    <xf numFmtId="169" fontId="22" fillId="79" borderId="92" xfId="1" applyNumberFormat="1" applyFont="1" applyFill="1" applyBorder="1" applyAlignment="1">
      <alignment horizontal="right"/>
    </xf>
    <xf numFmtId="169" fontId="0" fillId="79" borderId="92" xfId="1" applyNumberFormat="1" applyFont="1" applyFill="1" applyBorder="1" applyAlignment="1">
      <alignment horizontal="right"/>
    </xf>
    <xf numFmtId="1" fontId="36" fillId="13" borderId="92" xfId="0" applyNumberFormat="1" applyFont="1" applyFill="1" applyBorder="1" applyAlignment="1">
      <alignment horizontal="right"/>
    </xf>
    <xf numFmtId="1" fontId="0" fillId="79" borderId="92" xfId="1" applyNumberFormat="1" applyFont="1" applyFill="1" applyBorder="1" applyAlignment="1">
      <alignment horizontal="right"/>
    </xf>
    <xf numFmtId="169" fontId="42" fillId="20" borderId="0" xfId="0" applyNumberFormat="1" applyFont="1" applyFill="1" applyAlignment="1">
      <alignment horizontal="right"/>
    </xf>
    <xf numFmtId="0" fontId="37" fillId="5" borderId="98" xfId="0" applyFont="1" applyFill="1" applyBorder="1" applyAlignment="1">
      <alignment horizontal="left" indent="2"/>
    </xf>
    <xf numFmtId="0" fontId="10" fillId="89" borderId="2" xfId="0" applyFont="1" applyFill="1" applyBorder="1" applyAlignment="1">
      <alignment horizontal="right"/>
    </xf>
    <xf numFmtId="169" fontId="10" fillId="89" borderId="2" xfId="0" applyNumberFormat="1" applyFont="1" applyFill="1" applyBorder="1" applyAlignment="1">
      <alignment horizontal="right"/>
    </xf>
    <xf numFmtId="169" fontId="10" fillId="89" borderId="3" xfId="0" applyNumberFormat="1" applyFont="1" applyFill="1" applyBorder="1" applyAlignment="1">
      <alignment horizontal="right"/>
    </xf>
    <xf numFmtId="169" fontId="10" fillId="89" borderId="6" xfId="0" applyNumberFormat="1" applyFont="1" applyFill="1" applyBorder="1" applyAlignment="1">
      <alignment horizontal="right"/>
    </xf>
    <xf numFmtId="169" fontId="7" fillId="89" borderId="3" xfId="0" applyNumberFormat="1" applyFont="1" applyFill="1" applyBorder="1" applyAlignment="1">
      <alignment horizontal="right"/>
    </xf>
    <xf numFmtId="169" fontId="7" fillId="89" borderId="3" xfId="1" applyNumberFormat="1" applyFont="1" applyFill="1" applyBorder="1" applyAlignment="1" applyProtection="1">
      <alignment horizontal="right"/>
    </xf>
    <xf numFmtId="169" fontId="0" fillId="89" borderId="6" xfId="0" applyNumberFormat="1" applyFill="1" applyBorder="1" applyAlignment="1">
      <alignment horizontal="right"/>
    </xf>
    <xf numFmtId="0" fontId="22" fillId="0" borderId="0" xfId="0" applyFont="1" applyAlignment="1">
      <alignment horizontal="right"/>
    </xf>
    <xf numFmtId="0" fontId="241" fillId="32" borderId="34" xfId="0" applyFont="1" applyFill="1" applyBorder="1" applyAlignment="1">
      <alignment horizontal="right" vertical="center" wrapText="1"/>
    </xf>
    <xf numFmtId="0" fontId="267" fillId="8" borderId="2" xfId="0" applyFont="1" applyFill="1" applyBorder="1" applyAlignment="1">
      <alignment horizontal="right" vertical="center" wrapText="1"/>
    </xf>
    <xf numFmtId="170" fontId="22" fillId="0" borderId="0" xfId="0" applyNumberFormat="1" applyFont="1" applyAlignment="1">
      <alignment horizontal="right"/>
    </xf>
    <xf numFmtId="170" fontId="78" fillId="0" borderId="0" xfId="0" applyNumberFormat="1" applyFont="1" applyAlignment="1">
      <alignment horizontal="right"/>
    </xf>
    <xf numFmtId="0" fontId="44" fillId="11" borderId="0" xfId="0" applyFont="1" applyFill="1"/>
    <xf numFmtId="0" fontId="173" fillId="11" borderId="0" xfId="0" applyFont="1" applyFill="1"/>
    <xf numFmtId="3" fontId="270" fillId="0" borderId="3" xfId="0" quotePrefix="1" applyNumberFormat="1" applyFont="1" applyBorder="1" applyAlignment="1">
      <alignment horizontal="left" vertical="center"/>
    </xf>
    <xf numFmtId="175" fontId="62" fillId="89" borderId="2" xfId="0" applyNumberFormat="1" applyFont="1" applyFill="1" applyBorder="1" applyAlignment="1">
      <alignment horizontal="right"/>
    </xf>
    <xf numFmtId="175" fontId="10" fillId="89" borderId="2" xfId="0" applyNumberFormat="1" applyFont="1" applyFill="1" applyBorder="1" applyAlignment="1">
      <alignment horizontal="right"/>
    </xf>
    <xf numFmtId="175" fontId="0" fillId="0" borderId="7" xfId="0" applyNumberFormat="1" applyBorder="1" applyAlignment="1">
      <alignment horizontal="right"/>
    </xf>
    <xf numFmtId="175" fontId="0" fillId="0" borderId="18" xfId="0" applyNumberFormat="1" applyBorder="1" applyAlignment="1">
      <alignment horizontal="right"/>
    </xf>
    <xf numFmtId="175" fontId="10" fillId="8" borderId="201" xfId="0" applyNumberFormat="1" applyFont="1" applyFill="1" applyBorder="1" applyAlignment="1">
      <alignment horizontal="right"/>
    </xf>
    <xf numFmtId="17" fontId="191" fillId="0" borderId="3" xfId="0" applyNumberFormat="1" applyFont="1" applyBorder="1"/>
    <xf numFmtId="17" fontId="191" fillId="0" borderId="6" xfId="0" applyNumberFormat="1" applyFont="1" applyBorder="1"/>
    <xf numFmtId="169" fontId="104" fillId="90" borderId="23" xfId="0" applyNumberFormat="1" applyFont="1" applyFill="1" applyBorder="1" applyAlignment="1">
      <alignment horizontal="right"/>
    </xf>
    <xf numFmtId="169" fontId="104" fillId="51" borderId="2" xfId="0" applyNumberFormat="1" applyFont="1" applyFill="1" applyBorder="1" applyAlignment="1">
      <alignment horizontal="right"/>
    </xf>
    <xf numFmtId="169" fontId="104" fillId="90" borderId="2" xfId="0" applyNumberFormat="1" applyFont="1" applyFill="1" applyBorder="1" applyAlignment="1">
      <alignment horizontal="right"/>
    </xf>
    <xf numFmtId="169" fontId="0" fillId="0" borderId="18" xfId="0" applyNumberFormat="1" applyBorder="1"/>
    <xf numFmtId="169" fontId="0" fillId="13" borderId="18" xfId="0" applyNumberFormat="1" applyFill="1" applyBorder="1"/>
    <xf numFmtId="169" fontId="0" fillId="0" borderId="14" xfId="0" applyNumberFormat="1" applyBorder="1"/>
    <xf numFmtId="0" fontId="44" fillId="0" borderId="9" xfId="0" applyFont="1" applyBorder="1"/>
    <xf numFmtId="0" fontId="0" fillId="0" borderId="13" xfId="0" applyBorder="1" applyAlignment="1">
      <alignment horizontal="right"/>
    </xf>
    <xf numFmtId="0" fontId="0" fillId="0" borderId="18" xfId="0" applyBorder="1" applyAlignment="1">
      <alignment horizontal="right"/>
    </xf>
    <xf numFmtId="3" fontId="270" fillId="0" borderId="5" xfId="0" quotePrefix="1" applyNumberFormat="1" applyFont="1" applyBorder="1" applyAlignment="1">
      <alignment horizontal="left" vertical="center"/>
    </xf>
    <xf numFmtId="3" fontId="271" fillId="0" borderId="3" xfId="0" quotePrefix="1" applyNumberFormat="1" applyFont="1" applyBorder="1" applyAlignment="1">
      <alignment horizontal="left" vertical="center"/>
    </xf>
    <xf numFmtId="175" fontId="62" fillId="13" borderId="2" xfId="0" applyNumberFormat="1" applyFont="1" applyFill="1" applyBorder="1" applyAlignment="1">
      <alignment horizontal="right"/>
    </xf>
    <xf numFmtId="0" fontId="156" fillId="11" borderId="0" xfId="0" applyFont="1" applyFill="1" applyAlignment="1">
      <alignment horizontal="right"/>
    </xf>
    <xf numFmtId="0" fontId="156" fillId="0" borderId="0" xfId="0" applyFont="1" applyAlignment="1">
      <alignment horizontal="right"/>
    </xf>
    <xf numFmtId="0" fontId="259" fillId="11" borderId="41" xfId="0" applyFont="1" applyFill="1" applyBorder="1" applyAlignment="1">
      <alignment horizontal="center"/>
    </xf>
    <xf numFmtId="0" fontId="241" fillId="32" borderId="34" xfId="0" applyFont="1" applyFill="1" applyBorder="1" applyAlignment="1">
      <alignment horizontal="center" vertical="center" wrapText="1"/>
    </xf>
    <xf numFmtId="0" fontId="267" fillId="8" borderId="2" xfId="0" applyFont="1" applyFill="1" applyBorder="1" applyAlignment="1">
      <alignment horizontal="center" vertical="center" wrapText="1"/>
    </xf>
    <xf numFmtId="0" fontId="241" fillId="32" borderId="2" xfId="0" applyFont="1" applyFill="1" applyBorder="1" applyAlignment="1">
      <alignment horizontal="center" vertical="center" wrapText="1"/>
    </xf>
    <xf numFmtId="175" fontId="134" fillId="8" borderId="2" xfId="0" applyNumberFormat="1" applyFont="1" applyFill="1" applyBorder="1" applyAlignment="1">
      <alignment horizontal="center" vertical="center"/>
    </xf>
    <xf numFmtId="175" fontId="10" fillId="32" borderId="2" xfId="0" applyNumberFormat="1" applyFont="1" applyFill="1" applyBorder="1" applyAlignment="1">
      <alignment horizontal="center" vertical="center"/>
    </xf>
    <xf numFmtId="175" fontId="10" fillId="32" borderId="34" xfId="0" applyNumberFormat="1" applyFont="1" applyFill="1" applyBorder="1" applyAlignment="1">
      <alignment horizontal="center" vertical="center"/>
    </xf>
    <xf numFmtId="175" fontId="170" fillId="8" borderId="23" xfId="0" applyNumberFormat="1" applyFont="1" applyFill="1" applyBorder="1" applyAlignment="1">
      <alignment horizontal="center" vertical="center"/>
    </xf>
    <xf numFmtId="175" fontId="170" fillId="8" borderId="2" xfId="0" applyNumberFormat="1" applyFont="1" applyFill="1" applyBorder="1" applyAlignment="1">
      <alignment horizontal="center" vertical="center"/>
    </xf>
    <xf numFmtId="175" fontId="10" fillId="32" borderId="23" xfId="0" applyNumberFormat="1" applyFont="1" applyFill="1" applyBorder="1" applyAlignment="1">
      <alignment horizontal="center" vertical="center"/>
    </xf>
    <xf numFmtId="175" fontId="170" fillId="8" borderId="22" xfId="0" applyNumberFormat="1" applyFont="1" applyFill="1" applyBorder="1" applyAlignment="1">
      <alignment horizontal="center" vertical="center"/>
    </xf>
    <xf numFmtId="175" fontId="134" fillId="0" borderId="3" xfId="0" applyNumberFormat="1" applyFont="1" applyBorder="1" applyAlignment="1">
      <alignment horizontal="center" vertical="center"/>
    </xf>
    <xf numFmtId="175" fontId="10" fillId="32" borderId="3" xfId="0" applyNumberFormat="1" applyFont="1" applyFill="1" applyBorder="1" applyAlignment="1">
      <alignment horizontal="center" vertical="center"/>
    </xf>
    <xf numFmtId="175" fontId="10" fillId="32" borderId="28" xfId="0" applyNumberFormat="1" applyFont="1" applyFill="1" applyBorder="1" applyAlignment="1">
      <alignment horizontal="center" vertical="center"/>
    </xf>
    <xf numFmtId="175" fontId="170" fillId="0" borderId="11" xfId="0" applyNumberFormat="1" applyFont="1" applyBorder="1" applyAlignment="1">
      <alignment horizontal="center" vertical="center"/>
    </xf>
    <xf numFmtId="175" fontId="170" fillId="0" borderId="3" xfId="0" applyNumberFormat="1" applyFont="1" applyBorder="1" applyAlignment="1">
      <alignment horizontal="center" vertical="center"/>
    </xf>
    <xf numFmtId="175" fontId="10" fillId="32" borderId="11" xfId="0" applyNumberFormat="1" applyFont="1" applyFill="1" applyBorder="1" applyAlignment="1">
      <alignment horizontal="center" vertical="center"/>
    </xf>
    <xf numFmtId="175" fontId="134" fillId="8" borderId="1" xfId="2" applyNumberFormat="1" applyFont="1" applyFill="1" applyBorder="1" applyAlignment="1" applyProtection="1">
      <alignment horizontal="center" vertical="center"/>
    </xf>
    <xf numFmtId="175" fontId="10" fillId="32" borderId="1" xfId="2" applyNumberFormat="1" applyFont="1" applyFill="1" applyBorder="1" applyAlignment="1" applyProtection="1">
      <alignment horizontal="center" vertical="center"/>
    </xf>
    <xf numFmtId="175" fontId="10" fillId="32" borderId="34" xfId="2" applyNumberFormat="1" applyFont="1" applyFill="1" applyBorder="1" applyAlignment="1" applyProtection="1">
      <alignment horizontal="center" vertical="center"/>
    </xf>
    <xf numFmtId="175" fontId="170" fillId="8" borderId="22" xfId="2" applyNumberFormat="1" applyFont="1" applyFill="1" applyBorder="1" applyAlignment="1" applyProtection="1">
      <alignment horizontal="center" vertical="center"/>
    </xf>
    <xf numFmtId="175" fontId="170" fillId="8" borderId="1" xfId="2" applyNumberFormat="1" applyFont="1" applyFill="1" applyBorder="1" applyAlignment="1" applyProtection="1">
      <alignment horizontal="center" vertical="center"/>
    </xf>
    <xf numFmtId="175" fontId="10" fillId="32" borderId="23" xfId="2" applyNumberFormat="1" applyFont="1" applyFill="1" applyBorder="1" applyAlignment="1" applyProtection="1">
      <alignment horizontal="center" vertical="center"/>
    </xf>
    <xf numFmtId="175" fontId="10" fillId="32" borderId="39" xfId="0" applyNumberFormat="1" applyFont="1" applyFill="1" applyBorder="1" applyAlignment="1">
      <alignment horizontal="center" vertical="center"/>
    </xf>
    <xf numFmtId="175" fontId="95" fillId="0" borderId="3" xfId="0" applyNumberFormat="1" applyFont="1" applyBorder="1" applyAlignment="1">
      <alignment horizontal="center" vertical="center"/>
    </xf>
    <xf numFmtId="175" fontId="7" fillId="32" borderId="3" xfId="0" applyNumberFormat="1" applyFont="1" applyFill="1" applyBorder="1" applyAlignment="1">
      <alignment horizontal="center" vertical="center"/>
    </xf>
    <xf numFmtId="175" fontId="7" fillId="32" borderId="28" xfId="0" applyNumberFormat="1" applyFont="1" applyFill="1" applyBorder="1" applyAlignment="1">
      <alignment horizontal="center" vertical="center"/>
    </xf>
    <xf numFmtId="175" fontId="171" fillId="0" borderId="11" xfId="0" applyNumberFormat="1" applyFont="1" applyBorder="1" applyAlignment="1">
      <alignment horizontal="center" vertical="center"/>
    </xf>
    <xf numFmtId="175" fontId="171" fillId="0" borderId="3" xfId="0" applyNumberFormat="1" applyFont="1" applyBorder="1" applyAlignment="1">
      <alignment horizontal="center" vertical="center"/>
    </xf>
    <xf numFmtId="175" fontId="7" fillId="32" borderId="11" xfId="0" applyNumberFormat="1" applyFont="1" applyFill="1" applyBorder="1" applyAlignment="1">
      <alignment horizontal="center" vertical="center"/>
    </xf>
    <xf numFmtId="175" fontId="134" fillId="0" borderId="6" xfId="0" applyNumberFormat="1" applyFont="1" applyBorder="1" applyAlignment="1">
      <alignment horizontal="center" vertical="center"/>
    </xf>
    <xf numFmtId="175" fontId="10" fillId="32" borderId="6" xfId="0" applyNumberFormat="1" applyFont="1" applyFill="1" applyBorder="1" applyAlignment="1">
      <alignment horizontal="center" vertical="center"/>
    </xf>
    <xf numFmtId="175" fontId="10" fillId="32" borderId="31" xfId="0" applyNumberFormat="1" applyFont="1" applyFill="1" applyBorder="1" applyAlignment="1">
      <alignment horizontal="center" vertical="center"/>
    </xf>
    <xf numFmtId="175" fontId="170" fillId="0" borderId="14" xfId="0" applyNumberFormat="1" applyFont="1" applyBorder="1" applyAlignment="1">
      <alignment horizontal="center" vertical="center"/>
    </xf>
    <xf numFmtId="175" fontId="170" fillId="0" borderId="6" xfId="0" applyNumberFormat="1" applyFont="1" applyBorder="1" applyAlignment="1">
      <alignment horizontal="center" vertical="center"/>
    </xf>
    <xf numFmtId="175" fontId="10" fillId="32" borderId="14" xfId="0" applyNumberFormat="1" applyFont="1" applyFill="1" applyBorder="1" applyAlignment="1">
      <alignment horizontal="center" vertical="center"/>
    </xf>
    <xf numFmtId="175" fontId="134" fillId="8" borderId="1" xfId="2" applyNumberFormat="1" applyFont="1" applyFill="1" applyBorder="1" applyAlignment="1">
      <alignment horizontal="center" vertical="center"/>
    </xf>
    <xf numFmtId="175" fontId="10" fillId="32" borderId="1" xfId="2" applyNumberFormat="1" applyFont="1" applyFill="1" applyBorder="1" applyAlignment="1">
      <alignment horizontal="center" vertical="center"/>
    </xf>
    <xf numFmtId="175" fontId="10" fillId="32" borderId="34" xfId="2" applyNumberFormat="1" applyFont="1" applyFill="1" applyBorder="1" applyAlignment="1">
      <alignment horizontal="center" vertical="center"/>
    </xf>
    <xf numFmtId="175" fontId="170" fillId="8" borderId="22" xfId="2" applyNumberFormat="1" applyFont="1" applyFill="1" applyBorder="1" applyAlignment="1">
      <alignment horizontal="center" vertical="center"/>
    </xf>
    <xf numFmtId="175" fontId="95" fillId="0" borderId="6" xfId="0" applyNumberFormat="1" applyFont="1" applyBorder="1" applyAlignment="1">
      <alignment horizontal="center" vertical="center"/>
    </xf>
    <xf numFmtId="175" fontId="0" fillId="32" borderId="6" xfId="0" applyNumberFormat="1" applyFill="1" applyBorder="1" applyAlignment="1">
      <alignment horizontal="center" vertical="center"/>
    </xf>
    <xf numFmtId="175" fontId="0" fillId="32" borderId="31" xfId="0" applyNumberFormat="1" applyFill="1" applyBorder="1" applyAlignment="1">
      <alignment horizontal="center" vertical="center"/>
    </xf>
    <xf numFmtId="175" fontId="171" fillId="0" borderId="14" xfId="0" applyNumberFormat="1" applyFont="1" applyBorder="1" applyAlignment="1">
      <alignment horizontal="center" vertical="center"/>
    </xf>
    <xf numFmtId="175" fontId="171" fillId="0" borderId="6" xfId="0" applyNumberFormat="1" applyFont="1" applyBorder="1" applyAlignment="1">
      <alignment horizontal="center" vertical="center"/>
    </xf>
    <xf numFmtId="175" fontId="0" fillId="32" borderId="14" xfId="0" applyNumberFormat="1" applyFill="1" applyBorder="1" applyAlignment="1">
      <alignment horizontal="center" vertical="center"/>
    </xf>
    <xf numFmtId="175" fontId="95" fillId="0" borderId="6" xfId="20" applyNumberFormat="1" applyFont="1" applyFill="1" applyBorder="1" applyAlignment="1" applyProtection="1">
      <alignment horizontal="center" vertical="center"/>
    </xf>
    <xf numFmtId="175" fontId="7" fillId="32" borderId="6" xfId="20" applyNumberFormat="1" applyFont="1" applyFill="1" applyBorder="1" applyAlignment="1" applyProtection="1">
      <alignment horizontal="center" vertical="center"/>
    </xf>
    <xf numFmtId="175" fontId="171" fillId="0" borderId="22" xfId="20" applyNumberFormat="1" applyFont="1" applyFill="1" applyBorder="1" applyAlignment="1" applyProtection="1">
      <alignment horizontal="center" vertical="center"/>
    </xf>
    <xf numFmtId="175" fontId="134" fillId="8" borderId="6" xfId="2" applyNumberFormat="1" applyFont="1" applyFill="1" applyBorder="1" applyAlignment="1">
      <alignment horizontal="center" vertical="center"/>
    </xf>
    <xf numFmtId="175" fontId="10" fillId="32" borderId="6" xfId="2" applyNumberFormat="1" applyFont="1" applyFill="1" applyBorder="1" applyAlignment="1">
      <alignment horizontal="center" vertical="center"/>
    </xf>
    <xf numFmtId="175" fontId="10" fillId="32" borderId="31" xfId="2" applyNumberFormat="1" applyFont="1" applyFill="1" applyBorder="1" applyAlignment="1">
      <alignment horizontal="center" vertical="center"/>
    </xf>
    <xf numFmtId="175" fontId="170" fillId="8" borderId="14" xfId="2" applyNumberFormat="1" applyFont="1" applyFill="1" applyBorder="1" applyAlignment="1">
      <alignment horizontal="center" vertical="center"/>
    </xf>
    <xf numFmtId="175" fontId="170" fillId="8" borderId="6" xfId="2" applyNumberFormat="1" applyFont="1" applyFill="1" applyBorder="1" applyAlignment="1">
      <alignment horizontal="center" vertical="center"/>
    </xf>
    <xf numFmtId="175" fontId="10" fillId="32" borderId="14" xfId="2" applyNumberFormat="1" applyFont="1" applyFill="1" applyBorder="1" applyAlignment="1">
      <alignment horizontal="center" vertical="center"/>
    </xf>
    <xf numFmtId="0" fontId="0" fillId="32" borderId="39" xfId="0" applyFill="1" applyBorder="1" applyAlignment="1">
      <alignment horizontal="center"/>
    </xf>
    <xf numFmtId="0" fontId="0" fillId="11" borderId="4" xfId="0" applyFill="1" applyBorder="1" applyAlignment="1">
      <alignment horizontal="center"/>
    </xf>
    <xf numFmtId="0" fontId="0" fillId="32" borderId="11" xfId="0" applyFill="1" applyBorder="1" applyAlignment="1">
      <alignment horizontal="center"/>
    </xf>
    <xf numFmtId="170" fontId="91" fillId="32" borderId="39" xfId="0" applyNumberFormat="1" applyFont="1" applyFill="1" applyBorder="1" applyAlignment="1">
      <alignment horizontal="center"/>
    </xf>
    <xf numFmtId="170" fontId="107" fillId="32" borderId="39" xfId="0" applyNumberFormat="1" applyFont="1" applyFill="1" applyBorder="1" applyAlignment="1">
      <alignment horizontal="center"/>
    </xf>
    <xf numFmtId="170" fontId="91" fillId="32" borderId="11" xfId="0" applyNumberFormat="1" applyFont="1" applyFill="1" applyBorder="1" applyAlignment="1">
      <alignment horizontal="center"/>
    </xf>
    <xf numFmtId="3" fontId="91" fillId="32" borderId="39" xfId="0" applyNumberFormat="1" applyFont="1" applyFill="1" applyBorder="1" applyAlignment="1">
      <alignment horizontal="center"/>
    </xf>
    <xf numFmtId="3" fontId="107" fillId="32" borderId="39" xfId="0" applyNumberFormat="1" applyFont="1" applyFill="1" applyBorder="1" applyAlignment="1">
      <alignment horizontal="center"/>
    </xf>
    <xf numFmtId="0" fontId="269" fillId="8" borderId="1" xfId="0" applyFont="1" applyFill="1" applyBorder="1" applyAlignment="1">
      <alignment horizontal="left" vertical="center"/>
    </xf>
    <xf numFmtId="0" fontId="268" fillId="8" borderId="2" xfId="0" applyFont="1" applyFill="1" applyBorder="1" applyAlignment="1">
      <alignment horizontal="left" vertical="center"/>
    </xf>
    <xf numFmtId="0" fontId="268" fillId="0" borderId="4" xfId="0" applyFont="1" applyBorder="1" applyAlignment="1">
      <alignment horizontal="left" vertical="center"/>
    </xf>
    <xf numFmtId="0" fontId="268" fillId="0" borderId="24" xfId="0" applyFont="1" applyBorder="1" applyAlignment="1">
      <alignment horizontal="left" vertical="center"/>
    </xf>
    <xf numFmtId="0" fontId="268" fillId="8" borderId="1" xfId="0" applyFont="1" applyFill="1" applyBorder="1" applyAlignment="1">
      <alignment horizontal="left" vertical="center"/>
    </xf>
    <xf numFmtId="0" fontId="196" fillId="0" borderId="4" xfId="0" applyFont="1" applyBorder="1" applyAlignment="1">
      <alignment horizontal="left" vertical="center"/>
    </xf>
    <xf numFmtId="0" fontId="196" fillId="0" borderId="7" xfId="0" applyFont="1" applyBorder="1" applyAlignment="1">
      <alignment horizontal="left" vertical="center"/>
    </xf>
    <xf numFmtId="0" fontId="268" fillId="8" borderId="6" xfId="0" applyFont="1" applyFill="1" applyBorder="1" applyAlignment="1">
      <alignment horizontal="left" vertical="center"/>
    </xf>
    <xf numFmtId="175" fontId="0" fillId="13" borderId="18" xfId="0" applyNumberFormat="1" applyFill="1" applyBorder="1" applyAlignment="1">
      <alignment horizontal="right"/>
    </xf>
    <xf numFmtId="175" fontId="5" fillId="0" borderId="0" xfId="2" applyNumberFormat="1" applyFont="1" applyAlignment="1">
      <alignment horizontal="right"/>
    </xf>
    <xf numFmtId="184" fontId="172" fillId="0" borderId="0" xfId="1" applyNumberFormat="1" applyFont="1" applyAlignment="1">
      <alignment horizontal="right"/>
    </xf>
    <xf numFmtId="184" fontId="78" fillId="14" borderId="0" xfId="1" applyNumberFormat="1" applyFont="1" applyFill="1" applyAlignment="1">
      <alignment horizontal="right"/>
    </xf>
    <xf numFmtId="175" fontId="7" fillId="13" borderId="3" xfId="0" applyNumberFormat="1" applyFont="1" applyFill="1" applyBorder="1" applyAlignment="1">
      <alignment horizontal="right"/>
    </xf>
    <xf numFmtId="2" fontId="0" fillId="0" borderId="0" xfId="0" applyNumberFormat="1" applyAlignment="1">
      <alignment horizontal="right"/>
    </xf>
    <xf numFmtId="175" fontId="10" fillId="32" borderId="2" xfId="2" applyNumberFormat="1" applyFont="1" applyFill="1" applyBorder="1" applyAlignment="1">
      <alignment horizontal="center" vertical="center"/>
    </xf>
    <xf numFmtId="0" fontId="44" fillId="11" borderId="4" xfId="0" applyFont="1" applyFill="1" applyBorder="1" applyAlignment="1">
      <alignment horizontal="left"/>
    </xf>
    <xf numFmtId="0" fontId="0" fillId="11" borderId="0" xfId="0" applyFill="1" applyAlignment="1">
      <alignment horizontal="center"/>
    </xf>
    <xf numFmtId="0" fontId="0" fillId="32" borderId="0" xfId="0" applyFill="1" applyAlignment="1">
      <alignment horizontal="center"/>
    </xf>
    <xf numFmtId="170" fontId="265" fillId="22" borderId="0" xfId="0" applyNumberFormat="1" applyFont="1" applyFill="1" applyAlignment="1">
      <alignment horizontal="center"/>
    </xf>
    <xf numFmtId="0" fontId="248" fillId="14" borderId="4" xfId="0" applyFont="1" applyFill="1" applyBorder="1" applyAlignment="1">
      <alignment horizontal="left"/>
    </xf>
    <xf numFmtId="170" fontId="99" fillId="22" borderId="0" xfId="0" applyNumberFormat="1" applyFont="1" applyFill="1" applyAlignment="1">
      <alignment horizontal="center"/>
    </xf>
    <xf numFmtId="170" fontId="91" fillId="32" borderId="0" xfId="0" applyNumberFormat="1" applyFont="1" applyFill="1" applyAlignment="1">
      <alignment horizontal="center"/>
    </xf>
    <xf numFmtId="170" fontId="265" fillId="14" borderId="0" xfId="0" applyNumberFormat="1" applyFont="1" applyFill="1" applyAlignment="1">
      <alignment horizontal="center"/>
    </xf>
    <xf numFmtId="170" fontId="169" fillId="22" borderId="0" xfId="0" applyNumberFormat="1" applyFont="1" applyFill="1" applyAlignment="1">
      <alignment horizontal="center"/>
    </xf>
    <xf numFmtId="3" fontId="88" fillId="14" borderId="0" xfId="0" applyNumberFormat="1" applyFont="1" applyFill="1" applyAlignment="1">
      <alignment horizontal="center"/>
    </xf>
    <xf numFmtId="3" fontId="99" fillId="33" borderId="0" xfId="0" applyNumberFormat="1" applyFont="1" applyFill="1" applyAlignment="1">
      <alignment horizontal="center"/>
    </xf>
    <xf numFmtId="184" fontId="99" fillId="33" borderId="0" xfId="1" applyNumberFormat="1" applyFont="1" applyFill="1" applyBorder="1" applyAlignment="1">
      <alignment horizontal="center"/>
    </xf>
    <xf numFmtId="3" fontId="171" fillId="0" borderId="0" xfId="0" applyNumberFormat="1" applyFont="1" applyAlignment="1">
      <alignment horizontal="center"/>
    </xf>
    <xf numFmtId="184" fontId="171" fillId="0" borderId="0" xfId="1" applyNumberFormat="1" applyFont="1" applyBorder="1" applyAlignment="1">
      <alignment horizontal="center"/>
    </xf>
    <xf numFmtId="0" fontId="248" fillId="14" borderId="7" xfId="0" applyFont="1" applyFill="1" applyBorder="1" applyAlignment="1">
      <alignment horizontal="left"/>
    </xf>
    <xf numFmtId="1" fontId="0" fillId="0" borderId="18" xfId="0" applyNumberFormat="1" applyBorder="1" applyAlignment="1">
      <alignment horizontal="center"/>
    </xf>
    <xf numFmtId="3" fontId="0" fillId="0" borderId="18" xfId="0" applyNumberFormat="1" applyBorder="1" applyAlignment="1">
      <alignment horizontal="center"/>
    </xf>
    <xf numFmtId="41" fontId="0" fillId="0" borderId="18" xfId="51" applyFont="1" applyBorder="1" applyAlignment="1">
      <alignment horizontal="center"/>
    </xf>
    <xf numFmtId="3" fontId="91" fillId="32" borderId="45" xfId="0" applyNumberFormat="1" applyFont="1" applyFill="1" applyBorder="1" applyAlignment="1">
      <alignment horizontal="center"/>
    </xf>
    <xf numFmtId="3" fontId="266" fillId="0" borderId="18" xfId="1" applyNumberFormat="1" applyFont="1" applyBorder="1" applyAlignment="1">
      <alignment horizontal="center"/>
    </xf>
    <xf numFmtId="3" fontId="107" fillId="32" borderId="45" xfId="0" applyNumberFormat="1" applyFont="1" applyFill="1" applyBorder="1" applyAlignment="1">
      <alignment horizontal="center"/>
    </xf>
    <xf numFmtId="184" fontId="171" fillId="0" borderId="18" xfId="1" applyNumberFormat="1" applyFont="1" applyBorder="1" applyAlignment="1">
      <alignment horizontal="center"/>
    </xf>
    <xf numFmtId="3" fontId="91" fillId="32" borderId="11" xfId="0" applyNumberFormat="1" applyFont="1" applyFill="1" applyBorder="1" applyAlignment="1">
      <alignment horizontal="center"/>
    </xf>
    <xf numFmtId="3" fontId="91" fillId="32" borderId="14" xfId="0" applyNumberFormat="1" applyFont="1" applyFill="1" applyBorder="1" applyAlignment="1">
      <alignment horizontal="center"/>
    </xf>
    <xf numFmtId="0" fontId="195" fillId="0" borderId="25" xfId="0" applyFont="1" applyBorder="1"/>
    <xf numFmtId="0" fontId="195" fillId="0" borderId="28" xfId="0" applyFont="1" applyBorder="1"/>
    <xf numFmtId="0" fontId="195" fillId="0" borderId="31" xfId="0" applyFont="1" applyBorder="1"/>
    <xf numFmtId="9" fontId="10" fillId="32" borderId="23" xfId="0" applyNumberFormat="1" applyFont="1" applyFill="1" applyBorder="1" applyAlignment="1">
      <alignment horizontal="center" vertical="center"/>
    </xf>
    <xf numFmtId="14" fontId="110" fillId="0" borderId="180" xfId="0" applyNumberFormat="1" applyFont="1" applyBorder="1"/>
    <xf numFmtId="184" fontId="11" fillId="0" borderId="77" xfId="1" applyNumberFormat="1" applyFont="1" applyBorder="1"/>
    <xf numFmtId="0" fontId="46" fillId="0" borderId="0" xfId="0" applyFont="1" applyAlignment="1">
      <alignment horizontal="center"/>
    </xf>
    <xf numFmtId="0" fontId="74" fillId="0" borderId="0" xfId="0" applyFont="1" applyAlignment="1">
      <alignment vertical="center"/>
    </xf>
    <xf numFmtId="0" fontId="11" fillId="0" borderId="0" xfId="0" applyFont="1" applyAlignment="1">
      <alignment vertical="center"/>
    </xf>
    <xf numFmtId="0" fontId="46" fillId="0" borderId="0" xfId="0" applyFont="1" applyAlignment="1">
      <alignment horizontal="center" vertical="center"/>
    </xf>
    <xf numFmtId="0" fontId="152" fillId="0" borderId="77" xfId="0" applyFont="1" applyBorder="1" applyAlignment="1">
      <alignment vertical="center"/>
    </xf>
    <xf numFmtId="0" fontId="45" fillId="0" borderId="97" xfId="0" applyFont="1" applyBorder="1" applyAlignment="1">
      <alignment vertical="center" wrapText="1"/>
    </xf>
    <xf numFmtId="3" fontId="36" fillId="0" borderId="0" xfId="0" applyNumberFormat="1" applyFont="1" applyAlignment="1">
      <alignment vertical="center"/>
    </xf>
    <xf numFmtId="3" fontId="36" fillId="0" borderId="0" xfId="0" applyNumberFormat="1" applyFont="1" applyAlignment="1">
      <alignment horizontal="right" vertical="center"/>
    </xf>
    <xf numFmtId="3" fontId="36" fillId="0" borderId="79" xfId="0" applyNumberFormat="1" applyFont="1" applyBorder="1" applyAlignment="1">
      <alignment horizontal="right" vertical="center"/>
    </xf>
    <xf numFmtId="3" fontId="38" fillId="0" borderId="79" xfId="0" applyNumberFormat="1" applyFont="1" applyBorder="1" applyAlignment="1">
      <alignment horizontal="right" vertical="center"/>
    </xf>
    <xf numFmtId="3" fontId="38" fillId="0" borderId="156" xfId="0" applyNumberFormat="1" applyFont="1" applyBorder="1" applyAlignment="1">
      <alignment horizontal="right" vertical="center"/>
    </xf>
    <xf numFmtId="3" fontId="38" fillId="0" borderId="88" xfId="0" applyNumberFormat="1" applyFont="1" applyBorder="1" applyAlignment="1">
      <alignment horizontal="right" vertical="center"/>
    </xf>
    <xf numFmtId="3" fontId="213" fillId="0" borderId="0" xfId="0" applyNumberFormat="1" applyFont="1" applyAlignment="1">
      <alignment horizontal="right" vertical="center"/>
    </xf>
    <xf numFmtId="179" fontId="152" fillId="0" borderId="77" xfId="0" applyNumberFormat="1" applyFont="1" applyBorder="1"/>
    <xf numFmtId="184" fontId="74" fillId="0" borderId="0" xfId="1" applyNumberFormat="1" applyFont="1"/>
    <xf numFmtId="184" fontId="11" fillId="0" borderId="0" xfId="1" applyNumberFormat="1" applyFont="1"/>
    <xf numFmtId="184" fontId="46" fillId="0" borderId="0" xfId="1" applyNumberFormat="1" applyFont="1" applyAlignment="1">
      <alignment horizontal="center"/>
    </xf>
    <xf numFmtId="184" fontId="152" fillId="0" borderId="77" xfId="1" applyNumberFormat="1" applyFont="1" applyBorder="1"/>
    <xf numFmtId="184" fontId="36" fillId="0" borderId="97" xfId="1" applyNumberFormat="1" applyFont="1" applyBorder="1"/>
    <xf numFmtId="170" fontId="273" fillId="0" borderId="0" xfId="15" applyNumberFormat="1" applyFont="1"/>
    <xf numFmtId="3" fontId="274" fillId="91" borderId="0" xfId="8" applyNumberFormat="1" applyFont="1" applyFill="1"/>
    <xf numFmtId="179" fontId="275" fillId="0" borderId="0" xfId="5" applyNumberFormat="1" applyFont="1"/>
    <xf numFmtId="3" fontId="276" fillId="0" borderId="0" xfId="8" applyNumberFormat="1" applyFont="1"/>
    <xf numFmtId="3" fontId="274" fillId="0" borderId="0" xfId="8" applyNumberFormat="1" applyFont="1" applyFill="1"/>
    <xf numFmtId="3" fontId="276" fillId="0" borderId="167" xfId="8" applyNumberFormat="1" applyFont="1" applyBorder="1"/>
    <xf numFmtId="0" fontId="274" fillId="91" borderId="39" xfId="8" applyNumberFormat="1" applyFont="1" applyFill="1" applyBorder="1"/>
    <xf numFmtId="179" fontId="275" fillId="0" borderId="39" xfId="5" applyNumberFormat="1" applyFont="1" applyBorder="1"/>
    <xf numFmtId="0" fontId="277" fillId="0" borderId="39" xfId="8" applyNumberFormat="1" applyFont="1" applyBorder="1"/>
    <xf numFmtId="0" fontId="274" fillId="0" borderId="39" xfId="8" applyNumberFormat="1" applyFont="1" applyFill="1" applyBorder="1"/>
    <xf numFmtId="0" fontId="277" fillId="0" borderId="173" xfId="8" applyNumberFormat="1" applyFont="1" applyBorder="1"/>
    <xf numFmtId="168" fontId="42" fillId="0" borderId="97" xfId="0" applyNumberFormat="1" applyFont="1" applyBorder="1" applyAlignment="1">
      <alignment horizontal="right"/>
    </xf>
    <xf numFmtId="168" fontId="22" fillId="0" borderId="11" xfId="0" applyNumberFormat="1" applyFont="1" applyBorder="1" applyAlignment="1">
      <alignment horizontal="right"/>
    </xf>
    <xf numFmtId="168" fontId="22" fillId="0" borderId="3" xfId="0" applyNumberFormat="1" applyFont="1" applyBorder="1" applyAlignment="1">
      <alignment horizontal="right"/>
    </xf>
    <xf numFmtId="3" fontId="20" fillId="0" borderId="3" xfId="0" applyNumberFormat="1" applyFont="1" applyBorder="1" applyAlignment="1">
      <alignment horizontal="right"/>
    </xf>
    <xf numFmtId="3" fontId="20" fillId="0" borderId="144" xfId="0" applyNumberFormat="1" applyFont="1" applyBorder="1" applyAlignment="1">
      <alignment horizontal="right"/>
    </xf>
    <xf numFmtId="168" fontId="45" fillId="0" borderId="97" xfId="0" applyNumberFormat="1" applyFont="1" applyBorder="1" applyAlignment="1">
      <alignment horizontal="right"/>
    </xf>
    <xf numFmtId="168" fontId="20" fillId="0" borderId="11" xfId="0" applyNumberFormat="1" applyFont="1" applyBorder="1" applyAlignment="1">
      <alignment horizontal="right"/>
    </xf>
    <xf numFmtId="168" fontId="20" fillId="0" borderId="3" xfId="0" applyNumberFormat="1" applyFont="1" applyBorder="1" applyAlignment="1">
      <alignment horizontal="right"/>
    </xf>
    <xf numFmtId="1" fontId="20" fillId="0" borderId="144" xfId="0" applyNumberFormat="1" applyFont="1" applyBorder="1" applyAlignment="1">
      <alignment horizontal="right"/>
    </xf>
    <xf numFmtId="3" fontId="20" fillId="0" borderId="11" xfId="0" applyNumberFormat="1" applyFont="1" applyBorder="1" applyAlignment="1">
      <alignment horizontal="right"/>
    </xf>
    <xf numFmtId="0" fontId="22" fillId="0" borderId="4" xfId="0" applyFont="1" applyBorder="1"/>
    <xf numFmtId="0" fontId="278" fillId="0" borderId="39" xfId="8" applyNumberFormat="1" applyFont="1" applyBorder="1"/>
    <xf numFmtId="3" fontId="278" fillId="0" borderId="0" xfId="8" applyNumberFormat="1" applyFont="1"/>
    <xf numFmtId="3" fontId="10" fillId="8" borderId="5" xfId="0" applyNumberFormat="1" applyFont="1" applyFill="1" applyBorder="1" applyAlignment="1">
      <alignment horizontal="right"/>
    </xf>
    <xf numFmtId="3" fontId="10" fillId="8" borderId="202" xfId="0" applyNumberFormat="1" applyFont="1" applyFill="1" applyBorder="1" applyAlignment="1">
      <alignment horizontal="right"/>
    </xf>
    <xf numFmtId="3" fontId="279" fillId="0" borderId="0" xfId="8" applyNumberFormat="1" applyFont="1" applyFill="1" applyBorder="1"/>
    <xf numFmtId="175" fontId="20" fillId="8" borderId="23" xfId="0" applyNumberFormat="1" applyFont="1" applyFill="1" applyBorder="1" applyAlignment="1">
      <alignment horizontal="right"/>
    </xf>
    <xf numFmtId="175" fontId="20" fillId="0" borderId="11" xfId="0" applyNumberFormat="1" applyFont="1" applyBorder="1" applyAlignment="1">
      <alignment horizontal="right"/>
    </xf>
    <xf numFmtId="175" fontId="22" fillId="0" borderId="11" xfId="0" applyNumberFormat="1" applyFont="1" applyBorder="1" applyAlignment="1">
      <alignment horizontal="right"/>
    </xf>
    <xf numFmtId="9" fontId="20" fillId="0" borderId="11" xfId="0" applyNumberFormat="1" applyFont="1" applyBorder="1" applyAlignment="1">
      <alignment horizontal="right"/>
    </xf>
    <xf numFmtId="175" fontId="22" fillId="0" borderId="14" xfId="0" applyNumberFormat="1" applyFont="1" applyBorder="1" applyAlignment="1">
      <alignment horizontal="right"/>
    </xf>
    <xf numFmtId="9" fontId="20" fillId="8" borderId="23" xfId="0" applyNumberFormat="1" applyFont="1" applyFill="1" applyBorder="1" applyAlignment="1">
      <alignment horizontal="right"/>
    </xf>
    <xf numFmtId="3" fontId="22" fillId="13" borderId="96" xfId="0" applyNumberFormat="1" applyFont="1" applyFill="1" applyBorder="1" applyAlignment="1">
      <alignment horizontal="right"/>
    </xf>
    <xf numFmtId="0" fontId="0" fillId="13" borderId="4" xfId="0" applyFill="1" applyBorder="1"/>
    <xf numFmtId="175" fontId="7" fillId="13" borderId="60" xfId="2" applyNumberFormat="1" applyFont="1" applyFill="1" applyBorder="1" applyAlignment="1">
      <alignment horizontal="right"/>
    </xf>
    <xf numFmtId="184" fontId="88" fillId="13" borderId="97" xfId="1" applyNumberFormat="1" applyFont="1" applyFill="1" applyBorder="1"/>
    <xf numFmtId="37" fontId="7" fillId="13" borderId="96" xfId="0" applyNumberFormat="1" applyFont="1" applyFill="1" applyBorder="1" applyAlignment="1">
      <alignment horizontal="right"/>
    </xf>
    <xf numFmtId="37" fontId="7" fillId="13" borderId="60" xfId="0" applyNumberFormat="1" applyFont="1" applyFill="1" applyBorder="1" applyAlignment="1">
      <alignment horizontal="right"/>
    </xf>
    <xf numFmtId="37" fontId="64" fillId="13" borderId="96" xfId="0" applyNumberFormat="1" applyFont="1" applyFill="1" applyBorder="1" applyAlignment="1">
      <alignment horizontal="right"/>
    </xf>
    <xf numFmtId="10" fontId="7" fillId="13" borderId="60" xfId="0" applyNumberFormat="1" applyFont="1" applyFill="1" applyBorder="1" applyAlignment="1">
      <alignment horizontal="right"/>
    </xf>
    <xf numFmtId="0" fontId="103" fillId="14" borderId="0" xfId="0" applyFont="1" applyFill="1" applyAlignment="1">
      <alignment horizontal="right"/>
    </xf>
    <xf numFmtId="0" fontId="30" fillId="14" borderId="49" xfId="0" applyFont="1" applyFill="1" applyBorder="1" applyAlignment="1">
      <alignment horizontal="right"/>
    </xf>
    <xf numFmtId="0" fontId="31" fillId="14" borderId="52" xfId="0" applyFont="1" applyFill="1" applyBorder="1" applyAlignment="1">
      <alignment horizontal="right"/>
    </xf>
    <xf numFmtId="169" fontId="31" fillId="14" borderId="52" xfId="0" applyNumberFormat="1" applyFont="1" applyFill="1" applyBorder="1" applyAlignment="1">
      <alignment horizontal="right"/>
    </xf>
    <xf numFmtId="169" fontId="30" fillId="14" borderId="52" xfId="0" applyNumberFormat="1" applyFont="1" applyFill="1" applyBorder="1" applyAlignment="1">
      <alignment horizontal="right"/>
    </xf>
    <xf numFmtId="2" fontId="30" fillId="14" borderId="52" xfId="0" applyNumberFormat="1" applyFont="1" applyFill="1" applyBorder="1" applyAlignment="1">
      <alignment horizontal="right"/>
    </xf>
    <xf numFmtId="0" fontId="23" fillId="14" borderId="0" xfId="0" applyFont="1" applyFill="1" applyAlignment="1">
      <alignment horizontal="right"/>
    </xf>
    <xf numFmtId="2" fontId="31" fillId="14" borderId="52" xfId="0" applyNumberFormat="1" applyFont="1" applyFill="1" applyBorder="1" applyAlignment="1">
      <alignment horizontal="right"/>
    </xf>
    <xf numFmtId="0" fontId="31" fillId="14" borderId="53" xfId="0" applyFont="1" applyFill="1" applyBorder="1" applyAlignment="1">
      <alignment horizontal="right"/>
    </xf>
    <xf numFmtId="168" fontId="7" fillId="0" borderId="4" xfId="0" applyNumberFormat="1" applyFont="1" applyBorder="1" applyAlignment="1">
      <alignment horizontal="right"/>
    </xf>
    <xf numFmtId="3" fontId="19" fillId="0" borderId="0" xfId="0" quotePrefix="1" applyNumberFormat="1" applyFont="1" applyAlignment="1">
      <alignment horizontal="right"/>
    </xf>
    <xf numFmtId="3" fontId="19" fillId="0" borderId="0" xfId="0" quotePrefix="1" applyNumberFormat="1" applyFont="1" applyAlignment="1">
      <alignment horizontal="left"/>
    </xf>
    <xf numFmtId="3" fontId="43" fillId="0" borderId="0" xfId="0" quotePrefix="1" applyNumberFormat="1" applyFont="1" applyAlignment="1">
      <alignment horizontal="right"/>
    </xf>
    <xf numFmtId="175" fontId="62" fillId="13" borderId="90" xfId="0" applyNumberFormat="1" applyFont="1" applyFill="1" applyBorder="1" applyAlignment="1">
      <alignment horizontal="right"/>
    </xf>
    <xf numFmtId="175" fontId="37" fillId="13" borderId="0" xfId="0" applyNumberFormat="1" applyFont="1" applyFill="1" applyAlignment="1">
      <alignment horizontal="right"/>
    </xf>
    <xf numFmtId="9" fontId="67" fillId="0" borderId="0" xfId="2" applyFont="1" applyAlignment="1">
      <alignment horizontal="center"/>
    </xf>
    <xf numFmtId="9" fontId="55" fillId="12" borderId="97" xfId="0" applyNumberFormat="1" applyFont="1" applyFill="1" applyBorder="1" applyAlignment="1">
      <alignment horizontal="left" vertical="center" wrapText="1"/>
    </xf>
    <xf numFmtId="0" fontId="37" fillId="0" borderId="97" xfId="0" applyFont="1" applyBorder="1" applyAlignment="1">
      <alignment horizontal="left" vertical="center" wrapText="1"/>
    </xf>
    <xf numFmtId="0" fontId="43" fillId="0" borderId="0" xfId="0" applyFont="1" applyAlignment="1">
      <alignment horizontal="center" vertical="center" wrapText="1"/>
    </xf>
    <xf numFmtId="0" fontId="43" fillId="0" borderId="177" xfId="0" applyFont="1" applyBorder="1" applyAlignment="1">
      <alignment horizontal="right" wrapText="1"/>
    </xf>
    <xf numFmtId="0" fontId="43" fillId="0" borderId="97" xfId="0" applyFont="1" applyBorder="1" applyAlignment="1">
      <alignment horizontal="right" wrapText="1"/>
    </xf>
    <xf numFmtId="0" fontId="43" fillId="0" borderId="97" xfId="0" applyFont="1" applyBorder="1" applyAlignment="1">
      <alignment horizontal="left" wrapText="1"/>
    </xf>
    <xf numFmtId="0" fontId="44" fillId="0" borderId="97" xfId="0" applyFont="1" applyBorder="1" applyAlignment="1">
      <alignment wrapText="1"/>
    </xf>
    <xf numFmtId="9" fontId="55" fillId="12" borderId="97" xfId="0" applyNumberFormat="1" applyFont="1" applyFill="1" applyBorder="1" applyAlignment="1">
      <alignment horizontal="left" wrapText="1"/>
    </xf>
    <xf numFmtId="0" fontId="258" fillId="8" borderId="1" xfId="0" applyFont="1" applyFill="1" applyBorder="1" applyAlignment="1">
      <alignment horizontal="center"/>
    </xf>
    <xf numFmtId="0" fontId="258" fillId="8" borderId="22" xfId="0" applyFont="1" applyFill="1" applyBorder="1" applyAlignment="1">
      <alignment horizontal="center"/>
    </xf>
    <xf numFmtId="0" fontId="258" fillId="8" borderId="23" xfId="0" applyFont="1" applyFill="1" applyBorder="1" applyAlignment="1">
      <alignment horizontal="center"/>
    </xf>
    <xf numFmtId="0" fontId="258" fillId="8" borderId="5" xfId="0" applyFont="1" applyFill="1" applyBorder="1" applyAlignment="1">
      <alignment horizontal="center" vertical="top" wrapText="1"/>
    </xf>
    <xf numFmtId="0" fontId="258" fillId="8" borderId="7" xfId="0" applyFont="1" applyFill="1" applyBorder="1" applyAlignment="1">
      <alignment horizontal="center" vertical="top" wrapText="1"/>
    </xf>
    <xf numFmtId="0" fontId="74" fillId="0" borderId="0" xfId="0" applyFont="1" applyAlignment="1">
      <alignment horizontal="center" vertical="center"/>
    </xf>
    <xf numFmtId="0" fontId="0" fillId="0" borderId="59" xfId="0" applyBorder="1" applyAlignment="1">
      <alignment horizontal="left" vertical="center"/>
    </xf>
    <xf numFmtId="0" fontId="241" fillId="11" borderId="5" xfId="0" applyFont="1" applyFill="1" applyBorder="1" applyAlignment="1">
      <alignment horizontal="center" vertical="top" wrapText="1"/>
    </xf>
    <xf numFmtId="0" fontId="241" fillId="11" borderId="6" xfId="0" applyFont="1" applyFill="1" applyBorder="1" applyAlignment="1">
      <alignment horizontal="center" vertical="top" wrapText="1"/>
    </xf>
    <xf numFmtId="0" fontId="261" fillId="11" borderId="1" xfId="0" applyFont="1" applyFill="1" applyBorder="1" applyAlignment="1">
      <alignment horizontal="center" vertical="top" wrapText="1"/>
    </xf>
    <xf numFmtId="0" fontId="261" fillId="11" borderId="22" xfId="0" applyFont="1" applyFill="1" applyBorder="1" applyAlignment="1">
      <alignment horizontal="center" vertical="top" wrapText="1"/>
    </xf>
    <xf numFmtId="0" fontId="261" fillId="11" borderId="23" xfId="0" applyFont="1" applyFill="1" applyBorder="1" applyAlignment="1">
      <alignment horizontal="center" vertical="top" wrapText="1"/>
    </xf>
    <xf numFmtId="0" fontId="241" fillId="11" borderId="40" xfId="0" applyFont="1" applyFill="1" applyBorder="1" applyAlignment="1">
      <alignment horizontal="center" vertical="top" wrapText="1"/>
    </xf>
    <xf numFmtId="0" fontId="241" fillId="11" borderId="22" xfId="0" applyFont="1" applyFill="1" applyBorder="1" applyAlignment="1">
      <alignment horizontal="center" vertical="top" wrapText="1"/>
    </xf>
    <xf numFmtId="0" fontId="241" fillId="11" borderId="23" xfId="0" applyFont="1" applyFill="1" applyBorder="1" applyAlignment="1">
      <alignment horizontal="center" vertical="top" wrapText="1"/>
    </xf>
    <xf numFmtId="0" fontId="156" fillId="11" borderId="5" xfId="0" applyFont="1" applyFill="1" applyBorder="1" applyAlignment="1">
      <alignment horizontal="center" vertical="top" wrapText="1"/>
    </xf>
    <xf numFmtId="0" fontId="156" fillId="11" borderId="6" xfId="0" applyFont="1" applyFill="1" applyBorder="1" applyAlignment="1">
      <alignment horizontal="center" vertical="top" wrapText="1"/>
    </xf>
    <xf numFmtId="0" fontId="10" fillId="11" borderId="12" xfId="0" applyFont="1" applyFill="1" applyBorder="1" applyAlignment="1">
      <alignment horizontal="center" vertical="top" wrapText="1"/>
    </xf>
    <xf numFmtId="0" fontId="10" fillId="11" borderId="14" xfId="0" applyFont="1" applyFill="1" applyBorder="1" applyAlignment="1">
      <alignment horizontal="center" vertical="top" wrapText="1"/>
    </xf>
    <xf numFmtId="0" fontId="62" fillId="11" borderId="1" xfId="0" applyFont="1" applyFill="1" applyBorder="1" applyAlignment="1">
      <alignment horizontal="center" vertical="top" wrapText="1"/>
    </xf>
    <xf numFmtId="0" fontId="62" fillId="11" borderId="22" xfId="0" applyFont="1" applyFill="1" applyBorder="1" applyAlignment="1">
      <alignment horizontal="center" vertical="top" wrapText="1"/>
    </xf>
    <xf numFmtId="0" fontId="62" fillId="11" borderId="23" xfId="0" applyFont="1" applyFill="1" applyBorder="1" applyAlignment="1">
      <alignment horizontal="center" vertical="top" wrapText="1"/>
    </xf>
    <xf numFmtId="0" fontId="241" fillId="11" borderId="1" xfId="0" applyFont="1" applyFill="1" applyBorder="1" applyAlignment="1">
      <alignment horizontal="center" vertical="top" wrapText="1"/>
    </xf>
    <xf numFmtId="0" fontId="10" fillId="11" borderId="5" xfId="0" applyFont="1" applyFill="1" applyBorder="1" applyAlignment="1">
      <alignment horizontal="center" vertical="top" wrapText="1"/>
    </xf>
    <xf numFmtId="0" fontId="10" fillId="11" borderId="6" xfId="0" applyFont="1" applyFill="1" applyBorder="1" applyAlignment="1">
      <alignment horizontal="center" vertical="top" wrapText="1"/>
    </xf>
    <xf numFmtId="0" fontId="174" fillId="24" borderId="0" xfId="0" applyFont="1" applyFill="1" applyAlignment="1">
      <alignment horizontal="center" vertical="center" wrapText="1"/>
    </xf>
    <xf numFmtId="0" fontId="259" fillId="11" borderId="1" xfId="0" applyFont="1" applyFill="1" applyBorder="1" applyAlignment="1">
      <alignment horizontal="center"/>
    </xf>
    <xf numFmtId="0" fontId="259" fillId="11" borderId="23" xfId="0" applyFont="1" applyFill="1" applyBorder="1" applyAlignment="1">
      <alignment horizontal="center"/>
    </xf>
    <xf numFmtId="0" fontId="259" fillId="11" borderId="22" xfId="0" applyFont="1" applyFill="1" applyBorder="1" applyAlignment="1">
      <alignment horizontal="center"/>
    </xf>
    <xf numFmtId="0" fontId="259" fillId="11" borderId="41" xfId="0" applyFont="1" applyFill="1" applyBorder="1" applyAlignment="1">
      <alignment horizontal="center"/>
    </xf>
    <xf numFmtId="0" fontId="259" fillId="11" borderId="40" xfId="0" applyFont="1" applyFill="1" applyBorder="1" applyAlignment="1">
      <alignment horizontal="center"/>
    </xf>
    <xf numFmtId="0" fontId="272" fillId="11" borderId="5" xfId="0" applyFont="1" applyFill="1" applyBorder="1" applyAlignment="1">
      <alignment horizontal="left" vertical="center"/>
    </xf>
    <xf numFmtId="0" fontId="272" fillId="11" borderId="6" xfId="0" applyFont="1" applyFill="1" applyBorder="1" applyAlignment="1">
      <alignment horizontal="left" vertical="center"/>
    </xf>
    <xf numFmtId="0" fontId="22" fillId="11" borderId="1" xfId="0" applyFont="1" applyFill="1" applyBorder="1" applyAlignment="1">
      <alignment horizontal="center"/>
    </xf>
    <xf numFmtId="0" fontId="22" fillId="11" borderId="22" xfId="0" applyFont="1" applyFill="1" applyBorder="1" applyAlignment="1">
      <alignment horizontal="center"/>
    </xf>
    <xf numFmtId="0" fontId="22" fillId="11" borderId="41" xfId="0" applyFont="1" applyFill="1" applyBorder="1" applyAlignment="1">
      <alignment horizontal="center"/>
    </xf>
    <xf numFmtId="0" fontId="59" fillId="0" borderId="0" xfId="0" applyFont="1" applyAlignment="1">
      <alignment horizontal="center" vertical="center" wrapText="1"/>
    </xf>
    <xf numFmtId="0" fontId="67" fillId="0" borderId="0" xfId="0" applyFont="1" applyAlignment="1">
      <alignment horizontal="left" vertical="center" wrapText="1"/>
    </xf>
    <xf numFmtId="0" fontId="219" fillId="0" borderId="0" xfId="0" applyFont="1" applyAlignment="1">
      <alignment horizontal="left" wrapText="1"/>
    </xf>
    <xf numFmtId="0" fontId="3" fillId="8" borderId="7" xfId="0" applyFont="1" applyFill="1" applyBorder="1" applyAlignment="1">
      <alignment horizontal="center"/>
    </xf>
    <xf numFmtId="0" fontId="3" fillId="8" borderId="18" xfId="0" applyFont="1" applyFill="1" applyBorder="1" applyAlignment="1">
      <alignment horizontal="center"/>
    </xf>
    <xf numFmtId="0" fontId="3" fillId="8" borderId="14" xfId="0" applyFont="1" applyFill="1" applyBorder="1" applyAlignment="1">
      <alignment horizontal="center"/>
    </xf>
    <xf numFmtId="0" fontId="10" fillId="11" borderId="1" xfId="0" applyFont="1" applyFill="1" applyBorder="1" applyAlignment="1">
      <alignment horizontal="center" vertical="top" wrapText="1"/>
    </xf>
    <xf numFmtId="0" fontId="10" fillId="11" borderId="22" xfId="0" applyFont="1" applyFill="1" applyBorder="1" applyAlignment="1">
      <alignment horizontal="center" vertical="top" wrapText="1"/>
    </xf>
    <xf numFmtId="0" fontId="10" fillId="11" borderId="23" xfId="0" applyFont="1" applyFill="1" applyBorder="1" applyAlignment="1">
      <alignment horizontal="center" vertical="top" wrapText="1"/>
    </xf>
    <xf numFmtId="0" fontId="20" fillId="8" borderId="5" xfId="0" applyFont="1" applyFill="1" applyBorder="1" applyAlignment="1">
      <alignment horizontal="center" vertical="top" wrapText="1"/>
    </xf>
    <xf numFmtId="0" fontId="20" fillId="8" borderId="7" xfId="0" applyFont="1" applyFill="1" applyBorder="1" applyAlignment="1">
      <alignment horizontal="center" vertical="top" wrapText="1"/>
    </xf>
    <xf numFmtId="0" fontId="20" fillId="8" borderId="1" xfId="0" applyFont="1" applyFill="1" applyBorder="1" applyAlignment="1">
      <alignment horizontal="center"/>
    </xf>
    <xf numFmtId="0" fontId="20" fillId="8" borderId="23" xfId="0" applyFont="1" applyFill="1" applyBorder="1" applyAlignment="1">
      <alignment horizontal="center"/>
    </xf>
    <xf numFmtId="0" fontId="20" fillId="8" borderId="22" xfId="0" applyFont="1" applyFill="1" applyBorder="1" applyAlignment="1">
      <alignment horizontal="center"/>
    </xf>
    <xf numFmtId="0" fontId="0" fillId="0" borderId="98" xfId="0" applyBorder="1" applyAlignment="1">
      <alignment horizontal="left" vertical="center"/>
    </xf>
    <xf numFmtId="0" fontId="0" fillId="13" borderId="98" xfId="0" applyFill="1" applyBorder="1" applyAlignment="1">
      <alignment horizontal="center"/>
    </xf>
    <xf numFmtId="175" fontId="22" fillId="13" borderId="39" xfId="2" applyNumberFormat="1" applyFont="1" applyFill="1" applyBorder="1" applyAlignment="1">
      <alignment horizontal="right"/>
    </xf>
    <xf numFmtId="9" fontId="22" fillId="5" borderId="39" xfId="2" applyFont="1" applyFill="1" applyBorder="1" applyAlignment="1">
      <alignment horizontal="right"/>
    </xf>
    <xf numFmtId="0" fontId="22" fillId="5" borderId="60" xfId="0" applyFont="1" applyFill="1" applyBorder="1"/>
  </cellXfs>
  <cellStyles count="54">
    <cellStyle name="Accent1 - 20%" xfId="21" xr:uid="{00000000-0005-0000-0000-000000000000}"/>
    <cellStyle name="Accent1 - 40%" xfId="22" xr:uid="{00000000-0005-0000-0000-000001000000}"/>
    <cellStyle name="Accent1 - 60%" xfId="23" xr:uid="{00000000-0005-0000-0000-000002000000}"/>
    <cellStyle name="Accent2 - 20%" xfId="24" xr:uid="{00000000-0005-0000-0000-000003000000}"/>
    <cellStyle name="Accent2 - 40%" xfId="25" xr:uid="{00000000-0005-0000-0000-000004000000}"/>
    <cellStyle name="Accent2 - 60%" xfId="26" xr:uid="{00000000-0005-0000-0000-000005000000}"/>
    <cellStyle name="Accent3 - 20%" xfId="27" xr:uid="{00000000-0005-0000-0000-000006000000}"/>
    <cellStyle name="Accent3 - 40%" xfId="28" xr:uid="{00000000-0005-0000-0000-000007000000}"/>
    <cellStyle name="Accent3 - 60%" xfId="29" xr:uid="{00000000-0005-0000-0000-000008000000}"/>
    <cellStyle name="Accent4 - 20%" xfId="30" xr:uid="{00000000-0005-0000-0000-000009000000}"/>
    <cellStyle name="Accent4 - 40%" xfId="31" xr:uid="{00000000-0005-0000-0000-00000A000000}"/>
    <cellStyle name="Accent4 - 60%" xfId="32" xr:uid="{00000000-0005-0000-0000-00000B000000}"/>
    <cellStyle name="Accent5 - 20%" xfId="33" xr:uid="{00000000-0005-0000-0000-00000C000000}"/>
    <cellStyle name="Accent5 - 40%" xfId="34" xr:uid="{00000000-0005-0000-0000-00000D000000}"/>
    <cellStyle name="Accent5 - 60%" xfId="35" xr:uid="{00000000-0005-0000-0000-00000E000000}"/>
    <cellStyle name="Accent6 - 20%" xfId="36" xr:uid="{00000000-0005-0000-0000-00000F000000}"/>
    <cellStyle name="Accent6 - 40%" xfId="37" xr:uid="{00000000-0005-0000-0000-000010000000}"/>
    <cellStyle name="Accent6 - 60%" xfId="38" xr:uid="{00000000-0005-0000-0000-000011000000}"/>
    <cellStyle name="Comma" xfId="1" builtinId="3"/>
    <cellStyle name="Comma [0]" xfId="51" builtinId="6"/>
    <cellStyle name="Comma [0] 2" xfId="53" xr:uid="{2F95F9E7-3359-4B70-8404-A6BFFA8C1B2F}"/>
    <cellStyle name="Comma 2" xfId="10" xr:uid="{00000000-0005-0000-0000-000013000000}"/>
    <cellStyle name="Comma 2 2" xfId="8" xr:uid="{00000000-0005-0000-0000-000014000000}"/>
    <cellStyle name="Comma 2 3" xfId="6" xr:uid="{00000000-0005-0000-0000-000015000000}"/>
    <cellStyle name="Comma 2 4" xfId="20" xr:uid="{00000000-0005-0000-0000-000016000000}"/>
    <cellStyle name="Comma 2 5" xfId="40" xr:uid="{00000000-0005-0000-0000-000017000000}"/>
    <cellStyle name="Comma 3" xfId="11" xr:uid="{00000000-0005-0000-0000-000018000000}"/>
    <cellStyle name="Comma 4" xfId="9" xr:uid="{00000000-0005-0000-0000-000019000000}"/>
    <cellStyle name="Comma 5" xfId="39" xr:uid="{00000000-0005-0000-0000-00001A000000}"/>
    <cellStyle name="Comma 6" xfId="52" xr:uid="{65F0ACA7-60AB-409D-AF23-0A9A64FE4881}"/>
    <cellStyle name="Currency 2" xfId="12" xr:uid="{00000000-0005-0000-0000-00001B000000}"/>
    <cellStyle name="Emphasis 1" xfId="41" xr:uid="{00000000-0005-0000-0000-00001C000000}"/>
    <cellStyle name="Emphasis 2" xfId="42" xr:uid="{00000000-0005-0000-0000-00001D000000}"/>
    <cellStyle name="Emphasis 3" xfId="43" xr:uid="{00000000-0005-0000-0000-00001E000000}"/>
    <cellStyle name="Hyperlink" xfId="3" builtinId="8"/>
    <cellStyle name="Normal" xfId="0" builtinId="0"/>
    <cellStyle name="Normal 194" xfId="7" xr:uid="{00000000-0005-0000-0000-000021000000}"/>
    <cellStyle name="Normal 2" xfId="5" xr:uid="{00000000-0005-0000-0000-000022000000}"/>
    <cellStyle name="Normal 2 10" xfId="13" xr:uid="{00000000-0005-0000-0000-000023000000}"/>
    <cellStyle name="Normal 2 2" xfId="44" xr:uid="{00000000-0005-0000-0000-000024000000}"/>
    <cellStyle name="Normal 3" xfId="14" xr:uid="{00000000-0005-0000-0000-000025000000}"/>
    <cellStyle name="Normal 3 2" xfId="45" xr:uid="{00000000-0005-0000-0000-000026000000}"/>
    <cellStyle name="Normal 4" xfId="15" xr:uid="{00000000-0005-0000-0000-000027000000}"/>
    <cellStyle name="Normal 5" xfId="16" xr:uid="{00000000-0005-0000-0000-000028000000}"/>
    <cellStyle name="Normal 7" xfId="17" xr:uid="{00000000-0005-0000-0000-000029000000}"/>
    <cellStyle name="Percent" xfId="2" builtinId="5"/>
    <cellStyle name="Percent 2" xfId="4" xr:uid="{00000000-0005-0000-0000-00002B000000}"/>
    <cellStyle name="Percent 2 2" xfId="18" xr:uid="{00000000-0005-0000-0000-00002C000000}"/>
    <cellStyle name="Percent 3" xfId="19" xr:uid="{00000000-0005-0000-0000-00002D000000}"/>
    <cellStyle name="Richard" xfId="46" xr:uid="{00000000-0005-0000-0000-00002E000000}"/>
    <cellStyle name="Sheet Title" xfId="47" xr:uid="{00000000-0005-0000-0000-00002F000000}"/>
    <cellStyle name="ta" xfId="48" xr:uid="{00000000-0005-0000-0000-000030000000}"/>
    <cellStyle name="tabl" xfId="49" xr:uid="{00000000-0005-0000-0000-000031000000}"/>
    <cellStyle name="tableau" xfId="50" xr:uid="{00000000-0005-0000-0000-000032000000}"/>
  </cellStyles>
  <dxfs count="0"/>
  <tableStyles count="1" defaultTableStyle="TableStyleMedium2" defaultPivotStyle="PivotStyleLight16">
    <tableStyle name="Invisible" pivot="0" table="0" count="0" xr9:uid="{00000000-0011-0000-FFFF-FFFF00000000}"/>
  </tableStyles>
  <colors>
    <mruColors>
      <color rgb="FFD6CDE1"/>
      <color rgb="FFFFDDDD"/>
      <color rgb="FFF7F5F9"/>
      <color rgb="FFB3FFFF"/>
      <color rgb="FFFFABAB"/>
      <color rgb="FFF6F5EE"/>
      <color rgb="FFFFFFE7"/>
      <color rgb="FFFCF6D0"/>
      <color rgb="FFFFC9C9"/>
      <color rgb="FFFEFB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Rwanda: Contributors</a:t>
            </a:r>
            <a:r>
              <a:rPr lang="en-US" sz="1200" baseline="0"/>
              <a:t> to real GDP growth, 2019-29</a:t>
            </a:r>
            <a:endParaRPr lang="en-US" sz="1200"/>
          </a:p>
        </c:rich>
      </c:tx>
      <c:layout>
        <c:manualLayout>
          <c:xMode val="edge"/>
          <c:yMode val="edge"/>
          <c:x val="0.19992473832337224"/>
          <c:y val="1.0989007819501077E-2"/>
        </c:manualLayout>
      </c:layout>
      <c:overlay val="0"/>
    </c:title>
    <c:autoTitleDeleted val="0"/>
    <c:plotArea>
      <c:layout>
        <c:manualLayout>
          <c:layoutTarget val="inner"/>
          <c:xMode val="edge"/>
          <c:yMode val="edge"/>
          <c:x val="0.12330026011322576"/>
          <c:y val="0.13623629654861524"/>
          <c:w val="0.53937501100952989"/>
          <c:h val="0.78298843904460813"/>
        </c:manualLayout>
      </c:layout>
      <c:lineChart>
        <c:grouping val="stacked"/>
        <c:varyColors val="0"/>
        <c:ser>
          <c:idx val="1"/>
          <c:order val="0"/>
          <c:tx>
            <c:v>Land</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Yprodfunct!$AD$82:$AN$82</c:f>
              <c:numCache>
                <c:formatCode>0.0%</c:formatCode>
                <c:ptCount val="11"/>
                <c:pt idx="0">
                  <c:v>1.3496224422576309E-3</c:v>
                </c:pt>
                <c:pt idx="1">
                  <c:v>1.3496224422576309E-3</c:v>
                </c:pt>
                <c:pt idx="2">
                  <c:v>1.3496224422576309E-3</c:v>
                </c:pt>
                <c:pt idx="3">
                  <c:v>1.3496224422576309E-3</c:v>
                </c:pt>
                <c:pt idx="4">
                  <c:v>1.3496224422576309E-3</c:v>
                </c:pt>
                <c:pt idx="5">
                  <c:v>1.3496224422576313E-3</c:v>
                </c:pt>
                <c:pt idx="6">
                  <c:v>1.619546930709157E-3</c:v>
                </c:pt>
                <c:pt idx="7">
                  <c:v>1.7545091749349203E-3</c:v>
                </c:pt>
                <c:pt idx="8">
                  <c:v>1.8894714191606834E-3</c:v>
                </c:pt>
                <c:pt idx="9">
                  <c:v>2.0244336633864469E-3</c:v>
                </c:pt>
                <c:pt idx="10">
                  <c:v>2.1593959076122099E-3</c:v>
                </c:pt>
              </c:numCache>
            </c:numRef>
          </c:val>
          <c:smooth val="0"/>
          <c:extLst>
            <c:ext xmlns:c16="http://schemas.microsoft.com/office/drawing/2014/chart" uri="{C3380CC4-5D6E-409C-BE32-E72D297353CC}">
              <c16:uniqueId val="{00000000-B311-430A-A7F4-4AC3175CC770}"/>
            </c:ext>
          </c:extLst>
        </c:ser>
        <c:ser>
          <c:idx val="2"/>
          <c:order val="1"/>
          <c:tx>
            <c:v>Private capital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Yprodfunct!$AD$81:$AN$81</c:f>
              <c:numCache>
                <c:formatCode>0.0%</c:formatCode>
                <c:ptCount val="11"/>
                <c:pt idx="0">
                  <c:v>2.6031722530596674E-2</c:v>
                </c:pt>
                <c:pt idx="1">
                  <c:v>1.1827000460682783E-2</c:v>
                </c:pt>
                <c:pt idx="2">
                  <c:v>2.7048076413003278E-2</c:v>
                </c:pt>
                <c:pt idx="3">
                  <c:v>3.1526390597408915E-2</c:v>
                </c:pt>
                <c:pt idx="4">
                  <c:v>3.7712262443419145E-2</c:v>
                </c:pt>
                <c:pt idx="5">
                  <c:v>3.0263027267741979E-2</c:v>
                </c:pt>
                <c:pt idx="6">
                  <c:v>2.9642980008318588E-2</c:v>
                </c:pt>
                <c:pt idx="7">
                  <c:v>3.134582994009414E-2</c:v>
                </c:pt>
                <c:pt idx="8">
                  <c:v>2.9595538673363824E-2</c:v>
                </c:pt>
                <c:pt idx="9">
                  <c:v>2.4973710488271402E-2</c:v>
                </c:pt>
                <c:pt idx="10">
                  <c:v>2.3306574683285435E-2</c:v>
                </c:pt>
              </c:numCache>
            </c:numRef>
          </c:val>
          <c:smooth val="0"/>
          <c:extLst>
            <c:ext xmlns:c16="http://schemas.microsoft.com/office/drawing/2014/chart" uri="{C3380CC4-5D6E-409C-BE32-E72D297353CC}">
              <c16:uniqueId val="{00000001-B311-430A-A7F4-4AC3175CC770}"/>
            </c:ext>
          </c:extLst>
        </c:ser>
        <c:ser>
          <c:idx val="0"/>
          <c:order val="2"/>
          <c:tx>
            <c:v>Education</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Yprodfunct!$AD$83:$AN$83</c:f>
              <c:numCache>
                <c:formatCode>0.0%</c:formatCode>
                <c:ptCount val="11"/>
                <c:pt idx="0">
                  <c:v>1.6195469307091568E-2</c:v>
                </c:pt>
                <c:pt idx="1">
                  <c:v>1.6195469307091568E-2</c:v>
                </c:pt>
                <c:pt idx="2">
                  <c:v>1.6195469307091568E-2</c:v>
                </c:pt>
                <c:pt idx="3">
                  <c:v>1.6195469307091568E-2</c:v>
                </c:pt>
                <c:pt idx="4">
                  <c:v>1.6195469307091568E-2</c:v>
                </c:pt>
                <c:pt idx="5">
                  <c:v>1.6198600518968233E-2</c:v>
                </c:pt>
              </c:numCache>
            </c:numRef>
          </c:val>
          <c:smooth val="0"/>
          <c:extLst>
            <c:ext xmlns:c16="http://schemas.microsoft.com/office/drawing/2014/chart" uri="{C3380CC4-5D6E-409C-BE32-E72D297353CC}">
              <c16:uniqueId val="{00000002-B311-430A-A7F4-4AC3175CC770}"/>
            </c:ext>
          </c:extLst>
        </c:ser>
        <c:ser>
          <c:idx val="4"/>
          <c:order val="3"/>
          <c:tx>
            <c:v>Labor</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Yprodfunct!$AD$84:$AN$84</c:f>
              <c:numCache>
                <c:formatCode>0.0%</c:formatCode>
                <c:ptCount val="11"/>
                <c:pt idx="0">
                  <c:v>1.2695846661289888E-2</c:v>
                </c:pt>
                <c:pt idx="1">
                  <c:v>1.3151496580445883E-2</c:v>
                </c:pt>
                <c:pt idx="2">
                  <c:v>1.4081922398548781E-2</c:v>
                </c:pt>
                <c:pt idx="3">
                  <c:v>1.4565188155928626E-2</c:v>
                </c:pt>
                <c:pt idx="4">
                  <c:v>1.4480263008192076E-2</c:v>
                </c:pt>
                <c:pt idx="5">
                  <c:v>1.2665960676597697E-2</c:v>
                </c:pt>
              </c:numCache>
            </c:numRef>
          </c:val>
          <c:smooth val="0"/>
          <c:extLst>
            <c:ext xmlns:c16="http://schemas.microsoft.com/office/drawing/2014/chart" uri="{C3380CC4-5D6E-409C-BE32-E72D297353CC}">
              <c16:uniqueId val="{00000003-B311-430A-A7F4-4AC3175CC770}"/>
            </c:ext>
          </c:extLst>
        </c:ser>
        <c:ser>
          <c:idx val="3"/>
          <c:order val="4"/>
          <c:tx>
            <c:v>Public capital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Yprodfunct!$AD$86:$AN$86</c:f>
              <c:numCache>
                <c:formatCode>0.0%</c:formatCode>
                <c:ptCount val="11"/>
                <c:pt idx="0">
                  <c:v>1.9102493794236741E-2</c:v>
                </c:pt>
                <c:pt idx="1">
                  <c:v>1.9328629342293454E-2</c:v>
                </c:pt>
                <c:pt idx="2">
                  <c:v>9.6808268443188249E-3</c:v>
                </c:pt>
                <c:pt idx="3">
                  <c:v>8.0848557917961097E-3</c:v>
                </c:pt>
                <c:pt idx="4">
                  <c:v>7.7531866964520631E-3</c:v>
                </c:pt>
                <c:pt idx="5">
                  <c:v>1.6924996434209236E-2</c:v>
                </c:pt>
                <c:pt idx="6">
                  <c:v>6.6121217435012175E-3</c:v>
                </c:pt>
                <c:pt idx="7">
                  <c:v>6.6256421763727941E-3</c:v>
                </c:pt>
                <c:pt idx="8">
                  <c:v>7.2846069175940987E-3</c:v>
                </c:pt>
                <c:pt idx="9">
                  <c:v>7.7082728332860473E-3</c:v>
                </c:pt>
                <c:pt idx="10">
                  <c:v>7.869848679940103E-3</c:v>
                </c:pt>
              </c:numCache>
            </c:numRef>
          </c:val>
          <c:smooth val="0"/>
          <c:extLst>
            <c:ext xmlns:c16="http://schemas.microsoft.com/office/drawing/2014/chart" uri="{C3380CC4-5D6E-409C-BE32-E72D297353CC}">
              <c16:uniqueId val="{00000004-B311-430A-A7F4-4AC3175CC770}"/>
            </c:ext>
          </c:extLst>
        </c:ser>
        <c:ser>
          <c:idx val="5"/>
          <c:order val="5"/>
          <c:tx>
            <c:v>TFP(residual)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Yprodfunct!$AD$87:$AN$87</c:f>
              <c:numCache>
                <c:formatCode>0.0%</c:formatCode>
                <c:ptCount val="11"/>
                <c:pt idx="0">
                  <c:v>1.0082264994489627E-2</c:v>
                </c:pt>
                <c:pt idx="1">
                  <c:v>-0.29911460804543538</c:v>
                </c:pt>
                <c:pt idx="2">
                  <c:v>0.30999815214883841</c:v>
                </c:pt>
                <c:pt idx="3">
                  <c:v>2.0268317861764938E-2</c:v>
                </c:pt>
                <c:pt idx="4">
                  <c:v>9.105263712192441E-3</c:v>
                </c:pt>
                <c:pt idx="5">
                  <c:v>4.1934023931047507E-3</c:v>
                </c:pt>
                <c:pt idx="6">
                  <c:v>-6.6121217435012175E-3</c:v>
                </c:pt>
                <c:pt idx="7">
                  <c:v>-6.6256421763727941E-3</c:v>
                </c:pt>
                <c:pt idx="8">
                  <c:v>-7.2846069175940987E-3</c:v>
                </c:pt>
                <c:pt idx="9">
                  <c:v>-7.7082728332860473E-3</c:v>
                </c:pt>
                <c:pt idx="10">
                  <c:v>-7.869848679940103E-3</c:v>
                </c:pt>
              </c:numCache>
            </c:numRef>
          </c:val>
          <c:smooth val="0"/>
          <c:extLst>
            <c:ext xmlns:c16="http://schemas.microsoft.com/office/drawing/2014/chart" uri="{C3380CC4-5D6E-409C-BE32-E72D297353CC}">
              <c16:uniqueId val="{00000005-B311-430A-A7F4-4AC3175CC770}"/>
            </c:ext>
          </c:extLst>
        </c:ser>
        <c:dLbls>
          <c:showLegendKey val="0"/>
          <c:showVal val="0"/>
          <c:showCatName val="0"/>
          <c:showSerName val="0"/>
          <c:showPercent val="0"/>
          <c:showBubbleSize val="0"/>
        </c:dLbls>
        <c:smooth val="0"/>
        <c:axId val="346876264"/>
        <c:axId val="346877440"/>
      </c:lineChart>
      <c:catAx>
        <c:axId val="346876264"/>
        <c:scaling>
          <c:orientation val="minMax"/>
        </c:scaling>
        <c:delete val="0"/>
        <c:axPos val="b"/>
        <c:numFmt formatCode="General" sourceLinked="1"/>
        <c:majorTickMark val="none"/>
        <c:minorTickMark val="none"/>
        <c:tickLblPos val="nextTo"/>
        <c:crossAx val="346877440"/>
        <c:crosses val="autoZero"/>
        <c:auto val="0"/>
        <c:lblAlgn val="ctr"/>
        <c:lblOffset val="100"/>
        <c:tickLblSkip val="5"/>
        <c:noMultiLvlLbl val="0"/>
      </c:catAx>
      <c:valAx>
        <c:axId val="346877440"/>
        <c:scaling>
          <c:orientation val="minMax"/>
        </c:scaling>
        <c:delete val="0"/>
        <c:axPos val="l"/>
        <c:majorGridlines/>
        <c:title>
          <c:tx>
            <c:rich>
              <a:bodyPr/>
              <a:lstStyle/>
              <a:p>
                <a:pPr>
                  <a:defRPr/>
                </a:pPr>
                <a:r>
                  <a:rPr lang="en-US"/>
                  <a:t>growth in %</a:t>
                </a:r>
              </a:p>
            </c:rich>
          </c:tx>
          <c:overlay val="0"/>
        </c:title>
        <c:numFmt formatCode="0.0%" sourceLinked="1"/>
        <c:majorTickMark val="none"/>
        <c:minorTickMark val="none"/>
        <c:tickLblPos val="nextTo"/>
        <c:crossAx val="346876264"/>
        <c:crosses val="autoZero"/>
        <c:crossBetween val="between"/>
      </c:valAx>
    </c:plotArea>
    <c:legend>
      <c:legendPos val="r"/>
      <c:layout>
        <c:manualLayout>
          <c:xMode val="edge"/>
          <c:yMode val="edge"/>
          <c:x val="0.71986095458694299"/>
          <c:y val="0.28089228364533342"/>
          <c:w val="0.18939463692866204"/>
          <c:h val="0.5758997449262504"/>
        </c:manualLayout>
      </c:layout>
      <c:overlay val="0"/>
      <c:txPr>
        <a:bodyPr/>
        <a:lstStyle/>
        <a:p>
          <a:pPr>
            <a:defRPr sz="700"/>
          </a:pPr>
          <a:endParaRPr lang="en-RW"/>
        </a:p>
      </c:txPr>
    </c:legend>
    <c:plotVisOnly val="1"/>
    <c:dispBlanksAs val="zero"/>
    <c:showDLblsOverMax val="0"/>
  </c:chart>
  <c:printSettings>
    <c:headerFooter/>
    <c:pageMargins b="0.75000000000000078" l="0.70000000000000062" r="0.70000000000000062" t="0.75000000000000078"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xdr:colOff>
          <xdr:row>0</xdr:row>
          <xdr:rowOff>0</xdr:rowOff>
        </xdr:from>
        <xdr:to>
          <xdr:col>3</xdr:col>
          <xdr:colOff>1485900</xdr:colOff>
          <xdr:row>1</xdr:row>
          <xdr:rowOff>104775</xdr:rowOff>
        </xdr:to>
        <xdr:sp macro="" textlink="">
          <xdr:nvSpPr>
            <xdr:cNvPr id="1187" name="CommandButton1"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1860550</xdr:colOff>
          <xdr:row>0</xdr:row>
          <xdr:rowOff>12700</xdr:rowOff>
        </xdr:from>
        <xdr:to>
          <xdr:col>4</xdr:col>
          <xdr:colOff>409575</xdr:colOff>
          <xdr:row>1</xdr:row>
          <xdr:rowOff>104775</xdr:rowOff>
        </xdr:to>
        <xdr:sp macro="" textlink="">
          <xdr:nvSpPr>
            <xdr:cNvPr id="1188" name="CommandButton2"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107950</xdr:colOff>
          <xdr:row>0</xdr:row>
          <xdr:rowOff>0</xdr:rowOff>
        </xdr:from>
        <xdr:to>
          <xdr:col>39</xdr:col>
          <xdr:colOff>180975</xdr:colOff>
          <xdr:row>1</xdr:row>
          <xdr:rowOff>95250</xdr:rowOff>
        </xdr:to>
        <xdr:sp macro="" textlink="">
          <xdr:nvSpPr>
            <xdr:cNvPr id="1189" name="CommandButton3"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412750</xdr:colOff>
          <xdr:row>0</xdr:row>
          <xdr:rowOff>0</xdr:rowOff>
        </xdr:from>
        <xdr:to>
          <xdr:col>35</xdr:col>
          <xdr:colOff>314325</xdr:colOff>
          <xdr:row>1</xdr:row>
          <xdr:rowOff>104775</xdr:rowOff>
        </xdr:to>
        <xdr:sp macro="" textlink="">
          <xdr:nvSpPr>
            <xdr:cNvPr id="1190" name="CommandButton4"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0</xdr:colOff>
          <xdr:row>0</xdr:row>
          <xdr:rowOff>44450</xdr:rowOff>
        </xdr:from>
        <xdr:to>
          <xdr:col>37</xdr:col>
          <xdr:colOff>590550</xdr:colOff>
          <xdr:row>1</xdr:row>
          <xdr:rowOff>152400</xdr:rowOff>
        </xdr:to>
        <xdr:sp macro="" textlink="">
          <xdr:nvSpPr>
            <xdr:cNvPr id="1191" name="CommandButton5"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33</xdr:col>
      <xdr:colOff>708566</xdr:colOff>
      <xdr:row>104</xdr:row>
      <xdr:rowOff>157779</xdr:rowOff>
    </xdr:from>
    <xdr:to>
      <xdr:col>52</xdr:col>
      <xdr:colOff>100246</xdr:colOff>
      <xdr:row>122</xdr:row>
      <xdr:rowOff>117774</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s://population.un.org/wpp/downloads?folder=Standard%20Projections&amp;group=Most%20used"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48"/>
  <sheetViews>
    <sheetView topLeftCell="A19" zoomScale="110" zoomScaleNormal="110" workbookViewId="0">
      <selection activeCell="P24" sqref="P24"/>
    </sheetView>
  </sheetViews>
  <sheetFormatPr defaultRowHeight="14.75"/>
  <cols>
    <col min="1" max="1" width="6.08984375" customWidth="1"/>
    <col min="2" max="2" width="5.453125" customWidth="1"/>
    <col min="3" max="3" width="3.7265625" customWidth="1"/>
    <col min="4" max="4" width="44.453125" customWidth="1"/>
    <col min="5" max="9" width="7.453125" customWidth="1"/>
    <col min="10" max="10" width="3.08984375" customWidth="1"/>
    <col min="12" max="12" width="9.7265625" customWidth="1"/>
    <col min="16" max="16" width="37" customWidth="1"/>
    <col min="22" max="23" width="10.7265625" customWidth="1"/>
    <col min="24" max="24" width="10" customWidth="1"/>
  </cols>
  <sheetData>
    <row r="1" spans="1:31" ht="18.5">
      <c r="A1" s="1360" t="s">
        <v>1161</v>
      </c>
    </row>
    <row r="3" spans="1:31">
      <c r="A3" s="1330" t="s">
        <v>1061</v>
      </c>
    </row>
    <row r="4" spans="1:31">
      <c r="A4" t="s">
        <v>1054</v>
      </c>
    </row>
    <row r="5" spans="1:31">
      <c r="A5" t="s">
        <v>32</v>
      </c>
    </row>
    <row r="7" spans="1:31">
      <c r="A7" s="3" t="s">
        <v>1055</v>
      </c>
      <c r="B7" s="3"/>
      <c r="M7" t="s">
        <v>1097</v>
      </c>
    </row>
    <row r="8" spans="1:31" ht="15.5" thickBot="1">
      <c r="M8" s="3" t="s">
        <v>101</v>
      </c>
    </row>
    <row r="9" spans="1:31" ht="15.5" thickBot="1">
      <c r="A9" s="69" t="s">
        <v>11</v>
      </c>
      <c r="B9" s="12" t="s">
        <v>29</v>
      </c>
      <c r="C9" s="254" t="s">
        <v>137</v>
      </c>
      <c r="D9" s="4"/>
      <c r="E9" s="4"/>
      <c r="F9" s="4"/>
      <c r="G9" s="4"/>
      <c r="H9" s="4"/>
      <c r="I9" s="4"/>
      <c r="J9" s="5"/>
    </row>
    <row r="10" spans="1:31" ht="18.75" customHeight="1">
      <c r="A10" s="6"/>
      <c r="J10" s="7"/>
      <c r="M10" s="259" t="s">
        <v>11</v>
      </c>
      <c r="N10" s="12" t="s">
        <v>29</v>
      </c>
      <c r="O10" s="254" t="s">
        <v>137</v>
      </c>
      <c r="P10" s="4"/>
      <c r="Q10" s="4"/>
      <c r="R10" s="4"/>
      <c r="S10" s="4"/>
      <c r="T10" s="4"/>
      <c r="U10" s="4"/>
      <c r="V10" s="4"/>
      <c r="W10" s="4"/>
      <c r="X10" s="4"/>
      <c r="Y10" s="4"/>
      <c r="Z10" s="4"/>
      <c r="AA10" s="4"/>
      <c r="AB10" s="4"/>
      <c r="AC10" s="4"/>
      <c r="AD10" s="4"/>
      <c r="AE10" s="5"/>
    </row>
    <row r="11" spans="1:31">
      <c r="A11" s="6"/>
      <c r="D11" s="248" t="s">
        <v>10</v>
      </c>
      <c r="F11" s="11" t="s">
        <v>1063</v>
      </c>
      <c r="J11" s="7"/>
      <c r="M11" s="6"/>
      <c r="AE11" s="7"/>
    </row>
    <row r="12" spans="1:31" ht="16.75" thickBot="1">
      <c r="A12" s="6"/>
      <c r="D12" s="287" t="str">
        <f>+GDP!D5</f>
        <v>I.1 Non Macro-Framework exogenous blocks</v>
      </c>
      <c r="J12" s="7"/>
      <c r="M12" s="6"/>
      <c r="P12" s="17" t="s">
        <v>102</v>
      </c>
      <c r="Q12" s="18"/>
      <c r="R12" s="18"/>
      <c r="S12" s="18"/>
      <c r="T12" s="18"/>
      <c r="U12" s="21"/>
      <c r="V12" s="21"/>
      <c r="W12" s="21"/>
      <c r="X12" s="21"/>
      <c r="Y12" s="21"/>
      <c r="Z12" s="21"/>
      <c r="AA12" s="21"/>
      <c r="AB12" s="21"/>
      <c r="AC12" s="21"/>
      <c r="AD12" s="21"/>
      <c r="AE12" s="7"/>
    </row>
    <row r="13" spans="1:31" ht="16.75" thickBot="1">
      <c r="A13" s="6"/>
      <c r="D13" s="1318" t="s">
        <v>1</v>
      </c>
      <c r="F13" t="s">
        <v>1062</v>
      </c>
      <c r="J13" s="7"/>
      <c r="M13" s="6"/>
      <c r="P13" s="18"/>
      <c r="Q13" s="1333" t="s">
        <v>53</v>
      </c>
      <c r="R13" s="1334"/>
      <c r="S13" s="1334"/>
      <c r="T13" s="1334"/>
      <c r="U13" s="1334"/>
      <c r="V13" s="1334"/>
      <c r="W13" s="1334"/>
      <c r="X13" s="1334"/>
      <c r="Y13" s="79" t="s">
        <v>58</v>
      </c>
      <c r="Z13" s="1334" t="s">
        <v>54</v>
      </c>
      <c r="AA13" s="1334"/>
      <c r="AB13" s="1335"/>
      <c r="AC13" s="26"/>
      <c r="AD13" s="26"/>
      <c r="AE13" s="7"/>
    </row>
    <row r="14" spans="1:31" ht="17.25" customHeight="1" thickBot="1">
      <c r="A14" s="6"/>
      <c r="D14" s="250" t="s">
        <v>2</v>
      </c>
      <c r="J14" s="7"/>
      <c r="M14" s="6"/>
      <c r="P14" s="19"/>
      <c r="Q14" s="67" t="s">
        <v>91</v>
      </c>
      <c r="R14" s="75" t="s">
        <v>90</v>
      </c>
      <c r="S14" s="75" t="s">
        <v>89</v>
      </c>
      <c r="T14" s="75" t="s">
        <v>97</v>
      </c>
      <c r="U14" s="75" t="s">
        <v>52</v>
      </c>
      <c r="V14" s="75" t="s">
        <v>98</v>
      </c>
      <c r="W14" s="75" t="s">
        <v>99</v>
      </c>
      <c r="X14" s="81" t="s">
        <v>78</v>
      </c>
      <c r="Y14" s="82" t="s">
        <v>88</v>
      </c>
      <c r="Z14" s="83" t="s">
        <v>52</v>
      </c>
      <c r="AA14" s="75" t="s">
        <v>92</v>
      </c>
      <c r="AB14" s="84" t="s">
        <v>78</v>
      </c>
      <c r="AC14" s="82" t="s">
        <v>8</v>
      </c>
      <c r="AD14" s="82" t="s">
        <v>9</v>
      </c>
      <c r="AE14" s="7"/>
    </row>
    <row r="15" spans="1:31" ht="15.75">
      <c r="A15" s="6"/>
      <c r="D15" s="1318" t="s">
        <v>160</v>
      </c>
      <c r="J15" s="7"/>
      <c r="M15" s="6"/>
      <c r="P15" s="20" t="s">
        <v>103</v>
      </c>
      <c r="Q15" s="76"/>
      <c r="R15" s="260"/>
      <c r="S15" s="260"/>
      <c r="T15" s="260"/>
      <c r="U15" s="261"/>
      <c r="V15" s="261"/>
      <c r="W15" s="261"/>
      <c r="X15" s="262"/>
      <c r="Y15" s="80"/>
      <c r="Z15" s="78"/>
      <c r="AA15" s="261"/>
      <c r="AB15" s="77"/>
      <c r="AC15" s="85"/>
      <c r="AD15" s="85"/>
      <c r="AE15" s="7"/>
    </row>
    <row r="16" spans="1:31">
      <c r="A16" s="6"/>
      <c r="D16" s="251" t="s">
        <v>201</v>
      </c>
      <c r="J16" s="7"/>
      <c r="M16" s="6"/>
      <c r="P16" s="129"/>
      <c r="Q16" s="170"/>
      <c r="R16" s="263"/>
      <c r="S16" s="263"/>
      <c r="T16" s="263"/>
      <c r="U16" s="249"/>
      <c r="V16" s="249"/>
      <c r="W16" s="249"/>
      <c r="X16" s="264"/>
      <c r="Y16" s="172"/>
      <c r="Z16" s="173"/>
      <c r="AA16" s="249"/>
      <c r="AB16" s="174"/>
      <c r="AC16" s="172"/>
      <c r="AD16" s="172"/>
      <c r="AE16" s="7"/>
    </row>
    <row r="17" spans="1:31" ht="16.5" thickBot="1">
      <c r="A17" s="6"/>
      <c r="D17" s="1318" t="s">
        <v>3</v>
      </c>
      <c r="F17" t="s">
        <v>1066</v>
      </c>
      <c r="J17" s="7"/>
      <c r="M17" s="6"/>
      <c r="P17" s="132"/>
      <c r="Q17" s="175"/>
      <c r="R17" s="176"/>
      <c r="S17" s="176"/>
      <c r="T17" s="176"/>
      <c r="U17" s="177"/>
      <c r="V17" s="177"/>
      <c r="W17" s="177"/>
      <c r="X17" s="178"/>
      <c r="Y17" s="179"/>
      <c r="Z17" s="180"/>
      <c r="AA17" s="177"/>
      <c r="AB17" s="181"/>
      <c r="AC17" s="179"/>
      <c r="AD17" s="179"/>
      <c r="AE17" s="7"/>
    </row>
    <row r="18" spans="1:31" ht="16">
      <c r="A18" s="6"/>
      <c r="D18" s="252" t="s">
        <v>4</v>
      </c>
      <c r="J18" s="7"/>
      <c r="M18" s="6"/>
      <c r="P18" s="21"/>
      <c r="Q18" s="21"/>
      <c r="R18" s="21"/>
      <c r="S18" s="21"/>
      <c r="T18" s="196"/>
      <c r="U18" s="21"/>
      <c r="V18" s="21"/>
      <c r="W18" s="21"/>
      <c r="X18" s="21"/>
      <c r="Y18" s="21"/>
      <c r="Z18" s="21"/>
      <c r="AA18" s="21"/>
      <c r="AB18" s="21"/>
      <c r="AC18" s="21"/>
      <c r="AD18" s="21"/>
      <c r="AE18" s="7"/>
    </row>
    <row r="19" spans="1:31" ht="16">
      <c r="A19" s="6"/>
      <c r="D19" s="1318" t="s">
        <v>5</v>
      </c>
      <c r="F19" t="s">
        <v>1067</v>
      </c>
      <c r="J19" s="7"/>
      <c r="M19" s="6"/>
      <c r="P19" s="14" t="s">
        <v>104</v>
      </c>
      <c r="Q19" s="64"/>
      <c r="R19" s="64"/>
      <c r="S19" s="64"/>
      <c r="T19" s="73"/>
      <c r="U19" s="64"/>
      <c r="V19" s="64"/>
      <c r="W19" s="64"/>
      <c r="X19" s="64"/>
      <c r="Y19" s="64"/>
      <c r="Z19" s="64"/>
      <c r="AA19" s="64"/>
      <c r="AB19" s="64"/>
      <c r="AC19" s="64"/>
      <c r="AD19" s="64"/>
      <c r="AE19" s="7"/>
    </row>
    <row r="20" spans="1:31" ht="16.75" thickBot="1">
      <c r="A20" s="6"/>
      <c r="D20" s="253" t="s">
        <v>6</v>
      </c>
      <c r="J20" s="7"/>
      <c r="M20" s="6"/>
      <c r="P20" s="64"/>
      <c r="Q20" s="64"/>
      <c r="R20" s="64"/>
      <c r="S20" s="64"/>
      <c r="T20" s="74"/>
      <c r="U20" s="64"/>
      <c r="V20" s="64"/>
      <c r="W20" s="64"/>
      <c r="X20" s="64"/>
      <c r="Y20" s="64"/>
      <c r="Z20" s="64"/>
      <c r="AA20" s="64"/>
      <c r="AB20" s="64"/>
      <c r="AC20" s="64"/>
      <c r="AD20" s="64"/>
      <c r="AE20" s="7"/>
    </row>
    <row r="21" spans="1:31" ht="15.5" thickBot="1">
      <c r="A21" s="6"/>
      <c r="J21" s="7"/>
      <c r="M21" s="6"/>
      <c r="P21" s="64"/>
      <c r="Q21" s="1336" t="s">
        <v>53</v>
      </c>
      <c r="R21" s="95"/>
      <c r="S21" s="95"/>
      <c r="T21" s="95"/>
      <c r="U21" s="95"/>
      <c r="V21" s="95"/>
      <c r="W21" s="95"/>
      <c r="X21" s="95"/>
      <c r="Y21" s="182" t="s">
        <v>58</v>
      </c>
      <c r="Z21" s="95" t="s">
        <v>54</v>
      </c>
      <c r="AA21" s="95"/>
      <c r="AB21" s="1337"/>
      <c r="AC21" s="183"/>
      <c r="AD21" s="183"/>
      <c r="AE21" s="7"/>
    </row>
    <row r="22" spans="1:31" ht="45" thickBot="1">
      <c r="D22" s="287" t="str">
        <f>+GDP!D168</f>
        <v>I.2 Macro-Framework exogenous blocks</v>
      </c>
      <c r="F22" s="11" t="s">
        <v>1064</v>
      </c>
      <c r="J22" s="7"/>
      <c r="M22" s="6"/>
      <c r="P22" s="15"/>
      <c r="Q22" s="96" t="s">
        <v>91</v>
      </c>
      <c r="R22" s="184" t="s">
        <v>90</v>
      </c>
      <c r="S22" s="184" t="s">
        <v>89</v>
      </c>
      <c r="T22" s="184" t="s">
        <v>97</v>
      </c>
      <c r="U22" s="184" t="s">
        <v>52</v>
      </c>
      <c r="V22" s="184" t="s">
        <v>98</v>
      </c>
      <c r="W22" s="184" t="s">
        <v>99</v>
      </c>
      <c r="X22" s="185" t="s">
        <v>78</v>
      </c>
      <c r="Y22" s="186" t="s">
        <v>88</v>
      </c>
      <c r="Z22" s="187" t="s">
        <v>52</v>
      </c>
      <c r="AA22" s="184" t="s">
        <v>92</v>
      </c>
      <c r="AB22" s="188" t="s">
        <v>78</v>
      </c>
      <c r="AC22" s="186" t="s">
        <v>8</v>
      </c>
      <c r="AD22" s="186" t="s">
        <v>9</v>
      </c>
      <c r="AE22" s="7"/>
    </row>
    <row r="23" spans="1:31" ht="16">
      <c r="D23" s="249" t="s">
        <v>39</v>
      </c>
      <c r="J23" s="7"/>
      <c r="M23" s="6"/>
      <c r="P23" s="265" t="s">
        <v>100</v>
      </c>
      <c r="Q23" s="189"/>
      <c r="R23" s="266"/>
      <c r="S23" s="266"/>
      <c r="T23" s="266"/>
      <c r="U23" s="267"/>
      <c r="V23" s="267"/>
      <c r="W23" s="267"/>
      <c r="X23" s="268"/>
      <c r="Y23" s="190"/>
      <c r="Z23" s="191"/>
      <c r="AA23" s="267"/>
      <c r="AB23" s="192"/>
      <c r="AC23" s="193"/>
      <c r="AD23" s="193"/>
      <c r="AE23" s="7"/>
    </row>
    <row r="24" spans="1:31" ht="16">
      <c r="D24" s="1319" t="s">
        <v>7</v>
      </c>
      <c r="F24" t="s">
        <v>1065</v>
      </c>
      <c r="J24" s="7"/>
      <c r="M24" s="6"/>
      <c r="P24" s="269"/>
      <c r="Q24" s="170"/>
      <c r="R24" s="171"/>
      <c r="S24" s="171"/>
      <c r="T24" s="171"/>
      <c r="U24" s="53"/>
      <c r="V24" s="53"/>
      <c r="W24" s="53"/>
      <c r="X24" s="111"/>
      <c r="Y24" s="172"/>
      <c r="Z24" s="173"/>
      <c r="AA24" s="53"/>
      <c r="AB24" s="174"/>
      <c r="AC24" s="172"/>
      <c r="AD24" s="172"/>
      <c r="AE24" s="7"/>
    </row>
    <row r="25" spans="1:31">
      <c r="D25" s="249" t="s">
        <v>31</v>
      </c>
      <c r="J25" s="7"/>
      <c r="M25" s="6"/>
      <c r="P25" s="270" t="s">
        <v>105</v>
      </c>
      <c r="Q25" s="271"/>
      <c r="R25" s="271"/>
      <c r="S25" s="271"/>
      <c r="T25" s="272"/>
      <c r="AE25" s="7"/>
    </row>
    <row r="26" spans="1:31" ht="15.75">
      <c r="D26" s="1320" t="s">
        <v>200</v>
      </c>
      <c r="F26" t="s">
        <v>1068</v>
      </c>
      <c r="J26" s="7"/>
      <c r="M26" s="6"/>
      <c r="P26" s="70"/>
      <c r="Q26" s="71"/>
      <c r="R26" s="71"/>
      <c r="S26" s="71"/>
      <c r="T26" s="72"/>
      <c r="AE26" s="7"/>
    </row>
    <row r="27" spans="1:31" ht="15.5" thickBot="1">
      <c r="D27" s="255" t="s">
        <v>175</v>
      </c>
      <c r="J27" s="7"/>
      <c r="M27" s="8"/>
      <c r="N27" s="9"/>
      <c r="O27" s="9"/>
      <c r="P27" s="9"/>
      <c r="Q27" s="9"/>
      <c r="R27" s="9"/>
      <c r="S27" s="9"/>
      <c r="T27" s="9"/>
      <c r="U27" s="9"/>
      <c r="V27" s="9"/>
      <c r="W27" s="9"/>
      <c r="X27" s="9"/>
      <c r="Y27" s="9"/>
      <c r="Z27" s="9"/>
      <c r="AA27" s="9"/>
      <c r="AB27" s="9"/>
      <c r="AC27" s="9"/>
      <c r="AD27" s="9"/>
      <c r="AE27" s="10"/>
    </row>
    <row r="28" spans="1:31" ht="15.75">
      <c r="D28" s="1321" t="s">
        <v>347</v>
      </c>
      <c r="F28" t="s">
        <v>1069</v>
      </c>
      <c r="J28" s="7"/>
    </row>
    <row r="29" spans="1:31">
      <c r="J29" s="7"/>
    </row>
    <row r="30" spans="1:31">
      <c r="D30" s="27" t="str">
        <f>+GDP!D303</f>
        <v>II. GDP specific assumptions (supply side)</v>
      </c>
      <c r="J30" s="7"/>
      <c r="K30" t="s">
        <v>1112</v>
      </c>
    </row>
    <row r="31" spans="1:31">
      <c r="D31" s="13" t="s">
        <v>1070</v>
      </c>
      <c r="J31" s="7"/>
      <c r="K31" t="s">
        <v>1115</v>
      </c>
    </row>
    <row r="32" spans="1:31">
      <c r="J32" s="7"/>
    </row>
    <row r="33" spans="1:11" ht="16.75" thickBot="1">
      <c r="A33" s="6"/>
      <c r="D33" s="27" t="str">
        <f>+GDP!D425</f>
        <v>III. GDP in volume</v>
      </c>
      <c r="E33" s="18" t="s">
        <v>1071</v>
      </c>
      <c r="F33" s="18"/>
      <c r="G33" s="18"/>
      <c r="H33" s="18"/>
      <c r="I33" s="18"/>
      <c r="J33" s="7"/>
      <c r="K33" t="s">
        <v>1160</v>
      </c>
    </row>
    <row r="34" spans="1:11" ht="15.5" thickBot="1">
      <c r="A34" s="6"/>
      <c r="D34" s="19"/>
      <c r="E34" s="30">
        <v>1998</v>
      </c>
      <c r="F34" s="30">
        <v>1999</v>
      </c>
      <c r="G34" s="30" t="s">
        <v>12</v>
      </c>
      <c r="H34" s="30">
        <v>2022</v>
      </c>
      <c r="I34" s="30"/>
      <c r="J34" s="7"/>
      <c r="K34" t="s">
        <v>1098</v>
      </c>
    </row>
    <row r="35" spans="1:11">
      <c r="A35" s="6"/>
      <c r="D35" s="194" t="s">
        <v>1056</v>
      </c>
      <c r="E35" s="195"/>
      <c r="F35" s="195"/>
      <c r="G35" s="195"/>
      <c r="H35" s="195"/>
      <c r="I35" s="195"/>
      <c r="J35" s="7"/>
      <c r="K35" t="s">
        <v>1099</v>
      </c>
    </row>
    <row r="36" spans="1:11" ht="15.5" thickBot="1">
      <c r="A36" s="6"/>
      <c r="D36" s="132" t="s">
        <v>1072</v>
      </c>
      <c r="E36" s="167"/>
      <c r="F36" s="167"/>
      <c r="G36" s="167"/>
      <c r="H36" s="167"/>
      <c r="I36" s="167"/>
      <c r="J36" s="7"/>
    </row>
    <row r="37" spans="1:11">
      <c r="A37" s="6"/>
      <c r="D37" s="21"/>
      <c r="E37" s="21"/>
      <c r="F37" s="21"/>
      <c r="G37" s="21"/>
      <c r="H37" s="21"/>
      <c r="I37" s="21"/>
      <c r="J37" s="7"/>
      <c r="K37" t="s">
        <v>1104</v>
      </c>
    </row>
    <row r="38" spans="1:11" ht="16.75" thickBot="1">
      <c r="A38" s="6"/>
      <c r="D38" s="1363" t="str">
        <f>+GDP!D543</f>
        <v>IV. GDP Growth (constant prices 2024)</v>
      </c>
      <c r="E38" s="18" t="s">
        <v>1075</v>
      </c>
      <c r="F38" s="196"/>
      <c r="G38" s="196"/>
      <c r="H38" s="196"/>
      <c r="I38" s="196"/>
      <c r="J38" s="7"/>
      <c r="K38" t="s">
        <v>1100</v>
      </c>
    </row>
    <row r="39" spans="1:11" ht="16.75" thickBot="1">
      <c r="A39" s="6"/>
      <c r="D39" s="196"/>
      <c r="E39" s="30">
        <v>1998</v>
      </c>
      <c r="F39" s="30">
        <v>1999</v>
      </c>
      <c r="G39" s="257" t="s">
        <v>12</v>
      </c>
      <c r="H39" s="30">
        <v>2022</v>
      </c>
      <c r="I39" s="30"/>
      <c r="J39" s="7"/>
      <c r="K39" s="1346" t="s">
        <v>1103</v>
      </c>
    </row>
    <row r="40" spans="1:11" ht="16">
      <c r="A40" s="6"/>
      <c r="D40" s="256" t="s">
        <v>197</v>
      </c>
      <c r="E40" s="16"/>
      <c r="F40" s="16"/>
      <c r="G40" s="16"/>
      <c r="H40" s="16"/>
      <c r="I40" s="16"/>
      <c r="J40" s="7"/>
      <c r="K40" s="1346" t="s">
        <v>1101</v>
      </c>
    </row>
    <row r="41" spans="1:11" ht="16.75" thickBot="1">
      <c r="A41" s="6"/>
      <c r="D41" s="168" t="s">
        <v>1073</v>
      </c>
      <c r="E41" s="169"/>
      <c r="F41" s="169"/>
      <c r="G41" s="169"/>
      <c r="H41" s="169"/>
      <c r="I41" s="169"/>
      <c r="J41" s="7"/>
      <c r="K41" s="1346" t="s">
        <v>1102</v>
      </c>
    </row>
    <row r="42" spans="1:11">
      <c r="A42" s="6"/>
      <c r="D42" s="21"/>
      <c r="E42" s="21"/>
      <c r="F42" s="21"/>
      <c r="G42" s="21"/>
      <c r="H42" s="21"/>
      <c r="I42" s="21"/>
      <c r="J42" s="7"/>
    </row>
    <row r="43" spans="1:11" ht="16.75" thickBot="1">
      <c r="D43" s="27" t="str">
        <f>+GDP!D588</f>
        <v>IVa. GDP supply in constant prices (2024)</v>
      </c>
      <c r="E43" s="18" t="s">
        <v>1075</v>
      </c>
      <c r="F43" s="27"/>
      <c r="G43" s="27"/>
      <c r="H43" s="27"/>
      <c r="I43" s="27"/>
      <c r="J43" s="7"/>
      <c r="K43" t="s">
        <v>1106</v>
      </c>
    </row>
    <row r="44" spans="1:11" ht="16.75" thickBot="1">
      <c r="D44" s="196"/>
      <c r="E44" s="30">
        <v>1998</v>
      </c>
      <c r="F44" s="30">
        <v>1999</v>
      </c>
      <c r="G44" s="257" t="s">
        <v>12</v>
      </c>
      <c r="H44" s="30">
        <v>2022</v>
      </c>
      <c r="I44" s="30"/>
      <c r="J44" s="7"/>
    </row>
    <row r="45" spans="1:11" ht="16">
      <c r="D45" s="256" t="s">
        <v>16</v>
      </c>
      <c r="E45" s="16"/>
      <c r="F45" s="16"/>
      <c r="G45" s="16"/>
      <c r="H45" s="16"/>
      <c r="I45" s="16"/>
      <c r="J45" s="7"/>
      <c r="K45" s="11" t="s">
        <v>1105</v>
      </c>
    </row>
    <row r="46" spans="1:11" ht="16.75" thickBot="1">
      <c r="D46" s="168" t="s">
        <v>1074</v>
      </c>
      <c r="E46" s="169"/>
      <c r="F46" s="169"/>
      <c r="G46" s="169"/>
      <c r="H46" s="169"/>
      <c r="I46" s="169"/>
      <c r="J46" s="7"/>
    </row>
    <row r="47" spans="1:11">
      <c r="D47" s="21"/>
      <c r="E47" s="21"/>
      <c r="F47" s="21"/>
      <c r="G47" s="21"/>
      <c r="H47" s="21"/>
      <c r="I47" s="21"/>
      <c r="J47" s="7"/>
    </row>
    <row r="48" spans="1:11" ht="16.75" thickBot="1">
      <c r="D48" s="27" t="str">
        <f>+GDP!D633</f>
        <v>IVb. GDP supply deflator (2024)</v>
      </c>
      <c r="E48" s="18" t="str">
        <f>+E38</f>
        <v>past: NISR NA data pasted in in standard format</v>
      </c>
      <c r="F48" s="27"/>
      <c r="G48" s="27"/>
      <c r="H48" s="27"/>
      <c r="I48" s="27"/>
      <c r="J48" s="7"/>
      <c r="K48" t="s">
        <v>1108</v>
      </c>
    </row>
    <row r="49" spans="4:13" ht="16.75" thickBot="1">
      <c r="D49" s="196"/>
      <c r="E49" s="30">
        <v>1998</v>
      </c>
      <c r="F49" s="30">
        <v>1999</v>
      </c>
      <c r="G49" s="257"/>
      <c r="H49" s="30">
        <v>2022</v>
      </c>
      <c r="I49" s="30"/>
      <c r="J49" s="7"/>
    </row>
    <row r="50" spans="4:13" ht="16">
      <c r="D50" s="256" t="s">
        <v>1059</v>
      </c>
      <c r="E50" s="16"/>
      <c r="F50" s="16"/>
      <c r="G50" s="16"/>
      <c r="H50" s="16"/>
      <c r="I50" s="16"/>
      <c r="J50" s="7"/>
      <c r="K50" s="11" t="s">
        <v>1109</v>
      </c>
    </row>
    <row r="51" spans="4:13" ht="16.75" thickBot="1">
      <c r="D51" s="168"/>
      <c r="E51" s="169"/>
      <c r="F51" s="169"/>
      <c r="G51" s="169"/>
      <c r="H51" s="169"/>
      <c r="I51" s="169"/>
      <c r="J51" s="7"/>
    </row>
    <row r="52" spans="4:13">
      <c r="D52" s="21"/>
      <c r="E52" s="21"/>
      <c r="F52" s="21"/>
      <c r="G52" s="21"/>
      <c r="H52" s="21"/>
      <c r="I52" s="21"/>
      <c r="J52" s="7"/>
    </row>
    <row r="53" spans="4:13" ht="15.5" thickBot="1">
      <c r="D53" s="27" t="str">
        <f>+GDP!D677</f>
        <v>IVc. GDP current prices (market prices)</v>
      </c>
      <c r="E53" s="27" t="str">
        <f>+E38</f>
        <v>past: NISR NA data pasted in in standard format</v>
      </c>
      <c r="F53" s="27"/>
      <c r="G53" s="27"/>
      <c r="H53" s="27"/>
      <c r="I53" s="27"/>
      <c r="J53" s="7"/>
      <c r="K53" t="s">
        <v>1107</v>
      </c>
    </row>
    <row r="54" spans="4:13" ht="16.75" thickBot="1">
      <c r="D54" s="196"/>
      <c r="E54" s="30">
        <v>1998</v>
      </c>
      <c r="F54" s="30">
        <v>1999</v>
      </c>
      <c r="G54" s="257"/>
      <c r="H54" s="30">
        <v>2022</v>
      </c>
      <c r="I54" s="30"/>
      <c r="J54" s="7"/>
    </row>
    <row r="55" spans="4:13" ht="16">
      <c r="D55" s="256" t="str">
        <f>+GDP!D680</f>
        <v>GDP</v>
      </c>
      <c r="E55" s="16"/>
      <c r="F55" s="16"/>
      <c r="G55" s="16"/>
      <c r="H55" s="16"/>
      <c r="I55" s="16"/>
      <c r="J55" s="7"/>
      <c r="K55" s="11" t="s">
        <v>1110</v>
      </c>
    </row>
    <row r="56" spans="4:13" ht="16.75" thickBot="1">
      <c r="D56" s="168"/>
      <c r="E56" s="169"/>
      <c r="F56" s="169"/>
      <c r="G56" s="169"/>
      <c r="H56" s="169"/>
      <c r="I56" s="169"/>
      <c r="J56" s="7"/>
    </row>
    <row r="57" spans="4:13" ht="16">
      <c r="D57" s="681"/>
      <c r="E57" s="1322"/>
      <c r="F57" s="1322"/>
      <c r="G57" s="1322"/>
      <c r="H57" s="1322"/>
      <c r="I57" s="1322"/>
      <c r="J57" s="7"/>
    </row>
    <row r="58" spans="4:13" ht="16">
      <c r="D58" s="27" t="str">
        <f>+GDP!D722</f>
        <v>V. GDP specific assumptions (demand side)--parameters</v>
      </c>
      <c r="E58" s="1322"/>
      <c r="F58" s="1322"/>
      <c r="G58" s="1322"/>
      <c r="H58" s="1322"/>
      <c r="I58" s="1322"/>
      <c r="J58" s="7"/>
      <c r="K58" t="s">
        <v>1159</v>
      </c>
    </row>
    <row r="59" spans="4:13" ht="16">
      <c r="D59" s="13" t="s">
        <v>1076</v>
      </c>
      <c r="E59" s="1322"/>
      <c r="F59" s="1322"/>
      <c r="G59" s="1322"/>
      <c r="H59" s="1322"/>
      <c r="I59" s="1322"/>
      <c r="J59" s="7"/>
    </row>
    <row r="60" spans="4:13">
      <c r="J60" s="7"/>
    </row>
    <row r="61" spans="4:13">
      <c r="D61" s="21"/>
      <c r="E61" s="21"/>
      <c r="F61" s="21"/>
      <c r="G61" s="21"/>
      <c r="H61" s="21"/>
      <c r="I61" s="21"/>
      <c r="J61" s="7"/>
      <c r="K61" t="s">
        <v>1113</v>
      </c>
    </row>
    <row r="62" spans="4:13" ht="15.5" thickBot="1">
      <c r="D62" s="1323" t="str">
        <f>+GDP!D759</f>
        <v>VIa. Expenditure on GDP</v>
      </c>
      <c r="E62" s="27"/>
      <c r="F62" s="27"/>
      <c r="G62" s="27"/>
      <c r="H62" s="27"/>
      <c r="I62" s="27"/>
      <c r="J62" s="7"/>
    </row>
    <row r="63" spans="4:13" ht="15.5" thickBot="1">
      <c r="D63" s="1325" t="str">
        <f>+GDP!D761</f>
        <v xml:space="preserve">    Constant 2024 prices</v>
      </c>
      <c r="E63" s="30">
        <v>1998</v>
      </c>
      <c r="F63" s="30">
        <v>1999</v>
      </c>
      <c r="G63" s="257" t="s">
        <v>12</v>
      </c>
      <c r="H63" s="30">
        <v>2022</v>
      </c>
      <c r="I63" s="30"/>
      <c r="J63" s="7"/>
      <c r="K63" t="s">
        <v>1111</v>
      </c>
      <c r="M63" s="11" t="str">
        <f>+D75</f>
        <v>VII. Supply and demand in aggregate format (Supply indicators for deflator calcs)</v>
      </c>
    </row>
    <row r="64" spans="4:13" ht="16">
      <c r="D64" s="256" t="s">
        <v>226</v>
      </c>
      <c r="E64" s="16"/>
      <c r="F64" s="16"/>
      <c r="G64" s="16"/>
      <c r="H64" s="16"/>
      <c r="I64" s="16"/>
      <c r="J64" s="7"/>
      <c r="M64" t="str">
        <f>+D83</f>
        <v>GDP_EXPENDITURE in current prices (equal to supply)</v>
      </c>
    </row>
    <row r="65" spans="4:12" ht="16.75" thickBot="1">
      <c r="D65" s="168"/>
      <c r="E65" s="169"/>
      <c r="F65" s="169"/>
      <c r="G65" s="169"/>
      <c r="H65" s="169"/>
      <c r="I65" s="169"/>
      <c r="J65" s="7"/>
    </row>
    <row r="66" spans="4:12" ht="15.5" thickBot="1">
      <c r="D66" s="1324" t="str">
        <f>+GDP!D781</f>
        <v>VIb. GDP Deflators</v>
      </c>
      <c r="E66" s="30">
        <v>1998</v>
      </c>
      <c r="F66" s="30">
        <v>1999</v>
      </c>
      <c r="G66" s="257" t="s">
        <v>12</v>
      </c>
      <c r="H66" s="30">
        <v>2022</v>
      </c>
      <c r="I66" s="30"/>
      <c r="J66" s="7"/>
      <c r="K66" t="s">
        <v>1114</v>
      </c>
    </row>
    <row r="67" spans="4:12" ht="16">
      <c r="D67" s="256" t="str">
        <f>+GDP!D784</f>
        <v>Gross Domestic Product(GDP)</v>
      </c>
      <c r="E67" s="16"/>
      <c r="F67" s="16"/>
      <c r="G67" s="16"/>
      <c r="H67" s="16"/>
      <c r="I67" s="16"/>
      <c r="J67" s="7"/>
    </row>
    <row r="68" spans="4:12" ht="16.75" thickBot="1">
      <c r="D68" s="168"/>
      <c r="E68" s="169"/>
      <c r="F68" s="169"/>
      <c r="G68" s="169"/>
      <c r="H68" s="169"/>
      <c r="I68" s="169"/>
      <c r="J68" s="7"/>
      <c r="K68" t="s">
        <v>1150</v>
      </c>
    </row>
    <row r="69" spans="4:12">
      <c r="D69" s="21"/>
      <c r="E69" s="21"/>
      <c r="F69" s="21"/>
      <c r="G69" s="21"/>
      <c r="H69" s="21"/>
      <c r="I69" s="21"/>
      <c r="J69" s="7"/>
    </row>
    <row r="70" spans="4:12" ht="15.5" thickBot="1">
      <c r="D70" s="1323" t="str">
        <f>+GDP!D803</f>
        <v>VIc. Expenditure on GDP</v>
      </c>
      <c r="E70" s="27"/>
      <c r="F70" s="27"/>
      <c r="G70" s="27"/>
      <c r="H70" s="27"/>
      <c r="I70" s="27"/>
      <c r="J70" s="7"/>
      <c r="K70" t="s">
        <v>1116</v>
      </c>
    </row>
    <row r="71" spans="4:12" ht="15.5" thickBot="1">
      <c r="D71" s="1325" t="str">
        <f>+GDP!D805</f>
        <v xml:space="preserve">     In current prices       </v>
      </c>
      <c r="E71" s="30">
        <v>1998</v>
      </c>
      <c r="F71" s="30">
        <v>1999</v>
      </c>
      <c r="G71" s="257" t="s">
        <v>12</v>
      </c>
      <c r="H71" s="30">
        <v>2022</v>
      </c>
      <c r="I71" s="30"/>
      <c r="J71" s="7"/>
    </row>
    <row r="72" spans="4:12" ht="16">
      <c r="D72" s="256" t="str">
        <f>+GDP!D806</f>
        <v>Gross Domestic Product (GDP)</v>
      </c>
      <c r="E72" s="16"/>
      <c r="F72" s="16"/>
      <c r="G72" s="16"/>
      <c r="H72" s="16"/>
      <c r="I72" s="16"/>
      <c r="J72" s="7"/>
      <c r="K72" t="s">
        <v>1157</v>
      </c>
    </row>
    <row r="73" spans="4:12" ht="16">
      <c r="D73" s="1326"/>
      <c r="E73" s="1327"/>
      <c r="F73" s="1327"/>
      <c r="G73" s="1327"/>
      <c r="H73" s="1327"/>
      <c r="I73" s="1327"/>
      <c r="J73" s="7"/>
      <c r="L73" t="s">
        <v>1158</v>
      </c>
    </row>
    <row r="74" spans="4:12">
      <c r="J74" s="7"/>
      <c r="K74" s="1330" t="s">
        <v>1117</v>
      </c>
    </row>
    <row r="75" spans="4:12" ht="15.75">
      <c r="D75" s="1348" t="str">
        <f>+GDP!D832</f>
        <v>VII. Supply and demand in aggregate format (Supply indicators for deflator calcs)</v>
      </c>
      <c r="J75" s="7"/>
      <c r="L75" t="s">
        <v>1118</v>
      </c>
    </row>
    <row r="76" spans="4:12">
      <c r="J76" s="7"/>
      <c r="L76" t="s">
        <v>1119</v>
      </c>
    </row>
    <row r="77" spans="4:12">
      <c r="D77" t="str">
        <f>+GDP!D833</f>
        <v>Summary GDP_Supply KP (sum of sector forecasts)</v>
      </c>
      <c r="J77" s="7"/>
      <c r="L77" t="s">
        <v>1120</v>
      </c>
    </row>
    <row r="78" spans="4:12">
      <c r="J78" s="7"/>
      <c r="L78" t="s">
        <v>1136</v>
      </c>
    </row>
    <row r="79" spans="4:12">
      <c r="D79" t="str">
        <f>+GDP!D846</f>
        <v>GDP_Supply, Current prices (GDP_supply deflator used)</v>
      </c>
      <c r="J79" s="7"/>
      <c r="K79" t="s">
        <v>1137</v>
      </c>
    </row>
    <row r="80" spans="4:12">
      <c r="J80" s="7"/>
    </row>
    <row r="81" spans="4:12">
      <c r="D81" t="str">
        <f>+GDP!D859</f>
        <v xml:space="preserve">GDP_EXPENDITURE in constant prices (equal to supply) </v>
      </c>
      <c r="J81" s="7"/>
      <c r="K81" t="s">
        <v>1121</v>
      </c>
    </row>
    <row r="82" spans="4:12">
      <c r="J82" s="7"/>
      <c r="K82" t="s">
        <v>1138</v>
      </c>
    </row>
    <row r="83" spans="4:12">
      <c r="D83" t="str">
        <f>+GDP!D873</f>
        <v>GDP_EXPENDITURE in current prices (equal to supply)</v>
      </c>
      <c r="J83" s="7"/>
    </row>
    <row r="84" spans="4:12">
      <c r="J84" s="7"/>
      <c r="K84" t="s">
        <v>1151</v>
      </c>
    </row>
    <row r="85" spans="4:12">
      <c r="J85" s="7"/>
    </row>
    <row r="86" spans="4:12" ht="16">
      <c r="D86" s="397" t="str">
        <f>+GDP!D889</f>
        <v>VIII. Calculations deflators consistent with NA, supply &amp; demand side</v>
      </c>
      <c r="J86" s="7"/>
      <c r="K86" t="s">
        <v>1152</v>
      </c>
    </row>
    <row r="87" spans="4:12" ht="16">
      <c r="D87" s="397"/>
      <c r="J87" s="7"/>
    </row>
    <row r="88" spans="4:12" ht="15.75">
      <c r="D88" s="1348" t="str">
        <f>+GDP!D891</f>
        <v xml:space="preserve">VIIIa.  Calculations on import shares in demand </v>
      </c>
      <c r="J88" s="7"/>
      <c r="K88" t="s">
        <v>1128</v>
      </c>
    </row>
    <row r="89" spans="4:12">
      <c r="J89" s="7"/>
      <c r="L89" t="s">
        <v>1129</v>
      </c>
    </row>
    <row r="90" spans="4:12">
      <c r="J90" s="7"/>
    </row>
    <row r="91" spans="4:12" ht="15.5" thickBot="1">
      <c r="J91" s="7"/>
      <c r="K91" t="s">
        <v>1135</v>
      </c>
    </row>
    <row r="92" spans="4:12" ht="16.75" thickBot="1">
      <c r="D92" s="1349" t="str">
        <f>+GDP!D922</f>
        <v>VIIIb. Exogenous % price change (projections)</v>
      </c>
      <c r="E92" s="442"/>
      <c r="F92" s="1331">
        <v>1999</v>
      </c>
      <c r="G92" s="1331"/>
      <c r="H92" s="1331">
        <v>2022</v>
      </c>
      <c r="I92" s="1331"/>
      <c r="J92" s="7"/>
      <c r="K92" t="s">
        <v>1162</v>
      </c>
    </row>
    <row r="93" spans="4:12" ht="16">
      <c r="D93" s="1349"/>
      <c r="E93" s="442"/>
      <c r="F93" s="1354"/>
      <c r="G93" s="1354"/>
      <c r="H93" s="1354"/>
      <c r="I93" s="1354"/>
      <c r="J93" s="7"/>
      <c r="L93" t="s">
        <v>1163</v>
      </c>
    </row>
    <row r="94" spans="4:12" ht="16">
      <c r="D94" s="1349"/>
      <c r="E94" s="442"/>
      <c r="F94" s="1354"/>
      <c r="G94" s="1354"/>
      <c r="H94" s="1354"/>
      <c r="I94" s="1354"/>
      <c r="J94" s="7"/>
    </row>
    <row r="95" spans="4:12" ht="16">
      <c r="D95" s="442"/>
      <c r="E95" s="442"/>
      <c r="F95" s="442"/>
      <c r="G95" s="442"/>
      <c r="H95" s="442"/>
      <c r="I95" s="442"/>
      <c r="J95" s="7"/>
      <c r="K95" t="s">
        <v>1153</v>
      </c>
    </row>
    <row r="96" spans="4:12" ht="15.75">
      <c r="D96" s="1350" t="str">
        <f>+GDP!D948</f>
        <v>VIIIc. Supply and demand side deflators: summary</v>
      </c>
      <c r="E96" s="776"/>
      <c r="F96" s="776"/>
      <c r="G96" s="776"/>
      <c r="H96" s="776"/>
      <c r="I96" s="776"/>
      <c r="J96" s="7"/>
      <c r="L96" t="s">
        <v>1154</v>
      </c>
    </row>
    <row r="97" spans="1:16">
      <c r="D97" s="776"/>
      <c r="E97" s="776"/>
      <c r="F97" s="776"/>
      <c r="G97" s="776"/>
      <c r="H97" s="776"/>
      <c r="I97" s="776"/>
      <c r="J97" s="7"/>
      <c r="K97" t="s">
        <v>1155</v>
      </c>
    </row>
    <row r="98" spans="1:16">
      <c r="D98" s="776"/>
      <c r="E98" s="776"/>
      <c r="F98" s="776"/>
      <c r="G98" s="776"/>
      <c r="H98" s="776"/>
      <c r="I98" s="776"/>
      <c r="J98" s="7"/>
      <c r="K98" t="s">
        <v>1164</v>
      </c>
    </row>
    <row r="99" spans="1:16">
      <c r="J99" s="7"/>
    </row>
    <row r="100" spans="1:16">
      <c r="D100" s="11" t="str">
        <f>+GDP!D991</f>
        <v>IX. Shares of supply and demand components in GDP in constant prices 2017</v>
      </c>
      <c r="J100" s="7"/>
      <c r="K100" t="s">
        <v>1156</v>
      </c>
    </row>
    <row r="101" spans="1:16">
      <c r="J101" s="7"/>
      <c r="L101" t="s">
        <v>1146</v>
      </c>
    </row>
    <row r="102" spans="1:16">
      <c r="J102" s="7"/>
    </row>
    <row r="103" spans="1:16">
      <c r="D103" s="1328" t="str">
        <f>+GDP!D1018</f>
        <v>X. Summary REAL Output</v>
      </c>
      <c r="J103" s="7"/>
    </row>
    <row r="104" spans="1:16">
      <c r="J104" s="7"/>
    </row>
    <row r="105" spans="1:16">
      <c r="J105" s="7"/>
    </row>
    <row r="106" spans="1:16">
      <c r="A106" s="6"/>
      <c r="D106" s="25" t="str">
        <f>+GDP!D1092</f>
        <v>XI. SELECTED BLOCKS FOR MACRO-FRAMEWORK</v>
      </c>
      <c r="E106" s="25"/>
      <c r="F106" s="25"/>
      <c r="G106" s="25"/>
      <c r="H106" s="436"/>
      <c r="I106" s="25"/>
      <c r="J106" s="25"/>
      <c r="P106" s="11"/>
    </row>
    <row r="107" spans="1:16">
      <c r="A107" s="6"/>
      <c r="D107" s="249" t="str">
        <f>+GDP!D1093</f>
        <v xml:space="preserve">XI.a REAL variables for Macro-Framework </v>
      </c>
      <c r="E107" s="249"/>
      <c r="F107" s="249"/>
      <c r="G107" s="249"/>
      <c r="H107" s="249"/>
      <c r="I107" s="249"/>
      <c r="J107" s="249"/>
    </row>
    <row r="108" spans="1:16" ht="15.75">
      <c r="A108" s="6"/>
      <c r="D108" s="1352" t="str">
        <f>+GDP!D1094</f>
        <v>REAL_MF</v>
      </c>
      <c r="E108" s="258"/>
      <c r="F108" s="1347">
        <f>+F92</f>
        <v>1999</v>
      </c>
      <c r="G108" s="258"/>
      <c r="H108" s="1347">
        <f>+H92</f>
        <v>2022</v>
      </c>
      <c r="I108" s="258"/>
      <c r="J108" s="258"/>
    </row>
    <row r="109" spans="1:16">
      <c r="A109" s="6"/>
      <c r="J109" s="7"/>
    </row>
    <row r="110" spans="1:16">
      <c r="A110" s="6"/>
      <c r="D110" s="25" t="str">
        <f>+GDP!D1132</f>
        <v xml:space="preserve">XI.b GDP extract on demand </v>
      </c>
      <c r="E110" s="25"/>
      <c r="F110" s="25"/>
      <c r="G110" s="25"/>
      <c r="H110" s="436"/>
      <c r="I110" s="25"/>
      <c r="J110" s="25"/>
    </row>
    <row r="111" spans="1:16">
      <c r="A111" s="6"/>
      <c r="D111" s="249"/>
      <c r="E111" s="249"/>
      <c r="F111" s="249"/>
      <c r="G111" s="249"/>
      <c r="H111" s="249"/>
      <c r="I111" s="249"/>
      <c r="J111" s="249"/>
    </row>
    <row r="112" spans="1:16">
      <c r="A112" s="6"/>
      <c r="D112" s="258" t="str">
        <f>+GDP!D1136</f>
        <v>Real GDP Growth</v>
      </c>
      <c r="E112" s="258"/>
      <c r="F112" s="258"/>
      <c r="G112" s="258"/>
      <c r="H112" s="258"/>
      <c r="I112" s="258"/>
      <c r="J112" s="258"/>
    </row>
    <row r="113" spans="1:10">
      <c r="A113" s="6"/>
      <c r="J113" s="7"/>
    </row>
    <row r="114" spans="1:10" ht="15.75">
      <c r="A114" s="6"/>
      <c r="D114" s="1351" t="str">
        <f>+GDP!D1150</f>
        <v>XI.c REAL variables for FISCAL REAL_FISC below this</v>
      </c>
      <c r="E114" s="25"/>
      <c r="F114" s="25"/>
      <c r="G114" s="25"/>
      <c r="H114" s="436"/>
      <c r="I114" s="25"/>
      <c r="J114" s="25"/>
    </row>
    <row r="115" spans="1:10">
      <c r="A115" s="6"/>
      <c r="D115" s="249"/>
      <c r="E115" s="249"/>
      <c r="F115" s="249"/>
      <c r="G115" s="249"/>
      <c r="H115" s="249"/>
      <c r="I115" s="249"/>
      <c r="J115" s="249"/>
    </row>
    <row r="116" spans="1:10">
      <c r="A116" s="6"/>
      <c r="D116" s="258" t="str">
        <f>+GDP!D1151</f>
        <v>Calculated ratios, parameters</v>
      </c>
      <c r="E116" s="258"/>
      <c r="F116" s="258"/>
      <c r="G116" s="258"/>
      <c r="H116" s="258"/>
      <c r="I116" s="258"/>
      <c r="J116" s="258"/>
    </row>
    <row r="117" spans="1:10">
      <c r="A117" s="6"/>
      <c r="J117" s="7"/>
    </row>
    <row r="118" spans="1:10" ht="15.75">
      <c r="A118" s="6"/>
      <c r="D118" s="1351" t="str">
        <f>+GDP!D1165</f>
        <v>XI.d REAL_REFOTO</v>
      </c>
      <c r="E118" s="25"/>
      <c r="F118" s="25"/>
      <c r="G118" s="25"/>
      <c r="H118" s="436"/>
      <c r="I118" s="25"/>
      <c r="J118" s="25"/>
    </row>
    <row r="119" spans="1:10">
      <c r="A119" s="6"/>
      <c r="D119" s="249"/>
      <c r="E119" s="249"/>
      <c r="F119" s="249"/>
      <c r="G119" s="249"/>
      <c r="H119" s="249"/>
      <c r="I119" s="249"/>
      <c r="J119" s="249"/>
    </row>
    <row r="120" spans="1:10">
      <c r="A120" s="6"/>
      <c r="D120" s="258" t="str">
        <f>+GDP!D1167</f>
        <v>Real GDP in bln RWF</v>
      </c>
      <c r="E120" s="258"/>
      <c r="F120" s="258"/>
      <c r="G120" s="258"/>
      <c r="H120" s="258"/>
      <c r="I120" s="258"/>
      <c r="J120" s="258"/>
    </row>
    <row r="121" spans="1:10">
      <c r="A121" s="6"/>
      <c r="J121" s="7"/>
    </row>
    <row r="122" spans="1:10" ht="15.75">
      <c r="A122" s="6"/>
      <c r="D122" s="1351" t="str">
        <f>+GDP!D1195</f>
        <v>XI.e REAL variables for Long-term growth model</v>
      </c>
      <c r="E122" s="25"/>
      <c r="F122" s="25"/>
      <c r="G122" s="25"/>
      <c r="H122" s="436"/>
      <c r="I122" s="25"/>
      <c r="J122" s="25"/>
    </row>
    <row r="123" spans="1:10">
      <c r="A123" s="6"/>
      <c r="D123" s="1338"/>
      <c r="E123" s="1338"/>
      <c r="F123" s="1338"/>
      <c r="G123" s="1338"/>
      <c r="H123" s="1338"/>
      <c r="I123" s="1338"/>
      <c r="J123" s="1338"/>
    </row>
    <row r="124" spans="1:10">
      <c r="A124" s="6"/>
      <c r="D124" s="1339" t="str">
        <f>+GDP!D1225</f>
        <v>XI.f Capital stocks</v>
      </c>
      <c r="E124" s="249"/>
      <c r="F124" s="249"/>
      <c r="G124" s="249"/>
      <c r="H124" s="249"/>
      <c r="I124" s="249"/>
      <c r="J124" s="249"/>
    </row>
    <row r="125" spans="1:10">
      <c r="A125" s="6"/>
      <c r="D125" s="1338"/>
      <c r="E125" s="764"/>
      <c r="F125" s="764"/>
      <c r="G125" s="764"/>
      <c r="H125" s="764"/>
      <c r="I125" s="764"/>
      <c r="J125" s="764"/>
    </row>
    <row r="126" spans="1:10" ht="15.75">
      <c r="A126" s="6"/>
      <c r="D126" s="1351" t="str">
        <f>+GDP!D1224</f>
        <v>REAL_Rwametric_Adata (capital stocks) below this (Annual data)</v>
      </c>
      <c r="E126" s="25"/>
      <c r="F126" s="25"/>
      <c r="G126" s="25"/>
      <c r="H126" s="436"/>
      <c r="I126" s="25"/>
      <c r="J126" s="25"/>
    </row>
    <row r="127" spans="1:10">
      <c r="A127" s="6"/>
      <c r="D127" s="249"/>
      <c r="E127" s="249"/>
      <c r="F127" s="249"/>
      <c r="G127" s="249"/>
      <c r="H127" s="249"/>
      <c r="I127" s="249"/>
      <c r="J127" s="249"/>
    </row>
    <row r="128" spans="1:10" ht="15.75">
      <c r="A128" s="6"/>
      <c r="D128" s="1351" t="str">
        <f>+GDP!D1251</f>
        <v>REAL_Rwametric_Qdata  below this (Quarterly data) (capital stocks), intrayear is intrapolation</v>
      </c>
      <c r="E128" s="25"/>
      <c r="F128" s="25"/>
      <c r="G128" s="25"/>
      <c r="H128" s="436"/>
      <c r="I128" s="25"/>
      <c r="J128" s="25"/>
    </row>
    <row r="129" spans="1:10">
      <c r="A129" s="6"/>
      <c r="D129" s="249"/>
      <c r="E129" s="249"/>
      <c r="F129" s="249"/>
      <c r="G129" s="249"/>
      <c r="H129" s="249"/>
      <c r="I129" s="249"/>
      <c r="J129" s="249"/>
    </row>
    <row r="130" spans="1:10" ht="15.75">
      <c r="A130" s="6"/>
      <c r="D130" s="1351" t="str">
        <f>+GDP!D1279</f>
        <v>REAL_RSSB_Rwametric_Qdata below this</v>
      </c>
      <c r="E130" s="25"/>
      <c r="F130" s="25"/>
      <c r="G130" s="25"/>
      <c r="H130" s="436"/>
      <c r="I130" s="25"/>
      <c r="J130" s="25"/>
    </row>
    <row r="131" spans="1:10">
      <c r="A131" s="6"/>
      <c r="D131" s="249"/>
      <c r="E131" s="249"/>
      <c r="F131" s="249"/>
      <c r="G131" s="249"/>
      <c r="H131" s="249"/>
      <c r="I131" s="249"/>
      <c r="J131" s="249"/>
    </row>
    <row r="132" spans="1:10">
      <c r="A132" s="6"/>
      <c r="D132" s="25" t="str">
        <f>+GDP!D1294</f>
        <v>Real Extract domestic shock variables (Covid) bln RWF</v>
      </c>
      <c r="E132" s="25"/>
      <c r="F132" s="25"/>
      <c r="G132" s="25"/>
      <c r="H132" s="436"/>
      <c r="I132" s="25"/>
      <c r="J132" s="25"/>
    </row>
    <row r="133" spans="1:10">
      <c r="A133" s="6"/>
      <c r="D133" s="249"/>
      <c r="E133" s="249"/>
      <c r="F133" s="249"/>
      <c r="G133" s="249"/>
      <c r="H133" s="249"/>
      <c r="I133" s="249"/>
      <c r="J133" s="249"/>
    </row>
    <row r="134" spans="1:10" ht="16.5" thickBot="1">
      <c r="A134" s="8"/>
      <c r="B134" s="9"/>
      <c r="C134" s="9"/>
      <c r="D134" s="1353" t="str">
        <f>+GDP!D1317</f>
        <v>REAL_Rwametric_Outlook (real growth rates) below this</v>
      </c>
      <c r="E134" s="1329"/>
      <c r="F134" s="1329"/>
      <c r="G134" s="1329"/>
      <c r="H134" s="1329"/>
      <c r="I134" s="1329"/>
      <c r="J134" s="1329"/>
    </row>
    <row r="137" spans="1:10" ht="16">
      <c r="A137" s="197" t="s">
        <v>138</v>
      </c>
    </row>
    <row r="138" spans="1:10" ht="16">
      <c r="A138" s="198"/>
    </row>
    <row r="139" spans="1:10">
      <c r="A139" s="199" t="s">
        <v>1149</v>
      </c>
    </row>
    <row r="140" spans="1:10">
      <c r="A140" s="200" t="s">
        <v>139</v>
      </c>
    </row>
    <row r="141" spans="1:10">
      <c r="A141" s="200" t="s">
        <v>237</v>
      </c>
    </row>
    <row r="142" spans="1:10">
      <c r="A142" s="200" t="s">
        <v>140</v>
      </c>
    </row>
    <row r="143" spans="1:10">
      <c r="A143" s="200" t="s">
        <v>141</v>
      </c>
    </row>
    <row r="144" spans="1:10">
      <c r="A144" s="200" t="s">
        <v>142</v>
      </c>
    </row>
    <row r="145" spans="1:1">
      <c r="A145" s="200" t="s">
        <v>143</v>
      </c>
    </row>
    <row r="146" spans="1:1">
      <c r="A146" s="200" t="s">
        <v>144</v>
      </c>
    </row>
    <row r="147" spans="1:1">
      <c r="A147" s="200" t="s">
        <v>145</v>
      </c>
    </row>
    <row r="148" spans="1:1">
      <c r="A148" s="200" t="s">
        <v>146</v>
      </c>
    </row>
  </sheetData>
  <hyperlinks>
    <hyperlink ref="D13" location="WEO_PRINT" display="WEO_PRINT" xr:uid="{00000000-0004-0000-0000-000000000000}"/>
    <hyperlink ref="D15" location="GEE_PRINT" display="GEE_PRINT" xr:uid="{00000000-0004-0000-0000-000001000000}"/>
    <hyperlink ref="D17" location="EXTFIN_PRINT" display="EXTFIN_ALL" xr:uid="{00000000-0004-0000-0000-000002000000}"/>
    <hyperlink ref="D19" location="EXTDEBT_PRINT" display="EXTDEBT_ALL" xr:uid="{00000000-0004-0000-0000-000003000000}"/>
    <hyperlink ref="D24" location="BOP_REAL_PRINT" display="BOP_REAL" xr:uid="{00000000-0004-0000-0000-000004000000}"/>
    <hyperlink ref="D26" location="FISC_REAL" display="FISC_REAL" xr:uid="{00000000-0004-0000-0000-000005000000}"/>
    <hyperlink ref="D28" location="MON_MF" display="MON_REAL" xr:uid="{00000000-0004-0000-0000-000006000000}"/>
    <hyperlink ref="D58" location="GDP_specific_assump_demand" display="GDP_specific_assump_demand" xr:uid="{00000000-0004-0000-0000-000007000000}"/>
    <hyperlink ref="D30" location="GDP_specific_assump_supply" display="GDP_specific_assump_supply" xr:uid="{00000000-0004-0000-0000-000008000000}"/>
    <hyperlink ref="D103" location="REAL_Output" display="REAL_Output" xr:uid="{00000000-0004-0000-0000-000009000000}"/>
    <hyperlink ref="D88" location="import_shares_in_demand" display="import_shares_in_demand" xr:uid="{00000000-0004-0000-0000-00000A000000}"/>
    <hyperlink ref="D75" location="supply_demand_aggregate" display="supply_demand_aggregate" xr:uid="{00000000-0004-0000-0000-00000B000000}"/>
    <hyperlink ref="D92" location="deflators_derivation" display="deflators_derivation" xr:uid="{00000000-0004-0000-0000-00000C000000}"/>
    <hyperlink ref="D96" location="supply_demand_deflators__summary" display="supply_demand_deflators__summary" xr:uid="{00000000-0004-0000-0000-00000D000000}"/>
    <hyperlink ref="D118" location="REAL_REFOTO" display="REAL_REFOTO" xr:uid="{00000000-0004-0000-0000-00000E000000}"/>
    <hyperlink ref="D114" location="REAL_FISC" display="REAL_FISC" xr:uid="{00000000-0004-0000-0000-00000F000000}"/>
    <hyperlink ref="D108" location="REAL_FISC" display="REAL_FISC" xr:uid="{00000000-0004-0000-0000-000010000000}"/>
    <hyperlink ref="D122" location="REAL_LT" display="REAL_LT" xr:uid="{00000000-0004-0000-0000-000011000000}"/>
    <hyperlink ref="D134" location="REAL_Rwametric_Outlook" display="REAL_Rwametric_Outlook" xr:uid="{00000000-0004-0000-0000-000012000000}"/>
    <hyperlink ref="D126" location="REAL_Rwametric_Adata" display="REAL_Rwametric_Adata" xr:uid="{00000000-0004-0000-0000-000013000000}"/>
    <hyperlink ref="D128" location="REAL_Rwametric_Qdata" display="REAL_Rwametric_Qdata" xr:uid="{00000000-0004-0000-0000-000014000000}"/>
    <hyperlink ref="D130" location="REAL_RSSB_Rwametric_Qdata" display="REAL_RSSB_Rwametric_Qdata" xr:uid="{00000000-0004-0000-0000-000015000000}"/>
    <hyperlink ref="D38" location="GDP_Growth_KP" display="GDP_Growth_KP" xr:uid="{00000000-0004-0000-0000-000016000000}"/>
  </hyperlinks>
  <pageMargins left="0.2" right="0.2" top="0.25" bottom="0.25" header="0.3" footer="0.3"/>
  <pageSetup scale="65" fitToHeight="0" orientation="portrait" horizontalDpi="4294967294"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HX1325"/>
  <sheetViews>
    <sheetView tabSelected="1" topLeftCell="C321" zoomScale="110" zoomScaleNormal="110" zoomScaleSheetLayoutView="130" workbookViewId="0">
      <pane xSplit="6105" ySplit="8535" topLeftCell="W624" activePane="bottomRight"/>
      <selection activeCell="C504" sqref="A504:XFD504"/>
      <selection pane="topRight" activeCell="AC335" sqref="AC335"/>
      <selection pane="bottomLeft" activeCell="D543" sqref="D543"/>
      <selection pane="bottomRight" activeCell="AF559" sqref="AF559"/>
    </sheetView>
  </sheetViews>
  <sheetFormatPr defaultColWidth="9.08984375" defaultRowHeight="16" outlineLevelCol="2"/>
  <cols>
    <col min="1" max="1" width="6.08984375" style="297" customWidth="1"/>
    <col min="2" max="2" width="5.453125" style="295" customWidth="1"/>
    <col min="3" max="3" width="4.08984375" style="295" customWidth="1"/>
    <col min="4" max="4" width="42.76953125" style="1" customWidth="1"/>
    <col min="5" max="5" width="9.76953125" style="2968" customWidth="1"/>
    <col min="6" max="6" width="6.08984375" hidden="1" customWidth="1" outlineLevel="2"/>
    <col min="7" max="7" width="9" hidden="1" customWidth="1" outlineLevel="2"/>
    <col min="8" max="8" width="5.26953125" hidden="1" customWidth="1" outlineLevel="2"/>
    <col min="9" max="9" width="7.90625" hidden="1" customWidth="1" outlineLevel="2"/>
    <col min="10" max="12" width="8.08984375" hidden="1" customWidth="1" outlineLevel="1"/>
    <col min="13" max="13" width="9.86328125" hidden="1" customWidth="1" outlineLevel="1"/>
    <col min="14" max="14" width="9.04296875" hidden="1" customWidth="1" outlineLevel="1"/>
    <col min="15" max="16" width="8.08984375" hidden="1" customWidth="1" outlineLevel="1"/>
    <col min="17" max="17" width="8.58984375" hidden="1" customWidth="1" outlineLevel="1"/>
    <col min="18" max="18" width="8.7265625" hidden="1" customWidth="1" outlineLevel="1"/>
    <col min="19" max="20" width="7.6328125" hidden="1" customWidth="1" outlineLevel="1"/>
    <col min="21" max="21" width="8.40625" style="1" hidden="1" customWidth="1" outlineLevel="1"/>
    <col min="22" max="22" width="8.453125" customWidth="1" collapsed="1"/>
    <col min="23" max="23" width="8.7265625" style="824" customWidth="1"/>
    <col min="24" max="24" width="8.453125" style="2" customWidth="1"/>
    <col min="25" max="25" width="9.26953125" style="824" customWidth="1"/>
    <col min="26" max="26" width="8.6796875" style="2" customWidth="1"/>
    <col min="27" max="28" width="8.6328125" style="824" customWidth="1"/>
    <col min="29" max="29" width="8.6328125" style="1" customWidth="1"/>
    <col min="30" max="30" width="9.86328125" style="824" customWidth="1"/>
    <col min="31" max="31" width="9.58984375" style="824" customWidth="1"/>
    <col min="32" max="32" width="9.453125" style="824" customWidth="1"/>
    <col min="33" max="33" width="9.953125" style="824" customWidth="1"/>
    <col min="34" max="34" width="10.40625" style="824" customWidth="1"/>
    <col min="35" max="35" width="11.6328125" style="824" customWidth="1"/>
    <col min="36" max="36" width="10.7265625" style="824" customWidth="1"/>
    <col min="37" max="37" width="10.1328125" style="824" customWidth="1"/>
    <col min="38" max="38" width="11.6328125" style="824" customWidth="1"/>
    <col min="39" max="39" width="11.90625" style="824" customWidth="1"/>
    <col min="40" max="40" width="12.6328125" style="824" customWidth="1"/>
    <col min="41" max="41" width="13.26953125" style="824" customWidth="1"/>
    <col min="42" max="42" width="11.6328125" style="824" customWidth="1"/>
    <col min="43" max="43" width="11.7265625" style="824" customWidth="1"/>
    <col min="44" max="44" width="12.08984375" style="824" customWidth="1"/>
    <col min="45" max="45" width="13" style="824" customWidth="1"/>
    <col min="46" max="46" width="11.7265625" style="824" customWidth="1"/>
    <col min="47" max="47" width="10.7265625" style="1" customWidth="1"/>
    <col min="48" max="48" width="12.08984375" style="1" customWidth="1"/>
    <col min="49" max="49" width="9.453125" style="1" customWidth="1"/>
    <col min="50" max="50" width="8.36328125" style="1" customWidth="1"/>
    <col min="51" max="51" width="8.26953125" style="1" customWidth="1"/>
    <col min="52" max="52" width="6.453125" style="1" customWidth="1"/>
    <col min="53" max="53" width="8.36328125" style="1" customWidth="1"/>
    <col min="54" max="55" width="6.453125" style="1" customWidth="1"/>
    <col min="56" max="56" width="7.26953125" style="1" customWidth="1"/>
    <col min="57" max="57" width="7.08984375" style="1" customWidth="1"/>
    <col min="58" max="62" width="6.453125" style="1" customWidth="1"/>
    <col min="63" max="98" width="7.7265625" style="1" customWidth="1"/>
    <col min="99" max="16384" width="9.08984375" style="1"/>
  </cols>
  <sheetData>
    <row r="1" spans="1:46">
      <c r="A1" s="303" t="s">
        <v>11</v>
      </c>
      <c r="B1" s="301" t="s">
        <v>29</v>
      </c>
      <c r="C1" s="299" t="s">
        <v>136</v>
      </c>
    </row>
    <row r="2" spans="1:46">
      <c r="E2" s="1381"/>
      <c r="F2" s="1">
        <v>1995</v>
      </c>
      <c r="G2" s="1">
        <v>1996</v>
      </c>
      <c r="H2" s="1">
        <v>1997</v>
      </c>
      <c r="I2" s="1">
        <v>1998</v>
      </c>
      <c r="J2" s="1">
        <v>1999</v>
      </c>
      <c r="K2" s="1">
        <v>2000</v>
      </c>
      <c r="L2" s="1">
        <v>2001</v>
      </c>
      <c r="M2" s="1">
        <v>2002</v>
      </c>
      <c r="N2" s="1">
        <v>2003</v>
      </c>
      <c r="O2" s="1">
        <v>2004</v>
      </c>
      <c r="P2" s="1">
        <v>2005</v>
      </c>
      <c r="Q2" s="1">
        <v>2006</v>
      </c>
      <c r="R2" s="1">
        <v>2007</v>
      </c>
      <c r="S2" s="1">
        <v>2008</v>
      </c>
      <c r="T2" s="1">
        <v>2009</v>
      </c>
      <c r="U2" s="1">
        <v>2010</v>
      </c>
      <c r="V2" s="1">
        <v>2011</v>
      </c>
      <c r="W2" s="1">
        <v>2012</v>
      </c>
      <c r="X2" s="1">
        <v>2013</v>
      </c>
      <c r="Y2" s="1">
        <v>2014</v>
      </c>
      <c r="Z2" s="1"/>
      <c r="AA2" s="1"/>
      <c r="AB2" s="1"/>
    </row>
    <row r="3" spans="1:46">
      <c r="D3" s="286" t="s">
        <v>233</v>
      </c>
      <c r="E3" s="1381"/>
      <c r="F3" s="1"/>
      <c r="G3" s="1"/>
      <c r="H3" s="1"/>
      <c r="I3" s="1"/>
      <c r="J3" s="1"/>
      <c r="K3" s="1"/>
      <c r="L3" s="1"/>
      <c r="M3" s="1"/>
      <c r="N3" s="1"/>
      <c r="O3" s="1"/>
      <c r="P3" s="1"/>
      <c r="Q3" s="1"/>
      <c r="R3" s="1"/>
      <c r="S3" s="1"/>
      <c r="T3" s="1"/>
      <c r="V3" s="1"/>
      <c r="W3" s="1"/>
      <c r="X3" s="1"/>
      <c r="Y3" s="1"/>
      <c r="Z3" s="1"/>
      <c r="AA3" s="1"/>
      <c r="AB3" s="1"/>
    </row>
    <row r="4" spans="1:46">
      <c r="D4" s="11"/>
      <c r="E4" s="1381"/>
      <c r="F4" s="1"/>
      <c r="G4" s="1"/>
      <c r="H4" s="1"/>
      <c r="I4" s="1"/>
      <c r="J4" s="1"/>
      <c r="K4" s="1"/>
      <c r="L4" s="1"/>
      <c r="M4" s="1"/>
      <c r="N4" s="1"/>
      <c r="O4" s="1"/>
      <c r="P4" s="1"/>
      <c r="Q4" s="1"/>
      <c r="R4" s="1"/>
      <c r="S4" s="1"/>
      <c r="T4" s="1"/>
      <c r="V4" s="1"/>
      <c r="W4" s="1"/>
      <c r="X4" s="1"/>
      <c r="Y4" s="1"/>
      <c r="Z4" s="1"/>
      <c r="AA4" s="1"/>
      <c r="AB4" s="1"/>
    </row>
    <row r="5" spans="1:46" ht="18.5">
      <c r="A5" s="304"/>
      <c r="D5" s="2064" t="s">
        <v>227</v>
      </c>
      <c r="E5" s="2969"/>
      <c r="F5" s="2893"/>
      <c r="G5" s="284"/>
      <c r="H5" s="284"/>
      <c r="I5" s="202"/>
      <c r="J5" s="203"/>
      <c r="K5" s="202"/>
      <c r="L5" s="203"/>
      <c r="M5" s="202"/>
      <c r="N5" s="203"/>
      <c r="O5" s="202"/>
      <c r="P5" s="203"/>
      <c r="Q5" s="202"/>
      <c r="R5" s="203"/>
      <c r="S5" s="202"/>
      <c r="T5" s="203"/>
      <c r="U5" s="202"/>
      <c r="V5" s="203"/>
      <c r="W5" s="202"/>
      <c r="X5" s="203"/>
      <c r="Y5" s="203"/>
      <c r="Z5" s="203"/>
      <c r="AA5" s="203"/>
      <c r="AB5" s="1"/>
    </row>
    <row r="6" spans="1:46" ht="18.5">
      <c r="A6" s="304"/>
      <c r="D6" s="1536" t="s">
        <v>1258</v>
      </c>
      <c r="E6" s="2119"/>
      <c r="F6" s="397"/>
      <c r="G6" s="397"/>
      <c r="H6" s="397"/>
      <c r="I6" s="2"/>
      <c r="J6" s="1535"/>
      <c r="K6" s="2"/>
      <c r="L6" s="1535"/>
      <c r="M6" s="2"/>
      <c r="N6" s="1535"/>
      <c r="O6" s="2"/>
      <c r="P6" s="1535"/>
      <c r="Q6" s="2"/>
      <c r="R6" s="1535"/>
      <c r="S6" s="2"/>
      <c r="T6" s="1535"/>
      <c r="U6" s="2"/>
      <c r="V6" s="1535"/>
      <c r="W6" s="2"/>
      <c r="X6" s="1535"/>
      <c r="Y6" s="1535"/>
      <c r="Z6" s="1535"/>
      <c r="AA6" s="1535"/>
      <c r="AB6" s="1"/>
    </row>
    <row r="7" spans="1:46" ht="16.75" thickBot="1">
      <c r="A7" s="778" t="s">
        <v>541</v>
      </c>
      <c r="B7" s="662" t="s">
        <v>228</v>
      </c>
      <c r="D7" s="2065" t="s">
        <v>1411</v>
      </c>
      <c r="E7" s="2119"/>
      <c r="F7" s="11"/>
      <c r="G7" s="11"/>
      <c r="H7" s="11"/>
      <c r="I7" s="2"/>
      <c r="J7" s="2"/>
      <c r="K7" s="2"/>
      <c r="L7" s="2"/>
      <c r="M7" s="2"/>
      <c r="N7" s="2"/>
      <c r="O7" s="2"/>
      <c r="P7" s="2"/>
      <c r="Q7" s="2"/>
      <c r="R7" s="2"/>
      <c r="S7" s="2"/>
      <c r="T7" s="2"/>
      <c r="U7" s="2"/>
      <c r="V7" s="297" t="s">
        <v>567</v>
      </c>
      <c r="W7" s="820" t="str">
        <f>+W8</f>
        <v>2012A1</v>
      </c>
      <c r="X7" s="820">
        <v>2013</v>
      </c>
      <c r="Y7" s="820">
        <v>2014</v>
      </c>
      <c r="Z7" s="820">
        <v>2015</v>
      </c>
      <c r="AA7" s="820">
        <v>2016</v>
      </c>
      <c r="AB7" s="820">
        <v>2017</v>
      </c>
      <c r="AC7" s="820">
        <v>2018</v>
      </c>
      <c r="AD7" s="820">
        <v>2019</v>
      </c>
      <c r="AE7" s="820">
        <v>2020</v>
      </c>
      <c r="AF7" s="820">
        <v>2021</v>
      </c>
      <c r="AG7" s="820">
        <v>2022</v>
      </c>
      <c r="AH7" s="820">
        <v>2023</v>
      </c>
      <c r="AI7" s="820">
        <v>2024</v>
      </c>
      <c r="AJ7" s="820">
        <v>2025</v>
      </c>
      <c r="AK7" s="820">
        <v>2026</v>
      </c>
      <c r="AL7" s="820">
        <v>2027</v>
      </c>
      <c r="AM7" s="820">
        <v>2028</v>
      </c>
      <c r="AN7" s="820">
        <v>2029</v>
      </c>
      <c r="AO7" s="820">
        <v>2030</v>
      </c>
      <c r="AP7" s="820">
        <v>2031</v>
      </c>
      <c r="AQ7" s="820">
        <v>2032</v>
      </c>
      <c r="AR7" s="820">
        <v>2033</v>
      </c>
      <c r="AS7" s="820">
        <v>2034</v>
      </c>
      <c r="AT7" s="820">
        <v>2035</v>
      </c>
    </row>
    <row r="8" spans="1:46">
      <c r="A8" s="778"/>
      <c r="B8" s="376"/>
      <c r="D8" s="2066" t="s">
        <v>1</v>
      </c>
      <c r="E8" s="2970"/>
      <c r="F8" s="3826">
        <v>1995</v>
      </c>
      <c r="G8" s="3826">
        <v>1996</v>
      </c>
      <c r="H8" s="3826">
        <v>1997</v>
      </c>
      <c r="I8" s="3826" t="s">
        <v>1176</v>
      </c>
      <c r="J8" s="3826" t="s">
        <v>1177</v>
      </c>
      <c r="K8" s="3826" t="s">
        <v>1178</v>
      </c>
      <c r="L8" s="3826" t="s">
        <v>1179</v>
      </c>
      <c r="M8" s="3826" t="s">
        <v>1180</v>
      </c>
      <c r="N8" s="3826" t="s">
        <v>1181</v>
      </c>
      <c r="O8" s="3826" t="s">
        <v>1182</v>
      </c>
      <c r="P8" s="3827" t="s">
        <v>1183</v>
      </c>
      <c r="Q8" s="825" t="s">
        <v>1184</v>
      </c>
      <c r="R8" s="825" t="s">
        <v>1185</v>
      </c>
      <c r="S8" s="825" t="s">
        <v>1186</v>
      </c>
      <c r="T8" s="825" t="s">
        <v>1187</v>
      </c>
      <c r="U8" s="825" t="s">
        <v>1188</v>
      </c>
      <c r="V8" s="825" t="s">
        <v>1189</v>
      </c>
      <c r="W8" s="825" t="s">
        <v>1190</v>
      </c>
      <c r="X8" s="825" t="s">
        <v>1191</v>
      </c>
      <c r="Y8" s="825" t="s">
        <v>1192</v>
      </c>
      <c r="Z8" s="825" t="s">
        <v>1193</v>
      </c>
      <c r="AA8" s="825" t="s">
        <v>1194</v>
      </c>
      <c r="AB8" s="825" t="s">
        <v>1195</v>
      </c>
      <c r="AC8" s="825" t="s">
        <v>1196</v>
      </c>
      <c r="AD8" s="825" t="s">
        <v>1197</v>
      </c>
      <c r="AE8" s="825" t="s">
        <v>1198</v>
      </c>
      <c r="AF8" s="825" t="s">
        <v>1199</v>
      </c>
      <c r="AG8" s="825" t="s">
        <v>1200</v>
      </c>
      <c r="AH8" s="825" t="s">
        <v>1201</v>
      </c>
      <c r="AI8" s="3593" t="s">
        <v>1202</v>
      </c>
      <c r="AJ8" s="825" t="s">
        <v>1203</v>
      </c>
      <c r="AK8" s="825" t="s">
        <v>1204</v>
      </c>
      <c r="AL8" s="825" t="s">
        <v>1205</v>
      </c>
      <c r="AM8" s="825" t="s">
        <v>1206</v>
      </c>
      <c r="AN8" s="825" t="s">
        <v>1207</v>
      </c>
      <c r="AO8" s="825" t="s">
        <v>1208</v>
      </c>
      <c r="AP8" s="825" t="s">
        <v>1477</v>
      </c>
      <c r="AQ8" s="825" t="s">
        <v>1478</v>
      </c>
      <c r="AR8" s="825" t="s">
        <v>1479</v>
      </c>
      <c r="AS8" s="825" t="s">
        <v>1480</v>
      </c>
      <c r="AT8" s="825" t="s">
        <v>1481</v>
      </c>
    </row>
    <row r="9" spans="1:46">
      <c r="A9" s="778"/>
      <c r="B9" s="376"/>
      <c r="C9" s="293" t="s">
        <v>30</v>
      </c>
      <c r="D9" s="2067"/>
      <c r="E9" s="2970"/>
      <c r="F9" s="1527"/>
      <c r="G9" s="1527"/>
      <c r="H9" s="826"/>
      <c r="I9" s="826"/>
      <c r="J9" s="826"/>
      <c r="K9" s="826"/>
      <c r="L9" s="826"/>
      <c r="M9" s="826"/>
      <c r="N9" s="826"/>
      <c r="O9" s="826"/>
      <c r="P9" s="3828"/>
      <c r="Q9" s="826"/>
      <c r="R9" s="826"/>
      <c r="S9" s="826"/>
      <c r="T9" s="826"/>
      <c r="U9" s="826"/>
      <c r="V9" s="826"/>
      <c r="W9" s="826"/>
      <c r="X9" s="826"/>
      <c r="Y9" s="826"/>
      <c r="Z9" s="826"/>
      <c r="AA9" s="826"/>
      <c r="AB9" s="826"/>
      <c r="AC9" s="826"/>
      <c r="AD9" s="826"/>
      <c r="AE9" s="1527"/>
      <c r="AF9" s="1527"/>
      <c r="AG9" s="1527"/>
      <c r="AH9" s="1527"/>
      <c r="AI9" s="3594"/>
      <c r="AJ9" s="1527"/>
      <c r="AK9" s="1527"/>
      <c r="AL9" s="1527"/>
      <c r="AM9" s="1527"/>
      <c r="AN9" s="1527"/>
      <c r="AO9" s="1527"/>
      <c r="AP9" s="1527"/>
      <c r="AQ9" s="1527"/>
      <c r="AR9" s="1527"/>
      <c r="AS9" s="1527"/>
      <c r="AT9" s="1527"/>
    </row>
    <row r="10" spans="1:46">
      <c r="A10" s="778"/>
      <c r="B10" s="376"/>
      <c r="C10" s="293" t="s">
        <v>30</v>
      </c>
      <c r="D10" s="2066" t="s">
        <v>16</v>
      </c>
      <c r="E10" s="2970"/>
      <c r="F10" s="1527"/>
      <c r="G10" s="1527"/>
      <c r="H10" s="826"/>
      <c r="I10" s="826"/>
      <c r="J10" s="826"/>
      <c r="K10" s="826"/>
      <c r="L10" s="826"/>
      <c r="M10" s="826"/>
      <c r="N10" s="826"/>
      <c r="O10" s="826"/>
      <c r="P10" s="3828"/>
      <c r="Q10" s="826"/>
      <c r="R10" s="826"/>
      <c r="S10" s="826"/>
      <c r="T10" s="826"/>
      <c r="U10" s="826"/>
      <c r="V10" s="826"/>
      <c r="W10" s="826"/>
      <c r="X10" s="826"/>
      <c r="Y10" s="826"/>
      <c r="Z10" s="826"/>
      <c r="AA10" s="826"/>
      <c r="AB10" s="826"/>
      <c r="AC10" s="826"/>
      <c r="AD10" s="826"/>
      <c r="AE10" s="1527"/>
      <c r="AF10" s="1527"/>
      <c r="AG10" s="1527"/>
      <c r="AH10" s="1527"/>
      <c r="AI10" s="3594"/>
      <c r="AJ10" s="1527"/>
      <c r="AK10" s="1527"/>
      <c r="AL10" s="1527"/>
      <c r="AM10" s="1527"/>
      <c r="AN10" s="1527"/>
      <c r="AO10" s="1527"/>
      <c r="AP10" s="1527" t="s">
        <v>1482</v>
      </c>
      <c r="AQ10" s="1527"/>
      <c r="AR10" s="1527"/>
      <c r="AS10" s="1527"/>
      <c r="AT10" s="1527"/>
    </row>
    <row r="11" spans="1:46" ht="15.9" customHeight="1">
      <c r="A11" s="778"/>
      <c r="B11" s="662" t="s">
        <v>542</v>
      </c>
      <c r="C11" s="293"/>
      <c r="D11" s="2067" t="s">
        <v>17</v>
      </c>
      <c r="E11" s="2970" t="s">
        <v>14</v>
      </c>
      <c r="F11" s="1528">
        <v>75.724814728908456</v>
      </c>
      <c r="G11" s="1528">
        <v>75.724814728908456</v>
      </c>
      <c r="H11" s="827">
        <v>80.744162240680524</v>
      </c>
      <c r="I11" s="827">
        <v>82.852860424436997</v>
      </c>
      <c r="J11" s="827">
        <v>85.826214757484195</v>
      </c>
      <c r="K11" s="827">
        <v>89.424341529010604</v>
      </c>
      <c r="L11" s="827">
        <v>90.817239119869299</v>
      </c>
      <c r="M11" s="827">
        <v>92.312471483534694</v>
      </c>
      <c r="N11" s="827">
        <v>94.175525207264002</v>
      </c>
      <c r="O11" s="827">
        <v>97.228471350317804</v>
      </c>
      <c r="P11" s="3829">
        <v>100</v>
      </c>
      <c r="Q11" s="827">
        <v>103.10025662283201</v>
      </c>
      <c r="R11" s="827">
        <v>105.994830350851</v>
      </c>
      <c r="S11" s="827">
        <v>106.36204877796</v>
      </c>
      <c r="T11" s="827">
        <v>102.755899137819</v>
      </c>
      <c r="U11" s="827">
        <v>105.951338611574</v>
      </c>
      <c r="V11" s="827">
        <v>107.77731863919</v>
      </c>
      <c r="W11" s="827">
        <v>109.051216453953</v>
      </c>
      <c r="X11" s="827">
        <v>110.667785922653</v>
      </c>
      <c r="Y11" s="827">
        <v>113.05774157188399</v>
      </c>
      <c r="Z11" s="827">
        <v>115.786284850017</v>
      </c>
      <c r="AA11" s="827">
        <v>117.915343407211</v>
      </c>
      <c r="AB11" s="827">
        <v>120.99274037554601</v>
      </c>
      <c r="AC11" s="827">
        <v>123.785719041132</v>
      </c>
      <c r="AD11" s="827">
        <v>126.08736563950001</v>
      </c>
      <c r="AE11" s="1528">
        <v>121.13331673041399</v>
      </c>
      <c r="AF11" s="1528">
        <v>128.527342137559</v>
      </c>
      <c r="AG11" s="1528">
        <v>132.44460641940401</v>
      </c>
      <c r="AH11" s="1528">
        <v>134.69531690903</v>
      </c>
      <c r="AI11" s="3595">
        <v>137.13824904195701</v>
      </c>
      <c r="AJ11" s="1528">
        <v>139.51913074034201</v>
      </c>
      <c r="AK11" s="1528">
        <v>142.04149031793901</v>
      </c>
      <c r="AL11" s="1528">
        <v>144.466556628045</v>
      </c>
      <c r="AM11" s="1528">
        <v>146.94074160845599</v>
      </c>
      <c r="AN11" s="1528">
        <v>149.277848608402</v>
      </c>
      <c r="AO11" s="1760">
        <v>151.54925820915699</v>
      </c>
      <c r="AP11" s="1760">
        <v>153.0385241658642</v>
      </c>
      <c r="AQ11" s="1760">
        <v>155.40096775652702</v>
      </c>
      <c r="AR11" s="1760">
        <v>157.79988020200588</v>
      </c>
      <c r="AS11" s="1760">
        <v>160.23582446912749</v>
      </c>
      <c r="AT11" s="1760">
        <v>162.70937221519299</v>
      </c>
    </row>
    <row r="12" spans="1:46">
      <c r="A12" s="294"/>
      <c r="B12" s="662" t="s">
        <v>13</v>
      </c>
      <c r="C12" s="293" t="s">
        <v>30</v>
      </c>
      <c r="D12" s="2067" t="s">
        <v>18</v>
      </c>
      <c r="E12" s="2970" t="s">
        <v>14</v>
      </c>
      <c r="F12" s="1528">
        <v>60.391361171152127</v>
      </c>
      <c r="G12" s="1528">
        <v>60.391361171152127</v>
      </c>
      <c r="H12" s="827">
        <v>66.184789991532369</v>
      </c>
      <c r="I12" s="827">
        <v>69.033935385200294</v>
      </c>
      <c r="J12" s="827">
        <v>71.483186063439604</v>
      </c>
      <c r="K12" s="827">
        <v>75.526589328167404</v>
      </c>
      <c r="L12" s="827">
        <v>78.354248785852405</v>
      </c>
      <c r="M12" s="827">
        <v>81.805674286278304</v>
      </c>
      <c r="N12" s="827">
        <v>86.793179686696504</v>
      </c>
      <c r="O12" s="827">
        <v>93.524168661202694</v>
      </c>
      <c r="P12" s="3829">
        <v>100</v>
      </c>
      <c r="Q12" s="827">
        <v>107.76243308946199</v>
      </c>
      <c r="R12" s="827">
        <v>116.51250789298</v>
      </c>
      <c r="S12" s="827">
        <v>123.019858559987</v>
      </c>
      <c r="T12" s="827">
        <v>126.231493887656</v>
      </c>
      <c r="U12" s="827">
        <v>135.396357211924</v>
      </c>
      <c r="V12" s="827">
        <v>143.79922834836299</v>
      </c>
      <c r="W12" s="827">
        <v>151.41214484588201</v>
      </c>
      <c r="X12" s="827">
        <v>158.94245586717901</v>
      </c>
      <c r="Y12" s="827">
        <v>166.45941575715901</v>
      </c>
      <c r="Z12" s="827">
        <v>173.55565172458699</v>
      </c>
      <c r="AA12" s="827">
        <v>181.03781118151099</v>
      </c>
      <c r="AB12" s="827">
        <v>189.70817375086901</v>
      </c>
      <c r="AC12" s="827">
        <v>198.52059681476001</v>
      </c>
      <c r="AD12" s="827">
        <v>205.99512712488001</v>
      </c>
      <c r="AE12" s="1528">
        <v>202.217998109072</v>
      </c>
      <c r="AF12" s="1528">
        <v>216.44092862082499</v>
      </c>
      <c r="AG12" s="1528">
        <v>225.715941224315</v>
      </c>
      <c r="AH12" s="1528">
        <v>236.37509239540501</v>
      </c>
      <c r="AI12" s="3595">
        <v>246.65623274665299</v>
      </c>
      <c r="AJ12" s="1528">
        <v>257.429304757137</v>
      </c>
      <c r="AK12" s="1528">
        <v>268.19845326838498</v>
      </c>
      <c r="AL12" s="1528">
        <v>279.28973802584801</v>
      </c>
      <c r="AM12" s="1528">
        <v>290.78147240901399</v>
      </c>
      <c r="AN12" s="1528">
        <v>302.61545208321297</v>
      </c>
      <c r="AO12" s="1760">
        <v>314.589259311136</v>
      </c>
      <c r="AP12" s="1760">
        <v>325.68132337268548</v>
      </c>
      <c r="AQ12" s="1760">
        <v>338.61799193426361</v>
      </c>
      <c r="AR12" s="1760">
        <v>352.06852905833409</v>
      </c>
      <c r="AS12" s="1760">
        <v>366.05334656098859</v>
      </c>
      <c r="AT12" s="1760">
        <v>380.59366705365943</v>
      </c>
    </row>
    <row r="13" spans="1:46">
      <c r="A13" s="778"/>
      <c r="B13" s="662"/>
      <c r="C13" s="293" t="s">
        <v>30</v>
      </c>
      <c r="D13" s="2066" t="s">
        <v>19</v>
      </c>
      <c r="E13" s="2970"/>
      <c r="F13" s="1528"/>
      <c r="G13" s="1528"/>
      <c r="H13" s="827"/>
      <c r="I13" s="827"/>
      <c r="J13" s="827"/>
      <c r="K13" s="827"/>
      <c r="L13" s="827"/>
      <c r="M13" s="827"/>
      <c r="N13" s="827"/>
      <c r="O13" s="827"/>
      <c r="P13" s="3830"/>
      <c r="Q13" s="828"/>
      <c r="R13" s="828"/>
      <c r="S13" s="828"/>
      <c r="T13" s="828"/>
      <c r="U13" s="828"/>
      <c r="V13" s="828"/>
      <c r="W13" s="828"/>
      <c r="X13" s="828"/>
      <c r="Y13" s="828"/>
      <c r="Z13" s="828"/>
      <c r="AA13" s="828"/>
      <c r="AB13" s="828"/>
      <c r="AC13" s="828"/>
      <c r="AD13" s="828"/>
      <c r="AE13" s="1529"/>
      <c r="AF13" s="1529"/>
      <c r="AG13" s="1528"/>
      <c r="AH13" s="1528"/>
      <c r="AI13" s="3595"/>
      <c r="AJ13" s="1528"/>
      <c r="AK13" s="1528"/>
      <c r="AL13" s="1528"/>
      <c r="AM13" s="1528"/>
      <c r="AN13" s="1528"/>
      <c r="AO13" s="1760"/>
      <c r="AP13" s="1760"/>
      <c r="AQ13" s="1760"/>
      <c r="AR13" s="1760"/>
      <c r="AS13" s="1760"/>
      <c r="AT13" s="1760"/>
    </row>
    <row r="14" spans="1:46">
      <c r="A14" s="778"/>
      <c r="B14" s="662" t="s">
        <v>14</v>
      </c>
      <c r="C14" s="293" t="s">
        <v>30</v>
      </c>
      <c r="D14" s="2067" t="s">
        <v>17</v>
      </c>
      <c r="E14" s="2970" t="s">
        <v>14</v>
      </c>
      <c r="F14" s="1528">
        <v>84.578708884349524</v>
      </c>
      <c r="G14" s="1528">
        <v>84.578708884349524</v>
      </c>
      <c r="H14" s="827">
        <v>87.716617922237333</v>
      </c>
      <c r="I14" s="827">
        <v>88.907124378418501</v>
      </c>
      <c r="J14" s="827">
        <v>89.716945756131693</v>
      </c>
      <c r="K14" s="827">
        <v>91.197188395304295</v>
      </c>
      <c r="L14" s="827">
        <v>92.975923713927102</v>
      </c>
      <c r="M14" s="827">
        <v>94.428605001381499</v>
      </c>
      <c r="N14" s="827">
        <v>95.996762691547502</v>
      </c>
      <c r="O14" s="827">
        <v>97.935374377112097</v>
      </c>
      <c r="P14" s="3829">
        <v>99.999999999999901</v>
      </c>
      <c r="Q14" s="827">
        <v>102.139472589861</v>
      </c>
      <c r="R14" s="827">
        <v>104.45489352426</v>
      </c>
      <c r="S14" s="827">
        <v>106.516277521555</v>
      </c>
      <c r="T14" s="827">
        <v>107.32123109510199</v>
      </c>
      <c r="U14" s="827">
        <v>108.314005775185</v>
      </c>
      <c r="V14" s="827">
        <v>109.841090815329</v>
      </c>
      <c r="W14" s="827">
        <v>111.22159283525799</v>
      </c>
      <c r="X14" s="827">
        <v>112.688962148109</v>
      </c>
      <c r="Y14" s="827">
        <v>114.267526941496</v>
      </c>
      <c r="Z14" s="827">
        <v>115.678189532856</v>
      </c>
      <c r="AA14" s="827">
        <v>116.795685677533</v>
      </c>
      <c r="AB14" s="827">
        <v>118.473146445035</v>
      </c>
      <c r="AC14" s="827">
        <v>120.485247763559</v>
      </c>
      <c r="AD14" s="827">
        <v>122.313619097301</v>
      </c>
      <c r="AE14" s="1528">
        <v>124.332975301167</v>
      </c>
      <c r="AF14" s="1528">
        <v>128.451454151467</v>
      </c>
      <c r="AG14" s="1528">
        <v>135.904181814715</v>
      </c>
      <c r="AH14" s="1528">
        <v>141.65836418020601</v>
      </c>
      <c r="AI14" s="3595">
        <v>145.72090511797899</v>
      </c>
      <c r="AJ14" s="1528">
        <v>149.456806642956</v>
      </c>
      <c r="AK14" s="1528">
        <v>152.45060357289699</v>
      </c>
      <c r="AL14" s="1528">
        <v>155.363046426263</v>
      </c>
      <c r="AM14" s="1528">
        <v>158.42485059779099</v>
      </c>
      <c r="AN14" s="1528">
        <v>161.56114022599601</v>
      </c>
      <c r="AO14" s="1760">
        <v>164.75576308280699</v>
      </c>
      <c r="AP14" s="1760">
        <v>164.03319505288459</v>
      </c>
      <c r="AQ14" s="1760">
        <v>164.03319505288459</v>
      </c>
      <c r="AR14" s="1760">
        <v>164.03319505288459</v>
      </c>
      <c r="AS14" s="1760">
        <v>164.03319505288459</v>
      </c>
      <c r="AT14" s="1760">
        <v>164.03319505288459</v>
      </c>
    </row>
    <row r="15" spans="1:46">
      <c r="A15" s="294"/>
      <c r="B15" s="662"/>
      <c r="C15" s="293" t="s">
        <v>30</v>
      </c>
      <c r="D15" s="2066" t="s">
        <v>20</v>
      </c>
      <c r="E15" s="2970"/>
      <c r="F15" s="1528"/>
      <c r="G15" s="1528"/>
      <c r="H15" s="827"/>
      <c r="I15" s="827"/>
      <c r="J15" s="827"/>
      <c r="K15" s="827"/>
      <c r="L15" s="827"/>
      <c r="M15" s="827"/>
      <c r="N15" s="827"/>
      <c r="O15" s="827"/>
      <c r="P15" s="3830"/>
      <c r="Q15" s="828"/>
      <c r="R15" s="828"/>
      <c r="S15" s="828"/>
      <c r="T15" s="828"/>
      <c r="U15" s="828"/>
      <c r="V15" s="828"/>
      <c r="W15" s="828"/>
      <c r="X15" s="828"/>
      <c r="Y15" s="829"/>
      <c r="Z15" s="829"/>
      <c r="AA15" s="830"/>
      <c r="AB15" s="830"/>
      <c r="AC15" s="830"/>
      <c r="AD15" s="828"/>
      <c r="AE15" s="1529"/>
      <c r="AF15" s="1529"/>
      <c r="AG15" s="1528"/>
      <c r="AH15" s="1528"/>
      <c r="AI15" s="3595"/>
      <c r="AJ15" s="1528"/>
      <c r="AK15" s="1528"/>
      <c r="AL15" s="1528"/>
      <c r="AM15" s="1528"/>
      <c r="AN15" s="1528"/>
      <c r="AO15" s="1760"/>
      <c r="AP15" s="1760"/>
      <c r="AQ15" s="1760"/>
      <c r="AR15" s="1760"/>
      <c r="AS15" s="1760"/>
      <c r="AT15" s="1760"/>
    </row>
    <row r="16" spans="1:46">
      <c r="A16" s="778"/>
      <c r="B16" s="662" t="s">
        <v>14</v>
      </c>
      <c r="C16" s="293" t="s">
        <v>30</v>
      </c>
      <c r="D16" s="2067" t="s">
        <v>21</v>
      </c>
      <c r="E16" s="2970" t="s">
        <v>14</v>
      </c>
      <c r="F16" s="1528">
        <v>52.294811215104559</v>
      </c>
      <c r="G16" s="1528">
        <v>52.294811215104559</v>
      </c>
      <c r="H16" s="827">
        <v>61.468066161751182</v>
      </c>
      <c r="I16" s="827">
        <v>64.084084879190897</v>
      </c>
      <c r="J16" s="827">
        <v>67.355346012827397</v>
      </c>
      <c r="K16" s="827">
        <v>75.763660451024293</v>
      </c>
      <c r="L16" s="827">
        <v>76.215440433729498</v>
      </c>
      <c r="M16" s="827">
        <v>79.165105382525496</v>
      </c>
      <c r="N16" s="827">
        <v>83.7008530604312</v>
      </c>
      <c r="O16" s="827">
        <v>92.765907899286006</v>
      </c>
      <c r="P16" s="3829">
        <v>100</v>
      </c>
      <c r="Q16" s="827">
        <v>109.118406849244</v>
      </c>
      <c r="R16" s="827">
        <v>117.61625028482401</v>
      </c>
      <c r="S16" s="827">
        <v>120.75623621034499</v>
      </c>
      <c r="T16" s="827">
        <v>108.438312196309</v>
      </c>
      <c r="U16" s="827">
        <v>121.38284750696501</v>
      </c>
      <c r="V16" s="827">
        <v>129.84778631114099</v>
      </c>
      <c r="W16" s="827">
        <v>133.73852609892799</v>
      </c>
      <c r="X16" s="827">
        <v>138.61146426366099</v>
      </c>
      <c r="Y16" s="827">
        <v>144.280364694144</v>
      </c>
      <c r="Z16" s="827">
        <v>148.771967653221</v>
      </c>
      <c r="AA16" s="827">
        <v>152.417928046713</v>
      </c>
      <c r="AB16" s="827">
        <v>160.672531065762</v>
      </c>
      <c r="AC16" s="827">
        <v>167.095115851809</v>
      </c>
      <c r="AD16" s="827">
        <v>169.00932435133799</v>
      </c>
      <c r="AE16" s="1528">
        <v>154.99146128909501</v>
      </c>
      <c r="AF16" s="1528">
        <v>171.66225782463999</v>
      </c>
      <c r="AG16" s="1528">
        <v>181.735978409485</v>
      </c>
      <c r="AH16" s="1528">
        <v>183.52857533888999</v>
      </c>
      <c r="AI16" s="3595">
        <v>190.177106297661</v>
      </c>
      <c r="AJ16" s="1528">
        <v>197.88433267580299</v>
      </c>
      <c r="AK16" s="1528">
        <v>202.984125155301</v>
      </c>
      <c r="AL16" s="1528">
        <v>209.343322463287</v>
      </c>
      <c r="AM16" s="1528">
        <v>215.92450432437801</v>
      </c>
      <c r="AN16" s="1528">
        <v>222.53417238204801</v>
      </c>
      <c r="AO16" s="1760">
        <v>229.233528178239</v>
      </c>
      <c r="AP16" s="1760">
        <v>231.59607195881784</v>
      </c>
      <c r="AQ16" s="1760">
        <v>238.5384839762298</v>
      </c>
      <c r="AR16" s="1760">
        <v>245.68900437912455</v>
      </c>
      <c r="AS16" s="1760">
        <v>253.05387150368838</v>
      </c>
      <c r="AT16" s="1760">
        <v>260.63951068884791</v>
      </c>
    </row>
    <row r="17" spans="1:46">
      <c r="A17" s="778"/>
      <c r="B17" s="662"/>
      <c r="C17" s="293" t="s">
        <v>30</v>
      </c>
      <c r="D17" s="2066" t="s">
        <v>22</v>
      </c>
      <c r="E17" s="2970"/>
      <c r="F17" s="1528"/>
      <c r="G17" s="1528"/>
      <c r="H17" s="827"/>
      <c r="I17" s="827"/>
      <c r="J17" s="827"/>
      <c r="K17" s="827"/>
      <c r="L17" s="827"/>
      <c r="M17" s="827"/>
      <c r="N17" s="827"/>
      <c r="O17" s="827"/>
      <c r="P17" s="3831"/>
      <c r="Q17" s="831"/>
      <c r="R17" s="831"/>
      <c r="S17" s="831"/>
      <c r="T17" s="831"/>
      <c r="U17" s="831"/>
      <c r="V17" s="831"/>
      <c r="W17" s="831"/>
      <c r="X17" s="831"/>
      <c r="Y17" s="831"/>
      <c r="Z17" s="831"/>
      <c r="AA17" s="831"/>
      <c r="AB17" s="831"/>
      <c r="AC17" s="831"/>
      <c r="AD17" s="831"/>
      <c r="AE17" s="1530"/>
      <c r="AF17" s="1530"/>
      <c r="AG17" s="1528"/>
      <c r="AH17" s="1528"/>
      <c r="AI17" s="3595"/>
      <c r="AJ17" s="1528"/>
      <c r="AK17" s="1528"/>
      <c r="AL17" s="1528"/>
      <c r="AM17" s="1528"/>
      <c r="AN17" s="1528"/>
      <c r="AO17" s="1760"/>
      <c r="AP17" s="1760"/>
      <c r="AQ17" s="1760"/>
      <c r="AR17" s="1760"/>
      <c r="AS17" s="1760"/>
      <c r="AT17" s="1760"/>
    </row>
    <row r="18" spans="1:46">
      <c r="A18" s="778"/>
      <c r="B18" s="662" t="s">
        <v>14</v>
      </c>
      <c r="C18" s="293"/>
      <c r="D18" s="2067" t="s">
        <v>537</v>
      </c>
      <c r="E18" s="2970" t="s">
        <v>14</v>
      </c>
      <c r="F18" s="1528">
        <v>107.42382791463916</v>
      </c>
      <c r="G18" s="1528">
        <v>107.42382791463916</v>
      </c>
      <c r="H18" s="827">
        <v>94.78905969610571</v>
      </c>
      <c r="I18" s="827">
        <v>92.149194169610297</v>
      </c>
      <c r="J18" s="827">
        <v>88.350246972099995</v>
      </c>
      <c r="K18" s="827">
        <v>84.671438117178397</v>
      </c>
      <c r="L18" s="827">
        <v>81.786813994476802</v>
      </c>
      <c r="M18" s="827">
        <v>82.269895854684606</v>
      </c>
      <c r="N18" s="827">
        <v>90.869230373547595</v>
      </c>
      <c r="O18" s="827">
        <v>98.117290661075799</v>
      </c>
      <c r="P18" s="3829">
        <v>100</v>
      </c>
      <c r="Q18" s="827">
        <v>102.720552482165</v>
      </c>
      <c r="R18" s="827">
        <v>110.40375724810001</v>
      </c>
      <c r="S18" s="827">
        <v>119.504386041267</v>
      </c>
      <c r="T18" s="827">
        <v>109.63075855954899</v>
      </c>
      <c r="U18" s="827">
        <v>112.435405412554</v>
      </c>
      <c r="V18" s="827">
        <v>122.33486985140399</v>
      </c>
      <c r="W18" s="827">
        <v>118.573448749566</v>
      </c>
      <c r="X18" s="827">
        <v>117.945804854158</v>
      </c>
      <c r="Y18" s="827">
        <v>115.858000496673</v>
      </c>
      <c r="Z18" s="827">
        <v>102.709420832673</v>
      </c>
      <c r="AA18" s="827">
        <v>100.204107219164</v>
      </c>
      <c r="AB18" s="827">
        <v>103.720608330837</v>
      </c>
      <c r="AC18" s="827">
        <v>107.900798881578</v>
      </c>
      <c r="AD18" s="827">
        <v>104.497530333272</v>
      </c>
      <c r="AE18" s="1528">
        <v>104.91124434285901</v>
      </c>
      <c r="AF18" s="1528">
        <v>115.96354179018201</v>
      </c>
      <c r="AG18" s="1528">
        <v>119.790215877373</v>
      </c>
      <c r="AH18" s="1528">
        <v>118.255340789854</v>
      </c>
      <c r="AI18" s="3595">
        <v>118.570856633453</v>
      </c>
      <c r="AJ18" s="1528">
        <v>123.777906016214</v>
      </c>
      <c r="AK18" s="1528">
        <v>125.86227966365701</v>
      </c>
      <c r="AL18" s="1528">
        <v>125.998822547071</v>
      </c>
      <c r="AM18" s="1528">
        <v>126.598365277578</v>
      </c>
      <c r="AN18" s="1528">
        <v>127.749521485893</v>
      </c>
      <c r="AO18" s="1760">
        <v>129.24001124349999</v>
      </c>
      <c r="AP18" s="1760">
        <v>129.25478984349368</v>
      </c>
      <c r="AQ18" s="1760">
        <v>130.72037721418113</v>
      </c>
      <c r="AR18" s="1760">
        <v>132.20258250938588</v>
      </c>
      <c r="AS18" s="1760">
        <v>133.70159415555099</v>
      </c>
      <c r="AT18" s="1760">
        <v>135.21760271563932</v>
      </c>
    </row>
    <row r="19" spans="1:46">
      <c r="A19" s="778"/>
      <c r="B19" s="662"/>
      <c r="C19" s="293" t="s">
        <v>30</v>
      </c>
      <c r="D19" s="2067" t="s">
        <v>23</v>
      </c>
      <c r="E19" s="2970"/>
      <c r="F19" s="1528">
        <v>102.03353440744296</v>
      </c>
      <c r="G19" s="1528">
        <v>102.03353440744296</v>
      </c>
      <c r="H19" s="827">
        <v>93.789573410093496</v>
      </c>
      <c r="I19" s="827">
        <v>93.381993705071295</v>
      </c>
      <c r="J19" s="827">
        <v>92.353760725916004</v>
      </c>
      <c r="K19" s="827">
        <v>92.549664427455795</v>
      </c>
      <c r="L19" s="827">
        <v>89.4759740176452</v>
      </c>
      <c r="M19" s="827">
        <v>87.7105974073515</v>
      </c>
      <c r="N19" s="827">
        <v>90.184704465011194</v>
      </c>
      <c r="O19" s="827">
        <v>96.098220169335505</v>
      </c>
      <c r="P19" s="3829">
        <v>100</v>
      </c>
      <c r="Q19" s="827">
        <v>102.26647412253899</v>
      </c>
      <c r="R19" s="827">
        <v>105.64631376109</v>
      </c>
      <c r="S19" s="827">
        <v>112.03940053213201</v>
      </c>
      <c r="T19" s="827">
        <v>109.866744516917</v>
      </c>
      <c r="U19" s="827">
        <v>112.188362260029</v>
      </c>
      <c r="V19" s="827">
        <v>117.276780788539</v>
      </c>
      <c r="W19" s="827">
        <v>120.12045412413499</v>
      </c>
      <c r="X19" s="827">
        <v>116.63537887859</v>
      </c>
      <c r="Y19" s="827">
        <v>116.004688029012</v>
      </c>
      <c r="Z19" s="827">
        <v>112.4782346881</v>
      </c>
      <c r="AA19" s="827">
        <v>106.786197555396</v>
      </c>
      <c r="AB19" s="827">
        <v>106.936239732171</v>
      </c>
      <c r="AC19" s="827">
        <v>109.11583599338999</v>
      </c>
      <c r="AD19" s="827">
        <v>109.52693904671</v>
      </c>
      <c r="AE19" s="1528">
        <v>106.14017968724001</v>
      </c>
      <c r="AF19" s="1528">
        <v>113.297156911456</v>
      </c>
      <c r="AG19" s="1528">
        <v>124.926463800569</v>
      </c>
      <c r="AH19" s="1528">
        <v>122.75266538359099</v>
      </c>
      <c r="AI19" s="3595">
        <v>124.214478350665</v>
      </c>
      <c r="AJ19" s="1528">
        <v>125.064216435893</v>
      </c>
      <c r="AK19" s="1528">
        <v>125.124738134654</v>
      </c>
      <c r="AL19" s="1528">
        <v>124.907027287472</v>
      </c>
      <c r="AM19" s="1528">
        <v>125.564195411068</v>
      </c>
      <c r="AN19" s="1528">
        <v>126.716806131775</v>
      </c>
      <c r="AO19" s="1760">
        <v>128.27487485600699</v>
      </c>
      <c r="AP19" s="1760">
        <v>131.40343579080852</v>
      </c>
      <c r="AQ19" s="1760">
        <v>132.92733308245485</v>
      </c>
      <c r="AR19" s="1760">
        <v>134.46890314606114</v>
      </c>
      <c r="AS19" s="1760">
        <v>136.02835093433023</v>
      </c>
      <c r="AT19" s="1760">
        <v>137.60588377681958</v>
      </c>
    </row>
    <row r="20" spans="1:46">
      <c r="A20" s="778"/>
      <c r="B20" s="662"/>
      <c r="C20" s="293" t="s">
        <v>30</v>
      </c>
      <c r="D20" s="2066" t="s">
        <v>147</v>
      </c>
      <c r="E20" s="2970"/>
      <c r="F20" s="1528"/>
      <c r="G20" s="1528"/>
      <c r="H20" s="827"/>
      <c r="I20" s="827"/>
      <c r="J20" s="827"/>
      <c r="K20" s="827"/>
      <c r="L20" s="827"/>
      <c r="M20" s="827"/>
      <c r="N20" s="827"/>
      <c r="O20" s="827"/>
      <c r="P20" s="3829"/>
      <c r="Q20" s="827"/>
      <c r="R20" s="827"/>
      <c r="S20" s="827"/>
      <c r="T20" s="827"/>
      <c r="U20" s="827"/>
      <c r="V20" s="827"/>
      <c r="W20" s="827"/>
      <c r="X20" s="827"/>
      <c r="Y20" s="827"/>
      <c r="Z20" s="827"/>
      <c r="AA20" s="827"/>
      <c r="AB20" s="827"/>
      <c r="AC20" s="827"/>
      <c r="AD20" s="827"/>
      <c r="AE20" s="1528"/>
      <c r="AF20" s="1528"/>
      <c r="AG20" s="1528"/>
      <c r="AH20" s="1528"/>
      <c r="AI20" s="3595"/>
      <c r="AJ20" s="1528"/>
      <c r="AK20" s="1528"/>
      <c r="AL20" s="1528"/>
      <c r="AM20" s="1528"/>
      <c r="AN20" s="1528"/>
      <c r="AO20" s="1760"/>
      <c r="AP20" s="1760"/>
      <c r="AQ20" s="1760"/>
      <c r="AR20" s="1760"/>
      <c r="AS20" s="1760"/>
      <c r="AT20" s="1760"/>
    </row>
    <row r="21" spans="1:46">
      <c r="A21" s="778"/>
      <c r="B21" s="662" t="s">
        <v>14</v>
      </c>
      <c r="C21" s="293" t="s">
        <v>30</v>
      </c>
      <c r="D21" s="2067" t="s">
        <v>24</v>
      </c>
      <c r="E21" s="2970" t="s">
        <v>14</v>
      </c>
      <c r="F21" s="1528">
        <v>34.937590857882981</v>
      </c>
      <c r="G21" s="1528">
        <v>34.937590857882981</v>
      </c>
      <c r="H21" s="827">
        <v>38.187266509091678</v>
      </c>
      <c r="I21" s="827">
        <v>37.295675486647298</v>
      </c>
      <c r="J21" s="827">
        <v>45.8676666281603</v>
      </c>
      <c r="K21" s="827">
        <v>73.620515764565795</v>
      </c>
      <c r="L21" s="827">
        <v>66.356471721530497</v>
      </c>
      <c r="M21" s="827">
        <v>62.519301467370703</v>
      </c>
      <c r="N21" s="827">
        <v>80.431196535375705</v>
      </c>
      <c r="O21" s="827">
        <v>97.489736265018394</v>
      </c>
      <c r="P21" s="3829">
        <v>135.52178028868801</v>
      </c>
      <c r="Q21" s="827">
        <v>153.54751663074799</v>
      </c>
      <c r="R21" s="827">
        <v>167.66301137378201</v>
      </c>
      <c r="S21" s="827">
        <v>232.54703519411899</v>
      </c>
      <c r="T21" s="827">
        <v>142.77169888323701</v>
      </c>
      <c r="U21" s="827">
        <v>178.526562729223</v>
      </c>
      <c r="V21" s="827">
        <v>231.51176672663399</v>
      </c>
      <c r="W21" s="827">
        <v>228.12097589222</v>
      </c>
      <c r="X21" s="827">
        <v>225.879892740202</v>
      </c>
      <c r="Y21" s="827">
        <v>212.32069537862199</v>
      </c>
      <c r="Z21" s="827">
        <v>118.982121206987</v>
      </c>
      <c r="AA21" s="827">
        <v>100</v>
      </c>
      <c r="AB21" s="827">
        <v>123.300697947725</v>
      </c>
      <c r="AC21" s="827">
        <v>156.53475717045899</v>
      </c>
      <c r="AD21" s="827">
        <v>129.28497919466599</v>
      </c>
      <c r="AE21" s="1528">
        <v>91.704892627127407</v>
      </c>
      <c r="AF21" s="1528">
        <v>183.088722698955</v>
      </c>
      <c r="AG21" s="1528">
        <v>299.51108416295699</v>
      </c>
      <c r="AH21" s="1528">
        <v>189.505014922539</v>
      </c>
      <c r="AI21" s="3595">
        <v>179.50369051025501</v>
      </c>
      <c r="AJ21" s="1528">
        <v>163.13710905104199</v>
      </c>
      <c r="AK21" s="1528">
        <v>156.122645606867</v>
      </c>
      <c r="AL21" s="1528">
        <v>150.5663442746</v>
      </c>
      <c r="AM21" s="1528">
        <v>148.87549252692099</v>
      </c>
      <c r="AN21" s="1528">
        <v>149.26214166285601</v>
      </c>
      <c r="AO21" s="1760">
        <v>150.46166091863199</v>
      </c>
      <c r="AP21" s="1760">
        <v>155.41949351188592</v>
      </c>
      <c r="AQ21" s="1760">
        <v>155.12184145426804</v>
      </c>
      <c r="AR21" s="1760">
        <v>154.82475944578235</v>
      </c>
      <c r="AS21" s="1760">
        <v>154.52824639469776</v>
      </c>
      <c r="AT21" s="1760">
        <v>154.23230121137397</v>
      </c>
    </row>
    <row r="22" spans="1:46">
      <c r="A22" s="778"/>
      <c r="B22" s="662" t="s">
        <v>148</v>
      </c>
      <c r="C22" s="293"/>
      <c r="D22" s="2067" t="s">
        <v>25</v>
      </c>
      <c r="E22" s="2970" t="s">
        <v>148</v>
      </c>
      <c r="F22" s="1528">
        <v>17.204166666666666</v>
      </c>
      <c r="G22" s="1528">
        <v>17.204166666666666</v>
      </c>
      <c r="H22" s="827">
        <v>19.267499999999998</v>
      </c>
      <c r="I22" s="827">
        <v>13.235742442541399</v>
      </c>
      <c r="J22" s="827">
        <v>18.1792523161219</v>
      </c>
      <c r="K22" s="827">
        <v>28.471002431143699</v>
      </c>
      <c r="L22" s="827">
        <v>24.489567028985501</v>
      </c>
      <c r="M22" s="827">
        <v>25.000525066921799</v>
      </c>
      <c r="N22" s="827">
        <v>28.908934664972701</v>
      </c>
      <c r="O22" s="827">
        <v>37.806715958759398</v>
      </c>
      <c r="P22" s="3829">
        <v>53.506304810527602</v>
      </c>
      <c r="Q22" s="827">
        <v>64.401517804860106</v>
      </c>
      <c r="R22" s="827">
        <v>71.189201134010901</v>
      </c>
      <c r="S22" s="827">
        <v>96.767401956940006</v>
      </c>
      <c r="T22" s="827">
        <v>61.5014706955685</v>
      </c>
      <c r="U22" s="827">
        <v>79.144482318003995</v>
      </c>
      <c r="V22" s="827">
        <v>104.068651397515</v>
      </c>
      <c r="W22" s="827">
        <v>105.096616990296</v>
      </c>
      <c r="X22" s="827">
        <v>104.17181542390701</v>
      </c>
      <c r="Y22" s="827">
        <v>96.326127627203704</v>
      </c>
      <c r="Z22" s="827">
        <v>50.9119223445636</v>
      </c>
      <c r="AA22" s="827">
        <v>43.263857257879003</v>
      </c>
      <c r="AB22" s="827">
        <v>52.977644966748201</v>
      </c>
      <c r="AC22" s="827">
        <v>68.532530684693697</v>
      </c>
      <c r="AD22" s="827">
        <v>61.432334067904698</v>
      </c>
      <c r="AE22" s="1528">
        <v>41.765497534872502</v>
      </c>
      <c r="AF22" s="1528">
        <v>69.249978185059703</v>
      </c>
      <c r="AG22" s="1528">
        <v>96.362059361733202</v>
      </c>
      <c r="AH22" s="1528">
        <v>80.594907475374796</v>
      </c>
      <c r="AI22" s="3595">
        <v>79.170800120772896</v>
      </c>
      <c r="AJ22" s="1528">
        <v>67.7367838085827</v>
      </c>
      <c r="AK22" s="1528">
        <v>64.743372418333294</v>
      </c>
      <c r="AL22" s="1528">
        <v>62.927396555555497</v>
      </c>
      <c r="AM22" s="1528">
        <v>63.440084388888799</v>
      </c>
      <c r="AN22" s="1528">
        <v>64.429895194444398</v>
      </c>
      <c r="AO22" s="1760">
        <v>65.184461083333304</v>
      </c>
      <c r="AP22" s="1760">
        <v>67.651504389557815</v>
      </c>
      <c r="AQ22" s="1760">
        <v>68.044008589806552</v>
      </c>
      <c r="AR22" s="1760">
        <v>68.438790042403227</v>
      </c>
      <c r="AS22" s="1760">
        <v>68.835861959635139</v>
      </c>
      <c r="AT22" s="1760">
        <v>69.23523763044534</v>
      </c>
    </row>
    <row r="23" spans="1:46">
      <c r="A23" s="778"/>
      <c r="B23" s="662" t="s">
        <v>149</v>
      </c>
      <c r="C23" s="293" t="s">
        <v>30</v>
      </c>
      <c r="D23" s="2067" t="s">
        <v>538</v>
      </c>
      <c r="E23" s="2970" t="s">
        <v>149</v>
      </c>
      <c r="F23" s="1528">
        <v>103.79659672901356</v>
      </c>
      <c r="G23" s="1528">
        <v>103.79659672901356</v>
      </c>
      <c r="H23" s="827">
        <v>103.38988981988823</v>
      </c>
      <c r="I23" s="827">
        <v>75.6768499818821</v>
      </c>
      <c r="J23" s="827">
        <v>70.949348233217194</v>
      </c>
      <c r="K23" s="827">
        <v>69.051092007848396</v>
      </c>
      <c r="L23" s="827">
        <v>64.058421769314606</v>
      </c>
      <c r="M23" s="827">
        <v>82.580299301893604</v>
      </c>
      <c r="N23" s="827">
        <v>77.557048247453395</v>
      </c>
      <c r="O23" s="827">
        <v>84.095190064752899</v>
      </c>
      <c r="P23" s="3829">
        <v>81.239570061548307</v>
      </c>
      <c r="Q23" s="827">
        <v>85.335526930463999</v>
      </c>
      <c r="R23" s="827">
        <v>104.378305973352</v>
      </c>
      <c r="S23" s="827">
        <v>118.28187008181899</v>
      </c>
      <c r="T23" s="827">
        <v>96.792416057457501</v>
      </c>
      <c r="U23" s="827">
        <v>109.15881813541</v>
      </c>
      <c r="V23" s="827">
        <v>122.46714183939901</v>
      </c>
      <c r="W23" s="827">
        <v>119.74851384468801</v>
      </c>
      <c r="X23" s="827">
        <v>120.46474455513599</v>
      </c>
      <c r="Y23" s="827">
        <v>118.607957286849</v>
      </c>
      <c r="Z23" s="827">
        <v>98.5504928899676</v>
      </c>
      <c r="AA23" s="827">
        <v>100</v>
      </c>
      <c r="AB23" s="827">
        <v>103.76374761298401</v>
      </c>
      <c r="AC23" s="827">
        <v>102.498122724382</v>
      </c>
      <c r="AD23" s="827">
        <v>99.366643432680803</v>
      </c>
      <c r="AE23" s="1528">
        <v>101.08528568616801</v>
      </c>
      <c r="AF23" s="1528">
        <v>128.36467850508399</v>
      </c>
      <c r="AG23" s="1528">
        <v>147.402537187696</v>
      </c>
      <c r="AH23" s="1528">
        <v>137.427821131455</v>
      </c>
      <c r="AI23" s="3595">
        <v>133.137157586771</v>
      </c>
      <c r="AJ23" s="1528">
        <v>127.064881227047</v>
      </c>
      <c r="AK23" s="1528">
        <v>130.48940598744301</v>
      </c>
      <c r="AL23" s="1528">
        <v>131.76046023105599</v>
      </c>
      <c r="AM23" s="1528">
        <v>131.99334750682499</v>
      </c>
      <c r="AN23" s="1528">
        <v>131.271604035922</v>
      </c>
      <c r="AO23" s="1760">
        <v>130.75439281259</v>
      </c>
      <c r="AP23" s="1760">
        <v>131.49539314303749</v>
      </c>
      <c r="AQ23" s="1760">
        <v>131.49539314303749</v>
      </c>
      <c r="AR23" s="1760">
        <v>131.49539314303749</v>
      </c>
      <c r="AS23" s="1760">
        <v>131.49539314303749</v>
      </c>
      <c r="AT23" s="1760">
        <v>131.49539314303749</v>
      </c>
    </row>
    <row r="24" spans="1:46">
      <c r="A24" s="778"/>
      <c r="B24" s="662" t="s">
        <v>149</v>
      </c>
      <c r="C24" s="293" t="s">
        <v>30</v>
      </c>
      <c r="D24" s="2067" t="s">
        <v>539</v>
      </c>
      <c r="E24" s="2970" t="s">
        <v>149</v>
      </c>
      <c r="F24" s="1528">
        <v>120.07642336095574</v>
      </c>
      <c r="G24" s="1528">
        <v>120.07642336095574</v>
      </c>
      <c r="H24" s="827">
        <v>111.55615750039404</v>
      </c>
      <c r="I24" s="827">
        <v>71.344441781553101</v>
      </c>
      <c r="J24" s="827">
        <v>70.376412307907799</v>
      </c>
      <c r="K24" s="827">
        <v>72.344672187535807</v>
      </c>
      <c r="L24" s="827">
        <v>65.034155149924999</v>
      </c>
      <c r="M24" s="827">
        <v>67.013161221229097</v>
      </c>
      <c r="N24" s="827">
        <v>76.839026185169203</v>
      </c>
      <c r="O24" s="827">
        <v>85.428394609494603</v>
      </c>
      <c r="P24" s="3829">
        <v>88.029880396775596</v>
      </c>
      <c r="Q24" s="827">
        <v>100.133259770547</v>
      </c>
      <c r="R24" s="827">
        <v>104.605587212101</v>
      </c>
      <c r="S24" s="827">
        <v>111.45537429693</v>
      </c>
      <c r="T24" s="827">
        <v>96.583139539390103</v>
      </c>
      <c r="U24" s="827">
        <v>128.44464390437301</v>
      </c>
      <c r="V24" s="827">
        <v>162.748795696505</v>
      </c>
      <c r="W24" s="827">
        <v>128.29052632619801</v>
      </c>
      <c r="X24" s="827">
        <v>122.251483990899</v>
      </c>
      <c r="Y24" s="827">
        <v>112.901492306674</v>
      </c>
      <c r="Z24" s="827">
        <v>100.178534831972</v>
      </c>
      <c r="AA24" s="827">
        <v>100</v>
      </c>
      <c r="AB24" s="827">
        <v>105.38353817705</v>
      </c>
      <c r="AC24" s="827">
        <v>107.49071089230701</v>
      </c>
      <c r="AD24" s="827">
        <v>101.661835096299</v>
      </c>
      <c r="AE24" s="1528">
        <v>98.192672928470003</v>
      </c>
      <c r="AF24" s="1528">
        <v>113.381317377817</v>
      </c>
      <c r="AG24" s="1528">
        <v>119.892901300131</v>
      </c>
      <c r="AH24" s="1528">
        <v>101.236416184041</v>
      </c>
      <c r="AI24" s="3595">
        <v>105.608346993109</v>
      </c>
      <c r="AJ24" s="1528">
        <v>103.550463209358</v>
      </c>
      <c r="AK24" s="1528">
        <v>99.072594677055804</v>
      </c>
      <c r="AL24" s="1528">
        <v>101.376042660011</v>
      </c>
      <c r="AM24" s="1528">
        <v>101.574372595879</v>
      </c>
      <c r="AN24" s="1528">
        <v>101.44816263618399</v>
      </c>
      <c r="AO24" s="1760">
        <v>101.44816263618399</v>
      </c>
      <c r="AP24" s="1760">
        <v>106.25888105571565</v>
      </c>
      <c r="AQ24" s="1760">
        <v>106.25888105571565</v>
      </c>
      <c r="AR24" s="1760">
        <v>106.25888105571565</v>
      </c>
      <c r="AS24" s="1760">
        <v>106.25888105571565</v>
      </c>
      <c r="AT24" s="1760">
        <v>106.25888105571565</v>
      </c>
    </row>
    <row r="25" spans="1:46">
      <c r="A25" s="778"/>
      <c r="B25" s="662" t="s">
        <v>149</v>
      </c>
      <c r="C25" s="293" t="s">
        <v>30</v>
      </c>
      <c r="D25" s="2067" t="s">
        <v>540</v>
      </c>
      <c r="E25" s="2970" t="s">
        <v>149</v>
      </c>
      <c r="F25" s="1528">
        <v>76.00061700352002</v>
      </c>
      <c r="G25" s="1528">
        <v>76.00061700352002</v>
      </c>
      <c r="H25" s="827">
        <v>67.875985744004296</v>
      </c>
      <c r="I25" s="827">
        <v>41.0349745228324</v>
      </c>
      <c r="J25" s="827">
        <v>41.389527389192402</v>
      </c>
      <c r="K25" s="827">
        <v>47.932397783575801</v>
      </c>
      <c r="L25" s="827">
        <v>41.794200751115099</v>
      </c>
      <c r="M25" s="827">
        <v>41.3298132613645</v>
      </c>
      <c r="N25" s="827">
        <v>59.889723598123602</v>
      </c>
      <c r="O25" s="827">
        <v>84.938246046198699</v>
      </c>
      <c r="P25" s="3829">
        <v>97.481983306800004</v>
      </c>
      <c r="Q25" s="827">
        <v>160.63418289644201</v>
      </c>
      <c r="R25" s="827">
        <v>194.449564154412</v>
      </c>
      <c r="S25" s="827">
        <v>157.14353172895301</v>
      </c>
      <c r="T25" s="827">
        <v>111.86916424611501</v>
      </c>
      <c r="U25" s="827">
        <v>157.186180817679</v>
      </c>
      <c r="V25" s="827">
        <v>174.31299537684899</v>
      </c>
      <c r="W25" s="827">
        <v>150.05315940802299</v>
      </c>
      <c r="X25" s="827">
        <v>136.67488321486599</v>
      </c>
      <c r="Y25" s="827">
        <v>136.699007608085</v>
      </c>
      <c r="Z25" s="827">
        <v>105.60449728518</v>
      </c>
      <c r="AA25" s="827">
        <v>100</v>
      </c>
      <c r="AB25" s="827">
        <v>122.188691334713</v>
      </c>
      <c r="AC25" s="827">
        <v>130.28732293519201</v>
      </c>
      <c r="AD25" s="827">
        <v>135.320330224771</v>
      </c>
      <c r="AE25" s="1528">
        <v>140.01003333317101</v>
      </c>
      <c r="AF25" s="1528">
        <v>205.41254005035</v>
      </c>
      <c r="AG25" s="1528">
        <v>193.895128703437</v>
      </c>
      <c r="AH25" s="1528">
        <v>188.54756853841201</v>
      </c>
      <c r="AI25" s="3595">
        <v>184.94947993190399</v>
      </c>
      <c r="AJ25" s="1528">
        <v>188.82544460817499</v>
      </c>
      <c r="AK25" s="1528">
        <v>217.49363854753699</v>
      </c>
      <c r="AL25" s="1528">
        <v>216.616779715219</v>
      </c>
      <c r="AM25" s="1528">
        <v>215.679344895979</v>
      </c>
      <c r="AN25" s="1528">
        <v>214.30038621879399</v>
      </c>
      <c r="AO25" s="1760">
        <v>214.05084641839699</v>
      </c>
      <c r="AP25" s="1760">
        <v>192.57100055739139</v>
      </c>
      <c r="AQ25" s="1760">
        <v>193.69584927916614</v>
      </c>
      <c r="AR25" s="1760">
        <v>194.82726848477915</v>
      </c>
      <c r="AS25" s="1760">
        <v>195.96529655384273</v>
      </c>
      <c r="AT25" s="1760">
        <v>197.10997209015281</v>
      </c>
    </row>
    <row r="26" spans="1:46">
      <c r="A26" s="778"/>
      <c r="B26" s="662" t="s">
        <v>348</v>
      </c>
      <c r="C26" s="293" t="s">
        <v>30</v>
      </c>
      <c r="D26" s="2067" t="s">
        <v>150</v>
      </c>
      <c r="E26" s="2970" t="s">
        <v>348</v>
      </c>
      <c r="F26" s="1528">
        <v>149.40558687845876</v>
      </c>
      <c r="G26" s="1528">
        <v>149.40558687845876</v>
      </c>
      <c r="H26" s="827">
        <v>185.02006912231442</v>
      </c>
      <c r="I26" s="827">
        <v>135.46926998243299</v>
      </c>
      <c r="J26" s="827">
        <v>103.884424383587</v>
      </c>
      <c r="K26" s="827">
        <v>87.204109887696802</v>
      </c>
      <c r="L26" s="827">
        <v>62.2841325914424</v>
      </c>
      <c r="M26" s="827">
        <v>61.4620682680846</v>
      </c>
      <c r="N26" s="827">
        <v>64.172862052198994</v>
      </c>
      <c r="O26" s="827">
        <v>80.479524852562903</v>
      </c>
      <c r="P26" s="3829">
        <v>114.853919278185</v>
      </c>
      <c r="Q26" s="827">
        <v>114.408857864357</v>
      </c>
      <c r="R26" s="827">
        <v>123.613877540937</v>
      </c>
      <c r="S26" s="827">
        <v>139.71246561892201</v>
      </c>
      <c r="T26" s="827">
        <v>143.75475766202399</v>
      </c>
      <c r="U26" s="827">
        <v>196.04909199918399</v>
      </c>
      <c r="V26" s="827">
        <v>271.10805783769302</v>
      </c>
      <c r="W26" s="827">
        <v>186.44158316080001</v>
      </c>
      <c r="X26" s="827">
        <v>139.48433732511401</v>
      </c>
      <c r="Y26" s="827">
        <v>200.35589636269501</v>
      </c>
      <c r="Z26" s="827">
        <v>159.903685857017</v>
      </c>
      <c r="AA26" s="827">
        <v>163.83998470732101</v>
      </c>
      <c r="AB26" s="827">
        <v>150.75595340046399</v>
      </c>
      <c r="AC26" s="827">
        <v>132.71492668140999</v>
      </c>
      <c r="AD26" s="827">
        <v>130.55576145774501</v>
      </c>
      <c r="AE26" s="1528">
        <v>150.831950036075</v>
      </c>
      <c r="AF26" s="1528">
        <v>204.69402922077899</v>
      </c>
      <c r="AG26" s="1528">
        <v>255.465902040592</v>
      </c>
      <c r="AH26" s="1528">
        <v>205.95975240761601</v>
      </c>
      <c r="AI26" s="3595">
        <v>255.44462944663999</v>
      </c>
      <c r="AJ26" s="1528">
        <v>383.09798421325002</v>
      </c>
      <c r="AK26" s="1528">
        <v>300.253749956673</v>
      </c>
      <c r="AL26" s="1528">
        <v>279.34127015000001</v>
      </c>
      <c r="AM26" s="1528">
        <v>268.84510490000002</v>
      </c>
      <c r="AN26" s="1528">
        <v>268.84510490000002</v>
      </c>
      <c r="AO26" s="1760">
        <v>268.84510490000002</v>
      </c>
      <c r="AP26" s="1760">
        <v>300.8024436</v>
      </c>
      <c r="AQ26" s="1760">
        <v>300.8024436</v>
      </c>
      <c r="AR26" s="1760">
        <v>300.8024436</v>
      </c>
      <c r="AS26" s="1760">
        <v>300.8024436</v>
      </c>
      <c r="AT26" s="1760">
        <v>300.8024436</v>
      </c>
    </row>
    <row r="27" spans="1:46">
      <c r="A27" s="778"/>
      <c r="B27" s="663" t="s">
        <v>151</v>
      </c>
      <c r="C27" s="293" t="s">
        <v>30</v>
      </c>
      <c r="D27" s="2067" t="s">
        <v>51</v>
      </c>
      <c r="E27" s="2970" t="s">
        <v>151</v>
      </c>
      <c r="F27" s="1528">
        <v>164.15600585937509</v>
      </c>
      <c r="G27" s="1528">
        <v>164.15600585937509</v>
      </c>
      <c r="H27" s="827">
        <v>237.18896738688176</v>
      </c>
      <c r="I27" s="827">
        <v>238.562549591064</v>
      </c>
      <c r="J27" s="827">
        <v>232.356666666667</v>
      </c>
      <c r="K27" s="827">
        <v>248.11666666666699</v>
      </c>
      <c r="L27" s="827">
        <v>198.12333333333299</v>
      </c>
      <c r="M27" s="827">
        <v>179.1875</v>
      </c>
      <c r="N27" s="827">
        <v>194.32583333333301</v>
      </c>
      <c r="O27" s="827">
        <v>198.150833333333</v>
      </c>
      <c r="P27" s="3829">
        <v>216.379166666667</v>
      </c>
      <c r="Q27" s="827">
        <v>241.7</v>
      </c>
      <c r="R27" s="827">
        <v>211.92916666666699</v>
      </c>
      <c r="S27" s="827">
        <v>269.50583333333299</v>
      </c>
      <c r="T27" s="827">
        <v>313.95666666666699</v>
      </c>
      <c r="U27" s="827">
        <v>316.73722551602998</v>
      </c>
      <c r="V27" s="827">
        <v>346.16056135893098</v>
      </c>
      <c r="W27" s="827">
        <v>348.91512448919798</v>
      </c>
      <c r="X27" s="827">
        <v>265.601257308377</v>
      </c>
      <c r="Y27" s="827">
        <v>237.85755307774301</v>
      </c>
      <c r="Z27" s="827">
        <v>340.38667780189502</v>
      </c>
      <c r="AA27" s="827">
        <v>287.42951828417398</v>
      </c>
      <c r="AB27" s="827">
        <v>362.20146089101797</v>
      </c>
      <c r="AC27" s="827">
        <v>298.26014595356401</v>
      </c>
      <c r="AD27" s="827">
        <v>268.27633410966098</v>
      </c>
      <c r="AE27" s="1528">
        <v>253.93311836260099</v>
      </c>
      <c r="AF27" s="1528">
        <v>267.203414450281</v>
      </c>
      <c r="AG27" s="1528">
        <v>277.94792036818501</v>
      </c>
      <c r="AH27" s="1528">
        <v>290.21567266645502</v>
      </c>
      <c r="AI27" s="3595">
        <v>328.02310780598401</v>
      </c>
      <c r="AJ27" s="1528">
        <v>316.76503791228799</v>
      </c>
      <c r="AK27" s="1528">
        <v>309.80010986328102</v>
      </c>
      <c r="AL27" s="1528">
        <v>309.80010986328102</v>
      </c>
      <c r="AM27" s="1528">
        <v>309.80010986328102</v>
      </c>
      <c r="AN27" s="1528">
        <v>309.80010986328102</v>
      </c>
      <c r="AO27" s="1760">
        <v>309.80010986328102</v>
      </c>
      <c r="AP27" s="1760">
        <v>303.76945860000001</v>
      </c>
      <c r="AQ27" s="1760">
        <v>303.76945860000001</v>
      </c>
      <c r="AR27" s="1760">
        <v>303.76945860000001</v>
      </c>
      <c r="AS27" s="1760">
        <v>303.76945860000001</v>
      </c>
      <c r="AT27" s="1760">
        <v>303.76945860000001</v>
      </c>
    </row>
    <row r="28" spans="1:46">
      <c r="A28" s="778"/>
      <c r="B28" s="662" t="s">
        <v>153</v>
      </c>
      <c r="C28" s="293" t="s">
        <v>30</v>
      </c>
      <c r="D28" s="2067" t="s">
        <v>152</v>
      </c>
      <c r="E28" s="2970" t="s">
        <v>153</v>
      </c>
      <c r="F28" s="1528">
        <v>88.138603210449219</v>
      </c>
      <c r="G28" s="1528">
        <v>88.138603210449219</v>
      </c>
      <c r="H28" s="827">
        <v>88.252759297688826</v>
      </c>
      <c r="I28" s="827">
        <v>75.989121187599594</v>
      </c>
      <c r="J28" s="827">
        <v>61.655330454168897</v>
      </c>
      <c r="K28" s="827">
        <v>65.571231632412804</v>
      </c>
      <c r="L28" s="827">
        <v>70.677707128061797</v>
      </c>
      <c r="M28" s="827">
        <v>66.826209680508697</v>
      </c>
      <c r="N28" s="827">
        <v>69.041137524706599</v>
      </c>
      <c r="O28" s="827">
        <v>67.983622045152202</v>
      </c>
      <c r="P28" s="3829">
        <v>64.937980709654198</v>
      </c>
      <c r="Q28" s="827">
        <v>68.732838936130193</v>
      </c>
      <c r="R28" s="827">
        <v>72.750383872045902</v>
      </c>
      <c r="S28" s="827">
        <v>65.068889825683002</v>
      </c>
      <c r="T28" s="827">
        <v>40.786567711559698</v>
      </c>
      <c r="U28" s="827">
        <v>69.4739061590425</v>
      </c>
      <c r="V28" s="827">
        <v>81.476560600914397</v>
      </c>
      <c r="W28" s="827">
        <v>81.639780044734593</v>
      </c>
      <c r="X28" s="827">
        <v>96.339617148120098</v>
      </c>
      <c r="Y28" s="827">
        <v>106.56916381939899</v>
      </c>
      <c r="Z28" s="827">
        <v>87.886698373284105</v>
      </c>
      <c r="AA28" s="827">
        <v>73.277291677094297</v>
      </c>
      <c r="AB28" s="827">
        <v>69.203907945712899</v>
      </c>
      <c r="AC28" s="827">
        <v>59.950530316336597</v>
      </c>
      <c r="AD28" s="827">
        <v>40.807021116357802</v>
      </c>
      <c r="AE28" s="1528">
        <v>33.5672133744118</v>
      </c>
      <c r="AF28" s="1528">
        <v>47.418791931840197</v>
      </c>
      <c r="AG28" s="1528">
        <v>57.556471798506998</v>
      </c>
      <c r="AH28" s="1528">
        <v>58.6339731316666</v>
      </c>
      <c r="AI28" s="3595">
        <v>58.652686283333303</v>
      </c>
      <c r="AJ28" s="1528">
        <v>57.765023227804299</v>
      </c>
      <c r="AK28" s="1528">
        <v>57.423233032226499</v>
      </c>
      <c r="AL28" s="1528">
        <v>57.423233032226499</v>
      </c>
      <c r="AM28" s="1528">
        <v>57.423233032226499</v>
      </c>
      <c r="AN28" s="1528">
        <v>57.423233032226499</v>
      </c>
      <c r="AO28" s="1760">
        <v>57.423233032226499</v>
      </c>
      <c r="AP28" s="1760">
        <v>58.919650779999998</v>
      </c>
      <c r="AQ28" s="1760">
        <v>58.919650779999998</v>
      </c>
      <c r="AR28" s="1760">
        <v>58.919650779999998</v>
      </c>
      <c r="AS28" s="1760">
        <v>58.919650779999998</v>
      </c>
      <c r="AT28" s="1760">
        <v>58.919650779999998</v>
      </c>
    </row>
    <row r="29" spans="1:46">
      <c r="A29" s="778"/>
      <c r="B29" s="662" t="s">
        <v>155</v>
      </c>
      <c r="D29" s="2067" t="s">
        <v>154</v>
      </c>
      <c r="E29" s="2970" t="s">
        <v>155</v>
      </c>
      <c r="F29" s="1528">
        <v>384.16080983479821</v>
      </c>
      <c r="G29" s="1528">
        <v>384.16080983479821</v>
      </c>
      <c r="H29" s="827">
        <v>330.99543507893884</v>
      </c>
      <c r="I29" s="827">
        <v>294.13892364501999</v>
      </c>
      <c r="J29" s="827">
        <v>278.87285144999998</v>
      </c>
      <c r="K29" s="827">
        <v>279.17055316666699</v>
      </c>
      <c r="L29" s="827">
        <v>271.05059244166699</v>
      </c>
      <c r="M29" s="827">
        <v>310.035467583333</v>
      </c>
      <c r="N29" s="827">
        <v>363.50905736838803</v>
      </c>
      <c r="O29" s="827">
        <v>409.21152726389403</v>
      </c>
      <c r="P29" s="1532">
        <v>444.88172288359698</v>
      </c>
      <c r="Q29" s="832">
        <v>604.33585566725606</v>
      </c>
      <c r="R29" s="832">
        <v>696.66159326217405</v>
      </c>
      <c r="S29" s="832">
        <v>871.70709605040201</v>
      </c>
      <c r="T29" s="832">
        <v>972.97946285138005</v>
      </c>
      <c r="U29" s="832">
        <v>1224.66413599669</v>
      </c>
      <c r="V29" s="832">
        <v>1568.5836453954601</v>
      </c>
      <c r="W29" s="832">
        <v>1668.82069605371</v>
      </c>
      <c r="X29" s="832">
        <v>1411.03134482767</v>
      </c>
      <c r="Y29" s="832">
        <v>1266.1938086012899</v>
      </c>
      <c r="Z29" s="832">
        <v>1160.11447519696</v>
      </c>
      <c r="AA29" s="832">
        <v>1248.3403911135099</v>
      </c>
      <c r="AB29" s="832">
        <v>1257.1272101257</v>
      </c>
      <c r="AC29" s="832">
        <v>1269.14052715453</v>
      </c>
      <c r="AD29" s="832">
        <v>1392.1745391152699</v>
      </c>
      <c r="AE29" s="1531">
        <v>1769.5427511074199</v>
      </c>
      <c r="AF29" s="1531">
        <v>1799.77063804314</v>
      </c>
      <c r="AG29" s="1528">
        <v>1801.5283570957999</v>
      </c>
      <c r="AH29" s="1528">
        <v>1943.0678661223999</v>
      </c>
      <c r="AI29" s="3595">
        <v>2387.2067896746898</v>
      </c>
      <c r="AJ29" s="1528">
        <v>3439.9791959658701</v>
      </c>
      <c r="AK29" s="1528">
        <v>4930.1421630859304</v>
      </c>
      <c r="AL29" s="1528">
        <v>5116.375</v>
      </c>
      <c r="AM29" s="1528">
        <v>5175</v>
      </c>
      <c r="AN29" s="1528">
        <v>5175</v>
      </c>
      <c r="AO29" s="1760">
        <v>5175</v>
      </c>
      <c r="AP29" s="1760">
        <v>3656.7500000000005</v>
      </c>
      <c r="AQ29" s="1760">
        <v>3656.7500000000005</v>
      </c>
      <c r="AR29" s="1760">
        <v>3656.7500000000005</v>
      </c>
      <c r="AS29" s="1760">
        <v>3656.7500000000005</v>
      </c>
      <c r="AT29" s="1760">
        <v>3656.7500000000005</v>
      </c>
    </row>
    <row r="30" spans="1:46">
      <c r="A30" s="778"/>
      <c r="B30" s="662" t="s">
        <v>151</v>
      </c>
      <c r="C30" s="293" t="s">
        <v>30</v>
      </c>
      <c r="D30" s="2067" t="s">
        <v>156</v>
      </c>
      <c r="E30" s="2970" t="s">
        <v>151</v>
      </c>
      <c r="F30" s="1531">
        <v>6197.3623582476312</v>
      </c>
      <c r="G30" s="1531">
        <v>6197.3623582476312</v>
      </c>
      <c r="H30" s="832">
        <v>5640.4804572593703</v>
      </c>
      <c r="I30" s="832">
        <v>5536.2287691169704</v>
      </c>
      <c r="J30" s="827">
        <v>5391.3942611819402</v>
      </c>
      <c r="K30" s="827">
        <v>5435.9025268210098</v>
      </c>
      <c r="L30" s="827">
        <v>4489.4362446415098</v>
      </c>
      <c r="M30" s="827">
        <v>4060.9963153794702</v>
      </c>
      <c r="N30" s="827">
        <v>4889.5855445369798</v>
      </c>
      <c r="O30" s="827">
        <v>8480.9384979287806</v>
      </c>
      <c r="P30" s="1532">
        <v>7385.2477362914797</v>
      </c>
      <c r="Q30" s="832">
        <v>8754.9030097442392</v>
      </c>
      <c r="R30" s="832">
        <v>14495.4433468525</v>
      </c>
      <c r="S30" s="832">
        <v>18466.644467930299</v>
      </c>
      <c r="T30" s="832">
        <v>13599.284720055201</v>
      </c>
      <c r="U30" s="832">
        <v>20367.248758795798</v>
      </c>
      <c r="V30" s="832">
        <v>26051.449644281802</v>
      </c>
      <c r="W30" s="832">
        <v>21109.356206897701</v>
      </c>
      <c r="X30" s="832">
        <v>22281.5834868483</v>
      </c>
      <c r="Y30" s="832">
        <v>21898.873673850299</v>
      </c>
      <c r="Z30" s="832">
        <v>16066.6324391863</v>
      </c>
      <c r="AA30" s="832">
        <v>17933.762085137001</v>
      </c>
      <c r="AB30" s="832">
        <v>20061.168945736601</v>
      </c>
      <c r="AC30" s="832">
        <v>20145.205894698</v>
      </c>
      <c r="AD30" s="832">
        <v>18661.1568322981</v>
      </c>
      <c r="AE30" s="1531">
        <v>17125.459462184699</v>
      </c>
      <c r="AF30" s="1531">
        <v>32387.2890990259</v>
      </c>
      <c r="AG30" s="1531">
        <v>31383.286675457999</v>
      </c>
      <c r="AH30" s="1531">
        <v>25912.245867400699</v>
      </c>
      <c r="AI30" s="3596">
        <v>30059.334260289201</v>
      </c>
      <c r="AJ30" s="1531">
        <v>34058.324170689797</v>
      </c>
      <c r="AK30" s="1531">
        <v>46768.1484375</v>
      </c>
      <c r="AL30" s="1531">
        <v>46533.25</v>
      </c>
      <c r="AM30" s="1531">
        <v>46516</v>
      </c>
      <c r="AN30" s="1531">
        <v>46516</v>
      </c>
      <c r="AO30" s="1761">
        <v>46516</v>
      </c>
      <c r="AP30" s="1761">
        <v>34686.541666666664</v>
      </c>
      <c r="AQ30" s="1761">
        <v>34686.541666666664</v>
      </c>
      <c r="AR30" s="1761">
        <v>34686.541666666664</v>
      </c>
      <c r="AS30" s="1761">
        <v>34686.541666666664</v>
      </c>
      <c r="AT30" s="1761">
        <v>34686.541666666664</v>
      </c>
    </row>
    <row r="31" spans="1:46">
      <c r="A31" s="778"/>
      <c r="B31" s="662"/>
      <c r="C31" s="293"/>
      <c r="D31" s="2067" t="s">
        <v>955</v>
      </c>
      <c r="E31" s="2970"/>
      <c r="F31" s="3832"/>
      <c r="G31" s="1528"/>
      <c r="H31" s="827"/>
      <c r="I31" s="827">
        <v>135.46926998243299</v>
      </c>
      <c r="J31" s="827">
        <v>103.884424383587</v>
      </c>
      <c r="K31" s="827">
        <v>87.204109887696802</v>
      </c>
      <c r="L31" s="827">
        <v>62.2841325914424</v>
      </c>
      <c r="M31" s="827">
        <v>61.4620682680846</v>
      </c>
      <c r="N31" s="827">
        <v>64.172862052198994</v>
      </c>
      <c r="O31" s="827">
        <v>80.479524852562903</v>
      </c>
      <c r="P31" s="1532">
        <v>114.853919278185</v>
      </c>
      <c r="Q31" s="832">
        <v>114.408857864357</v>
      </c>
      <c r="R31" s="832">
        <v>123.613877540937</v>
      </c>
      <c r="S31" s="832">
        <v>139.71246561892201</v>
      </c>
      <c r="T31" s="832">
        <v>143.75475766202399</v>
      </c>
      <c r="U31" s="832">
        <v>196.04909199918399</v>
      </c>
      <c r="V31" s="1532">
        <v>271.10805783769302</v>
      </c>
      <c r="W31" s="832">
        <v>186.44158316080001</v>
      </c>
      <c r="X31" s="832">
        <v>139.48433732511401</v>
      </c>
      <c r="Y31" s="832">
        <v>200.35589636269501</v>
      </c>
      <c r="Z31" s="832">
        <v>159.903685857017</v>
      </c>
      <c r="AA31" s="832">
        <v>163.83998470732101</v>
      </c>
      <c r="AB31" s="1532">
        <v>150.75595340046399</v>
      </c>
      <c r="AC31" s="832">
        <v>132.71492668140999</v>
      </c>
      <c r="AD31" s="832">
        <v>130.55576145774501</v>
      </c>
      <c r="AE31" s="832">
        <v>150.831950036075</v>
      </c>
      <c r="AF31" s="1528">
        <v>204.69402922077899</v>
      </c>
      <c r="AG31" s="1528">
        <v>255.465902040592</v>
      </c>
      <c r="AH31" s="1528">
        <v>205.95975240761601</v>
      </c>
      <c r="AI31" s="3595">
        <v>255.44462944663999</v>
      </c>
      <c r="AJ31" s="1528">
        <v>383.09798421325002</v>
      </c>
      <c r="AK31" s="1528">
        <v>300.253749956673</v>
      </c>
      <c r="AL31" s="1528">
        <v>279.34127015000001</v>
      </c>
      <c r="AM31" s="1528">
        <v>268.84510490000002</v>
      </c>
      <c r="AN31" s="1528">
        <v>268.84510490000002</v>
      </c>
      <c r="AO31" s="1760">
        <v>268.84510490000002</v>
      </c>
      <c r="AP31" s="1760">
        <v>217.86051992302924</v>
      </c>
      <c r="AQ31" s="1760">
        <v>218.86980682618722</v>
      </c>
      <c r="AR31" s="1760">
        <v>219.88376947350136</v>
      </c>
      <c r="AS31" s="1760">
        <v>220.90242952638758</v>
      </c>
      <c r="AT31" s="1760">
        <v>221.92580874661311</v>
      </c>
    </row>
    <row r="32" spans="1:46">
      <c r="A32" s="294"/>
      <c r="B32" s="662" t="s">
        <v>15</v>
      </c>
      <c r="C32" s="293" t="s">
        <v>30</v>
      </c>
      <c r="D32" s="2066" t="s">
        <v>157</v>
      </c>
      <c r="E32" s="2970" t="s">
        <v>15</v>
      </c>
      <c r="F32" s="3832"/>
      <c r="G32" s="1528"/>
      <c r="H32" s="827"/>
      <c r="I32" s="827"/>
      <c r="J32" s="827"/>
      <c r="K32" s="827"/>
      <c r="L32" s="827"/>
      <c r="M32" s="827"/>
      <c r="N32" s="827"/>
      <c r="O32" s="827"/>
      <c r="P32" s="3828"/>
      <c r="Q32" s="826"/>
      <c r="R32" s="826"/>
      <c r="S32" s="826"/>
      <c r="T32" s="826"/>
      <c r="U32" s="826"/>
      <c r="V32" s="826"/>
      <c r="W32" s="826"/>
      <c r="X32" s="826"/>
      <c r="Y32" s="826"/>
      <c r="Z32" s="826"/>
      <c r="AA32" s="826"/>
      <c r="AB32" s="826"/>
      <c r="AC32" s="826"/>
      <c r="AD32" s="826"/>
      <c r="AE32" s="1527"/>
      <c r="AF32" s="1527"/>
      <c r="AG32" s="1528"/>
      <c r="AH32" s="1528"/>
      <c r="AI32" s="3595"/>
      <c r="AJ32" s="1528"/>
      <c r="AK32" s="1528"/>
      <c r="AL32" s="1528"/>
      <c r="AM32" s="1528"/>
      <c r="AN32" s="1528"/>
      <c r="AO32" s="1760"/>
      <c r="AP32" s="1760"/>
      <c r="AQ32" s="1760"/>
      <c r="AR32" s="1760"/>
      <c r="AS32" s="1760"/>
      <c r="AT32" s="1760"/>
    </row>
    <row r="33" spans="1:46">
      <c r="A33" s="778"/>
      <c r="B33" s="662" t="s">
        <v>158</v>
      </c>
      <c r="C33" s="293" t="s">
        <v>30</v>
      </c>
      <c r="D33" s="2067" t="s">
        <v>26</v>
      </c>
      <c r="E33" s="2970" t="s">
        <v>158</v>
      </c>
      <c r="F33" s="1528">
        <v>1.3082816666666666</v>
      </c>
      <c r="G33" s="1528">
        <v>1.3082816666666666</v>
      </c>
      <c r="H33" s="827">
        <v>1.1342958333333331</v>
      </c>
      <c r="I33" s="827">
        <v>1.1140033333333299</v>
      </c>
      <c r="J33" s="827">
        <v>1.0668346104999999</v>
      </c>
      <c r="K33" s="827">
        <v>0.92402059788333302</v>
      </c>
      <c r="L33" s="827">
        <v>0.89563563535000001</v>
      </c>
      <c r="M33" s="827">
        <v>0.94490556325833297</v>
      </c>
      <c r="N33" s="827">
        <v>1.1308771550833301</v>
      </c>
      <c r="O33" s="827">
        <v>1.2433377025833301</v>
      </c>
      <c r="P33" s="3833">
        <v>1.24477792875</v>
      </c>
      <c r="Q33" s="781">
        <v>1.25566535075</v>
      </c>
      <c r="R33" s="781">
        <v>1.37063958091666</v>
      </c>
      <c r="S33" s="781">
        <v>1.4705943365833301</v>
      </c>
      <c r="T33" s="781">
        <v>1.3932679345833301</v>
      </c>
      <c r="U33" s="781">
        <v>1.32679942825</v>
      </c>
      <c r="V33" s="781">
        <v>1.3917103068333301</v>
      </c>
      <c r="W33" s="781">
        <v>1.2856022599166601</v>
      </c>
      <c r="X33" s="781">
        <v>1.3281373947499999</v>
      </c>
      <c r="Y33" s="781">
        <v>1.3288431678333299</v>
      </c>
      <c r="Z33" s="781">
        <v>1.10962522666666</v>
      </c>
      <c r="AA33" s="781">
        <v>1.1065976692499999</v>
      </c>
      <c r="AB33" s="781">
        <v>1.12928252958333</v>
      </c>
      <c r="AC33" s="781">
        <v>1.18149004083333</v>
      </c>
      <c r="AD33" s="781">
        <v>1.1195980593333299</v>
      </c>
      <c r="AE33" s="780">
        <v>1.14128185933333</v>
      </c>
      <c r="AF33" s="780">
        <v>1.18352659516666</v>
      </c>
      <c r="AG33" s="1528">
        <v>1.0538770742833301</v>
      </c>
      <c r="AH33" s="1528">
        <v>1.08158049375</v>
      </c>
      <c r="AI33" s="3595">
        <v>1.0820545774166599</v>
      </c>
      <c r="AJ33" s="1528">
        <v>1.12836068666923</v>
      </c>
      <c r="AK33" s="1528">
        <v>1.1579290059665801</v>
      </c>
      <c r="AL33" s="1528">
        <v>1.15515916443936</v>
      </c>
      <c r="AM33" s="1528">
        <v>1.1535055101242899</v>
      </c>
      <c r="AN33" s="1528">
        <v>1.15275620964905</v>
      </c>
      <c r="AO33" s="1760">
        <v>1.1521448384389299</v>
      </c>
      <c r="AP33" s="1760">
        <v>1.0386572894917723</v>
      </c>
      <c r="AQ33" s="1760">
        <v>1.0386572894917723</v>
      </c>
      <c r="AR33" s="1760">
        <v>1.0386572894917723</v>
      </c>
      <c r="AS33" s="1760">
        <v>1.0386572894917723</v>
      </c>
      <c r="AT33" s="1760">
        <v>1.0386572894917723</v>
      </c>
    </row>
    <row r="34" spans="1:46">
      <c r="A34" s="778"/>
      <c r="B34" s="662"/>
      <c r="D34" s="2067" t="s">
        <v>27</v>
      </c>
      <c r="E34" s="2970"/>
      <c r="F34" s="1528">
        <v>0.65941408154023351</v>
      </c>
      <c r="G34" s="1528">
        <v>0.65941408154023351</v>
      </c>
      <c r="H34" s="827">
        <v>0.72678620956872131</v>
      </c>
      <c r="I34" s="827">
        <v>0.73736539531868905</v>
      </c>
      <c r="J34" s="827">
        <v>0.73142902340939897</v>
      </c>
      <c r="K34" s="827">
        <v>0.75843424653848501</v>
      </c>
      <c r="L34" s="827">
        <v>0.78557813982701796</v>
      </c>
      <c r="M34" s="827">
        <v>0.77258083183389903</v>
      </c>
      <c r="N34" s="827">
        <v>0.71415878826019796</v>
      </c>
      <c r="O34" s="827">
        <v>0.67532006880543005</v>
      </c>
      <c r="P34" s="3833">
        <v>0.67724988631803595</v>
      </c>
      <c r="Q34" s="781">
        <v>0.67977254509406604</v>
      </c>
      <c r="R34" s="781">
        <v>0.65345154753525303</v>
      </c>
      <c r="S34" s="781">
        <v>0.63318390786291201</v>
      </c>
      <c r="T34" s="781">
        <v>0.64915198555482001</v>
      </c>
      <c r="U34" s="781">
        <v>0.65556366034077196</v>
      </c>
      <c r="V34" s="781">
        <v>0.63348904868052203</v>
      </c>
      <c r="W34" s="781">
        <v>0.65289773216159497</v>
      </c>
      <c r="X34" s="781">
        <v>0.65806623172956002</v>
      </c>
      <c r="Y34" s="781">
        <v>0.65833272156990097</v>
      </c>
      <c r="Z34" s="781">
        <v>0.71476398364791804</v>
      </c>
      <c r="AA34" s="781">
        <v>0.719503489873766</v>
      </c>
      <c r="AB34" s="781">
        <v>0.72134724287066598</v>
      </c>
      <c r="AC34" s="781">
        <v>0.70641219372499897</v>
      </c>
      <c r="AD34" s="781">
        <v>0.723778062560133</v>
      </c>
      <c r="AE34" s="780">
        <v>0.71804460571725803</v>
      </c>
      <c r="AF34" s="780">
        <v>0.702029326491031</v>
      </c>
      <c r="AG34" s="1528">
        <v>0.74784196744479903</v>
      </c>
      <c r="AH34" s="1528">
        <v>0.74963314842207696</v>
      </c>
      <c r="AI34" s="3595">
        <v>0.75329006068676796</v>
      </c>
      <c r="AJ34" s="1528">
        <v>0.74106695972538394</v>
      </c>
      <c r="AK34" s="1528">
        <v>0.72748859226561602</v>
      </c>
      <c r="AL34" s="1528">
        <v>0.72587169904360904</v>
      </c>
      <c r="AM34" s="1528">
        <v>0.72469277295317802</v>
      </c>
      <c r="AN34" s="1528">
        <v>0.72385074702415197</v>
      </c>
      <c r="AO34" s="1760">
        <v>0.72265575622158695</v>
      </c>
      <c r="AP34" s="1760">
        <v>0.72108371627664158</v>
      </c>
      <c r="AQ34" s="1760">
        <v>0.71961635546623859</v>
      </c>
      <c r="AR34" s="1760">
        <v>0.71815198064442376</v>
      </c>
      <c r="AS34" s="1760">
        <v>0.71669058573489475</v>
      </c>
      <c r="AT34" s="1760">
        <v>0.7152321646737142</v>
      </c>
    </row>
    <row r="35" spans="1:46" customFormat="1" ht="14.75">
      <c r="A35" s="778"/>
      <c r="B35" s="662"/>
      <c r="C35" s="295"/>
      <c r="D35" s="2066" t="s">
        <v>28</v>
      </c>
      <c r="E35" s="2970"/>
      <c r="F35" s="1527"/>
      <c r="G35" s="1527"/>
      <c r="H35" s="826"/>
      <c r="I35" s="826"/>
      <c r="J35" s="826"/>
      <c r="K35" s="826"/>
      <c r="L35" s="826"/>
      <c r="M35" s="826"/>
      <c r="N35" s="826" t="s">
        <v>1209</v>
      </c>
      <c r="O35" s="826"/>
      <c r="P35" s="3833"/>
      <c r="Q35" s="781"/>
      <c r="R35" s="781"/>
      <c r="S35" s="781"/>
      <c r="T35" s="781"/>
      <c r="U35" s="781"/>
      <c r="V35" s="781"/>
      <c r="W35" s="781"/>
      <c r="X35" s="781"/>
      <c r="Y35" s="781"/>
      <c r="Z35" s="781"/>
      <c r="AA35" s="781"/>
      <c r="AB35" s="781"/>
      <c r="AC35" s="781"/>
      <c r="AD35" s="781"/>
      <c r="AE35" s="780"/>
      <c r="AF35" s="780"/>
      <c r="AG35" s="1528"/>
      <c r="AH35" s="1528"/>
      <c r="AI35" s="3595"/>
      <c r="AJ35" s="1528"/>
      <c r="AK35" s="1528"/>
      <c r="AL35" s="1528"/>
      <c r="AM35" s="1528"/>
      <c r="AN35" s="1528"/>
      <c r="AO35" s="1760"/>
      <c r="AP35" s="1760"/>
      <c r="AQ35" s="1760"/>
      <c r="AR35" s="1760"/>
      <c r="AS35" s="1760"/>
      <c r="AT35" s="1760"/>
    </row>
    <row r="36" spans="1:46" customFormat="1" ht="14.75">
      <c r="A36" s="778"/>
      <c r="B36" s="662" t="s">
        <v>159</v>
      </c>
      <c r="C36" s="295"/>
      <c r="D36" s="2067" t="s">
        <v>1253</v>
      </c>
      <c r="E36" s="2970" t="s">
        <v>159</v>
      </c>
      <c r="F36" s="780">
        <v>6.0982416666666674</v>
      </c>
      <c r="G36" s="780">
        <v>6.0982416666666674</v>
      </c>
      <c r="H36" s="781">
        <v>5.844450000000001</v>
      </c>
      <c r="I36" s="781">
        <v>5.5382750000000005</v>
      </c>
      <c r="J36" s="781">
        <v>5.529099999999997</v>
      </c>
      <c r="K36" s="781">
        <v>6.6493916666666664</v>
      </c>
      <c r="L36" s="781">
        <v>3.7277333333333331</v>
      </c>
      <c r="M36" s="781">
        <v>1.8819999999999988</v>
      </c>
      <c r="N36" s="781">
        <v>1.2300666666666658</v>
      </c>
      <c r="O36" s="781">
        <v>1.7917416666666668</v>
      </c>
      <c r="P36" s="3833">
        <v>3.7651416666666666</v>
      </c>
      <c r="Q36" s="781">
        <v>5.2734500000000004</v>
      </c>
      <c r="R36" s="781">
        <v>5.2515333333333345</v>
      </c>
      <c r="S36" s="781">
        <v>3.0447750000000013</v>
      </c>
      <c r="T36" s="781">
        <v>1.1212166666666659</v>
      </c>
      <c r="U36" s="781">
        <v>0.51829999999999998</v>
      </c>
      <c r="V36" s="781">
        <v>0.5071</v>
      </c>
      <c r="W36" s="781">
        <v>0.68678333333333352</v>
      </c>
      <c r="X36" s="781">
        <v>5.83333333333333E-2</v>
      </c>
      <c r="Y36" s="781">
        <v>3.2500000000000001E-2</v>
      </c>
      <c r="Z36" s="781">
        <v>5.3333333333333399E-2</v>
      </c>
      <c r="AA36" s="781">
        <v>0.31916666666666599</v>
      </c>
      <c r="AB36" s="781">
        <v>0.94666666666666799</v>
      </c>
      <c r="AC36" s="781">
        <v>1.9733333333333301</v>
      </c>
      <c r="AD36" s="781">
        <v>2.1041666666666599</v>
      </c>
      <c r="AE36" s="780">
        <v>0.369999999999999</v>
      </c>
      <c r="AF36" s="780">
        <v>4.4166666666666597E-2</v>
      </c>
      <c r="AG36" s="1528">
        <v>2.0825</v>
      </c>
      <c r="AH36" s="1528">
        <v>5.2758333333333303</v>
      </c>
      <c r="AI36" s="3595">
        <v>5.17916666666666</v>
      </c>
      <c r="AJ36" s="1528">
        <v>4.1893583333333302</v>
      </c>
      <c r="AK36" s="1528">
        <v>3.4086833333333302</v>
      </c>
      <c r="AL36" s="1528">
        <v>3.2003499999999998</v>
      </c>
      <c r="AM36" s="1528">
        <v>3.0440999999999998</v>
      </c>
      <c r="AN36" s="1528">
        <v>2.8461833333333302</v>
      </c>
      <c r="AO36" s="1760">
        <v>2.7940999999999998</v>
      </c>
      <c r="AP36" s="1760">
        <v>2.7576000000000001</v>
      </c>
      <c r="AQ36" s="1760">
        <v>2.7576000000000001</v>
      </c>
      <c r="AR36" s="1760">
        <v>2.7576000000000001</v>
      </c>
      <c r="AS36" s="1760">
        <v>2.7576000000000001</v>
      </c>
      <c r="AT36" s="1760">
        <v>2.7576000000000001</v>
      </c>
    </row>
    <row r="37" spans="1:46">
      <c r="A37" s="304"/>
      <c r="D37" s="2067" t="s">
        <v>1254</v>
      </c>
      <c r="E37" s="2970"/>
      <c r="F37" s="780" t="s">
        <v>668</v>
      </c>
      <c r="G37" s="780" t="s">
        <v>668</v>
      </c>
      <c r="H37" s="781" t="s">
        <v>668</v>
      </c>
      <c r="I37" s="781"/>
      <c r="J37" s="781">
        <v>2.9628982083333333</v>
      </c>
      <c r="K37" s="781">
        <v>4.4050100000000008</v>
      </c>
      <c r="L37" s="781">
        <v>4.2604924999999998</v>
      </c>
      <c r="M37" s="781">
        <v>3.3165191666666667</v>
      </c>
      <c r="N37" s="781">
        <v>2.3315675000000002</v>
      </c>
      <c r="O37" s="781">
        <v>2.1055275</v>
      </c>
      <c r="P37" s="3833">
        <v>2.1844708333333331</v>
      </c>
      <c r="Q37" s="781">
        <v>3.0797033333333332</v>
      </c>
      <c r="R37" s="781">
        <v>4.2777666666666665</v>
      </c>
      <c r="S37" s="781">
        <v>4.6319137500000007</v>
      </c>
      <c r="T37" s="781">
        <v>1.2278224999999998</v>
      </c>
      <c r="U37" s="781">
        <v>0.81095833333333334</v>
      </c>
      <c r="V37" s="781">
        <v>1.3906000000000001</v>
      </c>
      <c r="W37" s="781">
        <v>0.57315833333333333</v>
      </c>
      <c r="X37" s="781">
        <v>4.3454364681487299E-2</v>
      </c>
      <c r="Y37" s="781">
        <v>3.0560716236888101E-2</v>
      </c>
      <c r="Z37" s="781">
        <v>-0.22710749999999999</v>
      </c>
      <c r="AA37" s="781">
        <v>-0.64580727855477804</v>
      </c>
      <c r="AB37" s="781">
        <v>-0.81080730769230702</v>
      </c>
      <c r="AC37" s="781">
        <v>-0.73887547785547802</v>
      </c>
      <c r="AD37" s="781">
        <v>-0.66347125874125901</v>
      </c>
      <c r="AE37" s="780">
        <v>-0.67019108391608295</v>
      </c>
      <c r="AF37" s="780">
        <v>-0.71129334644522102</v>
      </c>
      <c r="AG37" s="1528">
        <v>0.15758305288461499</v>
      </c>
      <c r="AH37" s="1528">
        <v>3.1443640196820102</v>
      </c>
      <c r="AI37" s="3595">
        <v>3.2963491370043001</v>
      </c>
      <c r="AJ37" s="1528">
        <v>2.00203186115092</v>
      </c>
      <c r="AK37" s="1528">
        <v>2.0330652676402701</v>
      </c>
      <c r="AL37" s="1528">
        <v>2.0330652676402701</v>
      </c>
      <c r="AM37" s="1528">
        <v>2.0330652676402701</v>
      </c>
      <c r="AN37" s="1528">
        <v>2.0330652676402701</v>
      </c>
      <c r="AO37" s="1760">
        <v>2.0330652676402701</v>
      </c>
      <c r="AP37" s="1760">
        <v>2.6810557376046833</v>
      </c>
      <c r="AQ37" s="1760">
        <v>2.6810557376046833</v>
      </c>
      <c r="AR37" s="1760">
        <v>2.6810557376046833</v>
      </c>
      <c r="AS37" s="1760">
        <v>2.6810557376046833</v>
      </c>
      <c r="AT37" s="1760">
        <v>2.6810557376046833</v>
      </c>
    </row>
    <row r="38" spans="1:46" ht="16.75" thickBot="1">
      <c r="A38" s="304"/>
      <c r="D38" s="2068" t="s">
        <v>1255</v>
      </c>
      <c r="E38" s="2970"/>
      <c r="F38" s="1527"/>
      <c r="G38" s="1527"/>
      <c r="H38" s="826"/>
      <c r="I38" s="826"/>
      <c r="J38" s="826"/>
      <c r="K38" s="826"/>
      <c r="L38" s="826"/>
      <c r="M38" s="826"/>
      <c r="N38" s="826"/>
      <c r="O38" s="826"/>
      <c r="P38" s="3834"/>
      <c r="Q38" s="833"/>
      <c r="R38" s="833"/>
      <c r="S38" s="833"/>
      <c r="T38" s="833"/>
      <c r="U38" s="833"/>
      <c r="V38" s="833"/>
      <c r="W38" s="833"/>
      <c r="X38" s="1412">
        <v>7.2229238599941695E-2</v>
      </c>
      <c r="Y38" s="1412">
        <v>2.2891008400325701E-2</v>
      </c>
      <c r="Z38" s="1412">
        <v>-1.40505018556005E-2</v>
      </c>
      <c r="AA38" s="1412">
        <v>-0.246938519813519</v>
      </c>
      <c r="AB38" s="1412">
        <v>-0.190990564903846</v>
      </c>
      <c r="AC38" s="1412">
        <v>-0.18183466091200401</v>
      </c>
      <c r="AD38" s="1412">
        <v>-0.176925087412587</v>
      </c>
      <c r="AE38" s="1533">
        <v>-0.13195402097902001</v>
      </c>
      <c r="AF38" s="1533">
        <v>-0.113032355405011</v>
      </c>
      <c r="AG38" s="1533">
        <v>-0.13547502731643299</v>
      </c>
      <c r="AH38" s="1533">
        <v>-0.18246153846153801</v>
      </c>
      <c r="AI38" s="3597">
        <v>9.6435897435898001E-3</v>
      </c>
      <c r="AJ38" s="1533">
        <v>0.40797572200368998</v>
      </c>
      <c r="AK38" s="1533">
        <v>0.77562529741997199</v>
      </c>
      <c r="AL38" s="1533">
        <v>1.2288539130434799</v>
      </c>
      <c r="AM38" s="1533">
        <v>1.4</v>
      </c>
      <c r="AN38" s="1534">
        <v>1.4</v>
      </c>
      <c r="AO38" s="1762">
        <v>1.4</v>
      </c>
      <c r="AP38" s="1762">
        <v>1.3999999999999995</v>
      </c>
      <c r="AQ38" s="1762">
        <v>1.3999999999999995</v>
      </c>
      <c r="AR38" s="1762">
        <v>1.3999999999999995</v>
      </c>
      <c r="AS38" s="1762">
        <v>1.3999999999999995</v>
      </c>
      <c r="AT38" s="1762">
        <v>1.3999999999999995</v>
      </c>
    </row>
    <row r="39" spans="1:46">
      <c r="A39" s="304"/>
      <c r="D39" s="1525" t="s">
        <v>568</v>
      </c>
      <c r="E39" s="2971"/>
      <c r="F39" s="1518"/>
      <c r="G39" s="1518"/>
      <c r="H39" s="1518"/>
      <c r="I39" s="1518"/>
      <c r="J39" s="1518"/>
      <c r="K39" s="1518"/>
      <c r="L39" s="1518"/>
      <c r="M39" s="1518"/>
      <c r="N39" s="1518"/>
      <c r="O39" s="1518"/>
      <c r="P39" s="1518"/>
      <c r="Q39" s="1518"/>
      <c r="R39" s="1518"/>
      <c r="S39" s="1518"/>
      <c r="T39" s="1518"/>
      <c r="U39" s="1518"/>
      <c r="V39" s="1518"/>
      <c r="W39" s="1519"/>
      <c r="X39" s="1519"/>
      <c r="Y39" s="1519"/>
      <c r="Z39" s="1519"/>
      <c r="AA39" s="1520"/>
      <c r="AB39" s="1520"/>
      <c r="AC39" s="1521"/>
      <c r="AD39" s="1520"/>
      <c r="AE39" s="1520"/>
      <c r="AF39" s="1520"/>
      <c r="AG39" s="1520"/>
      <c r="AH39" s="1520"/>
      <c r="AI39" s="1520"/>
      <c r="AJ39" s="1520"/>
      <c r="AK39" s="1520"/>
      <c r="AL39" s="1520"/>
      <c r="AM39" s="1520"/>
      <c r="AN39" s="1519"/>
      <c r="AO39" s="1519"/>
    </row>
    <row r="40" spans="1:46">
      <c r="A40" s="304"/>
      <c r="D40" s="1522"/>
      <c r="E40" s="2971"/>
      <c r="F40" s="1518"/>
      <c r="G40" s="1518"/>
      <c r="H40" s="1518"/>
      <c r="I40" s="1518"/>
      <c r="J40" s="1518"/>
      <c r="K40" s="1518"/>
      <c r="L40" s="1518"/>
      <c r="M40" s="1518"/>
      <c r="N40" s="1518"/>
      <c r="O40" s="1518"/>
      <c r="P40" s="1518"/>
      <c r="Q40" s="1518"/>
      <c r="R40" s="1518"/>
      <c r="S40" s="1518"/>
      <c r="T40" s="1518"/>
      <c r="U40" s="1518"/>
      <c r="V40" s="1518"/>
      <c r="W40" s="1519"/>
      <c r="X40" s="1519"/>
      <c r="Y40" s="1519"/>
      <c r="Z40" s="1519"/>
      <c r="AA40" s="1520"/>
      <c r="AB40" s="1520"/>
      <c r="AC40" s="1521"/>
      <c r="AD40" s="1520"/>
      <c r="AE40" s="1520"/>
      <c r="AF40" s="1520"/>
      <c r="AG40" s="1520"/>
      <c r="AH40" s="1520"/>
      <c r="AI40" s="1520"/>
      <c r="AJ40" s="1520"/>
      <c r="AK40" s="1520"/>
      <c r="AL40" s="1520"/>
      <c r="AM40" s="1520"/>
      <c r="AN40" s="1519"/>
      <c r="AO40" s="1519"/>
    </row>
    <row r="41" spans="1:46">
      <c r="A41" s="304"/>
      <c r="D41" s="1525" t="s">
        <v>1252</v>
      </c>
      <c r="F41" s="1"/>
      <c r="G41" s="1"/>
      <c r="H41" s="1"/>
      <c r="Y41" s="2"/>
      <c r="AA41" s="1"/>
      <c r="AB41" s="1"/>
    </row>
    <row r="42" spans="1:46" customFormat="1" ht="15.5" thickBot="1">
      <c r="A42" s="778" t="s">
        <v>536</v>
      </c>
      <c r="B42" s="662" t="s">
        <v>228</v>
      </c>
      <c r="C42" s="295"/>
      <c r="D42" s="945" t="s">
        <v>1251</v>
      </c>
      <c r="E42" s="2119"/>
      <c r="F42" s="11"/>
      <c r="G42" s="11"/>
      <c r="H42" s="11"/>
      <c r="K42" s="820">
        <f t="shared" ref="K42:S42" si="0">+L42-1</f>
        <v>2000</v>
      </c>
      <c r="L42" s="820">
        <f t="shared" si="0"/>
        <v>2001</v>
      </c>
      <c r="M42" s="820">
        <f t="shared" si="0"/>
        <v>2002</v>
      </c>
      <c r="N42" s="820">
        <f t="shared" si="0"/>
        <v>2003</v>
      </c>
      <c r="O42" s="820">
        <f t="shared" si="0"/>
        <v>2004</v>
      </c>
      <c r="P42" s="820">
        <f t="shared" si="0"/>
        <v>2005</v>
      </c>
      <c r="Q42" s="820">
        <f t="shared" si="0"/>
        <v>2006</v>
      </c>
      <c r="R42" s="820">
        <f t="shared" si="0"/>
        <v>2007</v>
      </c>
      <c r="S42" s="820">
        <f t="shared" si="0"/>
        <v>2008</v>
      </c>
      <c r="T42" s="820">
        <f>+U42-1</f>
        <v>2009</v>
      </c>
      <c r="U42" s="820">
        <v>2010</v>
      </c>
      <c r="V42" s="295" t="s">
        <v>569</v>
      </c>
      <c r="W42" s="820">
        <v>2012</v>
      </c>
      <c r="X42" s="820">
        <v>2013</v>
      </c>
      <c r="Y42" s="820">
        <v>2014</v>
      </c>
      <c r="Z42" s="820">
        <v>2015</v>
      </c>
      <c r="AA42" s="820">
        <v>2016</v>
      </c>
      <c r="AB42" s="820">
        <v>2017</v>
      </c>
      <c r="AC42" s="820">
        <v>2018</v>
      </c>
      <c r="AD42" s="820">
        <v>2019</v>
      </c>
      <c r="AE42" s="820">
        <v>2020</v>
      </c>
      <c r="AF42" s="820">
        <v>2021</v>
      </c>
      <c r="AG42" s="820">
        <v>2022</v>
      </c>
      <c r="AH42" s="820">
        <v>2023</v>
      </c>
      <c r="AI42" s="3598">
        <v>2024</v>
      </c>
      <c r="AJ42" s="820">
        <v>2025</v>
      </c>
      <c r="AK42" s="820">
        <v>2026</v>
      </c>
      <c r="AL42" s="820">
        <v>2027</v>
      </c>
      <c r="AM42" s="820">
        <v>2028</v>
      </c>
      <c r="AN42" s="820">
        <v>2029</v>
      </c>
      <c r="AO42" s="820">
        <v>2030</v>
      </c>
      <c r="AP42" s="2"/>
      <c r="AQ42" s="2"/>
      <c r="AR42" s="2"/>
      <c r="AS42" s="2"/>
      <c r="AT42" s="2"/>
    </row>
    <row r="43" spans="1:46" customFormat="1" ht="14.75">
      <c r="A43" s="294"/>
      <c r="B43" s="662"/>
      <c r="C43" s="295"/>
      <c r="D43" s="946" t="s">
        <v>160</v>
      </c>
      <c r="E43" s="2972"/>
      <c r="F43" s="204"/>
      <c r="G43" s="204"/>
      <c r="H43" s="204"/>
      <c r="I43" s="1191">
        <v>2011</v>
      </c>
      <c r="J43" s="1191"/>
      <c r="K43" s="1191">
        <v>2000</v>
      </c>
      <c r="L43" s="1191">
        <v>2001</v>
      </c>
      <c r="M43" s="1191">
        <v>2002</v>
      </c>
      <c r="N43" s="1191">
        <v>2003</v>
      </c>
      <c r="O43" s="1191">
        <v>2004</v>
      </c>
      <c r="P43" s="1191">
        <v>2005</v>
      </c>
      <c r="Q43" s="1191">
        <v>2006</v>
      </c>
      <c r="R43" s="1191">
        <v>2007</v>
      </c>
      <c r="S43" s="1191">
        <v>2008</v>
      </c>
      <c r="T43" s="1191">
        <v>2009</v>
      </c>
      <c r="U43" s="1192">
        <v>2010</v>
      </c>
      <c r="V43" s="1193">
        <v>2011</v>
      </c>
      <c r="W43" s="1193">
        <v>2012</v>
      </c>
      <c r="X43" s="1193">
        <v>2013</v>
      </c>
      <c r="Y43" s="1193">
        <v>2014</v>
      </c>
      <c r="Z43" s="1193">
        <v>2015</v>
      </c>
      <c r="AA43" s="1193">
        <v>2016</v>
      </c>
      <c r="AB43" s="1193">
        <v>2017</v>
      </c>
      <c r="AC43" s="1193">
        <v>2018</v>
      </c>
      <c r="AD43" s="1193">
        <v>2019</v>
      </c>
      <c r="AE43" s="1193">
        <v>2020</v>
      </c>
      <c r="AF43" s="1193">
        <v>2021</v>
      </c>
      <c r="AG43" s="1193">
        <v>2022</v>
      </c>
      <c r="AH43" s="1193">
        <v>2023</v>
      </c>
      <c r="AI43" s="3599">
        <v>2024</v>
      </c>
      <c r="AJ43" s="1193">
        <v>2025</v>
      </c>
      <c r="AK43" s="1193">
        <v>2026</v>
      </c>
      <c r="AL43" s="1191">
        <v>2027</v>
      </c>
      <c r="AM43" s="1193">
        <v>2028</v>
      </c>
      <c r="AN43" s="1194">
        <v>2029</v>
      </c>
      <c r="AO43" s="1757">
        <v>2030</v>
      </c>
      <c r="AP43" s="1758">
        <v>2031</v>
      </c>
      <c r="AQ43" s="1757">
        <v>2032</v>
      </c>
      <c r="AR43" s="1758">
        <v>2033</v>
      </c>
      <c r="AS43" s="1757">
        <v>2034</v>
      </c>
      <c r="AT43" s="1758">
        <v>2035</v>
      </c>
    </row>
    <row r="44" spans="1:46" customFormat="1" ht="14.75">
      <c r="A44" s="294"/>
      <c r="B44" s="662" t="s">
        <v>161</v>
      </c>
      <c r="C44" s="293" t="s">
        <v>30</v>
      </c>
      <c r="D44" s="947" t="s">
        <v>743</v>
      </c>
      <c r="E44" s="2972"/>
      <c r="F44" s="204"/>
      <c r="G44" s="204"/>
      <c r="H44" s="204"/>
      <c r="I44" s="1195"/>
      <c r="J44" s="1195"/>
      <c r="K44" s="1195"/>
      <c r="L44" s="1195"/>
      <c r="M44" s="1195"/>
      <c r="N44" s="1195"/>
      <c r="O44" s="1195"/>
      <c r="P44" s="1196"/>
      <c r="Q44" s="1196"/>
      <c r="R44" s="1196"/>
      <c r="S44" s="1196"/>
      <c r="T44" s="1196"/>
      <c r="U44" s="1197"/>
      <c r="V44" s="1196"/>
      <c r="W44" s="1196"/>
      <c r="X44" s="1196"/>
      <c r="Y44" s="1196"/>
      <c r="Z44" s="1196"/>
      <c r="AA44" s="1196"/>
      <c r="AB44" s="1196"/>
      <c r="AC44" s="1196"/>
      <c r="AD44" s="3131"/>
      <c r="AE44" s="3131"/>
      <c r="AF44" s="3131"/>
      <c r="AG44" s="3131"/>
      <c r="AH44" s="3131"/>
      <c r="AI44" s="3600"/>
      <c r="AJ44" s="3131"/>
      <c r="AK44" s="3131"/>
      <c r="AL44" s="3131"/>
      <c r="AM44" s="3131"/>
      <c r="AN44" s="3131"/>
      <c r="AO44" s="1759"/>
      <c r="AP44" s="1759" t="s">
        <v>1482</v>
      </c>
      <c r="AQ44" s="1759"/>
      <c r="AR44" s="1759"/>
      <c r="AS44" s="1759"/>
      <c r="AT44" s="1759"/>
    </row>
    <row r="45" spans="1:46" customFormat="1" ht="14.75">
      <c r="A45" s="294"/>
      <c r="B45" s="662" t="s">
        <v>162</v>
      </c>
      <c r="C45" s="293" t="s">
        <v>30</v>
      </c>
      <c r="D45" s="948" t="s">
        <v>744</v>
      </c>
      <c r="E45" s="2972"/>
      <c r="F45" s="204"/>
      <c r="G45" s="204"/>
      <c r="H45" s="204"/>
      <c r="I45" s="1198">
        <v>5.5662594527080077E-2</v>
      </c>
      <c r="J45" s="1199"/>
      <c r="K45" s="1198">
        <v>5.2297040194805203E-2</v>
      </c>
      <c r="L45" s="1199">
        <v>1.7177978867324299E-2</v>
      </c>
      <c r="M45" s="1199">
        <v>1.4494103456811201E-2</v>
      </c>
      <c r="N45" s="1199">
        <v>1.9202363786656799E-2</v>
      </c>
      <c r="O45" s="1199">
        <v>4.1165744446251498E-2</v>
      </c>
      <c r="P45" s="1199">
        <v>3.6496526916822099E-2</v>
      </c>
      <c r="Q45" s="1199">
        <v>4.1028048009687498E-2</v>
      </c>
      <c r="R45" s="1199">
        <v>4.2086784608414501E-2</v>
      </c>
      <c r="S45" s="1199">
        <v>9.3365129058736989E-3</v>
      </c>
      <c r="T45" s="1199">
        <v>-3.4349496155013003E-2</v>
      </c>
      <c r="U45" s="1200">
        <v>7.0178978498954103E-2</v>
      </c>
      <c r="V45" s="1199">
        <v>6.2766948134785908E-2</v>
      </c>
      <c r="W45" s="1199">
        <v>4.49862831133594E-2</v>
      </c>
      <c r="X45" s="1199">
        <v>7.1520410709059096E-2</v>
      </c>
      <c r="Y45" s="1199">
        <v>5.6631905819501303E-2</v>
      </c>
      <c r="Z45" s="1199">
        <v>5.32163122920273E-2</v>
      </c>
      <c r="AA45" s="1199">
        <v>1.7331700672671698E-2</v>
      </c>
      <c r="AB45" s="1199">
        <v>3.1952430134538704E-2</v>
      </c>
      <c r="AC45" s="1199">
        <v>4.40635753673543E-2</v>
      </c>
      <c r="AD45" s="3132">
        <v>1.6726280104031398E-2</v>
      </c>
      <c r="AE45" s="3132">
        <v>-1.8666892932113398E-2</v>
      </c>
      <c r="AF45" s="3132">
        <v>6.07465242940484E-2</v>
      </c>
      <c r="AG45" s="3132">
        <v>6.4920203203173502E-2</v>
      </c>
      <c r="AH45" s="3132">
        <v>5.5482946656280306E-2</v>
      </c>
      <c r="AI45" s="3601">
        <v>3.7481940118381997E-2</v>
      </c>
      <c r="AJ45" s="3132">
        <v>5.2390495544210498E-2</v>
      </c>
      <c r="AK45" s="3132">
        <v>5.0355391464100299E-2</v>
      </c>
      <c r="AL45" s="3132">
        <v>4.60615802380493E-2</v>
      </c>
      <c r="AM45" s="3132">
        <v>4.5664381993298503E-2</v>
      </c>
      <c r="AN45" s="3132">
        <v>4.4862613442822899E-2</v>
      </c>
      <c r="AO45" s="2603">
        <v>4.4239718417225203E-2</v>
      </c>
      <c r="AP45" s="2603">
        <v>4.4277426037686765E-2</v>
      </c>
      <c r="AQ45" s="2603">
        <v>4.4277426037686765E-2</v>
      </c>
      <c r="AR45" s="2603">
        <v>4.4277426037686765E-2</v>
      </c>
      <c r="AS45" s="2603">
        <v>4.4277426037686765E-2</v>
      </c>
      <c r="AT45" s="2603">
        <v>4.4277426037686765E-2</v>
      </c>
    </row>
    <row r="46" spans="1:46" customFormat="1" ht="14.75">
      <c r="A46" s="294"/>
      <c r="B46" s="376"/>
      <c r="C46" s="295"/>
      <c r="D46" s="948" t="s">
        <v>745</v>
      </c>
      <c r="E46" s="2972"/>
      <c r="F46" s="204"/>
      <c r="G46" s="204"/>
      <c r="H46" s="204"/>
      <c r="I46" s="1198">
        <v>9.701312141382612E-2</v>
      </c>
      <c r="J46" s="1199"/>
      <c r="K46" s="1198">
        <v>1.8414240633437398E-2</v>
      </c>
      <c r="L46" s="1199">
        <v>-8.7647611927842595E-2</v>
      </c>
      <c r="M46" s="1199">
        <v>0.24805093918125798</v>
      </c>
      <c r="N46" s="1199">
        <v>0.60014342393934494</v>
      </c>
      <c r="O46" s="1199">
        <v>7.3024190192698693E-2</v>
      </c>
      <c r="P46" s="1199">
        <v>5.2378291288687102E-2</v>
      </c>
      <c r="Q46" s="1199">
        <v>2.0658221513348601E-2</v>
      </c>
      <c r="R46" s="1199">
        <v>0.38910607726970703</v>
      </c>
      <c r="S46" s="1199">
        <v>0.116876871048991</v>
      </c>
      <c r="T46" s="1199">
        <v>-7.5430587804076896E-2</v>
      </c>
      <c r="U46" s="1200">
        <v>0.28675199043592303</v>
      </c>
      <c r="V46" s="1199">
        <v>3.6133704007554897E-2</v>
      </c>
      <c r="W46" s="1199">
        <v>-3.8899914144454401E-2</v>
      </c>
      <c r="X46" s="1199">
        <v>0.14268375586964099</v>
      </c>
      <c r="Y46" s="1199">
        <v>8.4503635515825598E-2</v>
      </c>
      <c r="Z46" s="1199">
        <v>-9.1631920468117301E-2</v>
      </c>
      <c r="AA46" s="1199">
        <v>8.2726108116971009E-2</v>
      </c>
      <c r="AB46" s="1199">
        <v>6.0584651211309494E-2</v>
      </c>
      <c r="AC46" s="1199">
        <v>7.8702340799863699E-2</v>
      </c>
      <c r="AD46" s="3132">
        <v>-9.3092503141090702E-2</v>
      </c>
      <c r="AE46" s="3132">
        <v>-6.3174301060740401E-2</v>
      </c>
      <c r="AF46" s="3132">
        <v>0.23714440689916899</v>
      </c>
      <c r="AG46" s="3132">
        <v>0.15381165678396902</v>
      </c>
      <c r="AH46" s="3132">
        <v>6.3523513750795402E-2</v>
      </c>
      <c r="AI46" s="3601">
        <v>-1.0695420806775499E-2</v>
      </c>
      <c r="AJ46" s="3132">
        <v>6.768707838377469E-2</v>
      </c>
      <c r="AK46" s="3132">
        <v>5.8325345929024601E-2</v>
      </c>
      <c r="AL46" s="3132">
        <v>5.3400438556237904E-2</v>
      </c>
      <c r="AM46" s="3132">
        <v>5.6148023036869998E-2</v>
      </c>
      <c r="AN46" s="3132">
        <v>5.2667128111827104E-2</v>
      </c>
      <c r="AO46" s="2603">
        <v>5.0625578458152402E-2</v>
      </c>
      <c r="AP46" s="2603">
        <v>5.192903375373796E-2</v>
      </c>
      <c r="AQ46" s="2603">
        <v>5.192903375373796E-2</v>
      </c>
      <c r="AR46" s="2603">
        <v>5.192903375373796E-2</v>
      </c>
      <c r="AS46" s="2603">
        <v>5.192903375373796E-2</v>
      </c>
      <c r="AT46" s="2603">
        <v>5.192903375373796E-2</v>
      </c>
    </row>
    <row r="47" spans="1:46" customFormat="1" ht="14.75">
      <c r="A47" s="294"/>
      <c r="B47" s="662" t="s">
        <v>163</v>
      </c>
      <c r="C47" s="293" t="s">
        <v>30</v>
      </c>
      <c r="D47" s="947" t="s">
        <v>746</v>
      </c>
      <c r="E47" s="2972"/>
      <c r="F47" s="204"/>
      <c r="G47" s="204"/>
      <c r="H47" s="204"/>
      <c r="I47" s="1198"/>
      <c r="J47" s="1199"/>
      <c r="K47" s="1198"/>
      <c r="L47" s="1199"/>
      <c r="M47" s="1199"/>
      <c r="N47" s="1199"/>
      <c r="O47" s="1199"/>
      <c r="P47" s="1199"/>
      <c r="Q47" s="1199"/>
      <c r="R47" s="1199"/>
      <c r="S47" s="1199"/>
      <c r="T47" s="1199"/>
      <c r="U47" s="1200"/>
      <c r="V47" s="1199"/>
      <c r="W47" s="1199"/>
      <c r="X47" s="1199"/>
      <c r="Y47" s="1199"/>
      <c r="Z47" s="1199"/>
      <c r="AA47" s="1199"/>
      <c r="AB47" s="1199"/>
      <c r="AC47" s="1199"/>
      <c r="AD47" s="3132"/>
      <c r="AE47" s="3132"/>
      <c r="AF47" s="3132"/>
      <c r="AG47" s="3132"/>
      <c r="AH47" s="3132"/>
      <c r="AI47" s="3601"/>
      <c r="AJ47" s="3132"/>
      <c r="AK47" s="3132"/>
      <c r="AL47" s="3132"/>
      <c r="AM47" s="3132"/>
      <c r="AN47" s="3132"/>
      <c r="AO47" s="2603"/>
      <c r="AP47" s="2603"/>
      <c r="AQ47" s="2603"/>
      <c r="AR47" s="2603"/>
      <c r="AS47" s="2603"/>
      <c r="AT47" s="2603"/>
    </row>
    <row r="48" spans="1:46" customFormat="1" ht="14.75">
      <c r="A48" s="294"/>
      <c r="B48" s="662" t="s">
        <v>229</v>
      </c>
      <c r="C48" s="293" t="s">
        <v>30</v>
      </c>
      <c r="D48" s="948" t="s">
        <v>747</v>
      </c>
      <c r="E48" s="2972"/>
      <c r="F48" s="204"/>
      <c r="G48" s="204"/>
      <c r="H48" s="204"/>
      <c r="I48" s="1198">
        <v>8.7722450567612659E-2</v>
      </c>
      <c r="J48" s="1199"/>
      <c r="K48" s="1198">
        <v>-4.5848033265797998E-2</v>
      </c>
      <c r="L48" s="1199">
        <v>-3.0215965718750799E-2</v>
      </c>
      <c r="M48" s="1199">
        <v>5.1809724197484301E-2</v>
      </c>
      <c r="N48" s="1199">
        <v>0.149750031811167</v>
      </c>
      <c r="O48" s="1199">
        <v>9.4189651393374194E-2</v>
      </c>
      <c r="P48" s="1199">
        <v>4.0556758101233402E-2</v>
      </c>
      <c r="Q48" s="1199">
        <v>3.55182472205594E-2</v>
      </c>
      <c r="R48" s="1199">
        <v>8.2409831317219892E-2</v>
      </c>
      <c r="S48" s="1199">
        <v>6.9140408096673295E-2</v>
      </c>
      <c r="T48" s="1199">
        <v>-4.5235640155203594E-2</v>
      </c>
      <c r="U48" s="1200">
        <v>2.4113278729445499E-2</v>
      </c>
      <c r="V48" s="1199">
        <v>8.4956140556022602E-2</v>
      </c>
      <c r="W48" s="1199">
        <v>-2.4303116158361001E-2</v>
      </c>
      <c r="X48" s="1199">
        <v>2.1486689692428999E-2</v>
      </c>
      <c r="Y48" s="1199">
        <v>9.9639544907830103E-3</v>
      </c>
      <c r="Z48" s="1199">
        <v>-0.11648413933565599</v>
      </c>
      <c r="AA48" s="1199">
        <v>4.63622447018547E-3</v>
      </c>
      <c r="AB48" s="1199">
        <v>2.8521537883216701E-2</v>
      </c>
      <c r="AC48" s="1199">
        <v>4.8521447969015002E-2</v>
      </c>
      <c r="AD48" s="3132">
        <v>-2.8440162118538E-2</v>
      </c>
      <c r="AE48" s="3132">
        <v>1.54601798914625E-2</v>
      </c>
      <c r="AF48" s="3132">
        <v>5.4782491685913606E-2</v>
      </c>
      <c r="AG48" s="3132">
        <v>-3.4174580817133898E-2</v>
      </c>
      <c r="AH48" s="3132">
        <v>5.1264361067087504E-2</v>
      </c>
      <c r="AI48" s="3601">
        <v>1.2347851461259799E-2</v>
      </c>
      <c r="AJ48" s="3132">
        <v>4.4175478248360295E-2</v>
      </c>
      <c r="AK48" s="3132">
        <v>4.3353382199611198E-2</v>
      </c>
      <c r="AL48" s="3132">
        <v>2.12730000371406E-2</v>
      </c>
      <c r="AM48" s="3132">
        <v>2.1250177226456401E-2</v>
      </c>
      <c r="AN48" s="3132">
        <v>2.07506964534829E-2</v>
      </c>
      <c r="AO48" s="2603">
        <v>2.0689365650781701E-2</v>
      </c>
      <c r="AP48" s="2603">
        <v>2.209785797054948E-2</v>
      </c>
      <c r="AQ48" s="2603">
        <v>2.209785797054948E-2</v>
      </c>
      <c r="AR48" s="2603">
        <v>2.209785797054948E-2</v>
      </c>
      <c r="AS48" s="2603">
        <v>2.209785797054948E-2</v>
      </c>
      <c r="AT48" s="2603">
        <v>2.209785797054948E-2</v>
      </c>
    </row>
    <row r="49" spans="1:46" customFormat="1" ht="14.75">
      <c r="A49" s="294"/>
      <c r="B49" s="662" t="s">
        <v>164</v>
      </c>
      <c r="C49" s="293" t="s">
        <v>30</v>
      </c>
      <c r="D49" s="948" t="s">
        <v>748</v>
      </c>
      <c r="E49" s="2972"/>
      <c r="F49" s="204"/>
      <c r="G49" s="204"/>
      <c r="H49" s="204"/>
      <c r="I49" s="1198">
        <v>0.10668205367780006</v>
      </c>
      <c r="J49" s="1199"/>
      <c r="K49" s="1198">
        <v>-1.1735878724814498E-2</v>
      </c>
      <c r="L49" s="1199">
        <v>-4.8332074474021901E-2</v>
      </c>
      <c r="M49" s="1199">
        <v>-1.7022315930316601E-2</v>
      </c>
      <c r="N49" s="1199">
        <v>7.7752179127854509E-2</v>
      </c>
      <c r="O49" s="1199">
        <v>9.1358578380289893E-2</v>
      </c>
      <c r="P49" s="1199">
        <v>6.6782683331502002E-2</v>
      </c>
      <c r="Q49" s="1199">
        <v>8.1514593273930208E-2</v>
      </c>
      <c r="R49" s="1199">
        <v>9.946427778786511E-2</v>
      </c>
      <c r="S49" s="1199">
        <v>0.14478188841668302</v>
      </c>
      <c r="T49" s="1199">
        <v>-5.01833204724026E-2</v>
      </c>
      <c r="U49" s="1200">
        <v>0.105750179767644</v>
      </c>
      <c r="V49" s="1199">
        <v>0.108476362293706</v>
      </c>
      <c r="W49" s="1199">
        <v>-9.6569942599987104E-3</v>
      </c>
      <c r="X49" s="1199">
        <v>-1.42062758491814E-2</v>
      </c>
      <c r="Y49" s="1199">
        <v>-2.5785958311717799E-2</v>
      </c>
      <c r="Z49" s="1199">
        <v>-9.3609392412798295E-2</v>
      </c>
      <c r="AA49" s="1199">
        <v>-4.4621082337002502E-2</v>
      </c>
      <c r="AB49" s="1199">
        <v>3.8795425443706802E-2</v>
      </c>
      <c r="AC49" s="1199">
        <v>1.8971711515235502E-2</v>
      </c>
      <c r="AD49" s="3132">
        <v>-1.1372240586433499E-2</v>
      </c>
      <c r="AE49" s="3132">
        <v>2.5726534311110202E-2</v>
      </c>
      <c r="AF49" s="3132">
        <v>0.11819088152029099</v>
      </c>
      <c r="AG49" s="3132">
        <v>6.2923738721505307E-2</v>
      </c>
      <c r="AH49" s="3132">
        <v>-3.9722292057529397E-2</v>
      </c>
      <c r="AI49" s="3601">
        <v>8.702089068568581E-3</v>
      </c>
      <c r="AJ49" s="3132">
        <v>2.76399732047659E-2</v>
      </c>
      <c r="AK49" s="3132">
        <v>1.2304630475253899E-2</v>
      </c>
      <c r="AL49" s="3132">
        <v>9.5950760757747208E-3</v>
      </c>
      <c r="AM49" s="3132">
        <v>1.0892308039928799E-3</v>
      </c>
      <c r="AN49" s="3132">
        <v>1.0985717341122501E-2</v>
      </c>
      <c r="AO49" s="2603">
        <v>1.00142595590559E-2</v>
      </c>
      <c r="AP49" s="2603">
        <v>1.3401640619982912E-2</v>
      </c>
      <c r="AQ49" s="2603">
        <v>1.3401640619982912E-2</v>
      </c>
      <c r="AR49" s="2603">
        <v>1.3401640619982912E-2</v>
      </c>
      <c r="AS49" s="2603">
        <v>1.3401640619982912E-2</v>
      </c>
      <c r="AT49" s="2603">
        <v>1.3401640619982912E-2</v>
      </c>
    </row>
    <row r="50" spans="1:46" customFormat="1" ht="14.75">
      <c r="A50" s="294"/>
      <c r="B50" s="662" t="s">
        <v>230</v>
      </c>
      <c r="C50" s="293" t="s">
        <v>30</v>
      </c>
      <c r="D50" s="948" t="s">
        <v>749</v>
      </c>
      <c r="E50" s="2972"/>
      <c r="F50" s="204"/>
      <c r="G50" s="204"/>
      <c r="H50" s="204"/>
      <c r="I50" s="1198">
        <v>4.2071411795534808E-2</v>
      </c>
      <c r="J50" s="1199"/>
      <c r="K50" s="1198">
        <v>2.1212314474249199E-3</v>
      </c>
      <c r="L50" s="1199">
        <v>-3.3211253966456897E-2</v>
      </c>
      <c r="M50" s="1199">
        <v>-1.9730174828222501E-2</v>
      </c>
      <c r="N50" s="1199">
        <v>2.82076183584659E-2</v>
      </c>
      <c r="O50" s="1199">
        <v>6.5571160202876108E-2</v>
      </c>
      <c r="P50" s="1199">
        <v>4.0601998911000893E-2</v>
      </c>
      <c r="Q50" s="1199">
        <v>2.2664741225392002E-2</v>
      </c>
      <c r="R50" s="1199">
        <v>3.3049341610250103E-2</v>
      </c>
      <c r="S50" s="1199">
        <v>6.0514054333207098E-2</v>
      </c>
      <c r="T50" s="1199">
        <v>-1.9391892538659999E-2</v>
      </c>
      <c r="U50" s="1200">
        <v>2.1131214484603297E-2</v>
      </c>
      <c r="V50" s="1199">
        <v>4.5356028254657003E-2</v>
      </c>
      <c r="W50" s="1199">
        <v>2.4247539167400099E-2</v>
      </c>
      <c r="X50" s="1199">
        <v>-2.90131707456277E-2</v>
      </c>
      <c r="Y50" s="1199">
        <v>-5.4073717223794403E-3</v>
      </c>
      <c r="Z50" s="1199">
        <v>-3.0399231279603298E-2</v>
      </c>
      <c r="AA50" s="1199">
        <v>-5.0605676275845501E-2</v>
      </c>
      <c r="AB50" s="1199">
        <v>1.4050708819148998E-3</v>
      </c>
      <c r="AC50" s="1199">
        <v>2.03822040748565E-2</v>
      </c>
      <c r="AD50" s="3132">
        <v>3.7675837753238799E-3</v>
      </c>
      <c r="AE50" s="3132">
        <v>-3.0921701902266601E-2</v>
      </c>
      <c r="AF50" s="3132">
        <v>6.7429480949681306E-2</v>
      </c>
      <c r="AG50" s="3132">
        <v>0.10264429581583701</v>
      </c>
      <c r="AH50" s="3132">
        <v>-1.7400623941841598E-2</v>
      </c>
      <c r="AI50" s="3601">
        <v>1.19086046930725E-2</v>
      </c>
      <c r="AJ50" s="3132">
        <v>6.8408940448023399E-3</v>
      </c>
      <c r="AK50" s="3132">
        <v>4.8392498259342497E-4</v>
      </c>
      <c r="AL50" s="3132">
        <v>-1.73995047204899E-3</v>
      </c>
      <c r="AM50" s="3132">
        <v>5.2612582163462495E-3</v>
      </c>
      <c r="AN50" s="3132">
        <v>9.17945372033898E-3</v>
      </c>
      <c r="AO50" s="2603">
        <v>1.22956754655884E-2</v>
      </c>
      <c r="AP50" s="2603">
        <v>1.1597088633758044E-2</v>
      </c>
      <c r="AQ50" s="2603">
        <v>1.1597088633758044E-2</v>
      </c>
      <c r="AR50" s="2603">
        <v>1.1597088633758044E-2</v>
      </c>
      <c r="AS50" s="2603">
        <v>1.1597088633758044E-2</v>
      </c>
      <c r="AT50" s="2603">
        <v>1.1597088633758044E-2</v>
      </c>
    </row>
    <row r="51" spans="1:46" customFormat="1" ht="14.75">
      <c r="A51" s="294"/>
      <c r="B51" s="662" t="s">
        <v>231</v>
      </c>
      <c r="C51" s="293" t="s">
        <v>30</v>
      </c>
      <c r="D51" s="948" t="s">
        <v>750</v>
      </c>
      <c r="E51" s="2972"/>
      <c r="F51" s="204"/>
      <c r="G51" s="204"/>
      <c r="H51" s="204"/>
      <c r="I51" s="1198">
        <v>0.31653192372789202</v>
      </c>
      <c r="J51" s="1199"/>
      <c r="K51" s="1198">
        <v>0.56612614952787499</v>
      </c>
      <c r="L51" s="1199">
        <v>-0.139841771001466</v>
      </c>
      <c r="M51" s="1199">
        <v>2.0864314886887798E-2</v>
      </c>
      <c r="N51" s="1199">
        <v>0.15633310050844101</v>
      </c>
      <c r="O51" s="1199">
        <v>0.30778655100589503</v>
      </c>
      <c r="P51" s="1199">
        <v>0.415259258934147</v>
      </c>
      <c r="Q51" s="1199">
        <v>0.20362484445363599</v>
      </c>
      <c r="R51" s="1199">
        <v>0.10539632543626899</v>
      </c>
      <c r="S51" s="1199">
        <v>0.35929888825103001</v>
      </c>
      <c r="T51" s="1199">
        <v>-0.36444019936656197</v>
      </c>
      <c r="U51" s="1200">
        <v>0.28687137759303599</v>
      </c>
      <c r="V51" s="1199">
        <v>0.31491985732328998</v>
      </c>
      <c r="W51" s="1199">
        <v>9.8777641391184605E-3</v>
      </c>
      <c r="X51" s="1199">
        <v>-8.799536967721679E-3</v>
      </c>
      <c r="Y51" s="1199">
        <v>-7.5314880179226093E-2</v>
      </c>
      <c r="Z51" s="1199">
        <v>-0.47146300179739098</v>
      </c>
      <c r="AA51" s="1199">
        <v>-0.15022149497565102</v>
      </c>
      <c r="AB51" s="1199">
        <v>0.224524310233576</v>
      </c>
      <c r="AC51" s="1199">
        <v>0.29361225338930397</v>
      </c>
      <c r="AD51" s="3132">
        <v>-0.10360330409299699</v>
      </c>
      <c r="AE51" s="3132">
        <v>-0.32013819483552902</v>
      </c>
      <c r="AF51" s="3132">
        <v>0.65806664046654006</v>
      </c>
      <c r="AG51" s="3132">
        <v>0.39151032082957099</v>
      </c>
      <c r="AH51" s="3132">
        <v>-0.16362406522644102</v>
      </c>
      <c r="AI51" s="3601">
        <v>-1.7669942173914901E-2</v>
      </c>
      <c r="AJ51" s="3132">
        <v>-0.14442213915670801</v>
      </c>
      <c r="AK51" s="3132">
        <v>-4.4191814579039396E-2</v>
      </c>
      <c r="AL51" s="3132">
        <v>-2.8048830250052999E-2</v>
      </c>
      <c r="AM51" s="3132">
        <v>8.14729134520451E-3</v>
      </c>
      <c r="AN51" s="3132">
        <v>1.5602293330633199E-2</v>
      </c>
      <c r="AO51" s="2603">
        <v>1.1711425055274E-2</v>
      </c>
      <c r="AP51" s="2603">
        <v>5.8018547228245445E-3</v>
      </c>
      <c r="AQ51" s="2603">
        <v>5.8018547228245445E-3</v>
      </c>
      <c r="AR51" s="2603">
        <v>5.8018547228245445E-3</v>
      </c>
      <c r="AS51" s="2603">
        <v>5.8018547228245445E-3</v>
      </c>
      <c r="AT51" s="2603">
        <v>5.8018547228245445E-3</v>
      </c>
    </row>
    <row r="52" spans="1:46" customFormat="1" ht="14.75">
      <c r="A52" s="294"/>
      <c r="B52" s="662" t="s">
        <v>165</v>
      </c>
      <c r="C52" s="293" t="s">
        <v>30</v>
      </c>
      <c r="D52" s="947" t="s">
        <v>751</v>
      </c>
      <c r="E52" s="2972"/>
      <c r="F52" s="204"/>
      <c r="G52" s="204"/>
      <c r="H52" s="204"/>
      <c r="I52" s="1198"/>
      <c r="J52" s="1199"/>
      <c r="K52" s="1198"/>
      <c r="L52" s="1199"/>
      <c r="M52" s="1199"/>
      <c r="N52" s="1199"/>
      <c r="O52" s="1199"/>
      <c r="P52" s="1199"/>
      <c r="Q52" s="1199"/>
      <c r="R52" s="1199"/>
      <c r="S52" s="1199"/>
      <c r="T52" s="1199"/>
      <c r="U52" s="1200"/>
      <c r="V52" s="1199"/>
      <c r="W52" s="1199"/>
      <c r="X52" s="1199"/>
      <c r="Y52" s="1199"/>
      <c r="Z52" s="1199"/>
      <c r="AA52" s="1199"/>
      <c r="AB52" s="1199"/>
      <c r="AC52" s="1199"/>
      <c r="AD52" s="3132"/>
      <c r="AE52" s="3132"/>
      <c r="AF52" s="3132"/>
      <c r="AG52" s="3132"/>
      <c r="AH52" s="3132"/>
      <c r="AI52" s="3601"/>
      <c r="AJ52" s="3132"/>
      <c r="AK52" s="3132"/>
      <c r="AL52" s="3132"/>
      <c r="AM52" s="3132"/>
      <c r="AN52" s="3132"/>
      <c r="AO52" s="2603"/>
      <c r="AP52" s="2603"/>
      <c r="AQ52" s="2603"/>
      <c r="AR52" s="2603"/>
      <c r="AS52" s="2603"/>
      <c r="AT52" s="2603"/>
    </row>
    <row r="53" spans="1:46" customFormat="1" ht="14.75">
      <c r="A53" s="294"/>
      <c r="B53" s="662" t="s">
        <v>166</v>
      </c>
      <c r="C53" s="293" t="s">
        <v>30</v>
      </c>
      <c r="D53" s="948" t="s">
        <v>752</v>
      </c>
      <c r="E53" s="2972"/>
      <c r="F53" s="204"/>
      <c r="G53" s="204"/>
      <c r="H53" s="204"/>
      <c r="I53" s="1198">
        <v>9.5644908060171507E-2</v>
      </c>
      <c r="J53" s="1199"/>
      <c r="K53" s="1198">
        <v>0.17332813163511498</v>
      </c>
      <c r="L53" s="1199">
        <v>0.29520498429113301</v>
      </c>
      <c r="M53" s="1199">
        <v>-3.2364890136041602E-2</v>
      </c>
      <c r="N53" s="1199">
        <v>-0.16805956620764298</v>
      </c>
      <c r="O53" s="1199">
        <v>0.26596328401922498</v>
      </c>
      <c r="P53" s="1199">
        <v>0.27320838524033897</v>
      </c>
      <c r="Q53" s="1199">
        <v>8.0774751957641791E-2</v>
      </c>
      <c r="R53" s="1199">
        <v>0.157526063714789</v>
      </c>
      <c r="S53" s="1199">
        <v>9.99040585113323E-2</v>
      </c>
      <c r="T53" s="1199">
        <v>-0.10660694538806099</v>
      </c>
      <c r="U53" s="1200">
        <v>7.26356381811641E-2</v>
      </c>
      <c r="V53" s="1199">
        <v>0.103857994590524</v>
      </c>
      <c r="W53" s="1199">
        <v>6.0712266354448902E-2</v>
      </c>
      <c r="X53" s="1199">
        <v>-7.6705670233828301E-3</v>
      </c>
      <c r="Y53" s="1199">
        <v>1.0483452594911201E-2</v>
      </c>
      <c r="Z53" s="1199">
        <v>5.6958822390851703E-3</v>
      </c>
      <c r="AA53" s="1199">
        <v>-1.2650775194141902E-2</v>
      </c>
      <c r="AB53" s="1199">
        <v>-5.5534823106658499E-2</v>
      </c>
      <c r="AC53" s="1199">
        <v>0.10230699178399201</v>
      </c>
      <c r="AD53" s="3132">
        <v>2.67403763466629E-2</v>
      </c>
      <c r="AE53" s="3132">
        <v>-2.4593919741722299E-3</v>
      </c>
      <c r="AF53" s="3132">
        <v>9.9175709922826996E-2</v>
      </c>
      <c r="AG53" s="3132">
        <v>7.3043355889837999E-2</v>
      </c>
      <c r="AH53" s="3132">
        <v>3.8251782992733403E-3</v>
      </c>
      <c r="AI53" s="3601">
        <v>9.7256438374028198E-3</v>
      </c>
      <c r="AJ53" s="3132">
        <v>2.9181537923162301E-2</v>
      </c>
      <c r="AK53" s="3132">
        <v>2.4131416387899497E-2</v>
      </c>
      <c r="AL53" s="3132">
        <v>1.31916436242782E-2</v>
      </c>
      <c r="AM53" s="3132">
        <v>1.1028727914025E-2</v>
      </c>
      <c r="AN53" s="3132">
        <v>1.2940758326171E-2</v>
      </c>
      <c r="AO53" s="2603">
        <v>1.35880055675212E-2</v>
      </c>
      <c r="AP53" s="2603">
        <v>1.2543229905331701E-2</v>
      </c>
      <c r="AQ53" s="2603">
        <v>1.2543229905331701E-2</v>
      </c>
      <c r="AR53" s="2603">
        <v>1.2543229905331701E-2</v>
      </c>
      <c r="AS53" s="2603">
        <v>1.2543229905331701E-2</v>
      </c>
      <c r="AT53" s="2603">
        <v>1.2543229905331701E-2</v>
      </c>
    </row>
    <row r="54" spans="1:46" customFormat="1" ht="14.75">
      <c r="A54" s="304"/>
      <c r="B54" s="295"/>
      <c r="C54" s="295"/>
      <c r="D54" s="948" t="s">
        <v>753</v>
      </c>
      <c r="E54" s="2972"/>
      <c r="F54" s="204"/>
      <c r="G54" s="204"/>
      <c r="H54" s="204"/>
      <c r="I54" s="1198">
        <v>0.188425287693753</v>
      </c>
      <c r="J54" s="1199"/>
      <c r="K54" s="1198">
        <v>2.0670924605161199E-2</v>
      </c>
      <c r="L54" s="1199">
        <v>-0.129328368601484</v>
      </c>
      <c r="M54" s="1199">
        <v>9.5976650538660599E-2</v>
      </c>
      <c r="N54" s="1199">
        <v>0.120863721480973</v>
      </c>
      <c r="O54" s="1199">
        <v>0.18271849214107699</v>
      </c>
      <c r="P54" s="1199">
        <v>8.0298753372480394E-2</v>
      </c>
      <c r="Q54" s="1199">
        <v>0.31871885097017999</v>
      </c>
      <c r="R54" s="1199">
        <v>0.25178038860914398</v>
      </c>
      <c r="S54" s="1199">
        <v>3.9637112279179598E-2</v>
      </c>
      <c r="T54" s="1199">
        <v>-7.5179331464462998E-2</v>
      </c>
      <c r="U54" s="1200">
        <v>0.26380673796040499</v>
      </c>
      <c r="V54" s="1199">
        <v>0.21846161442987502</v>
      </c>
      <c r="W54" s="1199">
        <v>-4.0724479744595997E-2</v>
      </c>
      <c r="X54" s="1199">
        <v>-0.120760422644081</v>
      </c>
      <c r="Y54" s="1199">
        <v>-5.1259016315775695E-2</v>
      </c>
      <c r="Z54" s="1199">
        <v>-0.134144406635191</v>
      </c>
      <c r="AA54" s="1199">
        <v>1.68635307961249E-2</v>
      </c>
      <c r="AB54" s="1199">
        <v>6.2083711660531095E-2</v>
      </c>
      <c r="AC54" s="1199">
        <v>1.08475595665216E-2</v>
      </c>
      <c r="AD54" s="3132">
        <v>3.94684043347555E-2</v>
      </c>
      <c r="AE54" s="3132">
        <v>0.121350248854474</v>
      </c>
      <c r="AF54" s="3132">
        <v>0.20302392886124898</v>
      </c>
      <c r="AG54" s="3132">
        <v>3.49980939548412E-2</v>
      </c>
      <c r="AH54" s="3132">
        <v>3.8148837572892398E-2</v>
      </c>
      <c r="AI54" s="3601">
        <v>0.115903195956699</v>
      </c>
      <c r="AJ54" s="3132">
        <v>0.267508845361843</v>
      </c>
      <c r="AK54" s="3132">
        <v>0.27357124414663397</v>
      </c>
      <c r="AL54" s="3132">
        <v>2.1096412890858E-2</v>
      </c>
      <c r="AM54" s="3132">
        <v>6.5160660069318302E-3</v>
      </c>
      <c r="AN54" s="3132">
        <v>-1.16829052433771E-3</v>
      </c>
      <c r="AO54" s="2603">
        <v>-1.8049231691460901E-4</v>
      </c>
      <c r="AP54" s="2603">
        <v>2.2416632448068682E-4</v>
      </c>
      <c r="AQ54" s="2603">
        <v>2.2416632448068682E-4</v>
      </c>
      <c r="AR54" s="2603">
        <v>2.2416632448068682E-4</v>
      </c>
      <c r="AS54" s="2603">
        <v>2.2416632448068682E-4</v>
      </c>
      <c r="AT54" s="2603">
        <v>2.2416632448068682E-4</v>
      </c>
    </row>
    <row r="55" spans="1:46" customFormat="1" ht="15.5" thickBot="1">
      <c r="A55" s="304"/>
      <c r="B55" s="295"/>
      <c r="C55" s="295"/>
      <c r="D55" s="1523" t="s">
        <v>754</v>
      </c>
      <c r="E55" s="2972"/>
      <c r="F55" s="204"/>
      <c r="G55" s="204"/>
      <c r="H55" s="204"/>
      <c r="I55" s="1198"/>
      <c r="J55" s="1198"/>
      <c r="K55" s="1198"/>
      <c r="L55" s="1198"/>
      <c r="M55" s="1198"/>
      <c r="N55" s="1198"/>
      <c r="O55" s="1198"/>
      <c r="P55" s="1198"/>
      <c r="Q55" s="1198"/>
      <c r="R55" s="1198"/>
      <c r="S55" s="1198"/>
      <c r="T55" s="1198"/>
      <c r="U55" s="1201"/>
      <c r="V55" s="1202"/>
      <c r="W55" s="1202"/>
      <c r="X55" s="1202"/>
      <c r="Y55" s="1202"/>
      <c r="Z55" s="1202"/>
      <c r="AA55" s="1202"/>
      <c r="AB55" s="1202"/>
      <c r="AC55" s="1202"/>
      <c r="AD55" s="1683"/>
      <c r="AE55" s="1683"/>
      <c r="AF55" s="1683"/>
      <c r="AG55" s="1683"/>
      <c r="AH55" s="1683"/>
      <c r="AI55" s="3602"/>
      <c r="AJ55" s="1683"/>
      <c r="AK55" s="1683"/>
      <c r="AL55" s="1683"/>
      <c r="AM55" s="1683"/>
      <c r="AN55" s="1683"/>
      <c r="AO55" s="1683"/>
      <c r="AP55" s="1683"/>
      <c r="AQ55" s="1683"/>
      <c r="AR55" s="1683"/>
      <c r="AS55" s="1683"/>
      <c r="AT55" s="1683"/>
    </row>
    <row r="56" spans="1:46" customFormat="1" ht="14.75">
      <c r="A56" s="304"/>
      <c r="B56" s="295"/>
      <c r="C56" s="295"/>
      <c r="D56" s="2069"/>
      <c r="E56" s="2968"/>
      <c r="P56" s="87"/>
      <c r="Q56" s="87"/>
      <c r="R56" s="87"/>
      <c r="S56" s="87"/>
      <c r="T56" s="87"/>
      <c r="U56" s="87"/>
      <c r="V56" s="87"/>
      <c r="W56" s="834"/>
      <c r="X56" s="834"/>
      <c r="Y56" s="834"/>
      <c r="Z56" s="834"/>
      <c r="AA56" s="834"/>
      <c r="AB56" s="834"/>
      <c r="AC56" s="87"/>
      <c r="AD56" s="834"/>
      <c r="AE56" s="3133"/>
      <c r="AF56" s="3134"/>
      <c r="AG56" s="2"/>
      <c r="AH56" s="2"/>
      <c r="AI56" s="2"/>
      <c r="AJ56" s="2"/>
      <c r="AK56" s="2"/>
      <c r="AL56" s="2"/>
      <c r="AM56" s="2"/>
      <c r="AN56" s="2"/>
      <c r="AO56" s="2"/>
      <c r="AP56" s="2"/>
      <c r="AQ56" s="2"/>
      <c r="AR56" s="2"/>
      <c r="AS56" s="2"/>
      <c r="AT56" s="2"/>
    </row>
    <row r="57" spans="1:46">
      <c r="A57" s="304"/>
      <c r="D57" s="677" t="s">
        <v>1557</v>
      </c>
      <c r="E57" s="2119"/>
      <c r="F57" s="11"/>
      <c r="G57" s="11"/>
      <c r="H57" s="11"/>
      <c r="I57" s="2"/>
      <c r="J57" s="2"/>
      <c r="K57" s="2"/>
      <c r="L57" s="2"/>
      <c r="M57" s="2"/>
      <c r="N57" s="2"/>
      <c r="O57" s="2"/>
      <c r="P57" s="2"/>
      <c r="Q57" s="2"/>
      <c r="R57" s="2"/>
      <c r="S57" s="2"/>
      <c r="T57" s="2"/>
      <c r="U57" s="2"/>
      <c r="V57" s="820">
        <v>2011</v>
      </c>
      <c r="W57" s="820">
        <v>2012</v>
      </c>
      <c r="X57" s="820">
        <v>2013</v>
      </c>
      <c r="Y57" s="820" t="s">
        <v>3</v>
      </c>
      <c r="Z57" s="820">
        <v>2015</v>
      </c>
      <c r="AA57" s="820">
        <v>2016</v>
      </c>
      <c r="AB57" s="820">
        <v>2017</v>
      </c>
      <c r="AC57" s="820">
        <v>2018</v>
      </c>
      <c r="AD57" s="820">
        <v>2019</v>
      </c>
      <c r="AE57" s="820">
        <v>2020</v>
      </c>
      <c r="AF57" s="820">
        <v>2021</v>
      </c>
      <c r="AG57" s="820">
        <v>2022</v>
      </c>
      <c r="AH57" s="820">
        <v>2023</v>
      </c>
      <c r="AI57" s="3598">
        <v>2024</v>
      </c>
      <c r="AJ57" s="820">
        <v>2025</v>
      </c>
      <c r="AK57" s="820">
        <v>2026</v>
      </c>
      <c r="AL57" s="820">
        <v>2027</v>
      </c>
      <c r="AM57" s="820">
        <v>2028</v>
      </c>
      <c r="AN57" s="820">
        <v>2029</v>
      </c>
      <c r="AO57" s="820">
        <v>2030</v>
      </c>
      <c r="AP57" s="820">
        <v>2031</v>
      </c>
      <c r="AQ57" s="820">
        <v>2032</v>
      </c>
      <c r="AR57" s="820">
        <v>2033</v>
      </c>
      <c r="AS57" s="820">
        <v>2034</v>
      </c>
      <c r="AT57" s="820">
        <v>2035</v>
      </c>
    </row>
    <row r="58" spans="1:46" s="1384" customFormat="1">
      <c r="A58" s="2158"/>
      <c r="B58" s="2148" t="s">
        <v>573</v>
      </c>
      <c r="C58" s="2148"/>
      <c r="D58" s="2808" t="s">
        <v>907</v>
      </c>
      <c r="E58" s="2973"/>
      <c r="F58" s="2894"/>
      <c r="G58" s="2808"/>
      <c r="H58" s="2808"/>
      <c r="I58" s="2809">
        <v>1998</v>
      </c>
      <c r="J58" s="2809">
        <v>1999</v>
      </c>
      <c r="K58" s="2809">
        <v>2000</v>
      </c>
      <c r="L58" s="2809">
        <v>2001</v>
      </c>
      <c r="M58" s="2809">
        <v>2002</v>
      </c>
      <c r="N58" s="2809">
        <v>2003</v>
      </c>
      <c r="O58" s="2809">
        <v>2004</v>
      </c>
      <c r="P58" s="2809">
        <v>2005</v>
      </c>
      <c r="Q58" s="2809">
        <v>2006</v>
      </c>
      <c r="R58" s="2809">
        <v>2007</v>
      </c>
      <c r="S58" s="2809">
        <v>2008</v>
      </c>
      <c r="T58" s="2809">
        <v>2009</v>
      </c>
      <c r="U58" s="2809">
        <v>2010</v>
      </c>
      <c r="V58" s="2809">
        <v>2011</v>
      </c>
      <c r="W58" s="2809">
        <v>2012</v>
      </c>
      <c r="X58" s="2809">
        <v>2013</v>
      </c>
      <c r="Y58" s="2809">
        <v>2014</v>
      </c>
      <c r="Z58" s="2809">
        <v>2015</v>
      </c>
      <c r="AA58" s="2809">
        <v>2016</v>
      </c>
      <c r="AB58" s="2809">
        <v>2017</v>
      </c>
      <c r="AC58" s="2809">
        <v>2018</v>
      </c>
      <c r="AD58" s="3135">
        <v>2019</v>
      </c>
      <c r="AE58" s="3136">
        <v>2020</v>
      </c>
      <c r="AF58" s="3136">
        <v>2021</v>
      </c>
      <c r="AG58" s="3136">
        <v>2022</v>
      </c>
      <c r="AH58" s="3136">
        <v>2023</v>
      </c>
      <c r="AI58" s="3214">
        <v>2024</v>
      </c>
      <c r="AJ58" s="3590">
        <v>2025</v>
      </c>
      <c r="AK58" s="3136">
        <v>2026</v>
      </c>
      <c r="AL58" s="3136">
        <v>2027</v>
      </c>
      <c r="AM58" s="3136">
        <v>2028</v>
      </c>
      <c r="AN58" s="3136">
        <v>2029</v>
      </c>
      <c r="AO58" s="3136">
        <v>2030</v>
      </c>
      <c r="AP58" s="2810">
        <v>2031</v>
      </c>
      <c r="AQ58" s="2810">
        <v>2032</v>
      </c>
      <c r="AR58" s="2810">
        <v>2033</v>
      </c>
      <c r="AS58" s="2810">
        <v>2034</v>
      </c>
      <c r="AT58" s="2810">
        <v>2035</v>
      </c>
    </row>
    <row r="59" spans="1:46">
      <c r="A59" s="304"/>
      <c r="D59" s="2445" t="s">
        <v>1549</v>
      </c>
      <c r="E59" s="2974"/>
      <c r="F59" s="2443"/>
      <c r="G59" s="2443"/>
      <c r="H59" s="2443"/>
      <c r="I59" s="2446">
        <v>49.14</v>
      </c>
      <c r="J59" s="2446">
        <v>34.4</v>
      </c>
      <c r="K59" s="2446">
        <v>31.16</v>
      </c>
      <c r="L59" s="2446">
        <v>44.26</v>
      </c>
      <c r="M59" s="2446">
        <v>33.17</v>
      </c>
      <c r="N59" s="2446">
        <v>29.373014416758831</v>
      </c>
      <c r="O59" s="2446">
        <v>47.857085863704235</v>
      </c>
      <c r="P59" s="2446">
        <v>59.1</v>
      </c>
      <c r="Q59" s="2446">
        <v>53.239639639639641</v>
      </c>
      <c r="R59" s="2446">
        <v>88.66384859846525</v>
      </c>
      <c r="S59" s="2446">
        <v>106.4</v>
      </c>
      <c r="T59" s="2446">
        <v>88.8</v>
      </c>
      <c r="U59" s="2446">
        <v>61.713554450000004</v>
      </c>
      <c r="V59" s="2447">
        <v>98.139999999999986</v>
      </c>
      <c r="W59" s="2447">
        <v>96.902381599999998</v>
      </c>
      <c r="X59" s="2447">
        <v>523.63</v>
      </c>
      <c r="Y59" s="2449">
        <v>153.47291621700001</v>
      </c>
      <c r="Z59" s="2449">
        <v>139.994</v>
      </c>
      <c r="AA59" s="2449">
        <v>171.95044235404123</v>
      </c>
      <c r="AB59" s="2449">
        <v>189.824337335</v>
      </c>
      <c r="AC59" s="2449">
        <v>204.910263929</v>
      </c>
      <c r="AD59" s="3137">
        <v>316.33289424084347</v>
      </c>
      <c r="AE59" s="3137">
        <v>425.04532305078999</v>
      </c>
      <c r="AF59" s="3137">
        <v>364.64251143299987</v>
      </c>
      <c r="AG59" s="3137">
        <v>377.63994049899998</v>
      </c>
      <c r="AH59" s="3137">
        <v>411.18697621000001</v>
      </c>
      <c r="AI59" s="3603">
        <v>555.77324822800006</v>
      </c>
      <c r="AJ59" s="3137">
        <v>514.58388479951964</v>
      </c>
      <c r="AK59" s="3137">
        <v>519.93560721935523</v>
      </c>
      <c r="AL59" s="3137">
        <v>505.53034144547894</v>
      </c>
      <c r="AM59" s="3137">
        <v>534.0163709917249</v>
      </c>
      <c r="AN59" s="3137">
        <v>522.45892664985604</v>
      </c>
      <c r="AO59" s="3137">
        <v>539.80141300379546</v>
      </c>
      <c r="AP59" s="2604">
        <v>386.91422639362497</v>
      </c>
      <c r="AQ59" s="2604">
        <v>90.090908357936271</v>
      </c>
      <c r="AR59" s="2604">
        <v>13.056600003443153</v>
      </c>
      <c r="AS59" s="2604">
        <v>7.2531442014767258</v>
      </c>
      <c r="AT59" s="2604">
        <v>0</v>
      </c>
    </row>
    <row r="60" spans="1:46">
      <c r="A60" s="304"/>
      <c r="D60" s="2450" t="s">
        <v>641</v>
      </c>
      <c r="E60" s="2974"/>
      <c r="F60" s="2443"/>
      <c r="G60" s="2443"/>
      <c r="H60" s="2443"/>
      <c r="I60" s="2443"/>
      <c r="J60" s="2443"/>
      <c r="K60" s="2443"/>
      <c r="L60" s="2443"/>
      <c r="M60" s="2443"/>
      <c r="N60" s="2443"/>
      <c r="O60" s="2443"/>
      <c r="P60" s="2443"/>
      <c r="Q60" s="2443"/>
      <c r="R60" s="2443"/>
      <c r="S60" s="2443"/>
      <c r="T60" s="2443"/>
      <c r="U60" s="2443"/>
      <c r="V60" s="2443"/>
      <c r="W60" s="2443"/>
      <c r="X60" s="2443"/>
      <c r="Y60" s="2448"/>
      <c r="Z60" s="2448">
        <v>65.081999999999994</v>
      </c>
      <c r="AA60" s="2448">
        <v>86.498429746041211</v>
      </c>
      <c r="AB60" s="2448">
        <v>109.587681769</v>
      </c>
      <c r="AC60" s="2448">
        <v>120.77545997</v>
      </c>
      <c r="AD60" s="2454">
        <v>167.89027127700001</v>
      </c>
      <c r="AE60" s="2454">
        <v>163.87630605079002</v>
      </c>
      <c r="AF60" s="2454">
        <v>142.07597618199998</v>
      </c>
      <c r="AG60" s="2454">
        <v>180.73451071899996</v>
      </c>
      <c r="AH60" s="2454">
        <v>199.92798899699997</v>
      </c>
      <c r="AI60" s="3604">
        <v>289.47324822800005</v>
      </c>
      <c r="AJ60" s="3138">
        <v>253.97983877399997</v>
      </c>
      <c r="AK60" s="3139">
        <v>256.73821092851614</v>
      </c>
      <c r="AL60" s="3139">
        <v>252.29368148974487</v>
      </c>
      <c r="AM60" s="3139">
        <v>265.37561553559624</v>
      </c>
      <c r="AN60" s="3139">
        <v>269.23019612524905</v>
      </c>
      <c r="AO60" s="3139">
        <v>283.79357523393344</v>
      </c>
      <c r="AP60" s="2455">
        <v>231.99568569128101</v>
      </c>
      <c r="AQ60" s="2455">
        <v>48.430775793568301</v>
      </c>
      <c r="AR60" s="2455">
        <v>6.5283000017215764</v>
      </c>
      <c r="AS60" s="2455">
        <v>7.2531442014767258</v>
      </c>
      <c r="AT60" s="2455">
        <v>0</v>
      </c>
    </row>
    <row r="61" spans="1:46">
      <c r="A61" s="304"/>
      <c r="D61" s="2451" t="s">
        <v>1491</v>
      </c>
      <c r="E61" s="2974"/>
      <c r="F61" s="2443"/>
      <c r="G61" s="2443"/>
      <c r="H61" s="2443"/>
      <c r="I61" s="2443"/>
      <c r="J61" s="2443"/>
      <c r="K61" s="2443"/>
      <c r="L61" s="2443"/>
      <c r="M61" s="2443"/>
      <c r="N61" s="2443"/>
      <c r="O61" s="2443"/>
      <c r="P61" s="2443"/>
      <c r="Q61" s="2443"/>
      <c r="R61" s="2443"/>
      <c r="S61" s="2443"/>
      <c r="T61" s="2443"/>
      <c r="U61" s="2443"/>
      <c r="V61" s="2443"/>
      <c r="W61" s="2443"/>
      <c r="X61" s="2443"/>
      <c r="Y61" s="2452"/>
      <c r="Z61" s="2452"/>
      <c r="AA61" s="2452"/>
      <c r="AB61" s="2452"/>
      <c r="AC61" s="2452"/>
      <c r="AD61" s="3140">
        <v>0</v>
      </c>
      <c r="AE61" s="3140">
        <v>0</v>
      </c>
      <c r="AF61" s="3140">
        <v>0</v>
      </c>
      <c r="AG61" s="3141">
        <v>14.5046751997487</v>
      </c>
      <c r="AH61" s="3140">
        <v>0</v>
      </c>
      <c r="AI61" s="3605">
        <v>0</v>
      </c>
      <c r="AJ61" s="366">
        <v>0</v>
      </c>
      <c r="AK61" s="366">
        <v>0</v>
      </c>
      <c r="AL61" s="366">
        <v>0</v>
      </c>
      <c r="AM61" s="366">
        <v>0</v>
      </c>
      <c r="AN61" s="366">
        <v>0</v>
      </c>
      <c r="AO61" s="366">
        <v>0</v>
      </c>
      <c r="AP61" s="2605">
        <v>0</v>
      </c>
      <c r="AQ61" s="2605">
        <v>0</v>
      </c>
      <c r="AR61" s="2605">
        <v>0</v>
      </c>
      <c r="AS61" s="2605">
        <v>0</v>
      </c>
      <c r="AT61" s="2605">
        <v>0</v>
      </c>
    </row>
    <row r="62" spans="1:46">
      <c r="A62" s="304"/>
      <c r="D62" s="2453"/>
      <c r="E62" s="2974"/>
      <c r="F62" s="2443"/>
      <c r="G62" s="2443"/>
      <c r="H62" s="2443"/>
      <c r="I62" s="2443"/>
      <c r="J62" s="2443"/>
      <c r="K62" s="2443"/>
      <c r="L62" s="2443"/>
      <c r="M62" s="2443"/>
      <c r="N62" s="2443"/>
      <c r="O62" s="2443"/>
      <c r="P62" s="2443"/>
      <c r="Q62" s="2443"/>
      <c r="R62" s="2443"/>
      <c r="S62" s="2443"/>
      <c r="T62" s="2443"/>
      <c r="U62" s="2443"/>
      <c r="V62" s="2443"/>
      <c r="W62" s="2443"/>
      <c r="X62" s="2443"/>
      <c r="Y62" s="2174"/>
      <c r="Z62" s="2174"/>
      <c r="AA62" s="2174"/>
      <c r="AB62" s="2174"/>
      <c r="AC62" s="2174"/>
      <c r="AD62" s="2174"/>
      <c r="AE62" s="2174"/>
      <c r="AF62" s="2174"/>
      <c r="AG62" s="2174"/>
      <c r="AH62" s="2174"/>
      <c r="AI62" s="3606"/>
      <c r="AJ62" s="2454"/>
      <c r="AK62" s="2454"/>
      <c r="AL62" s="2454"/>
      <c r="AM62" s="2454"/>
      <c r="AN62" s="2454"/>
      <c r="AO62" s="2454"/>
      <c r="AP62" s="2455"/>
      <c r="AQ62" s="2455"/>
      <c r="AR62" s="2455"/>
      <c r="AS62" s="2455"/>
      <c r="AT62" s="2455"/>
    </row>
    <row r="63" spans="1:46">
      <c r="A63" s="304"/>
      <c r="D63" s="2450" t="s">
        <v>642</v>
      </c>
      <c r="E63" s="2974"/>
      <c r="F63" s="2443"/>
      <c r="G63" s="2443"/>
      <c r="H63" s="2443"/>
      <c r="I63" s="2443"/>
      <c r="J63" s="2443"/>
      <c r="K63" s="2443"/>
      <c r="L63" s="2443"/>
      <c r="M63" s="2443"/>
      <c r="N63" s="2443"/>
      <c r="O63" s="2443"/>
      <c r="P63" s="2443"/>
      <c r="Q63" s="2443"/>
      <c r="R63" s="2443"/>
      <c r="S63" s="2443"/>
      <c r="T63" s="2443"/>
      <c r="U63" s="2443"/>
      <c r="V63" s="2443"/>
      <c r="W63" s="2443"/>
      <c r="X63" s="2443"/>
      <c r="Y63" s="2448"/>
      <c r="Z63" s="2448">
        <v>74.912000000000006</v>
      </c>
      <c r="AA63" s="2448">
        <v>85.452012608000004</v>
      </c>
      <c r="AB63" s="2448">
        <v>80.236655565999982</v>
      </c>
      <c r="AC63" s="2448">
        <v>84.134803958999981</v>
      </c>
      <c r="AD63" s="2454">
        <v>148.44262296384346</v>
      </c>
      <c r="AE63" s="2454">
        <v>261.169017</v>
      </c>
      <c r="AF63" s="2454">
        <v>222.56653525099986</v>
      </c>
      <c r="AG63" s="2454">
        <v>196.90542977999999</v>
      </c>
      <c r="AH63" s="2454">
        <v>211.25898721300001</v>
      </c>
      <c r="AI63" s="3604">
        <v>266.3</v>
      </c>
      <c r="AJ63" s="3139">
        <v>260.60404602551966</v>
      </c>
      <c r="AK63" s="3139">
        <v>263.19739629083915</v>
      </c>
      <c r="AL63" s="3139">
        <v>253.23665995573404</v>
      </c>
      <c r="AM63" s="3139">
        <v>268.6407554561286</v>
      </c>
      <c r="AN63" s="3139">
        <v>253.22873052460696</v>
      </c>
      <c r="AO63" s="3139">
        <v>256.00783776986196</v>
      </c>
      <c r="AP63" s="2455">
        <v>154.91854070234399</v>
      </c>
      <c r="AQ63" s="2455">
        <v>41.66013256436797</v>
      </c>
      <c r="AR63" s="2455">
        <v>6.5283000017215764</v>
      </c>
      <c r="AS63" s="2455">
        <v>0</v>
      </c>
      <c r="AT63" s="2455">
        <v>0</v>
      </c>
    </row>
    <row r="64" spans="1:46">
      <c r="A64" s="304"/>
      <c r="D64" s="2451" t="s">
        <v>1491</v>
      </c>
      <c r="E64" s="2974"/>
      <c r="F64" s="2443"/>
      <c r="G64" s="2443"/>
      <c r="H64" s="2443"/>
      <c r="I64" s="2443"/>
      <c r="J64" s="2443"/>
      <c r="K64" s="2443"/>
      <c r="L64" s="2443"/>
      <c r="M64" s="2443"/>
      <c r="N64" s="2443"/>
      <c r="O64" s="2443"/>
      <c r="P64" s="2443"/>
      <c r="Q64" s="2443"/>
      <c r="R64" s="2443"/>
      <c r="S64" s="2443"/>
      <c r="T64" s="2443"/>
      <c r="U64" s="2443"/>
      <c r="V64" s="2443"/>
      <c r="W64" s="2443"/>
      <c r="X64" s="2443"/>
      <c r="Y64" s="2452"/>
      <c r="Z64" s="2452"/>
      <c r="AA64" s="2452"/>
      <c r="AB64" s="2452"/>
      <c r="AC64" s="2452"/>
      <c r="AD64" s="3140">
        <v>0</v>
      </c>
      <c r="AE64" s="3140">
        <v>0</v>
      </c>
      <c r="AF64" s="3141">
        <v>11.223390284000001</v>
      </c>
      <c r="AG64" s="3141">
        <v>0</v>
      </c>
      <c r="AH64" s="3140">
        <v>0</v>
      </c>
      <c r="AI64" s="3605">
        <v>0</v>
      </c>
      <c r="AJ64" s="366">
        <v>0</v>
      </c>
      <c r="AK64" s="366">
        <v>0</v>
      </c>
      <c r="AL64" s="366">
        <v>0</v>
      </c>
      <c r="AM64" s="366">
        <v>0</v>
      </c>
      <c r="AN64" s="366">
        <v>0</v>
      </c>
      <c r="AO64" s="366">
        <v>0</v>
      </c>
      <c r="AP64" s="2605">
        <v>0</v>
      </c>
      <c r="AQ64" s="2605">
        <v>0</v>
      </c>
      <c r="AR64" s="2605">
        <v>0</v>
      </c>
      <c r="AS64" s="2605">
        <v>0</v>
      </c>
      <c r="AT64" s="2605">
        <v>0</v>
      </c>
    </row>
    <row r="65" spans="1:46">
      <c r="A65" s="304"/>
      <c r="D65" s="2453"/>
      <c r="E65" s="2974"/>
      <c r="F65" s="2443"/>
      <c r="G65" s="2443"/>
      <c r="H65" s="2443"/>
      <c r="I65" s="2443"/>
      <c r="J65" s="2443"/>
      <c r="K65" s="2443"/>
      <c r="L65" s="2443"/>
      <c r="M65" s="2443"/>
      <c r="N65" s="2443"/>
      <c r="O65" s="2443"/>
      <c r="P65" s="2443"/>
      <c r="Q65" s="2443"/>
      <c r="R65" s="2443"/>
      <c r="S65" s="2443"/>
      <c r="T65" s="2443"/>
      <c r="U65" s="2443"/>
      <c r="V65" s="2443"/>
      <c r="W65" s="2443"/>
      <c r="X65" s="2443"/>
      <c r="Y65" s="2448"/>
      <c r="Z65" s="2448"/>
      <c r="AA65" s="2448"/>
      <c r="AB65" s="2448"/>
      <c r="AC65" s="2448"/>
      <c r="AD65" s="2454"/>
      <c r="AE65" s="2454"/>
      <c r="AF65" s="2454"/>
      <c r="AG65" s="2454"/>
      <c r="AH65" s="2454"/>
      <c r="AI65" s="3604"/>
      <c r="AJ65" s="2454"/>
      <c r="AK65" s="2454"/>
      <c r="AL65" s="2454"/>
      <c r="AM65" s="2454"/>
      <c r="AN65" s="2454"/>
      <c r="AO65" s="2454"/>
      <c r="AP65" s="2455"/>
      <c r="AQ65" s="2455"/>
      <c r="AR65" s="2455"/>
      <c r="AS65" s="2455"/>
      <c r="AT65" s="2455"/>
    </row>
    <row r="66" spans="1:46">
      <c r="A66" s="304"/>
      <c r="D66" s="2445" t="s">
        <v>1550</v>
      </c>
      <c r="E66" s="2974"/>
      <c r="F66" s="2443"/>
      <c r="G66" s="2443"/>
      <c r="H66" s="2443"/>
      <c r="I66" s="2447">
        <v>37.909999999999997</v>
      </c>
      <c r="J66" s="2447">
        <v>46.57</v>
      </c>
      <c r="K66" s="2447">
        <v>16.12</v>
      </c>
      <c r="L66" s="2447">
        <v>36.83</v>
      </c>
      <c r="M66" s="2447">
        <v>50.73</v>
      </c>
      <c r="N66" s="2447">
        <v>10.54</v>
      </c>
      <c r="O66" s="2447">
        <v>60.75</v>
      </c>
      <c r="P66" s="2447">
        <v>30.877824579999999</v>
      </c>
      <c r="Q66" s="2447">
        <v>14.83270177</v>
      </c>
      <c r="R66" s="2447">
        <v>0</v>
      </c>
      <c r="S66" s="2447">
        <v>5.8000000000000007</v>
      </c>
      <c r="T66" s="2447">
        <v>0</v>
      </c>
      <c r="U66" s="2447">
        <v>0</v>
      </c>
      <c r="V66" s="2447">
        <v>124.06</v>
      </c>
      <c r="W66" s="2447">
        <v>13.42</v>
      </c>
      <c r="X66" s="2447">
        <v>14.201000000000001</v>
      </c>
      <c r="Y66" s="2456">
        <v>154.44183030599999</v>
      </c>
      <c r="Z66" s="2456">
        <v>232.09710524999997</v>
      </c>
      <c r="AA66" s="2456">
        <v>214.76999999999998</v>
      </c>
      <c r="AB66" s="2456">
        <v>216.12709705</v>
      </c>
      <c r="AC66" s="2456">
        <v>293.94076388999997</v>
      </c>
      <c r="AD66" s="3142">
        <v>352.75580508999997</v>
      </c>
      <c r="AE66" s="3142">
        <v>661.13510754540403</v>
      </c>
      <c r="AF66" s="3142">
        <v>801.22137322999993</v>
      </c>
      <c r="AG66" s="3142">
        <v>146.78212608999999</v>
      </c>
      <c r="AH66" s="3142">
        <v>714.51491736799994</v>
      </c>
      <c r="AI66" s="3607">
        <v>916.22348218299339</v>
      </c>
      <c r="AJ66" s="3142">
        <v>184.44998985242529</v>
      </c>
      <c r="AK66" s="3142">
        <v>962.63242903660978</v>
      </c>
      <c r="AL66" s="3142">
        <v>761.41416083726438</v>
      </c>
      <c r="AM66" s="3142">
        <v>524.01392520848412</v>
      </c>
      <c r="AN66" s="3142">
        <v>273.1361093301972</v>
      </c>
      <c r="AO66" s="3142">
        <v>259.97830485542528</v>
      </c>
      <c r="AP66" s="2606">
        <v>308.78662796289746</v>
      </c>
      <c r="AQ66" s="2606">
        <v>294.11069462956414</v>
      </c>
      <c r="AR66" s="2606">
        <v>292.99958351845305</v>
      </c>
      <c r="AS66" s="2606">
        <v>291.51810203697153</v>
      </c>
      <c r="AT66" s="2606">
        <v>292.87612672832961</v>
      </c>
    </row>
    <row r="67" spans="1:46">
      <c r="A67" s="304"/>
      <c r="D67" s="2450" t="s">
        <v>641</v>
      </c>
      <c r="E67" s="2974"/>
      <c r="F67" s="2443"/>
      <c r="G67" s="2443"/>
      <c r="H67" s="2443"/>
      <c r="I67" s="2443"/>
      <c r="J67" s="2443"/>
      <c r="K67" s="2443"/>
      <c r="L67" s="2443"/>
      <c r="M67" s="2443"/>
      <c r="N67" s="2443"/>
      <c r="O67" s="2443"/>
      <c r="P67" s="2443"/>
      <c r="Q67" s="2443"/>
      <c r="R67" s="2443"/>
      <c r="S67" s="2443"/>
      <c r="T67" s="2443"/>
      <c r="U67" s="2443"/>
      <c r="V67" s="2443"/>
      <c r="W67" s="2443"/>
      <c r="X67" s="2443"/>
      <c r="Y67" s="2448"/>
      <c r="Z67" s="2448">
        <v>66.24091</v>
      </c>
      <c r="AA67" s="2448">
        <v>21.1</v>
      </c>
      <c r="AB67" s="2448">
        <v>31.35</v>
      </c>
      <c r="AC67" s="2448">
        <v>67.840763890000005</v>
      </c>
      <c r="AD67" s="2454">
        <v>70.325946090000002</v>
      </c>
      <c r="AE67" s="2454">
        <v>414.9</v>
      </c>
      <c r="AF67" s="2454">
        <v>105.56034799999999</v>
      </c>
      <c r="AG67" s="2454">
        <v>138.10702508999998</v>
      </c>
      <c r="AH67" s="2454">
        <v>470.85470106000002</v>
      </c>
      <c r="AI67" s="3604">
        <v>371.18527279</v>
      </c>
      <c r="AJ67" s="3139">
        <v>24.569484996999996</v>
      </c>
      <c r="AK67" s="3139">
        <v>445.461804661825</v>
      </c>
      <c r="AL67" s="3139">
        <v>243.02759022118641</v>
      </c>
      <c r="AM67" s="3139">
        <v>130.61661646871863</v>
      </c>
      <c r="AN67" s="3139">
        <v>75.169600000000003</v>
      </c>
      <c r="AO67" s="3139">
        <v>64.869399999999999</v>
      </c>
      <c r="AP67" s="2455">
        <v>127.90612310747218</v>
      </c>
      <c r="AQ67" s="2455">
        <v>113.23018977413886</v>
      </c>
      <c r="AR67" s="2455">
        <v>112.11907866302775</v>
      </c>
      <c r="AS67" s="2455">
        <v>110.63759718154625</v>
      </c>
      <c r="AT67" s="2455">
        <v>111.99562187290428</v>
      </c>
    </row>
    <row r="68" spans="1:46">
      <c r="A68" s="304"/>
      <c r="D68" s="2457" t="s">
        <v>1551</v>
      </c>
      <c r="E68" s="2974"/>
      <c r="F68" s="2443"/>
      <c r="G68" s="2443"/>
      <c r="H68" s="2443"/>
      <c r="I68" s="2443"/>
      <c r="J68" s="2443"/>
      <c r="K68" s="2443"/>
      <c r="L68" s="2443"/>
      <c r="M68" s="2443"/>
      <c r="N68" s="2443"/>
      <c r="O68" s="2443"/>
      <c r="P68" s="2443"/>
      <c r="Q68" s="2443"/>
      <c r="R68" s="2443"/>
      <c r="S68" s="2443"/>
      <c r="T68" s="2443"/>
      <c r="U68" s="2443"/>
      <c r="V68" s="2443"/>
      <c r="W68" s="2443"/>
      <c r="X68" s="2443"/>
      <c r="Y68" s="2448"/>
      <c r="Z68" s="2448"/>
      <c r="AA68" s="2448"/>
      <c r="AB68" s="2448"/>
      <c r="AC68" s="2448"/>
      <c r="AD68" s="2454">
        <v>0</v>
      </c>
      <c r="AE68" s="2454">
        <v>0</v>
      </c>
      <c r="AF68" s="2454">
        <v>0</v>
      </c>
      <c r="AG68" s="2454">
        <v>0</v>
      </c>
      <c r="AH68" s="2454">
        <v>0</v>
      </c>
      <c r="AI68" s="3604">
        <v>0</v>
      </c>
      <c r="AJ68" s="2454">
        <v>24.569484996999996</v>
      </c>
      <c r="AK68" s="2454">
        <v>228</v>
      </c>
      <c r="AL68" s="2454">
        <v>105.23270679759541</v>
      </c>
      <c r="AM68" s="2454">
        <v>49.584908739765531</v>
      </c>
      <c r="AN68" s="2454">
        <v>0</v>
      </c>
      <c r="AO68" s="2454">
        <v>0</v>
      </c>
      <c r="AP68" s="2474">
        <v>76.563523107472193</v>
      </c>
      <c r="AQ68" s="2474">
        <v>76.563523107472193</v>
      </c>
      <c r="AR68" s="2474">
        <v>76.563523107472193</v>
      </c>
      <c r="AS68" s="2474">
        <v>76.563523107472193</v>
      </c>
      <c r="AT68" s="2474">
        <v>76.563523107472193</v>
      </c>
    </row>
    <row r="69" spans="1:46" customFormat="1" ht="14.75">
      <c r="D69" s="2458" t="s">
        <v>1490</v>
      </c>
      <c r="E69" s="2975"/>
      <c r="F69" s="2459"/>
      <c r="G69" s="2459"/>
      <c r="H69" s="2459"/>
      <c r="I69" s="2459"/>
      <c r="J69" s="2459"/>
      <c r="K69" s="2459"/>
      <c r="L69" s="2459"/>
      <c r="M69" s="2459"/>
      <c r="N69" s="2459"/>
      <c r="O69" s="2459"/>
      <c r="P69" s="2459"/>
      <c r="Q69" s="2459"/>
      <c r="R69" s="2459"/>
      <c r="S69" s="2459"/>
      <c r="T69" s="2459"/>
      <c r="U69" s="2459"/>
      <c r="V69" s="2459"/>
      <c r="W69" s="2459"/>
      <c r="X69" s="2459"/>
      <c r="Y69" s="2460"/>
      <c r="Z69" s="2460"/>
      <c r="AA69" s="2460"/>
      <c r="AB69" s="2460"/>
      <c r="AC69" s="2460"/>
      <c r="AD69" s="3143"/>
      <c r="AE69" s="3143"/>
      <c r="AF69" s="3143">
        <v>0</v>
      </c>
      <c r="AG69" s="3143"/>
      <c r="AH69" s="3143">
        <v>98.273850999999993</v>
      </c>
      <c r="AI69" s="3608">
        <v>93.63919512999999</v>
      </c>
      <c r="AJ69" s="3143"/>
      <c r="AK69" s="2454"/>
      <c r="AL69" s="2454"/>
      <c r="AM69" s="2454"/>
      <c r="AN69" s="2454"/>
      <c r="AO69" s="2454"/>
      <c r="AP69" s="2455"/>
      <c r="AQ69" s="2455"/>
      <c r="AR69" s="2455"/>
      <c r="AS69" s="2455"/>
      <c r="AT69" s="2455"/>
    </row>
    <row r="70" spans="1:46" customFormat="1" ht="14.75">
      <c r="D70" s="2461" t="s">
        <v>1552</v>
      </c>
      <c r="E70" s="2974"/>
      <c r="F70" s="2443"/>
      <c r="G70" s="2443"/>
      <c r="H70" s="2443"/>
      <c r="I70" s="2443"/>
      <c r="J70" s="2443"/>
      <c r="K70" s="2443"/>
      <c r="L70" s="2443"/>
      <c r="M70" s="2443"/>
      <c r="N70" s="2443"/>
      <c r="O70" s="2443"/>
      <c r="P70" s="2443"/>
      <c r="Q70" s="2443"/>
      <c r="R70" s="2443"/>
      <c r="S70" s="2443"/>
      <c r="T70" s="2443"/>
      <c r="U70" s="2443"/>
      <c r="V70" s="2443"/>
      <c r="W70" s="2443"/>
      <c r="X70" s="2443"/>
      <c r="Y70" s="2448"/>
      <c r="Z70" s="2448"/>
      <c r="AA70" s="2448"/>
      <c r="AB70" s="2448"/>
      <c r="AC70" s="2448"/>
      <c r="AD70" s="2454"/>
      <c r="AE70" s="2454"/>
      <c r="AF70" s="2454"/>
      <c r="AG70" s="2454"/>
      <c r="AH70" s="2454"/>
      <c r="AI70" s="3604"/>
      <c r="AJ70" s="2454"/>
      <c r="AK70" s="2454">
        <v>217.461804661825</v>
      </c>
      <c r="AL70" s="2454">
        <v>108.004883423591</v>
      </c>
      <c r="AM70" s="2454">
        <v>37.009307728953104</v>
      </c>
      <c r="AN70" s="2454">
        <v>1.1850000000000001</v>
      </c>
      <c r="AO70" s="2454">
        <v>0</v>
      </c>
      <c r="AP70" s="2455"/>
      <c r="AQ70" s="2455"/>
      <c r="AR70" s="2455"/>
      <c r="AS70" s="2455"/>
      <c r="AT70" s="2455"/>
    </row>
    <row r="71" spans="1:46" customFormat="1" ht="14.75">
      <c r="D71" s="2461" t="s">
        <v>1553</v>
      </c>
      <c r="E71" s="2974"/>
      <c r="F71" s="2443"/>
      <c r="G71" s="2443"/>
      <c r="H71" s="2443"/>
      <c r="I71" s="2443"/>
      <c r="J71" s="2443"/>
      <c r="K71" s="2443"/>
      <c r="L71" s="2443"/>
      <c r="M71" s="2443"/>
      <c r="N71" s="2443"/>
      <c r="O71" s="2443"/>
      <c r="P71" s="2443"/>
      <c r="Q71" s="2443"/>
      <c r="R71" s="2443"/>
      <c r="S71" s="2443"/>
      <c r="T71" s="2443"/>
      <c r="U71" s="2443"/>
      <c r="V71" s="2443"/>
      <c r="W71" s="2443"/>
      <c r="X71" s="2443"/>
      <c r="Y71" s="2448"/>
      <c r="Z71" s="2448"/>
      <c r="AA71" s="2448"/>
      <c r="AB71" s="2448"/>
      <c r="AC71" s="2448" t="s">
        <v>957</v>
      </c>
      <c r="AD71" s="2454"/>
      <c r="AE71" s="2454"/>
      <c r="AF71" s="2454"/>
      <c r="AG71" s="2454"/>
      <c r="AH71" s="2454">
        <v>159.68085006000001</v>
      </c>
      <c r="AI71" s="3604"/>
      <c r="AJ71" s="2454"/>
      <c r="AK71" s="2454">
        <v>0</v>
      </c>
      <c r="AL71" s="2454">
        <v>29.790000000000006</v>
      </c>
      <c r="AM71" s="2454">
        <v>34.022399999999998</v>
      </c>
      <c r="AN71" s="2454">
        <v>33.9846</v>
      </c>
      <c r="AO71" s="2454">
        <v>24.869399999999999</v>
      </c>
      <c r="AP71" s="2455">
        <v>21.342599999999997</v>
      </c>
      <c r="AQ71" s="2455">
        <v>0</v>
      </c>
      <c r="AR71" s="2455">
        <v>0</v>
      </c>
      <c r="AS71" s="2455">
        <v>0</v>
      </c>
      <c r="AT71" s="2455">
        <v>0</v>
      </c>
    </row>
    <row r="72" spans="1:46">
      <c r="A72" s="304"/>
      <c r="D72" s="2462" t="s">
        <v>1554</v>
      </c>
      <c r="E72" s="2974"/>
      <c r="F72" s="2443"/>
      <c r="G72" s="2443"/>
      <c r="H72" s="2443"/>
      <c r="I72" s="2171"/>
      <c r="J72" s="2171"/>
      <c r="K72" s="2171"/>
      <c r="L72" s="2171"/>
      <c r="M72" s="2171"/>
      <c r="N72" s="2171"/>
      <c r="O72" s="2171"/>
      <c r="P72" s="2171"/>
      <c r="Q72" s="2171"/>
      <c r="R72" s="2171"/>
      <c r="S72" s="2171"/>
      <c r="T72" s="2171"/>
      <c r="U72" s="2171"/>
      <c r="V72" s="2171"/>
      <c r="W72" s="2171"/>
      <c r="X72" s="2171"/>
      <c r="Y72" s="2175"/>
      <c r="Z72" s="2175">
        <v>0</v>
      </c>
      <c r="AA72" s="2175">
        <v>0</v>
      </c>
      <c r="AB72" s="2175">
        <v>0</v>
      </c>
      <c r="AC72" s="2175">
        <v>0</v>
      </c>
      <c r="AD72" s="2175">
        <v>0</v>
      </c>
      <c r="AE72" s="2175"/>
      <c r="AF72" s="2175"/>
      <c r="AG72" s="2175"/>
      <c r="AH72" s="2175"/>
      <c r="AI72" s="3609"/>
      <c r="AJ72" s="2175"/>
      <c r="AK72" s="2175"/>
      <c r="AL72" s="2175"/>
      <c r="AM72" s="2175">
        <v>10</v>
      </c>
      <c r="AN72" s="2175">
        <v>40</v>
      </c>
      <c r="AO72" s="2175">
        <v>40</v>
      </c>
      <c r="AP72" s="2463">
        <v>30</v>
      </c>
      <c r="AQ72" s="2463">
        <v>36.666666666666664</v>
      </c>
      <c r="AR72" s="2463">
        <v>35.55555555555555</v>
      </c>
      <c r="AS72" s="2463">
        <v>34.074074074074069</v>
      </c>
      <c r="AT72" s="2463">
        <v>35.432098765432094</v>
      </c>
    </row>
    <row r="73" spans="1:46">
      <c r="A73" s="304"/>
      <c r="D73" s="2450"/>
      <c r="E73" s="2974"/>
      <c r="F73" s="2443"/>
      <c r="G73" s="2443"/>
      <c r="H73" s="2443"/>
      <c r="I73" s="2443"/>
      <c r="J73" s="2443"/>
      <c r="K73" s="2443"/>
      <c r="L73" s="2443"/>
      <c r="M73" s="2443"/>
      <c r="N73" s="2443"/>
      <c r="O73" s="2443"/>
      <c r="P73" s="2443"/>
      <c r="Q73" s="2443"/>
      <c r="R73" s="2443"/>
      <c r="S73" s="2443"/>
      <c r="T73" s="2443"/>
      <c r="U73" s="2443"/>
      <c r="V73" s="2443"/>
      <c r="W73" s="2443"/>
      <c r="X73" s="2443"/>
      <c r="Y73" s="2173"/>
      <c r="Z73" s="2173"/>
      <c r="AA73" s="2173"/>
      <c r="AB73" s="2173"/>
      <c r="AC73" s="2173"/>
      <c r="AD73" s="3144"/>
      <c r="AE73" s="3144"/>
      <c r="AF73" s="3144"/>
      <c r="AG73" s="3144"/>
      <c r="AH73" s="3144"/>
      <c r="AI73" s="3610"/>
      <c r="AJ73" s="2454"/>
      <c r="AK73" s="2454"/>
      <c r="AL73" s="2454"/>
      <c r="AM73" s="2454"/>
      <c r="AN73" s="2454"/>
      <c r="AO73" s="2454"/>
      <c r="AP73" s="2455"/>
      <c r="AQ73" s="2455"/>
      <c r="AR73" s="2455"/>
      <c r="AS73" s="2455"/>
      <c r="AT73" s="2455"/>
    </row>
    <row r="74" spans="1:46">
      <c r="A74" s="304"/>
      <c r="D74" s="2450" t="s">
        <v>642</v>
      </c>
      <c r="E74" s="2974"/>
      <c r="F74" s="2443"/>
      <c r="G74" s="2443"/>
      <c r="H74" s="2443"/>
      <c r="I74" s="2443"/>
      <c r="J74" s="2443"/>
      <c r="K74" s="2443"/>
      <c r="L74" s="2443"/>
      <c r="M74" s="2443"/>
      <c r="N74" s="2443"/>
      <c r="O74" s="2443"/>
      <c r="P74" s="2443"/>
      <c r="Q74" s="2443"/>
      <c r="R74" s="2443"/>
      <c r="S74" s="2443"/>
      <c r="T74" s="2443"/>
      <c r="U74" s="2443"/>
      <c r="V74" s="2443"/>
      <c r="W74" s="2443"/>
      <c r="X74" s="2443"/>
      <c r="Y74" s="2448"/>
      <c r="Z74" s="2448">
        <v>165.85619524999998</v>
      </c>
      <c r="AA74" s="2448">
        <v>193.67</v>
      </c>
      <c r="AB74" s="2448">
        <v>184.77709705000001</v>
      </c>
      <c r="AC74" s="2448">
        <v>226.1</v>
      </c>
      <c r="AD74" s="2454">
        <v>282.42985899999996</v>
      </c>
      <c r="AE74" s="2454">
        <v>246.23510754540402</v>
      </c>
      <c r="AF74" s="2454">
        <v>695.66102522999995</v>
      </c>
      <c r="AG74" s="2454">
        <v>8.6751009999999997</v>
      </c>
      <c r="AH74" s="2454">
        <v>243.66021630799997</v>
      </c>
      <c r="AI74" s="3604">
        <v>545.03820939299339</v>
      </c>
      <c r="AJ74" s="3139">
        <v>159.8805048554253</v>
      </c>
      <c r="AK74" s="3139">
        <v>517.17062437478478</v>
      </c>
      <c r="AL74" s="3139">
        <v>518.38657061607796</v>
      </c>
      <c r="AM74" s="3139">
        <v>393.39730873976555</v>
      </c>
      <c r="AN74" s="3139">
        <v>197.96650933019717</v>
      </c>
      <c r="AO74" s="3139">
        <v>195.10890485542529</v>
      </c>
      <c r="AP74" s="2455">
        <v>180.8805048554253</v>
      </c>
      <c r="AQ74" s="2455">
        <v>180.8805048554253</v>
      </c>
      <c r="AR74" s="2455">
        <v>180.8805048554253</v>
      </c>
      <c r="AS74" s="2455">
        <v>180.8805048554253</v>
      </c>
      <c r="AT74" s="2455">
        <v>180.8805048554253</v>
      </c>
    </row>
    <row r="75" spans="1:46">
      <c r="A75" s="304"/>
      <c r="D75" s="2461" t="s">
        <v>1551</v>
      </c>
      <c r="E75" s="2974"/>
      <c r="F75" s="2443"/>
      <c r="G75" s="2443"/>
      <c r="H75" s="2443"/>
      <c r="I75" s="2443"/>
      <c r="J75" s="2443"/>
      <c r="K75" s="2443"/>
      <c r="L75" s="2443"/>
      <c r="M75" s="2443"/>
      <c r="N75" s="2443"/>
      <c r="O75" s="2443"/>
      <c r="P75" s="2443"/>
      <c r="Q75" s="2443"/>
      <c r="R75" s="2443"/>
      <c r="S75" s="2443"/>
      <c r="T75" s="2443"/>
      <c r="U75" s="2443"/>
      <c r="V75" s="2443"/>
      <c r="W75" s="2443"/>
      <c r="X75" s="2443"/>
      <c r="Y75" s="2448"/>
      <c r="Z75" s="2448"/>
      <c r="AA75" s="2448"/>
      <c r="AB75" s="2448"/>
      <c r="AC75" s="2448"/>
      <c r="AD75" s="2454"/>
      <c r="AE75" s="2454"/>
      <c r="AF75" s="2454">
        <v>45.5334</v>
      </c>
      <c r="AG75" s="2454"/>
      <c r="AH75" s="2454"/>
      <c r="AI75" s="3604"/>
      <c r="AJ75" s="2454">
        <v>159.8805048554253</v>
      </c>
      <c r="AK75" s="2454">
        <v>285</v>
      </c>
      <c r="AL75" s="2454">
        <v>308</v>
      </c>
      <c r="AM75" s="2454">
        <v>179.58490873976552</v>
      </c>
      <c r="AN75" s="2454">
        <v>140.8805048554253</v>
      </c>
      <c r="AO75" s="3145">
        <v>140.8805048554253</v>
      </c>
      <c r="AP75" s="2474">
        <v>140.8805048554253</v>
      </c>
      <c r="AQ75" s="2474">
        <v>140.8805048554253</v>
      </c>
      <c r="AR75" s="2474">
        <v>140.8805048554253</v>
      </c>
      <c r="AS75" s="2474">
        <v>140.8805048554253</v>
      </c>
      <c r="AT75" s="2474">
        <v>140.8805048554253</v>
      </c>
    </row>
    <row r="76" spans="1:46" customFormat="1" ht="14.75">
      <c r="D76" s="2464" t="s">
        <v>1490</v>
      </c>
      <c r="E76" s="2975"/>
      <c r="F76" s="2459"/>
      <c r="G76" s="2459"/>
      <c r="H76" s="2459"/>
      <c r="I76" s="2459"/>
      <c r="J76" s="2459"/>
      <c r="K76" s="2459"/>
      <c r="L76" s="2459"/>
      <c r="M76" s="2459"/>
      <c r="N76" s="2459"/>
      <c r="O76" s="2459"/>
      <c r="P76" s="2459"/>
      <c r="Q76" s="2459"/>
      <c r="R76" s="2459"/>
      <c r="S76" s="2459"/>
      <c r="T76" s="2459"/>
      <c r="U76" s="2459"/>
      <c r="V76" s="2459"/>
      <c r="W76" s="2459"/>
      <c r="X76" s="2459"/>
      <c r="Y76" s="2460"/>
      <c r="Z76" s="2460"/>
      <c r="AA76" s="2460"/>
      <c r="AB76" s="2460"/>
      <c r="AC76" s="2460"/>
      <c r="AD76" s="3143"/>
      <c r="AE76" s="3143"/>
      <c r="AF76" s="3143"/>
      <c r="AG76" s="3143"/>
      <c r="AH76" s="3143">
        <v>67.091385987999999</v>
      </c>
      <c r="AI76" s="3608">
        <v>115.36865818623295</v>
      </c>
      <c r="AJ76" s="2454"/>
      <c r="AK76" s="2454"/>
      <c r="AL76" s="2454"/>
      <c r="AM76" s="2454"/>
      <c r="AN76" s="2454"/>
      <c r="AO76" s="2454"/>
      <c r="AP76" s="2455"/>
      <c r="AQ76" s="2455"/>
      <c r="AR76" s="2455"/>
      <c r="AS76" s="2455"/>
      <c r="AT76" s="2455"/>
    </row>
    <row r="77" spans="1:46">
      <c r="A77" s="304"/>
      <c r="D77" s="2461" t="s">
        <v>1552</v>
      </c>
      <c r="E77" s="2974"/>
      <c r="F77" s="2443"/>
      <c r="G77" s="2443"/>
      <c r="H77" s="2443"/>
      <c r="I77" s="2443"/>
      <c r="J77" s="2443"/>
      <c r="K77" s="2443"/>
      <c r="L77" s="2443"/>
      <c r="M77" s="2443"/>
      <c r="N77" s="2443"/>
      <c r="O77" s="2443"/>
      <c r="P77" s="2443"/>
      <c r="Q77" s="2443"/>
      <c r="R77" s="2443"/>
      <c r="S77" s="2443"/>
      <c r="T77" s="2443"/>
      <c r="U77" s="2443"/>
      <c r="V77" s="2443"/>
      <c r="W77" s="2443"/>
      <c r="X77" s="2443"/>
      <c r="Y77" s="2448"/>
      <c r="Z77" s="2448"/>
      <c r="AA77" s="2448"/>
      <c r="AB77" s="2448"/>
      <c r="AC77" s="2448"/>
      <c r="AD77" s="2454">
        <v>0</v>
      </c>
      <c r="AE77" s="2454">
        <v>0</v>
      </c>
      <c r="AF77" s="2454">
        <v>620</v>
      </c>
      <c r="AG77" s="2454">
        <v>0</v>
      </c>
      <c r="AH77" s="2454">
        <v>0</v>
      </c>
      <c r="AI77" s="3604">
        <v>0</v>
      </c>
      <c r="AJ77" s="3591">
        <v>0</v>
      </c>
      <c r="AK77" s="2454">
        <v>72.660624374784803</v>
      </c>
      <c r="AL77" s="2454">
        <v>61.704970616077993</v>
      </c>
      <c r="AM77" s="2454">
        <v>1.1559999999999999</v>
      </c>
      <c r="AN77" s="2454">
        <v>0.50640447477185702</v>
      </c>
      <c r="AO77" s="2454">
        <v>0</v>
      </c>
      <c r="AP77" s="2455"/>
      <c r="AQ77" s="2455"/>
      <c r="AR77" s="2455"/>
      <c r="AS77" s="2455"/>
      <c r="AT77" s="2455"/>
    </row>
    <row r="78" spans="1:46" customFormat="1" ht="14.75">
      <c r="D78" s="2461" t="s">
        <v>1553</v>
      </c>
      <c r="E78" s="2974"/>
      <c r="F78" s="2443"/>
      <c r="G78" s="2443"/>
      <c r="H78" s="2443"/>
      <c r="I78" s="2443"/>
      <c r="J78" s="2443"/>
      <c r="K78" s="2443"/>
      <c r="L78" s="2443"/>
      <c r="M78" s="2443"/>
      <c r="N78" s="2443"/>
      <c r="O78" s="2443"/>
      <c r="P78" s="2443"/>
      <c r="Q78" s="2443"/>
      <c r="R78" s="2443"/>
      <c r="S78" s="2443"/>
      <c r="T78" s="2443"/>
      <c r="U78" s="2443"/>
      <c r="V78" s="2443"/>
      <c r="W78" s="2443"/>
      <c r="X78" s="2443"/>
      <c r="Y78" s="2448"/>
      <c r="Z78" s="2448"/>
      <c r="AA78" s="2448"/>
      <c r="AB78" s="2448"/>
      <c r="AC78" s="2448"/>
      <c r="AD78" s="2454"/>
      <c r="AE78" s="2454"/>
      <c r="AF78" s="2454"/>
      <c r="AG78" s="2454"/>
      <c r="AH78" s="2454"/>
      <c r="AI78" s="3604"/>
      <c r="AJ78" s="3592">
        <v>0</v>
      </c>
      <c r="AK78" s="2454">
        <v>69.509999999999991</v>
      </c>
      <c r="AL78" s="2454">
        <v>22.681600000000003</v>
      </c>
      <c r="AM78" s="2454">
        <v>22.656400000000001</v>
      </c>
      <c r="AN78" s="2454">
        <v>16.579599999999999</v>
      </c>
      <c r="AO78" s="2454">
        <v>14.228400000000001</v>
      </c>
      <c r="AP78" s="2455">
        <v>0</v>
      </c>
      <c r="AQ78" s="2455">
        <v>0</v>
      </c>
      <c r="AR78" s="2455">
        <v>0</v>
      </c>
      <c r="AS78" s="2455">
        <v>0</v>
      </c>
      <c r="AT78" s="2455">
        <v>0</v>
      </c>
    </row>
    <row r="79" spans="1:46">
      <c r="A79" s="304"/>
      <c r="D79" s="2462" t="s">
        <v>1554</v>
      </c>
      <c r="E79" s="2974"/>
      <c r="F79" s="2443"/>
      <c r="G79" s="2443"/>
      <c r="H79" s="2443"/>
      <c r="I79" s="2171"/>
      <c r="J79" s="2171"/>
      <c r="K79" s="2171"/>
      <c r="L79" s="2171"/>
      <c r="M79" s="2171"/>
      <c r="N79" s="2171"/>
      <c r="O79" s="2171"/>
      <c r="P79" s="2171"/>
      <c r="Q79" s="2171"/>
      <c r="R79" s="2171"/>
      <c r="S79" s="2171"/>
      <c r="T79" s="2171"/>
      <c r="U79" s="2171"/>
      <c r="V79" s="2171"/>
      <c r="W79" s="2171"/>
      <c r="X79" s="2171"/>
      <c r="Y79" s="2175"/>
      <c r="Z79" s="2175">
        <v>0</v>
      </c>
      <c r="AA79" s="2175">
        <v>0</v>
      </c>
      <c r="AB79" s="2175">
        <v>0</v>
      </c>
      <c r="AC79" s="2175">
        <v>0</v>
      </c>
      <c r="AD79" s="2175">
        <v>0</v>
      </c>
      <c r="AE79" s="2175"/>
      <c r="AF79" s="2175"/>
      <c r="AG79" s="2175"/>
      <c r="AH79" s="2175"/>
      <c r="AI79" s="3609"/>
      <c r="AJ79" s="2175"/>
      <c r="AK79" s="2175">
        <v>90</v>
      </c>
      <c r="AL79" s="2175">
        <v>126</v>
      </c>
      <c r="AM79" s="2175">
        <v>190</v>
      </c>
      <c r="AN79" s="2175">
        <v>40</v>
      </c>
      <c r="AO79" s="2175">
        <v>40</v>
      </c>
      <c r="AP79" s="2463">
        <v>40</v>
      </c>
      <c r="AQ79" s="2463">
        <v>40</v>
      </c>
      <c r="AR79" s="2463">
        <v>40</v>
      </c>
      <c r="AS79" s="2463">
        <v>40</v>
      </c>
      <c r="AT79" s="2463">
        <v>40</v>
      </c>
    </row>
    <row r="80" spans="1:46">
      <c r="A80" s="304"/>
      <c r="D80" s="2450"/>
      <c r="E80" s="2974"/>
      <c r="F80" s="2443"/>
      <c r="G80" s="2443"/>
      <c r="H80" s="2443"/>
      <c r="I80" s="2443"/>
      <c r="J80" s="2443"/>
      <c r="K80" s="2443"/>
      <c r="L80" s="2443"/>
      <c r="M80" s="2443"/>
      <c r="N80" s="2443"/>
      <c r="O80" s="2443"/>
      <c r="P80" s="2443"/>
      <c r="Q80" s="2443"/>
      <c r="R80" s="2443"/>
      <c r="S80" s="2443"/>
      <c r="T80" s="2443"/>
      <c r="U80" s="2443"/>
      <c r="V80" s="2443"/>
      <c r="W80" s="2443">
        <v>-0.12935571701668014</v>
      </c>
      <c r="X80" s="2443"/>
      <c r="Y80" s="2465"/>
      <c r="Z80" s="2465"/>
      <c r="AA80" s="2465"/>
      <c r="AB80" s="2465"/>
      <c r="AC80" s="2465"/>
      <c r="AD80" s="3146"/>
      <c r="AE80" s="3146"/>
      <c r="AF80" s="3146"/>
      <c r="AG80" s="3146"/>
      <c r="AH80" s="3146"/>
      <c r="AI80" s="3611"/>
      <c r="AJ80" s="3146"/>
      <c r="AK80" s="3146"/>
      <c r="AL80" s="3146"/>
      <c r="AM80" s="3146"/>
      <c r="AN80" s="3146"/>
      <c r="AO80" s="3146"/>
      <c r="AP80" s="2607"/>
      <c r="AQ80" s="2607"/>
      <c r="AR80" s="2607"/>
      <c r="AS80" s="2607"/>
      <c r="AT80" s="2607"/>
    </row>
    <row r="81" spans="1:46">
      <c r="A81" s="304"/>
      <c r="D81" s="2445" t="s">
        <v>171</v>
      </c>
      <c r="E81" s="2974"/>
      <c r="F81" s="2443"/>
      <c r="G81" s="2443"/>
      <c r="H81" s="2466"/>
      <c r="I81" s="2467">
        <v>67.290000000000006</v>
      </c>
      <c r="J81" s="2467">
        <v>70.7</v>
      </c>
      <c r="K81" s="2467">
        <v>62.67</v>
      </c>
      <c r="L81" s="2467">
        <v>48.650000000000006</v>
      </c>
      <c r="M81" s="2467">
        <v>41.7</v>
      </c>
      <c r="N81" s="2467">
        <v>41.085039152555076</v>
      </c>
      <c r="O81" s="2467">
        <v>60.560966838432989</v>
      </c>
      <c r="P81" s="2467">
        <v>93.47245323419348</v>
      </c>
      <c r="Q81" s="2467">
        <v>173.4754530955488</v>
      </c>
      <c r="R81" s="2467">
        <v>92.035332679024464</v>
      </c>
      <c r="S81" s="2467">
        <v>210.06</v>
      </c>
      <c r="T81" s="2467">
        <v>200</v>
      </c>
      <c r="U81" s="2468">
        <v>285.63538512376999</v>
      </c>
      <c r="V81" s="2468">
        <v>196.66470376775041</v>
      </c>
      <c r="W81" s="2468">
        <v>171.22500000000005</v>
      </c>
      <c r="X81" s="2468">
        <v>234.51730418943535</v>
      </c>
      <c r="Y81" s="2456">
        <v>337.05042794714655</v>
      </c>
      <c r="Z81" s="2456">
        <v>299.89999999999998</v>
      </c>
      <c r="AA81" s="2456">
        <v>190</v>
      </c>
      <c r="AB81" s="2456">
        <v>189.7065008928451</v>
      </c>
      <c r="AC81" s="2456">
        <v>244.50650089284514</v>
      </c>
      <c r="AD81" s="3142">
        <v>260.22586970684239</v>
      </c>
      <c r="AE81" s="3142">
        <v>284.62491194684236</v>
      </c>
      <c r="AF81" s="3142">
        <v>379.60275521611425</v>
      </c>
      <c r="AG81" s="3142">
        <v>321.80388100000005</v>
      </c>
      <c r="AH81" s="3142">
        <v>397.6</v>
      </c>
      <c r="AI81" s="3607">
        <v>383.04947054244599</v>
      </c>
      <c r="AJ81" s="3142">
        <v>337.29977341227595</v>
      </c>
      <c r="AK81" s="3142">
        <v>337.29977341227595</v>
      </c>
      <c r="AL81" s="3142">
        <v>293.52835108489199</v>
      </c>
      <c r="AM81" s="3142">
        <v>293.52835108489199</v>
      </c>
      <c r="AN81" s="3142">
        <v>293.52835108489199</v>
      </c>
      <c r="AO81" s="3142">
        <v>293.52835108489199</v>
      </c>
      <c r="AP81" s="2606">
        <v>293.52835108489199</v>
      </c>
      <c r="AQ81" s="2606">
        <v>293.52835108489199</v>
      </c>
      <c r="AR81" s="2606">
        <v>293.52835108489199</v>
      </c>
      <c r="AS81" s="2606">
        <v>293.52835108489199</v>
      </c>
      <c r="AT81" s="2606">
        <v>293.52835108489199</v>
      </c>
    </row>
    <row r="82" spans="1:46">
      <c r="A82" s="304"/>
      <c r="D82" s="2450" t="s">
        <v>641</v>
      </c>
      <c r="E82" s="2974"/>
      <c r="F82" s="2443"/>
      <c r="G82" s="2443"/>
      <c r="H82" s="2443"/>
      <c r="I82" s="2443"/>
      <c r="J82" s="2443"/>
      <c r="K82" s="2443"/>
      <c r="L82" s="2443"/>
      <c r="M82" s="2443"/>
      <c r="N82" s="2443"/>
      <c r="O82" s="2443"/>
      <c r="P82" s="2443"/>
      <c r="Q82" s="2443"/>
      <c r="R82" s="2443"/>
      <c r="S82" s="2443"/>
      <c r="T82" s="2443"/>
      <c r="U82" s="2443"/>
      <c r="V82" s="2443"/>
      <c r="W82" s="2443"/>
      <c r="X82" s="2443"/>
      <c r="Y82" s="2448"/>
      <c r="Z82" s="2448">
        <v>163.69999999999999</v>
      </c>
      <c r="AA82" s="2448">
        <v>101.1</v>
      </c>
      <c r="AB82" s="2448">
        <v>90.2</v>
      </c>
      <c r="AC82" s="2448">
        <v>99.506500892845111</v>
      </c>
      <c r="AD82" s="2454">
        <v>119.40000000000002</v>
      </c>
      <c r="AE82" s="2454">
        <v>140.82586970684235</v>
      </c>
      <c r="AF82" s="2454">
        <v>159.54049176000001</v>
      </c>
      <c r="AG82" s="2454">
        <v>150.04066900000001</v>
      </c>
      <c r="AH82" s="2454">
        <v>204.7</v>
      </c>
      <c r="AI82" s="3604">
        <v>209.3</v>
      </c>
      <c r="AJ82" s="3139">
        <v>146.764175542446</v>
      </c>
      <c r="AK82" s="3139">
        <v>190.53559786982999</v>
      </c>
      <c r="AL82" s="3139">
        <v>146.764175542446</v>
      </c>
      <c r="AM82" s="3139">
        <v>146.764175542446</v>
      </c>
      <c r="AN82" s="3139">
        <v>146.764175542446</v>
      </c>
      <c r="AO82" s="3139">
        <v>146.764175542446</v>
      </c>
      <c r="AP82" s="2455">
        <v>146.764175542446</v>
      </c>
      <c r="AQ82" s="2455">
        <v>146.764175542446</v>
      </c>
      <c r="AR82" s="2455">
        <v>146.764175542446</v>
      </c>
      <c r="AS82" s="2455">
        <v>146.764175542446</v>
      </c>
      <c r="AT82" s="2455">
        <v>146.764175542446</v>
      </c>
    </row>
    <row r="83" spans="1:46">
      <c r="A83" s="304"/>
      <c r="D83" s="2450" t="s">
        <v>908</v>
      </c>
      <c r="E83" s="2974"/>
      <c r="F83" s="2443"/>
      <c r="G83" s="2443"/>
      <c r="H83" s="2469"/>
      <c r="I83" s="2443"/>
      <c r="J83" s="2443"/>
      <c r="K83" s="2443"/>
      <c r="L83" s="2443"/>
      <c r="M83" s="2443"/>
      <c r="N83" s="2443"/>
      <c r="O83" s="2443"/>
      <c r="P83" s="2443"/>
      <c r="Q83" s="2443"/>
      <c r="R83" s="2443"/>
      <c r="S83" s="2443"/>
      <c r="T83" s="2443"/>
      <c r="U83" s="2443"/>
      <c r="V83" s="2443"/>
      <c r="W83" s="2443"/>
      <c r="X83" s="2443"/>
      <c r="Y83" s="2454"/>
      <c r="Z83" s="2454"/>
      <c r="AA83" s="2454"/>
      <c r="AB83" s="2454"/>
      <c r="AC83" s="2454"/>
      <c r="AD83" s="2454">
        <v>0</v>
      </c>
      <c r="AE83" s="2454">
        <v>0</v>
      </c>
      <c r="AF83" s="2454">
        <v>0</v>
      </c>
      <c r="AG83" s="2454">
        <v>0</v>
      </c>
      <c r="AH83" s="2454">
        <v>149.6</v>
      </c>
      <c r="AI83" s="3604">
        <v>135</v>
      </c>
      <c r="AJ83" s="2470">
        <v>96.132087771222999</v>
      </c>
      <c r="AK83" s="2470">
        <v>96.132087771222999</v>
      </c>
      <c r="AL83" s="2470">
        <v>96.132087771222999</v>
      </c>
      <c r="AM83" s="2470">
        <v>96.132087771222999</v>
      </c>
      <c r="AN83" s="2470">
        <v>96.132087771222999</v>
      </c>
      <c r="AO83" s="2470">
        <v>96.132087771222999</v>
      </c>
      <c r="AP83" s="2455">
        <v>96.132087771222999</v>
      </c>
      <c r="AQ83" s="2455">
        <v>96.132087771222999</v>
      </c>
      <c r="AR83" s="2455">
        <v>96.132087771222999</v>
      </c>
      <c r="AS83" s="2455">
        <v>96.132087771222999</v>
      </c>
      <c r="AT83" s="2455">
        <v>96.132087771222999</v>
      </c>
    </row>
    <row r="84" spans="1:46">
      <c r="A84" s="304"/>
      <c r="D84" s="2450" t="s">
        <v>909</v>
      </c>
      <c r="E84" s="2974"/>
      <c r="F84" s="2443"/>
      <c r="G84" s="2443"/>
      <c r="H84" s="2469"/>
      <c r="I84" s="358"/>
      <c r="J84" s="358"/>
      <c r="K84" s="358"/>
      <c r="L84" s="358"/>
      <c r="M84" s="358"/>
      <c r="N84" s="358"/>
      <c r="O84" s="358"/>
      <c r="P84" s="358"/>
      <c r="Q84" s="358"/>
      <c r="R84" s="358"/>
      <c r="S84" s="358"/>
      <c r="T84" s="358"/>
      <c r="U84" s="358"/>
      <c r="V84" s="358"/>
      <c r="W84" s="358"/>
      <c r="X84" s="358"/>
      <c r="Y84" s="2454"/>
      <c r="Z84" s="2454">
        <v>163.69999999999999</v>
      </c>
      <c r="AA84" s="2454">
        <v>101.1</v>
      </c>
      <c r="AB84" s="2454">
        <v>90.2</v>
      </c>
      <c r="AC84" s="2454">
        <v>99.506500892845111</v>
      </c>
      <c r="AD84" s="2454">
        <v>119.40000000000002</v>
      </c>
      <c r="AE84" s="2454">
        <v>140.82586970684235</v>
      </c>
      <c r="AF84" s="2454">
        <v>159.54049176000001</v>
      </c>
      <c r="AG84" s="2454">
        <v>150.04066900000001</v>
      </c>
      <c r="AH84" s="2454">
        <v>55.1</v>
      </c>
      <c r="AI84" s="3604">
        <v>74.3</v>
      </c>
      <c r="AJ84" s="2470">
        <v>50.632087771222999</v>
      </c>
      <c r="AK84" s="2470">
        <v>94.403510098606986</v>
      </c>
      <c r="AL84" s="2470">
        <v>50.632087771222999</v>
      </c>
      <c r="AM84" s="2470">
        <v>50.632087771222999</v>
      </c>
      <c r="AN84" s="2470">
        <v>50.632087771222999</v>
      </c>
      <c r="AO84" s="2470">
        <v>50.632087771222999</v>
      </c>
      <c r="AP84" s="2455">
        <v>50.632087771222999</v>
      </c>
      <c r="AQ84" s="2455">
        <v>50.632087771222999</v>
      </c>
      <c r="AR84" s="2455">
        <v>50.632087771222999</v>
      </c>
      <c r="AS84" s="2455">
        <v>50.632087771222999</v>
      </c>
      <c r="AT84" s="2455">
        <v>50.632087771222999</v>
      </c>
    </row>
    <row r="85" spans="1:46">
      <c r="A85" s="304"/>
      <c r="D85" s="2451" t="s">
        <v>952</v>
      </c>
      <c r="E85" s="2974"/>
      <c r="F85" s="2443"/>
      <c r="G85" s="2443"/>
      <c r="H85" s="2469"/>
      <c r="I85" s="358"/>
      <c r="J85" s="358"/>
      <c r="K85" s="358"/>
      <c r="L85" s="358"/>
      <c r="M85" s="358"/>
      <c r="N85" s="358"/>
      <c r="O85" s="358"/>
      <c r="P85" s="358"/>
      <c r="Q85" s="358"/>
      <c r="R85" s="358"/>
      <c r="S85" s="358"/>
      <c r="T85" s="358"/>
      <c r="U85" s="358"/>
      <c r="V85" s="358"/>
      <c r="W85" s="358"/>
      <c r="X85" s="358"/>
      <c r="Y85" s="2454"/>
      <c r="Z85" s="2454"/>
      <c r="AA85" s="2454"/>
      <c r="AB85" s="2454"/>
      <c r="AC85" s="2454"/>
      <c r="AD85" s="2454"/>
      <c r="AE85" s="2454"/>
      <c r="AF85" s="2454">
        <v>3.7581959999999999</v>
      </c>
      <c r="AG85" s="2454">
        <v>15</v>
      </c>
      <c r="AH85" s="2454"/>
      <c r="AI85" s="3604"/>
      <c r="AJ85" s="2454"/>
      <c r="AK85" s="2454"/>
      <c r="AL85" s="2454"/>
      <c r="AM85" s="2454"/>
      <c r="AN85" s="2454"/>
      <c r="AO85" s="2454"/>
      <c r="AP85" s="2455"/>
      <c r="AQ85" s="2455"/>
      <c r="AR85" s="2455"/>
      <c r="AS85" s="2455"/>
      <c r="AT85" s="2455"/>
    </row>
    <row r="86" spans="1:46">
      <c r="A86" s="304"/>
      <c r="D86" s="2450"/>
      <c r="E86" s="2974"/>
      <c r="F86" s="2443"/>
      <c r="G86" s="2443"/>
      <c r="H86" s="2469"/>
      <c r="I86" s="358"/>
      <c r="J86" s="358"/>
      <c r="K86" s="358"/>
      <c r="L86" s="358"/>
      <c r="M86" s="358"/>
      <c r="N86" s="358"/>
      <c r="O86" s="358"/>
      <c r="P86" s="358"/>
      <c r="Q86" s="358"/>
      <c r="R86" s="358"/>
      <c r="S86" s="358"/>
      <c r="T86" s="358"/>
      <c r="U86" s="358"/>
      <c r="V86" s="358"/>
      <c r="W86" s="358"/>
      <c r="X86" s="358"/>
      <c r="Y86" s="2454"/>
      <c r="Z86" s="2454"/>
      <c r="AA86" s="2454"/>
      <c r="AB86" s="2454"/>
      <c r="AC86" s="2454"/>
      <c r="AD86" s="2454"/>
      <c r="AE86" s="2454"/>
      <c r="AF86" s="2454"/>
      <c r="AG86" s="2454"/>
      <c r="AH86" s="2454"/>
      <c r="AI86" s="3604"/>
      <c r="AJ86" s="2454"/>
      <c r="AK86" s="2454"/>
      <c r="AL86" s="2454"/>
      <c r="AM86" s="2454"/>
      <c r="AN86" s="2454"/>
      <c r="AO86" s="2454"/>
      <c r="AP86" s="2455"/>
      <c r="AQ86" s="2455"/>
      <c r="AR86" s="2455"/>
      <c r="AS86" s="2455"/>
      <c r="AT86" s="2455"/>
    </row>
    <row r="87" spans="1:46">
      <c r="A87" s="304"/>
      <c r="D87" s="2450" t="s">
        <v>642</v>
      </c>
      <c r="E87" s="2974"/>
      <c r="F87" s="2443"/>
      <c r="G87" s="2443"/>
      <c r="H87" s="2443"/>
      <c r="I87" s="2443"/>
      <c r="J87" s="2443"/>
      <c r="K87" s="2443"/>
      <c r="L87" s="2443"/>
      <c r="M87" s="2443"/>
      <c r="N87" s="2443"/>
      <c r="O87" s="2443"/>
      <c r="P87" s="2443"/>
      <c r="Q87" s="2443"/>
      <c r="R87" s="2443"/>
      <c r="S87" s="2443"/>
      <c r="T87" s="2443"/>
      <c r="U87" s="2443"/>
      <c r="V87" s="2443"/>
      <c r="W87" s="2443"/>
      <c r="X87" s="2443"/>
      <c r="Y87" s="2448"/>
      <c r="Z87" s="2448">
        <v>136.19999999999999</v>
      </c>
      <c r="AA87" s="2448">
        <v>88.9</v>
      </c>
      <c r="AB87" s="2448">
        <v>99.506500892845111</v>
      </c>
      <c r="AC87" s="2448">
        <v>145.00000000000003</v>
      </c>
      <c r="AD87" s="2454">
        <v>140.82586970684235</v>
      </c>
      <c r="AE87" s="2454">
        <v>143.79904224000001</v>
      </c>
      <c r="AF87" s="2454">
        <v>220.06226345611421</v>
      </c>
      <c r="AG87" s="2454">
        <v>171.76321200000001</v>
      </c>
      <c r="AH87" s="2454">
        <v>192.9</v>
      </c>
      <c r="AI87" s="3604">
        <v>173.74947054244598</v>
      </c>
      <c r="AJ87" s="3139">
        <v>190.53559786982999</v>
      </c>
      <c r="AK87" s="3139">
        <v>146.764175542446</v>
      </c>
      <c r="AL87" s="3139">
        <v>146.764175542446</v>
      </c>
      <c r="AM87" s="3139">
        <v>146.764175542446</v>
      </c>
      <c r="AN87" s="3139">
        <v>146.764175542446</v>
      </c>
      <c r="AO87" s="3139">
        <v>146.764175542446</v>
      </c>
      <c r="AP87" s="2455">
        <v>146.764175542446</v>
      </c>
      <c r="AQ87" s="2455">
        <v>146.764175542446</v>
      </c>
      <c r="AR87" s="2455">
        <v>146.764175542446</v>
      </c>
      <c r="AS87" s="2455">
        <v>146.764175542446</v>
      </c>
      <c r="AT87" s="2455">
        <v>146.764175542446</v>
      </c>
    </row>
    <row r="88" spans="1:46">
      <c r="A88" s="304"/>
      <c r="D88" s="2450" t="s">
        <v>908</v>
      </c>
      <c r="E88" s="2974"/>
      <c r="F88" s="2443"/>
      <c r="G88" s="2443"/>
      <c r="H88" s="2469"/>
      <c r="I88" s="2443"/>
      <c r="J88" s="2443"/>
      <c r="K88" s="2443"/>
      <c r="L88" s="2443"/>
      <c r="M88" s="2443"/>
      <c r="N88" s="2443"/>
      <c r="O88" s="2443"/>
      <c r="P88" s="2443"/>
      <c r="Q88" s="2443"/>
      <c r="R88" s="2443"/>
      <c r="S88" s="2443"/>
      <c r="T88" s="2443"/>
      <c r="U88" s="2443"/>
      <c r="V88" s="2443"/>
      <c r="W88" s="2443"/>
      <c r="X88" s="2443"/>
      <c r="Y88" s="2454"/>
      <c r="Z88" s="2454"/>
      <c r="AA88" s="2454"/>
      <c r="AB88" s="2454"/>
      <c r="AC88" s="2454"/>
      <c r="AD88" s="2454">
        <v>0</v>
      </c>
      <c r="AE88" s="2454">
        <v>0</v>
      </c>
      <c r="AF88" s="2454">
        <v>0</v>
      </c>
      <c r="AG88" s="2454">
        <v>82</v>
      </c>
      <c r="AH88" s="2454">
        <v>118.7</v>
      </c>
      <c r="AI88" s="3604">
        <v>109.632087771223</v>
      </c>
      <c r="AJ88" s="2470">
        <v>96.132087771222999</v>
      </c>
      <c r="AK88" s="2470">
        <v>96.132087771222999</v>
      </c>
      <c r="AL88" s="2470">
        <v>96.132087771222999</v>
      </c>
      <c r="AM88" s="2470">
        <v>96.132087771222999</v>
      </c>
      <c r="AN88" s="2470">
        <v>96.132087771222999</v>
      </c>
      <c r="AO88" s="2470">
        <v>96.132087771222999</v>
      </c>
      <c r="AP88" s="2455">
        <v>96.132087771222999</v>
      </c>
      <c r="AQ88" s="2455">
        <v>96.132087771222999</v>
      </c>
      <c r="AR88" s="2455">
        <v>96.132087771222999</v>
      </c>
      <c r="AS88" s="2455">
        <v>96.132087771222999</v>
      </c>
      <c r="AT88" s="2455">
        <v>96.132087771222999</v>
      </c>
    </row>
    <row r="89" spans="1:46">
      <c r="A89" s="304"/>
      <c r="D89" s="2450" t="s">
        <v>909</v>
      </c>
      <c r="E89" s="2974"/>
      <c r="F89" s="2443"/>
      <c r="G89" s="2443"/>
      <c r="H89" s="2469"/>
      <c r="I89" s="2443"/>
      <c r="J89" s="2443"/>
      <c r="K89" s="2443"/>
      <c r="L89" s="2443"/>
      <c r="M89" s="2443"/>
      <c r="N89" s="2443"/>
      <c r="O89" s="2443"/>
      <c r="P89" s="2443"/>
      <c r="Q89" s="2443"/>
      <c r="R89" s="2443"/>
      <c r="S89" s="2443"/>
      <c r="T89" s="2443"/>
      <c r="U89" s="2443"/>
      <c r="V89" s="2443"/>
      <c r="W89" s="2443"/>
      <c r="X89" s="2443"/>
      <c r="Y89" s="2454"/>
      <c r="Z89" s="2454">
        <v>136.19999999999999</v>
      </c>
      <c r="AA89" s="2454">
        <v>88.9</v>
      </c>
      <c r="AB89" s="2454">
        <v>99.506500892845111</v>
      </c>
      <c r="AC89" s="2454">
        <v>145.00000000000003</v>
      </c>
      <c r="AD89" s="2454">
        <v>140.82586970684235</v>
      </c>
      <c r="AE89" s="2454">
        <v>143.79904224000001</v>
      </c>
      <c r="AF89" s="2454">
        <v>220.06226345611421</v>
      </c>
      <c r="AG89" s="2454">
        <v>89.763211999999996</v>
      </c>
      <c r="AH89" s="2454">
        <v>74.2</v>
      </c>
      <c r="AI89" s="3604">
        <v>64.117382771222992</v>
      </c>
      <c r="AJ89" s="2470">
        <v>94.403510098606986</v>
      </c>
      <c r="AK89" s="2470">
        <v>50.632087771222999</v>
      </c>
      <c r="AL89" s="2470">
        <v>50.632087771222999</v>
      </c>
      <c r="AM89" s="2470">
        <v>50.632087771222999</v>
      </c>
      <c r="AN89" s="2470">
        <v>50.632087771222999</v>
      </c>
      <c r="AO89" s="2470">
        <v>50.632087771222999</v>
      </c>
      <c r="AP89" s="2455">
        <v>50.632087771222999</v>
      </c>
      <c r="AQ89" s="2455">
        <v>50.632087771222999</v>
      </c>
      <c r="AR89" s="2455">
        <v>50.632087771222999</v>
      </c>
      <c r="AS89" s="2455">
        <v>50.632087771222999</v>
      </c>
      <c r="AT89" s="2455">
        <v>50.632087771222999</v>
      </c>
    </row>
    <row r="90" spans="1:46">
      <c r="A90" s="304"/>
      <c r="D90" s="2451" t="s">
        <v>952</v>
      </c>
      <c r="E90" s="2974"/>
      <c r="F90" s="2443"/>
      <c r="G90" s="2443"/>
      <c r="H90" s="2469"/>
      <c r="I90" s="2443"/>
      <c r="J90" s="2443"/>
      <c r="K90" s="2443"/>
      <c r="L90" s="2443"/>
      <c r="M90" s="2443"/>
      <c r="N90" s="2443"/>
      <c r="O90" s="2443"/>
      <c r="P90" s="2443"/>
      <c r="Q90" s="2443"/>
      <c r="R90" s="2443"/>
      <c r="S90" s="2443"/>
      <c r="T90" s="2443"/>
      <c r="U90" s="2443"/>
      <c r="V90" s="2443"/>
      <c r="W90" s="2443"/>
      <c r="X90" s="2443"/>
      <c r="Y90" s="2454"/>
      <c r="Z90" s="2454"/>
      <c r="AA90" s="2454"/>
      <c r="AB90" s="2454"/>
      <c r="AC90" s="2454"/>
      <c r="AD90" s="2454"/>
      <c r="AE90" s="2454"/>
      <c r="AF90" s="2454">
        <v>85.021594456114201</v>
      </c>
      <c r="AG90" s="2454"/>
      <c r="AH90" s="2454"/>
      <c r="AI90" s="3604"/>
      <c r="AJ90" s="2454"/>
      <c r="AK90" s="2454"/>
      <c r="AL90" s="2454"/>
      <c r="AM90" s="2454"/>
      <c r="AN90" s="2454"/>
      <c r="AO90" s="2454"/>
      <c r="AP90" s="2455"/>
      <c r="AQ90" s="2455"/>
      <c r="AR90" s="2455"/>
      <c r="AS90" s="2455"/>
      <c r="AT90" s="2455"/>
    </row>
    <row r="91" spans="1:46">
      <c r="A91" s="304"/>
      <c r="D91" s="2450"/>
      <c r="E91" s="2974"/>
      <c r="F91" s="2443"/>
      <c r="G91" s="2443"/>
      <c r="H91" s="2471"/>
      <c r="I91" s="2472"/>
      <c r="J91" s="2472"/>
      <c r="K91" s="2472"/>
      <c r="L91" s="2472"/>
      <c r="M91" s="2472"/>
      <c r="N91" s="2472"/>
      <c r="O91" s="2472"/>
      <c r="P91" s="2472"/>
      <c r="Q91" s="2472"/>
      <c r="R91" s="2472"/>
      <c r="S91" s="2472"/>
      <c r="T91" s="2472"/>
      <c r="U91" s="2472"/>
      <c r="V91" s="2472"/>
      <c r="W91" s="2472"/>
      <c r="X91" s="2472"/>
      <c r="Y91" s="2448"/>
      <c r="Z91" s="2448"/>
      <c r="AA91" s="2448"/>
      <c r="AB91" s="2448"/>
      <c r="AC91" s="2448"/>
      <c r="AD91" s="2454"/>
      <c r="AE91" s="2454"/>
      <c r="AF91" s="2454"/>
      <c r="AG91" s="2454"/>
      <c r="AH91" s="2454"/>
      <c r="AI91" s="3604"/>
      <c r="AJ91" s="2454"/>
      <c r="AK91" s="2454"/>
      <c r="AL91" s="2454"/>
      <c r="AM91" s="2454"/>
      <c r="AN91" s="2454"/>
      <c r="AO91" s="2454"/>
      <c r="AP91" s="2455"/>
      <c r="AQ91" s="2455"/>
      <c r="AR91" s="2455"/>
      <c r="AS91" s="2455"/>
      <c r="AT91" s="2455"/>
    </row>
    <row r="92" spans="1:46">
      <c r="A92" s="304"/>
      <c r="D92" s="2445" t="s">
        <v>1555</v>
      </c>
      <c r="E92" s="2974"/>
      <c r="F92" s="2443"/>
      <c r="G92" s="2443"/>
      <c r="H92" s="2443"/>
      <c r="I92" s="2446">
        <v>11.11</v>
      </c>
      <c r="J92" s="2446">
        <v>44.7</v>
      </c>
      <c r="K92" s="2446">
        <v>102.6</v>
      </c>
      <c r="L92" s="2446">
        <v>78.2</v>
      </c>
      <c r="M92" s="2446">
        <v>83.41</v>
      </c>
      <c r="N92" s="2446">
        <v>89.42</v>
      </c>
      <c r="O92" s="2446">
        <v>163.07999999999998</v>
      </c>
      <c r="P92" s="2446">
        <v>200.11795501</v>
      </c>
      <c r="Q92" s="2446">
        <v>128.35198775999999</v>
      </c>
      <c r="R92" s="2446">
        <v>259.27449473672294</v>
      </c>
      <c r="S92" s="2446">
        <v>339.76</v>
      </c>
      <c r="T92" s="2446">
        <v>415.83635679346759</v>
      </c>
      <c r="U92" s="2447">
        <v>402.91773147620796</v>
      </c>
      <c r="V92" s="2447">
        <v>545.72030421138993</v>
      </c>
      <c r="W92" s="2447">
        <v>343.32065754690097</v>
      </c>
      <c r="X92" s="2447">
        <v>468.82099999999997</v>
      </c>
      <c r="Y92" s="2449">
        <v>276.88646037000001</v>
      </c>
      <c r="Z92" s="2449">
        <v>218.97307069166828</v>
      </c>
      <c r="AA92" s="2449">
        <v>234.62480401081805</v>
      </c>
      <c r="AB92" s="2449">
        <v>253.30383447999998</v>
      </c>
      <c r="AC92" s="2449">
        <v>93.558754190000002</v>
      </c>
      <c r="AD92" s="3137">
        <v>166.387925</v>
      </c>
      <c r="AE92" s="3137">
        <v>187.46990300480002</v>
      </c>
      <c r="AF92" s="3137">
        <v>266.45961888871886</v>
      </c>
      <c r="AG92" s="3137">
        <v>411.72971467999992</v>
      </c>
      <c r="AH92" s="3137">
        <v>281.02025793799999</v>
      </c>
      <c r="AI92" s="3603">
        <v>207.12339478124099</v>
      </c>
      <c r="AJ92" s="3137">
        <v>86.571310928175436</v>
      </c>
      <c r="AK92" s="3137">
        <v>80.963174171232851</v>
      </c>
      <c r="AL92" s="3137">
        <v>113.61857470836227</v>
      </c>
      <c r="AM92" s="3137">
        <v>151.04122365779699</v>
      </c>
      <c r="AN92" s="3137">
        <v>135.04122365779699</v>
      </c>
      <c r="AO92" s="3137">
        <v>135.5206118288985</v>
      </c>
      <c r="AP92" s="2604">
        <v>156.04122365779699</v>
      </c>
      <c r="AQ92" s="2604">
        <v>160.79122365779699</v>
      </c>
      <c r="AR92" s="2604">
        <v>157.72872365779699</v>
      </c>
      <c r="AS92" s="2604">
        <v>159.02559865779699</v>
      </c>
      <c r="AT92" s="2604">
        <v>158.70919240779699</v>
      </c>
    </row>
    <row r="93" spans="1:46">
      <c r="A93" s="304"/>
      <c r="D93" s="2450" t="s">
        <v>641</v>
      </c>
      <c r="E93" s="2974"/>
      <c r="F93" s="2443"/>
      <c r="G93" s="2443"/>
      <c r="H93" s="2443"/>
      <c r="I93" s="2443"/>
      <c r="J93" s="2443"/>
      <c r="K93" s="2443"/>
      <c r="L93" s="2443"/>
      <c r="M93" s="2443"/>
      <c r="N93" s="2443"/>
      <c r="O93" s="2443"/>
      <c r="P93" s="2443"/>
      <c r="Q93" s="2443"/>
      <c r="R93" s="2443"/>
      <c r="S93" s="2443"/>
      <c r="T93" s="2443"/>
      <c r="U93" s="2443"/>
      <c r="V93" s="2443"/>
      <c r="W93" s="2443"/>
      <c r="X93" s="2443"/>
      <c r="Y93" s="2448"/>
      <c r="Z93" s="2448">
        <v>81.353717709999998</v>
      </c>
      <c r="AA93" s="2448">
        <v>122.90516680081805</v>
      </c>
      <c r="AB93" s="2448">
        <v>115.530135</v>
      </c>
      <c r="AC93" s="2448">
        <v>93.558754190000002</v>
      </c>
      <c r="AD93" s="2454">
        <v>65.502488999999997</v>
      </c>
      <c r="AE93" s="2454">
        <v>81.600000000000009</v>
      </c>
      <c r="AF93" s="2454">
        <v>149.20318337</v>
      </c>
      <c r="AG93" s="2454">
        <v>329.21766964999995</v>
      </c>
      <c r="AH93" s="2454">
        <v>198.98325256000001</v>
      </c>
      <c r="AI93" s="3604">
        <v>118.66739314</v>
      </c>
      <c r="AJ93" s="3139">
        <v>43.976099636406367</v>
      </c>
      <c r="AK93" s="3139">
        <v>21.097962879463779</v>
      </c>
      <c r="AL93" s="3139">
        <v>44.097962879463779</v>
      </c>
      <c r="AM93" s="3139">
        <v>68.520611828898495</v>
      </c>
      <c r="AN93" s="3139">
        <v>66.520611828898495</v>
      </c>
      <c r="AO93" s="3139">
        <v>95.520611828898495</v>
      </c>
      <c r="AP93" s="2455">
        <v>87.520611828898495</v>
      </c>
      <c r="AQ93" s="2455">
        <v>92.270611828898495</v>
      </c>
      <c r="AR93" s="2455">
        <v>89.208111828898495</v>
      </c>
      <c r="AS93" s="2455">
        <v>90.504986828898495</v>
      </c>
      <c r="AT93" s="2455">
        <v>90.188580578898495</v>
      </c>
    </row>
    <row r="94" spans="1:46">
      <c r="A94" s="304"/>
      <c r="D94" s="2450" t="s">
        <v>908</v>
      </c>
      <c r="E94" s="2974"/>
      <c r="F94" s="2443"/>
      <c r="G94" s="2443"/>
      <c r="H94" s="2469"/>
      <c r="I94" s="2443"/>
      <c r="J94" s="2443"/>
      <c r="K94" s="2443"/>
      <c r="L94" s="2443"/>
      <c r="M94" s="2443"/>
      <c r="N94" s="2443"/>
      <c r="O94" s="2443"/>
      <c r="P94" s="2443"/>
      <c r="Q94" s="2443"/>
      <c r="R94" s="2443"/>
      <c r="S94" s="2443"/>
      <c r="T94" s="2443"/>
      <c r="U94" s="2443"/>
      <c r="V94" s="2443"/>
      <c r="W94" s="2443"/>
      <c r="X94" s="2443"/>
      <c r="Y94" s="2454"/>
      <c r="Z94" s="2454"/>
      <c r="AA94" s="2454"/>
      <c r="AB94" s="2454"/>
      <c r="AC94" s="2454">
        <v>8.4</v>
      </c>
      <c r="AD94" s="2454">
        <v>8.4</v>
      </c>
      <c r="AE94" s="2454">
        <v>8.4</v>
      </c>
      <c r="AF94" s="2454">
        <v>4.122541</v>
      </c>
      <c r="AG94" s="2454">
        <v>174.71050403999999</v>
      </c>
      <c r="AH94" s="2454">
        <v>125.79620364</v>
      </c>
      <c r="AI94" s="3604">
        <v>63.498606179999996</v>
      </c>
      <c r="AJ94" s="2473">
        <v>0</v>
      </c>
      <c r="AK94" s="2473">
        <v>0</v>
      </c>
      <c r="AL94" s="2473">
        <v>0</v>
      </c>
      <c r="AM94" s="2473">
        <v>0</v>
      </c>
      <c r="AN94" s="2473">
        <v>0</v>
      </c>
      <c r="AO94" s="2473">
        <v>0</v>
      </c>
      <c r="AP94" s="2474">
        <v>0</v>
      </c>
      <c r="AQ94" s="2474">
        <v>0</v>
      </c>
      <c r="AR94" s="2474">
        <v>0</v>
      </c>
      <c r="AS94" s="2474">
        <v>0</v>
      </c>
      <c r="AT94" s="2474">
        <v>0</v>
      </c>
    </row>
    <row r="95" spans="1:46">
      <c r="A95" s="304"/>
      <c r="D95" s="2450"/>
      <c r="E95" s="2974"/>
      <c r="F95" s="2443"/>
      <c r="G95" s="2443"/>
      <c r="H95" s="2443"/>
      <c r="I95" s="2443"/>
      <c r="J95" s="2443"/>
      <c r="K95" s="2443"/>
      <c r="L95" s="2443"/>
      <c r="M95" s="2443"/>
      <c r="N95" s="2443"/>
      <c r="O95" s="2443"/>
      <c r="P95" s="2443"/>
      <c r="Q95" s="2443"/>
      <c r="R95" s="2443"/>
      <c r="S95" s="2443"/>
      <c r="T95" s="2443"/>
      <c r="U95" s="2443"/>
      <c r="V95" s="2443"/>
      <c r="W95" s="2443"/>
      <c r="X95" s="2443"/>
      <c r="Y95" s="2173"/>
      <c r="Z95" s="2173"/>
      <c r="AA95" s="2173"/>
      <c r="AB95" s="2173"/>
      <c r="AC95" s="2173"/>
      <c r="AD95" s="3144"/>
      <c r="AE95" s="3144"/>
      <c r="AF95" s="3144"/>
      <c r="AG95" s="3144"/>
      <c r="AH95" s="3144"/>
      <c r="AI95" s="3610"/>
      <c r="AJ95" s="3144"/>
      <c r="AK95" s="3144"/>
      <c r="AL95" s="3144"/>
      <c r="AM95" s="3144"/>
      <c r="AN95" s="3144"/>
      <c r="AO95" s="3144"/>
      <c r="AP95" s="2455"/>
      <c r="AQ95" s="2455"/>
      <c r="AR95" s="2455"/>
      <c r="AS95" s="2455"/>
      <c r="AT95" s="2455"/>
    </row>
    <row r="96" spans="1:46">
      <c r="A96" s="304"/>
      <c r="D96" s="2450" t="s">
        <v>909</v>
      </c>
      <c r="E96" s="2974"/>
      <c r="F96" s="2443"/>
      <c r="G96" s="2443"/>
      <c r="H96" s="2469"/>
      <c r="I96" s="358"/>
      <c r="J96" s="358"/>
      <c r="K96" s="358"/>
      <c r="L96" s="358"/>
      <c r="M96" s="358"/>
      <c r="N96" s="358"/>
      <c r="O96" s="358"/>
      <c r="P96" s="358"/>
      <c r="Q96" s="358"/>
      <c r="R96" s="358"/>
      <c r="S96" s="358"/>
      <c r="T96" s="358"/>
      <c r="U96" s="358"/>
      <c r="V96" s="358"/>
      <c r="W96" s="358"/>
      <c r="X96" s="358"/>
      <c r="Y96" s="2454"/>
      <c r="Z96" s="2454"/>
      <c r="AA96" s="2454"/>
      <c r="AB96" s="2454"/>
      <c r="AC96" s="2454">
        <v>85.158754189999996</v>
      </c>
      <c r="AD96" s="2454">
        <v>57.102488999999998</v>
      </c>
      <c r="AE96" s="2454">
        <v>73.2</v>
      </c>
      <c r="AF96" s="2454">
        <v>145.08064236999999</v>
      </c>
      <c r="AG96" s="2454">
        <v>154.50716560999999</v>
      </c>
      <c r="AH96" s="2454">
        <v>73.187048920000009</v>
      </c>
      <c r="AI96" s="3604">
        <v>55.168786960000006</v>
      </c>
      <c r="AJ96" s="2473">
        <v>43.976099636406367</v>
      </c>
      <c r="AK96" s="2473">
        <v>21.097962879463779</v>
      </c>
      <c r="AL96" s="2473">
        <v>24.097962879463779</v>
      </c>
      <c r="AM96" s="2473">
        <v>38.520611828898495</v>
      </c>
      <c r="AN96" s="2473">
        <v>36.520611828898488</v>
      </c>
      <c r="AO96" s="2473">
        <v>45.520611828898495</v>
      </c>
      <c r="AP96" s="2474">
        <v>47.520611828898495</v>
      </c>
      <c r="AQ96" s="2474">
        <v>47.270611828898488</v>
      </c>
      <c r="AR96" s="2474">
        <v>46.708111828898495</v>
      </c>
      <c r="AS96" s="2474">
        <v>46.754986828898495</v>
      </c>
      <c r="AT96" s="2474">
        <v>47.063580578898495</v>
      </c>
    </row>
    <row r="97" spans="1:46">
      <c r="A97" s="304"/>
      <c r="D97" s="2475" t="s">
        <v>910</v>
      </c>
      <c r="E97" s="2974"/>
      <c r="F97" s="2443"/>
      <c r="G97" s="2443"/>
      <c r="H97" s="2443"/>
      <c r="I97" s="2443"/>
      <c r="J97" s="2443"/>
      <c r="K97" s="2443"/>
      <c r="L97" s="2443"/>
      <c r="M97" s="2443"/>
      <c r="N97" s="2443"/>
      <c r="O97" s="2443"/>
      <c r="P97" s="2443"/>
      <c r="Q97" s="2443"/>
      <c r="R97" s="2443"/>
      <c r="S97" s="2443"/>
      <c r="T97" s="2443"/>
      <c r="U97" s="2443"/>
      <c r="V97" s="2443"/>
      <c r="W97" s="2443"/>
      <c r="X97" s="2444"/>
      <c r="Y97" s="2476"/>
      <c r="Z97" s="2476">
        <v>50.381146000000001</v>
      </c>
      <c r="AA97" s="2476">
        <v>38.037735849999997</v>
      </c>
      <c r="AB97" s="2476">
        <v>34.040134999999999</v>
      </c>
      <c r="AC97" s="2476">
        <v>39.15065336</v>
      </c>
      <c r="AD97" s="2476">
        <v>51.633848999999998</v>
      </c>
      <c r="AE97" s="2476">
        <v>32.691671999999997</v>
      </c>
      <c r="AF97" s="2476">
        <v>25.550632710000002</v>
      </c>
      <c r="AG97" s="2476">
        <v>28.095688029999998</v>
      </c>
      <c r="AH97" s="2476">
        <v>33.517831000000001</v>
      </c>
      <c r="AI97" s="3612">
        <v>21.165306620000003</v>
      </c>
      <c r="AJ97" s="2477">
        <v>21.165306620000003</v>
      </c>
      <c r="AK97" s="2476">
        <v>14.097962879463779</v>
      </c>
      <c r="AL97" s="2476">
        <v>14.097962879463779</v>
      </c>
      <c r="AM97" s="2476">
        <v>28.520611828898488</v>
      </c>
      <c r="AN97" s="2476">
        <v>28.520611828898488</v>
      </c>
      <c r="AO97" s="2476">
        <v>28.520611828898488</v>
      </c>
      <c r="AP97" s="2455">
        <v>0</v>
      </c>
      <c r="AQ97" s="2455">
        <v>0</v>
      </c>
      <c r="AR97" s="2455">
        <v>0</v>
      </c>
      <c r="AS97" s="2455">
        <v>0</v>
      </c>
      <c r="AT97" s="2455">
        <v>0</v>
      </c>
    </row>
    <row r="98" spans="1:46">
      <c r="A98" s="304"/>
      <c r="D98" s="2478" t="s">
        <v>911</v>
      </c>
      <c r="E98" s="2974"/>
      <c r="F98" s="2443"/>
      <c r="G98" s="2443"/>
      <c r="H98" s="2443"/>
      <c r="I98" s="2443"/>
      <c r="J98" s="2443"/>
      <c r="K98" s="2443"/>
      <c r="L98" s="2443"/>
      <c r="M98" s="2443"/>
      <c r="N98" s="2443"/>
      <c r="O98" s="2443"/>
      <c r="P98" s="2443"/>
      <c r="Q98" s="2443"/>
      <c r="R98" s="2443"/>
      <c r="S98" s="2443"/>
      <c r="T98" s="2443"/>
      <c r="U98" s="2443"/>
      <c r="V98" s="2443"/>
      <c r="W98" s="2443"/>
      <c r="X98" s="2444"/>
      <c r="Y98" s="2476"/>
      <c r="Z98" s="2476"/>
      <c r="AA98" s="2476"/>
      <c r="AB98" s="2476"/>
      <c r="AC98" s="2476"/>
      <c r="AD98" s="2476"/>
      <c r="AE98" s="2476"/>
      <c r="AF98" s="2476">
        <v>76.068161000000003</v>
      </c>
      <c r="AG98" s="2476">
        <v>120.08401958</v>
      </c>
      <c r="AH98" s="2476">
        <v>0.9</v>
      </c>
      <c r="AI98" s="3612">
        <v>8.3199819900000005</v>
      </c>
      <c r="AJ98" s="2476">
        <v>8.3199819900000005</v>
      </c>
      <c r="AK98" s="2476">
        <v>0</v>
      </c>
      <c r="AL98" s="2476">
        <v>0</v>
      </c>
      <c r="AM98" s="2476">
        <v>0</v>
      </c>
      <c r="AN98" s="2476">
        <v>0</v>
      </c>
      <c r="AO98" s="2476">
        <v>0</v>
      </c>
      <c r="AP98" s="2455">
        <v>0</v>
      </c>
      <c r="AQ98" s="2455">
        <v>0</v>
      </c>
      <c r="AR98" s="2455">
        <v>0</v>
      </c>
      <c r="AS98" s="2455">
        <v>0</v>
      </c>
      <c r="AT98" s="2455">
        <v>0</v>
      </c>
    </row>
    <row r="99" spans="1:46">
      <c r="A99" s="304"/>
      <c r="D99" s="2462" t="s">
        <v>1556</v>
      </c>
      <c r="E99" s="2974"/>
      <c r="F99" s="2443"/>
      <c r="G99" s="2443"/>
      <c r="H99" s="2443"/>
      <c r="I99" s="2171"/>
      <c r="J99" s="2171"/>
      <c r="K99" s="2171"/>
      <c r="L99" s="2171"/>
      <c r="M99" s="2171"/>
      <c r="N99" s="2171"/>
      <c r="O99" s="2171"/>
      <c r="P99" s="2171"/>
      <c r="Q99" s="2171"/>
      <c r="R99" s="2171"/>
      <c r="S99" s="2171"/>
      <c r="T99" s="2171"/>
      <c r="U99" s="2171"/>
      <c r="V99" s="2171"/>
      <c r="W99" s="2171"/>
      <c r="X99" s="2172"/>
      <c r="Y99" s="2175"/>
      <c r="Z99" s="2175">
        <v>0</v>
      </c>
      <c r="AA99" s="2175">
        <v>0</v>
      </c>
      <c r="AB99" s="2175">
        <v>0</v>
      </c>
      <c r="AC99" s="2175">
        <v>0</v>
      </c>
      <c r="AD99" s="2175">
        <v>0</v>
      </c>
      <c r="AE99" s="2175"/>
      <c r="AF99" s="2175"/>
      <c r="AG99" s="2175"/>
      <c r="AH99" s="2175"/>
      <c r="AI99" s="3609"/>
      <c r="AJ99" s="2175">
        <v>0</v>
      </c>
      <c r="AK99" s="2175">
        <v>0</v>
      </c>
      <c r="AL99" s="2175">
        <v>20</v>
      </c>
      <c r="AM99" s="2175">
        <v>30</v>
      </c>
      <c r="AN99" s="2175">
        <v>30</v>
      </c>
      <c r="AO99" s="2175">
        <v>50</v>
      </c>
      <c r="AP99" s="2463">
        <v>40</v>
      </c>
      <c r="AQ99" s="2463">
        <v>45</v>
      </c>
      <c r="AR99" s="2463">
        <v>42.5</v>
      </c>
      <c r="AS99" s="2463">
        <v>43.75</v>
      </c>
      <c r="AT99" s="2463">
        <v>43.125</v>
      </c>
    </row>
    <row r="100" spans="1:46">
      <c r="A100" s="304"/>
      <c r="D100" s="2450"/>
      <c r="E100" s="2974"/>
      <c r="F100" s="2443"/>
      <c r="G100" s="2443"/>
      <c r="H100" s="2443"/>
      <c r="I100" s="2443"/>
      <c r="J100" s="2443"/>
      <c r="K100" s="2443"/>
      <c r="L100" s="2443"/>
      <c r="M100" s="2443"/>
      <c r="N100" s="2443"/>
      <c r="O100" s="2443"/>
      <c r="P100" s="2443"/>
      <c r="Q100" s="2443"/>
      <c r="R100" s="2443"/>
      <c r="S100" s="2443"/>
      <c r="T100" s="2443"/>
      <c r="U100" s="2443"/>
      <c r="V100" s="2443"/>
      <c r="W100" s="2443"/>
      <c r="X100" s="2444"/>
      <c r="Y100" s="2465"/>
      <c r="Z100" s="2465"/>
      <c r="AA100" s="2465"/>
      <c r="AB100" s="2465"/>
      <c r="AC100" s="2465"/>
      <c r="AD100" s="3146"/>
      <c r="AE100" s="3146"/>
      <c r="AF100" s="3146"/>
      <c r="AG100" s="3146"/>
      <c r="AH100" s="3146"/>
      <c r="AI100" s="3611"/>
      <c r="AJ100" s="3146"/>
      <c r="AK100" s="3146"/>
      <c r="AL100" s="3146"/>
      <c r="AM100" s="3146"/>
      <c r="AN100" s="3146"/>
      <c r="AO100" s="3146"/>
      <c r="AP100" s="2455"/>
      <c r="AQ100" s="2455"/>
      <c r="AR100" s="2455"/>
      <c r="AS100" s="2455"/>
      <c r="AT100" s="2455"/>
    </row>
    <row r="101" spans="1:46">
      <c r="A101" s="304"/>
      <c r="D101" s="2450" t="s">
        <v>642</v>
      </c>
      <c r="E101" s="2974"/>
      <c r="F101" s="2443"/>
      <c r="G101" s="2443"/>
      <c r="H101" s="2443"/>
      <c r="I101" s="2443"/>
      <c r="J101" s="2443"/>
      <c r="K101" s="2443"/>
      <c r="L101" s="2443"/>
      <c r="M101" s="2443"/>
      <c r="N101" s="2443"/>
      <c r="O101" s="2443"/>
      <c r="P101" s="2443"/>
      <c r="Q101" s="2443"/>
      <c r="R101" s="2443"/>
      <c r="S101" s="2443"/>
      <c r="T101" s="2443"/>
      <c r="U101" s="2443"/>
      <c r="V101" s="2443"/>
      <c r="W101" s="2443"/>
      <c r="X101" s="2443"/>
      <c r="Y101" s="2448"/>
      <c r="Z101" s="2448">
        <v>137.6193529816683</v>
      </c>
      <c r="AA101" s="2448">
        <v>111.71963721</v>
      </c>
      <c r="AB101" s="2448">
        <v>137.77369947999998</v>
      </c>
      <c r="AC101" s="2448">
        <v>0</v>
      </c>
      <c r="AD101" s="2454">
        <v>100.885436</v>
      </c>
      <c r="AE101" s="2454">
        <v>105.86990300479999</v>
      </c>
      <c r="AF101" s="2454">
        <v>117.25643551871889</v>
      </c>
      <c r="AG101" s="2454">
        <v>82.512045029999996</v>
      </c>
      <c r="AH101" s="2454">
        <v>82.037005378000003</v>
      </c>
      <c r="AI101" s="3604">
        <v>88.456001641240988</v>
      </c>
      <c r="AJ101" s="3139">
        <v>42.595211291769068</v>
      </c>
      <c r="AK101" s="3139">
        <v>59.865211291769064</v>
      </c>
      <c r="AL101" s="3139">
        <v>69.520611828898495</v>
      </c>
      <c r="AM101" s="3139">
        <v>82.520611828898495</v>
      </c>
      <c r="AN101" s="3139">
        <v>68.520611828898495</v>
      </c>
      <c r="AO101" s="3139">
        <v>40</v>
      </c>
      <c r="AP101" s="2455">
        <v>68.520611828898495</v>
      </c>
      <c r="AQ101" s="2455">
        <v>68.520611828898495</v>
      </c>
      <c r="AR101" s="2455">
        <v>68.520611828898495</v>
      </c>
      <c r="AS101" s="2455">
        <v>68.520611828898495</v>
      </c>
      <c r="AT101" s="2455">
        <v>68.520611828898495</v>
      </c>
    </row>
    <row r="102" spans="1:46">
      <c r="A102" s="304"/>
      <c r="D102" s="2450" t="s">
        <v>908</v>
      </c>
      <c r="E102" s="2974"/>
      <c r="F102" s="2443"/>
      <c r="G102" s="2443"/>
      <c r="H102" s="2469"/>
      <c r="I102" s="2443"/>
      <c r="J102" s="2443"/>
      <c r="K102" s="2443"/>
      <c r="L102" s="2443"/>
      <c r="M102" s="2443"/>
      <c r="N102" s="2443"/>
      <c r="O102" s="2443"/>
      <c r="P102" s="2443"/>
      <c r="Q102" s="2443"/>
      <c r="R102" s="2443"/>
      <c r="S102" s="2443"/>
      <c r="T102" s="2443"/>
      <c r="U102" s="2443"/>
      <c r="V102" s="2443"/>
      <c r="W102" s="2443"/>
      <c r="X102" s="2443"/>
      <c r="Y102" s="2454"/>
      <c r="Z102" s="2454"/>
      <c r="AA102" s="2454"/>
      <c r="AB102" s="2454"/>
      <c r="AC102" s="2454"/>
      <c r="AD102" s="2454">
        <v>19.28</v>
      </c>
      <c r="AE102" s="2454">
        <v>5.1026580347999992</v>
      </c>
      <c r="AF102" s="2454">
        <v>35.623042779999999</v>
      </c>
      <c r="AG102" s="2454">
        <v>17.286341010000001</v>
      </c>
      <c r="AH102" s="2454">
        <v>18.557606738</v>
      </c>
      <c r="AI102" s="3604">
        <v>26.102441079999998</v>
      </c>
      <c r="AJ102" s="2479">
        <v>0</v>
      </c>
      <c r="AK102" s="2479">
        <v>0</v>
      </c>
      <c r="AL102" s="2479">
        <v>0</v>
      </c>
      <c r="AM102" s="2479">
        <v>0</v>
      </c>
      <c r="AN102" s="2479">
        <v>0</v>
      </c>
      <c r="AO102" s="2479">
        <v>0</v>
      </c>
      <c r="AP102" s="2474">
        <v>0</v>
      </c>
      <c r="AQ102" s="2474">
        <v>0</v>
      </c>
      <c r="AR102" s="2474">
        <v>0</v>
      </c>
      <c r="AS102" s="2474">
        <v>0</v>
      </c>
      <c r="AT102" s="2474">
        <v>0</v>
      </c>
    </row>
    <row r="103" spans="1:46">
      <c r="A103" s="304"/>
      <c r="D103" s="2450"/>
      <c r="E103" s="2974"/>
      <c r="F103" s="2443"/>
      <c r="G103" s="2443"/>
      <c r="H103" s="2443"/>
      <c r="I103" s="2443"/>
      <c r="J103" s="2443"/>
      <c r="K103" s="2443"/>
      <c r="L103" s="2443"/>
      <c r="M103" s="2443"/>
      <c r="N103" s="2443"/>
      <c r="O103" s="2443"/>
      <c r="P103" s="2443"/>
      <c r="Q103" s="2443"/>
      <c r="R103" s="2443"/>
      <c r="S103" s="2443"/>
      <c r="T103" s="2443"/>
      <c r="U103" s="2443"/>
      <c r="V103" s="2443"/>
      <c r="W103" s="2443"/>
      <c r="X103" s="2443"/>
      <c r="Y103" s="2173"/>
      <c r="Z103" s="2173"/>
      <c r="AA103" s="2173"/>
      <c r="AB103" s="2173"/>
      <c r="AC103" s="2173"/>
      <c r="AD103" s="3144"/>
      <c r="AE103" s="3144"/>
      <c r="AF103" s="3144"/>
      <c r="AG103" s="3144"/>
      <c r="AH103" s="3144"/>
      <c r="AI103" s="3610"/>
      <c r="AJ103" s="3144"/>
      <c r="AK103" s="3144"/>
      <c r="AL103" s="3144"/>
      <c r="AM103" s="3144"/>
      <c r="AN103" s="3144"/>
      <c r="AO103" s="3144"/>
      <c r="AP103" s="2455"/>
      <c r="AQ103" s="2455"/>
      <c r="AR103" s="2455"/>
      <c r="AS103" s="2455"/>
      <c r="AT103" s="2455"/>
    </row>
    <row r="104" spans="1:46">
      <c r="A104" s="304"/>
      <c r="D104" s="2450" t="s">
        <v>909</v>
      </c>
      <c r="E104" s="2974"/>
      <c r="F104" s="2443"/>
      <c r="G104" s="2443"/>
      <c r="H104" s="2469"/>
      <c r="I104" s="358"/>
      <c r="J104" s="358"/>
      <c r="K104" s="358"/>
      <c r="L104" s="358"/>
      <c r="M104" s="358"/>
      <c r="N104" s="358"/>
      <c r="O104" s="358"/>
      <c r="P104" s="358"/>
      <c r="Q104" s="358"/>
      <c r="R104" s="358"/>
      <c r="S104" s="358"/>
      <c r="T104" s="358"/>
      <c r="U104" s="358"/>
      <c r="V104" s="358"/>
      <c r="W104" s="358"/>
      <c r="X104" s="358"/>
      <c r="Y104" s="2454"/>
      <c r="Z104" s="2454"/>
      <c r="AA104" s="2454"/>
      <c r="AB104" s="2454"/>
      <c r="AC104" s="2454"/>
      <c r="AD104" s="2454">
        <v>81.605435999999997</v>
      </c>
      <c r="AE104" s="2454">
        <v>100.76724496999999</v>
      </c>
      <c r="AF104" s="2454">
        <v>81.633392738718896</v>
      </c>
      <c r="AG104" s="2454">
        <v>65.225704019999995</v>
      </c>
      <c r="AH104" s="2454">
        <v>63.479398639999999</v>
      </c>
      <c r="AI104" s="3604">
        <v>62.35356056124099</v>
      </c>
      <c r="AJ104" s="2470">
        <v>42.595211291769068</v>
      </c>
      <c r="AK104" s="2470">
        <v>39.865211291769064</v>
      </c>
      <c r="AL104" s="2470">
        <v>39.520611828898495</v>
      </c>
      <c r="AM104" s="2470">
        <v>42.520611828898495</v>
      </c>
      <c r="AN104" s="2470">
        <v>28.520611828898488</v>
      </c>
      <c r="AO104" s="2470">
        <v>0</v>
      </c>
      <c r="AP104" s="2474">
        <v>28.520611828898488</v>
      </c>
      <c r="AQ104" s="2474">
        <v>28.520611828898488</v>
      </c>
      <c r="AR104" s="2474">
        <v>28.520611828898488</v>
      </c>
      <c r="AS104" s="2474">
        <v>28.520611828898488</v>
      </c>
      <c r="AT104" s="2474">
        <v>28.520611828898488</v>
      </c>
    </row>
    <row r="105" spans="1:46">
      <c r="A105" s="304"/>
      <c r="D105" s="2475" t="s">
        <v>910</v>
      </c>
      <c r="E105" s="2974"/>
      <c r="F105" s="2443"/>
      <c r="G105" s="2443"/>
      <c r="H105" s="2443"/>
      <c r="I105" s="2443"/>
      <c r="J105" s="2443"/>
      <c r="K105" s="2443"/>
      <c r="L105" s="2443"/>
      <c r="M105" s="2443"/>
      <c r="N105" s="2443"/>
      <c r="O105" s="2443"/>
      <c r="P105" s="2443"/>
      <c r="Q105" s="2443"/>
      <c r="R105" s="2443"/>
      <c r="S105" s="2443"/>
      <c r="T105" s="2443"/>
      <c r="U105" s="2443"/>
      <c r="V105" s="2443"/>
      <c r="W105" s="2443"/>
      <c r="X105" s="2444"/>
      <c r="Y105" s="2476"/>
      <c r="Z105" s="2476">
        <v>55.499079000000002</v>
      </c>
      <c r="AA105" s="2476">
        <v>32.02984721</v>
      </c>
      <c r="AB105" s="2476">
        <v>44.102846529999972</v>
      </c>
      <c r="AC105" s="2476">
        <v>34.4</v>
      </c>
      <c r="AD105" s="2476">
        <v>34.505436000000003</v>
      </c>
      <c r="AE105" s="2476">
        <v>47.627397170000002</v>
      </c>
      <c r="AF105" s="2476">
        <v>81.633392738718896</v>
      </c>
      <c r="AG105" s="2476">
        <v>43.086162020000003</v>
      </c>
      <c r="AH105" s="2476">
        <v>48.363949250000005</v>
      </c>
      <c r="AI105" s="3612">
        <v>40.159830098823683</v>
      </c>
      <c r="AJ105" s="2476">
        <v>40.159830098823683</v>
      </c>
      <c r="AK105" s="2476">
        <v>30.865211291769064</v>
      </c>
      <c r="AL105" s="2476">
        <v>28.520611828898488</v>
      </c>
      <c r="AM105" s="2476">
        <v>28.520611828898488</v>
      </c>
      <c r="AN105" s="2476">
        <v>28.520611828898488</v>
      </c>
      <c r="AO105" s="2476">
        <v>0</v>
      </c>
      <c r="AP105" s="2455">
        <v>0</v>
      </c>
      <c r="AQ105" s="2455">
        <v>0</v>
      </c>
      <c r="AR105" s="2455">
        <v>0</v>
      </c>
      <c r="AS105" s="2455">
        <v>0</v>
      </c>
      <c r="AT105" s="2455">
        <v>0</v>
      </c>
    </row>
    <row r="106" spans="1:46">
      <c r="A106" s="304"/>
      <c r="D106" s="2478" t="s">
        <v>911</v>
      </c>
      <c r="E106" s="2974"/>
      <c r="F106" s="2443"/>
      <c r="G106" s="2443"/>
      <c r="H106" s="2443"/>
      <c r="I106" s="2443"/>
      <c r="J106" s="2443"/>
      <c r="K106" s="2443"/>
      <c r="L106" s="2443"/>
      <c r="M106" s="2443"/>
      <c r="N106" s="2443"/>
      <c r="O106" s="2443"/>
      <c r="P106" s="2443"/>
      <c r="Q106" s="2443"/>
      <c r="R106" s="2443"/>
      <c r="S106" s="2443"/>
      <c r="T106" s="2443"/>
      <c r="U106" s="2443"/>
      <c r="V106" s="2443"/>
      <c r="W106" s="2443"/>
      <c r="X106" s="2444"/>
      <c r="Y106" s="2476"/>
      <c r="Z106" s="2476"/>
      <c r="AA106" s="2476"/>
      <c r="AB106" s="2476"/>
      <c r="AC106" s="2476"/>
      <c r="AD106" s="2476"/>
      <c r="AE106" s="2476">
        <v>37.737883799999999</v>
      </c>
      <c r="AF106" s="2476">
        <v>0</v>
      </c>
      <c r="AG106" s="2476">
        <v>8.8795419999999989</v>
      </c>
      <c r="AH106" s="2476">
        <v>8.9054483899999983</v>
      </c>
      <c r="AI106" s="3612">
        <v>0</v>
      </c>
      <c r="AJ106" s="2476">
        <v>0</v>
      </c>
      <c r="AK106" s="2476">
        <v>0</v>
      </c>
      <c r="AL106" s="2476">
        <v>0</v>
      </c>
      <c r="AM106" s="2476">
        <v>0</v>
      </c>
      <c r="AN106" s="2476">
        <v>0</v>
      </c>
      <c r="AO106" s="2476">
        <v>0</v>
      </c>
      <c r="AP106" s="2455">
        <v>0</v>
      </c>
      <c r="AQ106" s="2455">
        <v>0</v>
      </c>
      <c r="AR106" s="2455">
        <v>0</v>
      </c>
      <c r="AS106" s="2455">
        <v>0</v>
      </c>
      <c r="AT106" s="2455">
        <v>0</v>
      </c>
    </row>
    <row r="107" spans="1:46">
      <c r="A107" s="304"/>
      <c r="D107" s="2462" t="s">
        <v>1556</v>
      </c>
      <c r="E107" s="2974"/>
      <c r="F107" s="2443"/>
      <c r="G107" s="2443"/>
      <c r="H107" s="2443"/>
      <c r="I107" s="2171"/>
      <c r="J107" s="2171"/>
      <c r="K107" s="2171"/>
      <c r="L107" s="2171"/>
      <c r="M107" s="2171"/>
      <c r="N107" s="2171"/>
      <c r="O107" s="2171"/>
      <c r="P107" s="2171"/>
      <c r="Q107" s="2171"/>
      <c r="R107" s="2171"/>
      <c r="S107" s="2171"/>
      <c r="T107" s="2171"/>
      <c r="U107" s="2171"/>
      <c r="V107" s="2171"/>
      <c r="W107" s="2171"/>
      <c r="X107" s="2172"/>
      <c r="Y107" s="2175"/>
      <c r="Z107" s="2175">
        <v>0</v>
      </c>
      <c r="AA107" s="2175">
        <v>0</v>
      </c>
      <c r="AB107" s="2175">
        <v>0</v>
      </c>
      <c r="AC107" s="2175">
        <v>0</v>
      </c>
      <c r="AD107" s="2175">
        <v>0</v>
      </c>
      <c r="AE107" s="2175"/>
      <c r="AF107" s="2175"/>
      <c r="AG107" s="2175"/>
      <c r="AH107" s="2175"/>
      <c r="AI107" s="3609"/>
      <c r="AJ107" s="2175">
        <v>0</v>
      </c>
      <c r="AK107" s="2175">
        <v>20</v>
      </c>
      <c r="AL107" s="2175">
        <v>30</v>
      </c>
      <c r="AM107" s="2175">
        <v>40</v>
      </c>
      <c r="AN107" s="2175">
        <v>40</v>
      </c>
      <c r="AO107" s="2175">
        <v>40</v>
      </c>
      <c r="AP107" s="2463">
        <v>40</v>
      </c>
      <c r="AQ107" s="2463">
        <v>40</v>
      </c>
      <c r="AR107" s="2463">
        <v>40</v>
      </c>
      <c r="AS107" s="2463">
        <v>40</v>
      </c>
      <c r="AT107" s="2463">
        <v>40</v>
      </c>
    </row>
    <row r="108" spans="1:46">
      <c r="A108" s="304"/>
      <c r="D108" s="2480" t="s">
        <v>643</v>
      </c>
      <c r="E108" s="2974"/>
      <c r="F108" s="2443"/>
      <c r="G108" s="2443"/>
      <c r="H108" s="2443"/>
      <c r="I108" s="2443"/>
      <c r="J108" s="2443"/>
      <c r="K108" s="2443"/>
      <c r="L108" s="2443"/>
      <c r="M108" s="2443"/>
      <c r="N108" s="2443"/>
      <c r="O108" s="2443"/>
      <c r="P108" s="2443"/>
      <c r="Q108" s="2443"/>
      <c r="R108" s="2443"/>
      <c r="S108" s="2443"/>
      <c r="T108" s="2443"/>
      <c r="U108" s="2443"/>
      <c r="V108" s="2443"/>
      <c r="W108" s="2443"/>
      <c r="X108" s="2443"/>
      <c r="Y108" s="2443"/>
      <c r="Z108" s="2443"/>
      <c r="AA108" s="2443"/>
      <c r="AB108" s="2443"/>
      <c r="AC108" s="2443"/>
      <c r="AD108" s="3147"/>
      <c r="AE108" s="3147"/>
      <c r="AF108" s="3147"/>
      <c r="AG108" s="3147"/>
      <c r="AH108" s="3147"/>
      <c r="AI108" s="3613"/>
      <c r="AJ108" s="3147"/>
      <c r="AK108" s="3147"/>
      <c r="AL108" s="3147"/>
      <c r="AM108" s="3147"/>
      <c r="AN108" s="3147"/>
      <c r="AO108" s="3147"/>
      <c r="AP108" s="2455"/>
      <c r="AQ108" s="2455"/>
      <c r="AR108" s="2455"/>
      <c r="AS108" s="2455"/>
      <c r="AT108" s="2455"/>
    </row>
    <row r="109" spans="1:46">
      <c r="A109" s="304"/>
      <c r="D109" s="1524"/>
      <c r="E109" s="1338"/>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684"/>
      <c r="AE109" s="1684"/>
      <c r="AF109" s="1684"/>
      <c r="AG109" s="1684"/>
      <c r="AH109" s="1684"/>
      <c r="AI109" s="1684"/>
      <c r="AJ109" s="1684"/>
      <c r="AK109" s="1684"/>
      <c r="AL109" s="1684"/>
      <c r="AM109" s="1684"/>
      <c r="AN109" s="1684"/>
      <c r="AO109" s="1684"/>
    </row>
    <row r="110" spans="1:46">
      <c r="A110" s="304"/>
      <c r="D110" s="1525" t="s">
        <v>1256</v>
      </c>
      <c r="I110" s="2"/>
      <c r="J110" s="2"/>
      <c r="K110" s="2"/>
      <c r="L110" s="2"/>
      <c r="M110" s="2"/>
      <c r="N110" s="2"/>
      <c r="O110" s="2"/>
      <c r="P110" s="2"/>
      <c r="Q110" s="2"/>
      <c r="R110" s="2"/>
      <c r="S110" s="2"/>
      <c r="T110" s="2"/>
      <c r="U110" s="2"/>
      <c r="V110" s="2"/>
      <c r="W110" s="2"/>
      <c r="Y110" s="2"/>
      <c r="AA110" s="2"/>
      <c r="AB110" s="2"/>
      <c r="AC110"/>
      <c r="AD110" s="2"/>
      <c r="AE110" s="2"/>
      <c r="AF110" s="2"/>
      <c r="AH110" s="2"/>
      <c r="AI110" s="2"/>
      <c r="AJ110" s="2"/>
    </row>
    <row r="111" spans="1:46">
      <c r="A111" s="304"/>
      <c r="D111" s="677" t="s">
        <v>6</v>
      </c>
      <c r="E111" s="3311">
        <f ca="1">TODAY()</f>
        <v>46074</v>
      </c>
      <c r="I111" s="2"/>
      <c r="J111" s="2"/>
      <c r="K111" s="2"/>
      <c r="L111" s="2"/>
      <c r="M111" s="2"/>
      <c r="N111" s="2"/>
      <c r="O111" s="2"/>
      <c r="P111" s="2"/>
      <c r="Q111" s="2"/>
      <c r="R111" s="2"/>
      <c r="S111" s="2"/>
      <c r="T111" s="2"/>
      <c r="U111" s="2"/>
      <c r="V111" s="297"/>
      <c r="W111" s="820"/>
      <c r="X111" s="820"/>
      <c r="Y111" s="820"/>
      <c r="Z111" s="820"/>
      <c r="AA111" s="820"/>
      <c r="AB111" s="820"/>
      <c r="AC111" s="820"/>
      <c r="AD111" s="820"/>
      <c r="AE111" s="820"/>
      <c r="AF111" s="820"/>
      <c r="AG111" s="820"/>
      <c r="AH111" s="820"/>
      <c r="AI111" s="820"/>
      <c r="AJ111" s="820"/>
      <c r="AK111" s="820"/>
    </row>
    <row r="112" spans="1:46">
      <c r="A112" s="304"/>
      <c r="D112" s="2430" t="s">
        <v>1543</v>
      </c>
      <c r="E112" s="2976"/>
      <c r="F112" s="2431">
        <v>1995</v>
      </c>
      <c r="G112" s="2431">
        <v>1996</v>
      </c>
      <c r="H112" s="2431">
        <v>1997</v>
      </c>
      <c r="I112" s="2431">
        <v>1998</v>
      </c>
      <c r="J112" s="2431">
        <v>1999</v>
      </c>
      <c r="K112" s="2431">
        <v>2000</v>
      </c>
      <c r="L112" s="2431">
        <v>2001</v>
      </c>
      <c r="M112" s="2431">
        <v>2002</v>
      </c>
      <c r="N112" s="2431">
        <v>2003</v>
      </c>
      <c r="O112" s="2431">
        <v>2004</v>
      </c>
      <c r="P112" s="2431">
        <v>2005</v>
      </c>
      <c r="Q112" s="2431">
        <v>2006</v>
      </c>
      <c r="R112" s="2431">
        <v>2007</v>
      </c>
      <c r="S112" s="2431">
        <v>2008</v>
      </c>
      <c r="T112" s="2431">
        <v>2009</v>
      </c>
      <c r="U112" s="2431">
        <v>2010</v>
      </c>
      <c r="V112" s="2431">
        <v>2011</v>
      </c>
      <c r="W112" s="2431">
        <v>2012</v>
      </c>
      <c r="X112" s="2431">
        <v>2013</v>
      </c>
      <c r="Y112" s="2431">
        <v>2014</v>
      </c>
      <c r="Z112" s="2432">
        <v>2015</v>
      </c>
      <c r="AA112" s="2432">
        <v>2016</v>
      </c>
      <c r="AB112" s="2432">
        <v>2017</v>
      </c>
      <c r="AC112" s="2432">
        <v>2018</v>
      </c>
      <c r="AD112" s="2432">
        <v>2019</v>
      </c>
      <c r="AE112" s="2432">
        <v>2020</v>
      </c>
      <c r="AF112" s="2432">
        <v>2021</v>
      </c>
      <c r="AG112" s="2432">
        <v>2022</v>
      </c>
      <c r="AH112" s="2432">
        <v>2023</v>
      </c>
      <c r="AI112" s="3614">
        <v>2024</v>
      </c>
      <c r="AJ112" s="2432">
        <v>2025</v>
      </c>
      <c r="AK112" s="2432">
        <v>2026</v>
      </c>
      <c r="AL112" s="2432">
        <v>2027</v>
      </c>
      <c r="AM112" s="2432">
        <v>2028</v>
      </c>
      <c r="AN112" s="2432">
        <v>2029</v>
      </c>
      <c r="AO112" s="2432">
        <v>2030</v>
      </c>
      <c r="AP112" s="2432">
        <v>2031</v>
      </c>
      <c r="AQ112" s="2432">
        <v>2032</v>
      </c>
      <c r="AR112" s="2432">
        <v>2033</v>
      </c>
      <c r="AS112" s="2432">
        <v>2034</v>
      </c>
      <c r="AT112" s="2432">
        <v>2035</v>
      </c>
    </row>
    <row r="113" spans="1:46">
      <c r="A113" s="304"/>
      <c r="D113" s="2430" t="s">
        <v>172</v>
      </c>
      <c r="E113" s="2977"/>
      <c r="F113" s="2431"/>
      <c r="G113" s="2431"/>
      <c r="H113" s="2431"/>
      <c r="I113" s="2434">
        <v>20.61</v>
      </c>
      <c r="J113" s="2434">
        <v>24.015999999999998</v>
      </c>
      <c r="K113" s="2434">
        <v>22.995999999999999</v>
      </c>
      <c r="L113" s="2434">
        <v>22.896999999999998</v>
      </c>
      <c r="M113" s="2434">
        <v>30.8</v>
      </c>
      <c r="N113" s="2434">
        <v>32.200000000000003</v>
      </c>
      <c r="O113" s="2434">
        <v>37.299999999999997</v>
      </c>
      <c r="P113" s="2434">
        <v>36.299999999999997</v>
      </c>
      <c r="Q113" s="2434">
        <v>22.9</v>
      </c>
      <c r="R113" s="2434">
        <v>8.3000000000000007</v>
      </c>
      <c r="S113" s="2434">
        <v>7.45</v>
      </c>
      <c r="T113" s="2434">
        <v>7.45</v>
      </c>
      <c r="U113" s="2434">
        <v>9.81</v>
      </c>
      <c r="V113" s="2435">
        <v>14.9946760169026</v>
      </c>
      <c r="W113" s="2435">
        <v>17.337852180040802</v>
      </c>
      <c r="X113" s="2435">
        <v>14.4563127565233</v>
      </c>
      <c r="Y113" s="2435">
        <v>20.777599796844399</v>
      </c>
      <c r="Z113" s="2436">
        <v>21.643828818071594</v>
      </c>
      <c r="AA113" s="2436">
        <v>27.255022288474549</v>
      </c>
      <c r="AB113" s="2436">
        <v>27.93125983254329</v>
      </c>
      <c r="AC113" s="2436">
        <v>30.584356460501134</v>
      </c>
      <c r="AD113" s="2436">
        <v>42.041134992949537</v>
      </c>
      <c r="AE113" s="2436">
        <v>110.55921025047813</v>
      </c>
      <c r="AF113" s="2436">
        <v>517.20801018060513</v>
      </c>
      <c r="AG113" s="2436">
        <v>94.79678047544941</v>
      </c>
      <c r="AH113" s="2436">
        <v>155.57942422934116</v>
      </c>
      <c r="AI113" s="3615">
        <v>118.33918976182902</v>
      </c>
      <c r="AJ113" s="2436">
        <v>180.09561786911937</v>
      </c>
      <c r="AK113" s="2436">
        <v>268.04343082764296</v>
      </c>
      <c r="AL113" s="2436">
        <v>345.46338111355595</v>
      </c>
      <c r="AM113" s="2436">
        <v>497.36831090979251</v>
      </c>
      <c r="AN113" s="2436">
        <v>567.27623117925248</v>
      </c>
      <c r="AO113" s="2436">
        <v>606.44686949549293</v>
      </c>
      <c r="AP113" s="2436">
        <v>115.70001006545488</v>
      </c>
      <c r="AQ113" s="2436">
        <v>115.70001006545488</v>
      </c>
      <c r="AR113" s="2436">
        <v>103.63063506545487</v>
      </c>
      <c r="AS113" s="2436">
        <v>32.454019962425001</v>
      </c>
      <c r="AT113" s="2436">
        <v>20.384644962425</v>
      </c>
    </row>
    <row r="114" spans="1:46">
      <c r="A114" s="304"/>
      <c r="D114" s="2433" t="s">
        <v>167</v>
      </c>
      <c r="E114" s="2977"/>
      <c r="F114" s="2431"/>
      <c r="G114" s="2431"/>
      <c r="H114" s="2431"/>
      <c r="I114" s="2434"/>
      <c r="J114" s="2434"/>
      <c r="K114" s="2434"/>
      <c r="L114" s="2434"/>
      <c r="M114" s="2434"/>
      <c r="N114" s="2434"/>
      <c r="O114" s="2434"/>
      <c r="P114" s="2434"/>
      <c r="Q114" s="2434"/>
      <c r="R114" s="2434"/>
      <c r="S114" s="2434"/>
      <c r="T114" s="2434"/>
      <c r="U114" s="2434"/>
      <c r="V114" s="2437"/>
      <c r="W114" s="2437"/>
      <c r="X114" s="2437"/>
      <c r="Y114" s="2437"/>
      <c r="Z114" s="2438">
        <v>4.8517982425348425</v>
      </c>
      <c r="AA114" s="2438">
        <v>5.6771899050611117</v>
      </c>
      <c r="AB114" s="2438">
        <v>6.3085268501358218</v>
      </c>
      <c r="AC114" s="2438">
        <v>6.5639972323022358</v>
      </c>
      <c r="AD114" s="2438">
        <v>7.8831462909904353</v>
      </c>
      <c r="AE114" s="2438">
        <v>33.700800604696191</v>
      </c>
      <c r="AF114" s="2438">
        <v>43.328848745371801</v>
      </c>
      <c r="AG114" s="2438">
        <v>31.838229554479295</v>
      </c>
      <c r="AH114" s="2438">
        <v>32.398282047670612</v>
      </c>
      <c r="AI114" s="3616">
        <v>38.126406776011706</v>
      </c>
      <c r="AJ114" s="2439">
        <v>46.899337887848958</v>
      </c>
      <c r="AK114" s="2439">
        <v>54.42740885690916</v>
      </c>
      <c r="AL114" s="2439">
        <v>69.74057918784429</v>
      </c>
      <c r="AM114" s="2439">
        <v>107.75168244951399</v>
      </c>
      <c r="AN114" s="2439">
        <v>125.70623560497737</v>
      </c>
      <c r="AO114" s="2439">
        <v>139.70708108392591</v>
      </c>
      <c r="AP114" s="2439">
        <v>28.925002516363719</v>
      </c>
      <c r="AQ114" s="2439">
        <v>28.925002516363719</v>
      </c>
      <c r="AR114" s="2439">
        <v>28.925002516363719</v>
      </c>
      <c r="AS114" s="2439">
        <v>11.13084874060625</v>
      </c>
      <c r="AT114" s="2439">
        <v>5.09616124060625</v>
      </c>
    </row>
    <row r="115" spans="1:46">
      <c r="A115" s="304"/>
      <c r="D115" s="2433" t="s">
        <v>1522</v>
      </c>
      <c r="E115" s="2977"/>
      <c r="F115" s="2431"/>
      <c r="G115" s="2431"/>
      <c r="H115" s="2431"/>
      <c r="I115" s="2434"/>
      <c r="J115" s="2434"/>
      <c r="K115" s="2434"/>
      <c r="L115" s="2434"/>
      <c r="M115" s="2434"/>
      <c r="N115" s="2434"/>
      <c r="O115" s="2434"/>
      <c r="P115" s="2434"/>
      <c r="Q115" s="2434"/>
      <c r="R115" s="2434"/>
      <c r="S115" s="2434"/>
      <c r="T115" s="2434"/>
      <c r="U115" s="2434"/>
      <c r="V115" s="2437"/>
      <c r="W115" s="2437"/>
      <c r="X115" s="2437"/>
      <c r="Y115" s="2437"/>
      <c r="Z115" s="2438"/>
      <c r="AA115" s="2438">
        <v>0</v>
      </c>
      <c r="AB115" s="2438">
        <v>0</v>
      </c>
      <c r="AC115" s="2438">
        <v>0</v>
      </c>
      <c r="AD115" s="2438">
        <v>0</v>
      </c>
      <c r="AE115" s="2438">
        <v>10</v>
      </c>
      <c r="AF115" s="2438">
        <v>22.5</v>
      </c>
      <c r="AG115" s="2438">
        <v>0</v>
      </c>
      <c r="AH115" s="2438">
        <v>0</v>
      </c>
      <c r="AI115" s="3617">
        <v>0</v>
      </c>
      <c r="AJ115" s="2438">
        <v>0</v>
      </c>
      <c r="AK115" s="2438">
        <v>0</v>
      </c>
      <c r="AL115" s="2438">
        <v>0</v>
      </c>
      <c r="AM115" s="2438">
        <v>16.855627516363718</v>
      </c>
      <c r="AN115" s="2438">
        <v>16.855627516363718</v>
      </c>
      <c r="AO115" s="2438">
        <v>16.855627516363718</v>
      </c>
      <c r="AP115" s="2438">
        <v>16.855627516363718</v>
      </c>
      <c r="AQ115" s="2438">
        <v>16.855627516363718</v>
      </c>
      <c r="AR115" s="2438">
        <v>16.855627516363718</v>
      </c>
      <c r="AS115" s="2438">
        <v>5.09616124060625</v>
      </c>
      <c r="AT115" s="2438">
        <v>5.09616124060625</v>
      </c>
    </row>
    <row r="116" spans="1:46">
      <c r="A116" s="304"/>
      <c r="D116" s="2433" t="s">
        <v>1523</v>
      </c>
      <c r="E116" s="2977"/>
      <c r="F116" s="2431"/>
      <c r="G116" s="2431"/>
      <c r="H116" s="2431"/>
      <c r="I116" s="2434"/>
      <c r="J116" s="2434"/>
      <c r="K116" s="2434"/>
      <c r="L116" s="2434"/>
      <c r="M116" s="2434"/>
      <c r="N116" s="2434"/>
      <c r="O116" s="2434"/>
      <c r="P116" s="2434"/>
      <c r="Q116" s="2434"/>
      <c r="R116" s="2434"/>
      <c r="S116" s="2434"/>
      <c r="T116" s="2434"/>
      <c r="U116" s="2434"/>
      <c r="V116" s="2437"/>
      <c r="W116" s="2437"/>
      <c r="X116" s="2437"/>
      <c r="Y116" s="2437"/>
      <c r="Z116" s="2438"/>
      <c r="AA116" s="2438">
        <v>0</v>
      </c>
      <c r="AB116" s="2438">
        <v>0</v>
      </c>
      <c r="AC116" s="2438">
        <v>0</v>
      </c>
      <c r="AD116" s="2438">
        <v>0</v>
      </c>
      <c r="AE116" s="2438">
        <v>4.292084796743886</v>
      </c>
      <c r="AF116" s="2438">
        <v>4.639608677369357</v>
      </c>
      <c r="AG116" s="2438">
        <v>5.0152710624258097</v>
      </c>
      <c r="AH116" s="2438">
        <v>0</v>
      </c>
      <c r="AI116" s="3617">
        <v>0</v>
      </c>
      <c r="AJ116" s="2438">
        <v>0</v>
      </c>
      <c r="AK116" s="2438">
        <v>0</v>
      </c>
      <c r="AL116" s="2438">
        <v>0</v>
      </c>
      <c r="AM116" s="2438">
        <v>6.0346875000000004</v>
      </c>
      <c r="AN116" s="2438">
        <v>12.069375000000001</v>
      </c>
      <c r="AO116" s="2438">
        <v>12.069375000000001</v>
      </c>
      <c r="AP116" s="2438">
        <v>12.069375000000001</v>
      </c>
      <c r="AQ116" s="2438">
        <v>12.069375000000001</v>
      </c>
      <c r="AR116" s="2438">
        <v>12.069375000000001</v>
      </c>
      <c r="AS116" s="2438">
        <v>6.0346875000000004</v>
      </c>
      <c r="AT116" s="2438">
        <v>0</v>
      </c>
    </row>
    <row r="117" spans="1:46">
      <c r="A117" s="304"/>
      <c r="D117" s="2433" t="s">
        <v>1524</v>
      </c>
      <c r="E117" s="2977"/>
      <c r="F117" s="2431"/>
      <c r="G117" s="2431"/>
      <c r="H117" s="2431"/>
      <c r="I117" s="2434"/>
      <c r="J117" s="2434"/>
      <c r="K117" s="2434"/>
      <c r="L117" s="2434"/>
      <c r="M117" s="2434"/>
      <c r="N117" s="2434"/>
      <c r="O117" s="2434"/>
      <c r="P117" s="2434"/>
      <c r="Q117" s="2434"/>
      <c r="R117" s="2434"/>
      <c r="S117" s="2434"/>
      <c r="T117" s="2434"/>
      <c r="U117" s="2434"/>
      <c r="V117" s="2437"/>
      <c r="W117" s="2437"/>
      <c r="X117" s="2437"/>
      <c r="Y117" s="2437"/>
      <c r="Z117" s="2438"/>
      <c r="AA117" s="2438">
        <v>0</v>
      </c>
      <c r="AB117" s="2438">
        <v>0</v>
      </c>
      <c r="AC117" s="2438">
        <v>0</v>
      </c>
      <c r="AD117" s="2438">
        <v>0</v>
      </c>
      <c r="AE117" s="2438">
        <v>0</v>
      </c>
      <c r="AF117" s="2438">
        <v>0</v>
      </c>
      <c r="AG117" s="2438">
        <v>0</v>
      </c>
      <c r="AH117" s="2438">
        <v>0</v>
      </c>
      <c r="AI117" s="3617">
        <v>0</v>
      </c>
      <c r="AJ117" s="2438">
        <v>0</v>
      </c>
      <c r="AK117" s="2438">
        <v>0</v>
      </c>
      <c r="AL117" s="2438">
        <v>0</v>
      </c>
      <c r="AM117" s="2438">
        <v>0</v>
      </c>
      <c r="AN117" s="2438">
        <v>0</v>
      </c>
      <c r="AO117" s="2438">
        <v>0</v>
      </c>
      <c r="AP117" s="2438">
        <v>0</v>
      </c>
      <c r="AQ117" s="2438">
        <v>0</v>
      </c>
      <c r="AR117" s="2438">
        <v>0</v>
      </c>
      <c r="AS117" s="2438">
        <v>0</v>
      </c>
      <c r="AT117" s="2438">
        <v>0</v>
      </c>
    </row>
    <row r="118" spans="1:46">
      <c r="A118" s="304"/>
      <c r="D118" s="2433" t="s">
        <v>1525</v>
      </c>
      <c r="E118" s="2977"/>
      <c r="F118" s="2431"/>
      <c r="G118" s="2431"/>
      <c r="H118" s="2431"/>
      <c r="I118" s="2434"/>
      <c r="J118" s="2434"/>
      <c r="K118" s="2434"/>
      <c r="L118" s="2434"/>
      <c r="M118" s="2434"/>
      <c r="N118" s="2434"/>
      <c r="O118" s="2434"/>
      <c r="P118" s="2434"/>
      <c r="Q118" s="2434"/>
      <c r="R118" s="2434"/>
      <c r="S118" s="2434"/>
      <c r="T118" s="2434"/>
      <c r="U118" s="2434"/>
      <c r="V118" s="2437"/>
      <c r="W118" s="2437"/>
      <c r="X118" s="2437"/>
      <c r="Y118" s="2437"/>
      <c r="Z118" s="2438"/>
      <c r="AA118" s="2438"/>
      <c r="AB118" s="2438"/>
      <c r="AC118" s="2438"/>
      <c r="AD118" s="2438"/>
      <c r="AE118" s="2438"/>
      <c r="AF118" s="2438"/>
      <c r="AG118" s="2438"/>
      <c r="AH118" s="2438"/>
      <c r="AI118" s="3617"/>
      <c r="AJ118" s="2438"/>
      <c r="AK118" s="2438"/>
      <c r="AL118" s="2438"/>
      <c r="AM118" s="2438"/>
      <c r="AN118" s="2438"/>
      <c r="AO118" s="2438"/>
      <c r="AP118" s="2438"/>
      <c r="AQ118" s="2438"/>
      <c r="AR118" s="2438"/>
      <c r="AS118" s="2438"/>
      <c r="AT118" s="2438"/>
    </row>
    <row r="119" spans="1:46">
      <c r="A119" s="304"/>
      <c r="D119" s="2433" t="s">
        <v>168</v>
      </c>
      <c r="E119" s="2977"/>
      <c r="F119" s="2431"/>
      <c r="G119" s="2431"/>
      <c r="H119" s="2431"/>
      <c r="I119" s="2434"/>
      <c r="J119" s="2434"/>
      <c r="K119" s="2434"/>
      <c r="L119" s="2434"/>
      <c r="M119" s="2434"/>
      <c r="N119" s="2434"/>
      <c r="O119" s="2434"/>
      <c r="P119" s="2434"/>
      <c r="Q119" s="2434"/>
      <c r="R119" s="2434"/>
      <c r="S119" s="2434"/>
      <c r="T119" s="2434"/>
      <c r="U119" s="2434"/>
      <c r="V119" s="2437"/>
      <c r="W119" s="2437"/>
      <c r="X119" s="2437"/>
      <c r="Y119" s="2437"/>
      <c r="Z119" s="2438">
        <v>6.3993614412218074</v>
      </c>
      <c r="AA119" s="2438">
        <v>7.8034569389108182</v>
      </c>
      <c r="AB119" s="2438">
        <v>7.4412272151358225</v>
      </c>
      <c r="AC119" s="2438">
        <v>8.8919233337008521</v>
      </c>
      <c r="AD119" s="2438">
        <v>7.8831462909904353</v>
      </c>
      <c r="AE119" s="2438">
        <v>20.90837209019805</v>
      </c>
      <c r="AF119" s="2438">
        <v>43.472386638805105</v>
      </c>
      <c r="AG119" s="2438">
        <v>18.533685195302713</v>
      </c>
      <c r="AH119" s="2438">
        <v>77.484805457670547</v>
      </c>
      <c r="AI119" s="3616">
        <v>16.155277246115581</v>
      </c>
      <c r="AJ119" s="2439">
        <v>17.993610945590966</v>
      </c>
      <c r="AK119" s="2439">
        <v>67.999030192242486</v>
      </c>
      <c r="AL119" s="2439">
        <v>90.019702192707456</v>
      </c>
      <c r="AM119" s="2439">
        <v>132.18797507937714</v>
      </c>
      <c r="AN119" s="2439">
        <v>149.44144053784052</v>
      </c>
      <c r="AO119" s="2439">
        <v>172.42917055876586</v>
      </c>
      <c r="AP119" s="2439">
        <v>28.925002516363719</v>
      </c>
      <c r="AQ119" s="2439">
        <v>28.925002516363719</v>
      </c>
      <c r="AR119" s="2439">
        <v>28.925002516363719</v>
      </c>
      <c r="AS119" s="2439">
        <v>11.13084874060625</v>
      </c>
      <c r="AT119" s="2439">
        <v>5.09616124060625</v>
      </c>
    </row>
    <row r="120" spans="1:46">
      <c r="A120" s="304"/>
      <c r="D120" s="2433" t="s">
        <v>1522</v>
      </c>
      <c r="E120" s="2977"/>
      <c r="F120" s="2431"/>
      <c r="G120" s="2431"/>
      <c r="H120" s="2431"/>
      <c r="I120" s="2434"/>
      <c r="J120" s="2434"/>
      <c r="K120" s="2434"/>
      <c r="L120" s="2434"/>
      <c r="M120" s="2434"/>
      <c r="N120" s="2434"/>
      <c r="O120" s="2434"/>
      <c r="P120" s="2434"/>
      <c r="Q120" s="2434"/>
      <c r="R120" s="2434"/>
      <c r="S120" s="2434"/>
      <c r="T120" s="2434"/>
      <c r="U120" s="2434"/>
      <c r="V120" s="2437"/>
      <c r="W120" s="2437"/>
      <c r="X120" s="2437"/>
      <c r="Y120" s="2437"/>
      <c r="Z120" s="2438"/>
      <c r="AA120" s="2438">
        <v>0</v>
      </c>
      <c r="AB120" s="2438">
        <v>0</v>
      </c>
      <c r="AC120" s="2438">
        <v>0</v>
      </c>
      <c r="AD120" s="2438">
        <v>0</v>
      </c>
      <c r="AE120" s="2438">
        <v>10</v>
      </c>
      <c r="AF120" s="2438">
        <v>22.5</v>
      </c>
      <c r="AG120" s="2438">
        <v>0</v>
      </c>
      <c r="AH120" s="2438">
        <v>0</v>
      </c>
      <c r="AI120" s="3617">
        <v>0</v>
      </c>
      <c r="AJ120" s="2438">
        <v>0</v>
      </c>
      <c r="AK120" s="2438">
        <v>0</v>
      </c>
      <c r="AL120" s="2438">
        <v>0</v>
      </c>
      <c r="AM120" s="2438">
        <v>16.855627516363718</v>
      </c>
      <c r="AN120" s="2438">
        <v>16.855627516363718</v>
      </c>
      <c r="AO120" s="2438">
        <v>16.855627516363718</v>
      </c>
      <c r="AP120" s="2438">
        <v>16.855627516363718</v>
      </c>
      <c r="AQ120" s="2438">
        <v>16.855627516363718</v>
      </c>
      <c r="AR120" s="2438">
        <v>16.855627516363718</v>
      </c>
      <c r="AS120" s="2438">
        <v>5.09616124060625</v>
      </c>
      <c r="AT120" s="2438">
        <v>5.09616124060625</v>
      </c>
    </row>
    <row r="121" spans="1:46">
      <c r="A121" s="304"/>
      <c r="D121" s="2433" t="s">
        <v>1523</v>
      </c>
      <c r="E121" s="2977"/>
      <c r="F121" s="2431"/>
      <c r="G121" s="2431"/>
      <c r="H121" s="2431"/>
      <c r="I121" s="2434"/>
      <c r="J121" s="2434"/>
      <c r="K121" s="2434"/>
      <c r="L121" s="2434"/>
      <c r="M121" s="2434"/>
      <c r="N121" s="2434"/>
      <c r="O121" s="2434"/>
      <c r="P121" s="2434"/>
      <c r="Q121" s="2434"/>
      <c r="R121" s="2434"/>
      <c r="S121" s="2434"/>
      <c r="T121" s="2434"/>
      <c r="U121" s="2434"/>
      <c r="V121" s="2437"/>
      <c r="W121" s="2437"/>
      <c r="X121" s="2437"/>
      <c r="Y121" s="2437"/>
      <c r="Z121" s="2438"/>
      <c r="AA121" s="2438">
        <v>0</v>
      </c>
      <c r="AB121" s="2438">
        <v>0</v>
      </c>
      <c r="AC121" s="2438">
        <v>0</v>
      </c>
      <c r="AD121" s="2438">
        <v>0</v>
      </c>
      <c r="AE121" s="2438">
        <v>4.4248711703226062</v>
      </c>
      <c r="AF121" s="2438">
        <v>4.7831465708026588</v>
      </c>
      <c r="AG121" s="2438">
        <v>5.1704310102492377</v>
      </c>
      <c r="AH121" s="2438">
        <v>0</v>
      </c>
      <c r="AI121" s="3617">
        <v>0</v>
      </c>
      <c r="AJ121" s="2438">
        <v>0</v>
      </c>
      <c r="AK121" s="2438">
        <v>0</v>
      </c>
      <c r="AL121" s="2438">
        <v>0</v>
      </c>
      <c r="AM121" s="2438">
        <v>6.0346875000000004</v>
      </c>
      <c r="AN121" s="2438">
        <v>12.069375000000001</v>
      </c>
      <c r="AO121" s="2438">
        <v>12.069375000000001</v>
      </c>
      <c r="AP121" s="2438">
        <v>12.069375000000001</v>
      </c>
      <c r="AQ121" s="2438">
        <v>12.069375000000001</v>
      </c>
      <c r="AR121" s="2438">
        <v>12.069375000000001</v>
      </c>
      <c r="AS121" s="2438">
        <v>6.0346875000000004</v>
      </c>
      <c r="AT121" s="2438">
        <v>0</v>
      </c>
    </row>
    <row r="122" spans="1:46">
      <c r="A122" s="304"/>
      <c r="D122" s="2433" t="s">
        <v>1524</v>
      </c>
      <c r="E122" s="2977"/>
      <c r="F122" s="2431"/>
      <c r="G122" s="2431"/>
      <c r="H122" s="2431"/>
      <c r="I122" s="2434"/>
      <c r="J122" s="2434"/>
      <c r="K122" s="2434"/>
      <c r="L122" s="2434"/>
      <c r="M122" s="2434"/>
      <c r="N122" s="2434"/>
      <c r="O122" s="2434"/>
      <c r="P122" s="2434"/>
      <c r="Q122" s="2434"/>
      <c r="R122" s="2434"/>
      <c r="S122" s="2434"/>
      <c r="T122" s="2434"/>
      <c r="U122" s="2434"/>
      <c r="V122" s="2437"/>
      <c r="W122" s="2437"/>
      <c r="X122" s="2437"/>
      <c r="Y122" s="2437"/>
      <c r="Z122" s="2438"/>
      <c r="AA122" s="2438">
        <v>0</v>
      </c>
      <c r="AB122" s="2438">
        <v>0</v>
      </c>
      <c r="AC122" s="2438">
        <v>0</v>
      </c>
      <c r="AD122" s="2438">
        <v>0</v>
      </c>
      <c r="AE122" s="2438">
        <v>0</v>
      </c>
      <c r="AF122" s="2438">
        <v>0</v>
      </c>
      <c r="AG122" s="2438">
        <v>0</v>
      </c>
      <c r="AH122" s="2438">
        <v>60.399999999999942</v>
      </c>
      <c r="AI122" s="3617">
        <v>0</v>
      </c>
      <c r="AJ122" s="2438">
        <v>0</v>
      </c>
      <c r="AK122" s="2438">
        <v>0</v>
      </c>
      <c r="AL122" s="2438">
        <v>0</v>
      </c>
      <c r="AM122" s="2438">
        <v>0</v>
      </c>
      <c r="AN122" s="2438">
        <v>0</v>
      </c>
      <c r="AO122" s="2438">
        <v>0</v>
      </c>
      <c r="AP122" s="2438">
        <v>0</v>
      </c>
      <c r="AQ122" s="2438">
        <v>0</v>
      </c>
      <c r="AR122" s="2438">
        <v>0</v>
      </c>
      <c r="AS122" s="2438">
        <v>0</v>
      </c>
      <c r="AT122" s="2438">
        <v>0</v>
      </c>
    </row>
    <row r="123" spans="1:46">
      <c r="A123" s="304"/>
      <c r="D123" s="2433" t="s">
        <v>1525</v>
      </c>
      <c r="E123" s="2977"/>
      <c r="F123" s="2431"/>
      <c r="G123" s="2431"/>
      <c r="H123" s="2431"/>
      <c r="I123" s="2434"/>
      <c r="J123" s="2434"/>
      <c r="K123" s="2434"/>
      <c r="L123" s="2434"/>
      <c r="M123" s="2434"/>
      <c r="N123" s="2434"/>
      <c r="O123" s="2434"/>
      <c r="P123" s="2434"/>
      <c r="Q123" s="2434"/>
      <c r="R123" s="2434"/>
      <c r="S123" s="2434"/>
      <c r="T123" s="2434"/>
      <c r="U123" s="2434"/>
      <c r="V123" s="2437"/>
      <c r="W123" s="2437"/>
      <c r="X123" s="2437"/>
      <c r="Y123" s="2437"/>
      <c r="Z123" s="2438"/>
      <c r="AA123" s="2438"/>
      <c r="AB123" s="2438"/>
      <c r="AC123" s="2438"/>
      <c r="AD123" s="2438"/>
      <c r="AE123" s="2438"/>
      <c r="AF123" s="2438"/>
      <c r="AG123" s="2438"/>
      <c r="AH123" s="2438"/>
      <c r="AI123" s="3617"/>
      <c r="AJ123" s="2438"/>
      <c r="AK123" s="2438"/>
      <c r="AL123" s="2438"/>
      <c r="AM123" s="2438"/>
      <c r="AN123" s="2438"/>
      <c r="AO123" s="2438"/>
      <c r="AP123" s="2438"/>
      <c r="AQ123" s="2438"/>
      <c r="AR123" s="2438"/>
      <c r="AS123" s="2438"/>
      <c r="AT123" s="2438"/>
    </row>
    <row r="124" spans="1:46">
      <c r="A124" s="304"/>
      <c r="D124" s="2433" t="s">
        <v>169</v>
      </c>
      <c r="E124" s="2977"/>
      <c r="F124" s="2431"/>
      <c r="G124" s="2431"/>
      <c r="H124" s="2431"/>
      <c r="I124" s="2434"/>
      <c r="J124" s="2434"/>
      <c r="K124" s="2434"/>
      <c r="L124" s="2434"/>
      <c r="M124" s="2434"/>
      <c r="N124" s="2434"/>
      <c r="O124" s="2434"/>
      <c r="P124" s="2434"/>
      <c r="Q124" s="2434"/>
      <c r="R124" s="2434"/>
      <c r="S124" s="2434"/>
      <c r="T124" s="2434"/>
      <c r="U124" s="2434"/>
      <c r="V124" s="2437"/>
      <c r="W124" s="2437"/>
      <c r="X124" s="2437"/>
      <c r="Y124" s="2437"/>
      <c r="Z124" s="2438">
        <v>5.0235030796304452</v>
      </c>
      <c r="AA124" s="2438">
        <v>7.4221066495608197</v>
      </c>
      <c r="AB124" s="2438">
        <v>6.7388271561358231</v>
      </c>
      <c r="AC124" s="2438">
        <v>6.7975531411912016</v>
      </c>
      <c r="AD124" s="2438">
        <v>13.071989597899977</v>
      </c>
      <c r="AE124" s="2438">
        <v>27.90445396612272</v>
      </c>
      <c r="AF124" s="2438">
        <v>390.40075705478426</v>
      </c>
      <c r="AG124" s="2438">
        <v>28.9195513693337</v>
      </c>
      <c r="AH124" s="2438">
        <v>31.658352865999998</v>
      </c>
      <c r="AI124" s="3616">
        <v>40.963089030850867</v>
      </c>
      <c r="AJ124" s="2439">
        <v>56.535535023173054</v>
      </c>
      <c r="AK124" s="2439">
        <v>62.271463446620992</v>
      </c>
      <c r="AL124" s="2439">
        <v>81.72816938907053</v>
      </c>
      <c r="AM124" s="2439">
        <v>116.4812708410191</v>
      </c>
      <c r="AN124" s="2439">
        <v>131.0836070962857</v>
      </c>
      <c r="AO124" s="2439">
        <v>141.40923670698058</v>
      </c>
      <c r="AP124" s="2439">
        <v>28.925002516363719</v>
      </c>
      <c r="AQ124" s="2439">
        <v>28.925002516363719</v>
      </c>
      <c r="AR124" s="2439">
        <v>22.890315016363719</v>
      </c>
      <c r="AS124" s="2439">
        <v>5.09616124060625</v>
      </c>
      <c r="AT124" s="2439">
        <v>5.09616124060625</v>
      </c>
    </row>
    <row r="125" spans="1:46">
      <c r="A125" s="304"/>
      <c r="D125" s="2433" t="s">
        <v>1522</v>
      </c>
      <c r="E125" s="2977"/>
      <c r="F125" s="2431"/>
      <c r="G125" s="2431"/>
      <c r="H125" s="2431"/>
      <c r="I125" s="2434"/>
      <c r="J125" s="2434"/>
      <c r="K125" s="2434"/>
      <c r="L125" s="2434"/>
      <c r="M125" s="2434"/>
      <c r="N125" s="2434"/>
      <c r="O125" s="2434"/>
      <c r="P125" s="2434"/>
      <c r="Q125" s="2434"/>
      <c r="R125" s="2434"/>
      <c r="S125" s="2434"/>
      <c r="T125" s="2434"/>
      <c r="U125" s="2434"/>
      <c r="V125" s="2437"/>
      <c r="W125" s="2437"/>
      <c r="X125" s="2437"/>
      <c r="Y125" s="2437"/>
      <c r="Z125" s="2438"/>
      <c r="AA125" s="2438">
        <v>0</v>
      </c>
      <c r="AB125" s="2438">
        <v>0</v>
      </c>
      <c r="AC125" s="2438">
        <v>0</v>
      </c>
      <c r="AD125" s="2438">
        <v>0</v>
      </c>
      <c r="AE125" s="2438">
        <v>10</v>
      </c>
      <c r="AF125" s="2438">
        <v>22.5</v>
      </c>
      <c r="AG125" s="2438">
        <v>0</v>
      </c>
      <c r="AH125" s="2438">
        <v>0</v>
      </c>
      <c r="AI125" s="3617">
        <v>0</v>
      </c>
      <c r="AJ125" s="2438">
        <v>0</v>
      </c>
      <c r="AK125" s="2438">
        <v>0</v>
      </c>
      <c r="AL125" s="2438">
        <v>5.09616124060625</v>
      </c>
      <c r="AM125" s="2438">
        <v>16.855627516363718</v>
      </c>
      <c r="AN125" s="2438">
        <v>16.855627516363718</v>
      </c>
      <c r="AO125" s="2438">
        <v>16.855627516363718</v>
      </c>
      <c r="AP125" s="2438">
        <v>16.855627516363718</v>
      </c>
      <c r="AQ125" s="2438">
        <v>16.855627516363718</v>
      </c>
      <c r="AR125" s="2438">
        <v>16.855627516363718</v>
      </c>
      <c r="AS125" s="2438">
        <v>5.09616124060625</v>
      </c>
      <c r="AT125" s="2438">
        <v>5.09616124060625</v>
      </c>
    </row>
    <row r="126" spans="1:46">
      <c r="A126" s="304"/>
      <c r="D126" s="2433" t="s">
        <v>1523</v>
      </c>
      <c r="E126" s="2977"/>
      <c r="F126" s="2431"/>
      <c r="G126" s="2431"/>
      <c r="H126" s="2431"/>
      <c r="I126" s="2434"/>
      <c r="J126" s="2434"/>
      <c r="K126" s="2434"/>
      <c r="L126" s="2434"/>
      <c r="M126" s="2434"/>
      <c r="N126" s="2434"/>
      <c r="O126" s="2434"/>
      <c r="P126" s="2434"/>
      <c r="Q126" s="2434"/>
      <c r="R126" s="2434"/>
      <c r="S126" s="2434"/>
      <c r="T126" s="2434"/>
      <c r="U126" s="2434"/>
      <c r="V126" s="2437"/>
      <c r="W126" s="2437"/>
      <c r="X126" s="2437"/>
      <c r="Y126" s="2437"/>
      <c r="Z126" s="2438"/>
      <c r="AA126" s="2438">
        <v>0</v>
      </c>
      <c r="AB126" s="2438">
        <v>0</v>
      </c>
      <c r="AC126" s="2438">
        <v>0</v>
      </c>
      <c r="AD126" s="2438">
        <v>4.2299221017329645</v>
      </c>
      <c r="AE126" s="2438">
        <v>4.5617656225511194</v>
      </c>
      <c r="AF126" s="2438">
        <v>4.9311251681508574</v>
      </c>
      <c r="AG126" s="2438">
        <v>0</v>
      </c>
      <c r="AH126" s="2438">
        <v>0</v>
      </c>
      <c r="AI126" s="3617">
        <v>0</v>
      </c>
      <c r="AJ126" s="2438">
        <v>0</v>
      </c>
      <c r="AK126" s="2438">
        <v>0</v>
      </c>
      <c r="AL126" s="2438">
        <v>6.0346875000000004</v>
      </c>
      <c r="AM126" s="2438">
        <v>12.069375000000001</v>
      </c>
      <c r="AN126" s="2438">
        <v>12.069375000000001</v>
      </c>
      <c r="AO126" s="2438">
        <v>12.069375000000001</v>
      </c>
      <c r="AP126" s="2438">
        <v>12.069375000000001</v>
      </c>
      <c r="AQ126" s="2438">
        <v>12.069375000000001</v>
      </c>
      <c r="AR126" s="2438">
        <v>6.0346875000000004</v>
      </c>
      <c r="AS126" s="2438">
        <v>0</v>
      </c>
      <c r="AT126" s="2438">
        <v>0</v>
      </c>
    </row>
    <row r="127" spans="1:46">
      <c r="A127" s="304"/>
      <c r="D127" s="2433" t="s">
        <v>1524</v>
      </c>
      <c r="E127" s="2977"/>
      <c r="F127" s="2431"/>
      <c r="G127" s="2431"/>
      <c r="H127" s="2431"/>
      <c r="I127" s="2434"/>
      <c r="J127" s="2434"/>
      <c r="K127" s="2434"/>
      <c r="L127" s="2434"/>
      <c r="M127" s="2434"/>
      <c r="N127" s="2434"/>
      <c r="O127" s="2434"/>
      <c r="P127" s="2434"/>
      <c r="Q127" s="2434"/>
      <c r="R127" s="2434"/>
      <c r="S127" s="2434"/>
      <c r="T127" s="2434"/>
      <c r="U127" s="2434"/>
      <c r="V127" s="2437"/>
      <c r="W127" s="2437"/>
      <c r="X127" s="2437"/>
      <c r="Y127" s="2437"/>
      <c r="Z127" s="2438"/>
      <c r="AA127" s="2438">
        <v>0</v>
      </c>
      <c r="AB127" s="2438">
        <v>0</v>
      </c>
      <c r="AC127" s="2438">
        <v>0</v>
      </c>
      <c r="AD127" s="2438">
        <v>0</v>
      </c>
      <c r="AE127" s="2438">
        <v>0</v>
      </c>
      <c r="AF127" s="2438">
        <v>339.60000000000008</v>
      </c>
      <c r="AG127" s="2438">
        <v>0</v>
      </c>
      <c r="AH127" s="2438">
        <v>0</v>
      </c>
      <c r="AI127" s="3617">
        <v>0</v>
      </c>
      <c r="AJ127" s="2438">
        <v>0</v>
      </c>
      <c r="AK127" s="2438">
        <v>0</v>
      </c>
      <c r="AL127" s="2438">
        <v>0</v>
      </c>
      <c r="AM127" s="2438">
        <v>0</v>
      </c>
      <c r="AN127" s="2438">
        <v>0</v>
      </c>
      <c r="AO127" s="2438">
        <v>0</v>
      </c>
      <c r="AP127" s="2438">
        <v>0</v>
      </c>
      <c r="AQ127" s="2438">
        <v>0</v>
      </c>
      <c r="AR127" s="2438">
        <v>0</v>
      </c>
      <c r="AS127" s="2438">
        <v>0</v>
      </c>
      <c r="AT127" s="2438">
        <v>0</v>
      </c>
    </row>
    <row r="128" spans="1:46">
      <c r="A128" s="304"/>
      <c r="D128" s="2433" t="s">
        <v>1525</v>
      </c>
      <c r="E128" s="2977"/>
      <c r="F128" s="2431"/>
      <c r="G128" s="2431"/>
      <c r="H128" s="2431"/>
      <c r="I128" s="2434"/>
      <c r="J128" s="2434"/>
      <c r="K128" s="2434"/>
      <c r="L128" s="2434"/>
      <c r="M128" s="2434"/>
      <c r="N128" s="2434"/>
      <c r="O128" s="2434"/>
      <c r="P128" s="2434"/>
      <c r="Q128" s="2434"/>
      <c r="R128" s="2434"/>
      <c r="S128" s="2434"/>
      <c r="T128" s="2434"/>
      <c r="U128" s="2434"/>
      <c r="V128" s="2437"/>
      <c r="W128" s="2437"/>
      <c r="X128" s="2437"/>
      <c r="Y128" s="2437"/>
      <c r="Z128" s="2438"/>
      <c r="AA128" s="2438"/>
      <c r="AB128" s="2438"/>
      <c r="AC128" s="2438"/>
      <c r="AD128" s="2438"/>
      <c r="AE128" s="2438"/>
      <c r="AF128" s="2438"/>
      <c r="AG128" s="2438"/>
      <c r="AH128" s="2438"/>
      <c r="AI128" s="3617"/>
      <c r="AJ128" s="2438"/>
      <c r="AK128" s="2438"/>
      <c r="AL128" s="2438"/>
      <c r="AM128" s="2438"/>
      <c r="AN128" s="2438"/>
      <c r="AO128" s="2438"/>
      <c r="AP128" s="2438"/>
      <c r="AQ128" s="2438"/>
      <c r="AR128" s="2438"/>
      <c r="AS128" s="2438"/>
      <c r="AT128" s="2438"/>
    </row>
    <row r="129" spans="1:46" customFormat="1" ht="14.75">
      <c r="A129" s="304"/>
      <c r="B129" s="295"/>
      <c r="C129" s="295"/>
      <c r="D129" s="2433" t="s">
        <v>170</v>
      </c>
      <c r="E129" s="2977"/>
      <c r="F129" s="2431"/>
      <c r="G129" s="2431"/>
      <c r="H129" s="2431"/>
      <c r="I129" s="2434"/>
      <c r="J129" s="2434"/>
      <c r="K129" s="2434"/>
      <c r="L129" s="2434"/>
      <c r="M129" s="2434"/>
      <c r="N129" s="2434"/>
      <c r="O129" s="2434"/>
      <c r="P129" s="2434"/>
      <c r="Q129" s="2434"/>
      <c r="R129" s="2434"/>
      <c r="S129" s="2434"/>
      <c r="T129" s="2434"/>
      <c r="U129" s="2434"/>
      <c r="V129" s="2437"/>
      <c r="W129" s="2437"/>
      <c r="X129" s="2437"/>
      <c r="Y129" s="2437"/>
      <c r="Z129" s="2438">
        <v>5.3691660546844986</v>
      </c>
      <c r="AA129" s="2438">
        <v>6.3522687949418009</v>
      </c>
      <c r="AB129" s="2438">
        <v>7.4426786111358227</v>
      </c>
      <c r="AC129" s="2438">
        <v>8.330882753306847</v>
      </c>
      <c r="AD129" s="2438">
        <v>13.202852813068692</v>
      </c>
      <c r="AE129" s="2438">
        <v>28.045583589461174</v>
      </c>
      <c r="AF129" s="2438">
        <v>40.00601774164398</v>
      </c>
      <c r="AG129" s="2438">
        <v>15.505314356333699</v>
      </c>
      <c r="AH129" s="2438">
        <v>14.037983857999999</v>
      </c>
      <c r="AI129" s="3616">
        <v>23.094416708850858</v>
      </c>
      <c r="AJ129" s="2439">
        <v>58.667134012506388</v>
      </c>
      <c r="AK129" s="2439">
        <v>83.345528331870327</v>
      </c>
      <c r="AL129" s="2439">
        <v>103.97493034393368</v>
      </c>
      <c r="AM129" s="2439">
        <v>140.94738253988228</v>
      </c>
      <c r="AN129" s="2439">
        <v>161.04494794014886</v>
      </c>
      <c r="AO129" s="2439">
        <v>152.90138114582052</v>
      </c>
      <c r="AP129" s="2439">
        <v>28.925002516363719</v>
      </c>
      <c r="AQ129" s="2439">
        <v>28.925002516363719</v>
      </c>
      <c r="AR129" s="2439">
        <v>22.890315016363719</v>
      </c>
      <c r="AS129" s="2439">
        <v>5.09616124060625</v>
      </c>
      <c r="AT129" s="2439">
        <v>5.09616124060625</v>
      </c>
    </row>
    <row r="130" spans="1:46" customFormat="1" ht="14.75">
      <c r="A130" s="304"/>
      <c r="B130" s="295"/>
      <c r="C130" s="295"/>
      <c r="D130" s="2433" t="s">
        <v>1522</v>
      </c>
      <c r="E130" s="2977"/>
      <c r="F130" s="2431"/>
      <c r="G130" s="2431"/>
      <c r="H130" s="2431"/>
      <c r="I130" s="2434"/>
      <c r="J130" s="2434"/>
      <c r="K130" s="2434"/>
      <c r="L130" s="2434"/>
      <c r="M130" s="2434"/>
      <c r="N130" s="2434"/>
      <c r="O130" s="2434"/>
      <c r="P130" s="2434"/>
      <c r="Q130" s="2434"/>
      <c r="R130" s="2434"/>
      <c r="S130" s="2434"/>
      <c r="T130" s="2434"/>
      <c r="U130" s="2434"/>
      <c r="V130" s="2437"/>
      <c r="W130" s="2437"/>
      <c r="X130" s="2437"/>
      <c r="Y130" s="2437"/>
      <c r="Z130" s="2438"/>
      <c r="AA130" s="2438">
        <v>0</v>
      </c>
      <c r="AB130" s="2438">
        <v>0</v>
      </c>
      <c r="AC130" s="2438">
        <v>0</v>
      </c>
      <c r="AD130" s="2438">
        <v>0</v>
      </c>
      <c r="AE130" s="2438">
        <v>10</v>
      </c>
      <c r="AF130" s="2438">
        <v>22.5</v>
      </c>
      <c r="AG130" s="2438">
        <v>0</v>
      </c>
      <c r="AH130" s="2438">
        <v>0</v>
      </c>
      <c r="AI130" s="3617">
        <v>0</v>
      </c>
      <c r="AJ130" s="2438">
        <v>0</v>
      </c>
      <c r="AK130" s="2438">
        <v>0</v>
      </c>
      <c r="AL130" s="2438">
        <v>5.09616124060625</v>
      </c>
      <c r="AM130" s="2438">
        <v>16.855627516363718</v>
      </c>
      <c r="AN130" s="2438">
        <v>16.855627516363718</v>
      </c>
      <c r="AO130" s="2438">
        <v>16.855627516363718</v>
      </c>
      <c r="AP130" s="2438">
        <v>16.855627516363718</v>
      </c>
      <c r="AQ130" s="2438">
        <v>16.855627516363718</v>
      </c>
      <c r="AR130" s="2438">
        <v>16.855627516363718</v>
      </c>
      <c r="AS130" s="2438">
        <v>5.09616124060625</v>
      </c>
      <c r="AT130" s="2438">
        <v>5.09616124060625</v>
      </c>
    </row>
    <row r="131" spans="1:46" customFormat="1" ht="14.75">
      <c r="A131" s="304"/>
      <c r="B131" s="295"/>
      <c r="C131" s="295"/>
      <c r="D131" s="2433" t="s">
        <v>1523</v>
      </c>
      <c r="E131" s="2977"/>
      <c r="F131" s="2431"/>
      <c r="G131" s="2431"/>
      <c r="H131" s="2431"/>
      <c r="I131" s="2434"/>
      <c r="J131" s="2434"/>
      <c r="K131" s="2434"/>
      <c r="L131" s="2434"/>
      <c r="M131" s="2434"/>
      <c r="N131" s="2434"/>
      <c r="O131" s="2434"/>
      <c r="P131" s="2434"/>
      <c r="Q131" s="2434"/>
      <c r="R131" s="2434"/>
      <c r="S131" s="2434"/>
      <c r="T131" s="2434"/>
      <c r="U131" s="2434"/>
      <c r="V131" s="2437"/>
      <c r="W131" s="2437"/>
      <c r="X131" s="2437"/>
      <c r="Y131" s="2437"/>
      <c r="Z131" s="2438"/>
      <c r="AA131" s="2438">
        <v>0</v>
      </c>
      <c r="AB131" s="2438">
        <v>0</v>
      </c>
      <c r="AC131" s="2438">
        <v>0</v>
      </c>
      <c r="AD131" s="2438">
        <v>4.3607853169016799</v>
      </c>
      <c r="AE131" s="2438">
        <v>4.7028952458895708</v>
      </c>
      <c r="AF131" s="2438">
        <v>5.0836818530107415</v>
      </c>
      <c r="AG131" s="2438">
        <v>0</v>
      </c>
      <c r="AH131" s="2438">
        <v>0</v>
      </c>
      <c r="AI131" s="3617">
        <v>0</v>
      </c>
      <c r="AJ131" s="2438">
        <v>0</v>
      </c>
      <c r="AK131" s="2438">
        <v>0</v>
      </c>
      <c r="AL131" s="2438">
        <v>6.0346875000000004</v>
      </c>
      <c r="AM131" s="2438">
        <v>12.069375000000001</v>
      </c>
      <c r="AN131" s="2438">
        <v>12.069375000000001</v>
      </c>
      <c r="AO131" s="2438">
        <v>12.069375000000001</v>
      </c>
      <c r="AP131" s="2438">
        <v>12.069375000000001</v>
      </c>
      <c r="AQ131" s="2438">
        <v>12.069375000000001</v>
      </c>
      <c r="AR131" s="2438">
        <v>6.0346875000000004</v>
      </c>
      <c r="AS131" s="2438">
        <v>0</v>
      </c>
      <c r="AT131" s="2438">
        <v>0</v>
      </c>
    </row>
    <row r="132" spans="1:46" customFormat="1" ht="14.75">
      <c r="A132" s="304"/>
      <c r="B132" s="295"/>
      <c r="C132" s="295"/>
      <c r="D132" s="2433" t="s">
        <v>1524</v>
      </c>
      <c r="E132" s="2977"/>
      <c r="F132" s="2431"/>
      <c r="G132" s="2431"/>
      <c r="H132" s="2431"/>
      <c r="I132" s="2434"/>
      <c r="J132" s="2434"/>
      <c r="K132" s="2434"/>
      <c r="L132" s="2434"/>
      <c r="M132" s="2434"/>
      <c r="N132" s="2434"/>
      <c r="O132" s="2434"/>
      <c r="P132" s="2434"/>
      <c r="Q132" s="2434"/>
      <c r="R132" s="2434"/>
      <c r="S132" s="2434"/>
      <c r="T132" s="2434"/>
      <c r="U132" s="2434"/>
      <c r="V132" s="2437"/>
      <c r="W132" s="2437"/>
      <c r="X132" s="2437"/>
      <c r="Y132" s="2437"/>
      <c r="Z132" s="2438"/>
      <c r="AA132" s="2438">
        <v>0</v>
      </c>
      <c r="AB132" s="2438">
        <v>0</v>
      </c>
      <c r="AC132" s="2438">
        <v>0</v>
      </c>
      <c r="AD132" s="2438">
        <v>0</v>
      </c>
      <c r="AE132" s="2438">
        <v>0</v>
      </c>
      <c r="AF132" s="2438">
        <v>0</v>
      </c>
      <c r="AG132" s="2438">
        <v>0</v>
      </c>
      <c r="AH132" s="2438">
        <v>0</v>
      </c>
      <c r="AI132" s="3617">
        <v>0</v>
      </c>
      <c r="AJ132" s="2438">
        <v>0</v>
      </c>
      <c r="AK132" s="2438">
        <v>0</v>
      </c>
      <c r="AL132" s="2438">
        <v>0</v>
      </c>
      <c r="AM132" s="2438">
        <v>0</v>
      </c>
      <c r="AN132" s="2438">
        <v>0</v>
      </c>
      <c r="AO132" s="2438">
        <v>0</v>
      </c>
      <c r="AP132" s="2438">
        <v>0</v>
      </c>
      <c r="AQ132" s="2438">
        <v>0</v>
      </c>
      <c r="AR132" s="2438">
        <v>0</v>
      </c>
      <c r="AS132" s="2438">
        <v>0</v>
      </c>
      <c r="AT132" s="2438">
        <v>0</v>
      </c>
    </row>
    <row r="133" spans="1:46" customFormat="1" ht="14.75">
      <c r="A133" s="304"/>
      <c r="B133" s="295"/>
      <c r="C133" s="295"/>
      <c r="D133" s="2433" t="s">
        <v>1525</v>
      </c>
      <c r="E133" s="2977"/>
      <c r="F133" s="2431"/>
      <c r="G133" s="2431"/>
      <c r="H133" s="2431"/>
      <c r="I133" s="2434"/>
      <c r="J133" s="2434"/>
      <c r="K133" s="2434"/>
      <c r="L133" s="2434"/>
      <c r="M133" s="2434"/>
      <c r="N133" s="2434"/>
      <c r="O133" s="2434"/>
      <c r="P133" s="2434"/>
      <c r="Q133" s="2434"/>
      <c r="R133" s="2434"/>
      <c r="S133" s="2434"/>
      <c r="T133" s="2434"/>
      <c r="U133" s="2434"/>
      <c r="V133" s="2437"/>
      <c r="W133" s="2437"/>
      <c r="X133" s="2437"/>
      <c r="Y133" s="2437"/>
      <c r="Z133" s="2438"/>
      <c r="AA133" s="2438"/>
      <c r="AB133" s="2438"/>
      <c r="AC133" s="2438"/>
      <c r="AD133" s="2438"/>
      <c r="AE133" s="2438"/>
      <c r="AF133" s="2438"/>
      <c r="AG133" s="2438"/>
      <c r="AH133" s="2438"/>
      <c r="AI133" s="3617"/>
      <c r="AJ133" s="2438"/>
      <c r="AK133" s="2438"/>
      <c r="AL133" s="2438"/>
      <c r="AM133" s="2438"/>
      <c r="AN133" s="2438"/>
      <c r="AO133" s="2438"/>
      <c r="AP133" s="2438"/>
      <c r="AQ133" s="2438"/>
      <c r="AR133" s="2438"/>
      <c r="AS133" s="2438"/>
      <c r="AT133" s="2438"/>
    </row>
    <row r="134" spans="1:46" customFormat="1" ht="14.75">
      <c r="A134" s="304"/>
      <c r="B134" s="295"/>
      <c r="C134" s="295" t="s">
        <v>30</v>
      </c>
      <c r="D134" s="2440" t="s">
        <v>1544</v>
      </c>
      <c r="E134" s="2978" t="s">
        <v>861</v>
      </c>
      <c r="F134" s="2431"/>
      <c r="G134" s="2431"/>
      <c r="H134" s="2431"/>
      <c r="I134" s="2434"/>
      <c r="J134" s="2434"/>
      <c r="K134" s="2434"/>
      <c r="L134" s="2434"/>
      <c r="M134" s="2434"/>
      <c r="N134" s="2434"/>
      <c r="O134" s="2434"/>
      <c r="P134" s="2434"/>
      <c r="Q134" s="2434"/>
      <c r="R134" s="2434"/>
      <c r="S134" s="2434"/>
      <c r="T134" s="2434"/>
      <c r="U134" s="2434"/>
      <c r="V134" s="2437"/>
      <c r="W134" s="2437"/>
      <c r="X134" s="2437"/>
      <c r="Y134" s="2437"/>
      <c r="Z134" s="2438">
        <v>2.3359519999999998</v>
      </c>
      <c r="AA134" s="2438">
        <v>1.8429387041158216</v>
      </c>
      <c r="AB134" s="2438">
        <v>1.6055905376766626</v>
      </c>
      <c r="AC134" s="2438">
        <v>1.1169325479489829</v>
      </c>
      <c r="AD134" s="2438">
        <v>7.5440416619844172E-2</v>
      </c>
      <c r="AE134" s="2438">
        <v>22.56338028169014</v>
      </c>
      <c r="AF134" s="2438">
        <v>37.622928722063968</v>
      </c>
      <c r="AG134" s="2438">
        <v>46.699942677515594</v>
      </c>
      <c r="AH134" s="2438">
        <v>46.930666401195914</v>
      </c>
      <c r="AI134" s="3616">
        <v>35.313190971540443</v>
      </c>
      <c r="AJ134" s="2439">
        <v>38.502680257999998</v>
      </c>
      <c r="AK134" s="2439">
        <v>44.003063152000003</v>
      </c>
      <c r="AL134" s="2439">
        <v>44.003063152000003</v>
      </c>
      <c r="AM134" s="2439">
        <v>94.328394123999999</v>
      </c>
      <c r="AN134" s="2439">
        <v>94.328394123999999</v>
      </c>
      <c r="AO134" s="2439">
        <v>72.326862548000008</v>
      </c>
      <c r="AP134" s="2439">
        <v>0</v>
      </c>
      <c r="AQ134" s="2439">
        <v>0</v>
      </c>
      <c r="AR134" s="2439">
        <v>0</v>
      </c>
      <c r="AS134" s="2439">
        <v>0</v>
      </c>
      <c r="AT134" s="2439">
        <v>0</v>
      </c>
    </row>
    <row r="135" spans="1:46" customFormat="1" ht="14.75">
      <c r="A135" s="304"/>
      <c r="B135" s="295"/>
      <c r="C135" s="295"/>
      <c r="D135" s="2430" t="s">
        <v>862</v>
      </c>
      <c r="E135" s="2977"/>
      <c r="F135" s="2431"/>
      <c r="G135" s="2431"/>
      <c r="H135" s="2431"/>
      <c r="I135" s="2434">
        <v>23.61</v>
      </c>
      <c r="J135" s="2434">
        <v>13.299999999999999</v>
      </c>
      <c r="K135" s="2434">
        <v>17.423999999999999</v>
      </c>
      <c r="L135" s="2434">
        <v>13.975000000000001</v>
      </c>
      <c r="M135" s="2434">
        <v>13.2</v>
      </c>
      <c r="N135" s="2434">
        <v>15.355599999999999</v>
      </c>
      <c r="O135" s="2434">
        <v>20.284299999999998</v>
      </c>
      <c r="P135" s="2434">
        <v>17.01617741935484</v>
      </c>
      <c r="Q135" s="2434">
        <v>12.144556469089734</v>
      </c>
      <c r="R135" s="2434">
        <v>6.1791785835762871</v>
      </c>
      <c r="S135" s="2434">
        <v>6.93</v>
      </c>
      <c r="T135" s="2434">
        <v>7.2682661853888897</v>
      </c>
      <c r="U135" s="2434">
        <v>7.83</v>
      </c>
      <c r="V135" s="2435">
        <v>8.1141288803596598</v>
      </c>
      <c r="W135" s="2435">
        <v>9.1999999999999993</v>
      </c>
      <c r="X135" s="2435">
        <v>32.334940488410602</v>
      </c>
      <c r="Y135" s="2435">
        <v>38.952314913680297</v>
      </c>
      <c r="Z135" s="2436">
        <v>42.593214676234005</v>
      </c>
      <c r="AA135" s="2436">
        <v>43.484013155342566</v>
      </c>
      <c r="AB135" s="2436">
        <v>47.003065977766866</v>
      </c>
      <c r="AC135" s="2436">
        <v>72.90926695107062</v>
      </c>
      <c r="AD135" s="2436">
        <v>74.829686698271502</v>
      </c>
      <c r="AE135" s="2436">
        <v>73.562245361468229</v>
      </c>
      <c r="AF135" s="2436">
        <v>68.583448535830087</v>
      </c>
      <c r="AG135" s="2436">
        <v>99.056846849611688</v>
      </c>
      <c r="AH135" s="2436">
        <v>118.73605389166306</v>
      </c>
      <c r="AI135" s="3615">
        <v>165.27685138986197</v>
      </c>
      <c r="AJ135" s="2436">
        <v>169.58553607584122</v>
      </c>
      <c r="AK135" s="2436">
        <v>186.45156017280195</v>
      </c>
      <c r="AL135" s="2436">
        <v>207.20667430188831</v>
      </c>
      <c r="AM135" s="2436">
        <v>219.29723227919334</v>
      </c>
      <c r="AN135" s="2436">
        <v>218.91133223535024</v>
      </c>
      <c r="AO135" s="2436">
        <v>212.17798403430584</v>
      </c>
      <c r="AP135" s="2436">
        <v>34.607236598177948</v>
      </c>
      <c r="AQ135" s="2436">
        <v>24.968721450993382</v>
      </c>
      <c r="AR135" s="2436">
        <v>14.366814211160936</v>
      </c>
      <c r="AS135" s="2436">
        <v>4.8429677143761403</v>
      </c>
      <c r="AT135" s="2436">
        <v>2.506919317975155</v>
      </c>
    </row>
    <row r="136" spans="1:46" customFormat="1" ht="14.75">
      <c r="A136" s="304"/>
      <c r="B136" s="295"/>
      <c r="C136" s="295"/>
      <c r="D136" s="2433" t="s">
        <v>167</v>
      </c>
      <c r="E136" s="2977"/>
      <c r="F136" s="2431"/>
      <c r="G136" s="2431"/>
      <c r="H136" s="2431"/>
      <c r="I136" s="2431"/>
      <c r="J136" s="2431"/>
      <c r="K136" s="2431"/>
      <c r="L136" s="2431"/>
      <c r="M136" s="2431"/>
      <c r="N136" s="2431"/>
      <c r="O136" s="2431"/>
      <c r="P136" s="2431"/>
      <c r="Q136" s="2431"/>
      <c r="R136" s="2431"/>
      <c r="S136" s="2431"/>
      <c r="T136" s="2431"/>
      <c r="U136" s="2431"/>
      <c r="V136" s="2437"/>
      <c r="W136" s="2437"/>
      <c r="X136" s="2437"/>
      <c r="Y136" s="2437"/>
      <c r="Z136" s="2438">
        <v>18.149438683403716</v>
      </c>
      <c r="AA136" s="2438">
        <v>5.1500999282578128</v>
      </c>
      <c r="AB136" s="2438">
        <v>6.8147203896917166</v>
      </c>
      <c r="AC136" s="2438">
        <v>11.78897573558204</v>
      </c>
      <c r="AD136" s="2438">
        <v>18.462677517400873</v>
      </c>
      <c r="AE136" s="2438">
        <v>15.348891100539719</v>
      </c>
      <c r="AF136" s="2438">
        <v>11.122639288074643</v>
      </c>
      <c r="AG136" s="2438">
        <v>34.614224297881094</v>
      </c>
      <c r="AH136" s="2438">
        <v>35.440142143138353</v>
      </c>
      <c r="AI136" s="3616">
        <v>39.810592235093132</v>
      </c>
      <c r="AJ136" s="2439">
        <v>42.241448285909996</v>
      </c>
      <c r="AK136" s="2439">
        <v>51.110251773806041</v>
      </c>
      <c r="AL136" s="2439">
        <v>51.26365203372518</v>
      </c>
      <c r="AM136" s="2439">
        <v>56.777050901114904</v>
      </c>
      <c r="AN136" s="2439">
        <v>58.101384614063207</v>
      </c>
      <c r="AO136" s="2439">
        <v>57.697976670889432</v>
      </c>
      <c r="AP136" s="2439">
        <v>9.439098450129352</v>
      </c>
      <c r="AQ136" s="2439">
        <v>7.2285173163365419</v>
      </c>
      <c r="AR136" s="2439">
        <v>4.5757417457305456</v>
      </c>
      <c r="AS136" s="2439">
        <v>1.38368860762102</v>
      </c>
      <c r="AT136" s="2439">
        <v>0.72130282174734706</v>
      </c>
    </row>
    <row r="137" spans="1:46" customFormat="1" ht="14.75">
      <c r="A137" s="304"/>
      <c r="B137" s="295"/>
      <c r="C137" s="295"/>
      <c r="D137" s="2433" t="s">
        <v>1522</v>
      </c>
      <c r="E137" s="2977"/>
      <c r="F137" s="2431"/>
      <c r="G137" s="2431"/>
      <c r="H137" s="2431"/>
      <c r="I137" s="2431"/>
      <c r="J137" s="2431"/>
      <c r="K137" s="2431"/>
      <c r="L137" s="2431"/>
      <c r="M137" s="2431"/>
      <c r="N137" s="2431"/>
      <c r="O137" s="2431"/>
      <c r="P137" s="2431"/>
      <c r="Q137" s="2431"/>
      <c r="R137" s="2431"/>
      <c r="S137" s="2431"/>
      <c r="T137" s="2431"/>
      <c r="U137" s="2431"/>
      <c r="V137" s="2437"/>
      <c r="W137" s="2437"/>
      <c r="X137" s="2437"/>
      <c r="Y137" s="2437"/>
      <c r="Z137" s="2438"/>
      <c r="AA137" s="2438">
        <v>0</v>
      </c>
      <c r="AB137" s="2438">
        <v>2.6</v>
      </c>
      <c r="AC137" s="2438">
        <v>2.6</v>
      </c>
      <c r="AD137" s="2438">
        <v>2.9205655555555556</v>
      </c>
      <c r="AE137" s="2438">
        <v>2.711545525</v>
      </c>
      <c r="AF137" s="2438">
        <v>2.1386912513914358</v>
      </c>
      <c r="AG137" s="2438">
        <v>0</v>
      </c>
      <c r="AH137" s="2438">
        <v>0</v>
      </c>
      <c r="AI137" s="3617">
        <v>0</v>
      </c>
      <c r="AJ137" s="2438">
        <v>0</v>
      </c>
      <c r="AK137" s="2438">
        <v>0</v>
      </c>
      <c r="AL137" s="2438">
        <v>4.8986922852894805</v>
      </c>
      <c r="AM137" s="2438">
        <v>8.8203837013955066</v>
      </c>
      <c r="AN137" s="2438">
        <v>8.8203837013955066</v>
      </c>
      <c r="AO137" s="2438">
        <v>7.392978914279305</v>
      </c>
      <c r="AP137" s="2438">
        <v>5.9504566060359458</v>
      </c>
      <c r="AQ137" s="2438">
        <v>4.5079342977925867</v>
      </c>
      <c r="AR137" s="2438">
        <v>3.0654119895492262</v>
      </c>
      <c r="AS137" s="2438">
        <v>1.0819542326210199</v>
      </c>
      <c r="AT137" s="2438">
        <v>0.72130282174734706</v>
      </c>
    </row>
    <row r="138" spans="1:46" customFormat="1" ht="14.75">
      <c r="A138" s="304"/>
      <c r="B138" s="295"/>
      <c r="C138" s="295"/>
      <c r="D138" s="2433" t="s">
        <v>1523</v>
      </c>
      <c r="E138" s="2977"/>
      <c r="F138" s="2431"/>
      <c r="G138" s="2431"/>
      <c r="H138" s="2431"/>
      <c r="I138" s="2431"/>
      <c r="J138" s="2431"/>
      <c r="K138" s="2431"/>
      <c r="L138" s="2431"/>
      <c r="M138" s="2431"/>
      <c r="N138" s="2431"/>
      <c r="O138" s="2431"/>
      <c r="P138" s="2431"/>
      <c r="Q138" s="2431"/>
      <c r="R138" s="2431"/>
      <c r="S138" s="2431"/>
      <c r="T138" s="2431"/>
      <c r="U138" s="2431"/>
      <c r="V138" s="2437"/>
      <c r="W138" s="2437"/>
      <c r="X138" s="2437"/>
      <c r="Y138" s="2437"/>
      <c r="Z138" s="2438"/>
      <c r="AA138" s="2438">
        <v>0</v>
      </c>
      <c r="AB138" s="2438">
        <v>0</v>
      </c>
      <c r="AC138" s="2438">
        <v>1.985830165392088</v>
      </c>
      <c r="AD138" s="2438">
        <v>1.8671371589293664</v>
      </c>
      <c r="AE138" s="2438">
        <v>1.5288356756546602</v>
      </c>
      <c r="AF138" s="2438">
        <v>0.93065014789240974</v>
      </c>
      <c r="AG138" s="2438">
        <v>0.31512015792037995</v>
      </c>
      <c r="AH138" s="2438">
        <v>0</v>
      </c>
      <c r="AI138" s="3617">
        <v>0</v>
      </c>
      <c r="AJ138" s="2438">
        <v>0</v>
      </c>
      <c r="AK138" s="2438">
        <v>0</v>
      </c>
      <c r="AL138" s="2438">
        <v>2.5097802197802199</v>
      </c>
      <c r="AM138" s="2438">
        <v>3.2059090659340659</v>
      </c>
      <c r="AN138" s="2438">
        <v>3.2059090659340659</v>
      </c>
      <c r="AO138" s="2438">
        <v>3.7437368475274724</v>
      </c>
      <c r="AP138" s="2438">
        <v>3.4886418440934066</v>
      </c>
      <c r="AQ138" s="2438">
        <v>2.7205830185439557</v>
      </c>
      <c r="AR138" s="2438">
        <v>1.5103297561813187</v>
      </c>
      <c r="AS138" s="2438">
        <v>0.301734375</v>
      </c>
      <c r="AT138" s="2438">
        <v>0</v>
      </c>
    </row>
    <row r="139" spans="1:46" customFormat="1" ht="14.75">
      <c r="A139" s="304"/>
      <c r="B139" s="295"/>
      <c r="C139" s="295"/>
      <c r="D139" s="2433" t="s">
        <v>1526</v>
      </c>
      <c r="E139" s="2977"/>
      <c r="F139" s="2431"/>
      <c r="G139" s="2431"/>
      <c r="H139" s="2431"/>
      <c r="I139" s="2431"/>
      <c r="J139" s="2431"/>
      <c r="K139" s="2431"/>
      <c r="L139" s="2431"/>
      <c r="M139" s="2431"/>
      <c r="N139" s="2431"/>
      <c r="O139" s="2431"/>
      <c r="P139" s="2431"/>
      <c r="Q139" s="2431"/>
      <c r="R139" s="2431"/>
      <c r="S139" s="2431"/>
      <c r="T139" s="2431"/>
      <c r="U139" s="2431"/>
      <c r="V139" s="2437"/>
      <c r="W139" s="2437"/>
      <c r="X139" s="2437"/>
      <c r="Y139" s="2437"/>
      <c r="Z139" s="2438"/>
      <c r="AA139" s="2438">
        <v>0</v>
      </c>
      <c r="AB139" s="2438">
        <v>0</v>
      </c>
      <c r="AC139" s="2438">
        <v>0</v>
      </c>
      <c r="AD139" s="2438">
        <v>6.625</v>
      </c>
      <c r="AE139" s="2438">
        <v>0</v>
      </c>
      <c r="AF139" s="2438">
        <v>0</v>
      </c>
      <c r="AG139" s="2438">
        <v>0</v>
      </c>
      <c r="AH139" s="2438">
        <v>0</v>
      </c>
      <c r="AI139" s="3617">
        <v>0</v>
      </c>
      <c r="AJ139" s="2438">
        <v>0</v>
      </c>
      <c r="AK139" s="2438">
        <v>0</v>
      </c>
      <c r="AL139" s="2438">
        <v>0</v>
      </c>
      <c r="AM139" s="2438">
        <v>0</v>
      </c>
      <c r="AN139" s="2438">
        <v>0</v>
      </c>
      <c r="AO139" s="2438">
        <v>0</v>
      </c>
      <c r="AP139" s="2438">
        <v>0</v>
      </c>
      <c r="AQ139" s="2438">
        <v>0</v>
      </c>
      <c r="AR139" s="2438">
        <v>0</v>
      </c>
      <c r="AS139" s="2438">
        <v>0</v>
      </c>
      <c r="AT139" s="2438">
        <v>0</v>
      </c>
    </row>
    <row r="140" spans="1:46" customFormat="1" ht="14.75">
      <c r="A140" s="304"/>
      <c r="B140" s="295"/>
      <c r="C140" s="295"/>
      <c r="D140" s="2433" t="s">
        <v>912</v>
      </c>
      <c r="E140" s="2977"/>
      <c r="F140" s="2431"/>
      <c r="G140" s="2431"/>
      <c r="H140" s="2431"/>
      <c r="I140" s="2431"/>
      <c r="J140" s="2431"/>
      <c r="K140" s="2431"/>
      <c r="L140" s="2431"/>
      <c r="M140" s="2431"/>
      <c r="N140" s="2431"/>
      <c r="O140" s="2431"/>
      <c r="P140" s="2431"/>
      <c r="Q140" s="2431"/>
      <c r="R140" s="2431"/>
      <c r="S140" s="2431"/>
      <c r="T140" s="2431"/>
      <c r="U140" s="2431"/>
      <c r="V140" s="2437"/>
      <c r="W140" s="2437"/>
      <c r="X140" s="2437"/>
      <c r="Y140" s="2437"/>
      <c r="Z140" s="2438"/>
      <c r="AA140" s="2438">
        <v>0</v>
      </c>
      <c r="AB140" s="2438">
        <v>0</v>
      </c>
      <c r="AC140" s="2438">
        <v>0</v>
      </c>
      <c r="AD140" s="2438">
        <v>0</v>
      </c>
      <c r="AE140" s="2438">
        <v>0</v>
      </c>
      <c r="AF140" s="2438">
        <v>0</v>
      </c>
      <c r="AG140" s="2438">
        <v>17.239444444444445</v>
      </c>
      <c r="AH140" s="2438">
        <v>17.239444444444445</v>
      </c>
      <c r="AI140" s="3617">
        <v>17.0505</v>
      </c>
      <c r="AJ140" s="2438">
        <v>17.050450000000001</v>
      </c>
      <c r="AK140" s="2438">
        <v>17.05</v>
      </c>
      <c r="AL140" s="2438">
        <v>17.05</v>
      </c>
      <c r="AM140" s="2438">
        <v>17.05</v>
      </c>
      <c r="AN140" s="2438">
        <v>17.05</v>
      </c>
      <c r="AO140" s="2438">
        <v>17.05</v>
      </c>
      <c r="AP140" s="2438">
        <v>0</v>
      </c>
      <c r="AQ140" s="2438">
        <v>0</v>
      </c>
      <c r="AR140" s="2438">
        <v>0</v>
      </c>
      <c r="AS140" s="2438">
        <v>0</v>
      </c>
      <c r="AT140" s="2438">
        <v>0</v>
      </c>
    </row>
    <row r="141" spans="1:46" customFormat="1" ht="14.75">
      <c r="A141" s="304"/>
      <c r="B141" s="295"/>
      <c r="C141" s="295"/>
      <c r="D141" s="2433" t="s">
        <v>949</v>
      </c>
      <c r="E141" s="2977"/>
      <c r="F141" s="2431"/>
      <c r="G141" s="2431"/>
      <c r="H141" s="2431"/>
      <c r="I141" s="2431"/>
      <c r="J141" s="2431"/>
      <c r="K141" s="2431"/>
      <c r="L141" s="2431"/>
      <c r="M141" s="2431"/>
      <c r="N141" s="2431"/>
      <c r="O141" s="2431"/>
      <c r="P141" s="2431"/>
      <c r="Q141" s="2431"/>
      <c r="R141" s="2431"/>
      <c r="S141" s="2431"/>
      <c r="T141" s="2431"/>
      <c r="U141" s="2431"/>
      <c r="V141" s="2437"/>
      <c r="W141" s="2437"/>
      <c r="X141" s="2437"/>
      <c r="Y141" s="2437"/>
      <c r="Z141" s="2438"/>
      <c r="AA141" s="2438">
        <v>0</v>
      </c>
      <c r="AB141" s="2438">
        <v>0</v>
      </c>
      <c r="AC141" s="2438">
        <v>0</v>
      </c>
      <c r="AD141" s="2438">
        <v>0</v>
      </c>
      <c r="AE141" s="2438">
        <v>0</v>
      </c>
      <c r="AF141" s="2438">
        <v>0</v>
      </c>
      <c r="AG141" s="2438">
        <v>0</v>
      </c>
      <c r="AH141" s="2438">
        <v>0.75</v>
      </c>
      <c r="AI141" s="3617">
        <v>0</v>
      </c>
      <c r="AJ141" s="2438">
        <v>0</v>
      </c>
      <c r="AK141" s="2438">
        <v>5.5</v>
      </c>
      <c r="AL141" s="2438">
        <v>0</v>
      </c>
      <c r="AM141" s="2438">
        <v>0</v>
      </c>
      <c r="AN141" s="2438">
        <v>0</v>
      </c>
      <c r="AO141" s="2438">
        <v>0</v>
      </c>
      <c r="AP141" s="2438">
        <v>0</v>
      </c>
      <c r="AQ141" s="2438">
        <v>0</v>
      </c>
      <c r="AR141" s="2438">
        <v>0</v>
      </c>
      <c r="AS141" s="2438">
        <v>0</v>
      </c>
      <c r="AT141" s="2438">
        <v>0</v>
      </c>
    </row>
    <row r="142" spans="1:46" customFormat="1" ht="14.75">
      <c r="A142" s="304"/>
      <c r="B142" s="295"/>
      <c r="C142" s="295"/>
      <c r="D142" s="2433" t="s">
        <v>168</v>
      </c>
      <c r="E142" s="2977"/>
      <c r="F142" s="2431"/>
      <c r="G142" s="2431"/>
      <c r="H142" s="2431"/>
      <c r="I142" s="2431"/>
      <c r="J142" s="2431"/>
      <c r="K142" s="2431"/>
      <c r="L142" s="2431"/>
      <c r="M142" s="2431"/>
      <c r="N142" s="2431"/>
      <c r="O142" s="2431"/>
      <c r="P142" s="2431"/>
      <c r="Q142" s="2431"/>
      <c r="R142" s="2431"/>
      <c r="S142" s="2431"/>
      <c r="T142" s="2431"/>
      <c r="U142" s="2431"/>
      <c r="V142" s="2433"/>
      <c r="W142" s="2433"/>
      <c r="X142" s="2433"/>
      <c r="Y142" s="2433"/>
      <c r="Z142" s="2438">
        <v>3.0558673162833996</v>
      </c>
      <c r="AA142" s="2438">
        <v>15.74761470302704</v>
      </c>
      <c r="AB142" s="2438">
        <v>16.490348077691717</v>
      </c>
      <c r="AC142" s="2438">
        <v>25.038975735582042</v>
      </c>
      <c r="AD142" s="2438">
        <v>18.430192864623091</v>
      </c>
      <c r="AE142" s="2438">
        <v>22.884719774335245</v>
      </c>
      <c r="AF142" s="2438">
        <v>23.670234638035712</v>
      </c>
      <c r="AG142" s="2438">
        <v>14.380038460198541</v>
      </c>
      <c r="AH142" s="2438">
        <v>15.541379931249462</v>
      </c>
      <c r="AI142" s="3616">
        <v>40.917488091748368</v>
      </c>
      <c r="AJ142" s="2439">
        <v>40.098543127900435</v>
      </c>
      <c r="AK142" s="2439">
        <v>42.787657781806047</v>
      </c>
      <c r="AL142" s="2439">
        <v>49.315316768725189</v>
      </c>
      <c r="AM142" s="2439">
        <v>51.833774962114894</v>
      </c>
      <c r="AN142" s="2439">
        <v>52.697975478063199</v>
      </c>
      <c r="AO142" s="2439">
        <v>49.317250400889442</v>
      </c>
      <c r="AP142" s="2439">
        <v>9.439098450129352</v>
      </c>
      <c r="AQ142" s="2439">
        <v>7.2285173163365419</v>
      </c>
      <c r="AR142" s="2439">
        <v>4.5757417457305456</v>
      </c>
      <c r="AS142" s="2439">
        <v>1.38368860762102</v>
      </c>
      <c r="AT142" s="2439">
        <v>0.72130282174734706</v>
      </c>
    </row>
    <row r="143" spans="1:46" customFormat="1" ht="14.75">
      <c r="A143" s="304"/>
      <c r="B143" s="295"/>
      <c r="C143" s="295"/>
      <c r="D143" s="2433" t="s">
        <v>1522</v>
      </c>
      <c r="E143" s="2977"/>
      <c r="F143" s="2431"/>
      <c r="G143" s="2431"/>
      <c r="H143" s="2431"/>
      <c r="I143" s="2431"/>
      <c r="J143" s="2431"/>
      <c r="K143" s="2431"/>
      <c r="L143" s="2431"/>
      <c r="M143" s="2431"/>
      <c r="N143" s="2431"/>
      <c r="O143" s="2431"/>
      <c r="P143" s="2431"/>
      <c r="Q143" s="2431"/>
      <c r="R143" s="2431"/>
      <c r="S143" s="2431"/>
      <c r="T143" s="2431"/>
      <c r="U143" s="2431"/>
      <c r="V143" s="2433"/>
      <c r="W143" s="2433"/>
      <c r="X143" s="2433"/>
      <c r="Y143" s="2433"/>
      <c r="Z143" s="2438"/>
      <c r="AA143" s="2438">
        <v>0</v>
      </c>
      <c r="AB143" s="2438">
        <v>2.6</v>
      </c>
      <c r="AC143" s="2438">
        <v>2.6</v>
      </c>
      <c r="AD143" s="2438">
        <v>2.8880809027777778</v>
      </c>
      <c r="AE143" s="2438">
        <v>2.6818803</v>
      </c>
      <c r="AF143" s="2438">
        <v>1.5798244947858078</v>
      </c>
      <c r="AG143" s="2438">
        <v>0</v>
      </c>
      <c r="AH143" s="2438">
        <v>0</v>
      </c>
      <c r="AI143" s="3617">
        <v>0</v>
      </c>
      <c r="AJ143" s="2438">
        <v>0</v>
      </c>
      <c r="AK143" s="2438">
        <v>0</v>
      </c>
      <c r="AL143" s="2438">
        <v>4.8986922852894805</v>
      </c>
      <c r="AM143" s="2438">
        <v>8.8203837013955066</v>
      </c>
      <c r="AN143" s="2438">
        <v>8.7965989196029124</v>
      </c>
      <c r="AO143" s="2438">
        <v>7.392978914279305</v>
      </c>
      <c r="AP143" s="2438">
        <v>5.9504566060359458</v>
      </c>
      <c r="AQ143" s="2438">
        <v>4.5079342977925867</v>
      </c>
      <c r="AR143" s="2438">
        <v>3.0654119895492262</v>
      </c>
      <c r="AS143" s="2438">
        <v>1.0819542326210199</v>
      </c>
      <c r="AT143" s="2438">
        <v>0.72130282174734706</v>
      </c>
    </row>
    <row r="144" spans="1:46" customFormat="1" ht="14.75">
      <c r="A144" s="304"/>
      <c r="B144" s="295"/>
      <c r="C144" s="295"/>
      <c r="D144" s="2433" t="s">
        <v>1523</v>
      </c>
      <c r="E144" s="2977"/>
      <c r="F144" s="2431"/>
      <c r="G144" s="2431"/>
      <c r="H144" s="2431"/>
      <c r="I144" s="2431"/>
      <c r="J144" s="2431"/>
      <c r="K144" s="2431"/>
      <c r="L144" s="2431"/>
      <c r="M144" s="2431"/>
      <c r="N144" s="2431"/>
      <c r="O144" s="2431"/>
      <c r="P144" s="2431"/>
      <c r="Q144" s="2431"/>
      <c r="R144" s="2431"/>
      <c r="S144" s="2431"/>
      <c r="T144" s="2431"/>
      <c r="U144" s="2431"/>
      <c r="V144" s="2433"/>
      <c r="W144" s="2433"/>
      <c r="X144" s="2433"/>
      <c r="Y144" s="2433"/>
      <c r="Z144" s="2438"/>
      <c r="AA144" s="2438">
        <v>0</v>
      </c>
      <c r="AB144" s="2438">
        <v>0</v>
      </c>
      <c r="AC144" s="2438">
        <v>1.985830165392088</v>
      </c>
      <c r="AD144" s="2438">
        <v>1.8671371589293664</v>
      </c>
      <c r="AE144" s="2438">
        <v>1.3960493020759404</v>
      </c>
      <c r="AF144" s="2438">
        <v>0.78711225445910771</v>
      </c>
      <c r="AG144" s="2438">
        <v>0.15996020912671877</v>
      </c>
      <c r="AH144" s="2438">
        <v>0</v>
      </c>
      <c r="AI144" s="3617">
        <v>0</v>
      </c>
      <c r="AJ144" s="2438">
        <v>0</v>
      </c>
      <c r="AK144" s="2438">
        <v>0</v>
      </c>
      <c r="AL144" s="2438">
        <v>0</v>
      </c>
      <c r="AM144" s="2438">
        <v>3.2059090659340658E-6</v>
      </c>
      <c r="AN144" s="2438">
        <v>3.7164306490384614E-6</v>
      </c>
      <c r="AO144" s="2438">
        <v>3.7437368475274722E-6</v>
      </c>
      <c r="AP144" s="2438">
        <v>3.4886418440934067E-6</v>
      </c>
      <c r="AQ144" s="2438">
        <v>2.7205830185439555E-6</v>
      </c>
      <c r="AR144" s="2438">
        <v>1.5103297561813187E-6</v>
      </c>
      <c r="AS144" s="2438">
        <v>3.0173437499999998E-7</v>
      </c>
      <c r="AT144" s="2438">
        <v>0</v>
      </c>
    </row>
    <row r="145" spans="1:46" customFormat="1" ht="14.75">
      <c r="A145" s="304"/>
      <c r="B145" s="295"/>
      <c r="C145" s="295"/>
      <c r="D145" s="2433" t="s">
        <v>1526</v>
      </c>
      <c r="E145" s="2977"/>
      <c r="F145" s="2431"/>
      <c r="G145" s="2431"/>
      <c r="H145" s="2431"/>
      <c r="I145" s="2431"/>
      <c r="J145" s="2431"/>
      <c r="K145" s="2431"/>
      <c r="L145" s="2431"/>
      <c r="M145" s="2431"/>
      <c r="N145" s="2431"/>
      <c r="O145" s="2431"/>
      <c r="P145" s="2431"/>
      <c r="Q145" s="2431"/>
      <c r="R145" s="2431"/>
      <c r="S145" s="2431"/>
      <c r="T145" s="2431"/>
      <c r="U145" s="2431"/>
      <c r="V145" s="2433"/>
      <c r="W145" s="2433"/>
      <c r="X145" s="2433"/>
      <c r="Y145" s="2433"/>
      <c r="Z145" s="2438"/>
      <c r="AA145" s="2438">
        <v>0</v>
      </c>
      <c r="AB145" s="2438">
        <v>0</v>
      </c>
      <c r="AC145" s="2438">
        <v>13.25</v>
      </c>
      <c r="AD145" s="2438">
        <v>6.625</v>
      </c>
      <c r="AE145" s="2438">
        <v>13.25</v>
      </c>
      <c r="AF145" s="2438">
        <v>13.25</v>
      </c>
      <c r="AG145" s="2438">
        <v>2.0229805555555536</v>
      </c>
      <c r="AH145" s="2438">
        <v>2.0229805555555536</v>
      </c>
      <c r="AI145" s="3617">
        <v>0</v>
      </c>
      <c r="AJ145" s="2438">
        <v>0</v>
      </c>
      <c r="AK145" s="2438">
        <v>0</v>
      </c>
      <c r="AL145" s="2438">
        <v>0</v>
      </c>
      <c r="AM145" s="2438">
        <v>0</v>
      </c>
      <c r="AN145" s="2438">
        <v>0</v>
      </c>
      <c r="AO145" s="2438">
        <v>0</v>
      </c>
      <c r="AP145" s="2438">
        <v>0</v>
      </c>
      <c r="AQ145" s="2438">
        <v>0</v>
      </c>
      <c r="AR145" s="2438">
        <v>0</v>
      </c>
      <c r="AS145" s="2438">
        <v>0</v>
      </c>
      <c r="AT145" s="2438">
        <v>0</v>
      </c>
    </row>
    <row r="146" spans="1:46" customFormat="1" ht="14.75">
      <c r="A146" s="304"/>
      <c r="B146" s="295"/>
      <c r="C146" s="295"/>
      <c r="D146" s="2433" t="s">
        <v>912</v>
      </c>
      <c r="E146" s="2977"/>
      <c r="F146" s="2431"/>
      <c r="G146" s="2431"/>
      <c r="H146" s="2431"/>
      <c r="I146" s="2431"/>
      <c r="J146" s="2431"/>
      <c r="K146" s="2431"/>
      <c r="L146" s="2431"/>
      <c r="M146" s="2431"/>
      <c r="N146" s="2431"/>
      <c r="O146" s="2431"/>
      <c r="P146" s="2431"/>
      <c r="Q146" s="2431"/>
      <c r="R146" s="2431"/>
      <c r="S146" s="2431"/>
      <c r="T146" s="2431"/>
      <c r="U146" s="2431"/>
      <c r="V146" s="2433"/>
      <c r="W146" s="2433"/>
      <c r="X146" s="2433"/>
      <c r="Y146" s="2433"/>
      <c r="Z146" s="2438"/>
      <c r="AA146" s="2438">
        <v>0</v>
      </c>
      <c r="AB146" s="2438">
        <v>0</v>
      </c>
      <c r="AC146" s="2438">
        <v>0</v>
      </c>
      <c r="AD146" s="2438">
        <v>0</v>
      </c>
      <c r="AE146" s="2438">
        <v>0</v>
      </c>
      <c r="AF146" s="2438">
        <v>0</v>
      </c>
      <c r="AG146" s="2438">
        <v>0</v>
      </c>
      <c r="AH146" s="2438">
        <v>0</v>
      </c>
      <c r="AI146" s="3617">
        <v>7.5000000000000002E-4</v>
      </c>
      <c r="AJ146" s="2438">
        <v>6.4999999999999997E-4</v>
      </c>
      <c r="AK146" s="2438">
        <v>0</v>
      </c>
      <c r="AL146" s="2438">
        <v>0</v>
      </c>
      <c r="AM146" s="2438">
        <v>0</v>
      </c>
      <c r="AN146" s="2438">
        <v>0</v>
      </c>
      <c r="AO146" s="2438">
        <v>0</v>
      </c>
      <c r="AP146" s="2438">
        <v>0</v>
      </c>
      <c r="AQ146" s="2438">
        <v>0</v>
      </c>
      <c r="AR146" s="2438">
        <v>0</v>
      </c>
      <c r="AS146" s="2438">
        <v>0</v>
      </c>
      <c r="AT146" s="2438">
        <v>0</v>
      </c>
    </row>
    <row r="147" spans="1:46" customFormat="1" ht="14.75">
      <c r="A147" s="304"/>
      <c r="B147" s="295"/>
      <c r="C147" s="295"/>
      <c r="D147" s="2433" t="s">
        <v>949</v>
      </c>
      <c r="E147" s="2977"/>
      <c r="F147" s="2431"/>
      <c r="G147" s="2431"/>
      <c r="H147" s="2431"/>
      <c r="I147" s="2431"/>
      <c r="J147" s="2431"/>
      <c r="K147" s="2431"/>
      <c r="L147" s="2431"/>
      <c r="M147" s="2431"/>
      <c r="N147" s="2431"/>
      <c r="O147" s="2431"/>
      <c r="P147" s="2431"/>
      <c r="Q147" s="2431"/>
      <c r="R147" s="2431"/>
      <c r="S147" s="2431"/>
      <c r="T147" s="2431"/>
      <c r="U147" s="2431"/>
      <c r="V147" s="2433"/>
      <c r="W147" s="2433"/>
      <c r="X147" s="2433"/>
      <c r="Y147" s="2433"/>
      <c r="Z147" s="2438"/>
      <c r="AA147" s="2438">
        <v>0</v>
      </c>
      <c r="AB147" s="2438">
        <v>0</v>
      </c>
      <c r="AC147" s="2438">
        <v>0</v>
      </c>
      <c r="AD147" s="2438">
        <v>0</v>
      </c>
      <c r="AE147" s="2438">
        <v>0</v>
      </c>
      <c r="AF147" s="2438">
        <v>0</v>
      </c>
      <c r="AG147" s="2438">
        <v>0</v>
      </c>
      <c r="AH147" s="2438">
        <v>0.75</v>
      </c>
      <c r="AI147" s="3617">
        <v>0</v>
      </c>
      <c r="AJ147" s="2438">
        <v>0</v>
      </c>
      <c r="AK147" s="2438">
        <v>0</v>
      </c>
      <c r="AL147" s="2438">
        <v>0</v>
      </c>
      <c r="AM147" s="2438">
        <v>0</v>
      </c>
      <c r="AN147" s="2438">
        <v>0</v>
      </c>
      <c r="AO147" s="2438">
        <v>0</v>
      </c>
      <c r="AP147" s="2438">
        <v>0</v>
      </c>
      <c r="AQ147" s="2438">
        <v>0</v>
      </c>
      <c r="AR147" s="2438">
        <v>0</v>
      </c>
      <c r="AS147" s="2438">
        <v>0</v>
      </c>
      <c r="AT147" s="2438">
        <v>0</v>
      </c>
    </row>
    <row r="148" spans="1:46" customFormat="1" ht="14.75">
      <c r="A148" s="304"/>
      <c r="B148" s="295"/>
      <c r="C148" s="295"/>
      <c r="D148" s="2433" t="s">
        <v>169</v>
      </c>
      <c r="E148" s="2977"/>
      <c r="F148" s="2431"/>
      <c r="G148" s="2431"/>
      <c r="H148" s="2431"/>
      <c r="I148" s="2431"/>
      <c r="J148" s="2431"/>
      <c r="K148" s="2431"/>
      <c r="L148" s="2431"/>
      <c r="M148" s="2431"/>
      <c r="N148" s="2431"/>
      <c r="O148" s="2431"/>
      <c r="P148" s="2431"/>
      <c r="Q148" s="2431"/>
      <c r="R148" s="2431"/>
      <c r="S148" s="2431"/>
      <c r="T148" s="2431"/>
      <c r="U148" s="2431"/>
      <c r="V148" s="2433"/>
      <c r="W148" s="2433"/>
      <c r="X148" s="2433"/>
      <c r="Y148" s="2433"/>
      <c r="Z148" s="2438">
        <v>18.848985554244805</v>
      </c>
      <c r="AA148" s="2438">
        <v>6.5593611199106849</v>
      </c>
      <c r="AB148" s="2438">
        <v>7.2712633756917189</v>
      </c>
      <c r="AC148" s="2438">
        <v>12.393475305289096</v>
      </c>
      <c r="AD148" s="2438">
        <v>19.087970393485904</v>
      </c>
      <c r="AE148" s="2438">
        <v>17.85482159159676</v>
      </c>
      <c r="AF148" s="2438">
        <v>21.674000574119852</v>
      </c>
      <c r="AG148" s="2438">
        <v>35.031252750210463</v>
      </c>
      <c r="AH148" s="2438">
        <v>39.662094234951368</v>
      </c>
      <c r="AI148" s="3616">
        <v>46.602377199302751</v>
      </c>
      <c r="AJ148" s="2439">
        <v>42.71750874201539</v>
      </c>
      <c r="AK148" s="2439">
        <v>46.530880170094946</v>
      </c>
      <c r="AL148" s="2439">
        <v>54.838856493218984</v>
      </c>
      <c r="AM148" s="2439">
        <v>58.375293910981782</v>
      </c>
      <c r="AN148" s="2439">
        <v>57.738583360111924</v>
      </c>
      <c r="AO148" s="2439">
        <v>57.049776287763471</v>
      </c>
      <c r="AP148" s="2439">
        <v>7.8645198489596204</v>
      </c>
      <c r="AQ148" s="2439">
        <v>5.2558434091601489</v>
      </c>
      <c r="AR148" s="2439">
        <v>2.6076653598499222</v>
      </c>
      <c r="AS148" s="2439">
        <v>1.18866243706705</v>
      </c>
      <c r="AT148" s="2439">
        <v>0.53215683724023044</v>
      </c>
    </row>
    <row r="149" spans="1:46" customFormat="1" ht="14.75">
      <c r="A149" s="304"/>
      <c r="B149" s="295"/>
      <c r="C149" s="295"/>
      <c r="D149" s="2433" t="s">
        <v>1522</v>
      </c>
      <c r="E149" s="2977"/>
      <c r="F149" s="2431"/>
      <c r="G149" s="2431"/>
      <c r="H149" s="2431"/>
      <c r="I149" s="2431"/>
      <c r="J149" s="2431"/>
      <c r="K149" s="2431"/>
      <c r="L149" s="2431"/>
      <c r="M149" s="2431"/>
      <c r="N149" s="2431"/>
      <c r="O149" s="2431"/>
      <c r="P149" s="2431"/>
      <c r="Q149" s="2431"/>
      <c r="R149" s="2431"/>
      <c r="S149" s="2431"/>
      <c r="T149" s="2431"/>
      <c r="U149" s="2431"/>
      <c r="V149" s="2433"/>
      <c r="W149" s="2433"/>
      <c r="X149" s="2433"/>
      <c r="Y149" s="2433"/>
      <c r="Z149" s="2438"/>
      <c r="AA149" s="2438">
        <v>0</v>
      </c>
      <c r="AB149" s="2438">
        <v>2.6</v>
      </c>
      <c r="AC149" s="2438">
        <v>2.6</v>
      </c>
      <c r="AD149" s="2438">
        <v>2.9331900000000006</v>
      </c>
      <c r="AE149" s="2438">
        <v>2.6257652015069444</v>
      </c>
      <c r="AF149" s="2438">
        <v>1.0722448214980238</v>
      </c>
      <c r="AG149" s="2438">
        <v>0</v>
      </c>
      <c r="AH149" s="2438">
        <v>0</v>
      </c>
      <c r="AI149" s="3617">
        <v>0</v>
      </c>
      <c r="AJ149" s="2438">
        <v>0</v>
      </c>
      <c r="AK149" s="2438">
        <v>3.1929410234413775</v>
      </c>
      <c r="AL149" s="2438">
        <v>7.2804981373796398</v>
      </c>
      <c r="AM149" s="2438">
        <v>9.388106072923236</v>
      </c>
      <c r="AN149" s="2438">
        <v>7.9704852747396915</v>
      </c>
      <c r="AO149" s="2438">
        <v>6.5629397531985338</v>
      </c>
      <c r="AP149" s="2438">
        <v>5.1439368304156643</v>
      </c>
      <c r="AQ149" s="2438">
        <v>3.7455136529788304</v>
      </c>
      <c r="AR149" s="2438">
        <v>2.3059309848499225</v>
      </c>
      <c r="AS149" s="2438">
        <v>0.88692806206704999</v>
      </c>
      <c r="AT149" s="2438">
        <v>0.53215683724023044</v>
      </c>
    </row>
    <row r="150" spans="1:46" customFormat="1" ht="14.75">
      <c r="A150" s="304"/>
      <c r="B150" s="295"/>
      <c r="C150" s="295"/>
      <c r="D150" s="2433" t="s">
        <v>1523</v>
      </c>
      <c r="E150" s="2977"/>
      <c r="F150" s="2431"/>
      <c r="G150" s="2431"/>
      <c r="H150" s="2431"/>
      <c r="I150" s="2431"/>
      <c r="J150" s="2431"/>
      <c r="K150" s="2431"/>
      <c r="L150" s="2431"/>
      <c r="M150" s="2431"/>
      <c r="N150" s="2431"/>
      <c r="O150" s="2431"/>
      <c r="P150" s="2431"/>
      <c r="Q150" s="2431"/>
      <c r="R150" s="2431"/>
      <c r="S150" s="2431"/>
      <c r="T150" s="2431"/>
      <c r="U150" s="2431"/>
      <c r="V150" s="2433"/>
      <c r="W150" s="2433"/>
      <c r="X150" s="2433"/>
      <c r="Y150" s="2433"/>
      <c r="Z150" s="2438"/>
      <c r="AA150" s="2438">
        <v>0</v>
      </c>
      <c r="AB150" s="2438">
        <v>0</v>
      </c>
      <c r="AC150" s="2438">
        <v>1.9084690307425856</v>
      </c>
      <c r="AD150" s="2438">
        <v>1.8671371589293664</v>
      </c>
      <c r="AE150" s="2438">
        <v>1.2591548498474274</v>
      </c>
      <c r="AF150" s="2438">
        <v>0.63913365711091041</v>
      </c>
      <c r="AG150" s="2438">
        <v>0</v>
      </c>
      <c r="AH150" s="2438">
        <v>0</v>
      </c>
      <c r="AI150" s="3617">
        <v>0</v>
      </c>
      <c r="AJ150" s="2438">
        <v>0</v>
      </c>
      <c r="AK150" s="2438">
        <v>0</v>
      </c>
      <c r="AL150" s="2438">
        <v>3.2059090659340659</v>
      </c>
      <c r="AM150" s="2438">
        <v>3.7164306490384615</v>
      </c>
      <c r="AN150" s="2438">
        <v>3.7437368475274724</v>
      </c>
      <c r="AO150" s="2438">
        <v>3.4886418440934066</v>
      </c>
      <c r="AP150" s="2438">
        <v>2.7205830185439557</v>
      </c>
      <c r="AQ150" s="2438">
        <v>1.5103297561813187</v>
      </c>
      <c r="AR150" s="2438">
        <v>0.301734375</v>
      </c>
      <c r="AS150" s="2438">
        <v>0.301734375</v>
      </c>
      <c r="AT150" s="2438">
        <v>0</v>
      </c>
    </row>
    <row r="151" spans="1:46" customFormat="1" ht="14.75">
      <c r="A151" s="304"/>
      <c r="B151" s="295"/>
      <c r="C151" s="295"/>
      <c r="D151" s="2433" t="s">
        <v>1526</v>
      </c>
      <c r="E151" s="2977"/>
      <c r="F151" s="2431"/>
      <c r="G151" s="2431"/>
      <c r="H151" s="2431"/>
      <c r="I151" s="2431"/>
      <c r="J151" s="2431"/>
      <c r="K151" s="2431"/>
      <c r="L151" s="2431"/>
      <c r="M151" s="2431"/>
      <c r="N151" s="2431"/>
      <c r="O151" s="2431"/>
      <c r="P151" s="2431"/>
      <c r="Q151" s="2431"/>
      <c r="R151" s="2431"/>
      <c r="S151" s="2431"/>
      <c r="T151" s="2431"/>
      <c r="U151" s="2431"/>
      <c r="V151" s="2433"/>
      <c r="W151" s="2433"/>
      <c r="X151" s="2433"/>
      <c r="Y151" s="2433"/>
      <c r="Z151" s="2438"/>
      <c r="AA151" s="2438">
        <v>0</v>
      </c>
      <c r="AB151" s="2438">
        <v>0</v>
      </c>
      <c r="AC151" s="2438">
        <v>0</v>
      </c>
      <c r="AD151" s="2438">
        <v>6.625</v>
      </c>
      <c r="AE151" s="2438">
        <v>6.625</v>
      </c>
      <c r="AF151" s="2438">
        <v>5.9438283800000002</v>
      </c>
      <c r="AG151" s="2438">
        <v>0</v>
      </c>
      <c r="AH151" s="2438">
        <v>0</v>
      </c>
      <c r="AI151" s="3617">
        <v>0</v>
      </c>
      <c r="AJ151" s="2438">
        <v>0</v>
      </c>
      <c r="AK151" s="2438">
        <v>0</v>
      </c>
      <c r="AL151" s="2438">
        <v>0</v>
      </c>
      <c r="AM151" s="2438">
        <v>0</v>
      </c>
      <c r="AN151" s="2438">
        <v>0</v>
      </c>
      <c r="AO151" s="2438">
        <v>0</v>
      </c>
      <c r="AP151" s="2438">
        <v>0</v>
      </c>
      <c r="AQ151" s="2438">
        <v>0</v>
      </c>
      <c r="AR151" s="2438">
        <v>0</v>
      </c>
      <c r="AS151" s="2438">
        <v>0</v>
      </c>
      <c r="AT151" s="2438">
        <v>0</v>
      </c>
    </row>
    <row r="152" spans="1:46">
      <c r="A152" s="304"/>
      <c r="D152" s="2433" t="s">
        <v>912</v>
      </c>
      <c r="E152" s="2977"/>
      <c r="F152" s="2431"/>
      <c r="G152" s="2431"/>
      <c r="H152" s="2431"/>
      <c r="I152" s="2431"/>
      <c r="J152" s="2431"/>
      <c r="K152" s="2431"/>
      <c r="L152" s="2431"/>
      <c r="M152" s="2431"/>
      <c r="N152" s="2431"/>
      <c r="O152" s="2431"/>
      <c r="P152" s="2431"/>
      <c r="Q152" s="2431"/>
      <c r="R152" s="2431"/>
      <c r="S152" s="2431"/>
      <c r="T152" s="2431"/>
      <c r="U152" s="2431"/>
      <c r="V152" s="2433"/>
      <c r="W152" s="2433"/>
      <c r="X152" s="2433"/>
      <c r="Y152" s="2433"/>
      <c r="Z152" s="2438"/>
      <c r="AA152" s="2438">
        <v>0</v>
      </c>
      <c r="AB152" s="2438">
        <v>0</v>
      </c>
      <c r="AC152" s="2438">
        <v>0</v>
      </c>
      <c r="AD152" s="2438">
        <v>0</v>
      </c>
      <c r="AE152" s="2438">
        <v>0</v>
      </c>
      <c r="AF152" s="2438">
        <v>0</v>
      </c>
      <c r="AG152" s="2438">
        <v>17.239444444444445</v>
      </c>
      <c r="AH152" s="2438">
        <v>17.05</v>
      </c>
      <c r="AI152" s="3617">
        <v>17.05</v>
      </c>
      <c r="AJ152" s="2438">
        <v>17.05</v>
      </c>
      <c r="AK152" s="2438">
        <v>17.05</v>
      </c>
      <c r="AL152" s="2438">
        <v>17.05</v>
      </c>
      <c r="AM152" s="2438">
        <v>17.05</v>
      </c>
      <c r="AN152" s="2438">
        <v>17.05</v>
      </c>
      <c r="AO152" s="2438">
        <v>17.05</v>
      </c>
      <c r="AP152" s="2438">
        <v>0</v>
      </c>
      <c r="AQ152" s="2438">
        <v>0</v>
      </c>
      <c r="AR152" s="2438">
        <v>0</v>
      </c>
      <c r="AS152" s="2438">
        <v>0</v>
      </c>
      <c r="AT152" s="2438">
        <v>0</v>
      </c>
    </row>
    <row r="153" spans="1:46">
      <c r="A153" s="304"/>
      <c r="D153" s="2433" t="s">
        <v>949</v>
      </c>
      <c r="E153" s="2977"/>
      <c r="F153" s="2431"/>
      <c r="G153" s="2431"/>
      <c r="H153" s="2431"/>
      <c r="I153" s="2431"/>
      <c r="J153" s="2431"/>
      <c r="K153" s="2431"/>
      <c r="L153" s="2431"/>
      <c r="M153" s="2431"/>
      <c r="N153" s="2431"/>
      <c r="O153" s="2431"/>
      <c r="P153" s="2431"/>
      <c r="Q153" s="2431"/>
      <c r="R153" s="2431"/>
      <c r="S153" s="2431"/>
      <c r="T153" s="2431"/>
      <c r="U153" s="2431"/>
      <c r="V153" s="2433"/>
      <c r="W153" s="2433"/>
      <c r="X153" s="2433"/>
      <c r="Y153" s="2433"/>
      <c r="Z153" s="2438"/>
      <c r="AA153" s="2438">
        <v>0</v>
      </c>
      <c r="AB153" s="2438">
        <v>0</v>
      </c>
      <c r="AC153" s="2438">
        <v>0</v>
      </c>
      <c r="AD153" s="2438">
        <v>0</v>
      </c>
      <c r="AE153" s="2438">
        <v>0</v>
      </c>
      <c r="AF153" s="2438">
        <v>0</v>
      </c>
      <c r="AG153" s="2438">
        <v>0.75</v>
      </c>
      <c r="AH153" s="2438">
        <v>2.5</v>
      </c>
      <c r="AI153" s="3617">
        <v>1.5</v>
      </c>
      <c r="AJ153" s="2438">
        <v>0</v>
      </c>
      <c r="AK153" s="2438">
        <v>0</v>
      </c>
      <c r="AL153" s="2438">
        <v>0</v>
      </c>
      <c r="AM153" s="2438">
        <v>0</v>
      </c>
      <c r="AN153" s="2438">
        <v>0</v>
      </c>
      <c r="AO153" s="2438">
        <v>0</v>
      </c>
      <c r="AP153" s="2438">
        <v>0</v>
      </c>
      <c r="AQ153" s="2438">
        <v>0</v>
      </c>
      <c r="AR153" s="2438">
        <v>0</v>
      </c>
      <c r="AS153" s="2438">
        <v>0</v>
      </c>
      <c r="AT153" s="2438">
        <v>0</v>
      </c>
    </row>
    <row r="154" spans="1:46">
      <c r="A154" s="304"/>
      <c r="D154" s="2433" t="s">
        <v>170</v>
      </c>
      <c r="E154" s="2977"/>
      <c r="F154" s="2431"/>
      <c r="G154" s="2431"/>
      <c r="H154" s="2431"/>
      <c r="I154" s="2431"/>
      <c r="J154" s="2431"/>
      <c r="K154" s="2431"/>
      <c r="L154" s="2431"/>
      <c r="M154" s="2431"/>
      <c r="N154" s="2431"/>
      <c r="O154" s="2431"/>
      <c r="P154" s="2431"/>
      <c r="Q154" s="2431"/>
      <c r="R154" s="2431"/>
      <c r="S154" s="2431"/>
      <c r="T154" s="2431"/>
      <c r="U154" s="2431"/>
      <c r="V154" s="2433"/>
      <c r="W154" s="2433"/>
      <c r="X154" s="2433"/>
      <c r="Y154" s="2433"/>
      <c r="Z154" s="2438">
        <v>2.5389231223020881</v>
      </c>
      <c r="AA154" s="2438">
        <v>16.026937404147024</v>
      </c>
      <c r="AB154" s="2438">
        <v>16.426734134691717</v>
      </c>
      <c r="AC154" s="2438">
        <v>23.687840174617438</v>
      </c>
      <c r="AD154" s="2438">
        <v>18.84884592276163</v>
      </c>
      <c r="AE154" s="2438">
        <v>17.473812894996502</v>
      </c>
      <c r="AF154" s="2438">
        <v>12.116574035599882</v>
      </c>
      <c r="AG154" s="2438">
        <v>15.031331341321586</v>
      </c>
      <c r="AH154" s="2438">
        <v>28.092437582323885</v>
      </c>
      <c r="AI154" s="3616">
        <v>37.946393863717731</v>
      </c>
      <c r="AJ154" s="2439">
        <v>44.528035920015398</v>
      </c>
      <c r="AK154" s="2439">
        <v>46.022770447094928</v>
      </c>
      <c r="AL154" s="2439">
        <v>51.788849006218989</v>
      </c>
      <c r="AM154" s="2439">
        <v>52.311112504981764</v>
      </c>
      <c r="AN154" s="2439">
        <v>50.373388783111935</v>
      </c>
      <c r="AO154" s="2439">
        <v>48.112980674763477</v>
      </c>
      <c r="AP154" s="2439">
        <v>7.8645198489596204</v>
      </c>
      <c r="AQ154" s="2439">
        <v>5.2558434091601489</v>
      </c>
      <c r="AR154" s="2439">
        <v>2.6076653598499222</v>
      </c>
      <c r="AS154" s="2439">
        <v>0.88692806206704999</v>
      </c>
      <c r="AT154" s="2439">
        <v>0.53215683724023044</v>
      </c>
    </row>
    <row r="155" spans="1:46">
      <c r="A155" s="304"/>
      <c r="D155" s="2433" t="s">
        <v>1522</v>
      </c>
      <c r="E155" s="2977"/>
      <c r="F155" s="2431"/>
      <c r="G155" s="2431"/>
      <c r="H155" s="2431"/>
      <c r="I155" s="2431"/>
      <c r="J155" s="2431"/>
      <c r="K155" s="2431"/>
      <c r="L155" s="2431"/>
      <c r="M155" s="2431"/>
      <c r="N155" s="2431"/>
      <c r="O155" s="2431"/>
      <c r="P155" s="2431"/>
      <c r="Q155" s="2431"/>
      <c r="R155" s="2431"/>
      <c r="S155" s="2431"/>
      <c r="T155" s="2431"/>
      <c r="U155" s="2431"/>
      <c r="V155" s="2433"/>
      <c r="W155" s="2433"/>
      <c r="X155" s="2433"/>
      <c r="Y155" s="2433"/>
      <c r="Z155" s="2438"/>
      <c r="AA155" s="2438">
        <v>0</v>
      </c>
      <c r="AB155" s="2438">
        <v>2.6</v>
      </c>
      <c r="AC155" s="2438">
        <v>2.8255823555555559</v>
      </c>
      <c r="AD155" s="2438">
        <v>2.8249287444444442</v>
      </c>
      <c r="AE155" s="2438">
        <v>2.3858861282451387</v>
      </c>
      <c r="AF155" s="2438">
        <v>0.54137224628238845</v>
      </c>
      <c r="AG155" s="2438">
        <v>0</v>
      </c>
      <c r="AH155" s="2438">
        <v>0</v>
      </c>
      <c r="AI155" s="3617">
        <v>0</v>
      </c>
      <c r="AJ155" s="2438">
        <v>0</v>
      </c>
      <c r="AK155" s="2438">
        <v>3.1929410234413775</v>
      </c>
      <c r="AL155" s="2438">
        <v>7.2804981373796398</v>
      </c>
      <c r="AM155" s="2438">
        <v>9.388106072923236</v>
      </c>
      <c r="AN155" s="2438">
        <v>7.9704852747396915</v>
      </c>
      <c r="AO155" s="2438">
        <v>6.5629397531985338</v>
      </c>
      <c r="AP155" s="2438">
        <v>5.1439368304156643</v>
      </c>
      <c r="AQ155" s="2438">
        <v>3.7455136529788304</v>
      </c>
      <c r="AR155" s="2438">
        <v>2.3059309848499225</v>
      </c>
      <c r="AS155" s="2438">
        <v>0.88692806206704999</v>
      </c>
      <c r="AT155" s="2438">
        <v>0.53215683724023044</v>
      </c>
    </row>
    <row r="156" spans="1:46">
      <c r="A156" s="304"/>
      <c r="D156" s="2433" t="s">
        <v>1523</v>
      </c>
      <c r="E156" s="2977"/>
      <c r="F156" s="2431"/>
      <c r="G156" s="2431"/>
      <c r="H156" s="2431"/>
      <c r="I156" s="2431"/>
      <c r="J156" s="2431"/>
      <c r="K156" s="2431"/>
      <c r="L156" s="2431"/>
      <c r="M156" s="2431"/>
      <c r="N156" s="2431"/>
      <c r="O156" s="2431"/>
      <c r="P156" s="2431"/>
      <c r="Q156" s="2431"/>
      <c r="R156" s="2431"/>
      <c r="S156" s="2431"/>
      <c r="T156" s="2431"/>
      <c r="U156" s="2431"/>
      <c r="V156" s="2433"/>
      <c r="W156" s="2433"/>
      <c r="X156" s="2433"/>
      <c r="Y156" s="2433"/>
      <c r="Z156" s="2438"/>
      <c r="AA156" s="2438">
        <v>0</v>
      </c>
      <c r="AB156" s="2438">
        <v>0</v>
      </c>
      <c r="AC156" s="2438">
        <v>1.9084690307425856</v>
      </c>
      <c r="AD156" s="2438">
        <v>1.7362739437606505</v>
      </c>
      <c r="AE156" s="2438">
        <v>1.1180252265089754</v>
      </c>
      <c r="AF156" s="2438">
        <v>0.48657697225102636</v>
      </c>
      <c r="AG156" s="2438">
        <v>0</v>
      </c>
      <c r="AH156" s="2438">
        <v>0</v>
      </c>
      <c r="AI156" s="3617">
        <v>0</v>
      </c>
      <c r="AJ156" s="2438">
        <v>0</v>
      </c>
      <c r="AK156" s="2438">
        <v>0</v>
      </c>
      <c r="AL156" s="2438">
        <v>3.2059090659340659</v>
      </c>
      <c r="AM156" s="2438">
        <v>3.7164306490384615</v>
      </c>
      <c r="AN156" s="2438">
        <v>3.7437368475274724</v>
      </c>
      <c r="AO156" s="2438">
        <v>3.4886418440934066</v>
      </c>
      <c r="AP156" s="2438">
        <v>2.7205830185439557</v>
      </c>
      <c r="AQ156" s="2438">
        <v>1.5103297561813187</v>
      </c>
      <c r="AR156" s="2438">
        <v>0.301734375</v>
      </c>
      <c r="AS156" s="2438">
        <v>0</v>
      </c>
      <c r="AT156" s="2438">
        <v>0</v>
      </c>
    </row>
    <row r="157" spans="1:46">
      <c r="A157" s="304"/>
      <c r="D157" s="2433" t="s">
        <v>1526</v>
      </c>
      <c r="E157" s="2977"/>
      <c r="F157" s="2431"/>
      <c r="G157" s="2431"/>
      <c r="H157" s="2431"/>
      <c r="I157" s="2431"/>
      <c r="J157" s="2431"/>
      <c r="K157" s="2431"/>
      <c r="L157" s="2431"/>
      <c r="M157" s="2431"/>
      <c r="N157" s="2431"/>
      <c r="O157" s="2431"/>
      <c r="P157" s="2431"/>
      <c r="Q157" s="2431"/>
      <c r="R157" s="2431"/>
      <c r="S157" s="2431"/>
      <c r="T157" s="2431"/>
      <c r="U157" s="2431"/>
      <c r="V157" s="2433"/>
      <c r="W157" s="2433"/>
      <c r="X157" s="2433"/>
      <c r="Y157" s="2433"/>
      <c r="Z157" s="2438"/>
      <c r="AA157" s="2438">
        <v>0</v>
      </c>
      <c r="AB157" s="2438">
        <v>0</v>
      </c>
      <c r="AC157" s="2438">
        <v>13.25</v>
      </c>
      <c r="AD157" s="2438">
        <v>6.625</v>
      </c>
      <c r="AE157" s="2438">
        <v>6.625</v>
      </c>
      <c r="AF157" s="2438">
        <v>2.0229805555555536</v>
      </c>
      <c r="AG157" s="2438">
        <v>2.0229805555555536</v>
      </c>
      <c r="AH157" s="2438">
        <v>0</v>
      </c>
      <c r="AI157" s="3617">
        <v>0</v>
      </c>
      <c r="AJ157" s="2438">
        <v>0</v>
      </c>
      <c r="AK157" s="2438">
        <v>0</v>
      </c>
      <c r="AL157" s="2438">
        <v>0</v>
      </c>
      <c r="AM157" s="2438">
        <v>0</v>
      </c>
      <c r="AN157" s="2438">
        <v>0</v>
      </c>
      <c r="AO157" s="2438">
        <v>0</v>
      </c>
      <c r="AP157" s="2438">
        <v>0</v>
      </c>
      <c r="AQ157" s="2438">
        <v>0</v>
      </c>
      <c r="AR157" s="2438">
        <v>0</v>
      </c>
      <c r="AS157" s="2438">
        <v>0</v>
      </c>
      <c r="AT157" s="2438">
        <v>0</v>
      </c>
    </row>
    <row r="158" spans="1:46">
      <c r="A158" s="304"/>
      <c r="D158" s="2433" t="s">
        <v>912</v>
      </c>
      <c r="E158" s="2977"/>
      <c r="F158" s="2431"/>
      <c r="G158" s="2431"/>
      <c r="H158" s="2431"/>
      <c r="I158" s="2431"/>
      <c r="J158" s="2431"/>
      <c r="K158" s="2431"/>
      <c r="L158" s="2431"/>
      <c r="M158" s="2431"/>
      <c r="N158" s="2431"/>
      <c r="O158" s="2431"/>
      <c r="P158" s="2431"/>
      <c r="Q158" s="2431"/>
      <c r="R158" s="2431"/>
      <c r="S158" s="2431"/>
      <c r="T158" s="2431"/>
      <c r="U158" s="2431"/>
      <c r="V158" s="2433"/>
      <c r="W158" s="2433"/>
      <c r="X158" s="2433"/>
      <c r="Y158" s="2433"/>
      <c r="Z158" s="2438"/>
      <c r="AA158" s="2438">
        <v>0</v>
      </c>
      <c r="AB158" s="2438">
        <v>0</v>
      </c>
      <c r="AC158" s="2438">
        <v>0</v>
      </c>
      <c r="AD158" s="2438">
        <v>0</v>
      </c>
      <c r="AE158" s="2438">
        <v>0</v>
      </c>
      <c r="AF158" s="2438">
        <v>0</v>
      </c>
      <c r="AG158" s="2438">
        <v>0</v>
      </c>
      <c r="AH158" s="2438">
        <v>0</v>
      </c>
      <c r="AI158" s="3617">
        <v>0</v>
      </c>
      <c r="AJ158" s="2438">
        <v>0</v>
      </c>
      <c r="AK158" s="2438">
        <v>0</v>
      </c>
      <c r="AL158" s="2438">
        <v>0</v>
      </c>
      <c r="AM158" s="2438">
        <v>0</v>
      </c>
      <c r="AN158" s="2438">
        <v>0</v>
      </c>
      <c r="AO158" s="2438">
        <v>0</v>
      </c>
      <c r="AP158" s="2438">
        <v>0</v>
      </c>
      <c r="AQ158" s="2438">
        <v>0</v>
      </c>
      <c r="AR158" s="2438">
        <v>0</v>
      </c>
      <c r="AS158" s="2438">
        <v>0</v>
      </c>
      <c r="AT158" s="2438">
        <v>0</v>
      </c>
    </row>
    <row r="159" spans="1:46">
      <c r="A159" s="304"/>
      <c r="D159" s="2433" t="s">
        <v>949</v>
      </c>
      <c r="E159" s="2977"/>
      <c r="F159" s="2431"/>
      <c r="G159" s="2431"/>
      <c r="H159" s="2431"/>
      <c r="I159" s="2431"/>
      <c r="J159" s="2431"/>
      <c r="K159" s="2431"/>
      <c r="L159" s="2431"/>
      <c r="M159" s="2431"/>
      <c r="N159" s="2431"/>
      <c r="O159" s="2431"/>
      <c r="P159" s="2431"/>
      <c r="Q159" s="2431"/>
      <c r="R159" s="2431"/>
      <c r="S159" s="2431"/>
      <c r="T159" s="2431"/>
      <c r="U159" s="2431"/>
      <c r="V159" s="2433"/>
      <c r="W159" s="2433"/>
      <c r="X159" s="2433"/>
      <c r="Y159" s="2433"/>
      <c r="Z159" s="2438"/>
      <c r="AA159" s="2438">
        <v>0</v>
      </c>
      <c r="AB159" s="2438">
        <v>0</v>
      </c>
      <c r="AC159" s="2438">
        <v>0</v>
      </c>
      <c r="AD159" s="2438">
        <v>0</v>
      </c>
      <c r="AE159" s="2438">
        <v>0</v>
      </c>
      <c r="AF159" s="2438">
        <v>0</v>
      </c>
      <c r="AG159" s="2438">
        <v>0.75</v>
      </c>
      <c r="AH159" s="2438">
        <v>2.5</v>
      </c>
      <c r="AI159" s="3617">
        <v>1.5</v>
      </c>
      <c r="AJ159" s="2438">
        <v>0</v>
      </c>
      <c r="AK159" s="2438">
        <v>0</v>
      </c>
      <c r="AL159" s="2438">
        <v>0</v>
      </c>
      <c r="AM159" s="2438">
        <v>0</v>
      </c>
      <c r="AN159" s="2438">
        <v>0</v>
      </c>
      <c r="AO159" s="2438">
        <v>0</v>
      </c>
      <c r="AP159" s="2438">
        <v>0</v>
      </c>
      <c r="AQ159" s="2438">
        <v>0</v>
      </c>
      <c r="AR159" s="2438">
        <v>0</v>
      </c>
      <c r="AS159" s="2438">
        <v>0</v>
      </c>
      <c r="AT159" s="2438">
        <v>0</v>
      </c>
    </row>
    <row r="160" spans="1:46">
      <c r="A160" s="304"/>
      <c r="D160" s="2440" t="s">
        <v>1545</v>
      </c>
      <c r="E160" s="2978" t="s">
        <v>861</v>
      </c>
      <c r="F160" s="2431"/>
      <c r="G160" s="2431"/>
      <c r="H160" s="2431"/>
      <c r="I160" s="2431"/>
      <c r="J160" s="2431"/>
      <c r="K160" s="2431"/>
      <c r="L160" s="2431"/>
      <c r="M160" s="2431"/>
      <c r="N160" s="2431"/>
      <c r="O160" s="2431"/>
      <c r="P160" s="2431"/>
      <c r="Q160" s="2431"/>
      <c r="R160" s="2431"/>
      <c r="S160" s="2431"/>
      <c r="T160" s="2431"/>
      <c r="U160" s="2431"/>
      <c r="V160" s="2433"/>
      <c r="W160" s="2433"/>
      <c r="X160" s="2433"/>
      <c r="Y160" s="2433"/>
      <c r="Z160" s="2438"/>
      <c r="AA160" s="2438"/>
      <c r="AB160" s="2438"/>
      <c r="AC160" s="2438"/>
      <c r="AD160" s="2438"/>
      <c r="AE160" s="2438"/>
      <c r="AF160" s="2438"/>
      <c r="AG160" s="2438"/>
      <c r="AH160" s="2438"/>
      <c r="AI160" s="3616"/>
      <c r="AJ160" s="2439">
        <v>10.242057724025649</v>
      </c>
      <c r="AK160" s="2439">
        <v>7.4255169070000004</v>
      </c>
      <c r="AL160" s="2439">
        <v>7.4255169070000004</v>
      </c>
      <c r="AM160" s="2439">
        <v>7.4458607840000006</v>
      </c>
      <c r="AN160" s="2439">
        <v>7.4255169070000004</v>
      </c>
      <c r="AO160" s="2439">
        <v>7.4255169070000004</v>
      </c>
      <c r="AP160" s="2439">
        <v>0</v>
      </c>
      <c r="AQ160" s="2439">
        <v>0</v>
      </c>
      <c r="AR160" s="2439">
        <v>0</v>
      </c>
      <c r="AS160" s="2439">
        <v>0</v>
      </c>
      <c r="AT160" s="2439">
        <v>0</v>
      </c>
    </row>
    <row r="161" spans="1:46">
      <c r="A161" s="304"/>
      <c r="D161" s="2430" t="s">
        <v>1546</v>
      </c>
      <c r="E161" s="2977"/>
      <c r="F161" s="2431"/>
      <c r="G161" s="2431"/>
      <c r="H161" s="2431"/>
      <c r="I161" s="2431"/>
      <c r="J161" s="2431"/>
      <c r="K161" s="2431"/>
      <c r="L161" s="2431"/>
      <c r="M161" s="2431"/>
      <c r="N161" s="2441">
        <v>1459.0600000000002</v>
      </c>
      <c r="O161" s="2441">
        <v>1671.8300000000002</v>
      </c>
      <c r="P161" s="2441">
        <v>1486.74</v>
      </c>
      <c r="Q161" s="2441">
        <v>479.47999999999996</v>
      </c>
      <c r="R161" s="2441">
        <v>569.77</v>
      </c>
      <c r="S161" s="2441">
        <v>665.65</v>
      </c>
      <c r="T161" s="2441">
        <v>736.52</v>
      </c>
      <c r="U161" s="2441">
        <v>777.3</v>
      </c>
      <c r="V161" s="2441">
        <v>984.74090899769249</v>
      </c>
      <c r="W161" s="2441">
        <v>1062.2469999999998</v>
      </c>
      <c r="X161" s="2441">
        <v>1544.36</v>
      </c>
      <c r="Y161" s="2441">
        <v>1761.0825392678689</v>
      </c>
      <c r="Z161" s="2441">
        <v>2065.06952</v>
      </c>
      <c r="AA161" s="2441">
        <v>2459.3708481448743</v>
      </c>
      <c r="AB161" s="2441">
        <v>3164.359033550003</v>
      </c>
      <c r="AC161" s="2441">
        <v>3593.798101002054</v>
      </c>
      <c r="AD161" s="2441">
        <v>4218.0876605854355</v>
      </c>
      <c r="AE161" s="2441">
        <v>5316.0802803037441</v>
      </c>
      <c r="AF161" s="2441">
        <v>6508.2064574576798</v>
      </c>
      <c r="AG161" s="2441">
        <v>6805.8630940622261</v>
      </c>
      <c r="AH161" s="2441">
        <v>7775.9855634108835</v>
      </c>
      <c r="AI161" s="3618">
        <v>9078.1760471410562</v>
      </c>
      <c r="AJ161" s="2441">
        <v>9615.0663902153283</v>
      </c>
      <c r="AK161" s="2441">
        <v>10863.50880669901</v>
      </c>
      <c r="AL161" s="2441">
        <v>11858.051669500683</v>
      </c>
      <c r="AM161" s="2441">
        <v>12493.707961342187</v>
      </c>
      <c r="AN161" s="2441">
        <v>12792.111155550094</v>
      </c>
      <c r="AO161" s="2441">
        <v>12882.823830356923</v>
      </c>
      <c r="AP161" s="2441">
        <v>13221.353943693055</v>
      </c>
      <c r="AQ161" s="2441">
        <v>13351.249789063539</v>
      </c>
      <c r="AR161" s="2441">
        <v>13296.883879001527</v>
      </c>
      <c r="AS161" s="2441">
        <v>13283.752378240579</v>
      </c>
      <c r="AT161" s="2441">
        <v>13263.367733278154</v>
      </c>
    </row>
    <row r="162" spans="1:46">
      <c r="A162" s="304"/>
      <c r="D162" s="2433" t="s">
        <v>1547</v>
      </c>
      <c r="E162" s="2977"/>
      <c r="F162" s="2431"/>
      <c r="G162" s="2431"/>
      <c r="H162" s="2431"/>
      <c r="I162" s="2431"/>
      <c r="J162" s="2431"/>
      <c r="K162" s="2431"/>
      <c r="L162" s="2431"/>
      <c r="M162" s="2431"/>
      <c r="N162" s="2442">
        <v>1310.4100000000001</v>
      </c>
      <c r="O162" s="2442">
        <v>1518.16</v>
      </c>
      <c r="P162" s="2442">
        <v>1402.81</v>
      </c>
      <c r="Q162" s="2442">
        <v>390.03</v>
      </c>
      <c r="R162" s="2442">
        <v>485.66</v>
      </c>
      <c r="S162" s="2442">
        <v>580.52</v>
      </c>
      <c r="T162" s="2442">
        <v>628.26</v>
      </c>
      <c r="U162" s="2442">
        <v>651.03</v>
      </c>
      <c r="V162" s="2442">
        <v>833.0761018724719</v>
      </c>
      <c r="W162" s="2442">
        <v>890.66999999999985</v>
      </c>
      <c r="X162" s="2442">
        <v>927.73599999999988</v>
      </c>
      <c r="Y162" s="2442">
        <v>1108.5725392678689</v>
      </c>
      <c r="Z162" s="2442">
        <v>1370.1395200000002</v>
      </c>
      <c r="AA162" s="2442">
        <v>1750.0208481448742</v>
      </c>
      <c r="AB162" s="2442">
        <v>2280.0990335500032</v>
      </c>
      <c r="AC162" s="2442">
        <v>2682.1181010020541</v>
      </c>
      <c r="AD162" s="2442">
        <v>3202.167660585435</v>
      </c>
      <c r="AE162" s="2442">
        <v>4185.7402803037439</v>
      </c>
      <c r="AF162" s="2442">
        <v>5014.2346173146798</v>
      </c>
      <c r="AG162" s="2442">
        <v>5343.5434653900274</v>
      </c>
      <c r="AH162" s="2442">
        <v>6403.1615909145048</v>
      </c>
      <c r="AI162" s="3619">
        <v>7742.9254108654677</v>
      </c>
      <c r="AJ162" s="2442">
        <v>8325.486625145908</v>
      </c>
      <c r="AK162" s="2442">
        <v>9629.8132098794867</v>
      </c>
      <c r="AL162" s="2442">
        <v>10704.987062843933</v>
      </c>
      <c r="AM162" s="2442">
        <v>11486.006765916633</v>
      </c>
      <c r="AN162" s="2442">
        <v>11970.127101545108</v>
      </c>
      <c r="AO162" s="2442">
        <v>12255.183293964057</v>
      </c>
      <c r="AP162" s="2442">
        <v>12661.135917365644</v>
      </c>
      <c r="AQ162" s="2442">
        <v>12858.454272801582</v>
      </c>
      <c r="AR162" s="2442">
        <v>12871.510872805025</v>
      </c>
      <c r="AS162" s="2442">
        <v>12878.764017006502</v>
      </c>
      <c r="AT162" s="2442">
        <v>12878.764017006502</v>
      </c>
    </row>
    <row r="163" spans="1:46">
      <c r="A163" s="304"/>
      <c r="D163" s="2433" t="s">
        <v>173</v>
      </c>
      <c r="E163" s="2977"/>
      <c r="F163" s="2431"/>
      <c r="G163" s="2431"/>
      <c r="H163" s="2431"/>
      <c r="I163" s="2431"/>
      <c r="J163" s="2431"/>
      <c r="K163" s="2431"/>
      <c r="L163" s="2431"/>
      <c r="M163" s="2431"/>
      <c r="N163" s="2442">
        <v>148.65</v>
      </c>
      <c r="O163" s="2442">
        <v>153.66999999999999</v>
      </c>
      <c r="P163" s="2442">
        <v>83.93</v>
      </c>
      <c r="Q163" s="2442">
        <v>89.45</v>
      </c>
      <c r="R163" s="2442">
        <v>84.11</v>
      </c>
      <c r="S163" s="2442">
        <v>85.13</v>
      </c>
      <c r="T163" s="2442">
        <v>108.26</v>
      </c>
      <c r="U163" s="2442">
        <v>126.27</v>
      </c>
      <c r="V163" s="2442">
        <v>151.66480712522059</v>
      </c>
      <c r="W163" s="2442">
        <v>171.577</v>
      </c>
      <c r="X163" s="2442">
        <v>216.62399999999997</v>
      </c>
      <c r="Y163" s="2442">
        <v>252.51</v>
      </c>
      <c r="Z163" s="2442">
        <v>294.93</v>
      </c>
      <c r="AA163" s="2442">
        <v>309.35000000000002</v>
      </c>
      <c r="AB163" s="2442">
        <v>354.26</v>
      </c>
      <c r="AC163" s="2442">
        <v>381.68</v>
      </c>
      <c r="AD163" s="2442">
        <v>485.92</v>
      </c>
      <c r="AE163" s="2442">
        <v>640.34</v>
      </c>
      <c r="AF163" s="2442">
        <v>813.40684014299984</v>
      </c>
      <c r="AG163" s="2442">
        <v>781.75462867219778</v>
      </c>
      <c r="AH163" s="2442">
        <v>752.65897249637862</v>
      </c>
      <c r="AI163" s="3619">
        <v>715.08563627558669</v>
      </c>
      <c r="AJ163" s="2442">
        <v>669.4147650694199</v>
      </c>
      <c r="AK163" s="2442">
        <v>613.5305968195222</v>
      </c>
      <c r="AL163" s="2442">
        <v>543.09192913796085</v>
      </c>
      <c r="AM163" s="2442">
        <v>465.15102797222119</v>
      </c>
      <c r="AN163" s="2442">
        <v>346.85639661710832</v>
      </c>
      <c r="AO163" s="2442">
        <v>219.93538907044297</v>
      </c>
      <c r="AP163" s="2442">
        <v>219.93538907044297</v>
      </c>
      <c r="AQ163" s="2442">
        <v>219.93538907044297</v>
      </c>
      <c r="AR163" s="2442">
        <v>219.93538907044297</v>
      </c>
      <c r="AS163" s="2442">
        <v>219.93538907044297</v>
      </c>
      <c r="AT163" s="2442">
        <v>219.93538907044297</v>
      </c>
    </row>
    <row r="164" spans="1:46">
      <c r="A164" s="304"/>
      <c r="D164" s="2433" t="s">
        <v>174</v>
      </c>
      <c r="E164" s="2977"/>
      <c r="F164" s="2431"/>
      <c r="G164" s="2431"/>
      <c r="H164" s="2431"/>
      <c r="I164" s="2431"/>
      <c r="J164" s="2431"/>
      <c r="K164" s="2431"/>
      <c r="L164" s="2431"/>
      <c r="M164" s="2431"/>
      <c r="N164" s="2442"/>
      <c r="O164" s="2442"/>
      <c r="P164" s="2442"/>
      <c r="Q164" s="2442"/>
      <c r="R164" s="2442"/>
      <c r="S164" s="2442"/>
      <c r="T164" s="2442"/>
      <c r="U164" s="2442"/>
      <c r="V164" s="2442">
        <v>0</v>
      </c>
      <c r="W164" s="2442">
        <v>0</v>
      </c>
      <c r="X164" s="2442">
        <v>400</v>
      </c>
      <c r="Y164" s="2442">
        <v>400</v>
      </c>
      <c r="Z164" s="2442">
        <v>400</v>
      </c>
      <c r="AA164" s="2442">
        <v>400</v>
      </c>
      <c r="AB164" s="2442">
        <v>530</v>
      </c>
      <c r="AC164" s="2442">
        <v>530</v>
      </c>
      <c r="AD164" s="2442">
        <v>530</v>
      </c>
      <c r="AE164" s="2442">
        <v>490</v>
      </c>
      <c r="AF164" s="2442">
        <v>680.56500000000005</v>
      </c>
      <c r="AG164" s="2442">
        <v>680.56500000000005</v>
      </c>
      <c r="AH164" s="2442">
        <v>620.16500000000008</v>
      </c>
      <c r="AI164" s="3619">
        <v>620.16500000000008</v>
      </c>
      <c r="AJ164" s="2442">
        <v>620.16500000000008</v>
      </c>
      <c r="AK164" s="2442">
        <v>620.16500000000008</v>
      </c>
      <c r="AL164" s="2442">
        <v>609.97267751878758</v>
      </c>
      <c r="AM164" s="2442">
        <v>542.55016745333273</v>
      </c>
      <c r="AN164" s="2442">
        <v>475.12765738787778</v>
      </c>
      <c r="AO164" s="2442">
        <v>407.70514732242293</v>
      </c>
      <c r="AP164" s="2442">
        <v>340.28263725696809</v>
      </c>
      <c r="AQ164" s="2442">
        <v>272.86012719151324</v>
      </c>
      <c r="AR164" s="2442">
        <v>205.4376171260584</v>
      </c>
      <c r="AS164" s="2442">
        <v>185.0529721636334</v>
      </c>
      <c r="AT164" s="2442">
        <v>164.6683272012084</v>
      </c>
    </row>
    <row r="165" spans="1:46">
      <c r="A165" s="304"/>
      <c r="D165" s="2430" t="s">
        <v>1548</v>
      </c>
      <c r="E165" s="2977"/>
      <c r="F165" s="2431"/>
      <c r="G165" s="2431"/>
      <c r="H165" s="2431"/>
      <c r="I165" s="2431"/>
      <c r="J165" s="2431"/>
      <c r="K165" s="2431"/>
      <c r="L165" s="2431"/>
      <c r="M165" s="2431"/>
      <c r="N165" s="2442">
        <v>0</v>
      </c>
      <c r="O165" s="2442">
        <v>0</v>
      </c>
      <c r="P165" s="2442">
        <v>0</v>
      </c>
      <c r="Q165" s="2442">
        <v>0</v>
      </c>
      <c r="R165" s="2442">
        <v>0</v>
      </c>
      <c r="S165" s="2442">
        <v>0</v>
      </c>
      <c r="T165" s="2442">
        <v>13</v>
      </c>
      <c r="U165" s="2442">
        <v>23</v>
      </c>
      <c r="V165" s="2442">
        <v>128</v>
      </c>
      <c r="W165" s="2442">
        <v>103.1</v>
      </c>
      <c r="X165" s="2442">
        <v>46.7</v>
      </c>
      <c r="Y165" s="2442">
        <v>75.2</v>
      </c>
      <c r="Z165" s="2442">
        <v>62.957609132009061</v>
      </c>
      <c r="AA165" s="2442">
        <v>353.10748654108153</v>
      </c>
      <c r="AB165" s="2442">
        <v>39.754518411490551</v>
      </c>
      <c r="AC165" s="2442">
        <v>79.745206200200883</v>
      </c>
      <c r="AD165" s="2442">
        <v>22.081738779327818</v>
      </c>
      <c r="AE165" s="2442">
        <v>22.478645709414739</v>
      </c>
      <c r="AF165" s="2442">
        <v>9.096069197545571</v>
      </c>
      <c r="AG165" s="2442">
        <v>108.68462181476009</v>
      </c>
      <c r="AH165" s="2442">
        <v>0</v>
      </c>
      <c r="AI165" s="3619">
        <v>82.88</v>
      </c>
      <c r="AJ165" s="2442">
        <v>117.82</v>
      </c>
      <c r="AK165" s="2442">
        <v>117.82</v>
      </c>
      <c r="AL165" s="2442">
        <v>82.792817910000025</v>
      </c>
      <c r="AM165" s="2442">
        <v>0</v>
      </c>
      <c r="AN165" s="2442">
        <v>0</v>
      </c>
      <c r="AO165" s="2442">
        <v>0</v>
      </c>
      <c r="AP165" s="2442">
        <v>0</v>
      </c>
      <c r="AQ165" s="2442">
        <v>0</v>
      </c>
      <c r="AR165" s="2442">
        <v>0</v>
      </c>
      <c r="AS165" s="2442">
        <v>0</v>
      </c>
      <c r="AT165" s="2442">
        <v>0</v>
      </c>
    </row>
    <row r="166" spans="1:46">
      <c r="D166" s="1471" t="s">
        <v>950</v>
      </c>
      <c r="E166" s="766"/>
      <c r="F166" s="2"/>
      <c r="G166" s="2"/>
      <c r="H166" s="2"/>
      <c r="I166" s="2"/>
      <c r="J166" s="2"/>
      <c r="K166" s="2"/>
      <c r="L166" s="2"/>
      <c r="M166" s="2"/>
      <c r="N166" s="2"/>
      <c r="O166" s="2"/>
      <c r="P166" s="2"/>
      <c r="Q166" s="2"/>
      <c r="R166" s="2"/>
      <c r="S166" s="2"/>
      <c r="T166" s="2"/>
      <c r="U166" s="2"/>
      <c r="V166" s="2"/>
      <c r="W166" s="2"/>
      <c r="Y166" s="2"/>
      <c r="AA166" s="2"/>
      <c r="AB166" s="2"/>
      <c r="AC166" s="300"/>
      <c r="AD166" s="2"/>
      <c r="AE166" s="2"/>
      <c r="AF166" s="2"/>
    </row>
    <row r="167" spans="1:46">
      <c r="D167" s="295"/>
      <c r="E167" s="766"/>
      <c r="F167" s="2"/>
      <c r="G167" s="2"/>
      <c r="H167" s="2"/>
      <c r="I167" s="2"/>
      <c r="J167" s="2"/>
      <c r="K167" s="2"/>
      <c r="L167" s="2"/>
      <c r="M167" s="2"/>
      <c r="N167" s="2"/>
      <c r="O167" s="2"/>
      <c r="P167" s="2"/>
      <c r="Q167" s="2"/>
      <c r="R167" s="2"/>
      <c r="S167" s="2"/>
      <c r="T167" s="2"/>
      <c r="U167" s="2"/>
      <c r="V167" s="2"/>
      <c r="W167" s="2"/>
      <c r="Y167" s="2"/>
      <c r="AA167" s="2"/>
      <c r="AB167" s="2"/>
      <c r="AC167" s="684"/>
      <c r="AD167" s="684"/>
      <c r="AE167" s="684"/>
      <c r="AF167" s="684"/>
      <c r="AL167" s="3148"/>
      <c r="AM167" s="1685"/>
      <c r="AN167" s="1685"/>
      <c r="AO167" s="1685"/>
    </row>
    <row r="168" spans="1:46">
      <c r="D168" s="2064" t="s">
        <v>232</v>
      </c>
      <c r="E168" s="2117"/>
      <c r="F168" s="2895"/>
      <c r="G168" s="206"/>
      <c r="H168" s="206"/>
      <c r="I168" s="206"/>
      <c r="J168" s="206"/>
      <c r="K168" s="206"/>
      <c r="L168" s="206"/>
      <c r="M168" s="206"/>
      <c r="N168" s="206"/>
      <c r="O168" s="206"/>
      <c r="P168" s="206"/>
      <c r="Q168" s="206"/>
      <c r="R168" s="206"/>
      <c r="S168" s="206"/>
      <c r="T168" s="206"/>
      <c r="U168" s="206"/>
      <c r="V168" s="206"/>
      <c r="W168" s="206"/>
      <c r="X168" s="206"/>
      <c r="Y168" s="206"/>
      <c r="Z168" s="206"/>
      <c r="AA168" s="206"/>
      <c r="AB168" s="206"/>
      <c r="AC168" s="206"/>
      <c r="AD168" s="206"/>
      <c r="AE168" s="206"/>
      <c r="AF168" s="206"/>
      <c r="AG168" s="206"/>
      <c r="AH168" s="206"/>
      <c r="AI168" s="3579"/>
      <c r="AJ168" s="2895"/>
      <c r="AK168" s="683"/>
    </row>
    <row r="169" spans="1:46" s="1384" customFormat="1">
      <c r="A169" s="2147"/>
      <c r="B169" s="2148"/>
      <c r="C169" s="2148" t="s">
        <v>30</v>
      </c>
      <c r="D169" s="2149" t="s">
        <v>39</v>
      </c>
      <c r="E169" s="2979"/>
      <c r="F169" s="2896"/>
      <c r="G169" s="2150"/>
      <c r="H169" s="2150"/>
      <c r="I169" s="2150"/>
      <c r="J169" s="2150"/>
      <c r="K169" s="2150"/>
      <c r="L169" s="2150"/>
      <c r="M169" s="2150"/>
      <c r="N169" s="2150"/>
      <c r="O169" s="2150"/>
      <c r="P169" s="2150"/>
      <c r="Q169" s="2150"/>
      <c r="R169" s="2150"/>
      <c r="S169" s="2150"/>
      <c r="T169" s="2150">
        <v>2009</v>
      </c>
      <c r="U169" s="2150">
        <v>2010</v>
      </c>
      <c r="V169" s="2151" t="s">
        <v>7</v>
      </c>
      <c r="W169" s="2152">
        <v>2012</v>
      </c>
      <c r="X169" s="2152">
        <v>2013</v>
      </c>
      <c r="Y169" s="2152">
        <v>2014</v>
      </c>
      <c r="Z169" s="2152">
        <v>2015</v>
      </c>
      <c r="AA169" s="2152">
        <v>2016</v>
      </c>
      <c r="AB169" s="2152">
        <v>2017</v>
      </c>
      <c r="AC169" s="2153">
        <v>2018</v>
      </c>
      <c r="AD169" s="3149">
        <v>2019</v>
      </c>
      <c r="AE169" s="3149">
        <v>2020</v>
      </c>
      <c r="AF169" s="3150">
        <v>2021</v>
      </c>
      <c r="AG169" s="3150">
        <f>+AF169+1</f>
        <v>2022</v>
      </c>
      <c r="AH169" s="3150">
        <f t="shared" ref="AH169:AM169" si="1">+AG169+1</f>
        <v>2023</v>
      </c>
      <c r="AI169" s="3580">
        <f t="shared" si="1"/>
        <v>2024</v>
      </c>
      <c r="AJ169" s="3578">
        <f t="shared" si="1"/>
        <v>2025</v>
      </c>
      <c r="AK169" s="3150">
        <f t="shared" si="1"/>
        <v>2026</v>
      </c>
      <c r="AL169" s="3150">
        <f t="shared" si="1"/>
        <v>2027</v>
      </c>
      <c r="AM169" s="3150">
        <f t="shared" si="1"/>
        <v>2028</v>
      </c>
      <c r="AN169" s="3150">
        <f t="shared" ref="AN169:AT169" si="2">+AM169+1</f>
        <v>2029</v>
      </c>
      <c r="AO169" s="2154">
        <f t="shared" si="2"/>
        <v>2030</v>
      </c>
      <c r="AP169" s="2154">
        <f t="shared" si="2"/>
        <v>2031</v>
      </c>
      <c r="AQ169" s="2154">
        <f t="shared" si="2"/>
        <v>2032</v>
      </c>
      <c r="AR169" s="2154">
        <f t="shared" si="2"/>
        <v>2033</v>
      </c>
      <c r="AS169" s="2154">
        <f t="shared" si="2"/>
        <v>2034</v>
      </c>
      <c r="AT169" s="2154">
        <f t="shared" si="2"/>
        <v>2035</v>
      </c>
    </row>
    <row r="170" spans="1:46">
      <c r="D170" s="2686" t="s">
        <v>7</v>
      </c>
      <c r="E170" s="3311">
        <f ca="1">TODAY()</f>
        <v>46074</v>
      </c>
      <c r="F170" s="2687"/>
      <c r="G170" s="2688"/>
      <c r="H170" s="2688"/>
      <c r="I170" s="2689">
        <v>1998</v>
      </c>
      <c r="J170" s="2689">
        <v>1999</v>
      </c>
      <c r="K170" s="2689">
        <v>2000</v>
      </c>
      <c r="L170" s="2689">
        <v>2001</v>
      </c>
      <c r="M170" s="2689">
        <v>2002</v>
      </c>
      <c r="N170" s="2689">
        <v>2003</v>
      </c>
      <c r="O170" s="2689">
        <v>2004</v>
      </c>
      <c r="P170" s="2689">
        <v>2005</v>
      </c>
      <c r="Q170" s="2689">
        <v>2006</v>
      </c>
      <c r="R170" s="2689">
        <v>2007</v>
      </c>
      <c r="S170" s="2689">
        <v>2008</v>
      </c>
      <c r="T170" s="2689">
        <v>2009</v>
      </c>
      <c r="U170" s="2690">
        <v>2010</v>
      </c>
      <c r="V170" s="2690">
        <v>2011</v>
      </c>
      <c r="W170" s="2690">
        <v>2012</v>
      </c>
      <c r="X170" s="2691">
        <v>2013</v>
      </c>
      <c r="Y170" s="2691">
        <v>2014</v>
      </c>
      <c r="Z170" s="2691">
        <v>2015</v>
      </c>
      <c r="AA170" s="2691">
        <v>2016</v>
      </c>
      <c r="AB170" s="2691">
        <v>2017</v>
      </c>
      <c r="AC170" s="2691">
        <v>2018</v>
      </c>
      <c r="AD170" s="2871">
        <v>2019</v>
      </c>
      <c r="AE170" s="2871">
        <v>2020</v>
      </c>
      <c r="AF170" s="2871">
        <v>2021</v>
      </c>
      <c r="AG170" s="3151">
        <v>2022</v>
      </c>
      <c r="AH170" s="2871">
        <v>2023</v>
      </c>
      <c r="AI170" s="3581">
        <v>2024</v>
      </c>
      <c r="AJ170" s="3151">
        <v>2025</v>
      </c>
      <c r="AK170" s="2871">
        <v>2026</v>
      </c>
      <c r="AL170" s="2871">
        <v>2027</v>
      </c>
      <c r="AM170" s="2871">
        <v>2028</v>
      </c>
      <c r="AN170" s="2871">
        <v>2029</v>
      </c>
      <c r="AO170" s="2871">
        <v>2030</v>
      </c>
      <c r="AP170" s="2871">
        <v>2031</v>
      </c>
      <c r="AQ170" s="2871">
        <v>2032</v>
      </c>
      <c r="AR170" s="2871">
        <v>2033</v>
      </c>
      <c r="AS170" s="2871">
        <v>2034</v>
      </c>
      <c r="AT170" s="2871">
        <v>2035</v>
      </c>
    </row>
    <row r="171" spans="1:46" s="1892" customFormat="1">
      <c r="A171" s="1893"/>
      <c r="B171" s="2573"/>
      <c r="C171" s="2573"/>
      <c r="D171" s="2811" t="s">
        <v>1357</v>
      </c>
      <c r="E171" s="2811"/>
      <c r="F171" s="2812"/>
      <c r="G171" s="2811"/>
      <c r="H171" s="2811"/>
      <c r="I171" s="2811">
        <v>62.480240890000005</v>
      </c>
      <c r="J171" s="2811">
        <v>60.92301823999999</v>
      </c>
      <c r="K171" s="2811">
        <v>68.978827246000009</v>
      </c>
      <c r="L171" s="2811">
        <v>92.401690245089114</v>
      </c>
      <c r="M171" s="2811">
        <v>64.763704910780007</v>
      </c>
      <c r="N171" s="2811">
        <v>62.780109999999993</v>
      </c>
      <c r="O171" s="2811">
        <v>97.935253032574082</v>
      </c>
      <c r="P171" s="2811">
        <v>124.897456064403</v>
      </c>
      <c r="Q171" s="2811">
        <v>147.30299980249552</v>
      </c>
      <c r="R171" s="2811">
        <v>176.69369374961863</v>
      </c>
      <c r="S171" s="2811">
        <v>263.71555412455729</v>
      </c>
      <c r="T171" s="2811">
        <v>234.10938203532825</v>
      </c>
      <c r="U171" s="2811">
        <v>297.27525638318576</v>
      </c>
      <c r="V171" s="2811">
        <v>464.23509572295097</v>
      </c>
      <c r="W171" s="2811">
        <v>590.75047513658239</v>
      </c>
      <c r="X171" s="2811">
        <v>703.01008041898604</v>
      </c>
      <c r="Y171" s="2811">
        <v>723.09059610740644</v>
      </c>
      <c r="Z171" s="2811">
        <v>682.04487175539759</v>
      </c>
      <c r="AA171" s="2811">
        <v>726.61089888126162</v>
      </c>
      <c r="AB171" s="2811">
        <v>1040.4630420538626</v>
      </c>
      <c r="AC171" s="2811">
        <v>1129.6259856911984</v>
      </c>
      <c r="AD171" s="2873">
        <v>1239.7017406889609</v>
      </c>
      <c r="AE171" s="2872">
        <v>1407.5179307271878</v>
      </c>
      <c r="AF171" s="2872">
        <v>1530.8304561703999</v>
      </c>
      <c r="AG171" s="3152">
        <v>2111.8792169381027</v>
      </c>
      <c r="AH171" s="2872">
        <v>2465.9492713402205</v>
      </c>
      <c r="AI171" s="3582">
        <v>3201.0016814397941</v>
      </c>
      <c r="AJ171" s="3152">
        <v>3071.9481574250826</v>
      </c>
      <c r="AK171" s="2872">
        <v>3588.9859421174037</v>
      </c>
      <c r="AL171" s="2872">
        <v>3938.6925583836082</v>
      </c>
      <c r="AM171" s="2872">
        <v>4271.2624613189737</v>
      </c>
      <c r="AN171" s="2872">
        <v>4482.1365104394035</v>
      </c>
      <c r="AO171" s="2872">
        <v>4846.6141909670278</v>
      </c>
      <c r="AP171" s="2872">
        <v>5259.2505034770584</v>
      </c>
      <c r="AQ171" s="2872">
        <v>5716.2159660126472</v>
      </c>
      <c r="AR171" s="2872">
        <v>6223.0896535508291</v>
      </c>
      <c r="AS171" s="2872">
        <v>6786.1639096370982</v>
      </c>
      <c r="AT171" s="2872">
        <v>7412.5148501593867</v>
      </c>
    </row>
    <row r="172" spans="1:46" s="1892" customFormat="1">
      <c r="A172" s="1893"/>
      <c r="B172" s="2573"/>
      <c r="C172" s="2573"/>
      <c r="D172" s="2811" t="s">
        <v>1634</v>
      </c>
      <c r="E172" s="2811"/>
      <c r="F172" s="2812"/>
      <c r="G172" s="2811"/>
      <c r="H172" s="2811"/>
      <c r="I172" s="2811"/>
      <c r="J172" s="2811"/>
      <c r="K172" s="2811"/>
      <c r="L172" s="2811"/>
      <c r="M172" s="2811"/>
      <c r="N172" s="2811"/>
      <c r="O172" s="2811"/>
      <c r="P172" s="2811"/>
      <c r="Q172" s="2811"/>
      <c r="R172" s="2811"/>
      <c r="S172" s="2811"/>
      <c r="T172" s="2811"/>
      <c r="U172" s="2811"/>
      <c r="V172" s="2811"/>
      <c r="W172" s="2811"/>
      <c r="X172" s="2811"/>
      <c r="Y172" s="2811"/>
      <c r="Z172" s="2811"/>
      <c r="AA172" s="2811"/>
      <c r="AB172" s="2811"/>
      <c r="AC172" s="2811">
        <v>73.613640090336645</v>
      </c>
      <c r="AD172" s="2873">
        <v>276.37361303992793</v>
      </c>
      <c r="AE172" s="2873">
        <v>646.18294618000004</v>
      </c>
      <c r="AF172" s="2873">
        <v>363.18400854496144</v>
      </c>
      <c r="AG172" s="3153">
        <v>555.74041728139775</v>
      </c>
      <c r="AH172" s="2873">
        <v>883.60790093213734</v>
      </c>
      <c r="AI172" s="3583">
        <v>1509.0537308472606</v>
      </c>
      <c r="AJ172" s="3153">
        <v>1206.9647253848273</v>
      </c>
      <c r="AK172" s="2873">
        <v>1542.0495161561084</v>
      </c>
      <c r="AL172" s="2873">
        <v>1699.0949344064513</v>
      </c>
      <c r="AM172" s="2873">
        <v>1812.3835023452923</v>
      </c>
      <c r="AN172" s="2873">
        <v>1812.3835023452923</v>
      </c>
      <c r="AO172" s="2873">
        <v>1950.1246485235347</v>
      </c>
      <c r="AP172" s="2873">
        <v>2098.3341218113233</v>
      </c>
      <c r="AQ172" s="2873">
        <v>2257.8075150689842</v>
      </c>
      <c r="AR172" s="2873">
        <v>2429.4008862142273</v>
      </c>
      <c r="AS172" s="2873">
        <v>2614.0353535665085</v>
      </c>
      <c r="AT172" s="2873">
        <v>2812.7020404375639</v>
      </c>
    </row>
    <row r="173" spans="1:46" s="1892" customFormat="1">
      <c r="A173" s="1893"/>
      <c r="B173" s="2573"/>
      <c r="C173" s="2573" t="s">
        <v>236</v>
      </c>
      <c r="D173" s="2811" t="s">
        <v>1492</v>
      </c>
      <c r="E173" s="2811"/>
      <c r="F173" s="2812"/>
      <c r="G173" s="2811"/>
      <c r="H173" s="2811"/>
      <c r="I173" s="2811">
        <v>106.73024089</v>
      </c>
      <c r="J173" s="2811">
        <v>107.68309399983535</v>
      </c>
      <c r="K173" s="2811">
        <v>106.13882724600001</v>
      </c>
      <c r="L173" s="2811">
        <v>136.22169024508912</v>
      </c>
      <c r="M173" s="2811">
        <v>106.53370491078</v>
      </c>
      <c r="N173" s="2811">
        <v>133.93167900728815</v>
      </c>
      <c r="O173" s="2811">
        <v>193.45768438594956</v>
      </c>
      <c r="P173" s="2811">
        <v>236.07507046643579</v>
      </c>
      <c r="Q173" s="2811">
        <v>336.95590239593059</v>
      </c>
      <c r="R173" s="2811">
        <v>398.12763808926024</v>
      </c>
      <c r="S173" s="2811">
        <v>574.47566862147028</v>
      </c>
      <c r="T173" s="2811">
        <v>583.54234730706241</v>
      </c>
      <c r="U173" s="2811">
        <v>702.72841604774931</v>
      </c>
      <c r="V173" s="2811">
        <v>953.28799114999129</v>
      </c>
      <c r="W173" s="2811">
        <v>1120.3808514907678</v>
      </c>
      <c r="X173" s="2811">
        <v>1298.831986604627</v>
      </c>
      <c r="Y173" s="2811">
        <v>1328.2776489911746</v>
      </c>
      <c r="Z173" s="2811">
        <v>1449.0251702056357</v>
      </c>
      <c r="AA173" s="2811">
        <v>1516.6459188326864</v>
      </c>
      <c r="AB173" s="2811">
        <v>1903.903239376245</v>
      </c>
      <c r="AC173" s="2811">
        <v>2043.2564542595733</v>
      </c>
      <c r="AD173" s="2873">
        <v>2254.6748088851036</v>
      </c>
      <c r="AE173" s="2872">
        <v>1928.9619233956835</v>
      </c>
      <c r="AF173" s="2872">
        <v>2107.1777363212304</v>
      </c>
      <c r="AG173" s="3152">
        <v>2995.0093031760771</v>
      </c>
      <c r="AH173" s="2872">
        <v>3510.442392430753</v>
      </c>
      <c r="AI173" s="3582">
        <v>4282.0141746075824</v>
      </c>
      <c r="AJ173" s="3152">
        <v>4213.3730897728847</v>
      </c>
      <c r="AK173" s="2872">
        <v>4798.2426153338929</v>
      </c>
      <c r="AL173" s="2872">
        <v>5227.9838921666596</v>
      </c>
      <c r="AM173" s="2872">
        <v>5647.099712913544</v>
      </c>
      <c r="AN173" s="2872">
        <v>5951.6850402986856</v>
      </c>
      <c r="AO173" s="2872">
        <v>6377.1464677058784</v>
      </c>
      <c r="AP173" s="2872">
        <v>6915.9894666245737</v>
      </c>
      <c r="AQ173" s="2872">
        <v>7487.8205567794375</v>
      </c>
      <c r="AR173" s="2872">
        <v>8119.179109414622</v>
      </c>
      <c r="AS173" s="2872">
        <v>8817.1654894122512</v>
      </c>
      <c r="AT173" s="2872">
        <v>9589.7356012014279</v>
      </c>
    </row>
    <row r="174" spans="1:46" s="1892" customFormat="1">
      <c r="A174" s="1893"/>
      <c r="B174" s="2573"/>
      <c r="C174" s="2573"/>
      <c r="D174" s="2811" t="s">
        <v>244</v>
      </c>
      <c r="E174" s="2811"/>
      <c r="F174" s="2812"/>
      <c r="G174" s="2811"/>
      <c r="H174" s="2811"/>
      <c r="I174" s="2811">
        <v>14997.66</v>
      </c>
      <c r="J174" s="2811">
        <v>18332.759999999998</v>
      </c>
      <c r="K174" s="2811">
        <v>16089.12</v>
      </c>
      <c r="L174" s="2811">
        <v>17788.080000000002</v>
      </c>
      <c r="M174" s="2811">
        <v>19796.939999999999</v>
      </c>
      <c r="N174" s="2811">
        <v>14700</v>
      </c>
      <c r="O174" s="2811">
        <v>27085.14</v>
      </c>
      <c r="P174" s="2811">
        <v>18398.64</v>
      </c>
      <c r="Q174" s="2811">
        <v>26534.12</v>
      </c>
      <c r="R174" s="2811">
        <v>13673.864</v>
      </c>
      <c r="S174" s="2811">
        <v>18191.293000000001</v>
      </c>
      <c r="T174" s="2811">
        <v>14992.361999999999</v>
      </c>
      <c r="U174" s="2811">
        <v>18235.848999999998</v>
      </c>
      <c r="V174" s="2811">
        <v>15596.618</v>
      </c>
      <c r="W174" s="2811">
        <v>16989.73</v>
      </c>
      <c r="X174" s="2813">
        <v>19988.913</v>
      </c>
      <c r="Y174" s="2813">
        <v>15973.377</v>
      </c>
      <c r="Z174" s="2813">
        <v>18793.308000000001</v>
      </c>
      <c r="AA174" s="2813">
        <v>18641.035</v>
      </c>
      <c r="AB174" s="2813">
        <v>18670.717339999999</v>
      </c>
      <c r="AC174" s="2813">
        <v>21294.140520000001</v>
      </c>
      <c r="AD174" s="2872">
        <v>23237.602800000001</v>
      </c>
      <c r="AE174" s="2872">
        <v>16030.0635</v>
      </c>
      <c r="AF174" s="2872">
        <v>17479.556130000001</v>
      </c>
      <c r="AG174" s="3152">
        <v>17848.692000000003</v>
      </c>
      <c r="AH174" s="2872">
        <v>17536.038</v>
      </c>
      <c r="AI174" s="3582">
        <v>17244.656999999999</v>
      </c>
      <c r="AJ174" s="3152">
        <v>18399.234</v>
      </c>
      <c r="AK174" s="2872">
        <v>18767.218679999998</v>
      </c>
      <c r="AL174" s="2872">
        <v>19142.563053599999</v>
      </c>
      <c r="AM174" s="2872">
        <v>19525.414314671998</v>
      </c>
      <c r="AN174" s="2872">
        <v>19915.922600965438</v>
      </c>
      <c r="AO174" s="2872">
        <v>20314.241052984748</v>
      </c>
      <c r="AP174" s="2872">
        <v>20720.525874044444</v>
      </c>
      <c r="AQ174" s="2872">
        <v>21134.936391525334</v>
      </c>
      <c r="AR174" s="2872">
        <v>21557.63511935584</v>
      </c>
      <c r="AS174" s="2872">
        <v>21988.787821742957</v>
      </c>
      <c r="AT174" s="2872">
        <v>22428.563578177818</v>
      </c>
    </row>
    <row r="175" spans="1:46" s="1892" customFormat="1">
      <c r="A175" s="1893"/>
      <c r="B175" s="2573"/>
      <c r="C175" s="2573"/>
      <c r="D175" s="2811" t="s">
        <v>245</v>
      </c>
      <c r="E175" s="2811"/>
      <c r="F175" s="2812"/>
      <c r="G175" s="2811"/>
      <c r="H175" s="2811"/>
      <c r="I175" s="2811">
        <v>15129.25</v>
      </c>
      <c r="J175" s="2811">
        <v>12709.66</v>
      </c>
      <c r="K175" s="2811">
        <v>13717</v>
      </c>
      <c r="L175" s="2811">
        <v>15165.78</v>
      </c>
      <c r="M175" s="2811">
        <v>14574.12098</v>
      </c>
      <c r="N175" s="2811">
        <v>14331</v>
      </c>
      <c r="O175" s="2811">
        <v>13064.379000000001</v>
      </c>
      <c r="P175" s="2811">
        <v>15481.157999999999</v>
      </c>
      <c r="Q175" s="2811">
        <v>16523.650100000003</v>
      </c>
      <c r="R175" s="2811">
        <v>18375.623</v>
      </c>
      <c r="S175" s="2811">
        <v>19828.01873</v>
      </c>
      <c r="T175" s="2811">
        <v>18689.301460000002</v>
      </c>
      <c r="U175" s="2811">
        <v>21528.475290000002</v>
      </c>
      <c r="V175" s="2811">
        <v>23732.194829999997</v>
      </c>
      <c r="W175" s="2811">
        <v>22453.3923</v>
      </c>
      <c r="X175" s="2813">
        <v>21010.337</v>
      </c>
      <c r="Y175" s="2813">
        <v>22667.024370000003</v>
      </c>
      <c r="Z175" s="2813">
        <v>24677.082909999997</v>
      </c>
      <c r="AA175" s="2813">
        <v>24414.920199999997</v>
      </c>
      <c r="AB175" s="2813">
        <v>26242.707779999997</v>
      </c>
      <c r="AC175" s="2813">
        <v>30940.273999999998</v>
      </c>
      <c r="AD175" s="2872">
        <v>31152.699189999999</v>
      </c>
      <c r="AE175" s="2872">
        <v>32720.47006</v>
      </c>
      <c r="AF175" s="2872">
        <v>35375.351979800005</v>
      </c>
      <c r="AG175" s="3152">
        <v>36477.357149999996</v>
      </c>
      <c r="AH175" s="2872">
        <v>38163.0432</v>
      </c>
      <c r="AI175" s="3582">
        <v>37330.82303</v>
      </c>
      <c r="AJ175" s="3152">
        <v>37908.160771200004</v>
      </c>
      <c r="AK175" s="2872">
        <v>39632.487202048003</v>
      </c>
      <c r="AL175" s="2872">
        <v>41217.78669012992</v>
      </c>
      <c r="AM175" s="2872">
        <v>42866.498157735114</v>
      </c>
      <c r="AN175" s="2872">
        <v>44581.158084044524</v>
      </c>
      <c r="AO175" s="2872">
        <v>46364.404407406306</v>
      </c>
      <c r="AP175" s="2872">
        <v>48218.980583702563</v>
      </c>
      <c r="AQ175" s="2872">
        <v>50147.739807050668</v>
      </c>
      <c r="AR175" s="2872">
        <v>52153.649399332695</v>
      </c>
      <c r="AS175" s="2872">
        <v>54239.795375306006</v>
      </c>
      <c r="AT175" s="2872">
        <v>56409.387190318252</v>
      </c>
    </row>
    <row r="176" spans="1:46" s="1892" customFormat="1">
      <c r="A176" s="1893"/>
      <c r="B176" s="2573"/>
      <c r="C176" s="2573"/>
      <c r="D176" s="2811" t="s">
        <v>246</v>
      </c>
      <c r="E176" s="2811"/>
      <c r="F176" s="2812"/>
      <c r="G176" s="2811"/>
      <c r="H176" s="2811"/>
      <c r="I176" s="2811">
        <v>188.68</v>
      </c>
      <c r="J176" s="2811">
        <v>529</v>
      </c>
      <c r="K176" s="2811">
        <v>365.03899999999999</v>
      </c>
      <c r="L176" s="2811">
        <v>554.84900000000005</v>
      </c>
      <c r="M176" s="2811">
        <v>672.07</v>
      </c>
      <c r="N176" s="2811">
        <v>1458</v>
      </c>
      <c r="O176" s="2811">
        <v>3553.1759999999999</v>
      </c>
      <c r="P176" s="2811">
        <v>4531.826</v>
      </c>
      <c r="Q176" s="2811">
        <v>3835.33</v>
      </c>
      <c r="R176" s="2811">
        <v>4565.91</v>
      </c>
      <c r="S176" s="2811">
        <v>4193.2920000000004</v>
      </c>
      <c r="T176" s="2811">
        <v>4269.1729999999998</v>
      </c>
      <c r="U176" s="2811">
        <v>3874.203</v>
      </c>
      <c r="V176" s="2811">
        <v>6952.07</v>
      </c>
      <c r="W176" s="2811">
        <v>4636.6403</v>
      </c>
      <c r="X176" s="2813">
        <v>4895.2674999999999</v>
      </c>
      <c r="Y176" s="2813">
        <v>5953.7963200000004</v>
      </c>
      <c r="Z176" s="2813">
        <v>3845.6560999999997</v>
      </c>
      <c r="AA176" s="2813">
        <v>3549.9150499999996</v>
      </c>
      <c r="AB176" s="2813">
        <v>4759.62129</v>
      </c>
      <c r="AC176" s="2813">
        <v>4779.8499999999995</v>
      </c>
      <c r="AD176" s="2872">
        <v>3860.5014000000001</v>
      </c>
      <c r="AE176" s="2872">
        <v>2820.2400000000002</v>
      </c>
      <c r="AF176" s="2872">
        <v>3136.4823000000001</v>
      </c>
      <c r="AG176" s="3152">
        <v>4452.0472</v>
      </c>
      <c r="AH176" s="2872">
        <v>4588.48632</v>
      </c>
      <c r="AI176" s="3582">
        <v>4861.4944700000005</v>
      </c>
      <c r="AJ176" s="3152">
        <v>5153.1841382000011</v>
      </c>
      <c r="AK176" s="2872">
        <v>5189.2564271674009</v>
      </c>
      <c r="AL176" s="2872">
        <v>5225.5812221575725</v>
      </c>
      <c r="AM176" s="2872">
        <v>5262.1602907126753</v>
      </c>
      <c r="AN176" s="2872">
        <v>5298.9954127476631</v>
      </c>
      <c r="AO176" s="2872">
        <v>5336.0883806368965</v>
      </c>
      <c r="AP176" s="2872">
        <v>5373.4409993013542</v>
      </c>
      <c r="AQ176" s="2872">
        <v>5411.0550862964628</v>
      </c>
      <c r="AR176" s="2872">
        <v>5448.9324719005372</v>
      </c>
      <c r="AS176" s="2872">
        <v>5487.07499920384</v>
      </c>
      <c r="AT176" s="2872">
        <v>5525.4845241982666</v>
      </c>
    </row>
    <row r="177" spans="1:46" s="1892" customFormat="1">
      <c r="A177" s="1893"/>
      <c r="B177" s="2573"/>
      <c r="C177" s="2573"/>
      <c r="D177" s="2811" t="s">
        <v>247</v>
      </c>
      <c r="E177" s="2811"/>
      <c r="F177" s="2812"/>
      <c r="G177" s="2811"/>
      <c r="H177" s="2811"/>
      <c r="I177" s="2811">
        <v>198.88</v>
      </c>
      <c r="J177" s="2811">
        <v>330</v>
      </c>
      <c r="K177" s="2811">
        <v>602.77</v>
      </c>
      <c r="L177" s="2811">
        <v>1540.21</v>
      </c>
      <c r="M177" s="2811">
        <v>1086.32</v>
      </c>
      <c r="N177" s="2811">
        <v>732</v>
      </c>
      <c r="O177" s="2811">
        <v>861.048</v>
      </c>
      <c r="P177" s="2811">
        <v>1061.6400000000001</v>
      </c>
      <c r="Q177" s="2811">
        <v>724.24699999999996</v>
      </c>
      <c r="R177" s="2811">
        <v>968.95600000000002</v>
      </c>
      <c r="S177" s="2811">
        <v>1190.328</v>
      </c>
      <c r="T177" s="2811">
        <v>949.91800000000001</v>
      </c>
      <c r="U177" s="2811">
        <v>748.72299999999996</v>
      </c>
      <c r="V177" s="2811">
        <v>890.07600000000002</v>
      </c>
      <c r="W177" s="2811">
        <v>1144.6847</v>
      </c>
      <c r="X177" s="2813">
        <v>2466.02367</v>
      </c>
      <c r="Y177" s="2813">
        <v>2302.5188700000003</v>
      </c>
      <c r="Z177" s="2813">
        <v>1651.71126</v>
      </c>
      <c r="AA177" s="2813">
        <v>1269.9392000000003</v>
      </c>
      <c r="AB177" s="2813">
        <v>1725.1819999999998</v>
      </c>
      <c r="AC177" s="2813">
        <v>1643.5251000000001</v>
      </c>
      <c r="AD177" s="2872">
        <v>1353.8489100000002</v>
      </c>
      <c r="AE177" s="2872">
        <v>1028.4223</v>
      </c>
      <c r="AF177" s="2872">
        <v>1046.1608100000001</v>
      </c>
      <c r="AG177" s="3152">
        <v>1304.69868</v>
      </c>
      <c r="AH177" s="2872">
        <v>2070.37077</v>
      </c>
      <c r="AI177" s="3582">
        <v>2383.9123799999998</v>
      </c>
      <c r="AJ177" s="3152">
        <v>2479.268</v>
      </c>
      <c r="AK177" s="2872">
        <v>2503.107</v>
      </c>
      <c r="AL177" s="2872">
        <v>2526.9459999999999</v>
      </c>
      <c r="AM177" s="2872">
        <v>2550.7849999999999</v>
      </c>
      <c r="AN177" s="2872">
        <v>2574.6239999999998</v>
      </c>
      <c r="AO177" s="2872">
        <v>2600.3702399999997</v>
      </c>
      <c r="AP177" s="2872">
        <v>2626.3739423999996</v>
      </c>
      <c r="AQ177" s="2872">
        <v>2652.6376818239996</v>
      </c>
      <c r="AR177" s="2872">
        <v>2679.1640586422395</v>
      </c>
      <c r="AS177" s="2872">
        <v>2705.9556992286621</v>
      </c>
      <c r="AT177" s="2872">
        <v>2733.0152562209487</v>
      </c>
    </row>
    <row r="178" spans="1:46" s="1892" customFormat="1">
      <c r="A178" s="1893"/>
      <c r="B178" s="2573"/>
      <c r="C178" s="2573"/>
      <c r="D178" s="2811" t="s">
        <v>248</v>
      </c>
      <c r="E178" s="2811"/>
      <c r="F178" s="2812"/>
      <c r="G178" s="2811"/>
      <c r="H178" s="2811"/>
      <c r="I178" s="2811">
        <v>122.14</v>
      </c>
      <c r="J178" s="2811">
        <v>84</v>
      </c>
      <c r="K178" s="2811">
        <v>144</v>
      </c>
      <c r="L178" s="2811">
        <v>161.55500000000001</v>
      </c>
      <c r="M178" s="2811">
        <v>324.69</v>
      </c>
      <c r="N178" s="2811">
        <v>120</v>
      </c>
      <c r="O178" s="2811">
        <v>157.517</v>
      </c>
      <c r="P178" s="2811">
        <v>557.02099999999996</v>
      </c>
      <c r="Q178" s="2811">
        <v>1435.5730000000001</v>
      </c>
      <c r="R178" s="2811">
        <v>2686.11</v>
      </c>
      <c r="S178" s="2811">
        <v>1708.0360000000001</v>
      </c>
      <c r="T178" s="2811">
        <v>874.452</v>
      </c>
      <c r="U178" s="2811">
        <v>843.42399999999998</v>
      </c>
      <c r="V178" s="2811">
        <v>1006.237</v>
      </c>
      <c r="W178" s="2811">
        <v>1750.5664999999999</v>
      </c>
      <c r="X178" s="2813">
        <v>2217.9280400000002</v>
      </c>
      <c r="Y178" s="2813">
        <v>2214.4936500000003</v>
      </c>
      <c r="Z178" s="2813">
        <v>1784.40112</v>
      </c>
      <c r="AA178" s="2813">
        <v>1715.9599499999999</v>
      </c>
      <c r="AB178" s="2813">
        <v>1523.6765399999999</v>
      </c>
      <c r="AC178" s="2813">
        <v>1966.00963</v>
      </c>
      <c r="AD178" s="2872">
        <v>1883.8832000000002</v>
      </c>
      <c r="AE178" s="2872">
        <v>1808.817</v>
      </c>
      <c r="AF178" s="2872">
        <v>2825.1887999999999</v>
      </c>
      <c r="AG178" s="3152">
        <v>2943.4318000000003</v>
      </c>
      <c r="AH178" s="2872">
        <v>2502.4484000000002</v>
      </c>
      <c r="AI178" s="3582">
        <v>2741.2845000000002</v>
      </c>
      <c r="AJ178" s="3152">
        <v>2796.11</v>
      </c>
      <c r="AK178" s="2872">
        <v>2823.5230000000001</v>
      </c>
      <c r="AL178" s="2872">
        <v>2823.5230000000001</v>
      </c>
      <c r="AM178" s="2872">
        <v>2823.5230000000001</v>
      </c>
      <c r="AN178" s="2872">
        <v>2850.9360000000001</v>
      </c>
      <c r="AO178" s="2872">
        <v>2865.1906799999997</v>
      </c>
      <c r="AP178" s="2872">
        <v>2879.5166333999996</v>
      </c>
      <c r="AQ178" s="2872">
        <v>2893.9142165669991</v>
      </c>
      <c r="AR178" s="2872">
        <v>2908.3837876498337</v>
      </c>
      <c r="AS178" s="2872">
        <v>2922.9257065880824</v>
      </c>
      <c r="AT178" s="2872">
        <v>2937.5403351210225</v>
      </c>
    </row>
    <row r="179" spans="1:46" s="1892" customFormat="1">
      <c r="A179" s="1893"/>
      <c r="B179" s="2573"/>
      <c r="C179" s="2573"/>
      <c r="D179" s="2811" t="s">
        <v>249</v>
      </c>
      <c r="E179" s="2811"/>
      <c r="F179" s="2812"/>
      <c r="G179" s="2811"/>
      <c r="H179" s="2811"/>
      <c r="I179" s="2811">
        <v>876.65700000000004</v>
      </c>
      <c r="J179" s="2811">
        <v>632</v>
      </c>
      <c r="K179" s="2811">
        <v>479.48200000000003</v>
      </c>
      <c r="L179" s="2811">
        <v>510.899</v>
      </c>
      <c r="M179" s="2811">
        <v>1983.82</v>
      </c>
      <c r="N179" s="2811">
        <v>2728</v>
      </c>
      <c r="O179" s="2811">
        <v>2150.7779999999998</v>
      </c>
      <c r="P179" s="2811">
        <v>3183.4589999999998</v>
      </c>
      <c r="Q179" s="2811">
        <v>1159.8900000000001</v>
      </c>
      <c r="R179" s="2811">
        <v>1805.6</v>
      </c>
      <c r="S179" s="2811">
        <v>2043.6000000000001</v>
      </c>
      <c r="T179" s="2811">
        <v>1791.675</v>
      </c>
      <c r="U179" s="2811">
        <v>3730.8719999999998</v>
      </c>
      <c r="V179" s="2811">
        <v>6220.4319999999998</v>
      </c>
      <c r="W179" s="2811">
        <v>10025.057000000001</v>
      </c>
      <c r="X179" s="2813">
        <v>10298.266</v>
      </c>
      <c r="Y179" s="2813">
        <v>9616.5853999999999</v>
      </c>
      <c r="Z179" s="2813">
        <v>8265.0906599999998</v>
      </c>
      <c r="AA179" s="2813">
        <v>6194.2898000000005</v>
      </c>
      <c r="AB179" s="2813">
        <v>6955.1424199999992</v>
      </c>
      <c r="AC179" s="2813">
        <v>5484.6419999999998</v>
      </c>
      <c r="AD179" s="2872">
        <v>3876.6579999999999</v>
      </c>
      <c r="AE179" s="2872">
        <v>2768.8090000000002</v>
      </c>
      <c r="AF179" s="2872">
        <v>3157.7280000000001</v>
      </c>
      <c r="AG179" s="3152">
        <v>3656.3339999999998</v>
      </c>
      <c r="AH179" s="2872">
        <v>3346.0519999999997</v>
      </c>
      <c r="AI179" s="3582">
        <v>3481.2400000000002</v>
      </c>
      <c r="AJ179" s="3152">
        <v>3628.1913171686251</v>
      </c>
      <c r="AK179" s="2872">
        <v>3828.1949464974414</v>
      </c>
      <c r="AL179" s="2872">
        <v>4006.8023841869795</v>
      </c>
      <c r="AM179" s="2872">
        <v>4190.4325961017939</v>
      </c>
      <c r="AN179" s="2872">
        <v>4378.7021073140804</v>
      </c>
      <c r="AO179" s="2872">
        <v>4572.5797660117432</v>
      </c>
      <c r="AP179" s="2872">
        <v>4775.0418284027519</v>
      </c>
      <c r="AQ179" s="2872">
        <v>4986.4683897867153</v>
      </c>
      <c r="AR179" s="2872">
        <v>5207.2563751047601</v>
      </c>
      <c r="AS179" s="2872">
        <v>5437.820284112734</v>
      </c>
      <c r="AT179" s="2872">
        <v>5678.5929695487685</v>
      </c>
    </row>
    <row r="180" spans="1:46" s="1892" customFormat="1">
      <c r="A180" s="1893"/>
      <c r="B180" s="2573"/>
      <c r="C180" s="2573"/>
      <c r="D180" s="2811" t="s">
        <v>250</v>
      </c>
      <c r="E180" s="2811"/>
      <c r="F180" s="2812"/>
      <c r="G180" s="2811"/>
      <c r="H180" s="2811"/>
      <c r="I180" s="2811">
        <v>13.96</v>
      </c>
      <c r="J180" s="2811">
        <v>4.8</v>
      </c>
      <c r="K180" s="2811">
        <v>0</v>
      </c>
      <c r="L180" s="2811">
        <v>21.6</v>
      </c>
      <c r="M180" s="2811">
        <v>13.12</v>
      </c>
      <c r="N180" s="2811">
        <v>20</v>
      </c>
      <c r="O180" s="2811">
        <v>10.08</v>
      </c>
      <c r="P180" s="2811">
        <v>0</v>
      </c>
      <c r="Q180" s="2811">
        <v>44.634999999999998</v>
      </c>
      <c r="R180" s="2811">
        <v>38.274000000000001</v>
      </c>
      <c r="S180" s="2811">
        <v>3.2959999999999998</v>
      </c>
      <c r="T180" s="2811">
        <v>3.1760000000000002</v>
      </c>
      <c r="U180" s="2811">
        <v>6.3280000000000003</v>
      </c>
      <c r="V180" s="2811">
        <v>18.777999999999999</v>
      </c>
      <c r="W180" s="2811">
        <v>37.661000000000001</v>
      </c>
      <c r="X180" s="2813">
        <v>16.658999999999999</v>
      </c>
      <c r="Y180" s="2813">
        <v>10.686999999999999</v>
      </c>
      <c r="Z180" s="2813">
        <v>13.997999999999999</v>
      </c>
      <c r="AA180" s="2813">
        <v>17.847999999999999</v>
      </c>
      <c r="AB180" s="2813">
        <v>65.694999999999993</v>
      </c>
      <c r="AC180" s="2813">
        <v>86.88300000000001</v>
      </c>
      <c r="AD180" s="2872">
        <v>95.630500000000012</v>
      </c>
      <c r="AE180" s="2872">
        <v>33.646999999999998</v>
      </c>
      <c r="AF180" s="2872">
        <v>16.860999999999997</v>
      </c>
      <c r="AG180" s="3152">
        <v>20</v>
      </c>
      <c r="AH180" s="2872">
        <v>34</v>
      </c>
      <c r="AI180" s="3582">
        <v>29.425000000000001</v>
      </c>
      <c r="AJ180" s="3152">
        <v>35.414999999999999</v>
      </c>
      <c r="AK180" s="2872">
        <v>35.996000000000002</v>
      </c>
      <c r="AL180" s="2872">
        <v>37.435000000000002</v>
      </c>
      <c r="AM180" s="2872">
        <v>38.933</v>
      </c>
      <c r="AN180" s="2872">
        <v>40.49</v>
      </c>
      <c r="AO180" s="2872">
        <v>42.1096</v>
      </c>
      <c r="AP180" s="2872">
        <v>43.793984000000002</v>
      </c>
      <c r="AQ180" s="2872">
        <v>45.545743360000003</v>
      </c>
      <c r="AR180" s="2872">
        <v>47.367573094400008</v>
      </c>
      <c r="AS180" s="2872">
        <v>49.26227601817601</v>
      </c>
      <c r="AT180" s="2872">
        <v>51.23276705890305</v>
      </c>
    </row>
    <row r="181" spans="1:46" s="1892" customFormat="1">
      <c r="A181" s="1893"/>
      <c r="B181" s="2573"/>
      <c r="C181" s="2573"/>
      <c r="D181" s="2811" t="s">
        <v>1493</v>
      </c>
      <c r="E181" s="2811"/>
      <c r="F181" s="2812"/>
      <c r="G181" s="2811"/>
      <c r="H181" s="2811"/>
      <c r="I181" s="2811">
        <v>124.79713200000003</v>
      </c>
      <c r="J181" s="2811">
        <v>113.51884800000002</v>
      </c>
      <c r="K181" s="2811">
        <v>97.499919958460595</v>
      </c>
      <c r="L181" s="2811">
        <v>206.04633974163153</v>
      </c>
      <c r="M181" s="2811">
        <v>199.07656675374366</v>
      </c>
      <c r="N181" s="2811">
        <v>213.71911097637914</v>
      </c>
      <c r="O181" s="2811">
        <v>257.77497983835468</v>
      </c>
      <c r="P181" s="2811">
        <v>328.43448411915432</v>
      </c>
      <c r="Q181" s="2811">
        <v>422.15515290722095</v>
      </c>
      <c r="R181" s="2811">
        <v>565.13789192130946</v>
      </c>
      <c r="S181" s="2811">
        <v>855.06367665589835</v>
      </c>
      <c r="T181" s="2811">
        <v>954.55860383826666</v>
      </c>
      <c r="U181" s="2811">
        <v>1083.9734883704168</v>
      </c>
      <c r="V181" s="2811">
        <v>1569.0757776489754</v>
      </c>
      <c r="W181" s="2811">
        <v>1864.4484724541871</v>
      </c>
      <c r="X181" s="2811">
        <v>1853.7883044310697</v>
      </c>
      <c r="Y181" s="2811">
        <v>1991.6599754271583</v>
      </c>
      <c r="Z181" s="2811">
        <v>1918.6504662017737</v>
      </c>
      <c r="AA181" s="2811">
        <v>2020.7541298457961</v>
      </c>
      <c r="AB181" s="2811">
        <v>2014.3645715253474</v>
      </c>
      <c r="AC181" s="2811">
        <v>2284.1439230170154</v>
      </c>
      <c r="AD181" s="2873">
        <v>2704.631588665301</v>
      </c>
      <c r="AE181" s="2872">
        <v>3057.7890691445859</v>
      </c>
      <c r="AF181" s="2872">
        <v>3189.5244366107245</v>
      </c>
      <c r="AG181" s="3152">
        <v>4100.4237989740086</v>
      </c>
      <c r="AH181" s="2872">
        <v>4834.7090858160327</v>
      </c>
      <c r="AI181" s="3582">
        <v>5545.4012692603374</v>
      </c>
      <c r="AJ181" s="3152">
        <v>5375.2434198728824</v>
      </c>
      <c r="AK181" s="2872">
        <v>6191.1569983767276</v>
      </c>
      <c r="AL181" s="2872">
        <v>6662.4998355832277</v>
      </c>
      <c r="AM181" s="2872">
        <v>6713.366381311901</v>
      </c>
      <c r="AN181" s="2872">
        <v>6821.8183360335388</v>
      </c>
      <c r="AO181" s="2872">
        <v>7161.7026967985994</v>
      </c>
      <c r="AP181" s="2872">
        <v>7616.4403271586189</v>
      </c>
      <c r="AQ181" s="2872">
        <v>8012.9754057492573</v>
      </c>
      <c r="AR181" s="2872">
        <v>8444.9133100597592</v>
      </c>
      <c r="AS181" s="2872">
        <v>8867.8563790163535</v>
      </c>
      <c r="AT181" s="2872">
        <v>9352.7136265311201</v>
      </c>
    </row>
    <row r="182" spans="1:46" s="1892" customFormat="1">
      <c r="A182" s="1893"/>
      <c r="B182" s="2573"/>
      <c r="C182" s="2573"/>
      <c r="D182" s="2811" t="s">
        <v>1635</v>
      </c>
      <c r="E182" s="2811"/>
      <c r="F182" s="2812"/>
      <c r="G182" s="2811"/>
      <c r="H182" s="2811"/>
      <c r="I182" s="2811"/>
      <c r="J182" s="2811"/>
      <c r="K182" s="2811"/>
      <c r="L182" s="2811"/>
      <c r="M182" s="2811"/>
      <c r="N182" s="2811"/>
      <c r="O182" s="2811"/>
      <c r="P182" s="2811"/>
      <c r="Q182" s="2811"/>
      <c r="R182" s="2811"/>
      <c r="S182" s="2811"/>
      <c r="T182" s="2811"/>
      <c r="U182" s="2811"/>
      <c r="V182" s="2811"/>
      <c r="W182" s="2811"/>
      <c r="X182" s="2811"/>
      <c r="Y182" s="2811"/>
      <c r="Z182" s="2811"/>
      <c r="AA182" s="2811"/>
      <c r="AB182" s="2811"/>
      <c r="AC182" s="2811">
        <v>0</v>
      </c>
      <c r="AD182" s="2873">
        <v>239.34721408016236</v>
      </c>
      <c r="AE182" s="2873">
        <v>626.79745781999998</v>
      </c>
      <c r="AF182" s="2873">
        <v>368.30537040178956</v>
      </c>
      <c r="AG182" s="3153">
        <v>509.97380903204476</v>
      </c>
      <c r="AH182" s="2873">
        <v>929.38815586994042</v>
      </c>
      <c r="AI182" s="3583">
        <v>1477.8893965890152</v>
      </c>
      <c r="AJ182" s="3153">
        <v>1155.110251876285</v>
      </c>
      <c r="AK182" s="2873">
        <v>1485.2646613852987</v>
      </c>
      <c r="AL182" s="2873">
        <v>1640.6987653658118</v>
      </c>
      <c r="AM182" s="2873">
        <v>1753.9873333046528</v>
      </c>
      <c r="AN182" s="2873">
        <v>1753.9873333046528</v>
      </c>
      <c r="AO182" s="2873">
        <v>1891.728479482895</v>
      </c>
      <c r="AP182" s="2873">
        <v>2039.937952770684</v>
      </c>
      <c r="AQ182" s="2873">
        <v>2199.4113460283447</v>
      </c>
      <c r="AR182" s="2873">
        <v>2371.0047171735873</v>
      </c>
      <c r="AS182" s="2873">
        <v>2555.639184525869</v>
      </c>
      <c r="AT182" s="2873">
        <v>2754.305871396924</v>
      </c>
    </row>
    <row r="183" spans="1:46" s="1892" customFormat="1">
      <c r="A183" s="1893"/>
      <c r="B183" s="2598"/>
      <c r="C183" s="2598"/>
      <c r="D183" s="2811" t="s">
        <v>1494</v>
      </c>
      <c r="E183" s="2811"/>
      <c r="F183" s="2812"/>
      <c r="G183" s="2811"/>
      <c r="H183" s="2811"/>
      <c r="I183" s="2811">
        <v>160.66000000000003</v>
      </c>
      <c r="J183" s="2811">
        <v>144.24</v>
      </c>
      <c r="K183" s="2811">
        <v>121.2747</v>
      </c>
      <c r="L183" s="2811">
        <v>260.59229504349707</v>
      </c>
      <c r="M183" s="2811">
        <v>253.18226512365413</v>
      </c>
      <c r="N183" s="2811">
        <v>273.24830647614078</v>
      </c>
      <c r="O183" s="2811">
        <v>330.27856550033948</v>
      </c>
      <c r="P183" s="2811">
        <v>430.37307411314896</v>
      </c>
      <c r="Q183" s="2811">
        <v>548.06072101735663</v>
      </c>
      <c r="R183" s="2811">
        <v>737.18727262237996</v>
      </c>
      <c r="S183" s="2811">
        <v>1136.7324496951767</v>
      </c>
      <c r="T183" s="2811">
        <v>1243.3196745436326</v>
      </c>
      <c r="U183" s="2811">
        <v>1389.3829448428585</v>
      </c>
      <c r="V183" s="2811">
        <v>1890.581270573294</v>
      </c>
      <c r="W183" s="2811">
        <v>2199.9687608938075</v>
      </c>
      <c r="X183" s="2813">
        <v>2247.4095805393881</v>
      </c>
      <c r="Y183" s="2813">
        <v>2386.91589400167</v>
      </c>
      <c r="Z183" s="2813">
        <v>2311.243256007625</v>
      </c>
      <c r="AA183" s="2813">
        <v>2223.2957901254381</v>
      </c>
      <c r="AB183" s="2813">
        <v>2211.8280389140896</v>
      </c>
      <c r="AC183" s="2813">
        <v>2466.2717773100003</v>
      </c>
      <c r="AD183" s="2872">
        <v>2659.2781329723011</v>
      </c>
      <c r="AE183" s="2872">
        <v>2541.6763749889669</v>
      </c>
      <c r="AF183" s="2872">
        <v>2895.0730804107761</v>
      </c>
      <c r="AG183" s="3152">
        <v>3612.757414311814</v>
      </c>
      <c r="AH183" s="2872">
        <v>3857.3152703487262</v>
      </c>
      <c r="AI183" s="3582">
        <v>4102.1873290917329</v>
      </c>
      <c r="AJ183" s="3152">
        <v>4117.4155369412356</v>
      </c>
      <c r="AK183" s="2872">
        <v>4236.161458135919</v>
      </c>
      <c r="AL183" s="2872">
        <v>4496.7086568757741</v>
      </c>
      <c r="AM183" s="2872">
        <v>4712.8957562478445</v>
      </c>
      <c r="AN183" s="2872">
        <v>4902.3769544045535</v>
      </c>
      <c r="AO183" s="2872">
        <v>5084.0994422643798</v>
      </c>
      <c r="AP183" s="2872">
        <v>5376.7377533407234</v>
      </c>
      <c r="AQ183" s="2872">
        <v>5587.5660905222894</v>
      </c>
      <c r="AR183" s="2872">
        <v>5820.1125025093788</v>
      </c>
      <c r="AS183" s="2872">
        <v>6023.4443262439381</v>
      </c>
      <c r="AT183" s="2872">
        <v>6275.5519020946203</v>
      </c>
    </row>
    <row r="184" spans="1:46" s="1892" customFormat="1">
      <c r="A184" s="1893"/>
      <c r="B184" s="2598"/>
      <c r="C184" s="2598"/>
      <c r="D184" s="2811" t="s">
        <v>721</v>
      </c>
      <c r="E184" s="2811"/>
      <c r="F184" s="2812"/>
      <c r="G184" s="2811"/>
      <c r="H184" s="2811"/>
      <c r="I184" s="2811">
        <v>60.17</v>
      </c>
      <c r="J184" s="2811">
        <v>55.37</v>
      </c>
      <c r="K184" s="2811">
        <v>33.03</v>
      </c>
      <c r="L184" s="2811">
        <v>55.810416516766942</v>
      </c>
      <c r="M184" s="2811">
        <v>68.011410407803098</v>
      </c>
      <c r="N184" s="2811">
        <v>75.951700000000017</v>
      </c>
      <c r="O184" s="2811">
        <v>79.978130516093245</v>
      </c>
      <c r="P184" s="2811">
        <v>109.87846531496822</v>
      </c>
      <c r="Q184" s="2811">
        <v>126.80079675128044</v>
      </c>
      <c r="R184" s="2811">
        <v>202.52992767635081</v>
      </c>
      <c r="S184" s="2811">
        <v>367.292997332857</v>
      </c>
      <c r="T184" s="2811">
        <v>372.40130253120492</v>
      </c>
      <c r="U184" s="2811">
        <v>357.56434829244722</v>
      </c>
      <c r="V184" s="2811">
        <v>465.34731948737436</v>
      </c>
      <c r="W184" s="2811">
        <v>589.45868203182363</v>
      </c>
      <c r="X184" s="2813">
        <v>596.3191886522352</v>
      </c>
      <c r="Y184" s="2813">
        <v>642.24525711921933</v>
      </c>
      <c r="Z184" s="2813">
        <v>652.57709567382892</v>
      </c>
      <c r="AA184" s="2813">
        <v>707.92285204093946</v>
      </c>
      <c r="AB184" s="2813">
        <v>504.12933454341874</v>
      </c>
      <c r="AC184" s="2813">
        <v>583.66328862000023</v>
      </c>
      <c r="AD184" s="2872">
        <v>692.50290825245929</v>
      </c>
      <c r="AE184" s="2872">
        <v>660.03759621833512</v>
      </c>
      <c r="AF184" s="2872">
        <v>736.64741839121643</v>
      </c>
      <c r="AG184" s="3152">
        <v>735.01219711327371</v>
      </c>
      <c r="AH184" s="2872">
        <v>905.86657896759789</v>
      </c>
      <c r="AI184" s="3582">
        <v>957.29556174401796</v>
      </c>
      <c r="AJ184" s="3152">
        <v>945.06311680915439</v>
      </c>
      <c r="AK184" s="2872">
        <v>904.85957829231199</v>
      </c>
      <c r="AL184" s="2872">
        <v>958.50956390711713</v>
      </c>
      <c r="AM184" s="2872">
        <v>951.66552471906493</v>
      </c>
      <c r="AN184" s="2872">
        <v>928.13730590352895</v>
      </c>
      <c r="AO184" s="2872">
        <v>933.48700394319144</v>
      </c>
      <c r="AP184" s="2872">
        <v>999.26727514198762</v>
      </c>
      <c r="AQ184" s="2872">
        <v>1018.8455145517862</v>
      </c>
      <c r="AR184" s="2872">
        <v>1034.3152823398138</v>
      </c>
      <c r="AS184" s="2872">
        <v>1030.6701019865029</v>
      </c>
      <c r="AT184" s="2872">
        <v>1151.0688666369656</v>
      </c>
    </row>
    <row r="185" spans="1:46" s="1892" customFormat="1">
      <c r="A185" s="1893"/>
      <c r="B185" s="2598"/>
      <c r="C185" s="2598"/>
      <c r="D185" s="2811" t="s">
        <v>1495</v>
      </c>
      <c r="E185" s="2811"/>
      <c r="F185" s="2812"/>
      <c r="G185" s="2811"/>
      <c r="H185" s="2811"/>
      <c r="I185" s="2811">
        <v>65.67</v>
      </c>
      <c r="J185" s="2811">
        <v>47.95</v>
      </c>
      <c r="K185" s="2811">
        <v>43.32</v>
      </c>
      <c r="L185" s="2811">
        <v>55.479031105528193</v>
      </c>
      <c r="M185" s="2811">
        <v>61.756969944453317</v>
      </c>
      <c r="N185" s="2811">
        <v>64.8078</v>
      </c>
      <c r="O185" s="2811">
        <v>79.20468853607791</v>
      </c>
      <c r="P185" s="2811">
        <v>111.16176119294742</v>
      </c>
      <c r="Q185" s="2811">
        <v>146.15148172689183</v>
      </c>
      <c r="R185" s="2811">
        <v>189.91005842357995</v>
      </c>
      <c r="S185" s="2811">
        <v>323.87165647581696</v>
      </c>
      <c r="T185" s="2811">
        <v>332.45544183908123</v>
      </c>
      <c r="U185" s="2811">
        <v>381.9687865645293</v>
      </c>
      <c r="V185" s="2811">
        <v>526.55480218657488</v>
      </c>
      <c r="W185" s="2811">
        <v>622.66719211810766</v>
      </c>
      <c r="X185" s="2813">
        <v>632.87624881429883</v>
      </c>
      <c r="Y185" s="2813">
        <v>719.9990581425858</v>
      </c>
      <c r="Z185" s="2813">
        <v>682.45339326181102</v>
      </c>
      <c r="AA185" s="2813">
        <v>565.95643140037657</v>
      </c>
      <c r="AB185" s="2813">
        <v>563.63784518901537</v>
      </c>
      <c r="AC185" s="2813">
        <v>630.33869826</v>
      </c>
      <c r="AD185" s="2872">
        <v>730.6378808008235</v>
      </c>
      <c r="AE185" s="2872">
        <v>761.88800757285867</v>
      </c>
      <c r="AF185" s="2872">
        <v>881.12950620895617</v>
      </c>
      <c r="AG185" s="3152">
        <v>1044.1650999636963</v>
      </c>
      <c r="AH185" s="2872">
        <v>1046.453347897957</v>
      </c>
      <c r="AI185" s="3582">
        <v>1116.7703239986474</v>
      </c>
      <c r="AJ185" s="3152">
        <v>1159.8190838966696</v>
      </c>
      <c r="AK185" s="2872">
        <v>1234.0855924039511</v>
      </c>
      <c r="AL185" s="2872">
        <v>1317.5711828278597</v>
      </c>
      <c r="AM185" s="2872">
        <v>1417.5782506305668</v>
      </c>
      <c r="AN185" s="2872">
        <v>1510.5647578712862</v>
      </c>
      <c r="AO185" s="2872">
        <v>1568.1126988005367</v>
      </c>
      <c r="AP185" s="2872">
        <v>1654.1860521426713</v>
      </c>
      <c r="AQ185" s="2872">
        <v>1718.9644664078735</v>
      </c>
      <c r="AR185" s="2872">
        <v>1793.0004700479794</v>
      </c>
      <c r="AS185" s="2872">
        <v>1860.7522077121023</v>
      </c>
      <c r="AT185" s="2872">
        <v>1867.6818367618935</v>
      </c>
    </row>
    <row r="186" spans="1:46" s="1892" customFormat="1">
      <c r="A186" s="1893"/>
      <c r="B186" s="2598"/>
      <c r="C186" s="2598"/>
      <c r="D186" s="2811" t="s">
        <v>377</v>
      </c>
      <c r="E186" s="2811"/>
      <c r="F186" s="2812"/>
      <c r="G186" s="2811"/>
      <c r="H186" s="2811"/>
      <c r="I186" s="2811">
        <v>34.82</v>
      </c>
      <c r="J186" s="2811">
        <v>40.92</v>
      </c>
      <c r="K186" s="2811">
        <v>44.924700000000001</v>
      </c>
      <c r="L186" s="2811">
        <v>39.512109598759686</v>
      </c>
      <c r="M186" s="2811">
        <v>42.202533411005703</v>
      </c>
      <c r="N186" s="2811">
        <v>53.388806476140772</v>
      </c>
      <c r="O186" s="2811">
        <v>68.635008626592224</v>
      </c>
      <c r="P186" s="2811">
        <v>78.163021985368218</v>
      </c>
      <c r="Q186" s="2811">
        <v>108.56485078325591</v>
      </c>
      <c r="R186" s="2811">
        <v>115.6499009121369</v>
      </c>
      <c r="S186" s="2811">
        <v>161.48728548433982</v>
      </c>
      <c r="T186" s="2811">
        <v>174.47139588973374</v>
      </c>
      <c r="U186" s="2811">
        <v>210.83913903427091</v>
      </c>
      <c r="V186" s="2811">
        <v>345.5688214580112</v>
      </c>
      <c r="W186" s="2811">
        <v>361.55247478086255</v>
      </c>
      <c r="X186" s="2813">
        <v>384.59796367716024</v>
      </c>
      <c r="Y186" s="2813">
        <v>368.49615218262363</v>
      </c>
      <c r="Z186" s="2813">
        <v>282.07954107669298</v>
      </c>
      <c r="AA186" s="2813">
        <v>226.39659381096908</v>
      </c>
      <c r="AB186" s="2813">
        <v>487.13386603290525</v>
      </c>
      <c r="AC186" s="2813">
        <v>562.26818792999995</v>
      </c>
      <c r="AD186" s="2872">
        <v>521.493398091936</v>
      </c>
      <c r="AE186" s="2872">
        <v>348.74189688909951</v>
      </c>
      <c r="AF186" s="2872">
        <v>397.26150612744345</v>
      </c>
      <c r="AG186" s="3152">
        <v>763.05873521715762</v>
      </c>
      <c r="AH186" s="2872">
        <v>679.96951332810363</v>
      </c>
      <c r="AI186" s="3582">
        <v>740.13166217804962</v>
      </c>
      <c r="AJ186" s="3152">
        <v>689.72674575550991</v>
      </c>
      <c r="AK186" s="2872">
        <v>708.10814241338915</v>
      </c>
      <c r="AL186" s="2872">
        <v>761.47598537326382</v>
      </c>
      <c r="AM186" s="2872">
        <v>820.75758889973122</v>
      </c>
      <c r="AN186" s="2872">
        <v>881.79467917586817</v>
      </c>
      <c r="AO186" s="2872">
        <v>949.65346408551261</v>
      </c>
      <c r="AP186" s="2872">
        <v>1027.7912600933541</v>
      </c>
      <c r="AQ186" s="2872">
        <v>1114.675526974934</v>
      </c>
      <c r="AR186" s="2872">
        <v>1211.3852305721546</v>
      </c>
      <c r="AS186" s="2872">
        <v>1318.8701378136027</v>
      </c>
      <c r="AT186" s="2872">
        <v>1437.782697905719</v>
      </c>
    </row>
    <row r="187" spans="1:46" s="1892" customFormat="1">
      <c r="A187" s="1893"/>
      <c r="B187" s="2598"/>
      <c r="C187" s="2598"/>
      <c r="D187" s="2811" t="s">
        <v>378</v>
      </c>
      <c r="E187" s="2811"/>
      <c r="F187" s="2812"/>
      <c r="G187" s="2811"/>
      <c r="H187" s="2811"/>
      <c r="I187" s="2811">
        <v>0</v>
      </c>
      <c r="J187" s="2811">
        <v>0</v>
      </c>
      <c r="K187" s="2811">
        <v>0</v>
      </c>
      <c r="L187" s="2811">
        <v>109.79073782244222</v>
      </c>
      <c r="M187" s="2811">
        <v>81.21135136039203</v>
      </c>
      <c r="N187" s="2811">
        <v>79.099999999999994</v>
      </c>
      <c r="O187" s="2811">
        <v>102.46073782157609</v>
      </c>
      <c r="P187" s="2811">
        <v>131.16982561986504</v>
      </c>
      <c r="Q187" s="2811">
        <v>166.54359175592842</v>
      </c>
      <c r="R187" s="2811">
        <v>229.09738561031233</v>
      </c>
      <c r="S187" s="2811">
        <v>284.08051040216293</v>
      </c>
      <c r="T187" s="2811">
        <v>363.99153428361257</v>
      </c>
      <c r="U187" s="2811">
        <v>439.01067095161113</v>
      </c>
      <c r="V187" s="2811">
        <v>553.11032744133365</v>
      </c>
      <c r="W187" s="2811">
        <v>626.29041196301318</v>
      </c>
      <c r="X187" s="2813">
        <v>633.61617939569373</v>
      </c>
      <c r="Y187" s="2813">
        <v>656.17542655724139</v>
      </c>
      <c r="Z187" s="2813">
        <v>694.13322599529192</v>
      </c>
      <c r="AA187" s="2813">
        <v>723.01991287315275</v>
      </c>
      <c r="AB187" s="2813">
        <v>656.92699314875006</v>
      </c>
      <c r="AC187" s="2813">
        <v>690.00160249999999</v>
      </c>
      <c r="AD187" s="2872">
        <v>714.64394582708269</v>
      </c>
      <c r="AE187" s="2872">
        <v>771.00887430867351</v>
      </c>
      <c r="AF187" s="2872">
        <v>880.03464968315984</v>
      </c>
      <c r="AG187" s="3152">
        <v>1070.5213820176864</v>
      </c>
      <c r="AH187" s="2872">
        <v>1225.025830155068</v>
      </c>
      <c r="AI187" s="3582">
        <v>1287.9897811710182</v>
      </c>
      <c r="AJ187" s="3152">
        <v>1322.8065904799021</v>
      </c>
      <c r="AK187" s="2872">
        <v>1389.1081450262673</v>
      </c>
      <c r="AL187" s="2872">
        <v>1459.1519247675335</v>
      </c>
      <c r="AM187" s="2872">
        <v>1522.8943919984813</v>
      </c>
      <c r="AN187" s="2872">
        <v>1581.8802114538703</v>
      </c>
      <c r="AO187" s="2872">
        <v>1632.8462754351394</v>
      </c>
      <c r="AP187" s="2872">
        <v>1695.4931659627105</v>
      </c>
      <c r="AQ187" s="2872">
        <v>1735.080582587696</v>
      </c>
      <c r="AR187" s="2872">
        <v>1781.4115195494307</v>
      </c>
      <c r="AS187" s="2872">
        <v>1813.1518787317295</v>
      </c>
      <c r="AT187" s="2872">
        <v>1819.0185007900425</v>
      </c>
    </row>
    <row r="188" spans="1:46" s="1892" customFormat="1">
      <c r="A188" s="1893"/>
      <c r="B188" s="2598"/>
      <c r="C188" s="2598"/>
      <c r="D188" s="2811" t="s">
        <v>1496</v>
      </c>
      <c r="E188" s="2811"/>
      <c r="F188" s="2812"/>
      <c r="G188" s="2811"/>
      <c r="H188" s="2811"/>
      <c r="I188" s="2811">
        <v>246.09820873000004</v>
      </c>
      <c r="J188" s="2811">
        <v>248.71128369231815</v>
      </c>
      <c r="K188" s="2811">
        <v>250.21012850776472</v>
      </c>
      <c r="L188" s="2811">
        <v>342.56837748756254</v>
      </c>
      <c r="M188" s="2811">
        <v>346.78542235323476</v>
      </c>
      <c r="N188" s="2811">
        <v>373.42532994239207</v>
      </c>
      <c r="O188" s="2811">
        <v>438.59088973390652</v>
      </c>
      <c r="P188" s="2811">
        <v>597.66592656378066</v>
      </c>
      <c r="Q188" s="2811">
        <v>731.31951991695598</v>
      </c>
      <c r="R188" s="2811">
        <v>898.37677768483672</v>
      </c>
      <c r="S188" s="2811">
        <v>1333.6157415637222</v>
      </c>
      <c r="T188" s="2811">
        <v>1486.6582257293837</v>
      </c>
      <c r="U188" s="2811">
        <v>1643.8316591134917</v>
      </c>
      <c r="V188" s="2811">
        <v>2178.0108491453989</v>
      </c>
      <c r="W188" s="2811">
        <v>2374.1961344009601</v>
      </c>
      <c r="X188" s="2811">
        <v>2453.4802283476088</v>
      </c>
      <c r="Y188" s="2811">
        <v>2653.5205597208842</v>
      </c>
      <c r="Z188" s="2811">
        <v>2938.7380118767142</v>
      </c>
      <c r="AA188" s="2811">
        <v>3055.4951843068975</v>
      </c>
      <c r="AB188" s="2811">
        <v>3070.5925307484258</v>
      </c>
      <c r="AC188" s="2811">
        <v>3341.3774768044968</v>
      </c>
      <c r="AD188" s="2873">
        <v>3737.1577380866488</v>
      </c>
      <c r="AE188" s="2872">
        <v>3577.5445607384654</v>
      </c>
      <c r="AF188" s="2872">
        <v>3890.3061219332694</v>
      </c>
      <c r="AG188" s="3152">
        <v>4973.7187630469807</v>
      </c>
      <c r="AH188" s="2872">
        <v>5778.4961948186301</v>
      </c>
      <c r="AI188" s="3582">
        <v>6536.2961431538979</v>
      </c>
      <c r="AJ188" s="3152">
        <v>6408.9147193509207</v>
      </c>
      <c r="AK188" s="2872">
        <v>7453.23355311865</v>
      </c>
      <c r="AL188" s="2872">
        <v>8017.9107211194732</v>
      </c>
      <c r="AM188" s="2872">
        <v>8000.1891380439429</v>
      </c>
      <c r="AN188" s="2872">
        <v>8136.7139052931343</v>
      </c>
      <c r="AO188" s="2872">
        <v>8571.2593222024298</v>
      </c>
      <c r="AP188" s="2872">
        <v>9128.1536186608628</v>
      </c>
      <c r="AQ188" s="2872">
        <v>9628.4467886351213</v>
      </c>
      <c r="AR188" s="2872">
        <v>10181.946527783068</v>
      </c>
      <c r="AS188" s="2872">
        <v>10736.092242106602</v>
      </c>
      <c r="AT188" s="2872">
        <v>11369.566906008688</v>
      </c>
    </row>
    <row r="189" spans="1:46" s="1892" customFormat="1">
      <c r="A189" s="1893"/>
      <c r="B189" s="2598"/>
      <c r="C189" s="2598"/>
      <c r="D189" s="3821" t="s">
        <v>1497</v>
      </c>
      <c r="E189" s="2814"/>
      <c r="F189" s="2815"/>
      <c r="G189" s="2814"/>
      <c r="H189" s="2814"/>
      <c r="I189" s="2814"/>
      <c r="J189" s="2814"/>
      <c r="K189" s="2814"/>
      <c r="L189" s="2816">
        <v>79.552699455282109</v>
      </c>
      <c r="M189" s="2816">
        <v>101.47176674472902</v>
      </c>
      <c r="N189" s="2816">
        <v>102.81774614443565</v>
      </c>
      <c r="O189" s="2816">
        <v>104.60482999674535</v>
      </c>
      <c r="P189" s="2816">
        <v>146.5824651875495</v>
      </c>
      <c r="Q189" s="2816">
        <v>174.18540043374321</v>
      </c>
      <c r="R189" s="2816">
        <v>264.18236415092548</v>
      </c>
      <c r="S189" s="2816">
        <v>333.75034141207789</v>
      </c>
      <c r="T189" s="2816">
        <v>444.91466699669735</v>
      </c>
      <c r="U189" s="2816">
        <v>360.68368644604675</v>
      </c>
      <c r="V189" s="2816">
        <v>423.04118298471235</v>
      </c>
      <c r="W189" s="2816">
        <v>570.0886846828447</v>
      </c>
      <c r="X189" s="2816">
        <v>493.98700331105317</v>
      </c>
      <c r="Y189" s="2816">
        <v>507.55547164298611</v>
      </c>
      <c r="Z189" s="2816">
        <v>587.83878763968517</v>
      </c>
      <c r="AA189" s="2816">
        <v>578.67434280332429</v>
      </c>
      <c r="AB189" s="2817">
        <v>504.12933454341874</v>
      </c>
      <c r="AC189" s="2817">
        <v>568.36276983773007</v>
      </c>
      <c r="AD189" s="2874">
        <v>736.75367771222841</v>
      </c>
      <c r="AE189" s="2874">
        <v>705.38403808107739</v>
      </c>
      <c r="AF189" s="2874">
        <v>857.38568125743359</v>
      </c>
      <c r="AG189" s="3154">
        <v>773.46902478499248</v>
      </c>
      <c r="AH189" s="2874">
        <v>919.42333390451677</v>
      </c>
      <c r="AI189" s="3584">
        <v>1049.344255279181</v>
      </c>
      <c r="AJ189" s="3154">
        <v>1035.9356003836824</v>
      </c>
      <c r="AK189" s="2874">
        <v>991.86629319115127</v>
      </c>
      <c r="AL189" s="2874">
        <v>1050.6749897426564</v>
      </c>
      <c r="AM189" s="2874">
        <v>1043.1728624040481</v>
      </c>
      <c r="AN189" s="2874">
        <v>1017.382289212572</v>
      </c>
      <c r="AO189" s="2874">
        <v>1023.2463871252074</v>
      </c>
      <c r="AP189" s="2874">
        <v>1095.3517560954867</v>
      </c>
      <c r="AQ189" s="2874">
        <v>1116.8125398640072</v>
      </c>
      <c r="AR189" s="2874">
        <v>1133.7698021846388</v>
      </c>
      <c r="AS189" s="2874">
        <v>1129.7741197475086</v>
      </c>
      <c r="AT189" s="2874">
        <v>1261.7498199152867</v>
      </c>
    </row>
    <row r="190" spans="1:46" s="1892" customFormat="1">
      <c r="A190" s="1893"/>
      <c r="B190" s="2598"/>
      <c r="C190" s="2598"/>
      <c r="D190" s="3821" t="s">
        <v>1498</v>
      </c>
      <c r="E190" s="2814"/>
      <c r="F190" s="2815"/>
      <c r="G190" s="2814"/>
      <c r="H190" s="2814"/>
      <c r="I190" s="2814"/>
      <c r="J190" s="2814"/>
      <c r="K190" s="2814"/>
      <c r="L190" s="2816">
        <v>49.417957625379451</v>
      </c>
      <c r="M190" s="2816">
        <v>56.48935444837543</v>
      </c>
      <c r="N190" s="2816">
        <v>57.389473955393605</v>
      </c>
      <c r="O190" s="2816">
        <v>66.401365660744943</v>
      </c>
      <c r="P190" s="2816">
        <v>95.156905846235773</v>
      </c>
      <c r="Q190" s="2816">
        <v>127.50103089576466</v>
      </c>
      <c r="R190" s="2816">
        <v>169.26079446297462</v>
      </c>
      <c r="S190" s="2816">
        <v>226.8154528960479</v>
      </c>
      <c r="T190" s="2816">
        <v>251.92878634047017</v>
      </c>
      <c r="U190" s="2816">
        <v>296.90924437255575</v>
      </c>
      <c r="V190" s="2816">
        <v>375.52615568450989</v>
      </c>
      <c r="W190" s="2816">
        <v>499.48789561089427</v>
      </c>
      <c r="X190" s="2816">
        <v>541.76945347547075</v>
      </c>
      <c r="Y190" s="2816">
        <v>563.86237754154695</v>
      </c>
      <c r="Z190" s="2816">
        <v>611.63022850087725</v>
      </c>
      <c r="AA190" s="2816">
        <v>506.63320531988302</v>
      </c>
      <c r="AB190" s="2817">
        <v>563.63784518901537</v>
      </c>
      <c r="AC190" s="2817">
        <v>631.17417910597669</v>
      </c>
      <c r="AD190" s="2874">
        <v>724.36145595435005</v>
      </c>
      <c r="AE190" s="2874">
        <v>880.26005985532709</v>
      </c>
      <c r="AF190" s="2874">
        <v>830.92308774812841</v>
      </c>
      <c r="AG190" s="3154">
        <v>948.05895456767803</v>
      </c>
      <c r="AH190" s="2874">
        <v>1031.8441481032596</v>
      </c>
      <c r="AI190" s="3584">
        <v>1233.0070234097366</v>
      </c>
      <c r="AJ190" s="3154">
        <v>1270.834476225212</v>
      </c>
      <c r="AK190" s="2874">
        <v>1348.932720271692</v>
      </c>
      <c r="AL190" s="2874">
        <v>1434.5165147873047</v>
      </c>
      <c r="AM190" s="2874">
        <v>1530.6776838781327</v>
      </c>
      <c r="AN190" s="2874">
        <v>1613.4215797297768</v>
      </c>
      <c r="AO190" s="2874">
        <v>1655.6869061604898</v>
      </c>
      <c r="AP190" s="2874">
        <v>1726.5443007616518</v>
      </c>
      <c r="AQ190" s="2874">
        <v>1773.5878301434552</v>
      </c>
      <c r="AR190" s="2874">
        <v>1828.768082995341</v>
      </c>
      <c r="AS190" s="2874">
        <v>1876.1139048060165</v>
      </c>
      <c r="AT190" s="2874">
        <v>1861.5126155707947</v>
      </c>
    </row>
    <row r="191" spans="1:46" s="1892" customFormat="1">
      <c r="A191" s="1893"/>
      <c r="B191" s="2598"/>
      <c r="C191" s="2598"/>
      <c r="D191" s="3821" t="s">
        <v>1353</v>
      </c>
      <c r="E191" s="2814"/>
      <c r="F191" s="2815"/>
      <c r="G191" s="2814"/>
      <c r="H191" s="2814"/>
      <c r="I191" s="2814"/>
      <c r="J191" s="2814"/>
      <c r="K191" s="2814"/>
      <c r="L191" s="2816">
        <v>63.965351678008908</v>
      </c>
      <c r="M191" s="2816">
        <v>63.535862724799259</v>
      </c>
      <c r="N191" s="2816">
        <v>65.073555180796831</v>
      </c>
      <c r="O191" s="2816">
        <v>76.754896015133355</v>
      </c>
      <c r="P191" s="2816">
        <v>80.201783971840612</v>
      </c>
      <c r="Q191" s="2816">
        <v>107.59570158444983</v>
      </c>
      <c r="R191" s="2816">
        <v>114.0917844167876</v>
      </c>
      <c r="S191" s="2816">
        <v>116.25201726220949</v>
      </c>
      <c r="T191" s="2816">
        <v>116.70250195060493</v>
      </c>
      <c r="U191" s="2816">
        <v>121.89451571936524</v>
      </c>
      <c r="V191" s="2816">
        <v>137.27779883117375</v>
      </c>
      <c r="W191" s="2816">
        <v>157.66467615647787</v>
      </c>
      <c r="X191" s="2816">
        <v>167.92494162684139</v>
      </c>
      <c r="Y191" s="2816">
        <v>173.66865243396481</v>
      </c>
      <c r="Z191" s="2816">
        <v>192.88172509029798</v>
      </c>
      <c r="AA191" s="2816">
        <v>193.60069957690655</v>
      </c>
      <c r="AB191" s="2817">
        <v>487.13386603290525</v>
      </c>
      <c r="AC191" s="2817">
        <v>548.99295744633787</v>
      </c>
      <c r="AD191" s="2874">
        <v>561.76142287595303</v>
      </c>
      <c r="AE191" s="2874">
        <v>430.47010038872395</v>
      </c>
      <c r="AF191" s="2874">
        <v>422.96483151091621</v>
      </c>
      <c r="AG191" s="3154">
        <v>538.71428717789047</v>
      </c>
      <c r="AH191" s="2874">
        <v>518.80554447295515</v>
      </c>
      <c r="AI191" s="3584">
        <v>569.40193462735954</v>
      </c>
      <c r="AJ191" s="3154">
        <v>609.54684203412955</v>
      </c>
      <c r="AK191" s="2874">
        <v>655.11129521833777</v>
      </c>
      <c r="AL191" s="2874">
        <v>706.04805625854976</v>
      </c>
      <c r="AM191" s="2874">
        <v>754.38026299114597</v>
      </c>
      <c r="AN191" s="2874">
        <v>803.13743398953466</v>
      </c>
      <c r="AO191" s="2874">
        <v>859.95379902190564</v>
      </c>
      <c r="AP191" s="2874">
        <v>925.34237537250272</v>
      </c>
      <c r="AQ191" s="2874">
        <v>997.77717428069843</v>
      </c>
      <c r="AR191" s="2874">
        <v>1078.0898086463546</v>
      </c>
      <c r="AS191" s="2874">
        <v>1166.9769260263745</v>
      </c>
      <c r="AT191" s="2874">
        <v>1264.8559120766533</v>
      </c>
    </row>
    <row r="192" spans="1:46" s="1892" customFormat="1">
      <c r="A192" s="1893"/>
      <c r="B192" s="2598"/>
      <c r="C192" s="2598"/>
      <c r="D192" s="3821" t="s">
        <v>1354</v>
      </c>
      <c r="E192" s="2814"/>
      <c r="F192" s="2815"/>
      <c r="G192" s="2814"/>
      <c r="H192" s="2814"/>
      <c r="I192" s="2814"/>
      <c r="J192" s="2814"/>
      <c r="K192" s="2814"/>
      <c r="L192" s="2816">
        <v>94.923331358315792</v>
      </c>
      <c r="M192" s="2816">
        <v>78.183299910423131</v>
      </c>
      <c r="N192" s="2816">
        <v>74.885764785113764</v>
      </c>
      <c r="O192" s="2816">
        <v>90.368309238134898</v>
      </c>
      <c r="P192" s="2816">
        <v>100.00469117543894</v>
      </c>
      <c r="Q192" s="2816">
        <v>143.76812532560157</v>
      </c>
      <c r="R192" s="2816">
        <v>236.04497625943992</v>
      </c>
      <c r="S192" s="2816">
        <v>209.89922396092891</v>
      </c>
      <c r="T192" s="2816">
        <v>297.32336043568404</v>
      </c>
      <c r="U192" s="2816">
        <v>387.64891984252955</v>
      </c>
      <c r="V192" s="2816">
        <v>375.00791314187126</v>
      </c>
      <c r="W192" s="2816">
        <v>477.41591501623736</v>
      </c>
      <c r="X192" s="2816">
        <v>475.28127303505249</v>
      </c>
      <c r="Y192" s="2816">
        <v>490.16678595334577</v>
      </c>
      <c r="Z192" s="2816">
        <v>575.85048297721119</v>
      </c>
      <c r="AA192" s="2816">
        <v>631.56073221974214</v>
      </c>
      <c r="AB192" s="2817">
        <v>656.92699314875006</v>
      </c>
      <c r="AC192" s="2817">
        <v>698.04622351416435</v>
      </c>
      <c r="AD192" s="2874">
        <v>591.84268127381927</v>
      </c>
      <c r="AE192" s="2874">
        <v>679.61217018740854</v>
      </c>
      <c r="AF192" s="2874">
        <v>663.70450666809847</v>
      </c>
      <c r="AG192" s="3154">
        <v>790.2672456491083</v>
      </c>
      <c r="AH192" s="2874">
        <v>1197.5644954425932</v>
      </c>
      <c r="AI192" s="3584">
        <v>1174.8550170160406</v>
      </c>
      <c r="AJ192" s="3154">
        <v>1222.5708487722463</v>
      </c>
      <c r="AK192" s="2874">
        <v>1274.3485823183605</v>
      </c>
      <c r="AL192" s="2874">
        <v>1343.6743092692213</v>
      </c>
      <c r="AM192" s="2874">
        <v>1409.0293556186475</v>
      </c>
      <c r="AN192" s="2874">
        <v>1469.7315669032982</v>
      </c>
      <c r="AO192" s="2874">
        <v>1512.8278789020933</v>
      </c>
      <c r="AP192" s="2874">
        <v>1566.9349746899627</v>
      </c>
      <c r="AQ192" s="2874">
        <v>1609.6688952748852</v>
      </c>
      <c r="AR192" s="2874">
        <v>1659.6339752208053</v>
      </c>
      <c r="AS192" s="2874">
        <v>1689.4510636919529</v>
      </c>
      <c r="AT192" s="2874">
        <v>1684.8261195210382</v>
      </c>
    </row>
    <row r="193" spans="1:47" s="1892" customFormat="1">
      <c r="A193" s="1893"/>
      <c r="B193" s="2598"/>
      <c r="C193" s="2598"/>
      <c r="D193" s="3821" t="s">
        <v>1352</v>
      </c>
      <c r="E193" s="2811"/>
      <c r="F193" s="2812"/>
      <c r="G193" s="2811"/>
      <c r="H193" s="2811"/>
      <c r="I193" s="2811">
        <v>23.342686741595706</v>
      </c>
      <c r="J193" s="2811">
        <v>22.96364893283538</v>
      </c>
      <c r="K193" s="2811">
        <v>29.581404949973685</v>
      </c>
      <c r="L193" s="2811">
        <v>33.725788353088909</v>
      </c>
      <c r="M193" s="2811">
        <v>27.97061935522132</v>
      </c>
      <c r="N193" s="2811">
        <v>33.700165112673915</v>
      </c>
      <c r="O193" s="2811">
        <v>44.505790917094778</v>
      </c>
      <c r="P193" s="2811">
        <v>48.692392195282423</v>
      </c>
      <c r="Q193" s="2811">
        <v>39.796363593336949</v>
      </c>
      <c r="R193" s="2811">
        <v>41.300915964393155</v>
      </c>
      <c r="S193" s="2811">
        <v>54.306577165298656</v>
      </c>
      <c r="T193" s="2811">
        <v>52.481466813637077</v>
      </c>
      <c r="U193" s="2811">
        <v>67.479302025750044</v>
      </c>
      <c r="V193" s="2811">
        <v>74.081207463814678</v>
      </c>
      <c r="W193" s="2811">
        <v>76.349186858561438</v>
      </c>
      <c r="X193" s="2813">
        <v>76.892496704292199</v>
      </c>
      <c r="Y193" s="2813">
        <v>83.224789312089356</v>
      </c>
      <c r="Z193" s="2813">
        <v>77.500966268338757</v>
      </c>
      <c r="AA193" s="2813">
        <v>83.323924197989683</v>
      </c>
      <c r="AB193" s="2813">
        <v>100</v>
      </c>
      <c r="AC193" s="2813">
        <v>101.21507362428216</v>
      </c>
      <c r="AD193" s="2872">
        <v>91.530873631304331</v>
      </c>
      <c r="AE193" s="2872">
        <v>88.955318359529727</v>
      </c>
      <c r="AF193" s="2872">
        <v>108.49206218850759</v>
      </c>
      <c r="AG193" s="3152">
        <v>129.86241864783088</v>
      </c>
      <c r="AH193" s="2872">
        <v>128.94954164846857</v>
      </c>
      <c r="AI193" s="3582">
        <v>143.0957885931019</v>
      </c>
      <c r="AJ193" s="3152">
        <v>149.60155068850142</v>
      </c>
      <c r="AK193" s="2872">
        <v>160.11627594173112</v>
      </c>
      <c r="AL193" s="2872">
        <v>168.72250323301466</v>
      </c>
      <c r="AM193" s="2872">
        <v>176.2076007230522</v>
      </c>
      <c r="AN193" s="2872">
        <v>182.83211741154929</v>
      </c>
      <c r="AO193" s="2872">
        <v>189.32519157268263</v>
      </c>
      <c r="AP193" s="2872">
        <v>196.13687121283292</v>
      </c>
      <c r="AQ193" s="2872">
        <v>203.21754870083365</v>
      </c>
      <c r="AR193" s="2872">
        <v>210.58357454375715</v>
      </c>
      <c r="AS193" s="2872">
        <v>218.25234073532394</v>
      </c>
      <c r="AT193" s="2872">
        <v>226.24233585368151</v>
      </c>
    </row>
    <row r="194" spans="1:47" s="1892" customFormat="1">
      <c r="A194" s="1893"/>
      <c r="B194" s="2598"/>
      <c r="C194" s="2598"/>
      <c r="D194" s="2811" t="s">
        <v>234</v>
      </c>
      <c r="E194" s="2811"/>
      <c r="F194" s="2812"/>
      <c r="G194" s="2811"/>
      <c r="H194" s="2811"/>
      <c r="I194" s="2811">
        <v>0</v>
      </c>
      <c r="J194" s="2811">
        <v>0</v>
      </c>
      <c r="K194" s="2811">
        <v>0</v>
      </c>
      <c r="L194" s="2811">
        <v>0</v>
      </c>
      <c r="M194" s="2811">
        <v>0</v>
      </c>
      <c r="N194" s="2811">
        <v>0</v>
      </c>
      <c r="O194" s="2811">
        <v>0</v>
      </c>
      <c r="P194" s="2811">
        <v>23.423562367931893</v>
      </c>
      <c r="Q194" s="2811">
        <v>21.451921473470556</v>
      </c>
      <c r="R194" s="2811">
        <v>22.100625145325651</v>
      </c>
      <c r="S194" s="2811">
        <v>25.742197608460451</v>
      </c>
      <c r="T194" s="2811">
        <v>25.752432659448964</v>
      </c>
      <c r="U194" s="2811">
        <v>29.049106265291787</v>
      </c>
      <c r="V194" s="2811">
        <v>31.536404161451944</v>
      </c>
      <c r="W194" s="2811">
        <v>32.785565963317659</v>
      </c>
      <c r="X194" s="2813">
        <v>33.272262981884808</v>
      </c>
      <c r="Y194" s="2813">
        <v>35.457106059667666</v>
      </c>
      <c r="Z194" s="2813">
        <v>34.808805209539358</v>
      </c>
      <c r="AA194" s="2813">
        <v>36.701781546269181</v>
      </c>
      <c r="AB194" s="2813">
        <v>41.246218457112491</v>
      </c>
      <c r="AC194" s="2813">
        <v>42.638217708256128</v>
      </c>
      <c r="AD194" s="2872">
        <v>41.714448467306738</v>
      </c>
      <c r="AE194" s="2872">
        <v>41.283375232495558</v>
      </c>
      <c r="AF194" s="2872">
        <v>48.801507120196355</v>
      </c>
      <c r="AG194" s="3152">
        <v>57.53446171196601</v>
      </c>
      <c r="AH194" s="2872">
        <v>59.824266014006348</v>
      </c>
      <c r="AI194" s="3582">
        <v>67.276011988111591</v>
      </c>
      <c r="AJ194" s="3152">
        <v>71.29218817919589</v>
      </c>
      <c r="AK194" s="2872">
        <v>75.719318163065822</v>
      </c>
      <c r="AL194" s="2872">
        <v>79.481501207565003</v>
      </c>
      <c r="AM194" s="2872">
        <v>82.881938178346573</v>
      </c>
      <c r="AN194" s="2872">
        <v>85.998671851679589</v>
      </c>
      <c r="AO194" s="2872">
        <v>89.096798218669932</v>
      </c>
      <c r="AP194" s="2872">
        <v>92.33240214605776</v>
      </c>
      <c r="AQ194" s="2872">
        <v>95.692226969399258</v>
      </c>
      <c r="AR194" s="2872">
        <v>99.1828582062181</v>
      </c>
      <c r="AS194" s="2872">
        <v>102.81131952636069</v>
      </c>
      <c r="AT194" s="2872">
        <v>106.58510403426328</v>
      </c>
    </row>
    <row r="195" spans="1:47" s="1892" customFormat="1">
      <c r="A195" s="1893"/>
      <c r="B195" s="2598"/>
      <c r="C195" s="2598"/>
      <c r="D195" s="2811" t="s">
        <v>235</v>
      </c>
      <c r="E195" s="2811"/>
      <c r="F195" s="2812"/>
      <c r="G195" s="2811"/>
      <c r="H195" s="2811"/>
      <c r="I195" s="2811">
        <v>19.039518448847023</v>
      </c>
      <c r="J195" s="2811">
        <v>18.277352054937303</v>
      </c>
      <c r="K195" s="2811">
        <v>17.933002773930962</v>
      </c>
      <c r="L195" s="2811">
        <v>14.265313802916161</v>
      </c>
      <c r="M195" s="2811">
        <v>13.658181498653452</v>
      </c>
      <c r="N195" s="2811">
        <v>16.514773949524432</v>
      </c>
      <c r="O195" s="2811">
        <v>18.445530306400467</v>
      </c>
      <c r="P195" s="2811">
        <v>18.383001055681891</v>
      </c>
      <c r="Q195" s="2811">
        <v>17.867165638271853</v>
      </c>
      <c r="R195" s="2811">
        <v>17.84790745697843</v>
      </c>
      <c r="S195" s="2811">
        <v>22.719973724364383</v>
      </c>
      <c r="T195" s="2811">
        <v>21.393516076634093</v>
      </c>
      <c r="U195" s="2811">
        <v>23.549433559216105</v>
      </c>
      <c r="V195" s="2811">
        <v>28.528961767941674</v>
      </c>
      <c r="W195" s="2811">
        <v>28.045661317427854</v>
      </c>
      <c r="X195" s="2813">
        <v>30.403542366495572</v>
      </c>
      <c r="Y195" s="2813">
        <v>32.615482330634009</v>
      </c>
      <c r="Z195" s="2813">
        <v>29.626229303200642</v>
      </c>
      <c r="AA195" s="2813">
        <v>32.927095960258562</v>
      </c>
      <c r="AB195" s="2813">
        <v>32.566220903436154</v>
      </c>
      <c r="AC195" s="2813">
        <v>33.832120096658393</v>
      </c>
      <c r="AD195" s="2872">
        <v>34.762041652581225</v>
      </c>
      <c r="AE195" s="2872">
        <v>34.532639885618877</v>
      </c>
      <c r="AF195" s="2872">
        <v>39.60289005977301</v>
      </c>
      <c r="AG195" s="3152">
        <v>46.935291124351544</v>
      </c>
      <c r="AH195" s="2872">
        <v>50.35073750883889</v>
      </c>
      <c r="AI195" s="3582">
        <v>53.84422212052732</v>
      </c>
      <c r="AJ195" s="3152">
        <v>55.839129131363173</v>
      </c>
      <c r="AK195" s="2872">
        <v>57.65882542676971</v>
      </c>
      <c r="AL195" s="2872">
        <v>60.038120804330134</v>
      </c>
      <c r="AM195" s="2872">
        <v>62.844530098791971</v>
      </c>
      <c r="AN195" s="2872">
        <v>65.084613779684418</v>
      </c>
      <c r="AO195" s="2872">
        <v>67.100919889388805</v>
      </c>
      <c r="AP195" s="2872">
        <v>69.199807458811918</v>
      </c>
      <c r="AQ195" s="2872">
        <v>71.338868562699616</v>
      </c>
      <c r="AR195" s="2872">
        <v>73.546584736514419</v>
      </c>
      <c r="AS195" s="2872">
        <v>75.813840908825526</v>
      </c>
      <c r="AT195" s="2872">
        <v>78.15098178060434</v>
      </c>
    </row>
    <row r="196" spans="1:47">
      <c r="A196" s="305"/>
      <c r="B196" s="292"/>
      <c r="C196" s="292"/>
      <c r="D196" s="2692" t="s">
        <v>234</v>
      </c>
      <c r="E196" s="2692"/>
      <c r="F196" s="2693"/>
      <c r="G196" s="2692"/>
      <c r="H196" s="2692"/>
      <c r="I196" s="2692">
        <v>0</v>
      </c>
      <c r="J196" s="2692">
        <v>0</v>
      </c>
      <c r="K196" s="2692">
        <v>0</v>
      </c>
      <c r="L196" s="2692">
        <v>0</v>
      </c>
      <c r="M196" s="2692">
        <v>0</v>
      </c>
      <c r="N196" s="2692">
        <v>0</v>
      </c>
      <c r="O196" s="2692">
        <v>0</v>
      </c>
      <c r="P196" s="2692">
        <v>23.43810393328463</v>
      </c>
      <c r="Q196" s="2692">
        <v>23.159102670319861</v>
      </c>
      <c r="R196" s="2692">
        <v>23.351516321563931</v>
      </c>
      <c r="S196" s="2692">
        <v>27.724282998403538</v>
      </c>
      <c r="T196" s="2692">
        <v>26.856396991004242</v>
      </c>
      <c r="U196" s="2694">
        <v>29.045445022431501</v>
      </c>
      <c r="V196" s="2694">
        <v>33.90665542728707</v>
      </c>
      <c r="W196" s="2694">
        <v>33.802451172914743</v>
      </c>
      <c r="X196" s="2695">
        <v>36.099426311196005</v>
      </c>
      <c r="Y196" s="2695">
        <v>38.507333868976083</v>
      </c>
      <c r="Z196" s="2695">
        <v>36.419388455711278</v>
      </c>
      <c r="AA196" s="2695">
        <v>39.467862327122766</v>
      </c>
      <c r="AB196" s="2695">
        <v>39.967605678056678</v>
      </c>
      <c r="AC196" s="2695">
        <v>41.756449171942577</v>
      </c>
      <c r="AD196" s="2875">
        <v>43.202355232464619</v>
      </c>
      <c r="AE196" s="2875">
        <v>43.09496318236387</v>
      </c>
      <c r="AF196" s="2875">
        <v>49.145925841848602</v>
      </c>
      <c r="AG196" s="3155">
        <v>57.87504425217567</v>
      </c>
      <c r="AH196" s="2875">
        <v>62.553039995530476</v>
      </c>
      <c r="AI196" s="3585">
        <v>67.872241847089882</v>
      </c>
      <c r="AJ196" s="3155">
        <v>71.028509164486834</v>
      </c>
      <c r="AK196" s="2875">
        <v>73.655919892537014</v>
      </c>
      <c r="AL196" s="2875">
        <v>76.736952013852104</v>
      </c>
      <c r="AM196" s="2875">
        <v>80.205314327654847</v>
      </c>
      <c r="AN196" s="2875">
        <v>83.101258679100155</v>
      </c>
      <c r="AO196" s="2875">
        <v>85.793124408462276</v>
      </c>
      <c r="AP196" s="2875">
        <v>88.593018907825495</v>
      </c>
      <c r="AQ196" s="2875">
        <v>91.462295262253164</v>
      </c>
      <c r="AR196" s="2875">
        <v>94.430229416143888</v>
      </c>
      <c r="AS196" s="2875">
        <v>97.490302115367854</v>
      </c>
      <c r="AT196" s="2875">
        <v>100.65366328208096</v>
      </c>
      <c r="AU196" s="968"/>
    </row>
    <row r="197" spans="1:47">
      <c r="A197" s="305"/>
      <c r="B197" s="292"/>
      <c r="C197" s="292"/>
      <c r="D197" s="2697" t="s">
        <v>817</v>
      </c>
      <c r="E197" s="2692"/>
      <c r="F197" s="2693"/>
      <c r="G197" s="2692"/>
      <c r="H197" s="2692"/>
      <c r="I197" s="2694">
        <v>18.97</v>
      </c>
      <c r="J197" s="2694">
        <v>16.995227726906673</v>
      </c>
      <c r="K197" s="2694">
        <v>4.2699999999999996</v>
      </c>
      <c r="L197" s="2694">
        <v>9.36</v>
      </c>
      <c r="M197" s="2694">
        <v>11.8</v>
      </c>
      <c r="N197" s="2694">
        <v>30.082344343058111</v>
      </c>
      <c r="O197" s="2694">
        <v>43.503097360167999</v>
      </c>
      <c r="P197" s="2694">
        <v>48.759491172504752</v>
      </c>
      <c r="Q197" s="2694">
        <v>131.84</v>
      </c>
      <c r="R197" s="2694">
        <v>151.63</v>
      </c>
      <c r="S197" s="2694">
        <v>186</v>
      </c>
      <c r="T197" s="2694">
        <v>174.4576368895805</v>
      </c>
      <c r="U197" s="2694">
        <v>201.64867486147119</v>
      </c>
      <c r="V197" s="2694">
        <v>251.8</v>
      </c>
      <c r="W197" s="2694">
        <v>281.8</v>
      </c>
      <c r="X197" s="2695">
        <v>293.60000000000002</v>
      </c>
      <c r="Y197" s="2695">
        <v>303.7</v>
      </c>
      <c r="Z197" s="2695">
        <v>338.06716604040901</v>
      </c>
      <c r="AA197" s="2695">
        <v>363.04844521815846</v>
      </c>
      <c r="AB197" s="2695">
        <v>381.07383339468572</v>
      </c>
      <c r="AC197" s="2695">
        <v>392</v>
      </c>
      <c r="AD197" s="2875">
        <v>458</v>
      </c>
      <c r="AE197" s="2875">
        <v>120.45744574748632</v>
      </c>
      <c r="AF197" s="2875">
        <v>149.89658754037657</v>
      </c>
      <c r="AG197" s="3155">
        <v>400.24686820857499</v>
      </c>
      <c r="AH197" s="2875">
        <v>563.87619142358039</v>
      </c>
      <c r="AI197" s="3585">
        <v>579.46187831715406</v>
      </c>
      <c r="AJ197" s="3155">
        <v>631.61344736569788</v>
      </c>
      <c r="AK197" s="2875">
        <v>688.45865762861069</v>
      </c>
      <c r="AL197" s="2875">
        <v>750.41993681518579</v>
      </c>
      <c r="AM197" s="2875">
        <v>817.95773112855272</v>
      </c>
      <c r="AN197" s="2875">
        <v>891.57392693012252</v>
      </c>
      <c r="AO197" s="2875">
        <v>931.69475364197797</v>
      </c>
      <c r="AP197" s="2875">
        <v>1015.5472814697561</v>
      </c>
      <c r="AQ197" s="2875">
        <v>1106.9465368020342</v>
      </c>
      <c r="AR197" s="2875">
        <v>1206.5717251142173</v>
      </c>
      <c r="AS197" s="2875">
        <v>1315.1631803744972</v>
      </c>
      <c r="AT197" s="2875">
        <v>1433.527866608202</v>
      </c>
      <c r="AU197" s="968"/>
    </row>
    <row r="198" spans="1:47">
      <c r="D198" s="2692" t="s">
        <v>755</v>
      </c>
      <c r="E198" s="2692"/>
      <c r="F198" s="2693"/>
      <c r="G198" s="2692"/>
      <c r="H198" s="2692"/>
      <c r="I198" s="2696">
        <v>-19.259999999999998</v>
      </c>
      <c r="J198" s="2696">
        <v>-11.372019268052615</v>
      </c>
      <c r="K198" s="2696">
        <v>-19.604000000000006</v>
      </c>
      <c r="L198" s="2696">
        <v>-22.485000000000003</v>
      </c>
      <c r="M198" s="2696">
        <v>-19.05</v>
      </c>
      <c r="N198" s="2696">
        <v>-30.532592161219529</v>
      </c>
      <c r="O198" s="2696">
        <v>-33.654771896816662</v>
      </c>
      <c r="P198" s="2696">
        <v>-29.172603393709601</v>
      </c>
      <c r="Q198" s="2696">
        <v>-29.443331816275474</v>
      </c>
      <c r="R198" s="2696">
        <v>-17.218153099755636</v>
      </c>
      <c r="S198" s="2696">
        <v>-37.006562317656773</v>
      </c>
      <c r="T198" s="2696">
        <v>-36.793004655975096</v>
      </c>
      <c r="U198" s="2694">
        <v>-38.795006979352166</v>
      </c>
      <c r="V198" s="2694">
        <v>-50.133544709868843</v>
      </c>
      <c r="W198" s="2694">
        <v>-119.28705950553245</v>
      </c>
      <c r="X198" s="2695">
        <v>-171.43028199296305</v>
      </c>
      <c r="Y198" s="2695">
        <v>-182.59527682688011</v>
      </c>
      <c r="Z198" s="2695">
        <v>-123.68877920531247</v>
      </c>
      <c r="AA198" s="2695">
        <v>-301.78293514342522</v>
      </c>
      <c r="AB198" s="2695">
        <v>-276.22119671797901</v>
      </c>
      <c r="AC198" s="2695">
        <v>-328.18274789495689</v>
      </c>
      <c r="AD198" s="2875">
        <v>-323.84356347276434</v>
      </c>
      <c r="AE198" s="2875">
        <v>-199.47181920826381</v>
      </c>
      <c r="AF198" s="2875">
        <v>-180.38519193684914</v>
      </c>
      <c r="AG198" s="3155">
        <v>-249.33255371182133</v>
      </c>
      <c r="AH198" s="2875">
        <v>-295.61951918659736</v>
      </c>
      <c r="AI198" s="3585">
        <v>-345.45549604801693</v>
      </c>
      <c r="AJ198" s="3155">
        <v>-383.41320388522286</v>
      </c>
      <c r="AK198" s="2875">
        <v>-427.11815635248951</v>
      </c>
      <c r="AL198" s="2875">
        <v>-492.92378923985359</v>
      </c>
      <c r="AM198" s="2875">
        <v>-547.58909932781739</v>
      </c>
      <c r="AN198" s="2875">
        <v>-578.54514872946595</v>
      </c>
      <c r="AO198" s="2875">
        <v>-602.38760761435537</v>
      </c>
      <c r="AP198" s="2875">
        <v>-454.63661684394214</v>
      </c>
      <c r="AQ198" s="2875">
        <v>-479.09800336986399</v>
      </c>
      <c r="AR198" s="2875">
        <v>-506.02404297152191</v>
      </c>
      <c r="AS198" s="2875">
        <v>-536.58467635918657</v>
      </c>
      <c r="AT198" s="2875">
        <v>-583.85334981777385</v>
      </c>
      <c r="AU198" s="701"/>
    </row>
    <row r="199" spans="1:47">
      <c r="D199" s="2692" t="s">
        <v>756</v>
      </c>
      <c r="E199" s="2692"/>
      <c r="F199" s="2693"/>
      <c r="G199" s="2692"/>
      <c r="H199" s="2692"/>
      <c r="I199" s="2696">
        <v>-2.7800000000000002</v>
      </c>
      <c r="J199" s="2696">
        <v>-4.0506457482029408</v>
      </c>
      <c r="K199" s="2696">
        <v>-9.1300000000000008</v>
      </c>
      <c r="L199" s="2696">
        <v>-15.39</v>
      </c>
      <c r="M199" s="2696">
        <v>-13.6</v>
      </c>
      <c r="N199" s="2696">
        <v>-14.300145921276769</v>
      </c>
      <c r="O199" s="2696">
        <v>-15.529084470553622</v>
      </c>
      <c r="P199" s="2696">
        <v>-20.438351973762504</v>
      </c>
      <c r="Q199" s="2696">
        <v>-26.087815794465516</v>
      </c>
      <c r="R199" s="2696">
        <v>-21.414855072463769</v>
      </c>
      <c r="S199" s="2696">
        <v>-33.453114524806622</v>
      </c>
      <c r="T199" s="2696">
        <v>-31.909885455850095</v>
      </c>
      <c r="U199" s="2694">
        <v>-22.201912435278658</v>
      </c>
      <c r="V199" s="2694">
        <v>-29.788057176640656</v>
      </c>
      <c r="W199" s="2694">
        <v>-28.57967258344873</v>
      </c>
      <c r="X199" s="2695">
        <v>-27.518559523335007</v>
      </c>
      <c r="Y199" s="2695">
        <v>-34.938361827764389</v>
      </c>
      <c r="Z199" s="2695">
        <v>-45.130753178335766</v>
      </c>
      <c r="AA199" s="2695">
        <v>-37.37078985420338</v>
      </c>
      <c r="AB199" s="2695">
        <v>-28.628459107714988</v>
      </c>
      <c r="AC199" s="2695">
        <v>-28.619085640810752</v>
      </c>
      <c r="AD199" s="2875">
        <v>-21.86140941491724</v>
      </c>
      <c r="AE199" s="2875">
        <v>-14.295350902137496</v>
      </c>
      <c r="AF199" s="2875">
        <v>-23.358671035753861</v>
      </c>
      <c r="AG199" s="3155">
        <v>-32.474348045755669</v>
      </c>
      <c r="AH199" s="2875">
        <v>-33.94741202799807</v>
      </c>
      <c r="AI199" s="3585">
        <v>-30.314624678908288</v>
      </c>
      <c r="AJ199" s="3155">
        <v>-31.440635238797459</v>
      </c>
      <c r="AK199" s="2875">
        <v>-33.72770041767258</v>
      </c>
      <c r="AL199" s="2875">
        <v>-37.064120273106262</v>
      </c>
      <c r="AM199" s="2875">
        <v>-39.984674483604294</v>
      </c>
      <c r="AN199" s="2875">
        <v>-44.725901699418017</v>
      </c>
      <c r="AO199" s="2875">
        <v>-50.463958070133607</v>
      </c>
      <c r="AP199" s="2875">
        <v>-57.310709741099309</v>
      </c>
      <c r="AQ199" s="2875">
        <v>-65.235850980370031</v>
      </c>
      <c r="AR199" s="2875">
        <v>-74.31655254187099</v>
      </c>
      <c r="AS199" s="2875">
        <v>-84.780524266829161</v>
      </c>
      <c r="AT199" s="2875">
        <v>-96.810491155122023</v>
      </c>
    </row>
    <row r="200" spans="1:47">
      <c r="D200" s="2692" t="s">
        <v>757</v>
      </c>
      <c r="E200" s="2692"/>
      <c r="F200" s="2693"/>
      <c r="G200" s="2692"/>
      <c r="H200" s="2692"/>
      <c r="I200" s="2696">
        <v>0.85000000000000231</v>
      </c>
      <c r="J200" s="2696">
        <v>4.6640319742295766E-2</v>
      </c>
      <c r="K200" s="2696">
        <v>-1.1200000000000063</v>
      </c>
      <c r="L200" s="2696">
        <v>-1.9400000000000013</v>
      </c>
      <c r="M200" s="2696">
        <v>0.98999999999999844</v>
      </c>
      <c r="N200" s="2696">
        <v>-5.3168462399427616</v>
      </c>
      <c r="O200" s="2696">
        <v>-2.6821597986402157</v>
      </c>
      <c r="P200" s="2696">
        <v>-3.3901516250993371</v>
      </c>
      <c r="Q200" s="2696">
        <v>-10.003959552720223</v>
      </c>
      <c r="R200" s="2696">
        <v>-9.5191194437155815</v>
      </c>
      <c r="S200" s="2696">
        <v>-16.623447792850151</v>
      </c>
      <c r="T200" s="2696">
        <v>-6.0655926952531916</v>
      </c>
      <c r="U200" s="2694">
        <v>-14.88318057407351</v>
      </c>
      <c r="V200" s="2694">
        <v>-21.249605212868527</v>
      </c>
      <c r="W200" s="2694">
        <v>-84.845959792083718</v>
      </c>
      <c r="X200" s="2695">
        <v>-114.96873197121744</v>
      </c>
      <c r="Y200" s="2695">
        <v>-112.24350479543541</v>
      </c>
      <c r="Z200" s="2695">
        <v>-37.722445120742698</v>
      </c>
      <c r="AA200" s="2695">
        <v>-221.31952638387926</v>
      </c>
      <c r="AB200" s="2695">
        <v>-215.85771534249716</v>
      </c>
      <c r="AC200" s="2695">
        <v>-243.57783783863107</v>
      </c>
      <c r="AD200" s="2875">
        <v>-243.98746378074844</v>
      </c>
      <c r="AE200" s="2875">
        <v>-127.75082565941017</v>
      </c>
      <c r="AF200" s="2875">
        <v>-125.34202816247722</v>
      </c>
      <c r="AG200" s="3155">
        <v>-151.291584280905</v>
      </c>
      <c r="AH200" s="2875">
        <v>-198.51158128058384</v>
      </c>
      <c r="AI200" s="3585">
        <v>-192.11048505370462</v>
      </c>
      <c r="AJ200" s="3155">
        <v>-188.91981476735279</v>
      </c>
      <c r="AK200" s="2875">
        <v>-214.09192722542207</v>
      </c>
      <c r="AL200" s="2875">
        <v>-255.37775932692077</v>
      </c>
      <c r="AM200" s="2875">
        <v>-293.91485323855846</v>
      </c>
      <c r="AN200" s="2875">
        <v>-318.52949698342888</v>
      </c>
      <c r="AO200" s="2875">
        <v>-341.10067583013915</v>
      </c>
      <c r="AP200" s="2875">
        <v>-363.69394889310496</v>
      </c>
      <c r="AQ200" s="2875">
        <v>-388.95360858864581</v>
      </c>
      <c r="AR200" s="2875">
        <v>-416.93377039790772</v>
      </c>
      <c r="AS200" s="2875">
        <v>-446.90942913206953</v>
      </c>
      <c r="AT200" s="2875">
        <v>-485.45838223419861</v>
      </c>
    </row>
    <row r="201" spans="1:47">
      <c r="D201" s="2698" t="s">
        <v>933</v>
      </c>
      <c r="E201" s="2698"/>
      <c r="F201" s="2699"/>
      <c r="G201" s="2698"/>
      <c r="H201" s="2698"/>
      <c r="I201" s="2700">
        <v>-23.61</v>
      </c>
      <c r="J201" s="2700">
        <v>-13.299999999999999</v>
      </c>
      <c r="K201" s="2700">
        <v>-17.423999999999999</v>
      </c>
      <c r="L201" s="2700">
        <v>-13.975000000000001</v>
      </c>
      <c r="M201" s="2700">
        <v>-13.2</v>
      </c>
      <c r="N201" s="2700">
        <v>-15.355599999999999</v>
      </c>
      <c r="O201" s="2700">
        <v>-20.284299999999998</v>
      </c>
      <c r="P201" s="2700">
        <v>-17.01617741935484</v>
      </c>
      <c r="Q201" s="2700">
        <v>-12.144556469089734</v>
      </c>
      <c r="R201" s="2700">
        <v>-6.1791785835762871</v>
      </c>
      <c r="S201" s="2700">
        <v>-6.93</v>
      </c>
      <c r="T201" s="2700">
        <v>-7.2682661853888897</v>
      </c>
      <c r="U201" s="2700">
        <v>-7.83</v>
      </c>
      <c r="V201" s="2700">
        <v>-8.1141288803596598</v>
      </c>
      <c r="W201" s="2700">
        <v>-9.1999999999999993</v>
      </c>
      <c r="X201" s="2700">
        <v>-32.334940488410602</v>
      </c>
      <c r="Y201" s="2700">
        <v>-38.952314913680297</v>
      </c>
      <c r="Z201" s="2700">
        <v>-42.593214676234005</v>
      </c>
      <c r="AA201" s="2700">
        <v>-43.484013155342566</v>
      </c>
      <c r="AB201" s="2700">
        <v>-36.603065977766839</v>
      </c>
      <c r="AC201" s="2700">
        <v>-62.283684595515055</v>
      </c>
      <c r="AD201" s="2877">
        <v>-63.262921495493721</v>
      </c>
      <c r="AE201" s="2876">
        <v>-63.157168206716143</v>
      </c>
      <c r="AF201" s="2876">
        <v>-40.113784728618043</v>
      </c>
      <c r="AG201" s="3156">
        <v>-73.034568335160671</v>
      </c>
      <c r="AH201" s="2876">
        <v>-63.16052587801542</v>
      </c>
      <c r="AI201" s="3586">
        <v>-123.03038631540402</v>
      </c>
      <c r="AJ201" s="3156">
        <v>-169.58553607584122</v>
      </c>
      <c r="AK201" s="2876">
        <v>-186.45156017280195</v>
      </c>
      <c r="AL201" s="2876">
        <v>-207.20667430188831</v>
      </c>
      <c r="AM201" s="2876">
        <v>-219.29723227919334</v>
      </c>
      <c r="AN201" s="2876">
        <v>-218.91133223535024</v>
      </c>
      <c r="AO201" s="2876">
        <v>-212.17798403430584</v>
      </c>
      <c r="AP201" s="2876">
        <v>-34.607236598177948</v>
      </c>
      <c r="AQ201" s="2876">
        <v>-24.968721450993382</v>
      </c>
      <c r="AR201" s="2876">
        <v>-14.366814211160936</v>
      </c>
      <c r="AS201" s="2876">
        <v>-4.8429677143761403</v>
      </c>
      <c r="AT201" s="2876">
        <v>-2.506919317975155</v>
      </c>
    </row>
    <row r="202" spans="1:47">
      <c r="D202" s="2692" t="s">
        <v>758</v>
      </c>
      <c r="E202" s="2692"/>
      <c r="F202" s="2693"/>
      <c r="G202" s="2692"/>
      <c r="H202" s="2692"/>
      <c r="I202" s="2696">
        <v>6.28</v>
      </c>
      <c r="J202" s="2696">
        <v>5.9319861604080293</v>
      </c>
      <c r="K202" s="2696">
        <v>8.07</v>
      </c>
      <c r="L202" s="2696">
        <v>8.82</v>
      </c>
      <c r="M202" s="2696">
        <v>6.76</v>
      </c>
      <c r="N202" s="2696">
        <v>4.4400000000000004</v>
      </c>
      <c r="O202" s="2696">
        <v>4.8407723723771721</v>
      </c>
      <c r="P202" s="2696">
        <v>11.672077624507081</v>
      </c>
      <c r="Q202" s="2696">
        <v>18.792999999999999</v>
      </c>
      <c r="R202" s="2696">
        <v>19.895000000000003</v>
      </c>
      <c r="S202" s="2696">
        <v>20</v>
      </c>
      <c r="T202" s="2696">
        <v>8.4507396805170796</v>
      </c>
      <c r="U202" s="2694">
        <v>6.1200860300000013</v>
      </c>
      <c r="V202" s="2694">
        <v>9.0182465599999997</v>
      </c>
      <c r="W202" s="2694">
        <v>3.3385728699999997</v>
      </c>
      <c r="X202" s="2695">
        <v>3.3919499899999996</v>
      </c>
      <c r="Y202" s="2695">
        <v>3.5389047099999997</v>
      </c>
      <c r="Z202" s="2695">
        <v>1.75763377</v>
      </c>
      <c r="AA202" s="2695">
        <v>0.39139424999999994</v>
      </c>
      <c r="AB202" s="2695">
        <v>4.8680437100000002</v>
      </c>
      <c r="AC202" s="2695">
        <v>6.2978601799999989</v>
      </c>
      <c r="AD202" s="2875">
        <v>5.2682312183950852</v>
      </c>
      <c r="AE202" s="2875">
        <v>5.7315255599999997</v>
      </c>
      <c r="AF202" s="2875">
        <v>8.4292919899999994</v>
      </c>
      <c r="AG202" s="3155">
        <v>7.46794695</v>
      </c>
      <c r="AH202" s="2875">
        <v>0</v>
      </c>
      <c r="AI202" s="3585">
        <v>0</v>
      </c>
      <c r="AJ202" s="3155">
        <v>6.5327821967686317</v>
      </c>
      <c r="AK202" s="2875">
        <v>7.1530314634070891</v>
      </c>
      <c r="AL202" s="2875">
        <v>6.7247646620617507</v>
      </c>
      <c r="AM202" s="2875">
        <v>5.6076606735387049</v>
      </c>
      <c r="AN202" s="2875">
        <v>3.621582188731217</v>
      </c>
      <c r="AO202" s="2875">
        <v>1.355010320223184</v>
      </c>
      <c r="AP202" s="2875">
        <v>0.97527838844005366</v>
      </c>
      <c r="AQ202" s="2875">
        <v>6.0177650145185925E-2</v>
      </c>
      <c r="AR202" s="2875">
        <v>-0.40690582058224828</v>
      </c>
      <c r="AS202" s="2875">
        <v>-5.1755245911725575E-2</v>
      </c>
      <c r="AT202" s="2875">
        <v>0.92244288952188547</v>
      </c>
    </row>
    <row r="203" spans="1:47">
      <c r="D203" s="2692" t="s">
        <v>588</v>
      </c>
      <c r="E203" s="2692"/>
      <c r="F203" s="2693"/>
      <c r="G203" s="2692"/>
      <c r="H203" s="2692"/>
      <c r="I203" s="2703">
        <v>16.309999999999999</v>
      </c>
      <c r="J203" s="2703">
        <v>14.656455990694068</v>
      </c>
      <c r="K203" s="2703">
        <v>18.72</v>
      </c>
      <c r="L203" s="2703">
        <v>20.41</v>
      </c>
      <c r="M203" s="2703">
        <v>17.72</v>
      </c>
      <c r="N203" s="2703">
        <v>22.68247970150064</v>
      </c>
      <c r="O203" s="2703">
        <v>30.576210591086046</v>
      </c>
      <c r="P203" s="2703">
        <v>37.643209102675804</v>
      </c>
      <c r="Q203" s="2703">
        <v>37.189080415199847</v>
      </c>
      <c r="R203" s="2703">
        <v>39.993883364328816</v>
      </c>
      <c r="S203" s="2703">
        <v>81.872036817647285</v>
      </c>
      <c r="T203" s="2703">
        <v>92.136767135342893</v>
      </c>
      <c r="U203" s="2694">
        <v>142.56998272267776</v>
      </c>
      <c r="V203" s="2694">
        <v>158.352</v>
      </c>
      <c r="W203" s="2694">
        <v>156.68665837488413</v>
      </c>
      <c r="X203" s="2695">
        <v>188.28676052945491</v>
      </c>
      <c r="Y203" s="2695">
        <v>191.63169737122223</v>
      </c>
      <c r="Z203" s="2695">
        <v>250.87111665734079</v>
      </c>
      <c r="AA203" s="2695">
        <v>260.59969881387326</v>
      </c>
      <c r="AB203" s="2695">
        <v>269.53544047208868</v>
      </c>
      <c r="AC203" s="2695">
        <v>265.29224106129402</v>
      </c>
      <c r="AD203" s="2875">
        <v>268.41084681874599</v>
      </c>
      <c r="AE203" s="2875">
        <v>244.77761925065067</v>
      </c>
      <c r="AF203" s="2875">
        <v>231.79336595847488</v>
      </c>
      <c r="AG203" s="3155">
        <v>196.66480088917666</v>
      </c>
      <c r="AH203" s="2875">
        <v>245.06604650495811</v>
      </c>
      <c r="AI203" s="3585">
        <v>223.69572079810973</v>
      </c>
      <c r="AJ203" s="3155">
        <v>213.73267883379083</v>
      </c>
      <c r="AK203" s="2875">
        <v>204.34189415712876</v>
      </c>
      <c r="AL203" s="2875">
        <v>205.06749716870004</v>
      </c>
      <c r="AM203" s="2875">
        <v>206.06749716870004</v>
      </c>
      <c r="AN203" s="2875">
        <v>207.06749716870004</v>
      </c>
      <c r="AO203" s="2875">
        <v>208.06749716870004</v>
      </c>
      <c r="AP203" s="2875">
        <v>229.28590416870006</v>
      </c>
      <c r="AQ203" s="2875">
        <v>230.28590416870006</v>
      </c>
      <c r="AR203" s="2875">
        <v>231.28590416870006</v>
      </c>
      <c r="AS203" s="2875">
        <v>232.28590416870006</v>
      </c>
      <c r="AT203" s="2875">
        <v>233.28590416870006</v>
      </c>
    </row>
    <row r="204" spans="1:47">
      <c r="D204" s="2692" t="s">
        <v>816</v>
      </c>
      <c r="E204" s="2692"/>
      <c r="F204" s="2693"/>
      <c r="G204" s="2692"/>
      <c r="H204" s="2692"/>
      <c r="I204" s="2703">
        <v>193.1</v>
      </c>
      <c r="J204" s="2703">
        <v>155.25</v>
      </c>
      <c r="K204" s="2703">
        <v>134.63</v>
      </c>
      <c r="L204" s="2703">
        <v>117.53</v>
      </c>
      <c r="M204" s="2703">
        <v>113.82</v>
      </c>
      <c r="N204" s="2703">
        <v>138.84238876505106</v>
      </c>
      <c r="O204" s="2703">
        <v>153.31146696926095</v>
      </c>
      <c r="P204" s="2703">
        <v>170.99655839450463</v>
      </c>
      <c r="Q204" s="2703">
        <v>199.9268989662807</v>
      </c>
      <c r="R204" s="2703">
        <v>205.92543503754268</v>
      </c>
      <c r="S204" s="2703">
        <v>182.92874135010919</v>
      </c>
      <c r="T204" s="2703">
        <v>191.5210674571216</v>
      </c>
      <c r="U204" s="2694">
        <v>191.19944265700386</v>
      </c>
      <c r="V204" s="2694">
        <v>262.5376687051214</v>
      </c>
      <c r="W204" s="2694">
        <v>303.06107661717004</v>
      </c>
      <c r="X204" s="2695">
        <v>294.19245357979031</v>
      </c>
      <c r="Y204" s="2695">
        <v>323.19158552087572</v>
      </c>
      <c r="Z204" s="2695">
        <v>338.76969752124387</v>
      </c>
      <c r="AA204" s="2695">
        <v>311.4188850390903</v>
      </c>
      <c r="AB204" s="2695">
        <v>376.94818715441613</v>
      </c>
      <c r="AC204" s="2695">
        <v>478.04397145090763</v>
      </c>
      <c r="AD204" s="2875">
        <v>444.32185025512638</v>
      </c>
      <c r="AE204" s="2875">
        <v>437.26163186294957</v>
      </c>
      <c r="AF204" s="2875">
        <v>530.2042742399251</v>
      </c>
      <c r="AG204" s="3155">
        <v>594.54334794624265</v>
      </c>
      <c r="AH204" s="2875">
        <v>627.31255095551842</v>
      </c>
      <c r="AI204" s="3585">
        <v>581.61142038034268</v>
      </c>
      <c r="AJ204" s="3155">
        <v>643.81748618399592</v>
      </c>
      <c r="AK204" s="2875">
        <v>666.68662077257284</v>
      </c>
      <c r="AL204" s="2875">
        <v>679.97439110762207</v>
      </c>
      <c r="AM204" s="2875">
        <v>693.84296787961102</v>
      </c>
      <c r="AN204" s="2875">
        <v>708.71072581118722</v>
      </c>
      <c r="AO204" s="2875">
        <v>723.48182618960038</v>
      </c>
      <c r="AP204" s="2875">
        <v>738.46734747813446</v>
      </c>
      <c r="AQ204" s="2875">
        <v>753.7861096577443</v>
      </c>
      <c r="AR204" s="2875">
        <v>769.42933950583347</v>
      </c>
      <c r="AS204" s="2875">
        <v>785.21708495388339</v>
      </c>
      <c r="AT204" s="2875">
        <v>801.03514975897031</v>
      </c>
    </row>
    <row r="205" spans="1:47">
      <c r="D205" s="2698" t="s">
        <v>897</v>
      </c>
      <c r="E205" s="2692"/>
      <c r="F205" s="2693"/>
      <c r="G205" s="2692"/>
      <c r="H205" s="2692"/>
      <c r="I205" s="2703">
        <v>-1.4000000000000057</v>
      </c>
      <c r="J205" s="2703">
        <v>-1.25</v>
      </c>
      <c r="K205" s="2703">
        <v>-0.89000000000000057</v>
      </c>
      <c r="L205" s="2703">
        <v>-1.3400000000000034</v>
      </c>
      <c r="M205" s="2703">
        <v>-1.9099999999999966</v>
      </c>
      <c r="N205" s="2703">
        <v>-1.8799999999999955</v>
      </c>
      <c r="O205" s="2703">
        <v>-2.465999999999994</v>
      </c>
      <c r="P205" s="2703">
        <v>-2.4891324121863789</v>
      </c>
      <c r="Q205" s="2703">
        <v>-2.736843159390645</v>
      </c>
      <c r="R205" s="2703">
        <v>-3.8809263351749479</v>
      </c>
      <c r="S205" s="2703">
        <v>-4.1229141134195686</v>
      </c>
      <c r="T205" s="2703">
        <v>-7.3610382333015991</v>
      </c>
      <c r="U205" s="2694">
        <v>389.55636964828852</v>
      </c>
      <c r="V205" s="2694">
        <v>535.30822016283992</v>
      </c>
      <c r="W205" s="2694">
        <v>329.02530511842355</v>
      </c>
      <c r="X205" s="2695">
        <v>446.78046241000004</v>
      </c>
      <c r="Y205" s="2695">
        <v>254.84592278000005</v>
      </c>
      <c r="Z205" s="2695">
        <v>197.58784213848159</v>
      </c>
      <c r="AA205" s="2695">
        <v>212.80466725702263</v>
      </c>
      <c r="AB205" s="2695">
        <v>205.5197756100041</v>
      </c>
      <c r="AC205" s="2695">
        <v>189.48648739918804</v>
      </c>
      <c r="AD205" s="2875">
        <v>137.10203690658349</v>
      </c>
      <c r="AE205" s="2875">
        <v>183.45946704667367</v>
      </c>
      <c r="AF205" s="2875">
        <v>226.20301782443568</v>
      </c>
      <c r="AG205" s="3155">
        <v>386.38605784789996</v>
      </c>
      <c r="AH205" s="2875">
        <v>270.81918508776744</v>
      </c>
      <c r="AI205" s="3585">
        <v>198.47640076000897</v>
      </c>
      <c r="AJ205" s="3155">
        <v>77.432856823941549</v>
      </c>
      <c r="AK205" s="2875">
        <v>91.063173663400292</v>
      </c>
      <c r="AL205" s="2875">
        <v>102.84154251625452</v>
      </c>
      <c r="AM205" s="2875">
        <v>139.32057449089541</v>
      </c>
      <c r="AN205" s="2875">
        <v>122.27339674810577</v>
      </c>
      <c r="AO205" s="2875">
        <v>121.52138576094515</v>
      </c>
      <c r="AP205" s="2875">
        <v>140.61060104986905</v>
      </c>
      <c r="AQ205" s="2875">
        <v>143.74078144807618</v>
      </c>
      <c r="AR205" s="2875">
        <v>138.86116826159548</v>
      </c>
      <c r="AS205" s="2875">
        <v>138.10747371414323</v>
      </c>
      <c r="AT205" s="2875">
        <v>135.48071557219555</v>
      </c>
    </row>
    <row r="206" spans="1:47">
      <c r="D206" s="2692" t="s">
        <v>589</v>
      </c>
      <c r="E206" s="2692"/>
      <c r="F206" s="2693"/>
      <c r="G206" s="2692"/>
      <c r="H206" s="2692"/>
      <c r="I206" s="2703">
        <v>67.290000000000006</v>
      </c>
      <c r="J206" s="2703">
        <v>70.7</v>
      </c>
      <c r="K206" s="2703">
        <v>62.67</v>
      </c>
      <c r="L206" s="2703">
        <v>48.650000000000006</v>
      </c>
      <c r="M206" s="2703">
        <v>41.7</v>
      </c>
      <c r="N206" s="2703">
        <v>41.085039152555076</v>
      </c>
      <c r="O206" s="2703">
        <v>60.560966838432989</v>
      </c>
      <c r="P206" s="2703">
        <v>93.47245323419348</v>
      </c>
      <c r="Q206" s="2703">
        <v>173.4754530955488</v>
      </c>
      <c r="R206" s="2703">
        <v>92.035332679024464</v>
      </c>
      <c r="S206" s="2703">
        <v>210.06</v>
      </c>
      <c r="T206" s="2703">
        <v>200</v>
      </c>
      <c r="U206" s="2694">
        <v>285.63538512376999</v>
      </c>
      <c r="V206" s="2694">
        <v>196.66470376775041</v>
      </c>
      <c r="W206" s="2694">
        <v>171.22500000000005</v>
      </c>
      <c r="X206" s="2695">
        <v>234.51730418943535</v>
      </c>
      <c r="Y206" s="2695">
        <v>337.05042794714655</v>
      </c>
      <c r="Z206" s="2695">
        <v>299.89999999999998</v>
      </c>
      <c r="AA206" s="2695">
        <v>190</v>
      </c>
      <c r="AB206" s="2695">
        <v>189.7065008928451</v>
      </c>
      <c r="AC206" s="2695">
        <v>244.50650089284511</v>
      </c>
      <c r="AD206" s="2875">
        <v>260.22586970684199</v>
      </c>
      <c r="AE206" s="2875">
        <v>312.51275569171128</v>
      </c>
      <c r="AF206" s="2875">
        <v>421.96405335508962</v>
      </c>
      <c r="AG206" s="3155">
        <v>321.80388100000005</v>
      </c>
      <c r="AH206" s="2875">
        <v>397.59999999999997</v>
      </c>
      <c r="AI206" s="3585">
        <v>383.04947054244599</v>
      </c>
      <c r="AJ206" s="3155">
        <v>293.52835108489199</v>
      </c>
      <c r="AK206" s="2875">
        <v>293.52835108489199</v>
      </c>
      <c r="AL206" s="2875">
        <v>293.52835108489199</v>
      </c>
      <c r="AM206" s="2875">
        <v>293.52835108489199</v>
      </c>
      <c r="AN206" s="2875">
        <v>293.52835108489199</v>
      </c>
      <c r="AO206" s="2875">
        <v>293.52835108489199</v>
      </c>
      <c r="AP206" s="2875">
        <v>293.52835108489199</v>
      </c>
      <c r="AQ206" s="2875">
        <v>293.52835108489199</v>
      </c>
      <c r="AR206" s="2875">
        <v>293.52835108489199</v>
      </c>
      <c r="AS206" s="2875">
        <v>293.52835108489199</v>
      </c>
      <c r="AT206" s="2875">
        <v>293.52835108489199</v>
      </c>
    </row>
    <row r="207" spans="1:47">
      <c r="D207" s="2692" t="s">
        <v>590</v>
      </c>
      <c r="E207" s="2692"/>
      <c r="F207" s="2693"/>
      <c r="G207" s="2692"/>
      <c r="H207" s="2692"/>
      <c r="I207" s="2692">
        <v>7.1</v>
      </c>
      <c r="J207" s="2692">
        <v>1.7</v>
      </c>
      <c r="K207" s="2692">
        <v>8.1</v>
      </c>
      <c r="L207" s="2692">
        <v>3.8</v>
      </c>
      <c r="M207" s="2692">
        <v>2.6</v>
      </c>
      <c r="N207" s="2692">
        <v>4.7</v>
      </c>
      <c r="O207" s="2692">
        <v>7.7</v>
      </c>
      <c r="P207" s="2692">
        <v>10.5</v>
      </c>
      <c r="Q207" s="2692">
        <v>30.643966474959157</v>
      </c>
      <c r="R207" s="2692">
        <v>82.283165861670568</v>
      </c>
      <c r="S207" s="2692">
        <v>103.35</v>
      </c>
      <c r="T207" s="2692">
        <v>118.67174479049295</v>
      </c>
      <c r="U207" s="2694">
        <v>216.19255681733989</v>
      </c>
      <c r="V207" s="2694">
        <v>112.12753581255713</v>
      </c>
      <c r="W207" s="2694">
        <v>269.6155503502896</v>
      </c>
      <c r="X207" s="2695">
        <v>233.76379360783355</v>
      </c>
      <c r="Y207" s="2695">
        <v>313.9971627876057</v>
      </c>
      <c r="Z207" s="2695">
        <v>162.08382099716067</v>
      </c>
      <c r="AA207" s="2695">
        <v>279.74732759838088</v>
      </c>
      <c r="AB207" s="2695">
        <v>274.02599065994434</v>
      </c>
      <c r="AC207" s="2695">
        <v>366.19231550623959</v>
      </c>
      <c r="AD207" s="2875">
        <v>263.17233523000004</v>
      </c>
      <c r="AE207" s="2875">
        <v>152.61412094999997</v>
      </c>
      <c r="AF207" s="2875">
        <v>233.38493876999999</v>
      </c>
      <c r="AG207" s="3155">
        <v>305.10186338</v>
      </c>
      <c r="AH207" s="2875">
        <v>457.64400300682775</v>
      </c>
      <c r="AI207" s="3585">
        <v>572.92930001410286</v>
      </c>
      <c r="AJ207" s="3155">
        <v>633.23170154990112</v>
      </c>
      <c r="AK207" s="2875">
        <v>935.25216006317805</v>
      </c>
      <c r="AL207" s="2875">
        <v>1064.0968429791571</v>
      </c>
      <c r="AM207" s="2875">
        <v>801.21641452076597</v>
      </c>
      <c r="AN207" s="2875">
        <v>716.88687043282778</v>
      </c>
      <c r="AO207" s="2875">
        <v>672.1185153659851</v>
      </c>
      <c r="AP207" s="2875">
        <v>726.50162218034257</v>
      </c>
      <c r="AQ207" s="2875">
        <v>786.25546950522835</v>
      </c>
      <c r="AR207" s="2875">
        <v>851.99274254530019</v>
      </c>
      <c r="AS207" s="2875">
        <v>924.31312935995629</v>
      </c>
      <c r="AT207" s="2875">
        <v>1003.6424361672523</v>
      </c>
    </row>
    <row r="208" spans="1:47">
      <c r="D208" s="2698" t="s">
        <v>1636</v>
      </c>
      <c r="E208" s="2700"/>
      <c r="F208" s="2704">
        <v>0</v>
      </c>
      <c r="G208" s="2700">
        <v>0</v>
      </c>
      <c r="H208" s="2700">
        <v>0</v>
      </c>
      <c r="I208" s="2700">
        <v>-156.64203215999996</v>
      </c>
      <c r="J208" s="2700">
        <v>-116.9151910394646</v>
      </c>
      <c r="K208" s="2700">
        <v>-66.940698738235227</v>
      </c>
      <c r="L208" s="2700">
        <v>-11.261312757526571</v>
      </c>
      <c r="M208" s="2700">
        <v>37.171717442454749</v>
      </c>
      <c r="N208" s="2700">
        <v>115.26080076195849</v>
      </c>
      <c r="O208" s="2700">
        <v>-119.56347385519599</v>
      </c>
      <c r="P208" s="2700">
        <v>-54.553244305457362</v>
      </c>
      <c r="Q208" s="2700">
        <v>-104.19551395949274</v>
      </c>
      <c r="R208" s="2700">
        <v>-49.929911297951648</v>
      </c>
      <c r="S208" s="2700">
        <v>144.8755398532191</v>
      </c>
      <c r="T208" s="2700">
        <v>301.42184089398353</v>
      </c>
      <c r="U208" s="2700">
        <v>-82.5194318481241</v>
      </c>
      <c r="V208" s="2700">
        <v>319.6113737695066</v>
      </c>
      <c r="W208" s="2700">
        <v>8.1695174709504386</v>
      </c>
      <c r="X208" s="2700">
        <v>-163.85561576593315</v>
      </c>
      <c r="Y208" s="2700">
        <v>109.60353050633853</v>
      </c>
      <c r="Z208" s="2700">
        <v>462.96818317039748</v>
      </c>
      <c r="AA208" s="2700">
        <v>680.98808923168781</v>
      </c>
      <c r="AB208" s="2700">
        <v>103.01036500626594</v>
      </c>
      <c r="AC208" s="2700">
        <v>-45.44980685767915</v>
      </c>
      <c r="AD208" s="2877">
        <v>186.58769070824252</v>
      </c>
      <c r="AE208" s="2877">
        <v>165.55391035315284</v>
      </c>
      <c r="AF208" s="2877">
        <v>-233.81829397400926</v>
      </c>
      <c r="AG208" s="3157">
        <v>86.788370187337023</v>
      </c>
      <c r="AH208" s="2877">
        <v>-75.790789213808665</v>
      </c>
      <c r="AI208" s="3587">
        <v>-27.723655268676225</v>
      </c>
      <c r="AJ208" s="3157">
        <v>77.308502447081423</v>
      </c>
      <c r="AK208" s="2877">
        <v>63.269300829587337</v>
      </c>
      <c r="AL208" s="2877">
        <v>74.18250212269777</v>
      </c>
      <c r="AM208" s="2877">
        <v>79.931974187163291</v>
      </c>
      <c r="AN208" s="2877">
        <v>89.477452329579251</v>
      </c>
      <c r="AO208" s="2877">
        <v>106.32901506232918</v>
      </c>
      <c r="AP208" s="2877">
        <v>124.73324984912574</v>
      </c>
      <c r="AQ208" s="2877">
        <v>141.83950969443731</v>
      </c>
      <c r="AR208" s="2877">
        <v>159.76792573082423</v>
      </c>
      <c r="AS208" s="2877">
        <v>181.3504022374575</v>
      </c>
      <c r="AT208" s="2877">
        <v>205.55659031085702</v>
      </c>
    </row>
    <row r="209" spans="1:46" s="724" customFormat="1">
      <c r="A209" s="972"/>
      <c r="B209" s="973"/>
      <c r="C209" s="973"/>
      <c r="D209" s="2705" t="s">
        <v>898</v>
      </c>
      <c r="E209" s="2705"/>
      <c r="F209" s="2706"/>
      <c r="G209" s="2705"/>
      <c r="H209" s="2705"/>
      <c r="I209" s="2707"/>
      <c r="J209" s="2707"/>
      <c r="K209" s="2707"/>
      <c r="L209" s="2707"/>
      <c r="M209" s="2707"/>
      <c r="N209" s="2707"/>
      <c r="O209" s="2707"/>
      <c r="P209" s="2707"/>
      <c r="Q209" s="2707"/>
      <c r="R209" s="2707"/>
      <c r="S209" s="2707"/>
      <c r="T209" s="2707"/>
      <c r="U209" s="2707"/>
      <c r="V209" s="2707"/>
      <c r="W209" s="2707"/>
      <c r="X209" s="2708"/>
      <c r="Y209" s="2708">
        <v>-24.585531497476346</v>
      </c>
      <c r="Z209" s="2708">
        <v>-51.218705320000005</v>
      </c>
      <c r="AA209" s="2708">
        <v>-283.4553968343356</v>
      </c>
      <c r="AB209" s="2708">
        <v>32.470457070426306</v>
      </c>
      <c r="AC209" s="2708">
        <v>-13.859597431397098</v>
      </c>
      <c r="AD209" s="2878">
        <v>38.101517183631216</v>
      </c>
      <c r="AE209" s="2878">
        <v>78.101517183631216</v>
      </c>
      <c r="AF209" s="2878">
        <v>214.29228598383702</v>
      </c>
      <c r="AG209" s="3158">
        <v>18.091017983229701</v>
      </c>
      <c r="AH209" s="2878">
        <v>13.338598494315875</v>
      </c>
      <c r="AI209" s="3588">
        <v>13.338598494315875</v>
      </c>
      <c r="AJ209" s="3158">
        <v>0</v>
      </c>
      <c r="AK209" s="2878">
        <v>0</v>
      </c>
      <c r="AL209" s="2878">
        <v>0</v>
      </c>
      <c r="AM209" s="2878">
        <v>0</v>
      </c>
      <c r="AN209" s="2878">
        <v>0</v>
      </c>
      <c r="AO209" s="2878">
        <v>1</v>
      </c>
      <c r="AP209" s="2878">
        <v>2</v>
      </c>
      <c r="AQ209" s="2878">
        <v>3</v>
      </c>
      <c r="AR209" s="2878">
        <v>4</v>
      </c>
      <c r="AS209" s="2878">
        <v>5</v>
      </c>
      <c r="AT209" s="2878">
        <v>6</v>
      </c>
    </row>
    <row r="210" spans="1:46">
      <c r="D210" s="2709" t="s">
        <v>1637</v>
      </c>
      <c r="E210" s="2701"/>
      <c r="F210" s="2702">
        <v>0</v>
      </c>
      <c r="G210" s="2701">
        <v>0</v>
      </c>
      <c r="H210" s="2701">
        <v>0</v>
      </c>
      <c r="I210" s="2701">
        <v>66.44</v>
      </c>
      <c r="J210" s="2701">
        <v>56.954000000000001</v>
      </c>
      <c r="K210" s="2701">
        <v>24.284000000000002</v>
      </c>
      <c r="L210" s="2701">
        <v>58.193000000000005</v>
      </c>
      <c r="M210" s="2701">
        <v>53.100000000000009</v>
      </c>
      <c r="N210" s="2701">
        <v>7.7130144167588242</v>
      </c>
      <c r="O210" s="2701">
        <v>71.307085863704245</v>
      </c>
      <c r="P210" s="2701">
        <v>53.677824580000006</v>
      </c>
      <c r="Q210" s="2701">
        <v>45.17234140963965</v>
      </c>
      <c r="R210" s="2701">
        <v>80.363848598465253</v>
      </c>
      <c r="S210" s="2701">
        <v>104.75</v>
      </c>
      <c r="T210" s="2701">
        <v>81.349999999999994</v>
      </c>
      <c r="U210" s="2701">
        <v>51.903554450000001</v>
      </c>
      <c r="V210" s="2701">
        <v>83.145323983097384</v>
      </c>
      <c r="W210" s="2701">
        <v>79.5645294199592</v>
      </c>
      <c r="X210" s="2701">
        <v>509.17368724347671</v>
      </c>
      <c r="Y210" s="2701">
        <v>78.720452149379909</v>
      </c>
      <c r="Z210" s="2701">
        <v>123.55760950443891</v>
      </c>
      <c r="AA210" s="2701">
        <v>145.29421543257968</v>
      </c>
      <c r="AB210" s="2701">
        <v>378.45011651395816</v>
      </c>
      <c r="AC210" s="2701">
        <v>464.19805533163583</v>
      </c>
      <c r="AD210" s="2876">
        <v>627.17647866064317</v>
      </c>
      <c r="AE210" s="2876">
        <v>732.11399432988901</v>
      </c>
      <c r="AF210" s="2876">
        <v>982.35702737947952</v>
      </c>
      <c r="AG210" s="3156">
        <v>435.9245194645506</v>
      </c>
      <c r="AH210" s="2876">
        <v>798.78691496909425</v>
      </c>
      <c r="AI210" s="3586">
        <v>1152.6249208970512</v>
      </c>
      <c r="AJ210" s="3156">
        <v>547.50245696158879</v>
      </c>
      <c r="AK210" s="2876">
        <v>1261.7577141216811</v>
      </c>
      <c r="AL210" s="2876">
        <v>981.62882557526768</v>
      </c>
      <c r="AM210" s="2876">
        <v>623.45805529703682</v>
      </c>
      <c r="AN210" s="2876">
        <v>293.19299668033273</v>
      </c>
      <c r="AO210" s="2876">
        <v>217.10539396625529</v>
      </c>
      <c r="AP210" s="2876">
        <v>580.00084429106755</v>
      </c>
      <c r="AQ210" s="2876">
        <v>268.50159292204552</v>
      </c>
      <c r="AR210" s="2876">
        <v>202.42554845644136</v>
      </c>
      <c r="AS210" s="2876">
        <v>266.31722627602329</v>
      </c>
      <c r="AT210" s="2876">
        <v>272.49148176590461</v>
      </c>
    </row>
    <row r="211" spans="1:46">
      <c r="D211" s="2710" t="s">
        <v>1638</v>
      </c>
      <c r="E211" s="2980"/>
      <c r="F211" s="2711"/>
      <c r="G211" s="2710"/>
      <c r="H211" s="2710"/>
      <c r="I211" s="2710">
        <v>17.259999999999998</v>
      </c>
      <c r="J211" s="2710">
        <v>14.038600000000002</v>
      </c>
      <c r="K211" s="2710">
        <v>-1.8219999999999956</v>
      </c>
      <c r="L211" s="2710">
        <v>-13.259999999999998</v>
      </c>
      <c r="M211" s="2710">
        <v>-12.820000000000004</v>
      </c>
      <c r="N211" s="2710">
        <v>35.694999999999986</v>
      </c>
      <c r="O211" s="2710">
        <v>-107.93793142857143</v>
      </c>
      <c r="P211" s="2710">
        <v>-119.15900000000001</v>
      </c>
      <c r="Q211" s="2710">
        <v>-81.520646509755977</v>
      </c>
      <c r="R211" s="2710">
        <v>-110.67034815175572</v>
      </c>
      <c r="S211" s="2710">
        <v>-54.305268169999998</v>
      </c>
      <c r="T211" s="2710">
        <v>-54.305268169999977</v>
      </c>
      <c r="U211" s="2712">
        <v>72.069626803183496</v>
      </c>
      <c r="V211" s="2712">
        <v>234.53842349559599</v>
      </c>
      <c r="W211" s="2712">
        <v>-212.441363438932</v>
      </c>
      <c r="X211" s="2713">
        <v>228.49356152865801</v>
      </c>
      <c r="Y211" s="2713">
        <v>-90.429105865243002</v>
      </c>
      <c r="Z211" s="2713">
        <v>-28.534467544668246</v>
      </c>
      <c r="AA211" s="2713">
        <v>79.222813492916202</v>
      </c>
      <c r="AB211" s="2713">
        <v>157.33704558778197</v>
      </c>
      <c r="AC211" s="2713">
        <v>70.673753283256474</v>
      </c>
      <c r="AD211" s="2879">
        <v>112.25976879312809</v>
      </c>
      <c r="AE211" s="2879">
        <v>135.46142368333008</v>
      </c>
      <c r="AF211" s="2879">
        <v>196.78144004603271</v>
      </c>
      <c r="AG211" s="3159">
        <v>-97.493973756694345</v>
      </c>
      <c r="AH211" s="2879">
        <v>-87.301456769076168</v>
      </c>
      <c r="AI211" s="3589">
        <v>261.23039273094349</v>
      </c>
      <c r="AJ211" s="3159">
        <v>-306.21361425423549</v>
      </c>
      <c r="AK211" s="2879">
        <v>229.54123270840864</v>
      </c>
      <c r="AL211" s="2879">
        <v>-86.464760713960032</v>
      </c>
      <c r="AM211" s="2879">
        <v>-269.34548027625607</v>
      </c>
      <c r="AN211" s="2879">
        <v>-539.59562983848991</v>
      </c>
      <c r="AO211" s="2879">
        <v>-662.39065306860584</v>
      </c>
      <c r="AP211" s="2879">
        <v>-62.900858752769835</v>
      </c>
      <c r="AQ211" s="2879">
        <v>-232.06708600644143</v>
      </c>
      <c r="AR211" s="2879">
        <v>-152.73391920138585</v>
      </c>
      <c r="AS211" s="2879">
        <v>133.23258007971003</v>
      </c>
      <c r="AT211" s="2879">
        <v>348.24390157533367</v>
      </c>
    </row>
    <row r="212" spans="1:46">
      <c r="D212" s="2070" t="s">
        <v>1339</v>
      </c>
      <c r="E212" s="2118"/>
      <c r="F212" s="795"/>
      <c r="G212" s="207"/>
      <c r="H212" s="207"/>
      <c r="I212" s="207"/>
      <c r="J212" s="207"/>
      <c r="K212" s="207"/>
      <c r="L212" s="207"/>
      <c r="M212" s="207"/>
      <c r="N212" s="207"/>
      <c r="O212" s="207"/>
      <c r="P212" s="207"/>
      <c r="Q212" s="207"/>
      <c r="R212" s="207"/>
      <c r="S212" s="207"/>
      <c r="T212" s="207"/>
      <c r="U212" s="207"/>
      <c r="V212" s="207"/>
      <c r="W212" s="835"/>
      <c r="X212" s="835"/>
      <c r="Y212" s="835"/>
      <c r="Z212" s="835"/>
      <c r="AA212" s="835"/>
      <c r="AB212" s="835"/>
      <c r="AC212" s="207"/>
      <c r="AD212" s="835"/>
      <c r="AE212" s="836"/>
      <c r="AF212" s="3160"/>
    </row>
    <row r="213" spans="1:46">
      <c r="D213" s="1471"/>
      <c r="E213" s="2118"/>
      <c r="F213" s="795"/>
      <c r="G213" s="750"/>
      <c r="H213" s="750"/>
      <c r="I213" s="750"/>
      <c r="J213" s="750"/>
      <c r="K213" s="750"/>
      <c r="L213" s="750"/>
      <c r="M213" s="750"/>
      <c r="N213" s="750"/>
      <c r="O213" s="750"/>
      <c r="P213" s="750"/>
      <c r="Q213" s="750"/>
      <c r="R213" s="750"/>
      <c r="S213" s="750"/>
      <c r="T213" s="750"/>
      <c r="U213" s="750"/>
      <c r="V213" s="750"/>
      <c r="W213" s="836"/>
      <c r="X213" s="836"/>
      <c r="Y213" s="836"/>
      <c r="Z213" s="836"/>
      <c r="AA213" s="836"/>
      <c r="AB213" s="836"/>
      <c r="AC213" s="750"/>
      <c r="AD213" s="836"/>
      <c r="AE213" s="836"/>
      <c r="AF213" s="3160"/>
    </row>
    <row r="214" spans="1:46">
      <c r="D214" s="2070" t="s">
        <v>1337</v>
      </c>
      <c r="E214" s="2118"/>
      <c r="F214" s="795"/>
      <c r="G214" s="750"/>
      <c r="H214" s="750"/>
      <c r="I214" s="750"/>
      <c r="J214" s="750"/>
      <c r="K214" s="750"/>
      <c r="L214" s="750"/>
      <c r="M214" s="750"/>
      <c r="N214" s="750"/>
      <c r="O214" s="750"/>
      <c r="P214" s="750"/>
      <c r="Q214" s="750"/>
      <c r="R214" s="750"/>
      <c r="S214" s="750"/>
      <c r="T214" s="750"/>
      <c r="U214" s="750"/>
      <c r="V214" s="750"/>
      <c r="W214" s="836"/>
      <c r="X214" s="836"/>
      <c r="Y214" s="836"/>
      <c r="Z214" s="836"/>
      <c r="AA214" s="836"/>
      <c r="AB214" s="836"/>
      <c r="AC214" s="750"/>
      <c r="AD214" s="836"/>
      <c r="AE214" s="836"/>
      <c r="AF214" s="3160"/>
    </row>
    <row r="215" spans="1:46" s="1384" customFormat="1">
      <c r="A215" s="2147"/>
      <c r="B215" s="2148"/>
      <c r="C215" s="2148"/>
      <c r="D215" s="2155" t="s">
        <v>1338</v>
      </c>
      <c r="E215" s="2981"/>
      <c r="F215" s="2897"/>
      <c r="G215" s="2156"/>
      <c r="H215" s="2156"/>
      <c r="I215" s="2156"/>
      <c r="J215" s="2156"/>
      <c r="K215" s="2156"/>
      <c r="L215" s="2156"/>
      <c r="M215" s="2156"/>
      <c r="N215" s="2156"/>
      <c r="O215" s="2156"/>
      <c r="P215" s="2156"/>
      <c r="Q215" s="2156"/>
      <c r="R215" s="2156"/>
      <c r="S215" s="2156"/>
      <c r="T215" s="2156"/>
      <c r="U215" s="2157"/>
      <c r="V215" s="2152" t="s">
        <v>200</v>
      </c>
      <c r="W215" s="2152">
        <v>2012</v>
      </c>
      <c r="X215" s="2152">
        <v>2013</v>
      </c>
      <c r="Y215" s="2152">
        <v>2014</v>
      </c>
      <c r="Z215" s="2152">
        <v>2015</v>
      </c>
      <c r="AA215" s="2152">
        <v>2016</v>
      </c>
      <c r="AB215" s="2152">
        <v>2017</v>
      </c>
      <c r="AC215" s="2152">
        <v>2018</v>
      </c>
      <c r="AD215" s="2152">
        <v>2019</v>
      </c>
      <c r="AE215" s="2152">
        <v>2020</v>
      </c>
      <c r="AF215" s="2152">
        <v>2021</v>
      </c>
      <c r="AG215" s="2152">
        <v>2022</v>
      </c>
      <c r="AH215" s="2152">
        <v>2023</v>
      </c>
      <c r="AI215" s="3490">
        <v>2024</v>
      </c>
      <c r="AJ215" s="3473">
        <v>2025</v>
      </c>
      <c r="AK215" s="2152">
        <v>2026</v>
      </c>
      <c r="AL215" s="2152">
        <v>2027</v>
      </c>
      <c r="AM215" s="2152">
        <v>2028</v>
      </c>
      <c r="AN215" s="2152">
        <v>2029</v>
      </c>
      <c r="AO215" s="2152">
        <v>2030</v>
      </c>
      <c r="AP215" s="2152">
        <v>2031</v>
      </c>
      <c r="AQ215" s="2152">
        <v>2032</v>
      </c>
      <c r="AR215" s="2152">
        <v>2033</v>
      </c>
      <c r="AS215" s="2152">
        <v>2034</v>
      </c>
      <c r="AT215" s="2152">
        <v>2035</v>
      </c>
    </row>
    <row r="216" spans="1:46" customFormat="1" ht="14.75">
      <c r="A216" s="297"/>
      <c r="B216" s="295"/>
      <c r="C216" s="295"/>
      <c r="D216" s="2537" t="s">
        <v>446</v>
      </c>
      <c r="E216" s="2324"/>
      <c r="F216" s="2898"/>
      <c r="G216" s="2324"/>
      <c r="H216" s="2324"/>
      <c r="I216" s="2325">
        <v>1998</v>
      </c>
      <c r="J216" s="2326">
        <v>1999</v>
      </c>
      <c r="K216" s="2326">
        <v>2000</v>
      </c>
      <c r="L216" s="2326">
        <v>2001</v>
      </c>
      <c r="M216" s="2326">
        <v>2002</v>
      </c>
      <c r="N216" s="2326">
        <v>2003</v>
      </c>
      <c r="O216" s="2326">
        <v>2004</v>
      </c>
      <c r="P216" s="2326">
        <v>2005</v>
      </c>
      <c r="Q216" s="2326">
        <v>2006</v>
      </c>
      <c r="R216" s="2326">
        <v>2007</v>
      </c>
      <c r="S216" s="2326">
        <v>2008</v>
      </c>
      <c r="T216" s="2326">
        <v>2009</v>
      </c>
      <c r="U216" s="2326">
        <v>2010</v>
      </c>
      <c r="V216" s="2326">
        <v>2011</v>
      </c>
      <c r="W216" s="2326">
        <v>2012</v>
      </c>
      <c r="X216" s="2326">
        <v>2013</v>
      </c>
      <c r="Y216" s="2326">
        <v>2014</v>
      </c>
      <c r="Z216" s="2326">
        <v>2015</v>
      </c>
      <c r="AA216" s="2326">
        <v>2016</v>
      </c>
      <c r="AB216" s="2326">
        <v>2017</v>
      </c>
      <c r="AC216" s="2326">
        <v>2018</v>
      </c>
      <c r="AD216" s="2326">
        <v>2019</v>
      </c>
      <c r="AE216" s="2326">
        <v>2020</v>
      </c>
      <c r="AF216" s="2326">
        <v>2021</v>
      </c>
      <c r="AG216" s="2326">
        <v>2022</v>
      </c>
      <c r="AH216" s="2326">
        <v>2023</v>
      </c>
      <c r="AI216" s="3491">
        <v>2024</v>
      </c>
      <c r="AJ216" s="3474">
        <v>2025</v>
      </c>
      <c r="AK216" s="2326">
        <v>2026</v>
      </c>
      <c r="AL216" s="2327">
        <v>2027</v>
      </c>
      <c r="AM216" s="2327">
        <v>2028</v>
      </c>
      <c r="AN216" s="2327">
        <v>2029</v>
      </c>
      <c r="AO216" s="2327">
        <v>2030</v>
      </c>
      <c r="AP216" s="2327">
        <v>2031</v>
      </c>
      <c r="AQ216" s="2327">
        <v>2032</v>
      </c>
      <c r="AR216" s="2327">
        <v>2033</v>
      </c>
      <c r="AS216" s="2327">
        <v>2034</v>
      </c>
      <c r="AT216" s="2327">
        <v>2035</v>
      </c>
    </row>
    <row r="217" spans="1:46" customFormat="1" ht="14.75">
      <c r="A217" s="297"/>
      <c r="B217" s="295"/>
      <c r="C217" s="295"/>
      <c r="D217" s="2323" t="s">
        <v>937</v>
      </c>
      <c r="E217" s="2324"/>
      <c r="F217" s="2898"/>
      <c r="G217" s="2324"/>
      <c r="H217" s="2324"/>
      <c r="I217" s="2325"/>
      <c r="J217" s="2328">
        <v>0</v>
      </c>
      <c r="K217" s="2328">
        <v>0</v>
      </c>
      <c r="L217" s="2328">
        <v>0</v>
      </c>
      <c r="M217" s="2328">
        <v>0</v>
      </c>
      <c r="N217" s="2328">
        <v>0</v>
      </c>
      <c r="O217" s="2328">
        <v>0</v>
      </c>
      <c r="P217" s="2328">
        <v>0</v>
      </c>
      <c r="Q217" s="2328">
        <v>0</v>
      </c>
      <c r="R217" s="2328">
        <v>0</v>
      </c>
      <c r="S217" s="2328">
        <v>0</v>
      </c>
      <c r="T217" s="2328">
        <v>0</v>
      </c>
      <c r="U217" s="2328">
        <v>100.7613663705</v>
      </c>
      <c r="V217" s="2328">
        <v>232.36136637049998</v>
      </c>
      <c r="W217" s="2328">
        <v>314.86897682</v>
      </c>
      <c r="X217" s="2328">
        <v>615.50589260083621</v>
      </c>
      <c r="Y217" s="2328">
        <v>933.62656257083358</v>
      </c>
      <c r="Z217" s="2328">
        <v>1085.3713956162085</v>
      </c>
      <c r="AA217" s="2328">
        <v>1216.7659808487049</v>
      </c>
      <c r="AB217" s="2328">
        <v>1344.1052199093508</v>
      </c>
      <c r="AC217" s="2328">
        <v>1546.45964467762</v>
      </c>
      <c r="AD217" s="2328">
        <v>1717.9045284508557</v>
      </c>
      <c r="AE217" s="2328">
        <v>1886.3173863035956</v>
      </c>
      <c r="AF217" s="2328">
        <v>2142.5508375984141</v>
      </c>
      <c r="AG217" s="2328">
        <v>2483.1292918106042</v>
      </c>
      <c r="AH217" s="2328">
        <v>2870.7984449253991</v>
      </c>
      <c r="AI217" s="3492">
        <v>3306.357776738912</v>
      </c>
      <c r="AJ217" s="2900">
        <v>3931.3270789533158</v>
      </c>
      <c r="AK217" s="2328">
        <v>4697.0517697180803</v>
      </c>
      <c r="AL217" s="2328">
        <v>5471.1059279747096</v>
      </c>
      <c r="AM217" s="2328">
        <v>6239.9999784864831</v>
      </c>
      <c r="AN217" s="2328">
        <v>7083.8494224110564</v>
      </c>
      <c r="AO217" s="2328">
        <v>8072.0021617389111</v>
      </c>
      <c r="AP217" s="2328">
        <v>9225.0874579294959</v>
      </c>
      <c r="AQ217" s="2328">
        <v>10532.956110387109</v>
      </c>
      <c r="AR217" s="2328">
        <v>11932.435709451971</v>
      </c>
      <c r="AS217" s="2328">
        <v>15153.31048221424</v>
      </c>
      <c r="AT217" s="2328">
        <v>21379.213786180622</v>
      </c>
    </row>
    <row r="218" spans="1:46" customFormat="1" ht="14.75">
      <c r="A218" s="297"/>
      <c r="B218" s="295"/>
      <c r="C218" s="295"/>
      <c r="D218" s="2329" t="s">
        <v>1503</v>
      </c>
      <c r="E218" s="2330"/>
      <c r="F218" s="2899"/>
      <c r="G218" s="2330"/>
      <c r="H218" s="2330"/>
      <c r="I218" s="2331"/>
      <c r="J218" s="2332">
        <v>0</v>
      </c>
      <c r="K218" s="2332">
        <v>0</v>
      </c>
      <c r="L218" s="2332">
        <v>0</v>
      </c>
      <c r="M218" s="2332">
        <v>0</v>
      </c>
      <c r="N218" s="2332">
        <v>0</v>
      </c>
      <c r="O218" s="2332">
        <v>0</v>
      </c>
      <c r="P218" s="2332">
        <v>0</v>
      </c>
      <c r="Q218" s="2332">
        <v>0</v>
      </c>
      <c r="R218" s="2332">
        <v>0</v>
      </c>
      <c r="S218" s="2332">
        <v>0</v>
      </c>
      <c r="T218" s="2332">
        <v>0</v>
      </c>
      <c r="U218" s="2332">
        <v>90.45</v>
      </c>
      <c r="V218" s="2332">
        <v>204.7</v>
      </c>
      <c r="W218" s="2332">
        <v>255.26897681999998</v>
      </c>
      <c r="X218" s="2332">
        <v>284.96146723499999</v>
      </c>
      <c r="Y218" s="2332">
        <v>314.90186935000003</v>
      </c>
      <c r="Z218" s="2332">
        <v>374.45291135195737</v>
      </c>
      <c r="AA218" s="2332">
        <v>414.04996827595608</v>
      </c>
      <c r="AB218" s="2332">
        <v>446.26967297048122</v>
      </c>
      <c r="AC218" s="2332">
        <v>533.40016347358255</v>
      </c>
      <c r="AD218" s="2332">
        <v>618.42469833566201</v>
      </c>
      <c r="AE218" s="2332">
        <v>672.01407575380085</v>
      </c>
      <c r="AF218" s="2332">
        <v>778.05472682293657</v>
      </c>
      <c r="AG218" s="2332">
        <v>938.14948570918716</v>
      </c>
      <c r="AH218" s="2332">
        <v>1100.6569870709932</v>
      </c>
      <c r="AI218" s="3493">
        <v>1267.9941359953498</v>
      </c>
      <c r="AJ218" s="3475">
        <v>1470.5943323173244</v>
      </c>
      <c r="AK218" s="2332">
        <v>1757.8823190755741</v>
      </c>
      <c r="AL218" s="2332">
        <v>2076.8647764857242</v>
      </c>
      <c r="AM218" s="2332">
        <v>2378.6069458526235</v>
      </c>
      <c r="AN218" s="2332">
        <v>2695.3609973168859</v>
      </c>
      <c r="AO218" s="2332">
        <v>3076.6909026347084</v>
      </c>
      <c r="AP218" s="2332">
        <v>3569.7475594978923</v>
      </c>
      <c r="AQ218" s="2332">
        <v>4167.4058553674467</v>
      </c>
      <c r="AR218" s="2332">
        <v>4831.0407233953247</v>
      </c>
      <c r="AS218" s="2332">
        <v>6140.968924836121</v>
      </c>
      <c r="AT218" s="2332">
        <v>8451.5514886819819</v>
      </c>
    </row>
    <row r="219" spans="1:46" customFormat="1" ht="14.75">
      <c r="A219" s="297"/>
      <c r="B219" s="295"/>
      <c r="C219" s="295"/>
      <c r="D219" s="2333" t="s">
        <v>930</v>
      </c>
      <c r="E219" s="2330"/>
      <c r="F219" s="2899"/>
      <c r="G219" s="2330"/>
      <c r="H219" s="2330"/>
      <c r="I219" s="2331"/>
      <c r="J219" s="2332">
        <v>0</v>
      </c>
      <c r="K219" s="2332">
        <v>0</v>
      </c>
      <c r="L219" s="2332">
        <v>0</v>
      </c>
      <c r="M219" s="2332">
        <v>0</v>
      </c>
      <c r="N219" s="2332">
        <v>0</v>
      </c>
      <c r="O219" s="2332">
        <v>0</v>
      </c>
      <c r="P219" s="2332">
        <v>0</v>
      </c>
      <c r="Q219" s="2332">
        <v>0</v>
      </c>
      <c r="R219" s="2332">
        <v>0</v>
      </c>
      <c r="S219" s="2332">
        <v>0</v>
      </c>
      <c r="T219" s="2332">
        <v>0</v>
      </c>
      <c r="U219" s="2332">
        <v>90.45</v>
      </c>
      <c r="V219" s="2332">
        <v>204.7</v>
      </c>
      <c r="W219" s="2332">
        <v>255.26897681999998</v>
      </c>
      <c r="X219" s="2332">
        <v>258.24533691600004</v>
      </c>
      <c r="Y219" s="2332">
        <v>250.55011652000002</v>
      </c>
      <c r="Z219" s="2332">
        <v>296.83430954304993</v>
      </c>
      <c r="AA219" s="2332">
        <v>334.30724673465892</v>
      </c>
      <c r="AB219" s="2332">
        <v>357.45324648186852</v>
      </c>
      <c r="AC219" s="2332">
        <v>347.10716246232857</v>
      </c>
      <c r="AD219" s="2332">
        <v>411.31059895812768</v>
      </c>
      <c r="AE219" s="2332">
        <v>527.34674071849327</v>
      </c>
      <c r="AF219" s="2332">
        <v>603.0492054621875</v>
      </c>
      <c r="AG219" s="2332">
        <v>699.58916655530538</v>
      </c>
      <c r="AH219" s="2332">
        <v>781.44758900604222</v>
      </c>
      <c r="AI219" s="3493">
        <v>880.87060776033582</v>
      </c>
      <c r="AJ219" s="3475">
        <v>849.56968245505504</v>
      </c>
      <c r="AK219" s="2332">
        <v>846.16505701144035</v>
      </c>
      <c r="AL219" s="2332">
        <v>999.17260297011001</v>
      </c>
      <c r="AM219" s="2332">
        <v>1128.8385126349749</v>
      </c>
      <c r="AN219" s="2332">
        <v>1264.0876199608522</v>
      </c>
      <c r="AO219" s="2332">
        <v>1425.014413945479</v>
      </c>
      <c r="AP219" s="2332">
        <v>1630.1938240741674</v>
      </c>
      <c r="AQ219" s="2332">
        <v>1872.1246639619783</v>
      </c>
      <c r="AR219" s="2332">
        <v>2138.0614714608573</v>
      </c>
      <c r="AS219" s="2332">
        <v>2694.3541617738092</v>
      </c>
      <c r="AT219" s="2332">
        <v>3693.3186923751887</v>
      </c>
    </row>
    <row r="220" spans="1:46" customFormat="1" ht="14.75">
      <c r="A220" s="297"/>
      <c r="B220" s="295"/>
      <c r="C220" s="295"/>
      <c r="D220" s="2333" t="s">
        <v>942</v>
      </c>
      <c r="E220" s="2330"/>
      <c r="F220" s="2899"/>
      <c r="G220" s="2330"/>
      <c r="H220" s="2330"/>
      <c r="I220" s="2331"/>
      <c r="J220" s="2332"/>
      <c r="K220" s="2332"/>
      <c r="L220" s="2332"/>
      <c r="M220" s="2332"/>
      <c r="N220" s="2332"/>
      <c r="O220" s="2332"/>
      <c r="P220" s="2332"/>
      <c r="Q220" s="2332"/>
      <c r="R220" s="2332"/>
      <c r="S220" s="2332"/>
      <c r="T220" s="2332"/>
      <c r="U220" s="2332">
        <v>0</v>
      </c>
      <c r="V220" s="2332">
        <v>0</v>
      </c>
      <c r="W220" s="2332">
        <v>0</v>
      </c>
      <c r="X220" s="2332">
        <v>25.865908916999999</v>
      </c>
      <c r="Y220" s="2332">
        <v>58.441880345999998</v>
      </c>
      <c r="Z220" s="2332">
        <v>70.932923868513313</v>
      </c>
      <c r="AA220" s="2332">
        <v>78.116694682903059</v>
      </c>
      <c r="AB220" s="2332">
        <v>88.816426488612606</v>
      </c>
      <c r="AC220" s="2332">
        <v>134.6551008229996</v>
      </c>
      <c r="AD220" s="2332">
        <v>154.37630368577999</v>
      </c>
      <c r="AE220" s="2332">
        <v>141.58989771208317</v>
      </c>
      <c r="AF220" s="2332">
        <v>169.60066980888217</v>
      </c>
      <c r="AG220" s="2332">
        <v>232.93005147823578</v>
      </c>
      <c r="AH220" s="2332">
        <v>314.69747875794747</v>
      </c>
      <c r="AI220" s="3493">
        <v>382.42616716701389</v>
      </c>
      <c r="AJ220" s="3475">
        <v>618.63625015776938</v>
      </c>
      <c r="AK220" s="2332">
        <v>911.71726206413359</v>
      </c>
      <c r="AL220" s="2332">
        <v>1077.6921735156141</v>
      </c>
      <c r="AM220" s="2332">
        <v>1249.7684332176486</v>
      </c>
      <c r="AN220" s="2332">
        <v>1431.2733773560335</v>
      </c>
      <c r="AO220" s="2332">
        <v>1651.6764886892297</v>
      </c>
      <c r="AP220" s="2332">
        <v>1939.5537354237251</v>
      </c>
      <c r="AQ220" s="2332">
        <v>2295.2811914054682</v>
      </c>
      <c r="AR220" s="2332">
        <v>2692.9792519344664</v>
      </c>
      <c r="AS220" s="2332">
        <v>3446.6147630623118</v>
      </c>
      <c r="AT220" s="2332">
        <v>4758.2327963067937</v>
      </c>
    </row>
    <row r="221" spans="1:46" customFormat="1" ht="14.75">
      <c r="A221" s="297"/>
      <c r="B221" s="295"/>
      <c r="C221" s="295"/>
      <c r="D221" s="2334" t="s">
        <v>940</v>
      </c>
      <c r="E221" s="2330"/>
      <c r="F221" s="2899"/>
      <c r="G221" s="2330"/>
      <c r="H221" s="2330"/>
      <c r="I221" s="2331"/>
      <c r="J221" s="2332">
        <v>0</v>
      </c>
      <c r="K221" s="2332">
        <v>0</v>
      </c>
      <c r="L221" s="2332">
        <v>0</v>
      </c>
      <c r="M221" s="2332">
        <v>0</v>
      </c>
      <c r="N221" s="2332">
        <v>0</v>
      </c>
      <c r="O221" s="2332">
        <v>0</v>
      </c>
      <c r="P221" s="2332">
        <v>0</v>
      </c>
      <c r="Q221" s="2332">
        <v>0</v>
      </c>
      <c r="R221" s="2332">
        <v>0</v>
      </c>
      <c r="S221" s="2332">
        <v>0</v>
      </c>
      <c r="T221" s="2332">
        <v>0</v>
      </c>
      <c r="U221" s="2332">
        <v>0</v>
      </c>
      <c r="V221" s="2332">
        <v>0</v>
      </c>
      <c r="W221" s="2332">
        <v>0</v>
      </c>
      <c r="X221" s="2332">
        <v>0.85022140199999996</v>
      </c>
      <c r="Y221" s="2332">
        <v>2.2397256169999999</v>
      </c>
      <c r="Z221" s="2332">
        <v>3.0155310733940541</v>
      </c>
      <c r="AA221" s="2332">
        <v>1.626026858394054</v>
      </c>
      <c r="AB221" s="2332">
        <v>0</v>
      </c>
      <c r="AC221" s="2332">
        <v>51.637900188254292</v>
      </c>
      <c r="AD221" s="2332">
        <v>51.811071078754296</v>
      </c>
      <c r="AE221" s="2332">
        <v>2.1507127102243233</v>
      </c>
      <c r="AF221" s="2332">
        <v>5.404851551866817</v>
      </c>
      <c r="AG221" s="2332">
        <v>5.6302676756459764</v>
      </c>
      <c r="AH221" s="2332">
        <v>4.5119193070034829</v>
      </c>
      <c r="AI221" s="3493">
        <v>4.6973610680000002</v>
      </c>
      <c r="AJ221" s="3475">
        <v>2.3883997045000003</v>
      </c>
      <c r="AK221" s="2332">
        <v>0</v>
      </c>
      <c r="AL221" s="2332">
        <v>0</v>
      </c>
      <c r="AM221" s="2332">
        <v>0</v>
      </c>
      <c r="AN221" s="2332">
        <v>0</v>
      </c>
      <c r="AO221" s="2332">
        <v>0</v>
      </c>
      <c r="AP221" s="2332">
        <v>0</v>
      </c>
      <c r="AQ221" s="2332">
        <v>0</v>
      </c>
      <c r="AR221" s="2332">
        <v>0</v>
      </c>
      <c r="AS221" s="2332">
        <v>0</v>
      </c>
      <c r="AT221" s="2332">
        <v>0</v>
      </c>
    </row>
    <row r="222" spans="1:46" customFormat="1" ht="14.75">
      <c r="A222" s="297"/>
      <c r="B222" s="295"/>
      <c r="C222" s="295"/>
      <c r="D222" s="2329" t="s">
        <v>1504</v>
      </c>
      <c r="E222" s="2330"/>
      <c r="F222" s="2899"/>
      <c r="G222" s="2330"/>
      <c r="H222" s="2330"/>
      <c r="I222" s="2331"/>
      <c r="J222" s="2332"/>
      <c r="K222" s="2332"/>
      <c r="L222" s="2332"/>
      <c r="M222" s="2332"/>
      <c r="N222" s="2332"/>
      <c r="O222" s="2332"/>
      <c r="P222" s="2332"/>
      <c r="Q222" s="2332"/>
      <c r="R222" s="2332"/>
      <c r="S222" s="2332"/>
      <c r="T222" s="2332"/>
      <c r="U222" s="2332">
        <v>0</v>
      </c>
      <c r="V222" s="2332">
        <v>0</v>
      </c>
      <c r="W222" s="2332">
        <v>0</v>
      </c>
      <c r="X222" s="2332">
        <v>191.4444231416</v>
      </c>
      <c r="Y222" s="2332">
        <v>402.72452520299998</v>
      </c>
      <c r="Z222" s="2332">
        <v>469.66459039125237</v>
      </c>
      <c r="AA222" s="2332">
        <v>523.3978191671581</v>
      </c>
      <c r="AB222" s="2332">
        <v>567.58441466575471</v>
      </c>
      <c r="AC222" s="2332">
        <v>640.58640198878766</v>
      </c>
      <c r="AD222" s="2332">
        <v>694.11972225087879</v>
      </c>
      <c r="AE222" s="2332">
        <v>744.07951410111423</v>
      </c>
      <c r="AF222" s="2332">
        <v>824.51995606879802</v>
      </c>
      <c r="AG222" s="2332">
        <v>951.75634546921151</v>
      </c>
      <c r="AH222" s="2332">
        <v>1110.0923652781835</v>
      </c>
      <c r="AI222" s="3493">
        <v>1304.5136212505422</v>
      </c>
      <c r="AJ222" s="3475">
        <v>1634.4964251674796</v>
      </c>
      <c r="AK222" s="2332">
        <v>2016.409109211713</v>
      </c>
      <c r="AL222" s="2332">
        <v>2348.8893554707674</v>
      </c>
      <c r="AM222" s="2332">
        <v>2677.3448904133666</v>
      </c>
      <c r="AN222" s="2332">
        <v>3044.0062195758037</v>
      </c>
      <c r="AO222" s="2332">
        <v>3439.5812676354544</v>
      </c>
      <c r="AP222" s="2332">
        <v>3844.4220247265912</v>
      </c>
      <c r="AQ222" s="2332">
        <v>4277.1311014448738</v>
      </c>
      <c r="AR222" s="2332">
        <v>4710.1022569259994</v>
      </c>
      <c r="AS222" s="2332">
        <v>5979.0942519129621</v>
      </c>
      <c r="AT222" s="2332">
        <v>8688.5899605654158</v>
      </c>
    </row>
    <row r="223" spans="1:46" customFormat="1" ht="14.75">
      <c r="A223" s="297"/>
      <c r="B223" s="295"/>
      <c r="C223" s="295"/>
      <c r="D223" s="2329" t="s">
        <v>1505</v>
      </c>
      <c r="E223" s="2330"/>
      <c r="F223" s="2899"/>
      <c r="G223" s="2330"/>
      <c r="H223" s="2330"/>
      <c r="I223" s="2331"/>
      <c r="J223" s="2332">
        <v>0</v>
      </c>
      <c r="K223" s="2332">
        <v>0</v>
      </c>
      <c r="L223" s="2332">
        <v>0</v>
      </c>
      <c r="M223" s="2332">
        <v>0</v>
      </c>
      <c r="N223" s="2332">
        <v>0</v>
      </c>
      <c r="O223" s="2332">
        <v>0</v>
      </c>
      <c r="P223" s="2332">
        <v>0</v>
      </c>
      <c r="Q223" s="2332">
        <v>0</v>
      </c>
      <c r="R223" s="2332">
        <v>0</v>
      </c>
      <c r="S223" s="2332">
        <v>0</v>
      </c>
      <c r="T223" s="2332">
        <v>0</v>
      </c>
      <c r="U223" s="2332">
        <v>0</v>
      </c>
      <c r="V223" s="2332">
        <v>0</v>
      </c>
      <c r="W223" s="2332">
        <v>0</v>
      </c>
      <c r="X223" s="2332">
        <v>28.086198660499999</v>
      </c>
      <c r="Y223" s="2332">
        <v>60.228374403000004</v>
      </c>
      <c r="Z223" s="2332">
        <v>70.048250723734043</v>
      </c>
      <c r="AA223" s="2332">
        <v>78.236002759255939</v>
      </c>
      <c r="AB223" s="2332">
        <v>82.101437994018511</v>
      </c>
      <c r="AC223" s="2332">
        <v>97.644194587996594</v>
      </c>
      <c r="AD223" s="2332">
        <v>114.51342643269001</v>
      </c>
      <c r="AE223" s="2332">
        <v>120.51213200364558</v>
      </c>
      <c r="AF223" s="2332">
        <v>128.3813595127213</v>
      </c>
      <c r="AG223" s="2332">
        <v>172.32528329059807</v>
      </c>
      <c r="AH223" s="2332">
        <v>203.05847387356943</v>
      </c>
      <c r="AI223" s="3493">
        <v>218.44511663962709</v>
      </c>
      <c r="AJ223" s="3475">
        <v>247.42235834107396</v>
      </c>
      <c r="AK223" s="2332">
        <v>279.68952215308684</v>
      </c>
      <c r="AL223" s="2332">
        <v>330.04609066997011</v>
      </c>
      <c r="AM223" s="2332">
        <v>378.6623792793435</v>
      </c>
      <c r="AN223" s="2332">
        <v>431.4102246718561</v>
      </c>
      <c r="AO223" s="2332">
        <v>512.51400331223294</v>
      </c>
      <c r="AP223" s="2332">
        <v>642.77127321218029</v>
      </c>
      <c r="AQ223" s="2332">
        <v>787.7885338400074</v>
      </c>
      <c r="AR223" s="2332">
        <v>937.66706403365481</v>
      </c>
      <c r="AS223" s="2332">
        <v>1221.0505830299999</v>
      </c>
      <c r="AT223" s="2332">
        <v>1706.0044438180207</v>
      </c>
    </row>
    <row r="224" spans="1:46" customFormat="1" ht="14.75">
      <c r="A224" s="297"/>
      <c r="B224" s="295"/>
      <c r="C224" s="295"/>
      <c r="D224" s="2329" t="s">
        <v>941</v>
      </c>
      <c r="E224" s="2330"/>
      <c r="F224" s="2899"/>
      <c r="G224" s="2330"/>
      <c r="H224" s="2330"/>
      <c r="I224" s="2332">
        <v>0</v>
      </c>
      <c r="J224" s="2332">
        <v>0</v>
      </c>
      <c r="K224" s="2332">
        <v>0</v>
      </c>
      <c r="L224" s="2332">
        <v>0</v>
      </c>
      <c r="M224" s="2332">
        <v>0</v>
      </c>
      <c r="N224" s="2332">
        <v>0</v>
      </c>
      <c r="O224" s="2332">
        <v>0</v>
      </c>
      <c r="P224" s="2332">
        <v>0</v>
      </c>
      <c r="Q224" s="2332">
        <v>0</v>
      </c>
      <c r="R224" s="2332">
        <v>0</v>
      </c>
      <c r="S224" s="2332">
        <v>0</v>
      </c>
      <c r="T224" s="2332">
        <v>0</v>
      </c>
      <c r="U224" s="2332">
        <v>10.3113663705</v>
      </c>
      <c r="V224" s="2332">
        <v>27.661366370500001</v>
      </c>
      <c r="W224" s="2332">
        <v>59.6</v>
      </c>
      <c r="X224" s="2332">
        <v>111.01380356373619</v>
      </c>
      <c r="Y224" s="2332">
        <v>155.77179361483354</v>
      </c>
      <c r="Z224" s="2332">
        <v>171.2056431492648</v>
      </c>
      <c r="AA224" s="2332">
        <v>211.08788139655994</v>
      </c>
      <c r="AB224" s="2332">
        <v>277.58627510363249</v>
      </c>
      <c r="AC224" s="2332">
        <v>294.2597747015642</v>
      </c>
      <c r="AD224" s="2332">
        <v>290.84668143162497</v>
      </c>
      <c r="AE224" s="2332">
        <v>349.71166444503524</v>
      </c>
      <c r="AF224" s="2332">
        <v>411.59479519395791</v>
      </c>
      <c r="AG224" s="2332">
        <v>420.89817734160721</v>
      </c>
      <c r="AH224" s="2332">
        <v>456.99061870265274</v>
      </c>
      <c r="AI224" s="3493">
        <v>515.4049028533932</v>
      </c>
      <c r="AJ224" s="3475">
        <v>578.81396312743823</v>
      </c>
      <c r="AK224" s="2332">
        <v>643.07081927770514</v>
      </c>
      <c r="AL224" s="2332">
        <v>715.30570534824835</v>
      </c>
      <c r="AM224" s="2332">
        <v>805.38576294115012</v>
      </c>
      <c r="AN224" s="2332">
        <v>913.07198084651122</v>
      </c>
      <c r="AO224" s="2332">
        <v>1043.2159881565149</v>
      </c>
      <c r="AP224" s="2332">
        <v>1168.1466004928327</v>
      </c>
      <c r="AQ224" s="2332">
        <v>1300.6306197347833</v>
      </c>
      <c r="AR224" s="2332">
        <v>1453.6256650969931</v>
      </c>
      <c r="AS224" s="2332">
        <v>1812.1967224351567</v>
      </c>
      <c r="AT224" s="2332">
        <v>2533.0678931152011</v>
      </c>
    </row>
    <row r="225" spans="1:46" customFormat="1" ht="14.75">
      <c r="A225" s="297"/>
      <c r="B225" s="295"/>
      <c r="C225" s="295"/>
      <c r="D225" s="2335" t="s">
        <v>1506</v>
      </c>
      <c r="E225" s="2330"/>
      <c r="F225" s="2899"/>
      <c r="G225" s="2330"/>
      <c r="H225" s="2330"/>
      <c r="I225" s="2331"/>
      <c r="J225" s="2332">
        <v>0</v>
      </c>
      <c r="K225" s="2332">
        <v>0</v>
      </c>
      <c r="L225" s="2332">
        <v>0</v>
      </c>
      <c r="M225" s="2332">
        <v>0</v>
      </c>
      <c r="N225" s="2332">
        <v>0</v>
      </c>
      <c r="O225" s="2332">
        <v>0</v>
      </c>
      <c r="P225" s="2332">
        <v>0</v>
      </c>
      <c r="Q225" s="2332">
        <v>0</v>
      </c>
      <c r="R225" s="2332">
        <v>0</v>
      </c>
      <c r="S225" s="2332">
        <v>0</v>
      </c>
      <c r="T225" s="2332">
        <v>0</v>
      </c>
      <c r="U225" s="2332">
        <v>0</v>
      </c>
      <c r="V225" s="2332">
        <v>0</v>
      </c>
      <c r="W225" s="2332">
        <v>0</v>
      </c>
      <c r="X225" s="2332">
        <v>44.771312142836194</v>
      </c>
      <c r="Y225" s="2332">
        <v>102.67992750143354</v>
      </c>
      <c r="Z225" s="2332">
        <v>120.25116260382063</v>
      </c>
      <c r="AA225" s="2332">
        <v>132.01592243065562</v>
      </c>
      <c r="AB225" s="2332">
        <v>150.09013796043232</v>
      </c>
      <c r="AC225" s="2332">
        <v>161.73354542827417</v>
      </c>
      <c r="AD225" s="2332">
        <v>158.29365788117494</v>
      </c>
      <c r="AE225" s="2332">
        <v>189.15526524758195</v>
      </c>
      <c r="AF225" s="2332">
        <v>193.35267046362577</v>
      </c>
      <c r="AG225" s="2332">
        <v>154.40101706864019</v>
      </c>
      <c r="AH225" s="2332">
        <v>194.04001011015947</v>
      </c>
      <c r="AI225" s="3493">
        <v>234.53462976925533</v>
      </c>
      <c r="AJ225" s="3475">
        <v>224.86823953802667</v>
      </c>
      <c r="AK225" s="2332">
        <v>229.12348082425592</v>
      </c>
      <c r="AL225" s="2332">
        <v>245.70038426110884</v>
      </c>
      <c r="AM225" s="2332">
        <v>263.98676976546983</v>
      </c>
      <c r="AN225" s="2332">
        <v>279.39267554540288</v>
      </c>
      <c r="AO225" s="2332">
        <v>301.90491053288878</v>
      </c>
      <c r="AP225" s="2332">
        <v>333.82670577770693</v>
      </c>
      <c r="AQ225" s="2332">
        <v>357.38340521673751</v>
      </c>
      <c r="AR225" s="2332">
        <v>372.36204695268827</v>
      </c>
      <c r="AS225" s="2332">
        <v>388.20837759257302</v>
      </c>
      <c r="AT225" s="2332">
        <v>404.85399029520579</v>
      </c>
    </row>
    <row r="226" spans="1:46" customFormat="1" ht="14.75">
      <c r="A226" s="297"/>
      <c r="B226" s="295"/>
      <c r="C226" s="295"/>
      <c r="D226" s="2323" t="s">
        <v>931</v>
      </c>
      <c r="E226" s="2324"/>
      <c r="F226" s="2898"/>
      <c r="G226" s="2324"/>
      <c r="H226" s="2324"/>
      <c r="I226" s="2336">
        <v>0</v>
      </c>
      <c r="J226" s="2336">
        <v>0</v>
      </c>
      <c r="K226" s="2336">
        <v>0</v>
      </c>
      <c r="L226" s="2336">
        <v>0</v>
      </c>
      <c r="M226" s="2336">
        <v>0</v>
      </c>
      <c r="N226" s="2336">
        <v>0</v>
      </c>
      <c r="O226" s="2336">
        <v>0</v>
      </c>
      <c r="P226" s="2336">
        <v>0</v>
      </c>
      <c r="Q226" s="2336">
        <v>0</v>
      </c>
      <c r="R226" s="2336">
        <v>0</v>
      </c>
      <c r="S226" s="2336">
        <v>0</v>
      </c>
      <c r="T226" s="2336">
        <v>0</v>
      </c>
      <c r="U226" s="2336">
        <v>312.25630221806654</v>
      </c>
      <c r="V226" s="2336">
        <v>614.87525804569327</v>
      </c>
      <c r="W226" s="2336">
        <v>601.60570056187419</v>
      </c>
      <c r="X226" s="2336">
        <v>730.52031214451461</v>
      </c>
      <c r="Y226" s="2336">
        <v>870.1850063366378</v>
      </c>
      <c r="Z226" s="2336">
        <v>982.51806201803174</v>
      </c>
      <c r="AA226" s="2336">
        <v>1144.1674589631737</v>
      </c>
      <c r="AB226" s="2336">
        <v>1282.6980552354898</v>
      </c>
      <c r="AC226" s="2336">
        <v>1444.4736645641042</v>
      </c>
      <c r="AD226" s="2336">
        <v>1656.1048392927498</v>
      </c>
      <c r="AE226" s="2336">
        <v>1834.2279368681823</v>
      </c>
      <c r="AF226" s="2336">
        <v>2117.4212819452969</v>
      </c>
      <c r="AG226" s="2336">
        <v>2473.1333404098109</v>
      </c>
      <c r="AH226" s="2336">
        <v>2772.8367689426609</v>
      </c>
      <c r="AI226" s="3494">
        <v>3059.2354114386603</v>
      </c>
      <c r="AJ226" s="3476">
        <v>3382.2718838348574</v>
      </c>
      <c r="AK226" s="2336">
        <v>3790.8377286953933</v>
      </c>
      <c r="AL226" s="2336">
        <v>4253.1425038179805</v>
      </c>
      <c r="AM226" s="2336">
        <v>4738.8920018400568</v>
      </c>
      <c r="AN226" s="2336">
        <v>5299.6567095809041</v>
      </c>
      <c r="AO226" s="2336">
        <v>6107.1464442378583</v>
      </c>
      <c r="AP226" s="2336">
        <v>6994.0721010696025</v>
      </c>
      <c r="AQ226" s="2336">
        <v>7866.287605085332</v>
      </c>
      <c r="AR226" s="2336">
        <v>8931.621056336895</v>
      </c>
      <c r="AS226" s="2336">
        <v>11070.168818091397</v>
      </c>
      <c r="AT226" s="2336">
        <v>14778.265566289318</v>
      </c>
    </row>
    <row r="227" spans="1:46" customFormat="1" ht="14.75">
      <c r="A227" s="297"/>
      <c r="B227" s="295"/>
      <c r="C227" s="295"/>
      <c r="D227" s="2337" t="s">
        <v>1507</v>
      </c>
      <c r="E227" s="2328"/>
      <c r="F227" s="2900">
        <v>0</v>
      </c>
      <c r="G227" s="2328">
        <v>0</v>
      </c>
      <c r="H227" s="2328">
        <v>0</v>
      </c>
      <c r="I227" s="2328">
        <v>0</v>
      </c>
      <c r="J227" s="2328">
        <v>0</v>
      </c>
      <c r="K227" s="2328">
        <v>0</v>
      </c>
      <c r="L227" s="2328">
        <v>0</v>
      </c>
      <c r="M227" s="2328">
        <v>0</v>
      </c>
      <c r="N227" s="2328">
        <v>0</v>
      </c>
      <c r="O227" s="2328">
        <v>0</v>
      </c>
      <c r="P227" s="2328">
        <v>0</v>
      </c>
      <c r="Q227" s="2328">
        <v>0</v>
      </c>
      <c r="R227" s="2328">
        <v>0</v>
      </c>
      <c r="S227" s="2328">
        <v>0</v>
      </c>
      <c r="T227" s="2328">
        <v>0</v>
      </c>
      <c r="U227" s="2328">
        <v>128.60204105614238</v>
      </c>
      <c r="V227" s="2328">
        <v>278.89813015875336</v>
      </c>
      <c r="W227" s="2328">
        <v>318.63437414921384</v>
      </c>
      <c r="X227" s="2328">
        <v>336.02065152884842</v>
      </c>
      <c r="Y227" s="2328">
        <v>354.43289321812483</v>
      </c>
      <c r="Z227" s="2328">
        <v>395.22141457847027</v>
      </c>
      <c r="AA227" s="2328">
        <v>434.83379311621269</v>
      </c>
      <c r="AB227" s="2328">
        <v>468.12234387810565</v>
      </c>
      <c r="AC227" s="2328">
        <v>493.35227637071171</v>
      </c>
      <c r="AD227" s="2328">
        <v>478.23108465322764</v>
      </c>
      <c r="AE227" s="2328">
        <v>502.37385927150001</v>
      </c>
      <c r="AF227" s="2328">
        <v>600.22728551378623</v>
      </c>
      <c r="AG227" s="2328">
        <v>739.6341987060498</v>
      </c>
      <c r="AH227" s="2328">
        <v>917.34299313376357</v>
      </c>
      <c r="AI227" s="3492">
        <v>1095.5812292624998</v>
      </c>
      <c r="AJ227" s="2900">
        <v>1306.9845509371096</v>
      </c>
      <c r="AK227" s="2328">
        <v>1520.2942196747217</v>
      </c>
      <c r="AL227" s="2328">
        <v>1720.8641011251789</v>
      </c>
      <c r="AM227" s="2328">
        <v>1948.6067454016904</v>
      </c>
      <c r="AN227" s="2328">
        <v>2172.4349787440879</v>
      </c>
      <c r="AO227" s="2328">
        <v>2428.6991722717366</v>
      </c>
      <c r="AP227" s="2328">
        <v>2739.5582274420676</v>
      </c>
      <c r="AQ227" s="2328">
        <v>3076.0276225289922</v>
      </c>
      <c r="AR227" s="2328">
        <v>3455.9332033819146</v>
      </c>
      <c r="AS227" s="2328">
        <v>4063.0194756323258</v>
      </c>
      <c r="AT227" s="2328">
        <v>4982.3245313410298</v>
      </c>
    </row>
    <row r="228" spans="1:46" customFormat="1" ht="14.75">
      <c r="A228" s="297"/>
      <c r="B228" s="295"/>
      <c r="C228" s="295"/>
      <c r="D228" s="2338" t="s">
        <v>1508</v>
      </c>
      <c r="E228" s="2339" t="s">
        <v>413</v>
      </c>
      <c r="F228" s="2901"/>
      <c r="G228" s="2340"/>
      <c r="H228" s="2340"/>
      <c r="I228" s="2340"/>
      <c r="J228" s="2341">
        <v>0</v>
      </c>
      <c r="K228" s="2341">
        <v>0</v>
      </c>
      <c r="L228" s="2341">
        <v>0</v>
      </c>
      <c r="M228" s="2341">
        <v>0</v>
      </c>
      <c r="N228" s="2341">
        <v>0</v>
      </c>
      <c r="O228" s="2341">
        <v>0</v>
      </c>
      <c r="P228" s="2341">
        <v>0</v>
      </c>
      <c r="Q228" s="2341">
        <v>0</v>
      </c>
      <c r="R228" s="2341">
        <v>0</v>
      </c>
      <c r="S228" s="2341">
        <v>0</v>
      </c>
      <c r="T228" s="2341">
        <v>0</v>
      </c>
      <c r="U228" s="2341">
        <v>2.75E-2</v>
      </c>
      <c r="V228" s="2341">
        <v>7.5009173283971636E-2</v>
      </c>
      <c r="W228" s="2341">
        <v>8.6872864828125285E-2</v>
      </c>
      <c r="X228" s="2341">
        <v>-0.12911347224383929</v>
      </c>
      <c r="Y228" s="2341">
        <v>-0.13971667401658849</v>
      </c>
      <c r="Z228" s="2341">
        <v>7.9405486716275342E-2</v>
      </c>
      <c r="AA228" s="2341">
        <v>7.6146415360150876E-2</v>
      </c>
      <c r="AB228" s="2341">
        <v>3.1267412147415907E-2</v>
      </c>
      <c r="AC228" s="2341">
        <v>-3.6640942507598473E-2</v>
      </c>
      <c r="AD228" s="2341">
        <v>-2.814704157480924E-2</v>
      </c>
      <c r="AE228" s="2341">
        <v>4.9302767526119395E-2</v>
      </c>
      <c r="AF228" s="2341">
        <v>5.205092125217381E-2</v>
      </c>
      <c r="AG228" s="2341">
        <v>5.0327376939574675E-2</v>
      </c>
      <c r="AH228" s="2341">
        <v>9.3135066540549483E-2</v>
      </c>
      <c r="AI228" s="3495">
        <v>0.10761975337555785</v>
      </c>
      <c r="AJ228" s="3477">
        <v>8.0690530062276E-2</v>
      </c>
      <c r="AK228" s="2341">
        <v>4.9209392838523769E-2</v>
      </c>
      <c r="AL228" s="2341">
        <v>3.1067515890123576E-2</v>
      </c>
      <c r="AM228" s="2341">
        <v>2.8195023824234555E-2</v>
      </c>
      <c r="AN228" s="2341">
        <v>3.0557463648769989E-2</v>
      </c>
      <c r="AO228" s="2341">
        <v>3.7107077554807785E-2</v>
      </c>
      <c r="AP228" s="2341">
        <v>0.04</v>
      </c>
      <c r="AQ228" s="2341">
        <v>0.04</v>
      </c>
      <c r="AR228" s="2341">
        <v>0.04</v>
      </c>
      <c r="AS228" s="2341">
        <v>0.04</v>
      </c>
      <c r="AT228" s="2341">
        <v>0.02</v>
      </c>
    </row>
    <row r="229" spans="1:46" customFormat="1" ht="14.75">
      <c r="A229" s="297"/>
      <c r="B229" s="295"/>
      <c r="C229" s="295"/>
      <c r="D229" s="2342" t="s">
        <v>975</v>
      </c>
      <c r="E229" s="2339"/>
      <c r="F229" s="2901"/>
      <c r="G229" s="2340"/>
      <c r="H229" s="2340"/>
      <c r="I229" s="2340"/>
      <c r="J229" s="2341"/>
      <c r="K229" s="2341"/>
      <c r="L229" s="2341"/>
      <c r="M229" s="2341"/>
      <c r="N229" s="2341"/>
      <c r="O229" s="2341"/>
      <c r="P229" s="2341"/>
      <c r="Q229" s="2341"/>
      <c r="R229" s="2341"/>
      <c r="S229" s="2341"/>
      <c r="T229" s="2341"/>
      <c r="U229" s="2341"/>
      <c r="V229" s="2341"/>
      <c r="W229" s="2341">
        <v>0.03</v>
      </c>
      <c r="X229" s="2341">
        <v>0.03</v>
      </c>
      <c r="Y229" s="2341">
        <v>0.03</v>
      </c>
      <c r="Z229" s="2341">
        <v>0.03</v>
      </c>
      <c r="AA229" s="2341">
        <v>0.03</v>
      </c>
      <c r="AB229" s="2341">
        <v>0.03</v>
      </c>
      <c r="AC229" s="2341">
        <v>0.03</v>
      </c>
      <c r="AD229" s="2341">
        <v>0.03</v>
      </c>
      <c r="AE229" s="2341">
        <v>0.03</v>
      </c>
      <c r="AF229" s="2341">
        <v>0.03</v>
      </c>
      <c r="AG229" s="2341">
        <v>0.03</v>
      </c>
      <c r="AH229" s="2341">
        <v>0.03</v>
      </c>
      <c r="AI229" s="3495">
        <v>0.03</v>
      </c>
      <c r="AJ229" s="3477">
        <v>0.03</v>
      </c>
      <c r="AK229" s="2341">
        <v>0.03</v>
      </c>
      <c r="AL229" s="2341">
        <v>0.03</v>
      </c>
      <c r="AM229" s="2341">
        <v>0.03</v>
      </c>
      <c r="AN229" s="2341">
        <v>0.03</v>
      </c>
      <c r="AO229" s="2341">
        <v>0.03</v>
      </c>
      <c r="AP229" s="2341">
        <v>0.03</v>
      </c>
      <c r="AQ229" s="2341">
        <v>0.03</v>
      </c>
      <c r="AR229" s="2341">
        <v>0.03</v>
      </c>
      <c r="AS229" s="2341">
        <v>0.03</v>
      </c>
      <c r="AT229" s="2341">
        <v>0.03</v>
      </c>
    </row>
    <row r="230" spans="1:46" customFormat="1" ht="14.75">
      <c r="A230" s="297"/>
      <c r="B230" s="295"/>
      <c r="C230" s="295"/>
      <c r="D230" s="2342" t="s">
        <v>1509</v>
      </c>
      <c r="E230" s="2339"/>
      <c r="F230" s="2901"/>
      <c r="G230" s="2340"/>
      <c r="H230" s="2340"/>
      <c r="I230" s="2340"/>
      <c r="J230" s="2341"/>
      <c r="K230" s="2341"/>
      <c r="L230" s="2341"/>
      <c r="M230" s="2341"/>
      <c r="N230" s="2341"/>
      <c r="O230" s="2341"/>
      <c r="P230" s="2341"/>
      <c r="Q230" s="2341"/>
      <c r="R230" s="2341"/>
      <c r="S230" s="2341"/>
      <c r="T230" s="2341"/>
      <c r="U230" s="2341"/>
      <c r="V230" s="2341"/>
      <c r="W230" s="2341">
        <v>2.5000000000000001E-2</v>
      </c>
      <c r="X230" s="2341">
        <v>2.5000000000000001E-2</v>
      </c>
      <c r="Y230" s="2341">
        <v>2.5000000000000001E-2</v>
      </c>
      <c r="Z230" s="2341">
        <v>2.5000000000000001E-2</v>
      </c>
      <c r="AA230" s="2341">
        <v>2.5000000000000001E-2</v>
      </c>
      <c r="AB230" s="2341">
        <v>2.5000000000000001E-2</v>
      </c>
      <c r="AC230" s="2341">
        <v>2.5000000000000001E-2</v>
      </c>
      <c r="AD230" s="2341">
        <v>2.5000000000000001E-2</v>
      </c>
      <c r="AE230" s="2341">
        <v>2.5000000000000001E-2</v>
      </c>
      <c r="AF230" s="2341">
        <v>2.5000000000000001E-2</v>
      </c>
      <c r="AG230" s="2341">
        <v>2.5000000000000001E-2</v>
      </c>
      <c r="AH230" s="2341">
        <v>2.5000000000000001E-2</v>
      </c>
      <c r="AI230" s="3495">
        <v>2.5000000000000001E-2</v>
      </c>
      <c r="AJ230" s="3477">
        <v>2.5000000000000001E-2</v>
      </c>
      <c r="AK230" s="2341">
        <v>2.5000000000000001E-2</v>
      </c>
      <c r="AL230" s="2341">
        <v>2.5000000000000001E-2</v>
      </c>
      <c r="AM230" s="2341">
        <v>2.5000000000000001E-2</v>
      </c>
      <c r="AN230" s="2341">
        <v>2.5000000000000001E-2</v>
      </c>
      <c r="AO230" s="2341">
        <v>2.5000000000000001E-2</v>
      </c>
      <c r="AP230" s="2341">
        <v>2.5000000000000001E-2</v>
      </c>
      <c r="AQ230" s="2341">
        <v>2.5000000000000001E-2</v>
      </c>
      <c r="AR230" s="2341">
        <v>2.5000000000000001E-2</v>
      </c>
      <c r="AS230" s="2341">
        <v>2.5000000000000001E-2</v>
      </c>
      <c r="AT230" s="2341">
        <v>2.5000000000000001E-2</v>
      </c>
    </row>
    <row r="231" spans="1:46" customFormat="1" ht="14.75">
      <c r="A231" s="297"/>
      <c r="B231" s="292" t="s">
        <v>243</v>
      </c>
      <c r="C231" s="295"/>
      <c r="D231" s="2338" t="s">
        <v>1510</v>
      </c>
      <c r="E231" s="2339" t="s">
        <v>414</v>
      </c>
      <c r="F231" s="2901"/>
      <c r="G231" s="2340"/>
      <c r="H231" s="2340"/>
      <c r="I231" s="2340"/>
      <c r="J231" s="2341">
        <v>0</v>
      </c>
      <c r="K231" s="2341">
        <v>0</v>
      </c>
      <c r="L231" s="2341">
        <v>0</v>
      </c>
      <c r="M231" s="2341">
        <v>0</v>
      </c>
      <c r="N231" s="2341">
        <v>0</v>
      </c>
      <c r="O231" s="2341">
        <v>0</v>
      </c>
      <c r="P231" s="2341">
        <v>0</v>
      </c>
      <c r="Q231" s="2341">
        <v>0</v>
      </c>
      <c r="R231" s="2341">
        <v>0</v>
      </c>
      <c r="S231" s="2341">
        <v>0</v>
      </c>
      <c r="T231" s="2341">
        <v>0</v>
      </c>
      <c r="U231" s="2341">
        <v>0</v>
      </c>
      <c r="V231" s="2341">
        <v>4.1871657754010701E-2</v>
      </c>
      <c r="W231" s="2341">
        <v>0.10176470588235295</v>
      </c>
      <c r="X231" s="2341">
        <v>7.7139037433155075E-2</v>
      </c>
      <c r="Y231" s="2341">
        <v>1.7245989304812834E-2</v>
      </c>
      <c r="Z231" s="2341">
        <v>0.02</v>
      </c>
      <c r="AA231" s="2341">
        <v>4.4999999999999998E-2</v>
      </c>
      <c r="AB231" s="2341">
        <v>0.05</v>
      </c>
      <c r="AC231" s="2341">
        <v>0.05</v>
      </c>
      <c r="AD231" s="2341">
        <v>6.0249999999999998E-2</v>
      </c>
      <c r="AE231" s="2341">
        <v>6.5549999999999997E-2</v>
      </c>
      <c r="AF231" s="2341">
        <v>3.8600000000000002E-2</v>
      </c>
      <c r="AG231" s="2341">
        <v>5.0800000000000005E-2</v>
      </c>
      <c r="AH231" s="2341">
        <v>0.11015</v>
      </c>
      <c r="AI231" s="3495">
        <v>0.11783</v>
      </c>
      <c r="AJ231" s="3477">
        <v>0.10018000000000001</v>
      </c>
      <c r="AK231" s="2341">
        <v>0.09</v>
      </c>
      <c r="AL231" s="2341">
        <v>0.08</v>
      </c>
      <c r="AM231" s="2341">
        <v>0.08</v>
      </c>
      <c r="AN231" s="2341">
        <v>0.08</v>
      </c>
      <c r="AO231" s="2341">
        <v>0.08</v>
      </c>
      <c r="AP231" s="2341">
        <v>0.08</v>
      </c>
      <c r="AQ231" s="2341">
        <v>0.08</v>
      </c>
      <c r="AR231" s="2341">
        <v>0.08</v>
      </c>
      <c r="AS231" s="2341">
        <v>0.08</v>
      </c>
      <c r="AT231" s="2341">
        <v>0.04</v>
      </c>
    </row>
    <row r="232" spans="1:46" customFormat="1" ht="14.75">
      <c r="A232" s="297"/>
      <c r="B232" s="292"/>
      <c r="C232" s="295"/>
      <c r="D232" s="2342" t="s">
        <v>975</v>
      </c>
      <c r="E232" s="2340"/>
      <c r="F232" s="2901"/>
      <c r="G232" s="2340"/>
      <c r="H232" s="2340"/>
      <c r="I232" s="2340"/>
      <c r="J232" s="2341"/>
      <c r="K232" s="2341"/>
      <c r="L232" s="2341"/>
      <c r="M232" s="2341"/>
      <c r="N232" s="2341"/>
      <c r="O232" s="2341"/>
      <c r="P232" s="2341"/>
      <c r="Q232" s="2341"/>
      <c r="R232" s="2341"/>
      <c r="S232" s="2341"/>
      <c r="T232" s="2341"/>
      <c r="U232" s="2341"/>
      <c r="V232" s="2341"/>
      <c r="W232" s="2341">
        <v>9.6403375572962996E-2</v>
      </c>
      <c r="X232" s="2341">
        <v>-0.1271867007672631</v>
      </c>
      <c r="Y232" s="2341">
        <v>0.99177703922096261</v>
      </c>
      <c r="Z232" s="2341">
        <v>0.1467563196916615</v>
      </c>
      <c r="AA232" s="2341">
        <v>5.7035523984499098E-2</v>
      </c>
      <c r="AB232" s="2341">
        <v>3.6993998334381911E-2</v>
      </c>
      <c r="AC232" s="2341">
        <v>4.450815200528882E-2</v>
      </c>
      <c r="AD232" s="2341">
        <v>9.7255009214461535E-2</v>
      </c>
      <c r="AE232" s="2341">
        <v>-0.33222650103161777</v>
      </c>
      <c r="AF232" s="2341">
        <v>0.3257100918299205</v>
      </c>
      <c r="AG232" s="2341">
        <v>0.29651228519587769</v>
      </c>
      <c r="AH232" s="2341">
        <v>0.38185593342829804</v>
      </c>
      <c r="AI232" s="3495">
        <v>0.12627720508374643</v>
      </c>
      <c r="AJ232" s="3477">
        <v>0.12332330770614089</v>
      </c>
      <c r="AK232" s="2341">
        <v>0.20000515161946322</v>
      </c>
      <c r="AL232" s="2341">
        <v>0.10548195770385441</v>
      </c>
      <c r="AM232" s="2341">
        <v>0.1091056851335617</v>
      </c>
      <c r="AN232" s="2341">
        <v>0.10804957015856934</v>
      </c>
      <c r="AO232" s="2341">
        <v>4.7925890361723705E-2</v>
      </c>
      <c r="AP232" s="2341">
        <v>0.12435071837941417</v>
      </c>
      <c r="AQ232" s="2341">
        <v>9.6330084441157898E-2</v>
      </c>
      <c r="AR232" s="2341">
        <v>9.6870545850228834E-2</v>
      </c>
      <c r="AS232" s="2341">
        <v>9.8056990985114806E-2</v>
      </c>
      <c r="AT232" s="2341">
        <v>0.28886020416016112</v>
      </c>
    </row>
    <row r="233" spans="1:46" customFormat="1" ht="14.75">
      <c r="A233" s="297"/>
      <c r="B233" s="292"/>
      <c r="C233" s="295"/>
      <c r="D233" s="2342" t="s">
        <v>1509</v>
      </c>
      <c r="E233" s="2340"/>
      <c r="F233" s="2901"/>
      <c r="G233" s="2340"/>
      <c r="H233" s="2340"/>
      <c r="I233" s="2340"/>
      <c r="J233" s="2341"/>
      <c r="K233" s="2341"/>
      <c r="L233" s="2341"/>
      <c r="M233" s="2341"/>
      <c r="N233" s="2341"/>
      <c r="O233" s="2341"/>
      <c r="P233" s="2341"/>
      <c r="Q233" s="2341"/>
      <c r="R233" s="2341"/>
      <c r="S233" s="2341"/>
      <c r="T233" s="2341"/>
      <c r="U233" s="2341"/>
      <c r="V233" s="2341"/>
      <c r="W233" s="2341">
        <v>0.101403375572963</v>
      </c>
      <c r="X233" s="2341">
        <v>-0.1221867007672631</v>
      </c>
      <c r="Y233" s="2341">
        <v>0.99677703922096261</v>
      </c>
      <c r="Z233" s="2341">
        <v>0.15175631969166151</v>
      </c>
      <c r="AA233" s="2341">
        <v>6.2035523984499095E-2</v>
      </c>
      <c r="AB233" s="2341">
        <v>4.1993998334381909E-2</v>
      </c>
      <c r="AC233" s="2341">
        <v>4.9508152005288818E-2</v>
      </c>
      <c r="AD233" s="2341">
        <v>0.10225500921446154</v>
      </c>
      <c r="AE233" s="2341">
        <v>-0.32722650103161777</v>
      </c>
      <c r="AF233" s="2341">
        <v>0.33071009182992051</v>
      </c>
      <c r="AG233" s="2341">
        <v>0.30151228519587769</v>
      </c>
      <c r="AH233" s="2341">
        <v>0.38685593342829805</v>
      </c>
      <c r="AI233" s="3495">
        <v>0.13127720508374643</v>
      </c>
      <c r="AJ233" s="3477">
        <v>0.12832330770614089</v>
      </c>
      <c r="AK233" s="2341">
        <v>0.20500515161946323</v>
      </c>
      <c r="AL233" s="2341">
        <v>0.11048195770385441</v>
      </c>
      <c r="AM233" s="2341">
        <v>0.1141056851335617</v>
      </c>
      <c r="AN233" s="2341">
        <v>0.11304957015856934</v>
      </c>
      <c r="AO233" s="2341">
        <v>5.2925890361723703E-2</v>
      </c>
      <c r="AP233" s="2341">
        <v>0.12935071837941417</v>
      </c>
      <c r="AQ233" s="2341">
        <v>0.1013300844411579</v>
      </c>
      <c r="AR233" s="2341">
        <v>0.10187054585022884</v>
      </c>
      <c r="AS233" s="2341">
        <v>0.10305699098511481</v>
      </c>
      <c r="AT233" s="2341">
        <v>0.29386020416016112</v>
      </c>
    </row>
    <row r="234" spans="1:46" customFormat="1" ht="14.75">
      <c r="A234" s="297"/>
      <c r="B234" s="292"/>
      <c r="C234" s="295"/>
      <c r="D234" s="2337" t="s">
        <v>932</v>
      </c>
      <c r="E234" s="2324"/>
      <c r="F234" s="2898"/>
      <c r="G234" s="2324"/>
      <c r="H234" s="2324"/>
      <c r="I234" s="2324"/>
      <c r="J234" s="2328">
        <v>0</v>
      </c>
      <c r="K234" s="2328">
        <v>0</v>
      </c>
      <c r="L234" s="2328">
        <v>0</v>
      </c>
      <c r="M234" s="2328">
        <v>0</v>
      </c>
      <c r="N234" s="2328">
        <v>0</v>
      </c>
      <c r="O234" s="2328">
        <v>0</v>
      </c>
      <c r="P234" s="2328">
        <v>0</v>
      </c>
      <c r="Q234" s="2328">
        <v>0</v>
      </c>
      <c r="R234" s="2328">
        <v>0</v>
      </c>
      <c r="S234" s="2328">
        <v>0</v>
      </c>
      <c r="T234" s="2328">
        <v>0</v>
      </c>
      <c r="U234" s="2328">
        <v>110.34887796644075</v>
      </c>
      <c r="V234" s="2328">
        <v>239.03898364836311</v>
      </c>
      <c r="W234" s="2328">
        <v>244.92132641266033</v>
      </c>
      <c r="X234" s="2328">
        <v>284.81582849103484</v>
      </c>
      <c r="Y234" s="2328">
        <v>331.5212139233397</v>
      </c>
      <c r="Z234" s="2328">
        <v>365.27066456477132</v>
      </c>
      <c r="AA234" s="2328">
        <v>455.89563858761483</v>
      </c>
      <c r="AB234" s="2328">
        <v>517.72667870876103</v>
      </c>
      <c r="AC234" s="2328">
        <v>553.60077876378818</v>
      </c>
      <c r="AD234" s="2328">
        <v>630.37233657541356</v>
      </c>
      <c r="AE234" s="2328">
        <v>697.31858506200001</v>
      </c>
      <c r="AF234" s="2328">
        <v>791.58256679733006</v>
      </c>
      <c r="AG234" s="2328">
        <v>942.31207444218262</v>
      </c>
      <c r="AH234" s="2328">
        <v>1010.8063753378527</v>
      </c>
      <c r="AI234" s="3492">
        <v>997.369023707</v>
      </c>
      <c r="AJ234" s="2900">
        <v>988.10203110147791</v>
      </c>
      <c r="AK234" s="2328">
        <v>1068.0196214135744</v>
      </c>
      <c r="AL234" s="2328">
        <v>1257.8993370779572</v>
      </c>
      <c r="AM234" s="2328">
        <v>1448.7236853161144</v>
      </c>
      <c r="AN234" s="2328">
        <v>1719.589695587847</v>
      </c>
      <c r="AO234" s="2328">
        <v>2034.0919344296012</v>
      </c>
      <c r="AP234" s="2328">
        <v>2369.8128991525527</v>
      </c>
      <c r="AQ234" s="2328">
        <v>2852.8561539946299</v>
      </c>
      <c r="AR234" s="2328">
        <v>3447.8124356933831</v>
      </c>
      <c r="AS234" s="2328">
        <v>4637.1338799337409</v>
      </c>
      <c r="AT234" s="2328">
        <v>6754.6966912543439</v>
      </c>
    </row>
    <row r="235" spans="1:46" customFormat="1" ht="14.75">
      <c r="A235" s="297"/>
      <c r="B235" s="292"/>
      <c r="C235" s="295"/>
      <c r="D235" s="2337" t="s">
        <v>943</v>
      </c>
      <c r="E235" s="2324"/>
      <c r="F235" s="2898"/>
      <c r="G235" s="2324"/>
      <c r="H235" s="2324"/>
      <c r="I235" s="2324"/>
      <c r="J235" s="2328">
        <v>0</v>
      </c>
      <c r="K235" s="2328">
        <v>0</v>
      </c>
      <c r="L235" s="2328">
        <v>0</v>
      </c>
      <c r="M235" s="2328">
        <v>0</v>
      </c>
      <c r="N235" s="2328">
        <v>0</v>
      </c>
      <c r="O235" s="2328">
        <v>0</v>
      </c>
      <c r="P235" s="2328">
        <v>0</v>
      </c>
      <c r="Q235" s="2328">
        <v>0</v>
      </c>
      <c r="R235" s="2328">
        <v>0</v>
      </c>
      <c r="S235" s="2328">
        <v>0</v>
      </c>
      <c r="T235" s="2328">
        <v>0</v>
      </c>
      <c r="U235" s="2328">
        <v>0</v>
      </c>
      <c r="V235" s="2328">
        <v>0</v>
      </c>
      <c r="W235" s="2328">
        <v>13.5</v>
      </c>
      <c r="X235" s="2328">
        <v>56.440751832499998</v>
      </c>
      <c r="Y235" s="2328">
        <v>89.563135699499995</v>
      </c>
      <c r="Z235" s="2328">
        <v>101.1126434295</v>
      </c>
      <c r="AA235" s="2328">
        <v>109.44159242149999</v>
      </c>
      <c r="AB235" s="2328">
        <v>117.304254786</v>
      </c>
      <c r="AC235" s="2328">
        <v>161.27611092500001</v>
      </c>
      <c r="AD235" s="2328">
        <v>238.23144387150001</v>
      </c>
      <c r="AE235" s="2328">
        <v>289.90642664600006</v>
      </c>
      <c r="AF235" s="2328">
        <v>370.01808412300005</v>
      </c>
      <c r="AG235" s="2328">
        <v>391.90888422400002</v>
      </c>
      <c r="AH235" s="2328">
        <v>350.66501275299998</v>
      </c>
      <c r="AI235" s="3492">
        <v>372.4331668415</v>
      </c>
      <c r="AJ235" s="2900">
        <v>427.04524130426574</v>
      </c>
      <c r="AK235" s="2328">
        <v>463.17245619470327</v>
      </c>
      <c r="AL235" s="2328">
        <v>453.1876481429926</v>
      </c>
      <c r="AM235" s="2328">
        <v>466.74943875724279</v>
      </c>
      <c r="AN235" s="2328">
        <v>498.42414456094076</v>
      </c>
      <c r="AO235" s="2328">
        <v>537.73044452098361</v>
      </c>
      <c r="AP235" s="2328">
        <v>605.44415405463678</v>
      </c>
      <c r="AQ235" s="2328">
        <v>692.88653794704328</v>
      </c>
      <c r="AR235" s="2328">
        <v>797.01015526602043</v>
      </c>
      <c r="AS235" s="2328">
        <v>1005.1618612081912</v>
      </c>
      <c r="AT235" s="2328">
        <v>1364.9799692192107</v>
      </c>
    </row>
    <row r="236" spans="1:46" customFormat="1" ht="14.75">
      <c r="A236" s="297"/>
      <c r="B236" s="292"/>
      <c r="C236" s="295"/>
      <c r="D236" s="2377" t="s">
        <v>1561</v>
      </c>
      <c r="E236" s="2378"/>
      <c r="F236" s="2902"/>
      <c r="G236" s="2378"/>
      <c r="H236" s="2378"/>
      <c r="I236" s="2378"/>
      <c r="J236" s="2379"/>
      <c r="K236" s="2379"/>
      <c r="L236" s="2379"/>
      <c r="M236" s="2379"/>
      <c r="N236" s="2379"/>
      <c r="O236" s="2379"/>
      <c r="P236" s="2379"/>
      <c r="Q236" s="2379"/>
      <c r="R236" s="2379"/>
      <c r="S236" s="2379"/>
      <c r="T236" s="2379"/>
      <c r="U236" s="2379"/>
      <c r="V236" s="2380"/>
      <c r="W236" s="2380"/>
      <c r="X236" s="2380"/>
      <c r="Y236" s="2380"/>
      <c r="Z236" s="2380"/>
      <c r="AA236" s="2380"/>
      <c r="AB236" s="2380"/>
      <c r="AC236" s="2380"/>
      <c r="AD236" s="2380"/>
      <c r="AE236" s="2380"/>
      <c r="AF236" s="2380"/>
      <c r="AG236" s="2380"/>
      <c r="AH236" s="2380"/>
      <c r="AI236" s="3496"/>
      <c r="AJ236" s="3478"/>
      <c r="AK236" s="2380"/>
      <c r="AL236" s="2380"/>
      <c r="AM236" s="2380"/>
      <c r="AN236" s="2380"/>
      <c r="AO236" s="2381"/>
      <c r="AP236" s="2381"/>
      <c r="AQ236" s="2381"/>
      <c r="AR236" s="2381"/>
      <c r="AS236" s="2381"/>
      <c r="AT236" s="2381"/>
    </row>
    <row r="237" spans="1:46" customFormat="1" ht="14.75">
      <c r="A237" s="297"/>
      <c r="B237" s="292"/>
      <c r="C237" s="295"/>
      <c r="D237" s="2337" t="s">
        <v>599</v>
      </c>
      <c r="E237" s="2328"/>
      <c r="F237" s="2900"/>
      <c r="G237" s="2328"/>
      <c r="H237" s="2328"/>
      <c r="I237" s="2328"/>
      <c r="J237" s="2343">
        <v>0</v>
      </c>
      <c r="K237" s="2343">
        <v>0</v>
      </c>
      <c r="L237" s="2343">
        <v>0</v>
      </c>
      <c r="M237" s="2343">
        <v>0</v>
      </c>
      <c r="N237" s="2343">
        <v>0</v>
      </c>
      <c r="O237" s="2343">
        <v>0</v>
      </c>
      <c r="P237" s="2343">
        <v>0</v>
      </c>
      <c r="Q237" s="2343">
        <v>0</v>
      </c>
      <c r="R237" s="2343">
        <v>0</v>
      </c>
      <c r="S237" s="2343">
        <v>0</v>
      </c>
      <c r="T237" s="2343">
        <v>0</v>
      </c>
      <c r="U237" s="2343">
        <v>0</v>
      </c>
      <c r="V237" s="2343">
        <v>2.6</v>
      </c>
      <c r="W237" s="2343">
        <v>10.1</v>
      </c>
      <c r="X237" s="2343">
        <v>16.522676295432507</v>
      </c>
      <c r="Y237" s="2343">
        <v>18.153487942040332</v>
      </c>
      <c r="Z237" s="2343">
        <v>21.878222980546397</v>
      </c>
      <c r="AA237" s="2343">
        <v>30.374038981938572</v>
      </c>
      <c r="AB237" s="2343">
        <v>42.076633911999998</v>
      </c>
      <c r="AC237" s="2343">
        <v>51.751750747136597</v>
      </c>
      <c r="AD237" s="2343">
        <v>66.452639685136603</v>
      </c>
      <c r="AE237" s="2343">
        <v>95.90533590285267</v>
      </c>
      <c r="AF237" s="2343">
        <v>131.93816038635265</v>
      </c>
      <c r="AG237" s="2343">
        <v>176.51061672399999</v>
      </c>
      <c r="AH237" s="2343">
        <v>218.56130107299998</v>
      </c>
      <c r="AI237" s="3497">
        <v>248.01459228667306</v>
      </c>
      <c r="AJ237" s="3479">
        <v>273.43864894317312</v>
      </c>
      <c r="AK237" s="2343">
        <v>307.44470344349998</v>
      </c>
      <c r="AL237" s="2343">
        <v>322.12840826950003</v>
      </c>
      <c r="AM237" s="2343">
        <v>306.42579696300004</v>
      </c>
      <c r="AN237" s="2343">
        <v>289.72070857149998</v>
      </c>
      <c r="AO237" s="2343">
        <v>338.85352472399995</v>
      </c>
      <c r="AP237" s="2343">
        <v>383.40993962850001</v>
      </c>
      <c r="AQ237" s="2343">
        <v>352.32014017724998</v>
      </c>
      <c r="AR237" s="2343">
        <v>324.01485139800002</v>
      </c>
      <c r="AS237" s="2343">
        <v>322.33362529887404</v>
      </c>
      <c r="AT237" s="2343">
        <v>339.91480285257938</v>
      </c>
    </row>
    <row r="238" spans="1:46" customFormat="1" ht="14.75">
      <c r="A238" s="297"/>
      <c r="B238" s="292"/>
      <c r="C238" s="295"/>
      <c r="D238" s="2344" t="s">
        <v>737</v>
      </c>
      <c r="E238" s="2328"/>
      <c r="F238" s="2900"/>
      <c r="G238" s="2328"/>
      <c r="H238" s="2328"/>
      <c r="I238" s="2328"/>
      <c r="J238" s="2343">
        <v>0</v>
      </c>
      <c r="K238" s="2343">
        <v>0</v>
      </c>
      <c r="L238" s="2343">
        <v>0</v>
      </c>
      <c r="M238" s="2343">
        <v>0</v>
      </c>
      <c r="N238" s="2343">
        <v>0</v>
      </c>
      <c r="O238" s="2343">
        <v>0</v>
      </c>
      <c r="P238" s="2343">
        <v>0</v>
      </c>
      <c r="Q238" s="2343">
        <v>0</v>
      </c>
      <c r="R238" s="2343">
        <v>0</v>
      </c>
      <c r="S238" s="2343">
        <v>0</v>
      </c>
      <c r="T238" s="2343">
        <v>0</v>
      </c>
      <c r="U238" s="2343">
        <v>0</v>
      </c>
      <c r="V238" s="2343">
        <v>6.6</v>
      </c>
      <c r="W238" s="2343">
        <v>14.45</v>
      </c>
      <c r="X238" s="2343">
        <v>20.615726104848861</v>
      </c>
      <c r="Y238" s="2343">
        <v>26.571052244783026</v>
      </c>
      <c r="Z238" s="2343">
        <v>29.478945922243788</v>
      </c>
      <c r="AA238" s="2343">
        <v>34.142929483907452</v>
      </c>
      <c r="AB238" s="2343">
        <v>39.808594763623134</v>
      </c>
      <c r="AC238" s="2343">
        <v>45.283775648468037</v>
      </c>
      <c r="AD238" s="2343">
        <v>54.352997547472413</v>
      </c>
      <c r="AE238" s="2343">
        <v>63.99700421132961</v>
      </c>
      <c r="AF238" s="2343">
        <v>68.572257764827611</v>
      </c>
      <c r="AG238" s="2343">
        <v>85.408291936578379</v>
      </c>
      <c r="AH238" s="2343">
        <v>142.05046981254443</v>
      </c>
      <c r="AI238" s="3497">
        <v>203.78013138798707</v>
      </c>
      <c r="AJ238" s="3479">
        <v>237.71313618553859</v>
      </c>
      <c r="AK238" s="2343">
        <v>271.08536123761053</v>
      </c>
      <c r="AL238" s="2343">
        <v>319.78481816339399</v>
      </c>
      <c r="AM238" s="2343">
        <v>366.52593378371648</v>
      </c>
      <c r="AN238" s="2343">
        <v>392.19236989433045</v>
      </c>
      <c r="AO238" s="2343">
        <v>509.28160092726444</v>
      </c>
      <c r="AP238" s="2343">
        <v>596.64312188005806</v>
      </c>
      <c r="AQ238" s="2343">
        <v>541.13056400215009</v>
      </c>
      <c r="AR238" s="2343">
        <v>493.24375061290789</v>
      </c>
      <c r="AS238" s="2343">
        <v>469.59423396328532</v>
      </c>
      <c r="AT238" s="2343">
        <v>451.53845109667571</v>
      </c>
    </row>
    <row r="239" spans="1:46" customFormat="1" ht="14.75">
      <c r="A239" s="297"/>
      <c r="B239" s="292"/>
      <c r="C239" s="295"/>
      <c r="D239" s="2344" t="s">
        <v>1511</v>
      </c>
      <c r="E239" s="2328"/>
      <c r="F239" s="2900"/>
      <c r="G239" s="2328"/>
      <c r="H239" s="2328"/>
      <c r="I239" s="2328"/>
      <c r="J239" s="2343">
        <v>0</v>
      </c>
      <c r="K239" s="2343">
        <v>0</v>
      </c>
      <c r="L239" s="2343">
        <v>0</v>
      </c>
      <c r="M239" s="2343">
        <v>0</v>
      </c>
      <c r="N239" s="2343">
        <v>0</v>
      </c>
      <c r="O239" s="2343">
        <v>0</v>
      </c>
      <c r="P239" s="2343">
        <v>0</v>
      </c>
      <c r="Q239" s="2343">
        <v>0</v>
      </c>
      <c r="R239" s="2343">
        <v>0</v>
      </c>
      <c r="S239" s="2343">
        <v>0</v>
      </c>
      <c r="T239" s="2343">
        <v>0</v>
      </c>
      <c r="U239" s="2343">
        <v>0</v>
      </c>
      <c r="V239" s="2343">
        <v>0</v>
      </c>
      <c r="W239" s="2343">
        <v>0</v>
      </c>
      <c r="X239" s="2343">
        <v>16.104677891850002</v>
      </c>
      <c r="Y239" s="2343">
        <v>49.943223308850001</v>
      </c>
      <c r="Z239" s="2343">
        <v>69.556170542499999</v>
      </c>
      <c r="AA239" s="2343">
        <v>79.47946637199999</v>
      </c>
      <c r="AB239" s="2343">
        <v>97.659549186999996</v>
      </c>
      <c r="AC239" s="2343">
        <v>139.208972109</v>
      </c>
      <c r="AD239" s="2343">
        <v>157.48623317800002</v>
      </c>
      <c r="AE239" s="2343">
        <v>138.30571995849999</v>
      </c>
      <c r="AF239" s="2343">
        <v>139.640025326</v>
      </c>
      <c r="AG239" s="2343">
        <v>137.35927437700002</v>
      </c>
      <c r="AH239" s="2343">
        <v>133.41061683250001</v>
      </c>
      <c r="AI239" s="3497">
        <v>142.05726795300001</v>
      </c>
      <c r="AJ239" s="3479">
        <v>148.98827536329298</v>
      </c>
      <c r="AK239" s="2343">
        <v>160.82136673128394</v>
      </c>
      <c r="AL239" s="2343">
        <v>179.27819103895848</v>
      </c>
      <c r="AM239" s="2343">
        <v>201.86040161829391</v>
      </c>
      <c r="AN239" s="2343">
        <v>227.29481222219891</v>
      </c>
      <c r="AO239" s="2343">
        <v>258.48976736427426</v>
      </c>
      <c r="AP239" s="2343">
        <v>299.20375891178844</v>
      </c>
      <c r="AQ239" s="2343">
        <v>351.06658643526919</v>
      </c>
      <c r="AR239" s="2343">
        <v>413.60665998467124</v>
      </c>
      <c r="AS239" s="2343">
        <v>572.92574205498022</v>
      </c>
      <c r="AT239" s="2343">
        <v>894.82788140489083</v>
      </c>
    </row>
    <row r="240" spans="1:46" customFormat="1" ht="14.75">
      <c r="A240" s="297"/>
      <c r="B240" s="292"/>
      <c r="C240" s="295"/>
      <c r="D240" s="2323" t="s">
        <v>944</v>
      </c>
      <c r="E240" s="2324"/>
      <c r="F240" s="2898"/>
      <c r="G240" s="2324"/>
      <c r="H240" s="2324"/>
      <c r="I240" s="2324"/>
      <c r="J240" s="2328">
        <v>62.269932459000003</v>
      </c>
      <c r="K240" s="2328">
        <v>62.237228729500004</v>
      </c>
      <c r="L240" s="2328">
        <v>57.846825000000003</v>
      </c>
      <c r="M240" s="2328">
        <v>56.052075000000002</v>
      </c>
      <c r="N240" s="2328">
        <v>60.348399999999998</v>
      </c>
      <c r="O240" s="2328">
        <v>81.111818139999997</v>
      </c>
      <c r="P240" s="2328">
        <v>107.17084180575</v>
      </c>
      <c r="Q240" s="2328">
        <v>125.07089866575001</v>
      </c>
      <c r="R240" s="2328">
        <v>160</v>
      </c>
      <c r="S240" s="2328">
        <v>247.45</v>
      </c>
      <c r="T240" s="2328">
        <v>311.70000000000005</v>
      </c>
      <c r="U240" s="2328">
        <v>293.22153278193349</v>
      </c>
      <c r="V240" s="2328">
        <v>350.95257695430683</v>
      </c>
      <c r="W240" s="2328">
        <v>456.16012345662585</v>
      </c>
      <c r="X240" s="2328">
        <v>581.76532198245627</v>
      </c>
      <c r="Y240" s="2328">
        <v>714.6938846840942</v>
      </c>
      <c r="Z240" s="2328">
        <v>711.33787929582877</v>
      </c>
      <c r="AA240" s="2328">
        <v>703.1909627966478</v>
      </c>
      <c r="AB240" s="2328">
        <v>741.30893922625728</v>
      </c>
      <c r="AC240" s="2328">
        <v>905.14254779361499</v>
      </c>
      <c r="AD240" s="2328">
        <v>1101.7806773086568</v>
      </c>
      <c r="AE240" s="2328">
        <v>1304.9936973203376</v>
      </c>
      <c r="AF240" s="2328">
        <v>1585.2253019533196</v>
      </c>
      <c r="AG240" s="2328">
        <v>1744.9657702534287</v>
      </c>
      <c r="AH240" s="2328">
        <v>1878.6893955622077</v>
      </c>
      <c r="AI240" s="3492">
        <v>1998.9008770565542</v>
      </c>
      <c r="AJ240" s="2900">
        <v>2098.6221094056418</v>
      </c>
      <c r="AK240" s="2328">
        <v>2365.4234387223655</v>
      </c>
      <c r="AL240" s="2328">
        <v>2763.3781578831877</v>
      </c>
      <c r="AM240" s="2328">
        <v>3193.1973202738691</v>
      </c>
      <c r="AN240" s="2328">
        <v>3616.4024714337056</v>
      </c>
      <c r="AO240" s="2328">
        <v>3925.0121525962563</v>
      </c>
      <c r="AP240" s="2328">
        <v>4264.5854469481956</v>
      </c>
      <c r="AQ240" s="2328">
        <v>4886.913760127939</v>
      </c>
      <c r="AR240" s="2328">
        <v>5818.2279010006168</v>
      </c>
      <c r="AS240" s="2328">
        <v>7484.1461918369614</v>
      </c>
      <c r="AT240" s="2328">
        <v>10103.779654035339</v>
      </c>
    </row>
    <row r="241" spans="1:46" s="1239" customFormat="1" ht="14.75">
      <c r="A241" s="1893"/>
      <c r="B241" s="2598"/>
      <c r="C241" s="2573"/>
      <c r="D241" s="2599" t="s">
        <v>734</v>
      </c>
      <c r="E241" s="2600"/>
      <c r="F241" s="2819"/>
      <c r="G241" s="2600"/>
      <c r="H241" s="2600"/>
      <c r="I241" s="2600"/>
      <c r="J241" s="2601">
        <v>0</v>
      </c>
      <c r="K241" s="2601">
        <v>0</v>
      </c>
      <c r="L241" s="2601">
        <v>0</v>
      </c>
      <c r="M241" s="2601">
        <v>0</v>
      </c>
      <c r="N241" s="2601">
        <v>0</v>
      </c>
      <c r="O241" s="2601">
        <v>0</v>
      </c>
      <c r="P241" s="2601">
        <v>0</v>
      </c>
      <c r="Q241" s="2601">
        <v>0</v>
      </c>
      <c r="R241" s="2601">
        <v>0</v>
      </c>
      <c r="S241" s="2601">
        <v>0</v>
      </c>
      <c r="T241" s="2601">
        <v>0</v>
      </c>
      <c r="U241" s="2601">
        <v>82</v>
      </c>
      <c r="V241" s="2601">
        <v>177.85</v>
      </c>
      <c r="W241" s="2601">
        <v>183.3</v>
      </c>
      <c r="X241" s="2601">
        <v>239.08088762328447</v>
      </c>
      <c r="Y241" s="2602">
        <v>272.14273864346393</v>
      </c>
      <c r="Z241" s="2602">
        <v>204.96514877809057</v>
      </c>
      <c r="AA241" s="2602">
        <v>157.45329775791112</v>
      </c>
      <c r="AB241" s="2602">
        <v>157.35500000000002</v>
      </c>
      <c r="AC241" s="2602">
        <v>200.89276599708484</v>
      </c>
      <c r="AD241" s="2602">
        <v>246.45168733820987</v>
      </c>
      <c r="AE241" s="2602">
        <v>277.28808273132501</v>
      </c>
      <c r="AF241" s="2602">
        <v>335.90089415401997</v>
      </c>
      <c r="AG241" s="2602">
        <v>389.16918513532062</v>
      </c>
      <c r="AH241" s="2602">
        <v>452.68277694427042</v>
      </c>
      <c r="AI241" s="3498">
        <v>477.17064764961941</v>
      </c>
      <c r="AJ241" s="3480">
        <v>503.42014234467689</v>
      </c>
      <c r="AK241" s="2602">
        <v>505.63798559703935</v>
      </c>
      <c r="AL241" s="2602">
        <v>468.30281800477394</v>
      </c>
      <c r="AM241" s="2602">
        <v>494.49240859724983</v>
      </c>
      <c r="AN241" s="2602">
        <v>517.45976277894283</v>
      </c>
      <c r="AO241" s="2602">
        <v>577.02942270470908</v>
      </c>
      <c r="AP241" s="2602">
        <v>677.45899355246615</v>
      </c>
      <c r="AQ241" s="2602">
        <v>739.63370071117424</v>
      </c>
      <c r="AR241" s="2602">
        <v>761.82271173250956</v>
      </c>
      <c r="AS241" s="2602">
        <v>784.67739308448495</v>
      </c>
      <c r="AT241" s="2602">
        <v>808.21771487701938</v>
      </c>
    </row>
    <row r="242" spans="1:46" customFormat="1" ht="14.75">
      <c r="A242" s="297"/>
      <c r="B242" s="292"/>
      <c r="C242" s="295"/>
      <c r="D242" s="2344" t="s">
        <v>738</v>
      </c>
      <c r="E242" s="2324"/>
      <c r="F242" s="2898"/>
      <c r="G242" s="2324"/>
      <c r="H242" s="2324"/>
      <c r="I242" s="2324"/>
      <c r="J242" s="2345">
        <v>0</v>
      </c>
      <c r="K242" s="2345">
        <v>0</v>
      </c>
      <c r="L242" s="2345">
        <v>0</v>
      </c>
      <c r="M242" s="2345">
        <v>0</v>
      </c>
      <c r="N242" s="2345">
        <v>0</v>
      </c>
      <c r="O242" s="2345">
        <v>0</v>
      </c>
      <c r="P242" s="2345">
        <v>0</v>
      </c>
      <c r="Q242" s="2345">
        <v>0</v>
      </c>
      <c r="R242" s="2345">
        <v>0</v>
      </c>
      <c r="S242" s="2345">
        <v>0</v>
      </c>
      <c r="T242" s="2345">
        <v>0</v>
      </c>
      <c r="U242" s="2345">
        <v>0</v>
      </c>
      <c r="V242" s="2345">
        <v>0</v>
      </c>
      <c r="W242" s="2345">
        <v>0</v>
      </c>
      <c r="X242" s="2345">
        <v>33.354639702555005</v>
      </c>
      <c r="Y242" s="2346">
        <v>82.971240236441005</v>
      </c>
      <c r="Z242" s="2346">
        <v>101.0506082047025</v>
      </c>
      <c r="AA242" s="2346">
        <v>131.808596255731</v>
      </c>
      <c r="AB242" s="2346">
        <v>165.54979633799451</v>
      </c>
      <c r="AC242" s="2346">
        <v>192.63943987288599</v>
      </c>
      <c r="AD242" s="2346">
        <v>251.449757467864</v>
      </c>
      <c r="AE242" s="2346">
        <v>339.2705442725125</v>
      </c>
      <c r="AF242" s="2346">
        <v>369.56116121979949</v>
      </c>
      <c r="AG242" s="2346">
        <v>359.36901741499247</v>
      </c>
      <c r="AH242" s="2346">
        <v>481.93200638025843</v>
      </c>
      <c r="AI242" s="3499">
        <v>645.47877173237157</v>
      </c>
      <c r="AJ242" s="3481">
        <v>714.04947991327322</v>
      </c>
      <c r="AK242" s="2346">
        <v>764.67604612759351</v>
      </c>
      <c r="AL242" s="2346">
        <v>824.99012648401379</v>
      </c>
      <c r="AM242" s="2346">
        <v>890.31479857759882</v>
      </c>
      <c r="AN242" s="2346">
        <v>947.44714667350013</v>
      </c>
      <c r="AO242" s="2346">
        <v>913.44571822376315</v>
      </c>
      <c r="AP242" s="2346">
        <v>706.60753568863015</v>
      </c>
      <c r="AQ242" s="2346">
        <v>458.91200889951517</v>
      </c>
      <c r="AR242" s="2346">
        <v>371.2746647878522</v>
      </c>
      <c r="AS242" s="2346">
        <v>382.41290473148786</v>
      </c>
      <c r="AT242" s="2346">
        <v>393.88529187343255</v>
      </c>
    </row>
    <row r="243" spans="1:46" customFormat="1" ht="14.75">
      <c r="A243" s="297"/>
      <c r="B243" s="292"/>
      <c r="C243" s="295"/>
      <c r="D243" s="2323" t="s">
        <v>947</v>
      </c>
      <c r="E243" s="2324"/>
      <c r="F243" s="2898"/>
      <c r="G243" s="2324"/>
      <c r="H243" s="2324"/>
      <c r="I243" s="2324"/>
      <c r="J243" s="2332">
        <v>0</v>
      </c>
      <c r="K243" s="2332">
        <v>0</v>
      </c>
      <c r="L243" s="2332">
        <v>0</v>
      </c>
      <c r="M243" s="2332">
        <v>0</v>
      </c>
      <c r="N243" s="2332">
        <v>0</v>
      </c>
      <c r="O243" s="2332">
        <v>0</v>
      </c>
      <c r="P243" s="2332">
        <v>0</v>
      </c>
      <c r="Q243" s="2332">
        <v>0</v>
      </c>
      <c r="R243" s="2332">
        <v>0</v>
      </c>
      <c r="S243" s="2332">
        <v>0</v>
      </c>
      <c r="T243" s="2332">
        <v>0</v>
      </c>
      <c r="U243" s="2332">
        <v>126.17691597741687</v>
      </c>
      <c r="V243" s="2332">
        <v>260.84072119288351</v>
      </c>
      <c r="W243" s="2332">
        <v>272.86012345662584</v>
      </c>
      <c r="X243" s="2332">
        <v>309.32979465661668</v>
      </c>
      <c r="Y243" s="2347">
        <v>359.57990580418914</v>
      </c>
      <c r="Z243" s="2347">
        <v>405.32212231303578</v>
      </c>
      <c r="AA243" s="2347">
        <v>413.9290687830055</v>
      </c>
      <c r="AB243" s="2347">
        <v>418.40414288826264</v>
      </c>
      <c r="AC243" s="2347">
        <v>511.61034192364423</v>
      </c>
      <c r="AD243" s="2347">
        <v>603.87923250258291</v>
      </c>
      <c r="AE243" s="2347">
        <v>688.43507031650006</v>
      </c>
      <c r="AF243" s="2347">
        <v>848.21159579750008</v>
      </c>
      <c r="AG243" s="2347">
        <v>964.8759169211155</v>
      </c>
      <c r="AH243" s="2347">
        <v>944.05785100011553</v>
      </c>
      <c r="AI243" s="3500">
        <v>876.23469643700014</v>
      </c>
      <c r="AJ243" s="3482">
        <v>881.15248714769155</v>
      </c>
      <c r="AK243" s="2347">
        <v>1095.1094069977321</v>
      </c>
      <c r="AL243" s="2347">
        <v>1470.0852133943999</v>
      </c>
      <c r="AM243" s="2347">
        <v>1808.3901130990207</v>
      </c>
      <c r="AN243" s="2347">
        <v>2151.4955619812627</v>
      </c>
      <c r="AO243" s="2347">
        <v>2613.0113069434587</v>
      </c>
      <c r="AP243" s="2347">
        <v>3242.8217371167193</v>
      </c>
      <c r="AQ243" s="2347">
        <v>4061.5399545091577</v>
      </c>
      <c r="AR243" s="2347">
        <v>5069.497585591922</v>
      </c>
      <c r="AS243" s="2347">
        <v>6712.9539669660044</v>
      </c>
      <c r="AT243" s="2347">
        <v>9309.4516624182543</v>
      </c>
    </row>
    <row r="244" spans="1:46" customFormat="1" ht="14.75">
      <c r="A244" s="297"/>
      <c r="B244" s="292"/>
      <c r="C244" s="295"/>
      <c r="D244" s="2338" t="s">
        <v>355</v>
      </c>
      <c r="E244" s="2348">
        <v>0.4</v>
      </c>
      <c r="F244" s="2901"/>
      <c r="G244" s="2340"/>
      <c r="H244" s="2340"/>
      <c r="I244" s="2340"/>
      <c r="J244" s="2349">
        <v>0</v>
      </c>
      <c r="K244" s="2349">
        <v>0</v>
      </c>
      <c r="L244" s="2349">
        <v>0</v>
      </c>
      <c r="M244" s="2349">
        <v>0</v>
      </c>
      <c r="N244" s="2349">
        <v>0</v>
      </c>
      <c r="O244" s="2349">
        <v>0</v>
      </c>
      <c r="P244" s="2349">
        <v>0</v>
      </c>
      <c r="Q244" s="2349">
        <v>0</v>
      </c>
      <c r="R244" s="2349">
        <v>0</v>
      </c>
      <c r="S244" s="2349">
        <v>0</v>
      </c>
      <c r="T244" s="2349">
        <v>0</v>
      </c>
      <c r="U244" s="2349">
        <v>50.470766390966752</v>
      </c>
      <c r="V244" s="2350">
        <v>104.3362884771534</v>
      </c>
      <c r="W244" s="2350">
        <v>109.14404938265034</v>
      </c>
      <c r="X244" s="2350">
        <v>123.73191786264668</v>
      </c>
      <c r="Y244" s="2350">
        <v>143.83196232167566</v>
      </c>
      <c r="Z244" s="2350">
        <v>162.12884892521433</v>
      </c>
      <c r="AA244" s="2350">
        <v>165.5716275132022</v>
      </c>
      <c r="AB244" s="2350">
        <v>167.36165715530507</v>
      </c>
      <c r="AC244" s="2350">
        <v>204.6441367694577</v>
      </c>
      <c r="AD244" s="2350">
        <v>241.55169300103319</v>
      </c>
      <c r="AE244" s="2350">
        <v>275.37402812660002</v>
      </c>
      <c r="AF244" s="2350">
        <v>339.28463831900007</v>
      </c>
      <c r="AG244" s="2350">
        <v>385.9503667684462</v>
      </c>
      <c r="AH244" s="2350">
        <v>377.62314040004622</v>
      </c>
      <c r="AI244" s="3501">
        <v>350.49387857480008</v>
      </c>
      <c r="AJ244" s="3483">
        <v>352.46099485907666</v>
      </c>
      <c r="AK244" s="2350">
        <v>438.04376279909286</v>
      </c>
      <c r="AL244" s="2350">
        <v>588.03408535775998</v>
      </c>
      <c r="AM244" s="2350">
        <v>723.35604523960831</v>
      </c>
      <c r="AN244" s="2350">
        <v>860.59822479250511</v>
      </c>
      <c r="AO244" s="2350">
        <v>1045.2045227773835</v>
      </c>
      <c r="AP244" s="2350">
        <v>1297.1286948466877</v>
      </c>
      <c r="AQ244" s="2350">
        <v>1624.6159818036631</v>
      </c>
      <c r="AR244" s="2350">
        <v>2027.7990342367689</v>
      </c>
      <c r="AS244" s="2350">
        <v>2685.181586786402</v>
      </c>
      <c r="AT244" s="2350">
        <v>3723.7806649673021</v>
      </c>
    </row>
    <row r="245" spans="1:46" customFormat="1" ht="14.75">
      <c r="A245" s="297"/>
      <c r="B245" s="292"/>
      <c r="C245" s="295"/>
      <c r="D245" s="2323" t="s">
        <v>1562</v>
      </c>
      <c r="E245" s="2348"/>
      <c r="F245" s="2901"/>
      <c r="G245" s="2340"/>
      <c r="H245" s="2340"/>
      <c r="I245" s="2340"/>
      <c r="J245" s="2328">
        <v>0</v>
      </c>
      <c r="K245" s="2328">
        <v>0</v>
      </c>
      <c r="L245" s="2328">
        <v>0</v>
      </c>
      <c r="M245" s="2328">
        <v>0</v>
      </c>
      <c r="N245" s="2328">
        <v>0</v>
      </c>
      <c r="O245" s="2328">
        <v>0</v>
      </c>
      <c r="P245" s="2328">
        <v>0</v>
      </c>
      <c r="Q245" s="2328">
        <v>0</v>
      </c>
      <c r="R245" s="2328">
        <v>0</v>
      </c>
      <c r="S245" s="2328">
        <v>0</v>
      </c>
      <c r="T245" s="2328">
        <v>0</v>
      </c>
      <c r="U245" s="2328">
        <v>-9.350365</v>
      </c>
      <c r="V245" s="2328">
        <v>-9.9003650000000007</v>
      </c>
      <c r="W245" s="2328">
        <v>-55.650000000000006</v>
      </c>
      <c r="X245" s="2328">
        <v>-42.089095280000009</v>
      </c>
      <c r="Y245" s="2328">
        <v>44.851456014999997</v>
      </c>
      <c r="Z245" s="2328">
        <v>57.014912131000003</v>
      </c>
      <c r="AA245" s="2328">
        <v>38.393427641000002</v>
      </c>
      <c r="AB245" s="2328">
        <v>41.724177166499999</v>
      </c>
      <c r="AC245" s="2328">
        <v>43.489489227500002</v>
      </c>
      <c r="AD245" s="2328">
        <v>66.808160831999999</v>
      </c>
      <c r="AE245" s="2328">
        <v>108.7071594355</v>
      </c>
      <c r="AF245" s="2328">
        <v>135.34864495299999</v>
      </c>
      <c r="AG245" s="2328">
        <v>149.182850797485</v>
      </c>
      <c r="AH245" s="2328">
        <v>126.42050547348501</v>
      </c>
      <c r="AI245" s="3492">
        <v>137.68125942345301</v>
      </c>
      <c r="AJ245" s="2900">
        <v>378.14232910921658</v>
      </c>
      <c r="AK245" s="2328">
        <v>551.70639313026618</v>
      </c>
      <c r="AL245" s="2328">
        <v>463.26241627932814</v>
      </c>
      <c r="AM245" s="2328">
        <v>242.75313733393401</v>
      </c>
      <c r="AN245" s="2328">
        <v>67.925118186478628</v>
      </c>
      <c r="AO245" s="2328">
        <v>55.674064444690202</v>
      </c>
      <c r="AP245" s="2328">
        <v>45.564137195640001</v>
      </c>
      <c r="AQ245" s="2328">
        <v>45.564137195640001</v>
      </c>
      <c r="AR245" s="2328">
        <v>45.564137195640001</v>
      </c>
      <c r="AS245" s="2328">
        <v>45.564137195640001</v>
      </c>
      <c r="AT245" s="2328">
        <v>45.564137195640001</v>
      </c>
    </row>
    <row r="246" spans="1:46" customFormat="1" ht="14.75">
      <c r="A246" s="297"/>
      <c r="B246" s="292"/>
      <c r="C246" s="295"/>
      <c r="D246" s="2351" t="s">
        <v>1512</v>
      </c>
      <c r="E246" s="2348"/>
      <c r="F246" s="2901"/>
      <c r="G246" s="2340"/>
      <c r="H246" s="2340"/>
      <c r="I246" s="2340"/>
      <c r="J246" s="2352">
        <v>0</v>
      </c>
      <c r="K246" s="2352">
        <v>0</v>
      </c>
      <c r="L246" s="2352">
        <v>0</v>
      </c>
      <c r="M246" s="2352">
        <v>0</v>
      </c>
      <c r="N246" s="2352">
        <v>0</v>
      </c>
      <c r="O246" s="2352">
        <v>0</v>
      </c>
      <c r="P246" s="2352">
        <v>0</v>
      </c>
      <c r="Q246" s="2352">
        <v>0</v>
      </c>
      <c r="R246" s="2352">
        <v>0</v>
      </c>
      <c r="S246" s="2352">
        <v>0</v>
      </c>
      <c r="T246" s="2352">
        <v>0</v>
      </c>
      <c r="U246" s="2352">
        <v>-156.85358371199999</v>
      </c>
      <c r="V246" s="2352">
        <v>-291.30358371199998</v>
      </c>
      <c r="W246" s="2352">
        <v>-414.7076289997085</v>
      </c>
      <c r="X246" s="2352">
        <v>-286.5199030661401</v>
      </c>
      <c r="Y246" s="2352">
        <v>22.514264834203004</v>
      </c>
      <c r="Z246" s="2352">
        <v>37.286756855217121</v>
      </c>
      <c r="AA246" s="2352">
        <v>12.137151407847764</v>
      </c>
      <c r="AB246" s="2352">
        <v>2.293555807383143</v>
      </c>
      <c r="AC246" s="2352">
        <v>-15.76631208900924</v>
      </c>
      <c r="AD246" s="2353">
        <v>-15.666313007461486</v>
      </c>
      <c r="AE246" s="2352">
        <v>-12.340892165333571</v>
      </c>
      <c r="AF246" s="2353">
        <v>-29.610642855888841</v>
      </c>
      <c r="AG246" s="2353">
        <v>-28.599436448175197</v>
      </c>
      <c r="AH246" s="2353">
        <v>22.861003401808944</v>
      </c>
      <c r="AI246" s="3502">
        <v>38.107749228135617</v>
      </c>
      <c r="AJ246" s="2352">
        <v>5.1504386330410625</v>
      </c>
      <c r="AK246" s="2352">
        <v>0</v>
      </c>
      <c r="AL246" s="2352">
        <v>0</v>
      </c>
      <c r="AM246" s="2352">
        <v>0</v>
      </c>
      <c r="AN246" s="2352">
        <v>0</v>
      </c>
      <c r="AO246" s="2352">
        <v>0</v>
      </c>
      <c r="AP246" s="2352">
        <v>0</v>
      </c>
      <c r="AQ246" s="2352">
        <v>0</v>
      </c>
      <c r="AR246" s="2352">
        <v>0</v>
      </c>
      <c r="AS246" s="2352">
        <v>0</v>
      </c>
      <c r="AT246" s="2352">
        <v>183.11836671187802</v>
      </c>
    </row>
    <row r="247" spans="1:46" customFormat="1" ht="14.75">
      <c r="A247" s="297"/>
      <c r="B247" s="292"/>
      <c r="C247" s="295"/>
      <c r="D247" s="2351" t="s">
        <v>945</v>
      </c>
      <c r="E247" s="2348"/>
      <c r="F247" s="2901"/>
      <c r="G247" s="2340"/>
      <c r="H247" s="2340"/>
      <c r="I247" s="2340"/>
      <c r="J247" s="2328"/>
      <c r="K247" s="2328"/>
      <c r="L247" s="2328"/>
      <c r="M247" s="2328"/>
      <c r="N247" s="2328"/>
      <c r="O247" s="2328"/>
      <c r="P247" s="2328"/>
      <c r="Q247" s="2328"/>
      <c r="R247" s="2328"/>
      <c r="S247" s="2328"/>
      <c r="T247" s="2328"/>
      <c r="U247" s="2354">
        <v>-515.0278350000001</v>
      </c>
      <c r="V247" s="2354">
        <v>-761.127835</v>
      </c>
      <c r="W247" s="2354">
        <v>-300.69684719850005</v>
      </c>
      <c r="X247" s="2354">
        <v>-654.69064624613475</v>
      </c>
      <c r="Y247" s="2354">
        <v>-696.10378446489835</v>
      </c>
      <c r="Z247" s="2354">
        <v>-665.49945782865234</v>
      </c>
      <c r="AA247" s="2354">
        <v>-668.98586855211624</v>
      </c>
      <c r="AB247" s="2354">
        <v>-721.62595171889586</v>
      </c>
      <c r="AC247" s="2354">
        <v>-846.64605690759936</v>
      </c>
      <c r="AD247" s="2354">
        <v>-1106.7891489825511</v>
      </c>
      <c r="AE247" s="2354">
        <v>-1361.6114073204242</v>
      </c>
      <c r="AF247" s="2354">
        <v>-1695.444391253202</v>
      </c>
      <c r="AG247" s="2354">
        <v>-1884.1526696501201</v>
      </c>
      <c r="AH247" s="2354">
        <v>-1907.1482250529548</v>
      </c>
      <c r="AI247" s="3503">
        <v>-1889.4597711797555</v>
      </c>
      <c r="AJ247" s="2352">
        <v>-1927.7092433963996</v>
      </c>
      <c r="AK247" s="2354">
        <v>-2010.9157908299453</v>
      </c>
      <c r="AL247" s="2354">
        <v>-2008.6771500057871</v>
      </c>
      <c r="AM247" s="2354">
        <v>-1934.842480961378</v>
      </c>
      <c r="AN247" s="2354">
        <v>-1900.1348767900331</v>
      </c>
      <c r="AO247" s="2354">
        <v>-2015.8304995398953</v>
      </c>
      <c r="AP247" s="2354">
        <v>-2079.134227283942</v>
      </c>
      <c r="AQ247" s="2354">
        <v>-2265.8093920218021</v>
      </c>
      <c r="AR247" s="2354">
        <v>-2862.9773850811803</v>
      </c>
      <c r="AS247" s="2354">
        <v>-3446.5686649097584</v>
      </c>
      <c r="AT247" s="2354">
        <v>-3548.3955713396767</v>
      </c>
    </row>
    <row r="248" spans="1:46" customFormat="1" ht="14.75">
      <c r="A248" s="297"/>
      <c r="B248" s="292"/>
      <c r="C248" s="295"/>
      <c r="D248" s="2344" t="s">
        <v>739</v>
      </c>
      <c r="E248" s="2348"/>
      <c r="F248" s="2901"/>
      <c r="G248" s="2340"/>
      <c r="H248" s="2340"/>
      <c r="I248" s="2340"/>
      <c r="J248" s="2352">
        <v>0</v>
      </c>
      <c r="K248" s="2352">
        <v>0</v>
      </c>
      <c r="L248" s="2352">
        <v>0</v>
      </c>
      <c r="M248" s="2352">
        <v>0</v>
      </c>
      <c r="N248" s="2352">
        <v>0</v>
      </c>
      <c r="O248" s="2352">
        <v>0</v>
      </c>
      <c r="P248" s="2352">
        <v>0</v>
      </c>
      <c r="Q248" s="2352">
        <v>0</v>
      </c>
      <c r="R248" s="2352">
        <v>0</v>
      </c>
      <c r="S248" s="2352">
        <v>0</v>
      </c>
      <c r="T248" s="2352">
        <v>0</v>
      </c>
      <c r="U248" s="2352">
        <v>189.5128849175</v>
      </c>
      <c r="V248" s="2352">
        <v>418.21288491749999</v>
      </c>
      <c r="W248" s="2352">
        <v>411.15</v>
      </c>
      <c r="X248" s="2352">
        <v>419.60832861131007</v>
      </c>
      <c r="Y248" s="2352">
        <v>445.12203210895984</v>
      </c>
      <c r="Z248" s="2352">
        <v>394.82050639442446</v>
      </c>
      <c r="AA248" s="2352">
        <v>351.94784487003398</v>
      </c>
      <c r="AB248" s="2352">
        <v>344.54538040761452</v>
      </c>
      <c r="AC248" s="2352">
        <v>376.82936736246313</v>
      </c>
      <c r="AD248" s="2352">
        <v>416.15423125004162</v>
      </c>
      <c r="AE248" s="2352">
        <v>499.32328622247485</v>
      </c>
      <c r="AF248" s="2352">
        <v>692.63626361368176</v>
      </c>
      <c r="AG248" s="2352">
        <v>767.74580259061668</v>
      </c>
      <c r="AH248" s="2352">
        <v>734.54932764329203</v>
      </c>
      <c r="AI248" s="3504">
        <v>686.19194062035535</v>
      </c>
      <c r="AJ248" s="2352">
        <v>632.10009797544046</v>
      </c>
      <c r="AK248" s="2352">
        <v>632.67521105320861</v>
      </c>
      <c r="AL248" s="2352">
        <v>662.14273761264735</v>
      </c>
      <c r="AM248" s="2352">
        <v>736.54484488080993</v>
      </c>
      <c r="AN248" s="2352">
        <v>793.69088671100894</v>
      </c>
      <c r="AO248" s="2352">
        <v>768.63710947496338</v>
      </c>
      <c r="AP248" s="2352">
        <v>794.03711545849876</v>
      </c>
      <c r="AQ248" s="2352">
        <v>886.18544134403101</v>
      </c>
      <c r="AR248" s="2352">
        <v>912.26459762717104</v>
      </c>
      <c r="AS248" s="2352">
        <v>940.0024969212227</v>
      </c>
      <c r="AT248" s="2352">
        <v>968.85843279616211</v>
      </c>
    </row>
    <row r="249" spans="1:46" customFormat="1" ht="14.75">
      <c r="A249" s="297"/>
      <c r="B249" s="292"/>
      <c r="C249" s="295"/>
      <c r="D249" s="2344" t="s">
        <v>1513</v>
      </c>
      <c r="E249" s="2348"/>
      <c r="F249" s="2901"/>
      <c r="G249" s="2340"/>
      <c r="H249" s="2340"/>
      <c r="I249" s="2340"/>
      <c r="J249" s="2352">
        <v>0</v>
      </c>
      <c r="K249" s="2352">
        <v>0</v>
      </c>
      <c r="L249" s="2352">
        <v>0</v>
      </c>
      <c r="M249" s="2352">
        <v>0</v>
      </c>
      <c r="N249" s="2352">
        <v>0</v>
      </c>
      <c r="O249" s="2352">
        <v>0</v>
      </c>
      <c r="P249" s="2352">
        <v>0</v>
      </c>
      <c r="Q249" s="2352">
        <v>0</v>
      </c>
      <c r="R249" s="2352">
        <v>0</v>
      </c>
      <c r="S249" s="2352">
        <v>0</v>
      </c>
      <c r="T249" s="2352">
        <v>0</v>
      </c>
      <c r="U249" s="2352">
        <v>34.265606365499998</v>
      </c>
      <c r="V249" s="2352">
        <v>81.765606365499991</v>
      </c>
      <c r="W249" s="2352">
        <v>47.85</v>
      </c>
      <c r="X249" s="2352">
        <v>52.928457686369185</v>
      </c>
      <c r="Y249" s="2352">
        <v>146.67174708948528</v>
      </c>
      <c r="Z249" s="2352">
        <v>206.2973532329608</v>
      </c>
      <c r="AA249" s="2352">
        <v>273.69853102553031</v>
      </c>
      <c r="AB249" s="2352">
        <v>339.50903263429888</v>
      </c>
      <c r="AC249" s="2352">
        <v>402.17054876048496</v>
      </c>
      <c r="AD249" s="2352">
        <v>701.16582911092121</v>
      </c>
      <c r="AE249" s="2352">
        <v>805.64606585379283</v>
      </c>
      <c r="AF249" s="2352">
        <v>767.53841017194009</v>
      </c>
      <c r="AG249" s="2352">
        <v>877.2136639744939</v>
      </c>
      <c r="AH249" s="2352">
        <v>1091.9185505599953</v>
      </c>
      <c r="AI249" s="3505">
        <v>1331.1970088892301</v>
      </c>
      <c r="AJ249" s="2819">
        <v>1323.9308950139869</v>
      </c>
      <c r="AK249" s="2819">
        <v>1397.8821939147422</v>
      </c>
      <c r="AL249" s="2819">
        <v>1396.6596507969982</v>
      </c>
      <c r="AM249" s="2819">
        <v>1112.657385086367</v>
      </c>
      <c r="AN249" s="2819">
        <v>704.02613441058384</v>
      </c>
      <c r="AO249" s="2819">
        <v>461.19332811280037</v>
      </c>
      <c r="AP249" s="2352">
        <v>-369.23046802866037</v>
      </c>
      <c r="AQ249" s="2352">
        <v>-707.40342193300319</v>
      </c>
      <c r="AR249" s="2352">
        <v>-242.0672647571779</v>
      </c>
      <c r="AS249" s="2352">
        <v>-259.65709853006729</v>
      </c>
      <c r="AT249" s="2352">
        <v>-264.61632634632872</v>
      </c>
    </row>
    <row r="250" spans="1:46" customFormat="1" ht="14.75">
      <c r="A250" s="297"/>
      <c r="B250" s="292"/>
      <c r="C250" s="295"/>
      <c r="D250" s="2344" t="s">
        <v>946</v>
      </c>
      <c r="E250" s="2348"/>
      <c r="F250" s="2901"/>
      <c r="G250" s="2340"/>
      <c r="H250" s="2340"/>
      <c r="I250" s="2340"/>
      <c r="J250" s="2352">
        <v>0</v>
      </c>
      <c r="K250" s="2352">
        <v>0</v>
      </c>
      <c r="L250" s="2352">
        <v>0</v>
      </c>
      <c r="M250" s="2352">
        <v>0</v>
      </c>
      <c r="N250" s="2352">
        <v>0</v>
      </c>
      <c r="O250" s="2352">
        <v>0</v>
      </c>
      <c r="P250" s="2352">
        <v>0</v>
      </c>
      <c r="Q250" s="2352">
        <v>0</v>
      </c>
      <c r="R250" s="2352">
        <v>0</v>
      </c>
      <c r="S250" s="2352">
        <v>0</v>
      </c>
      <c r="T250" s="2352">
        <v>0</v>
      </c>
      <c r="U250" s="2352">
        <v>0</v>
      </c>
      <c r="V250" s="2352">
        <v>26.550000000000011</v>
      </c>
      <c r="W250" s="2352">
        <v>-190.96078180120847</v>
      </c>
      <c r="X250" s="2352">
        <v>-105.86604311768465</v>
      </c>
      <c r="Y250" s="2352">
        <v>126.82427010065635</v>
      </c>
      <c r="Z250" s="2352">
        <v>101.66835505648402</v>
      </c>
      <c r="AA250" s="2352">
        <v>51.087121584399597</v>
      </c>
      <c r="AB250" s="2352">
        <v>40.288250926365549</v>
      </c>
      <c r="AC250" s="2352">
        <v>56.69250761764215</v>
      </c>
      <c r="AD250" s="2352">
        <v>-21.13298232349257</v>
      </c>
      <c r="AE250" s="2352">
        <v>49.365405141203397</v>
      </c>
      <c r="AF250" s="2352">
        <v>111.08939027449733</v>
      </c>
      <c r="AG250" s="2352">
        <v>116.02408229964044</v>
      </c>
      <c r="AH250" s="2352">
        <v>103.54135025147636</v>
      </c>
      <c r="AI250" s="3504">
        <v>-89.821429101694264</v>
      </c>
      <c r="AJ250" s="2352">
        <v>-23.171310959986727</v>
      </c>
      <c r="AK250" s="2352">
        <v>-19.641614138005707</v>
      </c>
      <c r="AL250" s="2352">
        <v>-50.125238403858702</v>
      </c>
      <c r="AM250" s="2352">
        <v>85.640250994201239</v>
      </c>
      <c r="AN250" s="2352">
        <v>402.41785566844084</v>
      </c>
      <c r="AO250" s="2352">
        <v>786.00006195213177</v>
      </c>
      <c r="AP250" s="2352">
        <v>1654.3275798541044</v>
      </c>
      <c r="AQ250" s="2352">
        <v>2087.0273726107748</v>
      </c>
      <c r="AR250" s="2352">
        <v>2192.7800522111875</v>
      </c>
      <c r="AS250" s="2352">
        <v>2766.2232665186039</v>
      </c>
      <c r="AT250" s="2352">
        <v>3027.2718316017217</v>
      </c>
    </row>
    <row r="251" spans="1:46" customFormat="1" ht="14.75">
      <c r="A251" s="297"/>
      <c r="B251" s="292"/>
      <c r="C251" s="295"/>
      <c r="D251" s="2355" t="s">
        <v>261</v>
      </c>
      <c r="E251" s="2356"/>
      <c r="F251" s="2903"/>
      <c r="G251" s="2357"/>
      <c r="H251" s="2357"/>
      <c r="I251" s="2357"/>
      <c r="J251" s="2358" t="s">
        <v>740</v>
      </c>
      <c r="K251" s="2358" t="s">
        <v>740</v>
      </c>
      <c r="L251" s="2358" t="s">
        <v>740</v>
      </c>
      <c r="M251" s="2358" t="s">
        <v>740</v>
      </c>
      <c r="N251" s="2358" t="s">
        <v>740</v>
      </c>
      <c r="O251" s="2358" t="s">
        <v>740</v>
      </c>
      <c r="P251" s="2358" t="s">
        <v>740</v>
      </c>
      <c r="Q251" s="2358" t="s">
        <v>740</v>
      </c>
      <c r="R251" s="2358" t="s">
        <v>740</v>
      </c>
      <c r="S251" s="2358" t="s">
        <v>740</v>
      </c>
      <c r="T251" s="2358" t="s">
        <v>740</v>
      </c>
      <c r="U251" s="2358">
        <v>-291.2493437170001</v>
      </c>
      <c r="V251" s="2358">
        <v>-234.59934371700001</v>
      </c>
      <c r="W251" s="2358">
        <v>-32.65762899970855</v>
      </c>
      <c r="X251" s="2358">
        <v>-288.01990306614016</v>
      </c>
      <c r="Y251" s="2358">
        <v>22.514264834203118</v>
      </c>
      <c r="Z251" s="2358">
        <v>37.286756855216936</v>
      </c>
      <c r="AA251" s="2358">
        <v>7.7476289278476429</v>
      </c>
      <c r="AB251" s="2358">
        <v>2.7167122493830789</v>
      </c>
      <c r="AC251" s="2358">
        <v>-10.953633167009116</v>
      </c>
      <c r="AD251" s="2358">
        <v>-10.602070945080754</v>
      </c>
      <c r="AE251" s="2358">
        <v>-7.2766501029530986</v>
      </c>
      <c r="AF251" s="2358">
        <v>-124.18032719308277</v>
      </c>
      <c r="AG251" s="2358">
        <v>-123.16912078536905</v>
      </c>
      <c r="AH251" s="2358">
        <v>22.861003401809029</v>
      </c>
      <c r="AI251" s="3506">
        <v>38.107749228135674</v>
      </c>
      <c r="AJ251" s="2358">
        <v>5.1504386330410625</v>
      </c>
      <c r="AK251" s="2358" t="s">
        <v>740</v>
      </c>
      <c r="AL251" s="2358" t="s">
        <v>740</v>
      </c>
      <c r="AM251" s="2358" t="s">
        <v>740</v>
      </c>
      <c r="AN251" s="2358" t="s">
        <v>740</v>
      </c>
      <c r="AO251" s="2358" t="s">
        <v>740</v>
      </c>
      <c r="AP251" s="2358" t="s">
        <v>740</v>
      </c>
      <c r="AQ251" s="2358" t="s">
        <v>740</v>
      </c>
      <c r="AR251" s="2358" t="s">
        <v>740</v>
      </c>
      <c r="AS251" s="2358" t="s">
        <v>740</v>
      </c>
      <c r="AT251" s="2358">
        <v>183.11836671187848</v>
      </c>
    </row>
    <row r="252" spans="1:46" customFormat="1" ht="12" customHeight="1">
      <c r="A252" s="297"/>
      <c r="B252" s="292"/>
      <c r="C252" s="295"/>
      <c r="D252" s="2323" t="s">
        <v>1514</v>
      </c>
      <c r="E252" s="2359" t="s">
        <v>361</v>
      </c>
      <c r="F252" s="2904"/>
      <c r="G252" s="2360"/>
      <c r="H252" s="2360"/>
      <c r="I252" s="2360"/>
      <c r="J252" s="2361">
        <v>0</v>
      </c>
      <c r="K252" s="2361">
        <v>0</v>
      </c>
      <c r="L252" s="2361">
        <v>0</v>
      </c>
      <c r="M252" s="2361">
        <v>0</v>
      </c>
      <c r="N252" s="2361">
        <v>0</v>
      </c>
      <c r="O252" s="2361">
        <v>0</v>
      </c>
      <c r="P252" s="2361">
        <v>0</v>
      </c>
      <c r="Q252" s="2361">
        <v>0</v>
      </c>
      <c r="R252" s="2361">
        <v>0</v>
      </c>
      <c r="S252" s="2361">
        <v>0</v>
      </c>
      <c r="T252" s="2361">
        <v>0</v>
      </c>
      <c r="U252" s="2361">
        <v>0</v>
      </c>
      <c r="V252" s="2361">
        <v>0</v>
      </c>
      <c r="W252" s="2361">
        <v>0</v>
      </c>
      <c r="X252" s="2361">
        <v>191.4444231416</v>
      </c>
      <c r="Y252" s="2361">
        <v>402.72452520299998</v>
      </c>
      <c r="Z252" s="2361">
        <v>469.66459039125237</v>
      </c>
      <c r="AA252" s="2361">
        <v>523.3978191671581</v>
      </c>
      <c r="AB252" s="2361">
        <v>567.58441466575471</v>
      </c>
      <c r="AC252" s="2361">
        <v>640.58640198878766</v>
      </c>
      <c r="AD252" s="2361">
        <v>694.11972225087879</v>
      </c>
      <c r="AE252" s="2361">
        <v>744.07951410111423</v>
      </c>
      <c r="AF252" s="2361">
        <v>824.51995606879802</v>
      </c>
      <c r="AG252" s="2361">
        <v>951.75634546921151</v>
      </c>
      <c r="AH252" s="2361">
        <v>1110.0923652781835</v>
      </c>
      <c r="AI252" s="3507">
        <v>1304.5136212505422</v>
      </c>
      <c r="AJ252" s="3484">
        <v>1634.4964251674796</v>
      </c>
      <c r="AK252" s="2818">
        <v>2016.409109211713</v>
      </c>
      <c r="AL252" s="2818">
        <v>2348.8893554707674</v>
      </c>
      <c r="AM252" s="2818">
        <v>2677.3448904133666</v>
      </c>
      <c r="AN252" s="2818">
        <v>3044.0062195758037</v>
      </c>
      <c r="AO252" s="2818">
        <v>3439.5812676354544</v>
      </c>
      <c r="AP252" s="2361">
        <v>3844.4220247265912</v>
      </c>
      <c r="AQ252" s="2361">
        <v>4277.1311014448738</v>
      </c>
      <c r="AR252" s="2361">
        <v>4710.1022569259994</v>
      </c>
      <c r="AS252" s="2361">
        <v>5979.0942519129621</v>
      </c>
      <c r="AT252" s="2361">
        <v>8688.5899605654158</v>
      </c>
    </row>
    <row r="253" spans="1:46" customFormat="1" ht="14.75">
      <c r="A253" s="297"/>
      <c r="B253" s="292"/>
      <c r="C253" s="295"/>
      <c r="D253" s="2337" t="s">
        <v>1515</v>
      </c>
      <c r="E253" s="2362">
        <v>0.25</v>
      </c>
      <c r="F253" s="2905"/>
      <c r="G253" s="2363"/>
      <c r="H253" s="2363"/>
      <c r="I253" s="2363"/>
      <c r="J253" s="2364">
        <v>0</v>
      </c>
      <c r="K253" s="2364">
        <v>0</v>
      </c>
      <c r="L253" s="2364">
        <v>0</v>
      </c>
      <c r="M253" s="2364">
        <v>0</v>
      </c>
      <c r="N253" s="2365">
        <v>0</v>
      </c>
      <c r="O253" s="2365">
        <v>12.979217166750002</v>
      </c>
      <c r="P253" s="2365">
        <v>26.750090798150001</v>
      </c>
      <c r="Q253" s="2365">
        <v>30.591239663750002</v>
      </c>
      <c r="R253" s="2365">
        <v>37.722625608205078</v>
      </c>
      <c r="S253" s="2365">
        <v>49.373375643235534</v>
      </c>
      <c r="T253" s="2365">
        <v>54.32468341563046</v>
      </c>
      <c r="U253" s="2365">
        <v>52.046019991350001</v>
      </c>
      <c r="V253" s="2365">
        <v>60.605649277650002</v>
      </c>
      <c r="W253" s="2365">
        <v>72.328798574100006</v>
      </c>
      <c r="X253" s="2365">
        <v>83.193997567949992</v>
      </c>
      <c r="Y253" s="2365">
        <v>95.16374118089999</v>
      </c>
      <c r="Z253" s="2365">
        <v>104.43237545124833</v>
      </c>
      <c r="AA253" s="2365">
        <v>116.58140742254835</v>
      </c>
      <c r="AB253" s="2365">
        <v>127.43301091639999</v>
      </c>
      <c r="AC253" s="2365">
        <v>140.82299477163997</v>
      </c>
      <c r="AD253" s="2365">
        <v>150.23365618613997</v>
      </c>
      <c r="AE253" s="2365">
        <v>156.71527720769998</v>
      </c>
      <c r="AF253" s="2365">
        <v>174.39046495552915</v>
      </c>
      <c r="AG253" s="2365">
        <v>202.86238751335409</v>
      </c>
      <c r="AH253" s="2365">
        <v>228.45546769756987</v>
      </c>
      <c r="AI253" s="3508">
        <v>267.91516831562484</v>
      </c>
      <c r="AJ253" s="3485">
        <v>321.15741663756444</v>
      </c>
      <c r="AK253" s="2365">
        <v>378.01149895852609</v>
      </c>
      <c r="AL253" s="2365">
        <v>454.73781330780548</v>
      </c>
      <c r="AM253" s="2365">
        <v>556.43137635905873</v>
      </c>
      <c r="AN253" s="2365">
        <v>681.66916224012141</v>
      </c>
      <c r="AO253" s="2365">
        <v>790.9256305401035</v>
      </c>
      <c r="AP253" s="2365">
        <v>1.5</v>
      </c>
      <c r="AQ253" s="2365">
        <v>2.5</v>
      </c>
      <c r="AR253" s="2365">
        <v>3.5</v>
      </c>
      <c r="AS253" s="2365">
        <v>4.5</v>
      </c>
      <c r="AT253" s="2365">
        <v>2.5</v>
      </c>
    </row>
    <row r="254" spans="1:46" customFormat="1" ht="14.75">
      <c r="A254" s="297"/>
      <c r="B254" s="292"/>
      <c r="C254" s="295"/>
      <c r="D254" s="2366" t="s">
        <v>1516</v>
      </c>
      <c r="E254" s="2362">
        <v>0.1</v>
      </c>
      <c r="F254" s="2905"/>
      <c r="G254" s="2363"/>
      <c r="H254" s="2363"/>
      <c r="I254" s="2363"/>
      <c r="J254" s="2364">
        <v>0</v>
      </c>
      <c r="K254" s="2364">
        <v>0</v>
      </c>
      <c r="L254" s="2364">
        <v>0</v>
      </c>
      <c r="M254" s="2364">
        <v>0</v>
      </c>
      <c r="N254" s="2367">
        <v>0</v>
      </c>
      <c r="O254" s="2367">
        <v>3.8167472029999998</v>
      </c>
      <c r="P254" s="2367">
        <v>8.2332601524999998</v>
      </c>
      <c r="Q254" s="2367">
        <v>8.8040729669999997</v>
      </c>
      <c r="R254" s="2367">
        <v>7.0696897520000004</v>
      </c>
      <c r="S254" s="2367">
        <v>10.470829098399999</v>
      </c>
      <c r="T254" s="2367">
        <v>20.074773546049997</v>
      </c>
      <c r="U254" s="2365">
        <v>37.267065793949996</v>
      </c>
      <c r="V254" s="2365">
        <v>46.498908531199994</v>
      </c>
      <c r="W254" s="2365">
        <v>41.791818971499993</v>
      </c>
      <c r="X254" s="2365">
        <v>42.262017500500001</v>
      </c>
      <c r="Y254" s="2365">
        <v>45.652544415850002</v>
      </c>
      <c r="Z254" s="2365">
        <v>48.728033161950002</v>
      </c>
      <c r="AA254" s="2365">
        <v>49.644179047000002</v>
      </c>
      <c r="AB254" s="2365">
        <v>50.994142981200163</v>
      </c>
      <c r="AC254" s="2365">
        <v>55.313804557233311</v>
      </c>
      <c r="AD254" s="2365">
        <v>56.072584201533147</v>
      </c>
      <c r="AE254" s="2365">
        <v>56.462739192777917</v>
      </c>
      <c r="AF254" s="2365">
        <v>77.095994805048591</v>
      </c>
      <c r="AG254" s="2365">
        <v>120.0779491031231</v>
      </c>
      <c r="AH254" s="2365">
        <v>147.34799776203852</v>
      </c>
      <c r="AI254" s="3508">
        <v>123.57319986300453</v>
      </c>
      <c r="AJ254" s="3485">
        <v>94.101358353862281</v>
      </c>
      <c r="AK254" s="2365">
        <v>96.613770724595497</v>
      </c>
      <c r="AL254" s="2365">
        <v>99.585715230085697</v>
      </c>
      <c r="AM254" s="2365">
        <v>102.68001061215631</v>
      </c>
      <c r="AN254" s="2365">
        <v>107.6082068040549</v>
      </c>
      <c r="AO254" s="2365">
        <v>114.03238912814473</v>
      </c>
      <c r="AP254" s="2365">
        <v>133.8075071230972</v>
      </c>
      <c r="AQ254" s="2365">
        <v>133.8075071230972</v>
      </c>
      <c r="AR254" s="2365">
        <v>133.8075071230972</v>
      </c>
      <c r="AS254" s="2365">
        <v>133.8075071230972</v>
      </c>
      <c r="AT254" s="2365">
        <v>133.8075071230972</v>
      </c>
    </row>
    <row r="255" spans="1:46" customFormat="1" ht="14.75">
      <c r="A255" s="297"/>
      <c r="C255" s="295"/>
      <c r="D255" s="2366" t="s">
        <v>1517</v>
      </c>
      <c r="E255" s="2362"/>
      <c r="F255" s="2905"/>
      <c r="G255" s="2363"/>
      <c r="H255" s="2363"/>
      <c r="I255" s="2363"/>
      <c r="J255" s="2364"/>
      <c r="K255" s="2364"/>
      <c r="L255" s="2364"/>
      <c r="M255" s="2364"/>
      <c r="N255" s="2367"/>
      <c r="O255" s="2367"/>
      <c r="P255" s="2367"/>
      <c r="Q255" s="2367"/>
      <c r="R255" s="2367"/>
      <c r="S255" s="2367"/>
      <c r="T255" s="2367"/>
      <c r="U255" s="2365"/>
      <c r="V255" s="2365"/>
      <c r="W255" s="2365"/>
      <c r="X255" s="2365"/>
      <c r="Y255" s="2365"/>
      <c r="Z255" s="2365"/>
      <c r="AA255" s="2365"/>
      <c r="AB255" s="2365"/>
      <c r="AC255" s="2365"/>
      <c r="AD255" s="2365"/>
      <c r="AE255" s="2365">
        <v>0</v>
      </c>
      <c r="AF255" s="2365">
        <v>0</v>
      </c>
      <c r="AG255" s="2365">
        <v>28.23798420229339</v>
      </c>
      <c r="AH255" s="2365">
        <v>70.681922553288715</v>
      </c>
      <c r="AI255" s="3508">
        <v>52.729044202995325</v>
      </c>
      <c r="AJ255" s="3485">
        <v>21.227959204101516</v>
      </c>
      <c r="AK255" s="2365">
        <v>22.696017929943981</v>
      </c>
      <c r="AL255" s="2365">
        <v>24.653337232038083</v>
      </c>
      <c r="AM255" s="2365">
        <v>27.333252183536665</v>
      </c>
      <c r="AN255" s="2365">
        <v>30.427260724995485</v>
      </c>
      <c r="AO255" s="2365">
        <v>34.479600086881241</v>
      </c>
      <c r="AP255" s="2365"/>
      <c r="AQ255" s="2365"/>
      <c r="AR255" s="2365"/>
      <c r="AS255" s="2365"/>
      <c r="AT255" s="2365"/>
    </row>
    <row r="256" spans="1:46" customFormat="1" ht="14.75">
      <c r="A256" s="297"/>
      <c r="C256" s="295"/>
      <c r="D256" s="2368" t="s">
        <v>1518</v>
      </c>
      <c r="E256" s="2362"/>
      <c r="F256" s="2905"/>
      <c r="G256" s="2363"/>
      <c r="H256" s="2363"/>
      <c r="I256" s="2363"/>
      <c r="J256" s="2364"/>
      <c r="K256" s="2364"/>
      <c r="L256" s="2364"/>
      <c r="M256" s="2364"/>
      <c r="N256" s="2367"/>
      <c r="O256" s="2367"/>
      <c r="P256" s="2367"/>
      <c r="Q256" s="2367"/>
      <c r="R256" s="2367"/>
      <c r="S256" s="2367"/>
      <c r="T256" s="2367"/>
      <c r="U256" s="2365"/>
      <c r="V256" s="2365">
        <v>-46.498908531199994</v>
      </c>
      <c r="W256" s="2365">
        <v>-41.791818971499993</v>
      </c>
      <c r="X256" s="2365">
        <v>20.617333440999992</v>
      </c>
      <c r="Y256" s="2365">
        <v>85.736539522649991</v>
      </c>
      <c r="Z256" s="2365">
        <v>103.2399535870847</v>
      </c>
      <c r="AA256" s="2365">
        <v>114.601955852744</v>
      </c>
      <c r="AB256" s="2365">
        <v>118.7369738980515</v>
      </c>
      <c r="AC256" s="2365">
        <v>141.11845338930908</v>
      </c>
      <c r="AD256" s="2365">
        <v>158.07035730173527</v>
      </c>
      <c r="AE256" s="2365">
        <v>171.82855041719051</v>
      </c>
      <c r="AF256" s="2365">
        <v>173.93338276451942</v>
      </c>
      <c r="AG256" s="2365">
        <v>146.05111766826252</v>
      </c>
      <c r="AH256" s="2365">
        <v>136.20864795098834</v>
      </c>
      <c r="AI256" s="3508">
        <v>227.65951083250454</v>
      </c>
      <c r="AJ256" s="3485">
        <v>359.41461730997639</v>
      </c>
      <c r="AK256" s="2365">
        <v>444.58670275031739</v>
      </c>
      <c r="AL256" s="2365">
        <v>523.53251222036931</v>
      </c>
      <c r="AM256" s="2365">
        <v>602.8494037477933</v>
      </c>
      <c r="AN256" s="2365">
        <v>701.29398108679527</v>
      </c>
      <c r="AO256" s="2365">
        <v>806.64455402228919</v>
      </c>
      <c r="AP256" s="2365">
        <v>933.00194420065372</v>
      </c>
      <c r="AQ256" s="2365">
        <v>1044.4725308005027</v>
      </c>
      <c r="AR256" s="2365">
        <v>1149.9313080361214</v>
      </c>
      <c r="AS256" s="2365">
        <v>1242.7822366575699</v>
      </c>
      <c r="AT256" s="2365">
        <v>1328.5562555761708</v>
      </c>
    </row>
    <row r="257" spans="1:47" customFormat="1" ht="14.75">
      <c r="A257" s="297"/>
      <c r="C257" s="295"/>
      <c r="D257" s="2323" t="s">
        <v>1505</v>
      </c>
      <c r="E257" s="2363"/>
      <c r="F257" s="2905"/>
      <c r="G257" s="2363"/>
      <c r="H257" s="2363"/>
      <c r="I257" s="2363"/>
      <c r="J257" s="2369">
        <v>12.4893</v>
      </c>
      <c r="K257" s="2369">
        <v>12.116275</v>
      </c>
      <c r="L257" s="2369">
        <v>14.0609</v>
      </c>
      <c r="M257" s="2369">
        <v>17.373550000000002</v>
      </c>
      <c r="N257" s="2369">
        <v>0</v>
      </c>
      <c r="O257" s="2369">
        <v>0</v>
      </c>
      <c r="P257" s="2369">
        <v>0</v>
      </c>
      <c r="Q257" s="2369">
        <v>0</v>
      </c>
      <c r="R257" s="2369">
        <v>0</v>
      </c>
      <c r="S257" s="2369">
        <v>0</v>
      </c>
      <c r="T257" s="2369">
        <v>0</v>
      </c>
      <c r="U257" s="2369">
        <v>0</v>
      </c>
      <c r="V257" s="2369">
        <v>0</v>
      </c>
      <c r="W257" s="2369">
        <v>0</v>
      </c>
      <c r="X257" s="2369">
        <v>28.086198660499999</v>
      </c>
      <c r="Y257" s="2369">
        <v>60.228374403000004</v>
      </c>
      <c r="Z257" s="2369">
        <v>70.048250723734043</v>
      </c>
      <c r="AA257" s="2369">
        <v>78.236002759255939</v>
      </c>
      <c r="AB257" s="2369">
        <v>82.101437994018511</v>
      </c>
      <c r="AC257" s="2369">
        <v>97.644194587996594</v>
      </c>
      <c r="AD257" s="2369">
        <v>114.51342643269001</v>
      </c>
      <c r="AE257" s="2369">
        <v>120.51213200364558</v>
      </c>
      <c r="AF257" s="2369">
        <v>128.3813595127213</v>
      </c>
      <c r="AG257" s="2369">
        <v>172.32528329059807</v>
      </c>
      <c r="AH257" s="2369">
        <v>203.05847387356943</v>
      </c>
      <c r="AI257" s="3509">
        <v>218.44511663962709</v>
      </c>
      <c r="AJ257" s="3486">
        <v>247.42235834107396</v>
      </c>
      <c r="AK257" s="2369">
        <v>279.68952215308684</v>
      </c>
      <c r="AL257" s="2369">
        <v>330.04609066997011</v>
      </c>
      <c r="AM257" s="2369">
        <v>378.6623792793435</v>
      </c>
      <c r="AN257" s="2369">
        <v>431.4102246718561</v>
      </c>
      <c r="AO257" s="2369">
        <v>512.51400331223294</v>
      </c>
      <c r="AP257" s="2369">
        <v>642.77127321218029</v>
      </c>
      <c r="AQ257" s="2369">
        <v>787.7885338400074</v>
      </c>
      <c r="AR257" s="2369">
        <v>937.66706403365481</v>
      </c>
      <c r="AS257" s="2369">
        <v>1221.0505830299999</v>
      </c>
      <c r="AT257" s="2369">
        <v>1706.0044438180207</v>
      </c>
    </row>
    <row r="258" spans="1:47" customFormat="1" ht="14.75">
      <c r="A258" s="297"/>
      <c r="B258" s="292" t="s">
        <v>242</v>
      </c>
      <c r="C258" s="295"/>
      <c r="D258" s="2337" t="s">
        <v>400</v>
      </c>
      <c r="E258" s="2362">
        <v>0.75</v>
      </c>
      <c r="F258" s="2906"/>
      <c r="G258" s="2370"/>
      <c r="H258" s="2370"/>
      <c r="I258" s="2370"/>
      <c r="J258" s="2369">
        <v>9.3669750000000001</v>
      </c>
      <c r="K258" s="2369">
        <v>9.0872062499999995</v>
      </c>
      <c r="L258" s="2369">
        <v>10.545674999999999</v>
      </c>
      <c r="M258" s="2369">
        <v>13.030162500000001</v>
      </c>
      <c r="N258" s="2369">
        <v>0</v>
      </c>
      <c r="O258" s="2369">
        <v>9.7344128750625014</v>
      </c>
      <c r="P258" s="2369">
        <v>20.062568098612502</v>
      </c>
      <c r="Q258" s="2369">
        <v>22.943429747812502</v>
      </c>
      <c r="R258" s="2369">
        <v>28.291969206153809</v>
      </c>
      <c r="S258" s="2369">
        <v>37.03003173242665</v>
      </c>
      <c r="T258" s="2369">
        <v>40.743512561722845</v>
      </c>
      <c r="U258" s="2371">
        <v>39.034514993512502</v>
      </c>
      <c r="V258" s="2371">
        <v>45.454236958237502</v>
      </c>
      <c r="W258" s="2371">
        <v>54.246598930575004</v>
      </c>
      <c r="X258" s="2371">
        <v>83.460147171337496</v>
      </c>
      <c r="Y258" s="2371">
        <v>116.54408668792499</v>
      </c>
      <c r="Z258" s="2372">
        <v>130.86046963123678</v>
      </c>
      <c r="AA258" s="2372">
        <v>146.11305763635323</v>
      </c>
      <c r="AB258" s="2372">
        <v>157.15083668281389</v>
      </c>
      <c r="AC258" s="2372">
        <v>178.85039201972742</v>
      </c>
      <c r="AD258" s="2372">
        <v>198.56031196412246</v>
      </c>
      <c r="AE258" s="2372">
        <v>207.92055690850918</v>
      </c>
      <c r="AF258" s="2372">
        <v>227.07886835118782</v>
      </c>
      <c r="AG258" s="2372">
        <v>281.39075310296414</v>
      </c>
      <c r="AH258" s="2372">
        <v>323.6354561783545</v>
      </c>
      <c r="AI258" s="3510">
        <v>364.77021371643895</v>
      </c>
      <c r="AJ258" s="3487">
        <v>426.4348312339788</v>
      </c>
      <c r="AK258" s="2372">
        <v>493.27576583370967</v>
      </c>
      <c r="AL258" s="2372">
        <v>588.58792798333172</v>
      </c>
      <c r="AM258" s="2372">
        <v>701.32031672880157</v>
      </c>
      <c r="AN258" s="2372">
        <v>834.80954018398313</v>
      </c>
      <c r="AO258" s="2372">
        <v>977.57972538925242</v>
      </c>
      <c r="AP258" s="2372">
        <v>483.20345490913519</v>
      </c>
      <c r="AQ258" s="2372">
        <v>592.71640038000555</v>
      </c>
      <c r="AR258" s="2372">
        <v>705.87529802524114</v>
      </c>
      <c r="AS258" s="2372">
        <v>919.1629372724999</v>
      </c>
      <c r="AT258" s="2372">
        <v>1281.3783328635154</v>
      </c>
    </row>
    <row r="259" spans="1:47">
      <c r="B259" s="1"/>
      <c r="D259" s="2337" t="s">
        <v>1755</v>
      </c>
      <c r="E259" s="2373" t="s">
        <v>359</v>
      </c>
      <c r="F259" s="2906"/>
      <c r="G259" s="2370"/>
      <c r="H259" s="2370"/>
      <c r="I259" s="2370" t="e">
        <v>#DIV/0!</v>
      </c>
      <c r="J259" s="2374">
        <v>0</v>
      </c>
      <c r="K259" s="2374">
        <v>0</v>
      </c>
      <c r="L259" s="2374">
        <v>0</v>
      </c>
      <c r="M259" s="2374">
        <v>0</v>
      </c>
      <c r="N259" s="2374">
        <v>0</v>
      </c>
      <c r="O259" s="2374">
        <v>-1.2241956537718661E-2</v>
      </c>
      <c r="P259" s="2374">
        <v>-2.1383466351253055E-2</v>
      </c>
      <c r="Q259" s="2374">
        <v>-2.1813572885243632E-2</v>
      </c>
      <c r="R259" s="2374">
        <v>-2.038794508885074E-2</v>
      </c>
      <c r="S259" s="2374">
        <v>-2.1380566181363178E-2</v>
      </c>
      <c r="T259" s="2374">
        <v>-2.3359327146524476E-2</v>
      </c>
      <c r="U259" s="2374">
        <v>-2.6265480353670156E-2</v>
      </c>
      <c r="V259" s="2374">
        <v>-2.8147619031634104E-2</v>
      </c>
      <c r="W259" s="2374">
        <v>-2.6396244829083228E-2</v>
      </c>
      <c r="X259" s="2374">
        <v>1.4185017415186234E-2</v>
      </c>
      <c r="Y259" s="2374">
        <v>5.0429355050451631E-2</v>
      </c>
      <c r="Z259" s="2374">
        <v>5.5665935108619634E-2</v>
      </c>
      <c r="AA259" s="2374">
        <v>5.639710391768718E-2</v>
      </c>
      <c r="AB259" s="2374">
        <v>5.440569229295969E-2</v>
      </c>
      <c r="AC259" s="2374">
        <v>5.6859362014789042E-2</v>
      </c>
      <c r="AD259" s="2374">
        <v>5.4305469333602911E-2</v>
      </c>
      <c r="AE259" s="2374">
        <v>5.6535260774363064E-2</v>
      </c>
      <c r="AF259" s="2374">
        <v>5.4446163528025782E-2</v>
      </c>
      <c r="AG259" s="2374">
        <v>4.4737906694448999E-2</v>
      </c>
      <c r="AH259" s="2374">
        <v>4.0815608385430399E-2</v>
      </c>
      <c r="AI259" s="3511">
        <v>4.5705932874386332E-2</v>
      </c>
      <c r="AJ259" s="3488">
        <v>5.5695078027099366E-2</v>
      </c>
      <c r="AK259" s="2374">
        <v>6.2030206135223233E-2</v>
      </c>
      <c r="AL259" s="2374">
        <v>6.4003882473265328E-2</v>
      </c>
      <c r="AM259" s="2374">
        <v>6.4284718143980651E-2</v>
      </c>
      <c r="AN259" s="2374">
        <v>6.4033279945837712E-2</v>
      </c>
      <c r="AO259" s="2684">
        <v>6.4152993484206902E-2</v>
      </c>
      <c r="AP259" s="2684">
        <v>8.5428295446738384E-2</v>
      </c>
      <c r="AQ259" s="2684">
        <v>8.4659612984428215E-2</v>
      </c>
      <c r="AR259" s="2684">
        <v>8.2910793366940752E-2</v>
      </c>
      <c r="AS259" s="2684">
        <v>9.4074056220457447E-2</v>
      </c>
      <c r="AT259" s="2684">
        <v>0.12255543718459191</v>
      </c>
    </row>
    <row r="260" spans="1:47">
      <c r="B260" s="1"/>
      <c r="D260" s="2337" t="s">
        <v>1563</v>
      </c>
      <c r="E260" s="2373" t="s">
        <v>359</v>
      </c>
      <c r="F260" s="2906"/>
      <c r="G260" s="2370"/>
      <c r="H260" s="2370"/>
      <c r="I260" s="2370"/>
      <c r="J260" s="2374">
        <v>0</v>
      </c>
      <c r="K260" s="2374">
        <v>0</v>
      </c>
      <c r="L260" s="2374">
        <v>0</v>
      </c>
      <c r="M260" s="2374">
        <v>0</v>
      </c>
      <c r="N260" s="2374">
        <v>0</v>
      </c>
      <c r="O260" s="2374">
        <v>0</v>
      </c>
      <c r="P260" s="2374">
        <v>0</v>
      </c>
      <c r="Q260" s="2374">
        <v>0</v>
      </c>
      <c r="R260" s="2374">
        <v>0</v>
      </c>
      <c r="S260" s="2374">
        <v>0</v>
      </c>
      <c r="T260" s="2374">
        <v>0</v>
      </c>
      <c r="U260" s="2374">
        <v>0</v>
      </c>
      <c r="V260" s="2375">
        <v>-4.0502914974975657E-2</v>
      </c>
      <c r="W260" s="2375">
        <v>-3.7989068968592062E-2</v>
      </c>
      <c r="X260" s="2375">
        <v>3.9843929252623769E-2</v>
      </c>
      <c r="Y260" s="2375">
        <v>0.10874357720009493</v>
      </c>
      <c r="Z260" s="2375">
        <v>0.11837681825899747</v>
      </c>
      <c r="AA260" s="2375">
        <v>0.11824625856749216</v>
      </c>
      <c r="AB260" s="2375">
        <v>0.11207190941232331</v>
      </c>
      <c r="AC260" s="2375">
        <v>0.11748912162754414</v>
      </c>
      <c r="AD260" s="2375">
        <v>0.11153127157694744</v>
      </c>
      <c r="AE260" s="2375">
        <v>0.17129223556645895</v>
      </c>
      <c r="AF260" s="2375">
        <v>0.19595710665074517</v>
      </c>
      <c r="AG260" s="2375">
        <v>0.15233804816495802</v>
      </c>
      <c r="AH260" s="2375">
        <v>0.18551096241560489</v>
      </c>
      <c r="AI260" s="3512">
        <v>0.12622506001082737</v>
      </c>
      <c r="AJ260" s="3489">
        <v>9.6431776753305734E-2</v>
      </c>
      <c r="AK260" s="2375">
        <v>9.6275815563664796E-2</v>
      </c>
      <c r="AL260" s="2375">
        <v>9.2058130015030049E-2</v>
      </c>
      <c r="AM260" s="2375">
        <v>8.7832510132635988E-2</v>
      </c>
      <c r="AN260" s="2375">
        <v>8.5768081266147822E-2</v>
      </c>
      <c r="AO260" s="2684">
        <v>8.4940218686554866E-2</v>
      </c>
      <c r="AP260" s="2684">
        <v>9.4264454839336681E-2</v>
      </c>
      <c r="AQ260" s="2684">
        <v>8.917101482512968E-2</v>
      </c>
      <c r="AR260" s="2684">
        <v>8.4446749627334824E-2</v>
      </c>
      <c r="AS260" s="2684">
        <v>8.010142557465337E-2</v>
      </c>
      <c r="AT260" s="2684">
        <v>7.596732264046549E-2</v>
      </c>
    </row>
    <row r="261" spans="1:47">
      <c r="B261" s="1"/>
      <c r="D261" s="2337" t="s">
        <v>1519</v>
      </c>
      <c r="E261" s="2362"/>
      <c r="F261" s="2906"/>
      <c r="G261" s="2370"/>
      <c r="H261" s="2370"/>
      <c r="I261" s="2370"/>
      <c r="J261" s="2374">
        <v>7.9046202531645571E-2</v>
      </c>
      <c r="K261" s="2374">
        <v>6.8068960674157297E-2</v>
      </c>
      <c r="L261" s="2374">
        <v>7.3617277486910992E-2</v>
      </c>
      <c r="M261" s="2374">
        <v>8.6867750000000007E-2</v>
      </c>
      <c r="N261" s="2374">
        <v>0</v>
      </c>
      <c r="O261" s="2374">
        <v>5.2984114731072562E-2</v>
      </c>
      <c r="P261" s="2374">
        <v>9.086584662506493E-2</v>
      </c>
      <c r="Q261" s="2374">
        <v>5.0415728095646629E-2</v>
      </c>
      <c r="R261" s="2374">
        <v>4.7120804163347539E-2</v>
      </c>
      <c r="S261" s="2374">
        <v>4.9414959062472938E-2</v>
      </c>
      <c r="T261" s="2374">
        <v>5.3988289406413842E-2</v>
      </c>
      <c r="U261" s="2374">
        <v>5.8492835468805175E-2</v>
      </c>
      <c r="V261" s="2375">
        <v>6.0612396758938203E-2</v>
      </c>
      <c r="W261" s="2375">
        <v>5.6819605655719058E-2</v>
      </c>
      <c r="X261" s="2375">
        <v>7.1144378745080714E-2</v>
      </c>
      <c r="Y261" s="2375">
        <v>8.3752027242720045E-2</v>
      </c>
      <c r="Z261" s="2375">
        <v>8.4835040954101507E-2</v>
      </c>
      <c r="AA261" s="2375">
        <v>8.348136066060198E-2</v>
      </c>
      <c r="AB261" s="2375">
        <v>7.9010110440966189E-2</v>
      </c>
      <c r="AC261" s="2375">
        <v>8.1707497681876129E-2</v>
      </c>
      <c r="AD261" s="2375">
        <v>7.8372405932585973E-2</v>
      </c>
      <c r="AE261" s="2375">
        <v>7.7956909597737933E-2</v>
      </c>
      <c r="AF261" s="2375">
        <v>7.8917209856407877E-2</v>
      </c>
      <c r="AG261" s="2375">
        <v>8.5422641362230337E-2</v>
      </c>
      <c r="AH261" s="2375">
        <v>8.7402869273831174E-2</v>
      </c>
      <c r="AI261" s="3512">
        <v>7.6892843933772534E-2</v>
      </c>
      <c r="AJ261" s="3489">
        <v>7.5432122750024741E-2</v>
      </c>
      <c r="AK261" s="2375">
        <v>7.0313107512946657E-2</v>
      </c>
      <c r="AL261" s="2375">
        <v>7.3551325771278486E-2</v>
      </c>
      <c r="AM261" s="2375">
        <v>8.371218551918308E-2</v>
      </c>
      <c r="AN261" s="2375">
        <v>9.4187639923735467E-2</v>
      </c>
      <c r="AO261" s="2684">
        <v>0.10121910349574841</v>
      </c>
      <c r="AP261" s="2684">
        <v>4.9682256273336084E-2</v>
      </c>
      <c r="AQ261" s="2684">
        <v>5.4568242368010146E-2</v>
      </c>
      <c r="AR261" s="2684">
        <v>5.8555481438656014E-2</v>
      </c>
      <c r="AS261" s="2684">
        <v>6.8503842196726464E-2</v>
      </c>
      <c r="AT261" s="2684">
        <v>8.5521417226641666E-2</v>
      </c>
    </row>
    <row r="262" spans="1:47">
      <c r="B262" s="1"/>
      <c r="D262" s="1525" t="s">
        <v>667</v>
      </c>
      <c r="E262" s="766"/>
      <c r="F262" s="448"/>
      <c r="G262" s="385"/>
      <c r="H262" s="385"/>
      <c r="I262" s="385"/>
      <c r="J262" s="385"/>
      <c r="K262" s="385"/>
      <c r="L262" s="385"/>
      <c r="M262" s="385"/>
      <c r="N262" s="385"/>
      <c r="O262" s="385"/>
      <c r="P262" s="385"/>
      <c r="Q262" s="385"/>
      <c r="R262" s="385"/>
      <c r="S262" s="385"/>
      <c r="T262" s="385"/>
      <c r="U262" s="385"/>
      <c r="V262" s="249"/>
      <c r="W262" s="385"/>
      <c r="X262" s="385"/>
      <c r="Y262" s="385"/>
      <c r="Z262" s="385"/>
      <c r="AA262" s="385"/>
      <c r="AB262" s="385"/>
      <c r="AC262" s="385"/>
      <c r="AD262" s="385"/>
      <c r="AE262" s="763"/>
      <c r="AF262" s="448"/>
    </row>
    <row r="263" spans="1:47">
      <c r="B263" s="1"/>
      <c r="D263" s="762"/>
      <c r="E263" s="766"/>
      <c r="F263" s="448"/>
      <c r="G263" s="763"/>
      <c r="H263" s="763"/>
      <c r="I263" s="763"/>
      <c r="J263" s="763"/>
      <c r="K263" s="763"/>
      <c r="L263" s="763"/>
      <c r="M263" s="763"/>
      <c r="N263" s="763"/>
      <c r="O263" s="763"/>
      <c r="P263" s="763"/>
      <c r="Q263" s="763"/>
      <c r="R263" s="763"/>
      <c r="S263" s="763"/>
      <c r="T263" s="763"/>
      <c r="U263" s="763"/>
      <c r="V263" s="764"/>
      <c r="W263" s="763"/>
      <c r="X263" s="763"/>
      <c r="Y263" s="763"/>
      <c r="Z263" s="763"/>
      <c r="AA263" s="763"/>
      <c r="AB263" s="763"/>
      <c r="AC263" s="763"/>
      <c r="AD263" s="763"/>
      <c r="AE263" s="763"/>
      <c r="AF263" s="448"/>
    </row>
    <row r="264" spans="1:47">
      <c r="A264" s="304"/>
      <c r="D264" s="2071" t="s">
        <v>346</v>
      </c>
      <c r="E264" s="2119"/>
      <c r="F264" s="2907"/>
      <c r="G264" s="57"/>
      <c r="H264" s="57"/>
      <c r="I264" s="664">
        <v>1998</v>
      </c>
      <c r="J264" s="664">
        <v>1999</v>
      </c>
      <c r="K264" s="664">
        <v>2000</v>
      </c>
      <c r="L264" s="664">
        <v>2001</v>
      </c>
      <c r="M264" s="664">
        <v>2002</v>
      </c>
      <c r="N264" s="664">
        <v>2003</v>
      </c>
      <c r="O264" s="664">
        <v>2004</v>
      </c>
      <c r="P264" s="664">
        <v>2005</v>
      </c>
      <c r="Q264" s="664">
        <v>2006</v>
      </c>
      <c r="R264" s="664">
        <v>2007</v>
      </c>
      <c r="S264" s="664">
        <v>2008</v>
      </c>
      <c r="T264" s="664">
        <v>2009</v>
      </c>
      <c r="U264" s="664">
        <v>2010</v>
      </c>
      <c r="V264" s="672" t="s">
        <v>580</v>
      </c>
      <c r="W264" s="664">
        <v>2012</v>
      </c>
      <c r="X264" s="664">
        <v>2013</v>
      </c>
      <c r="Y264" s="664">
        <v>2014</v>
      </c>
      <c r="Z264" s="664">
        <v>2015</v>
      </c>
      <c r="AA264" s="664">
        <v>2016</v>
      </c>
      <c r="AB264" s="664">
        <v>2017</v>
      </c>
      <c r="AC264" s="664">
        <v>2018</v>
      </c>
      <c r="AD264" s="664">
        <v>2019</v>
      </c>
      <c r="AE264" s="798">
        <v>2020</v>
      </c>
      <c r="AF264" s="796">
        <v>2021</v>
      </c>
      <c r="AG264" s="796">
        <v>2022</v>
      </c>
      <c r="AH264" s="796">
        <v>2023</v>
      </c>
      <c r="AI264" s="3523">
        <v>2024</v>
      </c>
      <c r="AJ264" s="796">
        <v>2025</v>
      </c>
      <c r="AK264" s="796">
        <v>2026</v>
      </c>
      <c r="AL264" s="796">
        <v>2027</v>
      </c>
      <c r="AM264" s="796">
        <v>2028</v>
      </c>
      <c r="AN264" s="796">
        <v>2029</v>
      </c>
      <c r="AO264" s="1763">
        <v>2030</v>
      </c>
      <c r="AP264" s="1763">
        <v>2031</v>
      </c>
      <c r="AQ264" s="1763">
        <v>2032</v>
      </c>
      <c r="AR264" s="1763">
        <v>2033</v>
      </c>
      <c r="AS264" s="1763">
        <v>2034</v>
      </c>
      <c r="AT264" s="1763">
        <v>2035</v>
      </c>
    </row>
    <row r="265" spans="1:47" s="2159" customFormat="1">
      <c r="A265" s="2158"/>
      <c r="B265" s="2148"/>
      <c r="C265" s="2148"/>
      <c r="D265" s="2393" t="s">
        <v>347</v>
      </c>
      <c r="E265" s="2394" t="s">
        <v>260</v>
      </c>
      <c r="F265" s="2908"/>
      <c r="G265" s="2395"/>
      <c r="H265" s="2395"/>
      <c r="I265" s="2396" t="s">
        <v>905</v>
      </c>
      <c r="J265" s="2396">
        <v>1999</v>
      </c>
      <c r="K265" s="2396">
        <v>2000</v>
      </c>
      <c r="L265" s="2396">
        <v>2001</v>
      </c>
      <c r="M265" s="2396">
        <v>2002</v>
      </c>
      <c r="N265" s="2396">
        <v>2003</v>
      </c>
      <c r="O265" s="2396">
        <v>2004</v>
      </c>
      <c r="P265" s="2396">
        <v>2005</v>
      </c>
      <c r="Q265" s="2396">
        <v>2006</v>
      </c>
      <c r="R265" s="2396">
        <v>2007</v>
      </c>
      <c r="S265" s="2396">
        <v>2008</v>
      </c>
      <c r="T265" s="2396">
        <v>2009</v>
      </c>
      <c r="U265" s="2396">
        <v>2010</v>
      </c>
      <c r="V265" s="2396">
        <v>2011</v>
      </c>
      <c r="W265" s="2396">
        <v>2012</v>
      </c>
      <c r="X265" s="2396">
        <v>2013</v>
      </c>
      <c r="Y265" s="2396">
        <v>2014</v>
      </c>
      <c r="Z265" s="2396">
        <v>2015</v>
      </c>
      <c r="AA265" s="2396">
        <v>2016</v>
      </c>
      <c r="AB265" s="2396">
        <v>2017</v>
      </c>
      <c r="AC265" s="2396">
        <v>2018</v>
      </c>
      <c r="AD265" s="2608">
        <v>2019</v>
      </c>
      <c r="AE265" s="2608">
        <v>2020</v>
      </c>
      <c r="AF265" s="2608">
        <v>2021</v>
      </c>
      <c r="AG265" s="2608">
        <v>2022</v>
      </c>
      <c r="AH265" s="2608">
        <v>2023</v>
      </c>
      <c r="AI265" s="3524">
        <v>2024</v>
      </c>
      <c r="AJ265" s="3513">
        <v>2025</v>
      </c>
      <c r="AK265" s="2608">
        <v>2026</v>
      </c>
      <c r="AL265" s="2608">
        <v>2027</v>
      </c>
      <c r="AM265" s="2608">
        <v>2028</v>
      </c>
      <c r="AN265" s="2608">
        <v>2029</v>
      </c>
      <c r="AO265" s="2608">
        <v>2030</v>
      </c>
      <c r="AP265" s="2608">
        <v>2031</v>
      </c>
      <c r="AQ265" s="2608">
        <v>2032</v>
      </c>
      <c r="AR265" s="2608">
        <v>2033</v>
      </c>
      <c r="AS265" s="2608">
        <v>2034</v>
      </c>
      <c r="AT265" s="2608">
        <v>2035</v>
      </c>
      <c r="AU265" s="1"/>
    </row>
    <row r="266" spans="1:47" s="1239" customFormat="1">
      <c r="A266" s="2820"/>
      <c r="B266" s="2573" t="s">
        <v>559</v>
      </c>
      <c r="C266" s="2821"/>
      <c r="D266" s="2822" t="s">
        <v>842</v>
      </c>
      <c r="E266" s="2823">
        <v>45922.912753819444</v>
      </c>
      <c r="F266" s="2909"/>
      <c r="G266" s="2823"/>
      <c r="H266" s="2823"/>
      <c r="I266" s="2824">
        <v>312.31409166666703</v>
      </c>
      <c r="J266" s="2824">
        <v>333.94192500000003</v>
      </c>
      <c r="K266" s="2824">
        <v>389.696216666667</v>
      </c>
      <c r="L266" s="2824">
        <v>442.99189166666702</v>
      </c>
      <c r="M266" s="2824">
        <v>475.36524166666698</v>
      </c>
      <c r="N266" s="2824">
        <v>537.65498475000004</v>
      </c>
      <c r="O266" s="2824">
        <v>577.44897458333298</v>
      </c>
      <c r="P266" s="2824">
        <v>557.82264077499997</v>
      </c>
      <c r="Q266" s="2824">
        <v>551.71033333333298</v>
      </c>
      <c r="R266" s="2824">
        <v>546.95500000000004</v>
      </c>
      <c r="S266" s="2824">
        <v>546.84865308253995</v>
      </c>
      <c r="T266" s="2824">
        <v>568.28132683333297</v>
      </c>
      <c r="U266" s="2824">
        <v>583.13090659057195</v>
      </c>
      <c r="V266" s="2824">
        <v>600.29320604267491</v>
      </c>
      <c r="W266" s="2824">
        <v>614.29431630039051</v>
      </c>
      <c r="X266" s="2824">
        <v>646.63949334820143</v>
      </c>
      <c r="Y266" s="2824">
        <v>682.43779531147175</v>
      </c>
      <c r="Z266" s="2824">
        <v>719.54</v>
      </c>
      <c r="AA266" s="2824">
        <v>787.2270116761639</v>
      </c>
      <c r="AB266" s="2824">
        <v>831.42755121763093</v>
      </c>
      <c r="AC266" s="2824">
        <v>861.08210413925633</v>
      </c>
      <c r="AD266" s="2825">
        <v>901.2008004999999</v>
      </c>
      <c r="AE266" s="2825">
        <v>945.1922248333334</v>
      </c>
      <c r="AF266" s="2825">
        <v>990.36278749999985</v>
      </c>
      <c r="AG266" s="2825">
        <v>1032.9918769999999</v>
      </c>
      <c r="AH266" s="2825">
        <v>1168.1139727499999</v>
      </c>
      <c r="AI266" s="3525">
        <v>1322.7254919166669</v>
      </c>
      <c r="AJ266" s="2829">
        <v>1419.0039444429485</v>
      </c>
      <c r="AK266" s="2825">
        <v>1486.3951837247382</v>
      </c>
      <c r="AL266" s="2825">
        <v>1544.8855446604221</v>
      </c>
      <c r="AM266" s="2825">
        <v>1593.8580817454642</v>
      </c>
      <c r="AN266" s="2825">
        <v>1635.9113309178342</v>
      </c>
      <c r="AO266" s="2825">
        <v>1676.8091141907798</v>
      </c>
      <c r="AP266" s="2825">
        <v>1718.7293420455494</v>
      </c>
      <c r="AQ266" s="2825">
        <v>1761.6975755966878</v>
      </c>
      <c r="AR266" s="2825">
        <v>1805.7400149866048</v>
      </c>
      <c r="AS266" s="2825">
        <v>1850.8835153612699</v>
      </c>
      <c r="AT266" s="2825">
        <v>1897.1556032453016</v>
      </c>
    </row>
    <row r="267" spans="1:47" s="1239" customFormat="1">
      <c r="A267" s="2820"/>
      <c r="B267" s="2573"/>
      <c r="C267" s="2821"/>
      <c r="D267" s="2822" t="s">
        <v>843</v>
      </c>
      <c r="E267" s="2823"/>
      <c r="F267" s="2909"/>
      <c r="G267" s="2823"/>
      <c r="H267" s="2823"/>
      <c r="I267" s="2826">
        <v>320.33839999999998</v>
      </c>
      <c r="J267" s="2824">
        <v>349.53019999999998</v>
      </c>
      <c r="K267" s="2824">
        <v>430.48599999999999</v>
      </c>
      <c r="L267" s="2824">
        <v>457.9</v>
      </c>
      <c r="M267" s="2824">
        <v>511.85379999999998</v>
      </c>
      <c r="N267" s="2824">
        <v>580.28</v>
      </c>
      <c r="O267" s="2824">
        <v>566.86</v>
      </c>
      <c r="P267" s="2824">
        <v>553.71870000000001</v>
      </c>
      <c r="Q267" s="2824">
        <v>548.65</v>
      </c>
      <c r="R267" s="2824">
        <v>544.22027800000001</v>
      </c>
      <c r="S267" s="2827">
        <v>558.89750000000004</v>
      </c>
      <c r="T267" s="2824">
        <v>571.24</v>
      </c>
      <c r="U267" s="2824">
        <v>594.45000000000005</v>
      </c>
      <c r="V267" s="2824">
        <v>604.14</v>
      </c>
      <c r="W267" s="2824">
        <v>631.41</v>
      </c>
      <c r="X267" s="2824">
        <v>670.08</v>
      </c>
      <c r="Y267" s="2824">
        <v>694.37</v>
      </c>
      <c r="Z267" s="2824">
        <v>747.40679999999998</v>
      </c>
      <c r="AA267" s="2824">
        <v>819.78899999999999</v>
      </c>
      <c r="AB267" s="2824">
        <v>844.99699999999996</v>
      </c>
      <c r="AC267" s="2828">
        <v>879.10087399999998</v>
      </c>
      <c r="AD267" s="3161">
        <v>922.51743799999997</v>
      </c>
      <c r="AE267" s="2829">
        <v>972.47503600000005</v>
      </c>
      <c r="AF267" s="2829">
        <v>1009.6</v>
      </c>
      <c r="AG267" s="2829">
        <v>1070.712397</v>
      </c>
      <c r="AH267" s="2829">
        <v>1263.9309539999999</v>
      </c>
      <c r="AI267" s="3526">
        <v>1382.9873419999999</v>
      </c>
      <c r="AJ267" s="2829">
        <v>1455.0205468858974</v>
      </c>
      <c r="AK267" s="2829">
        <v>1517.7698205635791</v>
      </c>
      <c r="AL267" s="2829">
        <v>1572.0012687572651</v>
      </c>
      <c r="AM267" s="2829">
        <v>1615.7148947336634</v>
      </c>
      <c r="AN267" s="2829">
        <v>1656.1077671020048</v>
      </c>
      <c r="AO267" s="2829">
        <v>1697.5104612795549</v>
      </c>
      <c r="AP267" s="2829">
        <v>1739.9482228115437</v>
      </c>
      <c r="AQ267" s="2829">
        <v>1783.4469283818321</v>
      </c>
      <c r="AR267" s="2829">
        <v>1828.0331015913778</v>
      </c>
      <c r="AS267" s="2829">
        <v>1873.7339291311621</v>
      </c>
      <c r="AT267" s="2829">
        <v>1920.577277359441</v>
      </c>
    </row>
    <row r="268" spans="1:47" s="1239" customFormat="1">
      <c r="A268" s="2820"/>
      <c r="B268" s="2573"/>
      <c r="C268" s="2821"/>
      <c r="D268" s="2822" t="s">
        <v>262</v>
      </c>
      <c r="E268" s="2823" t="s">
        <v>1699</v>
      </c>
      <c r="F268" s="2909"/>
      <c r="G268" s="2823"/>
      <c r="H268" s="2823"/>
      <c r="I268" s="2826"/>
      <c r="J268" s="2824"/>
      <c r="K268" s="2824"/>
      <c r="L268" s="2824"/>
      <c r="M268" s="2824"/>
      <c r="N268" s="2824"/>
      <c r="O268" s="2824"/>
      <c r="P268" s="2824"/>
      <c r="Q268" s="2824"/>
      <c r="R268" s="2824"/>
      <c r="S268" s="2827"/>
      <c r="T268" s="2824"/>
      <c r="U268" s="2824"/>
      <c r="V268" s="2824">
        <v>604.14</v>
      </c>
      <c r="W268" s="2824">
        <v>604.14</v>
      </c>
      <c r="X268" s="2824">
        <v>604.1</v>
      </c>
      <c r="Y268" s="2830">
        <v>670.1</v>
      </c>
      <c r="Z268" s="2830">
        <v>694.37</v>
      </c>
      <c r="AA268" s="2830">
        <v>807.2</v>
      </c>
      <c r="AB268" s="2830">
        <v>844.99699999999996</v>
      </c>
      <c r="AC268" s="2830">
        <v>879.10087399999998</v>
      </c>
      <c r="AD268" s="2831">
        <v>922.51743799999997</v>
      </c>
      <c r="AE268" s="2831">
        <v>937.07716100000005</v>
      </c>
      <c r="AF268" s="2831">
        <v>987.13989600000002</v>
      </c>
      <c r="AG268" s="2831">
        <v>1024.4824060000001</v>
      </c>
      <c r="AH268" s="2831">
        <v>1164.5544950000001</v>
      </c>
      <c r="AI268" s="3527">
        <v>1164.5544950000001</v>
      </c>
      <c r="AJ268" s="3514">
        <v>1164.5544950000001</v>
      </c>
      <c r="AK268" s="2831">
        <v>1164.5544950000001</v>
      </c>
      <c r="AL268" s="2831">
        <v>1164.5544950000001</v>
      </c>
      <c r="AM268" s="2831">
        <v>1164.5544950000001</v>
      </c>
      <c r="AN268" s="2831">
        <v>1164.5544950000001</v>
      </c>
      <c r="AO268" s="2831">
        <v>1164.5544950000001</v>
      </c>
      <c r="AP268" s="2831">
        <v>1164.5544950000001</v>
      </c>
      <c r="AQ268" s="2831">
        <v>1164.5544950000001</v>
      </c>
      <c r="AR268" s="2831">
        <v>1164.5544950000001</v>
      </c>
      <c r="AS268" s="2831">
        <v>1164.5544950000001</v>
      </c>
      <c r="AT268" s="2831">
        <v>1164.5544950000001</v>
      </c>
    </row>
    <row r="269" spans="1:47" s="1239" customFormat="1">
      <c r="A269" s="2820"/>
      <c r="B269" s="2573"/>
      <c r="C269" s="2821"/>
      <c r="D269" s="2832" t="s">
        <v>844</v>
      </c>
      <c r="E269" s="2823"/>
      <c r="F269" s="2909"/>
      <c r="G269" s="2823"/>
      <c r="H269" s="2823"/>
      <c r="I269" s="2826"/>
      <c r="J269" s="2824"/>
      <c r="K269" s="2824"/>
      <c r="L269" s="2824"/>
      <c r="M269" s="2824"/>
      <c r="N269" s="2824"/>
      <c r="O269" s="2824"/>
      <c r="P269" s="2824"/>
      <c r="Q269" s="2824"/>
      <c r="R269" s="2824"/>
      <c r="S269" s="2827"/>
      <c r="T269" s="2824"/>
      <c r="U269" s="2824"/>
      <c r="V269" s="2833">
        <v>595.00815743287831</v>
      </c>
      <c r="W269" s="2833">
        <v>604.02286436978932</v>
      </c>
      <c r="X269" s="2833">
        <v>629.03578330305425</v>
      </c>
      <c r="Y269" s="2833">
        <v>667.12013173404773</v>
      </c>
      <c r="Z269" s="2833">
        <v>688.8</v>
      </c>
      <c r="AA269" s="2833">
        <v>749.6392051420986</v>
      </c>
      <c r="AB269" s="2833">
        <v>817.95751141666676</v>
      </c>
      <c r="AC269" s="2833">
        <v>846.28291674999991</v>
      </c>
      <c r="AD269" s="2834">
        <v>880.72263841666665</v>
      </c>
      <c r="AE269" s="2834">
        <v>921.71570749999989</v>
      </c>
      <c r="AF269" s="2834">
        <v>969.96516758333337</v>
      </c>
      <c r="AG269" s="2834">
        <v>1008.0094528181818</v>
      </c>
      <c r="AH269" s="2834">
        <v>1081.0623201800001</v>
      </c>
      <c r="AI269" s="3528">
        <v>1256.9432939166666</v>
      </c>
      <c r="AJ269" s="3515">
        <v>1370.8647181798078</v>
      </c>
      <c r="AK269" s="2834">
        <v>1452.6995640838434</v>
      </c>
      <c r="AL269" s="2834">
        <v>1515.6403641925801</v>
      </c>
      <c r="AM269" s="2834">
        <v>1569.371813202943</v>
      </c>
      <c r="AN269" s="2834">
        <v>1614.8847063316493</v>
      </c>
      <c r="AO269" s="2834">
        <v>1656.360222554307</v>
      </c>
      <c r="AP269" s="2834">
        <v>1697.7692281181646</v>
      </c>
      <c r="AQ269" s="2834">
        <v>1740.2134588211186</v>
      </c>
      <c r="AR269" s="2834">
        <v>1783.7187952916463</v>
      </c>
      <c r="AS269" s="2834">
        <v>1828.3117651739374</v>
      </c>
      <c r="AT269" s="2834">
        <v>1874.0195593032859</v>
      </c>
    </row>
    <row r="270" spans="1:47" s="1892" customFormat="1">
      <c r="A270" s="1893"/>
      <c r="B270" s="2573"/>
      <c r="C270" s="2835"/>
      <c r="D270" s="2836" t="s">
        <v>1700</v>
      </c>
      <c r="E270" s="2837" t="s">
        <v>1701</v>
      </c>
      <c r="F270" s="2909"/>
      <c r="G270" s="2823"/>
      <c r="H270" s="2823"/>
      <c r="I270" s="2824">
        <v>1169.4015942600829</v>
      </c>
      <c r="J270" s="2824">
        <v>1186.6615942600829</v>
      </c>
      <c r="K270" s="2824">
        <v>1200.700194260083</v>
      </c>
      <c r="L270" s="2824">
        <v>1198.8781942600831</v>
      </c>
      <c r="M270" s="2824">
        <v>1185.6181942600831</v>
      </c>
      <c r="N270" s="2824">
        <v>1172.7981942600832</v>
      </c>
      <c r="O270" s="2824">
        <v>1208.4931942600831</v>
      </c>
      <c r="P270" s="2824">
        <v>1100.5552628315118</v>
      </c>
      <c r="Q270" s="2824">
        <v>981.39626283151165</v>
      </c>
      <c r="R270" s="2824">
        <v>899.87561632175561</v>
      </c>
      <c r="S270" s="2824">
        <v>789.20526816999995</v>
      </c>
      <c r="T270" s="2824">
        <v>734.9</v>
      </c>
      <c r="U270" s="2824">
        <v>813</v>
      </c>
      <c r="V270" s="2824">
        <v>1049.79</v>
      </c>
      <c r="W270" s="2824">
        <v>843.45</v>
      </c>
      <c r="X270" s="2824">
        <v>1070.3800000000001</v>
      </c>
      <c r="Y270" s="2838">
        <v>950.78992467992578</v>
      </c>
      <c r="Z270" s="2838">
        <v>922.25545713525753</v>
      </c>
      <c r="AA270" s="2838">
        <v>1001.4782706281737</v>
      </c>
      <c r="AB270" s="2838">
        <v>1165.5980080402653</v>
      </c>
      <c r="AC270" s="2838">
        <v>1319.089728493643</v>
      </c>
      <c r="AD270" s="2839">
        <v>1440.415720358448</v>
      </c>
      <c r="AE270" s="2839">
        <v>1722.1086335583839</v>
      </c>
      <c r="AF270" s="2839">
        <v>1888.7181755150552</v>
      </c>
      <c r="AG270" s="2839">
        <v>1746.5639654866159</v>
      </c>
      <c r="AH270" s="2839">
        <v>1853.1125870345604</v>
      </c>
      <c r="AI270" s="3529">
        <v>2412.5872591572861</v>
      </c>
      <c r="AJ270" s="3516">
        <v>2118.0043254474494</v>
      </c>
      <c r="AK270" s="2839">
        <v>2319.0963854652568</v>
      </c>
      <c r="AL270" s="2839">
        <v>2180.2472840604</v>
      </c>
      <c r="AM270" s="2839">
        <v>1818.069117331263</v>
      </c>
      <c r="AN270" s="2839">
        <v>1174.1592647142438</v>
      </c>
      <c r="AO270" s="2839">
        <v>439.31017946353859</v>
      </c>
      <c r="AP270" s="2839">
        <v>316.1966499132941</v>
      </c>
      <c r="AQ270" s="2839">
        <v>19.510297368525784</v>
      </c>
      <c r="AR270" s="2839">
        <v>-131.92362183286005</v>
      </c>
      <c r="AS270" s="2839">
        <v>-16.779655498059071</v>
      </c>
      <c r="AT270" s="2839">
        <v>299.06676376750966</v>
      </c>
    </row>
    <row r="271" spans="1:47" s="1892" customFormat="1">
      <c r="A271" s="1893"/>
      <c r="B271" s="2573"/>
      <c r="C271" s="2835"/>
      <c r="D271" s="2836" t="s">
        <v>1702</v>
      </c>
      <c r="E271" s="2837" t="s">
        <v>847</v>
      </c>
      <c r="F271" s="2909">
        <v>0</v>
      </c>
      <c r="G271" s="2823">
        <v>0</v>
      </c>
      <c r="H271" s="2823">
        <v>0</v>
      </c>
      <c r="I271" s="2824">
        <v>0</v>
      </c>
      <c r="J271" s="2824">
        <v>0</v>
      </c>
      <c r="K271" s="2824">
        <v>0</v>
      </c>
      <c r="L271" s="2824">
        <v>0</v>
      </c>
      <c r="M271" s="2824">
        <v>0</v>
      </c>
      <c r="N271" s="2824">
        <v>0</v>
      </c>
      <c r="O271" s="2824">
        <v>0</v>
      </c>
      <c r="P271" s="2824">
        <v>0</v>
      </c>
      <c r="Q271" s="2824">
        <v>0</v>
      </c>
      <c r="R271" s="2824">
        <v>0</v>
      </c>
      <c r="S271" s="2824">
        <v>0</v>
      </c>
      <c r="T271" s="2824">
        <v>0</v>
      </c>
      <c r="U271" s="2824">
        <v>0</v>
      </c>
      <c r="V271" s="2824">
        <v>0</v>
      </c>
      <c r="W271" s="2824">
        <v>0</v>
      </c>
      <c r="X271" s="2824">
        <v>0</v>
      </c>
      <c r="Y271" s="2838"/>
      <c r="Z271" s="2838"/>
      <c r="AA271" s="2838"/>
      <c r="AB271" s="2838"/>
      <c r="AC271" s="2838"/>
      <c r="AD271" s="2839"/>
      <c r="AE271" s="2839"/>
      <c r="AF271" s="2839">
        <v>1868.3072558359484</v>
      </c>
      <c r="AG271" s="2839">
        <v>1726.8925447325325</v>
      </c>
      <c r="AH271" s="2839">
        <v>1834.314846347216</v>
      </c>
      <c r="AI271" s="3529">
        <v>2406.9842956458529</v>
      </c>
      <c r="AJ271" s="3516">
        <v>2112.4013619360162</v>
      </c>
      <c r="AK271" s="2839">
        <v>2313.4934219538236</v>
      </c>
      <c r="AL271" s="2839">
        <v>2174.6443205489668</v>
      </c>
      <c r="AM271" s="2839">
        <v>1812.4661538198297</v>
      </c>
      <c r="AN271" s="2839">
        <v>1168.5563012028106</v>
      </c>
      <c r="AO271" s="2839">
        <v>806.37813447367353</v>
      </c>
      <c r="AP271" s="2839">
        <v>444.19996774453648</v>
      </c>
      <c r="AQ271" s="2839">
        <v>82.021801015399433</v>
      </c>
      <c r="AR271" s="2839">
        <v>82.021801015399433</v>
      </c>
      <c r="AS271" s="2839">
        <v>82.021801015399433</v>
      </c>
      <c r="AT271" s="2839">
        <v>82.021801015399433</v>
      </c>
    </row>
    <row r="272" spans="1:47" s="1892" customFormat="1">
      <c r="A272" s="1893"/>
      <c r="B272" s="2573"/>
      <c r="C272" s="2821"/>
      <c r="D272" s="2840" t="s">
        <v>665</v>
      </c>
      <c r="E272" s="2837"/>
      <c r="F272" s="2909"/>
      <c r="G272" s="2823"/>
      <c r="H272" s="2823"/>
      <c r="I272" s="2826"/>
      <c r="J272" s="2824"/>
      <c r="K272" s="2824"/>
      <c r="L272" s="2824"/>
      <c r="M272" s="2824"/>
      <c r="N272" s="2824"/>
      <c r="O272" s="2824"/>
      <c r="P272" s="2824"/>
      <c r="Q272" s="2824"/>
      <c r="R272" s="2824"/>
      <c r="S272" s="2827"/>
      <c r="T272" s="2824"/>
      <c r="U272" s="2824"/>
      <c r="V272" s="2824"/>
      <c r="W272" s="2824"/>
      <c r="X272" s="2824"/>
      <c r="Y272" s="2824"/>
      <c r="Z272" s="2824"/>
      <c r="AA272" s="2824">
        <v>728.87723538726073</v>
      </c>
      <c r="AB272" s="2841">
        <v>737.93207155862012</v>
      </c>
      <c r="AC272" s="2841">
        <v>749.30837457832922</v>
      </c>
      <c r="AD272" s="3162">
        <v>981.34999999999991</v>
      </c>
      <c r="AE272" s="2825"/>
      <c r="AF272" s="2825"/>
      <c r="AG272" s="2825"/>
      <c r="AH272" s="2825"/>
      <c r="AI272" s="3525"/>
      <c r="AJ272" s="2829"/>
      <c r="AK272" s="2825"/>
      <c r="AL272" s="2825"/>
      <c r="AM272" s="2825"/>
      <c r="AN272" s="2825"/>
      <c r="AO272" s="2825"/>
      <c r="AP272" s="2825"/>
      <c r="AQ272" s="2825"/>
      <c r="AR272" s="2825"/>
      <c r="AS272" s="2825"/>
      <c r="AT272" s="2825"/>
    </row>
    <row r="273" spans="1:46" s="1892" customFormat="1">
      <c r="A273" s="1893"/>
      <c r="B273" s="2573"/>
      <c r="C273" s="2821"/>
      <c r="D273" s="2836" t="s">
        <v>1529</v>
      </c>
      <c r="E273" s="2837"/>
      <c r="F273" s="2909"/>
      <c r="G273" s="2842"/>
      <c r="H273" s="2842"/>
      <c r="I273" s="2826"/>
      <c r="J273" s="2843"/>
      <c r="K273" s="2843"/>
      <c r="L273" s="2843"/>
      <c r="M273" s="2843"/>
      <c r="N273" s="2843"/>
      <c r="O273" s="2843"/>
      <c r="P273" s="2843"/>
      <c r="Q273" s="2843"/>
      <c r="R273" s="2843"/>
      <c r="S273" s="2827"/>
      <c r="T273" s="2843"/>
      <c r="U273" s="2843"/>
      <c r="V273" s="2843"/>
      <c r="W273" s="2843">
        <v>719.29000000000008</v>
      </c>
      <c r="X273" s="2843">
        <v>947.31000000000017</v>
      </c>
      <c r="Y273" s="2844">
        <v>843.49842303094897</v>
      </c>
      <c r="Z273" s="2844">
        <v>814.95110828534075</v>
      </c>
      <c r="AA273" s="2844">
        <v>789.40267407796387</v>
      </c>
      <c r="AB273" s="2844">
        <v>862.22281914502435</v>
      </c>
      <c r="AC273" s="2845">
        <v>1012.8881030719722</v>
      </c>
      <c r="AD273" s="2846">
        <v>1102.1798561196049</v>
      </c>
      <c r="AE273" s="2846">
        <v>1190.1749764178503</v>
      </c>
      <c r="AF273" s="2846">
        <v>1179.9149477951</v>
      </c>
      <c r="AG273" s="2846">
        <v>1105.1685712386495</v>
      </c>
      <c r="AH273" s="2846">
        <v>1000.7019248174623</v>
      </c>
      <c r="AI273" s="3530">
        <v>1295.559468086243</v>
      </c>
      <c r="AJ273" s="3517">
        <v>989.37680032063099</v>
      </c>
      <c r="AK273" s="2846">
        <v>1218.8595702760263</v>
      </c>
      <c r="AL273" s="2846">
        <v>1132.3082939234118</v>
      </c>
      <c r="AM273" s="2846">
        <v>862.95619932093962</v>
      </c>
      <c r="AN273" s="2846">
        <v>323.41518895568709</v>
      </c>
      <c r="AO273" s="2846">
        <v>-339.00902796901039</v>
      </c>
      <c r="AP273" s="2846">
        <v>-401.92609272894902</v>
      </c>
      <c r="AQ273" s="2846">
        <v>-633.98663887569944</v>
      </c>
      <c r="AR273" s="2846">
        <v>-786.75381237148929</v>
      </c>
      <c r="AS273" s="2846">
        <v>-653.45720534777206</v>
      </c>
      <c r="AT273" s="2846">
        <v>-305.31226200330946</v>
      </c>
    </row>
    <row r="274" spans="1:46" s="1892" customFormat="1">
      <c r="A274" s="1893"/>
      <c r="B274" s="2573"/>
      <c r="C274" s="2821"/>
      <c r="D274" s="2836" t="s">
        <v>845</v>
      </c>
      <c r="E274" s="2837"/>
      <c r="F274" s="2909"/>
      <c r="G274" s="2842"/>
      <c r="H274" s="2842"/>
      <c r="I274" s="2826"/>
      <c r="J274" s="2843"/>
      <c r="K274" s="2843"/>
      <c r="L274" s="2843"/>
      <c r="M274" s="2843"/>
      <c r="N274" s="2843"/>
      <c r="O274" s="2843"/>
      <c r="P274" s="2843"/>
      <c r="Q274" s="2843"/>
      <c r="R274" s="2843"/>
      <c r="S274" s="2827"/>
      <c r="T274" s="2843"/>
      <c r="U274" s="2843"/>
      <c r="V274" s="2843"/>
      <c r="W274" s="2843"/>
      <c r="X274" s="2843"/>
      <c r="Y274" s="2844">
        <v>107.29150164897678</v>
      </c>
      <c r="Z274" s="2844">
        <v>107.30434884991681</v>
      </c>
      <c r="AA274" s="2844">
        <v>212.07559655020987</v>
      </c>
      <c r="AB274" s="2844">
        <v>291.63215187875431</v>
      </c>
      <c r="AC274" s="2844">
        <v>306.20162542167071</v>
      </c>
      <c r="AD274" s="2847">
        <v>338.23586423884308</v>
      </c>
      <c r="AE274" s="2847">
        <v>531.93365714053346</v>
      </c>
      <c r="AF274" s="2847">
        <v>708.80322771995509</v>
      </c>
      <c r="AG274" s="2847">
        <v>641.39539424796635</v>
      </c>
      <c r="AH274" s="2847">
        <v>852.41066221709809</v>
      </c>
      <c r="AI274" s="3529">
        <v>1117.0277910710431</v>
      </c>
      <c r="AJ274" s="3516">
        <v>1128.6275251268185</v>
      </c>
      <c r="AK274" s="2847">
        <v>1100.2368151892306</v>
      </c>
      <c r="AL274" s="2847">
        <v>1047.9389901369882</v>
      </c>
      <c r="AM274" s="2847">
        <v>955.11291801032337</v>
      </c>
      <c r="AN274" s="2847">
        <v>850.74407575855673</v>
      </c>
      <c r="AO274" s="2847">
        <v>778.31920743254898</v>
      </c>
      <c r="AP274" s="2847">
        <v>718.12274264224311</v>
      </c>
      <c r="AQ274" s="2847">
        <v>653.49693624422525</v>
      </c>
      <c r="AR274" s="2847">
        <v>654.83019053862927</v>
      </c>
      <c r="AS274" s="2847">
        <v>636.67754984971293</v>
      </c>
      <c r="AT274" s="2847">
        <v>604.37902577081911</v>
      </c>
    </row>
    <row r="275" spans="1:46" ht="16.75" thickBot="1">
      <c r="C275" s="346"/>
      <c r="D275" s="2402" t="s">
        <v>1703</v>
      </c>
      <c r="E275" s="2396"/>
      <c r="F275" s="2908"/>
      <c r="G275" s="2403"/>
      <c r="H275" s="2403"/>
      <c r="I275" s="2399"/>
      <c r="J275" s="2404"/>
      <c r="K275" s="2404"/>
      <c r="L275" s="2404"/>
      <c r="M275" s="2404"/>
      <c r="N275" s="2404"/>
      <c r="O275" s="2404"/>
      <c r="P275" s="2404"/>
      <c r="Q275" s="2404"/>
      <c r="R275" s="2404"/>
      <c r="S275" s="2400"/>
      <c r="T275" s="2404"/>
      <c r="U275" s="2404"/>
      <c r="V275" s="2404"/>
      <c r="W275" s="2404"/>
      <c r="X275" s="2404"/>
      <c r="Y275" s="2405"/>
      <c r="Z275" s="2405"/>
      <c r="AA275" s="2405"/>
      <c r="AB275" s="2405">
        <v>11.743037016486682</v>
      </c>
      <c r="AC275" s="2405">
        <v>-1.0427206202479973</v>
      </c>
      <c r="AD275" s="2611">
        <v>-7.5063553069316287</v>
      </c>
      <c r="AE275" s="2611">
        <v>2.4381026241233452</v>
      </c>
      <c r="AF275" s="2611">
        <v>11.474810384958761</v>
      </c>
      <c r="AG275" s="2611">
        <v>-42.281232101911584</v>
      </c>
      <c r="AH275" s="2611">
        <v>-1.471355307212741</v>
      </c>
      <c r="AI275" s="3531">
        <v>-3.9250249059445697</v>
      </c>
      <c r="AJ275" s="3166">
        <v>19.66905351137644</v>
      </c>
      <c r="AK275" s="3163">
        <v>18.358462753013296</v>
      </c>
      <c r="AL275" s="2610">
        <v>1.9865156386544731</v>
      </c>
      <c r="AM275" s="2610">
        <v>2.5066143262162481</v>
      </c>
      <c r="AN275" s="2610">
        <v>1.3453805267624874</v>
      </c>
      <c r="AO275" s="2610">
        <v>1.6835638560916415</v>
      </c>
      <c r="AP275" s="2610">
        <v>1.5358832028200349</v>
      </c>
      <c r="AQ275" s="2610">
        <v>1.4131373359603601</v>
      </c>
      <c r="AR275" s="2610">
        <v>1.3529316293015172</v>
      </c>
      <c r="AS275" s="2610">
        <v>1.355650251644041</v>
      </c>
      <c r="AT275" s="2610">
        <v>1.3186354265224158</v>
      </c>
    </row>
    <row r="276" spans="1:46">
      <c r="C276" s="346"/>
      <c r="D276" s="2402" t="s">
        <v>1530</v>
      </c>
      <c r="E276" s="2396"/>
      <c r="F276" s="2908"/>
      <c r="G276" s="2403"/>
      <c r="H276" s="2403"/>
      <c r="I276" s="2399"/>
      <c r="J276" s="2404"/>
      <c r="K276" s="2404"/>
      <c r="L276" s="2404"/>
      <c r="M276" s="2404"/>
      <c r="N276" s="2404"/>
      <c r="O276" s="2404"/>
      <c r="P276" s="2404"/>
      <c r="Q276" s="2404"/>
      <c r="R276" s="2404"/>
      <c r="S276" s="2400"/>
      <c r="T276" s="2404"/>
      <c r="U276" s="2404"/>
      <c r="V276" s="2404"/>
      <c r="W276" s="2404"/>
      <c r="X276" s="2404"/>
      <c r="Y276" s="2405"/>
      <c r="Z276" s="2405"/>
      <c r="AA276" s="2405"/>
      <c r="AB276" s="2405"/>
      <c r="AC276" s="2405"/>
      <c r="AD276" s="2611"/>
      <c r="AE276" s="2611"/>
      <c r="AF276" s="2611"/>
      <c r="AG276" s="3164"/>
      <c r="AH276" s="3165">
        <v>86.380065853388274</v>
      </c>
      <c r="AI276" s="3532">
        <v>76.058250146778974</v>
      </c>
      <c r="AJ276" s="3166"/>
      <c r="AK276" s="2609"/>
      <c r="AL276" s="2609"/>
      <c r="AM276" s="2609"/>
      <c r="AN276" s="2609"/>
      <c r="AO276" s="2609"/>
      <c r="AP276" s="2609"/>
      <c r="AQ276" s="2609"/>
      <c r="AR276" s="2609"/>
      <c r="AS276" s="2609"/>
      <c r="AT276" s="2609"/>
    </row>
    <row r="277" spans="1:46" ht="16.75" thickBot="1">
      <c r="C277" s="346"/>
      <c r="D277" s="2402" t="s">
        <v>1531</v>
      </c>
      <c r="E277" s="2396"/>
      <c r="F277" s="2908"/>
      <c r="G277" s="2395"/>
      <c r="H277" s="2395"/>
      <c r="I277" s="2399"/>
      <c r="J277" s="2397"/>
      <c r="K277" s="2397"/>
      <c r="L277" s="2397"/>
      <c r="M277" s="2397"/>
      <c r="N277" s="2397"/>
      <c r="O277" s="2397"/>
      <c r="P277" s="2397"/>
      <c r="Q277" s="2397"/>
      <c r="R277" s="2397"/>
      <c r="S277" s="2400"/>
      <c r="T277" s="2397"/>
      <c r="U277" s="2397"/>
      <c r="V277" s="2397"/>
      <c r="W277" s="2397"/>
      <c r="X277" s="2397"/>
      <c r="Y277" s="2398"/>
      <c r="Z277" s="2398"/>
      <c r="AA277" s="2398"/>
      <c r="AB277" s="2398"/>
      <c r="AC277" s="2398"/>
      <c r="AD277" s="2609"/>
      <c r="AE277" s="2609"/>
      <c r="AF277" s="2609"/>
      <c r="AG277" s="3164"/>
      <c r="AH277" s="3167">
        <v>43.190032926694137</v>
      </c>
      <c r="AI277" s="3533">
        <v>95.072812683473714</v>
      </c>
      <c r="AJ277" s="3166"/>
      <c r="AK277" s="2609"/>
      <c r="AL277" s="2609"/>
      <c r="AM277" s="2609"/>
      <c r="AN277" s="2609"/>
      <c r="AO277" s="2609"/>
      <c r="AP277" s="2609"/>
      <c r="AQ277" s="2609"/>
      <c r="AR277" s="2609"/>
      <c r="AS277" s="2609"/>
      <c r="AT277" s="2609"/>
    </row>
    <row r="278" spans="1:46">
      <c r="C278" s="346"/>
      <c r="D278" s="2402" t="s">
        <v>1532</v>
      </c>
      <c r="E278" s="2396"/>
      <c r="F278" s="2908"/>
      <c r="G278" s="2395"/>
      <c r="H278" s="2395"/>
      <c r="I278" s="2399"/>
      <c r="J278" s="2397"/>
      <c r="K278" s="2397"/>
      <c r="L278" s="2397"/>
      <c r="M278" s="2397"/>
      <c r="N278" s="2397"/>
      <c r="O278" s="2397"/>
      <c r="P278" s="2397"/>
      <c r="Q278" s="2397"/>
      <c r="R278" s="2397"/>
      <c r="S278" s="2400"/>
      <c r="T278" s="2397"/>
      <c r="U278" s="2397"/>
      <c r="V278" s="2397"/>
      <c r="W278" s="2397"/>
      <c r="X278" s="2397"/>
      <c r="Y278" s="2398"/>
      <c r="Z278" s="2398"/>
      <c r="AA278" s="2398"/>
      <c r="AB278" s="2398"/>
      <c r="AC278" s="2398"/>
      <c r="AD278" s="2609"/>
      <c r="AE278" s="2609"/>
      <c r="AF278" s="2609"/>
      <c r="AG278" s="3164"/>
      <c r="AH278" s="3165">
        <v>0</v>
      </c>
      <c r="AI278" s="3532">
        <v>88.291926585437508</v>
      </c>
      <c r="AJ278" s="3166"/>
      <c r="AK278" s="2609"/>
      <c r="AL278" s="2609"/>
      <c r="AM278" s="2609"/>
      <c r="AN278" s="2609"/>
      <c r="AO278" s="2609"/>
      <c r="AP278" s="2609"/>
      <c r="AQ278" s="2609"/>
      <c r="AR278" s="2609"/>
      <c r="AS278" s="2609"/>
      <c r="AT278" s="2609"/>
    </row>
    <row r="279" spans="1:46" ht="16.75" thickBot="1">
      <c r="C279" s="346"/>
      <c r="D279" s="2402" t="s">
        <v>1533</v>
      </c>
      <c r="E279" s="2396"/>
      <c r="F279" s="2908"/>
      <c r="G279" s="2395"/>
      <c r="H279" s="2395"/>
      <c r="I279" s="2399"/>
      <c r="J279" s="2397"/>
      <c r="K279" s="2397"/>
      <c r="L279" s="2397"/>
      <c r="M279" s="2397"/>
      <c r="N279" s="2397"/>
      <c r="O279" s="2397"/>
      <c r="P279" s="2397"/>
      <c r="Q279" s="2397"/>
      <c r="R279" s="2397"/>
      <c r="S279" s="2400"/>
      <c r="T279" s="2397"/>
      <c r="U279" s="2397"/>
      <c r="V279" s="2397"/>
      <c r="W279" s="2397"/>
      <c r="X279" s="2397"/>
      <c r="Y279" s="2398"/>
      <c r="Z279" s="2398"/>
      <c r="AA279" s="2398"/>
      <c r="AB279" s="2398"/>
      <c r="AC279" s="2398"/>
      <c r="AD279" s="2609"/>
      <c r="AE279" s="2609"/>
      <c r="AF279" s="2609"/>
      <c r="AG279" s="3164"/>
      <c r="AH279" s="3167">
        <v>77.971607681062494</v>
      </c>
      <c r="AI279" s="3533">
        <v>88.291926585437508</v>
      </c>
      <c r="AJ279" s="3166"/>
      <c r="AK279" s="2609"/>
      <c r="AL279" s="2609"/>
      <c r="AM279" s="2609"/>
      <c r="AN279" s="2609"/>
      <c r="AO279" s="2609"/>
      <c r="AP279" s="2609"/>
      <c r="AQ279" s="2609"/>
      <c r="AR279" s="2609"/>
      <c r="AS279" s="2609"/>
      <c r="AT279" s="2609"/>
    </row>
    <row r="280" spans="1:46">
      <c r="C280" s="346"/>
      <c r="D280" s="2402" t="s">
        <v>1534</v>
      </c>
      <c r="E280" s="2396"/>
      <c r="F280" s="2908"/>
      <c r="G280" s="2395"/>
      <c r="H280" s="2395"/>
      <c r="I280" s="2399"/>
      <c r="J280" s="2397"/>
      <c r="K280" s="2397"/>
      <c r="L280" s="2397"/>
      <c r="M280" s="2397"/>
      <c r="N280" s="2397"/>
      <c r="O280" s="2397"/>
      <c r="P280" s="2397"/>
      <c r="Q280" s="2397"/>
      <c r="R280" s="2397"/>
      <c r="S280" s="2400"/>
      <c r="T280" s="2397"/>
      <c r="U280" s="2397"/>
      <c r="V280" s="2397"/>
      <c r="W280" s="2397"/>
      <c r="X280" s="2397"/>
      <c r="Y280" s="2398"/>
      <c r="Z280" s="2398"/>
      <c r="AA280" s="2398"/>
      <c r="AB280" s="2398"/>
      <c r="AC280" s="2398"/>
      <c r="AD280" s="2609"/>
      <c r="AE280" s="2609"/>
      <c r="AF280" s="2609"/>
      <c r="AG280" s="2609"/>
      <c r="AH280" s="3165">
        <v>0</v>
      </c>
      <c r="AI280" s="3532">
        <v>17.658385317087504</v>
      </c>
      <c r="AJ280" s="3166"/>
      <c r="AK280" s="2609"/>
      <c r="AL280" s="2609"/>
      <c r="AM280" s="2609"/>
      <c r="AN280" s="3166"/>
      <c r="AO280" s="2609"/>
      <c r="AP280" s="2609"/>
      <c r="AQ280" s="2609"/>
      <c r="AR280" s="2609"/>
      <c r="AS280" s="2609"/>
      <c r="AT280" s="2609"/>
    </row>
    <row r="281" spans="1:46" ht="16.75" thickBot="1">
      <c r="C281" s="346"/>
      <c r="D281" s="2402" t="s">
        <v>1535</v>
      </c>
      <c r="E281" s="2396"/>
      <c r="F281" s="2908"/>
      <c r="G281" s="2395"/>
      <c r="H281" s="2395"/>
      <c r="I281" s="2399"/>
      <c r="J281" s="2397"/>
      <c r="K281" s="2397"/>
      <c r="L281" s="2397"/>
      <c r="M281" s="2397"/>
      <c r="N281" s="2397"/>
      <c r="O281" s="2397"/>
      <c r="P281" s="2397"/>
      <c r="Q281" s="2397"/>
      <c r="R281" s="2397"/>
      <c r="S281" s="2400"/>
      <c r="T281" s="2397"/>
      <c r="U281" s="2397"/>
      <c r="V281" s="2397"/>
      <c r="W281" s="2397"/>
      <c r="X281" s="2397"/>
      <c r="Y281" s="2398"/>
      <c r="Z281" s="2398"/>
      <c r="AA281" s="2398"/>
      <c r="AB281" s="2398"/>
      <c r="AC281" s="2398"/>
      <c r="AD281" s="2609"/>
      <c r="AE281" s="2609"/>
      <c r="AF281" s="2609"/>
      <c r="AG281" s="2609"/>
      <c r="AH281" s="3167">
        <v>15.594321536212501</v>
      </c>
      <c r="AI281" s="3533">
        <v>17.658385317087504</v>
      </c>
      <c r="AJ281" s="3166"/>
      <c r="AK281" s="2609"/>
      <c r="AL281" s="2609"/>
      <c r="AM281" s="2609"/>
      <c r="AN281" s="3166"/>
      <c r="AO281" s="2609"/>
      <c r="AP281" s="2609"/>
      <c r="AQ281" s="2609"/>
      <c r="AR281" s="2609"/>
      <c r="AS281" s="2609"/>
      <c r="AT281" s="2609"/>
    </row>
    <row r="282" spans="1:46">
      <c r="C282" s="346"/>
      <c r="D282" s="2402" t="s">
        <v>1536</v>
      </c>
      <c r="E282" s="2396"/>
      <c r="F282" s="2908"/>
      <c r="G282" s="2395"/>
      <c r="H282" s="2395"/>
      <c r="I282" s="2399"/>
      <c r="J282" s="2397"/>
      <c r="K282" s="2397"/>
      <c r="L282" s="2397"/>
      <c r="M282" s="2397"/>
      <c r="N282" s="2397"/>
      <c r="O282" s="2397"/>
      <c r="P282" s="2397"/>
      <c r="Q282" s="2397"/>
      <c r="R282" s="2397"/>
      <c r="S282" s="2400"/>
      <c r="T282" s="2397"/>
      <c r="U282" s="2397"/>
      <c r="V282" s="2397"/>
      <c r="W282" s="2397"/>
      <c r="X282" s="2397"/>
      <c r="Y282" s="2398"/>
      <c r="Z282" s="2398"/>
      <c r="AA282" s="2398"/>
      <c r="AB282" s="2398"/>
      <c r="AC282" s="2398"/>
      <c r="AD282" s="2609"/>
      <c r="AE282" s="2609"/>
      <c r="AF282" s="2609"/>
      <c r="AG282" s="2609"/>
      <c r="AH282" s="2609"/>
      <c r="AI282" s="3531"/>
      <c r="AJ282" s="3166"/>
      <c r="AK282" s="3168">
        <v>0</v>
      </c>
      <c r="AL282" s="3169">
        <v>0</v>
      </c>
      <c r="AM282" s="3170">
        <v>0</v>
      </c>
      <c r="AN282" s="3166"/>
      <c r="AO282" s="2609"/>
      <c r="AP282" s="2609"/>
      <c r="AQ282" s="2609"/>
      <c r="AR282" s="2609"/>
      <c r="AS282" s="2609"/>
      <c r="AT282" s="2609"/>
    </row>
    <row r="283" spans="1:46" ht="16.75" thickBot="1">
      <c r="C283" s="346"/>
      <c r="D283" s="2402" t="s">
        <v>1533</v>
      </c>
      <c r="E283" s="2396"/>
      <c r="F283" s="2908"/>
      <c r="G283" s="2395"/>
      <c r="H283" s="2395"/>
      <c r="I283" s="2399"/>
      <c r="J283" s="2397"/>
      <c r="K283" s="2397"/>
      <c r="L283" s="2397"/>
      <c r="M283" s="2397"/>
      <c r="N283" s="2397"/>
      <c r="O283" s="2397"/>
      <c r="P283" s="2397"/>
      <c r="Q283" s="2397"/>
      <c r="R283" s="2397"/>
      <c r="S283" s="2400"/>
      <c r="T283" s="2397"/>
      <c r="U283" s="2397"/>
      <c r="V283" s="2397"/>
      <c r="W283" s="2397"/>
      <c r="X283" s="2397"/>
      <c r="Y283" s="2398"/>
      <c r="Z283" s="2398"/>
      <c r="AA283" s="2398"/>
      <c r="AB283" s="2398"/>
      <c r="AC283" s="2398"/>
      <c r="AD283" s="2609"/>
      <c r="AE283" s="2609"/>
      <c r="AF283" s="2609"/>
      <c r="AG283" s="2609"/>
      <c r="AH283" s="2609"/>
      <c r="AI283" s="3531"/>
      <c r="AJ283" s="3166"/>
      <c r="AK283" s="3171">
        <v>0</v>
      </c>
      <c r="AL283" s="3172">
        <v>0</v>
      </c>
      <c r="AM283" s="3173">
        <v>0</v>
      </c>
      <c r="AN283" s="3166"/>
      <c r="AO283" s="2609"/>
      <c r="AP283" s="2609"/>
      <c r="AQ283" s="2609"/>
      <c r="AR283" s="2609"/>
      <c r="AS283" s="2609"/>
      <c r="AT283" s="2609"/>
    </row>
    <row r="284" spans="1:46">
      <c r="C284" s="346"/>
      <c r="D284" s="2402" t="s">
        <v>1537</v>
      </c>
      <c r="E284" s="2396"/>
      <c r="F284" s="2908"/>
      <c r="G284" s="2395"/>
      <c r="H284" s="2395"/>
      <c r="I284" s="2399"/>
      <c r="J284" s="2397"/>
      <c r="K284" s="2397"/>
      <c r="L284" s="2397"/>
      <c r="M284" s="2397"/>
      <c r="N284" s="2397"/>
      <c r="O284" s="2397"/>
      <c r="P284" s="2397"/>
      <c r="Q284" s="2397"/>
      <c r="R284" s="2397"/>
      <c r="S284" s="2400"/>
      <c r="T284" s="2397"/>
      <c r="U284" s="2397"/>
      <c r="V284" s="2397"/>
      <c r="W284" s="2397"/>
      <c r="X284" s="2397"/>
      <c r="Y284" s="2398"/>
      <c r="Z284" s="2398"/>
      <c r="AA284" s="2398"/>
      <c r="AB284" s="2398"/>
      <c r="AC284" s="2398"/>
      <c r="AD284" s="2609"/>
      <c r="AE284" s="2609"/>
      <c r="AF284" s="2609"/>
      <c r="AG284" s="2609"/>
      <c r="AH284" s="2609"/>
      <c r="AI284" s="3531"/>
      <c r="AJ284" s="3166"/>
      <c r="AK284" s="3174">
        <v>0</v>
      </c>
      <c r="AL284" s="3175">
        <v>0</v>
      </c>
      <c r="AM284" s="3176">
        <v>0</v>
      </c>
      <c r="AN284" s="3166"/>
      <c r="AO284" s="2609"/>
      <c r="AP284" s="2609"/>
      <c r="AQ284" s="2609"/>
      <c r="AR284" s="2609"/>
      <c r="AS284" s="2609"/>
      <c r="AT284" s="2609"/>
    </row>
    <row r="285" spans="1:46" ht="16.75" thickBot="1">
      <c r="C285" s="346"/>
      <c r="D285" s="2402" t="s">
        <v>1535</v>
      </c>
      <c r="E285" s="2396"/>
      <c r="F285" s="2908"/>
      <c r="G285" s="2395"/>
      <c r="H285" s="2395"/>
      <c r="I285" s="2399"/>
      <c r="J285" s="2397"/>
      <c r="K285" s="2397"/>
      <c r="L285" s="2397"/>
      <c r="M285" s="2397"/>
      <c r="N285" s="2397"/>
      <c r="O285" s="2397"/>
      <c r="P285" s="2397"/>
      <c r="Q285" s="2397"/>
      <c r="R285" s="2397"/>
      <c r="S285" s="2400"/>
      <c r="T285" s="2397"/>
      <c r="U285" s="2397"/>
      <c r="V285" s="2397"/>
      <c r="W285" s="2397"/>
      <c r="X285" s="2397"/>
      <c r="Y285" s="2398"/>
      <c r="Z285" s="2398"/>
      <c r="AA285" s="2398"/>
      <c r="AB285" s="2398"/>
      <c r="AC285" s="2398"/>
      <c r="AD285" s="2609"/>
      <c r="AE285" s="2609"/>
      <c r="AF285" s="2609"/>
      <c r="AG285" s="2609"/>
      <c r="AH285" s="2609"/>
      <c r="AI285" s="3531"/>
      <c r="AJ285" s="3166"/>
      <c r="AK285" s="3177">
        <v>0</v>
      </c>
      <c r="AL285" s="3178">
        <v>0</v>
      </c>
      <c r="AM285" s="3179">
        <v>0</v>
      </c>
      <c r="AN285" s="3166"/>
      <c r="AO285" s="2609"/>
      <c r="AP285" s="2609"/>
      <c r="AQ285" s="2609"/>
      <c r="AR285" s="2609"/>
      <c r="AS285" s="2609"/>
      <c r="AT285" s="2609"/>
    </row>
    <row r="286" spans="1:46">
      <c r="C286" s="346"/>
      <c r="D286" s="2406" t="s">
        <v>1704</v>
      </c>
      <c r="E286" s="2396"/>
      <c r="F286" s="2908"/>
      <c r="G286" s="2395"/>
      <c r="H286" s="2395"/>
      <c r="I286" s="2399"/>
      <c r="J286" s="2397"/>
      <c r="K286" s="2397"/>
      <c r="L286" s="2397"/>
      <c r="M286" s="2397"/>
      <c r="N286" s="2397"/>
      <c r="O286" s="2397"/>
      <c r="P286" s="2397"/>
      <c r="Q286" s="2397"/>
      <c r="R286" s="2397"/>
      <c r="S286" s="2400"/>
      <c r="T286" s="2397"/>
      <c r="U286" s="2397"/>
      <c r="V286" s="2397"/>
      <c r="W286" s="2397"/>
      <c r="X286" s="2397"/>
      <c r="Y286" s="2398"/>
      <c r="Z286" s="2398"/>
      <c r="AA286" s="2398"/>
      <c r="AB286" s="2398"/>
      <c r="AC286" s="2398"/>
      <c r="AD286" s="2609"/>
      <c r="AE286" s="2609"/>
      <c r="AF286" s="2609"/>
      <c r="AG286" s="2609"/>
      <c r="AH286" s="2609"/>
      <c r="AI286" s="3531"/>
      <c r="AJ286" s="3166">
        <v>37.869319455601179</v>
      </c>
      <c r="AK286" s="2609">
        <v>46.749172690601256</v>
      </c>
      <c r="AL286" s="2609">
        <v>54.284340690896791</v>
      </c>
      <c r="AM286" s="2609">
        <v>95.332686452880978</v>
      </c>
      <c r="AN286" s="2609">
        <v>105.71422277852923</v>
      </c>
      <c r="AO286" s="2609">
        <v>83.758432182099284</v>
      </c>
      <c r="AP286" s="2609">
        <v>61.712670797474658</v>
      </c>
      <c r="AQ286" s="2609">
        <v>30.919266538326866</v>
      </c>
      <c r="AR286" s="2609">
        <v>0</v>
      </c>
      <c r="AS286" s="2609">
        <v>19.488613744909067</v>
      </c>
      <c r="AT286" s="2609">
        <v>33.597482309764942</v>
      </c>
    </row>
    <row r="287" spans="1:46">
      <c r="C287" s="779"/>
      <c r="D287" s="2407" t="s">
        <v>846</v>
      </c>
      <c r="E287" s="2408" t="s">
        <v>847</v>
      </c>
      <c r="F287" s="2908"/>
      <c r="G287" s="2395"/>
      <c r="H287" s="2395"/>
      <c r="I287" s="2409"/>
      <c r="J287" s="2409"/>
      <c r="K287" s="2409"/>
      <c r="L287" s="2409"/>
      <c r="M287" s="2409"/>
      <c r="N287" s="2409"/>
      <c r="O287" s="2409"/>
      <c r="P287" s="2409"/>
      <c r="Q287" s="2409"/>
      <c r="R287" s="2409"/>
      <c r="S287" s="2409"/>
      <c r="T287" s="2409"/>
      <c r="U287" s="2409"/>
      <c r="V287" s="2410">
        <v>177.60783924255963</v>
      </c>
      <c r="W287" s="2410">
        <v>156.3168147479451</v>
      </c>
      <c r="X287" s="2410">
        <v>163.56255969436484</v>
      </c>
      <c r="Y287" s="2411">
        <v>150.64014862393245</v>
      </c>
      <c r="Z287" s="2411">
        <v>44.821641975962763</v>
      </c>
      <c r="AA287" s="2411">
        <v>97.086741197973708</v>
      </c>
      <c r="AB287" s="2411">
        <v>63.702467062757989</v>
      </c>
      <c r="AC287" s="2411">
        <v>189.79092786186294</v>
      </c>
      <c r="AD287" s="2411">
        <v>131.47865803481906</v>
      </c>
      <c r="AE287" s="2609">
        <v>131.47865803481906</v>
      </c>
      <c r="AF287" s="2609">
        <v>131.47865803481906</v>
      </c>
      <c r="AG287" s="2609">
        <v>131.47865803481906</v>
      </c>
      <c r="AH287" s="2609">
        <v>131.47865803481906</v>
      </c>
      <c r="AI287" s="3531">
        <v>131.47865803481906</v>
      </c>
      <c r="AJ287" s="3166">
        <v>131.47865803481906</v>
      </c>
      <c r="AK287" s="2609">
        <v>131.47865803481906</v>
      </c>
      <c r="AL287" s="2609">
        <v>131.47865803481906</v>
      </c>
      <c r="AM287" s="2609">
        <v>131.47865803481906</v>
      </c>
      <c r="AN287" s="2609">
        <v>131.47865803481906</v>
      </c>
      <c r="AO287" s="2609">
        <v>131.47865803481906</v>
      </c>
      <c r="AP287" s="2609">
        <v>131.47865803481906</v>
      </c>
      <c r="AQ287" s="2609">
        <v>131.47865803481906</v>
      </c>
      <c r="AR287" s="2609">
        <v>131.47865803481906</v>
      </c>
      <c r="AS287" s="2609">
        <v>131.47865803481906</v>
      </c>
      <c r="AT287" s="2609">
        <v>131.47865803481906</v>
      </c>
    </row>
    <row r="288" spans="1:46">
      <c r="C288" s="346"/>
      <c r="D288" s="2401" t="s">
        <v>1538</v>
      </c>
      <c r="E288" s="2408"/>
      <c r="F288" s="2908"/>
      <c r="G288" s="2395"/>
      <c r="H288" s="2395"/>
      <c r="I288" s="2409"/>
      <c r="J288" s="2409"/>
      <c r="K288" s="2409"/>
      <c r="L288" s="2409"/>
      <c r="M288" s="2409"/>
      <c r="N288" s="2409"/>
      <c r="O288" s="2409"/>
      <c r="P288" s="2409"/>
      <c r="Q288" s="2409"/>
      <c r="R288" s="2409"/>
      <c r="S288" s="2409"/>
      <c r="T288" s="2409"/>
      <c r="U288" s="2409"/>
      <c r="V288" s="2410"/>
      <c r="W288" s="2410"/>
      <c r="X288" s="2410"/>
      <c r="Y288" s="2412">
        <v>332.09960107723543</v>
      </c>
      <c r="Z288" s="2412">
        <v>229.32625178149306</v>
      </c>
      <c r="AA288" s="2412">
        <v>313.71752179756419</v>
      </c>
      <c r="AB288" s="2412">
        <v>259.7036537909355</v>
      </c>
      <c r="AC288" s="2412">
        <v>369.26663508084647</v>
      </c>
      <c r="AD288" s="2412">
        <v>301.88831773369787</v>
      </c>
      <c r="AE288" s="2412">
        <v>346.85268541234291</v>
      </c>
      <c r="AF288" s="2412">
        <v>339.20283076277673</v>
      </c>
      <c r="AG288" s="2412">
        <v>344.57948609205738</v>
      </c>
      <c r="AH288" s="2413">
        <v>642.41764905535831</v>
      </c>
      <c r="AI288" s="3534">
        <v>888.97025046753436</v>
      </c>
      <c r="AJ288" s="3518">
        <v>988.6698627899649</v>
      </c>
      <c r="AK288" s="2412">
        <v>1138.400598066627</v>
      </c>
      <c r="AL288" s="2412">
        <v>1334.7201621533859</v>
      </c>
      <c r="AM288" s="2412">
        <v>1567.4163990712502</v>
      </c>
      <c r="AN288" s="2412">
        <v>1831.1526244225986</v>
      </c>
      <c r="AO288" s="2412">
        <v>2141.8926889218101</v>
      </c>
      <c r="AP288" s="2412">
        <v>2509.6675572275417</v>
      </c>
      <c r="AQ288" s="2412">
        <v>2936.8609658830051</v>
      </c>
      <c r="AR288" s="2412">
        <v>3430.073792644439</v>
      </c>
      <c r="AS288" s="2412">
        <v>4002.2957411080142</v>
      </c>
      <c r="AT288" s="2412">
        <v>4698.3572846033194</v>
      </c>
    </row>
    <row r="289" spans="1:46">
      <c r="C289" s="346"/>
      <c r="D289" s="2401" t="s">
        <v>1539</v>
      </c>
      <c r="E289" s="2408"/>
      <c r="F289" s="2908"/>
      <c r="G289" s="2395"/>
      <c r="H289" s="2395"/>
      <c r="I289" s="2409"/>
      <c r="J289" s="2409"/>
      <c r="K289" s="2409"/>
      <c r="L289" s="2409"/>
      <c r="M289" s="2409"/>
      <c r="N289" s="2409"/>
      <c r="O289" s="2409"/>
      <c r="P289" s="2409"/>
      <c r="Q289" s="2409"/>
      <c r="R289" s="2409"/>
      <c r="S289" s="2409"/>
      <c r="T289" s="2409"/>
      <c r="U289" s="2409"/>
      <c r="V289" s="2410"/>
      <c r="W289" s="2410"/>
      <c r="X289" s="2410"/>
      <c r="Y289" s="2412">
        <v>181.45945245330299</v>
      </c>
      <c r="Z289" s="2412">
        <v>184.50460980553029</v>
      </c>
      <c r="AA289" s="2412">
        <v>216.63078059959048</v>
      </c>
      <c r="AB289" s="2412">
        <v>196.00118672817752</v>
      </c>
      <c r="AC289" s="2412">
        <v>179.47570721898353</v>
      </c>
      <c r="AD289" s="2412">
        <v>170.40965969887881</v>
      </c>
      <c r="AE289" s="2412">
        <v>247.05515022876079</v>
      </c>
      <c r="AF289" s="2412">
        <v>299.44678836622643</v>
      </c>
      <c r="AG289" s="2412">
        <v>269.07336900127785</v>
      </c>
      <c r="AH289" s="2412">
        <v>309.21813013398742</v>
      </c>
      <c r="AI289" s="3535">
        <v>280.39786632835967</v>
      </c>
      <c r="AJ289" s="3519">
        <v>280.39786632835967</v>
      </c>
      <c r="AK289" s="2412">
        <v>280.39786632835967</v>
      </c>
      <c r="AL289" s="2412">
        <v>280.39786632835967</v>
      </c>
      <c r="AM289" s="2412">
        <v>280.39786632835967</v>
      </c>
      <c r="AN289" s="2412">
        <v>280.39786632835967</v>
      </c>
      <c r="AO289" s="2412">
        <v>280.39786632835967</v>
      </c>
      <c r="AP289" s="2412">
        <v>280.39786632835967</v>
      </c>
      <c r="AQ289" s="2412">
        <v>280.39786632835967</v>
      </c>
      <c r="AR289" s="2412">
        <v>280.39786632835967</v>
      </c>
      <c r="AS289" s="2412">
        <v>280.39786632835967</v>
      </c>
      <c r="AT289" s="2412">
        <v>280.39786632835967</v>
      </c>
    </row>
    <row r="290" spans="1:46">
      <c r="C290" s="346"/>
      <c r="D290" s="2414" t="s">
        <v>848</v>
      </c>
      <c r="E290" s="2408"/>
      <c r="F290" s="2908"/>
      <c r="G290" s="2403"/>
      <c r="H290" s="2403"/>
      <c r="I290" s="2415"/>
      <c r="J290" s="2415"/>
      <c r="K290" s="2415"/>
      <c r="L290" s="2415"/>
      <c r="M290" s="2415"/>
      <c r="N290" s="2415"/>
      <c r="O290" s="2415"/>
      <c r="P290" s="2415"/>
      <c r="Q290" s="2415"/>
      <c r="R290" s="2415"/>
      <c r="S290" s="2415"/>
      <c r="T290" s="2415"/>
      <c r="U290" s="2415"/>
      <c r="V290" s="2416"/>
      <c r="W290" s="2416"/>
      <c r="X290" s="2416"/>
      <c r="Y290" s="2417"/>
      <c r="Z290" s="2417"/>
      <c r="AA290" s="2417">
        <v>286</v>
      </c>
      <c r="AB290" s="2418">
        <v>303</v>
      </c>
      <c r="AC290" s="2418">
        <v>364.94705619114501</v>
      </c>
      <c r="AD290" s="2418"/>
      <c r="AE290" s="2611"/>
      <c r="AF290" s="2611"/>
      <c r="AG290" s="2611"/>
      <c r="AH290" s="2611"/>
      <c r="AI290" s="3531"/>
      <c r="AJ290" s="3166"/>
      <c r="AK290" s="2611"/>
      <c r="AL290" s="2611"/>
      <c r="AM290" s="2611"/>
      <c r="AN290" s="2611"/>
      <c r="AO290" s="2611"/>
      <c r="AP290" s="2611"/>
      <c r="AQ290" s="2611"/>
      <c r="AR290" s="2611"/>
      <c r="AS290" s="2611"/>
      <c r="AT290" s="2611"/>
    </row>
    <row r="291" spans="1:46">
      <c r="C291" s="346"/>
      <c r="D291" s="2414" t="s">
        <v>849</v>
      </c>
      <c r="E291" s="2408"/>
      <c r="F291" s="2908"/>
      <c r="G291" s="2403"/>
      <c r="H291" s="2403"/>
      <c r="I291" s="2415"/>
      <c r="J291" s="2415"/>
      <c r="K291" s="2415"/>
      <c r="L291" s="2415"/>
      <c r="M291" s="2415"/>
      <c r="N291" s="2415"/>
      <c r="O291" s="2415"/>
      <c r="P291" s="2415"/>
      <c r="Q291" s="2415"/>
      <c r="R291" s="2415"/>
      <c r="S291" s="2415"/>
      <c r="T291" s="2415"/>
      <c r="U291" s="2415"/>
      <c r="V291" s="2416"/>
      <c r="W291" s="2416"/>
      <c r="X291" s="2416"/>
      <c r="Y291" s="2417"/>
      <c r="Z291" s="2417"/>
      <c r="AA291" s="2417">
        <v>282.89999999999998</v>
      </c>
      <c r="AB291" s="2417">
        <v>306.60000000000002</v>
      </c>
      <c r="AC291" s="2419">
        <v>384.04593899308793</v>
      </c>
      <c r="AD291" s="2419"/>
      <c r="AE291" s="2611"/>
      <c r="AF291" s="2611"/>
      <c r="AG291" s="2611"/>
      <c r="AH291" s="2611"/>
      <c r="AI291" s="3531"/>
      <c r="AJ291" s="3166"/>
      <c r="AK291" s="2611"/>
      <c r="AL291" s="2611"/>
      <c r="AM291" s="2611"/>
      <c r="AN291" s="2611"/>
      <c r="AO291" s="2611"/>
      <c r="AP291" s="2611"/>
      <c r="AQ291" s="2611"/>
      <c r="AR291" s="2611"/>
      <c r="AS291" s="2611"/>
      <c r="AT291" s="2611"/>
    </row>
    <row r="292" spans="1:46" s="1892" customFormat="1">
      <c r="A292" s="1893"/>
      <c r="B292" s="2573"/>
      <c r="C292" s="2821"/>
      <c r="D292" s="2848" t="s">
        <v>850</v>
      </c>
      <c r="E292" s="2982"/>
      <c r="F292" s="2854"/>
      <c r="G292" s="2849"/>
      <c r="H292" s="2849"/>
      <c r="I292" s="2849"/>
      <c r="J292" s="2849"/>
      <c r="K292" s="2849"/>
      <c r="L292" s="2849"/>
      <c r="M292" s="2849"/>
      <c r="N292" s="2849"/>
      <c r="O292" s="2849"/>
      <c r="P292" s="2849"/>
      <c r="Q292" s="2849"/>
      <c r="R292" s="2849"/>
      <c r="S292" s="2849"/>
      <c r="T292" s="2849"/>
      <c r="U292" s="2849"/>
      <c r="V292" s="2850">
        <v>-212.36129999999997</v>
      </c>
      <c r="W292" s="2850">
        <v>-137.10000000000002</v>
      </c>
      <c r="X292" s="2850">
        <v>-187.29999999999998</v>
      </c>
      <c r="Y292" s="2850">
        <v>-21.154050000000012</v>
      </c>
      <c r="Z292" s="2850">
        <v>39.5</v>
      </c>
      <c r="AA292" s="2850">
        <v>24.95483328557242</v>
      </c>
      <c r="AB292" s="2850">
        <v>69.326811193815672</v>
      </c>
      <c r="AC292" s="2850">
        <v>8.5038848876610587</v>
      </c>
      <c r="AD292" s="2850">
        <v>69.937966863994632</v>
      </c>
      <c r="AE292" s="2850">
        <v>164.43522521415065</v>
      </c>
      <c r="AF292" s="2850">
        <v>540.63624196060971</v>
      </c>
      <c r="AG292" s="2850">
        <v>1081.3418178136449</v>
      </c>
      <c r="AH292" s="2850">
        <v>1250.4644920297519</v>
      </c>
      <c r="AI292" s="3536">
        <v>1287.1901501348225</v>
      </c>
      <c r="AJ292" s="3520">
        <v>1891.9641826925063</v>
      </c>
      <c r="AK292" s="2850">
        <v>1726.1379553766576</v>
      </c>
      <c r="AL292" s="2850">
        <v>1723.8082186498773</v>
      </c>
      <c r="AM292" s="2850">
        <v>1583.7093173096646</v>
      </c>
      <c r="AN292" s="2850">
        <v>1843.1349267649814</v>
      </c>
      <c r="AO292" s="2850">
        <v>2191.6969749489035</v>
      </c>
      <c r="AP292" s="2850">
        <v>1832.1315797680195</v>
      </c>
      <c r="AQ292" s="2850">
        <v>2207.081920698567</v>
      </c>
      <c r="AR292" s="2850">
        <v>2197.2702024769733</v>
      </c>
      <c r="AS292" s="2850">
        <v>1639.0965545271529</v>
      </c>
      <c r="AT292" s="2850">
        <v>1675.4282223782216</v>
      </c>
    </row>
    <row r="293" spans="1:46" s="1892" customFormat="1">
      <c r="A293" s="1893"/>
      <c r="B293" s="2573"/>
      <c r="C293" s="2821"/>
      <c r="D293" s="2851" t="s">
        <v>666</v>
      </c>
      <c r="E293" s="2982"/>
      <c r="F293" s="2854"/>
      <c r="G293" s="2849"/>
      <c r="H293" s="2849"/>
      <c r="I293" s="2849"/>
      <c r="J293" s="2849"/>
      <c r="K293" s="2849"/>
      <c r="L293" s="2849"/>
      <c r="M293" s="2849"/>
      <c r="N293" s="2849"/>
      <c r="O293" s="2849"/>
      <c r="P293" s="2849"/>
      <c r="Q293" s="2849"/>
      <c r="R293" s="2849"/>
      <c r="S293" s="2849"/>
      <c r="T293" s="2849"/>
      <c r="U293" s="2849"/>
      <c r="V293" s="2852">
        <v>-48.199999999999982</v>
      </c>
      <c r="W293" s="2852">
        <v>-52.3</v>
      </c>
      <c r="X293" s="2852">
        <v>-164.00000000000006</v>
      </c>
      <c r="Y293" s="2852">
        <v>-18.254796372852411</v>
      </c>
      <c r="Z293" s="2852">
        <v>125</v>
      </c>
      <c r="AA293" s="2852">
        <v>124.30000000000001</v>
      </c>
      <c r="AB293" s="2852">
        <v>141.70573959091658</v>
      </c>
      <c r="AC293" s="2852">
        <v>190.53650127644062</v>
      </c>
      <c r="AD293" s="2852">
        <v>177.69853280575646</v>
      </c>
      <c r="AE293" s="2852"/>
      <c r="AF293" s="2852"/>
      <c r="AG293" s="2852"/>
      <c r="AH293" s="2852"/>
      <c r="AI293" s="3537"/>
      <c r="AJ293" s="3521"/>
      <c r="AK293" s="2852"/>
      <c r="AL293" s="2852"/>
      <c r="AM293" s="2852"/>
      <c r="AN293" s="2852"/>
      <c r="AO293" s="2852"/>
      <c r="AP293" s="2852"/>
      <c r="AQ293" s="2852"/>
      <c r="AR293" s="2852"/>
      <c r="AS293" s="2852"/>
      <c r="AT293" s="2852"/>
    </row>
    <row r="294" spans="1:46" s="1892" customFormat="1">
      <c r="A294" s="1893"/>
      <c r="B294" s="2573"/>
      <c r="C294" s="2821"/>
      <c r="D294" s="2853" t="s">
        <v>1705</v>
      </c>
      <c r="E294" s="2982"/>
      <c r="F294" s="2854"/>
      <c r="G294" s="2849"/>
      <c r="H294" s="2849"/>
      <c r="I294" s="2849"/>
      <c r="J294" s="2849"/>
      <c r="K294" s="2849"/>
      <c r="L294" s="2849"/>
      <c r="M294" s="2849"/>
      <c r="N294" s="2849"/>
      <c r="O294" s="2849"/>
      <c r="P294" s="2849"/>
      <c r="Q294" s="2849"/>
      <c r="R294" s="2849"/>
      <c r="S294" s="2849"/>
      <c r="T294" s="2849"/>
      <c r="U294" s="2849"/>
      <c r="V294" s="2850">
        <v>300.36129999999997</v>
      </c>
      <c r="W294" s="2850">
        <v>201.6</v>
      </c>
      <c r="X294" s="2850">
        <v>342.2</v>
      </c>
      <c r="Y294" s="2850">
        <v>205.4</v>
      </c>
      <c r="Z294" s="2850">
        <v>229.9</v>
      </c>
      <c r="AA294" s="2850">
        <v>237.94894853970001</v>
      </c>
      <c r="AB294" s="2850">
        <v>265.3422867006667</v>
      </c>
      <c r="AC294" s="2850">
        <v>317.31929287066669</v>
      </c>
      <c r="AD294" s="2850">
        <v>402.32962967266673</v>
      </c>
      <c r="AE294" s="2850">
        <v>771.69356843133301</v>
      </c>
      <c r="AF294" s="2850">
        <v>658.18528380433315</v>
      </c>
      <c r="AG294" s="2850">
        <v>563.2329518043332</v>
      </c>
      <c r="AH294" s="2850">
        <v>778.64318398299997</v>
      </c>
      <c r="AI294" s="3536">
        <v>1228.686116286</v>
      </c>
      <c r="AJ294" s="3520">
        <v>803.66831403358628</v>
      </c>
      <c r="AK294" s="2850">
        <v>912.27535036938389</v>
      </c>
      <c r="AL294" s="2850">
        <v>1028.421187141535</v>
      </c>
      <c r="AM294" s="2850">
        <v>1150.2397590585301</v>
      </c>
      <c r="AN294" s="2850">
        <v>1268.4717538578157</v>
      </c>
      <c r="AO294" s="2850">
        <v>1391.7091036533704</v>
      </c>
      <c r="AP294" s="2850">
        <v>1572.88586091762</v>
      </c>
      <c r="AQ294" s="2850">
        <v>1768.7796878982008</v>
      </c>
      <c r="AR294" s="2850">
        <v>1907.9483264933006</v>
      </c>
      <c r="AS294" s="2850">
        <v>2112.4149074152601</v>
      </c>
      <c r="AT294" s="2850">
        <v>2334.0269962199777</v>
      </c>
    </row>
    <row r="295" spans="1:46">
      <c r="C295" s="346"/>
      <c r="D295" s="2422" t="s">
        <v>666</v>
      </c>
      <c r="E295" s="2409"/>
      <c r="F295" s="2421"/>
      <c r="G295" s="2415"/>
      <c r="H295" s="2415"/>
      <c r="I295" s="2415"/>
      <c r="J295" s="2415"/>
      <c r="K295" s="2415"/>
      <c r="L295" s="2415"/>
      <c r="M295" s="2415"/>
      <c r="N295" s="2415"/>
      <c r="O295" s="2415"/>
      <c r="P295" s="2415"/>
      <c r="Q295" s="2415"/>
      <c r="R295" s="2415"/>
      <c r="S295" s="2415"/>
      <c r="T295" s="2415"/>
      <c r="U295" s="2415"/>
      <c r="V295" s="2423">
        <v>174.89999999999998</v>
      </c>
      <c r="W295" s="2423">
        <v>153.9</v>
      </c>
      <c r="X295" s="2423">
        <v>273.20000000000005</v>
      </c>
      <c r="Y295" s="2420">
        <v>185.4</v>
      </c>
      <c r="Z295" s="2420">
        <v>136</v>
      </c>
      <c r="AA295" s="2420">
        <v>168.5</v>
      </c>
      <c r="AB295" s="2420">
        <v>184.93604999999999</v>
      </c>
      <c r="AC295" s="2420">
        <v>203.07276176600001</v>
      </c>
      <c r="AD295" s="2420">
        <v>251.201523522</v>
      </c>
      <c r="AE295" s="2424"/>
      <c r="AF295" s="2424"/>
      <c r="AG295" s="2424"/>
      <c r="AH295" s="2424"/>
      <c r="AI295" s="3538"/>
      <c r="AJ295" s="3522"/>
      <c r="AK295" s="2424"/>
      <c r="AL295" s="2424"/>
      <c r="AM295" s="2424"/>
      <c r="AN295" s="2425"/>
      <c r="AO295" s="2425"/>
      <c r="AP295" s="2425"/>
      <c r="AQ295" s="2425"/>
      <c r="AR295" s="2425"/>
      <c r="AS295" s="2425"/>
      <c r="AT295" s="2425"/>
    </row>
    <row r="296" spans="1:46">
      <c r="C296" s="346"/>
      <c r="D296" s="2422" t="s">
        <v>560</v>
      </c>
      <c r="E296" s="2983" t="s">
        <v>563</v>
      </c>
      <c r="F296" s="2426"/>
      <c r="G296" s="2426"/>
      <c r="H296" s="2426"/>
      <c r="I296" s="2426"/>
      <c r="J296" s="2426"/>
      <c r="K296" s="2426"/>
      <c r="L296" s="2426"/>
      <c r="M296" s="2426"/>
      <c r="N296" s="2426"/>
      <c r="O296" s="2426"/>
      <c r="P296" s="2426"/>
      <c r="Q296" s="2426"/>
      <c r="R296" s="2426"/>
      <c r="S296" s="2426"/>
      <c r="T296" s="2426"/>
      <c r="U296" s="2426"/>
      <c r="V296" s="2427">
        <v>0</v>
      </c>
      <c r="W296" s="2427">
        <v>0</v>
      </c>
      <c r="X296" s="2427">
        <v>0</v>
      </c>
      <c r="Y296" s="2428">
        <v>0</v>
      </c>
      <c r="Z296" s="2428">
        <v>0</v>
      </c>
      <c r="AA296" s="2428">
        <v>0</v>
      </c>
      <c r="AB296" s="2428">
        <v>0</v>
      </c>
      <c r="AC296" s="2428">
        <v>0</v>
      </c>
      <c r="AD296" s="2428">
        <v>0</v>
      </c>
      <c r="AE296" s="2425"/>
      <c r="AF296" s="2425"/>
      <c r="AG296" s="2425"/>
      <c r="AH296" s="2425"/>
      <c r="AI296" s="3538"/>
      <c r="AJ296" s="3522"/>
      <c r="AK296" s="2424"/>
      <c r="AL296" s="2424"/>
      <c r="AM296" s="2424"/>
      <c r="AN296" s="2425"/>
      <c r="AO296" s="2425"/>
      <c r="AP296" s="2425"/>
      <c r="AQ296" s="2425"/>
      <c r="AR296" s="2425"/>
      <c r="AS296" s="2425"/>
      <c r="AT296" s="2425"/>
    </row>
    <row r="297" spans="1:46">
      <c r="C297" s="346"/>
      <c r="D297" s="2422" t="s">
        <v>561</v>
      </c>
      <c r="E297" s="2983" t="s">
        <v>564</v>
      </c>
      <c r="F297" s="2426"/>
      <c r="G297" s="2426"/>
      <c r="H297" s="2426"/>
      <c r="I297" s="2426"/>
      <c r="J297" s="2426"/>
      <c r="K297" s="2426"/>
      <c r="L297" s="2426"/>
      <c r="M297" s="2426"/>
      <c r="N297" s="2426"/>
      <c r="O297" s="2426"/>
      <c r="P297" s="2426"/>
      <c r="Q297" s="2426"/>
      <c r="R297" s="2426"/>
      <c r="S297" s="2426"/>
      <c r="T297" s="2426"/>
      <c r="U297" s="2426"/>
      <c r="V297" s="2427">
        <v>85.7</v>
      </c>
      <c r="W297" s="2427">
        <v>67.900000000000006</v>
      </c>
      <c r="X297" s="2427">
        <v>155.19999999999999</v>
      </c>
      <c r="Y297" s="2428">
        <v>183.773</v>
      </c>
      <c r="Z297" s="2428">
        <v>265.5</v>
      </c>
      <c r="AA297" s="2428">
        <v>246.97804182527241</v>
      </c>
      <c r="AB297" s="2428">
        <v>342.05975651247417</v>
      </c>
      <c r="AC297" s="2428">
        <v>355.86267094492115</v>
      </c>
      <c r="AD297" s="2428">
        <v>491.84765719687704</v>
      </c>
      <c r="AE297" s="2425"/>
      <c r="AF297" s="2425"/>
      <c r="AG297" s="2425"/>
      <c r="AH297" s="2425"/>
      <c r="AI297" s="3538"/>
      <c r="AJ297" s="3522"/>
      <c r="AK297" s="2424"/>
      <c r="AL297" s="2424"/>
      <c r="AM297" s="2424"/>
      <c r="AN297" s="2425"/>
      <c r="AO297" s="2425"/>
      <c r="AP297" s="2425"/>
      <c r="AQ297" s="2425"/>
      <c r="AR297" s="2425"/>
      <c r="AS297" s="2425"/>
      <c r="AT297" s="2425"/>
    </row>
    <row r="298" spans="1:46">
      <c r="C298" s="346"/>
      <c r="D298" s="2422" t="s">
        <v>562</v>
      </c>
      <c r="E298" s="2983" t="s">
        <v>564</v>
      </c>
      <c r="F298" s="2426"/>
      <c r="G298" s="2426"/>
      <c r="H298" s="2426"/>
      <c r="I298" s="2426"/>
      <c r="J298" s="2426"/>
      <c r="K298" s="2426"/>
      <c r="L298" s="2426"/>
      <c r="M298" s="2426"/>
      <c r="N298" s="2426"/>
      <c r="O298" s="2426"/>
      <c r="P298" s="2426"/>
      <c r="Q298" s="2426"/>
      <c r="R298" s="2426"/>
      <c r="S298" s="2426"/>
      <c r="T298" s="2426"/>
      <c r="U298" s="2426"/>
      <c r="V298" s="2429">
        <v>-96.114930000000001</v>
      </c>
      <c r="W298" s="2429">
        <v>-58.8</v>
      </c>
      <c r="X298" s="2429">
        <v>-40.6</v>
      </c>
      <c r="Y298" s="2428">
        <v>-66.2</v>
      </c>
      <c r="Z298" s="2428">
        <v>-39.200000000000003</v>
      </c>
      <c r="AA298" s="2428">
        <v>-42.8</v>
      </c>
      <c r="AB298" s="2428">
        <v>-95.164787118999996</v>
      </c>
      <c r="AC298" s="2428">
        <v>-122.04208282</v>
      </c>
      <c r="AD298" s="2428">
        <v>-63.781639370000001</v>
      </c>
      <c r="AE298" s="2425"/>
      <c r="AF298" s="2425"/>
      <c r="AG298" s="2425"/>
      <c r="AH298" s="2425"/>
      <c r="AI298" s="3538"/>
      <c r="AJ298" s="3522"/>
      <c r="AK298" s="2424"/>
      <c r="AL298" s="2424"/>
      <c r="AM298" s="2424"/>
      <c r="AN298" s="2425"/>
      <c r="AO298" s="2425"/>
      <c r="AP298" s="2425"/>
      <c r="AQ298" s="2425"/>
      <c r="AR298" s="2425"/>
      <c r="AS298" s="2425"/>
      <c r="AT298" s="2425"/>
    </row>
    <row r="299" spans="1:46">
      <c r="C299" s="346"/>
      <c r="D299" s="2422" t="s">
        <v>1706</v>
      </c>
      <c r="E299" s="2984"/>
      <c r="F299" s="2426"/>
      <c r="G299" s="2426"/>
      <c r="H299" s="2426"/>
      <c r="I299" s="2426"/>
      <c r="J299" s="2426"/>
      <c r="K299" s="2426"/>
      <c r="L299" s="2426"/>
      <c r="M299" s="2426"/>
      <c r="N299" s="2426"/>
      <c r="O299" s="2426"/>
      <c r="P299" s="2426"/>
      <c r="Q299" s="2426"/>
      <c r="R299" s="2426"/>
      <c r="S299" s="2426"/>
      <c r="T299" s="2426"/>
      <c r="U299" s="2426"/>
      <c r="V299" s="2429"/>
      <c r="W299" s="2429"/>
      <c r="X299" s="2429"/>
      <c r="Y299" s="2428"/>
      <c r="Z299" s="2428"/>
      <c r="AA299" s="2428"/>
      <c r="AB299" s="2428"/>
      <c r="AC299" s="2425"/>
      <c r="AD299" s="2425"/>
      <c r="AE299" s="2425"/>
      <c r="AF299" s="2425"/>
      <c r="AG299" s="2425"/>
      <c r="AH299" s="2425"/>
      <c r="AI299" s="3539"/>
      <c r="AJ299" s="3522">
        <v>13.812812321138354</v>
      </c>
      <c r="AK299" s="2424">
        <v>14.213231617763768</v>
      </c>
      <c r="AL299" s="2424">
        <v>14.239493173365984</v>
      </c>
      <c r="AM299" s="2424">
        <v>14.288180729311605</v>
      </c>
      <c r="AN299" s="2425">
        <v>14.295038710973769</v>
      </c>
      <c r="AO299" s="2425">
        <v>14.130696145422952</v>
      </c>
      <c r="AP299" s="2425">
        <v>14.159509873168306</v>
      </c>
      <c r="AQ299" s="2425">
        <v>14.194860806605499</v>
      </c>
      <c r="AR299" s="2425">
        <v>14.21082065504047</v>
      </c>
      <c r="AS299" s="2425">
        <v>14.065350097578646</v>
      </c>
      <c r="AT299" s="2425">
        <v>13.584565236146014</v>
      </c>
    </row>
    <row r="300" spans="1:46">
      <c r="D300" s="1525" t="s">
        <v>1257</v>
      </c>
      <c r="F300" s="295"/>
      <c r="G300" s="295"/>
      <c r="H300" s="295"/>
      <c r="I300" s="295"/>
      <c r="J300" s="295"/>
      <c r="K300" s="295"/>
      <c r="L300" s="295"/>
      <c r="M300" s="295"/>
      <c r="N300" s="295"/>
      <c r="O300" s="295"/>
      <c r="P300" s="295"/>
      <c r="Q300" s="295"/>
      <c r="R300" s="295"/>
      <c r="S300" s="295"/>
      <c r="T300" s="295"/>
      <c r="U300" s="295"/>
      <c r="V300" s="295"/>
      <c r="W300" s="820"/>
      <c r="X300" s="820"/>
      <c r="Y300" s="820"/>
      <c r="Z300" s="820"/>
      <c r="AA300" s="820"/>
      <c r="AB300" s="820"/>
      <c r="AC300" s="295"/>
      <c r="AD300" s="820"/>
      <c r="AE300" s="3180"/>
      <c r="AF300" s="3180"/>
    </row>
    <row r="301" spans="1:46">
      <c r="D301" s="1525"/>
      <c r="F301" s="295"/>
      <c r="G301" s="295"/>
      <c r="H301" s="295"/>
      <c r="I301" s="295"/>
      <c r="J301" s="295"/>
      <c r="K301" s="295"/>
      <c r="L301" s="295"/>
      <c r="M301" s="295"/>
      <c r="N301" s="295"/>
      <c r="O301" s="295"/>
      <c r="P301" s="295"/>
      <c r="Q301" s="295"/>
      <c r="R301" s="295"/>
      <c r="S301" s="295"/>
      <c r="T301" s="295"/>
      <c r="U301" s="295"/>
      <c r="V301" s="295"/>
      <c r="W301" s="820"/>
      <c r="X301" s="820"/>
      <c r="Y301" s="820"/>
      <c r="Z301" s="820"/>
      <c r="AA301" s="820"/>
      <c r="AB301" s="820"/>
      <c r="AC301" s="295"/>
      <c r="AD301" s="820"/>
      <c r="AE301" s="3180"/>
      <c r="AF301" s="3180"/>
    </row>
    <row r="302" spans="1:46">
      <c r="D302" s="1525" t="s">
        <v>659</v>
      </c>
      <c r="E302" s="766"/>
      <c r="F302" s="2"/>
      <c r="G302" s="2"/>
      <c r="H302" s="2"/>
      <c r="I302" s="2"/>
      <c r="J302" s="2"/>
      <c r="K302" s="2"/>
      <c r="L302" s="2"/>
      <c r="M302" s="2"/>
      <c r="N302" s="2"/>
      <c r="O302" s="2"/>
      <c r="P302" s="2"/>
      <c r="Q302" s="2"/>
      <c r="R302" s="2"/>
      <c r="S302" s="2"/>
      <c r="T302" s="2"/>
      <c r="U302" s="2"/>
      <c r="V302" s="2"/>
      <c r="W302" s="2"/>
      <c r="Y302" s="2"/>
      <c r="AA302" s="2"/>
      <c r="AB302" s="2"/>
      <c r="AC302" s="2"/>
      <c r="AD302" s="2"/>
      <c r="AE302" s="448"/>
      <c r="AF302" s="448"/>
    </row>
    <row r="303" spans="1:46" s="1384" customFormat="1">
      <c r="A303" s="2147"/>
      <c r="B303" s="2148"/>
      <c r="C303" s="2148"/>
      <c r="D303" s="2160" t="s">
        <v>264</v>
      </c>
      <c r="E303" s="2985"/>
      <c r="F303" s="72"/>
      <c r="G303" s="2161"/>
      <c r="H303" s="2161"/>
      <c r="I303" s="2161">
        <v>1998</v>
      </c>
      <c r="J303" s="2161">
        <v>1999</v>
      </c>
      <c r="K303" s="2161">
        <v>2000</v>
      </c>
      <c r="L303" s="2161">
        <v>2001</v>
      </c>
      <c r="M303" s="2161">
        <v>2002</v>
      </c>
      <c r="N303" s="2161">
        <v>2003</v>
      </c>
      <c r="O303" s="2161">
        <v>2004</v>
      </c>
      <c r="P303" s="2161">
        <v>2005</v>
      </c>
      <c r="Q303" s="2161">
        <v>2006</v>
      </c>
      <c r="R303" s="2161">
        <v>2007</v>
      </c>
      <c r="S303" s="2161">
        <v>2008</v>
      </c>
      <c r="T303" s="2161">
        <v>2009</v>
      </c>
      <c r="U303" s="2161">
        <v>2010</v>
      </c>
      <c r="V303" s="2162">
        <v>2011</v>
      </c>
      <c r="W303" s="2163">
        <v>2012</v>
      </c>
      <c r="X303" s="2163">
        <v>2013</v>
      </c>
      <c r="Y303" s="2163">
        <v>2014</v>
      </c>
      <c r="Z303" s="2163">
        <v>2015</v>
      </c>
      <c r="AA303" s="2163">
        <v>2016</v>
      </c>
      <c r="AB303" s="2163">
        <v>2017</v>
      </c>
      <c r="AC303" s="2162">
        <v>2018</v>
      </c>
      <c r="AD303" s="2163">
        <v>2019</v>
      </c>
      <c r="AE303" s="2163">
        <v>2020</v>
      </c>
      <c r="AF303" s="3181">
        <v>2021</v>
      </c>
      <c r="AG303" s="2163">
        <v>2022</v>
      </c>
      <c r="AH303" s="3181">
        <v>2023</v>
      </c>
      <c r="AI303" s="3553">
        <v>2024</v>
      </c>
      <c r="AJ303" s="3540">
        <v>2025</v>
      </c>
      <c r="AK303" s="3181">
        <v>2026</v>
      </c>
      <c r="AL303" s="3181">
        <v>2027</v>
      </c>
      <c r="AM303" s="3181">
        <v>2028</v>
      </c>
      <c r="AN303" s="3181">
        <v>2029</v>
      </c>
      <c r="AO303" s="2164">
        <v>2030</v>
      </c>
      <c r="AP303" s="2164">
        <v>2031</v>
      </c>
      <c r="AQ303" s="2164">
        <v>2032</v>
      </c>
      <c r="AR303" s="2164">
        <v>2033</v>
      </c>
      <c r="AS303" s="2164">
        <v>2034</v>
      </c>
      <c r="AT303" s="2164">
        <v>2035</v>
      </c>
    </row>
    <row r="304" spans="1:46">
      <c r="D304" s="2072" t="s">
        <v>59</v>
      </c>
      <c r="E304" s="678"/>
      <c r="F304" s="797"/>
      <c r="G304" s="54"/>
      <c r="H304" s="54"/>
      <c r="I304" s="54"/>
      <c r="J304" s="54"/>
      <c r="K304" s="54"/>
      <c r="L304" s="54"/>
      <c r="M304" s="54"/>
      <c r="N304" s="54"/>
      <c r="O304" s="54"/>
      <c r="P304" s="54"/>
      <c r="Q304" s="54"/>
      <c r="R304" s="54"/>
      <c r="S304" s="54"/>
      <c r="T304" s="54"/>
      <c r="U304" s="54"/>
      <c r="V304" s="54"/>
      <c r="W304" s="837"/>
      <c r="X304" s="837"/>
      <c r="Y304" s="837"/>
      <c r="Z304" s="837"/>
      <c r="AA304" s="837"/>
      <c r="AB304" s="837"/>
      <c r="AC304" s="54"/>
      <c r="AD304" s="837"/>
      <c r="AE304" s="3182"/>
      <c r="AF304" s="2612"/>
      <c r="AG304" s="2612"/>
      <c r="AH304" s="2612"/>
      <c r="AI304" s="3554"/>
      <c r="AJ304" s="2612"/>
      <c r="AK304" s="2612"/>
      <c r="AL304" s="2612"/>
      <c r="AM304" s="2612"/>
      <c r="AN304" s="2612"/>
      <c r="AO304" s="2612"/>
      <c r="AP304" s="2612"/>
      <c r="AQ304" s="2612"/>
      <c r="AR304" s="2612"/>
      <c r="AS304" s="2612"/>
      <c r="AT304" s="2612"/>
    </row>
    <row r="305" spans="1:46" customFormat="1" ht="14.75">
      <c r="A305" s="297"/>
      <c r="B305" s="295"/>
      <c r="C305" s="295"/>
      <c r="D305" s="2072" t="s">
        <v>1313</v>
      </c>
      <c r="E305" s="678"/>
      <c r="F305" s="797"/>
      <c r="G305" s="54"/>
      <c r="H305" s="54"/>
      <c r="I305" s="54"/>
      <c r="J305" s="54"/>
      <c r="K305" s="54"/>
      <c r="L305" s="54"/>
      <c r="M305" s="54"/>
      <c r="N305" s="54"/>
      <c r="O305" s="54"/>
      <c r="P305" s="54"/>
      <c r="Q305" s="54"/>
      <c r="R305" s="54"/>
      <c r="S305" s="54"/>
      <c r="T305" s="54"/>
      <c r="U305" s="54"/>
      <c r="V305" s="54"/>
      <c r="W305" s="837"/>
      <c r="X305" s="837"/>
      <c r="Y305" s="837"/>
      <c r="Z305" s="837"/>
      <c r="AA305" s="837"/>
      <c r="AB305" s="837"/>
      <c r="AC305" s="54"/>
      <c r="AD305" s="837"/>
      <c r="AE305" s="3182"/>
      <c r="AF305" s="2612"/>
      <c r="AG305" s="2612"/>
      <c r="AH305" s="2612"/>
      <c r="AI305" s="3554"/>
      <c r="AJ305" s="2612"/>
      <c r="AK305" s="2612"/>
      <c r="AL305" s="2612"/>
      <c r="AM305" s="2612"/>
      <c r="AN305" s="2612"/>
      <c r="AO305" s="2612"/>
      <c r="AP305" s="2612"/>
      <c r="AQ305" s="2612"/>
      <c r="AR305" s="2612"/>
      <c r="AS305" s="2612"/>
      <c r="AT305" s="2612"/>
    </row>
    <row r="306" spans="1:46" customFormat="1" ht="14.75">
      <c r="A306" s="297" t="s">
        <v>38</v>
      </c>
      <c r="B306" s="295" t="s">
        <v>177</v>
      </c>
      <c r="C306" s="293" t="s">
        <v>30</v>
      </c>
      <c r="D306" s="812" t="s">
        <v>48</v>
      </c>
      <c r="E306" s="807"/>
      <c r="F306" s="2910"/>
      <c r="G306" s="1481"/>
      <c r="H306" s="1481"/>
      <c r="I306" s="1481"/>
      <c r="J306" s="1481"/>
      <c r="K306" s="1481"/>
      <c r="L306" s="1481"/>
      <c r="M306" s="1481"/>
      <c r="N306" s="1481"/>
      <c r="O306" s="1481"/>
      <c r="P306" s="1481"/>
      <c r="Q306" s="1481"/>
      <c r="R306" s="1481"/>
      <c r="S306" s="1481"/>
      <c r="T306" s="1481"/>
      <c r="U306" s="1481"/>
      <c r="V306" s="237"/>
      <c r="W306" s="838"/>
      <c r="X306" s="838"/>
      <c r="Y306" s="838"/>
      <c r="Z306" s="838"/>
      <c r="AA306" s="838"/>
      <c r="AB306" s="838"/>
      <c r="AC306" s="838"/>
      <c r="AD306" s="838"/>
      <c r="AE306" s="838"/>
      <c r="AF306" s="838"/>
      <c r="AG306" s="3183">
        <v>0</v>
      </c>
      <c r="AH306" s="3183">
        <v>0</v>
      </c>
      <c r="AI306" s="3555">
        <v>0</v>
      </c>
      <c r="AJ306" s="3902">
        <v>0</v>
      </c>
      <c r="AK306" s="3902">
        <v>0</v>
      </c>
      <c r="AL306" s="3902">
        <v>0</v>
      </c>
      <c r="AM306" s="3902">
        <v>0</v>
      </c>
      <c r="AN306" s="3902">
        <v>0</v>
      </c>
      <c r="AO306" s="3902">
        <v>0</v>
      </c>
      <c r="AP306" s="1686">
        <v>-0.03</v>
      </c>
      <c r="AQ306" s="1686">
        <v>-0.03</v>
      </c>
      <c r="AR306" s="1686">
        <v>-0.03</v>
      </c>
      <c r="AS306" s="1686">
        <v>-0.03</v>
      </c>
      <c r="AT306" s="1686">
        <v>-0.03</v>
      </c>
    </row>
    <row r="307" spans="1:46" customFormat="1" ht="14.75">
      <c r="A307" s="297"/>
      <c r="B307" s="295">
        <f>0.45*(-0.13)+0.22*0.13+0.33*(-0.5)</f>
        <v>-0.19490000000000002</v>
      </c>
      <c r="C307" s="293"/>
      <c r="D307" s="811" t="s">
        <v>1764</v>
      </c>
      <c r="E307" s="807"/>
      <c r="F307" s="2910"/>
      <c r="G307" s="808"/>
      <c r="H307" s="808"/>
      <c r="I307" s="808"/>
      <c r="J307" s="808"/>
      <c r="K307" s="808"/>
      <c r="L307" s="808"/>
      <c r="M307" s="808"/>
      <c r="N307" s="808"/>
      <c r="O307" s="808"/>
      <c r="P307" s="808"/>
      <c r="Q307" s="808"/>
      <c r="R307" s="808"/>
      <c r="S307" s="808"/>
      <c r="T307" s="808"/>
      <c r="U307" s="808"/>
      <c r="V307" s="670"/>
      <c r="W307" s="1655">
        <v>7.3341054266399655E-2</v>
      </c>
      <c r="X307" s="1655">
        <v>7.3341054266399655E-2</v>
      </c>
      <c r="Y307" s="1655">
        <v>7.3341054266399655E-2</v>
      </c>
      <c r="Z307" s="1655">
        <v>7.3341054266399655E-2</v>
      </c>
      <c r="AA307" s="1655">
        <v>7.3341054266399655E-2</v>
      </c>
      <c r="AB307" s="1655">
        <v>7.3341054266399655E-2</v>
      </c>
      <c r="AC307" s="1655">
        <v>7.3341054266399655E-2</v>
      </c>
      <c r="AD307" s="1655">
        <v>7.3341054266399655E-2</v>
      </c>
      <c r="AE307" s="1655">
        <v>7.3341054266399655E-2</v>
      </c>
      <c r="AF307" s="1655">
        <v>7.3341054266399655E-2</v>
      </c>
      <c r="AG307" s="1655">
        <v>7.3341054266399655E-2</v>
      </c>
      <c r="AH307" s="1655">
        <v>7.3341054266399655E-2</v>
      </c>
      <c r="AI307" s="1655">
        <v>7.3341054266399655E-2</v>
      </c>
      <c r="AJ307" s="1655">
        <v>7.3341054266399655E-2</v>
      </c>
      <c r="AK307" s="1655">
        <v>7.3341054266399655E-2</v>
      </c>
      <c r="AL307" s="1655">
        <v>7.3341054266399655E-2</v>
      </c>
      <c r="AM307" s="1655">
        <v>7.3341054266399655E-2</v>
      </c>
      <c r="AN307" s="1655">
        <v>7.3341054266399655E-2</v>
      </c>
      <c r="AO307" s="1655">
        <v>7.3341054266399655E-2</v>
      </c>
      <c r="AP307" s="1768">
        <f>AO307</f>
        <v>7.3341054266399655E-2</v>
      </c>
      <c r="AQ307" s="1768">
        <f t="shared" ref="AQ307:AT307" si="3">AP307</f>
        <v>7.3341054266399655E-2</v>
      </c>
      <c r="AR307" s="1768">
        <f t="shared" si="3"/>
        <v>7.3341054266399655E-2</v>
      </c>
      <c r="AS307" s="1768">
        <f t="shared" si="3"/>
        <v>7.3341054266399655E-2</v>
      </c>
      <c r="AT307" s="1768">
        <f t="shared" si="3"/>
        <v>7.3341054266399655E-2</v>
      </c>
    </row>
    <row r="308" spans="1:46" customFormat="1" ht="14.75">
      <c r="A308" s="297"/>
      <c r="B308" s="295"/>
      <c r="C308" s="293"/>
      <c r="D308" s="811" t="s">
        <v>706</v>
      </c>
      <c r="E308" s="807"/>
      <c r="F308" s="2910"/>
      <c r="G308" s="808"/>
      <c r="H308" s="808"/>
      <c r="I308" s="808"/>
      <c r="J308" s="808"/>
      <c r="K308" s="808"/>
      <c r="L308" s="808"/>
      <c r="M308" s="808"/>
      <c r="N308" s="808"/>
      <c r="O308" s="808"/>
      <c r="P308" s="808"/>
      <c r="Q308" s="808"/>
      <c r="R308" s="808"/>
      <c r="S308" s="808"/>
      <c r="T308" s="808"/>
      <c r="U308" s="808"/>
      <c r="V308" s="839"/>
      <c r="W308" s="839">
        <v>6.0742829158975657E-2</v>
      </c>
      <c r="X308" s="839">
        <v>6.0742829158975657E-2</v>
      </c>
      <c r="Y308" s="839">
        <v>6.0742829158975657E-2</v>
      </c>
      <c r="Z308" s="839">
        <v>6.0742829158975657E-2</v>
      </c>
      <c r="AA308" s="839">
        <v>6.0742829158975657E-2</v>
      </c>
      <c r="AB308" s="839">
        <v>6.0742829158975657E-2</v>
      </c>
      <c r="AC308" s="839">
        <v>6.0742829158975657E-2</v>
      </c>
      <c r="AD308" s="839">
        <v>6.0742829158975657E-2</v>
      </c>
      <c r="AE308" s="839">
        <v>6.0742829158975657E-2</v>
      </c>
      <c r="AF308" s="839">
        <v>6.0742829158975657E-2</v>
      </c>
      <c r="AG308" s="839">
        <v>6.0742829158975657E-2</v>
      </c>
      <c r="AH308" s="839">
        <v>6.0742829158975657E-2</v>
      </c>
      <c r="AI308" s="3556">
        <v>6.0742829158975657E-2</v>
      </c>
      <c r="AJ308" s="1655">
        <v>6.0742829158975657E-2</v>
      </c>
      <c r="AK308" s="1655">
        <v>6.0742829158975657E-2</v>
      </c>
      <c r="AL308" s="1655">
        <v>6.0742829158975657E-2</v>
      </c>
      <c r="AM308" s="1655">
        <v>6.0742829158975657E-2</v>
      </c>
      <c r="AN308" s="1655">
        <v>6.0742829158975657E-2</v>
      </c>
      <c r="AO308" s="1655">
        <v>6.0742829158975657E-2</v>
      </c>
      <c r="AP308" s="1768">
        <f>AO308</f>
        <v>6.0742829158975657E-2</v>
      </c>
      <c r="AQ308" s="1768">
        <f t="shared" ref="AQ308:AT308" si="4">AP308</f>
        <v>6.0742829158975657E-2</v>
      </c>
      <c r="AR308" s="1768">
        <f t="shared" si="4"/>
        <v>6.0742829158975657E-2</v>
      </c>
      <c r="AS308" s="1768">
        <f t="shared" si="4"/>
        <v>6.0742829158975657E-2</v>
      </c>
      <c r="AT308" s="1768">
        <f t="shared" si="4"/>
        <v>6.0742829158975657E-2</v>
      </c>
    </row>
    <row r="309" spans="1:46" customFormat="1" ht="14.75">
      <c r="A309" s="297"/>
      <c r="B309" s="295"/>
      <c r="C309" s="293"/>
      <c r="D309" s="2391" t="s">
        <v>1541</v>
      </c>
      <c r="E309" s="807"/>
      <c r="F309" s="2910"/>
      <c r="G309" s="808"/>
      <c r="H309" s="808"/>
      <c r="I309" s="808"/>
      <c r="J309" s="808"/>
      <c r="K309" s="808"/>
      <c r="L309" s="808"/>
      <c r="M309" s="808"/>
      <c r="N309" s="808"/>
      <c r="O309" s="808"/>
      <c r="P309" s="808"/>
      <c r="Q309" s="808"/>
      <c r="R309" s="808"/>
      <c r="S309" s="808"/>
      <c r="T309" s="808"/>
      <c r="U309" s="808"/>
      <c r="V309" s="839"/>
      <c r="W309" s="839"/>
      <c r="X309" s="839"/>
      <c r="Y309" s="839"/>
      <c r="Z309" s="839"/>
      <c r="AA309" s="839"/>
      <c r="AB309" s="839"/>
      <c r="AC309" s="809"/>
      <c r="AD309" s="839"/>
      <c r="AE309" s="1768">
        <v>0.05</v>
      </c>
      <c r="AF309" s="1768">
        <v>0.05</v>
      </c>
      <c r="AG309" s="1768">
        <v>0.05</v>
      </c>
      <c r="AH309" s="1768">
        <v>0.05</v>
      </c>
      <c r="AI309" s="3557">
        <v>0.05</v>
      </c>
      <c r="AJ309" s="3541">
        <v>0.05</v>
      </c>
      <c r="AK309" s="1768">
        <v>0.05</v>
      </c>
      <c r="AL309" s="1768">
        <v>0.05</v>
      </c>
      <c r="AM309" s="1768">
        <v>0.05</v>
      </c>
      <c r="AN309" s="1768">
        <v>0.05</v>
      </c>
      <c r="AO309" s="839">
        <v>0.05</v>
      </c>
      <c r="AP309" s="1768">
        <v>0.05</v>
      </c>
      <c r="AQ309" s="1768">
        <v>0.05</v>
      </c>
      <c r="AR309" s="1768">
        <v>0.05</v>
      </c>
      <c r="AS309" s="1768">
        <v>0.05</v>
      </c>
      <c r="AT309" s="1768">
        <v>0.05</v>
      </c>
    </row>
    <row r="310" spans="1:46" customFormat="1" ht="14.25" customHeight="1">
      <c r="A310" s="297"/>
      <c r="B310" s="295"/>
      <c r="C310" s="293"/>
      <c r="D310" s="811" t="s">
        <v>966</v>
      </c>
      <c r="E310" s="839"/>
      <c r="F310" s="1655"/>
      <c r="G310" s="810"/>
      <c r="H310" s="810"/>
      <c r="I310" s="810"/>
      <c r="J310" s="810"/>
      <c r="K310" s="810"/>
      <c r="L310" s="810"/>
      <c r="M310" s="810"/>
      <c r="N310" s="810"/>
      <c r="O310" s="810"/>
      <c r="P310" s="810"/>
      <c r="Q310" s="810"/>
      <c r="R310" s="810"/>
      <c r="S310" s="810"/>
      <c r="T310" s="810"/>
      <c r="U310" s="810"/>
      <c r="V310" s="839"/>
      <c r="W310" s="839">
        <f t="shared" ref="W310:AH310" si="5">W550-(W457/V457-1)*W307-(W458/V458-1)*W308</f>
        <v>8.3336356406039078E-2</v>
      </c>
      <c r="X310" s="839">
        <f t="shared" si="5"/>
        <v>0.14675414183353988</v>
      </c>
      <c r="Y310" s="1085">
        <f t="shared" si="5"/>
        <v>-0.1844136536980322</v>
      </c>
      <c r="Z310" s="1085">
        <f t="shared" si="5"/>
        <v>0.12952580209413886</v>
      </c>
      <c r="AA310" s="1085">
        <f t="shared" si="5"/>
        <v>2.496837584226913E-2</v>
      </c>
      <c r="AB310" s="1085">
        <f t="shared" si="5"/>
        <v>8.5808275061607237E-3</v>
      </c>
      <c r="AC310" s="1085">
        <f t="shared" si="5"/>
        <v>4.7449049035053925E-2</v>
      </c>
      <c r="AD310" s="1085">
        <f t="shared" si="5"/>
        <v>3.8760868141904055E-2</v>
      </c>
      <c r="AE310" s="1085">
        <f t="shared" si="5"/>
        <v>-0.24639079591378366</v>
      </c>
      <c r="AF310" s="1085">
        <f t="shared" si="5"/>
        <v>0.41871857065091073</v>
      </c>
      <c r="AG310" s="1085">
        <f t="shared" si="5"/>
        <v>-3.9652773702539237E-2</v>
      </c>
      <c r="AH310" s="1085">
        <f>AH550-(AH457/AG457-1)*AH307-(AH458/AG458-1)*AH308</f>
        <v>-4.4125028130307985E-3</v>
      </c>
      <c r="AI310" s="3558">
        <f>AI550-(AI457/AH457-1)*AI307-(AI458/AH458-1)*AI308-AI309*(AI460/AH460-1)</f>
        <v>2.2989479531866409E-2</v>
      </c>
      <c r="AJ310" s="1655">
        <f>(1-AJ307-AJ308-AJ309)*AJ311</f>
        <v>2.8979455798212282E-2</v>
      </c>
      <c r="AK310" s="1655">
        <f t="shared" ref="AK310:AT310" si="6">(1-AK307-AK308-AK309)*AK311</f>
        <v>3.1591218938876058E-2</v>
      </c>
      <c r="AL310" s="1655">
        <f t="shared" si="6"/>
        <v>2.9951467410840649E-2</v>
      </c>
      <c r="AM310" s="1655">
        <f t="shared" si="6"/>
        <v>2.9130060095169313E-2</v>
      </c>
      <c r="AN310" s="1655">
        <f t="shared" si="6"/>
        <v>6.1791770268945827E-2</v>
      </c>
      <c r="AO310" s="1655">
        <f t="shared" si="6"/>
        <v>2.019814260103122E-2</v>
      </c>
      <c r="AP310" s="1768">
        <f t="shared" si="6"/>
        <v>2.739330177693711E-2</v>
      </c>
      <c r="AQ310" s="1768">
        <f t="shared" si="6"/>
        <v>3.1337178835505283E-2</v>
      </c>
      <c r="AR310" s="1768">
        <f t="shared" si="6"/>
        <v>3.2546574465689725E-2</v>
      </c>
      <c r="AS310" s="1768">
        <f t="shared" si="6"/>
        <v>3.2992464299124398E-2</v>
      </c>
      <c r="AT310" s="1768">
        <f t="shared" si="6"/>
        <v>3.3167619969155439E-2</v>
      </c>
    </row>
    <row r="311" spans="1:46" customFormat="1" ht="14.25" customHeight="1">
      <c r="A311" s="297"/>
      <c r="B311" s="295"/>
      <c r="C311" s="293"/>
      <c r="D311" s="811" t="s">
        <v>708</v>
      </c>
      <c r="E311" s="839"/>
      <c r="F311" s="1655"/>
      <c r="G311" s="810"/>
      <c r="H311" s="810"/>
      <c r="I311" s="810"/>
      <c r="J311" s="810"/>
      <c r="K311" s="810"/>
      <c r="L311" s="810"/>
      <c r="M311" s="810"/>
      <c r="N311" s="810"/>
      <c r="O311" s="810"/>
      <c r="P311" s="810"/>
      <c r="Q311" s="810"/>
      <c r="R311" s="810"/>
      <c r="S311" s="810"/>
      <c r="T311" s="810"/>
      <c r="U311" s="810"/>
      <c r="V311" s="839"/>
      <c r="W311" s="839">
        <f t="shared" ref="W311:AG311" si="7">W310/(1-W307-W308)</f>
        <v>9.6240680605067769E-2</v>
      </c>
      <c r="X311" s="839">
        <f t="shared" si="7"/>
        <v>0.16947847375109182</v>
      </c>
      <c r="Y311" s="1085">
        <f t="shared" si="7"/>
        <v>-0.21296942067267716</v>
      </c>
      <c r="Z311" s="1085">
        <f t="shared" si="7"/>
        <v>0.14958238981220801</v>
      </c>
      <c r="AA311" s="1085">
        <f t="shared" si="7"/>
        <v>2.883463578555228E-2</v>
      </c>
      <c r="AB311" s="1085">
        <f t="shared" si="7"/>
        <v>9.9095366651733036E-3</v>
      </c>
      <c r="AC311" s="1085">
        <f t="shared" si="7"/>
        <v>5.4796357437891352E-2</v>
      </c>
      <c r="AD311" s="1085">
        <f t="shared" si="7"/>
        <v>4.4762844113854353E-2</v>
      </c>
      <c r="AE311" s="1085">
        <f t="shared" si="7"/>
        <v>-0.28454349237481791</v>
      </c>
      <c r="AF311" s="1085">
        <f t="shared" si="7"/>
        <v>0.48355558077296229</v>
      </c>
      <c r="AG311" s="1085">
        <f t="shared" si="7"/>
        <v>-4.5792857926466327E-2</v>
      </c>
      <c r="AH311" s="1085">
        <f>AH310/(1-AH307-AH308)</f>
        <v>-5.095762428450573E-3</v>
      </c>
      <c r="AI311" s="1085">
        <f>AI310/(1-AI307-AI308)</f>
        <v>2.6549314756731609E-2</v>
      </c>
      <c r="AJ311" s="1655">
        <f>AVERAGE(AB311:AI311)</f>
        <v>3.5517690127109765E-2</v>
      </c>
      <c r="AK311" s="1655">
        <f t="shared" ref="AK311:AO311" si="8">AVERAGE(AC311:AJ311)</f>
        <v>3.8718709309851815E-2</v>
      </c>
      <c r="AL311" s="1655">
        <f t="shared" si="8"/>
        <v>3.6709003293846881E-2</v>
      </c>
      <c r="AM311" s="1655">
        <f t="shared" si="8"/>
        <v>3.5702273191345946E-2</v>
      </c>
      <c r="AN311" s="1655">
        <f t="shared" si="8"/>
        <v>7.5732993887116434E-2</v>
      </c>
      <c r="AO311" s="1655">
        <f t="shared" si="8"/>
        <v>2.4755170526385692E-2</v>
      </c>
      <c r="AP311" s="3903">
        <f>AVERAGE(AH311:AO311)</f>
        <v>3.3573674082992194E-2</v>
      </c>
      <c r="AQ311" s="3903">
        <f t="shared" ref="AQ311:AT311" si="9">AVERAGE(AI311:AP311)</f>
        <v>3.8407353646922535E-2</v>
      </c>
      <c r="AR311" s="3903">
        <f t="shared" si="9"/>
        <v>3.9889608508196416E-2</v>
      </c>
      <c r="AS311" s="3903">
        <f t="shared" si="9"/>
        <v>4.0436098305832238E-2</v>
      </c>
      <c r="AT311" s="3903">
        <f t="shared" si="9"/>
        <v>4.0650771930329788E-2</v>
      </c>
    </row>
    <row r="312" spans="1:46" customFormat="1" ht="14.25" customHeight="1">
      <c r="A312" s="297"/>
      <c r="B312" s="295"/>
      <c r="C312" s="293"/>
      <c r="D312" s="812" t="s">
        <v>1321</v>
      </c>
      <c r="E312" s="839"/>
      <c r="F312" s="2911"/>
      <c r="G312" s="810"/>
      <c r="H312" s="810"/>
      <c r="I312" s="810"/>
      <c r="J312" s="810"/>
      <c r="K312" s="810"/>
      <c r="L312" s="810"/>
      <c r="M312" s="810"/>
      <c r="N312" s="810"/>
      <c r="O312" s="810"/>
      <c r="P312" s="810"/>
      <c r="Q312" s="810"/>
      <c r="R312" s="810"/>
      <c r="S312" s="810"/>
      <c r="T312" s="810"/>
      <c r="U312" s="810"/>
      <c r="V312" s="839"/>
      <c r="W312" s="839"/>
      <c r="X312" s="839"/>
      <c r="Y312" s="839"/>
      <c r="Z312" s="839"/>
      <c r="AA312" s="839"/>
      <c r="AB312" s="839"/>
      <c r="AC312" s="839"/>
      <c r="AD312" s="839"/>
      <c r="AE312" s="839"/>
      <c r="AF312" s="839"/>
      <c r="AG312" s="839"/>
      <c r="AH312" s="839"/>
      <c r="AI312" s="3556"/>
      <c r="AJ312" s="3542">
        <v>0</v>
      </c>
      <c r="AK312" s="1686">
        <v>0</v>
      </c>
      <c r="AL312" s="1686">
        <v>0</v>
      </c>
      <c r="AM312" s="2658">
        <v>0</v>
      </c>
      <c r="AN312" s="2658">
        <v>0</v>
      </c>
      <c r="AO312" s="2658">
        <v>0</v>
      </c>
      <c r="AP312" s="2658">
        <v>0</v>
      </c>
      <c r="AQ312" s="2658">
        <v>0</v>
      </c>
      <c r="AR312" s="2658">
        <v>0</v>
      </c>
      <c r="AS312" s="2658">
        <v>0</v>
      </c>
      <c r="AT312" s="2658">
        <v>0</v>
      </c>
    </row>
    <row r="313" spans="1:46" customFormat="1" ht="14.25" customHeight="1">
      <c r="A313" s="297"/>
      <c r="B313" s="295"/>
      <c r="C313" s="293"/>
      <c r="D313" s="812" t="s">
        <v>1320</v>
      </c>
      <c r="E313" s="839"/>
      <c r="F313" s="2911"/>
      <c r="G313" s="810"/>
      <c r="H313" s="810"/>
      <c r="I313" s="810"/>
      <c r="J313" s="810"/>
      <c r="K313" s="810"/>
      <c r="L313" s="810"/>
      <c r="M313" s="810"/>
      <c r="N313" s="810"/>
      <c r="O313" s="810"/>
      <c r="P313" s="810"/>
      <c r="Q313" s="810"/>
      <c r="R313" s="810"/>
      <c r="S313" s="810"/>
      <c r="T313" s="810"/>
      <c r="U313" s="810"/>
      <c r="V313" s="839"/>
      <c r="W313" s="839"/>
      <c r="X313" s="839"/>
      <c r="Y313" s="839"/>
      <c r="Z313" s="839"/>
      <c r="AA313" s="839"/>
      <c r="AB313" s="839"/>
      <c r="AC313" s="839"/>
      <c r="AD313" s="839"/>
      <c r="AE313" s="839"/>
      <c r="AF313" s="839"/>
      <c r="AG313" s="839"/>
      <c r="AH313" s="839"/>
      <c r="AI313" s="3556"/>
      <c r="AJ313" s="3542">
        <v>0</v>
      </c>
      <c r="AK313" s="1686">
        <v>0</v>
      </c>
      <c r="AL313" s="1686">
        <v>0</v>
      </c>
      <c r="AM313" s="2658">
        <v>0</v>
      </c>
      <c r="AN313" s="2658">
        <v>0</v>
      </c>
      <c r="AO313" s="2658">
        <v>0</v>
      </c>
      <c r="AP313" s="2658">
        <v>0</v>
      </c>
      <c r="AQ313" s="2658">
        <v>0</v>
      </c>
      <c r="AR313" s="2658">
        <v>0</v>
      </c>
      <c r="AS313" s="2658">
        <v>0</v>
      </c>
      <c r="AT313" s="2658">
        <v>0</v>
      </c>
    </row>
    <row r="314" spans="1:46" customFormat="1" ht="14.25" customHeight="1">
      <c r="A314" s="297"/>
      <c r="B314" s="295"/>
      <c r="C314" s="293"/>
      <c r="D314" s="812" t="s">
        <v>56</v>
      </c>
      <c r="E314" s="839"/>
      <c r="F314" s="2911"/>
      <c r="G314" s="810"/>
      <c r="H314" s="810"/>
      <c r="I314" s="810"/>
      <c r="J314" s="810"/>
      <c r="K314" s="810"/>
      <c r="L314" s="810"/>
      <c r="M314" s="810"/>
      <c r="N314" s="810"/>
      <c r="O314" s="810"/>
      <c r="P314" s="810"/>
      <c r="Q314" s="810"/>
      <c r="R314" s="810"/>
      <c r="S314" s="810"/>
      <c r="T314" s="810"/>
      <c r="U314" s="810"/>
      <c r="V314" s="839"/>
      <c r="W314" s="839"/>
      <c r="X314" s="839"/>
      <c r="Y314" s="839"/>
      <c r="Z314" s="839"/>
      <c r="AA314" s="839"/>
      <c r="AB314" s="839"/>
      <c r="AC314" s="839"/>
      <c r="AD314" s="839"/>
      <c r="AE314" s="839"/>
      <c r="AF314" s="839"/>
      <c r="AG314" s="1655"/>
      <c r="AH314" s="1655"/>
      <c r="AI314" s="3556"/>
      <c r="AJ314" s="3542">
        <v>0</v>
      </c>
      <c r="AK314" s="1686">
        <v>0</v>
      </c>
      <c r="AL314" s="1686">
        <v>0</v>
      </c>
      <c r="AM314" s="2658">
        <v>0</v>
      </c>
      <c r="AN314" s="2658">
        <v>0</v>
      </c>
      <c r="AO314" s="2658">
        <v>0</v>
      </c>
      <c r="AP314" s="2658">
        <v>0</v>
      </c>
      <c r="AQ314" s="2658">
        <v>0</v>
      </c>
      <c r="AR314" s="2658">
        <v>0</v>
      </c>
      <c r="AS314" s="2658">
        <v>0</v>
      </c>
      <c r="AT314" s="2658">
        <v>0</v>
      </c>
    </row>
    <row r="315" spans="1:46" customFormat="1" ht="14.25" customHeight="1">
      <c r="A315" s="297"/>
      <c r="B315" s="295"/>
      <c r="C315" s="293"/>
      <c r="D315" s="812" t="s">
        <v>57</v>
      </c>
      <c r="E315" s="839"/>
      <c r="F315" s="2911"/>
      <c r="G315" s="810"/>
      <c r="H315" s="810"/>
      <c r="I315" s="810"/>
      <c r="J315" s="810"/>
      <c r="K315" s="810"/>
      <c r="L315" s="810"/>
      <c r="M315" s="810"/>
      <c r="N315" s="810"/>
      <c r="O315" s="810"/>
      <c r="P315" s="810"/>
      <c r="Q315" s="810"/>
      <c r="R315" s="810"/>
      <c r="S315" s="810"/>
      <c r="T315" s="810"/>
      <c r="U315" s="810"/>
      <c r="V315" s="839"/>
      <c r="W315" s="839"/>
      <c r="X315" s="839"/>
      <c r="Y315" s="839"/>
      <c r="Z315" s="839"/>
      <c r="AA315" s="839"/>
      <c r="AB315" s="839"/>
      <c r="AC315" s="839"/>
      <c r="AD315" s="839"/>
      <c r="AE315" s="839"/>
      <c r="AF315" s="839"/>
      <c r="AG315" s="1655"/>
      <c r="AH315" s="1655"/>
      <c r="AI315" s="3556"/>
      <c r="AJ315" s="3542">
        <v>0</v>
      </c>
      <c r="AK315" s="1686">
        <v>0</v>
      </c>
      <c r="AL315" s="1686">
        <v>0</v>
      </c>
      <c r="AM315" s="2658">
        <v>0</v>
      </c>
      <c r="AN315" s="2658">
        <v>0</v>
      </c>
      <c r="AO315" s="2658">
        <v>0</v>
      </c>
      <c r="AP315" s="2658">
        <v>0</v>
      </c>
      <c r="AQ315" s="2658">
        <v>0</v>
      </c>
      <c r="AR315" s="2658">
        <v>0</v>
      </c>
      <c r="AS315" s="2658">
        <v>0</v>
      </c>
      <c r="AT315" s="2658">
        <v>0</v>
      </c>
    </row>
    <row r="316" spans="1:46">
      <c r="C316" s="293"/>
      <c r="D316" s="2072" t="s">
        <v>1314</v>
      </c>
      <c r="E316" s="678"/>
      <c r="F316" s="797"/>
      <c r="G316" s="54"/>
      <c r="H316" s="54"/>
      <c r="I316" s="54"/>
      <c r="J316" s="54"/>
      <c r="K316" s="54"/>
      <c r="L316" s="54"/>
      <c r="M316" s="54"/>
      <c r="N316" s="54"/>
      <c r="O316" s="54"/>
      <c r="P316" s="54"/>
      <c r="Q316" s="54"/>
      <c r="R316" s="54"/>
      <c r="S316" s="54"/>
      <c r="T316" s="54"/>
      <c r="U316" s="54"/>
      <c r="V316" s="237"/>
      <c r="W316" s="838"/>
      <c r="X316" s="838"/>
      <c r="Y316" s="838"/>
      <c r="Z316" s="838"/>
      <c r="AA316" s="838"/>
      <c r="AB316" s="842"/>
      <c r="AC316" s="670"/>
      <c r="AD316" s="842"/>
      <c r="AE316" s="842"/>
      <c r="AF316" s="842"/>
      <c r="AG316" s="2913"/>
      <c r="AH316" s="2913"/>
      <c r="AI316" s="3559"/>
      <c r="AJ316" s="2913"/>
      <c r="AK316" s="2913"/>
      <c r="AL316" s="2913"/>
      <c r="AM316" s="2913"/>
      <c r="AN316" s="2913"/>
      <c r="AO316" s="1770"/>
      <c r="AP316" s="1770"/>
      <c r="AQ316" s="1770"/>
      <c r="AR316" s="1770"/>
      <c r="AS316" s="1770"/>
      <c r="AT316" s="1770"/>
    </row>
    <row r="317" spans="1:46">
      <c r="C317" s="293"/>
      <c r="D317" s="811" t="s">
        <v>710</v>
      </c>
      <c r="E317" s="678"/>
      <c r="F317" s="797"/>
      <c r="G317" s="665"/>
      <c r="H317" s="665"/>
      <c r="I317" s="665"/>
      <c r="J317" s="665"/>
      <c r="K317" s="665"/>
      <c r="L317" s="665"/>
      <c r="M317" s="665"/>
      <c r="N317" s="665"/>
      <c r="O317" s="665"/>
      <c r="P317" s="665"/>
      <c r="Q317" s="665"/>
      <c r="R317" s="665"/>
      <c r="S317" s="665"/>
      <c r="T317" s="665"/>
      <c r="U317" s="665"/>
      <c r="V317" s="670"/>
      <c r="W317" s="839">
        <v>0.51</v>
      </c>
      <c r="X317" s="839">
        <v>0.51</v>
      </c>
      <c r="Y317" s="839">
        <v>0.51</v>
      </c>
      <c r="Z317" s="839">
        <v>0.51</v>
      </c>
      <c r="AA317" s="839">
        <v>0.51</v>
      </c>
      <c r="AB317" s="839">
        <v>0.51</v>
      </c>
      <c r="AC317" s="809">
        <v>0.51</v>
      </c>
      <c r="AD317" s="839">
        <v>0.51</v>
      </c>
      <c r="AE317" s="839">
        <v>0.51</v>
      </c>
      <c r="AF317" s="839">
        <v>0.51</v>
      </c>
      <c r="AG317" s="839">
        <v>0.51</v>
      </c>
      <c r="AH317" s="839">
        <v>0.51</v>
      </c>
      <c r="AI317" s="3556">
        <v>0.51</v>
      </c>
      <c r="AJ317" s="1655">
        <v>0.51</v>
      </c>
      <c r="AK317" s="839">
        <v>0.51</v>
      </c>
      <c r="AL317" s="839">
        <v>0.51</v>
      </c>
      <c r="AM317" s="839">
        <v>0.51</v>
      </c>
      <c r="AN317" s="839">
        <v>0.51</v>
      </c>
      <c r="AO317" s="1768">
        <v>0.51</v>
      </c>
      <c r="AP317" s="1768">
        <v>0.51</v>
      </c>
      <c r="AQ317" s="1768">
        <v>0.51</v>
      </c>
      <c r="AR317" s="1768">
        <v>0.51</v>
      </c>
      <c r="AS317" s="1768">
        <v>0.51</v>
      </c>
      <c r="AT317" s="1768">
        <v>0.51</v>
      </c>
    </row>
    <row r="318" spans="1:46">
      <c r="C318" s="293"/>
      <c r="D318" s="812" t="s">
        <v>1334</v>
      </c>
      <c r="E318" s="678"/>
      <c r="F318" s="797"/>
      <c r="G318" s="665"/>
      <c r="H318" s="665"/>
      <c r="I318" s="665"/>
      <c r="J318" s="665"/>
      <c r="K318" s="665"/>
      <c r="L318" s="665"/>
      <c r="M318" s="665"/>
      <c r="N318" s="665"/>
      <c r="O318" s="665"/>
      <c r="P318" s="665"/>
      <c r="Q318" s="665"/>
      <c r="R318" s="665"/>
      <c r="S318" s="665"/>
      <c r="T318" s="665"/>
      <c r="U318" s="665"/>
      <c r="V318" s="670"/>
      <c r="W318" s="839"/>
      <c r="X318" s="839"/>
      <c r="Y318" s="839"/>
      <c r="Z318" s="839"/>
      <c r="AA318" s="839"/>
      <c r="AB318" s="839"/>
      <c r="AC318" s="839"/>
      <c r="AD318" s="839"/>
      <c r="AE318" s="839"/>
      <c r="AF318" s="839"/>
      <c r="AG318" s="839"/>
      <c r="AH318" s="839"/>
      <c r="AI318" s="3556"/>
      <c r="AJ318" s="3542">
        <v>0</v>
      </c>
      <c r="AK318" s="1686">
        <v>0</v>
      </c>
      <c r="AL318" s="1686">
        <v>0</v>
      </c>
      <c r="AM318" s="1686">
        <v>0</v>
      </c>
      <c r="AN318" s="1686">
        <v>0</v>
      </c>
      <c r="AO318" s="1686">
        <v>0</v>
      </c>
      <c r="AP318" s="1686">
        <v>0</v>
      </c>
      <c r="AQ318" s="1686">
        <v>0</v>
      </c>
      <c r="AR318" s="1686">
        <v>0</v>
      </c>
      <c r="AS318" s="1686">
        <v>0</v>
      </c>
      <c r="AT318" s="1686">
        <v>0</v>
      </c>
    </row>
    <row r="319" spans="1:46">
      <c r="C319" s="293"/>
      <c r="D319" s="811" t="s">
        <v>709</v>
      </c>
      <c r="E319" s="1085"/>
      <c r="F319" s="2912"/>
      <c r="G319" s="1085"/>
      <c r="H319" s="1085"/>
      <c r="I319" s="1085"/>
      <c r="J319" s="1085"/>
      <c r="K319" s="1085"/>
      <c r="L319" s="1085"/>
      <c r="M319" s="1085"/>
      <c r="N319" s="1085"/>
      <c r="O319" s="1085"/>
      <c r="P319" s="1085"/>
      <c r="Q319" s="1085"/>
      <c r="R319" s="1085"/>
      <c r="S319" s="1085"/>
      <c r="T319" s="1085"/>
      <c r="U319" s="1085"/>
      <c r="V319" s="1085"/>
      <c r="W319" s="1085">
        <f t="shared" ref="W319:AD319" si="10">W555-(W490/V490-1)*W317</f>
        <v>-3.102402705417609E-2</v>
      </c>
      <c r="X319" s="1085">
        <f t="shared" si="10"/>
        <v>0.27791044709273749</v>
      </c>
      <c r="Y319" s="1085">
        <f t="shared" si="10"/>
        <v>-4.3943580181916762E-2</v>
      </c>
      <c r="Z319" s="1085">
        <f t="shared" si="10"/>
        <v>0.45805574648074254</v>
      </c>
      <c r="AA319" s="1085">
        <f t="shared" si="10"/>
        <v>0.18615305125151227</v>
      </c>
      <c r="AB319" s="1085">
        <f>AB555-(AB490/AA490-1)*AB317</f>
        <v>5.5795910427595741E-2</v>
      </c>
      <c r="AC319" s="1085">
        <f>AC555-(AC490/AB490-1)*AC317</f>
        <v>2.7550035463227797E-2</v>
      </c>
      <c r="AD319" s="1085">
        <f t="shared" si="10"/>
        <v>7.5127204996899344E-2</v>
      </c>
      <c r="AE319" s="1085">
        <f>AVERAGE(Y319:AD319)+AE321</f>
        <v>0.12645639473967682</v>
      </c>
      <c r="AF319" s="1085">
        <f>AVERAGE(Z319:AE319)+AF321</f>
        <v>0.15485639055994241</v>
      </c>
      <c r="AG319" s="1085">
        <v>8.8201876878359009E-2</v>
      </c>
      <c r="AH319" s="1085">
        <v>8.8201876878359009E-2</v>
      </c>
      <c r="AI319" s="3558">
        <v>8.8201876878359009E-2</v>
      </c>
      <c r="AJ319" s="2912">
        <v>7.3499999999999996E-2</v>
      </c>
      <c r="AK319" s="1085">
        <v>7.3499999999999996E-2</v>
      </c>
      <c r="AL319" s="1085">
        <v>7.3499999999999996E-2</v>
      </c>
      <c r="AM319" s="1085">
        <v>8.5000000000000006E-2</v>
      </c>
      <c r="AN319" s="1085">
        <f t="shared" ref="AN319:AT319" si="11">+AN320*(1-AN317)</f>
        <v>7.3499999999999996E-2</v>
      </c>
      <c r="AO319" s="1769">
        <f t="shared" si="11"/>
        <v>7.3499999999999996E-2</v>
      </c>
      <c r="AP319" s="1769">
        <f t="shared" si="11"/>
        <v>7.3499999999999996E-2</v>
      </c>
      <c r="AQ319" s="1769">
        <f t="shared" si="11"/>
        <v>7.3499999999999996E-2</v>
      </c>
      <c r="AR319" s="1769">
        <f t="shared" si="11"/>
        <v>7.3499999999999996E-2</v>
      </c>
      <c r="AS319" s="1769">
        <f t="shared" si="11"/>
        <v>7.3499999999999996E-2</v>
      </c>
      <c r="AT319" s="1769">
        <f t="shared" si="11"/>
        <v>7.3499999999999996E-2</v>
      </c>
    </row>
    <row r="320" spans="1:46">
      <c r="C320" s="293"/>
      <c r="D320" s="811" t="s">
        <v>711</v>
      </c>
      <c r="E320" s="1085"/>
      <c r="F320" s="2912"/>
      <c r="G320" s="1085"/>
      <c r="H320" s="1085"/>
      <c r="I320" s="1085"/>
      <c r="J320" s="1085"/>
      <c r="K320" s="1085"/>
      <c r="L320" s="1085"/>
      <c r="M320" s="1085"/>
      <c r="N320" s="1085"/>
      <c r="O320" s="1085"/>
      <c r="P320" s="1085"/>
      <c r="Q320" s="1085"/>
      <c r="R320" s="1085"/>
      <c r="S320" s="1085"/>
      <c r="T320" s="1085"/>
      <c r="U320" s="1085"/>
      <c r="V320" s="1085"/>
      <c r="W320" s="1085">
        <f>W319/(1-W317)</f>
        <v>-6.3314340926889978E-2</v>
      </c>
      <c r="X320" s="1085">
        <f t="shared" ref="X320:AF320" si="12">X319/(1-X317)</f>
        <v>0.56716417774028061</v>
      </c>
      <c r="Y320" s="1085">
        <f t="shared" si="12"/>
        <v>-8.9680775881462782E-2</v>
      </c>
      <c r="Z320" s="1085">
        <f t="shared" si="12"/>
        <v>0.9348076458790664</v>
      </c>
      <c r="AA320" s="1085">
        <f t="shared" si="12"/>
        <v>0.37990418622757605</v>
      </c>
      <c r="AB320" s="1085">
        <f t="shared" si="12"/>
        <v>0.11386920495427702</v>
      </c>
      <c r="AC320" s="1085">
        <f t="shared" si="12"/>
        <v>5.6224562169852645E-2</v>
      </c>
      <c r="AD320" s="1085">
        <f>AD319/(1-AD317)</f>
        <v>0.15332082652428439</v>
      </c>
      <c r="AE320" s="1085">
        <f>AE319/(1-AE317)</f>
        <v>0.25807427497893232</v>
      </c>
      <c r="AF320" s="1085">
        <f t="shared" si="12"/>
        <v>0.31603345012233147</v>
      </c>
      <c r="AG320" s="1085">
        <v>0.18000383036399797</v>
      </c>
      <c r="AH320" s="1085">
        <v>0.18000383036399797</v>
      </c>
      <c r="AI320" s="3558">
        <v>0.18000383036399797</v>
      </c>
      <c r="AJ320" s="2912">
        <v>0.15</v>
      </c>
      <c r="AK320" s="1085">
        <v>0.15</v>
      </c>
      <c r="AL320" s="1085">
        <v>0.15</v>
      </c>
      <c r="AM320" s="1085">
        <v>0.15</v>
      </c>
      <c r="AN320" s="1085">
        <v>0.15</v>
      </c>
      <c r="AO320" s="1769">
        <v>0.15</v>
      </c>
      <c r="AP320" s="1769">
        <v>0.15</v>
      </c>
      <c r="AQ320" s="1769">
        <v>0.15</v>
      </c>
      <c r="AR320" s="1769">
        <v>0.15</v>
      </c>
      <c r="AS320" s="1769">
        <v>0.15</v>
      </c>
      <c r="AT320" s="1769">
        <v>0.15</v>
      </c>
    </row>
    <row r="321" spans="1:46">
      <c r="C321" s="293"/>
      <c r="D321" s="812" t="s">
        <v>1333</v>
      </c>
      <c r="E321" s="1085"/>
      <c r="F321" s="2912"/>
      <c r="G321" s="1085"/>
      <c r="H321" s="1085"/>
      <c r="I321" s="1085"/>
      <c r="J321" s="1085"/>
      <c r="K321" s="1085"/>
      <c r="L321" s="1085"/>
      <c r="M321" s="1085"/>
      <c r="N321" s="1085"/>
      <c r="O321" s="1085"/>
      <c r="P321" s="1085"/>
      <c r="Q321" s="1085"/>
      <c r="R321" s="1085"/>
      <c r="S321" s="1085"/>
      <c r="T321" s="1085"/>
      <c r="U321" s="1085"/>
      <c r="V321" s="1085"/>
      <c r="W321" s="1085"/>
      <c r="X321" s="1085"/>
      <c r="Y321" s="1085"/>
      <c r="Z321" s="1085"/>
      <c r="AA321" s="1085"/>
      <c r="AB321" s="1085"/>
      <c r="AC321" s="1085"/>
      <c r="AD321" s="1085"/>
      <c r="AE321" s="1085"/>
      <c r="AF321" s="1085"/>
      <c r="AG321" s="1085"/>
      <c r="AH321" s="1085"/>
      <c r="AI321" s="3558"/>
      <c r="AJ321" s="3542">
        <v>0</v>
      </c>
      <c r="AK321" s="1686">
        <v>0</v>
      </c>
      <c r="AL321" s="1686">
        <v>0</v>
      </c>
      <c r="AM321" s="1686">
        <v>0</v>
      </c>
      <c r="AN321" s="1686">
        <v>0</v>
      </c>
      <c r="AO321" s="1686">
        <v>0</v>
      </c>
      <c r="AP321" s="1686">
        <v>0</v>
      </c>
      <c r="AQ321" s="1686">
        <v>0</v>
      </c>
      <c r="AR321" s="1686">
        <v>0</v>
      </c>
      <c r="AS321" s="1686">
        <v>0</v>
      </c>
      <c r="AT321" s="1686">
        <v>0</v>
      </c>
    </row>
    <row r="322" spans="1:46">
      <c r="A322" s="297" t="s">
        <v>38</v>
      </c>
      <c r="C322" s="293"/>
      <c r="D322" s="811" t="s">
        <v>968</v>
      </c>
      <c r="E322" s="678"/>
      <c r="F322" s="797"/>
      <c r="G322" s="333"/>
      <c r="H322" s="333"/>
      <c r="I322" s="333"/>
      <c r="J322" s="333"/>
      <c r="K322" s="333"/>
      <c r="L322" s="333"/>
      <c r="M322" s="333"/>
      <c r="N322" s="333"/>
      <c r="O322" s="333"/>
      <c r="P322" s="333"/>
      <c r="Q322" s="333"/>
      <c r="R322" s="333"/>
      <c r="S322" s="333"/>
      <c r="T322" s="333"/>
      <c r="U322" s="333"/>
      <c r="V322" s="334"/>
      <c r="W322" s="840">
        <v>0.66655559297909783</v>
      </c>
      <c r="X322" s="840">
        <v>0.66655559297909783</v>
      </c>
      <c r="Y322" s="840">
        <v>0.66655559297909783</v>
      </c>
      <c r="Z322" s="840">
        <v>0.6068807520065479</v>
      </c>
      <c r="AA322" s="840">
        <v>0.55996925674035503</v>
      </c>
      <c r="AB322" s="847">
        <v>0.537513021434324</v>
      </c>
      <c r="AC322" s="847">
        <v>0.4626587210090452</v>
      </c>
      <c r="AD322" s="847">
        <v>0.49189126002452949</v>
      </c>
      <c r="AE322" s="847">
        <v>0.53080133205330604</v>
      </c>
      <c r="AF322" s="847">
        <v>0.42574001998265321</v>
      </c>
      <c r="AG322" s="847">
        <v>0.46954181182122634</v>
      </c>
      <c r="AH322" s="847">
        <v>0.49428544595256585</v>
      </c>
      <c r="AI322" s="3560">
        <v>0.44727248579539791</v>
      </c>
      <c r="AJ322" s="3187">
        <f>AI322</f>
        <v>0.44727248579539791</v>
      </c>
      <c r="AK322" s="3187">
        <f t="shared" ref="AK322:AO322" si="13">AJ322</f>
        <v>0.44727248579539791</v>
      </c>
      <c r="AL322" s="3187">
        <f t="shared" si="13"/>
        <v>0.44727248579539791</v>
      </c>
      <c r="AM322" s="3187">
        <f t="shared" si="13"/>
        <v>0.44727248579539791</v>
      </c>
      <c r="AN322" s="3187">
        <f t="shared" si="13"/>
        <v>0.44727248579539791</v>
      </c>
      <c r="AO322" s="3187">
        <f t="shared" si="13"/>
        <v>0.44727248579539791</v>
      </c>
      <c r="AP322" s="1081">
        <f>AO322</f>
        <v>0.44727248579539791</v>
      </c>
      <c r="AQ322" s="1081">
        <f t="shared" ref="AQ322:AT322" si="14">AP322</f>
        <v>0.44727248579539791</v>
      </c>
      <c r="AR322" s="1081">
        <f t="shared" si="14"/>
        <v>0.44727248579539791</v>
      </c>
      <c r="AS322" s="1081">
        <f t="shared" si="14"/>
        <v>0.44727248579539791</v>
      </c>
      <c r="AT322" s="1081">
        <f t="shared" si="14"/>
        <v>0.44727248579539791</v>
      </c>
    </row>
    <row r="323" spans="1:46">
      <c r="A323" s="297" t="s">
        <v>93</v>
      </c>
      <c r="B323" s="295" t="s">
        <v>470</v>
      </c>
      <c r="C323" s="293" t="s">
        <v>30</v>
      </c>
      <c r="D323" s="811" t="s">
        <v>1036</v>
      </c>
      <c r="E323" s="768"/>
      <c r="F323" s="797"/>
      <c r="G323" s="333"/>
      <c r="H323" s="333"/>
      <c r="I323" s="333"/>
      <c r="J323" s="333"/>
      <c r="K323" s="333"/>
      <c r="L323" s="333"/>
      <c r="M323" s="333"/>
      <c r="N323" s="333"/>
      <c r="O323" s="333"/>
      <c r="P323" s="333"/>
      <c r="Q323" s="333"/>
      <c r="R323" s="333"/>
      <c r="S323" s="333"/>
      <c r="T323" s="333"/>
      <c r="U323" s="333"/>
      <c r="V323" s="334"/>
      <c r="W323" s="841">
        <f>W549</f>
        <v>8.2666666666666666E-2</v>
      </c>
      <c r="X323" s="841">
        <f>X549</f>
        <v>0.36576354679802958</v>
      </c>
      <c r="Y323" s="841">
        <f>Y549</f>
        <v>-0.19522091974752032</v>
      </c>
      <c r="Z323" s="841">
        <f t="shared" ref="Z323:AO323" si="15">Z549</f>
        <v>3.3053221288515511E-2</v>
      </c>
      <c r="AA323" s="841">
        <f t="shared" si="15"/>
        <v>1.5184381778741818E-2</v>
      </c>
      <c r="AB323" s="841">
        <f t="shared" si="15"/>
        <v>9.935897435897445E-2</v>
      </c>
      <c r="AC323" s="841">
        <f t="shared" si="15"/>
        <v>3.158406219630705E-2</v>
      </c>
      <c r="AD323" s="841">
        <f t="shared" si="15"/>
        <v>2.9203956665096564E-2</v>
      </c>
      <c r="AE323" s="841">
        <f t="shared" si="15"/>
        <v>-0.20457665903890165</v>
      </c>
      <c r="AF323" s="841">
        <f t="shared" si="15"/>
        <v>0.31703107019562715</v>
      </c>
      <c r="AG323" s="841">
        <f t="shared" si="15"/>
        <v>-2.0969855832241202E-2</v>
      </c>
      <c r="AH323" s="841">
        <f>AH549</f>
        <v>5.4439982150825461E-2</v>
      </c>
      <c r="AI323" s="3561">
        <f>AI549</f>
        <v>4.2319085907744913E-3</v>
      </c>
      <c r="AJ323" s="1656">
        <f t="shared" si="15"/>
        <v>3.054792416545439E-2</v>
      </c>
      <c r="AK323" s="841">
        <f t="shared" si="15"/>
        <v>8.3873779955544014E-2</v>
      </c>
      <c r="AL323" s="841">
        <f t="shared" si="15"/>
        <v>8.9003634260349518E-2</v>
      </c>
      <c r="AM323" s="841">
        <f t="shared" si="15"/>
        <v>5.9439019498409129E-2</v>
      </c>
      <c r="AN323" s="841">
        <f t="shared" si="15"/>
        <v>4.1086794533862214E-2</v>
      </c>
      <c r="AO323" s="862">
        <f t="shared" si="15"/>
        <v>6.6308913673682968E-2</v>
      </c>
      <c r="AP323" s="862">
        <f>AP549</f>
        <v>3.0151942765750644E-2</v>
      </c>
      <c r="AQ323" s="862">
        <f>AQ549</f>
        <v>3.1255623715615882E-2</v>
      </c>
      <c r="AR323" s="862">
        <f>AR549</f>
        <v>3.2351617185212761E-2</v>
      </c>
      <c r="AS323" s="862">
        <f>AS549</f>
        <v>3.3440199929483355E-2</v>
      </c>
      <c r="AT323" s="862">
        <f>AT549</f>
        <v>3.4521606044599668E-2</v>
      </c>
    </row>
    <row r="324" spans="1:46">
      <c r="A324" s="297" t="s">
        <v>471</v>
      </c>
      <c r="B324" s="295" t="s">
        <v>472</v>
      </c>
      <c r="C324" s="293" t="s">
        <v>30</v>
      </c>
      <c r="D324" s="2075" t="s">
        <v>712</v>
      </c>
      <c r="E324" s="843"/>
      <c r="F324" s="1656"/>
      <c r="G324" s="841"/>
      <c r="H324" s="841"/>
      <c r="I324" s="841"/>
      <c r="J324" s="841"/>
      <c r="K324" s="841"/>
      <c r="L324" s="841"/>
      <c r="M324" s="841"/>
      <c r="N324" s="841"/>
      <c r="O324" s="841"/>
      <c r="P324" s="841"/>
      <c r="Q324" s="841"/>
      <c r="R324" s="841"/>
      <c r="S324" s="841"/>
      <c r="T324" s="841"/>
      <c r="U324" s="841"/>
      <c r="V324" s="841"/>
      <c r="W324" s="841">
        <f t="shared" ref="W324:AI324" si="16">W557-W322*W323</f>
        <v>-4.6971847718792481E-2</v>
      </c>
      <c r="X324" s="841">
        <f t="shared" si="16"/>
        <v>0.44974664927067565</v>
      </c>
      <c r="Y324" s="841">
        <f t="shared" si="16"/>
        <v>-0.18892202312338574</v>
      </c>
      <c r="Z324" s="841">
        <f t="shared" si="16"/>
        <v>-2.0059363791813133E-2</v>
      </c>
      <c r="AA324" s="841">
        <f t="shared" si="16"/>
        <v>7.5413296937380109E-2</v>
      </c>
      <c r="AB324" s="841">
        <f t="shared" si="16"/>
        <v>5.6270676840530776E-2</v>
      </c>
      <c r="AC324" s="841">
        <f t="shared" si="16"/>
        <v>0.12492224190091671</v>
      </c>
      <c r="AD324" s="841">
        <f t="shared" si="16"/>
        <v>2.6451155488916186E-2</v>
      </c>
      <c r="AE324" s="841">
        <f t="shared" si="16"/>
        <v>-9.2390829031998689E-2</v>
      </c>
      <c r="AF324" s="841">
        <f t="shared" si="16"/>
        <v>0.66257319810973048</v>
      </c>
      <c r="AG324" s="841">
        <f t="shared" si="16"/>
        <v>0.1463649954321585</v>
      </c>
      <c r="AH324" s="841">
        <f t="shared" si="16"/>
        <v>0.10222023827405873</v>
      </c>
      <c r="AI324" s="3561">
        <f t="shared" si="16"/>
        <v>1.6724205001541096E-2</v>
      </c>
      <c r="AJ324" s="1656">
        <v>3.3000000000000002E-2</v>
      </c>
      <c r="AK324" s="843">
        <v>3.3000000000000002E-2</v>
      </c>
      <c r="AL324" s="843">
        <v>3.3000000000000002E-2</v>
      </c>
      <c r="AM324" s="843">
        <v>3.3000000000000002E-2</v>
      </c>
      <c r="AN324" s="843">
        <f t="shared" ref="AN324:AT324" si="17">+AN325*(1-AN322)</f>
        <v>3.0400013281253115E-2</v>
      </c>
      <c r="AO324" s="1079">
        <f t="shared" si="17"/>
        <v>3.0400013281253115E-2</v>
      </c>
      <c r="AP324" s="1079">
        <f t="shared" si="17"/>
        <v>3.0400013281253115E-2</v>
      </c>
      <c r="AQ324" s="1079">
        <f t="shared" si="17"/>
        <v>3.0400013281253115E-2</v>
      </c>
      <c r="AR324" s="1079">
        <f t="shared" si="17"/>
        <v>3.0400013281253115E-2</v>
      </c>
      <c r="AS324" s="1079">
        <f t="shared" si="17"/>
        <v>3.0400013281253115E-2</v>
      </c>
      <c r="AT324" s="1079">
        <f t="shared" si="17"/>
        <v>3.0400013281253115E-2</v>
      </c>
    </row>
    <row r="325" spans="1:46">
      <c r="C325" s="293"/>
      <c r="D325" s="2075" t="s">
        <v>713</v>
      </c>
      <c r="E325" s="843"/>
      <c r="F325" s="1656"/>
      <c r="G325" s="841"/>
      <c r="H325" s="841"/>
      <c r="I325" s="841"/>
      <c r="J325" s="841"/>
      <c r="K325" s="841"/>
      <c r="L325" s="841"/>
      <c r="M325" s="841"/>
      <c r="N325" s="841"/>
      <c r="O325" s="841"/>
      <c r="P325" s="841"/>
      <c r="Q325" s="841"/>
      <c r="R325" s="841"/>
      <c r="S325" s="841"/>
      <c r="T325" s="841"/>
      <c r="U325" s="841"/>
      <c r="V325" s="841"/>
      <c r="W325" s="841">
        <f>W324/(1-W322)</f>
        <v>-0.14086860277086016</v>
      </c>
      <c r="X325" s="841">
        <f t="shared" ref="X325:AL325" si="18">X324/(1-X322)</f>
        <v>1.3487905024074462</v>
      </c>
      <c r="Y325" s="841">
        <f t="shared" si="18"/>
        <v>-0.5665772738888466</v>
      </c>
      <c r="Z325" s="841">
        <f t="shared" si="18"/>
        <v>-5.1026155280362272E-2</v>
      </c>
      <c r="AA325" s="841">
        <f t="shared" si="18"/>
        <v>0.17138188204473173</v>
      </c>
      <c r="AB325" s="841">
        <f t="shared" si="18"/>
        <v>0.12166975384916701</v>
      </c>
      <c r="AC325" s="841">
        <f t="shared" si="18"/>
        <v>0.23248212408974361</v>
      </c>
      <c r="AD325" s="841">
        <f t="shared" si="18"/>
        <v>5.2058060426579449E-2</v>
      </c>
      <c r="AE325" s="841">
        <f t="shared" si="18"/>
        <v>-0.19691195935469979</v>
      </c>
      <c r="AF325" s="841">
        <f t="shared" si="18"/>
        <v>1.1537861267813161</v>
      </c>
      <c r="AG325" s="841">
        <f t="shared" si="18"/>
        <v>0.27592183266069398</v>
      </c>
      <c r="AH325" s="841">
        <f>AH324/(1-AH322)</f>
        <v>0.20213030741541768</v>
      </c>
      <c r="AI325" s="3561">
        <f>AI324/(1-AI322)</f>
        <v>3.0257594514012793E-2</v>
      </c>
      <c r="AJ325" s="1656">
        <f t="shared" si="18"/>
        <v>5.9703921284773344E-2</v>
      </c>
      <c r="AK325" s="841">
        <f t="shared" si="18"/>
        <v>5.9703921284773344E-2</v>
      </c>
      <c r="AL325" s="841">
        <f t="shared" si="18"/>
        <v>5.9703921284773344E-2</v>
      </c>
      <c r="AM325" s="843">
        <v>5.5E-2</v>
      </c>
      <c r="AN325" s="843">
        <v>5.5E-2</v>
      </c>
      <c r="AO325" s="1079">
        <v>5.5E-2</v>
      </c>
      <c r="AP325" s="1079">
        <v>5.5E-2</v>
      </c>
      <c r="AQ325" s="1079">
        <v>5.5E-2</v>
      </c>
      <c r="AR325" s="1079">
        <v>5.5E-2</v>
      </c>
      <c r="AS325" s="1079">
        <v>5.5E-2</v>
      </c>
      <c r="AT325" s="1079">
        <v>5.5E-2</v>
      </c>
    </row>
    <row r="326" spans="1:46">
      <c r="C326" s="293"/>
      <c r="D326" s="2073" t="s">
        <v>1322</v>
      </c>
      <c r="E326" s="843"/>
      <c r="F326" s="1656"/>
      <c r="G326" s="843"/>
      <c r="H326" s="843"/>
      <c r="I326" s="843"/>
      <c r="J326" s="843"/>
      <c r="K326" s="843"/>
      <c r="L326" s="843"/>
      <c r="M326" s="843"/>
      <c r="N326" s="843"/>
      <c r="O326" s="843"/>
      <c r="P326" s="843"/>
      <c r="Q326" s="843"/>
      <c r="R326" s="843"/>
      <c r="S326" s="843"/>
      <c r="T326" s="843"/>
      <c r="U326" s="843"/>
      <c r="V326" s="843"/>
      <c r="W326" s="843"/>
      <c r="X326" s="843"/>
      <c r="Y326" s="843"/>
      <c r="Z326" s="843"/>
      <c r="AA326" s="843"/>
      <c r="AB326" s="843"/>
      <c r="AC326" s="843"/>
      <c r="AD326" s="843"/>
      <c r="AE326" s="843"/>
      <c r="AF326" s="843"/>
      <c r="AG326" s="843"/>
      <c r="AH326" s="843"/>
      <c r="AI326" s="3561"/>
      <c r="AJ326" s="1656"/>
      <c r="AK326" s="1656"/>
      <c r="AL326" s="1656"/>
      <c r="AM326" s="1656"/>
      <c r="AN326" s="1656"/>
      <c r="AO326" s="1771"/>
      <c r="AP326" s="1771"/>
      <c r="AQ326" s="1771"/>
      <c r="AR326" s="1771"/>
      <c r="AS326" s="1771"/>
      <c r="AT326" s="1771"/>
    </row>
    <row r="327" spans="1:46">
      <c r="C327" s="293"/>
      <c r="D327" s="812" t="s">
        <v>1319</v>
      </c>
      <c r="E327" s="842"/>
      <c r="F327" s="2913"/>
      <c r="G327" s="842"/>
      <c r="H327" s="842"/>
      <c r="I327" s="842"/>
      <c r="J327" s="842"/>
      <c r="K327" s="842"/>
      <c r="L327" s="842"/>
      <c r="M327" s="842"/>
      <c r="N327" s="842"/>
      <c r="O327" s="842"/>
      <c r="P327" s="842"/>
      <c r="Q327" s="842"/>
      <c r="R327" s="842"/>
      <c r="S327" s="842"/>
      <c r="T327" s="842"/>
      <c r="U327" s="842"/>
      <c r="V327" s="842"/>
      <c r="W327" s="842"/>
      <c r="X327" s="842"/>
      <c r="Y327" s="842"/>
      <c r="Z327" s="842"/>
      <c r="AA327" s="842"/>
      <c r="AB327" s="842"/>
      <c r="AC327" s="842"/>
      <c r="AD327" s="842"/>
      <c r="AE327" s="842"/>
      <c r="AF327" s="842"/>
      <c r="AG327" s="842"/>
      <c r="AH327" s="842"/>
      <c r="AI327" s="3559"/>
      <c r="AJ327" s="1687">
        <v>0</v>
      </c>
      <c r="AK327" s="1687">
        <v>0</v>
      </c>
      <c r="AL327" s="1687">
        <v>0</v>
      </c>
      <c r="AM327" s="1687">
        <v>0</v>
      </c>
      <c r="AN327" s="1687">
        <v>0</v>
      </c>
      <c r="AO327" s="1687">
        <v>0</v>
      </c>
      <c r="AP327" s="1687">
        <v>0</v>
      </c>
      <c r="AQ327" s="1687">
        <v>0</v>
      </c>
      <c r="AR327" s="1687">
        <v>0</v>
      </c>
      <c r="AS327" s="1687">
        <v>0</v>
      </c>
      <c r="AT327" s="1687">
        <v>0</v>
      </c>
    </row>
    <row r="328" spans="1:46">
      <c r="C328" s="293"/>
      <c r="D328" s="811" t="s">
        <v>654</v>
      </c>
      <c r="E328" s="768"/>
      <c r="F328" s="797"/>
      <c r="G328" s="665"/>
      <c r="H328" s="665"/>
      <c r="I328" s="665"/>
      <c r="J328" s="665"/>
      <c r="K328" s="665"/>
      <c r="L328" s="665"/>
      <c r="M328" s="665"/>
      <c r="N328" s="665"/>
      <c r="O328" s="665"/>
      <c r="P328" s="665"/>
      <c r="Q328" s="665"/>
      <c r="R328" s="665"/>
      <c r="S328" s="665"/>
      <c r="T328" s="665"/>
      <c r="U328" s="665"/>
      <c r="V328" s="670"/>
      <c r="W328" s="842"/>
      <c r="X328" s="842"/>
      <c r="Y328" s="842"/>
      <c r="Z328" s="843"/>
      <c r="AA328" s="844">
        <v>1291777.1399999999</v>
      </c>
      <c r="AB328" s="844">
        <v>1283859.1400000001</v>
      </c>
      <c r="AC328" s="821">
        <v>1364356.63</v>
      </c>
      <c r="AD328" s="3184">
        <v>1312941.0000000002</v>
      </c>
      <c r="AE328" s="3184">
        <v>1335320.0000000002</v>
      </c>
      <c r="AF328" s="3184">
        <v>1412561.0000000002</v>
      </c>
      <c r="AG328" s="2913"/>
      <c r="AH328" s="2913"/>
      <c r="AI328" s="3559"/>
      <c r="AJ328" s="2913"/>
      <c r="AK328" s="2913"/>
      <c r="AL328" s="2913"/>
      <c r="AM328" s="2913"/>
      <c r="AN328" s="2913"/>
      <c r="AO328" s="1770"/>
      <c r="AP328" s="1770"/>
      <c r="AQ328" s="1770"/>
      <c r="AR328" s="1770"/>
      <c r="AS328" s="1770"/>
      <c r="AT328" s="1770"/>
    </row>
    <row r="329" spans="1:46">
      <c r="C329" s="293"/>
      <c r="D329" s="811" t="s">
        <v>655</v>
      </c>
      <c r="E329" s="768"/>
      <c r="F329" s="797"/>
      <c r="G329" s="665"/>
      <c r="H329" s="665"/>
      <c r="I329" s="665"/>
      <c r="J329" s="665"/>
      <c r="K329" s="665"/>
      <c r="L329" s="665"/>
      <c r="M329" s="665"/>
      <c r="N329" s="665"/>
      <c r="O329" s="665"/>
      <c r="P329" s="665"/>
      <c r="Q329" s="665"/>
      <c r="R329" s="665"/>
      <c r="S329" s="665"/>
      <c r="T329" s="665"/>
      <c r="U329" s="665"/>
      <c r="V329" s="670"/>
      <c r="W329" s="842"/>
      <c r="X329" s="842"/>
      <c r="Y329" s="842"/>
      <c r="Z329" s="843"/>
      <c r="AA329" s="845">
        <v>282325</v>
      </c>
      <c r="AB329" s="845">
        <v>352500</v>
      </c>
      <c r="AC329" s="813">
        <v>405000</v>
      </c>
      <c r="AD329" s="844">
        <v>515341</v>
      </c>
      <c r="AE329" s="844">
        <v>564643</v>
      </c>
      <c r="AF329" s="844"/>
      <c r="AG329" s="2913"/>
      <c r="AH329" s="2913"/>
      <c r="AI329" s="3559"/>
      <c r="AJ329" s="2913"/>
      <c r="AK329" s="2913"/>
      <c r="AL329" s="2913"/>
      <c r="AM329" s="2913"/>
      <c r="AN329" s="2913"/>
      <c r="AO329" s="1770"/>
      <c r="AP329" s="1770"/>
      <c r="AQ329" s="1770"/>
      <c r="AR329" s="1770"/>
      <c r="AS329" s="1770"/>
      <c r="AT329" s="1770"/>
    </row>
    <row r="330" spans="1:46">
      <c r="A330" s="297" t="s">
        <v>38</v>
      </c>
      <c r="C330" s="293"/>
      <c r="D330" s="811" t="s">
        <v>967</v>
      </c>
      <c r="E330" s="678"/>
      <c r="F330" s="797"/>
      <c r="G330" s="333"/>
      <c r="H330" s="333"/>
      <c r="I330" s="333"/>
      <c r="J330" s="333"/>
      <c r="K330" s="333"/>
      <c r="L330" s="333"/>
      <c r="M330" s="333"/>
      <c r="N330" s="333"/>
      <c r="O330" s="333"/>
      <c r="P330" s="333"/>
      <c r="Q330" s="333"/>
      <c r="R330" s="333"/>
      <c r="S330" s="333"/>
      <c r="T330" s="333"/>
      <c r="U330" s="333"/>
      <c r="V330" s="334"/>
      <c r="W330" s="846"/>
      <c r="X330" s="846"/>
      <c r="Y330" s="840">
        <v>0.31944888584258319</v>
      </c>
      <c r="Z330" s="840">
        <v>0.31080637926316934</v>
      </c>
      <c r="AA330" s="840">
        <v>0.3054584759205965</v>
      </c>
      <c r="AB330" s="847">
        <v>0.26993412625269253</v>
      </c>
      <c r="AC330" s="847">
        <v>0.28221655553872405</v>
      </c>
      <c r="AD330" s="847">
        <v>0.2518548237515586</v>
      </c>
      <c r="AE330" s="847">
        <v>0.25204299966295574</v>
      </c>
      <c r="AF330" s="847">
        <v>0.25263771816068881</v>
      </c>
      <c r="AG330" s="847">
        <v>0.23485502800506836</v>
      </c>
      <c r="AH330" s="847">
        <v>0.24804212965724473</v>
      </c>
      <c r="AI330" s="3560">
        <v>0.29983635979999124</v>
      </c>
      <c r="AJ330" s="3187">
        <f>AI330</f>
        <v>0.29983635979999124</v>
      </c>
      <c r="AK330" s="3187">
        <f t="shared" ref="AK330:AT330" si="19">AJ330</f>
        <v>0.29983635979999124</v>
      </c>
      <c r="AL330" s="3187">
        <f t="shared" si="19"/>
        <v>0.29983635979999124</v>
      </c>
      <c r="AM330" s="3187">
        <f t="shared" si="19"/>
        <v>0.29983635979999124</v>
      </c>
      <c r="AN330" s="3187">
        <f t="shared" si="19"/>
        <v>0.29983635979999124</v>
      </c>
      <c r="AO330" s="3187">
        <f t="shared" si="19"/>
        <v>0.29983635979999124</v>
      </c>
      <c r="AP330" s="3187">
        <f t="shared" si="19"/>
        <v>0.29983635979999124</v>
      </c>
      <c r="AQ330" s="3187">
        <f t="shared" si="19"/>
        <v>0.29983635979999124</v>
      </c>
      <c r="AR330" s="3187">
        <f t="shared" si="19"/>
        <v>0.29983635979999124</v>
      </c>
      <c r="AS330" s="3187">
        <f t="shared" si="19"/>
        <v>0.29983635979999124</v>
      </c>
      <c r="AT330" s="3187">
        <f t="shared" si="19"/>
        <v>0.29983635979999124</v>
      </c>
    </row>
    <row r="331" spans="1:46">
      <c r="C331" s="293"/>
      <c r="D331" s="812" t="s">
        <v>1323</v>
      </c>
      <c r="E331" s="678"/>
      <c r="F331" s="797"/>
      <c r="G331" s="665"/>
      <c r="H331" s="665"/>
      <c r="I331" s="665"/>
      <c r="J331" s="665"/>
      <c r="K331" s="665"/>
      <c r="L331" s="665"/>
      <c r="M331" s="665"/>
      <c r="N331" s="665"/>
      <c r="O331" s="665"/>
      <c r="P331" s="665"/>
      <c r="Q331" s="665"/>
      <c r="R331" s="665"/>
      <c r="S331" s="665"/>
      <c r="T331" s="665"/>
      <c r="U331" s="665"/>
      <c r="V331" s="670"/>
      <c r="W331" s="842"/>
      <c r="X331" s="842"/>
      <c r="Y331" s="842"/>
      <c r="Z331" s="842"/>
      <c r="AA331" s="842"/>
      <c r="AB331" s="842"/>
      <c r="AC331" s="842"/>
      <c r="AD331" s="842"/>
      <c r="AE331" s="842"/>
      <c r="AF331" s="842"/>
      <c r="AG331" s="842"/>
      <c r="AH331" s="842"/>
      <c r="AI331" s="3559"/>
      <c r="AJ331" s="3185">
        <v>0</v>
      </c>
      <c r="AK331" s="3185">
        <v>0</v>
      </c>
      <c r="AL331" s="3186">
        <v>0</v>
      </c>
      <c r="AM331" s="3186">
        <v>0</v>
      </c>
      <c r="AN331" s="3186">
        <v>0</v>
      </c>
      <c r="AO331" s="3186">
        <v>0</v>
      </c>
      <c r="AP331" s="3186">
        <v>0</v>
      </c>
      <c r="AQ331" s="3186">
        <v>0</v>
      </c>
      <c r="AR331" s="3186">
        <v>0</v>
      </c>
      <c r="AS331" s="3186">
        <v>0</v>
      </c>
      <c r="AT331" s="3186">
        <v>0</v>
      </c>
    </row>
    <row r="332" spans="1:46">
      <c r="C332" s="293"/>
      <c r="D332" s="812" t="s">
        <v>1325</v>
      </c>
      <c r="E332" s="678"/>
      <c r="F332" s="797"/>
      <c r="G332" s="665"/>
      <c r="H332" s="665"/>
      <c r="I332" s="665"/>
      <c r="J332" s="665"/>
      <c r="K332" s="665"/>
      <c r="L332" s="665"/>
      <c r="M332" s="665"/>
      <c r="N332" s="665"/>
      <c r="O332" s="665"/>
      <c r="P332" s="665"/>
      <c r="Q332" s="665"/>
      <c r="R332" s="665"/>
      <c r="S332" s="665"/>
      <c r="T332" s="665"/>
      <c r="U332" s="665"/>
      <c r="V332" s="670"/>
      <c r="W332" s="842"/>
      <c r="X332" s="842"/>
      <c r="Y332" s="842"/>
      <c r="Z332" s="842"/>
      <c r="AA332" s="842"/>
      <c r="AB332" s="842"/>
      <c r="AC332" s="842"/>
      <c r="AD332" s="842"/>
      <c r="AE332" s="842"/>
      <c r="AF332" s="842"/>
      <c r="AG332" s="842"/>
      <c r="AH332" s="842"/>
      <c r="AI332" s="3559"/>
      <c r="AJ332" s="3185">
        <v>0</v>
      </c>
      <c r="AK332" s="3185">
        <v>0</v>
      </c>
      <c r="AL332" s="3186">
        <v>0</v>
      </c>
      <c r="AM332" s="3186">
        <v>0</v>
      </c>
      <c r="AN332" s="3186">
        <v>0</v>
      </c>
      <c r="AO332" s="3186">
        <v>0</v>
      </c>
      <c r="AP332" s="3186">
        <v>0</v>
      </c>
      <c r="AQ332" s="3186">
        <v>0</v>
      </c>
      <c r="AR332" s="3186">
        <v>0</v>
      </c>
      <c r="AS332" s="3186">
        <v>0</v>
      </c>
      <c r="AT332" s="3186">
        <v>0</v>
      </c>
    </row>
    <row r="333" spans="1:46">
      <c r="C333" s="293"/>
      <c r="D333" s="812" t="s">
        <v>1324</v>
      </c>
      <c r="E333" s="678"/>
      <c r="F333" s="797"/>
      <c r="G333" s="665"/>
      <c r="H333" s="665"/>
      <c r="I333" s="665"/>
      <c r="J333" s="665"/>
      <c r="K333" s="665"/>
      <c r="L333" s="665"/>
      <c r="M333" s="665"/>
      <c r="N333" s="665"/>
      <c r="O333" s="665"/>
      <c r="P333" s="665"/>
      <c r="Q333" s="665"/>
      <c r="R333" s="665"/>
      <c r="S333" s="665"/>
      <c r="T333" s="665"/>
      <c r="U333" s="665"/>
      <c r="V333" s="670"/>
      <c r="W333" s="842"/>
      <c r="X333" s="842"/>
      <c r="Y333" s="842"/>
      <c r="Z333" s="842"/>
      <c r="AA333" s="842"/>
      <c r="AB333" s="842"/>
      <c r="AC333" s="842"/>
      <c r="AD333" s="842"/>
      <c r="AE333" s="842"/>
      <c r="AF333" s="842"/>
      <c r="AG333" s="842"/>
      <c r="AH333" s="842"/>
      <c r="AI333" s="3559"/>
      <c r="AJ333" s="3185">
        <v>0</v>
      </c>
      <c r="AK333" s="3185">
        <v>0</v>
      </c>
      <c r="AL333" s="3186">
        <v>0</v>
      </c>
      <c r="AM333" s="3186">
        <v>0</v>
      </c>
      <c r="AN333" s="3186">
        <v>0</v>
      </c>
      <c r="AO333" s="3186">
        <v>0</v>
      </c>
      <c r="AP333" s="3186">
        <v>0</v>
      </c>
      <c r="AQ333" s="3186">
        <v>0</v>
      </c>
      <c r="AR333" s="3186">
        <v>0</v>
      </c>
      <c r="AS333" s="3186">
        <v>0</v>
      </c>
      <c r="AT333" s="3186">
        <v>0</v>
      </c>
    </row>
    <row r="334" spans="1:46">
      <c r="A334" s="297" t="s">
        <v>38</v>
      </c>
      <c r="C334" s="293"/>
      <c r="D334" s="811" t="s">
        <v>969</v>
      </c>
      <c r="E334" s="678"/>
      <c r="F334" s="797"/>
      <c r="G334" s="333"/>
      <c r="H334" s="333"/>
      <c r="I334" s="333"/>
      <c r="J334" s="333"/>
      <c r="K334" s="333"/>
      <c r="L334" s="333"/>
      <c r="M334" s="333"/>
      <c r="N334" s="333"/>
      <c r="O334" s="333"/>
      <c r="P334" s="333"/>
      <c r="Q334" s="333"/>
      <c r="R334" s="333"/>
      <c r="S334" s="333"/>
      <c r="T334" s="333"/>
      <c r="U334" s="333"/>
      <c r="V334" s="334"/>
      <c r="W334" s="846"/>
      <c r="X334" s="846"/>
      <c r="Y334" s="840">
        <v>0.77992106862690713</v>
      </c>
      <c r="Z334" s="840">
        <v>0.74229651159586063</v>
      </c>
      <c r="AA334" s="840">
        <v>0.67354970206427944</v>
      </c>
      <c r="AB334" s="847">
        <v>0.5550557893036846</v>
      </c>
      <c r="AC334" s="847">
        <v>0.51913638449682575</v>
      </c>
      <c r="AD334" s="847">
        <v>0.44263910194385936</v>
      </c>
      <c r="AE334" s="847">
        <v>0.41353791401035322</v>
      </c>
      <c r="AF334" s="847">
        <v>0.37114108141987401</v>
      </c>
      <c r="AG334" s="847">
        <v>0.39816127637846149</v>
      </c>
      <c r="AH334" s="847">
        <v>0.33133006336032345</v>
      </c>
      <c r="AI334" s="3560">
        <v>0.38648772500946732</v>
      </c>
      <c r="AJ334" s="3187">
        <f>AI334</f>
        <v>0.38648772500946732</v>
      </c>
      <c r="AK334" s="3187">
        <f t="shared" ref="AK334:AO334" si="20">AJ334</f>
        <v>0.38648772500946732</v>
      </c>
      <c r="AL334" s="3187">
        <f t="shared" si="20"/>
        <v>0.38648772500946732</v>
      </c>
      <c r="AM334" s="3187">
        <f t="shared" si="20"/>
        <v>0.38648772500946732</v>
      </c>
      <c r="AN334" s="3187">
        <f t="shared" si="20"/>
        <v>0.38648772500946732</v>
      </c>
      <c r="AO334" s="3187">
        <f t="shared" si="20"/>
        <v>0.38648772500946732</v>
      </c>
      <c r="AP334" s="1081">
        <f>AO334</f>
        <v>0.38648772500946732</v>
      </c>
      <c r="AQ334" s="1081">
        <f t="shared" ref="AQ334:AT334" si="21">AP334</f>
        <v>0.38648772500946732</v>
      </c>
      <c r="AR334" s="1081">
        <f t="shared" si="21"/>
        <v>0.38648772500946732</v>
      </c>
      <c r="AS334" s="1081">
        <f t="shared" si="21"/>
        <v>0.38648772500946732</v>
      </c>
      <c r="AT334" s="1081">
        <f t="shared" si="21"/>
        <v>0.38648772500946732</v>
      </c>
    </row>
    <row r="335" spans="1:46">
      <c r="A335" s="297" t="s">
        <v>38</v>
      </c>
      <c r="B335" s="295" t="s">
        <v>392</v>
      </c>
      <c r="C335" s="293" t="s">
        <v>30</v>
      </c>
      <c r="D335" s="811" t="s">
        <v>391</v>
      </c>
      <c r="E335" s="768" t="s">
        <v>435</v>
      </c>
      <c r="F335" s="797"/>
      <c r="G335" s="333"/>
      <c r="H335" s="333"/>
      <c r="I335" s="333"/>
      <c r="J335" s="333"/>
      <c r="K335" s="333"/>
      <c r="L335" s="333"/>
      <c r="M335" s="333"/>
      <c r="N335" s="333"/>
      <c r="O335" s="333"/>
      <c r="P335" s="333"/>
      <c r="Q335" s="333"/>
      <c r="R335" s="333"/>
      <c r="S335" s="333"/>
      <c r="T335" s="333"/>
      <c r="U335" s="333"/>
      <c r="V335" s="334"/>
      <c r="W335" s="846"/>
      <c r="X335" s="846"/>
      <c r="Y335" s="846"/>
      <c r="Z335" s="843">
        <f t="shared" ref="Z335:AA335" si="22">((Z504/Y504-1))/2</f>
        <v>4.4169150511930932E-2</v>
      </c>
      <c r="AA335" s="843">
        <f t="shared" si="22"/>
        <v>5.5893110661532686E-2</v>
      </c>
      <c r="AB335" s="843">
        <f>((AB504/AA504-1))/2</f>
        <v>3.9999836837883884E-2</v>
      </c>
      <c r="AC335" s="843">
        <f>((AC504/AB504-1))/2</f>
        <v>-0.5</v>
      </c>
      <c r="AD335" s="1656"/>
      <c r="AE335" s="1656"/>
      <c r="AF335" s="1656"/>
      <c r="AG335" s="1656"/>
      <c r="AH335" s="1656"/>
      <c r="AI335" s="1656"/>
      <c r="AJ335" s="1656"/>
      <c r="AK335" s="1656"/>
      <c r="AL335" s="1656"/>
      <c r="AM335" s="1656"/>
      <c r="AN335" s="1656"/>
      <c r="AO335" s="1771"/>
      <c r="AP335" s="1771"/>
      <c r="AQ335" s="1771"/>
      <c r="AR335" s="1771"/>
      <c r="AS335" s="1771"/>
      <c r="AT335" s="1771"/>
    </row>
    <row r="336" spans="1:46">
      <c r="C336" s="293"/>
      <c r="D336" s="812" t="s">
        <v>1327</v>
      </c>
      <c r="E336" s="768"/>
      <c r="F336" s="797"/>
      <c r="G336" s="665"/>
      <c r="H336" s="665"/>
      <c r="I336" s="665"/>
      <c r="J336" s="665"/>
      <c r="K336" s="665"/>
      <c r="L336" s="665"/>
      <c r="M336" s="665"/>
      <c r="N336" s="665"/>
      <c r="O336" s="665"/>
      <c r="P336" s="665"/>
      <c r="Q336" s="665"/>
      <c r="R336" s="665"/>
      <c r="S336" s="665"/>
      <c r="T336" s="665"/>
      <c r="U336" s="665"/>
      <c r="V336" s="670"/>
      <c r="W336" s="842"/>
      <c r="X336" s="842"/>
      <c r="Y336" s="842"/>
      <c r="Z336" s="842"/>
      <c r="AA336" s="842"/>
      <c r="AB336" s="842"/>
      <c r="AC336" s="842"/>
      <c r="AD336" s="842"/>
      <c r="AE336" s="842"/>
      <c r="AF336" s="842"/>
      <c r="AG336" s="842"/>
      <c r="AH336" s="842"/>
      <c r="AI336" s="3559"/>
      <c r="AJ336" s="1687">
        <v>0</v>
      </c>
      <c r="AK336" s="1687">
        <v>0</v>
      </c>
      <c r="AL336" s="2659">
        <v>0</v>
      </c>
      <c r="AM336" s="2659">
        <v>0</v>
      </c>
      <c r="AN336" s="2659">
        <v>0</v>
      </c>
      <c r="AO336" s="2659">
        <v>0</v>
      </c>
      <c r="AP336" s="2659">
        <v>0</v>
      </c>
      <c r="AQ336" s="2659">
        <v>0</v>
      </c>
      <c r="AR336" s="2659">
        <v>0</v>
      </c>
      <c r="AS336" s="2659">
        <v>0</v>
      </c>
      <c r="AT336" s="2659">
        <v>0</v>
      </c>
    </row>
    <row r="337" spans="1:46">
      <c r="C337" s="293"/>
      <c r="D337" s="812" t="s">
        <v>1326</v>
      </c>
      <c r="E337" s="768"/>
      <c r="F337" s="797"/>
      <c r="G337" s="665"/>
      <c r="H337" s="665"/>
      <c r="I337" s="665"/>
      <c r="J337" s="665"/>
      <c r="K337" s="665"/>
      <c r="L337" s="665"/>
      <c r="M337" s="665"/>
      <c r="N337" s="665"/>
      <c r="O337" s="665"/>
      <c r="P337" s="665"/>
      <c r="Q337" s="665"/>
      <c r="R337" s="665"/>
      <c r="S337" s="665"/>
      <c r="T337" s="665"/>
      <c r="U337" s="665"/>
      <c r="V337" s="670"/>
      <c r="W337" s="842"/>
      <c r="X337" s="842"/>
      <c r="Y337" s="842"/>
      <c r="Z337" s="842"/>
      <c r="AA337" s="842"/>
      <c r="AB337" s="842"/>
      <c r="AC337" s="842"/>
      <c r="AD337" s="842"/>
      <c r="AE337" s="842"/>
      <c r="AF337" s="842"/>
      <c r="AG337" s="842"/>
      <c r="AH337" s="842"/>
      <c r="AI337" s="3559"/>
      <c r="AJ337" s="1687">
        <v>0</v>
      </c>
      <c r="AK337" s="1687">
        <v>0</v>
      </c>
      <c r="AL337" s="2659">
        <v>0</v>
      </c>
      <c r="AM337" s="2659">
        <v>0</v>
      </c>
      <c r="AN337" s="2659">
        <v>0</v>
      </c>
      <c r="AO337" s="2659">
        <v>0</v>
      </c>
      <c r="AP337" s="2659">
        <v>0</v>
      </c>
      <c r="AQ337" s="2659">
        <v>0</v>
      </c>
      <c r="AR337" s="2659">
        <v>0</v>
      </c>
      <c r="AS337" s="2659">
        <v>0</v>
      </c>
      <c r="AT337" s="2659">
        <v>0</v>
      </c>
    </row>
    <row r="338" spans="1:46">
      <c r="C338" s="293"/>
      <c r="D338" s="812" t="s">
        <v>1328</v>
      </c>
      <c r="E338" s="768"/>
      <c r="F338" s="797"/>
      <c r="G338" s="665"/>
      <c r="H338" s="665"/>
      <c r="I338" s="665"/>
      <c r="J338" s="665"/>
      <c r="K338" s="665"/>
      <c r="L338" s="665"/>
      <c r="M338" s="665"/>
      <c r="N338" s="665"/>
      <c r="O338" s="665"/>
      <c r="P338" s="665"/>
      <c r="Q338" s="665"/>
      <c r="R338" s="665"/>
      <c r="S338" s="665"/>
      <c r="T338" s="665"/>
      <c r="U338" s="665"/>
      <c r="V338" s="670"/>
      <c r="W338" s="842"/>
      <c r="X338" s="842"/>
      <c r="Y338" s="842"/>
      <c r="Z338" s="842"/>
      <c r="AA338" s="842"/>
      <c r="AB338" s="842"/>
      <c r="AC338" s="842"/>
      <c r="AD338" s="842"/>
      <c r="AE338" s="842"/>
      <c r="AF338" s="842"/>
      <c r="AG338" s="842"/>
      <c r="AH338" s="842"/>
      <c r="AI338" s="3559"/>
      <c r="AJ338" s="1687">
        <v>0</v>
      </c>
      <c r="AK338" s="1687">
        <v>0</v>
      </c>
      <c r="AL338" s="2659">
        <v>0</v>
      </c>
      <c r="AM338" s="2659">
        <v>0</v>
      </c>
      <c r="AN338" s="2659">
        <v>0</v>
      </c>
      <c r="AO338" s="2659">
        <v>0</v>
      </c>
      <c r="AP338" s="2659">
        <v>0</v>
      </c>
      <c r="AQ338" s="2659">
        <v>0</v>
      </c>
      <c r="AR338" s="2659">
        <v>0</v>
      </c>
      <c r="AS338" s="2659">
        <v>0</v>
      </c>
      <c r="AT338" s="2659">
        <v>0</v>
      </c>
    </row>
    <row r="339" spans="1:46">
      <c r="C339" s="293"/>
      <c r="D339" s="812" t="s">
        <v>1329</v>
      </c>
      <c r="E339" s="768"/>
      <c r="F339" s="797"/>
      <c r="G339" s="665"/>
      <c r="H339" s="665"/>
      <c r="I339" s="665"/>
      <c r="J339" s="665"/>
      <c r="K339" s="665"/>
      <c r="L339" s="665"/>
      <c r="M339" s="665"/>
      <c r="N339" s="665"/>
      <c r="O339" s="665"/>
      <c r="P339" s="665"/>
      <c r="Q339" s="665"/>
      <c r="R339" s="665"/>
      <c r="S339" s="665"/>
      <c r="T339" s="665"/>
      <c r="U339" s="665"/>
      <c r="V339" s="670"/>
      <c r="W339" s="842"/>
      <c r="X339" s="842"/>
      <c r="Y339" s="842"/>
      <c r="Z339" s="842"/>
      <c r="AA339" s="842"/>
      <c r="AB339" s="842"/>
      <c r="AC339" s="842"/>
      <c r="AD339" s="842"/>
      <c r="AE339" s="842"/>
      <c r="AF339" s="842"/>
      <c r="AG339" s="842"/>
      <c r="AH339" s="842"/>
      <c r="AI339" s="3559"/>
      <c r="AJ339" s="1687">
        <v>0</v>
      </c>
      <c r="AK339" s="1687">
        <v>0</v>
      </c>
      <c r="AL339" s="2659">
        <v>0</v>
      </c>
      <c r="AM339" s="2659">
        <v>0</v>
      </c>
      <c r="AN339" s="2659">
        <v>0</v>
      </c>
      <c r="AO339" s="2659">
        <v>0</v>
      </c>
      <c r="AP339" s="2659">
        <v>0</v>
      </c>
      <c r="AQ339" s="2659">
        <v>0</v>
      </c>
      <c r="AR339" s="2659">
        <v>0</v>
      </c>
      <c r="AS339" s="2659">
        <v>0</v>
      </c>
      <c r="AT339" s="2659">
        <v>0</v>
      </c>
    </row>
    <row r="340" spans="1:46">
      <c r="C340" s="293"/>
      <c r="D340" s="812" t="s">
        <v>76</v>
      </c>
      <c r="E340" s="768"/>
      <c r="F340" s="797"/>
      <c r="G340" s="665"/>
      <c r="H340" s="665"/>
      <c r="I340" s="665"/>
      <c r="J340" s="665"/>
      <c r="K340" s="665"/>
      <c r="L340" s="665"/>
      <c r="M340" s="665"/>
      <c r="N340" s="665"/>
      <c r="O340" s="665"/>
      <c r="P340" s="665"/>
      <c r="Q340" s="665"/>
      <c r="R340" s="665"/>
      <c r="S340" s="665"/>
      <c r="T340" s="665"/>
      <c r="U340" s="665"/>
      <c r="V340" s="670"/>
      <c r="W340" s="842"/>
      <c r="X340" s="842"/>
      <c r="Y340" s="842"/>
      <c r="Z340" s="842"/>
      <c r="AA340" s="842"/>
      <c r="AB340" s="842"/>
      <c r="AC340" s="842"/>
      <c r="AD340" s="842"/>
      <c r="AE340" s="842"/>
      <c r="AF340" s="842"/>
      <c r="AG340" s="842"/>
      <c r="AH340" s="842"/>
      <c r="AI340" s="3559"/>
      <c r="AJ340" s="1687">
        <v>0</v>
      </c>
      <c r="AK340" s="1687">
        <v>0</v>
      </c>
      <c r="AL340" s="2659">
        <v>0</v>
      </c>
      <c r="AM340" s="2659">
        <v>0</v>
      </c>
      <c r="AN340" s="2659">
        <v>0</v>
      </c>
      <c r="AO340" s="2659">
        <v>0</v>
      </c>
      <c r="AP340" s="2659">
        <v>0</v>
      </c>
      <c r="AQ340" s="2659">
        <v>0</v>
      </c>
      <c r="AR340" s="2659">
        <v>0</v>
      </c>
      <c r="AS340" s="2659">
        <v>0</v>
      </c>
      <c r="AT340" s="2659">
        <v>0</v>
      </c>
    </row>
    <row r="341" spans="1:46">
      <c r="C341" s="293"/>
      <c r="D341" s="812" t="s">
        <v>77</v>
      </c>
      <c r="E341" s="768"/>
      <c r="F341" s="797"/>
      <c r="G341" s="665"/>
      <c r="H341" s="665"/>
      <c r="I341" s="665"/>
      <c r="J341" s="665"/>
      <c r="K341" s="665"/>
      <c r="L341" s="665"/>
      <c r="M341" s="665"/>
      <c r="N341" s="665"/>
      <c r="O341" s="665"/>
      <c r="P341" s="665"/>
      <c r="Q341" s="665"/>
      <c r="R341" s="665"/>
      <c r="S341" s="665"/>
      <c r="T341" s="665"/>
      <c r="U341" s="665"/>
      <c r="V341" s="670"/>
      <c r="W341" s="842"/>
      <c r="X341" s="842"/>
      <c r="Y341" s="842"/>
      <c r="Z341" s="842"/>
      <c r="AA341" s="842"/>
      <c r="AB341" s="842"/>
      <c r="AC341" s="842"/>
      <c r="AD341" s="842"/>
      <c r="AE341" s="842"/>
      <c r="AF341" s="842"/>
      <c r="AG341" s="842"/>
      <c r="AH341" s="842"/>
      <c r="AI341" s="3559"/>
      <c r="AJ341" s="1687">
        <v>0</v>
      </c>
      <c r="AK341" s="1687">
        <v>0</v>
      </c>
      <c r="AL341" s="2659">
        <v>0</v>
      </c>
      <c r="AM341" s="2659">
        <v>0</v>
      </c>
      <c r="AN341" s="2659">
        <v>0</v>
      </c>
      <c r="AO341" s="2659">
        <v>0</v>
      </c>
      <c r="AP341" s="2659">
        <v>0</v>
      </c>
      <c r="AQ341" s="2659">
        <v>0</v>
      </c>
      <c r="AR341" s="2659">
        <v>0</v>
      </c>
      <c r="AS341" s="2659">
        <v>0</v>
      </c>
      <c r="AT341" s="2659">
        <v>0</v>
      </c>
    </row>
    <row r="342" spans="1:46">
      <c r="C342" s="293"/>
      <c r="D342" s="2073" t="s">
        <v>35</v>
      </c>
      <c r="E342" s="768"/>
      <c r="F342" s="797"/>
      <c r="G342" s="665"/>
      <c r="H342" s="665"/>
      <c r="I342" s="665"/>
      <c r="J342" s="665"/>
      <c r="K342" s="665"/>
      <c r="L342" s="665"/>
      <c r="M342" s="665"/>
      <c r="N342" s="665"/>
      <c r="O342" s="665"/>
      <c r="P342" s="665"/>
      <c r="Q342" s="665"/>
      <c r="R342" s="665"/>
      <c r="S342" s="665"/>
      <c r="T342" s="665"/>
      <c r="U342" s="665"/>
      <c r="V342" s="670"/>
      <c r="W342" s="842"/>
      <c r="X342" s="842"/>
      <c r="Y342" s="842"/>
      <c r="Z342" s="843"/>
      <c r="AA342" s="843"/>
      <c r="AB342" s="843"/>
      <c r="AC342" s="702"/>
      <c r="AD342" s="842"/>
      <c r="AE342" s="842"/>
      <c r="AF342" s="842"/>
      <c r="AG342" s="2913"/>
      <c r="AH342" s="2913"/>
      <c r="AI342" s="3559"/>
      <c r="AJ342" s="2913"/>
      <c r="AK342" s="2913"/>
      <c r="AL342" s="2913"/>
      <c r="AM342" s="2913"/>
      <c r="AN342" s="2913"/>
      <c r="AO342" s="1770"/>
      <c r="AP342" s="1770"/>
      <c r="AQ342" s="1770"/>
      <c r="AR342" s="1770"/>
      <c r="AS342" s="1770"/>
      <c r="AT342" s="1770"/>
    </row>
    <row r="343" spans="1:46">
      <c r="C343" s="293"/>
      <c r="D343" s="811" t="s">
        <v>979</v>
      </c>
      <c r="E343" s="768"/>
      <c r="F343" s="797"/>
      <c r="G343" s="665"/>
      <c r="H343" s="665"/>
      <c r="I343" s="665"/>
      <c r="J343" s="665"/>
      <c r="K343" s="665"/>
      <c r="L343" s="665"/>
      <c r="M343" s="665"/>
      <c r="N343" s="665"/>
      <c r="O343" s="665"/>
      <c r="P343" s="665"/>
      <c r="Q343" s="665"/>
      <c r="R343" s="665"/>
      <c r="S343" s="665"/>
      <c r="T343" s="665"/>
      <c r="U343" s="665"/>
      <c r="V343" s="843">
        <f t="shared" ref="V343:AJ343" si="23">+V567</f>
        <v>0.24</v>
      </c>
      <c r="W343" s="843">
        <f t="shared" si="23"/>
        <v>0.14431486880466471</v>
      </c>
      <c r="X343" s="843">
        <f t="shared" si="23"/>
        <v>0.77579617834394909</v>
      </c>
      <c r="Y343" s="843">
        <f t="shared" si="23"/>
        <v>-0.31492109038737448</v>
      </c>
      <c r="Z343" s="843">
        <f t="shared" si="23"/>
        <v>0.15497382198952869</v>
      </c>
      <c r="AA343" s="843">
        <f t="shared" si="23"/>
        <v>4.8050770625566619E-2</v>
      </c>
      <c r="AB343" s="843">
        <f t="shared" si="23"/>
        <v>-9.7750865051903113E-2</v>
      </c>
      <c r="AC343" s="843">
        <f t="shared" si="23"/>
        <v>4.4103547459252157E-2</v>
      </c>
      <c r="AD343" s="843">
        <f t="shared" si="23"/>
        <v>0.32690541781450877</v>
      </c>
      <c r="AE343" s="843">
        <f t="shared" si="23"/>
        <v>-0.28927335640138407</v>
      </c>
      <c r="AF343" s="843">
        <f t="shared" si="23"/>
        <v>0.38461538461538458</v>
      </c>
      <c r="AG343" s="843">
        <f t="shared" si="23"/>
        <v>0.32700421940928259</v>
      </c>
      <c r="AH343" s="843">
        <f t="shared" si="23"/>
        <v>8.0551139374668734E-2</v>
      </c>
      <c r="AI343" s="843">
        <f t="shared" si="23"/>
        <v>7.846983815595876E-2</v>
      </c>
      <c r="AJ343" s="843">
        <f t="shared" si="23"/>
        <v>0.12331632483972341</v>
      </c>
      <c r="AK343" s="843">
        <f t="shared" ref="AK343:AT343" si="24">+AK567</f>
        <v>6.1431038158014838E-2</v>
      </c>
      <c r="AL343" s="843">
        <f t="shared" si="24"/>
        <v>6.3397618027015545E-2</v>
      </c>
      <c r="AM343" s="843">
        <f t="shared" si="24"/>
        <v>6.3397618027015545E-2</v>
      </c>
      <c r="AN343" s="843">
        <f t="shared" si="24"/>
        <v>6.3397618027015545E-2</v>
      </c>
      <c r="AO343" s="843">
        <f t="shared" si="24"/>
        <v>6.3397618027015545E-2</v>
      </c>
      <c r="AP343" s="843">
        <f t="shared" si="24"/>
        <v>6.3397618027015545E-2</v>
      </c>
      <c r="AQ343" s="843">
        <f t="shared" si="24"/>
        <v>6.3397618027015545E-2</v>
      </c>
      <c r="AR343" s="843">
        <f t="shared" si="24"/>
        <v>6.3397618027015545E-2</v>
      </c>
      <c r="AS343" s="843">
        <f t="shared" si="24"/>
        <v>6.3397618027015545E-2</v>
      </c>
      <c r="AT343" s="843">
        <f t="shared" si="24"/>
        <v>6.3397618027015545E-2</v>
      </c>
    </row>
    <row r="344" spans="1:46">
      <c r="C344" s="293"/>
      <c r="D344" s="811" t="s">
        <v>1025</v>
      </c>
      <c r="E344" s="768"/>
      <c r="F344" s="797"/>
      <c r="G344" s="665"/>
      <c r="H344" s="665"/>
      <c r="I344" s="665"/>
      <c r="J344" s="665"/>
      <c r="K344" s="665"/>
      <c r="L344" s="665"/>
      <c r="M344" s="665"/>
      <c r="N344" s="665"/>
      <c r="O344" s="665"/>
      <c r="P344" s="665"/>
      <c r="Q344" s="665"/>
      <c r="R344" s="665"/>
      <c r="S344" s="665"/>
      <c r="T344" s="665"/>
      <c r="U344" s="665"/>
      <c r="V344" s="843">
        <f t="shared" ref="V344" si="25">AVERAGE(N567:U567)</f>
        <v>0.1295</v>
      </c>
      <c r="W344" s="843">
        <f t="shared" ref="W344" si="26">AVERAGE(O567:V567)</f>
        <v>0.14924999999999999</v>
      </c>
      <c r="X344" s="843">
        <f t="shared" ref="X344" si="27">AVERAGE(P567:W567)</f>
        <v>0.14228935860058309</v>
      </c>
      <c r="Y344" s="843">
        <f t="shared" ref="Y344" si="28">AVERAGE(Q567:X567)</f>
        <v>0.22788888089357673</v>
      </c>
      <c r="Z344" s="843">
        <f t="shared" ref="Z344" si="29">AVERAGE(R567:Y567)</f>
        <v>0.17214874459515489</v>
      </c>
      <c r="AA344" s="843">
        <f t="shared" ref="AA344" si="30">AVERAGE(S567:Z567)</f>
        <v>0.172895472343846</v>
      </c>
      <c r="AB344" s="843">
        <f t="shared" ref="AB344" si="31">AVERAGE(T567:AA567)</f>
        <v>0.14365181867204183</v>
      </c>
      <c r="AC344" s="843">
        <f t="shared" ref="AC344" si="32">AVERAGE(U567:AB567)</f>
        <v>0.12980796054055393</v>
      </c>
      <c r="AD344" s="843">
        <f t="shared" ref="AD344" si="33">AVERAGE(V567:AC567)</f>
        <v>0.12432090397296046</v>
      </c>
      <c r="AE344" s="843">
        <f t="shared" ref="AE344" si="34">AVERAGE(W567:AD567)</f>
        <v>0.13518408119977404</v>
      </c>
      <c r="AF344" s="843">
        <f t="shared" ref="AF344" si="35">AVERAGE(X567:AE567)</f>
        <v>8.0985553049017958E-2</v>
      </c>
      <c r="AG344" s="843">
        <f t="shared" ref="AG344" si="36">AVERAGE(Y567:AF567)</f>
        <v>3.2087953832947394E-2</v>
      </c>
      <c r="AH344" s="843">
        <f t="shared" ref="AH344" si="37">AVERAGE(Z567:AG567)</f>
        <v>0.11232861755752953</v>
      </c>
      <c r="AI344" s="843">
        <f t="shared" ref="AI344" si="38">AVERAGE(AA567:AH567)</f>
        <v>0.10302578223067203</v>
      </c>
      <c r="AJ344" s="843">
        <f t="shared" ref="AJ344" si="39">AVERAGE(AB567:AI567)</f>
        <v>0.10682816567197105</v>
      </c>
      <c r="AK344" s="843">
        <f t="shared" ref="AI344:AL344" si="40">AVERAGE(AC567:AJ567)</f>
        <v>0.13446156440842436</v>
      </c>
      <c r="AL344" s="843">
        <f t="shared" si="40"/>
        <v>0.13662750074576968</v>
      </c>
      <c r="AM344" s="843">
        <f t="shared" ref="AM344" si="41">AVERAGE(AE567:AL567)</f>
        <v>0.10368902577233305</v>
      </c>
      <c r="AN344" s="843">
        <f t="shared" ref="AN344" si="42">AVERAGE(AF567:AM567)</f>
        <v>0.14777289757588299</v>
      </c>
      <c r="AO344" s="843">
        <f t="shared" ref="AO344" si="43">AVERAGE(AG567:AN567)</f>
        <v>0.10762067675233686</v>
      </c>
      <c r="AP344" s="843">
        <f t="shared" ref="AP344" si="44">AVERAGE(AH567:AO567)</f>
        <v>7.4669851579553498E-2</v>
      </c>
      <c r="AQ344" s="843">
        <f t="shared" ref="AQ344" si="45">AVERAGE(AI567:AP567)</f>
        <v>7.2525661411096842E-2</v>
      </c>
      <c r="AR344" s="843">
        <f t="shared" ref="AR344" si="46">AVERAGE(AJ567:AQ567)</f>
        <v>7.0641633894978934E-2</v>
      </c>
      <c r="AS344" s="843">
        <f t="shared" ref="AS344" si="47">AVERAGE(AK567:AR567)</f>
        <v>6.3151795543390454E-2</v>
      </c>
      <c r="AT344" s="843">
        <f t="shared" ref="AT344" si="48">AVERAGE(AL567:AS567)</f>
        <v>6.3397618027015545E-2</v>
      </c>
    </row>
    <row r="345" spans="1:46">
      <c r="D345" s="811" t="s">
        <v>1767</v>
      </c>
      <c r="E345" s="678" t="s">
        <v>429</v>
      </c>
      <c r="F345" s="797"/>
      <c r="G345" s="333"/>
      <c r="H345" s="333"/>
      <c r="I345" s="333"/>
      <c r="J345" s="333"/>
      <c r="K345" s="333"/>
      <c r="L345" s="333"/>
      <c r="M345" s="333"/>
      <c r="N345" s="333"/>
      <c r="O345" s="333"/>
      <c r="P345" s="333"/>
      <c r="Q345" s="333"/>
      <c r="R345" s="333"/>
      <c r="S345" s="333"/>
      <c r="T345" s="333"/>
      <c r="U345" s="334"/>
      <c r="V345" s="334"/>
      <c r="W345" s="846"/>
      <c r="X345" s="846"/>
      <c r="Y345" s="846"/>
      <c r="Z345" s="840">
        <v>0.32092233514034235</v>
      </c>
      <c r="AA345" s="840">
        <v>0.32</v>
      </c>
      <c r="AB345" s="847">
        <v>0.65</v>
      </c>
      <c r="AC345" s="661">
        <v>0.32092233514034235</v>
      </c>
      <c r="AD345" s="847">
        <v>0.32092233514034235</v>
      </c>
      <c r="AE345" s="847">
        <v>0.32092233514034235</v>
      </c>
      <c r="AF345" s="847">
        <v>0.32</v>
      </c>
      <c r="AG345" s="847">
        <f>+AF345</f>
        <v>0.32</v>
      </c>
      <c r="AH345" s="847">
        <f>+AG345</f>
        <v>0.32</v>
      </c>
      <c r="AI345" s="3560">
        <f>+AH345</f>
        <v>0.32</v>
      </c>
      <c r="AJ345" s="3187">
        <v>0.32</v>
      </c>
      <c r="AK345" s="847">
        <v>0.32</v>
      </c>
      <c r="AL345" s="847">
        <v>0.32</v>
      </c>
      <c r="AM345" s="847">
        <v>0.32</v>
      </c>
      <c r="AN345" s="847">
        <f t="shared" ref="AN345:AT346" si="49">+AM345</f>
        <v>0.32</v>
      </c>
      <c r="AO345" s="1081">
        <f t="shared" si="49"/>
        <v>0.32</v>
      </c>
      <c r="AP345" s="1081">
        <f t="shared" si="49"/>
        <v>0.32</v>
      </c>
      <c r="AQ345" s="1081">
        <f t="shared" si="49"/>
        <v>0.32</v>
      </c>
      <c r="AR345" s="1081">
        <f t="shared" si="49"/>
        <v>0.32</v>
      </c>
      <c r="AS345" s="1081">
        <f t="shared" si="49"/>
        <v>0.32</v>
      </c>
      <c r="AT345" s="1081">
        <f t="shared" si="49"/>
        <v>0.32</v>
      </c>
    </row>
    <row r="346" spans="1:46">
      <c r="B346" s="295" t="s">
        <v>591</v>
      </c>
      <c r="C346" s="295" t="s">
        <v>30</v>
      </c>
      <c r="D346" s="811" t="s">
        <v>978</v>
      </c>
      <c r="E346" s="678"/>
      <c r="F346" s="797"/>
      <c r="G346" s="665"/>
      <c r="H346" s="665"/>
      <c r="I346" s="665"/>
      <c r="J346" s="665"/>
      <c r="K346" s="665"/>
      <c r="L346" s="665"/>
      <c r="M346" s="665"/>
      <c r="N346" s="665"/>
      <c r="O346" s="665"/>
      <c r="P346" s="665"/>
      <c r="Q346" s="665"/>
      <c r="R346" s="665"/>
      <c r="S346" s="665"/>
      <c r="T346" s="665"/>
      <c r="U346" s="670"/>
      <c r="V346" s="670"/>
      <c r="W346" s="842"/>
      <c r="X346" s="842"/>
      <c r="Y346" s="842"/>
      <c r="Z346" s="843">
        <f t="shared" ref="Z346:AG346" si="50">(Z737+Z744)/(Y737+Y744)-1</f>
        <v>0.16682404672883866</v>
      </c>
      <c r="AA346" s="843">
        <f t="shared" si="50"/>
        <v>4.4565679042298356E-2</v>
      </c>
      <c r="AB346" s="843">
        <f t="shared" si="50"/>
        <v>1.337773439742751E-2</v>
      </c>
      <c r="AC346" s="702">
        <f t="shared" si="50"/>
        <v>2.8448171671388245E-2</v>
      </c>
      <c r="AD346" s="843">
        <f t="shared" si="50"/>
        <v>0.32987292904952814</v>
      </c>
      <c r="AE346" s="843">
        <f t="shared" si="50"/>
        <v>-0.13333678541839267</v>
      </c>
      <c r="AF346" s="843">
        <f t="shared" si="50"/>
        <v>0.19137240843639836</v>
      </c>
      <c r="AG346" s="843">
        <f t="shared" si="50"/>
        <v>0.16449348044132406</v>
      </c>
      <c r="AH346" s="843">
        <f>(AH737+AH744)/(AG737+AG744)-1</f>
        <v>0.24599483204134365</v>
      </c>
      <c r="AI346" s="3561">
        <f>(AI737+AI744)/(AH737+AH744)-1</f>
        <v>-3.525508087930318E-2</v>
      </c>
      <c r="AJ346" s="1656">
        <v>0.13822846431882629</v>
      </c>
      <c r="AK346" s="843">
        <v>5.3209735320670415E-2</v>
      </c>
      <c r="AL346" s="843">
        <v>5.9355297411297636E-2</v>
      </c>
      <c r="AM346" s="843">
        <v>5.9355297411297636E-2</v>
      </c>
      <c r="AN346" s="843">
        <f t="shared" si="49"/>
        <v>5.9355297411297636E-2</v>
      </c>
      <c r="AO346" s="1079">
        <f t="shared" si="49"/>
        <v>5.9355297411297636E-2</v>
      </c>
      <c r="AP346" s="1079">
        <f t="shared" si="49"/>
        <v>5.9355297411297636E-2</v>
      </c>
      <c r="AQ346" s="1079">
        <f t="shared" si="49"/>
        <v>5.9355297411297636E-2</v>
      </c>
      <c r="AR346" s="1079">
        <f t="shared" si="49"/>
        <v>5.9355297411297636E-2</v>
      </c>
      <c r="AS346" s="1079">
        <f t="shared" si="49"/>
        <v>5.9355297411297636E-2</v>
      </c>
      <c r="AT346" s="1079">
        <f t="shared" si="49"/>
        <v>5.9355297411297636E-2</v>
      </c>
    </row>
    <row r="347" spans="1:46">
      <c r="A347" s="297" t="s">
        <v>38</v>
      </c>
      <c r="B347" s="295" t="s">
        <v>394</v>
      </c>
      <c r="C347" s="295" t="s">
        <v>30</v>
      </c>
      <c r="D347" s="811" t="s">
        <v>1766</v>
      </c>
      <c r="E347" s="678"/>
      <c r="F347" s="797"/>
      <c r="G347" s="54"/>
      <c r="H347" s="54"/>
      <c r="I347" s="54"/>
      <c r="J347" s="54"/>
      <c r="K347" s="54"/>
      <c r="L347" s="54"/>
      <c r="M347" s="54"/>
      <c r="N347" s="54"/>
      <c r="O347" s="54"/>
      <c r="P347" s="54"/>
      <c r="Q347" s="54"/>
      <c r="R347" s="54"/>
      <c r="S347" s="54"/>
      <c r="T347" s="54"/>
      <c r="U347" s="237"/>
      <c r="V347" s="237"/>
      <c r="W347" s="838"/>
      <c r="X347" s="838"/>
      <c r="Y347" s="661">
        <v>0.38180879547539476</v>
      </c>
      <c r="Z347" s="661">
        <v>0.38180879547539476</v>
      </c>
      <c r="AA347" s="661">
        <v>0.38180879547539476</v>
      </c>
      <c r="AB347" s="661">
        <v>0.38180879547539476</v>
      </c>
      <c r="AC347" s="661">
        <v>0.38180879547539476</v>
      </c>
      <c r="AD347" s="661">
        <v>0.38180879547539476</v>
      </c>
      <c r="AE347" s="661">
        <v>0.38180879547539476</v>
      </c>
      <c r="AF347" s="661">
        <v>0.38180879547539476</v>
      </c>
      <c r="AG347" s="661">
        <v>0.38180879547539476</v>
      </c>
      <c r="AH347" s="661">
        <v>0.38180879547539476</v>
      </c>
      <c r="AI347" s="661">
        <v>0.38180879547539476</v>
      </c>
      <c r="AJ347" s="3187">
        <f>AI347</f>
        <v>0.38180879547539476</v>
      </c>
      <c r="AK347" s="3187">
        <f t="shared" ref="AK347:AT347" si="51">AJ347</f>
        <v>0.38180879547539476</v>
      </c>
      <c r="AL347" s="3187">
        <f t="shared" si="51"/>
        <v>0.38180879547539476</v>
      </c>
      <c r="AM347" s="3187">
        <f t="shared" si="51"/>
        <v>0.38180879547539476</v>
      </c>
      <c r="AN347" s="3187">
        <f t="shared" si="51"/>
        <v>0.38180879547539476</v>
      </c>
      <c r="AO347" s="3187">
        <f t="shared" si="51"/>
        <v>0.38180879547539476</v>
      </c>
      <c r="AP347" s="3187">
        <f t="shared" si="51"/>
        <v>0.38180879547539476</v>
      </c>
      <c r="AQ347" s="3187">
        <f t="shared" si="51"/>
        <v>0.38180879547539476</v>
      </c>
      <c r="AR347" s="3187">
        <f t="shared" si="51"/>
        <v>0.38180879547539476</v>
      </c>
      <c r="AS347" s="3187">
        <f t="shared" si="51"/>
        <v>0.38180879547539476</v>
      </c>
      <c r="AT347" s="3187">
        <f t="shared" si="51"/>
        <v>0.38180879547539476</v>
      </c>
    </row>
    <row r="348" spans="1:46">
      <c r="B348" s="295" t="s">
        <v>718</v>
      </c>
      <c r="C348" s="295" t="s">
        <v>30</v>
      </c>
      <c r="D348" s="811" t="s">
        <v>1094</v>
      </c>
      <c r="E348" s="678"/>
      <c r="F348" s="797"/>
      <c r="G348" s="665"/>
      <c r="H348" s="665"/>
      <c r="I348" s="665"/>
      <c r="J348" s="665"/>
      <c r="K348" s="665"/>
      <c r="L348" s="665"/>
      <c r="M348" s="665"/>
      <c r="N348" s="665"/>
      <c r="O348" s="665"/>
      <c r="P348" s="665"/>
      <c r="Q348" s="665"/>
      <c r="R348" s="665"/>
      <c r="S348" s="665"/>
      <c r="T348" s="665"/>
      <c r="U348" s="670"/>
      <c r="V348" s="670"/>
      <c r="W348" s="842"/>
      <c r="X348" s="842"/>
      <c r="Y348" s="1086">
        <f>(1-Y345)*Y344+Y345*Y346</f>
        <v>0.22788888089357673</v>
      </c>
      <c r="Z348" s="1086">
        <f>(1-Z345)*Z344+Z345*Z346</f>
        <v>0.17043993012197989</v>
      </c>
      <c r="AA348" s="1086">
        <f t="shared" ref="AA348:AG348" si="52">(AA343-AA345*AA346)/(1-AA345)</f>
        <v>4.9690813723575214E-2</v>
      </c>
      <c r="AB348" s="1086">
        <f>(AB343-AB345*AB346)/(1-AB345)</f>
        <v>-0.30413254974351711</v>
      </c>
      <c r="AC348" s="1086">
        <f t="shared" si="52"/>
        <v>5.1502052836953222E-2</v>
      </c>
      <c r="AD348" s="1086">
        <f t="shared" si="52"/>
        <v>0.32550301469572196</v>
      </c>
      <c r="AE348" s="1086">
        <f t="shared" si="52"/>
        <v>-0.36296673653041783</v>
      </c>
      <c r="AF348" s="1086">
        <f t="shared" si="52"/>
        <v>0.47555325575843699</v>
      </c>
      <c r="AG348" s="1086">
        <f t="shared" si="52"/>
        <v>0.40347986127655716</v>
      </c>
      <c r="AH348" s="1086">
        <f>(AH343-AH345*AH346)/(1-AH345)</f>
        <v>2.6952840021158254E-3</v>
      </c>
      <c r="AI348" s="3561">
        <f>(AI343-AI345*AI346)/(1-AI345)</f>
        <v>0.13198744711372909</v>
      </c>
      <c r="AJ348" s="3561">
        <f>(AJ343-AJ345*AJ346)/(1-AJ345)</f>
        <v>0.11629884743779263</v>
      </c>
      <c r="AK348" s="1345">
        <f>AJ348</f>
        <v>0.11629884743779263</v>
      </c>
      <c r="AL348" s="1345">
        <f t="shared" ref="AL348:AO348" si="53">AK348</f>
        <v>0.11629884743779263</v>
      </c>
      <c r="AM348" s="1345">
        <f t="shared" si="53"/>
        <v>0.11629884743779263</v>
      </c>
      <c r="AN348" s="1345">
        <f t="shared" si="53"/>
        <v>0.11629884743779263</v>
      </c>
      <c r="AO348" s="1345">
        <f t="shared" si="53"/>
        <v>0.11629884743779263</v>
      </c>
      <c r="AP348" s="1081">
        <f>AO348</f>
        <v>0.11629884743779263</v>
      </c>
      <c r="AQ348" s="1081">
        <f t="shared" ref="AQ348:AT348" si="54">AP348</f>
        <v>0.11629884743779263</v>
      </c>
      <c r="AR348" s="1081">
        <f t="shared" si="54"/>
        <v>0.11629884743779263</v>
      </c>
      <c r="AS348" s="1081">
        <f t="shared" si="54"/>
        <v>0.11629884743779263</v>
      </c>
      <c r="AT348" s="1081">
        <f t="shared" si="54"/>
        <v>0.11629884743779263</v>
      </c>
    </row>
    <row r="349" spans="1:46">
      <c r="D349" s="812" t="s">
        <v>1336</v>
      </c>
      <c r="E349" s="678"/>
      <c r="F349" s="797"/>
      <c r="G349" s="665"/>
      <c r="H349" s="665"/>
      <c r="I349" s="665"/>
      <c r="J349" s="665"/>
      <c r="K349" s="665"/>
      <c r="L349" s="665"/>
      <c r="M349" s="665"/>
      <c r="N349" s="665"/>
      <c r="O349" s="665"/>
      <c r="P349" s="665"/>
      <c r="Q349" s="665"/>
      <c r="R349" s="665"/>
      <c r="S349" s="665"/>
      <c r="T349" s="665"/>
      <c r="U349" s="670"/>
      <c r="V349" s="670"/>
      <c r="W349" s="843"/>
      <c r="X349" s="843"/>
      <c r="Y349" s="843"/>
      <c r="Z349" s="843"/>
      <c r="AA349" s="843"/>
      <c r="AB349" s="843"/>
      <c r="AC349" s="843"/>
      <c r="AD349" s="843"/>
      <c r="AE349" s="843"/>
      <c r="AF349" s="843"/>
      <c r="AG349" s="843"/>
      <c r="AH349" s="843"/>
      <c r="AI349" s="3561"/>
      <c r="AJ349" s="1687">
        <v>0</v>
      </c>
      <c r="AK349" s="1687">
        <v>0</v>
      </c>
      <c r="AL349" s="1687">
        <v>0</v>
      </c>
      <c r="AM349" s="1687">
        <v>0</v>
      </c>
      <c r="AN349" s="1687">
        <v>0</v>
      </c>
      <c r="AO349" s="1687">
        <v>0</v>
      </c>
      <c r="AP349" s="1687">
        <v>0</v>
      </c>
      <c r="AQ349" s="1687">
        <v>0</v>
      </c>
      <c r="AR349" s="1687">
        <v>0</v>
      </c>
      <c r="AS349" s="1687">
        <v>0</v>
      </c>
      <c r="AT349" s="1687">
        <v>0</v>
      </c>
    </row>
    <row r="350" spans="1:46">
      <c r="D350" s="2072" t="s">
        <v>1315</v>
      </c>
      <c r="E350" s="678"/>
      <c r="F350" s="797"/>
      <c r="G350" s="54"/>
      <c r="H350" s="54"/>
      <c r="I350" s="54"/>
      <c r="J350" s="54"/>
      <c r="K350" s="54"/>
      <c r="L350" s="54"/>
      <c r="M350" s="54"/>
      <c r="N350" s="54"/>
      <c r="O350" s="54"/>
      <c r="P350" s="54"/>
      <c r="Q350" s="54"/>
      <c r="R350" s="54"/>
      <c r="S350" s="54"/>
      <c r="T350" s="54"/>
      <c r="U350" s="237"/>
      <c r="V350" s="237"/>
      <c r="W350" s="838"/>
      <c r="X350" s="838"/>
      <c r="Y350" s="838"/>
      <c r="Z350" s="838"/>
      <c r="AA350" s="838"/>
      <c r="AB350" s="842"/>
      <c r="AC350" s="670"/>
      <c r="AD350" s="842"/>
      <c r="AE350" s="842"/>
      <c r="AF350" s="842"/>
      <c r="AG350" s="842"/>
      <c r="AH350" s="842"/>
      <c r="AI350" s="3559"/>
      <c r="AJ350" s="2913"/>
      <c r="AK350" s="2913"/>
      <c r="AL350" s="2913"/>
      <c r="AM350" s="2913"/>
      <c r="AN350" s="2913"/>
      <c r="AO350" s="1770"/>
      <c r="AP350" s="1770"/>
      <c r="AQ350" s="1770"/>
      <c r="AR350" s="1770"/>
      <c r="AS350" s="1770"/>
      <c r="AT350" s="1770"/>
    </row>
    <row r="351" spans="1:46">
      <c r="D351" s="812" t="s">
        <v>1335</v>
      </c>
      <c r="E351" s="678"/>
      <c r="F351" s="797"/>
      <c r="G351" s="665"/>
      <c r="H351" s="665"/>
      <c r="I351" s="665"/>
      <c r="J351" s="665"/>
      <c r="K351" s="665"/>
      <c r="L351" s="665"/>
      <c r="M351" s="665"/>
      <c r="N351" s="665"/>
      <c r="O351" s="665"/>
      <c r="P351" s="665"/>
      <c r="Q351" s="665"/>
      <c r="R351" s="665"/>
      <c r="S351" s="665"/>
      <c r="T351" s="665"/>
      <c r="U351" s="670"/>
      <c r="V351" s="670"/>
      <c r="W351" s="842"/>
      <c r="X351" s="842"/>
      <c r="Y351" s="842"/>
      <c r="Z351" s="842"/>
      <c r="AA351" s="842"/>
      <c r="AB351" s="842"/>
      <c r="AC351" s="842"/>
      <c r="AD351" s="842"/>
      <c r="AE351" s="842"/>
      <c r="AF351" s="842"/>
      <c r="AG351" s="842"/>
      <c r="AH351" s="842"/>
      <c r="AI351" s="3559"/>
      <c r="AJ351" s="3542">
        <v>0</v>
      </c>
      <c r="AK351" s="1686">
        <v>0</v>
      </c>
      <c r="AL351" s="1686">
        <v>0</v>
      </c>
      <c r="AM351" s="1686">
        <v>0</v>
      </c>
      <c r="AN351" s="1686">
        <v>0</v>
      </c>
      <c r="AO351" s="1686">
        <v>0</v>
      </c>
      <c r="AP351" s="1686">
        <v>0</v>
      </c>
      <c r="AQ351" s="1686">
        <v>0</v>
      </c>
      <c r="AR351" s="1686">
        <v>0</v>
      </c>
      <c r="AS351" s="1686">
        <v>0</v>
      </c>
      <c r="AT351" s="1686">
        <v>0</v>
      </c>
    </row>
    <row r="352" spans="1:46">
      <c r="C352" s="295" t="s">
        <v>30</v>
      </c>
      <c r="D352" s="811" t="s">
        <v>396</v>
      </c>
      <c r="E352" s="678"/>
      <c r="F352" s="797"/>
      <c r="G352" s="54"/>
      <c r="H352" s="54"/>
      <c r="I352" s="54"/>
      <c r="J352" s="54"/>
      <c r="K352" s="54"/>
      <c r="L352" s="54"/>
      <c r="M352" s="54"/>
      <c r="N352" s="54"/>
      <c r="O352" s="54"/>
      <c r="P352" s="54"/>
      <c r="Q352" s="54"/>
      <c r="R352" s="54"/>
      <c r="S352" s="54"/>
      <c r="T352" s="54"/>
      <c r="U352" s="237"/>
      <c r="V352" s="237"/>
      <c r="W352" s="838"/>
      <c r="X352" s="838"/>
      <c r="Y352" s="838"/>
      <c r="Z352" s="838"/>
      <c r="AA352" s="838"/>
      <c r="AB352" s="842"/>
      <c r="AC352" s="670"/>
      <c r="AD352" s="842"/>
      <c r="AE352" s="842"/>
      <c r="AF352" s="842"/>
      <c r="AG352" s="2913"/>
      <c r="AH352" s="2913"/>
      <c r="AI352" s="3559"/>
      <c r="AJ352" s="2913"/>
      <c r="AK352" s="2913"/>
      <c r="AL352" s="2913"/>
      <c r="AM352" s="2913"/>
      <c r="AN352" s="2913"/>
      <c r="AO352" s="1770"/>
      <c r="AP352" s="1770"/>
      <c r="AQ352" s="1770"/>
      <c r="AR352" s="1770"/>
      <c r="AS352" s="1770"/>
      <c r="AT352" s="1770"/>
    </row>
    <row r="353" spans="1:46">
      <c r="A353" s="297" t="s">
        <v>38</v>
      </c>
      <c r="D353" s="811" t="s">
        <v>977</v>
      </c>
      <c r="E353" s="678"/>
      <c r="F353" s="797"/>
      <c r="G353" s="54"/>
      <c r="H353" s="54"/>
      <c r="I353" s="54"/>
      <c r="J353" s="54"/>
      <c r="K353" s="54"/>
      <c r="L353" s="54"/>
      <c r="M353" s="54"/>
      <c r="N353" s="54"/>
      <c r="O353" s="54"/>
      <c r="P353" s="54"/>
      <c r="Q353" s="54"/>
      <c r="R353" s="54"/>
      <c r="S353" s="54"/>
      <c r="T353" s="54"/>
      <c r="U353" s="237"/>
      <c r="V353" s="237"/>
      <c r="W353" s="838"/>
      <c r="X353" s="838"/>
      <c r="Y353" s="848">
        <v>0.22130401246002895</v>
      </c>
      <c r="Z353" s="848">
        <v>0.22781308174253778</v>
      </c>
      <c r="AA353" s="848">
        <v>0.19939157680431052</v>
      </c>
      <c r="AB353" s="847">
        <v>0.20807021386799915</v>
      </c>
      <c r="AC353" s="661">
        <v>0.38180879547539476</v>
      </c>
      <c r="AD353" s="847">
        <v>0.38180879547539481</v>
      </c>
      <c r="AE353" s="847">
        <v>0.38180879547539476</v>
      </c>
      <c r="AF353" s="847">
        <v>0.3818087954753947</v>
      </c>
      <c r="AG353" s="847">
        <v>0.38180879547539481</v>
      </c>
      <c r="AH353" s="847">
        <v>0.38180879547539481</v>
      </c>
      <c r="AI353" s="3560">
        <v>0.38180879547539481</v>
      </c>
      <c r="AJ353" s="3187">
        <f>AI353</f>
        <v>0.38180879547539481</v>
      </c>
      <c r="AK353" s="3187">
        <f t="shared" ref="AK353:AT353" si="55">AJ353</f>
        <v>0.38180879547539481</v>
      </c>
      <c r="AL353" s="3187">
        <f t="shared" si="55"/>
        <v>0.38180879547539481</v>
      </c>
      <c r="AM353" s="3187">
        <f t="shared" si="55"/>
        <v>0.38180879547539481</v>
      </c>
      <c r="AN353" s="3187">
        <f t="shared" si="55"/>
        <v>0.38180879547539481</v>
      </c>
      <c r="AO353" s="1772">
        <f t="shared" si="55"/>
        <v>0.38180879547539481</v>
      </c>
      <c r="AP353" s="1772">
        <f t="shared" si="55"/>
        <v>0.38180879547539481</v>
      </c>
      <c r="AQ353" s="1772">
        <f t="shared" si="55"/>
        <v>0.38180879547539481</v>
      </c>
      <c r="AR353" s="1772">
        <f t="shared" si="55"/>
        <v>0.38180879547539481</v>
      </c>
      <c r="AS353" s="1772">
        <f t="shared" si="55"/>
        <v>0.38180879547539481</v>
      </c>
      <c r="AT353" s="1772">
        <f t="shared" si="55"/>
        <v>0.38180879547539481</v>
      </c>
    </row>
    <row r="354" spans="1:46">
      <c r="A354" s="297" t="s">
        <v>38</v>
      </c>
      <c r="D354" s="811" t="s">
        <v>714</v>
      </c>
      <c r="E354" s="678"/>
      <c r="F354" s="797"/>
      <c r="G354" s="54"/>
      <c r="H354" s="54"/>
      <c r="I354" s="54"/>
      <c r="J354" s="54"/>
      <c r="K354" s="54"/>
      <c r="L354" s="54"/>
      <c r="M354" s="54"/>
      <c r="N354" s="54"/>
      <c r="O354" s="54"/>
      <c r="P354" s="54"/>
      <c r="Q354" s="54"/>
      <c r="R354" s="54"/>
      <c r="S354" s="54"/>
      <c r="T354" s="54"/>
      <c r="U354" s="237"/>
      <c r="V354" s="237"/>
      <c r="W354" s="838"/>
      <c r="X354" s="838"/>
      <c r="Y354" s="848">
        <v>0.69324612983145151</v>
      </c>
      <c r="Z354" s="848">
        <v>0.70224746499861423</v>
      </c>
      <c r="AA354" s="848">
        <v>0.64295083970099309</v>
      </c>
      <c r="AB354" s="847">
        <v>0.59352977836373588</v>
      </c>
      <c r="AC354" s="661">
        <v>0.59042232624572089</v>
      </c>
      <c r="AD354" s="847">
        <v>0.50119951300645038</v>
      </c>
      <c r="AE354" s="847">
        <v>0.41453949857331057</v>
      </c>
      <c r="AF354" s="847">
        <v>0.43158255204557044</v>
      </c>
      <c r="AG354" s="3187">
        <v>0.45142055591851343</v>
      </c>
      <c r="AH354" s="3187">
        <v>0.51396463345695587</v>
      </c>
      <c r="AI354" s="3560">
        <v>0.62840543307665009</v>
      </c>
      <c r="AJ354" s="3187">
        <f>AI354</f>
        <v>0.62840543307665009</v>
      </c>
      <c r="AK354" s="3187">
        <f t="shared" ref="AK354:AT354" si="56">AJ354</f>
        <v>0.62840543307665009</v>
      </c>
      <c r="AL354" s="3187">
        <f t="shared" si="56"/>
        <v>0.62840543307665009</v>
      </c>
      <c r="AM354" s="3187">
        <f t="shared" si="56"/>
        <v>0.62840543307665009</v>
      </c>
      <c r="AN354" s="3187">
        <f t="shared" si="56"/>
        <v>0.62840543307665009</v>
      </c>
      <c r="AO354" s="1772">
        <f t="shared" si="56"/>
        <v>0.62840543307665009</v>
      </c>
      <c r="AP354" s="1772">
        <f t="shared" si="56"/>
        <v>0.62840543307665009</v>
      </c>
      <c r="AQ354" s="1772">
        <f t="shared" si="56"/>
        <v>0.62840543307665009</v>
      </c>
      <c r="AR354" s="1772">
        <f t="shared" si="56"/>
        <v>0.62840543307665009</v>
      </c>
      <c r="AS354" s="1772">
        <f t="shared" si="56"/>
        <v>0.62840543307665009</v>
      </c>
      <c r="AT354" s="1772">
        <f t="shared" si="56"/>
        <v>0.62840543307665009</v>
      </c>
    </row>
    <row r="355" spans="1:46">
      <c r="A355" s="297" t="s">
        <v>38</v>
      </c>
      <c r="D355" s="811" t="s">
        <v>397</v>
      </c>
      <c r="E355" s="678"/>
      <c r="F355" s="797"/>
      <c r="G355" s="54"/>
      <c r="H355" s="54"/>
      <c r="I355" s="54"/>
      <c r="J355" s="54"/>
      <c r="K355" s="54"/>
      <c r="L355" s="54"/>
      <c r="M355" s="54"/>
      <c r="N355" s="54"/>
      <c r="O355" s="54"/>
      <c r="P355" s="54"/>
      <c r="Q355" s="54"/>
      <c r="R355" s="54"/>
      <c r="S355" s="54"/>
      <c r="T355" s="54"/>
      <c r="U355" s="237"/>
      <c r="V355" s="237"/>
      <c r="W355" s="838"/>
      <c r="X355" s="838"/>
      <c r="Y355" s="848">
        <f t="shared" ref="Y355:AI355" si="57">1-Y353-Y354</f>
        <v>8.5449857708519539E-2</v>
      </c>
      <c r="Z355" s="848">
        <f t="shared" si="57"/>
        <v>6.9939453258847983E-2</v>
      </c>
      <c r="AA355" s="848">
        <f t="shared" si="57"/>
        <v>0.15765758349469638</v>
      </c>
      <c r="AB355" s="848">
        <f t="shared" si="57"/>
        <v>0.19840000776826494</v>
      </c>
      <c r="AC355" s="848">
        <f t="shared" si="57"/>
        <v>2.7768878278884301E-2</v>
      </c>
      <c r="AD355" s="848">
        <f t="shared" si="57"/>
        <v>0.11699169151815481</v>
      </c>
      <c r="AE355" s="848">
        <f t="shared" si="57"/>
        <v>0.20365170595129461</v>
      </c>
      <c r="AF355" s="848">
        <f t="shared" si="57"/>
        <v>0.18660865247903485</v>
      </c>
      <c r="AG355" s="848">
        <f t="shared" si="57"/>
        <v>0.16677064860609175</v>
      </c>
      <c r="AH355" s="848">
        <f t="shared" si="57"/>
        <v>0.10422657106764932</v>
      </c>
      <c r="AI355" s="848">
        <f t="shared" si="57"/>
        <v>-1.0214228552044902E-2</v>
      </c>
      <c r="AJ355" s="3187">
        <v>0.56999999999999995</v>
      </c>
      <c r="AK355" s="3187">
        <v>0.56999999999999995</v>
      </c>
      <c r="AL355" s="3187">
        <v>0.56999999999999995</v>
      </c>
      <c r="AM355" s="3187">
        <v>0.56999999999999995</v>
      </c>
      <c r="AN355" s="3187">
        <v>0.56999999999999995</v>
      </c>
      <c r="AO355" s="1772">
        <v>0.56999999999999995</v>
      </c>
      <c r="AP355" s="1772">
        <v>0.56999999999999995</v>
      </c>
      <c r="AQ355" s="1772">
        <v>0.56999999999999995</v>
      </c>
      <c r="AR355" s="1772">
        <v>0.56999999999999995</v>
      </c>
      <c r="AS355" s="1772">
        <v>0.56999999999999995</v>
      </c>
      <c r="AT355" s="1772">
        <v>0.56999999999999995</v>
      </c>
    </row>
    <row r="356" spans="1:46">
      <c r="A356" s="297" t="s">
        <v>38</v>
      </c>
      <c r="D356" s="811" t="s">
        <v>1095</v>
      </c>
      <c r="E356" s="678"/>
      <c r="F356" s="797"/>
      <c r="G356" s="333"/>
      <c r="H356" s="333"/>
      <c r="I356" s="333"/>
      <c r="J356" s="333"/>
      <c r="K356" s="333"/>
      <c r="L356" s="333"/>
      <c r="M356" s="333"/>
      <c r="N356" s="333"/>
      <c r="O356" s="333"/>
      <c r="P356" s="333"/>
      <c r="Q356" s="333"/>
      <c r="R356" s="333"/>
      <c r="S356" s="333"/>
      <c r="T356" s="333"/>
      <c r="U356" s="334"/>
      <c r="V356" s="334"/>
      <c r="W356" s="846"/>
      <c r="X356" s="846"/>
      <c r="Y356" s="846">
        <v>0.55195083546400203</v>
      </c>
      <c r="Z356" s="840">
        <v>0.55786879055553296</v>
      </c>
      <c r="AA356" s="840">
        <v>0.52567758491175864</v>
      </c>
      <c r="AB356" s="847">
        <v>0.58711668459724553</v>
      </c>
      <c r="AC356" s="847">
        <v>0.54259896867868207</v>
      </c>
      <c r="AD356" s="847">
        <v>0.51845784424548969</v>
      </c>
      <c r="AE356" s="847">
        <v>0.47949268818148993</v>
      </c>
      <c r="AF356" s="847">
        <v>0.47651895688618573</v>
      </c>
      <c r="AG356" s="847">
        <v>0.51393756671307456</v>
      </c>
      <c r="AH356" s="847">
        <v>0.54292263281660846</v>
      </c>
      <c r="AI356" s="3560">
        <v>0.56020984966082266</v>
      </c>
      <c r="AJ356" s="3187">
        <f>AI356</f>
        <v>0.56020984966082266</v>
      </c>
      <c r="AK356" s="3187">
        <f t="shared" ref="AK356:AT356" si="58">AJ356</f>
        <v>0.56020984966082266</v>
      </c>
      <c r="AL356" s="3187">
        <f t="shared" si="58"/>
        <v>0.56020984966082266</v>
      </c>
      <c r="AM356" s="3187">
        <f t="shared" si="58"/>
        <v>0.56020984966082266</v>
      </c>
      <c r="AN356" s="3187">
        <f t="shared" si="58"/>
        <v>0.56020984966082266</v>
      </c>
      <c r="AO356" s="1772">
        <f t="shared" si="58"/>
        <v>0.56020984966082266</v>
      </c>
      <c r="AP356" s="1772">
        <f t="shared" si="58"/>
        <v>0.56020984966082266</v>
      </c>
      <c r="AQ356" s="1772">
        <f t="shared" si="58"/>
        <v>0.56020984966082266</v>
      </c>
      <c r="AR356" s="1772">
        <f t="shared" si="58"/>
        <v>0.56020984966082266</v>
      </c>
      <c r="AS356" s="1772">
        <f t="shared" si="58"/>
        <v>0.56020984966082266</v>
      </c>
      <c r="AT356" s="1772">
        <f t="shared" si="58"/>
        <v>0.56020984966082266</v>
      </c>
    </row>
    <row r="357" spans="1:46">
      <c r="D357" s="812" t="s">
        <v>36</v>
      </c>
      <c r="E357" s="678"/>
      <c r="F357" s="797"/>
      <c r="G357" s="665"/>
      <c r="H357" s="665"/>
      <c r="I357" s="665"/>
      <c r="J357" s="665"/>
      <c r="K357" s="665"/>
      <c r="L357" s="665"/>
      <c r="M357" s="665"/>
      <c r="N357" s="665"/>
      <c r="O357" s="665"/>
      <c r="P357" s="665"/>
      <c r="Q357" s="665"/>
      <c r="R357" s="665"/>
      <c r="S357" s="665"/>
      <c r="T357" s="665"/>
      <c r="U357" s="670"/>
      <c r="V357" s="670"/>
      <c r="W357" s="842"/>
      <c r="X357" s="842"/>
      <c r="Y357" s="842"/>
      <c r="Z357" s="842"/>
      <c r="AA357" s="842"/>
      <c r="AB357" s="842"/>
      <c r="AC357" s="842"/>
      <c r="AD357" s="842"/>
      <c r="AE357" s="842"/>
      <c r="AF357" s="842"/>
      <c r="AG357" s="842"/>
      <c r="AH357" s="842"/>
      <c r="AI357" s="3559"/>
      <c r="AJ357" s="3542">
        <v>0</v>
      </c>
      <c r="AK357" s="1686">
        <v>0</v>
      </c>
      <c r="AL357" s="1686">
        <v>0</v>
      </c>
      <c r="AM357" s="1686">
        <v>0</v>
      </c>
      <c r="AN357" s="1686">
        <v>0</v>
      </c>
      <c r="AO357" s="1686">
        <v>0</v>
      </c>
      <c r="AP357" s="2613">
        <v>0</v>
      </c>
      <c r="AQ357" s="2613">
        <v>0</v>
      </c>
      <c r="AR357" s="2613">
        <v>0</v>
      </c>
      <c r="AS357" s="2613">
        <v>0</v>
      </c>
      <c r="AT357" s="2613">
        <v>0</v>
      </c>
    </row>
    <row r="358" spans="1:46">
      <c r="B358" s="295" t="s">
        <v>517</v>
      </c>
      <c r="C358" s="295" t="s">
        <v>30</v>
      </c>
      <c r="D358" s="811" t="s">
        <v>108</v>
      </c>
      <c r="E358" s="678"/>
      <c r="F358" s="797"/>
      <c r="G358" s="333"/>
      <c r="H358" s="333"/>
      <c r="I358" s="333"/>
      <c r="J358" s="333"/>
      <c r="K358" s="333"/>
      <c r="L358" s="333"/>
      <c r="M358" s="333"/>
      <c r="N358" s="333"/>
      <c r="O358" s="333"/>
      <c r="P358" s="333"/>
      <c r="Q358" s="333"/>
      <c r="R358" s="333"/>
      <c r="S358" s="333"/>
      <c r="T358" s="333"/>
      <c r="U358" s="334"/>
      <c r="V358" s="334"/>
      <c r="W358" s="846"/>
      <c r="X358" s="846"/>
      <c r="Y358" s="846"/>
      <c r="Z358" s="840"/>
      <c r="AA358" s="840"/>
      <c r="AB358" s="847"/>
      <c r="AC358" s="661"/>
      <c r="AD358" s="842"/>
      <c r="AE358" s="842"/>
      <c r="AF358" s="842"/>
      <c r="AG358" s="2913"/>
      <c r="AH358" s="2913"/>
      <c r="AI358" s="3559"/>
      <c r="AJ358" s="2913"/>
      <c r="AK358" s="2913"/>
      <c r="AL358" s="2913"/>
      <c r="AM358" s="2913">
        <v>0</v>
      </c>
      <c r="AN358" s="2913"/>
      <c r="AO358" s="1770"/>
      <c r="AP358" s="1770"/>
      <c r="AQ358" s="1770"/>
      <c r="AR358" s="1770"/>
      <c r="AS358" s="1770"/>
      <c r="AT358" s="1770"/>
    </row>
    <row r="359" spans="1:46">
      <c r="A359" s="297" t="s">
        <v>473</v>
      </c>
      <c r="B359" s="295" t="s">
        <v>474</v>
      </c>
      <c r="C359" s="295" t="s">
        <v>30</v>
      </c>
      <c r="D359" s="811" t="s">
        <v>1763</v>
      </c>
      <c r="E359" s="678"/>
      <c r="F359" s="797"/>
      <c r="G359" s="333"/>
      <c r="H359" s="333"/>
      <c r="I359" s="333"/>
      <c r="J359" s="333"/>
      <c r="K359" s="333"/>
      <c r="L359" s="333"/>
      <c r="M359" s="333"/>
      <c r="N359" s="333"/>
      <c r="O359" s="333"/>
      <c r="P359" s="333"/>
      <c r="Q359" s="333"/>
      <c r="R359" s="333"/>
      <c r="S359" s="333"/>
      <c r="T359" s="333"/>
      <c r="U359" s="334"/>
      <c r="V359" s="334"/>
      <c r="W359" s="846"/>
      <c r="X359" s="846"/>
      <c r="Y359" s="846">
        <v>4.3619322278298484E-2</v>
      </c>
      <c r="Z359" s="840">
        <v>4.3249465548429532E-2</v>
      </c>
      <c r="AA359" s="840">
        <v>4.4473995271867614E-2</v>
      </c>
      <c r="AB359" s="847">
        <v>4.6713029786117306E-2</v>
      </c>
      <c r="AC359" s="661">
        <v>5.9212901672884823E-2</v>
      </c>
      <c r="AD359" s="847">
        <v>6.7124735729386889E-2</v>
      </c>
      <c r="AE359" s="847">
        <v>6.4034151547491994E-2</v>
      </c>
      <c r="AF359" s="847">
        <v>6.7146067415730343E-2</v>
      </c>
      <c r="AG359" s="847">
        <v>7.4696413442530363E-2</v>
      </c>
      <c r="AH359" s="847">
        <v>6.8521860627583392E-2</v>
      </c>
      <c r="AI359" s="3560">
        <v>8.2538407470629585E-2</v>
      </c>
      <c r="AJ359" s="3187">
        <f>AI359</f>
        <v>8.2538407470629585E-2</v>
      </c>
      <c r="AK359" s="3187">
        <f t="shared" ref="AK359:AN359" si="59">AJ359</f>
        <v>8.2538407470629585E-2</v>
      </c>
      <c r="AL359" s="3187">
        <f t="shared" si="59"/>
        <v>8.2538407470629585E-2</v>
      </c>
      <c r="AM359" s="3187">
        <f t="shared" si="59"/>
        <v>8.2538407470629585E-2</v>
      </c>
      <c r="AN359" s="3187">
        <f t="shared" si="59"/>
        <v>8.2538407470629585E-2</v>
      </c>
      <c r="AO359" s="1081">
        <f>AN359</f>
        <v>8.2538407470629585E-2</v>
      </c>
      <c r="AP359" s="1081">
        <f t="shared" ref="AP359:AT359" si="60">AO359</f>
        <v>8.2538407470629585E-2</v>
      </c>
      <c r="AQ359" s="1081">
        <f t="shared" si="60"/>
        <v>8.2538407470629585E-2</v>
      </c>
      <c r="AR359" s="1081">
        <f t="shared" si="60"/>
        <v>8.2538407470629585E-2</v>
      </c>
      <c r="AS359" s="1081">
        <f t="shared" si="60"/>
        <v>8.2538407470629585E-2</v>
      </c>
      <c r="AT359" s="1081">
        <f t="shared" si="60"/>
        <v>8.2538407470629585E-2</v>
      </c>
    </row>
    <row r="360" spans="1:46">
      <c r="A360" s="297" t="s">
        <v>374</v>
      </c>
      <c r="B360" s="295" t="s">
        <v>475</v>
      </c>
      <c r="C360" s="295" t="s">
        <v>30</v>
      </c>
      <c r="D360" s="811" t="s">
        <v>970</v>
      </c>
      <c r="E360" s="678"/>
      <c r="F360" s="797"/>
      <c r="G360" s="333"/>
      <c r="H360" s="333"/>
      <c r="I360" s="333"/>
      <c r="J360" s="333"/>
      <c r="K360" s="333"/>
      <c r="L360" s="333"/>
      <c r="M360" s="333"/>
      <c r="N360" s="333"/>
      <c r="O360" s="333"/>
      <c r="P360" s="333"/>
      <c r="Q360" s="333"/>
      <c r="R360" s="333"/>
      <c r="S360" s="333"/>
      <c r="T360" s="333"/>
      <c r="U360" s="334"/>
      <c r="V360" s="334"/>
      <c r="W360" s="846"/>
      <c r="X360" s="846"/>
      <c r="Y360" s="840">
        <f>(SUM(Y189:Y192)-SUM(X189:X192))/SUM(X189:X192)</f>
        <v>3.352702063046141E-2</v>
      </c>
      <c r="Z360" s="840">
        <f>(SUM(Z189:Z192)-SUM(Y189:Y192))/SUM(Y189:Y192)</f>
        <v>0.13424434248569814</v>
      </c>
      <c r="AA360" s="840">
        <f t="shared" ref="Z360:AI360" si="61">(SUM(AA189:AA192)-SUM(Z189:Z192))/SUM(Z189:Z192)</f>
        <v>-2.9332490793183483E-2</v>
      </c>
      <c r="AB360" s="847">
        <f t="shared" si="61"/>
        <v>0.15774088046531679</v>
      </c>
      <c r="AC360" s="661">
        <f t="shared" si="61"/>
        <v>0.10613306588941253</v>
      </c>
      <c r="AD360" s="847">
        <f t="shared" si="61"/>
        <v>6.8725884249808911E-2</v>
      </c>
      <c r="AE360" s="847">
        <f t="shared" si="61"/>
        <v>3.0981196575368599E-2</v>
      </c>
      <c r="AF360" s="847">
        <f t="shared" si="61"/>
        <v>2.9399029366533824E-2</v>
      </c>
      <c r="AG360" s="847">
        <f t="shared" si="61"/>
        <v>9.9291379734393573E-2</v>
      </c>
      <c r="AH360" s="847">
        <f t="shared" si="61"/>
        <v>0.2023032569738494</v>
      </c>
      <c r="AI360" s="3560">
        <f t="shared" si="61"/>
        <v>9.7875187027955529E-2</v>
      </c>
      <c r="AJ360" s="3187">
        <v>3.3015212598033576E-2</v>
      </c>
      <c r="AK360" s="847">
        <v>3.7227243213308982E-2</v>
      </c>
      <c r="AL360" s="847">
        <v>3.8911189199167716E-2</v>
      </c>
      <c r="AM360" s="847">
        <v>8.1982708858832118E-2</v>
      </c>
      <c r="AN360" s="847">
        <f t="shared" ref="AN360:AT360" si="62">(SUM(AN189:AN192)-SUM(AM189:AM192))/SUM(AM189:AM192)</f>
        <v>3.5128470708976151E-2</v>
      </c>
      <c r="AO360" s="1081">
        <f t="shared" si="62"/>
        <v>3.0190044341088015E-2</v>
      </c>
      <c r="AP360" s="1081">
        <f t="shared" si="62"/>
        <v>5.1954323869356889E-2</v>
      </c>
      <c r="AQ360" s="1081">
        <f t="shared" si="62"/>
        <v>3.4562860219104131E-2</v>
      </c>
      <c r="AR360" s="1081">
        <f t="shared" si="62"/>
        <v>3.6817185003111999E-2</v>
      </c>
      <c r="AS360" s="1081">
        <f t="shared" si="62"/>
        <v>2.842928178274351E-2</v>
      </c>
      <c r="AT360" s="1081">
        <f t="shared" si="62"/>
        <v>3.5929221880762453E-2</v>
      </c>
    </row>
    <row r="361" spans="1:46">
      <c r="D361" s="811" t="s">
        <v>477</v>
      </c>
      <c r="E361" s="678"/>
      <c r="F361" s="797"/>
      <c r="G361" s="333"/>
      <c r="H361" s="333"/>
      <c r="I361" s="333"/>
      <c r="J361" s="333"/>
      <c r="K361" s="333"/>
      <c r="L361" s="333"/>
      <c r="M361" s="333"/>
      <c r="N361" s="333"/>
      <c r="O361" s="333"/>
      <c r="P361" s="333"/>
      <c r="Q361" s="333"/>
      <c r="R361" s="333"/>
      <c r="S361" s="333"/>
      <c r="T361" s="333"/>
      <c r="U361" s="334"/>
      <c r="V361" s="334"/>
      <c r="W361" s="846"/>
      <c r="X361" s="846"/>
      <c r="Y361" s="849">
        <f t="shared" ref="Y361:AG361" si="63">+Y593+Y599+SUM(Y615:Y616)+SUM(Y619:Y624)+Y628</f>
        <v>8232</v>
      </c>
      <c r="Z361" s="849">
        <f t="shared" si="63"/>
        <v>8916</v>
      </c>
      <c r="AA361" s="849">
        <f t="shared" si="63"/>
        <v>9410</v>
      </c>
      <c r="AB361" s="1075">
        <f t="shared" si="63"/>
        <v>9901</v>
      </c>
      <c r="AC361" s="799">
        <f t="shared" si="63"/>
        <v>10652</v>
      </c>
      <c r="AD361" s="1075">
        <f t="shared" si="63"/>
        <v>11644</v>
      </c>
      <c r="AE361" s="1075">
        <f t="shared" si="63"/>
        <v>8513</v>
      </c>
      <c r="AF361" s="1075">
        <f t="shared" si="63"/>
        <v>12136</v>
      </c>
      <c r="AG361" s="1075">
        <f t="shared" si="63"/>
        <v>13291</v>
      </c>
      <c r="AH361" s="1075">
        <f>+AH593+AH599+SUM(AH615:AH616)+SUM(AH619:AH624)+AH628</f>
        <v>14511</v>
      </c>
      <c r="AI361" s="3562">
        <f>+AI593+AI599+SUM(AI615:AI616)+SUM(AI619:AI624)+AI628</f>
        <v>15541</v>
      </c>
      <c r="AJ361" s="1075">
        <f t="shared" ref="AJ361:AT361" si="64">+AJ593+AJ599+SUM(AJ615:AJ616)+SUM(AJ619:AJ624)+AJ628</f>
        <v>16744.770845243056</v>
      </c>
      <c r="AK361" s="1075">
        <f t="shared" si="64"/>
        <v>18327.598300586218</v>
      </c>
      <c r="AL361" s="1075">
        <f t="shared" si="64"/>
        <v>20169.482879025294</v>
      </c>
      <c r="AM361" s="1075">
        <f t="shared" si="64"/>
        <v>22002.020405771073</v>
      </c>
      <c r="AN361" s="1075">
        <f t="shared" si="64"/>
        <v>23948.218796828871</v>
      </c>
      <c r="AO361" s="1773">
        <f t="shared" si="64"/>
        <v>26170.565574923108</v>
      </c>
      <c r="AP361" s="1773">
        <f t="shared" si="64"/>
        <v>28578.880626673708</v>
      </c>
      <c r="AQ361" s="1773">
        <f t="shared" si="64"/>
        <v>31290.102288479895</v>
      </c>
      <c r="AR361" s="1773">
        <f t="shared" si="64"/>
        <v>34343.440972438526</v>
      </c>
      <c r="AS361" s="1773">
        <f t="shared" si="64"/>
        <v>37778.213261657016</v>
      </c>
      <c r="AT361" s="1773">
        <f t="shared" si="64"/>
        <v>41739.510624617935</v>
      </c>
    </row>
    <row r="362" spans="1:46">
      <c r="B362" s="295" t="s">
        <v>476</v>
      </c>
      <c r="C362" s="295" t="s">
        <v>30</v>
      </c>
      <c r="D362" s="811" t="s">
        <v>1096</v>
      </c>
      <c r="E362" s="680"/>
      <c r="F362" s="797"/>
      <c r="G362" s="333"/>
      <c r="H362" s="333"/>
      <c r="I362" s="333"/>
      <c r="J362" s="333"/>
      <c r="K362" s="333"/>
      <c r="L362" s="333"/>
      <c r="M362" s="333"/>
      <c r="N362" s="333"/>
      <c r="O362" s="333"/>
      <c r="P362" s="333"/>
      <c r="Q362" s="333"/>
      <c r="R362" s="333"/>
      <c r="S362" s="333"/>
      <c r="T362" s="333"/>
      <c r="U362" s="334"/>
      <c r="V362" s="334"/>
      <c r="W362" s="846"/>
      <c r="X362" s="846"/>
      <c r="Y362" s="841"/>
      <c r="Z362" s="841">
        <f t="shared" ref="Z362:AG362" si="65">(Z361-Y361)/Y361</f>
        <v>8.3090379008746357E-2</v>
      </c>
      <c r="AA362" s="841">
        <f t="shared" si="65"/>
        <v>5.5406011664423507E-2</v>
      </c>
      <c r="AB362" s="843">
        <f t="shared" si="65"/>
        <v>5.2178533475026566E-2</v>
      </c>
      <c r="AC362" s="702">
        <f t="shared" si="65"/>
        <v>7.5850924149075849E-2</v>
      </c>
      <c r="AD362" s="843">
        <f t="shared" si="65"/>
        <v>9.3128051070221554E-2</v>
      </c>
      <c r="AE362" s="843">
        <f t="shared" si="65"/>
        <v>-0.26889385091034007</v>
      </c>
      <c r="AF362" s="843">
        <f t="shared" si="65"/>
        <v>0.42558440032890871</v>
      </c>
      <c r="AG362" s="843">
        <f t="shared" si="65"/>
        <v>9.5171390903098216E-2</v>
      </c>
      <c r="AH362" s="843">
        <f>(AH361-AG361)/AG361</f>
        <v>9.1791437815062826E-2</v>
      </c>
      <c r="AI362" s="843">
        <f t="shared" ref="AI362:AO362" si="66">(AI361-AH361)/AH361</f>
        <v>7.0980635380056514E-2</v>
      </c>
      <c r="AJ362" s="843">
        <f t="shared" si="66"/>
        <v>7.7457746943121811E-2</v>
      </c>
      <c r="AK362" s="843">
        <f t="shared" si="66"/>
        <v>9.4526671638078583E-2</v>
      </c>
      <c r="AL362" s="843">
        <f t="shared" si="66"/>
        <v>0.10049786929148062</v>
      </c>
      <c r="AM362" s="843">
        <f t="shared" si="66"/>
        <v>9.0856941535743391E-2</v>
      </c>
      <c r="AN362" s="843">
        <f t="shared" si="66"/>
        <v>8.845543978076284E-2</v>
      </c>
      <c r="AO362" s="1081">
        <f t="shared" si="66"/>
        <v>9.2797998755068653E-2</v>
      </c>
      <c r="AP362" s="1081">
        <f t="shared" ref="AP362" si="67">(AP361-AO361)/AO361</f>
        <v>9.2023806090697213E-2</v>
      </c>
      <c r="AQ362" s="1081">
        <f t="shared" ref="AQ362" si="68">(AQ361-AP361)/AP361</f>
        <v>9.4868014504238665E-2</v>
      </c>
      <c r="AR362" s="1081">
        <f t="shared" ref="AR362" si="69">(AR361-AQ361)/AQ361</f>
        <v>9.7581614013540041E-2</v>
      </c>
      <c r="AS362" s="1081">
        <f t="shared" ref="AS362" si="70">(AS361-AR361)/AR361</f>
        <v>0.10001246794038435</v>
      </c>
      <c r="AT362" s="1081">
        <f t="shared" ref="AT362" si="71">(AT361-AS361)/AS361</f>
        <v>0.10485666263580115</v>
      </c>
    </row>
    <row r="363" spans="1:46">
      <c r="D363" s="812" t="s">
        <v>108</v>
      </c>
      <c r="E363" s="680"/>
      <c r="F363" s="797"/>
      <c r="G363" s="665"/>
      <c r="H363" s="665"/>
      <c r="I363" s="665"/>
      <c r="J363" s="665"/>
      <c r="K363" s="665"/>
      <c r="L363" s="665"/>
      <c r="M363" s="665"/>
      <c r="N363" s="665"/>
      <c r="O363" s="665"/>
      <c r="P363" s="665"/>
      <c r="Q363" s="665"/>
      <c r="R363" s="665"/>
      <c r="S363" s="665"/>
      <c r="T363" s="665"/>
      <c r="U363" s="670"/>
      <c r="V363" s="670"/>
      <c r="W363" s="842"/>
      <c r="X363" s="842"/>
      <c r="Y363" s="842"/>
      <c r="Z363" s="842"/>
      <c r="AA363" s="842"/>
      <c r="AB363" s="842"/>
      <c r="AC363" s="842"/>
      <c r="AD363" s="842"/>
      <c r="AE363" s="842"/>
      <c r="AF363" s="842"/>
      <c r="AG363" s="842"/>
      <c r="AH363" s="842"/>
      <c r="AI363" s="3559"/>
      <c r="AJ363" s="1687">
        <v>0</v>
      </c>
      <c r="AK363" s="1687">
        <v>0</v>
      </c>
      <c r="AL363" s="1687">
        <v>0</v>
      </c>
      <c r="AM363" s="1687">
        <v>0</v>
      </c>
      <c r="AN363" s="1687">
        <v>0</v>
      </c>
      <c r="AO363" s="1687">
        <v>0</v>
      </c>
      <c r="AP363" s="1688">
        <v>0</v>
      </c>
      <c r="AQ363" s="1688">
        <v>0</v>
      </c>
      <c r="AR363" s="1688">
        <v>0</v>
      </c>
      <c r="AS363" s="1688">
        <v>0</v>
      </c>
      <c r="AT363" s="1688">
        <v>0</v>
      </c>
    </row>
    <row r="364" spans="1:46">
      <c r="D364" s="812" t="s">
        <v>1318</v>
      </c>
      <c r="E364" s="680"/>
      <c r="F364" s="797"/>
      <c r="G364" s="665"/>
      <c r="H364" s="665"/>
      <c r="I364" s="665"/>
      <c r="J364" s="665"/>
      <c r="K364" s="665"/>
      <c r="L364" s="665"/>
      <c r="M364" s="665"/>
      <c r="N364" s="665"/>
      <c r="O364" s="665"/>
      <c r="P364" s="665"/>
      <c r="Q364" s="665"/>
      <c r="R364" s="665"/>
      <c r="S364" s="665"/>
      <c r="T364" s="665"/>
      <c r="U364" s="670"/>
      <c r="V364" s="670"/>
      <c r="W364" s="842"/>
      <c r="X364" s="842"/>
      <c r="Y364" s="842"/>
      <c r="Z364" s="842"/>
      <c r="AA364" s="842"/>
      <c r="AB364" s="842"/>
      <c r="AC364" s="842"/>
      <c r="AD364" s="842"/>
      <c r="AE364" s="842"/>
      <c r="AF364" s="842"/>
      <c r="AG364" s="842"/>
      <c r="AH364" s="842"/>
      <c r="AI364" s="3559"/>
      <c r="AJ364" s="3543">
        <v>0</v>
      </c>
      <c r="AK364" s="3543">
        <v>0</v>
      </c>
      <c r="AL364" s="3543">
        <v>0</v>
      </c>
      <c r="AM364" s="3543">
        <v>0</v>
      </c>
      <c r="AN364" s="3543">
        <v>0</v>
      </c>
      <c r="AO364" s="3543">
        <v>0</v>
      </c>
      <c r="AP364" s="2614">
        <v>0</v>
      </c>
      <c r="AQ364" s="2614">
        <v>0</v>
      </c>
      <c r="AR364" s="2614">
        <v>0</v>
      </c>
      <c r="AS364" s="2614">
        <v>0</v>
      </c>
      <c r="AT364" s="2614">
        <v>0</v>
      </c>
    </row>
    <row r="365" spans="1:46">
      <c r="D365" s="812" t="s">
        <v>1330</v>
      </c>
      <c r="E365" s="680"/>
      <c r="F365" s="797"/>
      <c r="G365" s="665"/>
      <c r="H365" s="665"/>
      <c r="I365" s="665"/>
      <c r="J365" s="665"/>
      <c r="K365" s="665"/>
      <c r="L365" s="665"/>
      <c r="M365" s="665"/>
      <c r="N365" s="665"/>
      <c r="O365" s="665"/>
      <c r="P365" s="665"/>
      <c r="Q365" s="665"/>
      <c r="R365" s="665"/>
      <c r="S365" s="665"/>
      <c r="T365" s="665"/>
      <c r="U365" s="670"/>
      <c r="V365" s="670"/>
      <c r="W365" s="842"/>
      <c r="X365" s="842"/>
      <c r="Y365" s="842"/>
      <c r="Z365" s="842"/>
      <c r="AA365" s="842"/>
      <c r="AB365" s="842"/>
      <c r="AC365" s="842"/>
      <c r="AD365" s="842"/>
      <c r="AE365" s="842"/>
      <c r="AF365" s="842"/>
      <c r="AG365" s="842"/>
      <c r="AH365" s="842"/>
      <c r="AI365" s="3559"/>
      <c r="AJ365" s="1687">
        <v>0</v>
      </c>
      <c r="AK365" s="1687">
        <v>0</v>
      </c>
      <c r="AL365" s="1687">
        <v>0</v>
      </c>
      <c r="AM365" s="1687">
        <v>0</v>
      </c>
      <c r="AN365" s="1687">
        <v>0</v>
      </c>
      <c r="AO365" s="1687">
        <v>0</v>
      </c>
      <c r="AP365" s="1688">
        <v>0</v>
      </c>
      <c r="AQ365" s="1688">
        <v>0</v>
      </c>
      <c r="AR365" s="1688">
        <v>0</v>
      </c>
      <c r="AS365" s="1688">
        <v>0</v>
      </c>
      <c r="AT365" s="1688">
        <v>0</v>
      </c>
    </row>
    <row r="366" spans="1:46">
      <c r="A366" s="297" t="s">
        <v>38</v>
      </c>
      <c r="D366" s="811" t="s">
        <v>971</v>
      </c>
      <c r="E366" s="678"/>
      <c r="F366" s="797"/>
      <c r="G366" s="333"/>
      <c r="H366" s="333"/>
      <c r="I366" s="333"/>
      <c r="J366" s="333"/>
      <c r="K366" s="333"/>
      <c r="L366" s="333"/>
      <c r="M366" s="333"/>
      <c r="N366" s="333"/>
      <c r="O366" s="333"/>
      <c r="P366" s="333"/>
      <c r="Q366" s="333"/>
      <c r="R366" s="333"/>
      <c r="S366" s="333"/>
      <c r="T366" s="333"/>
      <c r="U366" s="334"/>
      <c r="V366" s="334"/>
      <c r="W366" s="846"/>
      <c r="X366" s="846"/>
      <c r="Y366" s="840">
        <v>0.71782201102593102</v>
      </c>
      <c r="Z366" s="840">
        <v>0.55873547616967167</v>
      </c>
      <c r="AA366" s="840">
        <v>0.5483731514977882</v>
      </c>
      <c r="AB366" s="847">
        <v>0.53283118452967049</v>
      </c>
      <c r="AC366" s="847">
        <v>0.52377410573397487</v>
      </c>
      <c r="AD366" s="847">
        <v>0.49951181171254344</v>
      </c>
      <c r="AE366" s="847">
        <v>0.65466312150230777</v>
      </c>
      <c r="AF366" s="847">
        <v>0.582910373986394</v>
      </c>
      <c r="AG366" s="847">
        <v>0.51099900758077643</v>
      </c>
      <c r="AH366" s="847">
        <v>0.51204791990827714</v>
      </c>
      <c r="AI366" s="3560">
        <v>0.53930551363589441</v>
      </c>
      <c r="AJ366" s="3187">
        <f>AI366</f>
        <v>0.53930551363589441</v>
      </c>
      <c r="AK366" s="3187">
        <f t="shared" ref="AK366:AN366" si="72">AJ366</f>
        <v>0.53930551363589441</v>
      </c>
      <c r="AL366" s="3187">
        <f t="shared" si="72"/>
        <v>0.53930551363589441</v>
      </c>
      <c r="AM366" s="3187">
        <f t="shared" si="72"/>
        <v>0.53930551363589441</v>
      </c>
      <c r="AN366" s="3187">
        <f t="shared" si="72"/>
        <v>0.53930551363589441</v>
      </c>
      <c r="AO366" s="1081">
        <f>AN366</f>
        <v>0.53930551363589441</v>
      </c>
      <c r="AP366" s="1081">
        <f t="shared" ref="AP366:AT366" si="73">AO366</f>
        <v>0.53930551363589441</v>
      </c>
      <c r="AQ366" s="1081">
        <f t="shared" si="73"/>
        <v>0.53930551363589441</v>
      </c>
      <c r="AR366" s="1081">
        <f t="shared" si="73"/>
        <v>0.53930551363589441</v>
      </c>
      <c r="AS366" s="1081">
        <f t="shared" si="73"/>
        <v>0.53930551363589441</v>
      </c>
      <c r="AT366" s="1081">
        <f t="shared" si="73"/>
        <v>0.53930551363589441</v>
      </c>
    </row>
    <row r="367" spans="1:46">
      <c r="A367" s="297" t="s">
        <v>38</v>
      </c>
      <c r="D367" s="811" t="s">
        <v>972</v>
      </c>
      <c r="E367" s="678"/>
      <c r="F367" s="797"/>
      <c r="G367" s="333"/>
      <c r="H367" s="333"/>
      <c r="I367" s="333"/>
      <c r="J367" s="333"/>
      <c r="K367" s="333"/>
      <c r="L367" s="333"/>
      <c r="M367" s="333"/>
      <c r="N367" s="333"/>
      <c r="O367" s="333"/>
      <c r="P367" s="333"/>
      <c r="Q367" s="333"/>
      <c r="R367" s="333"/>
      <c r="S367" s="333"/>
      <c r="T367" s="333"/>
      <c r="U367" s="334"/>
      <c r="V367" s="334"/>
      <c r="W367" s="846"/>
      <c r="X367" s="846"/>
      <c r="Y367" s="846"/>
      <c r="Z367" s="841">
        <v>0.13884043002819779</v>
      </c>
      <c r="AA367" s="841">
        <v>0.13529470172885283</v>
      </c>
      <c r="AB367" s="843">
        <v>-0.11978765537126398</v>
      </c>
      <c r="AC367" s="702">
        <v>0.26482510535226961</v>
      </c>
      <c r="AD367" s="843">
        <v>0.19591644960473115</v>
      </c>
      <c r="AE367" s="843">
        <v>-0.20734676201492988</v>
      </c>
      <c r="AF367" s="843">
        <v>0.18403697509463379</v>
      </c>
      <c r="AG367" s="843">
        <v>0.77850855423444654</v>
      </c>
      <c r="AH367" s="843">
        <v>0.17955528779254926</v>
      </c>
      <c r="AI367" s="3561">
        <v>0.68507633867964457</v>
      </c>
      <c r="AJ367" s="1656">
        <f>AVERAGE(Z367:AG367)</f>
        <v>0.17128597483211724</v>
      </c>
      <c r="AK367" s="1656">
        <f t="shared" ref="AK367:AO367" si="74">AVERAGE(AA367:AH367)</f>
        <v>0.17637533205266118</v>
      </c>
      <c r="AL367" s="1656">
        <f t="shared" si="74"/>
        <v>0.24509803667151014</v>
      </c>
      <c r="AM367" s="1656">
        <f t="shared" si="74"/>
        <v>0.28148224044693282</v>
      </c>
      <c r="AN367" s="1656">
        <f t="shared" si="74"/>
        <v>0.27042601878448169</v>
      </c>
      <c r="AO367" s="1656">
        <f t="shared" si="74"/>
        <v>0.27657371716782908</v>
      </c>
      <c r="AP367" s="862">
        <f t="shared" ref="AP367" si="75">AVERAGE(AF367:AM367)</f>
        <v>0.33767734247556191</v>
      </c>
      <c r="AQ367" s="862">
        <f t="shared" ref="AQ367" si="76">AVERAGE(AG367:AN367)</f>
        <v>0.34847597293679294</v>
      </c>
      <c r="AR367" s="862">
        <f t="shared" ref="AR367" si="77">AVERAGE(AH367:AO367)</f>
        <v>0.28573411830346573</v>
      </c>
      <c r="AS367" s="862">
        <f t="shared" ref="AS367" si="78">AVERAGE(AI367:AP367)</f>
        <v>0.30549937513884234</v>
      </c>
      <c r="AT367" s="862">
        <f t="shared" ref="AT367" si="79">AVERAGE(AJ367:AQ367)</f>
        <v>0.26342432942098587</v>
      </c>
    </row>
    <row r="368" spans="1:46">
      <c r="D368" s="811" t="s">
        <v>715</v>
      </c>
      <c r="E368" s="678"/>
      <c r="F368" s="797"/>
      <c r="G368" s="665"/>
      <c r="H368" s="665"/>
      <c r="I368" s="665"/>
      <c r="J368" s="665"/>
      <c r="K368" s="665"/>
      <c r="L368" s="665"/>
      <c r="M368" s="665"/>
      <c r="N368" s="665"/>
      <c r="O368" s="665"/>
      <c r="P368" s="665"/>
      <c r="Q368" s="665"/>
      <c r="R368" s="665"/>
      <c r="S368" s="665"/>
      <c r="T368" s="665"/>
      <c r="U368" s="670"/>
      <c r="V368" s="670"/>
      <c r="W368" s="842"/>
      <c r="X368" s="842"/>
      <c r="Y368" s="842"/>
      <c r="Z368" s="841">
        <f>((Z517-Y517)/Y517)</f>
        <v>5.0246706445432748E-2</v>
      </c>
      <c r="AA368" s="841">
        <f>((AA517-Z517)/Z517)</f>
        <v>6.0165482585143197E-2</v>
      </c>
      <c r="AB368" s="841">
        <f>AB517/AA517-1</f>
        <v>6.2281259141359069E-2</v>
      </c>
      <c r="AC368" s="841">
        <f>AC517/AB517-1</f>
        <v>4.4785035114623506E-2</v>
      </c>
      <c r="AD368" s="841">
        <f t="shared" ref="AD368:AO368" si="80">AD517/AC517-1</f>
        <v>6.3557572748405677E-2</v>
      </c>
      <c r="AE368" s="841">
        <f t="shared" si="80"/>
        <v>-0.69065597008713975</v>
      </c>
      <c r="AF368" s="841">
        <f t="shared" si="80"/>
        <v>0.17983530423893179</v>
      </c>
      <c r="AG368" s="841">
        <f t="shared" si="80"/>
        <v>0.75355998277875691</v>
      </c>
      <c r="AH368" s="841">
        <f>AH517/AG517-1</f>
        <v>0.51955194277909089</v>
      </c>
      <c r="AI368" s="3561">
        <f>AI517/AH517-1</f>
        <v>0.10000000000000009</v>
      </c>
      <c r="AJ368" s="1656">
        <f t="shared" si="80"/>
        <v>0.10000000000000009</v>
      </c>
      <c r="AK368" s="841">
        <f t="shared" si="80"/>
        <v>0.10000000000000009</v>
      </c>
      <c r="AL368" s="841">
        <f t="shared" si="80"/>
        <v>0.10000000000000009</v>
      </c>
      <c r="AM368" s="841">
        <f t="shared" si="80"/>
        <v>9.9999999999999867E-2</v>
      </c>
      <c r="AN368" s="841">
        <f t="shared" si="80"/>
        <v>0.10000000000000009</v>
      </c>
      <c r="AO368" s="862">
        <f t="shared" si="80"/>
        <v>0.10000000000000009</v>
      </c>
      <c r="AP368" s="862">
        <f>AP517/AO517-1</f>
        <v>0.13122031584275673</v>
      </c>
      <c r="AQ368" s="862">
        <f>AQ517/AP517-1</f>
        <v>0.13136107510110828</v>
      </c>
      <c r="AR368" s="862">
        <f>AR517/AQ517-1</f>
        <v>0.13150483699063908</v>
      </c>
      <c r="AS368" s="862">
        <f>AS517/AR517-1</f>
        <v>0.13165165160245307</v>
      </c>
      <c r="AT368" s="862">
        <f>AT517/AS517-1</f>
        <v>0.13180156813804289</v>
      </c>
    </row>
    <row r="369" spans="1:46" s="681" customFormat="1">
      <c r="A369" s="1475"/>
      <c r="B369" s="346"/>
      <c r="C369" s="346"/>
      <c r="D369" s="2074" t="s">
        <v>1331</v>
      </c>
      <c r="E369" s="1476"/>
      <c r="F369" s="2914"/>
      <c r="G369" s="1477"/>
      <c r="H369" s="1477"/>
      <c r="I369" s="1477"/>
      <c r="J369" s="1477"/>
      <c r="K369" s="1477"/>
      <c r="L369" s="1477"/>
      <c r="M369" s="1477"/>
      <c r="N369" s="1477"/>
      <c r="O369" s="1477"/>
      <c r="P369" s="1477"/>
      <c r="Q369" s="1477"/>
      <c r="R369" s="1477"/>
      <c r="S369" s="1477"/>
      <c r="T369" s="1477"/>
      <c r="U369" s="1478"/>
      <c r="V369" s="1478"/>
      <c r="W369" s="1479"/>
      <c r="X369" s="1479"/>
      <c r="Y369" s="1479"/>
      <c r="Z369" s="1480"/>
      <c r="AA369" s="1480"/>
      <c r="AB369" s="1480"/>
      <c r="AC369" s="1480"/>
      <c r="AD369" s="1480"/>
      <c r="AE369" s="1480"/>
      <c r="AF369" s="1480"/>
      <c r="AG369" s="1480"/>
      <c r="AH369" s="1480"/>
      <c r="AI369" s="3563"/>
      <c r="AJ369" s="1687">
        <v>0</v>
      </c>
      <c r="AK369" s="1687">
        <v>0</v>
      </c>
      <c r="AL369" s="1687">
        <v>0</v>
      </c>
      <c r="AM369" s="1687">
        <v>0</v>
      </c>
      <c r="AN369" s="1687">
        <v>0</v>
      </c>
      <c r="AO369" s="1687">
        <v>0</v>
      </c>
      <c r="AP369" s="1688">
        <v>0</v>
      </c>
      <c r="AQ369" s="1688">
        <v>0</v>
      </c>
      <c r="AR369" s="1688">
        <v>0</v>
      </c>
      <c r="AS369" s="1688">
        <v>0</v>
      </c>
      <c r="AT369" s="1688">
        <v>0</v>
      </c>
    </row>
    <row r="370" spans="1:46">
      <c r="D370" s="812" t="s">
        <v>1316</v>
      </c>
      <c r="E370" s="678"/>
      <c r="F370" s="797"/>
      <c r="G370" s="665"/>
      <c r="H370" s="665"/>
      <c r="I370" s="665"/>
      <c r="J370" s="665"/>
      <c r="K370" s="665"/>
      <c r="L370" s="665"/>
      <c r="M370" s="665"/>
      <c r="N370" s="665"/>
      <c r="O370" s="665"/>
      <c r="P370" s="665"/>
      <c r="Q370" s="665"/>
      <c r="R370" s="665"/>
      <c r="S370" s="665"/>
      <c r="T370" s="665"/>
      <c r="U370" s="670"/>
      <c r="V370" s="670"/>
      <c r="W370" s="842"/>
      <c r="X370" s="842"/>
      <c r="Y370" s="842"/>
      <c r="Z370" s="843"/>
      <c r="AA370" s="843"/>
      <c r="AB370" s="843"/>
      <c r="AC370" s="843"/>
      <c r="AD370" s="843"/>
      <c r="AE370" s="843"/>
      <c r="AF370" s="843"/>
      <c r="AG370" s="843"/>
      <c r="AH370" s="843"/>
      <c r="AI370" s="3561"/>
      <c r="AJ370" s="1687">
        <v>0</v>
      </c>
      <c r="AK370" s="1687">
        <v>0</v>
      </c>
      <c r="AL370" s="1687">
        <v>0</v>
      </c>
      <c r="AM370" s="1687">
        <v>0</v>
      </c>
      <c r="AN370" s="1687">
        <v>0</v>
      </c>
      <c r="AO370" s="1687">
        <v>0</v>
      </c>
      <c r="AP370" s="1688">
        <v>0</v>
      </c>
      <c r="AQ370" s="1688">
        <v>0</v>
      </c>
      <c r="AR370" s="1688">
        <v>0</v>
      </c>
      <c r="AS370" s="1688">
        <v>0</v>
      </c>
      <c r="AT370" s="1688">
        <v>0</v>
      </c>
    </row>
    <row r="371" spans="1:46">
      <c r="D371" s="812" t="s">
        <v>1317</v>
      </c>
      <c r="E371" s="678"/>
      <c r="F371" s="797"/>
      <c r="G371" s="665"/>
      <c r="H371" s="665"/>
      <c r="I371" s="665"/>
      <c r="J371" s="665"/>
      <c r="K371" s="665"/>
      <c r="L371" s="665"/>
      <c r="M371" s="665"/>
      <c r="N371" s="665"/>
      <c r="O371" s="665"/>
      <c r="P371" s="665"/>
      <c r="Q371" s="665"/>
      <c r="R371" s="665"/>
      <c r="S371" s="665"/>
      <c r="T371" s="665"/>
      <c r="U371" s="670"/>
      <c r="V371" s="670"/>
      <c r="W371" s="842"/>
      <c r="X371" s="842"/>
      <c r="Y371" s="842"/>
      <c r="Z371" s="843"/>
      <c r="AA371" s="843"/>
      <c r="AB371" s="843"/>
      <c r="AC371" s="843"/>
      <c r="AD371" s="843"/>
      <c r="AE371" s="843"/>
      <c r="AF371" s="843"/>
      <c r="AG371" s="843"/>
      <c r="AH371" s="843"/>
      <c r="AI371" s="3561"/>
      <c r="AJ371" s="1687">
        <v>0</v>
      </c>
      <c r="AK371" s="1687">
        <v>0</v>
      </c>
      <c r="AL371" s="1687">
        <v>0</v>
      </c>
      <c r="AM371" s="1687">
        <v>0</v>
      </c>
      <c r="AN371" s="1687">
        <v>0</v>
      </c>
      <c r="AO371" s="1687">
        <v>0</v>
      </c>
      <c r="AP371" s="1688">
        <v>0</v>
      </c>
      <c r="AQ371" s="1688">
        <v>0</v>
      </c>
      <c r="AR371" s="1688">
        <v>0</v>
      </c>
      <c r="AS371" s="1688">
        <v>0</v>
      </c>
      <c r="AT371" s="1688">
        <v>0</v>
      </c>
    </row>
    <row r="372" spans="1:46">
      <c r="D372" s="812" t="s">
        <v>125</v>
      </c>
      <c r="E372" s="678"/>
      <c r="F372" s="797"/>
      <c r="G372" s="665"/>
      <c r="H372" s="665"/>
      <c r="I372" s="665"/>
      <c r="J372" s="665"/>
      <c r="K372" s="665"/>
      <c r="L372" s="665"/>
      <c r="M372" s="665"/>
      <c r="N372" s="665"/>
      <c r="O372" s="665"/>
      <c r="P372" s="665"/>
      <c r="Q372" s="665"/>
      <c r="R372" s="665"/>
      <c r="S372" s="665"/>
      <c r="T372" s="665"/>
      <c r="U372" s="670"/>
      <c r="V372" s="670"/>
      <c r="W372" s="842"/>
      <c r="X372" s="842"/>
      <c r="Y372" s="842"/>
      <c r="Z372" s="843"/>
      <c r="AA372" s="843"/>
      <c r="AB372" s="843"/>
      <c r="AC372" s="843"/>
      <c r="AD372" s="843"/>
      <c r="AE372" s="843"/>
      <c r="AF372" s="843"/>
      <c r="AG372" s="843"/>
      <c r="AH372" s="843"/>
      <c r="AI372" s="3561"/>
      <c r="AJ372" s="1687">
        <v>0</v>
      </c>
      <c r="AK372" s="1687">
        <v>0</v>
      </c>
      <c r="AL372" s="1687">
        <v>0</v>
      </c>
      <c r="AM372" s="1687">
        <v>0</v>
      </c>
      <c r="AN372" s="1687">
        <v>0</v>
      </c>
      <c r="AO372" s="1687">
        <v>0</v>
      </c>
      <c r="AP372" s="1688">
        <v>0</v>
      </c>
      <c r="AQ372" s="1688">
        <v>0</v>
      </c>
      <c r="AR372" s="1688">
        <v>0</v>
      </c>
      <c r="AS372" s="1688">
        <v>0</v>
      </c>
      <c r="AT372" s="1688">
        <v>0</v>
      </c>
    </row>
    <row r="373" spans="1:46">
      <c r="D373" s="812" t="s">
        <v>126</v>
      </c>
      <c r="E373" s="678"/>
      <c r="F373" s="797"/>
      <c r="G373" s="665"/>
      <c r="H373" s="665"/>
      <c r="I373" s="665"/>
      <c r="J373" s="665"/>
      <c r="K373" s="665"/>
      <c r="L373" s="665"/>
      <c r="M373" s="665"/>
      <c r="N373" s="665"/>
      <c r="O373" s="665"/>
      <c r="P373" s="665"/>
      <c r="Q373" s="665"/>
      <c r="R373" s="665"/>
      <c r="S373" s="665"/>
      <c r="T373" s="665"/>
      <c r="U373" s="670"/>
      <c r="V373" s="670"/>
      <c r="W373" s="842"/>
      <c r="X373" s="842"/>
      <c r="Y373" s="842"/>
      <c r="Z373" s="843"/>
      <c r="AA373" s="843"/>
      <c r="AB373" s="843"/>
      <c r="AC373" s="843"/>
      <c r="AD373" s="843"/>
      <c r="AE373" s="843"/>
      <c r="AF373" s="843"/>
      <c r="AG373" s="843"/>
      <c r="AH373" s="843"/>
      <c r="AI373" s="3561"/>
      <c r="AJ373" s="1687">
        <v>0</v>
      </c>
      <c r="AK373" s="1687">
        <v>0</v>
      </c>
      <c r="AL373" s="1687">
        <v>0</v>
      </c>
      <c r="AM373" s="1687">
        <v>0</v>
      </c>
      <c r="AN373" s="1687">
        <v>0</v>
      </c>
      <c r="AO373" s="1687">
        <v>0</v>
      </c>
      <c r="AP373" s="1688">
        <v>0</v>
      </c>
      <c r="AQ373" s="1688">
        <v>0</v>
      </c>
      <c r="AR373" s="1688">
        <v>0</v>
      </c>
      <c r="AS373" s="1688">
        <v>0</v>
      </c>
      <c r="AT373" s="1688">
        <v>0</v>
      </c>
    </row>
    <row r="374" spans="1:46">
      <c r="D374" s="812" t="s">
        <v>1332</v>
      </c>
      <c r="E374" s="678"/>
      <c r="F374" s="797"/>
      <c r="G374" s="665"/>
      <c r="H374" s="665"/>
      <c r="I374" s="665"/>
      <c r="J374" s="665"/>
      <c r="K374" s="665"/>
      <c r="L374" s="665"/>
      <c r="M374" s="665"/>
      <c r="N374" s="665"/>
      <c r="O374" s="665"/>
      <c r="P374" s="665"/>
      <c r="Q374" s="665"/>
      <c r="R374" s="665"/>
      <c r="S374" s="665"/>
      <c r="T374" s="665"/>
      <c r="U374" s="670"/>
      <c r="V374" s="670"/>
      <c r="W374" s="842"/>
      <c r="X374" s="842"/>
      <c r="Y374" s="842"/>
      <c r="Z374" s="843"/>
      <c r="AA374" s="843"/>
      <c r="AB374" s="843"/>
      <c r="AC374" s="843"/>
      <c r="AD374" s="843"/>
      <c r="AE374" s="843"/>
      <c r="AF374" s="843"/>
      <c r="AG374" s="843"/>
      <c r="AH374" s="843"/>
      <c r="AI374" s="3561"/>
      <c r="AJ374" s="1687">
        <v>0</v>
      </c>
      <c r="AK374" s="1687">
        <v>0</v>
      </c>
      <c r="AL374" s="1687">
        <v>0</v>
      </c>
      <c r="AM374" s="1687">
        <v>0</v>
      </c>
      <c r="AN374" s="1687">
        <v>0</v>
      </c>
      <c r="AO374" s="1687">
        <v>0</v>
      </c>
      <c r="AP374" s="1688">
        <v>0</v>
      </c>
      <c r="AQ374" s="1688">
        <v>0</v>
      </c>
      <c r="AR374" s="1688">
        <v>0</v>
      </c>
      <c r="AS374" s="1688">
        <v>0</v>
      </c>
      <c r="AT374" s="1688">
        <v>0</v>
      </c>
    </row>
    <row r="375" spans="1:46">
      <c r="D375" s="812" t="s">
        <v>37</v>
      </c>
      <c r="E375" s="678"/>
      <c r="F375" s="797"/>
      <c r="G375" s="665"/>
      <c r="H375" s="665"/>
      <c r="I375" s="665"/>
      <c r="J375" s="665"/>
      <c r="K375" s="665"/>
      <c r="L375" s="665"/>
      <c r="M375" s="665"/>
      <c r="N375" s="665"/>
      <c r="O375" s="665"/>
      <c r="P375" s="665"/>
      <c r="Q375" s="665"/>
      <c r="R375" s="665"/>
      <c r="S375" s="665"/>
      <c r="T375" s="665"/>
      <c r="U375" s="670"/>
      <c r="V375" s="670"/>
      <c r="W375" s="842"/>
      <c r="X375" s="842"/>
      <c r="Y375" s="842"/>
      <c r="Z375" s="843"/>
      <c r="AA375" s="843"/>
      <c r="AB375" s="843"/>
      <c r="AC375" s="843"/>
      <c r="AD375" s="843"/>
      <c r="AE375" s="843"/>
      <c r="AF375" s="843"/>
      <c r="AG375" s="843"/>
      <c r="AH375" s="843"/>
      <c r="AI375" s="3561"/>
      <c r="AJ375" s="1687">
        <v>0</v>
      </c>
      <c r="AK375" s="1687">
        <v>0</v>
      </c>
      <c r="AL375" s="1687">
        <v>0</v>
      </c>
      <c r="AM375" s="1687">
        <v>0</v>
      </c>
      <c r="AN375" s="1687">
        <v>0</v>
      </c>
      <c r="AO375" s="1687">
        <v>0</v>
      </c>
      <c r="AP375" s="1688">
        <v>0</v>
      </c>
      <c r="AQ375" s="1688">
        <v>0</v>
      </c>
      <c r="AR375" s="1688">
        <v>0</v>
      </c>
      <c r="AS375" s="1688">
        <v>0</v>
      </c>
      <c r="AT375" s="1688">
        <v>0</v>
      </c>
    </row>
    <row r="376" spans="1:46">
      <c r="D376" s="2075" t="s">
        <v>980</v>
      </c>
      <c r="E376" s="678"/>
      <c r="F376" s="797"/>
      <c r="G376" s="333"/>
      <c r="H376" s="333"/>
      <c r="I376" s="333"/>
      <c r="J376" s="333"/>
      <c r="K376" s="333"/>
      <c r="L376" s="333"/>
      <c r="M376" s="333"/>
      <c r="N376" s="333"/>
      <c r="O376" s="333"/>
      <c r="P376" s="333"/>
      <c r="Q376" s="333"/>
      <c r="R376" s="333"/>
      <c r="S376" s="333"/>
      <c r="T376" s="333"/>
      <c r="U376" s="334"/>
      <c r="V376" s="860">
        <f t="shared" ref="V376:AT376" si="81">+V225*V378</f>
        <v>0</v>
      </c>
      <c r="W376" s="860">
        <f t="shared" si="81"/>
        <v>0</v>
      </c>
      <c r="X376" s="860">
        <f t="shared" si="81"/>
        <v>44.771312142836194</v>
      </c>
      <c r="Y376" s="860">
        <f t="shared" si="81"/>
        <v>102.67992750143354</v>
      </c>
      <c r="Z376" s="860">
        <f t="shared" si="81"/>
        <v>120.25116260382063</v>
      </c>
      <c r="AA376" s="860">
        <f t="shared" si="81"/>
        <v>132.01592243065562</v>
      </c>
      <c r="AB376" s="860">
        <f t="shared" si="81"/>
        <v>150.09013796043232</v>
      </c>
      <c r="AC376" s="860">
        <f t="shared" si="81"/>
        <v>161.73354542827417</v>
      </c>
      <c r="AD376" s="860">
        <f t="shared" si="81"/>
        <v>158.29365788117494</v>
      </c>
      <c r="AE376" s="860">
        <f t="shared" si="81"/>
        <v>189.15526524758195</v>
      </c>
      <c r="AF376" s="860">
        <f t="shared" si="81"/>
        <v>193.35267046362577</v>
      </c>
      <c r="AG376" s="860">
        <f t="shared" si="81"/>
        <v>154.40101706864019</v>
      </c>
      <c r="AH376" s="860">
        <f t="shared" si="81"/>
        <v>194.04001011015947</v>
      </c>
      <c r="AI376" s="3564">
        <f t="shared" si="81"/>
        <v>234.53462976925533</v>
      </c>
      <c r="AJ376" s="3544">
        <f t="shared" si="81"/>
        <v>224.86823953802667</v>
      </c>
      <c r="AK376" s="860">
        <f t="shared" si="81"/>
        <v>229.12348082425592</v>
      </c>
      <c r="AL376" s="860">
        <f t="shared" si="81"/>
        <v>245.70038426110884</v>
      </c>
      <c r="AM376" s="860">
        <f t="shared" si="81"/>
        <v>263.98676976546983</v>
      </c>
      <c r="AN376" s="860">
        <f t="shared" si="81"/>
        <v>279.39267554540288</v>
      </c>
      <c r="AO376" s="1774">
        <f t="shared" si="81"/>
        <v>301.90491053288878</v>
      </c>
      <c r="AP376" s="1774">
        <f t="shared" si="81"/>
        <v>333.82670577770693</v>
      </c>
      <c r="AQ376" s="1774">
        <f t="shared" si="81"/>
        <v>357.38340521673751</v>
      </c>
      <c r="AR376" s="1774">
        <f t="shared" si="81"/>
        <v>372.36204695268827</v>
      </c>
      <c r="AS376" s="1774">
        <f t="shared" si="81"/>
        <v>388.20837759257302</v>
      </c>
      <c r="AT376" s="1774">
        <f t="shared" si="81"/>
        <v>404.85399029520579</v>
      </c>
    </row>
    <row r="377" spans="1:46">
      <c r="D377" s="2075" t="s">
        <v>1028</v>
      </c>
      <c r="E377" s="678"/>
      <c r="F377" s="797"/>
      <c r="G377" s="665"/>
      <c r="H377" s="665"/>
      <c r="I377" s="665"/>
      <c r="J377" s="665"/>
      <c r="K377" s="665"/>
      <c r="L377" s="665"/>
      <c r="M377" s="665"/>
      <c r="N377" s="665"/>
      <c r="O377" s="665"/>
      <c r="P377" s="665"/>
      <c r="Q377" s="665"/>
      <c r="R377" s="665"/>
      <c r="S377" s="665"/>
      <c r="T377" s="665"/>
      <c r="U377" s="670"/>
      <c r="V377" s="1253">
        <f t="shared" ref="V377:AI377" si="82">+V376/V784*100</f>
        <v>0</v>
      </c>
      <c r="W377" s="1253">
        <f t="shared" si="82"/>
        <v>0</v>
      </c>
      <c r="X377" s="1253">
        <f t="shared" si="82"/>
        <v>88.219334271598413</v>
      </c>
      <c r="Y377" s="1253">
        <f t="shared" si="82"/>
        <v>191.92509813352063</v>
      </c>
      <c r="Z377" s="1253">
        <f t="shared" si="82"/>
        <v>223.72309321641049</v>
      </c>
      <c r="AA377" s="1253">
        <f t="shared" si="82"/>
        <v>232.62717608926101</v>
      </c>
      <c r="AB377" s="1253">
        <f t="shared" si="82"/>
        <v>246.04940649251202</v>
      </c>
      <c r="AC377" s="1253">
        <f t="shared" si="82"/>
        <v>262.98137468012061</v>
      </c>
      <c r="AD377" s="1253">
        <f t="shared" si="82"/>
        <v>247.33384043933583</v>
      </c>
      <c r="AE377" s="1253">
        <f t="shared" si="82"/>
        <v>275.13493126921009</v>
      </c>
      <c r="AF377" s="1253">
        <f t="shared" si="82"/>
        <v>270.42331533374238</v>
      </c>
      <c r="AG377" s="1253">
        <f t="shared" si="82"/>
        <v>186.58733180500323</v>
      </c>
      <c r="AH377" s="1253">
        <f t="shared" si="82"/>
        <v>208.6451721614618</v>
      </c>
      <c r="AI377" s="3565">
        <f t="shared" si="82"/>
        <v>229.93591153848564</v>
      </c>
      <c r="AJ377" s="3545">
        <f t="shared" ref="AJ377:AT377" si="83">+AI377*(AJ376/AJ266)/(AI376/AI266)</f>
        <v>205.50106120052453</v>
      </c>
      <c r="AK377" s="1253">
        <f t="shared" si="83"/>
        <v>199.89634839134777</v>
      </c>
      <c r="AL377" s="1253">
        <f t="shared" si="83"/>
        <v>206.24293378578065</v>
      </c>
      <c r="AM377" s="1253">
        <f t="shared" si="83"/>
        <v>214.78406851257807</v>
      </c>
      <c r="AN377" s="1253">
        <f t="shared" si="83"/>
        <v>221.47504970748508</v>
      </c>
      <c r="AO377" s="1775">
        <f t="shared" si="83"/>
        <v>233.48345045868587</v>
      </c>
      <c r="AP377" s="1775">
        <f t="shared" si="83"/>
        <v>251.87388285371611</v>
      </c>
      <c r="AQ377" s="1775">
        <f t="shared" si="83"/>
        <v>263.07075886681099</v>
      </c>
      <c r="AR377" s="1775">
        <f t="shared" si="83"/>
        <v>267.41128977097026</v>
      </c>
      <c r="AS377" s="1775">
        <f t="shared" si="83"/>
        <v>271.99152218100977</v>
      </c>
      <c r="AT377" s="1775">
        <f t="shared" si="83"/>
        <v>276.73559453622289</v>
      </c>
    </row>
    <row r="378" spans="1:46" ht="16" customHeight="1">
      <c r="D378" s="2075" t="s">
        <v>1029</v>
      </c>
      <c r="E378" s="768"/>
      <c r="F378" s="797"/>
      <c r="G378" s="665"/>
      <c r="H378" s="665"/>
      <c r="I378" s="665"/>
      <c r="J378" s="665"/>
      <c r="K378" s="665"/>
      <c r="L378" s="665"/>
      <c r="M378" s="665"/>
      <c r="N378" s="665"/>
      <c r="O378" s="665"/>
      <c r="P378" s="665"/>
      <c r="Q378" s="665"/>
      <c r="R378" s="665"/>
      <c r="S378" s="665"/>
      <c r="T378" s="665"/>
      <c r="U378" s="670"/>
      <c r="V378" s="767">
        <v>1</v>
      </c>
      <c r="W378" s="767">
        <v>1</v>
      </c>
      <c r="X378" s="767">
        <v>1</v>
      </c>
      <c r="Y378" s="767">
        <v>1</v>
      </c>
      <c r="Z378" s="767">
        <v>1</v>
      </c>
      <c r="AA378" s="767">
        <v>1</v>
      </c>
      <c r="AB378" s="767">
        <v>1</v>
      </c>
      <c r="AC378" s="767">
        <v>1</v>
      </c>
      <c r="AD378" s="1689">
        <v>1</v>
      </c>
      <c r="AE378" s="1689">
        <v>1</v>
      </c>
      <c r="AF378" s="1689">
        <v>1</v>
      </c>
      <c r="AG378" s="1689">
        <v>1</v>
      </c>
      <c r="AH378" s="1689">
        <v>1</v>
      </c>
      <c r="AI378" s="3566">
        <v>1</v>
      </c>
      <c r="AJ378" s="3546">
        <v>1</v>
      </c>
      <c r="AK378" s="1689">
        <v>1</v>
      </c>
      <c r="AL378" s="1689">
        <v>1</v>
      </c>
      <c r="AM378" s="1689">
        <v>1</v>
      </c>
      <c r="AN378" s="1689">
        <v>1</v>
      </c>
      <c r="AO378" s="1689">
        <v>1</v>
      </c>
      <c r="AP378" s="1689">
        <v>1</v>
      </c>
      <c r="AQ378" s="1689">
        <v>1</v>
      </c>
      <c r="AR378" s="1689">
        <v>1</v>
      </c>
      <c r="AS378" s="1689">
        <v>1</v>
      </c>
      <c r="AT378" s="1689">
        <v>1</v>
      </c>
    </row>
    <row r="379" spans="1:46">
      <c r="D379" s="2075" t="s">
        <v>1430</v>
      </c>
      <c r="E379" s="768"/>
      <c r="F379" s="797"/>
      <c r="G379" s="665"/>
      <c r="H379" s="665"/>
      <c r="I379" s="665"/>
      <c r="J379" s="665"/>
      <c r="K379" s="665"/>
      <c r="L379" s="665"/>
      <c r="M379" s="665"/>
      <c r="N379" s="665"/>
      <c r="O379" s="665"/>
      <c r="P379" s="665"/>
      <c r="Q379" s="665"/>
      <c r="R379" s="665"/>
      <c r="S379" s="665"/>
      <c r="T379" s="665"/>
      <c r="U379" s="670"/>
      <c r="V379" s="670"/>
      <c r="W379" s="768">
        <v>35</v>
      </c>
      <c r="X379" s="768">
        <v>35</v>
      </c>
      <c r="Y379" s="768">
        <v>30</v>
      </c>
      <c r="Z379" s="768">
        <v>-40</v>
      </c>
      <c r="AA379" s="768">
        <f>-40+24</f>
        <v>-16</v>
      </c>
      <c r="AB379" s="768">
        <v>-30</v>
      </c>
      <c r="AC379" s="768">
        <v>-20</v>
      </c>
      <c r="AD379" s="1690">
        <f>40</f>
        <v>40</v>
      </c>
      <c r="AE379" s="1690">
        <v>-20</v>
      </c>
      <c r="AF379" s="1690">
        <v>-15</v>
      </c>
      <c r="AG379" s="1690">
        <v>85</v>
      </c>
      <c r="AH379" s="1690">
        <v>120</v>
      </c>
      <c r="AI379" s="3566">
        <v>65</v>
      </c>
      <c r="AJ379" s="3546"/>
      <c r="AK379" s="1690"/>
      <c r="AL379" s="1690"/>
      <c r="AM379" s="1690"/>
      <c r="AN379" s="1690"/>
      <c r="AO379" s="1690"/>
      <c r="AP379" s="1690"/>
      <c r="AQ379" s="1690"/>
      <c r="AR379" s="1690"/>
      <c r="AS379" s="1690"/>
      <c r="AT379" s="1690"/>
    </row>
    <row r="380" spans="1:46">
      <c r="D380" s="2075" t="s">
        <v>1431</v>
      </c>
      <c r="E380" s="768"/>
      <c r="F380" s="797"/>
      <c r="G380" s="665"/>
      <c r="H380" s="665"/>
      <c r="I380" s="665"/>
      <c r="J380" s="665"/>
      <c r="K380" s="665"/>
      <c r="L380" s="665"/>
      <c r="M380" s="665"/>
      <c r="N380" s="665"/>
      <c r="O380" s="665"/>
      <c r="P380" s="665"/>
      <c r="Q380" s="665"/>
      <c r="R380" s="665"/>
      <c r="S380" s="665"/>
      <c r="T380" s="665"/>
      <c r="U380" s="670"/>
      <c r="V380" s="670"/>
      <c r="W380" s="768">
        <f t="shared" ref="W380:AC380" si="84">+W379</f>
        <v>35</v>
      </c>
      <c r="X380" s="768">
        <f t="shared" si="84"/>
        <v>35</v>
      </c>
      <c r="Y380" s="768">
        <f t="shared" si="84"/>
        <v>30</v>
      </c>
      <c r="Z380" s="768">
        <f t="shared" si="84"/>
        <v>-40</v>
      </c>
      <c r="AA380" s="768">
        <f t="shared" si="84"/>
        <v>-16</v>
      </c>
      <c r="AB380" s="768">
        <f t="shared" si="84"/>
        <v>-30</v>
      </c>
      <c r="AC380" s="768">
        <f t="shared" si="84"/>
        <v>-20</v>
      </c>
      <c r="AD380" s="1690">
        <f t="shared" ref="AD380:AI380" si="85">+AD379</f>
        <v>40</v>
      </c>
      <c r="AE380" s="1690">
        <f t="shared" si="85"/>
        <v>-20</v>
      </c>
      <c r="AF380" s="1690">
        <f t="shared" si="85"/>
        <v>-15</v>
      </c>
      <c r="AG380" s="1690">
        <f t="shared" si="85"/>
        <v>85</v>
      </c>
      <c r="AH380" s="1690">
        <f t="shared" si="85"/>
        <v>120</v>
      </c>
      <c r="AI380" s="3566">
        <f t="shared" si="85"/>
        <v>65</v>
      </c>
      <c r="AJ380" s="3546"/>
      <c r="AK380" s="1690"/>
      <c r="AL380" s="1690"/>
      <c r="AM380" s="1690"/>
      <c r="AN380" s="1690"/>
      <c r="AO380" s="1690"/>
      <c r="AP380" s="1690"/>
      <c r="AQ380" s="1690"/>
      <c r="AR380" s="1690"/>
      <c r="AS380" s="1690"/>
      <c r="AT380" s="1690"/>
    </row>
    <row r="381" spans="1:46">
      <c r="D381" s="2075" t="s">
        <v>1350</v>
      </c>
      <c r="E381" s="768"/>
      <c r="F381" s="797"/>
      <c r="G381" s="665"/>
      <c r="H381" s="665"/>
      <c r="I381" s="665"/>
      <c r="J381" s="665"/>
      <c r="K381" s="665"/>
      <c r="L381" s="665"/>
      <c r="M381" s="665"/>
      <c r="N381" s="665"/>
      <c r="O381" s="665"/>
      <c r="P381" s="665"/>
      <c r="Q381" s="665"/>
      <c r="R381" s="665"/>
      <c r="S381" s="665"/>
      <c r="T381" s="665"/>
      <c r="U381" s="670"/>
      <c r="V381" s="670"/>
      <c r="W381" s="768"/>
      <c r="X381" s="768"/>
      <c r="Y381" s="768"/>
      <c r="Z381" s="768"/>
      <c r="AA381" s="768"/>
      <c r="AB381" s="768"/>
      <c r="AC381" s="768"/>
      <c r="AD381" s="1690"/>
      <c r="AE381" s="1690"/>
      <c r="AF381" s="1690"/>
      <c r="AG381" s="1903">
        <f>+AG836/AG625</f>
        <v>0.598243592004433</v>
      </c>
      <c r="AH381" s="1903">
        <f>+AH836/AH625</f>
        <v>0.56063479657558579</v>
      </c>
      <c r="AI381" s="3374">
        <f>+AI836/AI625</f>
        <v>0.64250192540789608</v>
      </c>
      <c r="AJ381" s="3352">
        <f>+AJ836/AJ625</f>
        <v>0.77854265303065884</v>
      </c>
      <c r="AK381" s="1690"/>
      <c r="AL381" s="1690"/>
      <c r="AM381" s="1690"/>
      <c r="AN381" s="1690"/>
      <c r="AO381" s="1690"/>
      <c r="AP381" s="1690"/>
      <c r="AQ381" s="1690"/>
      <c r="AR381" s="1690"/>
      <c r="AS381" s="1690"/>
      <c r="AT381" s="1690"/>
    </row>
    <row r="382" spans="1:46">
      <c r="D382" s="2076" t="s">
        <v>425</v>
      </c>
      <c r="E382" s="768" t="s">
        <v>1003</v>
      </c>
      <c r="F382" s="797"/>
      <c r="G382" s="333"/>
      <c r="H382" s="333"/>
      <c r="I382" s="333"/>
      <c r="J382" s="333"/>
      <c r="K382" s="333"/>
      <c r="L382" s="333"/>
      <c r="M382" s="333"/>
      <c r="N382" s="333"/>
      <c r="O382" s="333"/>
      <c r="P382" s="333"/>
      <c r="Q382" s="333"/>
      <c r="R382" s="333"/>
      <c r="S382" s="333"/>
      <c r="T382" s="333"/>
      <c r="U382" s="334"/>
      <c r="V382" s="334"/>
      <c r="W382" s="846"/>
      <c r="X382" s="846"/>
      <c r="Y382" s="846"/>
      <c r="Z382" s="850">
        <f t="shared" ref="Z382:AE382" si="86">+Z839/Y839-1</f>
        <v>0.13688513921972834</v>
      </c>
      <c r="AA382" s="850">
        <f t="shared" si="86"/>
        <v>4.8353658960892387E-2</v>
      </c>
      <c r="AB382" s="1076">
        <f t="shared" si="86"/>
        <v>3.3970514095696291E-2</v>
      </c>
      <c r="AC382" s="800">
        <f t="shared" si="86"/>
        <v>3.2163300536782957E-2</v>
      </c>
      <c r="AD382" s="1076">
        <f t="shared" si="86"/>
        <v>-1.8960798510014532E-2</v>
      </c>
      <c r="AE382" s="1076">
        <f t="shared" si="86"/>
        <v>-0.47125349921766679</v>
      </c>
      <c r="AF382" s="1076">
        <f>+AF839/AE839-1</f>
        <v>1.1326860358995692</v>
      </c>
      <c r="AG382" s="1076">
        <f>+AG839/AF839-1</f>
        <v>7.5066448628509086E-2</v>
      </c>
      <c r="AH382" s="1076">
        <f>+AH839/AG839-1</f>
        <v>2.9710454504583206E-2</v>
      </c>
      <c r="AI382" s="3567">
        <f>+AI839/AH839-1</f>
        <v>0.17212686437090241</v>
      </c>
      <c r="AJ382" s="3547"/>
      <c r="AK382" s="1076"/>
      <c r="AL382" s="1076"/>
      <c r="AM382" s="1076"/>
      <c r="AN382" s="1076"/>
      <c r="AO382" s="1076"/>
      <c r="AP382" s="1076"/>
      <c r="AQ382" s="1076"/>
      <c r="AR382" s="1076"/>
      <c r="AS382" s="1076"/>
      <c r="AT382" s="1076"/>
    </row>
    <row r="383" spans="1:46">
      <c r="A383" s="297" t="s">
        <v>403</v>
      </c>
      <c r="B383" s="295" t="s">
        <v>404</v>
      </c>
      <c r="C383" s="295" t="s">
        <v>30</v>
      </c>
      <c r="D383" s="811" t="s">
        <v>976</v>
      </c>
      <c r="E383" s="2120" t="s">
        <v>974</v>
      </c>
      <c r="F383" s="797"/>
      <c r="G383" s="54"/>
      <c r="H383" s="54"/>
      <c r="I383" s="54"/>
      <c r="J383" s="54"/>
      <c r="K383" s="54"/>
      <c r="L383" s="54"/>
      <c r="M383" s="54"/>
      <c r="N383" s="54"/>
      <c r="O383" s="54"/>
      <c r="P383" s="54"/>
      <c r="Q383" s="54"/>
      <c r="R383" s="54"/>
      <c r="S383" s="54"/>
      <c r="T383" s="54"/>
      <c r="U383" s="54"/>
      <c r="V383" s="704"/>
      <c r="W383" s="837"/>
      <c r="X383" s="837"/>
      <c r="Y383" s="837"/>
      <c r="Z383" s="851">
        <f>+Z$228</f>
        <v>7.9405486716275342E-2</v>
      </c>
      <c r="AA383" s="851">
        <f t="shared" ref="AA383:AT383" si="87">+AA228</f>
        <v>7.6146415360150876E-2</v>
      </c>
      <c r="AB383" s="1034">
        <f t="shared" si="87"/>
        <v>3.1267412147415907E-2</v>
      </c>
      <c r="AC383" s="801">
        <f t="shared" si="87"/>
        <v>-3.6640942507598473E-2</v>
      </c>
      <c r="AD383" s="1034">
        <f t="shared" si="87"/>
        <v>-2.814704157480924E-2</v>
      </c>
      <c r="AE383" s="1034">
        <f t="shared" si="87"/>
        <v>4.9302767526119395E-2</v>
      </c>
      <c r="AF383" s="1034">
        <f t="shared" si="87"/>
        <v>5.205092125217381E-2</v>
      </c>
      <c r="AG383" s="1034">
        <f t="shared" si="87"/>
        <v>5.0327376939574675E-2</v>
      </c>
      <c r="AH383" s="1034">
        <f t="shared" si="87"/>
        <v>9.3135066540549483E-2</v>
      </c>
      <c r="AI383" s="3568">
        <f t="shared" si="87"/>
        <v>0.10761975337555785</v>
      </c>
      <c r="AJ383" s="1691">
        <f t="shared" si="87"/>
        <v>8.0690530062276E-2</v>
      </c>
      <c r="AK383" s="1034">
        <f t="shared" si="87"/>
        <v>4.9209392838523769E-2</v>
      </c>
      <c r="AL383" s="1034">
        <f t="shared" si="87"/>
        <v>3.1067515890123576E-2</v>
      </c>
      <c r="AM383" s="1034">
        <f t="shared" si="87"/>
        <v>2.8195023824234555E-2</v>
      </c>
      <c r="AN383" s="1034">
        <f t="shared" si="87"/>
        <v>3.0557463648769989E-2</v>
      </c>
      <c r="AO383" s="1034">
        <f t="shared" si="87"/>
        <v>3.7107077554807785E-2</v>
      </c>
      <c r="AP383" s="1034">
        <f t="shared" si="87"/>
        <v>0.04</v>
      </c>
      <c r="AQ383" s="1034">
        <f t="shared" si="87"/>
        <v>0.04</v>
      </c>
      <c r="AR383" s="1034">
        <f t="shared" si="87"/>
        <v>0.04</v>
      </c>
      <c r="AS383" s="1034">
        <f t="shared" si="87"/>
        <v>0.04</v>
      </c>
      <c r="AT383" s="1034">
        <f t="shared" si="87"/>
        <v>0.02</v>
      </c>
    </row>
    <row r="384" spans="1:46">
      <c r="A384" s="297" t="s">
        <v>403</v>
      </c>
      <c r="B384" s="295" t="s">
        <v>404</v>
      </c>
      <c r="C384" s="295" t="s">
        <v>30</v>
      </c>
      <c r="D384" s="811" t="s">
        <v>427</v>
      </c>
      <c r="E384" s="768" t="s">
        <v>973</v>
      </c>
      <c r="F384" s="797"/>
      <c r="G384" s="54"/>
      <c r="H384" s="54"/>
      <c r="I384" s="54"/>
      <c r="J384" s="54"/>
      <c r="K384" s="54"/>
      <c r="L384" s="54"/>
      <c r="M384" s="54"/>
      <c r="N384" s="54"/>
      <c r="O384" s="54"/>
      <c r="P384" s="54"/>
      <c r="Q384" s="54"/>
      <c r="R384" s="54"/>
      <c r="S384" s="54"/>
      <c r="T384" s="54"/>
      <c r="U384" s="54"/>
      <c r="V384" s="54"/>
      <c r="W384" s="837"/>
      <c r="X384" s="837"/>
      <c r="Y384" s="837"/>
      <c r="Z384" s="851">
        <f>+Z$228</f>
        <v>7.9405486716275342E-2</v>
      </c>
      <c r="AA384" s="851">
        <f>+AA$229</f>
        <v>0.03</v>
      </c>
      <c r="AB384" s="1034">
        <f t="shared" ref="AB384:AQ385" si="88">+AB$228</f>
        <v>3.1267412147415907E-2</v>
      </c>
      <c r="AC384" s="801">
        <f t="shared" si="88"/>
        <v>-3.6640942507598473E-2</v>
      </c>
      <c r="AD384" s="1034">
        <f t="shared" si="88"/>
        <v>-2.814704157480924E-2</v>
      </c>
      <c r="AE384" s="1034">
        <f t="shared" si="88"/>
        <v>4.9302767526119395E-2</v>
      </c>
      <c r="AF384" s="1034">
        <f t="shared" si="88"/>
        <v>5.205092125217381E-2</v>
      </c>
      <c r="AG384" s="1034">
        <f t="shared" si="88"/>
        <v>5.0327376939574675E-2</v>
      </c>
      <c r="AH384" s="1034">
        <f t="shared" si="88"/>
        <v>9.3135066540549483E-2</v>
      </c>
      <c r="AI384" s="3568">
        <f t="shared" si="88"/>
        <v>0.10761975337555785</v>
      </c>
      <c r="AJ384" s="1691">
        <f t="shared" si="88"/>
        <v>8.0690530062276E-2</v>
      </c>
      <c r="AK384" s="1034">
        <f t="shared" si="88"/>
        <v>4.9209392838523769E-2</v>
      </c>
      <c r="AL384" s="1034">
        <f t="shared" si="88"/>
        <v>3.1067515890123576E-2</v>
      </c>
      <c r="AM384" s="1034">
        <f t="shared" si="88"/>
        <v>2.8195023824234555E-2</v>
      </c>
      <c r="AN384" s="1034">
        <f t="shared" si="88"/>
        <v>3.0557463648769989E-2</v>
      </c>
      <c r="AO384" s="1034">
        <f t="shared" si="88"/>
        <v>3.7107077554807785E-2</v>
      </c>
      <c r="AP384" s="1034">
        <f t="shared" si="88"/>
        <v>0.04</v>
      </c>
      <c r="AQ384" s="1034">
        <f t="shared" si="88"/>
        <v>0.04</v>
      </c>
      <c r="AR384" s="1034">
        <f t="shared" ref="AP384:AT385" si="89">+AR$228</f>
        <v>0.04</v>
      </c>
      <c r="AS384" s="1034">
        <f t="shared" si="89"/>
        <v>0.04</v>
      </c>
      <c r="AT384" s="1034">
        <f t="shared" si="89"/>
        <v>0.02</v>
      </c>
    </row>
    <row r="385" spans="1:46">
      <c r="A385" s="297" t="s">
        <v>403</v>
      </c>
      <c r="B385" s="295" t="s">
        <v>404</v>
      </c>
      <c r="C385" s="295" t="s">
        <v>30</v>
      </c>
      <c r="D385" s="811" t="s">
        <v>428</v>
      </c>
      <c r="E385" s="2986" t="s">
        <v>973</v>
      </c>
      <c r="F385" s="797"/>
      <c r="G385" s="333"/>
      <c r="H385" s="333"/>
      <c r="I385" s="333"/>
      <c r="J385" s="333"/>
      <c r="K385" s="333"/>
      <c r="L385" s="333"/>
      <c r="M385" s="333"/>
      <c r="N385" s="333"/>
      <c r="O385" s="333"/>
      <c r="P385" s="333"/>
      <c r="Q385" s="333"/>
      <c r="R385" s="333"/>
      <c r="S385" s="333"/>
      <c r="T385" s="333"/>
      <c r="U385" s="333"/>
      <c r="V385" s="333"/>
      <c r="W385" s="852"/>
      <c r="X385" s="852"/>
      <c r="Y385" s="852"/>
      <c r="Z385" s="851">
        <f>+Z$228</f>
        <v>7.9405486716275342E-2</v>
      </c>
      <c r="AA385" s="851">
        <f>+AA$230</f>
        <v>2.5000000000000001E-2</v>
      </c>
      <c r="AB385" s="1034">
        <f t="shared" si="88"/>
        <v>3.1267412147415907E-2</v>
      </c>
      <c r="AC385" s="801">
        <f t="shared" si="88"/>
        <v>-3.6640942507598473E-2</v>
      </c>
      <c r="AD385" s="1034">
        <f t="shared" si="88"/>
        <v>-2.814704157480924E-2</v>
      </c>
      <c r="AE385" s="1034">
        <f t="shared" si="88"/>
        <v>4.9302767526119395E-2</v>
      </c>
      <c r="AF385" s="1034">
        <f t="shared" si="88"/>
        <v>5.205092125217381E-2</v>
      </c>
      <c r="AG385" s="1034">
        <f t="shared" si="88"/>
        <v>5.0327376939574675E-2</v>
      </c>
      <c r="AH385" s="1034">
        <f t="shared" si="88"/>
        <v>9.3135066540549483E-2</v>
      </c>
      <c r="AI385" s="3568">
        <f t="shared" si="88"/>
        <v>0.10761975337555785</v>
      </c>
      <c r="AJ385" s="1691">
        <f t="shared" si="88"/>
        <v>8.0690530062276E-2</v>
      </c>
      <c r="AK385" s="1034">
        <f t="shared" si="88"/>
        <v>4.9209392838523769E-2</v>
      </c>
      <c r="AL385" s="1034">
        <f t="shared" si="88"/>
        <v>3.1067515890123576E-2</v>
      </c>
      <c r="AM385" s="1034">
        <f t="shared" si="88"/>
        <v>2.8195023824234555E-2</v>
      </c>
      <c r="AN385" s="1034">
        <f t="shared" si="88"/>
        <v>3.0557463648769989E-2</v>
      </c>
      <c r="AO385" s="1034">
        <f t="shared" si="88"/>
        <v>3.7107077554807785E-2</v>
      </c>
      <c r="AP385" s="1034">
        <f t="shared" si="89"/>
        <v>0.04</v>
      </c>
      <c r="AQ385" s="1034">
        <f t="shared" si="89"/>
        <v>0.04</v>
      </c>
      <c r="AR385" s="1034">
        <f t="shared" si="89"/>
        <v>0.04</v>
      </c>
      <c r="AS385" s="1034">
        <f t="shared" si="89"/>
        <v>0.04</v>
      </c>
      <c r="AT385" s="1034">
        <f t="shared" si="89"/>
        <v>0.02</v>
      </c>
    </row>
    <row r="386" spans="1:46">
      <c r="D386" s="2076" t="s">
        <v>426</v>
      </c>
      <c r="E386" s="768"/>
      <c r="F386" s="797"/>
      <c r="G386" s="333"/>
      <c r="H386" s="333"/>
      <c r="I386" s="333"/>
      <c r="J386" s="333"/>
      <c r="K386" s="333"/>
      <c r="L386" s="333"/>
      <c r="M386" s="333"/>
      <c r="N386" s="333"/>
      <c r="O386" s="333"/>
      <c r="P386" s="333"/>
      <c r="Q386" s="333"/>
      <c r="R386" s="333"/>
      <c r="S386" s="333"/>
      <c r="T386" s="333"/>
      <c r="U386" s="333"/>
      <c r="V386" s="333"/>
      <c r="W386" s="852"/>
      <c r="X386" s="852"/>
      <c r="Y386" s="852"/>
      <c r="Z386" s="853">
        <f t="shared" ref="Z386:AE386" si="90">+Z954/Y954-1</f>
        <v>0.10449560572864458</v>
      </c>
      <c r="AA386" s="853">
        <f t="shared" si="90"/>
        <v>2.2982193143553209E-2</v>
      </c>
      <c r="AB386" s="1077">
        <f t="shared" si="90"/>
        <v>4.0740848622743631E-2</v>
      </c>
      <c r="AC386" s="802">
        <f t="shared" si="90"/>
        <v>-8.6408911866261429E-3</v>
      </c>
      <c r="AD386" s="1077">
        <f t="shared" si="90"/>
        <v>-4.8725775877083599E-2</v>
      </c>
      <c r="AE386" s="1077">
        <f t="shared" si="90"/>
        <v>0.27734630590408416</v>
      </c>
      <c r="AF386" s="1077">
        <f>+AF954/AE954-1</f>
        <v>-0.17429517213558299</v>
      </c>
      <c r="AG386" s="1077">
        <f>+AG954/AF954-1</f>
        <v>0.10810334892676976</v>
      </c>
      <c r="AH386" s="1077">
        <f>+AH954/AG954-1</f>
        <v>0.14471436297190032</v>
      </c>
      <c r="AI386" s="3569">
        <f>+AI954/AH954-1</f>
        <v>7.1037988965896304E-3</v>
      </c>
      <c r="AJ386" s="3548"/>
      <c r="AK386" s="1077"/>
      <c r="AL386" s="1077"/>
      <c r="AM386" s="1077"/>
      <c r="AN386" s="1077">
        <f t="shared" ref="AN386:AT386" si="91">+AN954/AM954-1</f>
        <v>8.0000000000000071E-2</v>
      </c>
      <c r="AO386" s="1077">
        <f t="shared" si="91"/>
        <v>8.0000000000000071E-2</v>
      </c>
      <c r="AP386" s="1077">
        <f t="shared" si="91"/>
        <v>8.0000000000000071E-2</v>
      </c>
      <c r="AQ386" s="1077">
        <f t="shared" si="91"/>
        <v>8.0000000000000071E-2</v>
      </c>
      <c r="AR386" s="1077">
        <f t="shared" si="91"/>
        <v>8.0000000000000071E-2</v>
      </c>
      <c r="AS386" s="1077">
        <f t="shared" si="91"/>
        <v>8.0000000000000071E-2</v>
      </c>
      <c r="AT386" s="1077">
        <f t="shared" si="91"/>
        <v>4.0000000000000036E-2</v>
      </c>
    </row>
    <row r="387" spans="1:46">
      <c r="D387" s="811" t="s">
        <v>976</v>
      </c>
      <c r="E387" s="768" t="s">
        <v>974</v>
      </c>
      <c r="F387" s="797"/>
      <c r="G387" s="333"/>
      <c r="H387" s="333"/>
      <c r="I387" s="333"/>
      <c r="J387" s="333"/>
      <c r="K387" s="333"/>
      <c r="L387" s="333"/>
      <c r="M387" s="333"/>
      <c r="N387" s="333"/>
      <c r="O387" s="333"/>
      <c r="P387" s="333"/>
      <c r="Q387" s="333"/>
      <c r="R387" s="333"/>
      <c r="S387" s="333"/>
      <c r="T387" s="333"/>
      <c r="U387" s="333"/>
      <c r="V387" s="333"/>
      <c r="W387" s="852"/>
      <c r="X387" s="852"/>
      <c r="Y387" s="852"/>
      <c r="Z387" s="851">
        <f t="shared" ref="Z387:AT387" si="92">+Z$231</f>
        <v>0.02</v>
      </c>
      <c r="AA387" s="851">
        <f t="shared" si="92"/>
        <v>4.4999999999999998E-2</v>
      </c>
      <c r="AB387" s="1034">
        <f t="shared" si="92"/>
        <v>0.05</v>
      </c>
      <c r="AC387" s="801">
        <f t="shared" si="92"/>
        <v>0.05</v>
      </c>
      <c r="AD387" s="1034">
        <f t="shared" si="92"/>
        <v>6.0249999999999998E-2</v>
      </c>
      <c r="AE387" s="1034">
        <f t="shared" si="92"/>
        <v>6.5549999999999997E-2</v>
      </c>
      <c r="AF387" s="1034">
        <f t="shared" si="92"/>
        <v>3.8600000000000002E-2</v>
      </c>
      <c r="AG387" s="1034">
        <f t="shared" si="92"/>
        <v>5.0800000000000005E-2</v>
      </c>
      <c r="AH387" s="1034">
        <f t="shared" si="92"/>
        <v>0.11015</v>
      </c>
      <c r="AI387" s="3568">
        <f t="shared" si="92"/>
        <v>0.11783</v>
      </c>
      <c r="AJ387" s="1691">
        <f t="shared" si="92"/>
        <v>0.10018000000000001</v>
      </c>
      <c r="AK387" s="1034">
        <f t="shared" si="92"/>
        <v>0.09</v>
      </c>
      <c r="AL387" s="1034">
        <f t="shared" si="92"/>
        <v>0.08</v>
      </c>
      <c r="AM387" s="1034">
        <f t="shared" si="92"/>
        <v>0.08</v>
      </c>
      <c r="AN387" s="1034">
        <f t="shared" si="92"/>
        <v>0.08</v>
      </c>
      <c r="AO387" s="1034">
        <f t="shared" si="92"/>
        <v>0.08</v>
      </c>
      <c r="AP387" s="1034">
        <f t="shared" si="92"/>
        <v>0.08</v>
      </c>
      <c r="AQ387" s="1034">
        <f t="shared" si="92"/>
        <v>0.08</v>
      </c>
      <c r="AR387" s="1034">
        <f t="shared" si="92"/>
        <v>0.08</v>
      </c>
      <c r="AS387" s="1034">
        <f t="shared" si="92"/>
        <v>0.08</v>
      </c>
      <c r="AT387" s="1034">
        <f t="shared" si="92"/>
        <v>0.04</v>
      </c>
    </row>
    <row r="388" spans="1:46">
      <c r="D388" s="811" t="s">
        <v>127</v>
      </c>
      <c r="E388" s="768" t="s">
        <v>973</v>
      </c>
      <c r="F388" s="797"/>
      <c r="G388" s="333"/>
      <c r="H388" s="333"/>
      <c r="I388" s="333"/>
      <c r="J388" s="333"/>
      <c r="K388" s="333"/>
      <c r="L388" s="333"/>
      <c r="M388" s="333"/>
      <c r="N388" s="333"/>
      <c r="O388" s="333"/>
      <c r="P388" s="333"/>
      <c r="Q388" s="333"/>
      <c r="R388" s="333"/>
      <c r="S388" s="333"/>
      <c r="T388" s="333"/>
      <c r="U388" s="333"/>
      <c r="V388" s="333"/>
      <c r="W388" s="852"/>
      <c r="X388" s="852"/>
      <c r="Y388" s="852"/>
      <c r="Z388" s="851">
        <f>+Z$231</f>
        <v>0.02</v>
      </c>
      <c r="AA388" s="851">
        <f>+AA$232</f>
        <v>5.7035523984499098E-2</v>
      </c>
      <c r="AB388" s="1034">
        <f t="shared" ref="AB388:AF389" si="93">+AB$231</f>
        <v>0.05</v>
      </c>
      <c r="AC388" s="801">
        <f t="shared" si="93"/>
        <v>0.05</v>
      </c>
      <c r="AD388" s="1034">
        <f t="shared" si="93"/>
        <v>6.0249999999999998E-2</v>
      </c>
      <c r="AE388" s="1034">
        <f t="shared" si="93"/>
        <v>6.5549999999999997E-2</v>
      </c>
      <c r="AF388" s="1034">
        <f t="shared" si="93"/>
        <v>3.8600000000000002E-2</v>
      </c>
      <c r="AG388" s="1034">
        <f t="shared" ref="AG388:AT388" si="94">+AG232</f>
        <v>0.29651228519587769</v>
      </c>
      <c r="AH388" s="1034">
        <f t="shared" si="94"/>
        <v>0.38185593342829804</v>
      </c>
      <c r="AI388" s="3568">
        <f t="shared" si="94"/>
        <v>0.12627720508374643</v>
      </c>
      <c r="AJ388" s="1691">
        <f t="shared" si="94"/>
        <v>0.12332330770614089</v>
      </c>
      <c r="AK388" s="1034">
        <f t="shared" si="94"/>
        <v>0.20000515161946322</v>
      </c>
      <c r="AL388" s="1034">
        <f t="shared" si="94"/>
        <v>0.10548195770385441</v>
      </c>
      <c r="AM388" s="1034">
        <f t="shared" si="94"/>
        <v>0.1091056851335617</v>
      </c>
      <c r="AN388" s="1034">
        <f t="shared" si="94"/>
        <v>0.10804957015856934</v>
      </c>
      <c r="AO388" s="1034">
        <f t="shared" si="94"/>
        <v>4.7925890361723705E-2</v>
      </c>
      <c r="AP388" s="1034">
        <f t="shared" si="94"/>
        <v>0.12435071837941417</v>
      </c>
      <c r="AQ388" s="1034">
        <f t="shared" si="94"/>
        <v>9.6330084441157898E-2</v>
      </c>
      <c r="AR388" s="1034">
        <f t="shared" si="94"/>
        <v>9.6870545850228834E-2</v>
      </c>
      <c r="AS388" s="1034">
        <f t="shared" si="94"/>
        <v>9.8056990985114806E-2</v>
      </c>
      <c r="AT388" s="1034">
        <f t="shared" si="94"/>
        <v>0.28886020416016112</v>
      </c>
    </row>
    <row r="389" spans="1:46">
      <c r="D389" s="811" t="s">
        <v>402</v>
      </c>
      <c r="E389" s="2986" t="s">
        <v>973</v>
      </c>
      <c r="F389" s="797"/>
      <c r="G389" s="333"/>
      <c r="H389" s="333"/>
      <c r="I389" s="333"/>
      <c r="J389" s="333"/>
      <c r="K389" s="333"/>
      <c r="L389" s="333"/>
      <c r="M389" s="333"/>
      <c r="N389" s="333"/>
      <c r="O389" s="333"/>
      <c r="P389" s="333"/>
      <c r="Q389" s="333"/>
      <c r="R389" s="333"/>
      <c r="S389" s="333"/>
      <c r="T389" s="333"/>
      <c r="U389" s="333"/>
      <c r="V389" s="333"/>
      <c r="W389" s="852"/>
      <c r="X389" s="852"/>
      <c r="Y389" s="852"/>
      <c r="Z389" s="851">
        <f>+Z$231</f>
        <v>0.02</v>
      </c>
      <c r="AA389" s="851">
        <f>+AA$233</f>
        <v>6.2035523984499095E-2</v>
      </c>
      <c r="AB389" s="1034">
        <f t="shared" si="93"/>
        <v>0.05</v>
      </c>
      <c r="AC389" s="801">
        <f t="shared" si="93"/>
        <v>0.05</v>
      </c>
      <c r="AD389" s="1034">
        <f t="shared" si="93"/>
        <v>6.0249999999999998E-2</v>
      </c>
      <c r="AE389" s="1034">
        <f t="shared" si="93"/>
        <v>6.5549999999999997E-2</v>
      </c>
      <c r="AF389" s="1034">
        <f t="shared" si="93"/>
        <v>3.8600000000000002E-2</v>
      </c>
      <c r="AG389" s="1034">
        <f t="shared" ref="AG389:AT389" si="95">+AG233</f>
        <v>0.30151228519587769</v>
      </c>
      <c r="AH389" s="1034">
        <f t="shared" si="95"/>
        <v>0.38685593342829805</v>
      </c>
      <c r="AI389" s="3568">
        <f t="shared" si="95"/>
        <v>0.13127720508374643</v>
      </c>
      <c r="AJ389" s="1691">
        <f t="shared" si="95"/>
        <v>0.12832330770614089</v>
      </c>
      <c r="AK389" s="1034">
        <f t="shared" si="95"/>
        <v>0.20500515161946323</v>
      </c>
      <c r="AL389" s="1034">
        <f t="shared" si="95"/>
        <v>0.11048195770385441</v>
      </c>
      <c r="AM389" s="1034">
        <f t="shared" si="95"/>
        <v>0.1141056851335617</v>
      </c>
      <c r="AN389" s="1034">
        <f t="shared" si="95"/>
        <v>0.11304957015856934</v>
      </c>
      <c r="AO389" s="1034">
        <f t="shared" si="95"/>
        <v>5.2925890361723703E-2</v>
      </c>
      <c r="AP389" s="1034">
        <f t="shared" si="95"/>
        <v>0.12935071837941417</v>
      </c>
      <c r="AQ389" s="1034">
        <f t="shared" si="95"/>
        <v>0.1013300844411579</v>
      </c>
      <c r="AR389" s="1034">
        <f t="shared" si="95"/>
        <v>0.10187054585022884</v>
      </c>
      <c r="AS389" s="1034">
        <f t="shared" si="95"/>
        <v>0.10305699098511481</v>
      </c>
      <c r="AT389" s="1034">
        <f t="shared" si="95"/>
        <v>0.29386020416016112</v>
      </c>
    </row>
    <row r="390" spans="1:46">
      <c r="D390" s="2075" t="s">
        <v>990</v>
      </c>
      <c r="E390" s="768"/>
      <c r="F390" s="797"/>
      <c r="G390" s="665"/>
      <c r="H390" s="665"/>
      <c r="I390" s="665"/>
      <c r="J390" s="1262">
        <v>0.5</v>
      </c>
      <c r="K390" s="1262">
        <v>0.5</v>
      </c>
      <c r="L390" s="1262">
        <v>0.5</v>
      </c>
      <c r="M390" s="1262">
        <v>0.5</v>
      </c>
      <c r="N390" s="1262">
        <v>0.5</v>
      </c>
      <c r="O390" s="1262">
        <v>0.5</v>
      </c>
      <c r="P390" s="1262">
        <v>0.5</v>
      </c>
      <c r="Q390" s="1262">
        <v>0.5</v>
      </c>
      <c r="R390" s="1262">
        <v>0.5</v>
      </c>
      <c r="S390" s="1262">
        <v>0.5</v>
      </c>
      <c r="T390" s="1262">
        <v>0.5</v>
      </c>
      <c r="U390" s="1262">
        <v>0.5</v>
      </c>
      <c r="V390" s="1262">
        <v>0.5</v>
      </c>
      <c r="W390" s="1262">
        <v>0.5</v>
      </c>
      <c r="X390" s="1262">
        <v>0.5</v>
      </c>
      <c r="Y390" s="1262">
        <v>0.5</v>
      </c>
      <c r="Z390" s="1262">
        <v>0.5</v>
      </c>
      <c r="AA390" s="1262">
        <f>+Z390</f>
        <v>0.5</v>
      </c>
      <c r="AB390" s="1262">
        <v>0.5</v>
      </c>
      <c r="AC390" s="1262">
        <v>0.5</v>
      </c>
      <c r="AD390" s="1262">
        <v>0.5</v>
      </c>
      <c r="AE390" s="1262">
        <f>+AD390</f>
        <v>0.5</v>
      </c>
      <c r="AF390" s="1263">
        <f>+AE390-0.01</f>
        <v>0.49</v>
      </c>
      <c r="AG390" s="1263">
        <f>+AF390-0.02</f>
        <v>0.47</v>
      </c>
      <c r="AH390" s="1263">
        <f>+AG390-0.01</f>
        <v>0.45999999999999996</v>
      </c>
      <c r="AI390" s="3570">
        <f>+AH390</f>
        <v>0.45999999999999996</v>
      </c>
      <c r="AJ390" s="1691"/>
      <c r="AK390" s="1691"/>
      <c r="AL390" s="1691"/>
      <c r="AM390" s="1691"/>
      <c r="AN390" s="1691"/>
      <c r="AO390" s="1691"/>
      <c r="AP390" s="1691"/>
      <c r="AQ390" s="1691"/>
      <c r="AR390" s="1691"/>
      <c r="AS390" s="1691"/>
      <c r="AT390" s="1691"/>
    </row>
    <row r="391" spans="1:46">
      <c r="D391" s="2075" t="s">
        <v>991</v>
      </c>
      <c r="E391" s="768"/>
      <c r="F391" s="797"/>
      <c r="G391" s="665"/>
      <c r="H391" s="665"/>
      <c r="I391" s="665"/>
      <c r="J391" s="1263">
        <v>0.15</v>
      </c>
      <c r="K391" s="1263">
        <v>0.15</v>
      </c>
      <c r="L391" s="1263">
        <v>0.15</v>
      </c>
      <c r="M391" s="1263">
        <v>0.15</v>
      </c>
      <c r="N391" s="1263">
        <v>0.15</v>
      </c>
      <c r="O391" s="1263">
        <v>0.15</v>
      </c>
      <c r="P391" s="1263">
        <v>0.15</v>
      </c>
      <c r="Q391" s="1263">
        <v>0.15</v>
      </c>
      <c r="R391" s="1263">
        <v>0.15</v>
      </c>
      <c r="S391" s="1263">
        <v>0.15</v>
      </c>
      <c r="T391" s="1263">
        <v>0.15</v>
      </c>
      <c r="U391" s="1263">
        <v>0.15</v>
      </c>
      <c r="V391" s="1263">
        <v>0.15</v>
      </c>
      <c r="W391" s="1263">
        <v>0.15</v>
      </c>
      <c r="X391" s="1263">
        <v>0.15</v>
      </c>
      <c r="Y391" s="1263">
        <v>0.15</v>
      </c>
      <c r="Z391" s="1263">
        <v>0.15</v>
      </c>
      <c r="AA391" s="1263">
        <v>0.15</v>
      </c>
      <c r="AB391" s="1263">
        <v>0.15</v>
      </c>
      <c r="AC391" s="1263">
        <v>0.15</v>
      </c>
      <c r="AD391" s="1263">
        <v>0.15</v>
      </c>
      <c r="AE391" s="1263">
        <v>0.15</v>
      </c>
      <c r="AF391" s="1263">
        <v>0.15</v>
      </c>
      <c r="AG391" s="1263">
        <v>0.15</v>
      </c>
      <c r="AH391" s="1263">
        <v>0.15</v>
      </c>
      <c r="AI391" s="3570">
        <v>0.15</v>
      </c>
      <c r="AJ391" s="1691"/>
      <c r="AK391" s="1691"/>
      <c r="AL391" s="1691"/>
      <c r="AM391" s="1691"/>
      <c r="AN391" s="1691"/>
      <c r="AO391" s="1691"/>
      <c r="AP391" s="1691"/>
      <c r="AQ391" s="1691"/>
      <c r="AR391" s="1691"/>
      <c r="AS391" s="1691"/>
      <c r="AT391" s="1691"/>
    </row>
    <row r="392" spans="1:46">
      <c r="D392" s="811"/>
      <c r="E392" s="768"/>
      <c r="F392" s="797"/>
      <c r="G392" s="333"/>
      <c r="H392" s="333"/>
      <c r="I392" s="333"/>
      <c r="J392" s="333"/>
      <c r="K392" s="333"/>
      <c r="L392" s="333"/>
      <c r="M392" s="333"/>
      <c r="N392" s="333"/>
      <c r="O392" s="333"/>
      <c r="P392" s="333"/>
      <c r="Q392" s="333"/>
      <c r="R392" s="333"/>
      <c r="S392" s="333"/>
      <c r="T392" s="333"/>
      <c r="U392" s="333"/>
      <c r="V392" s="333"/>
      <c r="W392" s="852"/>
      <c r="X392" s="852"/>
      <c r="Y392" s="852"/>
      <c r="Z392" s="854"/>
      <c r="AA392" s="854"/>
      <c r="AB392" s="1034"/>
      <c r="AC392" s="801"/>
      <c r="AD392" s="3182"/>
      <c r="AE392" s="3182"/>
      <c r="AF392" s="3182"/>
      <c r="AG392" s="2612"/>
      <c r="AH392" s="2612"/>
      <c r="AI392" s="3554"/>
      <c r="AJ392" s="2612"/>
      <c r="AK392" s="2612"/>
      <c r="AL392" s="2612"/>
      <c r="AM392" s="2612"/>
      <c r="AN392" s="2612"/>
      <c r="AO392" s="1767"/>
      <c r="AP392" s="1767"/>
      <c r="AQ392" s="1767"/>
      <c r="AR392" s="1767"/>
      <c r="AS392" s="1767"/>
      <c r="AT392" s="1767"/>
    </row>
    <row r="393" spans="1:46">
      <c r="C393" s="295" t="s">
        <v>30</v>
      </c>
      <c r="D393" s="2072" t="s">
        <v>405</v>
      </c>
      <c r="E393" s="768" t="str">
        <f>+E382</f>
        <v>fr FISCAL via VII. Block</v>
      </c>
      <c r="F393" s="797"/>
      <c r="G393" s="54"/>
      <c r="H393" s="54"/>
      <c r="I393" s="54"/>
      <c r="J393" s="54"/>
      <c r="K393" s="54"/>
      <c r="L393" s="54"/>
      <c r="M393" s="54"/>
      <c r="N393" s="54"/>
      <c r="O393" s="54"/>
      <c r="P393" s="54"/>
      <c r="Q393" s="54"/>
      <c r="R393" s="54"/>
      <c r="S393" s="54"/>
      <c r="T393" s="54"/>
      <c r="U393" s="54"/>
      <c r="V393" s="54"/>
      <c r="W393" s="837"/>
      <c r="X393" s="855" t="s">
        <v>455</v>
      </c>
      <c r="Y393" s="856"/>
      <c r="Z393" s="857">
        <f t="shared" ref="Z393:AF394" si="96">+Z840/Y840-1</f>
        <v>0.14210526315789473</v>
      </c>
      <c r="AA393" s="857">
        <f t="shared" si="96"/>
        <v>4.3010752688172005E-2</v>
      </c>
      <c r="AB393" s="1078">
        <f t="shared" si="96"/>
        <v>-2.5036818851251863E-2</v>
      </c>
      <c r="AC393" s="803">
        <f t="shared" si="96"/>
        <v>9.0634441087613205E-2</v>
      </c>
      <c r="AD393" s="1078">
        <f t="shared" si="96"/>
        <v>0.15096952908587258</v>
      </c>
      <c r="AE393" s="1078">
        <f t="shared" si="96"/>
        <v>-0.26835138387484958</v>
      </c>
      <c r="AF393" s="1078">
        <f t="shared" si="96"/>
        <v>0.48519736842105265</v>
      </c>
      <c r="AG393" s="1078">
        <f t="shared" ref="AG393:AI394" si="97">+AG840/AF840-1</f>
        <v>5.2048726467331052E-2</v>
      </c>
      <c r="AH393" s="1078">
        <f t="shared" si="97"/>
        <v>-4.0000000000000036E-2</v>
      </c>
      <c r="AI393" s="3571">
        <f t="shared" si="97"/>
        <v>-0.20487875414917989</v>
      </c>
      <c r="AJ393" s="3549">
        <f t="shared" ref="AJ393:AO394" si="98">+AJ840/AI840-1</f>
        <v>0.10113707898169211</v>
      </c>
      <c r="AK393" s="1078">
        <f t="shared" si="98"/>
        <v>0.1571691193109801</v>
      </c>
      <c r="AL393" s="1078">
        <f t="shared" si="98"/>
        <v>0.12931782480054377</v>
      </c>
      <c r="AM393" s="1078">
        <f t="shared" si="98"/>
        <v>6.7425001637892112E-2</v>
      </c>
      <c r="AN393" s="1078">
        <f t="shared" si="98"/>
        <v>7.0091973137671904E-2</v>
      </c>
      <c r="AO393" s="1034">
        <f t="shared" si="98"/>
        <v>8.388461103078293E-2</v>
      </c>
      <c r="AP393" s="1034">
        <f t="shared" ref="AP393:AT394" si="99">+AP840/AO840-1</f>
        <v>8.3361596832855156E-2</v>
      </c>
      <c r="AQ393" s="1034">
        <f t="shared" si="99"/>
        <v>8.1434051285409259E-2</v>
      </c>
      <c r="AR393" s="1034">
        <f t="shared" si="99"/>
        <v>8.0124052632725373E-2</v>
      </c>
      <c r="AS393" s="1034">
        <f t="shared" si="99"/>
        <v>8.4677716353344312E-2</v>
      </c>
      <c r="AT393" s="1034">
        <f t="shared" si="99"/>
        <v>9.5739654543451902E-2</v>
      </c>
    </row>
    <row r="394" spans="1:46">
      <c r="D394" s="2076" t="s">
        <v>436</v>
      </c>
      <c r="E394" s="768">
        <f>+E386</f>
        <v>0</v>
      </c>
      <c r="F394" s="797"/>
      <c r="G394" s="333"/>
      <c r="H394" s="333"/>
      <c r="I394" s="333"/>
      <c r="J394" s="333"/>
      <c r="K394" s="333"/>
      <c r="L394" s="333"/>
      <c r="M394" s="333"/>
      <c r="N394" s="333"/>
      <c r="O394" s="333"/>
      <c r="P394" s="333"/>
      <c r="Q394" s="333"/>
      <c r="R394" s="333"/>
      <c r="S394" s="333"/>
      <c r="T394" s="333"/>
      <c r="U394" s="333"/>
      <c r="V394" s="333"/>
      <c r="W394" s="852"/>
      <c r="X394" s="858">
        <f>Y854/(Y$854+Y$855+Y$856)</f>
        <v>0.54564216584635417</v>
      </c>
      <c r="Y394" s="859"/>
      <c r="Z394" s="853">
        <f t="shared" si="96"/>
        <v>0.21930884721418109</v>
      </c>
      <c r="AA394" s="853">
        <f t="shared" si="96"/>
        <v>7.0784409929942615E-2</v>
      </c>
      <c r="AB394" s="1077">
        <f t="shared" si="96"/>
        <v>-2.9058605202213705E-2</v>
      </c>
      <c r="AC394" s="802">
        <f t="shared" si="96"/>
        <v>0.17479815486507944</v>
      </c>
      <c r="AD394" s="1077">
        <f t="shared" si="96"/>
        <v>0.10912093895346886</v>
      </c>
      <c r="AE394" s="1077">
        <f t="shared" si="96"/>
        <v>8.0744701196252766E-2</v>
      </c>
      <c r="AF394" s="1077">
        <f t="shared" si="96"/>
        <v>0.47512444715215296</v>
      </c>
      <c r="AG394" s="1077">
        <f t="shared" si="97"/>
        <v>-9.9818964290739221E-2</v>
      </c>
      <c r="AH394" s="1077">
        <f t="shared" si="97"/>
        <v>-5.7034630334558911E-2</v>
      </c>
      <c r="AI394" s="3569">
        <f t="shared" si="97"/>
        <v>-1.7137660928819742E-2</v>
      </c>
      <c r="AJ394" s="3548">
        <f t="shared" si="98"/>
        <v>7.149994439315388E-2</v>
      </c>
      <c r="AK394" s="1077">
        <f t="shared" si="98"/>
        <v>3.1820031309358843E-2</v>
      </c>
      <c r="AL394" s="1077">
        <f t="shared" si="98"/>
        <v>0.10264469460799575</v>
      </c>
      <c r="AM394" s="1077">
        <f t="shared" si="98"/>
        <v>8.1370498587480578E-2</v>
      </c>
      <c r="AN394" s="1077">
        <f t="shared" si="98"/>
        <v>6.6899268644962095E-2</v>
      </c>
      <c r="AO394" s="1077">
        <f t="shared" si="98"/>
        <v>6.5617863115882802E-2</v>
      </c>
      <c r="AP394" s="1077">
        <f t="shared" si="99"/>
        <v>6.4339786583917702E-2</v>
      </c>
      <c r="AQ394" s="1077">
        <f t="shared" si="99"/>
        <v>6.862109002301775E-2</v>
      </c>
      <c r="AR394" s="1077">
        <f t="shared" si="99"/>
        <v>6.8454774974925581E-2</v>
      </c>
      <c r="AS394" s="1077">
        <f t="shared" si="99"/>
        <v>8.097632095744034E-2</v>
      </c>
      <c r="AT394" s="1077">
        <f t="shared" si="99"/>
        <v>9.7966786175257115E-2</v>
      </c>
    </row>
    <row r="395" spans="1:46" s="1892" customFormat="1">
      <c r="A395" s="1893"/>
      <c r="B395" s="2573"/>
      <c r="C395" s="2573"/>
      <c r="D395" s="2581" t="s">
        <v>430</v>
      </c>
      <c r="E395" s="2640"/>
      <c r="F395" s="2915"/>
      <c r="G395" s="2641"/>
      <c r="H395" s="2641"/>
      <c r="I395" s="2641"/>
      <c r="J395" s="2641"/>
      <c r="K395" s="2641"/>
      <c r="L395" s="2641"/>
      <c r="M395" s="2641"/>
      <c r="N395" s="2641"/>
      <c r="O395" s="2641"/>
      <c r="P395" s="2641"/>
      <c r="Q395" s="2641"/>
      <c r="R395" s="2641"/>
      <c r="S395" s="2641"/>
      <c r="T395" s="2641"/>
      <c r="U395" s="2641"/>
      <c r="V395" s="2641"/>
      <c r="W395" s="2590"/>
      <c r="X395" s="2642"/>
      <c r="Y395" s="2642">
        <f t="shared" ref="Y395:AO395" si="100">+Y593+Y599+Y614+SUM(Y619:Y624)+Y628</f>
        <v>8916</v>
      </c>
      <c r="Z395" s="2642">
        <f t="shared" si="100"/>
        <v>9675</v>
      </c>
      <c r="AA395" s="2642">
        <f t="shared" si="100"/>
        <v>10225</v>
      </c>
      <c r="AB395" s="2643">
        <f t="shared" si="100"/>
        <v>10812</v>
      </c>
      <c r="AC395" s="2644">
        <f t="shared" si="100"/>
        <v>11734</v>
      </c>
      <c r="AD395" s="2643">
        <f t="shared" si="100"/>
        <v>12866</v>
      </c>
      <c r="AE395" s="2643">
        <f t="shared" si="100"/>
        <v>9228</v>
      </c>
      <c r="AF395" s="2643">
        <f t="shared" si="100"/>
        <v>13278</v>
      </c>
      <c r="AG395" s="2643">
        <f>+AG593+AG599+AG614+SUM(AG619:AG624)+AG628</f>
        <v>14651</v>
      </c>
      <c r="AH395" s="2643">
        <f>+AH593+AH599+AH614+SUM(AH619:AH624)+AH628</f>
        <v>16061</v>
      </c>
      <c r="AI395" s="3572">
        <f>+AI593+AI599+AI614+SUM(AI619:AI624)+AI628</f>
        <v>17184</v>
      </c>
      <c r="AJ395" s="3550">
        <f t="shared" si="100"/>
        <v>18605.741922401718</v>
      </c>
      <c r="AK395" s="2643">
        <f t="shared" si="100"/>
        <v>20266.649483905334</v>
      </c>
      <c r="AL395" s="2643">
        <f t="shared" si="100"/>
        <v>22193.841563720038</v>
      </c>
      <c r="AM395" s="2643">
        <f t="shared" si="100"/>
        <v>24193.824271089128</v>
      </c>
      <c r="AN395" s="2643">
        <f t="shared" si="100"/>
        <v>26226.664655378743</v>
      </c>
      <c r="AO395" s="2588">
        <f t="shared" si="100"/>
        <v>28529.571822594153</v>
      </c>
      <c r="AP395" s="2588">
        <f>+AP593+AP599+AP614+SUM(AP619:AP624)+AP628</f>
        <v>31068.249322489286</v>
      </c>
      <c r="AQ395" s="2588">
        <f>+AQ593+AQ599+AQ614+SUM(AQ619:AQ624)+AQ628</f>
        <v>33877.901497830062</v>
      </c>
      <c r="AR395" s="2588">
        <f>+AR593+AR599+AR614+SUM(AR619:AR624)+AR628</f>
        <v>37039.494510118151</v>
      </c>
      <c r="AS395" s="2588">
        <f>+AS593+AS599+AS614+SUM(AS619:AS624)+AS628</f>
        <v>40566.842925837198</v>
      </c>
      <c r="AT395" s="2588">
        <f>+AT593+AT599+AT614+SUM(AT619:AT624)+AT628</f>
        <v>44644.198546407097</v>
      </c>
    </row>
    <row r="396" spans="1:46">
      <c r="A396" s="297" t="s">
        <v>59</v>
      </c>
      <c r="B396" s="295" t="s">
        <v>408</v>
      </c>
      <c r="C396" s="295" t="s">
        <v>30</v>
      </c>
      <c r="D396" s="811" t="s">
        <v>424</v>
      </c>
      <c r="E396" s="768" t="s">
        <v>453</v>
      </c>
      <c r="F396" s="797"/>
      <c r="G396" s="333"/>
      <c r="H396" s="333"/>
      <c r="I396" s="333"/>
      <c r="J396" s="333"/>
      <c r="K396" s="333"/>
      <c r="L396" s="333"/>
      <c r="M396" s="333"/>
      <c r="N396" s="333"/>
      <c r="O396" s="333"/>
      <c r="P396" s="333"/>
      <c r="Q396" s="333"/>
      <c r="R396" s="333"/>
      <c r="S396" s="333"/>
      <c r="T396" s="333"/>
      <c r="U396" s="333"/>
      <c r="V396" s="333"/>
      <c r="W396" s="852"/>
      <c r="X396" s="861"/>
      <c r="Y396" s="841"/>
      <c r="Z396" s="841">
        <f t="shared" ref="Z396:AF396" si="101">+Z395/Y395-1</f>
        <v>8.5127860026917856E-2</v>
      </c>
      <c r="AA396" s="841">
        <f t="shared" si="101"/>
        <v>5.6847545219638196E-2</v>
      </c>
      <c r="AB396" s="843">
        <f t="shared" si="101"/>
        <v>5.7408312958435292E-2</v>
      </c>
      <c r="AC396" s="702">
        <f t="shared" si="101"/>
        <v>8.5275619681834947E-2</v>
      </c>
      <c r="AD396" s="843">
        <f t="shared" si="101"/>
        <v>9.6471791375490001E-2</v>
      </c>
      <c r="AE396" s="843">
        <f t="shared" si="101"/>
        <v>-0.28276076480646661</v>
      </c>
      <c r="AF396" s="843">
        <f t="shared" si="101"/>
        <v>0.43888166449934984</v>
      </c>
      <c r="AG396" s="843">
        <f>+AG395/AF395-1</f>
        <v>0.1034041271275794</v>
      </c>
      <c r="AH396" s="843">
        <f>+AH395/AG395-1</f>
        <v>9.6239164562145874E-2</v>
      </c>
      <c r="AI396" s="3561">
        <f>+AI395/AH395-1</f>
        <v>6.9920926467841316E-2</v>
      </c>
      <c r="AJ396" s="1656">
        <f t="shared" ref="AJ396:AO396" si="102">+AJ395/AI395-1</f>
        <v>8.2736378165835456E-2</v>
      </c>
      <c r="AK396" s="843">
        <f t="shared" si="102"/>
        <v>8.9268547765023465E-2</v>
      </c>
      <c r="AL396" s="843">
        <f t="shared" si="102"/>
        <v>9.5091795086561959E-2</v>
      </c>
      <c r="AM396" s="843">
        <f t="shared" si="102"/>
        <v>9.0114309486575506E-2</v>
      </c>
      <c r="AN396" s="843">
        <f t="shared" si="102"/>
        <v>8.402311108454219E-2</v>
      </c>
      <c r="AO396" s="1079">
        <f t="shared" si="102"/>
        <v>8.7807855000849866E-2</v>
      </c>
      <c r="AP396" s="1079">
        <f>+AP395/AO395-1</f>
        <v>8.8984072936019842E-2</v>
      </c>
      <c r="AQ396" s="1079">
        <f>+AQ395/AP395-1</f>
        <v>9.0434840604519007E-2</v>
      </c>
      <c r="AR396" s="1079">
        <f>+AR395/AQ395-1</f>
        <v>9.3323165618466541E-2</v>
      </c>
      <c r="AS396" s="1079">
        <f>+AS395/AR395-1</f>
        <v>9.5232088406483895E-2</v>
      </c>
      <c r="AT396" s="1079">
        <f>+AT395/AS395-1</f>
        <v>0.10050956215705442</v>
      </c>
    </row>
    <row r="397" spans="1:46">
      <c r="D397" s="811" t="s">
        <v>431</v>
      </c>
      <c r="E397" s="768">
        <f>+E386</f>
        <v>0</v>
      </c>
      <c r="F397" s="797"/>
      <c r="G397" s="333"/>
      <c r="H397" s="333"/>
      <c r="I397" s="333"/>
      <c r="J397" s="333"/>
      <c r="K397" s="333"/>
      <c r="L397" s="333"/>
      <c r="M397" s="333"/>
      <c r="N397" s="333"/>
      <c r="O397" s="333"/>
      <c r="P397" s="333"/>
      <c r="Q397" s="333"/>
      <c r="R397" s="333"/>
      <c r="S397" s="333"/>
      <c r="T397" s="333"/>
      <c r="U397" s="333"/>
      <c r="V397" s="333"/>
      <c r="W397" s="852"/>
      <c r="X397" s="841">
        <f t="shared" ref="X397:AT397" si="103">+X939</f>
        <v>7.0000000000000007E-2</v>
      </c>
      <c r="Y397" s="841">
        <f t="shared" si="103"/>
        <v>5.0429355050451631E-2</v>
      </c>
      <c r="Z397" s="841">
        <f t="shared" si="103"/>
        <v>5.5665935108619634E-2</v>
      </c>
      <c r="AA397" s="841">
        <f t="shared" si="103"/>
        <v>5.639710391768718E-2</v>
      </c>
      <c r="AB397" s="843">
        <f t="shared" si="103"/>
        <v>5.440569229295969E-2</v>
      </c>
      <c r="AC397" s="702">
        <f t="shared" si="103"/>
        <v>5.6859362014789042E-2</v>
      </c>
      <c r="AD397" s="843">
        <f t="shared" si="103"/>
        <v>5.4305469333602911E-2</v>
      </c>
      <c r="AE397" s="843">
        <f t="shared" si="103"/>
        <v>5.6535260774363064E-2</v>
      </c>
      <c r="AF397" s="843">
        <f t="shared" si="103"/>
        <v>5.4446163528025782E-2</v>
      </c>
      <c r="AG397" s="843">
        <f>+AG939</f>
        <v>4.4737906694448999E-2</v>
      </c>
      <c r="AH397" s="843">
        <f>+AH939</f>
        <v>4.0815608385430399E-2</v>
      </c>
      <c r="AI397" s="3561">
        <f>+AI939</f>
        <v>4.5705932874386332E-2</v>
      </c>
      <c r="AJ397" s="1656">
        <f t="shared" si="103"/>
        <v>5.5695078027099366E-2</v>
      </c>
      <c r="AK397" s="843">
        <f t="shared" si="103"/>
        <v>6.2030206135223233E-2</v>
      </c>
      <c r="AL397" s="843">
        <f t="shared" si="103"/>
        <v>6.4003882473265328E-2</v>
      </c>
      <c r="AM397" s="843">
        <f t="shared" si="103"/>
        <v>6.4284718143980651E-2</v>
      </c>
      <c r="AN397" s="843">
        <f t="shared" si="103"/>
        <v>6.4033279945837712E-2</v>
      </c>
      <c r="AO397" s="1079">
        <f t="shared" si="103"/>
        <v>6.4152993484206902E-2</v>
      </c>
      <c r="AP397" s="1079">
        <f t="shared" si="103"/>
        <v>8.5428295446738384E-2</v>
      </c>
      <c r="AQ397" s="1079">
        <f t="shared" si="103"/>
        <v>8.4659612984428215E-2</v>
      </c>
      <c r="AR397" s="1079">
        <f t="shared" si="103"/>
        <v>8.2910793366940752E-2</v>
      </c>
      <c r="AS397" s="1079">
        <f t="shared" si="103"/>
        <v>9.4074056220457447E-2</v>
      </c>
      <c r="AT397" s="1079">
        <f t="shared" si="103"/>
        <v>0.12255543718459191</v>
      </c>
    </row>
    <row r="398" spans="1:46">
      <c r="D398" s="811" t="s">
        <v>432</v>
      </c>
      <c r="E398" s="768" t="s">
        <v>447</v>
      </c>
      <c r="F398" s="797"/>
      <c r="G398" s="333"/>
      <c r="H398" s="333"/>
      <c r="I398" s="333"/>
      <c r="J398" s="333"/>
      <c r="K398" s="333"/>
      <c r="L398" s="333"/>
      <c r="M398" s="333"/>
      <c r="N398" s="333"/>
      <c r="O398" s="333"/>
      <c r="P398" s="333"/>
      <c r="Q398" s="333"/>
      <c r="R398" s="333"/>
      <c r="S398" s="333"/>
      <c r="T398" s="333"/>
      <c r="U398" s="333"/>
      <c r="V398" s="333"/>
      <c r="W398" s="852"/>
      <c r="X398" s="852"/>
      <c r="Y398" s="862">
        <f t="shared" ref="Y398:AF398" si="104">+Y937</f>
        <v>1.602707927849889E-2</v>
      </c>
      <c r="Z398" s="862">
        <f t="shared" si="104"/>
        <v>4.428214314270762E-2</v>
      </c>
      <c r="AA398" s="862">
        <f t="shared" si="104"/>
        <v>4.9757051840270128E-2</v>
      </c>
      <c r="AB398" s="1079">
        <f t="shared" si="104"/>
        <v>6.108664944551534E-2</v>
      </c>
      <c r="AC398" s="804">
        <f t="shared" si="104"/>
        <v>2.6995272829650752E-3</v>
      </c>
      <c r="AD398" s="1079">
        <f t="shared" si="104"/>
        <v>2.4856566500031096E-2</v>
      </c>
      <c r="AE398" s="1079">
        <f t="shared" si="104"/>
        <v>9.6348102282450387E-2</v>
      </c>
      <c r="AF398" s="1079">
        <f t="shared" si="104"/>
        <v>-2.5710924548053682E-2</v>
      </c>
      <c r="AG398" s="1079">
        <f>+AG937</f>
        <v>0.13707710032566878</v>
      </c>
      <c r="AH398" s="1079">
        <f>+AH937</f>
        <v>0.16011109983097449</v>
      </c>
      <c r="AI398" s="3573">
        <f>+AI937</f>
        <v>3.5523145304627191E-2</v>
      </c>
      <c r="AJ398" s="1771">
        <f t="shared" ref="AJ398:AO398" si="105">+AJ937</f>
        <v>6.6537008736573755E-2</v>
      </c>
      <c r="AK398" s="1079">
        <f t="shared" si="105"/>
        <v>0.10339798970193637</v>
      </c>
      <c r="AL398" s="1079">
        <f t="shared" si="105"/>
        <v>2.4071370698910188E-2</v>
      </c>
      <c r="AM398" s="1079">
        <f t="shared" si="105"/>
        <v>3.5670879794682975E-2</v>
      </c>
      <c r="AN398" s="1079">
        <f t="shared" si="105"/>
        <v>5.129052308393045E-2</v>
      </c>
      <c r="AO398" s="1079">
        <f t="shared" si="105"/>
        <v>5.2830892902575144E-2</v>
      </c>
      <c r="AP398" s="1079">
        <f>+AP937</f>
        <v>4.6743248033085383E-2</v>
      </c>
      <c r="AQ398" s="1079">
        <f>+AQ937</f>
        <v>5.4188339555752973E-2</v>
      </c>
      <c r="AR398" s="1079">
        <f>+AR937</f>
        <v>5.536829431513457E-2</v>
      </c>
      <c r="AS398" s="1079">
        <f>+AS937</f>
        <v>4.1393017631810025E-2</v>
      </c>
      <c r="AT398" s="1079">
        <f>+AT937</f>
        <v>2.3667156727388505E-2</v>
      </c>
    </row>
    <row r="399" spans="1:46">
      <c r="D399" s="2072" t="s">
        <v>434</v>
      </c>
      <c r="E399" s="768" t="s">
        <v>448</v>
      </c>
      <c r="F399" s="797"/>
      <c r="G399" s="333"/>
      <c r="H399" s="333"/>
      <c r="I399" s="333"/>
      <c r="J399" s="333"/>
      <c r="K399" s="333"/>
      <c r="L399" s="333"/>
      <c r="M399" s="333"/>
      <c r="N399" s="333"/>
      <c r="O399" s="333"/>
      <c r="P399" s="333"/>
      <c r="Q399" s="333"/>
      <c r="R399" s="333"/>
      <c r="S399" s="333"/>
      <c r="T399" s="333"/>
      <c r="U399" s="333"/>
      <c r="V399" s="333"/>
      <c r="W399" s="852"/>
      <c r="X399" s="852"/>
      <c r="Y399" s="862">
        <f>+(1+Y398)*(Y397/X397)-1</f>
        <v>-0.26803442397416022</v>
      </c>
      <c r="Z399" s="862">
        <f t="shared" ref="Z399:AF399" si="106">+(1+Z398)*(Z397/Y397)-1</f>
        <v>0.15272031452941626</v>
      </c>
      <c r="AA399" s="862">
        <f t="shared" si="106"/>
        <v>6.354554945387525E-2</v>
      </c>
      <c r="AB399" s="1079">
        <f t="shared" si="106"/>
        <v>2.3619117573080883E-2</v>
      </c>
      <c r="AC399" s="804">
        <f t="shared" si="106"/>
        <v>4.7920778341380199E-2</v>
      </c>
      <c r="AD399" s="1079">
        <f t="shared" si="106"/>
        <v>-2.1175847366469935E-2</v>
      </c>
      <c r="AE399" s="1079">
        <f t="shared" si="106"/>
        <v>0.14136433443294516</v>
      </c>
      <c r="AF399" s="1079">
        <f t="shared" si="106"/>
        <v>-6.1712962865105858E-2</v>
      </c>
      <c r="AG399" s="1079">
        <f>+(1+AG398)*(AG397/AF397)-1</f>
        <v>-6.567431160545989E-2</v>
      </c>
      <c r="AH399" s="1079">
        <f>+(1+AH398)*(AH397/AG397)-1</f>
        <v>5.8400891612731431E-2</v>
      </c>
      <c r="AI399" s="3573">
        <f>+(1+AI398)*(AI397/AH397)-1</f>
        <v>0.1595944110944949</v>
      </c>
      <c r="AJ399" s="1771">
        <f t="shared" ref="AJ399:AO399" si="107">+(1+AJ398)*(AJ397/AI397)-1</f>
        <v>0.29963132102836831</v>
      </c>
      <c r="AK399" s="1079">
        <f t="shared" si="107"/>
        <v>0.22890580595110155</v>
      </c>
      <c r="AL399" s="1079">
        <f t="shared" si="107"/>
        <v>5.665526101210161E-2</v>
      </c>
      <c r="AM399" s="1079">
        <f t="shared" si="107"/>
        <v>4.0215187341790859E-2</v>
      </c>
      <c r="AN399" s="1079">
        <f t="shared" si="107"/>
        <v>4.7178587891853807E-2</v>
      </c>
      <c r="AO399" s="1079">
        <f t="shared" si="107"/>
        <v>5.4799214868908486E-2</v>
      </c>
      <c r="AP399" s="1079">
        <f>+(1+AP398)*(AP397/AO397)-1</f>
        <v>0.39387870453562934</v>
      </c>
      <c r="AQ399" s="1079">
        <f>+(1+AQ398)*(AQ397/AP397)-1</f>
        <v>4.4702769413555776E-2</v>
      </c>
      <c r="AR399" s="1079">
        <f>+(1+AR398)*(AR397/AQ397)-1</f>
        <v>3.3567476762235149E-2</v>
      </c>
      <c r="AS399" s="1079">
        <f>+(1+AS398)*(AS397/AR397)-1</f>
        <v>0.18160810323821841</v>
      </c>
      <c r="AT399" s="1079">
        <f>+(1+AT398)*(AT397/AS397)-1</f>
        <v>0.33358739874290078</v>
      </c>
    </row>
    <row r="400" spans="1:46">
      <c r="B400" s="295" t="s">
        <v>407</v>
      </c>
      <c r="C400" s="295" t="s">
        <v>30</v>
      </c>
      <c r="D400" s="811" t="s">
        <v>438</v>
      </c>
      <c r="E400" s="678"/>
      <c r="F400" s="797"/>
      <c r="G400" s="333"/>
      <c r="H400" s="333"/>
      <c r="I400" s="333"/>
      <c r="J400" s="333"/>
      <c r="K400" s="333"/>
      <c r="L400" s="333"/>
      <c r="M400" s="333"/>
      <c r="N400" s="333"/>
      <c r="O400" s="333"/>
      <c r="P400" s="333"/>
      <c r="Q400" s="333"/>
      <c r="R400" s="333"/>
      <c r="S400" s="333"/>
      <c r="T400" s="333"/>
      <c r="U400" s="333"/>
      <c r="V400" s="333"/>
      <c r="W400" s="852"/>
      <c r="X400" s="852"/>
      <c r="Y400" s="863">
        <f>Y854/(Y854+Y855)</f>
        <v>0.56573409482724757</v>
      </c>
      <c r="Z400" s="863">
        <f>Z854/(Z854+Z855)</f>
        <v>0.58643070475068138</v>
      </c>
      <c r="AA400" s="863">
        <f>AA854/(AA854+AA855)</f>
        <v>0.59367046811622826</v>
      </c>
      <c r="AB400" s="863">
        <f t="shared" ref="AB400:AO400" si="108">AB854/(AB854+AB855)</f>
        <v>0.59899297356556103</v>
      </c>
      <c r="AC400" s="863">
        <f t="shared" si="108"/>
        <v>0.60204711741947781</v>
      </c>
      <c r="AD400" s="863">
        <f t="shared" si="108"/>
        <v>0.60325684478474795</v>
      </c>
      <c r="AE400" s="863">
        <f t="shared" si="108"/>
        <v>0.61404884038899066</v>
      </c>
      <c r="AF400" s="863">
        <f t="shared" si="108"/>
        <v>0.60135660108572708</v>
      </c>
      <c r="AG400" s="863">
        <f>AG854/(AG854+AG855)</f>
        <v>0.53428328449158435</v>
      </c>
      <c r="AH400" s="863">
        <f>AH854/(AH854+AH855)</f>
        <v>0.50535472200128362</v>
      </c>
      <c r="AI400" s="3574">
        <f>AI854/(AI854+AI855)</f>
        <v>0.56488477820530369</v>
      </c>
      <c r="AJ400" s="3188">
        <f t="shared" si="108"/>
        <v>0.63658947531117316</v>
      </c>
      <c r="AK400" s="863">
        <f t="shared" si="108"/>
        <v>0.66159519493102192</v>
      </c>
      <c r="AL400" s="863">
        <f t="shared" si="108"/>
        <v>0.66067754348114893</v>
      </c>
      <c r="AM400" s="863">
        <f t="shared" si="108"/>
        <v>0.65147104557078006</v>
      </c>
      <c r="AN400" s="863">
        <f t="shared" si="108"/>
        <v>0.64001008957881511</v>
      </c>
      <c r="AO400" s="863">
        <f t="shared" si="108"/>
        <v>0.63261219086978293</v>
      </c>
      <c r="AP400" s="863">
        <f>AP854/(AP854+AP855)</f>
        <v>0.82660011979143089</v>
      </c>
      <c r="AQ400" s="1776">
        <f>AQ854/(AQ854+AQ855)</f>
        <v>0.81754971302498713</v>
      </c>
      <c r="AR400" s="1776">
        <f>AR854/(AR854+AR855)</f>
        <v>0.80966386726041162</v>
      </c>
      <c r="AS400" s="1776">
        <f>AS854/(AS854+AS855)</f>
        <v>0.81120406306884163</v>
      </c>
      <c r="AT400" s="1776">
        <f>AT854/(AT854+AT855)</f>
        <v>0.82276249757622022</v>
      </c>
    </row>
    <row r="401" spans="1:46">
      <c r="D401" s="811" t="s">
        <v>439</v>
      </c>
      <c r="E401" s="678"/>
      <c r="F401" s="797"/>
      <c r="G401" s="333"/>
      <c r="H401" s="333"/>
      <c r="I401" s="333"/>
      <c r="J401" s="333"/>
      <c r="K401" s="333"/>
      <c r="L401" s="333"/>
      <c r="M401" s="333"/>
      <c r="N401" s="333"/>
      <c r="O401" s="333"/>
      <c r="P401" s="333"/>
      <c r="Q401" s="333"/>
      <c r="R401" s="333"/>
      <c r="S401" s="333"/>
      <c r="T401" s="333"/>
      <c r="U401" s="333"/>
      <c r="V401" s="333"/>
      <c r="W401" s="852"/>
      <c r="X401" s="858">
        <f>Y855/(Y$854+Y$855+Y$856)</f>
        <v>0.41884304166614583</v>
      </c>
      <c r="Y401" s="863"/>
      <c r="Z401" s="853">
        <f t="shared" ref="Z401:AF401" si="109">+Z842/Y842-1</f>
        <v>0.12021641129314031</v>
      </c>
      <c r="AA401" s="853">
        <f t="shared" si="109"/>
        <v>3.9210186539999858E-2</v>
      </c>
      <c r="AB401" s="1077">
        <f t="shared" si="109"/>
        <v>-5.0291490614572276E-2</v>
      </c>
      <c r="AC401" s="802">
        <f t="shared" si="109"/>
        <v>0.15993639358719203</v>
      </c>
      <c r="AD401" s="1077">
        <f t="shared" si="109"/>
        <v>0.10353195971732854</v>
      </c>
      <c r="AE401" s="1077">
        <f t="shared" si="109"/>
        <v>3.2869290091967152E-2</v>
      </c>
      <c r="AF401" s="1077">
        <f t="shared" si="109"/>
        <v>0.55579266820740281</v>
      </c>
      <c r="AG401" s="1077">
        <f>+AG842/AF842-1</f>
        <v>0.18366172279272752</v>
      </c>
      <c r="AH401" s="1077">
        <f>+AH842/AG842-1</f>
        <v>5.8870975929375735E-2</v>
      </c>
      <c r="AI401" s="3569">
        <f>+AI842/AH842-1</f>
        <v>-0.41047804370353869</v>
      </c>
      <c r="AJ401" s="3548">
        <f t="shared" ref="AJ401:AO401" si="110">+AJ842/AI842-1</f>
        <v>5.2985440716091237E-3</v>
      </c>
      <c r="AK401" s="1077">
        <f t="shared" si="110"/>
        <v>0.17536772702094261</v>
      </c>
      <c r="AL401" s="1077">
        <f t="shared" si="110"/>
        <v>7.3486753747780353E-2</v>
      </c>
      <c r="AM401" s="1077">
        <f t="shared" si="110"/>
        <v>-1.5033136250186652E-2</v>
      </c>
      <c r="AN401" s="1077">
        <f t="shared" si="110"/>
        <v>7.6141159308655837E-3</v>
      </c>
      <c r="AO401" s="1077">
        <f t="shared" si="110"/>
        <v>4.6023669907896192E-2</v>
      </c>
      <c r="AP401" s="1077">
        <f>+AP842/AO842-1</f>
        <v>5.7269207708063208E-2</v>
      </c>
      <c r="AQ401" s="1077">
        <f>+AQ842/AP842-1</f>
        <v>4.7399322244433328E-2</v>
      </c>
      <c r="AR401" s="1077">
        <f>+AR842/AQ842-1</f>
        <v>4.9988498500583622E-2</v>
      </c>
      <c r="AS401" s="1077">
        <f>+AS842/AR842-1</f>
        <v>4.6978923907845083E-2</v>
      </c>
      <c r="AT401" s="1077">
        <f>+AT842/AS842-1</f>
        <v>5.1480359874763293E-2</v>
      </c>
    </row>
    <row r="402" spans="1:46">
      <c r="A402" s="297" t="s">
        <v>374</v>
      </c>
      <c r="B402" s="295" t="s">
        <v>406</v>
      </c>
      <c r="C402" s="295" t="s">
        <v>30</v>
      </c>
      <c r="D402" s="811" t="s">
        <v>415</v>
      </c>
      <c r="E402" s="768" t="s">
        <v>452</v>
      </c>
      <c r="F402" s="797"/>
      <c r="G402" s="333"/>
      <c r="H402" s="333"/>
      <c r="I402" s="333"/>
      <c r="J402" s="333"/>
      <c r="K402" s="333"/>
      <c r="L402" s="333"/>
      <c r="M402" s="333"/>
      <c r="N402" s="333"/>
      <c r="O402" s="333"/>
      <c r="P402" s="333"/>
      <c r="Q402" s="333"/>
      <c r="R402" s="333"/>
      <c r="S402" s="333"/>
      <c r="T402" s="333"/>
      <c r="U402" s="333"/>
      <c r="V402" s="333"/>
      <c r="W402" s="852"/>
      <c r="X402" s="864"/>
      <c r="Y402" s="849"/>
      <c r="Z402" s="841">
        <f t="shared" ref="Z402:AT402" si="111">(SUM(Z189:Z192)/SUM(Y189:Y192))-1</f>
        <v>0.13424434248569805</v>
      </c>
      <c r="AA402" s="841">
        <f t="shared" si="111"/>
        <v>-2.9332490793183452E-2</v>
      </c>
      <c r="AB402" s="843">
        <f t="shared" si="111"/>
        <v>0.15774088046531687</v>
      </c>
      <c r="AC402" s="702">
        <f t="shared" si="111"/>
        <v>0.10613306588941263</v>
      </c>
      <c r="AD402" s="843">
        <f t="shared" si="111"/>
        <v>6.8725884249808855E-2</v>
      </c>
      <c r="AE402" s="843">
        <f t="shared" si="111"/>
        <v>3.0981196575368575E-2</v>
      </c>
      <c r="AF402" s="843">
        <f t="shared" si="111"/>
        <v>2.9399029366533824E-2</v>
      </c>
      <c r="AG402" s="843">
        <f t="shared" si="111"/>
        <v>9.9291379734393503E-2</v>
      </c>
      <c r="AH402" s="843">
        <f t="shared" si="111"/>
        <v>0.20230325697384943</v>
      </c>
      <c r="AI402" s="3561">
        <f t="shared" si="111"/>
        <v>9.7875187027955501E-2</v>
      </c>
      <c r="AJ402" s="1656">
        <f t="shared" si="111"/>
        <v>2.7884395665104478E-2</v>
      </c>
      <c r="AK402" s="843">
        <f t="shared" si="111"/>
        <v>3.1740682755046601E-2</v>
      </c>
      <c r="AL402" s="843">
        <f t="shared" si="111"/>
        <v>6.1976331134397267E-2</v>
      </c>
      <c r="AM402" s="843">
        <f t="shared" si="111"/>
        <v>4.4619655550738324E-2</v>
      </c>
      <c r="AN402" s="843">
        <f t="shared" si="111"/>
        <v>3.5128470708976067E-2</v>
      </c>
      <c r="AO402" s="843">
        <f t="shared" si="111"/>
        <v>3.0190044341088074E-2</v>
      </c>
      <c r="AP402" s="1079">
        <f t="shared" si="111"/>
        <v>5.1954323869356944E-2</v>
      </c>
      <c r="AQ402" s="1079">
        <f t="shared" si="111"/>
        <v>3.4562860219104152E-2</v>
      </c>
      <c r="AR402" s="1079">
        <f t="shared" si="111"/>
        <v>3.6817185003112041E-2</v>
      </c>
      <c r="AS402" s="1079">
        <f t="shared" si="111"/>
        <v>2.8429281782743621E-2</v>
      </c>
      <c r="AT402" s="1079">
        <f t="shared" si="111"/>
        <v>3.592922188076253E-2</v>
      </c>
    </row>
    <row r="403" spans="1:46">
      <c r="D403" s="811" t="s">
        <v>440</v>
      </c>
      <c r="E403" s="678"/>
      <c r="F403" s="797"/>
      <c r="G403" s="333"/>
      <c r="H403" s="333"/>
      <c r="I403" s="333"/>
      <c r="J403" s="333"/>
      <c r="K403" s="333"/>
      <c r="L403" s="333"/>
      <c r="M403" s="333"/>
      <c r="N403" s="333"/>
      <c r="O403" s="333"/>
      <c r="P403" s="333"/>
      <c r="Q403" s="333"/>
      <c r="R403" s="333"/>
      <c r="S403" s="333"/>
      <c r="T403" s="333"/>
      <c r="U403" s="333"/>
      <c r="V403" s="333"/>
      <c r="W403" s="852"/>
      <c r="X403" s="841">
        <f t="shared" ref="X403:AF403" si="112">+X927</f>
        <v>7.1144378745080714E-2</v>
      </c>
      <c r="Y403" s="841">
        <f t="shared" si="112"/>
        <v>8.3752027242720045E-2</v>
      </c>
      <c r="Z403" s="841">
        <f t="shared" si="112"/>
        <v>8.4835040954101507E-2</v>
      </c>
      <c r="AA403" s="841">
        <f t="shared" si="112"/>
        <v>8.348136066060198E-2</v>
      </c>
      <c r="AB403" s="843">
        <f t="shared" si="112"/>
        <v>7.9010110440966189E-2</v>
      </c>
      <c r="AC403" s="702">
        <f t="shared" si="112"/>
        <v>8.1707497681876129E-2</v>
      </c>
      <c r="AD403" s="843">
        <f t="shared" si="112"/>
        <v>7.8372405932585973E-2</v>
      </c>
      <c r="AE403" s="843">
        <f t="shared" si="112"/>
        <v>7.7956909597737933E-2</v>
      </c>
      <c r="AF403" s="843">
        <f t="shared" si="112"/>
        <v>7.8917209856407877E-2</v>
      </c>
      <c r="AG403" s="843">
        <f>+AG927</f>
        <v>8.5422641362230337E-2</v>
      </c>
      <c r="AH403" s="843">
        <f>+AH927</f>
        <v>8.7402869273831174E-2</v>
      </c>
      <c r="AI403" s="3561">
        <f>+AI927</f>
        <v>7.6892843933772534E-2</v>
      </c>
      <c r="AJ403" s="1656">
        <f t="shared" ref="AJ403:AO403" si="113">+AJ927</f>
        <v>7.5432122750024741E-2</v>
      </c>
      <c r="AK403" s="843">
        <f t="shared" si="113"/>
        <v>7.0313107512946657E-2</v>
      </c>
      <c r="AL403" s="843">
        <f t="shared" si="113"/>
        <v>7.3551325771278486E-2</v>
      </c>
      <c r="AM403" s="843">
        <f t="shared" si="113"/>
        <v>8.371218551918308E-2</v>
      </c>
      <c r="AN403" s="843">
        <f t="shared" si="113"/>
        <v>9.4187639923735467E-2</v>
      </c>
      <c r="AO403" s="1079">
        <f t="shared" si="113"/>
        <v>0.10121910349574841</v>
      </c>
      <c r="AP403" s="1079">
        <f>+AP927</f>
        <v>4.9682256273336084E-2</v>
      </c>
      <c r="AQ403" s="1079">
        <f>+AQ927</f>
        <v>5.4568242368010146E-2</v>
      </c>
      <c r="AR403" s="1079">
        <f>+AR927</f>
        <v>5.8555481438656014E-2</v>
      </c>
      <c r="AS403" s="1079">
        <f>+AS927</f>
        <v>6.8503842196726464E-2</v>
      </c>
      <c r="AT403" s="1079">
        <f>+AT927</f>
        <v>8.5521417226641666E-2</v>
      </c>
    </row>
    <row r="404" spans="1:46">
      <c r="D404" s="811" t="s">
        <v>442</v>
      </c>
      <c r="E404" s="768" t="s">
        <v>449</v>
      </c>
      <c r="F404" s="797"/>
      <c r="G404" s="333"/>
      <c r="H404" s="333"/>
      <c r="I404" s="333"/>
      <c r="J404" s="333"/>
      <c r="K404" s="333"/>
      <c r="L404" s="333"/>
      <c r="M404" s="333"/>
      <c r="N404" s="333"/>
      <c r="O404" s="333"/>
      <c r="P404" s="333"/>
      <c r="Q404" s="333"/>
      <c r="R404" s="333"/>
      <c r="S404" s="333"/>
      <c r="T404" s="333"/>
      <c r="U404" s="333"/>
      <c r="V404" s="333"/>
      <c r="W404" s="852"/>
      <c r="X404" s="862">
        <f t="shared" ref="X404:AF404" si="114">+X926</f>
        <v>6.7952916388554163E-2</v>
      </c>
      <c r="Y404" s="862">
        <f t="shared" si="114"/>
        <v>6.6702100388594809E-2</v>
      </c>
      <c r="Z404" s="862">
        <f t="shared" si="114"/>
        <v>-5.4222019638367702E-2</v>
      </c>
      <c r="AA404" s="862">
        <f t="shared" si="114"/>
        <v>8.3704696884700835E-2</v>
      </c>
      <c r="AB404" s="1079">
        <f t="shared" si="114"/>
        <v>1.2662032384522792E-2</v>
      </c>
      <c r="AC404" s="804">
        <f t="shared" si="114"/>
        <v>4.4757334434672558E-2</v>
      </c>
      <c r="AD404" s="1079">
        <f t="shared" si="114"/>
        <v>3.4627131597520844E-2</v>
      </c>
      <c r="AE404" s="1079">
        <f t="shared" si="114"/>
        <v>-2.48579156212414E-3</v>
      </c>
      <c r="AF404" s="1079">
        <f t="shared" si="114"/>
        <v>0.14040997398881694</v>
      </c>
      <c r="AG404" s="1079">
        <f>+AG926</f>
        <v>0.17761631835805347</v>
      </c>
      <c r="AH404" s="1079">
        <f>+AH926</f>
        <v>8.0829238297799533E-2</v>
      </c>
      <c r="AI404" s="3573">
        <f>+AI926</f>
        <v>8.5035065473068494E-2</v>
      </c>
      <c r="AJ404" s="1771">
        <f t="shared" ref="AJ404:AO404" si="115">+AJ926</f>
        <v>4.6503065634810437E-2</v>
      </c>
      <c r="AK404" s="1079">
        <f t="shared" si="115"/>
        <v>3.699093165486067E-2</v>
      </c>
      <c r="AL404" s="1079">
        <f t="shared" si="115"/>
        <v>4.183006777744791E-2</v>
      </c>
      <c r="AM404" s="1079">
        <f t="shared" si="115"/>
        <v>4.5198072412058421E-2</v>
      </c>
      <c r="AN404" s="1079">
        <f t="shared" si="115"/>
        <v>3.6106639263512985E-2</v>
      </c>
      <c r="AO404" s="1079">
        <f t="shared" si="115"/>
        <v>3.2392598766246117E-2</v>
      </c>
      <c r="AP404" s="1079">
        <f>+AP926</f>
        <v>3.2635418265371419E-2</v>
      </c>
      <c r="AQ404" s="1079">
        <f>+AQ926</f>
        <v>3.2387160859852271E-2</v>
      </c>
      <c r="AR404" s="1079">
        <f>+AR926</f>
        <v>3.2449810551776093E-2</v>
      </c>
      <c r="AS404" s="1079">
        <f>+AS926</f>
        <v>3.2405647197345511E-2</v>
      </c>
      <c r="AT404" s="1079">
        <f>+AT926</f>
        <v>3.2447957366771307E-2</v>
      </c>
    </row>
    <row r="405" spans="1:46">
      <c r="D405" s="2072" t="s">
        <v>441</v>
      </c>
      <c r="E405" s="768" t="s">
        <v>450</v>
      </c>
      <c r="F405" s="797"/>
      <c r="G405" s="333"/>
      <c r="H405" s="333"/>
      <c r="I405" s="333"/>
      <c r="J405" s="333"/>
      <c r="K405" s="333"/>
      <c r="L405" s="333"/>
      <c r="M405" s="333"/>
      <c r="N405" s="333"/>
      <c r="O405" s="333"/>
      <c r="P405" s="333"/>
      <c r="Q405" s="333"/>
      <c r="R405" s="333"/>
      <c r="S405" s="333"/>
      <c r="T405" s="333"/>
      <c r="U405" s="333"/>
      <c r="V405" s="333"/>
      <c r="W405" s="852"/>
      <c r="X405" s="852"/>
      <c r="Y405" s="862">
        <f>+(1+Y404)*(Y403/X403)-1</f>
        <v>0.25573467570394093</v>
      </c>
      <c r="Z405" s="862">
        <f t="shared" ref="Z405:AF405" si="116">+(1+Z404)*(Z403/Y403)-1</f>
        <v>-4.1991981102275422E-2</v>
      </c>
      <c r="AA405" s="862">
        <f t="shared" si="116"/>
        <v>6.641243562511856E-2</v>
      </c>
      <c r="AB405" s="1079">
        <f t="shared" si="116"/>
        <v>-4.1576007087838152E-2</v>
      </c>
      <c r="AC405" s="804">
        <f t="shared" si="116"/>
        <v>8.04251127483957E-2</v>
      </c>
      <c r="AD405" s="1079">
        <f t="shared" si="116"/>
        <v>-7.6037102233519338E-3</v>
      </c>
      <c r="AE405" s="1079">
        <f t="shared" si="116"/>
        <v>-7.7741770931398779E-3</v>
      </c>
      <c r="AF405" s="1079">
        <f t="shared" si="116"/>
        <v>0.15445793970041599</v>
      </c>
      <c r="AG405" s="1079">
        <f>+(1+AG404)*(AG403/AF403)-1</f>
        <v>0.27469149769037338</v>
      </c>
      <c r="AH405" s="1079">
        <f>+(1+AH404)*(AH403/AG403)-1</f>
        <v>0.10588451862185089</v>
      </c>
      <c r="AI405" s="3573">
        <f>+(1+AI404)*(AI403/AH403)-1</f>
        <v>-4.5438294586158667E-2</v>
      </c>
      <c r="AJ405" s="1771">
        <f t="shared" ref="AJ405:AO405" si="117">+(1+AJ404)*(AJ403/AI403)-1</f>
        <v>2.6622812562802967E-2</v>
      </c>
      <c r="AK405" s="1079">
        <f t="shared" si="117"/>
        <v>-3.3381904032721677E-2</v>
      </c>
      <c r="AL405" s="1079">
        <f t="shared" si="117"/>
        <v>8.9810782424924351E-2</v>
      </c>
      <c r="AM405" s="1079">
        <f t="shared" si="117"/>
        <v>0.18958854955429727</v>
      </c>
      <c r="AN405" s="1079">
        <f t="shared" si="117"/>
        <v>0.16576145344073634</v>
      </c>
      <c r="AO405" s="1079">
        <f t="shared" si="117"/>
        <v>0.10946461114619832</v>
      </c>
      <c r="AP405" s="1079">
        <f>+(1+AP404)*(AP403/AO403)-1</f>
        <v>-0.49314254211569131</v>
      </c>
      <c r="AQ405" s="1079">
        <f>+(1+AQ404)*(AQ403/AP403)-1</f>
        <v>0.13391695621635757</v>
      </c>
      <c r="AR405" s="1079">
        <f>+(1+AR404)*(AR403/AQ403)-1</f>
        <v>0.10788973759487752</v>
      </c>
      <c r="AS405" s="1079">
        <f>+(1+AS404)*(AS403/AR403)-1</f>
        <v>0.20780756644803522</v>
      </c>
      <c r="AT405" s="1079">
        <f>+(1+AT404)*(AT403/AS403)-1</f>
        <v>0.28892642653811529</v>
      </c>
    </row>
    <row r="406" spans="1:46">
      <c r="D406" s="811" t="s">
        <v>437</v>
      </c>
      <c r="E406" s="678"/>
      <c r="F406" s="797"/>
      <c r="G406" s="333"/>
      <c r="H406" s="333"/>
      <c r="I406" s="333"/>
      <c r="J406" s="333"/>
      <c r="K406" s="333"/>
      <c r="L406" s="333"/>
      <c r="M406" s="333"/>
      <c r="N406" s="333"/>
      <c r="O406" s="333"/>
      <c r="P406" s="333"/>
      <c r="Q406" s="333"/>
      <c r="R406" s="333"/>
      <c r="S406" s="333"/>
      <c r="T406" s="333"/>
      <c r="U406" s="333"/>
      <c r="V406" s="333"/>
      <c r="W406" s="852"/>
      <c r="X406" s="852"/>
      <c r="Y406" s="863">
        <f t="shared" ref="Y406:AO406" si="118">1-Y400</f>
        <v>0.43426590517275243</v>
      </c>
      <c r="Z406" s="863">
        <f t="shared" si="118"/>
        <v>0.41356929524931862</v>
      </c>
      <c r="AA406" s="863">
        <f t="shared" si="118"/>
        <v>0.40632953188377174</v>
      </c>
      <c r="AB406" s="863">
        <f t="shared" si="118"/>
        <v>0.40100702643443897</v>
      </c>
      <c r="AC406" s="863">
        <f t="shared" si="118"/>
        <v>0.39795288258052219</v>
      </c>
      <c r="AD406" s="863">
        <f t="shared" si="118"/>
        <v>0.39674315521525205</v>
      </c>
      <c r="AE406" s="863">
        <f t="shared" si="118"/>
        <v>0.38595115961100934</v>
      </c>
      <c r="AF406" s="863">
        <f t="shared" si="118"/>
        <v>0.39864339891427292</v>
      </c>
      <c r="AG406" s="863">
        <f>1-AG400</f>
        <v>0.46571671550841565</v>
      </c>
      <c r="AH406" s="863">
        <f>1-AH400</f>
        <v>0.49464527799871638</v>
      </c>
      <c r="AI406" s="3574">
        <f>1-AI400</f>
        <v>0.43511522179469631</v>
      </c>
      <c r="AJ406" s="3188">
        <f t="shared" si="118"/>
        <v>0.36341052468882684</v>
      </c>
      <c r="AK406" s="863">
        <f t="shared" si="118"/>
        <v>0.33840480506897808</v>
      </c>
      <c r="AL406" s="863">
        <f t="shared" si="118"/>
        <v>0.33932245651885107</v>
      </c>
      <c r="AM406" s="863">
        <f t="shared" si="118"/>
        <v>0.34852895442921994</v>
      </c>
      <c r="AN406" s="863">
        <f t="shared" si="118"/>
        <v>0.35998991042118489</v>
      </c>
      <c r="AO406" s="1776">
        <f t="shared" si="118"/>
        <v>0.36738780913021707</v>
      </c>
      <c r="AP406" s="1776">
        <f>1-AP400</f>
        <v>0.17339988020856911</v>
      </c>
      <c r="AQ406" s="1776">
        <f>1-AQ400</f>
        <v>0.18245028697501287</v>
      </c>
      <c r="AR406" s="1776">
        <f>1-AR400</f>
        <v>0.19033613273958838</v>
      </c>
      <c r="AS406" s="1776">
        <f>1-AS400</f>
        <v>0.18879593693115837</v>
      </c>
      <c r="AT406" s="1776">
        <f>1-AT400</f>
        <v>0.17723750242377978</v>
      </c>
    </row>
    <row r="407" spans="1:46">
      <c r="D407" s="811" t="s">
        <v>443</v>
      </c>
      <c r="E407" s="2121" t="s">
        <v>444</v>
      </c>
      <c r="F407" s="797"/>
      <c r="G407" s="333"/>
      <c r="H407" s="333"/>
      <c r="I407" s="333"/>
      <c r="J407" s="333"/>
      <c r="K407" s="333"/>
      <c r="L407" s="333"/>
      <c r="M407" s="333"/>
      <c r="N407" s="333"/>
      <c r="O407" s="333"/>
      <c r="P407" s="333"/>
      <c r="Q407" s="333"/>
      <c r="R407" s="333"/>
      <c r="S407" s="333"/>
      <c r="T407" s="333"/>
      <c r="U407" s="333"/>
      <c r="V407" s="333"/>
      <c r="W407" s="852"/>
      <c r="X407" s="858">
        <f>Y856/(Y$854+Y$855+Y$856)</f>
        <v>3.5514792487500023E-2</v>
      </c>
      <c r="Y407" s="863"/>
      <c r="Z407" s="1665">
        <f t="shared" ref="Z407:AO407" si="119">+Z843/Y843-1</f>
        <v>-0.77380059945717561</v>
      </c>
      <c r="AA407" s="1665">
        <f t="shared" si="119"/>
        <v>-2.0080826093054052</v>
      </c>
      <c r="AB407" s="1665">
        <f t="shared" si="119"/>
        <v>-1.8749631747430793</v>
      </c>
      <c r="AC407" s="1665">
        <f t="shared" si="119"/>
        <v>-12.488272969335283</v>
      </c>
      <c r="AD407" s="1665">
        <f t="shared" si="119"/>
        <v>-0.57027665259420024</v>
      </c>
      <c r="AE407" s="1665">
        <f t="shared" si="119"/>
        <v>13.646532842270348</v>
      </c>
      <c r="AF407" s="1665">
        <f t="shared" si="119"/>
        <v>0.54955495540211219</v>
      </c>
      <c r="AG407" s="1665">
        <f>+AG843/AF843-1</f>
        <v>-6.3380139034904803E-2</v>
      </c>
      <c r="AH407" s="1665">
        <f>+AH843/AG843-1</f>
        <v>7.8710500108530868E-2</v>
      </c>
      <c r="AI407" s="3575">
        <f>+AI843/AH843-1</f>
        <v>-0.22514027104309675</v>
      </c>
      <c r="AJ407" s="3551">
        <f t="shared" si="119"/>
        <v>-6.2386028981211039E-2</v>
      </c>
      <c r="AK407" s="1665">
        <f t="shared" si="119"/>
        <v>-9.3708698644509369E-2</v>
      </c>
      <c r="AL407" s="1665">
        <f t="shared" si="119"/>
        <v>-2.3505559658876019E-2</v>
      </c>
      <c r="AM407" s="1665">
        <f t="shared" si="119"/>
        <v>-3.4442292904628635E-2</v>
      </c>
      <c r="AN407" s="1665">
        <f t="shared" si="119"/>
        <v>-4.8788153186686389E-2</v>
      </c>
      <c r="AO407" s="853">
        <f t="shared" si="119"/>
        <v>-5.0179846790897598E-2</v>
      </c>
      <c r="AP407" s="853">
        <f>+AP843/AO843-1</f>
        <v>-4.4655886838458114E-2</v>
      </c>
      <c r="AQ407" s="853">
        <f>+AQ843/AP843-1</f>
        <v>-5.1402901666118272E-2</v>
      </c>
      <c r="AR407" s="853">
        <f>+AR843/AQ843-1</f>
        <v>-5.246348086576258E-2</v>
      </c>
      <c r="AS407" s="853">
        <f>+AS843/AR843-1</f>
        <v>-3.974773877967841E-2</v>
      </c>
      <c r="AT407" s="853">
        <f>+AT843/AS843-1</f>
        <v>-2.3119972709733982E-2</v>
      </c>
    </row>
    <row r="408" spans="1:46">
      <c r="D408" s="811" t="s">
        <v>445</v>
      </c>
      <c r="E408" s="678"/>
      <c r="F408" s="797"/>
      <c r="G408" s="333"/>
      <c r="H408" s="333"/>
      <c r="I408" s="333"/>
      <c r="J408" s="333"/>
      <c r="K408" s="333"/>
      <c r="L408" s="333"/>
      <c r="M408" s="333"/>
      <c r="N408" s="333"/>
      <c r="O408" s="333"/>
      <c r="P408" s="333"/>
      <c r="Q408" s="333"/>
      <c r="R408" s="333"/>
      <c r="S408" s="333"/>
      <c r="T408" s="333"/>
      <c r="U408" s="333"/>
      <c r="V408" s="333"/>
      <c r="W408" s="852"/>
      <c r="X408" s="864"/>
      <c r="Y408" s="863"/>
      <c r="Z408" s="863"/>
      <c r="AA408" s="863"/>
      <c r="AB408" s="1080"/>
      <c r="AC408" s="805"/>
      <c r="AD408" s="1080"/>
      <c r="AE408" s="1080"/>
      <c r="AF408" s="1080"/>
      <c r="AG408" s="1080"/>
      <c r="AH408" s="1080"/>
      <c r="AI408" s="3574"/>
      <c r="AJ408" s="3188"/>
      <c r="AK408" s="3188"/>
      <c r="AL408" s="3188"/>
      <c r="AM408" s="3188"/>
      <c r="AN408" s="3188"/>
      <c r="AO408" s="1777"/>
      <c r="AP408" s="1777"/>
      <c r="AQ408" s="1777"/>
      <c r="AR408" s="1777"/>
      <c r="AS408" s="1777"/>
      <c r="AT408" s="1777"/>
    </row>
    <row r="409" spans="1:46">
      <c r="C409" s="295" t="s">
        <v>30</v>
      </c>
      <c r="D409" s="811" t="s">
        <v>454</v>
      </c>
      <c r="E409" s="678"/>
      <c r="F409" s="797"/>
      <c r="G409" s="333"/>
      <c r="H409" s="333"/>
      <c r="I409" s="333"/>
      <c r="J409" s="333"/>
      <c r="K409" s="333"/>
      <c r="L409" s="333"/>
      <c r="M409" s="333"/>
      <c r="N409" s="333"/>
      <c r="O409" s="333"/>
      <c r="P409" s="333"/>
      <c r="Q409" s="333"/>
      <c r="R409" s="333"/>
      <c r="S409" s="333"/>
      <c r="T409" s="333"/>
      <c r="U409" s="333"/>
      <c r="V409" s="333"/>
      <c r="W409" s="852"/>
      <c r="X409" s="852"/>
      <c r="Y409" s="852"/>
      <c r="Z409" s="865">
        <f>+$X407*Z407+$X401*Z401+$X394*Z394</f>
        <v>0.14253459403099553</v>
      </c>
      <c r="AA409" s="865">
        <f t="shared" ref="AA409:AO409" si="120">+$X407*AA407+$X401*AA401+$X394*AA394</f>
        <v>-1.627076463019847E-2</v>
      </c>
      <c r="AB409" s="1081">
        <f t="shared" si="120"/>
        <v>-0.1035087692506466</v>
      </c>
      <c r="AC409" s="806">
        <f t="shared" si="120"/>
        <v>-0.28115293366349658</v>
      </c>
      <c r="AD409" s="1081">
        <f t="shared" si="120"/>
        <v>8.2651369410072145E-2</v>
      </c>
      <c r="AE409" s="1081">
        <f t="shared" si="120"/>
        <v>0.54247856914795178</v>
      </c>
      <c r="AF409" s="1081">
        <f t="shared" si="120"/>
        <v>0.51155515427996723</v>
      </c>
      <c r="AG409" s="1081">
        <f>+$X407*AG407+$X401*AG401+$X394*AG394</f>
        <v>2.0209066258358124E-2</v>
      </c>
      <c r="AH409" s="1081">
        <f>+$X407*AH407+$X401*AH401+$X394*AH394</f>
        <v>-3.6674135219388823E-3</v>
      </c>
      <c r="AI409" s="3576">
        <f>+$X407*AI407+$X401*AI401+$X394*AI394</f>
        <v>-0.18927271279537602</v>
      </c>
      <c r="AJ409" s="1772">
        <f t="shared" si="120"/>
        <v>3.9017015958542386E-2</v>
      </c>
      <c r="AK409" s="1081">
        <f t="shared" si="120"/>
        <v>8.7485858009833883E-2</v>
      </c>
      <c r="AL409" s="1081">
        <f t="shared" si="120"/>
        <v>8.595189386684822E-2</v>
      </c>
      <c r="AM409" s="1081">
        <f t="shared" si="120"/>
        <v>3.6879439687159246E-2</v>
      </c>
      <c r="AN409" s="1081">
        <f t="shared" si="120"/>
        <v>3.7959480176783078E-2</v>
      </c>
      <c r="AO409" s="1081">
        <f t="shared" si="120"/>
        <v>5.3298439995788524E-2</v>
      </c>
      <c r="AP409" s="1081">
        <f>+$X407*AP407+$X401*AP401+$X394*AP394</f>
        <v>5.7507365097583418E-2</v>
      </c>
      <c r="AQ409" s="1081">
        <f>+$X407*AQ407+$X401*AQ401+$X394*AQ394</f>
        <v>5.5469873098741754E-2</v>
      </c>
      <c r="AR409" s="1081">
        <f>+$X407*AR407+$X401*AR401+$X394*AR394</f>
        <v>5.6425916804031737E-2</v>
      </c>
      <c r="AS409" s="1081">
        <f>+$X407*AS407+$X401*AS401+$X394*AS394</f>
        <v>6.2449257838643885E-2</v>
      </c>
      <c r="AT409" s="1081">
        <f>+$X407*AT407+$X401*AT401+$X394*AT394</f>
        <v>7.4195898872584765E-2</v>
      </c>
    </row>
    <row r="410" spans="1:46">
      <c r="D410" s="811" t="s">
        <v>456</v>
      </c>
      <c r="E410" s="678"/>
      <c r="F410" s="797"/>
      <c r="G410" s="333"/>
      <c r="H410" s="333"/>
      <c r="I410" s="333"/>
      <c r="J410" s="333"/>
      <c r="K410" s="333"/>
      <c r="L410" s="333"/>
      <c r="M410" s="333"/>
      <c r="N410" s="333"/>
      <c r="O410" s="333"/>
      <c r="P410" s="333"/>
      <c r="Q410" s="333"/>
      <c r="R410" s="333"/>
      <c r="S410" s="333"/>
      <c r="T410" s="333"/>
      <c r="U410" s="333"/>
      <c r="V410" s="333"/>
      <c r="W410" s="852"/>
      <c r="X410" s="852"/>
      <c r="Y410" s="852"/>
      <c r="Z410" s="865">
        <f t="shared" ref="Z410:AN410" si="121">+Z396*Z400+Z402*Z406</f>
        <v>0.1054409290625211</v>
      </c>
      <c r="AA410" s="865">
        <f t="shared" si="121"/>
        <v>2.1830051528821788E-2</v>
      </c>
      <c r="AB410" s="1081">
        <f t="shared" si="121"/>
        <v>9.7642377508902478E-2</v>
      </c>
      <c r="AC410" s="806">
        <f t="shared" si="121"/>
        <v>9.3575900523408667E-2</v>
      </c>
      <c r="AD410" s="1081">
        <f t="shared" si="121"/>
        <v>8.5463792638137914E-2</v>
      </c>
      <c r="AE410" s="1081">
        <f t="shared" si="121"/>
        <v>-0.1616716909925148</v>
      </c>
      <c r="AF410" s="1081">
        <f t="shared" si="121"/>
        <v>0.27564411503363101</v>
      </c>
      <c r="AG410" s="1081">
        <f>+AG396*AG400+AG402*AG406</f>
        <v>0.10148875191990907</v>
      </c>
      <c r="AH410" s="1081">
        <f>+AH396*AH400+AH402*AH406</f>
        <v>0.14870326703881454</v>
      </c>
      <c r="AI410" s="3576">
        <f>+AI396*AI400+AI402*AI406</f>
        <v>8.2084250751562129E-2</v>
      </c>
      <c r="AJ410" s="1772">
        <f t="shared" si="121"/>
        <v>6.2802590425022453E-2</v>
      </c>
      <c r="AK410" s="1081">
        <f t="shared" si="121"/>
        <v>6.9800841820287757E-2</v>
      </c>
      <c r="AL410" s="1081">
        <f t="shared" si="121"/>
        <v>8.3854974509551983E-2</v>
      </c>
      <c r="AM410" s="1081">
        <f t="shared" si="121"/>
        <v>7.4258105318198972E-2</v>
      </c>
      <c r="AN410" s="1081">
        <f t="shared" si="121"/>
        <v>6.6421533875666086E-2</v>
      </c>
      <c r="AO410" s="1081">
        <f t="shared" ref="AO410:AT410" si="122">+AO396*AO400+AO402*AO406</f>
        <v>6.6639773775680311E-2</v>
      </c>
      <c r="AP410" s="1081">
        <f t="shared" si="122"/>
        <v>8.2563118883707126E-2</v>
      </c>
      <c r="AQ410" s="1081">
        <f t="shared" si="122"/>
        <v>8.0240981749337775E-2</v>
      </c>
      <c r="AR410" s="1081">
        <f t="shared" si="122"/>
        <v>8.2568035791481822E-2</v>
      </c>
      <c r="AS410" s="1081">
        <f t="shared" si="122"/>
        <v>8.2619989940323851E-2</v>
      </c>
      <c r="AT410" s="1081">
        <f t="shared" si="122"/>
        <v>8.9063503940806615E-2</v>
      </c>
    </row>
    <row r="411" spans="1:46">
      <c r="D411" s="2077" t="s">
        <v>1343</v>
      </c>
      <c r="E411" s="2985"/>
      <c r="F411" s="72"/>
      <c r="G411" s="247"/>
      <c r="H411" s="247"/>
      <c r="I411" s="247"/>
      <c r="J411" s="247"/>
      <c r="K411" s="247"/>
      <c r="L411" s="247"/>
      <c r="M411" s="247"/>
      <c r="N411" s="247"/>
      <c r="O411" s="247"/>
      <c r="P411" s="247"/>
      <c r="Q411" s="247"/>
      <c r="R411" s="247"/>
      <c r="S411" s="247"/>
      <c r="T411" s="247"/>
      <c r="U411" s="247"/>
      <c r="V411" s="247"/>
      <c r="W411" s="866"/>
      <c r="X411" s="866"/>
      <c r="Y411" s="866"/>
      <c r="Z411" s="866"/>
      <c r="AA411" s="866"/>
      <c r="AB411" s="866"/>
      <c r="AC411" s="247"/>
      <c r="AD411" s="866"/>
      <c r="AE411" s="866"/>
      <c r="AF411" s="866"/>
      <c r="AG411" s="866"/>
      <c r="AH411" s="866"/>
      <c r="AI411" s="3577"/>
      <c r="AJ411" s="3552">
        <v>0</v>
      </c>
      <c r="AK411" s="3189">
        <v>0</v>
      </c>
      <c r="AL411" s="3189">
        <v>0</v>
      </c>
      <c r="AM411" s="3189">
        <v>0</v>
      </c>
      <c r="AN411" s="3189">
        <v>0</v>
      </c>
      <c r="AO411" s="3189">
        <v>0</v>
      </c>
      <c r="AP411" s="1778">
        <v>0</v>
      </c>
      <c r="AQ411" s="1778">
        <v>0</v>
      </c>
      <c r="AR411" s="1778">
        <v>0</v>
      </c>
      <c r="AS411" s="1778">
        <v>0</v>
      </c>
      <c r="AT411" s="1778">
        <v>0</v>
      </c>
    </row>
    <row r="412" spans="1:46">
      <c r="D412" s="1471" t="s">
        <v>660</v>
      </c>
      <c r="F412" s="1"/>
      <c r="G412" s="1"/>
      <c r="H412" s="1"/>
      <c r="I412" s="1"/>
      <c r="J412" s="1"/>
      <c r="K412" s="1"/>
      <c r="L412" s="1"/>
      <c r="M412" s="1"/>
      <c r="N412" s="1"/>
      <c r="O412" s="1"/>
      <c r="P412" s="1"/>
      <c r="Q412" s="1"/>
      <c r="R412" s="1"/>
      <c r="S412" s="1"/>
      <c r="T412" s="1"/>
      <c r="V412" s="1"/>
      <c r="X412" s="824"/>
      <c r="Z412" s="824"/>
    </row>
    <row r="413" spans="1:46">
      <c r="F413" s="1"/>
      <c r="G413" s="1"/>
      <c r="H413" s="1"/>
      <c r="I413" s="1"/>
      <c r="J413" s="1"/>
      <c r="K413" s="1"/>
      <c r="L413" s="1"/>
      <c r="M413" s="1"/>
      <c r="N413" s="1"/>
      <c r="O413" s="1"/>
      <c r="P413" s="1"/>
      <c r="Q413" s="1"/>
      <c r="R413" s="1"/>
      <c r="S413" s="1"/>
      <c r="T413" s="1"/>
      <c r="V413" s="1"/>
      <c r="X413" s="824"/>
      <c r="Z413" s="824"/>
    </row>
    <row r="414" spans="1:46" ht="16.75" thickBot="1">
      <c r="D414" s="1526" t="s">
        <v>372</v>
      </c>
      <c r="U414"/>
      <c r="V414" s="435">
        <f>+V854/((V877+V876)*(1-$X907))</f>
        <v>5.1772406222308368E-3</v>
      </c>
      <c r="W414" s="867">
        <v>11.21</v>
      </c>
      <c r="X414" s="867">
        <f>+X854/((X877+X876)*(1-$X907))</f>
        <v>1.3291859173858351E-2</v>
      </c>
      <c r="Y414" s="867">
        <f>+Y854/((Y877+Y876)*(1-$X907))</f>
        <v>7.0434437321367921E-2</v>
      </c>
      <c r="Z414" s="867">
        <f>+Z854/((Z877+Z876)*(1-$X907))</f>
        <v>7.6972426323439175E-2</v>
      </c>
      <c r="AA414" s="867">
        <f>+AA854/((AA877+AA876)*(1-$X907))</f>
        <v>7.9442156132901634E-2</v>
      </c>
      <c r="AB414" s="867">
        <f t="shared" ref="AB414:AI414" si="123">+AB854/((AB877+AB876)*(1-$X907))</f>
        <v>8.0335685688091615E-2</v>
      </c>
      <c r="AC414" s="867">
        <f t="shared" si="123"/>
        <v>8.5673591186967796E-2</v>
      </c>
      <c r="AD414" s="867">
        <f t="shared" si="123"/>
        <v>8.5345584859537249E-2</v>
      </c>
      <c r="AE414" s="867">
        <f t="shared" si="123"/>
        <v>8.1238347007684661E-2</v>
      </c>
      <c r="AF414" s="867">
        <f t="shared" si="123"/>
        <v>7.6864354253093833E-2</v>
      </c>
      <c r="AG414" s="867">
        <f t="shared" si="123"/>
        <v>7.3264404598736788E-2</v>
      </c>
      <c r="AH414" s="867">
        <f t="shared" si="123"/>
        <v>6.4568148976208106E-2</v>
      </c>
      <c r="AI414" s="867">
        <f t="shared" si="123"/>
        <v>7.1237220788508124E-2</v>
      </c>
    </row>
    <row r="415" spans="1:46">
      <c r="D415" s="309" t="s">
        <v>258</v>
      </c>
      <c r="E415" s="2987"/>
      <c r="F415" s="310"/>
      <c r="G415" s="310"/>
      <c r="H415" s="310"/>
      <c r="I415" s="310"/>
      <c r="J415" s="310"/>
      <c r="K415" s="310"/>
      <c r="L415" s="310"/>
      <c r="M415" s="310"/>
      <c r="N415" s="311"/>
      <c r="O415" s="311"/>
      <c r="P415" s="311"/>
      <c r="Q415" s="311"/>
      <c r="R415" s="311"/>
      <c r="S415" s="311"/>
      <c r="T415" s="311"/>
      <c r="U415" s="310"/>
      <c r="V415" s="414">
        <v>2011</v>
      </c>
      <c r="W415" s="868">
        <f t="shared" ref="W415:AB415" si="124">+V415+1</f>
        <v>2012</v>
      </c>
      <c r="X415" s="868">
        <f t="shared" si="124"/>
        <v>2013</v>
      </c>
      <c r="Y415" s="868">
        <f t="shared" si="124"/>
        <v>2014</v>
      </c>
      <c r="Z415" s="868">
        <f t="shared" si="124"/>
        <v>2015</v>
      </c>
      <c r="AA415" s="868">
        <f t="shared" si="124"/>
        <v>2016</v>
      </c>
      <c r="AB415" s="868">
        <f t="shared" si="124"/>
        <v>2017</v>
      </c>
      <c r="AC415" s="868">
        <f t="shared" ref="AC415:AO415" si="125">+AB415+1</f>
        <v>2018</v>
      </c>
      <c r="AD415" s="868">
        <f t="shared" si="125"/>
        <v>2019</v>
      </c>
      <c r="AE415" s="868">
        <f>+AD415+1</f>
        <v>2020</v>
      </c>
      <c r="AF415" s="868">
        <f>+AE415+1</f>
        <v>2021</v>
      </c>
      <c r="AG415" s="868">
        <f>+AF415+1</f>
        <v>2022</v>
      </c>
      <c r="AH415" s="868">
        <f>+AG415+1</f>
        <v>2023</v>
      </c>
      <c r="AI415" s="1188">
        <f t="shared" si="125"/>
        <v>2024</v>
      </c>
      <c r="AJ415" s="868">
        <f t="shared" si="125"/>
        <v>2025</v>
      </c>
      <c r="AK415" s="868">
        <f t="shared" si="125"/>
        <v>2026</v>
      </c>
      <c r="AL415" s="1185">
        <f t="shared" si="125"/>
        <v>2027</v>
      </c>
      <c r="AM415" s="868">
        <f t="shared" si="125"/>
        <v>2028</v>
      </c>
      <c r="AN415" s="1185">
        <f t="shared" si="125"/>
        <v>2029</v>
      </c>
      <c r="AO415" s="1764">
        <f t="shared" si="125"/>
        <v>2030</v>
      </c>
      <c r="AP415" s="1764">
        <f>+AO415+1</f>
        <v>2031</v>
      </c>
      <c r="AQ415" s="1764">
        <f>+AP415+1</f>
        <v>2032</v>
      </c>
      <c r="AR415" s="1764">
        <f>+AQ415+1</f>
        <v>2033</v>
      </c>
      <c r="AS415" s="1764">
        <f>+AR415+1</f>
        <v>2034</v>
      </c>
      <c r="AT415" s="1764">
        <f>+AS415+1</f>
        <v>2035</v>
      </c>
    </row>
    <row r="416" spans="1:46">
      <c r="D416" s="368" t="s">
        <v>410</v>
      </c>
      <c r="F416" s="1"/>
      <c r="G416" s="1"/>
      <c r="H416" s="1"/>
      <c r="I416" s="1"/>
      <c r="J416" s="1"/>
      <c r="K416" s="1"/>
      <c r="L416" s="1"/>
      <c r="M416" s="1"/>
      <c r="V416" s="87">
        <f t="shared" ref="V416:AA416" si="126">+V854/V857</f>
        <v>4.7082892199823128E-3</v>
      </c>
      <c r="W416" s="834">
        <f t="shared" si="126"/>
        <v>8.6795934349747778E-3</v>
      </c>
      <c r="X416" s="834">
        <f t="shared" si="126"/>
        <v>5.2437762063263834E-3</v>
      </c>
      <c r="Y416" s="834">
        <f t="shared" si="126"/>
        <v>6.2925737034024404E-2</v>
      </c>
      <c r="Z416" s="834">
        <f t="shared" si="126"/>
        <v>6.9951068138458208E-2</v>
      </c>
      <c r="AA416" s="834">
        <f t="shared" si="126"/>
        <v>7.2196612862234763E-2</v>
      </c>
      <c r="AB416" s="834">
        <f t="shared" ref="AB416:AT416" si="127">+AB854/AB857</f>
        <v>7.3162373765933986E-2</v>
      </c>
      <c r="AC416" s="834">
        <f t="shared" si="127"/>
        <v>7.671477159403578E-2</v>
      </c>
      <c r="AD416" s="834">
        <f t="shared" si="127"/>
        <v>7.3200823239850346E-2</v>
      </c>
      <c r="AE416" s="834">
        <f t="shared" si="127"/>
        <v>0.10157090491585354</v>
      </c>
      <c r="AF416" s="834">
        <f t="shared" si="127"/>
        <v>6.8583786820675466E-2</v>
      </c>
      <c r="AG416" s="834">
        <f t="shared" si="127"/>
        <v>5.6827171959436658E-2</v>
      </c>
      <c r="AH416" s="834">
        <f t="shared" si="127"/>
        <v>5.2963690940623587E-2</v>
      </c>
      <c r="AI416" s="1189">
        <f t="shared" si="127"/>
        <v>6.1686983380532863E-2</v>
      </c>
      <c r="AJ416" s="834">
        <f t="shared" si="127"/>
        <v>7.5775815897761223E-2</v>
      </c>
      <c r="AK416" s="834">
        <f t="shared" si="127"/>
        <v>8.1546691212806818E-2</v>
      </c>
      <c r="AL416" s="1186">
        <f t="shared" si="127"/>
        <v>8.4749784894096514E-2</v>
      </c>
      <c r="AM416" s="1186">
        <f t="shared" si="127"/>
        <v>8.4542955360556143E-2</v>
      </c>
      <c r="AN416" s="1186">
        <f t="shared" si="127"/>
        <v>8.2425236934056081E-2</v>
      </c>
      <c r="AO416" s="1765">
        <f t="shared" si="127"/>
        <v>8.0732618578366971E-2</v>
      </c>
      <c r="AP416" s="1765">
        <f t="shared" si="127"/>
        <v>0.10518933914475675</v>
      </c>
      <c r="AQ416" s="1765">
        <f t="shared" si="127"/>
        <v>0.10204628727777498</v>
      </c>
      <c r="AR416" s="1765">
        <f t="shared" si="127"/>
        <v>9.75382219164386E-2</v>
      </c>
      <c r="AS416" s="1765">
        <f t="shared" si="127"/>
        <v>0.1101621955871224</v>
      </c>
      <c r="AT416" s="1765">
        <f t="shared" si="127"/>
        <v>0.14615164371175779</v>
      </c>
    </row>
    <row r="417" spans="1:57">
      <c r="D417" s="368" t="s">
        <v>409</v>
      </c>
      <c r="F417" s="1"/>
      <c r="G417" s="1"/>
      <c r="H417" s="1"/>
      <c r="I417" s="1"/>
      <c r="J417" s="1"/>
      <c r="K417" s="1"/>
      <c r="L417" s="1"/>
      <c r="M417" s="1"/>
      <c r="V417" s="87">
        <f t="shared" ref="V417:AA417" si="128">+V854/(V857+V847)</f>
        <v>4.1641671207031444E-3</v>
      </c>
      <c r="W417" s="834">
        <f t="shared" si="128"/>
        <v>7.7465701680872684E-3</v>
      </c>
      <c r="X417" s="834">
        <f t="shared" si="128"/>
        <v>4.9212935909655831E-3</v>
      </c>
      <c r="Y417" s="834">
        <f t="shared" si="128"/>
        <v>5.5171331949935003E-2</v>
      </c>
      <c r="Z417" s="834">
        <f t="shared" si="128"/>
        <v>6.1634832501711201E-2</v>
      </c>
      <c r="AA417" s="834">
        <f t="shared" si="128"/>
        <v>6.2225497071655256E-2</v>
      </c>
      <c r="AB417" s="834">
        <f t="shared" ref="AB417:AT417" si="129">+AB854/(AB857+AB847)</f>
        <v>5.9832697965989043E-2</v>
      </c>
      <c r="AC417" s="834">
        <f t="shared" si="129"/>
        <v>6.223665533410213E-2</v>
      </c>
      <c r="AD417" s="834">
        <f t="shared" si="129"/>
        <v>5.9293897315823782E-2</v>
      </c>
      <c r="AE417" s="834">
        <f t="shared" si="129"/>
        <v>8.0291747002822017E-2</v>
      </c>
      <c r="AF417" s="834">
        <f t="shared" si="129"/>
        <v>5.7510487047199667E-2</v>
      </c>
      <c r="AG417" s="834">
        <f t="shared" si="129"/>
        <v>4.7063624955411248E-2</v>
      </c>
      <c r="AH417" s="834">
        <f t="shared" si="129"/>
        <v>4.2627552219764366E-2</v>
      </c>
      <c r="AI417" s="1189">
        <f t="shared" si="129"/>
        <v>4.7641345787100914E-2</v>
      </c>
      <c r="AJ417" s="834">
        <f t="shared" si="129"/>
        <v>5.9469082102997076E-2</v>
      </c>
      <c r="AK417" s="834">
        <f t="shared" si="129"/>
        <v>6.3874340107087133E-2</v>
      </c>
      <c r="AL417" s="1186">
        <f t="shared" si="129"/>
        <v>6.6267491687785687E-2</v>
      </c>
      <c r="AM417" s="1186">
        <f t="shared" si="129"/>
        <v>6.6297754522719687E-2</v>
      </c>
      <c r="AN417" s="1186">
        <f t="shared" si="129"/>
        <v>6.5442248042283532E-2</v>
      </c>
      <c r="AO417" s="1765">
        <f t="shared" si="129"/>
        <v>6.4685715235336116E-2</v>
      </c>
      <c r="AP417" s="1765">
        <f t="shared" si="129"/>
        <v>8.4700184708590961E-2</v>
      </c>
      <c r="AQ417" s="1765">
        <f t="shared" si="129"/>
        <v>8.2760325132282625E-2</v>
      </c>
      <c r="AR417" s="1765">
        <f t="shared" si="129"/>
        <v>7.9690819916034425E-2</v>
      </c>
      <c r="AS417" s="1765">
        <f t="shared" si="129"/>
        <v>9.0279123258532143E-2</v>
      </c>
      <c r="AT417" s="1765">
        <f t="shared" si="129"/>
        <v>0.11957236397837408</v>
      </c>
    </row>
    <row r="418" spans="1:57">
      <c r="D418" s="320" t="s">
        <v>269</v>
      </c>
      <c r="F418" s="1"/>
      <c r="G418" s="1"/>
      <c r="H418" s="1"/>
      <c r="I418" s="1"/>
      <c r="J418" s="1"/>
      <c r="K418" s="1"/>
      <c r="L418" s="1"/>
      <c r="M418" s="1"/>
      <c r="V418" s="87">
        <f t="shared" ref="V418:AT418" si="130">+(V254+V255+V258)/(V183*V$266)*1000</f>
        <v>8.1022905058313305E-2</v>
      </c>
      <c r="W418" s="834">
        <f t="shared" si="130"/>
        <v>7.1064382391547526E-2</v>
      </c>
      <c r="X418" s="834">
        <f t="shared" si="130"/>
        <v>8.6510216053104133E-2</v>
      </c>
      <c r="Y418" s="834">
        <f t="shared" si="130"/>
        <v>9.9573011422281033E-2</v>
      </c>
      <c r="Z418" s="834">
        <f t="shared" si="130"/>
        <v>0.10798860501221753</v>
      </c>
      <c r="AA418" s="834">
        <f t="shared" si="130"/>
        <v>0.11184603502839222</v>
      </c>
      <c r="AB418" s="834">
        <f>+(AB254+AB255+AB258)/(AB183*AB$266)*1000</f>
        <v>0.1131853373125371</v>
      </c>
      <c r="AC418" s="834">
        <f t="shared" si="130"/>
        <v>0.11026431814228878</v>
      </c>
      <c r="AD418" s="834">
        <f t="shared" si="130"/>
        <v>0.1062500586504293</v>
      </c>
      <c r="AE418" s="834">
        <f t="shared" si="130"/>
        <v>0.11005090544603011</v>
      </c>
      <c r="AF418" s="834">
        <f t="shared" si="130"/>
        <v>0.10608878526649726</v>
      </c>
      <c r="AG418" s="834">
        <f t="shared" si="130"/>
        <v>0.1151426986825267</v>
      </c>
      <c r="AH418" s="834">
        <f t="shared" si="130"/>
        <v>0.12021557020294711</v>
      </c>
      <c r="AI418" s="1189">
        <f t="shared" si="130"/>
        <v>9.9717232152605251E-2</v>
      </c>
      <c r="AJ418" s="834">
        <f t="shared" si="130"/>
        <v>9.2726092858711584E-2</v>
      </c>
      <c r="AK418" s="834">
        <f t="shared" si="130"/>
        <v>9.728815276357633E-2</v>
      </c>
      <c r="AL418" s="1186">
        <f t="shared" si="130"/>
        <v>0.10261079901264508</v>
      </c>
      <c r="AM418" s="1186">
        <f t="shared" si="130"/>
        <v>0.11067202090347875</v>
      </c>
      <c r="AN418" s="1186">
        <f t="shared" si="130"/>
        <v>0.12130457820373144</v>
      </c>
      <c r="AO418" s="1765">
        <f t="shared" si="130"/>
        <v>0.13209187371760647</v>
      </c>
      <c r="AP418" s="1765">
        <f t="shared" si="130"/>
        <v>6.676771815060184E-2</v>
      </c>
      <c r="AQ418" s="1765">
        <f t="shared" si="130"/>
        <v>7.3806715715526758E-2</v>
      </c>
      <c r="AR418" s="1765">
        <f t="shared" si="130"/>
        <v>7.9896666208528463E-2</v>
      </c>
      <c r="AS418" s="1765">
        <f t="shared" si="130"/>
        <v>9.444787545714306E-2</v>
      </c>
      <c r="AT418" s="1765">
        <f t="shared" si="130"/>
        <v>0.1188662593289409</v>
      </c>
    </row>
    <row r="419" spans="1:57">
      <c r="D419" s="320" t="s">
        <v>340</v>
      </c>
      <c r="F419" s="1"/>
      <c r="G419" s="1"/>
      <c r="H419" s="1"/>
      <c r="I419" s="1"/>
      <c r="J419" s="1"/>
      <c r="K419" s="1"/>
      <c r="L419" s="1"/>
      <c r="M419" s="1"/>
      <c r="V419" s="87">
        <f t="shared" ref="V419:AT419" si="131">+(V254+V258)/((V183-V186)*V$266)*1000</f>
        <v>9.9145082538590973E-2</v>
      </c>
      <c r="W419" s="834">
        <f t="shared" si="131"/>
        <v>8.5040272137804421E-2</v>
      </c>
      <c r="X419" s="834">
        <f t="shared" si="131"/>
        <v>0.10437120244062663</v>
      </c>
      <c r="Y419" s="834">
        <f t="shared" si="131"/>
        <v>0.11775172361485951</v>
      </c>
      <c r="Z419" s="834">
        <f t="shared" si="131"/>
        <v>0.12300039332639771</v>
      </c>
      <c r="AA419" s="834">
        <f t="shared" si="131"/>
        <v>0.12452647548749225</v>
      </c>
      <c r="AB419" s="834">
        <f>+(AB254+AB258)/((AB183-AB186)*AB$266)*1000</f>
        <v>0.14515414187525363</v>
      </c>
      <c r="AC419" s="834">
        <f t="shared" si="131"/>
        <v>0.14282629370841157</v>
      </c>
      <c r="AD419" s="834">
        <f t="shared" si="131"/>
        <v>0.13216880679612633</v>
      </c>
      <c r="AE419" s="834">
        <f t="shared" si="131"/>
        <v>0.12755227719374709</v>
      </c>
      <c r="AF419" s="834">
        <f t="shared" si="131"/>
        <v>0.12296155143193223</v>
      </c>
      <c r="AG419" s="834">
        <f t="shared" si="131"/>
        <v>0.13638162053568184</v>
      </c>
      <c r="AH419" s="834">
        <f t="shared" si="131"/>
        <v>0.12689834388034094</v>
      </c>
      <c r="AI419" s="1189">
        <f t="shared" si="131"/>
        <v>0.10981223005227694</v>
      </c>
      <c r="AJ419" s="834">
        <f t="shared" si="131"/>
        <v>0.10702024519458259</v>
      </c>
      <c r="AK419" s="834">
        <f t="shared" si="131"/>
        <v>0.11248672269131296</v>
      </c>
      <c r="AL419" s="1186">
        <f t="shared" si="131"/>
        <v>0.11925705106433492</v>
      </c>
      <c r="AM419" s="1186">
        <f t="shared" si="131"/>
        <v>0.12960397680316627</v>
      </c>
      <c r="AN419" s="1186">
        <f t="shared" si="131"/>
        <v>0.1432830249490685</v>
      </c>
      <c r="AO419" s="1765">
        <f t="shared" si="131"/>
        <v>0.15745896744021254</v>
      </c>
      <c r="AP419" s="1765">
        <f t="shared" si="131"/>
        <v>8.2547005681068528E-2</v>
      </c>
      <c r="AQ419" s="1765">
        <f t="shared" si="131"/>
        <v>9.2199864075777904E-2</v>
      </c>
      <c r="AR419" s="1765">
        <f t="shared" si="131"/>
        <v>0.10089718016957309</v>
      </c>
      <c r="AS419" s="1765">
        <f t="shared" si="131"/>
        <v>0.12092518828743021</v>
      </c>
      <c r="AT419" s="1765">
        <f t="shared" si="131"/>
        <v>0.15419325485405694</v>
      </c>
    </row>
    <row r="420" spans="1:57">
      <c r="D420" s="320" t="s">
        <v>337</v>
      </c>
      <c r="F420" s="1"/>
      <c r="G420" s="1"/>
      <c r="H420" s="1"/>
      <c r="I420" s="1"/>
      <c r="J420" s="1"/>
      <c r="K420" s="1"/>
      <c r="L420" s="1"/>
      <c r="M420" s="1"/>
      <c r="V420" s="87">
        <f t="shared" ref="V420:AT420" si="132">+V255/(V186*V$266)*1000</f>
        <v>0</v>
      </c>
      <c r="W420" s="834">
        <f t="shared" si="132"/>
        <v>0</v>
      </c>
      <c r="X420" s="834">
        <f t="shared" si="132"/>
        <v>0</v>
      </c>
      <c r="Y420" s="834">
        <f t="shared" si="132"/>
        <v>0</v>
      </c>
      <c r="Z420" s="834">
        <f t="shared" si="132"/>
        <v>0</v>
      </c>
      <c r="AA420" s="834">
        <f t="shared" si="132"/>
        <v>0</v>
      </c>
      <c r="AB420" s="834">
        <f t="shared" si="132"/>
        <v>0</v>
      </c>
      <c r="AC420" s="834">
        <f t="shared" si="132"/>
        <v>0</v>
      </c>
      <c r="AD420" s="834">
        <f t="shared" si="132"/>
        <v>0</v>
      </c>
      <c r="AE420" s="834">
        <f t="shared" si="132"/>
        <v>0</v>
      </c>
      <c r="AF420" s="834">
        <f t="shared" si="132"/>
        <v>0</v>
      </c>
      <c r="AG420" s="834">
        <f t="shared" si="132"/>
        <v>3.5824390986191577E-2</v>
      </c>
      <c r="AH420" s="834">
        <f t="shared" si="132"/>
        <v>8.8988460497587921E-2</v>
      </c>
      <c r="AI420" s="1189">
        <f t="shared" si="132"/>
        <v>5.3860600649779336E-2</v>
      </c>
      <c r="AJ420" s="834">
        <f t="shared" si="132"/>
        <v>2.1689401817395881E-2</v>
      </c>
      <c r="AK420" s="834">
        <f t="shared" si="132"/>
        <v>2.1563327957807982E-2</v>
      </c>
      <c r="AL420" s="1186">
        <f t="shared" si="132"/>
        <v>2.0956714424463233E-2</v>
      </c>
      <c r="AM420" s="1186">
        <f t="shared" si="132"/>
        <v>2.0894248347632222E-2</v>
      </c>
      <c r="AN420" s="1186">
        <f t="shared" si="132"/>
        <v>2.109286735064788E-2</v>
      </c>
      <c r="AO420" s="1765">
        <f t="shared" si="132"/>
        <v>2.1652768732599883E-2</v>
      </c>
      <c r="AP420" s="1765">
        <f t="shared" si="132"/>
        <v>0</v>
      </c>
      <c r="AQ420" s="1765">
        <f t="shared" si="132"/>
        <v>0</v>
      </c>
      <c r="AR420" s="1765">
        <f t="shared" si="132"/>
        <v>0</v>
      </c>
      <c r="AS420" s="1765">
        <f t="shared" si="132"/>
        <v>0</v>
      </c>
      <c r="AT420" s="1765">
        <f t="shared" si="132"/>
        <v>0</v>
      </c>
    </row>
    <row r="421" spans="1:57">
      <c r="D421" s="320" t="s">
        <v>263</v>
      </c>
      <c r="F421" s="1"/>
      <c r="G421" s="1"/>
      <c r="H421" s="1"/>
      <c r="I421" s="1"/>
      <c r="J421" s="1"/>
      <c r="K421" s="1"/>
      <c r="L421" s="1"/>
      <c r="M421" s="1"/>
      <c r="V421" s="87">
        <f t="shared" ref="V421:AT421" si="133">+(V254+V255+V258)/(V188*V$266)*1000</f>
        <v>7.0330405769461521E-2</v>
      </c>
      <c r="W421" s="834">
        <f t="shared" si="133"/>
        <v>6.5849412779480809E-2</v>
      </c>
      <c r="X421" s="834">
        <f t="shared" si="133"/>
        <v>7.9244122746903456E-2</v>
      </c>
      <c r="Y421" s="834">
        <f t="shared" si="133"/>
        <v>8.9568706263369768E-2</v>
      </c>
      <c r="Z421" s="834">
        <f t="shared" si="133"/>
        <v>8.4930311600239949E-2</v>
      </c>
      <c r="AA421" s="834">
        <f t="shared" si="133"/>
        <v>8.1383475941315828E-2</v>
      </c>
      <c r="AB421" s="834">
        <f>+(AB254+AB255+AB258)/(AB188*AB$266)*1000</f>
        <v>8.1530356162495862E-2</v>
      </c>
      <c r="AC421" s="834">
        <f t="shared" si="133"/>
        <v>8.1386128255921411E-2</v>
      </c>
      <c r="AD421" s="834">
        <f t="shared" si="133"/>
        <v>7.5605173074864737E-2</v>
      </c>
      <c r="AE421" s="834">
        <f t="shared" si="133"/>
        <v>7.8185968523780375E-2</v>
      </c>
      <c r="AF421" s="834">
        <f t="shared" si="133"/>
        <v>7.8948745094097217E-2</v>
      </c>
      <c r="AG421" s="834">
        <f t="shared" si="133"/>
        <v>8.363613991602771E-2</v>
      </c>
      <c r="AH421" s="834">
        <f t="shared" si="133"/>
        <v>8.0247410233357713E-2</v>
      </c>
      <c r="AI421" s="1189">
        <f t="shared" si="133"/>
        <v>6.2582654957726067E-2</v>
      </c>
      <c r="AJ421" s="834">
        <f t="shared" si="133"/>
        <v>5.9571998089402216E-2</v>
      </c>
      <c r="AK421" s="834">
        <f t="shared" si="133"/>
        <v>5.5295237984036474E-2</v>
      </c>
      <c r="AL421" s="1186">
        <f t="shared" si="133"/>
        <v>5.7547518831025143E-2</v>
      </c>
      <c r="AM421" s="1186">
        <f t="shared" si="133"/>
        <v>6.5196670810073631E-2</v>
      </c>
      <c r="AN421" s="1186">
        <f t="shared" si="133"/>
        <v>7.3086110138748189E-2</v>
      </c>
      <c r="AO421" s="1765">
        <f t="shared" si="133"/>
        <v>7.8351172943251599E-2</v>
      </c>
      <c r="AP421" s="1765">
        <f t="shared" si="133"/>
        <v>3.9328053172862712E-2</v>
      </c>
      <c r="AQ421" s="1765">
        <f t="shared" si="133"/>
        <v>4.2831404798504946E-2</v>
      </c>
      <c r="AR421" s="1765">
        <f t="shared" si="133"/>
        <v>4.5669812215201444E-2</v>
      </c>
      <c r="AS421" s="1765">
        <f t="shared" si="133"/>
        <v>5.2989626646174778E-2</v>
      </c>
      <c r="AT421" s="1765">
        <f t="shared" si="133"/>
        <v>6.5609480641903833E-2</v>
      </c>
    </row>
    <row r="422" spans="1:57">
      <c r="D422" s="320" t="s">
        <v>318</v>
      </c>
      <c r="F422" s="1"/>
      <c r="G422" s="1"/>
      <c r="H422" s="1"/>
      <c r="I422" s="1"/>
      <c r="J422" s="1"/>
      <c r="K422" s="1"/>
      <c r="L422" s="1"/>
      <c r="M422" s="1"/>
      <c r="V422" s="87">
        <f t="shared" ref="V422:AT422" si="134">+V259/(V187*V$266*V423)*1000</f>
        <v>-7.3587115758196227E-5</v>
      </c>
      <c r="W422" s="834">
        <f t="shared" si="134"/>
        <v>-6.3575503475660672E-5</v>
      </c>
      <c r="X422" s="834">
        <f t="shared" si="134"/>
        <v>3.1713272168525584E-5</v>
      </c>
      <c r="Y422" s="834">
        <f t="shared" si="134"/>
        <v>1.0130130493330645E-4</v>
      </c>
      <c r="Z422" s="834">
        <f t="shared" si="134"/>
        <v>8.7654964939646305E-5</v>
      </c>
      <c r="AA422" s="834">
        <f t="shared" si="134"/>
        <v>7.2097830916272986E-5</v>
      </c>
      <c r="AB422" s="834">
        <f t="shared" si="134"/>
        <v>7.1751666404413272E-5</v>
      </c>
      <c r="AC422" s="834">
        <f t="shared" si="134"/>
        <v>7.0635449294588923E-5</v>
      </c>
      <c r="AD422" s="834">
        <f t="shared" si="134"/>
        <v>6.0000465141139867E-5</v>
      </c>
      <c r="AE422" s="834">
        <f t="shared" si="134"/>
        <v>5.5115668927727476E-5</v>
      </c>
      <c r="AF422" s="834">
        <f t="shared" si="134"/>
        <v>4.6488865956791821E-5</v>
      </c>
      <c r="AG422" s="834">
        <f t="shared" si="134"/>
        <v>2.9386034441871463E-5</v>
      </c>
      <c r="AH422" s="834">
        <f t="shared" si="134"/>
        <v>1.9039963622785687E-5</v>
      </c>
      <c r="AI422" s="1189">
        <f t="shared" si="134"/>
        <v>1.6837368027139974E-5</v>
      </c>
      <c r="AJ422" s="834">
        <f t="shared" si="134"/>
        <v>1.9062377700811475E-5</v>
      </c>
      <c r="AK422" s="834">
        <f t="shared" si="134"/>
        <v>1.7074997599581694E-5</v>
      </c>
      <c r="AL422" s="1186">
        <f t="shared" si="134"/>
        <v>1.59236649669727E-5</v>
      </c>
      <c r="AM422" s="1186">
        <f t="shared" si="134"/>
        <v>1.5601842413426087E-5</v>
      </c>
      <c r="AN422" s="1186">
        <f t="shared" si="134"/>
        <v>1.49083661421586E-5</v>
      </c>
      <c r="AO422" s="1765">
        <f t="shared" si="134"/>
        <v>1.3898163035557637E-5</v>
      </c>
      <c r="AP422" s="1765">
        <f t="shared" si="134"/>
        <v>1.7267685111773759E-5</v>
      </c>
      <c r="AQ422" s="1765">
        <f t="shared" si="134"/>
        <v>1.6072806303268179E-5</v>
      </c>
      <c r="AR422" s="1765">
        <f t="shared" si="134"/>
        <v>1.4733032950356823E-5</v>
      </c>
      <c r="AS422" s="1765">
        <f t="shared" si="134"/>
        <v>1.5727339601853908E-5</v>
      </c>
      <c r="AT422" s="1765">
        <f t="shared" si="134"/>
        <v>1.9602006035505927E-5</v>
      </c>
    </row>
    <row r="423" spans="1:57" ht="16.75" thickBot="1">
      <c r="C423" s="293"/>
      <c r="D423" s="352" t="s">
        <v>281</v>
      </c>
      <c r="E423" s="2988"/>
      <c r="F423" s="312"/>
      <c r="G423" s="312"/>
      <c r="H423" s="312"/>
      <c r="I423" s="312"/>
      <c r="J423" s="312"/>
      <c r="K423" s="312"/>
      <c r="L423" s="312"/>
      <c r="M423" s="312"/>
      <c r="N423" s="312"/>
      <c r="O423" s="312"/>
      <c r="P423" s="312"/>
      <c r="Q423" s="312"/>
      <c r="R423" s="312"/>
      <c r="S423" s="312"/>
      <c r="T423" s="312"/>
      <c r="U423" s="312"/>
      <c r="V423" s="369">
        <f t="shared" ref="V423:AT423" si="135">+V188/V183</f>
        <v>1.1520323844554674</v>
      </c>
      <c r="W423" s="869">
        <f t="shared" si="135"/>
        <v>1.0791953852273644</v>
      </c>
      <c r="X423" s="869">
        <f t="shared" si="135"/>
        <v>1.0916925199539118</v>
      </c>
      <c r="Y423" s="869">
        <f t="shared" si="135"/>
        <v>1.1116942018733014</v>
      </c>
      <c r="Z423" s="869">
        <f t="shared" si="135"/>
        <v>1.2714966303257085</v>
      </c>
      <c r="AA423" s="869">
        <f t="shared" si="135"/>
        <v>1.3743088966738459</v>
      </c>
      <c r="AB423" s="869">
        <f t="shared" si="135"/>
        <v>1.3882600621411563</v>
      </c>
      <c r="AC423" s="869">
        <f t="shared" si="135"/>
        <v>1.3548293856117462</v>
      </c>
      <c r="AD423" s="869">
        <f t="shared" si="135"/>
        <v>1.4053278939685752</v>
      </c>
      <c r="AE423" s="869">
        <f t="shared" si="135"/>
        <v>1.4075531393149905</v>
      </c>
      <c r="AF423" s="869">
        <f t="shared" si="135"/>
        <v>1.3437678476086281</v>
      </c>
      <c r="AG423" s="869">
        <f t="shared" si="135"/>
        <v>1.3767098624844738</v>
      </c>
      <c r="AH423" s="869">
        <f t="shared" si="135"/>
        <v>1.4980616801634201</v>
      </c>
      <c r="AI423" s="1190">
        <f t="shared" si="135"/>
        <v>1.5933685175223586</v>
      </c>
      <c r="AJ423" s="869">
        <f t="shared" si="135"/>
        <v>1.5565382366318081</v>
      </c>
      <c r="AK423" s="869">
        <f t="shared" si="135"/>
        <v>1.7594309439750135</v>
      </c>
      <c r="AL423" s="1187">
        <f t="shared" si="135"/>
        <v>1.7830620867241513</v>
      </c>
      <c r="AM423" s="1187">
        <f t="shared" si="135"/>
        <v>1.6975103103942333</v>
      </c>
      <c r="AN423" s="1187">
        <f t="shared" si="135"/>
        <v>1.6597487261730623</v>
      </c>
      <c r="AO423" s="1766">
        <f t="shared" si="135"/>
        <v>1.685895293657931</v>
      </c>
      <c r="AP423" s="1766">
        <f t="shared" si="135"/>
        <v>1.6977122629775416</v>
      </c>
      <c r="AQ423" s="1766">
        <f t="shared" si="135"/>
        <v>1.7231915708284922</v>
      </c>
      <c r="AR423" s="1766">
        <f t="shared" si="135"/>
        <v>1.749441531137595</v>
      </c>
      <c r="AS423" s="1766">
        <f t="shared" si="135"/>
        <v>1.7823842407457509</v>
      </c>
      <c r="AT423" s="1766">
        <f t="shared" si="135"/>
        <v>1.811723826587079</v>
      </c>
    </row>
    <row r="424" spans="1:57">
      <c r="C424" s="293"/>
      <c r="D424" s="295" t="s">
        <v>1165</v>
      </c>
      <c r="E424" s="2989"/>
      <c r="F424" s="293"/>
      <c r="G424" s="293"/>
      <c r="H424" s="293"/>
      <c r="I424" s="293"/>
      <c r="J424" s="293"/>
      <c r="K424" s="293"/>
      <c r="L424" s="293"/>
      <c r="M424" s="293"/>
      <c r="N424" s="293"/>
      <c r="O424" s="293"/>
      <c r="P424" s="293"/>
      <c r="Q424" s="293"/>
      <c r="R424" s="293"/>
      <c r="S424" s="293"/>
      <c r="T424" s="293"/>
      <c r="U424" s="293"/>
      <c r="V424" s="293"/>
      <c r="W424" s="820"/>
      <c r="X424" s="820"/>
      <c r="Y424" s="820"/>
      <c r="Z424" s="820"/>
      <c r="AA424" s="820"/>
      <c r="AB424" s="820"/>
      <c r="AC424" s="293"/>
      <c r="AD424" s="820"/>
      <c r="AE424" s="820"/>
      <c r="AF424" s="820"/>
    </row>
    <row r="425" spans="1:57">
      <c r="A425" s="300" t="s">
        <v>257</v>
      </c>
      <c r="C425" s="293"/>
      <c r="D425" s="17" t="s">
        <v>202</v>
      </c>
      <c r="E425" s="2990"/>
      <c r="F425" s="19"/>
      <c r="G425" s="19"/>
      <c r="H425" s="19"/>
      <c r="I425" s="19"/>
      <c r="J425" s="19"/>
      <c r="K425" s="19"/>
      <c r="L425" s="19"/>
      <c r="M425" s="19"/>
      <c r="N425" s="19"/>
      <c r="O425" s="19"/>
      <c r="P425" s="19"/>
      <c r="Q425" s="19"/>
      <c r="R425" s="19"/>
      <c r="S425" s="19"/>
      <c r="T425" s="19"/>
      <c r="U425" s="19"/>
      <c r="V425" s="19"/>
      <c r="W425" s="870"/>
      <c r="X425" s="870"/>
      <c r="Y425" s="870"/>
      <c r="Z425" s="870"/>
      <c r="AA425" s="1779"/>
      <c r="AB425" s="1779"/>
      <c r="AC425" s="1779"/>
      <c r="AD425" s="3190"/>
      <c r="AE425" s="3190"/>
      <c r="AF425" s="3190"/>
      <c r="AG425" s="3190"/>
      <c r="AH425" s="3190"/>
      <c r="AI425" s="870"/>
      <c r="AJ425" s="870"/>
      <c r="AK425" s="870"/>
      <c r="AL425" s="870"/>
      <c r="AM425" s="870"/>
      <c r="AN425" s="870"/>
      <c r="AO425" s="870"/>
      <c r="AP425" s="870"/>
      <c r="AQ425" s="870"/>
      <c r="AR425" s="870"/>
      <c r="AS425" s="870"/>
      <c r="AT425" s="870"/>
    </row>
    <row r="426" spans="1:57" ht="16.75" thickBot="1">
      <c r="C426" s="293"/>
      <c r="D426" s="19"/>
      <c r="E426" s="2990"/>
      <c r="F426" s="19"/>
      <c r="G426" s="19"/>
      <c r="H426" s="19"/>
      <c r="I426" s="19"/>
      <c r="J426" s="19"/>
      <c r="K426" s="19"/>
      <c r="L426" s="19"/>
      <c r="M426" s="19"/>
      <c r="N426" s="19"/>
      <c r="O426" s="19"/>
      <c r="P426" s="19"/>
      <c r="Q426" s="19"/>
      <c r="R426" s="19"/>
      <c r="S426" s="19"/>
      <c r="T426" s="19"/>
      <c r="U426" s="19"/>
      <c r="V426" s="19"/>
      <c r="W426" s="870"/>
      <c r="X426" s="870"/>
      <c r="Y426" s="870"/>
      <c r="Z426" s="1779"/>
      <c r="AA426" s="1779"/>
      <c r="AB426" s="1779"/>
      <c r="AC426" s="1779"/>
      <c r="AD426" s="3190"/>
      <c r="AE426" s="3190"/>
      <c r="AF426" s="3190"/>
      <c r="AG426" s="3190"/>
      <c r="AH426" s="3190"/>
      <c r="AI426" s="870"/>
      <c r="AJ426" s="870"/>
      <c r="AK426" s="870"/>
      <c r="AL426" s="870"/>
      <c r="AM426" s="3191"/>
      <c r="AN426" s="3191"/>
      <c r="AO426" s="870"/>
      <c r="AP426" s="870"/>
      <c r="AQ426" s="870"/>
      <c r="AR426" s="870"/>
      <c r="AS426" s="870"/>
      <c r="AT426" s="870"/>
    </row>
    <row r="427" spans="1:57" ht="16.75" thickBot="1">
      <c r="D427" s="21"/>
      <c r="E427" s="2122" t="s">
        <v>1692</v>
      </c>
      <c r="F427" s="214"/>
      <c r="G427" s="213"/>
      <c r="H427" s="213"/>
      <c r="I427" s="213">
        <v>1998</v>
      </c>
      <c r="J427" s="213">
        <v>1999</v>
      </c>
      <c r="K427" s="213">
        <v>2000</v>
      </c>
      <c r="L427" s="214">
        <v>2001</v>
      </c>
      <c r="M427" s="213">
        <v>2002</v>
      </c>
      <c r="N427" s="213">
        <v>2003</v>
      </c>
      <c r="O427" s="213">
        <v>2004</v>
      </c>
      <c r="P427" s="213">
        <v>2005</v>
      </c>
      <c r="Q427" s="213">
        <v>2006</v>
      </c>
      <c r="R427" s="213">
        <v>2007</v>
      </c>
      <c r="S427" s="214">
        <v>2008</v>
      </c>
      <c r="T427" s="213">
        <v>2009</v>
      </c>
      <c r="U427" s="213">
        <v>2010</v>
      </c>
      <c r="V427" s="213">
        <v>2011</v>
      </c>
      <c r="W427" s="213">
        <f xml:space="preserve"> 2012</f>
        <v>2012</v>
      </c>
      <c r="X427" s="213">
        <f>2013</f>
        <v>2013</v>
      </c>
      <c r="Y427" s="213">
        <v>2014</v>
      </c>
      <c r="Z427" s="213">
        <v>2015</v>
      </c>
      <c r="AA427" s="213">
        <v>2016</v>
      </c>
      <c r="AB427" s="213">
        <v>2017</v>
      </c>
      <c r="AC427" s="213">
        <v>2018</v>
      </c>
      <c r="AD427" s="213">
        <v>2019</v>
      </c>
      <c r="AE427" s="213">
        <v>2020</v>
      </c>
      <c r="AF427" s="213">
        <v>2021</v>
      </c>
      <c r="AG427" s="213">
        <v>2022</v>
      </c>
      <c r="AH427" s="213">
        <v>2023</v>
      </c>
      <c r="AI427" s="3426">
        <v>2024</v>
      </c>
      <c r="AJ427" s="214">
        <v>2025</v>
      </c>
      <c r="AK427" s="213">
        <v>2026</v>
      </c>
      <c r="AL427" s="213">
        <v>2027</v>
      </c>
      <c r="AM427" s="213">
        <v>2028</v>
      </c>
      <c r="AN427" s="213">
        <v>2029</v>
      </c>
      <c r="AO427" s="213">
        <v>2030</v>
      </c>
      <c r="AP427" s="213">
        <v>2031</v>
      </c>
      <c r="AQ427" s="213">
        <v>2032</v>
      </c>
      <c r="AR427" s="213">
        <v>2033</v>
      </c>
      <c r="AS427" s="213">
        <v>2034</v>
      </c>
      <c r="AT427" s="213">
        <v>2035</v>
      </c>
    </row>
    <row r="428" spans="1:57" ht="16.75" thickBot="1">
      <c r="D428" s="48" t="s">
        <v>59</v>
      </c>
      <c r="E428" s="2123" t="s">
        <v>1004</v>
      </c>
      <c r="F428" s="215"/>
      <c r="G428" s="94"/>
      <c r="H428" s="94"/>
      <c r="I428" s="42"/>
      <c r="J428" s="94"/>
      <c r="K428" s="44"/>
      <c r="L428" s="215"/>
      <c r="M428" s="94"/>
      <c r="N428" s="94"/>
      <c r="O428" s="94"/>
      <c r="P428" s="42"/>
      <c r="Q428" s="94"/>
      <c r="R428" s="44"/>
      <c r="S428" s="215"/>
      <c r="T428" s="94"/>
      <c r="U428" s="94"/>
      <c r="V428" s="94"/>
      <c r="W428" s="42"/>
      <c r="X428" s="871"/>
      <c r="Y428" s="44"/>
      <c r="Z428" s="44"/>
      <c r="AA428" s="871"/>
      <c r="AB428" s="42"/>
      <c r="AC428" s="94"/>
      <c r="AD428" s="44"/>
      <c r="AE428" s="209"/>
      <c r="AF428" s="209"/>
      <c r="AG428" s="209"/>
      <c r="AH428" s="209"/>
      <c r="AI428" s="3427"/>
      <c r="AJ428" s="626"/>
      <c r="AK428" s="209"/>
      <c r="AL428" s="209"/>
      <c r="AM428" s="209"/>
      <c r="AN428" s="209"/>
      <c r="AO428" s="209"/>
      <c r="AP428" s="209"/>
      <c r="AQ428" s="209"/>
      <c r="AR428" s="209"/>
      <c r="AS428" s="209"/>
      <c r="AT428" s="209"/>
    </row>
    <row r="429" spans="1:57" ht="16.75" thickBot="1">
      <c r="D429" s="24" t="s">
        <v>1223</v>
      </c>
      <c r="E429" s="2725">
        <v>1000000</v>
      </c>
      <c r="F429" s="216"/>
      <c r="G429" s="43"/>
      <c r="H429" s="43"/>
      <c r="I429" s="42"/>
      <c r="J429" s="44"/>
      <c r="K429" s="44"/>
      <c r="L429" s="216"/>
      <c r="M429" s="43"/>
      <c r="N429" s="43"/>
      <c r="O429" s="43"/>
      <c r="P429" s="42"/>
      <c r="Q429" s="44"/>
      <c r="R429" s="44"/>
      <c r="S429" s="216"/>
      <c r="T429" s="43"/>
      <c r="U429" s="43"/>
      <c r="V429" s="43"/>
      <c r="W429" s="42"/>
      <c r="X429" s="44"/>
      <c r="Y429" s="44"/>
      <c r="Z429" s="44"/>
      <c r="AA429" s="43"/>
      <c r="AB429" s="42"/>
      <c r="AC429" s="44"/>
      <c r="AD429" s="44"/>
      <c r="AE429" s="44"/>
      <c r="AF429" s="44"/>
      <c r="AG429" s="44"/>
      <c r="AH429" s="1400"/>
      <c r="AI429" s="3428">
        <f>1000000000</f>
        <v>1000000000</v>
      </c>
      <c r="AJ429" s="3380">
        <f>AK430+AK455+AK472+AK483</f>
        <v>3746.9561580082345</v>
      </c>
      <c r="AK429" s="2732">
        <f t="shared" ref="AK429:AT429" si="136">AL430+AL455+AL472+AL483</f>
        <v>4014.7615228973045</v>
      </c>
      <c r="AL429" s="2732">
        <f t="shared" si="136"/>
        <v>4235.6326237580124</v>
      </c>
      <c r="AM429" s="2732">
        <f t="shared" si="136"/>
        <v>4428.1066214946632</v>
      </c>
      <c r="AN429" s="2732">
        <f t="shared" si="136"/>
        <v>4699.9778956675937</v>
      </c>
      <c r="AO429" s="2732">
        <f t="shared" si="136"/>
        <v>4979.6802675940526</v>
      </c>
      <c r="AP429" s="2732">
        <f t="shared" si="136"/>
        <v>5279.5676080921949</v>
      </c>
      <c r="AQ429" s="2732">
        <f t="shared" si="136"/>
        <v>5602.2886944828324</v>
      </c>
      <c r="AR429" s="2732">
        <f t="shared" si="136"/>
        <v>5949.7621350149402</v>
      </c>
      <c r="AS429" s="2732">
        <f t="shared" si="136"/>
        <v>6324.084096565919</v>
      </c>
      <c r="AT429" s="2732">
        <f t="shared" si="136"/>
        <v>2016</v>
      </c>
      <c r="BD429" s="397"/>
      <c r="BE429" s="397"/>
    </row>
    <row r="430" spans="1:57" ht="16.75" thickBot="1">
      <c r="A430" s="297" t="s">
        <v>87</v>
      </c>
      <c r="B430" s="295" t="s">
        <v>373</v>
      </c>
      <c r="C430" s="295" t="s">
        <v>30</v>
      </c>
      <c r="D430" s="2078" t="s">
        <v>1409</v>
      </c>
      <c r="E430" s="2124" t="s">
        <v>1211</v>
      </c>
      <c r="F430" s="2916"/>
      <c r="G430" s="34"/>
      <c r="H430" s="34"/>
      <c r="I430" s="32"/>
      <c r="J430" s="45"/>
      <c r="K430" s="45"/>
      <c r="L430" s="62"/>
      <c r="M430" s="34"/>
      <c r="N430" s="34"/>
      <c r="O430" s="34"/>
      <c r="P430" s="32"/>
      <c r="Q430" s="45"/>
      <c r="R430" s="45"/>
      <c r="S430" s="62"/>
      <c r="T430" s="34"/>
      <c r="U430" s="34"/>
      <c r="V430" s="34"/>
      <c r="W430" s="823"/>
      <c r="X430" s="823"/>
      <c r="Y430" s="823"/>
      <c r="Z430" s="1386">
        <f>Z431+Z436+Z441+Z445+Z446+Z451+Z452</f>
        <v>1882.2497863974554</v>
      </c>
      <c r="AA430" s="1386">
        <f>AA431+AA436+AA441+AA445+AA446+AA451+AA452</f>
        <v>1975.0380961891767</v>
      </c>
      <c r="AB430" s="1386">
        <f t="shared" ref="AB430:AG430" si="137">AB431+AB436+AB441+AB445+AB446+AB451+AB452</f>
        <v>1971.7804005761648</v>
      </c>
      <c r="AC430" s="1386">
        <f t="shared" si="137"/>
        <v>2101.2342353893691</v>
      </c>
      <c r="AD430" s="1386">
        <f>AD431+AD436+AD441+AD445+AD446+AD451+AD452</f>
        <v>2213.6016581969266</v>
      </c>
      <c r="AE430" s="1386">
        <f t="shared" si="137"/>
        <v>2269.1450842029922</v>
      </c>
      <c r="AF430" s="1386">
        <f t="shared" si="137"/>
        <v>2430.2149785034403</v>
      </c>
      <c r="AG430" s="1386">
        <f t="shared" si="137"/>
        <v>2441.0262412537404</v>
      </c>
      <c r="AH430" s="1300">
        <f>AH431+AH436+AH441+AH445+AH446+AH451+AH452</f>
        <v>1516</v>
      </c>
      <c r="AI430" s="3429">
        <f t="shared" ref="AI430:AO430" si="138">AI431+AI436+AI441+AI445+AI446+AI451+AI452</f>
        <v>1648.1568181214202</v>
      </c>
      <c r="AJ430" s="3381">
        <f t="shared" si="138"/>
        <v>1775.2526949219043</v>
      </c>
      <c r="AK430" s="1300">
        <f t="shared" si="138"/>
        <v>1924.1498488212706</v>
      </c>
      <c r="AL430" s="1300">
        <f t="shared" si="138"/>
        <v>2095.4061782278659</v>
      </c>
      <c r="AM430" s="1300">
        <f t="shared" si="138"/>
        <v>2219.9550669126388</v>
      </c>
      <c r="AN430" s="1300">
        <f t="shared" si="138"/>
        <v>2311.1659046212849</v>
      </c>
      <c r="AO430" s="1300">
        <f t="shared" si="138"/>
        <v>2464.4168050763769</v>
      </c>
      <c r="AP430" s="1300">
        <f>AP431+AP436+AP441+AP445+AP446+AP451+AP452</f>
        <v>2612.6562636862855</v>
      </c>
      <c r="AQ430" s="1300">
        <f>AQ431+AQ436+AQ441+AQ445+AQ446+AQ451+AQ452</f>
        <v>2772.6961526728996</v>
      </c>
      <c r="AR430" s="1300">
        <f>AR431+AR436+AR441+AR445+AR446+AR451+AR452</f>
        <v>2945.5782417552723</v>
      </c>
      <c r="AS430" s="1300">
        <f>AS431+AS436+AS441+AS445+AS446+AS451+AS452</f>
        <v>3132.4463143201629</v>
      </c>
      <c r="AT430" s="1300">
        <f>AT431+AT436+AT441+AT445+AT446+AT451+AT452</f>
        <v>3334.5567813685866</v>
      </c>
      <c r="AU430" s="1">
        <v>2016</v>
      </c>
      <c r="AV430" s="1">
        <v>2017</v>
      </c>
      <c r="AW430" s="1">
        <v>2018</v>
      </c>
      <c r="AX430" s="1">
        <v>2019</v>
      </c>
      <c r="AY430" s="1" t="s">
        <v>1412</v>
      </c>
      <c r="BD430" s="818"/>
      <c r="BE430" s="818"/>
    </row>
    <row r="431" spans="1:57">
      <c r="D431" s="2079" t="s">
        <v>1234</v>
      </c>
      <c r="E431" s="2991" t="s">
        <v>1210</v>
      </c>
      <c r="F431" s="2917"/>
      <c r="G431" s="136"/>
      <c r="H431" s="136"/>
      <c r="I431" s="137"/>
      <c r="J431" s="138"/>
      <c r="K431" s="138"/>
      <c r="L431" s="150"/>
      <c r="M431" s="136"/>
      <c r="N431" s="136"/>
      <c r="O431" s="136"/>
      <c r="P431" s="137"/>
      <c r="Q431" s="138"/>
      <c r="R431" s="138"/>
      <c r="S431" s="150"/>
      <c r="T431" s="136"/>
      <c r="U431" s="136"/>
      <c r="V431" s="136"/>
      <c r="W431" s="223"/>
      <c r="X431" s="223"/>
      <c r="Y431" s="223"/>
      <c r="Z431" s="1385">
        <f>(Z432*$E432+Z433*$E433+Z434*$E434+Z435*$E435)/$E$429</f>
        <v>243.61606202417315</v>
      </c>
      <c r="AA431" s="1385">
        <f t="shared" ref="AA431:AF431" si="139">(AA432*$E432+AA433*$E433+AA434*$E434+AA435*$E435)/$E$429</f>
        <v>290.26088200169369</v>
      </c>
      <c r="AB431" s="1385">
        <f t="shared" si="139"/>
        <v>297.73398517553937</v>
      </c>
      <c r="AC431" s="1385">
        <f t="shared" si="139"/>
        <v>308.03532819019716</v>
      </c>
      <c r="AD431" s="1385">
        <f t="shared" si="139"/>
        <v>323.31050202067104</v>
      </c>
      <c r="AE431" s="1385">
        <f t="shared" si="139"/>
        <v>326.77365183440889</v>
      </c>
      <c r="AF431" s="1385">
        <f t="shared" si="139"/>
        <v>352.23418800000002</v>
      </c>
      <c r="AG431" s="1385">
        <f>(AG432*$E432+AG433*$E433+AG434*$E434+AG435*$E435)/$E$429</f>
        <v>352.58574784448473</v>
      </c>
      <c r="AH431" s="1666">
        <f>(AH432*$E432+AH433*$E433+AH434*$E434+AH435*$E435)/$E$429*0+SUM(AH432:AH435)/$AI$429</f>
        <v>244.14572538832522</v>
      </c>
      <c r="AI431" s="3430">
        <f>(AI432*$E432+AI433*$E433+AI434*$E434+AI435*$E435)/$E$429*0+SUM(AI432:AI435)/$AI$429</f>
        <v>270.35885874674722</v>
      </c>
      <c r="AJ431" s="3382">
        <f t="shared" ref="AJ431:AO431" si="140">(AJ432*$E432+AJ433*$E433+AJ434*$E434+AJ435*$E435)/$E$429*0+SUM(AJ432:AJ435)/$AI$429</f>
        <v>304.2869975133691</v>
      </c>
      <c r="AK431" s="1666">
        <f t="shared" si="140"/>
        <v>340.66920045078075</v>
      </c>
      <c r="AL431" s="1666">
        <f t="shared" si="140"/>
        <v>380.81160608090067</v>
      </c>
      <c r="AM431" s="1666">
        <f t="shared" si="140"/>
        <v>410.51434820204241</v>
      </c>
      <c r="AN431" s="1666">
        <f t="shared" si="140"/>
        <v>430.73872024113115</v>
      </c>
      <c r="AO431" s="1666">
        <f t="shared" si="140"/>
        <v>455.16474163888563</v>
      </c>
      <c r="AP431" s="1666">
        <f>(AP432*$E432+AP433*$E433+AP434*$E434+AP435*$E435)/$E$429*0+SUM(AP432:AP435)/$AI$429</f>
        <v>498.40975249234009</v>
      </c>
      <c r="AQ431" s="1666">
        <f>(AQ432*$E432+AQ433*$E433+AQ434*$E434+AQ435*$E435)/$E$429*0+SUM(AQ432:AQ435)/$AI$429</f>
        <v>546.34394555560766</v>
      </c>
      <c r="AR431" s="1666">
        <f>(AR432*$E432+AR433*$E433+AR434*$E434+AR435*$E435)/$E$429*0+SUM(AR432:AR435)/$AI$429</f>
        <v>599.50177269834887</v>
      </c>
      <c r="AS431" s="1666">
        <f>(AS432*$E432+AS433*$E433+AS434*$E434+AS435*$E435)/$E$429*0+SUM(AS432:AS435)/$AI$429</f>
        <v>658.47963838111377</v>
      </c>
      <c r="AT431" s="1666">
        <f>(AT432*$E432+AT433*$E433+AT434*$E434+AT435*$E435)/$E$429*0+SUM(AT432:AT435)/$AI$429</f>
        <v>723.94312210909948</v>
      </c>
      <c r="AU431" s="1538">
        <f t="shared" ref="AU431:AX435" si="141">AA431/Z431-1</f>
        <v>0.19146857391074712</v>
      </c>
      <c r="AV431" s="1538">
        <f t="shared" si="141"/>
        <v>2.5746160220797787E-2</v>
      </c>
      <c r="AW431" s="1538">
        <f t="shared" si="141"/>
        <v>3.4599150676682955E-2</v>
      </c>
      <c r="AX431" s="1538">
        <f t="shared" si="141"/>
        <v>4.9589032271786015E-2</v>
      </c>
      <c r="AY431" s="1580">
        <f>AVERAGE(AU431:AX431)</f>
        <v>7.5350729270003469E-2</v>
      </c>
    </row>
    <row r="432" spans="1:57">
      <c r="D432" s="2080" t="s">
        <v>457</v>
      </c>
      <c r="E432" s="2992">
        <v>549</v>
      </c>
      <c r="F432" s="2918"/>
      <c r="G432" s="140"/>
      <c r="H432" s="140"/>
      <c r="I432" s="137"/>
      <c r="J432" s="138"/>
      <c r="K432" s="138"/>
      <c r="L432" s="150"/>
      <c r="M432" s="140"/>
      <c r="N432" s="140"/>
      <c r="O432" s="140"/>
      <c r="P432" s="137"/>
      <c r="Q432" s="138"/>
      <c r="R432" s="138"/>
      <c r="S432" s="150"/>
      <c r="T432" s="140"/>
      <c r="U432" s="140"/>
      <c r="V432" s="140"/>
      <c r="W432" s="223"/>
      <c r="X432" s="223"/>
      <c r="Y432" s="223"/>
      <c r="Z432" s="1302">
        <v>10216.602043422592</v>
      </c>
      <c r="AA432" s="1302">
        <v>9923</v>
      </c>
      <c r="AB432" s="1303">
        <v>10875</v>
      </c>
      <c r="AC432" s="1302">
        <v>13475.158186126246</v>
      </c>
      <c r="AD432" s="1302">
        <v>15686.268839096498</v>
      </c>
      <c r="AE432" s="1415">
        <v>15687</v>
      </c>
      <c r="AF432" s="1415">
        <v>13684</v>
      </c>
      <c r="AG432" s="1415">
        <v>13877.286668242848</v>
      </c>
      <c r="AH432" s="1667">
        <v>4651217702.9148149</v>
      </c>
      <c r="AI432" s="3431">
        <v>4778874863.139987</v>
      </c>
      <c r="AJ432" s="3383">
        <v>4815920404.714716</v>
      </c>
      <c r="AK432" s="1667">
        <v>4890011487.8641729</v>
      </c>
      <c r="AL432" s="1667">
        <v>4964102571.0136299</v>
      </c>
      <c r="AM432" s="1667">
        <v>5001148112.5883579</v>
      </c>
      <c r="AN432" s="1667">
        <v>5006132591.2876186</v>
      </c>
      <c r="AO432" s="1667">
        <v>5064066367.8748865</v>
      </c>
      <c r="AP432" s="1667">
        <f t="shared" ref="AP432:AT435" si="142">AO432*(1+$AY431)</f>
        <v>5445647461.7659569</v>
      </c>
      <c r="AQ432" s="1667">
        <f t="shared" si="142"/>
        <v>5855980969.3573656</v>
      </c>
      <c r="AR432" s="1667">
        <f t="shared" si="142"/>
        <v>6297233405.9897051</v>
      </c>
      <c r="AS432" s="1667">
        <f t="shared" si="142"/>
        <v>6771734535.5144577</v>
      </c>
      <c r="AT432" s="1667">
        <f t="shared" si="142"/>
        <v>7281989671.1883411</v>
      </c>
      <c r="AU432" s="1538">
        <f t="shared" si="141"/>
        <v>-2.8737739042269173E-2</v>
      </c>
      <c r="AV432" s="1538">
        <f t="shared" si="141"/>
        <v>9.5938728207195512E-2</v>
      </c>
      <c r="AW432" s="1538">
        <f t="shared" si="141"/>
        <v>0.2390950056208041</v>
      </c>
      <c r="AX432" s="1538">
        <f t="shared" si="141"/>
        <v>0.16408791811043577</v>
      </c>
      <c r="AY432" s="1580">
        <f>AVERAGE(AU432:AX432)</f>
        <v>0.11759597822404155</v>
      </c>
    </row>
    <row r="433" spans="1:51">
      <c r="D433" s="2080" t="s">
        <v>41</v>
      </c>
      <c r="E433" s="2992">
        <v>350</v>
      </c>
      <c r="F433" s="2919"/>
      <c r="G433" s="138"/>
      <c r="H433" s="138"/>
      <c r="I433" s="137"/>
      <c r="J433" s="138"/>
      <c r="K433" s="138"/>
      <c r="L433" s="150"/>
      <c r="M433" s="138"/>
      <c r="N433" s="138"/>
      <c r="O433" s="138"/>
      <c r="P433" s="137"/>
      <c r="Q433" s="138"/>
      <c r="R433" s="138"/>
      <c r="S433" s="150"/>
      <c r="T433" s="138"/>
      <c r="U433" s="138"/>
      <c r="V433" s="138"/>
      <c r="W433" s="223"/>
      <c r="X433" s="223"/>
      <c r="Y433" s="223"/>
      <c r="Z433" s="1304">
        <v>370750.41958208597</v>
      </c>
      <c r="AA433" s="1304">
        <v>374266.77492109721</v>
      </c>
      <c r="AB433" s="1305">
        <v>358417.19366285938</v>
      </c>
      <c r="AC433" s="1304">
        <v>424203.67505320063</v>
      </c>
      <c r="AD433" s="1304">
        <v>421218.19407630671</v>
      </c>
      <c r="AE433" s="1416">
        <v>448632.16485247051</v>
      </c>
      <c r="AF433" s="1416">
        <v>482682</v>
      </c>
      <c r="AG433" s="1416">
        <v>458522.07698388153</v>
      </c>
      <c r="AH433" s="1669">
        <v>130473371207.63962</v>
      </c>
      <c r="AI433" s="3432">
        <v>152963136497.77841</v>
      </c>
      <c r="AJ433" s="3384">
        <v>168943817508.00378</v>
      </c>
      <c r="AK433" s="1669">
        <v>185959063366.41962</v>
      </c>
      <c r="AL433" s="1669">
        <v>206090014476.01181</v>
      </c>
      <c r="AM433" s="1669">
        <v>227312578741.20624</v>
      </c>
      <c r="AN433" s="1667">
        <v>246859041054.37766</v>
      </c>
      <c r="AO433" s="1667">
        <v>273625578695.93024</v>
      </c>
      <c r="AP433" s="1667">
        <f t="shared" si="142"/>
        <v>305802846289.79761</v>
      </c>
      <c r="AQ433" s="1667">
        <f t="shared" si="142"/>
        <v>341764031142.94257</v>
      </c>
      <c r="AR433" s="1667">
        <f t="shared" si="142"/>
        <v>381954106706.98865</v>
      </c>
      <c r="AS433" s="1667">
        <f t="shared" si="142"/>
        <v>426870373521.8869</v>
      </c>
      <c r="AT433" s="1667">
        <f t="shared" si="142"/>
        <v>477068612671.05518</v>
      </c>
      <c r="AU433" s="1538">
        <f t="shared" si="141"/>
        <v>9.4844271328806684E-3</v>
      </c>
      <c r="AV433" s="1538">
        <f t="shared" si="141"/>
        <v>-4.2348352352621244E-2</v>
      </c>
      <c r="AW433" s="1538">
        <f t="shared" si="141"/>
        <v>0.18354722528245238</v>
      </c>
      <c r="AX433" s="1538">
        <f t="shared" si="141"/>
        <v>-7.0378479783785863E-3</v>
      </c>
      <c r="AY433" s="1580">
        <f>AVERAGE(AU433:AX433)</f>
        <v>3.5911363021083303E-2</v>
      </c>
    </row>
    <row r="434" spans="1:51">
      <c r="D434" s="2080" t="s">
        <v>1232</v>
      </c>
      <c r="E434" s="2992">
        <v>729</v>
      </c>
      <c r="F434" s="2920"/>
      <c r="G434" s="141"/>
      <c r="H434" s="141"/>
      <c r="I434" s="137"/>
      <c r="J434" s="138"/>
      <c r="K434" s="138"/>
      <c r="L434" s="150"/>
      <c r="M434" s="141"/>
      <c r="N434" s="141"/>
      <c r="O434" s="141"/>
      <c r="P434" s="137"/>
      <c r="Q434" s="138"/>
      <c r="R434" s="138"/>
      <c r="S434" s="150"/>
      <c r="T434" s="141"/>
      <c r="U434" s="141"/>
      <c r="V434" s="141"/>
      <c r="W434" s="223"/>
      <c r="X434" s="223"/>
      <c r="Y434" s="223"/>
      <c r="Z434" s="1306">
        <v>88739.180354063632</v>
      </c>
      <c r="AA434" s="1306">
        <v>110544.41670687191</v>
      </c>
      <c r="AB434" s="1307">
        <v>130055.01837248092</v>
      </c>
      <c r="AC434" s="1306">
        <v>113880.46101151395</v>
      </c>
      <c r="AD434" s="1306">
        <v>131576.8868330585</v>
      </c>
      <c r="AE434" s="1417">
        <v>116504.31843078765</v>
      </c>
      <c r="AF434" s="1417">
        <v>131758</v>
      </c>
      <c r="AG434" s="1417">
        <v>135074.74316970253</v>
      </c>
      <c r="AH434" s="1670">
        <v>57314414447.01564</v>
      </c>
      <c r="AI434" s="3433">
        <v>60259269104.361145</v>
      </c>
      <c r="AJ434" s="3385">
        <v>77522108157.513931</v>
      </c>
      <c r="AK434" s="1670">
        <v>96170950673.732498</v>
      </c>
      <c r="AL434" s="1670">
        <v>115468100975.65158</v>
      </c>
      <c r="AM434" s="1670">
        <v>123275084830.60989</v>
      </c>
      <c r="AN434" s="1667">
        <v>123316173918.81389</v>
      </c>
      <c r="AO434" s="1667">
        <v>120290440602.56528</v>
      </c>
      <c r="AP434" s="1667">
        <f t="shared" si="142"/>
        <v>124610234283.01004</v>
      </c>
      <c r="AQ434" s="1667">
        <f t="shared" si="142"/>
        <v>129085157642.48944</v>
      </c>
      <c r="AR434" s="1667">
        <f t="shared" si="142"/>
        <v>133720781599.22264</v>
      </c>
      <c r="AS434" s="1667">
        <f t="shared" si="142"/>
        <v>138522877130.69531</v>
      </c>
      <c r="AT434" s="1667">
        <f t="shared" si="142"/>
        <v>143497422458.06061</v>
      </c>
      <c r="AU434" s="1538">
        <f t="shared" si="141"/>
        <v>0.24572276040647201</v>
      </c>
      <c r="AV434" s="1538">
        <f t="shared" si="141"/>
        <v>0.17649558654187691</v>
      </c>
      <c r="AW434" s="1538">
        <f t="shared" si="141"/>
        <v>-0.1243670376074425</v>
      </c>
      <c r="AX434" s="1538">
        <f t="shared" si="141"/>
        <v>0.15539475046342965</v>
      </c>
      <c r="AY434" s="1580">
        <f>AVERAGE(AU434:AX434)</f>
        <v>0.11331151495108402</v>
      </c>
    </row>
    <row r="435" spans="1:51">
      <c r="D435" s="2080" t="s">
        <v>458</v>
      </c>
      <c r="E435" s="2992">
        <v>447</v>
      </c>
      <c r="F435" s="2921"/>
      <c r="G435" s="142"/>
      <c r="H435" s="142"/>
      <c r="I435" s="137"/>
      <c r="J435" s="138"/>
      <c r="K435" s="138"/>
      <c r="L435" s="150"/>
      <c r="M435" s="142"/>
      <c r="N435" s="142"/>
      <c r="O435" s="142"/>
      <c r="P435" s="137"/>
      <c r="Q435" s="138"/>
      <c r="R435" s="138"/>
      <c r="S435" s="150"/>
      <c r="T435" s="142"/>
      <c r="U435" s="142"/>
      <c r="V435" s="142"/>
      <c r="W435" s="223"/>
      <c r="X435" s="223"/>
      <c r="Y435" s="223"/>
      <c r="Z435" s="1308">
        <v>97435.432148750857</v>
      </c>
      <c r="AA435" s="1308">
        <v>163832</v>
      </c>
      <c r="AB435" s="1309">
        <v>159972</v>
      </c>
      <c r="AC435" s="1308">
        <v>154692</v>
      </c>
      <c r="AD435" s="1308">
        <v>159626</v>
      </c>
      <c r="AE435" s="1418">
        <v>170489</v>
      </c>
      <c r="AF435" s="1418">
        <v>178370</v>
      </c>
      <c r="AG435" s="1418">
        <v>192427.07550010676</v>
      </c>
      <c r="AH435" s="1668">
        <v>51706722030.75515</v>
      </c>
      <c r="AI435" s="3431">
        <v>52357578281.467674</v>
      </c>
      <c r="AJ435" s="3386">
        <v>53005151443.136681</v>
      </c>
      <c r="AK435" s="1668">
        <v>53649174922.764496</v>
      </c>
      <c r="AL435" s="1668">
        <v>54289388058.223694</v>
      </c>
      <c r="AM435" s="1668">
        <v>54925536517.637955</v>
      </c>
      <c r="AN435" s="1667">
        <v>55557372676.651955</v>
      </c>
      <c r="AO435" s="1667">
        <v>56184655972.515274</v>
      </c>
      <c r="AP435" s="1667">
        <f t="shared" si="142"/>
        <v>62551024457.766449</v>
      </c>
      <c r="AQ435" s="1667">
        <f t="shared" si="142"/>
        <v>69638775800.818268</v>
      </c>
      <c r="AR435" s="1667">
        <f t="shared" si="142"/>
        <v>77529650986.147873</v>
      </c>
      <c r="AS435" s="1667">
        <f t="shared" si="142"/>
        <v>86314653193.01709</v>
      </c>
      <c r="AT435" s="1667">
        <f t="shared" si="142"/>
        <v>96095097308.795273</v>
      </c>
      <c r="AU435" s="1538">
        <f t="shared" si="141"/>
        <v>0.68144171362512251</v>
      </c>
      <c r="AV435" s="1538">
        <f t="shared" si="141"/>
        <v>-2.3560720738317276E-2</v>
      </c>
      <c r="AW435" s="1538">
        <f t="shared" si="141"/>
        <v>-3.3005776010801902E-2</v>
      </c>
      <c r="AX435" s="1538">
        <f t="shared" si="141"/>
        <v>3.1895637783466491E-2</v>
      </c>
      <c r="AY435" s="1580">
        <f>AVERAGE(AU435:AX435)</f>
        <v>0.16419271366486746</v>
      </c>
    </row>
    <row r="436" spans="1:51">
      <c r="D436" s="2079" t="s">
        <v>1212</v>
      </c>
      <c r="E436" s="2993" t="s">
        <v>1210</v>
      </c>
      <c r="F436" s="2920"/>
      <c r="G436" s="141"/>
      <c r="H436" s="141"/>
      <c r="I436" s="137"/>
      <c r="J436" s="138"/>
      <c r="K436" s="138"/>
      <c r="L436" s="137"/>
      <c r="M436" s="141"/>
      <c r="N436" s="141"/>
      <c r="O436" s="141"/>
      <c r="P436" s="137"/>
      <c r="Q436" s="138"/>
      <c r="R436" s="138"/>
      <c r="S436" s="137"/>
      <c r="T436" s="141"/>
      <c r="U436" s="141"/>
      <c r="V436" s="141"/>
      <c r="W436" s="223"/>
      <c r="X436" s="223"/>
      <c r="Y436" s="223"/>
      <c r="Z436" s="1385">
        <f t="shared" ref="Z436:AG436" si="143">(Z437*$E437+Z438*$E438+Z439*$E439)/$E$429</f>
        <v>629.90641150671831</v>
      </c>
      <c r="AA436" s="1385">
        <f t="shared" si="143"/>
        <v>645.46935029144754</v>
      </c>
      <c r="AB436" s="1385">
        <f t="shared" si="143"/>
        <v>693.50490228208582</v>
      </c>
      <c r="AC436" s="1385">
        <f t="shared" si="143"/>
        <v>769.95078460244576</v>
      </c>
      <c r="AD436" s="1385">
        <f t="shared" si="143"/>
        <v>828.56687039252699</v>
      </c>
      <c r="AE436" s="1419">
        <f t="shared" si="143"/>
        <v>844.43547648829178</v>
      </c>
      <c r="AF436" s="1419">
        <f t="shared" si="143"/>
        <v>892.49074605383225</v>
      </c>
      <c r="AG436" s="1419">
        <f t="shared" si="143"/>
        <v>904.87814303807113</v>
      </c>
      <c r="AH436" s="1671">
        <f>(AH437*$E437+AH438*$E438+AH439*$E439)/$E$429*0+SUM(AH437:AH440)/$AI$429</f>
        <v>519.60824012064734</v>
      </c>
      <c r="AI436" s="3434">
        <f>(AI437*$E437+AI438*$E438+AI439*$E439)/$E$429*0+SUM(AI437:AI440)/$AI$429</f>
        <v>574.11669852234184</v>
      </c>
      <c r="AJ436" s="3387">
        <f t="shared" ref="AJ436:AT436" si="144">(AJ437*$E437+AJ438*$E438+AJ439*$E439)/$E$429*0+SUM(AJ437:AJ440)/$AI$429</f>
        <v>602.67717638644126</v>
      </c>
      <c r="AK436" s="1671">
        <f t="shared" si="144"/>
        <v>643.02930346647986</v>
      </c>
      <c r="AL436" s="1671">
        <f t="shared" si="144"/>
        <v>682.01660559126174</v>
      </c>
      <c r="AM436" s="1671">
        <f t="shared" si="144"/>
        <v>726.63018150108303</v>
      </c>
      <c r="AN436" s="1671">
        <f t="shared" si="144"/>
        <v>728.92618661199197</v>
      </c>
      <c r="AO436" s="1671">
        <f t="shared" si="144"/>
        <v>791.49295766815032</v>
      </c>
      <c r="AP436" s="1671">
        <f t="shared" si="144"/>
        <v>848.6978067452601</v>
      </c>
      <c r="AQ436" s="1671">
        <f t="shared" si="144"/>
        <v>910.0736674573825</v>
      </c>
      <c r="AR436" s="1671">
        <f t="shared" si="144"/>
        <v>975.92796048745856</v>
      </c>
      <c r="AS436" s="1671">
        <f t="shared" si="144"/>
        <v>1046.5910693738597</v>
      </c>
      <c r="AT436" s="1671">
        <f t="shared" si="144"/>
        <v>1122.4180844211485</v>
      </c>
      <c r="AU436" s="1471"/>
      <c r="AV436" s="1579" t="s">
        <v>765</v>
      </c>
      <c r="AW436" s="1471"/>
      <c r="AX436" s="1471"/>
      <c r="AY436" s="1580"/>
    </row>
    <row r="437" spans="1:51">
      <c r="D437" s="2080" t="s">
        <v>44</v>
      </c>
      <c r="E437" s="2992">
        <v>226</v>
      </c>
      <c r="F437" s="2922"/>
      <c r="G437" s="143"/>
      <c r="H437" s="143"/>
      <c r="I437" s="137"/>
      <c r="J437" s="138"/>
      <c r="K437" s="138"/>
      <c r="L437" s="137"/>
      <c r="M437" s="143"/>
      <c r="N437" s="143"/>
      <c r="O437" s="143"/>
      <c r="P437" s="137"/>
      <c r="Q437" s="138"/>
      <c r="R437" s="138"/>
      <c r="S437" s="137"/>
      <c r="T437" s="143"/>
      <c r="U437" s="143"/>
      <c r="V437" s="143"/>
      <c r="W437" s="223"/>
      <c r="X437" s="223"/>
      <c r="Y437" s="223"/>
      <c r="Z437" s="225">
        <v>742625.57502048509</v>
      </c>
      <c r="AA437" s="1248">
        <v>751283.73969410942</v>
      </c>
      <c r="AB437" s="1402">
        <v>846183.96650396998</v>
      </c>
      <c r="AC437" s="1403">
        <v>916062.1698874312</v>
      </c>
      <c r="AD437" s="1403">
        <v>973407.89608191862</v>
      </c>
      <c r="AE437" s="1417">
        <v>858521.5596827066</v>
      </c>
      <c r="AF437" s="1417">
        <v>938281</v>
      </c>
      <c r="AG437" s="1417">
        <v>908007.15192073258</v>
      </c>
      <c r="AH437" s="1670">
        <v>162605523502.90442</v>
      </c>
      <c r="AI437" s="3433">
        <v>197721134222.91745</v>
      </c>
      <c r="AJ437" s="3385">
        <v>214558030870.81665</v>
      </c>
      <c r="AK437" s="1670">
        <v>245002275015.35419</v>
      </c>
      <c r="AL437" s="1670">
        <v>281537701991.32806</v>
      </c>
      <c r="AM437" s="1670">
        <v>315923986204.00934</v>
      </c>
      <c r="AN437" s="1670">
        <v>316187562873.60913</v>
      </c>
      <c r="AO437" s="1670">
        <v>370797750998.34235</v>
      </c>
      <c r="AP437" s="1667">
        <f t="shared" ref="AP437:AT440" si="145">AO437*(1+$AY437)</f>
        <v>397046238992.04297</v>
      </c>
      <c r="AQ437" s="1667">
        <f t="shared" si="145"/>
        <v>425152837290.08179</v>
      </c>
      <c r="AR437" s="1667">
        <f t="shared" si="145"/>
        <v>455249080093.73993</v>
      </c>
      <c r="AS437" s="1667">
        <f t="shared" si="145"/>
        <v>487475812809.37933</v>
      </c>
      <c r="AT437" s="1667">
        <f t="shared" si="145"/>
        <v>521983851181.49896</v>
      </c>
      <c r="AU437" s="1538">
        <f t="shared" ref="AU437:AX439" si="146">AA437/Z437-1</f>
        <v>1.1658856043821997E-2</v>
      </c>
      <c r="AV437" s="1538">
        <f t="shared" si="146"/>
        <v>0.12631742415788194</v>
      </c>
      <c r="AW437" s="1538">
        <f t="shared" si="146"/>
        <v>8.2580391675541653E-2</v>
      </c>
      <c r="AX437" s="1538">
        <f t="shared" si="146"/>
        <v>6.2600255833656249E-2</v>
      </c>
      <c r="AY437" s="1580">
        <f>AVERAGE(AU437:AX437)</f>
        <v>7.078923192772546E-2</v>
      </c>
    </row>
    <row r="438" spans="1:51">
      <c r="D438" s="2080" t="s">
        <v>45</v>
      </c>
      <c r="E438" s="2992">
        <v>228</v>
      </c>
      <c r="F438" s="2923"/>
      <c r="G438" s="144"/>
      <c r="H438" s="144"/>
      <c r="I438" s="137"/>
      <c r="J438" s="144"/>
      <c r="K438" s="144"/>
      <c r="L438" s="137"/>
      <c r="M438" s="144"/>
      <c r="N438" s="144"/>
      <c r="O438" s="144"/>
      <c r="P438" s="137"/>
      <c r="Q438" s="144"/>
      <c r="R438" s="144"/>
      <c r="S438" s="137"/>
      <c r="T438" s="144"/>
      <c r="U438" s="144"/>
      <c r="V438" s="144"/>
      <c r="W438" s="227"/>
      <c r="X438" s="227"/>
      <c r="Y438" s="227"/>
      <c r="Z438" s="227">
        <v>931026.41385771113</v>
      </c>
      <c r="AA438" s="1249">
        <v>919458</v>
      </c>
      <c r="AB438" s="1361">
        <v>895874</v>
      </c>
      <c r="AC438" s="1404">
        <v>1055007</v>
      </c>
      <c r="AD438" s="1404">
        <v>1186731</v>
      </c>
      <c r="AE438" s="1418">
        <v>1247584</v>
      </c>
      <c r="AF438" s="1418">
        <v>1328749.9563764574</v>
      </c>
      <c r="AG438" s="1418">
        <v>1343765.1555977466</v>
      </c>
      <c r="AH438" s="1668">
        <v>194171038523.83182</v>
      </c>
      <c r="AI438" s="3431">
        <v>203573332031.07584</v>
      </c>
      <c r="AJ438" s="3386">
        <v>208428382366.91739</v>
      </c>
      <c r="AK438" s="1668">
        <v>211155383449.20798</v>
      </c>
      <c r="AL438" s="1668">
        <v>207974441562.82178</v>
      </c>
      <c r="AM438" s="1668">
        <v>209776083100.09662</v>
      </c>
      <c r="AN438" s="1670">
        <v>206696695296.33859</v>
      </c>
      <c r="AO438" s="1670">
        <v>209064589306.59244</v>
      </c>
      <c r="AP438" s="1667">
        <f t="shared" si="145"/>
        <v>222884254271.80563</v>
      </c>
      <c r="AQ438" s="1667">
        <f t="shared" si="145"/>
        <v>237617431852.35065</v>
      </c>
      <c r="AR438" s="1667">
        <f t="shared" si="145"/>
        <v>253324507397.68936</v>
      </c>
      <c r="AS438" s="1667">
        <f t="shared" si="145"/>
        <v>270069857872.03363</v>
      </c>
      <c r="AT438" s="1667">
        <f t="shared" si="145"/>
        <v>287922115709.54279</v>
      </c>
      <c r="AU438" s="1538">
        <f t="shared" si="146"/>
        <v>-1.2425441089020661E-2</v>
      </c>
      <c r="AV438" s="1538">
        <f t="shared" si="146"/>
        <v>-2.5649893741747865E-2</v>
      </c>
      <c r="AW438" s="1538">
        <f t="shared" si="146"/>
        <v>0.17762877368915708</v>
      </c>
      <c r="AX438" s="1538">
        <f t="shared" si="146"/>
        <v>0.12485604360918923</v>
      </c>
      <c r="AY438" s="1580">
        <f>AVERAGE(AU438:AX438)</f>
        <v>6.6102370616894446E-2</v>
      </c>
    </row>
    <row r="439" spans="1:51">
      <c r="D439" s="2080" t="s">
        <v>46</v>
      </c>
      <c r="E439" s="2992">
        <v>286</v>
      </c>
      <c r="F439" s="2923"/>
      <c r="G439" s="976"/>
      <c r="H439" s="976"/>
      <c r="I439" s="977"/>
      <c r="J439" s="976"/>
      <c r="K439" s="976"/>
      <c r="L439" s="977"/>
      <c r="M439" s="976"/>
      <c r="N439" s="976"/>
      <c r="O439" s="976"/>
      <c r="P439" s="977"/>
      <c r="Q439" s="976"/>
      <c r="R439" s="976"/>
      <c r="S439" s="977"/>
      <c r="T439" s="976"/>
      <c r="U439" s="976"/>
      <c r="V439" s="976"/>
      <c r="W439" s="978"/>
      <c r="X439" s="978"/>
      <c r="Y439" s="978"/>
      <c r="Z439" s="978">
        <v>873423.10906479205</v>
      </c>
      <c r="AA439" s="1250">
        <v>930219.58433768805</v>
      </c>
      <c r="AB439" s="1361">
        <v>1041986.2022803796</v>
      </c>
      <c r="AC439" s="1361">
        <v>1127199.7839436582</v>
      </c>
      <c r="AD439" s="1361">
        <v>1181825.237335711</v>
      </c>
      <c r="AE439" s="1420">
        <v>1279582</v>
      </c>
      <c r="AF439" s="1420">
        <v>1319875</v>
      </c>
      <c r="AG439" s="1420">
        <v>1375140.1091877599</v>
      </c>
      <c r="AH439" s="1474">
        <v>153929514394.39191</v>
      </c>
      <c r="AI439" s="3431">
        <v>162759490336.41388</v>
      </c>
      <c r="AJ439" s="3386">
        <v>168473078115.56216</v>
      </c>
      <c r="AK439" s="1474">
        <v>174540562531.15955</v>
      </c>
      <c r="AL439" s="1474">
        <v>179133972518.69943</v>
      </c>
      <c r="AM439" s="1474">
        <v>186619359022.70697</v>
      </c>
      <c r="AN439" s="1670">
        <v>190905612409.77667</v>
      </c>
      <c r="AO439" s="1670">
        <v>195789037475.32617</v>
      </c>
      <c r="AP439" s="1667">
        <f t="shared" si="145"/>
        <v>211227952107.15115</v>
      </c>
      <c r="AQ439" s="1667">
        <f t="shared" si="145"/>
        <v>227884299993.06638</v>
      </c>
      <c r="AR439" s="1667">
        <f t="shared" si="145"/>
        <v>245854081646.28857</v>
      </c>
      <c r="AS439" s="1667">
        <f t="shared" si="145"/>
        <v>265240867685.83447</v>
      </c>
      <c r="AT439" s="1667">
        <f t="shared" si="145"/>
        <v>286156395776.05682</v>
      </c>
      <c r="AU439" s="1538">
        <f t="shared" si="146"/>
        <v>6.5027447388826376E-2</v>
      </c>
      <c r="AV439" s="1538">
        <f t="shared" si="146"/>
        <v>0.12015079001187545</v>
      </c>
      <c r="AW439" s="1538">
        <f t="shared" si="146"/>
        <v>8.1779952053865346E-2</v>
      </c>
      <c r="AX439" s="1538">
        <f t="shared" si="146"/>
        <v>4.8461199310150915E-2</v>
      </c>
      <c r="AY439" s="1580">
        <f>AVERAGE(AU439:AX439)</f>
        <v>7.8854847191179522E-2</v>
      </c>
    </row>
    <row r="440" spans="1:51">
      <c r="D440" s="2080" t="s">
        <v>1233</v>
      </c>
      <c r="E440" s="2994">
        <v>126</v>
      </c>
      <c r="F440" s="2923"/>
      <c r="G440" s="976"/>
      <c r="H440" s="976"/>
      <c r="I440" s="977"/>
      <c r="J440" s="976"/>
      <c r="K440" s="976"/>
      <c r="L440" s="977"/>
      <c r="M440" s="976"/>
      <c r="N440" s="976"/>
      <c r="O440" s="976"/>
      <c r="P440" s="977"/>
      <c r="Q440" s="976"/>
      <c r="R440" s="976"/>
      <c r="S440" s="977"/>
      <c r="T440" s="976"/>
      <c r="U440" s="976"/>
      <c r="V440" s="976"/>
      <c r="W440" s="978"/>
      <c r="X440" s="978"/>
      <c r="Y440" s="978"/>
      <c r="Z440" s="978"/>
      <c r="AA440" s="1250"/>
      <c r="AB440" s="1250"/>
      <c r="AC440" s="1250"/>
      <c r="AD440" s="1250"/>
      <c r="AE440" s="1250"/>
      <c r="AF440" s="1250"/>
      <c r="AG440" s="1250"/>
      <c r="AH440" s="1672">
        <v>8902163699.5192127</v>
      </c>
      <c r="AI440" s="3435">
        <v>10062741931.934523</v>
      </c>
      <c r="AJ440" s="3388">
        <v>11217685033.145132</v>
      </c>
      <c r="AK440" s="1673">
        <v>12331082470.758224</v>
      </c>
      <c r="AL440" s="1673">
        <v>13370489518.412477</v>
      </c>
      <c r="AM440" s="1673">
        <v>14310753174.269985</v>
      </c>
      <c r="AN440" s="1673">
        <v>15136316032.267559</v>
      </c>
      <c r="AO440" s="1673">
        <v>15841579887.889278</v>
      </c>
      <c r="AP440" s="1667">
        <f t="shared" si="145"/>
        <v>17539361374.260395</v>
      </c>
      <c r="AQ440" s="1667">
        <f t="shared" si="145"/>
        <v>19419098321.883713</v>
      </c>
      <c r="AR440" s="1667">
        <f t="shared" si="145"/>
        <v>21500291349.740696</v>
      </c>
      <c r="AS440" s="1667">
        <f t="shared" si="145"/>
        <v>23804531006.612347</v>
      </c>
      <c r="AT440" s="1667">
        <f t="shared" si="145"/>
        <v>26355721754.049751</v>
      </c>
      <c r="AU440" s="1780">
        <f>AI440/AH440-1</f>
        <v>0.13037035394866869</v>
      </c>
      <c r="AV440" s="1780">
        <f>AJ440/AI440-1</f>
        <v>0.11477419465020278</v>
      </c>
      <c r="AW440" s="1780">
        <f>AK440/AJ440-1</f>
        <v>9.9253761745254243E-2</v>
      </c>
      <c r="AX440" s="1780">
        <f>AL440/AK440-1</f>
        <v>8.429163052952493E-2</v>
      </c>
      <c r="AY440" s="1782">
        <f>AVERAGE(AU440:AX440)</f>
        <v>0.10717248521841266</v>
      </c>
    </row>
    <row r="441" spans="1:51">
      <c r="D441" s="2079" t="s">
        <v>464</v>
      </c>
      <c r="E441" s="2991" t="str">
        <f>E431</f>
        <v>Price/kg or in 1000 frw/MT</v>
      </c>
      <c r="F441" s="2923"/>
      <c r="G441" s="976"/>
      <c r="H441" s="976"/>
      <c r="I441" s="977"/>
      <c r="J441" s="976"/>
      <c r="K441" s="976"/>
      <c r="L441" s="977"/>
      <c r="M441" s="976"/>
      <c r="N441" s="976"/>
      <c r="O441" s="976"/>
      <c r="P441" s="977"/>
      <c r="Q441" s="976"/>
      <c r="R441" s="976"/>
      <c r="S441" s="977"/>
      <c r="T441" s="976"/>
      <c r="U441" s="976"/>
      <c r="V441" s="976"/>
      <c r="W441" s="978"/>
      <c r="X441" s="978"/>
      <c r="Y441" s="978"/>
      <c r="Z441" s="1385">
        <f>(Z442*$E442+Z443*$E443)/$E$429</f>
        <v>219.78502349500289</v>
      </c>
      <c r="AA441" s="1385">
        <f t="shared" ref="AA441:AG441" si="147">(AA442*$E442+AA443*$E443)/$E$429</f>
        <v>221.1708387467956</v>
      </c>
      <c r="AB441" s="1385">
        <f t="shared" si="147"/>
        <v>224.84370709420568</v>
      </c>
      <c r="AC441" s="1385">
        <f t="shared" si="147"/>
        <v>241.3147544527605</v>
      </c>
      <c r="AD441" s="1385">
        <f t="shared" si="147"/>
        <v>241.23219007350903</v>
      </c>
      <c r="AE441" s="1385">
        <f t="shared" si="147"/>
        <v>218.17995218419105</v>
      </c>
      <c r="AF441" s="1385">
        <f t="shared" si="147"/>
        <v>245.06814121513546</v>
      </c>
      <c r="AG441" s="1385">
        <f t="shared" si="147"/>
        <v>224.03407057118457</v>
      </c>
      <c r="AH441" s="1666">
        <f>(AH442*$E442+AH443*$E443)/$E$429*0+SUM(AH442:AH443)/$AI$429</f>
        <v>229.8907432239312</v>
      </c>
      <c r="AI441" s="3430">
        <f>(AI442*$E442+AI443*$E443)/$E$429*0+SUM(AI442:AI443)/$AI$429</f>
        <v>257.09223757850441</v>
      </c>
      <c r="AJ441" s="3382">
        <f t="shared" ref="AJ441:AT441" si="148">(AJ442*$E442+AJ443*$E443)/$E$429*0+SUM(AJ442:AJ443)/$AI$429</f>
        <v>288.83514961984923</v>
      </c>
      <c r="AK441" s="1666">
        <f t="shared" si="148"/>
        <v>321.38806857031938</v>
      </c>
      <c r="AL441" s="1666">
        <f t="shared" si="148"/>
        <v>357.74970005738703</v>
      </c>
      <c r="AM441" s="1666">
        <f t="shared" si="148"/>
        <v>362.35375505136705</v>
      </c>
      <c r="AN441" s="1666">
        <f t="shared" si="148"/>
        <v>385.53315390047044</v>
      </c>
      <c r="AO441" s="1666">
        <f t="shared" si="148"/>
        <v>414.87575060691734</v>
      </c>
      <c r="AP441" s="1666">
        <f t="shared" si="148"/>
        <v>435.3681560155261</v>
      </c>
      <c r="AQ441" s="1666">
        <f t="shared" si="148"/>
        <v>457.18225345199409</v>
      </c>
      <c r="AR441" s="1666">
        <f t="shared" si="148"/>
        <v>480.43107652229355</v>
      </c>
      <c r="AS441" s="1666">
        <f t="shared" si="148"/>
        <v>505.2392365655225</v>
      </c>
      <c r="AT441" s="1666">
        <f t="shared" si="148"/>
        <v>531.74420762697446</v>
      </c>
      <c r="AU441" s="1471"/>
      <c r="AV441" s="1471"/>
      <c r="AW441" s="1471"/>
      <c r="AX441" s="1471"/>
      <c r="AY441" s="1580"/>
    </row>
    <row r="442" spans="1:51">
      <c r="D442" s="2080" t="s">
        <v>465</v>
      </c>
      <c r="E442" s="2995">
        <v>464</v>
      </c>
      <c r="F442" s="2923"/>
      <c r="G442" s="976"/>
      <c r="H442" s="976"/>
      <c r="I442" s="977"/>
      <c r="J442" s="976"/>
      <c r="K442" s="976"/>
      <c r="L442" s="977"/>
      <c r="M442" s="976"/>
      <c r="N442" s="976"/>
      <c r="O442" s="976"/>
      <c r="P442" s="977"/>
      <c r="Q442" s="976"/>
      <c r="R442" s="976"/>
      <c r="S442" s="977"/>
      <c r="T442" s="976"/>
      <c r="U442" s="976"/>
      <c r="V442" s="976"/>
      <c r="W442" s="978"/>
      <c r="X442" s="978"/>
      <c r="Y442" s="978"/>
      <c r="Z442" s="1250">
        <v>434418.61043819069</v>
      </c>
      <c r="AA442" s="1250">
        <v>437742.67833361117</v>
      </c>
      <c r="AB442" s="1361">
        <v>455821.99373751221</v>
      </c>
      <c r="AC442" s="1361">
        <v>485755.50959646655</v>
      </c>
      <c r="AD442" s="1361">
        <v>484251.27171014878</v>
      </c>
      <c r="AE442" s="1361">
        <v>438733</v>
      </c>
      <c r="AF442" s="1361">
        <v>491976</v>
      </c>
      <c r="AG442" s="1361">
        <v>449489.44088617363</v>
      </c>
      <c r="AH442" s="1672">
        <v>209421743723.31729</v>
      </c>
      <c r="AI442" s="3435">
        <v>235380303449.22168</v>
      </c>
      <c r="AJ442" s="3389">
        <v>264802841380.37439</v>
      </c>
      <c r="AK442" s="1672">
        <v>294225379311.5271</v>
      </c>
      <c r="AL442" s="1672">
        <v>325718455574.86816</v>
      </c>
      <c r="AM442" s="1672">
        <v>326132563241.30579</v>
      </c>
      <c r="AN442" s="1672">
        <v>333972911384.97699</v>
      </c>
      <c r="AO442" s="1672">
        <v>355276668669.88684</v>
      </c>
      <c r="AP442" s="1667">
        <f t="shared" ref="AP442:AT444" si="149">AO442*(1+$AY442)</f>
        <v>368850879754.9007</v>
      </c>
      <c r="AQ442" s="1667">
        <f t="shared" si="149"/>
        <v>382943726660.47198</v>
      </c>
      <c r="AR442" s="1667">
        <f t="shared" si="149"/>
        <v>397575025132.25842</v>
      </c>
      <c r="AS442" s="1667">
        <f t="shared" si="149"/>
        <v>412765348024.77991</v>
      </c>
      <c r="AT442" s="1667">
        <f t="shared" si="149"/>
        <v>428536054228.60803</v>
      </c>
      <c r="AU442" s="1538">
        <f t="shared" ref="AU442:AX444" si="150">AA442/Z442-1</f>
        <v>7.6517621841005745E-3</v>
      </c>
      <c r="AV442" s="1538">
        <f t="shared" si="150"/>
        <v>4.1301239972133752E-2</v>
      </c>
      <c r="AW442" s="1538">
        <f t="shared" si="150"/>
        <v>6.566931010396071E-2</v>
      </c>
      <c r="AX442" s="1507">
        <f t="shared" si="150"/>
        <v>-3.0966975291075727E-3</v>
      </c>
      <c r="AY442" s="1580">
        <f>AVERAGE(AU442:AW442)</f>
        <v>3.8207437420065014E-2</v>
      </c>
    </row>
    <row r="443" spans="1:51">
      <c r="D443" s="2081" t="s">
        <v>467</v>
      </c>
      <c r="E443" s="2995">
        <v>1074</v>
      </c>
      <c r="F443" s="2923"/>
      <c r="G443" s="976"/>
      <c r="H443" s="976"/>
      <c r="I443" s="977"/>
      <c r="J443" s="976"/>
      <c r="K443" s="976"/>
      <c r="L443" s="977"/>
      <c r="M443" s="976"/>
      <c r="N443" s="976"/>
      <c r="O443" s="976"/>
      <c r="P443" s="977"/>
      <c r="Q443" s="976"/>
      <c r="R443" s="976"/>
      <c r="S443" s="977"/>
      <c r="T443" s="976"/>
      <c r="U443" s="976"/>
      <c r="V443" s="976"/>
      <c r="W443" s="978"/>
      <c r="X443" s="978"/>
      <c r="Y443" s="978"/>
      <c r="Z443" s="1250">
        <v>16959.765597469639</v>
      </c>
      <c r="AA443" s="1250">
        <v>16814</v>
      </c>
      <c r="AB443" s="1361">
        <v>12423</v>
      </c>
      <c r="AC443" s="1361">
        <v>14827</v>
      </c>
      <c r="AD443" s="1361">
        <v>15400</v>
      </c>
      <c r="AE443" s="1361">
        <v>13601.340953622948</v>
      </c>
      <c r="AF443" s="1361">
        <v>15634.336326941755</v>
      </c>
      <c r="AG443" s="1361">
        <v>14405</v>
      </c>
      <c r="AH443" s="1672">
        <v>20468999500.613895</v>
      </c>
      <c r="AI443" s="3435">
        <v>21711934129.28273</v>
      </c>
      <c r="AJ443" s="3389">
        <v>24032308239.47488</v>
      </c>
      <c r="AK443" s="1672">
        <v>27162689258.792271</v>
      </c>
      <c r="AL443" s="1672">
        <v>32031244482.518871</v>
      </c>
      <c r="AM443" s="1672">
        <v>36221191810.061279</v>
      </c>
      <c r="AN443" s="1672">
        <v>51560242515.493492</v>
      </c>
      <c r="AO443" s="1672">
        <v>59599081937.030525</v>
      </c>
      <c r="AP443" s="1667">
        <f t="shared" si="149"/>
        <v>66517276260.62542</v>
      </c>
      <c r="AQ443" s="1667">
        <f t="shared" si="149"/>
        <v>74238526791.52211</v>
      </c>
      <c r="AR443" s="1667">
        <f t="shared" si="149"/>
        <v>82856051390.035172</v>
      </c>
      <c r="AS443" s="1667">
        <f t="shared" si="149"/>
        <v>92473888540.742599</v>
      </c>
      <c r="AT443" s="1667">
        <f t="shared" si="149"/>
        <v>103208153398.36647</v>
      </c>
      <c r="AU443" s="1538">
        <f t="shared" si="150"/>
        <v>-8.594788449870272E-3</v>
      </c>
      <c r="AV443" s="1538">
        <f t="shared" si="150"/>
        <v>-0.26115142143451886</v>
      </c>
      <c r="AW443" s="1538">
        <f t="shared" si="150"/>
        <v>0.19351203413024232</v>
      </c>
      <c r="AX443" s="1507">
        <f t="shared" si="150"/>
        <v>3.8645713900316903E-2</v>
      </c>
      <c r="AY443" s="1580">
        <f>AVERAGE(AW443:AX443)</f>
        <v>0.11607887401527961</v>
      </c>
    </row>
    <row r="444" spans="1:51">
      <c r="D444" s="2081" t="s">
        <v>1077</v>
      </c>
      <c r="E444" s="2996">
        <v>173.6</v>
      </c>
      <c r="F444" s="2923"/>
      <c r="G444" s="976"/>
      <c r="H444" s="976"/>
      <c r="I444" s="977"/>
      <c r="J444" s="976"/>
      <c r="K444" s="976"/>
      <c r="L444" s="977"/>
      <c r="M444" s="976"/>
      <c r="N444" s="976"/>
      <c r="O444" s="976"/>
      <c r="P444" s="977"/>
      <c r="Q444" s="976"/>
      <c r="R444" s="976"/>
      <c r="S444" s="977"/>
      <c r="T444" s="976"/>
      <c r="U444" s="976"/>
      <c r="V444" s="976"/>
      <c r="W444" s="978"/>
      <c r="X444" s="978"/>
      <c r="Y444" s="978"/>
      <c r="Z444" s="1250">
        <v>260173</v>
      </c>
      <c r="AA444" s="1250">
        <v>339937</v>
      </c>
      <c r="AB444" s="1250">
        <v>318899</v>
      </c>
      <c r="AC444" s="1250">
        <v>348625.12604067044</v>
      </c>
      <c r="AD444" s="1250">
        <v>314433</v>
      </c>
      <c r="AE444" s="1250">
        <v>326386.33131915249</v>
      </c>
      <c r="AF444" s="1250">
        <v>389583.53415046295</v>
      </c>
      <c r="AG444" s="1250">
        <v>373164</v>
      </c>
      <c r="AH444" s="1672">
        <v>120547532590.14935</v>
      </c>
      <c r="AI444" s="3435">
        <v>126557836520.62122</v>
      </c>
      <c r="AJ444" s="3389">
        <v>136825467600.62959</v>
      </c>
      <c r="AK444" s="1672">
        <v>149987780332.43573</v>
      </c>
      <c r="AL444" s="1672">
        <v>169494892053.1731</v>
      </c>
      <c r="AM444" s="1672">
        <v>185564218035.27673</v>
      </c>
      <c r="AN444" s="1672">
        <v>204561099436.80728</v>
      </c>
      <c r="AO444" s="1672">
        <v>218247431968.69333</v>
      </c>
      <c r="AP444" s="1667">
        <f t="shared" si="149"/>
        <v>231333029022.62073</v>
      </c>
      <c r="AQ444" s="1667">
        <f t="shared" si="149"/>
        <v>245203207359.87939</v>
      </c>
      <c r="AR444" s="1667">
        <f t="shared" si="149"/>
        <v>259905008608.57516</v>
      </c>
      <c r="AS444" s="1667">
        <f t="shared" si="149"/>
        <v>275488294900.97565</v>
      </c>
      <c r="AT444" s="1667">
        <f t="shared" si="149"/>
        <v>292005917984.23279</v>
      </c>
      <c r="AU444" s="1538">
        <f t="shared" si="150"/>
        <v>0.30658062135579023</v>
      </c>
      <c r="AV444" s="1538">
        <f t="shared" si="150"/>
        <v>-6.188793805911097E-2</v>
      </c>
      <c r="AW444" s="1538">
        <f t="shared" si="150"/>
        <v>9.3214861259114823E-2</v>
      </c>
      <c r="AX444" s="1507">
        <f t="shared" si="150"/>
        <v>-9.8077056088841985E-2</v>
      </c>
      <c r="AY444" s="1580">
        <f>AVERAGE(AU444:AX444)</f>
        <v>5.9957622116738024E-2</v>
      </c>
    </row>
    <row r="445" spans="1:51" s="397" customFormat="1">
      <c r="A445" s="1387"/>
      <c r="B445" s="1165"/>
      <c r="C445" s="1165"/>
      <c r="D445" s="2082" t="s">
        <v>769</v>
      </c>
      <c r="E445" s="2995"/>
      <c r="F445" s="2924"/>
      <c r="G445" s="1388"/>
      <c r="H445" s="1388"/>
      <c r="I445" s="1389"/>
      <c r="J445" s="1388"/>
      <c r="K445" s="1388"/>
      <c r="L445" s="1389"/>
      <c r="M445" s="1388"/>
      <c r="N445" s="1388"/>
      <c r="O445" s="1388"/>
      <c r="P445" s="1389"/>
      <c r="Q445" s="1388"/>
      <c r="R445" s="1388"/>
      <c r="S445" s="1389"/>
      <c r="T445" s="1388"/>
      <c r="U445" s="1388"/>
      <c r="V445" s="1388"/>
      <c r="W445" s="1390"/>
      <c r="X445" s="1390"/>
      <c r="Y445" s="1390"/>
      <c r="Z445" s="1385">
        <f>(Z444*$E$444)/$E$429</f>
        <v>45.166032799999996</v>
      </c>
      <c r="AA445" s="1385">
        <f t="shared" ref="AA445:AG445" si="151">(AA444*$E$444)/$E$429</f>
        <v>59.013063199999998</v>
      </c>
      <c r="AB445" s="1385">
        <f t="shared" si="151"/>
        <v>55.360866399999999</v>
      </c>
      <c r="AC445" s="1385">
        <f t="shared" si="151"/>
        <v>60.521321880660388</v>
      </c>
      <c r="AD445" s="1385">
        <f t="shared" si="151"/>
        <v>54.585568799999997</v>
      </c>
      <c r="AE445" s="1385">
        <f t="shared" si="151"/>
        <v>56.66066711700487</v>
      </c>
      <c r="AF445" s="1385">
        <f t="shared" si="151"/>
        <v>67.631701528520367</v>
      </c>
      <c r="AG445" s="1385">
        <f t="shared" si="151"/>
        <v>64.781270399999997</v>
      </c>
      <c r="AH445" s="1666">
        <f>(AH444*$E$444)/$E$429*0+AH444/$AI$429</f>
        <v>120.54753259014936</v>
      </c>
      <c r="AI445" s="3430">
        <f>(AI444*$E$444)/$E$429*0+AI444/$AI$429</f>
        <v>126.55783652062122</v>
      </c>
      <c r="AJ445" s="3390">
        <f t="shared" ref="AJ445:AT445" si="152">(AJ444*$E$444)/$E$429*0+AJ444/$AI$429</f>
        <v>136.82546760062959</v>
      </c>
      <c r="AK445" s="1674">
        <f t="shared" si="152"/>
        <v>149.98778033243573</v>
      </c>
      <c r="AL445" s="1674">
        <f t="shared" si="152"/>
        <v>169.49489205317309</v>
      </c>
      <c r="AM445" s="1674">
        <f t="shared" si="152"/>
        <v>185.56421803527672</v>
      </c>
      <c r="AN445" s="1674">
        <f t="shared" si="152"/>
        <v>204.56109943680727</v>
      </c>
      <c r="AO445" s="1674">
        <f t="shared" si="152"/>
        <v>218.24743196869332</v>
      </c>
      <c r="AP445" s="1674">
        <f t="shared" si="152"/>
        <v>231.33302902262074</v>
      </c>
      <c r="AQ445" s="1674">
        <f t="shared" si="152"/>
        <v>245.2032073598794</v>
      </c>
      <c r="AR445" s="1674">
        <f t="shared" si="152"/>
        <v>259.90500860857514</v>
      </c>
      <c r="AS445" s="1674">
        <f t="shared" si="152"/>
        <v>275.48829490097563</v>
      </c>
      <c r="AT445" s="1674">
        <f t="shared" si="152"/>
        <v>292.00591798423278</v>
      </c>
      <c r="AU445" s="1579"/>
      <c r="AV445" s="1579"/>
      <c r="AW445" s="1579"/>
      <c r="AX445" s="1579"/>
      <c r="AY445" s="1580"/>
    </row>
    <row r="446" spans="1:51" s="397" customFormat="1">
      <c r="A446" s="1387"/>
      <c r="B446" s="1165"/>
      <c r="C446" s="1165"/>
      <c r="D446" s="2079" t="s">
        <v>47</v>
      </c>
      <c r="E446" s="2991" t="str">
        <f>E441</f>
        <v>Price/kg or in 1000 frw/MT</v>
      </c>
      <c r="F446" s="2924"/>
      <c r="G446" s="1388"/>
      <c r="H446" s="1388"/>
      <c r="I446" s="1389"/>
      <c r="J446" s="1388"/>
      <c r="K446" s="1388"/>
      <c r="L446" s="1389"/>
      <c r="M446" s="1388"/>
      <c r="N446" s="1388"/>
      <c r="O446" s="1388"/>
      <c r="P446" s="1389"/>
      <c r="Q446" s="1388"/>
      <c r="R446" s="1388"/>
      <c r="S446" s="1389"/>
      <c r="T446" s="1388"/>
      <c r="U446" s="1388"/>
      <c r="V446" s="1388"/>
      <c r="W446" s="1390"/>
      <c r="X446" s="1390"/>
      <c r="Y446" s="1390"/>
      <c r="Z446" s="1385">
        <f>(Z447*$E447+Z448*$E448+Z449*$E449)/$E429</f>
        <v>704.08076515860887</v>
      </c>
      <c r="AA446" s="1385">
        <f t="shared" ref="AA446:AG446" si="153">(AA447*$E447+AA448*$E448+AA449*$E449)/$E429</f>
        <v>714.86576940098053</v>
      </c>
      <c r="AB446" s="1385">
        <f>(AB447*$E447+AB448*$E448+AB449*$E449)/$E429</f>
        <v>652.90703146886506</v>
      </c>
      <c r="AC446" s="1385">
        <f t="shared" si="153"/>
        <v>674.07233791643705</v>
      </c>
      <c r="AD446" s="1385">
        <f t="shared" si="153"/>
        <v>717.80315900000005</v>
      </c>
      <c r="AE446" s="1385">
        <f t="shared" si="153"/>
        <v>787.84093900000005</v>
      </c>
      <c r="AF446" s="1385">
        <f t="shared" si="153"/>
        <v>833.69664299999999</v>
      </c>
      <c r="AG446" s="1385">
        <f t="shared" si="153"/>
        <v>858.29780500000004</v>
      </c>
      <c r="AH446" s="1666">
        <f>(AH447*$E447+AH448*$E448+AH449*$E449)/$E429*0+SUM(AH447:AH449)/$AI$429</f>
        <v>315.34035813525281</v>
      </c>
      <c r="AI446" s="3430">
        <f>(AI447*$E447+AI448*$E448+AI449*$E449)/$E429*0+SUM(AI447:AI449)/$AI$429</f>
        <v>327.27582794302469</v>
      </c>
      <c r="AJ446" s="3390">
        <f t="shared" ref="AJ446:AT446" si="154">(AJ447*$E447+AJ448*$E448+AJ449*$E449)/$E429*0+SUM(AJ447:AJ449)/$AI$429</f>
        <v>338.87111668516388</v>
      </c>
      <c r="AK446" s="1674">
        <f t="shared" si="154"/>
        <v>350.04352584393848</v>
      </c>
      <c r="AL446" s="1674">
        <f t="shared" si="154"/>
        <v>361.24301188203617</v>
      </c>
      <c r="AM446" s="1674">
        <f t="shared" si="154"/>
        <v>373.44231250226062</v>
      </c>
      <c r="AN446" s="1674">
        <f t="shared" si="154"/>
        <v>383.79064394082621</v>
      </c>
      <c r="AO446" s="1674">
        <f t="shared" si="154"/>
        <v>395.33710579433222</v>
      </c>
      <c r="AP446" s="1674">
        <f t="shared" si="154"/>
        <v>399.97572431801387</v>
      </c>
      <c r="AQ446" s="1674">
        <f t="shared" si="154"/>
        <v>404.94607381210693</v>
      </c>
      <c r="AR446" s="1674">
        <f t="shared" si="154"/>
        <v>410.25958480577009</v>
      </c>
      <c r="AS446" s="1674">
        <f t="shared" si="154"/>
        <v>415.92856089925971</v>
      </c>
      <c r="AT446" s="1674">
        <f t="shared" si="154"/>
        <v>421.96623232499985</v>
      </c>
      <c r="AU446" s="1579"/>
      <c r="AV446" s="1579"/>
      <c r="AW446" s="1579"/>
      <c r="AX446" s="1579"/>
      <c r="AY446" s="1580"/>
    </row>
    <row r="447" spans="1:51">
      <c r="D447" s="2080" t="s">
        <v>766</v>
      </c>
      <c r="E447" s="2997">
        <v>254</v>
      </c>
      <c r="F447" s="2923"/>
      <c r="G447" s="976"/>
      <c r="H447" s="976"/>
      <c r="I447" s="977"/>
      <c r="J447" s="976"/>
      <c r="K447" s="976"/>
      <c r="L447" s="977"/>
      <c r="M447" s="976"/>
      <c r="N447" s="976"/>
      <c r="O447" s="976"/>
      <c r="P447" s="977"/>
      <c r="Q447" s="976"/>
      <c r="R447" s="976"/>
      <c r="S447" s="977"/>
      <c r="T447" s="976"/>
      <c r="U447" s="976"/>
      <c r="V447" s="976"/>
      <c r="W447" s="978"/>
      <c r="X447" s="978"/>
      <c r="Y447" s="978"/>
      <c r="Z447" s="1362">
        <v>910652.17217886006</v>
      </c>
      <c r="AA447" s="1473">
        <v>939619.64179260749</v>
      </c>
      <c r="AB447" s="1473">
        <v>780448.2671080546</v>
      </c>
      <c r="AC447" s="1473">
        <v>780660.76879301202</v>
      </c>
      <c r="AD447" s="1473">
        <v>805783</v>
      </c>
      <c r="AE447" s="1474">
        <v>859882</v>
      </c>
      <c r="AF447" s="1474">
        <v>907640</v>
      </c>
      <c r="AG447" s="1474">
        <v>939860</v>
      </c>
      <c r="AH447" s="1474">
        <v>95026922039.780853</v>
      </c>
      <c r="AI447" s="3431">
        <v>96126081201.014267</v>
      </c>
      <c r="AJ447" s="3386">
        <v>97217458781.170532</v>
      </c>
      <c r="AK447" s="1474">
        <v>98300646125.582275</v>
      </c>
      <c r="AL447" s="1474">
        <v>99375247788.945419</v>
      </c>
      <c r="AM447" s="1474">
        <v>100440882033.71104</v>
      </c>
      <c r="AN447" s="1474">
        <v>101497181283.39514</v>
      </c>
      <c r="AO447" s="1474">
        <v>102543792530.07626</v>
      </c>
      <c r="AP447" s="1667">
        <f t="shared" ref="AP447:AT450" si="155">AO447*(1+$AY447)</f>
        <v>99848500746.661285</v>
      </c>
      <c r="AQ447" s="1667">
        <f t="shared" si="155"/>
        <v>97224052820.475525</v>
      </c>
      <c r="AR447" s="1667">
        <f t="shared" si="155"/>
        <v>94668586670.338028</v>
      </c>
      <c r="AS447" s="1667">
        <f t="shared" si="155"/>
        <v>92180289158.567795</v>
      </c>
      <c r="AT447" s="1667">
        <f t="shared" si="155"/>
        <v>89757394804.538193</v>
      </c>
      <c r="AU447" s="1538">
        <f t="shared" ref="AU447:AX450" si="156">AA447/Z447-1</f>
        <v>3.1809587127474614E-2</v>
      </c>
      <c r="AV447" s="1538">
        <f t="shared" si="156"/>
        <v>-0.16939979498607072</v>
      </c>
      <c r="AW447" s="1507">
        <f t="shared" si="156"/>
        <v>2.7228157702863243E-4</v>
      </c>
      <c r="AX447" s="1507">
        <f t="shared" si="156"/>
        <v>3.2180727162490541E-2</v>
      </c>
      <c r="AY447" s="1580">
        <f>AVERAGE(AU447:AX447)</f>
        <v>-2.6284299779769232E-2</v>
      </c>
    </row>
    <row r="448" spans="1:51">
      <c r="D448" s="2080" t="s">
        <v>767</v>
      </c>
      <c r="E448" s="2997">
        <v>581</v>
      </c>
      <c r="F448" s="2923"/>
      <c r="G448" s="976"/>
      <c r="H448" s="976"/>
      <c r="I448" s="977"/>
      <c r="J448" s="976"/>
      <c r="K448" s="976"/>
      <c r="L448" s="977"/>
      <c r="M448" s="976"/>
      <c r="N448" s="976"/>
      <c r="O448" s="976"/>
      <c r="P448" s="977"/>
      <c r="Q448" s="976"/>
      <c r="R448" s="976"/>
      <c r="S448" s="977"/>
      <c r="T448" s="976"/>
      <c r="U448" s="976"/>
      <c r="V448" s="976"/>
      <c r="W448" s="978"/>
      <c r="X448" s="978"/>
      <c r="Y448" s="978"/>
      <c r="Z448" s="1362">
        <v>765537.70379946847</v>
      </c>
      <c r="AA448" s="1362">
        <v>771082.30225852807</v>
      </c>
      <c r="AB448" s="1362">
        <v>724751.61047370092</v>
      </c>
      <c r="AC448" s="1362">
        <v>759696.20316954388</v>
      </c>
      <c r="AD448" s="1362">
        <v>820917</v>
      </c>
      <c r="AE448" s="1421">
        <v>913231</v>
      </c>
      <c r="AF448" s="1421">
        <v>969193</v>
      </c>
      <c r="AG448" s="1421">
        <v>996015</v>
      </c>
      <c r="AH448" s="1474">
        <v>187004797457.18417</v>
      </c>
      <c r="AI448" s="3431">
        <v>196065847675.38074</v>
      </c>
      <c r="AJ448" s="3386">
        <v>205688711364.96997</v>
      </c>
      <c r="AK448" s="1474">
        <v>215311575054.5592</v>
      </c>
      <c r="AL448" s="1474">
        <v>226137296705.34708</v>
      </c>
      <c r="AM448" s="1474">
        <v>236963018356.13495</v>
      </c>
      <c r="AN448" s="1474">
        <v>246940348021.556</v>
      </c>
      <c r="AO448" s="1474">
        <v>257011296706.49591</v>
      </c>
      <c r="AP448" s="1667">
        <f t="shared" si="155"/>
        <v>261891897923.73785</v>
      </c>
      <c r="AQ448" s="1667">
        <f t="shared" si="155"/>
        <v>266865180935.69852</v>
      </c>
      <c r="AR448" s="1667">
        <f t="shared" si="155"/>
        <v>271932905754.04245</v>
      </c>
      <c r="AS448" s="1667">
        <f t="shared" si="155"/>
        <v>277096865812.75909</v>
      </c>
      <c r="AT448" s="1667">
        <f t="shared" si="155"/>
        <v>282358888602.84723</v>
      </c>
      <c r="AU448" s="1538">
        <f t="shared" si="156"/>
        <v>7.2427503329242082E-3</v>
      </c>
      <c r="AV448" s="1538">
        <f t="shared" si="156"/>
        <v>-6.0085274489017459E-2</v>
      </c>
      <c r="AW448" s="1538">
        <f t="shared" si="156"/>
        <v>4.8215957289150513E-2</v>
      </c>
      <c r="AX448" s="1507">
        <f t="shared" si="156"/>
        <v>8.0585892854321939E-2</v>
      </c>
      <c r="AY448" s="1580">
        <f>AVERAGE(AU448:AX448)</f>
        <v>1.89898314968448E-2</v>
      </c>
    </row>
    <row r="449" spans="1:63">
      <c r="D449" s="2080" t="s">
        <v>768</v>
      </c>
      <c r="E449" s="2997">
        <v>150</v>
      </c>
      <c r="F449" s="2923"/>
      <c r="G449" s="976"/>
      <c r="H449" s="976"/>
      <c r="I449" s="977"/>
      <c r="J449" s="976"/>
      <c r="K449" s="976"/>
      <c r="L449" s="977"/>
      <c r="M449" s="976"/>
      <c r="N449" s="976"/>
      <c r="O449" s="976"/>
      <c r="P449" s="977"/>
      <c r="Q449" s="976"/>
      <c r="R449" s="976"/>
      <c r="S449" s="977"/>
      <c r="T449" s="976"/>
      <c r="U449" s="976"/>
      <c r="V449" s="976"/>
      <c r="W449" s="978"/>
      <c r="X449" s="978"/>
      <c r="Y449" s="978"/>
      <c r="Z449" s="1297">
        <v>186651.3834512484</v>
      </c>
      <c r="AA449" s="1297">
        <v>188023.7518230225</v>
      </c>
      <c r="AB449" s="1297">
        <v>223949.90625465947</v>
      </c>
      <c r="AC449" s="1297">
        <v>229340.05734338012</v>
      </c>
      <c r="AD449" s="1297">
        <v>241210</v>
      </c>
      <c r="AE449" s="1420">
        <v>258958</v>
      </c>
      <c r="AF449" s="1420">
        <v>267033</v>
      </c>
      <c r="AG449" s="1420">
        <v>272591</v>
      </c>
      <c r="AH449" s="1474">
        <v>33308638638.287758</v>
      </c>
      <c r="AI449" s="3431">
        <v>35083899066.629692</v>
      </c>
      <c r="AJ449" s="3386">
        <v>35964946539.023392</v>
      </c>
      <c r="AK449" s="1474">
        <v>36431304663.796989</v>
      </c>
      <c r="AL449" s="1474">
        <v>35730467387.743713</v>
      </c>
      <c r="AM449" s="1474">
        <v>36038412112.414619</v>
      </c>
      <c r="AN449" s="1474">
        <v>35353114635.875061</v>
      </c>
      <c r="AO449" s="1474">
        <v>35782016557.760063</v>
      </c>
      <c r="AP449" s="1667">
        <f t="shared" si="155"/>
        <v>38235325647.614708</v>
      </c>
      <c r="AQ449" s="1667">
        <f t="shared" si="155"/>
        <v>40856840055.932831</v>
      </c>
      <c r="AR449" s="1667">
        <f t="shared" si="155"/>
        <v>43658092381.389587</v>
      </c>
      <c r="AS449" s="1667">
        <f t="shared" si="155"/>
        <v>46651405927.932808</v>
      </c>
      <c r="AT449" s="1667">
        <f t="shared" si="155"/>
        <v>49849948917.614471</v>
      </c>
      <c r="AU449" s="1538">
        <f t="shared" si="156"/>
        <v>7.3525754076853023E-3</v>
      </c>
      <c r="AV449" s="1538">
        <f t="shared" si="156"/>
        <v>0.19107242613397313</v>
      </c>
      <c r="AW449" s="1538">
        <f t="shared" si="156"/>
        <v>2.4068557021816206E-2</v>
      </c>
      <c r="AX449" s="1507">
        <f t="shared" si="156"/>
        <v>5.1756953382319892E-2</v>
      </c>
      <c r="AY449" s="1580">
        <f>AVERAGE(AU449:AX449)</f>
        <v>6.8562627986448632E-2</v>
      </c>
    </row>
    <row r="450" spans="1:63">
      <c r="D450" s="2082" t="s">
        <v>461</v>
      </c>
      <c r="E450" s="2998">
        <v>286.8</v>
      </c>
      <c r="F450" s="2923"/>
      <c r="G450" s="976"/>
      <c r="H450" s="976"/>
      <c r="I450" s="977"/>
      <c r="J450" s="976"/>
      <c r="K450" s="976"/>
      <c r="L450" s="977"/>
      <c r="M450" s="976"/>
      <c r="N450" s="976"/>
      <c r="O450" s="976"/>
      <c r="P450" s="977"/>
      <c r="Q450" s="976"/>
      <c r="R450" s="976"/>
      <c r="S450" s="977"/>
      <c r="T450" s="976"/>
      <c r="U450" s="976"/>
      <c r="V450" s="976"/>
      <c r="W450" s="978"/>
      <c r="X450" s="978"/>
      <c r="Y450" s="978"/>
      <c r="Z450" s="1401">
        <v>48187.968555335159</v>
      </c>
      <c r="AA450" s="1401">
        <v>45401.393125032162</v>
      </c>
      <c r="AB450" s="1401">
        <v>62834.526344033955</v>
      </c>
      <c r="AC450" s="1401">
        <v>53593.928207980643</v>
      </c>
      <c r="AD450" s="1401">
        <v>48791</v>
      </c>
      <c r="AE450" s="1401">
        <v>48372</v>
      </c>
      <c r="AF450" s="1421">
        <v>50615</v>
      </c>
      <c r="AG450" s="1421">
        <v>48133</v>
      </c>
      <c r="AH450" s="1474">
        <v>77576549922.695572</v>
      </c>
      <c r="AI450" s="3431">
        <v>80590083397.973358</v>
      </c>
      <c r="AJ450" s="3386">
        <v>90637269927.32811</v>
      </c>
      <c r="AK450" s="1474">
        <v>104956187857.08755</v>
      </c>
      <c r="AL450" s="1474">
        <v>129056301872.94666</v>
      </c>
      <c r="AM450" s="1474">
        <v>145455911453.40543</v>
      </c>
      <c r="AN450" s="1474">
        <v>167375200178.54678</v>
      </c>
      <c r="AO450" s="1474">
        <v>178818965130.76672</v>
      </c>
      <c r="AP450" s="1667">
        <f t="shared" si="155"/>
        <v>187598885984.83444</v>
      </c>
      <c r="AQ450" s="1667">
        <f t="shared" si="155"/>
        <v>196809896517.49036</v>
      </c>
      <c r="AR450" s="1667">
        <f t="shared" si="155"/>
        <v>206473163014.17984</v>
      </c>
      <c r="AS450" s="1667">
        <f t="shared" si="155"/>
        <v>216610891014.27115</v>
      </c>
      <c r="AT450" s="1667">
        <f t="shared" si="155"/>
        <v>227246376337.89789</v>
      </c>
      <c r="AU450" s="1538">
        <f t="shared" si="156"/>
        <v>-5.7827202802772648E-2</v>
      </c>
      <c r="AV450" s="1538">
        <f t="shared" si="156"/>
        <v>0.3839779358970814</v>
      </c>
      <c r="AW450" s="1538">
        <f t="shared" si="156"/>
        <v>-0.14706243006366981</v>
      </c>
      <c r="AX450" s="1507">
        <f t="shared" si="156"/>
        <v>-8.96170213413362E-2</v>
      </c>
      <c r="AY450" s="1580">
        <f>AVERAGE(AV450:AX450)</f>
        <v>4.9099494830691794E-2</v>
      </c>
    </row>
    <row r="451" spans="1:63">
      <c r="D451" s="2082" t="s">
        <v>770</v>
      </c>
      <c r="E451" s="2999"/>
      <c r="F451" s="2923"/>
      <c r="G451" s="976"/>
      <c r="H451" s="976"/>
      <c r="I451" s="977"/>
      <c r="J451" s="976"/>
      <c r="K451" s="976"/>
      <c r="L451" s="977"/>
      <c r="M451" s="976"/>
      <c r="N451" s="976"/>
      <c r="O451" s="976"/>
      <c r="P451" s="977"/>
      <c r="Q451" s="976"/>
      <c r="R451" s="976"/>
      <c r="S451" s="977"/>
      <c r="T451" s="976"/>
      <c r="U451" s="976"/>
      <c r="V451" s="976"/>
      <c r="W451" s="978"/>
      <c r="X451" s="978"/>
      <c r="Y451" s="978"/>
      <c r="Z451" s="1385">
        <f>(Z450*$E$450)/$E$429</f>
        <v>13.820309381670125</v>
      </c>
      <c r="AA451" s="1385">
        <f t="shared" ref="AA451:AG451" si="157">(AA450*$E$450)/$E$429</f>
        <v>13.021119548259225</v>
      </c>
      <c r="AB451" s="1385">
        <f t="shared" si="157"/>
        <v>18.020942155468941</v>
      </c>
      <c r="AC451" s="1385">
        <f t="shared" si="157"/>
        <v>15.37073861004885</v>
      </c>
      <c r="AD451" s="1385">
        <f t="shared" si="157"/>
        <v>13.993258800000001</v>
      </c>
      <c r="AE451" s="1385">
        <f>(AE450*$E$450)/$E$429</f>
        <v>13.8730896</v>
      </c>
      <c r="AF451" s="1385">
        <f t="shared" si="157"/>
        <v>14.516382</v>
      </c>
      <c r="AG451" s="1385">
        <f t="shared" si="157"/>
        <v>13.804544400000001</v>
      </c>
      <c r="AH451" s="1666">
        <f t="shared" ref="AH451:AT451" si="158">(AH450*$E$450)/$E$429*0+AH450/$AI$429</f>
        <v>77.576549922695577</v>
      </c>
      <c r="AI451" s="3430">
        <f t="shared" si="158"/>
        <v>80.590083397973359</v>
      </c>
      <c r="AJ451" s="3390">
        <f t="shared" si="158"/>
        <v>90.637269927328106</v>
      </c>
      <c r="AK451" s="1674">
        <f t="shared" si="158"/>
        <v>104.95618785708756</v>
      </c>
      <c r="AL451" s="1674">
        <f t="shared" si="158"/>
        <v>129.05630187294665</v>
      </c>
      <c r="AM451" s="1674">
        <f t="shared" si="158"/>
        <v>145.45591145340543</v>
      </c>
      <c r="AN451" s="1674">
        <f t="shared" si="158"/>
        <v>167.37520017854678</v>
      </c>
      <c r="AO451" s="1674">
        <f t="shared" si="158"/>
        <v>178.81896513076671</v>
      </c>
      <c r="AP451" s="1674">
        <f t="shared" si="158"/>
        <v>187.59888598483445</v>
      </c>
      <c r="AQ451" s="1674">
        <f t="shared" si="158"/>
        <v>196.80989651749036</v>
      </c>
      <c r="AR451" s="1674">
        <f t="shared" si="158"/>
        <v>206.47316301417985</v>
      </c>
      <c r="AS451" s="1674">
        <f t="shared" si="158"/>
        <v>216.61089101427115</v>
      </c>
      <c r="AT451" s="1674">
        <f t="shared" si="158"/>
        <v>227.24637633789789</v>
      </c>
      <c r="AU451" s="1565" t="s">
        <v>1217</v>
      </c>
      <c r="AV451" s="1471"/>
      <c r="AW451" s="1471"/>
      <c r="AX451" s="1471"/>
      <c r="AY451" s="1580"/>
    </row>
    <row r="452" spans="1:63">
      <c r="D452" s="2082" t="s">
        <v>1213</v>
      </c>
      <c r="E452" s="2991" t="str">
        <f>E446</f>
        <v>Price/kg or in 1000 frw/MT</v>
      </c>
      <c r="F452" s="2923"/>
      <c r="G452" s="976"/>
      <c r="H452" s="976"/>
      <c r="I452" s="977"/>
      <c r="J452" s="976"/>
      <c r="K452" s="976"/>
      <c r="L452" s="977"/>
      <c r="M452" s="976"/>
      <c r="N452" s="976"/>
      <c r="O452" s="976"/>
      <c r="P452" s="977"/>
      <c r="Q452" s="976"/>
      <c r="R452" s="976"/>
      <c r="S452" s="977"/>
      <c r="T452" s="976"/>
      <c r="U452" s="976"/>
      <c r="V452" s="976"/>
      <c r="W452" s="978"/>
      <c r="X452" s="978"/>
      <c r="Y452" s="978"/>
      <c r="Z452" s="1385">
        <f>(Z453*$E453+Z454*$E454)/$E$429</f>
        <v>25.875182031281856</v>
      </c>
      <c r="AA452" s="1385">
        <f t="shared" ref="AA452:AG452" si="159">(AA453*$E453+AA454*$E454)/$E$429</f>
        <v>31.237072999999999</v>
      </c>
      <c r="AB452" s="1385">
        <f t="shared" si="159"/>
        <v>29.408965999999999</v>
      </c>
      <c r="AC452" s="1385">
        <f t="shared" si="159"/>
        <v>31.968969736819364</v>
      </c>
      <c r="AD452" s="1385">
        <f t="shared" si="159"/>
        <v>34.110109110219788</v>
      </c>
      <c r="AE452" s="1385">
        <f t="shared" si="159"/>
        <v>21.381307979095276</v>
      </c>
      <c r="AF452" s="1385">
        <f t="shared" si="159"/>
        <v>24.577176705952439</v>
      </c>
      <c r="AG452" s="1385">
        <f t="shared" si="159"/>
        <v>22.644659999999998</v>
      </c>
      <c r="AH452" s="1666">
        <f>(AH453*$E453+AH454*$E454)/$E$429*0+SUM(AH453:AH454)/$AI$429</f>
        <v>8.890850618998428</v>
      </c>
      <c r="AI452" s="3430">
        <f>(AI453*$E453+AI454*$E454)/$E$429*0+SUM(AI453:AI454)/$AI$429</f>
        <v>12.165275412207333</v>
      </c>
      <c r="AJ452" s="3390">
        <f t="shared" ref="AJ452:AO452" si="160">(AJ453*$E453+AJ454*$E454)/$E$429*0+SUM(AJ453:AJ454)/$AI$429</f>
        <v>13.119517189123137</v>
      </c>
      <c r="AK452" s="1674">
        <f t="shared" si="160"/>
        <v>14.075782300228589</v>
      </c>
      <c r="AL452" s="1674">
        <f t="shared" si="160"/>
        <v>15.03406069016037</v>
      </c>
      <c r="AM452" s="1674">
        <f t="shared" si="160"/>
        <v>15.994340167203493</v>
      </c>
      <c r="AN452" s="1674">
        <f t="shared" si="160"/>
        <v>10.240900311510952</v>
      </c>
      <c r="AO452" s="1674">
        <f t="shared" si="160"/>
        <v>10.479852268631666</v>
      </c>
      <c r="AP452" s="1674">
        <f>(AP453*$E453+AP454*$E454)/$E$429*0+SUM(AP453:AP454)/$AI$429</f>
        <v>11.272909107690523</v>
      </c>
      <c r="AQ452" s="1674">
        <f>(AQ453*$E453+AQ454*$E454)/$E$429*0+SUM(AQ453:AQ454)/$AI$429</f>
        <v>12.137108518438698</v>
      </c>
      <c r="AR452" s="1674">
        <f>(AR453*$E453+AR454*$E454)/$E$429*0+SUM(AR453:AR454)/$AI$429</f>
        <v>13.079675618646538</v>
      </c>
      <c r="AS452" s="1674">
        <f>(AS453*$E453+AS454*$E454)/$E$429*0+SUM(AS453:AS454)/$AI$429</f>
        <v>14.108623185160281</v>
      </c>
      <c r="AT452" s="1674">
        <f>(AT453*$E453+AT454*$E454)/$E$429*0+SUM(AT453:AT454)/$AI$429</f>
        <v>15.232840564233632</v>
      </c>
      <c r="AU452" s="1471"/>
      <c r="AV452" s="1471"/>
      <c r="AW452" s="1471"/>
      <c r="AX452" s="1471"/>
      <c r="AY452" s="1580"/>
    </row>
    <row r="453" spans="1:63">
      <c r="D453" s="2080" t="s">
        <v>466</v>
      </c>
      <c r="E453" s="2997">
        <v>487</v>
      </c>
      <c r="F453" s="2925"/>
      <c r="G453" s="145"/>
      <c r="H453" s="145"/>
      <c r="I453" s="137"/>
      <c r="J453" s="145"/>
      <c r="K453" s="145"/>
      <c r="L453" s="137"/>
      <c r="M453" s="145"/>
      <c r="N453" s="145"/>
      <c r="O453" s="145"/>
      <c r="P453" s="137"/>
      <c r="Q453" s="145"/>
      <c r="R453" s="145"/>
      <c r="S453" s="137"/>
      <c r="T453" s="145"/>
      <c r="U453" s="145"/>
      <c r="V453" s="145"/>
      <c r="W453" s="226"/>
      <c r="X453" s="226"/>
      <c r="Y453" s="226"/>
      <c r="Z453" s="226"/>
      <c r="AA453" s="1378">
        <v>16814</v>
      </c>
      <c r="AB453" s="1379">
        <v>12423</v>
      </c>
      <c r="AC453" s="1378">
        <v>14827</v>
      </c>
      <c r="AD453" s="1378">
        <v>15400</v>
      </c>
      <c r="AE453" s="1378">
        <v>13601.340953622948</v>
      </c>
      <c r="AF453" s="1378">
        <v>15634.336326941755</v>
      </c>
      <c r="AG453" s="1378">
        <v>14405</v>
      </c>
      <c r="AH453" s="1675">
        <v>3463380910.4451718</v>
      </c>
      <c r="AI453" s="3436">
        <v>6612108836.4129276</v>
      </c>
      <c r="AJ453" s="3391">
        <v>7438622440.9645424</v>
      </c>
      <c r="AK453" s="1675">
        <v>8265136045.5161591</v>
      </c>
      <c r="AL453" s="1675">
        <v>9091649650.0677757</v>
      </c>
      <c r="AM453" s="1675">
        <v>9918163254.6193905</v>
      </c>
      <c r="AN453" s="1675">
        <v>4028970816.1547151</v>
      </c>
      <c r="AO453" s="1675">
        <v>4130200087.4681163</v>
      </c>
      <c r="AP453" s="1667">
        <f t="shared" ref="AP453:AT454" si="161">AO453*(1+$AY453)</f>
        <v>4609629063.0792246</v>
      </c>
      <c r="AQ453" s="1667">
        <f t="shared" si="161"/>
        <v>5144709614.3495693</v>
      </c>
      <c r="AR453" s="1667">
        <f t="shared" si="161"/>
        <v>5741901713.5188503</v>
      </c>
      <c r="AS453" s="1667">
        <f t="shared" si="161"/>
        <v>6408415199.1305227</v>
      </c>
      <c r="AT453" s="1667">
        <f t="shared" si="161"/>
        <v>7152296819.6679974</v>
      </c>
      <c r="AU453" s="1538"/>
      <c r="AV453" s="1538">
        <f t="shared" ref="AV453:AX454" si="162">AB453/AA453-1</f>
        <v>-0.26115142143451886</v>
      </c>
      <c r="AW453" s="1538">
        <f t="shared" si="162"/>
        <v>0.19351203413024232</v>
      </c>
      <c r="AX453" s="1507">
        <f t="shared" si="162"/>
        <v>3.8645713900316903E-2</v>
      </c>
      <c r="AY453" s="1580">
        <f>AVERAGE(AW453:AX453)</f>
        <v>0.11607887401527961</v>
      </c>
    </row>
    <row r="454" spans="1:63" ht="16.75" thickBot="1">
      <c r="D454" s="2083" t="s">
        <v>42</v>
      </c>
      <c r="E454" s="3000">
        <v>1085</v>
      </c>
      <c r="F454" s="2926"/>
      <c r="G454" s="1422"/>
      <c r="H454" s="1422"/>
      <c r="I454" s="1423"/>
      <c r="J454" s="1422"/>
      <c r="K454" s="1422"/>
      <c r="L454" s="1423"/>
      <c r="M454" s="1422"/>
      <c r="N454" s="1422"/>
      <c r="O454" s="1422"/>
      <c r="P454" s="1423"/>
      <c r="Q454" s="1422"/>
      <c r="R454" s="1422"/>
      <c r="S454" s="1423"/>
      <c r="T454" s="1422"/>
      <c r="U454" s="1422"/>
      <c r="V454" s="1422"/>
      <c r="W454" s="1424"/>
      <c r="X454" s="1424"/>
      <c r="Y454" s="1424"/>
      <c r="Z454" s="1424">
        <v>23848.094038047791</v>
      </c>
      <c r="AA454" s="1472">
        <v>21243</v>
      </c>
      <c r="AB454" s="1472">
        <v>21529</v>
      </c>
      <c r="AC454" s="1472">
        <v>22809.420033934897</v>
      </c>
      <c r="AD454" s="1472">
        <v>24525.63051633161</v>
      </c>
      <c r="AE454" s="1472">
        <v>13601.340953622948</v>
      </c>
      <c r="AF454" s="1472">
        <v>15634.336326941755</v>
      </c>
      <c r="AG454" s="1472">
        <v>14405</v>
      </c>
      <c r="AH454" s="1676">
        <v>5427469708.553257</v>
      </c>
      <c r="AI454" s="3437">
        <v>5553166575.7944059</v>
      </c>
      <c r="AJ454" s="3392">
        <v>5680894748.1585941</v>
      </c>
      <c r="AK454" s="1676">
        <v>5810646254.71243</v>
      </c>
      <c r="AL454" s="1676">
        <v>5942411040.0925941</v>
      </c>
      <c r="AM454" s="1676">
        <v>6076176912.5841026</v>
      </c>
      <c r="AN454" s="1676">
        <v>6211929495.3562374</v>
      </c>
      <c r="AO454" s="1676">
        <v>6349652181.1635494</v>
      </c>
      <c r="AP454" s="1785">
        <f t="shared" si="161"/>
        <v>6663280044.6112986</v>
      </c>
      <c r="AQ454" s="1785">
        <f t="shared" si="161"/>
        <v>6992398904.0891285</v>
      </c>
      <c r="AR454" s="1785">
        <f t="shared" si="161"/>
        <v>7337773905.1276884</v>
      </c>
      <c r="AS454" s="1785">
        <f t="shared" si="161"/>
        <v>7700207986.0297594</v>
      </c>
      <c r="AT454" s="1785">
        <f t="shared" si="161"/>
        <v>8080543744.5656338</v>
      </c>
      <c r="AU454" s="1538">
        <f>AA454/Z454-1</f>
        <v>-0.10923699117806085</v>
      </c>
      <c r="AV454" s="1538">
        <f t="shared" si="162"/>
        <v>1.3463258485147955E-2</v>
      </c>
      <c r="AW454" s="1538">
        <f t="shared" si="162"/>
        <v>5.9474199170184372E-2</v>
      </c>
      <c r="AX454" s="1507">
        <f t="shared" si="162"/>
        <v>7.5241302928500842E-2</v>
      </c>
      <c r="AY454" s="1580">
        <f>AVERAGE(AV454:AX454)</f>
        <v>4.9392920194611056E-2</v>
      </c>
    </row>
    <row r="455" spans="1:63" ht="17.5" customHeight="1" thickTop="1">
      <c r="A455" s="297" t="s">
        <v>374</v>
      </c>
      <c r="B455" s="295" t="s">
        <v>178</v>
      </c>
      <c r="C455" s="295" t="s">
        <v>30</v>
      </c>
      <c r="D455" s="23" t="s">
        <v>1542</v>
      </c>
      <c r="E455" s="2991" t="str">
        <f>E452</f>
        <v>Price/kg or in 1000 frw/MT</v>
      </c>
      <c r="F455" s="2927"/>
      <c r="G455" s="228"/>
      <c r="H455" s="228"/>
      <c r="I455" s="32"/>
      <c r="J455" s="45"/>
      <c r="K455" s="32" t="e">
        <f t="shared" ref="K455:U455" si="163">($E$457*K457+$E$458*K458)/$E$455</f>
        <v>#VALUE!</v>
      </c>
      <c r="L455" s="32" t="e">
        <f t="shared" si="163"/>
        <v>#VALUE!</v>
      </c>
      <c r="M455" s="32" t="e">
        <f t="shared" si="163"/>
        <v>#VALUE!</v>
      </c>
      <c r="N455" s="32" t="e">
        <f t="shared" si="163"/>
        <v>#VALUE!</v>
      </c>
      <c r="O455" s="32" t="e">
        <f t="shared" si="163"/>
        <v>#VALUE!</v>
      </c>
      <c r="P455" s="32" t="e">
        <f t="shared" si="163"/>
        <v>#VALUE!</v>
      </c>
      <c r="Q455" s="32" t="e">
        <f t="shared" si="163"/>
        <v>#VALUE!</v>
      </c>
      <c r="R455" s="32" t="e">
        <f t="shared" si="163"/>
        <v>#VALUE!</v>
      </c>
      <c r="S455" s="32" t="e">
        <f t="shared" si="163"/>
        <v>#VALUE!</v>
      </c>
      <c r="T455" s="32" t="e">
        <f t="shared" si="163"/>
        <v>#VALUE!</v>
      </c>
      <c r="U455" s="32" t="e">
        <f t="shared" si="163"/>
        <v>#VALUE!</v>
      </c>
      <c r="V455" s="1300">
        <f t="shared" ref="V455:AB455" si="164">V456+V460</f>
        <v>9.5826984684099994</v>
      </c>
      <c r="W455" s="1300">
        <f t="shared" si="164"/>
        <v>9.6671574221000007</v>
      </c>
      <c r="X455" s="1300">
        <f t="shared" si="164"/>
        <v>10.146364096000001</v>
      </c>
      <c r="Y455" s="1300">
        <f t="shared" si="164"/>
        <v>9.4422529449900008</v>
      </c>
      <c r="Z455" s="1300">
        <f t="shared" si="164"/>
        <v>36.85415659257</v>
      </c>
      <c r="AA455" s="1300">
        <f t="shared" si="164"/>
        <v>38.050765472400002</v>
      </c>
      <c r="AB455" s="1300">
        <f t="shared" si="164"/>
        <v>44.387767582519999</v>
      </c>
      <c r="AC455" s="1300">
        <f t="shared" ref="AC455:AT455" si="165">AC456+AC460</f>
        <v>48.656290633880005</v>
      </c>
      <c r="AD455" s="1300">
        <f t="shared" si="165"/>
        <v>60.839196037329998</v>
      </c>
      <c r="AE455" s="1300">
        <f t="shared" si="165"/>
        <v>36.254756573119998</v>
      </c>
      <c r="AF455" s="1300">
        <f t="shared" si="165"/>
        <v>35.344270502384603</v>
      </c>
      <c r="AG455" s="1300">
        <f t="shared" si="165"/>
        <v>86.283238721049997</v>
      </c>
      <c r="AH455" s="1300">
        <f t="shared" si="165"/>
        <v>101.38942852839999</v>
      </c>
      <c r="AI455" s="3429">
        <f t="shared" si="165"/>
        <v>102.37930391458829</v>
      </c>
      <c r="AJ455" s="3381">
        <f>AJ456+AJ460</f>
        <v>110.38184716420767</v>
      </c>
      <c r="AK455" s="1300">
        <f t="shared" si="165"/>
        <v>118.42811300046672</v>
      </c>
      <c r="AL455" s="1300">
        <f t="shared" si="165"/>
        <v>126.75107474423902</v>
      </c>
      <c r="AM455" s="1300">
        <f t="shared" si="165"/>
        <v>135.14066706294309</v>
      </c>
      <c r="AN455" s="1300">
        <f t="shared" si="165"/>
        <v>143.59836979002168</v>
      </c>
      <c r="AO455" s="1300">
        <f t="shared" si="165"/>
        <v>151.46479611347516</v>
      </c>
      <c r="AP455" s="1300">
        <f t="shared" si="165"/>
        <v>162.36538092476556</v>
      </c>
      <c r="AQ455" s="1300">
        <f t="shared" si="165"/>
        <v>173.40336766163543</v>
      </c>
      <c r="AR455" s="1300">
        <f t="shared" si="165"/>
        <v>185.59136214883407</v>
      </c>
      <c r="AS455" s="1300">
        <f t="shared" si="165"/>
        <v>199.06488302582343</v>
      </c>
      <c r="AT455" s="1300">
        <f t="shared" si="165"/>
        <v>213.97596319946021</v>
      </c>
      <c r="AU455" s="818"/>
      <c r="AV455" s="3841" t="s">
        <v>1417</v>
      </c>
      <c r="AW455" s="3841"/>
      <c r="AX455" s="3841"/>
      <c r="AY455" s="3841"/>
      <c r="AZ455" s="3841"/>
    </row>
    <row r="456" spans="1:63">
      <c r="D456" s="2390" t="s">
        <v>1540</v>
      </c>
      <c r="E456" s="2991"/>
      <c r="F456" s="2927"/>
      <c r="G456" s="2388"/>
      <c r="H456" s="2388"/>
      <c r="I456" s="989"/>
      <c r="J456" s="990"/>
      <c r="K456" s="989"/>
      <c r="L456" s="989"/>
      <c r="M456" s="989"/>
      <c r="N456" s="989"/>
      <c r="O456" s="989"/>
      <c r="P456" s="989"/>
      <c r="Q456" s="989"/>
      <c r="R456" s="989"/>
      <c r="S456" s="1300">
        <f t="shared" ref="S456:AT456" si="166">($E$457*S457+$E$458*S458+$E459*S459)/$E$429</f>
        <v>9.3944180687099994</v>
      </c>
      <c r="T456" s="1300">
        <f t="shared" si="166"/>
        <v>8.2754168094199994</v>
      </c>
      <c r="U456" s="1300">
        <f t="shared" si="166"/>
        <v>9.7924072718299993</v>
      </c>
      <c r="V456" s="1300">
        <f t="shared" si="166"/>
        <v>9.5826984684099994</v>
      </c>
      <c r="W456" s="1300">
        <f t="shared" si="166"/>
        <v>9.6671574221000007</v>
      </c>
      <c r="X456" s="1300">
        <f t="shared" si="166"/>
        <v>10.146364096000001</v>
      </c>
      <c r="Y456" s="1300">
        <f t="shared" si="166"/>
        <v>9.4422529449900008</v>
      </c>
      <c r="Z456" s="1300">
        <f t="shared" si="166"/>
        <v>13.412506592569999</v>
      </c>
      <c r="AA456" s="1300">
        <f t="shared" si="166"/>
        <v>14.022363972400001</v>
      </c>
      <c r="AB456" s="1300">
        <f t="shared" si="166"/>
        <v>13.885221582519998</v>
      </c>
      <c r="AC456" s="1300">
        <f t="shared" si="166"/>
        <v>18.908519133880002</v>
      </c>
      <c r="AD456" s="1300">
        <f t="shared" si="166"/>
        <v>19.415527037330001</v>
      </c>
      <c r="AE456" s="1300">
        <f t="shared" si="166"/>
        <v>16.782994073119998</v>
      </c>
      <c r="AF456" s="1300">
        <f t="shared" si="166"/>
        <v>18.129302002384602</v>
      </c>
      <c r="AG456" s="1300">
        <f t="shared" si="166"/>
        <v>17.367638221050001</v>
      </c>
      <c r="AH456" s="1300">
        <f t="shared" si="166"/>
        <v>19.856797028399999</v>
      </c>
      <c r="AI456" s="3429">
        <f t="shared" si="166"/>
        <v>21.101647042291482</v>
      </c>
      <c r="AJ456" s="3381">
        <f t="shared" si="166"/>
        <v>21.92723874723524</v>
      </c>
      <c r="AK456" s="1300">
        <f t="shared" si="166"/>
        <v>22.801603550649091</v>
      </c>
      <c r="AL456" s="1300">
        <f t="shared" si="166"/>
        <v>23.646388995633444</v>
      </c>
      <c r="AM456" s="1300">
        <f t="shared" si="166"/>
        <v>24.50758831269955</v>
      </c>
      <c r="AN456" s="1300">
        <f t="shared" si="166"/>
        <v>25.385817669676083</v>
      </c>
      <c r="AO456" s="1300">
        <f t="shared" si="166"/>
        <v>25.618852887502513</v>
      </c>
      <c r="AP456" s="1300">
        <f t="shared" si="166"/>
        <v>27.214250917951741</v>
      </c>
      <c r="AQ456" s="1300">
        <f t="shared" si="166"/>
        <v>27.950643562763958</v>
      </c>
      <c r="AR456" s="1300">
        <f t="shared" si="166"/>
        <v>28.721375705703771</v>
      </c>
      <c r="AS456" s="1300">
        <f t="shared" si="166"/>
        <v>29.528073600859663</v>
      </c>
      <c r="AT456" s="1300">
        <f t="shared" si="166"/>
        <v>30.372441717625552</v>
      </c>
      <c r="AU456" s="818"/>
      <c r="AV456" s="2386"/>
      <c r="AW456" s="2386"/>
      <c r="AX456" s="2386"/>
      <c r="AY456" s="2386"/>
      <c r="AZ456" s="2386"/>
    </row>
    <row r="457" spans="1:63">
      <c r="B457" s="295" t="s">
        <v>375</v>
      </c>
      <c r="C457" s="292" t="s">
        <v>30</v>
      </c>
      <c r="D457" s="129" t="s">
        <v>1422</v>
      </c>
      <c r="E457" s="2997">
        <v>269</v>
      </c>
      <c r="F457" s="2920"/>
      <c r="G457" s="148"/>
      <c r="H457" s="141"/>
      <c r="I457" s="224">
        <f t="shared" ref="I457:AN457" si="167">I174</f>
        <v>14997.66</v>
      </c>
      <c r="J457" s="224">
        <f t="shared" si="167"/>
        <v>18332.759999999998</v>
      </c>
      <c r="K457" s="224">
        <f t="shared" si="167"/>
        <v>16089.12</v>
      </c>
      <c r="L457" s="224">
        <f t="shared" si="167"/>
        <v>17788.080000000002</v>
      </c>
      <c r="M457" s="224">
        <f t="shared" si="167"/>
        <v>19796.939999999999</v>
      </c>
      <c r="N457" s="224">
        <f t="shared" si="167"/>
        <v>14700</v>
      </c>
      <c r="O457" s="224">
        <f t="shared" si="167"/>
        <v>27085.14</v>
      </c>
      <c r="P457" s="224">
        <f t="shared" si="167"/>
        <v>18398.64</v>
      </c>
      <c r="Q457" s="224">
        <f t="shared" si="167"/>
        <v>26534.12</v>
      </c>
      <c r="R457" s="224">
        <f t="shared" si="167"/>
        <v>13673.864</v>
      </c>
      <c r="S457" s="224">
        <f t="shared" si="167"/>
        <v>18191.293000000001</v>
      </c>
      <c r="T457" s="224">
        <f t="shared" si="167"/>
        <v>14992.361999999999</v>
      </c>
      <c r="U457" s="224">
        <f t="shared" si="167"/>
        <v>18235.848999999998</v>
      </c>
      <c r="V457" s="224">
        <f t="shared" si="167"/>
        <v>15596.618</v>
      </c>
      <c r="W457" s="224">
        <f t="shared" si="167"/>
        <v>16989.73</v>
      </c>
      <c r="X457" s="224">
        <f t="shared" si="167"/>
        <v>19988.913</v>
      </c>
      <c r="Y457" s="224">
        <f t="shared" si="167"/>
        <v>15973.377</v>
      </c>
      <c r="Z457" s="224">
        <f t="shared" si="167"/>
        <v>18793.308000000001</v>
      </c>
      <c r="AA457" s="224">
        <f t="shared" si="167"/>
        <v>18641.035</v>
      </c>
      <c r="AB457" s="1009">
        <f t="shared" si="167"/>
        <v>18670.717339999999</v>
      </c>
      <c r="AC457" s="224">
        <f t="shared" si="167"/>
        <v>21294.140520000001</v>
      </c>
      <c r="AD457" s="224">
        <f t="shared" si="167"/>
        <v>23237.602800000001</v>
      </c>
      <c r="AE457" s="224">
        <f t="shared" si="167"/>
        <v>16030.0635</v>
      </c>
      <c r="AF457" s="224">
        <f t="shared" si="167"/>
        <v>17479.556130000001</v>
      </c>
      <c r="AG457" s="224">
        <f t="shared" si="167"/>
        <v>17848.692000000003</v>
      </c>
      <c r="AH457" s="224">
        <f t="shared" si="167"/>
        <v>17536.038</v>
      </c>
      <c r="AI457" s="3438">
        <f t="shared" si="167"/>
        <v>17244.656999999999</v>
      </c>
      <c r="AJ457" s="3393">
        <f t="shared" si="167"/>
        <v>18399.234</v>
      </c>
      <c r="AK457" s="224">
        <f t="shared" si="167"/>
        <v>18767.218679999998</v>
      </c>
      <c r="AL457" s="224">
        <f t="shared" si="167"/>
        <v>19142.563053599999</v>
      </c>
      <c r="AM457" s="224">
        <f t="shared" si="167"/>
        <v>19525.414314671998</v>
      </c>
      <c r="AN457" s="224">
        <f t="shared" si="167"/>
        <v>19915.922600965438</v>
      </c>
      <c r="AO457" s="224">
        <f>AN457*(1+AY457)</f>
        <v>19754.553602904169</v>
      </c>
      <c r="AP457" s="1667">
        <f>AO457*(1+$BH457)</f>
        <v>20814.249102950791</v>
      </c>
      <c r="AQ457" s="1667">
        <f t="shared" ref="AQ457:AT458" si="168">AP457*(1+$BH457)</f>
        <v>21930.789954980159</v>
      </c>
      <c r="AR457" s="1667">
        <f t="shared" si="168"/>
        <v>23107.225519909531</v>
      </c>
      <c r="AS457" s="1667">
        <f t="shared" si="168"/>
        <v>24346.768735829672</v>
      </c>
      <c r="AT457" s="1667">
        <f t="shared" si="168"/>
        <v>25652.804892791555</v>
      </c>
      <c r="AU457" s="1538">
        <f t="shared" ref="AU457:BF458" si="169">W457/V457-1</f>
        <v>8.9321415706917984E-2</v>
      </c>
      <c r="AV457" s="1538">
        <f t="shared" si="169"/>
        <v>0.17652917380087851</v>
      </c>
      <c r="AW457" s="1538">
        <f t="shared" si="169"/>
        <v>-0.20088816235280027</v>
      </c>
      <c r="AX457" s="1538">
        <f t="shared" si="169"/>
        <v>0.17653943809126904</v>
      </c>
      <c r="AY457" s="1538">
        <f t="shared" si="169"/>
        <v>-8.1025118089907977E-3</v>
      </c>
      <c r="AZ457" s="1538">
        <f t="shared" si="169"/>
        <v>1.5923118002836301E-3</v>
      </c>
      <c r="BA457" s="1538">
        <f t="shared" si="169"/>
        <v>0.14051003677183838</v>
      </c>
      <c r="BB457" s="1538">
        <f t="shared" si="169"/>
        <v>9.1267467600988583E-2</v>
      </c>
      <c r="BC457" s="1538">
        <f t="shared" si="169"/>
        <v>-0.31016707540934474</v>
      </c>
      <c r="BD457" s="1538">
        <f t="shared" si="169"/>
        <v>9.0423386657201954E-2</v>
      </c>
      <c r="BE457" s="1538">
        <f t="shared" si="169"/>
        <v>2.1118148953820359E-2</v>
      </c>
      <c r="BF457" s="1538">
        <f t="shared" si="169"/>
        <v>-1.7516913844443205E-2</v>
      </c>
      <c r="BG457" s="1538"/>
      <c r="BH457" s="1783">
        <f>AVERAGE(AU457:BA457)</f>
        <v>5.3643100287056641E-2</v>
      </c>
    </row>
    <row r="458" spans="1:63">
      <c r="B458" s="295" t="s">
        <v>376</v>
      </c>
      <c r="C458" s="292" t="s">
        <v>30</v>
      </c>
      <c r="D458" s="129" t="s">
        <v>1420</v>
      </c>
      <c r="E458" s="3001">
        <v>227</v>
      </c>
      <c r="F458" s="2920"/>
      <c r="G458" s="148"/>
      <c r="H458" s="141"/>
      <c r="I458" s="224">
        <f t="shared" ref="I458:AN458" si="170">I175</f>
        <v>15129.25</v>
      </c>
      <c r="J458" s="224">
        <f t="shared" si="170"/>
        <v>12709.66</v>
      </c>
      <c r="K458" s="224">
        <f t="shared" si="170"/>
        <v>13717</v>
      </c>
      <c r="L458" s="224">
        <f t="shared" si="170"/>
        <v>15165.78</v>
      </c>
      <c r="M458" s="224">
        <f t="shared" si="170"/>
        <v>14574.12098</v>
      </c>
      <c r="N458" s="224">
        <f t="shared" si="170"/>
        <v>14331</v>
      </c>
      <c r="O458" s="224">
        <f t="shared" si="170"/>
        <v>13064.379000000001</v>
      </c>
      <c r="P458" s="224">
        <f t="shared" si="170"/>
        <v>15481.157999999999</v>
      </c>
      <c r="Q458" s="224">
        <f t="shared" si="170"/>
        <v>16523.650100000003</v>
      </c>
      <c r="R458" s="224">
        <f t="shared" si="170"/>
        <v>18375.623</v>
      </c>
      <c r="S458" s="224">
        <f t="shared" si="170"/>
        <v>19828.01873</v>
      </c>
      <c r="T458" s="224">
        <f t="shared" si="170"/>
        <v>18689.301460000002</v>
      </c>
      <c r="U458" s="224">
        <f t="shared" si="170"/>
        <v>21528.475290000002</v>
      </c>
      <c r="V458" s="224">
        <f t="shared" si="170"/>
        <v>23732.194829999997</v>
      </c>
      <c r="W458" s="224">
        <f t="shared" si="170"/>
        <v>22453.3923</v>
      </c>
      <c r="X458" s="224">
        <f t="shared" si="170"/>
        <v>21010.337</v>
      </c>
      <c r="Y458" s="224">
        <f t="shared" si="170"/>
        <v>22667.024370000003</v>
      </c>
      <c r="Z458" s="224">
        <f t="shared" si="170"/>
        <v>24677.082909999997</v>
      </c>
      <c r="AA458" s="224">
        <f t="shared" si="170"/>
        <v>24414.920199999997</v>
      </c>
      <c r="AB458" s="1009">
        <f t="shared" si="170"/>
        <v>26242.707779999997</v>
      </c>
      <c r="AC458" s="224">
        <f t="shared" si="170"/>
        <v>30940.273999999998</v>
      </c>
      <c r="AD458" s="224">
        <f t="shared" si="170"/>
        <v>31152.699189999999</v>
      </c>
      <c r="AE458" s="224">
        <f t="shared" si="170"/>
        <v>32720.47006</v>
      </c>
      <c r="AF458" s="224">
        <f t="shared" si="170"/>
        <v>35375.351979800005</v>
      </c>
      <c r="AG458" s="224">
        <f t="shared" si="170"/>
        <v>36477.357149999996</v>
      </c>
      <c r="AH458" s="224">
        <f t="shared" si="170"/>
        <v>38163.0432</v>
      </c>
      <c r="AI458" s="3438">
        <f t="shared" si="170"/>
        <v>37330.82303</v>
      </c>
      <c r="AJ458" s="3393">
        <f t="shared" si="170"/>
        <v>37908.160771200004</v>
      </c>
      <c r="AK458" s="224">
        <f t="shared" si="170"/>
        <v>39632.487202048003</v>
      </c>
      <c r="AL458" s="224">
        <f t="shared" si="170"/>
        <v>41217.78669012992</v>
      </c>
      <c r="AM458" s="224">
        <f t="shared" si="170"/>
        <v>42866.498157735114</v>
      </c>
      <c r="AN458" s="224">
        <f t="shared" si="170"/>
        <v>44581.158084044524</v>
      </c>
      <c r="AO458" s="224">
        <f>AN458*(1+AY458)</f>
        <v>44107.539818025107</v>
      </c>
      <c r="AP458" s="1667">
        <f>AO458*(1+$BH458)</f>
        <v>45951.358031563817</v>
      </c>
      <c r="AQ458" s="1667">
        <f t="shared" si="168"/>
        <v>47872.252990225992</v>
      </c>
      <c r="AR458" s="1667">
        <f t="shared" si="168"/>
        <v>49873.446716982886</v>
      </c>
      <c r="AS458" s="1667">
        <f t="shared" si="168"/>
        <v>51958.295924354592</v>
      </c>
      <c r="AT458" s="1667">
        <f t="shared" si="168"/>
        <v>54130.297644808939</v>
      </c>
      <c r="AU458" s="1538">
        <f t="shared" si="169"/>
        <v>-5.3884713957575325E-2</v>
      </c>
      <c r="AV458" s="1538">
        <f t="shared" si="169"/>
        <v>-6.4268921182123573E-2</v>
      </c>
      <c r="AW458" s="1538">
        <f t="shared" si="169"/>
        <v>7.8851061265700073E-2</v>
      </c>
      <c r="AX458" s="1538">
        <f t="shared" si="169"/>
        <v>8.8677653810630863E-2</v>
      </c>
      <c r="AY458" s="1538">
        <f t="shared" si="169"/>
        <v>-1.0623731782080426E-2</v>
      </c>
      <c r="AZ458" s="1538">
        <f t="shared" si="169"/>
        <v>7.4863549216106051E-2</v>
      </c>
      <c r="BA458" s="1538">
        <f t="shared" si="169"/>
        <v>0.17900463090093521</v>
      </c>
      <c r="BB458" s="1538">
        <f t="shared" si="169"/>
        <v>6.8656531613133787E-3</v>
      </c>
      <c r="BC458" s="1538">
        <f t="shared" si="169"/>
        <v>5.0325362192154888E-2</v>
      </c>
      <c r="BD458" s="1538">
        <f t="shared" si="169"/>
        <v>8.1138257333458474E-2</v>
      </c>
      <c r="BE458" s="1538">
        <f t="shared" si="169"/>
        <v>3.1151779658030065E-2</v>
      </c>
      <c r="BF458" s="1538">
        <f t="shared" si="169"/>
        <v>4.6211847066338407E-2</v>
      </c>
      <c r="BG458" s="1538"/>
      <c r="BH458" s="1783">
        <f>AVERAGE(AU458:BA458)</f>
        <v>4.1802789753084699E-2</v>
      </c>
    </row>
    <row r="459" spans="1:63">
      <c r="D459" s="2084" t="s">
        <v>1421</v>
      </c>
      <c r="E459" s="3002">
        <f>190488</f>
        <v>190488</v>
      </c>
      <c r="F459" s="2928"/>
      <c r="G459" s="970"/>
      <c r="H459" s="970"/>
      <c r="I459" s="970"/>
      <c r="J459" s="970"/>
      <c r="K459" s="970"/>
      <c r="L459" s="970"/>
      <c r="M459" s="970"/>
      <c r="N459" s="970"/>
      <c r="O459" s="970"/>
      <c r="P459" s="970"/>
      <c r="Q459" s="970"/>
      <c r="R459" s="970"/>
      <c r="S459" s="970"/>
      <c r="T459" s="970"/>
      <c r="U459" s="1413"/>
      <c r="V459" s="1413"/>
      <c r="W459" s="1413"/>
      <c r="X459" s="1413"/>
      <c r="Y459" s="1413"/>
      <c r="Z459" s="1391">
        <v>14.465</v>
      </c>
      <c r="AA459" s="1391">
        <v>18.193999999999999</v>
      </c>
      <c r="AB459" s="1391">
        <v>15.254</v>
      </c>
      <c r="AC459" s="1391">
        <v>32.322000000000003</v>
      </c>
      <c r="AD459" s="1391">
        <v>31.986000000000001</v>
      </c>
      <c r="AE459" s="1414">
        <v>26.475999999999999</v>
      </c>
      <c r="AF459" s="1414">
        <v>28.332999999999998</v>
      </c>
      <c r="AG459" s="1414">
        <v>22.5</v>
      </c>
      <c r="AH459" s="1414">
        <v>34</v>
      </c>
      <c r="AI459" s="3439">
        <v>41.938271604938272</v>
      </c>
      <c r="AJ459" s="3394">
        <v>43.953909465020573</v>
      </c>
      <c r="AK459" s="1414">
        <v>45.96954732510288</v>
      </c>
      <c r="AL459" s="1414">
        <v>47.985185185185181</v>
      </c>
      <c r="AM459" s="1414">
        <v>50.000823045267488</v>
      </c>
      <c r="AN459" s="1414">
        <v>52.016460905349817</v>
      </c>
      <c r="AO459" s="1414">
        <v>54.032098765431904</v>
      </c>
      <c r="AP459" s="1414">
        <f>AO459*(1+BC459)</f>
        <v>58.713722838672211</v>
      </c>
      <c r="AQ459" s="1414">
        <f>AP459*(1+BD459)</f>
        <v>58.713722838672211</v>
      </c>
      <c r="AR459" s="1414">
        <f>AQ459*(1+BE459)</f>
        <v>58.713722838672211</v>
      </c>
      <c r="AS459" s="1414">
        <f>AR459*(1+BF459)</f>
        <v>58.713722838672211</v>
      </c>
      <c r="AT459" s="1414">
        <f>AS459*(1+BG459)</f>
        <v>58.713722838672211</v>
      </c>
      <c r="AU459" s="1538">
        <f t="shared" ref="AU459:BB459" si="171">AA459/Z459-1</f>
        <v>0.2577946768060837</v>
      </c>
      <c r="AV459" s="1538">
        <f t="shared" si="171"/>
        <v>-0.16159173353852918</v>
      </c>
      <c r="AW459" s="1538">
        <f t="shared" si="171"/>
        <v>1.1189196276386526</v>
      </c>
      <c r="AX459" s="1507">
        <f t="shared" si="171"/>
        <v>-1.039539632448494E-2</v>
      </c>
      <c r="AY459" s="1507">
        <f t="shared" si="171"/>
        <v>-0.17226286500343901</v>
      </c>
      <c r="AZ459" s="1507">
        <f t="shared" si="171"/>
        <v>7.013899380571087E-2</v>
      </c>
      <c r="BA459" s="1507">
        <f t="shared" si="171"/>
        <v>-0.20587301027070903</v>
      </c>
      <c r="BB459" s="1507">
        <f t="shared" si="171"/>
        <v>0.51111111111111107</v>
      </c>
      <c r="BC459" s="1786">
        <f>AVERAGE(AU459:AV459)+AVERAGE(AX459:BB459)</f>
        <v>8.664523829741505E-2</v>
      </c>
      <c r="BH459" s="1783"/>
    </row>
    <row r="460" spans="1:63">
      <c r="D460" s="2085" t="s">
        <v>180</v>
      </c>
      <c r="E460" s="2991" t="s">
        <v>1214</v>
      </c>
      <c r="F460" s="173"/>
      <c r="G460" s="53"/>
      <c r="H460" s="53"/>
      <c r="I460" s="53"/>
      <c r="J460" s="53"/>
      <c r="K460" s="53"/>
      <c r="L460" s="53"/>
      <c r="M460" s="53"/>
      <c r="N460" s="53"/>
      <c r="O460" s="53"/>
      <c r="P460" s="53"/>
      <c r="Q460" s="53"/>
      <c r="R460" s="53"/>
      <c r="S460" s="53"/>
      <c r="T460" s="53"/>
      <c r="U460" s="227"/>
      <c r="V460" s="227"/>
      <c r="W460" s="227"/>
      <c r="X460" s="227"/>
      <c r="Y460" s="227"/>
      <c r="Z460" s="1392">
        <f>+(Z461*$E$461+Z462*$E$462+$E$463*Z463)/$E$429</f>
        <v>23.441649999999999</v>
      </c>
      <c r="AA460" s="1392">
        <f t="shared" ref="AA460:AT460" si="172">+(AA461*$E$461+AA462*$E$462+$E$463*AA463)/$E$429</f>
        <v>24.028401500000001</v>
      </c>
      <c r="AB460" s="1392">
        <f t="shared" si="172"/>
        <v>30.502545999999999</v>
      </c>
      <c r="AC460" s="1392">
        <f t="shared" si="172"/>
        <v>29.747771499999999</v>
      </c>
      <c r="AD460" s="1392">
        <f t="shared" si="172"/>
        <v>41.423668999999997</v>
      </c>
      <c r="AE460" s="1392">
        <f>+(AE461*$E$461+AE462*$E$462+$E$463*AE463)/$E$429</f>
        <v>19.471762500000001</v>
      </c>
      <c r="AF460" s="1392">
        <f t="shared" si="172"/>
        <v>17.214968500000001</v>
      </c>
      <c r="AG460" s="1392">
        <f t="shared" si="172"/>
        <v>68.915600499999996</v>
      </c>
      <c r="AH460" s="1392">
        <f t="shared" si="172"/>
        <v>81.532631499999994</v>
      </c>
      <c r="AI460" s="3440">
        <f t="shared" si="172"/>
        <v>81.277656872296816</v>
      </c>
      <c r="AJ460" s="3395">
        <f t="shared" si="172"/>
        <v>88.454608416972434</v>
      </c>
      <c r="AK460" s="1392">
        <f t="shared" si="172"/>
        <v>95.626509449817632</v>
      </c>
      <c r="AL460" s="1392">
        <f t="shared" si="172"/>
        <v>103.10468574860558</v>
      </c>
      <c r="AM460" s="1392">
        <f t="shared" si="172"/>
        <v>110.63307875024354</v>
      </c>
      <c r="AN460" s="1392">
        <f t="shared" si="172"/>
        <v>118.21255212034561</v>
      </c>
      <c r="AO460" s="1392">
        <f t="shared" si="172"/>
        <v>125.84594322597265</v>
      </c>
      <c r="AP460" s="1790">
        <f>+(AP461*$E$461+AP462*$E$462+$E$463*AP463)/$E$429</f>
        <v>135.15113000681382</v>
      </c>
      <c r="AQ460" s="1790">
        <f t="shared" si="172"/>
        <v>145.45272409887147</v>
      </c>
      <c r="AR460" s="1790">
        <f t="shared" si="172"/>
        <v>156.8699864431303</v>
      </c>
      <c r="AS460" s="1790">
        <f t="shared" si="172"/>
        <v>169.53680942496376</v>
      </c>
      <c r="AT460" s="1790">
        <f t="shared" si="172"/>
        <v>183.60352148183466</v>
      </c>
      <c r="AU460" s="1538"/>
      <c r="AV460" s="1538"/>
      <c r="AW460" s="1538"/>
      <c r="AX460" s="1507"/>
      <c r="AY460" s="1580"/>
      <c r="BH460" s="1783"/>
    </row>
    <row r="461" spans="1:63">
      <c r="D461" s="2086" t="s">
        <v>1171</v>
      </c>
      <c r="E461" s="2731">
        <v>500</v>
      </c>
      <c r="F461" s="173"/>
      <c r="G461" s="53"/>
      <c r="H461" s="53"/>
      <c r="I461" s="53"/>
      <c r="J461" s="53"/>
      <c r="K461" s="53"/>
      <c r="L461" s="53"/>
      <c r="M461" s="53"/>
      <c r="N461" s="53"/>
      <c r="O461" s="53"/>
      <c r="P461" s="53"/>
      <c r="Q461" s="53"/>
      <c r="R461" s="53"/>
      <c r="S461" s="53"/>
      <c r="T461" s="53"/>
      <c r="U461" s="227"/>
      <c r="V461" s="227"/>
      <c r="W461" s="227"/>
      <c r="X461" s="227"/>
      <c r="Y461" s="227"/>
      <c r="Z461" s="1395">
        <v>0</v>
      </c>
      <c r="AA461" s="1395">
        <v>35.017000000000003</v>
      </c>
      <c r="AB461" s="1395">
        <v>416.57799999999997</v>
      </c>
      <c r="AC461" s="1395">
        <v>735.88900000000001</v>
      </c>
      <c r="AD461" s="1692">
        <v>757.62400000000002</v>
      </c>
      <c r="AE461" s="1692">
        <v>936.27300000000002</v>
      </c>
      <c r="AF461" s="1692">
        <v>1319.059</v>
      </c>
      <c r="AG461" s="1692">
        <v>860.23299999999995</v>
      </c>
      <c r="AH461" s="1692">
        <v>473.89499999999998</v>
      </c>
      <c r="AI461" s="3441">
        <v>1041.0007445936394</v>
      </c>
      <c r="AJ461" s="3396">
        <v>1165.9208339448762</v>
      </c>
      <c r="AK461" s="1692">
        <v>1280.7398996352333</v>
      </c>
      <c r="AL461" s="1692">
        <v>1398.1303072111414</v>
      </c>
      <c r="AM461" s="1692">
        <v>1515.5207147870988</v>
      </c>
      <c r="AN461" s="1692">
        <v>1631.6254514202178</v>
      </c>
      <c r="AO461" s="1692">
        <v>1749.0158589961529</v>
      </c>
      <c r="AP461" s="1667">
        <f t="shared" ref="AP461:AT463" si="173">AO461*(1+$BH461)</f>
        <v>1994.6137326054118</v>
      </c>
      <c r="AQ461" s="1667">
        <f t="shared" si="173"/>
        <v>2274.6986094120052</v>
      </c>
      <c r="AR461" s="1667">
        <f t="shared" si="173"/>
        <v>2594.1131754378216</v>
      </c>
      <c r="AS461" s="1667">
        <f t="shared" si="173"/>
        <v>2958.3801296293973</v>
      </c>
      <c r="AT461" s="1667">
        <f t="shared" si="173"/>
        <v>3373.7976716875228</v>
      </c>
      <c r="AU461" s="1780"/>
      <c r="AV461" s="1780">
        <f>AC461/AB461-1</f>
        <v>0.76650951322441419</v>
      </c>
      <c r="AW461" s="1780">
        <f t="shared" ref="AW461:BF461" si="174">AD461/AC461-1</f>
        <v>2.9535704433685028E-2</v>
      </c>
      <c r="AX461" s="1780">
        <f t="shared" si="174"/>
        <v>0.2358016641500269</v>
      </c>
      <c r="AY461" s="1780">
        <f t="shared" si="174"/>
        <v>0.4088401566637081</v>
      </c>
      <c r="AZ461" s="1780">
        <f t="shared" si="174"/>
        <v>-0.34784342474445795</v>
      </c>
      <c r="BA461" s="1780">
        <f t="shared" si="174"/>
        <v>-0.44910855547276141</v>
      </c>
      <c r="BB461" s="1780">
        <f t="shared" si="174"/>
        <v>1.1966907112200791</v>
      </c>
      <c r="BC461" s="1780">
        <f t="shared" si="174"/>
        <v>0.12000000000000011</v>
      </c>
      <c r="BD461" s="1780">
        <f t="shared" si="174"/>
        <v>9.8479298377290636E-2</v>
      </c>
      <c r="BE461" s="1780">
        <f t="shared" si="174"/>
        <v>9.1658273166426607E-2</v>
      </c>
      <c r="BF461" s="1780">
        <f t="shared" si="174"/>
        <v>8.396242250846897E-2</v>
      </c>
      <c r="BG461" s="1780">
        <f>AN461/AM461-1</f>
        <v>7.6610458372671886E-2</v>
      </c>
      <c r="BH461" s="1783">
        <f>AVERAGE(AW461:BG461)</f>
        <v>0.14042060987955798</v>
      </c>
      <c r="BJ461" s="818"/>
      <c r="BK461" s="818"/>
    </row>
    <row r="462" spans="1:63">
      <c r="D462" s="2086" t="s">
        <v>1169</v>
      </c>
      <c r="E462" s="2731">
        <v>1000</v>
      </c>
      <c r="F462" s="173"/>
      <c r="G462" s="764"/>
      <c r="H462" s="764"/>
      <c r="I462" s="764"/>
      <c r="J462" s="764"/>
      <c r="K462" s="764"/>
      <c r="L462" s="764"/>
      <c r="M462" s="764"/>
      <c r="N462" s="764"/>
      <c r="O462" s="764"/>
      <c r="P462" s="764"/>
      <c r="Q462" s="764"/>
      <c r="R462" s="764"/>
      <c r="S462" s="764"/>
      <c r="T462" s="764"/>
      <c r="U462" s="978"/>
      <c r="V462" s="978"/>
      <c r="W462" s="978"/>
      <c r="X462" s="978"/>
      <c r="Y462" s="978"/>
      <c r="Z462" s="1395">
        <v>18518.903999999999</v>
      </c>
      <c r="AA462" s="1395">
        <v>18784.928</v>
      </c>
      <c r="AB462" s="1395">
        <v>22988.262999999999</v>
      </c>
      <c r="AC462" s="1395">
        <v>20273.545999999998</v>
      </c>
      <c r="AD462" s="1692">
        <v>30667.455999999998</v>
      </c>
      <c r="AE462" s="3192">
        <v>13574.183999999999</v>
      </c>
      <c r="AF462" s="3192">
        <v>9637.7489999999998</v>
      </c>
      <c r="AG462" s="1692">
        <v>46343.226999999999</v>
      </c>
      <c r="AH462" s="1692">
        <v>52782.59</v>
      </c>
      <c r="AI462" s="3441">
        <v>53058.535499999998</v>
      </c>
      <c r="AJ462" s="3396">
        <v>54427.436000000002</v>
      </c>
      <c r="AK462" s="1692">
        <v>55796.336499999998</v>
      </c>
      <c r="AL462" s="1692">
        <f>AK462*(1+3%)</f>
        <v>57470.226595</v>
      </c>
      <c r="AM462" s="1692">
        <f>AL462*(1+3%)</f>
        <v>59194.33339285</v>
      </c>
      <c r="AN462" s="1692">
        <f>AM462*(1+3%)</f>
        <v>60970.1633946355</v>
      </c>
      <c r="AO462" s="1692">
        <f>AN462*(1+3%)</f>
        <v>62799.268296474569</v>
      </c>
      <c r="AP462" s="1667">
        <f t="shared" si="173"/>
        <v>64329.254288811338</v>
      </c>
      <c r="AQ462" s="1667">
        <f t="shared" si="173"/>
        <v>65896.515510625235</v>
      </c>
      <c r="AR462" s="1667">
        <f t="shared" si="173"/>
        <v>67501.960102735538</v>
      </c>
      <c r="AS462" s="1667">
        <f t="shared" si="173"/>
        <v>69146.518331103609</v>
      </c>
      <c r="AT462" s="1667">
        <f t="shared" si="173"/>
        <v>70831.143125870294</v>
      </c>
      <c r="AU462" s="1780">
        <f>AB462/AA462-1</f>
        <v>0.22376103863693264</v>
      </c>
      <c r="AV462" s="1780">
        <f>AC462/AB462-1</f>
        <v>-0.11809143648652365</v>
      </c>
      <c r="AW462" s="1780">
        <f t="shared" ref="AW462:BF463" si="175">AD462/AC462-1</f>
        <v>0.51268337566600342</v>
      </c>
      <c r="AX462" s="1780">
        <f t="shared" si="175"/>
        <v>-0.55737495800108094</v>
      </c>
      <c r="AY462" s="1780">
        <f t="shared" si="175"/>
        <v>-0.28999422727730817</v>
      </c>
      <c r="AZ462" s="1780">
        <f t="shared" si="175"/>
        <v>3.8085115103122105</v>
      </c>
      <c r="BA462" s="1780">
        <f t="shared" si="175"/>
        <v>0.13894938736139362</v>
      </c>
      <c r="BB462" s="1780">
        <f t="shared" si="175"/>
        <v>5.2279643723431857E-3</v>
      </c>
      <c r="BC462" s="1780">
        <f t="shared" si="175"/>
        <v>2.5799816883374183E-2</v>
      </c>
      <c r="BD462" s="1780">
        <f t="shared" si="175"/>
        <v>2.5150927557932246E-2</v>
      </c>
      <c r="BE462" s="1780">
        <f t="shared" si="175"/>
        <v>3.0000000000000027E-2</v>
      </c>
      <c r="BF462" s="1780">
        <f t="shared" si="175"/>
        <v>3.0000000000000027E-2</v>
      </c>
      <c r="BG462" s="1780">
        <f>AN462/AM462-1</f>
        <v>3.0000000000000027E-2</v>
      </c>
      <c r="BH462" s="1783">
        <f>AVERAGE(BB462:BG462)</f>
        <v>2.4363118135608281E-2</v>
      </c>
    </row>
    <row r="463" spans="1:63">
      <c r="D463" s="2086" t="s">
        <v>1170</v>
      </c>
      <c r="E463" s="2731">
        <v>1000</v>
      </c>
      <c r="F463" s="173"/>
      <c r="G463" s="764"/>
      <c r="H463" s="764"/>
      <c r="I463" s="764"/>
      <c r="J463" s="764"/>
      <c r="K463" s="764"/>
      <c r="L463" s="764"/>
      <c r="M463" s="764"/>
      <c r="N463" s="764"/>
      <c r="O463" s="764"/>
      <c r="P463" s="764"/>
      <c r="Q463" s="764"/>
      <c r="R463" s="764"/>
      <c r="S463" s="764"/>
      <c r="T463" s="764"/>
      <c r="U463" s="978"/>
      <c r="V463" s="978"/>
      <c r="W463" s="978"/>
      <c r="X463" s="978"/>
      <c r="Y463" s="978"/>
      <c r="Z463" s="1394">
        <v>4922.7460000000001</v>
      </c>
      <c r="AA463" s="1394">
        <v>5225.9650000000001</v>
      </c>
      <c r="AB463" s="1394">
        <v>7305.9939999999997</v>
      </c>
      <c r="AC463" s="1394">
        <v>9106.2810000000009</v>
      </c>
      <c r="AD463" s="1543">
        <v>10377.401</v>
      </c>
      <c r="AE463" s="1542">
        <v>5429.442</v>
      </c>
      <c r="AF463" s="1542">
        <v>6917.69</v>
      </c>
      <c r="AG463" s="1394">
        <v>22142.257000000001</v>
      </c>
      <c r="AH463" s="1394">
        <v>28513.094000000001</v>
      </c>
      <c r="AI463" s="3442">
        <v>27698.620999999999</v>
      </c>
      <c r="AJ463" s="3397">
        <v>33444.212</v>
      </c>
      <c r="AK463" s="1394">
        <v>39189.803</v>
      </c>
      <c r="AL463" s="1394">
        <v>44935.394</v>
      </c>
      <c r="AM463" s="1394">
        <v>50680.985000000001</v>
      </c>
      <c r="AN463" s="1394">
        <v>56426.576000000001</v>
      </c>
      <c r="AO463" s="1394">
        <v>62172.167000000001</v>
      </c>
      <c r="AP463" s="1667">
        <f t="shared" si="173"/>
        <v>69824.568851699791</v>
      </c>
      <c r="AQ463" s="1667">
        <f t="shared" si="173"/>
        <v>78418.859283540238</v>
      </c>
      <c r="AR463" s="1667">
        <f t="shared" si="173"/>
        <v>88070.969752675868</v>
      </c>
      <c r="AS463" s="1667">
        <f t="shared" si="173"/>
        <v>98911.101029045443</v>
      </c>
      <c r="AT463" s="1667">
        <f t="shared" si="173"/>
        <v>111085.47952012059</v>
      </c>
      <c r="AU463" s="1780">
        <f>AB463/AA463-1</f>
        <v>0.39801816506616472</v>
      </c>
      <c r="AV463" s="1780">
        <f>AC463/AB463-1</f>
        <v>0.24641232938324364</v>
      </c>
      <c r="AW463" s="1780">
        <f t="shared" si="175"/>
        <v>0.13958717065726378</v>
      </c>
      <c r="AX463" s="1780">
        <f t="shared" si="175"/>
        <v>-0.47680136866639344</v>
      </c>
      <c r="AY463" s="1780">
        <f t="shared" si="175"/>
        <v>0.27410698926335342</v>
      </c>
      <c r="AZ463" s="1780">
        <f t="shared" si="175"/>
        <v>2.200816602073814</v>
      </c>
      <c r="BA463" s="1780">
        <f t="shared" si="175"/>
        <v>0.28772301757675378</v>
      </c>
      <c r="BB463" s="1780">
        <f t="shared" si="175"/>
        <v>-2.8564876193372779E-2</v>
      </c>
      <c r="BC463" s="1780">
        <f t="shared" si="175"/>
        <v>0.20743238444975298</v>
      </c>
      <c r="BD463" s="1780">
        <f t="shared" si="175"/>
        <v>0.17179627374685946</v>
      </c>
      <c r="BE463" s="1780">
        <f t="shared" si="175"/>
        <v>0.1466093361071501</v>
      </c>
      <c r="BF463" s="1780">
        <f t="shared" si="175"/>
        <v>0.12786337202250864</v>
      </c>
      <c r="BG463" s="1780">
        <f>AN463/AM463-1</f>
        <v>0.11336778478160991</v>
      </c>
      <c r="BH463" s="1783">
        <f>AVERAGE(BB463:BG463)</f>
        <v>0.12308404581908472</v>
      </c>
    </row>
    <row r="464" spans="1:63">
      <c r="D464" s="2085" t="s">
        <v>1661</v>
      </c>
      <c r="E464" s="2125"/>
      <c r="F464" s="173"/>
      <c r="G464" s="764"/>
      <c r="H464" s="764"/>
      <c r="I464" s="764"/>
      <c r="J464" s="764"/>
      <c r="K464" s="764"/>
      <c r="L464" s="764"/>
      <c r="M464" s="764"/>
      <c r="N464" s="764"/>
      <c r="O464" s="764"/>
      <c r="P464" s="764"/>
      <c r="Q464" s="764"/>
      <c r="R464" s="764"/>
      <c r="S464" s="764"/>
      <c r="T464" s="764"/>
      <c r="U464" s="978"/>
      <c r="V464" s="978"/>
      <c r="W464" s="978"/>
      <c r="X464" s="978"/>
      <c r="Y464" s="978"/>
      <c r="Z464" s="1394"/>
      <c r="AA464" s="1394"/>
      <c r="AB464" s="2389">
        <f>(AB465*$E$465+AB466*$E$466+AB467*$E$467+AB468*$E$468+AB469*$E$469+AB470*$E$470)*$AB$266/$E$429</f>
        <v>60.173376893610268</v>
      </c>
      <c r="AC464" s="2389">
        <f t="shared" ref="AC464:AT464" si="176">(AC465*$E$465+AC466*$E$466+AC467*$E$467+AC468*$E$468+AC469*$E$469+AC470*$E$470)*$AB$266/$E$429</f>
        <v>74.028902825657809</v>
      </c>
      <c r="AD464" s="2389">
        <f t="shared" si="176"/>
        <v>72.459585600846026</v>
      </c>
      <c r="AE464" s="2389">
        <f t="shared" si="176"/>
        <v>31.553906738312662</v>
      </c>
      <c r="AF464" s="2389">
        <f t="shared" si="176"/>
        <v>30.649874460242479</v>
      </c>
      <c r="AG464" s="2389">
        <f>(AG465*$E$465+AG466*$E$466+AG467*$E$467+AG468*$E$468+AG469*$E$469+AG470*$E$470)*$AB$266/$E$429</f>
        <v>101.69992929352352</v>
      </c>
      <c r="AH464" s="2389">
        <f t="shared" si="176"/>
        <v>93.563930322648446</v>
      </c>
      <c r="AI464" s="3443">
        <f t="shared" si="176"/>
        <v>111.91572323618105</v>
      </c>
      <c r="AJ464" s="3398">
        <f t="shared" si="176"/>
        <v>133.50110080548154</v>
      </c>
      <c r="AK464" s="2389">
        <f t="shared" si="176"/>
        <v>146.46216886236442</v>
      </c>
      <c r="AL464" s="2389">
        <f t="shared" si="176"/>
        <v>165.82473822205532</v>
      </c>
      <c r="AM464" s="2389">
        <f t="shared" si="176"/>
        <v>182.45511715359629</v>
      </c>
      <c r="AN464" s="2389">
        <f t="shared" si="176"/>
        <v>198.61718944728705</v>
      </c>
      <c r="AO464" s="2389">
        <f t="shared" si="176"/>
        <v>216.61693526031715</v>
      </c>
      <c r="AP464" s="2389">
        <f t="shared" si="176"/>
        <v>248.39084351251478</v>
      </c>
      <c r="AQ464" s="2389">
        <f>(AQ465*$E$465+AQ466*$E$466+AQ467*$E$467+AQ468*$E$468+AQ469*$E$469+AQ470*$E$470)*$AB$266/$E$429</f>
        <v>306.68635515067206</v>
      </c>
      <c r="AR464" s="2389">
        <f t="shared" si="176"/>
        <v>503.57742486557288</v>
      </c>
      <c r="AS464" s="2389">
        <f t="shared" si="176"/>
        <v>1497.5015174428318</v>
      </c>
      <c r="AT464" s="2389">
        <f t="shared" si="176"/>
        <v>7169.2099250231176</v>
      </c>
      <c r="AU464" s="1780"/>
      <c r="AV464" s="1780"/>
      <c r="AW464" s="1780"/>
      <c r="AX464" s="1780"/>
      <c r="AY464" s="1780"/>
      <c r="AZ464" s="1780"/>
      <c r="BA464" s="1780"/>
      <c r="BB464" s="1780"/>
      <c r="BC464" s="1780"/>
      <c r="BD464" s="1780"/>
      <c r="BE464" s="1780"/>
      <c r="BF464" s="1780"/>
      <c r="BG464" s="1780"/>
      <c r="BH464" s="1783"/>
    </row>
    <row r="465" spans="4:61">
      <c r="D465" s="129" t="s">
        <v>182</v>
      </c>
      <c r="E465" s="2126">
        <v>1.39</v>
      </c>
      <c r="F465" s="2929"/>
      <c r="G465" s="239"/>
      <c r="H465" s="239"/>
      <c r="I465" s="239"/>
      <c r="J465" s="239"/>
      <c r="K465" s="239"/>
      <c r="L465" s="239"/>
      <c r="M465" s="239"/>
      <c r="N465" s="53"/>
      <c r="O465" s="53"/>
      <c r="P465" s="53"/>
      <c r="Q465" s="53"/>
      <c r="R465" s="53"/>
      <c r="S465" s="53"/>
      <c r="T465" s="53"/>
      <c r="U465" s="227"/>
      <c r="V465" s="227"/>
      <c r="W465" s="227"/>
      <c r="X465" s="227"/>
      <c r="Y465" s="227"/>
      <c r="Z465" s="872">
        <v>9878.4699999999993</v>
      </c>
      <c r="AA465" s="227">
        <v>6138.25</v>
      </c>
      <c r="AB465" s="978">
        <v>5244.28</v>
      </c>
      <c r="AC465" s="227">
        <v>1747.461</v>
      </c>
      <c r="AD465" s="227">
        <v>1210.934</v>
      </c>
      <c r="AE465" s="227">
        <v>160.49299999999999</v>
      </c>
      <c r="AF465" s="227">
        <v>1784.8330000000001</v>
      </c>
      <c r="AG465" s="227">
        <v>3012.723</v>
      </c>
      <c r="AH465" s="227">
        <v>2087.808</v>
      </c>
      <c r="AI465" s="3444">
        <v>3172.6885000000002</v>
      </c>
      <c r="AJ465" s="3399">
        <v>3814.6290999999046</v>
      </c>
      <c r="AK465" s="227">
        <v>4456.569699999809</v>
      </c>
      <c r="AL465" s="227">
        <v>5098.5102999997143</v>
      </c>
      <c r="AM465" s="227">
        <v>5740.450899999857</v>
      </c>
      <c r="AN465" s="227">
        <v>6382.3914999997914</v>
      </c>
      <c r="AO465" s="227">
        <v>7024.332099999905</v>
      </c>
      <c r="AP465" s="1667">
        <f t="shared" ref="AP465:AP470" si="177">AO465*(1+$BH465)</f>
        <v>7992.7059887671885</v>
      </c>
      <c r="AQ465" s="1667">
        <f t="shared" ref="AQ465:AT466" si="178">AP465*(1+$BH465)</f>
        <v>9094.579828148464</v>
      </c>
      <c r="AR465" s="1667">
        <f t="shared" si="178"/>
        <v>10348.357911176277</v>
      </c>
      <c r="AS465" s="1667">
        <f t="shared" si="178"/>
        <v>11774.981745320109</v>
      </c>
      <c r="AT465" s="1667">
        <f t="shared" si="178"/>
        <v>13398.279832675567</v>
      </c>
      <c r="AU465" s="1780">
        <f t="shared" ref="AU465:BG468" si="179">AB465/AA465-1</f>
        <v>-0.14563922942206664</v>
      </c>
      <c r="AV465" s="1780">
        <f t="shared" si="179"/>
        <v>-0.66678724248133203</v>
      </c>
      <c r="AW465" s="1780">
        <f t="shared" si="179"/>
        <v>-0.30703231717331603</v>
      </c>
      <c r="AX465" s="1780">
        <f t="shared" si="179"/>
        <v>-0.86746346208794201</v>
      </c>
      <c r="AY465" s="1780">
        <f t="shared" si="179"/>
        <v>10.120939854074633</v>
      </c>
      <c r="AZ465" s="1780">
        <f t="shared" si="179"/>
        <v>0.68795792099316855</v>
      </c>
      <c r="BA465" s="1780">
        <f t="shared" si="179"/>
        <v>-0.30700300027583016</v>
      </c>
      <c r="BB465" s="1780">
        <f t="shared" si="179"/>
        <v>0.51962656527803341</v>
      </c>
      <c r="BC465" s="1780">
        <f t="shared" si="179"/>
        <v>0.20233332077823096</v>
      </c>
      <c r="BD465" s="1780">
        <f t="shared" si="179"/>
        <v>0.16828388374637004</v>
      </c>
      <c r="BE465" s="1780">
        <f t="shared" si="179"/>
        <v>0.14404365761404625</v>
      </c>
      <c r="BF465" s="1780">
        <f t="shared" si="179"/>
        <v>0.1259074832113567</v>
      </c>
      <c r="BG465" s="1780">
        <f t="shared" si="179"/>
        <v>0.11182755696071722</v>
      </c>
      <c r="BH465" s="1783">
        <f>AVERAGE(BA465:BG465)</f>
        <v>0.13785992390184634</v>
      </c>
    </row>
    <row r="466" spans="4:61">
      <c r="D466" s="129" t="s">
        <v>1660</v>
      </c>
      <c r="E466" s="2126">
        <v>1.1599999999999999</v>
      </c>
      <c r="F466" s="2929"/>
      <c r="G466" s="239"/>
      <c r="H466" s="239"/>
      <c r="I466" s="239"/>
      <c r="J466" s="239"/>
      <c r="K466" s="239"/>
      <c r="L466" s="239"/>
      <c r="M466" s="239"/>
      <c r="N466" s="53"/>
      <c r="O466" s="53"/>
      <c r="P466" s="53"/>
      <c r="Q466" s="53"/>
      <c r="R466" s="53"/>
      <c r="S466" s="53"/>
      <c r="T466" s="53"/>
      <c r="U466" s="227"/>
      <c r="V466" s="227"/>
      <c r="W466" s="227"/>
      <c r="X466" s="227"/>
      <c r="Y466" s="227"/>
      <c r="Z466" s="872">
        <v>7726.6360000000004</v>
      </c>
      <c r="AA466" s="227">
        <v>11363.136</v>
      </c>
      <c r="AB466" s="978">
        <v>11251.955</v>
      </c>
      <c r="AC466" s="227">
        <v>17910.466</v>
      </c>
      <c r="AD466" s="227">
        <v>8752.5640000000003</v>
      </c>
      <c r="AE466" s="227">
        <v>4283.9319999999998</v>
      </c>
      <c r="AF466" s="227">
        <v>3475.1779999999999</v>
      </c>
      <c r="AG466" s="227">
        <v>23275.47</v>
      </c>
      <c r="AH466" s="227">
        <v>25844.223000000002</v>
      </c>
      <c r="AI466" s="3444">
        <v>28500</v>
      </c>
      <c r="AJ466" s="3399">
        <v>29925.000000000004</v>
      </c>
      <c r="AK466" s="227">
        <v>31421.250000000004</v>
      </c>
      <c r="AL466" s="227">
        <v>32992.312500000007</v>
      </c>
      <c r="AM466" s="227">
        <v>34641.928124999999</v>
      </c>
      <c r="AN466" s="227">
        <v>36175.584374999999</v>
      </c>
      <c r="AO466" s="227">
        <v>37785.923437500001</v>
      </c>
      <c r="AP466" s="1667">
        <f t="shared" si="177"/>
        <v>40254.940582625306</v>
      </c>
      <c r="AQ466" s="1667">
        <f t="shared" si="178"/>
        <v>42885.28885607425</v>
      </c>
      <c r="AR466" s="1667">
        <f t="shared" si="178"/>
        <v>45687.509996294291</v>
      </c>
      <c r="AS466" s="1667">
        <f t="shared" si="178"/>
        <v>48672.834562611082</v>
      </c>
      <c r="AT466" s="1667">
        <f t="shared" si="178"/>
        <v>51853.226944332506</v>
      </c>
      <c r="AU466" s="1780">
        <f t="shared" si="179"/>
        <v>-9.7843588248878177E-3</v>
      </c>
      <c r="AV466" s="1780">
        <f t="shared" si="179"/>
        <v>0.5917648088709917</v>
      </c>
      <c r="AW466" s="1780">
        <f t="shared" si="179"/>
        <v>-0.51131567431020497</v>
      </c>
      <c r="AX466" s="1780">
        <f t="shared" si="179"/>
        <v>-0.51055119391300652</v>
      </c>
      <c r="AY466" s="1780">
        <f t="shared" si="179"/>
        <v>-0.1887877772102825</v>
      </c>
      <c r="AZ466" s="1780">
        <f t="shared" si="179"/>
        <v>5.6976339053711786</v>
      </c>
      <c r="BA466" s="1780">
        <f t="shared" si="179"/>
        <v>0.11036309900508989</v>
      </c>
      <c r="BB466" s="1780">
        <f t="shared" si="179"/>
        <v>0.10276095357945181</v>
      </c>
      <c r="BC466" s="1780">
        <f t="shared" si="179"/>
        <v>5.0000000000000044E-2</v>
      </c>
      <c r="BD466" s="1780">
        <f t="shared" si="179"/>
        <v>5.0000000000000044E-2</v>
      </c>
      <c r="BE466" s="1780">
        <f t="shared" si="179"/>
        <v>5.0000000000000044E-2</v>
      </c>
      <c r="BF466" s="1780">
        <f t="shared" si="179"/>
        <v>4.9999999999999822E-2</v>
      </c>
      <c r="BG466" s="1780">
        <f t="shared" si="179"/>
        <v>4.4271676924738212E-2</v>
      </c>
      <c r="BH466" s="1783">
        <f>AVERAGE(BA466:BG466)</f>
        <v>6.5342247072754267E-2</v>
      </c>
    </row>
    <row r="467" spans="4:61">
      <c r="D467" s="129" t="s">
        <v>184</v>
      </c>
      <c r="E467" s="2126">
        <v>3.55</v>
      </c>
      <c r="F467" s="2929"/>
      <c r="G467" s="239"/>
      <c r="H467" s="239"/>
      <c r="I467" s="239"/>
      <c r="J467" s="239"/>
      <c r="K467" s="239"/>
      <c r="L467" s="239"/>
      <c r="M467" s="239"/>
      <c r="N467" s="53"/>
      <c r="O467" s="53"/>
      <c r="P467" s="53"/>
      <c r="Q467" s="53"/>
      <c r="R467" s="53"/>
      <c r="S467" s="53"/>
      <c r="T467" s="53"/>
      <c r="U467" s="227"/>
      <c r="V467" s="227"/>
      <c r="W467" s="227"/>
      <c r="X467" s="227"/>
      <c r="Y467" s="227"/>
      <c r="Z467" s="872">
        <v>3176.998</v>
      </c>
      <c r="AA467" s="227">
        <v>6793.259</v>
      </c>
      <c r="AB467" s="978">
        <v>5682.808</v>
      </c>
      <c r="AC467" s="227">
        <v>7721.6540000000005</v>
      </c>
      <c r="AD467" s="227">
        <v>6345.7569999999996</v>
      </c>
      <c r="AE467" s="227">
        <v>1802.527</v>
      </c>
      <c r="AF467" s="227">
        <v>1400.7329999999999</v>
      </c>
      <c r="AG467" s="227">
        <v>9828.6180000000004</v>
      </c>
      <c r="AH467" s="227">
        <v>9396.277</v>
      </c>
      <c r="AI467" s="3444">
        <v>9274.6270000000004</v>
      </c>
      <c r="AJ467" s="3399">
        <v>11004.571599999905</v>
      </c>
      <c r="AK467" s="227">
        <v>12734.516199999809</v>
      </c>
      <c r="AL467" s="227">
        <v>14464.46080000019</v>
      </c>
      <c r="AM467" s="227">
        <v>16194.405399999618</v>
      </c>
      <c r="AN467" s="227">
        <v>17924.349999999999</v>
      </c>
      <c r="AO467" s="227">
        <v>19654.294599999903</v>
      </c>
      <c r="AP467" s="1667">
        <f t="shared" si="177"/>
        <v>21476.703588765045</v>
      </c>
      <c r="AQ467" s="1667">
        <f t="shared" ref="AQ467:AT470" si="180">AP467*(1+$BH467)</f>
        <v>23468.092161378088</v>
      </c>
      <c r="AR467" s="1667">
        <f t="shared" si="180"/>
        <v>25644.128644725824</v>
      </c>
      <c r="AS467" s="1667">
        <f t="shared" si="180"/>
        <v>28021.934183022695</v>
      </c>
      <c r="AT467" s="1667">
        <f t="shared" si="180"/>
        <v>30620.217447674993</v>
      </c>
      <c r="AU467" s="1780">
        <f t="shared" si="179"/>
        <v>-0.16346366302241677</v>
      </c>
      <c r="AV467" s="1780">
        <f t="shared" si="179"/>
        <v>0.3587743946302604</v>
      </c>
      <c r="AW467" s="1780">
        <f t="shared" si="179"/>
        <v>-0.17818682370383354</v>
      </c>
      <c r="AX467" s="1780">
        <f t="shared" si="179"/>
        <v>-0.71594767968581208</v>
      </c>
      <c r="AY467" s="1780">
        <f t="shared" si="179"/>
        <v>-0.22290595369722621</v>
      </c>
      <c r="AZ467" s="1780">
        <f t="shared" si="179"/>
        <v>6.0167676495092222</v>
      </c>
      <c r="BA467" s="1780">
        <f t="shared" si="179"/>
        <v>-4.3987974708143085E-2</v>
      </c>
      <c r="BB467" s="1780">
        <f t="shared" si="179"/>
        <v>-1.2946617048433029E-2</v>
      </c>
      <c r="BC467" s="1780">
        <f t="shared" si="179"/>
        <v>0.18652443920385209</v>
      </c>
      <c r="BD467" s="1780">
        <f t="shared" si="179"/>
        <v>0.15720235760926116</v>
      </c>
      <c r="BE467" s="1780">
        <f t="shared" si="179"/>
        <v>0.13584690402297395</v>
      </c>
      <c r="BF467" s="1780">
        <f t="shared" si="179"/>
        <v>0.11959966043113091</v>
      </c>
      <c r="BG467" s="1780">
        <f t="shared" si="179"/>
        <v>0.10682359477060044</v>
      </c>
      <c r="BH467" s="1783">
        <f>AVERAGE(BA467:BG467)</f>
        <v>9.2723194897320352E-2</v>
      </c>
    </row>
    <row r="468" spans="4:61">
      <c r="D468" s="2087" t="s">
        <v>1172</v>
      </c>
      <c r="E468" s="2126">
        <v>0.61</v>
      </c>
      <c r="F468" s="2929"/>
      <c r="G468" s="1381"/>
      <c r="H468" s="1381"/>
      <c r="I468" s="1381"/>
      <c r="J468" s="1381"/>
      <c r="K468" s="1381"/>
      <c r="L468" s="1381"/>
      <c r="M468" s="1381"/>
      <c r="N468" s="764"/>
      <c r="O468" s="764"/>
      <c r="P468" s="764"/>
      <c r="Q468" s="764"/>
      <c r="R468" s="764"/>
      <c r="S468" s="764"/>
      <c r="T468" s="764"/>
      <c r="U468" s="978"/>
      <c r="V468" s="978"/>
      <c r="W468" s="978"/>
      <c r="X468" s="978"/>
      <c r="Y468" s="978"/>
      <c r="Z468" s="1380"/>
      <c r="AA468" s="978">
        <v>15316.723</v>
      </c>
      <c r="AB468" s="978">
        <v>9579.2870000000003</v>
      </c>
      <c r="AC468" s="978">
        <v>17835.397000000001</v>
      </c>
      <c r="AD468" s="978">
        <v>28350.681</v>
      </c>
      <c r="AE468" s="978">
        <v>21211</v>
      </c>
      <c r="AF468" s="978">
        <v>26136</v>
      </c>
      <c r="AG468" s="978">
        <v>25930</v>
      </c>
      <c r="AH468" s="978">
        <v>11801</v>
      </c>
      <c r="AI468" s="3444">
        <v>19135</v>
      </c>
      <c r="AJ468" s="3399">
        <v>23059</v>
      </c>
      <c r="AK468" s="978">
        <v>23753</v>
      </c>
      <c r="AL468" s="978">
        <v>24448</v>
      </c>
      <c r="AM468" s="978">
        <v>25143</v>
      </c>
      <c r="AN468" s="978">
        <v>25838</v>
      </c>
      <c r="AO468" s="978">
        <v>26533</v>
      </c>
      <c r="AP468" s="1667">
        <f t="shared" si="177"/>
        <v>31173.325223506097</v>
      </c>
      <c r="AQ468" s="1667">
        <f t="shared" si="180"/>
        <v>36625.191478177418</v>
      </c>
      <c r="AR468" s="1667">
        <f t="shared" si="180"/>
        <v>43030.528222304631</v>
      </c>
      <c r="AS468" s="1667">
        <f t="shared" si="180"/>
        <v>50556.086790531037</v>
      </c>
      <c r="AT468" s="1667">
        <f t="shared" si="180"/>
        <v>59397.781462670056</v>
      </c>
      <c r="AU468" s="1780">
        <f t="shared" si="179"/>
        <v>-0.3745863916191472</v>
      </c>
      <c r="AV468" s="1780">
        <f t="shared" si="179"/>
        <v>0.86187103486929661</v>
      </c>
      <c r="AW468" s="1780">
        <f t="shared" si="179"/>
        <v>0.58957386819031843</v>
      </c>
      <c r="AX468" s="1780">
        <f t="shared" si="179"/>
        <v>-0.25183455028822765</v>
      </c>
      <c r="AY468" s="1780">
        <f t="shared" si="179"/>
        <v>0.23219084437320259</v>
      </c>
      <c r="AZ468" s="1780">
        <f t="shared" si="179"/>
        <v>-7.8818487909396717E-3</v>
      </c>
      <c r="BA468" s="1780">
        <f t="shared" si="179"/>
        <v>-0.54489008870034716</v>
      </c>
      <c r="BB468" s="1780">
        <f t="shared" si="179"/>
        <v>0.62147275654605538</v>
      </c>
      <c r="BC468" s="1780">
        <f t="shared" si="179"/>
        <v>0.20506924483929967</v>
      </c>
      <c r="BD468" s="1780">
        <f t="shared" si="179"/>
        <v>3.009670844355794E-2</v>
      </c>
      <c r="BE468" s="1780">
        <f t="shared" si="179"/>
        <v>2.9259461962699351E-2</v>
      </c>
      <c r="BF468" s="1780">
        <f t="shared" si="179"/>
        <v>2.8427683246073254E-2</v>
      </c>
      <c r="BG468" s="1780">
        <f t="shared" si="179"/>
        <v>2.7641888398361347E-2</v>
      </c>
      <c r="BH468" s="1783">
        <f>AVERAGE(AU468:AZ468)</f>
        <v>0.17488882612241721</v>
      </c>
    </row>
    <row r="469" spans="4:61">
      <c r="D469" s="2087" t="s">
        <v>1173</v>
      </c>
      <c r="E469" s="2126">
        <v>7.87</v>
      </c>
      <c r="F469" s="2929"/>
      <c r="G469" s="1381"/>
      <c r="H469" s="1381"/>
      <c r="I469" s="1381"/>
      <c r="J469" s="1381"/>
      <c r="K469" s="1381"/>
      <c r="L469" s="1381"/>
      <c r="M469" s="1381"/>
      <c r="N469" s="764"/>
      <c r="O469" s="764"/>
      <c r="P469" s="764"/>
      <c r="Q469" s="764"/>
      <c r="R469" s="764"/>
      <c r="S469" s="764"/>
      <c r="T469" s="764"/>
      <c r="U469" s="978"/>
      <c r="V469" s="978"/>
      <c r="W469" s="978"/>
      <c r="X469" s="978"/>
      <c r="Y469" s="978"/>
      <c r="Z469" s="1380"/>
      <c r="AA469" s="1540"/>
      <c r="AB469" s="1540"/>
      <c r="AC469" s="1540"/>
      <c r="AD469" s="1540"/>
      <c r="AE469" s="1540">
        <v>9</v>
      </c>
      <c r="AF469" s="1540">
        <v>3</v>
      </c>
      <c r="AG469" s="1540">
        <v>128</v>
      </c>
      <c r="AH469" s="1540">
        <v>16</v>
      </c>
      <c r="AI469" s="3445">
        <v>68</v>
      </c>
      <c r="AJ469" s="3400">
        <v>81</v>
      </c>
      <c r="AK469" s="1540">
        <v>94</v>
      </c>
      <c r="AL469" s="1540">
        <v>107</v>
      </c>
      <c r="AM469" s="1540">
        <v>119</v>
      </c>
      <c r="AN469" s="1540">
        <v>132</v>
      </c>
      <c r="AO469" s="1540">
        <v>145</v>
      </c>
      <c r="AP469" s="1667">
        <f t="shared" si="177"/>
        <v>855.28026700448584</v>
      </c>
      <c r="AQ469" s="1667">
        <f t="shared" si="180"/>
        <v>5044.8574836363077</v>
      </c>
      <c r="AR469" s="1667">
        <f t="shared" si="180"/>
        <v>29757.014176579585</v>
      </c>
      <c r="AS469" s="1667">
        <f t="shared" si="180"/>
        <v>175521.28986345694</v>
      </c>
      <c r="AT469" s="1667">
        <f t="shared" si="180"/>
        <v>1035309.625237167</v>
      </c>
      <c r="AU469" s="1780"/>
      <c r="AV469" s="1780"/>
      <c r="AW469" s="1780"/>
      <c r="AX469" s="1780"/>
      <c r="AY469" s="1780">
        <f t="shared" ref="AY469:BG471" si="181">AF469/AE469-1</f>
        <v>-0.66666666666666674</v>
      </c>
      <c r="AZ469" s="1780">
        <f t="shared" si="181"/>
        <v>41.666666666666664</v>
      </c>
      <c r="BA469" s="1780">
        <f t="shared" si="181"/>
        <v>-0.875</v>
      </c>
      <c r="BB469" s="1780">
        <f t="shared" si="181"/>
        <v>3.25</v>
      </c>
      <c r="BC469" s="1780">
        <f t="shared" si="181"/>
        <v>0.19117647058823528</v>
      </c>
      <c r="BD469" s="1780">
        <f t="shared" si="181"/>
        <v>0.16049382716049387</v>
      </c>
      <c r="BE469" s="1780">
        <f t="shared" si="181"/>
        <v>0.13829787234042556</v>
      </c>
      <c r="BF469" s="1780">
        <f t="shared" si="181"/>
        <v>0.11214953271028039</v>
      </c>
      <c r="BG469" s="1780">
        <f t="shared" si="181"/>
        <v>0.10924369747899165</v>
      </c>
      <c r="BH469" s="1783">
        <f>AVERAGE(AY469:BG469)</f>
        <v>4.8984846000309368</v>
      </c>
    </row>
    <row r="470" spans="4:61">
      <c r="D470" s="129" t="s">
        <v>185</v>
      </c>
      <c r="E470" s="2126">
        <v>28.21</v>
      </c>
      <c r="F470" s="2929"/>
      <c r="G470" s="239"/>
      <c r="H470" s="239"/>
      <c r="I470" s="239"/>
      <c r="J470" s="239"/>
      <c r="K470" s="239"/>
      <c r="L470" s="239"/>
      <c r="M470" s="239"/>
      <c r="N470" s="53"/>
      <c r="O470" s="53"/>
      <c r="P470" s="53"/>
      <c r="Q470" s="53"/>
      <c r="R470" s="53"/>
      <c r="S470" s="53"/>
      <c r="T470" s="53"/>
      <c r="U470" s="227"/>
      <c r="V470" s="227"/>
      <c r="W470" s="227"/>
      <c r="X470" s="227"/>
      <c r="Y470" s="227"/>
      <c r="Z470" s="872">
        <v>14393.062</v>
      </c>
      <c r="AA470" s="227">
        <v>1451.942</v>
      </c>
      <c r="AB470" s="978">
        <v>922.17</v>
      </c>
      <c r="AC470" s="1545">
        <v>976.31100000000004</v>
      </c>
      <c r="AD470" s="1545">
        <v>1258.181</v>
      </c>
      <c r="AE470" s="1545">
        <v>473.255</v>
      </c>
      <c r="AF470" s="1545">
        <v>333.67099999999999</v>
      </c>
      <c r="AG470" s="1545">
        <v>1397.241</v>
      </c>
      <c r="AH470" s="1545">
        <v>1381.4749999999999</v>
      </c>
      <c r="AI470" s="3446">
        <v>1843.4680000000001</v>
      </c>
      <c r="AJ470" s="3401">
        <v>2367.37</v>
      </c>
      <c r="AK470" s="1545">
        <v>2590.4834999999998</v>
      </c>
      <c r="AL470" s="1545">
        <v>3083.431</v>
      </c>
      <c r="AM470" s="1545">
        <v>3456.9387499999998</v>
      </c>
      <c r="AN470" s="1545">
        <v>3814.9692500000001</v>
      </c>
      <c r="AO470" s="1545">
        <v>4248.1968749999996</v>
      </c>
      <c r="AP470" s="1667">
        <f t="shared" si="177"/>
        <v>4925.826515375622</v>
      </c>
      <c r="AQ470" s="1667">
        <f t="shared" si="180"/>
        <v>5711.5448209018195</v>
      </c>
      <c r="AR470" s="1667">
        <f t="shared" si="180"/>
        <v>6622.5930083700496</v>
      </c>
      <c r="AS470" s="1667">
        <f t="shared" si="180"/>
        <v>7678.9624400753328</v>
      </c>
      <c r="AT470" s="1667">
        <f t="shared" si="180"/>
        <v>8903.8332993681142</v>
      </c>
      <c r="AU470" s="1780">
        <f t="shared" ref="AU470:AX471" si="182">AB470/AA470-1</f>
        <v>-0.36487132406115397</v>
      </c>
      <c r="AV470" s="1780">
        <f t="shared" si="182"/>
        <v>5.871043300042289E-2</v>
      </c>
      <c r="AW470" s="1780">
        <f t="shared" si="182"/>
        <v>0.28870923302103524</v>
      </c>
      <c r="AX470" s="1780">
        <f t="shared" si="182"/>
        <v>-0.6238577756300564</v>
      </c>
      <c r="AY470" s="1780">
        <f t="shared" si="181"/>
        <v>-0.29494458589977923</v>
      </c>
      <c r="AZ470" s="1780">
        <f t="shared" si="181"/>
        <v>3.1874810816642745</v>
      </c>
      <c r="BA470" s="1780">
        <f t="shared" si="181"/>
        <v>-1.1283665452130331E-2</v>
      </c>
      <c r="BB470" s="1780">
        <f t="shared" si="181"/>
        <v>0.33442009446425036</v>
      </c>
      <c r="BC470" s="1780">
        <f t="shared" si="181"/>
        <v>0.28419370447439274</v>
      </c>
      <c r="BD470" s="1780">
        <f t="shared" si="181"/>
        <v>9.4245301748353549E-2</v>
      </c>
      <c r="BE470" s="1780">
        <f t="shared" si="181"/>
        <v>0.19029169651148137</v>
      </c>
      <c r="BF470" s="1780">
        <f t="shared" si="181"/>
        <v>0.12113381165331738</v>
      </c>
      <c r="BG470" s="1780">
        <f t="shared" si="181"/>
        <v>0.10356865593872633</v>
      </c>
      <c r="BH470" s="1783">
        <f>AVERAGE(BA470:BG470)</f>
        <v>0.15950994276262734</v>
      </c>
      <c r="BI470" s="1784" t="s">
        <v>1419</v>
      </c>
    </row>
    <row r="471" spans="4:61" ht="16.75" thickBot="1">
      <c r="D471" s="2088" t="s">
        <v>1222</v>
      </c>
      <c r="E471" s="2726">
        <v>0</v>
      </c>
      <c r="F471" s="2930"/>
      <c r="G471" s="1425"/>
      <c r="H471" s="1425"/>
      <c r="I471" s="1425"/>
      <c r="J471" s="1425"/>
      <c r="K471" s="1425"/>
      <c r="L471" s="1425"/>
      <c r="M471" s="1425"/>
      <c r="N471" s="1426"/>
      <c r="O471" s="1426"/>
      <c r="P471" s="1426"/>
      <c r="Q471" s="1426"/>
      <c r="R471" s="1426"/>
      <c r="S471" s="1426"/>
      <c r="T471" s="1426"/>
      <c r="U471" s="1427"/>
      <c r="V471" s="1427"/>
      <c r="W471" s="1427"/>
      <c r="X471" s="1427"/>
      <c r="Y471" s="1427"/>
      <c r="Z471" s="1428">
        <v>52686.105000000003</v>
      </c>
      <c r="AA471" s="1544">
        <v>109396.466</v>
      </c>
      <c r="AB471" s="1544">
        <v>177254.959</v>
      </c>
      <c r="AC471" s="1546">
        <v>254820.97899999999</v>
      </c>
      <c r="AD471" s="1546">
        <v>190412.56400000001</v>
      </c>
      <c r="AE471" s="1546">
        <v>174462.41699999999</v>
      </c>
      <c r="AF471" s="1546">
        <v>233243.611</v>
      </c>
      <c r="AG471" s="1547">
        <v>268278.39</v>
      </c>
      <c r="AH471" s="1546">
        <v>334599.81300000002</v>
      </c>
      <c r="AI471" s="3447">
        <v>375033.39866667177</v>
      </c>
      <c r="AJ471" s="3402">
        <v>435322.18555557251</v>
      </c>
      <c r="AK471" s="1546">
        <v>495567.383888916</v>
      </c>
      <c r="AL471" s="1546">
        <v>555812.58222224424</v>
      </c>
      <c r="AM471" s="1546">
        <v>616057.78055558773</v>
      </c>
      <c r="AN471" s="1546">
        <v>676302.97888893122</v>
      </c>
      <c r="AO471" s="1546">
        <v>736548.17722225958</v>
      </c>
      <c r="AP471" s="1785">
        <f t="shared" ref="AN471:AT473" si="183">AO471*(1+$BH471)</f>
        <v>788893.16343253665</v>
      </c>
      <c r="AQ471" s="1785">
        <f t="shared" si="183"/>
        <v>844958.20172642276</v>
      </c>
      <c r="AR471" s="1785">
        <f t="shared" si="183"/>
        <v>905007.66866615776</v>
      </c>
      <c r="AS471" s="1785">
        <f t="shared" si="183"/>
        <v>969324.72952045407</v>
      </c>
      <c r="AT471" s="1785">
        <f t="shared" si="183"/>
        <v>1038212.6735397871</v>
      </c>
      <c r="AU471" s="1780">
        <f t="shared" si="182"/>
        <v>0.62029876723805688</v>
      </c>
      <c r="AV471" s="1780">
        <f t="shared" si="182"/>
        <v>0.43759576847720227</v>
      </c>
      <c r="AW471" s="1780">
        <f t="shared" si="182"/>
        <v>-0.25275946765748825</v>
      </c>
      <c r="AX471" s="1780">
        <f t="shared" si="182"/>
        <v>-8.376625294536777E-2</v>
      </c>
      <c r="AY471" s="1780">
        <f t="shared" si="181"/>
        <v>0.33692754583355344</v>
      </c>
      <c r="AZ471" s="1780">
        <f t="shared" si="181"/>
        <v>0.15020681102386124</v>
      </c>
      <c r="BA471" s="1780">
        <f t="shared" si="181"/>
        <v>0.24721120102144645</v>
      </c>
      <c r="BB471" s="1780">
        <f t="shared" si="181"/>
        <v>0.12084162661104569</v>
      </c>
      <c r="BC471" s="1780">
        <f t="shared" si="181"/>
        <v>0.16075578096041832</v>
      </c>
      <c r="BD471" s="1780">
        <f t="shared" si="181"/>
        <v>0.13839220773105465</v>
      </c>
      <c r="BE471" s="1780">
        <f t="shared" si="181"/>
        <v>0.12156812633745195</v>
      </c>
      <c r="BF471" s="1780">
        <f t="shared" si="181"/>
        <v>0.10839121002347896</v>
      </c>
      <c r="BG471" s="1780">
        <f t="shared" si="181"/>
        <v>9.7791473843592547E-2</v>
      </c>
      <c r="BH471" s="1783">
        <f>AVERAGE(BA471:BG471)/2</f>
        <v>7.1067973323463471E-2</v>
      </c>
      <c r="BI471" s="1784" t="s">
        <v>1418</v>
      </c>
    </row>
    <row r="472" spans="4:61" ht="16.75" thickTop="1">
      <c r="D472" s="23" t="s">
        <v>1413</v>
      </c>
      <c r="E472" s="2991" t="s">
        <v>1690</v>
      </c>
      <c r="F472" s="217"/>
      <c r="G472" s="36"/>
      <c r="H472" s="36"/>
      <c r="I472" s="32"/>
      <c r="J472" s="45"/>
      <c r="K472" s="45"/>
      <c r="L472" s="240"/>
      <c r="M472" s="36"/>
      <c r="N472" s="36"/>
      <c r="O472" s="36"/>
      <c r="P472" s="32"/>
      <c r="Q472" s="45"/>
      <c r="R472" s="45"/>
      <c r="S472" s="240"/>
      <c r="T472" s="36"/>
      <c r="U472" s="36"/>
      <c r="V472" s="36"/>
      <c r="W472" s="32"/>
      <c r="X472" s="45"/>
      <c r="Y472" s="45"/>
      <c r="Z472" s="2729">
        <f>(Z473*$E473+Z474*$E474+Z475*$E475)/$E$429+Z476</f>
        <v>620.73034931250004</v>
      </c>
      <c r="AA472" s="2729">
        <f t="shared" ref="AA472:AT472" si="184">(AA473*$E473+AA474*$E474+AA475*$E475)/$E$429+AA476</f>
        <v>677.63747240388898</v>
      </c>
      <c r="AB472" s="2729">
        <f t="shared" si="184"/>
        <v>740.14398856037474</v>
      </c>
      <c r="AC472" s="2729">
        <f t="shared" si="184"/>
        <v>773.51284499999997</v>
      </c>
      <c r="AD472" s="2729">
        <f t="shared" si="184"/>
        <v>799.02456300000006</v>
      </c>
      <c r="AE472" s="2729">
        <f t="shared" si="184"/>
        <v>1009.514158</v>
      </c>
      <c r="AF472" s="2729">
        <f t="shared" si="184"/>
        <v>1095.5740470000001</v>
      </c>
      <c r="AG472" s="2729">
        <f t="shared" si="184"/>
        <v>1157.8831497338597</v>
      </c>
      <c r="AH472" s="2729">
        <f t="shared" si="184"/>
        <v>1241.3676401632652</v>
      </c>
      <c r="AI472" s="3448">
        <f t="shared" si="184"/>
        <v>1278.7829245676271</v>
      </c>
      <c r="AJ472" s="3403">
        <f t="shared" si="184"/>
        <v>1380.6019758859995</v>
      </c>
      <c r="AK472" s="2729">
        <f t="shared" si="184"/>
        <v>1459.6181961864972</v>
      </c>
      <c r="AL472" s="2729">
        <f t="shared" si="184"/>
        <v>1547.8442699251996</v>
      </c>
      <c r="AM472" s="2729">
        <f t="shared" si="184"/>
        <v>1635.7768897824308</v>
      </c>
      <c r="AN472" s="2729">
        <f t="shared" si="184"/>
        <v>1729.0604525473696</v>
      </c>
      <c r="AO472" s="2729">
        <f t="shared" si="184"/>
        <v>1840.0735850196411</v>
      </c>
      <c r="AP472" s="1300">
        <f t="shared" si="184"/>
        <v>1958.710305543535</v>
      </c>
      <c r="AQ472" s="1300">
        <f t="shared" si="184"/>
        <v>2085.5222046912927</v>
      </c>
      <c r="AR472" s="1300">
        <f t="shared" si="184"/>
        <v>2221.102497191363</v>
      </c>
      <c r="AS472" s="1300">
        <f t="shared" si="184"/>
        <v>2366.0892726317088</v>
      </c>
      <c r="AT472" s="1300">
        <f t="shared" si="184"/>
        <v>2521.1690071728835</v>
      </c>
      <c r="AU472" s="1538"/>
      <c r="AV472" s="1780"/>
      <c r="AW472" s="1780"/>
      <c r="AX472" s="1780"/>
      <c r="AY472" s="1780"/>
      <c r="AZ472" s="1780"/>
      <c r="BA472" s="1780"/>
      <c r="BB472" s="1780"/>
      <c r="BC472" s="1780"/>
      <c r="BD472" s="1780"/>
      <c r="BE472" s="1780"/>
      <c r="BF472" s="1780"/>
      <c r="BG472" s="1780"/>
      <c r="BH472" s="1783"/>
    </row>
    <row r="473" spans="4:61">
      <c r="D473" s="2081" t="s">
        <v>1658</v>
      </c>
      <c r="E473" s="2997">
        <v>561</v>
      </c>
      <c r="F473" s="217"/>
      <c r="G473" s="988"/>
      <c r="H473" s="988"/>
      <c r="I473" s="989"/>
      <c r="J473" s="990"/>
      <c r="K473" s="990"/>
      <c r="L473" s="991"/>
      <c r="M473" s="988"/>
      <c r="N473" s="988"/>
      <c r="O473" s="988"/>
      <c r="P473" s="989"/>
      <c r="Q473" s="990"/>
      <c r="R473" s="990"/>
      <c r="S473" s="991"/>
      <c r="T473" s="988"/>
      <c r="U473" s="988"/>
      <c r="V473" s="224"/>
      <c r="W473" s="224"/>
      <c r="X473" s="224"/>
      <c r="Y473" s="224"/>
      <c r="Z473" s="1393">
        <v>700267</v>
      </c>
      <c r="AA473" s="1393">
        <v>756288</v>
      </c>
      <c r="AB473" s="1393">
        <v>816791</v>
      </c>
      <c r="AC473" s="1393">
        <v>847178</v>
      </c>
      <c r="AD473" s="1393">
        <v>864252</v>
      </c>
      <c r="AE473" s="1393">
        <v>891326</v>
      </c>
      <c r="AF473" s="1393">
        <v>999976</v>
      </c>
      <c r="AG473" s="1393">
        <v>1058090.6801407372</v>
      </c>
      <c r="AH473" s="1393">
        <v>1119582.7573868651</v>
      </c>
      <c r="AI473" s="3449">
        <v>1180565.0451413554</v>
      </c>
      <c r="AJ473" s="3404">
        <v>1248636.615623934</v>
      </c>
      <c r="AK473" s="1393">
        <v>1328046.7044787984</v>
      </c>
      <c r="AL473" s="1393">
        <v>1419649.9543083964</v>
      </c>
      <c r="AM473" s="1393">
        <v>1505050.0468844906</v>
      </c>
      <c r="AN473" s="1667">
        <f t="shared" si="183"/>
        <v>1592517.5490161779</v>
      </c>
      <c r="AO473" s="1667">
        <f t="shared" si="183"/>
        <v>1685068.313292532</v>
      </c>
      <c r="AP473" s="1667">
        <f t="shared" si="183"/>
        <v>1782997.7586223092</v>
      </c>
      <c r="AQ473" s="1667">
        <f t="shared" si="183"/>
        <v>1886618.4724822382</v>
      </c>
      <c r="AR473" s="1667">
        <f t="shared" si="183"/>
        <v>1996261.2086856714</v>
      </c>
      <c r="AS473" s="1667">
        <f t="shared" si="183"/>
        <v>2112275.943137568</v>
      </c>
      <c r="AT473" s="1667">
        <f t="shared" si="183"/>
        <v>2235032.9909457439</v>
      </c>
      <c r="AU473" s="1538">
        <f>AA473/Z473-1</f>
        <v>7.9999485910374091E-2</v>
      </c>
      <c r="AV473" s="1780">
        <f t="shared" ref="AV473:BG475" si="185">AC473/AB473-1</f>
        <v>3.7202907475718971E-2</v>
      </c>
      <c r="AW473" s="1780">
        <f t="shared" si="185"/>
        <v>2.015397000394259E-2</v>
      </c>
      <c r="AX473" s="1780">
        <f t="shared" si="185"/>
        <v>3.1326511249033739E-2</v>
      </c>
      <c r="AY473" s="1780">
        <f t="shared" si="185"/>
        <v>0.12189703879388691</v>
      </c>
      <c r="AZ473" s="1780">
        <f t="shared" si="185"/>
        <v>5.8116074926535477E-2</v>
      </c>
      <c r="BA473" s="1780">
        <f t="shared" si="185"/>
        <v>5.8116074926535477E-2</v>
      </c>
      <c r="BB473" s="1780">
        <f t="shared" si="185"/>
        <v>5.4468762895942158E-2</v>
      </c>
      <c r="BC473" s="1780">
        <f t="shared" si="185"/>
        <v>5.7660160922711423E-2</v>
      </c>
      <c r="BD473" s="1780">
        <f t="shared" si="185"/>
        <v>6.3597437285774161E-2</v>
      </c>
      <c r="BE473" s="1780">
        <f t="shared" si="185"/>
        <v>6.8975924958564194E-2</v>
      </c>
      <c r="BF473" s="1780">
        <f t="shared" si="185"/>
        <v>6.0155739319343704E-2</v>
      </c>
      <c r="BG473" s="1780">
        <f t="shared" si="185"/>
        <v>5.8116009040861005E-2</v>
      </c>
      <c r="BH473" s="1783">
        <f>AVERAGE(AU473:BA473)</f>
        <v>5.811600904086104E-2</v>
      </c>
    </row>
    <row r="474" spans="4:61">
      <c r="D474" s="2081" t="s">
        <v>1662</v>
      </c>
      <c r="E474" s="3003">
        <f>111*20</f>
        <v>2220</v>
      </c>
      <c r="F474" s="217"/>
      <c r="G474" s="988"/>
      <c r="H474" s="988"/>
      <c r="I474" s="989"/>
      <c r="J474" s="990"/>
      <c r="K474" s="990"/>
      <c r="L474" s="991"/>
      <c r="M474" s="988"/>
      <c r="N474" s="988"/>
      <c r="O474" s="988"/>
      <c r="P474" s="989"/>
      <c r="Q474" s="990"/>
      <c r="R474" s="990"/>
      <c r="S474" s="991"/>
      <c r="T474" s="988"/>
      <c r="U474" s="988"/>
      <c r="V474" s="224"/>
      <c r="W474" s="224"/>
      <c r="X474" s="224"/>
      <c r="Y474" s="224"/>
      <c r="Z474" s="1393">
        <v>6973</v>
      </c>
      <c r="AA474" s="1393">
        <v>7347</v>
      </c>
      <c r="AB474" s="1393">
        <v>7475</v>
      </c>
      <c r="AC474" s="1393">
        <v>7936</v>
      </c>
      <c r="AD474" s="1393">
        <v>7972</v>
      </c>
      <c r="AE474" s="1393">
        <v>8272</v>
      </c>
      <c r="AF474" s="1393">
        <v>8665</v>
      </c>
      <c r="AG474" s="1393">
        <v>8957.4818592450902</v>
      </c>
      <c r="AH474" s="1393">
        <v>9259.8362675943299</v>
      </c>
      <c r="AI474" s="3449">
        <v>9597.6022367651458</v>
      </c>
      <c r="AJ474" s="3404">
        <v>9924.8291714982406</v>
      </c>
      <c r="AK474" s="1393">
        <v>10294.068024391796</v>
      </c>
      <c r="AL474" s="1393">
        <v>10676.309281678774</v>
      </c>
      <c r="AM474" s="1393">
        <v>11054.278454032492</v>
      </c>
      <c r="AN474" s="1667">
        <f t="shared" ref="AN474:AT474" si="186">AM474*(1+$BH474)</f>
        <v>11484.596500708369</v>
      </c>
      <c r="AO474" s="1667">
        <f t="shared" si="186"/>
        <v>11931.665855220841</v>
      </c>
      <c r="AP474" s="1667">
        <f t="shared" si="186"/>
        <v>12396.138608079253</v>
      </c>
      <c r="AQ474" s="1667">
        <f t="shared" si="186"/>
        <v>12878.692234200929</v>
      </c>
      <c r="AR474" s="1667">
        <f t="shared" si="186"/>
        <v>13380.030581068742</v>
      </c>
      <c r="AS474" s="1667">
        <f t="shared" si="186"/>
        <v>13900.884895355413</v>
      </c>
      <c r="AT474" s="1667">
        <f t="shared" si="186"/>
        <v>14442.014889511969</v>
      </c>
      <c r="AU474" s="1538">
        <f>AA474/Z474-1</f>
        <v>5.3635451025383585E-2</v>
      </c>
      <c r="AV474" s="1780">
        <f t="shared" si="185"/>
        <v>6.1672240802675526E-2</v>
      </c>
      <c r="AW474" s="1780">
        <f t="shared" si="185"/>
        <v>4.5362903225807383E-3</v>
      </c>
      <c r="AX474" s="1780">
        <f t="shared" si="185"/>
        <v>3.7631710988459632E-2</v>
      </c>
      <c r="AY474" s="1780">
        <f t="shared" si="185"/>
        <v>4.7509671179883917E-2</v>
      </c>
      <c r="AZ474" s="1780">
        <f t="shared" si="185"/>
        <v>3.3754398066369262E-2</v>
      </c>
      <c r="BA474" s="1780">
        <f t="shared" si="185"/>
        <v>3.3754398066369262E-2</v>
      </c>
      <c r="BB474" s="1780">
        <f t="shared" si="185"/>
        <v>3.6476451571056279E-2</v>
      </c>
      <c r="BC474" s="1780">
        <f t="shared" si="185"/>
        <v>3.4094654754455167E-2</v>
      </c>
      <c r="BD474" s="1780">
        <f t="shared" si="185"/>
        <v>3.7203547437765661E-2</v>
      </c>
      <c r="BE474" s="1780">
        <f t="shared" si="185"/>
        <v>3.7132186845983295E-2</v>
      </c>
      <c r="BF474" s="1780">
        <f t="shared" si="185"/>
        <v>3.5402606123666525E-2</v>
      </c>
      <c r="BG474" s="1780">
        <f t="shared" si="185"/>
        <v>3.8927737207388846E-2</v>
      </c>
      <c r="BH474" s="1783">
        <f>AVERAGE(AU474:BA474)</f>
        <v>3.8927737207388846E-2</v>
      </c>
    </row>
    <row r="475" spans="4:61">
      <c r="D475" s="2081" t="s">
        <v>1659</v>
      </c>
      <c r="E475" s="3003">
        <v>1992</v>
      </c>
      <c r="F475" s="217"/>
      <c r="G475" s="988"/>
      <c r="H475" s="988"/>
      <c r="I475" s="989"/>
      <c r="J475" s="990"/>
      <c r="K475" s="990"/>
      <c r="L475" s="991"/>
      <c r="M475" s="988"/>
      <c r="N475" s="988"/>
      <c r="O475" s="988"/>
      <c r="P475" s="989"/>
      <c r="Q475" s="990"/>
      <c r="R475" s="990"/>
      <c r="S475" s="991"/>
      <c r="T475" s="988"/>
      <c r="U475" s="988"/>
      <c r="V475" s="224"/>
      <c r="W475" s="224"/>
      <c r="X475" s="224"/>
      <c r="Y475" s="224"/>
      <c r="Z475" s="1393">
        <v>4585</v>
      </c>
      <c r="AA475" s="1393">
        <v>4738</v>
      </c>
      <c r="AB475" s="1393">
        <v>5105</v>
      </c>
      <c r="AC475" s="1393">
        <v>5200</v>
      </c>
      <c r="AD475" s="1393">
        <v>5500</v>
      </c>
      <c r="AE475" s="1393">
        <v>5800</v>
      </c>
      <c r="AF475" s="1393">
        <v>6135</v>
      </c>
      <c r="AG475" s="1393">
        <v>6461.4610592681684</v>
      </c>
      <c r="AH475" s="1393">
        <v>6805.2940538612747</v>
      </c>
      <c r="AI475" s="3449">
        <v>7139.9232503329549</v>
      </c>
      <c r="AJ475" s="3404">
        <v>7516.2526292535231</v>
      </c>
      <c r="AK475" s="1393">
        <v>7917.882968056937</v>
      </c>
      <c r="AL475" s="1393">
        <v>8339.5088737400783</v>
      </c>
      <c r="AM475" s="1393">
        <v>8777.319433494873</v>
      </c>
      <c r="AN475" s="1667">
        <f t="shared" ref="AN475:AT475" si="187">AM475*(1+$BH475)</f>
        <v>9189.1024174521244</v>
      </c>
      <c r="AO475" s="1667">
        <f t="shared" si="187"/>
        <v>9620.2039675344349</v>
      </c>
      <c r="AP475" s="1667">
        <f t="shared" si="187"/>
        <v>10071.530403360799</v>
      </c>
      <c r="AQ475" s="1667">
        <f t="shared" si="187"/>
        <v>10544.030564023264</v>
      </c>
      <c r="AR475" s="1667">
        <f t="shared" si="187"/>
        <v>11038.697802863991</v>
      </c>
      <c r="AS475" s="1667">
        <f t="shared" si="187"/>
        <v>11556.572075836166</v>
      </c>
      <c r="AT475" s="1667">
        <f t="shared" si="187"/>
        <v>12098.742127839167</v>
      </c>
      <c r="AU475" s="1538">
        <f>AA475/Z475-1</f>
        <v>3.3369683751363066E-2</v>
      </c>
      <c r="AV475" s="1780">
        <f t="shared" si="185"/>
        <v>1.8609206660137101E-2</v>
      </c>
      <c r="AW475" s="1780">
        <f t="shared" si="185"/>
        <v>5.7692307692307709E-2</v>
      </c>
      <c r="AX475" s="1780">
        <f t="shared" si="185"/>
        <v>5.4545454545454453E-2</v>
      </c>
      <c r="AY475" s="1780">
        <f t="shared" si="185"/>
        <v>5.7758620689655205E-2</v>
      </c>
      <c r="AZ475" s="1780">
        <f t="shared" si="185"/>
        <v>5.321288659627843E-2</v>
      </c>
      <c r="BA475" s="1780">
        <f t="shared" si="185"/>
        <v>5.321288659627843E-2</v>
      </c>
      <c r="BB475" s="1780">
        <f t="shared" si="185"/>
        <v>4.9171893796685184E-2</v>
      </c>
      <c r="BC475" s="1780">
        <f t="shared" si="185"/>
        <v>5.2707762496329247E-2</v>
      </c>
      <c r="BD475" s="1780">
        <f t="shared" si="185"/>
        <v>5.3434917453446751E-2</v>
      </c>
      <c r="BE475" s="1780">
        <f t="shared" si="185"/>
        <v>5.3249827938112171E-2</v>
      </c>
      <c r="BF475" s="1780">
        <f t="shared" si="185"/>
        <v>5.2498362479521665E-2</v>
      </c>
      <c r="BG475" s="1780">
        <f t="shared" si="185"/>
        <v>4.6914435218782025E-2</v>
      </c>
      <c r="BH475" s="1783">
        <f>AVERAGE(AU475:BA475)</f>
        <v>4.6914435218782059E-2</v>
      </c>
    </row>
    <row r="476" spans="4:61">
      <c r="D476" s="2081" t="s">
        <v>1263</v>
      </c>
      <c r="E476" s="2991" t="s">
        <v>1691</v>
      </c>
      <c r="F476" s="217"/>
      <c r="G476" s="988"/>
      <c r="H476" s="988"/>
      <c r="I476" s="989"/>
      <c r="J476" s="990"/>
      <c r="K476" s="990"/>
      <c r="L476" s="991"/>
      <c r="M476" s="988"/>
      <c r="N476" s="988"/>
      <c r="O476" s="988"/>
      <c r="P476" s="989"/>
      <c r="Q476" s="990"/>
      <c r="R476" s="990"/>
      <c r="S476" s="991"/>
      <c r="T476" s="988"/>
      <c r="U476" s="988"/>
      <c r="V476" s="224"/>
      <c r="W476" s="224"/>
      <c r="X476" s="224"/>
      <c r="Y476" s="224"/>
      <c r="Z476" s="1385">
        <f>(Z477*$E477+Z478*$E478+Z479*$E479+Z480*$E480)/$E$429</f>
        <v>203.26718231250001</v>
      </c>
      <c r="AA476" s="1385">
        <f>(AA477*$E477+AA478*$E478+AA479*$E479+AA480*$E480)/$E$429</f>
        <v>227.61146840388901</v>
      </c>
      <c r="AB476" s="1385">
        <f>(AB477*$E477+AB478*$E478+AB479*$E479+AB480*$E480)/$E$429</f>
        <v>255.16057756037469</v>
      </c>
      <c r="AC476" s="1385">
        <f>(AC477*$E477+AC478*$E478+AC479*$E479+AC480*$E480)/$E$429</f>
        <v>270.26966700000003</v>
      </c>
      <c r="AD476" s="1385">
        <f>(AD477*$E477+AD478*$E478+AD479*$E479+AD480*$E480+AD481*$E481+AD482*$E482)/$E$429</f>
        <v>285.525351</v>
      </c>
      <c r="AE476" s="1385">
        <f>(AE477*$E477+AE478*$E478+AE479*$E479+AE480*$E480+AE481*$E481+AE482*$E482)/$E$429</f>
        <v>479.56283200000001</v>
      </c>
      <c r="AF476" s="1385">
        <f t="shared" ref="AF476:AT476" si="188">(AF477*$E477+AF478*$E478+AF479*$E479+AF480*$E480+AF481*$E481+AF482*$E482)/$E$429</f>
        <v>503.130291</v>
      </c>
      <c r="AG476" s="1385">
        <f t="shared" si="188"/>
        <v>531.5374380173198</v>
      </c>
      <c r="AH476" s="1385">
        <f t="shared" si="188"/>
        <v>579.16873099988265</v>
      </c>
      <c r="AI476" s="3450">
        <f t="shared" si="188"/>
        <v>580.95653016304482</v>
      </c>
      <c r="AJ476" s="3405">
        <f t="shared" si="188"/>
        <v>643.11133852277351</v>
      </c>
      <c r="AK476" s="1385">
        <f t="shared" si="188"/>
        <v>675.95874108737223</v>
      </c>
      <c r="AL476" s="1385">
        <f t="shared" si="188"/>
        <v>711.10693727637215</v>
      </c>
      <c r="AM476" s="1385">
        <f t="shared" si="188"/>
        <v>749.41889500075774</v>
      </c>
      <c r="AN476" s="1385">
        <f t="shared" si="188"/>
        <v>791.85761130215644</v>
      </c>
      <c r="AO476" s="1385">
        <f t="shared" si="188"/>
        <v>849.0985167606118</v>
      </c>
      <c r="AP476" s="1385">
        <f t="shared" si="188"/>
        <v>910.86664668298909</v>
      </c>
      <c r="AQ476" s="1385">
        <f t="shared" si="188"/>
        <v>977.5348359852967</v>
      </c>
      <c r="AR476" s="1385">
        <f t="shared" si="188"/>
        <v>1049.5072052054238</v>
      </c>
      <c r="AS476" s="1385">
        <f t="shared" si="188"/>
        <v>1127.2218124887788</v>
      </c>
      <c r="AT476" s="1385">
        <f t="shared" si="188"/>
        <v>1211.153531878949</v>
      </c>
      <c r="AU476" s="2730"/>
      <c r="AV476" s="1538"/>
      <c r="AW476" s="1538"/>
      <c r="AX476" s="1538"/>
      <c r="AY476" s="1538"/>
      <c r="AZ476" s="1538"/>
      <c r="BA476" s="1538"/>
      <c r="BB476" s="1538"/>
      <c r="BC476" s="1538"/>
      <c r="BD476" s="1538"/>
      <c r="BE476" s="1538"/>
      <c r="BF476" s="1538"/>
      <c r="BG476" s="1538"/>
      <c r="BH476" s="1538"/>
    </row>
    <row r="477" spans="4:61">
      <c r="D477" s="2081" t="s">
        <v>777</v>
      </c>
      <c r="E477" s="3002">
        <v>2679</v>
      </c>
      <c r="F477" s="217"/>
      <c r="G477" s="988"/>
      <c r="H477" s="988"/>
      <c r="I477" s="989"/>
      <c r="J477" s="990"/>
      <c r="K477" s="990"/>
      <c r="L477" s="991"/>
      <c r="M477" s="988"/>
      <c r="N477" s="988"/>
      <c r="O477" s="988"/>
      <c r="P477" s="989"/>
      <c r="Q477" s="990"/>
      <c r="R477" s="990"/>
      <c r="S477" s="991"/>
      <c r="T477" s="988"/>
      <c r="U477" s="988"/>
      <c r="V477" s="224"/>
      <c r="W477" s="224"/>
      <c r="X477" s="224"/>
      <c r="Y477" s="224"/>
      <c r="Z477" s="1393">
        <v>25029.0432</v>
      </c>
      <c r="AA477" s="1393">
        <v>28032.528384000001</v>
      </c>
      <c r="AB477" s="1393">
        <v>31396.431790080002</v>
      </c>
      <c r="AC477" s="1393">
        <v>32966</v>
      </c>
      <c r="AD477" s="1393">
        <v>33053</v>
      </c>
      <c r="AE477" s="1393">
        <v>34375</v>
      </c>
      <c r="AF477" s="1393">
        <v>32489</v>
      </c>
      <c r="AG477" s="1393">
        <v>33514.105451095769</v>
      </c>
      <c r="AH477" s="1393">
        <v>34571.555424518054</v>
      </c>
      <c r="AI477" s="3449">
        <f>AVERAGE(AG477:AH477)</f>
        <v>34042.830437806915</v>
      </c>
      <c r="AJ477" s="3404">
        <v>36197.120223519727</v>
      </c>
      <c r="AK477" s="1393">
        <v>36768.772469007949</v>
      </c>
      <c r="AL477" s="1393">
        <v>37201.129811715495</v>
      </c>
      <c r="AM477" s="1393">
        <v>38051.654208053413</v>
      </c>
      <c r="AN477" s="1667">
        <f t="shared" ref="AN477:AT477" si="189">AM477*(1+$BH477)</f>
        <v>39252.274668882827</v>
      </c>
      <c r="AO477" s="1667">
        <f t="shared" si="189"/>
        <v>40490.777569279271</v>
      </c>
      <c r="AP477" s="1667">
        <f t="shared" si="189"/>
        <v>41768.358190578001</v>
      </c>
      <c r="AQ477" s="1667">
        <f t="shared" si="189"/>
        <v>43086.249528091685</v>
      </c>
      <c r="AR477" s="1667">
        <f t="shared" si="189"/>
        <v>44445.723481076362</v>
      </c>
      <c r="AS477" s="1667">
        <f t="shared" si="189"/>
        <v>45848.092080243667</v>
      </c>
      <c r="AT477" s="1667">
        <f t="shared" si="189"/>
        <v>47294.708754003972</v>
      </c>
      <c r="AU477" s="1538">
        <f>AA477/Z477-1</f>
        <v>0.12000000000000011</v>
      </c>
      <c r="AV477" s="1780">
        <f t="shared" ref="AV477:BG480" si="190">AC477/AB477-1</f>
        <v>4.9991929669406465E-2</v>
      </c>
      <c r="AW477" s="1780">
        <f t="shared" si="190"/>
        <v>2.639082691257677E-3</v>
      </c>
      <c r="AX477" s="1780">
        <f t="shared" si="190"/>
        <v>3.9996369467219406E-2</v>
      </c>
      <c r="AY477" s="1780">
        <f t="shared" si="190"/>
        <v>-5.4865454545454551E-2</v>
      </c>
      <c r="AZ477" s="1780">
        <f t="shared" si="190"/>
        <v>3.1552385456485865E-2</v>
      </c>
      <c r="BA477" s="1780">
        <f t="shared" si="190"/>
        <v>3.1552385456485865E-2</v>
      </c>
      <c r="BB477" s="1780">
        <f t="shared" si="190"/>
        <v>-1.5293641845694039E-2</v>
      </c>
      <c r="BC477" s="1780">
        <f t="shared" si="190"/>
        <v>6.3281747081768147E-2</v>
      </c>
      <c r="BD477" s="1780">
        <f t="shared" si="190"/>
        <v>1.5792754836799983E-2</v>
      </c>
      <c r="BE477" s="1780">
        <f t="shared" si="190"/>
        <v>1.1758819065063264E-2</v>
      </c>
      <c r="BF477" s="1780">
        <f t="shared" si="190"/>
        <v>2.2862864666816307E-2</v>
      </c>
      <c r="BG477" s="1780">
        <f t="shared" si="190"/>
        <v>3.1552385456485865E-2</v>
      </c>
      <c r="BH477" s="1783">
        <f>AVERAGE(AU477:BA477)</f>
        <v>3.1552385456485831E-2</v>
      </c>
    </row>
    <row r="478" spans="4:61">
      <c r="D478" s="2081" t="s">
        <v>778</v>
      </c>
      <c r="E478" s="3002">
        <v>2293</v>
      </c>
      <c r="F478" s="217"/>
      <c r="G478" s="988"/>
      <c r="H478" s="988"/>
      <c r="I478" s="989"/>
      <c r="J478" s="990"/>
      <c r="K478" s="990"/>
      <c r="L478" s="991"/>
      <c r="M478" s="988"/>
      <c r="N478" s="988"/>
      <c r="O478" s="988"/>
      <c r="P478" s="989"/>
      <c r="Q478" s="990"/>
      <c r="R478" s="990"/>
      <c r="S478" s="991"/>
      <c r="T478" s="988"/>
      <c r="U478" s="988"/>
      <c r="V478" s="224"/>
      <c r="W478" s="224"/>
      <c r="X478" s="224"/>
      <c r="Y478" s="224"/>
      <c r="Z478" s="1393">
        <v>14263.2</v>
      </c>
      <c r="AA478" s="1393">
        <v>17115.84</v>
      </c>
      <c r="AB478" s="1393">
        <v>20539.008000000002</v>
      </c>
      <c r="AC478" s="1393">
        <v>22592</v>
      </c>
      <c r="AD478" s="1393">
        <v>23137</v>
      </c>
      <c r="AE478" s="1393">
        <v>24062</v>
      </c>
      <c r="AF478" s="1393">
        <v>26185</v>
      </c>
      <c r="AG478" s="1393">
        <v>28553.637466049931</v>
      </c>
      <c r="AH478" s="1393">
        <v>31136.536663838473</v>
      </c>
      <c r="AI478" s="3449">
        <v>33384.618444925065</v>
      </c>
      <c r="AJ478" s="3404">
        <v>36328.329536745325</v>
      </c>
      <c r="AK478" s="1393">
        <v>39171.03156750292</v>
      </c>
      <c r="AL478" s="1393">
        <v>42486.028441382674</v>
      </c>
      <c r="AM478" s="1393">
        <v>46056.066403473218</v>
      </c>
      <c r="AN478" s="1667">
        <f t="shared" ref="AN478:AT478" si="191">AM478*(1+$BH478)</f>
        <v>50222.196799583595</v>
      </c>
      <c r="AO478" s="1667">
        <f t="shared" si="191"/>
        <v>54765.186181551391</v>
      </c>
      <c r="AP478" s="1667">
        <f t="shared" si="191"/>
        <v>59719.124383759627</v>
      </c>
      <c r="AQ478" s="1667">
        <f t="shared" si="191"/>
        <v>65121.184931976895</v>
      </c>
      <c r="AR478" s="1667">
        <f t="shared" si="191"/>
        <v>71011.903987292797</v>
      </c>
      <c r="AS478" s="1667">
        <f t="shared" si="191"/>
        <v>77435.484522707819</v>
      </c>
      <c r="AT478" s="1667">
        <f t="shared" si="191"/>
        <v>84440.128014868038</v>
      </c>
      <c r="AU478" s="1538">
        <f>AA478/Z478-1</f>
        <v>0.19999999999999996</v>
      </c>
      <c r="AV478" s="1780">
        <f t="shared" si="190"/>
        <v>9.9955752488143368E-2</v>
      </c>
      <c r="AW478" s="1780">
        <f t="shared" si="190"/>
        <v>2.4123583569405138E-2</v>
      </c>
      <c r="AX478" s="1780">
        <f t="shared" si="190"/>
        <v>3.9979254008730702E-2</v>
      </c>
      <c r="AY478" s="1780">
        <f t="shared" si="190"/>
        <v>8.8230404787631889E-2</v>
      </c>
      <c r="AZ478" s="1780">
        <f t="shared" si="190"/>
        <v>9.0457798970782211E-2</v>
      </c>
      <c r="BA478" s="1780">
        <f t="shared" si="190"/>
        <v>9.0457798970782211E-2</v>
      </c>
      <c r="BB478" s="1780">
        <f t="shared" si="190"/>
        <v>7.2200765465912697E-2</v>
      </c>
      <c r="BC478" s="1780">
        <f t="shared" si="190"/>
        <v>8.8175669782673438E-2</v>
      </c>
      <c r="BD478" s="1780">
        <f t="shared" si="190"/>
        <v>7.8250281997752191E-2</v>
      </c>
      <c r="BE478" s="1780">
        <f t="shared" si="190"/>
        <v>8.4628786662589217E-2</v>
      </c>
      <c r="BF478" s="1780">
        <f t="shared" si="190"/>
        <v>8.4028516975082068E-2</v>
      </c>
      <c r="BG478" s="1780">
        <f t="shared" si="190"/>
        <v>9.0457798970782211E-2</v>
      </c>
      <c r="BH478" s="1783">
        <f>AVERAGE(AU478:BA478)</f>
        <v>9.0457798970782211E-2</v>
      </c>
    </row>
    <row r="479" spans="4:61">
      <c r="D479" s="2081" t="s">
        <v>779</v>
      </c>
      <c r="E479" s="3004">
        <v>2020</v>
      </c>
      <c r="F479" s="217"/>
      <c r="G479" s="988"/>
      <c r="H479" s="988"/>
      <c r="I479" s="989"/>
      <c r="J479" s="990"/>
      <c r="K479" s="990"/>
      <c r="L479" s="991"/>
      <c r="M479" s="988"/>
      <c r="N479" s="988"/>
      <c r="O479" s="988"/>
      <c r="P479" s="989"/>
      <c r="Q479" s="990"/>
      <c r="R479" s="990"/>
      <c r="S479" s="991"/>
      <c r="T479" s="988"/>
      <c r="U479" s="988"/>
      <c r="V479" s="224"/>
      <c r="W479" s="224"/>
      <c r="X479" s="224"/>
      <c r="Y479" s="224"/>
      <c r="Z479" s="1393">
        <v>7278.0288</v>
      </c>
      <c r="AA479" s="1393">
        <v>8151.3922560000001</v>
      </c>
      <c r="AB479" s="1393">
        <v>9129.5593267200002</v>
      </c>
      <c r="AC479" s="1393">
        <v>9586</v>
      </c>
      <c r="AD479" s="1393">
        <v>9305</v>
      </c>
      <c r="AE479" s="1393">
        <v>9677</v>
      </c>
      <c r="AF479" s="1393">
        <v>9130</v>
      </c>
      <c r="AG479" s="1393">
        <v>9356.6706126555073</v>
      </c>
      <c r="AH479" s="1393">
        <v>9588.9687791600427</v>
      </c>
      <c r="AI479" s="3449">
        <v>9674.9324118891309</v>
      </c>
      <c r="AJ479" s="3404">
        <v>9895.9488961272382</v>
      </c>
      <c r="AK479" s="1393">
        <v>10003.016190411841</v>
      </c>
      <c r="AL479" s="1393">
        <v>10062.628552373388</v>
      </c>
      <c r="AM479" s="1393">
        <v>10227.390432880444</v>
      </c>
      <c r="AN479" s="1667">
        <f t="shared" ref="AN479:AT479" si="192">AM479*(1+$BH479)</f>
        <v>10481.305970151865</v>
      </c>
      <c r="AO479" s="1667">
        <f t="shared" si="192"/>
        <v>10741.525471322089</v>
      </c>
      <c r="AP479" s="1667">
        <f t="shared" si="192"/>
        <v>11008.205444973712</v>
      </c>
      <c r="AQ479" s="1667">
        <f t="shared" si="192"/>
        <v>11281.506285329668</v>
      </c>
      <c r="AR479" s="1667">
        <f t="shared" si="192"/>
        <v>11561.592368722069</v>
      </c>
      <c r="AS479" s="1667">
        <f t="shared" si="192"/>
        <v>11848.632152456075</v>
      </c>
      <c r="AT479" s="1667">
        <f t="shared" si="192"/>
        <v>12142.798276128251</v>
      </c>
      <c r="AU479" s="1538">
        <f>AA479/Z479-1</f>
        <v>0.12000000000000011</v>
      </c>
      <c r="AV479" s="1780">
        <f t="shared" si="190"/>
        <v>4.9995915130767399E-2</v>
      </c>
      <c r="AW479" s="1780">
        <f t="shared" si="190"/>
        <v>-2.9313582307531783E-2</v>
      </c>
      <c r="AX479" s="1780">
        <f t="shared" si="190"/>
        <v>3.9978506179473294E-2</v>
      </c>
      <c r="AY479" s="1780">
        <f t="shared" si="190"/>
        <v>-5.652578278392062E-2</v>
      </c>
      <c r="AZ479" s="1780">
        <f t="shared" si="190"/>
        <v>2.4827011243757635E-2</v>
      </c>
      <c r="BA479" s="1780">
        <f t="shared" si="190"/>
        <v>2.4827011243757635E-2</v>
      </c>
      <c r="BB479" s="1780">
        <f t="shared" si="190"/>
        <v>8.9648464510505566E-3</v>
      </c>
      <c r="BC479" s="1780">
        <f t="shared" si="190"/>
        <v>2.2844240644669389E-2</v>
      </c>
      <c r="BD479" s="1780">
        <f t="shared" si="190"/>
        <v>1.0819305496464704E-2</v>
      </c>
      <c r="BE479" s="1780">
        <f t="shared" si="190"/>
        <v>5.9594387159631612E-3</v>
      </c>
      <c r="BF479" s="1780">
        <f t="shared" si="190"/>
        <v>1.6373642299277291E-2</v>
      </c>
      <c r="BG479" s="1780">
        <f t="shared" si="190"/>
        <v>2.4827011243757635E-2</v>
      </c>
      <c r="BH479" s="1783">
        <f>AVERAGE(AU479:BA479)</f>
        <v>2.4827011243757666E-2</v>
      </c>
    </row>
    <row r="480" spans="4:61" ht="16.75" thickBot="1">
      <c r="D480" s="2081" t="s">
        <v>780</v>
      </c>
      <c r="E480" s="3002">
        <v>2211</v>
      </c>
      <c r="F480" s="2931"/>
      <c r="G480" s="1429"/>
      <c r="H480" s="1429"/>
      <c r="I480" s="1430"/>
      <c r="J480" s="1431"/>
      <c r="K480" s="1431"/>
      <c r="L480" s="1432"/>
      <c r="M480" s="1429"/>
      <c r="N480" s="1429"/>
      <c r="O480" s="1429"/>
      <c r="P480" s="1430"/>
      <c r="Q480" s="1431"/>
      <c r="R480" s="1431"/>
      <c r="S480" s="1432"/>
      <c r="T480" s="1429"/>
      <c r="U480" s="1429"/>
      <c r="V480" s="1433"/>
      <c r="W480" s="1433"/>
      <c r="X480" s="1433"/>
      <c r="Y480" s="1433"/>
      <c r="Z480" s="1434">
        <v>40166.096699999995</v>
      </c>
      <c r="AA480" s="1434">
        <v>43781.045402999996</v>
      </c>
      <c r="AB480" s="1393">
        <v>47721.339489269994</v>
      </c>
      <c r="AC480" s="1393">
        <v>50107</v>
      </c>
      <c r="AD480" s="1393">
        <v>56593</v>
      </c>
      <c r="AE480" s="1393">
        <v>58857</v>
      </c>
      <c r="AF480" s="1393">
        <v>62613</v>
      </c>
      <c r="AG480" s="1393">
        <v>67287.124453467943</v>
      </c>
      <c r="AH480" s="1393">
        <v>72310.177075311571</v>
      </c>
      <c r="AI480" s="3449">
        <v>77523.224492958325</v>
      </c>
      <c r="AJ480" s="3404">
        <v>83285.622815934024</v>
      </c>
      <c r="AK480" s="1393">
        <v>88831.706718219706</v>
      </c>
      <c r="AL480" s="1393">
        <v>95140.726648078562</v>
      </c>
      <c r="AM480" s="1393">
        <v>102012.09834454997</v>
      </c>
      <c r="AN480" s="1667">
        <f t="shared" ref="AN480:AT480" si="193">AM480*(1+$BH480)</f>
        <v>109627.40576348593</v>
      </c>
      <c r="AO480" s="1667">
        <f t="shared" si="193"/>
        <v>117811.20366566858</v>
      </c>
      <c r="AP480" s="1667">
        <f t="shared" si="193"/>
        <v>126605.93044678742</v>
      </c>
      <c r="AQ480" s="1667">
        <f t="shared" si="193"/>
        <v>136057.19257215102</v>
      </c>
      <c r="AR480" s="1667">
        <f t="shared" si="193"/>
        <v>146214.00107632249</v>
      </c>
      <c r="AS480" s="1667">
        <f t="shared" si="193"/>
        <v>157129.02571769452</v>
      </c>
      <c r="AT480" s="1667">
        <f t="shared" si="193"/>
        <v>168858.86810596322</v>
      </c>
      <c r="AU480" s="1538">
        <f>AA480/Z480-1</f>
        <v>9.000000000000008E-2</v>
      </c>
      <c r="AV480" s="1780">
        <f t="shared" si="190"/>
        <v>4.9991482558162881E-2</v>
      </c>
      <c r="AW480" s="1780">
        <f t="shared" si="190"/>
        <v>0.12944299199712606</v>
      </c>
      <c r="AX480" s="1780">
        <f t="shared" si="190"/>
        <v>4.0004947608361485E-2</v>
      </c>
      <c r="AY480" s="1780">
        <f t="shared" si="190"/>
        <v>6.381568887303124E-2</v>
      </c>
      <c r="AZ480" s="1780">
        <f t="shared" si="190"/>
        <v>7.4651022207336215E-2</v>
      </c>
      <c r="BA480" s="1780">
        <f t="shared" si="190"/>
        <v>7.4651022207336215E-2</v>
      </c>
      <c r="BB480" s="1780">
        <f t="shared" si="190"/>
        <v>7.2092859241892349E-2</v>
      </c>
      <c r="BC480" s="1780">
        <f t="shared" si="190"/>
        <v>7.4331251836655898E-2</v>
      </c>
      <c r="BD480" s="1780">
        <f t="shared" si="190"/>
        <v>6.6591131995768826E-2</v>
      </c>
      <c r="BE480" s="1780">
        <f t="shared" si="190"/>
        <v>7.1022162727003568E-2</v>
      </c>
      <c r="BF480" s="1780">
        <f t="shared" si="190"/>
        <v>7.2223241702665586E-2</v>
      </c>
      <c r="BG480" s="1780">
        <f t="shared" si="190"/>
        <v>7.4651022207336215E-2</v>
      </c>
      <c r="BH480" s="1783">
        <f>AVERAGE(AU480:BA480)</f>
        <v>7.4651022207336312E-2</v>
      </c>
    </row>
    <row r="481" spans="1:60" ht="16.75" thickTop="1">
      <c r="D481" s="2089" t="s">
        <v>1226</v>
      </c>
      <c r="E481" s="3002">
        <v>4166</v>
      </c>
      <c r="F481" s="2932"/>
      <c r="G481" s="1436"/>
      <c r="H481" s="1436"/>
      <c r="I481" s="1437"/>
      <c r="J481" s="1438"/>
      <c r="K481" s="1438"/>
      <c r="L481" s="1439"/>
      <c r="M481" s="1436"/>
      <c r="N481" s="1436"/>
      <c r="O481" s="1436"/>
      <c r="P481" s="1437"/>
      <c r="Q481" s="1438"/>
      <c r="R481" s="1438"/>
      <c r="S481" s="1439"/>
      <c r="T481" s="1436"/>
      <c r="U481" s="1436"/>
      <c r="V481" s="1440"/>
      <c r="W481" s="1440"/>
      <c r="X481" s="1440"/>
      <c r="Y481" s="1440"/>
      <c r="Z481" s="1441"/>
      <c r="AA481" s="1441"/>
      <c r="AB481" s="1441"/>
      <c r="AC481" s="1441"/>
      <c r="AD481" s="1441"/>
      <c r="AE481" s="1441">
        <v>37351</v>
      </c>
      <c r="AF481" s="1441">
        <v>40703</v>
      </c>
      <c r="AG481" s="1441">
        <v>42664</v>
      </c>
      <c r="AH481" s="1441">
        <v>47946</v>
      </c>
      <c r="AI481" s="3451">
        <f>AVERAGE(AG481:AH481)</f>
        <v>45305</v>
      </c>
      <c r="AJ481" s="3406">
        <v>55398</v>
      </c>
      <c r="AK481" s="1441">
        <v>58036</v>
      </c>
      <c r="AL481" s="1441">
        <v>60674</v>
      </c>
      <c r="AM481" s="1441">
        <v>63312</v>
      </c>
      <c r="AN481" s="1441">
        <v>65950</v>
      </c>
      <c r="AO481" s="1667">
        <f t="shared" ref="AO481:AT481" si="194">AN481*(1+$BH481)</f>
        <v>71703.612675306431</v>
      </c>
      <c r="AP481" s="1667">
        <f t="shared" si="194"/>
        <v>77959.182269755343</v>
      </c>
      <c r="AQ481" s="1667">
        <f t="shared" si="194"/>
        <v>84760.500530009915</v>
      </c>
      <c r="AR481" s="1667">
        <f t="shared" si="194"/>
        <v>92155.179684138537</v>
      </c>
      <c r="AS481" s="1667">
        <f t="shared" si="194"/>
        <v>100194.98574821437</v>
      </c>
      <c r="AT481" s="1667">
        <f t="shared" si="194"/>
        <v>108936.20091126325</v>
      </c>
      <c r="AU481" s="1538"/>
      <c r="AV481" s="1780"/>
      <c r="AW481" s="1780"/>
      <c r="AX481" s="1780"/>
      <c r="AY481" s="1780">
        <f t="shared" ref="AY481:BG482" si="195">AF481/AE481-1</f>
        <v>8.9743246499424334E-2</v>
      </c>
      <c r="AZ481" s="1780">
        <f t="shared" si="195"/>
        <v>4.817826695820937E-2</v>
      </c>
      <c r="BA481" s="1780">
        <f t="shared" si="195"/>
        <v>0.12380461278829924</v>
      </c>
      <c r="BB481" s="1780">
        <f t="shared" si="195"/>
        <v>-5.5082801485003996E-2</v>
      </c>
      <c r="BC481" s="1780">
        <f t="shared" si="195"/>
        <v>0.22277894272155385</v>
      </c>
      <c r="BD481" s="1780">
        <f t="shared" si="195"/>
        <v>4.7619047619047672E-2</v>
      </c>
      <c r="BE481" s="1780">
        <f t="shared" si="195"/>
        <v>4.5454545454545414E-2</v>
      </c>
      <c r="BF481" s="1780">
        <f t="shared" si="195"/>
        <v>4.3478260869565188E-2</v>
      </c>
      <c r="BG481" s="1780">
        <f t="shared" si="195"/>
        <v>4.1666666666666741E-2</v>
      </c>
      <c r="BH481" s="1783">
        <f>AVERAGE(AU481:BA481)</f>
        <v>8.7242042081977653E-2</v>
      </c>
    </row>
    <row r="482" spans="1:60" ht="16.75" thickBot="1">
      <c r="D482" s="2090" t="s">
        <v>1227</v>
      </c>
      <c r="E482" s="3005">
        <v>2921</v>
      </c>
      <c r="F482" s="2933"/>
      <c r="G482" s="1442"/>
      <c r="H482" s="1442"/>
      <c r="I482" s="1443"/>
      <c r="J482" s="1444"/>
      <c r="K482" s="1444"/>
      <c r="L482" s="1445"/>
      <c r="M482" s="1442"/>
      <c r="N482" s="1442"/>
      <c r="O482" s="1442"/>
      <c r="P482" s="1443"/>
      <c r="Q482" s="1444"/>
      <c r="R482" s="1444"/>
      <c r="S482" s="1445"/>
      <c r="T482" s="1442"/>
      <c r="U482" s="1442"/>
      <c r="V482" s="1446"/>
      <c r="W482" s="1446"/>
      <c r="X482" s="1446"/>
      <c r="Y482" s="1446"/>
      <c r="Z482" s="1447"/>
      <c r="AA482" s="1447"/>
      <c r="AB482" s="1447"/>
      <c r="AC482" s="1447"/>
      <c r="AD482" s="1447"/>
      <c r="AE482" s="1447">
        <v>9248</v>
      </c>
      <c r="AF482" s="1447">
        <v>10134</v>
      </c>
      <c r="AG482" s="1447">
        <v>10568</v>
      </c>
      <c r="AH482" s="1447">
        <v>12381</v>
      </c>
      <c r="AI482" s="3451">
        <f>AVERAGE(AG482:AH482)</f>
        <v>11474.5</v>
      </c>
      <c r="AJ482" s="3407">
        <v>9557</v>
      </c>
      <c r="AK482" s="1447">
        <v>10012</v>
      </c>
      <c r="AL482" s="1447">
        <v>10467</v>
      </c>
      <c r="AM482" s="1447">
        <v>10923</v>
      </c>
      <c r="AN482" s="1447">
        <v>11378</v>
      </c>
      <c r="AO482" s="1785">
        <f t="shared" ref="AO482:AT482" si="196">AN482*(1+$BH482)</f>
        <v>11691.697561117693</v>
      </c>
      <c r="AP482" s="1785">
        <f t="shared" si="196"/>
        <v>12014.043932206489</v>
      </c>
      <c r="AQ482" s="1785">
        <f t="shared" si="196"/>
        <v>12345.277565594957</v>
      </c>
      <c r="AR482" s="1785">
        <f t="shared" si="196"/>
        <v>12685.643487870237</v>
      </c>
      <c r="AS482" s="1785">
        <f t="shared" si="196"/>
        <v>13035.393481133855</v>
      </c>
      <c r="AT482" s="1785">
        <f t="shared" si="196"/>
        <v>13394.786269254893</v>
      </c>
      <c r="AU482" s="1538"/>
      <c r="AV482" s="1780"/>
      <c r="AW482" s="1780"/>
      <c r="AX482" s="1780"/>
      <c r="AY482" s="1780">
        <f t="shared" si="195"/>
        <v>9.5804498269896232E-2</v>
      </c>
      <c r="AZ482" s="1780">
        <f t="shared" si="195"/>
        <v>4.2826129859877549E-2</v>
      </c>
      <c r="BA482" s="1780">
        <f t="shared" si="195"/>
        <v>0.17155563966691889</v>
      </c>
      <c r="BB482" s="1780">
        <f t="shared" si="195"/>
        <v>-7.3217026088361226E-2</v>
      </c>
      <c r="BC482" s="1780">
        <f t="shared" si="195"/>
        <v>-0.16710967798161136</v>
      </c>
      <c r="BD482" s="1780">
        <f t="shared" si="195"/>
        <v>4.7609082348017084E-2</v>
      </c>
      <c r="BE482" s="1780">
        <f t="shared" si="195"/>
        <v>4.5445465441470212E-2</v>
      </c>
      <c r="BF482" s="1780">
        <f t="shared" si="195"/>
        <v>4.3565491544855339E-2</v>
      </c>
      <c r="BG482" s="1780">
        <f t="shared" si="195"/>
        <v>4.1655222924105173E-2</v>
      </c>
      <c r="BH482" s="1783">
        <f>AVERAGE(AY482:BG482)</f>
        <v>2.7570536220574211E-2</v>
      </c>
    </row>
    <row r="483" spans="1:60" ht="16.75" thickTop="1">
      <c r="B483" s="995" t="s">
        <v>781</v>
      </c>
      <c r="D483" s="23" t="s">
        <v>1415</v>
      </c>
      <c r="E483" s="2991" t="s">
        <v>1689</v>
      </c>
      <c r="F483" s="494"/>
      <c r="G483" s="35"/>
      <c r="H483" s="35"/>
      <c r="I483" s="32"/>
      <c r="J483" s="45"/>
      <c r="K483" s="45"/>
      <c r="L483" s="35"/>
      <c r="M483" s="35"/>
      <c r="N483" s="35"/>
      <c r="O483" s="35"/>
      <c r="P483" s="32"/>
      <c r="Q483" s="45"/>
      <c r="R483" s="45"/>
      <c r="S483" s="35"/>
      <c r="T483" s="35"/>
      <c r="U483" s="35"/>
      <c r="V483" s="45"/>
      <c r="W483" s="45"/>
      <c r="X483" s="45"/>
      <c r="Y483" s="45"/>
      <c r="Z483" s="45"/>
      <c r="AA483" s="35"/>
      <c r="AB483" s="1082">
        <f>(AB484*$E484+AB485*$E485+AB486*$E486+AB487*$E487)/1000</f>
        <v>256.2</v>
      </c>
      <c r="AC483" s="1082">
        <f t="shared" ref="AC483:AT483" si="197">(AC484*$E484+AC485*$E485+AC486*$E486+AC487*$E487)/1000</f>
        <v>255</v>
      </c>
      <c r="AD483" s="1082">
        <f t="shared" si="197"/>
        <v>252.2</v>
      </c>
      <c r="AE483" s="1082">
        <f t="shared" si="197"/>
        <v>250.28</v>
      </c>
      <c r="AF483" s="1082">
        <f t="shared" si="197"/>
        <v>248.56</v>
      </c>
      <c r="AG483" s="1082">
        <f t="shared" si="197"/>
        <v>246.84</v>
      </c>
      <c r="AH483" s="1082">
        <f t="shared" si="197"/>
        <v>246.24</v>
      </c>
      <c r="AI483" s="3452">
        <f t="shared" si="197"/>
        <v>244.76</v>
      </c>
      <c r="AJ483" s="3408">
        <f t="shared" si="197"/>
        <v>244.76</v>
      </c>
      <c r="AK483" s="1082">
        <f t="shared" si="197"/>
        <v>244.76</v>
      </c>
      <c r="AL483" s="1082">
        <f t="shared" si="197"/>
        <v>244.76</v>
      </c>
      <c r="AM483" s="1082">
        <f t="shared" si="197"/>
        <v>244.76</v>
      </c>
      <c r="AN483" s="1082">
        <f t="shared" si="197"/>
        <v>244.28189453598804</v>
      </c>
      <c r="AO483" s="1082">
        <f t="shared" si="197"/>
        <v>244.02270945810076</v>
      </c>
      <c r="AP483" s="1788">
        <f t="shared" si="197"/>
        <v>245.94831743946665</v>
      </c>
      <c r="AQ483" s="1788">
        <f t="shared" si="197"/>
        <v>247.94588306636706</v>
      </c>
      <c r="AR483" s="1788">
        <f t="shared" si="197"/>
        <v>250.0165933873628</v>
      </c>
      <c r="AS483" s="1788">
        <f t="shared" si="197"/>
        <v>252.16166503724506</v>
      </c>
      <c r="AT483" s="1788">
        <f t="shared" si="197"/>
        <v>254.38234482498868</v>
      </c>
      <c r="AY483" s="397"/>
      <c r="AZ483" s="397"/>
    </row>
    <row r="484" spans="1:60">
      <c r="D484" s="2091" t="s">
        <v>1416</v>
      </c>
      <c r="E484" s="3006">
        <v>120000</v>
      </c>
      <c r="F484" s="494"/>
      <c r="G484" s="993"/>
      <c r="H484" s="993"/>
      <c r="I484" s="989"/>
      <c r="J484" s="990"/>
      <c r="K484" s="990"/>
      <c r="L484" s="993"/>
      <c r="M484" s="993"/>
      <c r="N484" s="993"/>
      <c r="O484" s="993"/>
      <c r="P484" s="989"/>
      <c r="Q484" s="990"/>
      <c r="R484" s="990"/>
      <c r="S484" s="993"/>
      <c r="T484" s="993"/>
      <c r="U484" s="993"/>
      <c r="V484" s="224"/>
      <c r="W484" s="224"/>
      <c r="X484" s="224"/>
      <c r="Y484" s="224"/>
      <c r="Z484" s="224"/>
      <c r="AA484" s="224"/>
      <c r="AB484" s="1560">
        <v>0.47</v>
      </c>
      <c r="AC484" s="1561">
        <v>0.44700000000000001</v>
      </c>
      <c r="AD484" s="1561">
        <v>0.42199999999999999</v>
      </c>
      <c r="AE484" s="1561">
        <v>0.39500000000000002</v>
      </c>
      <c r="AF484" s="1561">
        <v>0.36699999999999999</v>
      </c>
      <c r="AG484" s="1561">
        <v>0.33900000000000002</v>
      </c>
      <c r="AH484" s="1561">
        <v>0.312</v>
      </c>
      <c r="AI484" s="3453">
        <v>0.28599999999999998</v>
      </c>
      <c r="AJ484" s="3409">
        <v>0.28599999999999998</v>
      </c>
      <c r="AK484" s="1561">
        <v>0.28599999999999998</v>
      </c>
      <c r="AL484" s="1561">
        <v>0.28599999999999998</v>
      </c>
      <c r="AM484" s="1561">
        <v>0.28599999999999998</v>
      </c>
      <c r="AN484" s="1561">
        <f>$BA$484*AM484+AM484</f>
        <v>0.26713963485363718</v>
      </c>
      <c r="AO484" s="1561">
        <f>$BA$484*AN484+AN484</f>
        <v>0.2495230227613098</v>
      </c>
      <c r="AP484" s="1787">
        <f>$BA483*AO484+AO484</f>
        <v>0.2495230227613098</v>
      </c>
      <c r="AQ484" s="1787">
        <f>$BA483*AP484+AP484</f>
        <v>0.2495230227613098</v>
      </c>
      <c r="AR484" s="1787">
        <f>$BA483*AQ484+AQ484</f>
        <v>0.2495230227613098</v>
      </c>
      <c r="AS484" s="1787">
        <f>$BA483*AR484+AR484</f>
        <v>0.2495230227613098</v>
      </c>
      <c r="AT484" s="1787">
        <f>$BA483*AS484+AS484</f>
        <v>0.2495230227613098</v>
      </c>
      <c r="AU484" s="1538">
        <f t="shared" ref="AU484:AZ487" si="198">AC484/AB484-1</f>
        <v>-4.8936170212765862E-2</v>
      </c>
      <c r="AV484" s="1538">
        <f t="shared" si="198"/>
        <v>-5.5928411633109687E-2</v>
      </c>
      <c r="AW484" s="1538">
        <f t="shared" si="198"/>
        <v>-6.3981042654028375E-2</v>
      </c>
      <c r="AX484" s="1538">
        <f t="shared" si="198"/>
        <v>-7.0886075949367133E-2</v>
      </c>
      <c r="AY484" s="1538">
        <f t="shared" si="198"/>
        <v>-7.6294277929155219E-2</v>
      </c>
      <c r="AZ484" s="1538">
        <f t="shared" si="198"/>
        <v>-7.9646017699115057E-2</v>
      </c>
      <c r="BA484" s="1783">
        <f>AVERAGE(AU484:AZ484)</f>
        <v>-6.5945332679590227E-2</v>
      </c>
      <c r="BB484" s="818"/>
      <c r="BC484" s="818"/>
      <c r="BD484" s="818"/>
      <c r="BE484" s="818"/>
      <c r="BF484" s="818"/>
      <c r="BG484" s="818"/>
    </row>
    <row r="485" spans="1:60">
      <c r="D485" s="2091" t="s">
        <v>1078</v>
      </c>
      <c r="E485" s="3006">
        <v>120000</v>
      </c>
      <c r="F485" s="494"/>
      <c r="G485" s="993"/>
      <c r="H485" s="993"/>
      <c r="I485" s="989"/>
      <c r="J485" s="990"/>
      <c r="K485" s="990"/>
      <c r="L485" s="993"/>
      <c r="M485" s="993"/>
      <c r="N485" s="993"/>
      <c r="O485" s="993"/>
      <c r="P485" s="989"/>
      <c r="Q485" s="990"/>
      <c r="R485" s="990"/>
      <c r="S485" s="993"/>
      <c r="T485" s="993"/>
      <c r="U485" s="993"/>
      <c r="V485" s="224"/>
      <c r="W485" s="224"/>
      <c r="X485" s="224"/>
      <c r="Y485" s="224"/>
      <c r="Z485" s="224"/>
      <c r="AA485" s="224"/>
      <c r="AB485" s="1560">
        <v>0.74</v>
      </c>
      <c r="AC485" s="1561">
        <v>0.72799999999999998</v>
      </c>
      <c r="AD485" s="1561">
        <v>0.71299999999999997</v>
      </c>
      <c r="AE485" s="1561">
        <v>0.69899999999999995</v>
      </c>
      <c r="AF485" s="1561">
        <v>0.69599999999999995</v>
      </c>
      <c r="AG485" s="1561">
        <v>0.69299999999999995</v>
      </c>
      <c r="AH485" s="1561">
        <v>0.69</v>
      </c>
      <c r="AI485" s="3453">
        <v>0.68700000000000006</v>
      </c>
      <c r="AJ485" s="3409">
        <v>0.68700000000000006</v>
      </c>
      <c r="AK485" s="1561">
        <v>0.68700000000000006</v>
      </c>
      <c r="AL485" s="1561">
        <v>0.68700000000000006</v>
      </c>
      <c r="AM485" s="1561">
        <v>0.68700000000000006</v>
      </c>
      <c r="AN485" s="1561">
        <f>$BA$485*AM485+AM485</f>
        <v>0.67905517131477777</v>
      </c>
      <c r="AO485" s="1561">
        <f>$BA$485*AN485+AN485</f>
        <v>0.67120222079962466</v>
      </c>
      <c r="AP485" s="1787">
        <f t="shared" ref="AP485:AT487" si="199">$BA485*AO485+AO485</f>
        <v>0.66344008592714465</v>
      </c>
      <c r="AQ485" s="1787">
        <f t="shared" si="199"/>
        <v>0.65576771645756626</v>
      </c>
      <c r="AR485" s="1787">
        <f t="shared" si="199"/>
        <v>0.64818407429664227</v>
      </c>
      <c r="AS485" s="1787">
        <f t="shared" si="199"/>
        <v>0.64068813335519215</v>
      </c>
      <c r="AT485" s="1787">
        <f t="shared" si="199"/>
        <v>0.6332788794102695</v>
      </c>
      <c r="AU485" s="1538">
        <f t="shared" si="198"/>
        <v>-1.6216216216216273E-2</v>
      </c>
      <c r="AV485" s="1538">
        <f t="shared" si="198"/>
        <v>-2.0604395604395642E-2</v>
      </c>
      <c r="AW485" s="1538">
        <f t="shared" si="198"/>
        <v>-1.9635343618513379E-2</v>
      </c>
      <c r="AX485" s="1538">
        <f t="shared" si="198"/>
        <v>-4.2918454935622075E-3</v>
      </c>
      <c r="AY485" s="1538">
        <f t="shared" si="198"/>
        <v>-4.3103448275861878E-3</v>
      </c>
      <c r="AZ485" s="1538">
        <f t="shared" si="198"/>
        <v>-4.3290043290042934E-3</v>
      </c>
      <c r="BA485" s="1783">
        <f>AVERAGE(AU485:AZ485)</f>
        <v>-1.1564525014879664E-2</v>
      </c>
    </row>
    <row r="486" spans="1:60">
      <c r="D486" s="2091" t="s">
        <v>1079</v>
      </c>
      <c r="E486" s="3006">
        <v>1000000</v>
      </c>
      <c r="F486" s="494"/>
      <c r="G486" s="993"/>
      <c r="H486" s="993"/>
      <c r="I486" s="989"/>
      <c r="J486" s="990"/>
      <c r="K486" s="990"/>
      <c r="L486" s="993"/>
      <c r="M486" s="993"/>
      <c r="N486" s="993"/>
      <c r="O486" s="993"/>
      <c r="P486" s="989"/>
      <c r="Q486" s="990"/>
      <c r="R486" s="990"/>
      <c r="S486" s="993"/>
      <c r="T486" s="993"/>
      <c r="U486" s="993"/>
      <c r="V486" s="224"/>
      <c r="W486" s="224"/>
      <c r="X486" s="224"/>
      <c r="Y486" s="224"/>
      <c r="Z486" s="224"/>
      <c r="AA486" s="224"/>
      <c r="AB486" s="1560">
        <v>0.09</v>
      </c>
      <c r="AC486" s="1561">
        <v>9.1999999999999998E-2</v>
      </c>
      <c r="AD486" s="1561">
        <v>9.4E-2</v>
      </c>
      <c r="AE486" s="1561">
        <v>9.6000000000000002E-2</v>
      </c>
      <c r="AF486" s="1561">
        <v>9.8000000000000004E-2</v>
      </c>
      <c r="AG486" s="1561">
        <v>0.1</v>
      </c>
      <c r="AH486" s="1561">
        <v>0.10199999999999999</v>
      </c>
      <c r="AI486" s="3453">
        <v>0.104</v>
      </c>
      <c r="AJ486" s="3409">
        <v>0.104</v>
      </c>
      <c r="AK486" s="1561">
        <v>0.104</v>
      </c>
      <c r="AL486" s="1561">
        <v>0.104</v>
      </c>
      <c r="AM486" s="1561">
        <v>0.104</v>
      </c>
      <c r="AN486" s="1561">
        <f>$BA$486*AM486+AM486</f>
        <v>0.10619231038000562</v>
      </c>
      <c r="AO486" s="1561">
        <f>$BA$486*AN486+AN486</f>
        <v>0.10843083446003318</v>
      </c>
      <c r="AP486" s="1787">
        <f t="shared" si="199"/>
        <v>0.11071654642060437</v>
      </c>
      <c r="AQ486" s="1787">
        <f t="shared" si="199"/>
        <v>0.11305044097787616</v>
      </c>
      <c r="AR486" s="1787">
        <f t="shared" si="199"/>
        <v>0.11543353381653011</v>
      </c>
      <c r="AS486" s="1787">
        <f t="shared" si="199"/>
        <v>0.11786686203178694</v>
      </c>
      <c r="AT486" s="1787">
        <f t="shared" si="199"/>
        <v>0.12035148458073865</v>
      </c>
      <c r="AU486" s="1538">
        <f t="shared" si="198"/>
        <v>2.2222222222222143E-2</v>
      </c>
      <c r="AV486" s="1538">
        <f t="shared" si="198"/>
        <v>2.1739130434782705E-2</v>
      </c>
      <c r="AW486" s="1538">
        <f t="shared" si="198"/>
        <v>2.1276595744680771E-2</v>
      </c>
      <c r="AX486" s="1538">
        <f t="shared" si="198"/>
        <v>2.0833333333333259E-2</v>
      </c>
      <c r="AY486" s="1538">
        <f t="shared" si="198"/>
        <v>2.0408163265306145E-2</v>
      </c>
      <c r="AZ486" s="1538">
        <f t="shared" si="198"/>
        <v>1.9999999999999796E-2</v>
      </c>
      <c r="BA486" s="1783">
        <f>AVERAGE(AU486:AZ486)</f>
        <v>2.1079907500054135E-2</v>
      </c>
    </row>
    <row r="487" spans="1:60" ht="16.75" thickBot="1">
      <c r="D487" s="2092" t="s">
        <v>1080</v>
      </c>
      <c r="E487" s="3007">
        <v>1000000</v>
      </c>
      <c r="F487" s="2934"/>
      <c r="G487" s="1435"/>
      <c r="H487" s="1435"/>
      <c r="I487" s="1430"/>
      <c r="J487" s="1431"/>
      <c r="K487" s="1431"/>
      <c r="L487" s="1435"/>
      <c r="M487" s="1435"/>
      <c r="N487" s="1435"/>
      <c r="O487" s="1435"/>
      <c r="P487" s="1430"/>
      <c r="Q487" s="1431"/>
      <c r="R487" s="1431"/>
      <c r="S487" s="1435"/>
      <c r="T487" s="1435"/>
      <c r="U487" s="1435"/>
      <c r="V487" s="1433"/>
      <c r="W487" s="1433"/>
      <c r="X487" s="1433"/>
      <c r="Y487" s="1433"/>
      <c r="Z487" s="1433"/>
      <c r="AA487" s="1433"/>
      <c r="AB487" s="1562">
        <v>2.1000000000000001E-2</v>
      </c>
      <c r="AC487" s="1562">
        <v>2.1999999999999999E-2</v>
      </c>
      <c r="AD487" s="1562">
        <v>2.1999999999999999E-2</v>
      </c>
      <c r="AE487" s="1562">
        <v>2.3E-2</v>
      </c>
      <c r="AF487" s="1562">
        <v>2.3E-2</v>
      </c>
      <c r="AG487" s="1562">
        <v>2.3E-2</v>
      </c>
      <c r="AH487" s="1562">
        <v>2.4E-2</v>
      </c>
      <c r="AI487" s="3454">
        <v>2.4E-2</v>
      </c>
      <c r="AJ487" s="3410">
        <v>2.4E-2</v>
      </c>
      <c r="AK487" s="1562">
        <v>2.4E-2</v>
      </c>
      <c r="AL487" s="1562">
        <v>2.4E-2</v>
      </c>
      <c r="AM487" s="1562">
        <v>2.4E-2</v>
      </c>
      <c r="AN487" s="1562">
        <f>$BA$487*AM487+AM487</f>
        <v>2.4546207415772632E-2</v>
      </c>
      <c r="AO487" s="1562">
        <f>$BA$487*AN487+AN487</f>
        <v>2.5104845770755474E-2</v>
      </c>
      <c r="AP487" s="1805">
        <f t="shared" si="199"/>
        <v>2.5676197976247758E-2</v>
      </c>
      <c r="AQ487" s="1805">
        <f t="shared" si="199"/>
        <v>2.6260553382225788E-2</v>
      </c>
      <c r="AR487" s="1805">
        <f t="shared" si="199"/>
        <v>2.685820792387849E-2</v>
      </c>
      <c r="AS487" s="1805">
        <f t="shared" si="199"/>
        <v>2.7469464271477895E-2</v>
      </c>
      <c r="AT487" s="1805">
        <f t="shared" si="199"/>
        <v>2.8094631983660502E-2</v>
      </c>
      <c r="AU487" s="1538">
        <f t="shared" si="198"/>
        <v>4.761904761904745E-2</v>
      </c>
      <c r="AV487" s="1538">
        <f t="shared" si="198"/>
        <v>0</v>
      </c>
      <c r="AW487" s="1538">
        <f t="shared" si="198"/>
        <v>4.5454545454545414E-2</v>
      </c>
      <c r="AX487" s="1538">
        <f t="shared" si="198"/>
        <v>0</v>
      </c>
      <c r="AY487" s="1538">
        <f t="shared" si="198"/>
        <v>0</v>
      </c>
      <c r="AZ487" s="1538">
        <f t="shared" si="198"/>
        <v>4.3478260869565188E-2</v>
      </c>
      <c r="BA487" s="1783">
        <f>AVERAGE(AU487:AZ487)</f>
        <v>2.2758642323859674E-2</v>
      </c>
    </row>
    <row r="488" spans="1:60" ht="17.5" thickTop="1" thickBot="1">
      <c r="A488" s="297" t="s">
        <v>189</v>
      </c>
      <c r="B488" s="295" t="s">
        <v>239</v>
      </c>
      <c r="D488" s="2093" t="s">
        <v>57</v>
      </c>
      <c r="E488" s="2127"/>
      <c r="F488" s="495"/>
      <c r="G488" s="242"/>
      <c r="H488" s="242"/>
      <c r="I488" s="92"/>
      <c r="J488" s="61"/>
      <c r="K488" s="61"/>
      <c r="L488" s="242"/>
      <c r="M488" s="242"/>
      <c r="N488" s="242"/>
      <c r="O488" s="242"/>
      <c r="P488" s="92"/>
      <c r="Q488" s="61"/>
      <c r="R488" s="243">
        <v>7100</v>
      </c>
      <c r="S488" s="244">
        <v>11672</v>
      </c>
      <c r="T488" s="244">
        <v>11737</v>
      </c>
      <c r="U488" s="244">
        <v>13240</v>
      </c>
      <c r="V488" s="244">
        <v>17479</v>
      </c>
      <c r="W488" s="245">
        <v>19400</v>
      </c>
      <c r="X488" s="243">
        <v>24701</v>
      </c>
      <c r="Y488" s="243">
        <v>26250</v>
      </c>
      <c r="Z488" s="1396"/>
      <c r="AA488" s="242"/>
      <c r="AB488" s="92"/>
      <c r="AC488" s="61"/>
      <c r="AD488" s="61"/>
      <c r="AE488" s="61"/>
      <c r="AF488" s="61"/>
      <c r="AG488" s="61"/>
      <c r="AH488" s="61"/>
      <c r="AI488" s="3455"/>
      <c r="AJ488" s="3411"/>
      <c r="AK488" s="61"/>
      <c r="AL488" s="61"/>
      <c r="AM488" s="61"/>
      <c r="AN488" s="61"/>
      <c r="AO488" s="61"/>
      <c r="AP488" s="61"/>
      <c r="AQ488" s="61"/>
      <c r="AR488" s="61"/>
      <c r="AS488" s="61"/>
      <c r="AT488" s="61"/>
    </row>
    <row r="489" spans="1:60" ht="16.75" thickBot="1">
      <c r="D489" s="24" t="s">
        <v>1224</v>
      </c>
      <c r="E489" s="2128"/>
      <c r="F489" s="2935"/>
      <c r="G489" s="42"/>
      <c r="H489" s="42"/>
      <c r="I489" s="42"/>
      <c r="J489" s="44"/>
      <c r="K489" s="46"/>
      <c r="L489" s="59"/>
      <c r="M489" s="46"/>
      <c r="N489" s="42"/>
      <c r="O489" s="42"/>
      <c r="P489" s="42"/>
      <c r="Q489" s="44"/>
      <c r="R489" s="46"/>
      <c r="S489" s="59"/>
      <c r="T489" s="46"/>
      <c r="U489" s="42"/>
      <c r="V489" s="42"/>
      <c r="W489" s="42"/>
      <c r="X489" s="42"/>
      <c r="Y489" s="42"/>
      <c r="Z489" s="42"/>
      <c r="AA489" s="42"/>
      <c r="AB489" s="42"/>
      <c r="AC489" s="42"/>
      <c r="AD489" s="42"/>
      <c r="AE489" s="42"/>
      <c r="AF489" s="42"/>
      <c r="AG489" s="42"/>
      <c r="AH489" s="42"/>
      <c r="AI489" s="3456"/>
      <c r="AJ489" s="59"/>
      <c r="AK489" s="42"/>
      <c r="AL489" s="42"/>
      <c r="AM489" s="42"/>
      <c r="AN489" s="42"/>
      <c r="AO489" s="42"/>
      <c r="AP489" s="42"/>
      <c r="AQ489" s="42"/>
      <c r="AR489" s="42"/>
      <c r="AS489" s="42"/>
      <c r="AT489" s="42"/>
    </row>
    <row r="490" spans="1:60">
      <c r="B490" s="295" t="s">
        <v>240</v>
      </c>
      <c r="C490" s="295" t="s">
        <v>30</v>
      </c>
      <c r="D490" s="2094" t="s">
        <v>1216</v>
      </c>
      <c r="E490" s="2129" t="s">
        <v>1215</v>
      </c>
      <c r="F490" s="2936"/>
      <c r="G490" s="66"/>
      <c r="H490" s="32"/>
      <c r="I490" s="32"/>
      <c r="J490" s="45"/>
      <c r="K490" s="32" t="e">
        <f t="shared" ref="K490:U490" si="200">($E$491*K491+$E$492*K492+$E$493*K493)/$E$490</f>
        <v>#VALUE!</v>
      </c>
      <c r="L490" s="32" t="e">
        <f t="shared" si="200"/>
        <v>#VALUE!</v>
      </c>
      <c r="M490" s="32" t="e">
        <f t="shared" si="200"/>
        <v>#VALUE!</v>
      </c>
      <c r="N490" s="32" t="e">
        <f t="shared" si="200"/>
        <v>#VALUE!</v>
      </c>
      <c r="O490" s="32" t="e">
        <f t="shared" si="200"/>
        <v>#VALUE!</v>
      </c>
      <c r="P490" s="32" t="e">
        <f t="shared" si="200"/>
        <v>#VALUE!</v>
      </c>
      <c r="Q490" s="32" t="e">
        <f t="shared" si="200"/>
        <v>#VALUE!</v>
      </c>
      <c r="R490" s="32" t="e">
        <f t="shared" si="200"/>
        <v>#VALUE!</v>
      </c>
      <c r="S490" s="32" t="e">
        <f t="shared" si="200"/>
        <v>#VALUE!</v>
      </c>
      <c r="T490" s="32" t="e">
        <f t="shared" si="200"/>
        <v>#VALUE!</v>
      </c>
      <c r="U490" s="32" t="e">
        <f t="shared" si="200"/>
        <v>#VALUE!</v>
      </c>
      <c r="V490" s="1300">
        <f>($E$491*V491+$E$492*V492+$E$493*V493)/1000</f>
        <v>56660.281052130187</v>
      </c>
      <c r="W490" s="1300">
        <f>($E$491*W491+$E$492*W492+$E$493*W493)/1000</f>
        <v>52127.54996146934</v>
      </c>
      <c r="X490" s="1300">
        <f>($E$491*X491+$E$492*X492+$E$493*X493)/1000</f>
        <v>79086.305870269876</v>
      </c>
      <c r="Y490" s="1300">
        <f>($E$491*Y491+$E$492*Y492+$E$493*Y493)/1000</f>
        <v>81709.575864541039</v>
      </c>
      <c r="Z490" s="1300">
        <f>($E$491*Z491+$E$492*Z492+$E$493*Z493)/$E$429</f>
        <v>57.189001890473776</v>
      </c>
      <c r="AA490" s="1300">
        <f t="shared" ref="AA490:AT490" si="201">($E$491*AA491+$E$492*AA492+$E$493*AA493)/$E$429</f>
        <v>48.513493057645903</v>
      </c>
      <c r="AB490" s="1300">
        <f t="shared" si="201"/>
        <v>62.230834426969395</v>
      </c>
      <c r="AC490" s="1300">
        <f>($E$491*AC491+$E$492*AC492+$E$493*AC493)/$E$429</f>
        <v>62.70629086513852</v>
      </c>
      <c r="AD490" s="1300">
        <f t="shared" si="201"/>
        <v>52.344562401261634</v>
      </c>
      <c r="AE490" s="1300">
        <f t="shared" si="201"/>
        <v>40.736061225127116</v>
      </c>
      <c r="AF490" s="1300">
        <f t="shared" si="201"/>
        <v>46.924821614032595</v>
      </c>
      <c r="AG490" s="1300">
        <f t="shared" si="201"/>
        <v>58.961721105852398</v>
      </c>
      <c r="AH490" s="1300">
        <f t="shared" si="201"/>
        <v>71.565597811892587</v>
      </c>
      <c r="AI490" s="3429">
        <f t="shared" si="201"/>
        <v>79.605164338347407</v>
      </c>
      <c r="AJ490" s="3381">
        <f t="shared" si="201"/>
        <v>83.073577863514132</v>
      </c>
      <c r="AK490" s="1300">
        <f t="shared" si="201"/>
        <v>83.803679302008007</v>
      </c>
      <c r="AL490" s="1300">
        <f t="shared" si="201"/>
        <v>84.421604625158935</v>
      </c>
      <c r="AM490" s="1300">
        <f t="shared" si="201"/>
        <v>85.040866905449818</v>
      </c>
      <c r="AN490" s="1300">
        <f t="shared" si="201"/>
        <v>85.774979280419046</v>
      </c>
      <c r="AO490" s="1300">
        <f t="shared" si="201"/>
        <v>93.200382976610186</v>
      </c>
      <c r="AP490" s="1300">
        <f t="shared" si="201"/>
        <v>101.32203505075144</v>
      </c>
      <c r="AQ490" s="1300">
        <f t="shared" si="201"/>
        <v>110.20996231432851</v>
      </c>
      <c r="AR490" s="1300">
        <f t="shared" si="201"/>
        <v>119.94166753430882</v>
      </c>
      <c r="AS490" s="1300">
        <f t="shared" si="201"/>
        <v>130.6029684213423</v>
      </c>
      <c r="AT490" s="1300">
        <f t="shared" si="201"/>
        <v>142.28893473866094</v>
      </c>
      <c r="AU490" s="3841" t="s">
        <v>1417</v>
      </c>
      <c r="AV490" s="3841"/>
      <c r="AW490" s="3841"/>
      <c r="AX490" s="3841"/>
      <c r="AY490" s="3841"/>
    </row>
    <row r="491" spans="1:60">
      <c r="A491" s="297" t="s">
        <v>374</v>
      </c>
      <c r="C491" s="292" t="s">
        <v>30</v>
      </c>
      <c r="D491" s="154" t="s">
        <v>1414</v>
      </c>
      <c r="E491" s="2130">
        <v>5257.9478339002981</v>
      </c>
      <c r="F491" s="2920"/>
      <c r="G491" s="137"/>
      <c r="H491" s="141"/>
      <c r="I491" s="137">
        <f t="shared" ref="I491:AN491" si="202">I176</f>
        <v>188.68</v>
      </c>
      <c r="J491" s="137">
        <f t="shared" si="202"/>
        <v>529</v>
      </c>
      <c r="K491" s="137">
        <f t="shared" si="202"/>
        <v>365.03899999999999</v>
      </c>
      <c r="L491" s="137">
        <f t="shared" si="202"/>
        <v>554.84900000000005</v>
      </c>
      <c r="M491" s="137">
        <f t="shared" si="202"/>
        <v>672.07</v>
      </c>
      <c r="N491" s="137">
        <f t="shared" si="202"/>
        <v>1458</v>
      </c>
      <c r="O491" s="137">
        <f t="shared" si="202"/>
        <v>3553.1759999999999</v>
      </c>
      <c r="P491" s="137">
        <f t="shared" si="202"/>
        <v>4531.826</v>
      </c>
      <c r="Q491" s="137">
        <f t="shared" si="202"/>
        <v>3835.33</v>
      </c>
      <c r="R491" s="137">
        <f t="shared" si="202"/>
        <v>4565.91</v>
      </c>
      <c r="S491" s="137">
        <f t="shared" si="202"/>
        <v>4193.2920000000004</v>
      </c>
      <c r="T491" s="137">
        <f t="shared" si="202"/>
        <v>4269.1729999999998</v>
      </c>
      <c r="U491" s="137">
        <f t="shared" si="202"/>
        <v>3874.203</v>
      </c>
      <c r="V491" s="137">
        <f t="shared" si="202"/>
        <v>6952.07</v>
      </c>
      <c r="W491" s="137">
        <f t="shared" si="202"/>
        <v>4636.6403</v>
      </c>
      <c r="X491" s="137">
        <f t="shared" si="202"/>
        <v>4895.2674999999999</v>
      </c>
      <c r="Y491" s="137">
        <f t="shared" si="202"/>
        <v>5953.7963200000004</v>
      </c>
      <c r="Z491" s="1397">
        <f t="shared" si="202"/>
        <v>3845.6560999999997</v>
      </c>
      <c r="AA491" s="1397">
        <f t="shared" si="202"/>
        <v>3549.9150499999996</v>
      </c>
      <c r="AB491" s="1398">
        <f t="shared" si="202"/>
        <v>4759.62129</v>
      </c>
      <c r="AC491" s="1399">
        <f t="shared" si="202"/>
        <v>4779.8499999999995</v>
      </c>
      <c r="AD491" s="1399">
        <f t="shared" si="202"/>
        <v>3860.5014000000001</v>
      </c>
      <c r="AE491" s="1399">
        <f t="shared" si="202"/>
        <v>2820.2400000000002</v>
      </c>
      <c r="AF491" s="1399">
        <f t="shared" si="202"/>
        <v>3136.4823000000001</v>
      </c>
      <c r="AG491" s="1399">
        <f t="shared" si="202"/>
        <v>4452.0472</v>
      </c>
      <c r="AH491" s="1399">
        <f t="shared" si="202"/>
        <v>4588.48632</v>
      </c>
      <c r="AI491" s="3457">
        <f t="shared" si="202"/>
        <v>4861.4944700000005</v>
      </c>
      <c r="AJ491" s="3412">
        <f t="shared" si="202"/>
        <v>5153.1841382000011</v>
      </c>
      <c r="AK491" s="1399">
        <f t="shared" si="202"/>
        <v>5189.2564271674009</v>
      </c>
      <c r="AL491" s="1399">
        <f t="shared" si="202"/>
        <v>5225.5812221575725</v>
      </c>
      <c r="AM491" s="1399">
        <f t="shared" si="202"/>
        <v>5262.1602907126753</v>
      </c>
      <c r="AN491" s="1399">
        <f t="shared" si="202"/>
        <v>5298.9954127476631</v>
      </c>
      <c r="AO491" s="1789">
        <f t="shared" ref="AO491:AT491" si="203">AN491*(1+$BG491)</f>
        <v>5598.0882867134824</v>
      </c>
      <c r="AP491" s="1789">
        <f t="shared" si="203"/>
        <v>5914.0629543570103</v>
      </c>
      <c r="AQ491" s="1789">
        <f t="shared" si="203"/>
        <v>6247.8722800979103</v>
      </c>
      <c r="AR491" s="1789">
        <f t="shared" si="203"/>
        <v>6600.5229111836416</v>
      </c>
      <c r="AS491" s="1789">
        <f t="shared" si="203"/>
        <v>6973.0783133706182</v>
      </c>
      <c r="AT491" s="1789">
        <f t="shared" si="203"/>
        <v>7366.6619779492803</v>
      </c>
      <c r="AU491" s="1538">
        <f t="shared" ref="AU491:BF491" si="204">W491/V491-1</f>
        <v>-0.33305615449786896</v>
      </c>
      <c r="AV491" s="1538">
        <f t="shared" si="204"/>
        <v>5.5779008779266226E-2</v>
      </c>
      <c r="AW491" s="1538">
        <f t="shared" si="204"/>
        <v>0.21623513321794996</v>
      </c>
      <c r="AX491" s="1538">
        <f t="shared" si="204"/>
        <v>-0.35408336239490312</v>
      </c>
      <c r="AY491" s="1538">
        <f t="shared" si="204"/>
        <v>-7.6902625276347503E-2</v>
      </c>
      <c r="AZ491" s="1538">
        <f t="shared" si="204"/>
        <v>0.34077047562025475</v>
      </c>
      <c r="BA491" s="1507">
        <f t="shared" si="204"/>
        <v>4.2500671308660642E-3</v>
      </c>
      <c r="BB491" s="1538">
        <f t="shared" si="204"/>
        <v>-0.19233837881941895</v>
      </c>
      <c r="BC491" s="1538">
        <f t="shared" si="204"/>
        <v>-0.26946276978425643</v>
      </c>
      <c r="BD491" s="1538">
        <f t="shared" si="204"/>
        <v>0.11213311633052503</v>
      </c>
      <c r="BE491" s="1538">
        <f t="shared" si="204"/>
        <v>0.41943960595600993</v>
      </c>
      <c r="BF491" s="1538">
        <f t="shared" si="204"/>
        <v>3.064637769339007E-2</v>
      </c>
      <c r="BG491" s="1781">
        <f>AVERAGE(AV491:AZ491)+AVERAGE(BB491:BF491)</f>
        <v>5.644331626449399E-2</v>
      </c>
    </row>
    <row r="492" spans="1:60">
      <c r="A492" s="297" t="s">
        <v>374</v>
      </c>
      <c r="C492" s="295" t="s">
        <v>30</v>
      </c>
      <c r="D492" s="154" t="s">
        <v>1026</v>
      </c>
      <c r="E492" s="2130">
        <v>17908.949453227768</v>
      </c>
      <c r="F492" s="2920"/>
      <c r="G492" s="137"/>
      <c r="H492" s="141"/>
      <c r="I492" s="137">
        <f t="shared" ref="I492:AN492" si="205">I177</f>
        <v>198.88</v>
      </c>
      <c r="J492" s="137">
        <f t="shared" si="205"/>
        <v>330</v>
      </c>
      <c r="K492" s="137">
        <f t="shared" si="205"/>
        <v>602.77</v>
      </c>
      <c r="L492" s="137">
        <f t="shared" si="205"/>
        <v>1540.21</v>
      </c>
      <c r="M492" s="137">
        <f t="shared" si="205"/>
        <v>1086.32</v>
      </c>
      <c r="N492" s="137">
        <f t="shared" si="205"/>
        <v>732</v>
      </c>
      <c r="O492" s="137">
        <f t="shared" si="205"/>
        <v>861.048</v>
      </c>
      <c r="P492" s="137">
        <f t="shared" si="205"/>
        <v>1061.6400000000001</v>
      </c>
      <c r="Q492" s="137">
        <f t="shared" si="205"/>
        <v>724.24699999999996</v>
      </c>
      <c r="R492" s="137">
        <f t="shared" si="205"/>
        <v>968.95600000000002</v>
      </c>
      <c r="S492" s="137">
        <f t="shared" si="205"/>
        <v>1190.328</v>
      </c>
      <c r="T492" s="137">
        <f t="shared" si="205"/>
        <v>949.91800000000001</v>
      </c>
      <c r="U492" s="137">
        <f t="shared" si="205"/>
        <v>748.72299999999996</v>
      </c>
      <c r="V492" s="137">
        <f t="shared" si="205"/>
        <v>890.07600000000002</v>
      </c>
      <c r="W492" s="137">
        <f t="shared" si="205"/>
        <v>1144.6847</v>
      </c>
      <c r="X492" s="137">
        <f t="shared" si="205"/>
        <v>2466.02367</v>
      </c>
      <c r="Y492" s="137">
        <f t="shared" si="205"/>
        <v>2302.5188700000003</v>
      </c>
      <c r="Z492" s="1397">
        <f t="shared" si="205"/>
        <v>1651.71126</v>
      </c>
      <c r="AA492" s="1397">
        <f t="shared" si="205"/>
        <v>1269.9392000000003</v>
      </c>
      <c r="AB492" s="1398">
        <f t="shared" si="205"/>
        <v>1725.1819999999998</v>
      </c>
      <c r="AC492" s="1399">
        <f t="shared" si="205"/>
        <v>1643.5251000000001</v>
      </c>
      <c r="AD492" s="1399">
        <f t="shared" si="205"/>
        <v>1353.8489100000002</v>
      </c>
      <c r="AE492" s="1399">
        <f t="shared" si="205"/>
        <v>1028.4223</v>
      </c>
      <c r="AF492" s="1399">
        <f t="shared" si="205"/>
        <v>1046.1608100000001</v>
      </c>
      <c r="AG492" s="1399">
        <f t="shared" si="205"/>
        <v>1304.69868</v>
      </c>
      <c r="AH492" s="1399">
        <f t="shared" si="205"/>
        <v>2070.37077</v>
      </c>
      <c r="AI492" s="3457">
        <f t="shared" si="205"/>
        <v>2383.9123799999998</v>
      </c>
      <c r="AJ492" s="3412">
        <f t="shared" si="205"/>
        <v>2479.268</v>
      </c>
      <c r="AK492" s="1399">
        <f t="shared" si="205"/>
        <v>2503.107</v>
      </c>
      <c r="AL492" s="1399">
        <f t="shared" si="205"/>
        <v>2526.9459999999999</v>
      </c>
      <c r="AM492" s="1399">
        <f t="shared" si="205"/>
        <v>2550.7849999999999</v>
      </c>
      <c r="AN492" s="1399">
        <f t="shared" si="205"/>
        <v>2574.6239999999998</v>
      </c>
      <c r="AO492" s="1789">
        <f t="shared" ref="AO492:AT492" si="206">AN492*(1+$BG492)</f>
        <v>2813.171247177585</v>
      </c>
      <c r="AP492" s="1789">
        <f t="shared" si="206"/>
        <v>3073.8206689391109</v>
      </c>
      <c r="AQ492" s="1789">
        <f t="shared" si="206"/>
        <v>3358.6201033003954</v>
      </c>
      <c r="AR492" s="1789">
        <f t="shared" si="206"/>
        <v>3669.8071270978921</v>
      </c>
      <c r="AS492" s="1789">
        <f t="shared" si="206"/>
        <v>4009.8266359045701</v>
      </c>
      <c r="AT492" s="1789">
        <f t="shared" si="206"/>
        <v>4381.3500527819051</v>
      </c>
      <c r="AU492" s="1538">
        <f>W492/V492-1</f>
        <v>0.286052764033633</v>
      </c>
      <c r="AV492" s="1538">
        <f t="shared" ref="AV492:BF493" si="207">X492/W492-1</f>
        <v>1.1543257020907154</v>
      </c>
      <c r="AW492" s="1538">
        <f t="shared" si="207"/>
        <v>-6.6303013222902107E-2</v>
      </c>
      <c r="AX492" s="1538">
        <f t="shared" si="207"/>
        <v>-0.28265028290517347</v>
      </c>
      <c r="AY492" s="1538">
        <f t="shared" si="207"/>
        <v>-0.23113728727622751</v>
      </c>
      <c r="AZ492" s="1538">
        <f t="shared" si="207"/>
        <v>0.35847605932630433</v>
      </c>
      <c r="BA492" s="1538">
        <f t="shared" si="207"/>
        <v>-4.7332339428535541E-2</v>
      </c>
      <c r="BB492" s="1538">
        <f t="shared" si="207"/>
        <v>-0.17625297599653322</v>
      </c>
      <c r="BC492" s="1538">
        <f t="shared" si="207"/>
        <v>-0.24037143849382736</v>
      </c>
      <c r="BD492" s="1538">
        <f t="shared" si="207"/>
        <v>1.7248274371335803E-2</v>
      </c>
      <c r="BE492" s="1538">
        <f t="shared" si="207"/>
        <v>0.24713014244913256</v>
      </c>
      <c r="BF492" s="1538">
        <f t="shared" si="207"/>
        <v>0.58685741139862269</v>
      </c>
      <c r="BG492" s="1781">
        <f>AVERAGE(AU492:BE492)</f>
        <v>9.2653236813447434E-2</v>
      </c>
    </row>
    <row r="493" spans="1:60">
      <c r="A493" s="297" t="s">
        <v>374</v>
      </c>
      <c r="C493" s="295" t="s">
        <v>30</v>
      </c>
      <c r="D493" s="154" t="s">
        <v>1027</v>
      </c>
      <c r="E493" s="2130">
        <v>4140.5092050638023</v>
      </c>
      <c r="F493" s="2920"/>
      <c r="G493" s="137"/>
      <c r="H493" s="141"/>
      <c r="I493" s="137">
        <f t="shared" ref="I493:AN493" si="208">I178</f>
        <v>122.14</v>
      </c>
      <c r="J493" s="137">
        <f t="shared" si="208"/>
        <v>84</v>
      </c>
      <c r="K493" s="137">
        <f t="shared" si="208"/>
        <v>144</v>
      </c>
      <c r="L493" s="137">
        <f t="shared" si="208"/>
        <v>161.55500000000001</v>
      </c>
      <c r="M493" s="137">
        <f t="shared" si="208"/>
        <v>324.69</v>
      </c>
      <c r="N493" s="137">
        <f t="shared" si="208"/>
        <v>120</v>
      </c>
      <c r="O493" s="137">
        <f t="shared" si="208"/>
        <v>157.517</v>
      </c>
      <c r="P493" s="137">
        <f t="shared" si="208"/>
        <v>557.02099999999996</v>
      </c>
      <c r="Q493" s="137">
        <f t="shared" si="208"/>
        <v>1435.5730000000001</v>
      </c>
      <c r="R493" s="137">
        <f t="shared" si="208"/>
        <v>2686.11</v>
      </c>
      <c r="S493" s="137">
        <f t="shared" si="208"/>
        <v>1708.0360000000001</v>
      </c>
      <c r="T493" s="137">
        <f t="shared" si="208"/>
        <v>874.452</v>
      </c>
      <c r="U493" s="137">
        <f t="shared" si="208"/>
        <v>843.42399999999998</v>
      </c>
      <c r="V493" s="137">
        <f t="shared" si="208"/>
        <v>1006.237</v>
      </c>
      <c r="W493" s="137">
        <f t="shared" si="208"/>
        <v>1750.5664999999999</v>
      </c>
      <c r="X493" s="137">
        <f t="shared" si="208"/>
        <v>2217.9280400000002</v>
      </c>
      <c r="Y493" s="137">
        <f t="shared" si="208"/>
        <v>2214.4936500000003</v>
      </c>
      <c r="Z493" s="1397">
        <f t="shared" si="208"/>
        <v>1784.40112</v>
      </c>
      <c r="AA493" s="1397">
        <f t="shared" si="208"/>
        <v>1715.9599499999999</v>
      </c>
      <c r="AB493" s="1398">
        <f t="shared" si="208"/>
        <v>1523.6765399999999</v>
      </c>
      <c r="AC493" s="1399">
        <f t="shared" si="208"/>
        <v>1966.00963</v>
      </c>
      <c r="AD493" s="1399">
        <f t="shared" si="208"/>
        <v>1883.8832000000002</v>
      </c>
      <c r="AE493" s="1399">
        <f t="shared" si="208"/>
        <v>1808.817</v>
      </c>
      <c r="AF493" s="1399">
        <f t="shared" si="208"/>
        <v>2825.1887999999999</v>
      </c>
      <c r="AG493" s="1399">
        <f t="shared" si="208"/>
        <v>2943.4318000000003</v>
      </c>
      <c r="AH493" s="1399">
        <f t="shared" si="208"/>
        <v>2502.4484000000002</v>
      </c>
      <c r="AI493" s="3457">
        <f t="shared" si="208"/>
        <v>2741.2845000000002</v>
      </c>
      <c r="AJ493" s="3412">
        <f t="shared" si="208"/>
        <v>2796.11</v>
      </c>
      <c r="AK493" s="1399">
        <f t="shared" si="208"/>
        <v>2823.5230000000001</v>
      </c>
      <c r="AL493" s="1399">
        <f t="shared" si="208"/>
        <v>2823.5230000000001</v>
      </c>
      <c r="AM493" s="1399">
        <f t="shared" si="208"/>
        <v>2823.5230000000001</v>
      </c>
      <c r="AN493" s="1399">
        <f t="shared" si="208"/>
        <v>2850.9360000000001</v>
      </c>
      <c r="AO493" s="1789">
        <f t="shared" ref="AO493:AT493" si="209">AN493*(1+$BG493)</f>
        <v>3232.6905855336827</v>
      </c>
      <c r="AP493" s="1789">
        <f t="shared" si="209"/>
        <v>3665.5640189040037</v>
      </c>
      <c r="AQ493" s="1789">
        <f t="shared" si="209"/>
        <v>4156.4013694386622</v>
      </c>
      <c r="AR493" s="1789">
        <f t="shared" si="209"/>
        <v>4712.9642954747733</v>
      </c>
      <c r="AS493" s="1789">
        <f t="shared" si="209"/>
        <v>5344.053780210319</v>
      </c>
      <c r="AT493" s="1789">
        <f t="shared" si="209"/>
        <v>6059.6493024998063</v>
      </c>
      <c r="AU493" s="1538">
        <f>W493/V493-1</f>
        <v>0.73971589198170995</v>
      </c>
      <c r="AV493" s="1538">
        <f t="shared" si="207"/>
        <v>0.26697731277275127</v>
      </c>
      <c r="AW493" s="1538">
        <f t="shared" si="207"/>
        <v>-1.5484677311712325E-3</v>
      </c>
      <c r="AX493" s="1538">
        <f t="shared" si="207"/>
        <v>-0.19421709789052688</v>
      </c>
      <c r="AY493" s="1538">
        <f t="shared" si="207"/>
        <v>-3.8355260615393516E-2</v>
      </c>
      <c r="AZ493" s="1538">
        <f t="shared" si="207"/>
        <v>-0.11205588452108106</v>
      </c>
      <c r="BA493" s="1538">
        <f t="shared" si="207"/>
        <v>0.29030642553569819</v>
      </c>
      <c r="BB493" s="1538">
        <f t="shared" si="207"/>
        <v>-4.1773157540433759E-2</v>
      </c>
      <c r="BC493" s="1538">
        <f t="shared" si="207"/>
        <v>-3.9846525517081011E-2</v>
      </c>
      <c r="BD493" s="1538">
        <f t="shared" si="207"/>
        <v>0.56189863319506617</v>
      </c>
      <c r="BE493" s="1538">
        <f>AG493/AF493-1</f>
        <v>4.1853132080942768E-2</v>
      </c>
      <c r="BF493" s="1538">
        <f>AH493/AG493-1</f>
        <v>-0.14981947263055329</v>
      </c>
      <c r="BG493" s="1781">
        <f>AVERAGE(AU493:BE493)</f>
        <v>0.13390500015913462</v>
      </c>
    </row>
    <row r="494" spans="1:60">
      <c r="D494" s="2095" t="s">
        <v>67</v>
      </c>
      <c r="E494" s="2131"/>
      <c r="F494" s="2937"/>
      <c r="G494" s="32"/>
      <c r="H494" s="32"/>
      <c r="I494" s="32"/>
      <c r="J494" s="45"/>
      <c r="K494" s="45"/>
      <c r="L494" s="217"/>
      <c r="M494" s="51"/>
      <c r="N494" s="32"/>
      <c r="O494" s="32"/>
      <c r="P494" s="32"/>
      <c r="Q494" s="45"/>
      <c r="R494" s="45"/>
      <c r="S494" s="217"/>
      <c r="T494" s="51"/>
      <c r="U494" s="32"/>
      <c r="V494" s="32"/>
      <c r="W494" s="32"/>
      <c r="X494" s="45"/>
      <c r="Y494" s="45"/>
      <c r="Z494" s="45"/>
      <c r="AA494" s="32"/>
      <c r="AB494" s="989"/>
      <c r="AC494" s="45"/>
      <c r="AD494" s="45"/>
      <c r="AE494" s="45"/>
      <c r="AF494" s="45"/>
      <c r="AG494" s="45"/>
      <c r="AH494" s="45"/>
      <c r="AI494" s="3458"/>
      <c r="AJ494" s="3413"/>
      <c r="AK494" s="45"/>
      <c r="AL494" s="45"/>
      <c r="AM494" s="45"/>
      <c r="AN494" s="45"/>
      <c r="AO494" s="45"/>
      <c r="AP494" s="45"/>
      <c r="AQ494" s="45"/>
      <c r="AR494" s="45"/>
      <c r="AS494" s="45"/>
      <c r="AT494" s="45"/>
      <c r="AU494" s="1538"/>
      <c r="AV494" s="1538"/>
      <c r="AW494" s="1538"/>
      <c r="AX494" s="1538"/>
      <c r="AY494" s="1538"/>
      <c r="AZ494" s="1538"/>
      <c r="BA494" s="1538"/>
      <c r="BB494" s="1538"/>
      <c r="BC494" s="1538"/>
      <c r="BD494" s="1538"/>
      <c r="BE494" s="1538"/>
      <c r="BF494" s="1538"/>
    </row>
    <row r="495" spans="1:60">
      <c r="A495" s="297" t="s">
        <v>252</v>
      </c>
      <c r="B495" s="295" t="s">
        <v>238</v>
      </c>
      <c r="C495" s="295" t="s">
        <v>30</v>
      </c>
      <c r="D495" s="154" t="s">
        <v>68</v>
      </c>
      <c r="E495" s="2132"/>
      <c r="F495" s="2920"/>
      <c r="G495" s="137"/>
      <c r="H495" s="137"/>
      <c r="I495" s="137"/>
      <c r="J495" s="149"/>
      <c r="K495" s="149"/>
      <c r="L495" s="150"/>
      <c r="M495" s="141"/>
      <c r="N495" s="137"/>
      <c r="O495" s="137"/>
      <c r="P495" s="137"/>
      <c r="Q495" s="149"/>
      <c r="R495" s="149"/>
      <c r="S495" s="225"/>
      <c r="T495" s="225"/>
      <c r="U495" s="225"/>
      <c r="V495" s="225"/>
      <c r="W495" s="225"/>
      <c r="X495" s="225"/>
      <c r="Y495" s="225"/>
      <c r="Z495" s="1550">
        <v>70027.26007307999</v>
      </c>
      <c r="AA495" s="1550">
        <v>73350</v>
      </c>
      <c r="AB495" s="1551">
        <v>78500</v>
      </c>
      <c r="AC495" s="1552"/>
      <c r="AD495" s="1552"/>
      <c r="AE495" s="1552"/>
      <c r="AF495" s="1449"/>
      <c r="AG495" s="1449"/>
      <c r="AH495" s="1449"/>
      <c r="AI495" s="3459"/>
      <c r="AJ495" s="3414"/>
      <c r="AK495" s="1449"/>
      <c r="AL495" s="1449"/>
      <c r="AM495" s="1449"/>
      <c r="AN495" s="1449"/>
      <c r="AO495" s="1449"/>
      <c r="AP495" s="1449"/>
      <c r="AQ495" s="1449"/>
      <c r="AR495" s="1449"/>
      <c r="AS495" s="1449"/>
      <c r="AT495" s="1449"/>
      <c r="BA495" s="1538"/>
      <c r="BB495" s="1538"/>
      <c r="BC495" s="1538"/>
      <c r="BD495" s="1538"/>
      <c r="BE495" s="1538"/>
      <c r="BF495" s="1538"/>
    </row>
    <row r="496" spans="1:60">
      <c r="A496" s="297" t="s">
        <v>379</v>
      </c>
      <c r="B496" s="295" t="s">
        <v>385</v>
      </c>
      <c r="C496" s="295" t="s">
        <v>30</v>
      </c>
      <c r="D496" s="154" t="s">
        <v>69</v>
      </c>
      <c r="E496" s="2130">
        <f>SUM(E497:E501)</f>
        <v>2704.0405555555558</v>
      </c>
      <c r="F496" s="2920"/>
      <c r="G496" s="137"/>
      <c r="H496" s="141"/>
      <c r="I496" s="137"/>
      <c r="J496" s="149"/>
      <c r="K496" s="149"/>
      <c r="L496" s="150"/>
      <c r="M496" s="141"/>
      <c r="N496" s="137"/>
      <c r="O496" s="141"/>
      <c r="P496" s="137"/>
      <c r="Q496" s="149"/>
      <c r="R496" s="149"/>
      <c r="S496" s="225"/>
      <c r="T496" s="225"/>
      <c r="U496" s="225"/>
      <c r="V496" s="225"/>
      <c r="W496" s="225"/>
      <c r="X496" s="782"/>
      <c r="Y496" s="783">
        <v>745.83333333333337</v>
      </c>
      <c r="Z496" s="1556">
        <f t="shared" ref="Z496:AE496" si="210">(Z497*$E$497 + Z498*$E$498 +Z499*$E$499 + Z500*$E$500 + Z501*$E$501)/$E$496</f>
        <v>10109.979168520031</v>
      </c>
      <c r="AA496" s="1557">
        <f t="shared" si="210"/>
        <v>395066.34291219327</v>
      </c>
      <c r="AB496" s="1558">
        <f t="shared" si="210"/>
        <v>410996.44439867663</v>
      </c>
      <c r="AC496" s="1559">
        <f t="shared" si="210"/>
        <v>435068.77497374977</v>
      </c>
      <c r="AD496" s="1559">
        <f t="shared" si="210"/>
        <v>453682.21762350301</v>
      </c>
      <c r="AE496" s="1559">
        <f t="shared" si="210"/>
        <v>470146.19355335127</v>
      </c>
      <c r="AF496" s="1449"/>
      <c r="AG496" s="1449"/>
      <c r="AH496" s="1449"/>
      <c r="AI496" s="3459"/>
      <c r="AJ496" s="3414"/>
      <c r="AK496" s="1449"/>
      <c r="AL496" s="1449"/>
      <c r="AM496" s="1449"/>
      <c r="AN496" s="1449"/>
      <c r="AO496" s="1449"/>
      <c r="AP496" s="1449"/>
      <c r="AQ496" s="1449"/>
      <c r="AR496" s="1449"/>
      <c r="AS496" s="1449"/>
      <c r="AT496" s="1449"/>
      <c r="BA496" s="1538"/>
      <c r="BB496" s="1538"/>
      <c r="BC496" s="1538"/>
      <c r="BD496" s="1538"/>
      <c r="BE496" s="1538"/>
      <c r="BF496" s="1538"/>
    </row>
    <row r="497" spans="1:60">
      <c r="A497" s="297" t="s">
        <v>38</v>
      </c>
      <c r="B497" s="295" t="s">
        <v>584</v>
      </c>
      <c r="C497" s="295" t="s">
        <v>30</v>
      </c>
      <c r="D497" s="154" t="s">
        <v>380</v>
      </c>
      <c r="E497" s="2130">
        <v>525.23</v>
      </c>
      <c r="F497" s="2920"/>
      <c r="G497" s="438"/>
      <c r="H497" s="437"/>
      <c r="I497" s="438"/>
      <c r="J497" s="439"/>
      <c r="K497" s="439"/>
      <c r="L497" s="150"/>
      <c r="M497" s="437"/>
      <c r="N497" s="438"/>
      <c r="O497" s="437"/>
      <c r="P497" s="438"/>
      <c r="Q497" s="439"/>
      <c r="R497" s="439"/>
      <c r="S497" s="440"/>
      <c r="T497" s="440"/>
      <c r="U497" s="440">
        <v>525.23</v>
      </c>
      <c r="V497" s="440"/>
      <c r="W497" s="440"/>
      <c r="X497" s="440"/>
      <c r="Y497" s="440"/>
      <c r="Z497" s="1553"/>
      <c r="AA497" s="1554">
        <f>AA328+AA329</f>
        <v>1574102.14</v>
      </c>
      <c r="AB497" s="1551">
        <f>AB328+AB329</f>
        <v>1636359.1400000001</v>
      </c>
      <c r="AC497" s="1554">
        <f>AC328+AC329</f>
        <v>1769356.63</v>
      </c>
      <c r="AD497" s="1554">
        <f>AD328+AD329</f>
        <v>1828282.0000000002</v>
      </c>
      <c r="AE497" s="1554">
        <f>AE328+AE329</f>
        <v>1899963.0000000002</v>
      </c>
      <c r="AF497" s="714"/>
      <c r="AG497" s="714"/>
      <c r="AH497" s="714"/>
      <c r="AI497" s="3459"/>
      <c r="AJ497" s="3414"/>
      <c r="AK497" s="714"/>
      <c r="AL497" s="714"/>
      <c r="AM497" s="714"/>
      <c r="AN497" s="714"/>
      <c r="AO497" s="714"/>
      <c r="AP497" s="714"/>
      <c r="AQ497" s="714"/>
      <c r="AR497" s="714"/>
      <c r="AS497" s="714"/>
      <c r="AT497" s="714"/>
    </row>
    <row r="498" spans="1:60">
      <c r="A498" s="297" t="s">
        <v>38</v>
      </c>
      <c r="B498" s="295" t="s">
        <v>584</v>
      </c>
      <c r="C498" s="295" t="s">
        <v>30</v>
      </c>
      <c r="D498" s="154" t="s">
        <v>381</v>
      </c>
      <c r="E498" s="2130">
        <v>354.63</v>
      </c>
      <c r="F498" s="2920"/>
      <c r="G498" s="438"/>
      <c r="H498" s="437"/>
      <c r="I498" s="438"/>
      <c r="J498" s="439"/>
      <c r="K498" s="439"/>
      <c r="L498" s="150"/>
      <c r="M498" s="437"/>
      <c r="N498" s="438"/>
      <c r="O498" s="437"/>
      <c r="P498" s="438"/>
      <c r="Q498" s="439"/>
      <c r="R498" s="439"/>
      <c r="S498" s="440"/>
      <c r="T498" s="440"/>
      <c r="U498" s="440">
        <v>354.63</v>
      </c>
      <c r="V498" s="440"/>
      <c r="W498" s="440"/>
      <c r="X498" s="440"/>
      <c r="Y498" s="440"/>
      <c r="Z498" s="1553"/>
      <c r="AA498" s="1554">
        <v>574281.45000000019</v>
      </c>
      <c r="AB498" s="1551">
        <v>569688.07999999984</v>
      </c>
      <c r="AC498" s="1554">
        <v>513764.48199999996</v>
      </c>
      <c r="AD498" s="1554">
        <v>568419.00000000012</v>
      </c>
      <c r="AE498" s="1554">
        <v>587792.00000000012</v>
      </c>
      <c r="AF498" s="714"/>
      <c r="AG498" s="714"/>
      <c r="AH498" s="714"/>
      <c r="AI498" s="3459"/>
      <c r="AJ498" s="3414"/>
      <c r="AK498" s="714"/>
      <c r="AL498" s="714"/>
      <c r="AM498" s="714"/>
      <c r="AN498" s="714"/>
      <c r="AO498" s="714"/>
      <c r="AP498" s="714"/>
      <c r="AQ498" s="714"/>
      <c r="AR498" s="714"/>
      <c r="AS498" s="714"/>
      <c r="AT498" s="714"/>
    </row>
    <row r="499" spans="1:60">
      <c r="A499" s="297" t="s">
        <v>38</v>
      </c>
      <c r="B499" s="295" t="s">
        <v>584</v>
      </c>
      <c r="D499" s="2096" t="s">
        <v>382</v>
      </c>
      <c r="E499" s="2130">
        <v>864.30555555555554</v>
      </c>
      <c r="F499" s="2920"/>
      <c r="G499" s="137"/>
      <c r="H499" s="141"/>
      <c r="I499" s="137"/>
      <c r="J499" s="53"/>
      <c r="K499" s="146"/>
      <c r="L499" s="150"/>
      <c r="M499" s="141"/>
      <c r="N499" s="137"/>
      <c r="O499" s="141"/>
      <c r="P499" s="137"/>
      <c r="Q499" s="53"/>
      <c r="R499" s="146"/>
      <c r="S499" s="225"/>
      <c r="T499" s="225"/>
      <c r="U499" s="225">
        <v>864.30555555555554</v>
      </c>
      <c r="V499" s="225"/>
      <c r="W499" s="225"/>
      <c r="X499" s="225"/>
      <c r="Y499" s="225">
        <v>4631</v>
      </c>
      <c r="Z499" s="1550">
        <v>7705.5</v>
      </c>
      <c r="AA499" s="1550">
        <v>11977</v>
      </c>
      <c r="AB499" s="1551">
        <v>14272</v>
      </c>
      <c r="AC499" s="1552">
        <v>18684</v>
      </c>
      <c r="AD499" s="1552">
        <v>18684</v>
      </c>
      <c r="AE499" s="1552">
        <v>18684</v>
      </c>
      <c r="AF499" s="1449"/>
      <c r="AG499" s="1449"/>
      <c r="AH499" s="1449"/>
      <c r="AI499" s="3459"/>
      <c r="AJ499" s="3414"/>
      <c r="AK499" s="1449"/>
      <c r="AL499" s="1449"/>
      <c r="AM499" s="1449"/>
      <c r="AN499" s="1449"/>
      <c r="AO499" s="1449"/>
      <c r="AP499" s="1449"/>
      <c r="AQ499" s="1449"/>
      <c r="AR499" s="1449"/>
      <c r="AS499" s="1449"/>
      <c r="AT499" s="1449"/>
    </row>
    <row r="500" spans="1:60">
      <c r="A500" s="297" t="s">
        <v>38</v>
      </c>
      <c r="B500" s="295" t="s">
        <v>584</v>
      </c>
      <c r="D500" s="2096" t="s">
        <v>383</v>
      </c>
      <c r="E500" s="2130">
        <v>214.04166666666666</v>
      </c>
      <c r="F500" s="2920"/>
      <c r="G500" s="438"/>
      <c r="H500" s="437"/>
      <c r="I500" s="438"/>
      <c r="J500" s="249"/>
      <c r="K500" s="441"/>
      <c r="L500" s="150"/>
      <c r="M500" s="437"/>
      <c r="N500" s="438"/>
      <c r="O500" s="437"/>
      <c r="P500" s="438"/>
      <c r="Q500" s="249"/>
      <c r="R500" s="441"/>
      <c r="S500" s="440"/>
      <c r="T500" s="440"/>
      <c r="U500" s="440">
        <v>214.04166666666666</v>
      </c>
      <c r="V500" s="440"/>
      <c r="W500" s="440"/>
      <c r="X500" s="440"/>
      <c r="Y500" s="440">
        <v>8548</v>
      </c>
      <c r="Z500" s="1553">
        <v>16525.5</v>
      </c>
      <c r="AA500" s="1553">
        <v>24375</v>
      </c>
      <c r="AB500" s="1551">
        <v>29553</v>
      </c>
      <c r="AC500" s="1554">
        <v>38419</v>
      </c>
      <c r="AD500" s="1554">
        <v>38419</v>
      </c>
      <c r="AE500" s="1554">
        <v>38419</v>
      </c>
      <c r="AF500" s="714"/>
      <c r="AG500" s="714"/>
      <c r="AH500" s="714"/>
      <c r="AI500" s="3459"/>
      <c r="AJ500" s="3414"/>
      <c r="AK500" s="714"/>
      <c r="AL500" s="714"/>
      <c r="AM500" s="714"/>
      <c r="AN500" s="714"/>
      <c r="AO500" s="714"/>
      <c r="AP500" s="714"/>
      <c r="AQ500" s="714"/>
      <c r="AR500" s="714"/>
      <c r="AS500" s="714"/>
      <c r="AT500" s="714"/>
    </row>
    <row r="501" spans="1:60">
      <c r="A501" s="297" t="s">
        <v>38</v>
      </c>
      <c r="B501" s="295" t="s">
        <v>584</v>
      </c>
      <c r="D501" s="2096" t="s">
        <v>384</v>
      </c>
      <c r="E501" s="2130">
        <v>745.83333333333337</v>
      </c>
      <c r="F501" s="2920"/>
      <c r="G501" s="438"/>
      <c r="H501" s="437"/>
      <c r="I501" s="438"/>
      <c r="J501" s="249"/>
      <c r="K501" s="441"/>
      <c r="L501" s="150"/>
      <c r="M501" s="437"/>
      <c r="N501" s="438"/>
      <c r="O501" s="437"/>
      <c r="P501" s="438"/>
      <c r="Q501" s="249"/>
      <c r="R501" s="441"/>
      <c r="S501" s="440"/>
      <c r="T501" s="440"/>
      <c r="U501" s="440">
        <v>745.83333333333337</v>
      </c>
      <c r="V501" s="440"/>
      <c r="W501" s="440"/>
      <c r="X501" s="440"/>
      <c r="Y501" s="440">
        <v>17129</v>
      </c>
      <c r="Z501" s="1553">
        <v>22982</v>
      </c>
      <c r="AA501" s="1553">
        <v>29877</v>
      </c>
      <c r="AB501" s="1551">
        <v>41828</v>
      </c>
      <c r="AC501" s="1554">
        <v>54377</v>
      </c>
      <c r="AD501" s="1554">
        <v>54377</v>
      </c>
      <c r="AE501" s="1554">
        <v>54377</v>
      </c>
      <c r="AF501" s="714"/>
      <c r="AG501" s="714"/>
      <c r="AH501" s="714"/>
      <c r="AI501" s="3459"/>
      <c r="AJ501" s="3414"/>
      <c r="AK501" s="714"/>
      <c r="AL501" s="714"/>
      <c r="AM501" s="714"/>
      <c r="AN501" s="714"/>
      <c r="AO501" s="714"/>
      <c r="AP501" s="714"/>
      <c r="AQ501" s="714"/>
      <c r="AR501" s="714"/>
      <c r="AS501" s="714"/>
      <c r="AT501" s="714"/>
    </row>
    <row r="502" spans="1:60">
      <c r="D502" s="154" t="s">
        <v>70</v>
      </c>
      <c r="E502" s="2132"/>
      <c r="F502" s="2920"/>
      <c r="G502" s="137"/>
      <c r="H502" s="141"/>
      <c r="I502" s="137"/>
      <c r="J502" s="149"/>
      <c r="K502" s="149"/>
      <c r="L502" s="150"/>
      <c r="M502" s="141"/>
      <c r="N502" s="137"/>
      <c r="O502" s="141"/>
      <c r="P502" s="137"/>
      <c r="Q502" s="149"/>
      <c r="R502" s="149"/>
      <c r="S502" s="225"/>
      <c r="T502" s="225"/>
      <c r="U502" s="225"/>
      <c r="V502" s="225"/>
      <c r="W502" s="225"/>
      <c r="X502" s="225"/>
      <c r="Y502" s="225"/>
      <c r="Z502" s="1550"/>
      <c r="AA502" s="1550"/>
      <c r="AB502" s="1551"/>
      <c r="AC502" s="1552"/>
      <c r="AD502" s="1552"/>
      <c r="AE502" s="1552"/>
      <c r="AF502" s="1449"/>
      <c r="AG502" s="1449"/>
      <c r="AH502" s="1449"/>
      <c r="AI502" s="3459"/>
      <c r="AJ502" s="3414"/>
      <c r="AK502" s="1449"/>
      <c r="AL502" s="1449"/>
      <c r="AM502" s="1449"/>
      <c r="AN502" s="1449"/>
      <c r="AO502" s="1449"/>
      <c r="AP502" s="1449"/>
      <c r="AQ502" s="1449"/>
      <c r="AR502" s="1449"/>
      <c r="AS502" s="1449"/>
      <c r="AT502" s="1449"/>
    </row>
    <row r="503" spans="1:60">
      <c r="B503" s="295" t="s">
        <v>30</v>
      </c>
      <c r="D503" s="154" t="s">
        <v>71</v>
      </c>
      <c r="E503" s="2132"/>
      <c r="F503" s="2920"/>
      <c r="G503" s="137"/>
      <c r="H503" s="141"/>
      <c r="I503" s="137"/>
      <c r="J503" s="149"/>
      <c r="K503" s="149"/>
      <c r="L503" s="150"/>
      <c r="M503" s="141"/>
      <c r="N503" s="137"/>
      <c r="O503" s="141"/>
      <c r="P503" s="137"/>
      <c r="Q503" s="149"/>
      <c r="R503" s="149"/>
      <c r="S503" s="225"/>
      <c r="T503" s="225"/>
      <c r="U503" s="225"/>
      <c r="V503" s="225"/>
      <c r="W503" s="225"/>
      <c r="X503" s="225"/>
      <c r="Y503" s="225"/>
      <c r="Z503" s="1550"/>
      <c r="AA503" s="1550"/>
      <c r="AB503" s="1551"/>
      <c r="AC503" s="1552"/>
      <c r="AD503" s="1552"/>
      <c r="AE503" s="1552"/>
      <c r="AF503" s="1449"/>
      <c r="AG503" s="1449"/>
      <c r="AH503" s="1449"/>
      <c r="AI503" s="3459"/>
      <c r="AJ503" s="3414"/>
      <c r="AK503" s="1449"/>
      <c r="AL503" s="1449"/>
      <c r="AM503" s="1449"/>
      <c r="AN503" s="1449"/>
      <c r="AO503" s="1449"/>
      <c r="AP503" s="1449"/>
      <c r="AQ503" s="1449"/>
      <c r="AR503" s="1449"/>
      <c r="AS503" s="1449"/>
      <c r="AT503" s="1449"/>
    </row>
    <row r="504" spans="1:60">
      <c r="A504" s="297" t="s">
        <v>251</v>
      </c>
      <c r="B504" s="295" t="s">
        <v>241</v>
      </c>
      <c r="D504" s="154" t="s">
        <v>72</v>
      </c>
      <c r="E504" s="2132"/>
      <c r="F504" s="2920"/>
      <c r="G504" s="137"/>
      <c r="H504" s="141"/>
      <c r="I504" s="137"/>
      <c r="J504" s="149"/>
      <c r="K504" s="149"/>
      <c r="L504" s="150"/>
      <c r="M504" s="141"/>
      <c r="N504" s="137"/>
      <c r="O504" s="141"/>
      <c r="P504" s="137"/>
      <c r="Q504" s="149"/>
      <c r="R504" s="149"/>
      <c r="S504" s="225"/>
      <c r="T504" s="225"/>
      <c r="U504" s="225"/>
      <c r="V504" s="225"/>
      <c r="W504" s="225"/>
      <c r="X504" s="225"/>
      <c r="Y504" s="225">
        <v>19247.71</v>
      </c>
      <c r="Z504" s="1550">
        <v>20948.019999999997</v>
      </c>
      <c r="AA504" s="1550">
        <v>23289.719999999998</v>
      </c>
      <c r="AB504" s="1551">
        <v>25152.89</v>
      </c>
      <c r="AC504" s="1552"/>
      <c r="AD504" s="1552"/>
      <c r="AE504" s="1552"/>
      <c r="AF504" s="1449"/>
      <c r="AG504" s="1449"/>
      <c r="AH504" s="1449"/>
      <c r="AI504" s="3459"/>
      <c r="AJ504" s="3414"/>
      <c r="AK504" s="1449"/>
      <c r="AL504" s="1449"/>
      <c r="AM504" s="1449"/>
      <c r="AN504" s="1449"/>
      <c r="AO504" s="1449"/>
      <c r="AP504" s="1449"/>
      <c r="AQ504" s="1449"/>
      <c r="AR504" s="1449"/>
      <c r="AS504" s="1449"/>
      <c r="AT504" s="1449"/>
    </row>
    <row r="505" spans="1:60">
      <c r="A505" s="297" t="s">
        <v>192</v>
      </c>
      <c r="B505" s="295" t="s">
        <v>241</v>
      </c>
      <c r="D505" s="154" t="s">
        <v>73</v>
      </c>
      <c r="E505" s="2132"/>
      <c r="F505" s="2920"/>
      <c r="G505" s="137"/>
      <c r="H505" s="152"/>
      <c r="I505" s="137"/>
      <c r="J505" s="149"/>
      <c r="K505" s="149"/>
      <c r="L505" s="150"/>
      <c r="M505" s="141"/>
      <c r="N505" s="137"/>
      <c r="O505" s="152"/>
      <c r="P505" s="137"/>
      <c r="Q505" s="149"/>
      <c r="R505" s="149"/>
      <c r="S505" s="225"/>
      <c r="T505" s="225"/>
      <c r="U505" s="225"/>
      <c r="V505" s="225"/>
      <c r="W505" s="225"/>
      <c r="X505" s="225"/>
      <c r="Y505" s="225"/>
      <c r="Z505" s="1550">
        <v>313210</v>
      </c>
      <c r="AA505" s="1550">
        <v>340160.49189271784</v>
      </c>
      <c r="AB505" s="1551">
        <v>471296.85504482209</v>
      </c>
      <c r="AC505" s="1552">
        <v>494629.27915001631</v>
      </c>
      <c r="AD505" s="1552">
        <v>600000</v>
      </c>
      <c r="AE505" s="1552"/>
      <c r="AF505" s="1449"/>
      <c r="AG505" s="1449"/>
      <c r="AH505" s="1449"/>
      <c r="AI505" s="3459"/>
      <c r="AJ505" s="3414"/>
      <c r="AK505" s="1449"/>
      <c r="AL505" s="1449"/>
      <c r="AM505" s="1449"/>
      <c r="AN505" s="1449"/>
      <c r="AO505" s="1449"/>
      <c r="AP505" s="1449"/>
      <c r="AQ505" s="1449"/>
      <c r="AR505" s="1449"/>
      <c r="AS505" s="1449"/>
      <c r="AT505" s="1449"/>
    </row>
    <row r="506" spans="1:60">
      <c r="D506" s="154" t="s">
        <v>74</v>
      </c>
      <c r="E506" s="2132"/>
      <c r="F506" s="2920"/>
      <c r="G506" s="141"/>
      <c r="H506" s="141"/>
      <c r="I506" s="137"/>
      <c r="J506" s="149"/>
      <c r="K506" s="149"/>
      <c r="L506" s="150"/>
      <c r="M506" s="141"/>
      <c r="N506" s="141"/>
      <c r="O506" s="141"/>
      <c r="P506" s="137"/>
      <c r="Q506" s="149"/>
      <c r="R506" s="149"/>
      <c r="S506" s="225"/>
      <c r="T506" s="225"/>
      <c r="U506" s="225"/>
      <c r="V506" s="225"/>
      <c r="W506" s="225"/>
      <c r="X506" s="225"/>
      <c r="Y506" s="225"/>
      <c r="Z506" s="225"/>
      <c r="AA506" s="1555">
        <f>(AA529*$E529+AA530*$E530+AA532*$E532+AA533*$E533)/$AM$529</f>
        <v>1468744.5920267061</v>
      </c>
      <c r="AB506" s="1450"/>
      <c r="AC506" s="1451"/>
      <c r="AD506" s="1451"/>
      <c r="AE506" s="1449"/>
      <c r="AF506" s="1449"/>
      <c r="AG506" s="1449"/>
      <c r="AH506" s="1449"/>
      <c r="AI506" s="3459"/>
      <c r="AJ506" s="3414"/>
      <c r="AK506" s="1449"/>
      <c r="AL506" s="1449"/>
      <c r="AM506" s="1449"/>
      <c r="AN506" s="1449"/>
      <c r="AO506" s="1449"/>
      <c r="AP506" s="1449"/>
      <c r="AQ506" s="1449"/>
      <c r="AR506" s="1449"/>
      <c r="AS506" s="1449"/>
      <c r="AT506" s="1449"/>
    </row>
    <row r="507" spans="1:60">
      <c r="D507" s="154" t="s">
        <v>75</v>
      </c>
      <c r="E507" s="2132"/>
      <c r="F507" s="2920"/>
      <c r="G507" s="146"/>
      <c r="H507" s="146"/>
      <c r="I507" s="137"/>
      <c r="J507" s="149"/>
      <c r="K507" s="149"/>
      <c r="L507" s="150"/>
      <c r="M507" s="141"/>
      <c r="N507" s="146"/>
      <c r="O507" s="146"/>
      <c r="P507" s="137"/>
      <c r="Q507" s="149"/>
      <c r="R507" s="149"/>
      <c r="S507" s="225"/>
      <c r="T507" s="225"/>
      <c r="U507" s="225"/>
      <c r="V507" s="225"/>
      <c r="W507" s="225"/>
      <c r="X507" s="225"/>
      <c r="Y507" s="225"/>
      <c r="Z507" s="225"/>
      <c r="AA507" s="225"/>
      <c r="AB507" s="1450"/>
      <c r="AC507" s="1449"/>
      <c r="AD507" s="1449"/>
      <c r="AE507" s="1449"/>
      <c r="AF507" s="1449"/>
      <c r="AG507" s="1449"/>
      <c r="AH507" s="1449"/>
      <c r="AI507" s="3459"/>
      <c r="AJ507" s="3414"/>
      <c r="AK507" s="1449"/>
      <c r="AL507" s="1449"/>
      <c r="AM507" s="1449"/>
      <c r="AN507" s="1449"/>
      <c r="AO507" s="1449"/>
      <c r="AP507" s="1449"/>
      <c r="AQ507" s="1449"/>
      <c r="AR507" s="1449"/>
      <c r="AS507" s="1449"/>
      <c r="AT507" s="1449"/>
    </row>
    <row r="508" spans="1:60">
      <c r="A508" s="297" t="s">
        <v>193</v>
      </c>
      <c r="B508" s="295" t="s">
        <v>194</v>
      </c>
      <c r="C508" s="292"/>
      <c r="D508" s="2095" t="s">
        <v>1260</v>
      </c>
      <c r="E508" s="2133"/>
      <c r="F508" s="2937"/>
      <c r="G508" s="32"/>
      <c r="H508" s="35"/>
      <c r="I508" s="32"/>
      <c r="J508" s="45"/>
      <c r="K508" s="51"/>
      <c r="L508" s="62"/>
      <c r="M508" s="51"/>
      <c r="N508" s="32"/>
      <c r="O508" s="35"/>
      <c r="P508" s="32"/>
      <c r="Q508" s="45"/>
      <c r="R508" s="51"/>
      <c r="S508" s="62"/>
      <c r="T508" s="51"/>
      <c r="U508" s="32"/>
      <c r="V508" s="32"/>
      <c r="W508" s="32"/>
      <c r="X508" s="32"/>
      <c r="Y508" s="32"/>
      <c r="Z508" s="32"/>
      <c r="AA508" s="32">
        <v>208</v>
      </c>
      <c r="AB508" s="1452">
        <f t="shared" ref="AB508:AH508" si="211">AA508*(1+0.119182287455039)</f>
        <v>232.78991579064811</v>
      </c>
      <c r="AC508" s="1453">
        <f t="shared" si="211"/>
        <v>260.53435045104345</v>
      </c>
      <c r="AD508" s="1453">
        <f t="shared" si="211"/>
        <v>291.58543029841161</v>
      </c>
      <c r="AE508" s="1453">
        <f t="shared" si="211"/>
        <v>326.33724886993815</v>
      </c>
      <c r="AF508" s="1453">
        <f t="shared" si="211"/>
        <v>365.23086867204171</v>
      </c>
      <c r="AG508" s="1453">
        <f t="shared" si="211"/>
        <v>408.75991904956658</v>
      </c>
      <c r="AH508" s="1453">
        <f t="shared" si="211"/>
        <v>457.47686122183052</v>
      </c>
      <c r="AI508" s="3460">
        <f>512+400.1*0</f>
        <v>512</v>
      </c>
      <c r="AJ508" s="3415">
        <v>400.1</v>
      </c>
      <c r="AK508" s="1537">
        <v>410.07299999999998</v>
      </c>
      <c r="AL508" s="1537">
        <v>417.673</v>
      </c>
      <c r="AM508" s="1537">
        <v>481.303</v>
      </c>
      <c r="AN508" s="1537">
        <v>615.303</v>
      </c>
      <c r="AO508" s="1537">
        <f>AN508*(1+$BH508)</f>
        <v>672.53176982411742</v>
      </c>
      <c r="AP508" s="1537">
        <f>AO508*(1+$BH508)</f>
        <v>735.08333523932049</v>
      </c>
      <c r="AQ508" s="1537">
        <f t="shared" ref="AQ508:AT509" si="212">AP508*(1+$BH508)</f>
        <v>803.45276460006733</v>
      </c>
      <c r="AR508" s="1537">
        <f t="shared" si="212"/>
        <v>878.18117211611718</v>
      </c>
      <c r="AS508" s="1537">
        <f t="shared" si="212"/>
        <v>959.86000053546002</v>
      </c>
      <c r="AT508" s="1537">
        <f t="shared" si="212"/>
        <v>1049.1357021556717</v>
      </c>
      <c r="AU508" s="1507">
        <f>AB508/AA508-1</f>
        <v>0.119182287455039</v>
      </c>
      <c r="AV508" s="1507">
        <f t="shared" ref="AV508:BG508" si="213">AC508/AB508-1</f>
        <v>0.119182287455039</v>
      </c>
      <c r="AW508" s="1507">
        <f t="shared" si="213"/>
        <v>0.119182287455039</v>
      </c>
      <c r="AX508" s="1507">
        <f t="shared" si="213"/>
        <v>0.119182287455039</v>
      </c>
      <c r="AY508" s="1507">
        <f t="shared" si="213"/>
        <v>0.119182287455039</v>
      </c>
      <c r="AZ508" s="1507">
        <f t="shared" si="213"/>
        <v>0.119182287455039</v>
      </c>
      <c r="BA508" s="1507">
        <f t="shared" si="213"/>
        <v>0.119182287455039</v>
      </c>
      <c r="BB508" s="1507">
        <f t="shared" si="213"/>
        <v>0.11918228745503967</v>
      </c>
      <c r="BC508" s="1507">
        <f t="shared" si="213"/>
        <v>-0.21855468749999996</v>
      </c>
      <c r="BD508" s="1507">
        <f t="shared" si="213"/>
        <v>2.4926268432891696E-2</v>
      </c>
      <c r="BE508" s="1507">
        <f t="shared" si="213"/>
        <v>1.8533285536965316E-2</v>
      </c>
      <c r="BF508" s="1507">
        <f t="shared" si="213"/>
        <v>0.15234405862959788</v>
      </c>
      <c r="BG508" s="1507">
        <f t="shared" si="213"/>
        <v>0.27841089708561961</v>
      </c>
      <c r="BH508" s="1781">
        <f>AVERAGE(AU508:BG508)</f>
        <v>9.3009086294260551E-2</v>
      </c>
    </row>
    <row r="509" spans="1:60">
      <c r="B509" s="297" t="s">
        <v>631</v>
      </c>
      <c r="D509" s="2095" t="s">
        <v>1259</v>
      </c>
      <c r="E509" s="2133"/>
      <c r="F509" s="2937"/>
      <c r="G509" s="32"/>
      <c r="H509" s="210"/>
      <c r="I509" s="32"/>
      <c r="J509" s="45"/>
      <c r="K509" s="51"/>
      <c r="L509" s="62"/>
      <c r="M509" s="51"/>
      <c r="N509" s="32"/>
      <c r="O509" s="210"/>
      <c r="P509" s="32"/>
      <c r="Q509" s="45"/>
      <c r="R509" s="51"/>
      <c r="S509" s="62"/>
      <c r="T509" s="51"/>
      <c r="U509" s="32"/>
      <c r="V509" s="32"/>
      <c r="W509" s="32"/>
      <c r="X509" s="32"/>
      <c r="Y509" s="32"/>
      <c r="Z509" s="32"/>
      <c r="AA509" s="32">
        <v>182</v>
      </c>
      <c r="AB509" s="1452">
        <f>AA509*(1+0.0657894208401999)</f>
        <v>193.97367459291638</v>
      </c>
      <c r="AC509" s="1453">
        <f t="shared" ref="AC509:AH509" si="214">AB509*(1+0.0657894208401999)</f>
        <v>206.73509030262974</v>
      </c>
      <c r="AD509" s="1453">
        <f t="shared" si="214"/>
        <v>220.33607216098619</v>
      </c>
      <c r="AE509" s="1453">
        <f t="shared" si="214"/>
        <v>234.83185473866197</v>
      </c>
      <c r="AF509" s="1453">
        <f t="shared" si="214"/>
        <v>250.2813064567485</v>
      </c>
      <c r="AG509" s="1453">
        <f t="shared" si="214"/>
        <v>266.74716865566654</v>
      </c>
      <c r="AH509" s="1453">
        <f t="shared" si="214"/>
        <v>284.29631039228599</v>
      </c>
      <c r="AI509" s="3460">
        <v>329.65199999999999</v>
      </c>
      <c r="AJ509" s="3415">
        <v>343.73599999999999</v>
      </c>
      <c r="AK509" s="1537">
        <v>368.73599999999999</v>
      </c>
      <c r="AL509" s="1537">
        <v>472.036</v>
      </c>
      <c r="AM509" s="1537">
        <v>508.036</v>
      </c>
      <c r="AN509" s="1537">
        <v>563.68600000000004</v>
      </c>
      <c r="AO509" s="1537">
        <f>AN509*(1+$BH509)</f>
        <v>615.78219761798596</v>
      </c>
      <c r="AP509" s="1537">
        <f>AO509*(1+$BH509)</f>
        <v>672.69315701159212</v>
      </c>
      <c r="AQ509" s="1537">
        <f t="shared" si="212"/>
        <v>734.86386134688303</v>
      </c>
      <c r="AR509" s="1537">
        <f t="shared" si="212"/>
        <v>802.78041940055732</v>
      </c>
      <c r="AS509" s="1537">
        <f t="shared" si="212"/>
        <v>876.97386641350624</v>
      </c>
      <c r="AT509" s="1537">
        <f t="shared" si="212"/>
        <v>958.02431622153279</v>
      </c>
      <c r="AU509" s="1507">
        <f>AB509/AA509-1</f>
        <v>6.5789420840199897E-2</v>
      </c>
      <c r="AV509" s="1507">
        <f t="shared" ref="AV509:BG509" si="215">AC509/AB509-1</f>
        <v>6.5789420840199897E-2</v>
      </c>
      <c r="AW509" s="1507">
        <f t="shared" si="215"/>
        <v>6.5789420840199897E-2</v>
      </c>
      <c r="AX509" s="1507">
        <f t="shared" si="215"/>
        <v>6.5789420840199897E-2</v>
      </c>
      <c r="AY509" s="1507">
        <f t="shared" si="215"/>
        <v>6.5789420840199897E-2</v>
      </c>
      <c r="AZ509" s="1507">
        <f t="shared" si="215"/>
        <v>6.5789420840199897E-2</v>
      </c>
      <c r="BA509" s="1507">
        <f t="shared" si="215"/>
        <v>6.5789420840199897E-2</v>
      </c>
      <c r="BB509" s="1507">
        <f t="shared" si="215"/>
        <v>0.15953668039212321</v>
      </c>
      <c r="BC509" s="1507">
        <f t="shared" si="215"/>
        <v>4.2723842112288191E-2</v>
      </c>
      <c r="BD509" s="1507">
        <f t="shared" si="215"/>
        <v>7.2730234831382301E-2</v>
      </c>
      <c r="BE509" s="1507">
        <f t="shared" si="215"/>
        <v>0.28014622928056943</v>
      </c>
      <c r="BF509" s="1507">
        <f t="shared" si="215"/>
        <v>7.6265369590454934E-2</v>
      </c>
      <c r="BG509" s="1507">
        <f t="shared" si="215"/>
        <v>0.10953948145407022</v>
      </c>
      <c r="BH509" s="1781">
        <f>AVERAGE(AU509:BG509)</f>
        <v>9.2420598734022114E-2</v>
      </c>
    </row>
    <row r="510" spans="1:60" ht="16.75" thickBot="1">
      <c r="C510" s="292"/>
      <c r="D510" s="2095" t="s">
        <v>35</v>
      </c>
      <c r="E510" s="2133"/>
      <c r="F510" s="2937"/>
      <c r="G510" s="32"/>
      <c r="H510" s="38"/>
      <c r="I510" s="32"/>
      <c r="J510" s="32"/>
      <c r="K510" s="32"/>
      <c r="L510" s="32"/>
      <c r="M510" s="32"/>
      <c r="N510" s="32"/>
      <c r="O510" s="32"/>
      <c r="P510" s="32"/>
      <c r="Q510" s="32"/>
      <c r="R510" s="32"/>
      <c r="S510" s="32"/>
      <c r="T510" s="32"/>
      <c r="U510" s="32"/>
      <c r="V510" s="32"/>
      <c r="W510" s="32"/>
      <c r="X510" s="32"/>
      <c r="Y510" s="32"/>
      <c r="Z510" s="32"/>
      <c r="AA510" s="32"/>
      <c r="AB510" s="1452"/>
      <c r="AC510" s="1453"/>
      <c r="AD510" s="1453"/>
      <c r="AE510" s="1453"/>
      <c r="AF510" s="1453"/>
      <c r="AG510" s="1453"/>
      <c r="AH510" s="1453"/>
      <c r="AI510" s="3461"/>
      <c r="AJ510" s="3416"/>
      <c r="AK510" s="1453"/>
      <c r="AL510" s="1453"/>
      <c r="AM510" s="1453"/>
      <c r="AN510" s="1453"/>
      <c r="AO510" s="1453"/>
      <c r="AP510" s="1453"/>
      <c r="AQ510" s="1453"/>
      <c r="AR510" s="1453"/>
      <c r="AS510" s="1453"/>
      <c r="AT510" s="1453"/>
    </row>
    <row r="511" spans="1:60" ht="16.75" thickBot="1">
      <c r="D511" s="24" t="s">
        <v>1225</v>
      </c>
      <c r="E511" s="2134"/>
      <c r="F511" s="216"/>
      <c r="G511" s="43"/>
      <c r="H511" s="43"/>
      <c r="I511" s="89"/>
      <c r="J511" s="43"/>
      <c r="K511" s="44"/>
      <c r="L511" s="216"/>
      <c r="M511" s="43"/>
      <c r="N511" s="43"/>
      <c r="O511" s="43"/>
      <c r="P511" s="89"/>
      <c r="Q511" s="43"/>
      <c r="R511" s="44"/>
      <c r="S511" s="216"/>
      <c r="T511" s="43"/>
      <c r="U511" s="43"/>
      <c r="V511" s="43"/>
      <c r="W511" s="873"/>
      <c r="X511" s="43"/>
      <c r="Y511" s="44"/>
      <c r="Z511" s="44"/>
      <c r="AA511" s="43"/>
      <c r="AB511" s="1454"/>
      <c r="AC511" s="1455"/>
      <c r="AD511" s="1456"/>
      <c r="AE511" s="1456"/>
      <c r="AF511" s="1456"/>
      <c r="AG511" s="1456"/>
      <c r="AH511" s="1456"/>
      <c r="AI511" s="3462"/>
      <c r="AJ511" s="3417"/>
      <c r="AK511" s="1456"/>
      <c r="AL511" s="1456"/>
      <c r="AM511" s="1456"/>
      <c r="AN511" s="1456"/>
      <c r="AO511" s="1456"/>
      <c r="AP511" s="1456"/>
      <c r="AQ511" s="1456"/>
      <c r="AR511" s="1456"/>
      <c r="AS511" s="1456"/>
      <c r="AT511" s="1456"/>
    </row>
    <row r="512" spans="1:60">
      <c r="D512" s="23" t="s">
        <v>106</v>
      </c>
      <c r="E512" s="2135"/>
      <c r="F512" s="218"/>
      <c r="G512" s="40"/>
      <c r="H512" s="40"/>
      <c r="I512" s="32"/>
      <c r="J512" s="40"/>
      <c r="K512" s="45"/>
      <c r="L512" s="218"/>
      <c r="M512" s="40"/>
      <c r="N512" s="40"/>
      <c r="O512" s="40"/>
      <c r="P512" s="32"/>
      <c r="Q512" s="40"/>
      <c r="R512" s="45"/>
      <c r="S512" s="218"/>
      <c r="T512" s="40"/>
      <c r="U512" s="40"/>
      <c r="V512" s="40"/>
      <c r="W512" s="32"/>
      <c r="X512" s="40"/>
      <c r="Y512" s="45"/>
      <c r="Z512" s="45"/>
      <c r="AA512" s="40"/>
      <c r="AB512" s="1452"/>
      <c r="AC512" s="1457"/>
      <c r="AD512" s="1458"/>
      <c r="AE512" s="1458"/>
      <c r="AF512" s="1458"/>
      <c r="AG512" s="1458"/>
      <c r="AH512" s="1458"/>
      <c r="AI512" s="3463"/>
      <c r="AJ512" s="3418"/>
      <c r="AK512" s="1458"/>
      <c r="AL512" s="1458"/>
      <c r="AM512" s="1458"/>
      <c r="AN512" s="1458"/>
      <c r="AO512" s="1458"/>
      <c r="AP512" s="1458"/>
      <c r="AQ512" s="1458"/>
      <c r="AR512" s="1458"/>
      <c r="AS512" s="1458"/>
      <c r="AT512" s="1458"/>
    </row>
    <row r="513" spans="1:66">
      <c r="D513" s="154" t="s">
        <v>107</v>
      </c>
      <c r="E513" s="1560"/>
      <c r="F513" s="2938"/>
      <c r="G513" s="137"/>
      <c r="H513" s="156"/>
      <c r="I513" s="137"/>
      <c r="J513" s="149"/>
      <c r="K513" s="149"/>
      <c r="L513" s="219"/>
      <c r="M513" s="155"/>
      <c r="N513" s="137"/>
      <c r="O513" s="156"/>
      <c r="P513" s="137"/>
      <c r="Q513" s="149"/>
      <c r="R513" s="149"/>
      <c r="S513" s="219"/>
      <c r="T513" s="155"/>
      <c r="U513" s="137"/>
      <c r="V513" s="156"/>
      <c r="W513" s="137"/>
      <c r="X513" s="149"/>
      <c r="Y513" s="149"/>
      <c r="Z513" s="149"/>
      <c r="AA513" s="156"/>
      <c r="AB513" s="1459"/>
      <c r="AC513" s="1460"/>
      <c r="AD513" s="1460"/>
      <c r="AE513" s="1460"/>
      <c r="AF513" s="1460"/>
      <c r="AG513" s="1460"/>
      <c r="AH513" s="1460"/>
      <c r="AI513" s="3464"/>
      <c r="AJ513" s="3419"/>
      <c r="AK513" s="1460"/>
      <c r="AL513" s="1460"/>
      <c r="AM513" s="1460"/>
      <c r="AN513" s="1460"/>
      <c r="AO513" s="1460"/>
      <c r="AP513" s="1460"/>
      <c r="AQ513" s="1460"/>
      <c r="AR513" s="1460"/>
      <c r="AS513" s="1460"/>
      <c r="AT513" s="1460"/>
    </row>
    <row r="514" spans="1:66">
      <c r="D514" s="154" t="s">
        <v>36</v>
      </c>
      <c r="E514" s="1560"/>
      <c r="F514" s="147"/>
      <c r="G514" s="146"/>
      <c r="H514" s="156"/>
      <c r="I514" s="137"/>
      <c r="J514" s="149"/>
      <c r="K514" s="149"/>
      <c r="L514" s="219"/>
      <c r="M514" s="146"/>
      <c r="N514" s="146"/>
      <c r="O514" s="156"/>
      <c r="P514" s="137"/>
      <c r="Q514" s="149"/>
      <c r="R514" s="149"/>
      <c r="S514" s="219"/>
      <c r="T514" s="146"/>
      <c r="U514" s="146"/>
      <c r="V514" s="156"/>
      <c r="W514" s="137"/>
      <c r="X514" s="149"/>
      <c r="Y514" s="149"/>
      <c r="Z514" s="149"/>
      <c r="AA514" s="156"/>
      <c r="AB514" s="1459"/>
      <c r="AC514" s="1460"/>
      <c r="AD514" s="1460"/>
      <c r="AE514" s="1460"/>
      <c r="AF514" s="1460"/>
      <c r="AG514" s="1460"/>
      <c r="AH514" s="1460"/>
      <c r="AI514" s="3464"/>
      <c r="AJ514" s="3419"/>
      <c r="AK514" s="1460"/>
      <c r="AL514" s="1460"/>
      <c r="AM514" s="1460"/>
      <c r="AN514" s="1460"/>
      <c r="AO514" s="1460"/>
      <c r="AP514" s="1460"/>
      <c r="AQ514" s="1460"/>
      <c r="AR514" s="1460"/>
      <c r="AS514" s="1460"/>
      <c r="AT514" s="1460"/>
    </row>
    <row r="515" spans="1:66">
      <c r="D515" s="154" t="s">
        <v>108</v>
      </c>
      <c r="E515" s="1560"/>
      <c r="F515" s="147"/>
      <c r="G515" s="146"/>
      <c r="H515" s="156"/>
      <c r="I515" s="137"/>
      <c r="J515" s="149"/>
      <c r="K515" s="149"/>
      <c r="L515" s="219"/>
      <c r="M515" s="146"/>
      <c r="N515" s="146"/>
      <c r="O515" s="156"/>
      <c r="P515" s="137"/>
      <c r="Q515" s="149"/>
      <c r="R515" s="149"/>
      <c r="S515" s="219"/>
      <c r="T515" s="146"/>
      <c r="U515" s="146"/>
      <c r="V515" s="156"/>
      <c r="W515" s="137"/>
      <c r="X515" s="149"/>
      <c r="Y515" s="149"/>
      <c r="Z515" s="149"/>
      <c r="AA515" s="156"/>
      <c r="AB515" s="1459"/>
      <c r="AC515" s="1460"/>
      <c r="AD515" s="1460"/>
      <c r="AE515" s="1460"/>
      <c r="AF515" s="1460"/>
      <c r="AG515" s="1460"/>
      <c r="AH515" s="1460"/>
      <c r="AI515" s="3464"/>
      <c r="AJ515" s="3419"/>
      <c r="AK515" s="1460"/>
      <c r="AL515" s="1460"/>
      <c r="AM515" s="1460"/>
      <c r="AN515" s="1460"/>
      <c r="AO515" s="1460"/>
      <c r="AP515" s="1460"/>
      <c r="AQ515" s="1460"/>
      <c r="AR515" s="1460"/>
      <c r="AS515" s="1460"/>
      <c r="AT515" s="1460"/>
    </row>
    <row r="516" spans="1:66">
      <c r="D516" s="23" t="s">
        <v>133</v>
      </c>
      <c r="E516" s="2136"/>
      <c r="F516" s="2939"/>
      <c r="G516" s="38"/>
      <c r="H516" s="38"/>
      <c r="I516" s="32"/>
      <c r="J516" s="38"/>
      <c r="K516" s="45"/>
      <c r="L516" s="220"/>
      <c r="M516" s="38"/>
      <c r="N516" s="38"/>
      <c r="O516" s="38"/>
      <c r="P516" s="32"/>
      <c r="Q516" s="38"/>
      <c r="R516" s="45"/>
      <c r="S516" s="220"/>
      <c r="T516" s="38"/>
      <c r="U516" s="38"/>
      <c r="V516" s="38"/>
      <c r="W516" s="32"/>
      <c r="X516" s="38"/>
      <c r="Y516" s="45"/>
      <c r="Z516" s="45"/>
      <c r="AA516" s="38"/>
      <c r="AB516" s="1452"/>
      <c r="AC516" s="1461"/>
      <c r="AD516" s="1458"/>
      <c r="AE516" s="1458"/>
      <c r="AF516" s="1458"/>
      <c r="AG516" s="1458"/>
      <c r="AH516" s="1464"/>
      <c r="AI516" s="3465"/>
      <c r="AJ516" s="3420"/>
      <c r="AK516" s="1458"/>
      <c r="AL516" s="1458"/>
      <c r="AM516" s="1458"/>
      <c r="AN516" s="1458"/>
      <c r="AO516" s="1458"/>
      <c r="AP516" s="1458"/>
      <c r="AQ516" s="1458"/>
      <c r="AR516" s="1458"/>
      <c r="AS516" s="1458"/>
      <c r="AT516" s="1458"/>
    </row>
    <row r="517" spans="1:66">
      <c r="A517" s="297" t="s">
        <v>209</v>
      </c>
      <c r="B517" s="295" t="s">
        <v>208</v>
      </c>
      <c r="D517" s="129" t="s">
        <v>1024</v>
      </c>
      <c r="E517" s="2137">
        <v>1000</v>
      </c>
      <c r="F517" s="273"/>
      <c r="G517" s="156"/>
      <c r="H517" s="156"/>
      <c r="I517" s="137"/>
      <c r="J517" s="149"/>
      <c r="K517" s="149"/>
      <c r="L517" s="219"/>
      <c r="M517" s="156"/>
      <c r="N517" s="156"/>
      <c r="O517" s="156"/>
      <c r="P517" s="137"/>
      <c r="Q517" s="149"/>
      <c r="R517" s="149"/>
      <c r="S517" s="219"/>
      <c r="T517" s="156"/>
      <c r="U517" s="137">
        <f>SUM(U518:U521)</f>
        <v>665911</v>
      </c>
      <c r="V517" s="32">
        <f t="shared" ref="V517:AT517" si="216">(V518*$E518+V519*$E519+V520*$E520+V521*$E521)/$E517</f>
        <v>245172.25016811054</v>
      </c>
      <c r="W517" s="32">
        <f t="shared" si="216"/>
        <v>279447.53978608741</v>
      </c>
      <c r="X517" s="32">
        <f t="shared" si="216"/>
        <v>296564.09998047224</v>
      </c>
      <c r="Y517" s="32">
        <f t="shared" si="216"/>
        <v>303700</v>
      </c>
      <c r="Z517" s="32">
        <f t="shared" si="216"/>
        <v>318959.92474747793</v>
      </c>
      <c r="AA517" s="32">
        <f t="shared" si="216"/>
        <v>338150.30254523089</v>
      </c>
      <c r="AB517" s="32">
        <f t="shared" si="216"/>
        <v>359210.72916677938</v>
      </c>
      <c r="AC517" s="32">
        <f t="shared" si="216"/>
        <v>375297.99428606307</v>
      </c>
      <c r="AD517" s="32">
        <f t="shared" si="216"/>
        <v>399151.02386023023</v>
      </c>
      <c r="AE517" s="32">
        <f t="shared" si="216"/>
        <v>123474.98626476787</v>
      </c>
      <c r="AF517" s="32">
        <f t="shared" si="216"/>
        <v>145680.14798559033</v>
      </c>
      <c r="AG517" s="32">
        <f t="shared" si="216"/>
        <v>255458.87779281853</v>
      </c>
      <c r="AH517" s="32">
        <f t="shared" si="216"/>
        <v>388183.03405024373</v>
      </c>
      <c r="AI517" s="3466">
        <f t="shared" si="216"/>
        <v>427001.33745526813</v>
      </c>
      <c r="AJ517" s="62">
        <f t="shared" si="216"/>
        <v>469701.47120079503</v>
      </c>
      <c r="AK517" s="32">
        <f t="shared" si="216"/>
        <v>516671.61832087458</v>
      </c>
      <c r="AL517" s="32">
        <f t="shared" si="216"/>
        <v>568338.78015296208</v>
      </c>
      <c r="AM517" s="32">
        <f t="shared" si="216"/>
        <v>625172.65816825826</v>
      </c>
      <c r="AN517" s="32">
        <f t="shared" si="216"/>
        <v>687689.92398508417</v>
      </c>
      <c r="AO517" s="32">
        <f t="shared" si="216"/>
        <v>756458.91638359264</v>
      </c>
      <c r="AP517" s="1791">
        <f t="shared" si="216"/>
        <v>855721.69431351719</v>
      </c>
      <c r="AQ517" s="1791">
        <f t="shared" si="216"/>
        <v>968130.21606588271</v>
      </c>
      <c r="AR517" s="1791">
        <f t="shared" si="216"/>
        <v>1095444.0223153387</v>
      </c>
      <c r="AS517" s="1791">
        <f t="shared" si="216"/>
        <v>1239661.0370911874</v>
      </c>
      <c r="AT517" s="1791">
        <f t="shared" si="216"/>
        <v>1403050.3057394384</v>
      </c>
    </row>
    <row r="518" spans="1:66">
      <c r="D518" s="129" t="s">
        <v>204</v>
      </c>
      <c r="E518" s="2999">
        <v>1374.3548801003678</v>
      </c>
      <c r="F518" s="147"/>
      <c r="G518" s="146"/>
      <c r="H518" s="146"/>
      <c r="I518" s="146"/>
      <c r="J518" s="146"/>
      <c r="K518" s="146"/>
      <c r="L518" s="146"/>
      <c r="M518" s="146"/>
      <c r="N518" s="146"/>
      <c r="O518" s="146"/>
      <c r="P518" s="146"/>
      <c r="Q518" s="146"/>
      <c r="R518" s="146"/>
      <c r="S518" s="146"/>
      <c r="T518" s="146"/>
      <c r="U518" s="224">
        <v>67676</v>
      </c>
      <c r="V518" s="224">
        <v>81619</v>
      </c>
      <c r="W518" s="224">
        <v>95270</v>
      </c>
      <c r="X518" s="224">
        <v>103786</v>
      </c>
      <c r="Y518" s="224">
        <v>105213</v>
      </c>
      <c r="Z518" s="224">
        <v>109971.24</v>
      </c>
      <c r="AA518" s="1298">
        <v>116650.96780000001</v>
      </c>
      <c r="AB518" s="1298">
        <v>123838.05617800003</v>
      </c>
      <c r="AC518" s="1298">
        <v>131512.26214058005</v>
      </c>
      <c r="AD518" s="1549">
        <f>AC518*(1+AU518)</f>
        <v>139614.98317771364</v>
      </c>
      <c r="AE518" s="1298">
        <v>37259</v>
      </c>
      <c r="AF518" s="1298">
        <v>39553</v>
      </c>
      <c r="AG518" s="1298">
        <v>55330</v>
      </c>
      <c r="AH518" s="1298">
        <v>121721</v>
      </c>
      <c r="AI518" s="3467">
        <v>133893.1</v>
      </c>
      <c r="AJ518" s="3421">
        <v>147282.41000000003</v>
      </c>
      <c r="AK518" s="985">
        <v>162010.65100000004</v>
      </c>
      <c r="AL518" s="985">
        <v>178211.71610000005</v>
      </c>
      <c r="AM518" s="985">
        <v>196032.88771000007</v>
      </c>
      <c r="AN518" s="985">
        <v>215636.17648100009</v>
      </c>
      <c r="AO518" s="985">
        <v>237199.7941291001</v>
      </c>
      <c r="AP518" s="1792">
        <f t="shared" ref="AP518:AT521" si="217">AO518*(1+$BH518)</f>
        <v>268444.9242485803</v>
      </c>
      <c r="AQ518" s="1792">
        <f t="shared" si="217"/>
        <v>303805.81745195208</v>
      </c>
      <c r="AR518" s="1792">
        <f t="shared" si="217"/>
        <v>343824.62240999873</v>
      </c>
      <c r="AS518" s="1792">
        <f t="shared" si="217"/>
        <v>389114.90229799296</v>
      </c>
      <c r="AT518" s="1792">
        <f t="shared" si="217"/>
        <v>440371.04186745832</v>
      </c>
      <c r="AU518" s="1538">
        <f t="shared" ref="AU518:BG521" si="218">AB518/AA518-1</f>
        <v>6.1611905272165313E-2</v>
      </c>
      <c r="AV518" s="1538">
        <f t="shared" si="218"/>
        <v>6.1969690089041851E-2</v>
      </c>
      <c r="AW518" s="1538">
        <f t="shared" si="218"/>
        <v>6.1611905272165313E-2</v>
      </c>
      <c r="AX518" s="1538">
        <f t="shared" si="218"/>
        <v>-0.73313036214334082</v>
      </c>
      <c r="AY518" s="1538">
        <f t="shared" si="218"/>
        <v>6.1569016881827254E-2</v>
      </c>
      <c r="AZ518" s="1538">
        <f t="shared" si="218"/>
        <v>0.3988825120724091</v>
      </c>
      <c r="BA518" s="1538">
        <f t="shared" si="218"/>
        <v>1.1999096331104284</v>
      </c>
      <c r="BB518" s="1538">
        <f t="shared" si="218"/>
        <v>0.10000000000000009</v>
      </c>
      <c r="BC518" s="1538">
        <f t="shared" si="218"/>
        <v>0.10000000000000009</v>
      </c>
      <c r="BD518" s="1538">
        <f t="shared" si="218"/>
        <v>0.10000000000000009</v>
      </c>
      <c r="BE518" s="1538">
        <f t="shared" si="218"/>
        <v>0.10000000000000009</v>
      </c>
      <c r="BF518" s="1538">
        <f t="shared" si="218"/>
        <v>0.10000000000000009</v>
      </c>
      <c r="BG518" s="1538">
        <f t="shared" si="218"/>
        <v>0.10000000000000009</v>
      </c>
      <c r="BH518" s="1781">
        <f>AVERAGE(AU518:BG518)</f>
        <v>0.13172494619651515</v>
      </c>
      <c r="BI518" s="1538"/>
      <c r="BJ518" s="1538"/>
      <c r="BK518" s="1538"/>
      <c r="BL518" s="1538"/>
      <c r="BM518" s="1538"/>
      <c r="BN518" s="1538"/>
    </row>
    <row r="519" spans="1:66">
      <c r="D519" s="129" t="s">
        <v>205</v>
      </c>
      <c r="E519" s="2999">
        <v>89.924669250535658</v>
      </c>
      <c r="F519" s="147"/>
      <c r="G519" s="146"/>
      <c r="H519" s="146"/>
      <c r="I519" s="146"/>
      <c r="J519" s="146"/>
      <c r="K519" s="146"/>
      <c r="L519" s="146"/>
      <c r="M519" s="146"/>
      <c r="N519" s="146"/>
      <c r="O519" s="146"/>
      <c r="P519" s="146"/>
      <c r="Q519" s="146"/>
      <c r="R519" s="146"/>
      <c r="S519" s="146"/>
      <c r="T519" s="146"/>
      <c r="U519" s="224">
        <v>201272</v>
      </c>
      <c r="V519" s="224">
        <v>294914</v>
      </c>
      <c r="W519" s="224">
        <v>305544</v>
      </c>
      <c r="X519" s="224">
        <v>327996</v>
      </c>
      <c r="Y519" s="224">
        <v>398111</v>
      </c>
      <c r="Z519" s="224">
        <v>450408.38</v>
      </c>
      <c r="AA519" s="1298">
        <v>511437.41879999998</v>
      </c>
      <c r="AB519" s="1298">
        <v>582291.19980000006</v>
      </c>
      <c r="AC519" s="1298">
        <v>609491.18909616</v>
      </c>
      <c r="AD519" s="1549">
        <f>AC519*(1+AU519)</f>
        <v>693929.19391593745</v>
      </c>
      <c r="AE519" s="1298">
        <v>127569</v>
      </c>
      <c r="AF519" s="1298">
        <v>103210</v>
      </c>
      <c r="AG519" s="1298">
        <v>262642</v>
      </c>
      <c r="AH519" s="1298">
        <v>445095</v>
      </c>
      <c r="AI519" s="3467">
        <v>489604.50000000006</v>
      </c>
      <c r="AJ519" s="3421">
        <v>538564.95000000007</v>
      </c>
      <c r="AK519" s="985">
        <v>592421.44500000018</v>
      </c>
      <c r="AL519" s="985">
        <v>651663.58950000023</v>
      </c>
      <c r="AM519" s="985">
        <v>716829.94845000026</v>
      </c>
      <c r="AN519" s="985">
        <v>788512.94329500035</v>
      </c>
      <c r="AO519" s="985">
        <v>867364.23762450041</v>
      </c>
      <c r="AP519" s="1792">
        <f t="shared" si="217"/>
        <v>1011219.5618866548</v>
      </c>
      <c r="AQ519" s="1792">
        <f t="shared" si="217"/>
        <v>1178933.7835080621</v>
      </c>
      <c r="AR519" s="1792">
        <f t="shared" si="217"/>
        <v>1374463.9821875035</v>
      </c>
      <c r="AS519" s="1792">
        <f t="shared" si="217"/>
        <v>1602423.5328207565</v>
      </c>
      <c r="AT519" s="1792">
        <f t="shared" si="217"/>
        <v>1868190.9543028404</v>
      </c>
      <c r="AU519" s="1538">
        <f t="shared" si="218"/>
        <v>0.13853851594638167</v>
      </c>
      <c r="AV519" s="1538">
        <f t="shared" si="218"/>
        <v>4.6712004758963088E-2</v>
      </c>
      <c r="AW519" s="1538">
        <f t="shared" si="218"/>
        <v>0.13853851594638167</v>
      </c>
      <c r="AX519" s="1538">
        <f t="shared" si="218"/>
        <v>-0.81616424108040375</v>
      </c>
      <c r="AY519" s="1538">
        <f t="shared" si="218"/>
        <v>-0.19094764402009889</v>
      </c>
      <c r="AZ519" s="1538">
        <f t="shared" si="218"/>
        <v>1.5447340373994769</v>
      </c>
      <c r="BA519" s="1538">
        <f t="shared" si="218"/>
        <v>0.69468325705713485</v>
      </c>
      <c r="BB519" s="1538">
        <f t="shared" si="218"/>
        <v>0.10000000000000009</v>
      </c>
      <c r="BC519" s="1538">
        <f t="shared" si="218"/>
        <v>0.10000000000000009</v>
      </c>
      <c r="BD519" s="1538">
        <f t="shared" si="218"/>
        <v>0.10000000000000009</v>
      </c>
      <c r="BE519" s="1538">
        <f t="shared" si="218"/>
        <v>0.10000000000000009</v>
      </c>
      <c r="BF519" s="1538">
        <f t="shared" si="218"/>
        <v>0.10000000000000009</v>
      </c>
      <c r="BG519" s="1538">
        <f t="shared" si="218"/>
        <v>0.10000000000000009</v>
      </c>
      <c r="BH519" s="1781">
        <f>AVERAGE(AU519:BG519)</f>
        <v>0.16585341892367969</v>
      </c>
      <c r="BI519" s="1538"/>
      <c r="BJ519" s="1538"/>
      <c r="BK519" s="1538"/>
      <c r="BL519" s="1538"/>
      <c r="BM519" s="1538"/>
      <c r="BN519" s="1538"/>
    </row>
    <row r="520" spans="1:66">
      <c r="D520" s="129" t="s">
        <v>206</v>
      </c>
      <c r="E520" s="2999">
        <v>237.76761503905459</v>
      </c>
      <c r="F520" s="147"/>
      <c r="G520" s="146"/>
      <c r="H520" s="146"/>
      <c r="I520" s="146"/>
      <c r="J520" s="146"/>
      <c r="K520" s="146"/>
      <c r="L520" s="146"/>
      <c r="M520" s="146"/>
      <c r="N520" s="146"/>
      <c r="O520" s="146"/>
      <c r="P520" s="146"/>
      <c r="Q520" s="146"/>
      <c r="R520" s="146"/>
      <c r="S520" s="146"/>
      <c r="T520" s="146"/>
      <c r="U520" s="224">
        <v>307049</v>
      </c>
      <c r="V520" s="224">
        <v>395563</v>
      </c>
      <c r="W520" s="224">
        <v>414628</v>
      </c>
      <c r="X520" s="224">
        <v>419182</v>
      </c>
      <c r="Y520" s="224">
        <v>395344</v>
      </c>
      <c r="Z520" s="224">
        <v>405753.81</v>
      </c>
      <c r="AA520" s="1298">
        <v>417762.16930000001</v>
      </c>
      <c r="AB520" s="1298">
        <v>430218.73730099999</v>
      </c>
      <c r="AC520" s="1298">
        <v>439062.86968789011</v>
      </c>
      <c r="AD520" s="1549">
        <f>AC520*(1+AU520)</f>
        <v>452154.56849380542</v>
      </c>
      <c r="AE520" s="1298">
        <v>207629</v>
      </c>
      <c r="AF520" s="1298">
        <v>331313</v>
      </c>
      <c r="AG520" s="1298">
        <v>572025</v>
      </c>
      <c r="AH520" s="1298">
        <v>660419</v>
      </c>
      <c r="AI520" s="3467">
        <v>726460.9</v>
      </c>
      <c r="AJ520" s="3421">
        <v>799106.99000000011</v>
      </c>
      <c r="AK520" s="985">
        <v>879017.68900000025</v>
      </c>
      <c r="AL520" s="985">
        <v>966919.45790000039</v>
      </c>
      <c r="AM520" s="985">
        <v>1063611.4036900005</v>
      </c>
      <c r="AN520" s="985">
        <v>1169972.5440590007</v>
      </c>
      <c r="AO520" s="985">
        <v>1286969.7984649008</v>
      </c>
      <c r="AP520" s="1792">
        <f t="shared" si="217"/>
        <v>1446965.4968706532</v>
      </c>
      <c r="AQ520" s="1792">
        <f t="shared" si="217"/>
        <v>1626851.8123980185</v>
      </c>
      <c r="AR520" s="1792">
        <f t="shared" si="217"/>
        <v>1829101.5405872569</v>
      </c>
      <c r="AS520" s="1792">
        <f t="shared" si="217"/>
        <v>2056494.8941767251</v>
      </c>
      <c r="AT520" s="1792">
        <f t="shared" si="217"/>
        <v>2312157.7211165158</v>
      </c>
      <c r="AU520" s="1538">
        <f t="shared" si="218"/>
        <v>2.9817367192132682E-2</v>
      </c>
      <c r="AV520" s="1538">
        <f t="shared" si="218"/>
        <v>2.0557292419140616E-2</v>
      </c>
      <c r="AW520" s="1538">
        <f t="shared" si="218"/>
        <v>2.9817367192132682E-2</v>
      </c>
      <c r="AX520" s="1538">
        <f t="shared" si="218"/>
        <v>-0.54080083567076787</v>
      </c>
      <c r="AY520" s="1538">
        <f t="shared" si="218"/>
        <v>0.59569713286679615</v>
      </c>
      <c r="AZ520" s="1538">
        <f t="shared" si="218"/>
        <v>0.72653955625043398</v>
      </c>
      <c r="BA520" s="1538">
        <f t="shared" si="218"/>
        <v>0.15452821117958138</v>
      </c>
      <c r="BB520" s="1538">
        <f t="shared" si="218"/>
        <v>0.10000000000000009</v>
      </c>
      <c r="BC520" s="1538">
        <f t="shared" si="218"/>
        <v>0.10000000000000009</v>
      </c>
      <c r="BD520" s="1538">
        <f t="shared" si="218"/>
        <v>0.10000000000000009</v>
      </c>
      <c r="BE520" s="1538">
        <f t="shared" si="218"/>
        <v>0.10000000000000009</v>
      </c>
      <c r="BF520" s="1538">
        <f t="shared" si="218"/>
        <v>0.10000000000000009</v>
      </c>
      <c r="BG520" s="1538">
        <f t="shared" si="218"/>
        <v>0.10000000000000009</v>
      </c>
      <c r="BH520" s="1781">
        <f>AVERAGE(AU520:BG520)</f>
        <v>0.12431969934072694</v>
      </c>
      <c r="BI520" s="1538"/>
      <c r="BJ520" s="1538"/>
      <c r="BK520" s="1538"/>
      <c r="BL520" s="1538"/>
      <c r="BM520" s="1538"/>
      <c r="BN520" s="1538"/>
    </row>
    <row r="521" spans="1:66">
      <c r="D521" s="129" t="s">
        <v>207</v>
      </c>
      <c r="E521" s="2999">
        <v>91.316800733027691</v>
      </c>
      <c r="F521" s="147"/>
      <c r="G521" s="146"/>
      <c r="H521" s="146"/>
      <c r="I521" s="146"/>
      <c r="J521" s="146"/>
      <c r="K521" s="146"/>
      <c r="L521" s="146"/>
      <c r="M521" s="146"/>
      <c r="N521" s="146"/>
      <c r="O521" s="146"/>
      <c r="P521" s="146"/>
      <c r="Q521" s="146"/>
      <c r="R521" s="146"/>
      <c r="S521" s="146"/>
      <c r="T521" s="146"/>
      <c r="U521" s="224">
        <v>89914</v>
      </c>
      <c r="V521" s="224">
        <v>136083</v>
      </c>
      <c r="W521" s="224">
        <v>245866</v>
      </c>
      <c r="X521" s="224">
        <v>271171</v>
      </c>
      <c r="Y521" s="224">
        <v>320861</v>
      </c>
      <c r="Z521" s="224">
        <v>337752.46</v>
      </c>
      <c r="AA521" s="1298">
        <v>356005.90520000004</v>
      </c>
      <c r="AB521" s="1298">
        <v>376260.068004</v>
      </c>
      <c r="AC521" s="1298">
        <v>387116.60688800004</v>
      </c>
      <c r="AD521" s="1549">
        <f>AC521*(1+AU521)</f>
        <v>409140.74375066464</v>
      </c>
      <c r="AE521" s="1298">
        <v>125156</v>
      </c>
      <c r="AF521" s="1298">
        <v>35740</v>
      </c>
      <c r="AG521" s="1298">
        <v>216705</v>
      </c>
      <c r="AH521" s="1298">
        <v>261112</v>
      </c>
      <c r="AI521" s="3467">
        <v>287223.2</v>
      </c>
      <c r="AJ521" s="3421">
        <v>315945.52</v>
      </c>
      <c r="AK521" s="985">
        <v>347540.07200000004</v>
      </c>
      <c r="AL521" s="985">
        <v>382294.07920000009</v>
      </c>
      <c r="AM521" s="985">
        <v>420523.48712000012</v>
      </c>
      <c r="AN521" s="985">
        <v>462575.83583200019</v>
      </c>
      <c r="AO521" s="985">
        <v>508833.41941520025</v>
      </c>
      <c r="AP521" s="1792">
        <f t="shared" si="217"/>
        <v>567343.38414578757</v>
      </c>
      <c r="AQ521" s="1792">
        <f t="shared" si="217"/>
        <v>632581.31886055775</v>
      </c>
      <c r="AR521" s="1792">
        <f t="shared" si="217"/>
        <v>705320.86238011997</v>
      </c>
      <c r="AS521" s="1792">
        <f t="shared" si="217"/>
        <v>786424.61305168096</v>
      </c>
      <c r="AT521" s="1792">
        <f t="shared" si="217"/>
        <v>876854.3580668628</v>
      </c>
      <c r="AU521" s="1538">
        <f t="shared" si="218"/>
        <v>5.6892772024726312E-2</v>
      </c>
      <c r="AV521" s="1538">
        <f t="shared" si="218"/>
        <v>2.8853816302091939E-2</v>
      </c>
      <c r="AW521" s="1538">
        <f t="shared" si="218"/>
        <v>5.6892772024726312E-2</v>
      </c>
      <c r="AX521" s="1538">
        <f t="shared" si="218"/>
        <v>-0.69410037520909529</v>
      </c>
      <c r="AY521" s="1538">
        <f t="shared" si="218"/>
        <v>-0.71443638339352489</v>
      </c>
      <c r="AZ521" s="1538">
        <f t="shared" si="218"/>
        <v>5.0633743704532739</v>
      </c>
      <c r="BA521" s="1538">
        <f t="shared" si="218"/>
        <v>0.20491912969243908</v>
      </c>
      <c r="BB521" s="1538">
        <f t="shared" si="218"/>
        <v>0.10000000000000009</v>
      </c>
      <c r="BC521" s="1538">
        <f t="shared" si="218"/>
        <v>0.10000000000000009</v>
      </c>
      <c r="BD521" s="1538">
        <f t="shared" si="218"/>
        <v>0.10000000000000009</v>
      </c>
      <c r="BE521" s="1538">
        <f t="shared" si="218"/>
        <v>0.10000000000000009</v>
      </c>
      <c r="BF521" s="1538">
        <f t="shared" si="218"/>
        <v>0.10000000000000009</v>
      </c>
      <c r="BG521" s="1538">
        <f t="shared" si="218"/>
        <v>0.10000000000000009</v>
      </c>
      <c r="BH521" s="1781">
        <f>AVERAGE(BA521:BG521)</f>
        <v>0.11498844709891995</v>
      </c>
      <c r="BI521" s="1538"/>
      <c r="BJ521" s="1538"/>
      <c r="BK521" s="1538"/>
      <c r="BL521" s="1538"/>
      <c r="BM521" s="1538"/>
      <c r="BN521" s="1538"/>
    </row>
    <row r="522" spans="1:66">
      <c r="A522" s="295" t="s">
        <v>644</v>
      </c>
      <c r="B522" s="295" t="s">
        <v>30</v>
      </c>
      <c r="D522" s="129" t="s">
        <v>121</v>
      </c>
      <c r="E522" s="1560"/>
      <c r="F522" s="273"/>
      <c r="G522" s="156"/>
      <c r="H522" s="156"/>
      <c r="I522" s="137"/>
      <c r="J522" s="149"/>
      <c r="K522" s="149"/>
      <c r="L522" s="219"/>
      <c r="M522" s="156"/>
      <c r="N522" s="156"/>
      <c r="O522" s="156"/>
      <c r="P522" s="137"/>
      <c r="Q522" s="149"/>
      <c r="R522" s="149"/>
      <c r="S522" s="219"/>
      <c r="T522" s="156"/>
      <c r="U522" s="156"/>
      <c r="V522" s="156"/>
      <c r="W522" s="137"/>
      <c r="X522" s="149"/>
      <c r="Y522" s="149"/>
      <c r="Z522" s="149"/>
      <c r="AA522" s="1299"/>
      <c r="AB522" s="1459"/>
      <c r="AC522" s="1460"/>
      <c r="AD522" s="1460"/>
      <c r="AE522" s="1460"/>
      <c r="AF522" s="1460"/>
      <c r="AG522" s="1460"/>
      <c r="AH522" s="1460"/>
      <c r="AI522" s="3464"/>
      <c r="AJ522" s="3419"/>
      <c r="AK522" s="1460"/>
      <c r="AL522" s="1460"/>
      <c r="AM522" s="1460"/>
      <c r="AN522" s="1460"/>
      <c r="AO522" s="1460"/>
      <c r="AP522" s="1460"/>
      <c r="AQ522" s="1460"/>
      <c r="AR522" s="1460"/>
      <c r="AS522" s="1460"/>
      <c r="AT522" s="1460"/>
      <c r="AU522" s="1538"/>
      <c r="BH522" s="1781"/>
    </row>
    <row r="523" spans="1:66">
      <c r="D523" s="129" t="s">
        <v>122</v>
      </c>
      <c r="E523" s="1560"/>
      <c r="F523" s="147"/>
      <c r="G523" s="146"/>
      <c r="H523" s="146"/>
      <c r="I523" s="137"/>
      <c r="J523" s="149"/>
      <c r="K523" s="149"/>
      <c r="L523" s="219"/>
      <c r="M523" s="146"/>
      <c r="N523" s="146"/>
      <c r="O523" s="146"/>
      <c r="P523" s="137"/>
      <c r="Q523" s="149"/>
      <c r="R523" s="149"/>
      <c r="S523" s="219"/>
      <c r="T523" s="146"/>
      <c r="U523" s="146"/>
      <c r="V523" s="146"/>
      <c r="W523" s="137"/>
      <c r="X523" s="149"/>
      <c r="Y523" s="149"/>
      <c r="Z523" s="149"/>
      <c r="AA523" s="146"/>
      <c r="AB523" s="1459"/>
      <c r="AC523" s="1460"/>
      <c r="AD523" s="1460"/>
      <c r="AE523" s="1460"/>
      <c r="AF523" s="1460"/>
      <c r="AG523" s="1460"/>
      <c r="AH523" s="1460"/>
      <c r="AI523" s="3464"/>
      <c r="AJ523" s="3419"/>
      <c r="AK523" s="1460"/>
      <c r="AL523" s="1460"/>
      <c r="AM523" s="1460"/>
      <c r="AN523" s="1460"/>
      <c r="AO523" s="1460"/>
      <c r="AP523" s="1460"/>
      <c r="AQ523" s="1460"/>
      <c r="AR523" s="1460"/>
      <c r="AS523" s="1460"/>
      <c r="AT523" s="1460"/>
      <c r="AU523" s="1538"/>
      <c r="BH523" s="1781"/>
    </row>
    <row r="524" spans="1:66">
      <c r="D524" s="129" t="s">
        <v>123</v>
      </c>
      <c r="E524" s="1560"/>
      <c r="F524" s="219"/>
      <c r="G524" s="158"/>
      <c r="H524" s="158"/>
      <c r="I524" s="137"/>
      <c r="J524" s="149"/>
      <c r="K524" s="149"/>
      <c r="L524" s="219"/>
      <c r="M524" s="158"/>
      <c r="N524" s="158"/>
      <c r="O524" s="158"/>
      <c r="P524" s="137"/>
      <c r="Q524" s="149"/>
      <c r="R524" s="149"/>
      <c r="S524" s="219"/>
      <c r="T524" s="158"/>
      <c r="U524" s="158"/>
      <c r="V524" s="158"/>
      <c r="W524" s="137"/>
      <c r="X524" s="149"/>
      <c r="Y524" s="149"/>
      <c r="Z524" s="149"/>
      <c r="AA524" s="158"/>
      <c r="AB524" s="1459"/>
      <c r="AC524" s="1460"/>
      <c r="AD524" s="1460"/>
      <c r="AE524" s="1460"/>
      <c r="AF524" s="1460"/>
      <c r="AG524" s="1460"/>
      <c r="AH524" s="1460"/>
      <c r="AI524" s="3464"/>
      <c r="AJ524" s="3419"/>
      <c r="AK524" s="1460"/>
      <c r="AL524" s="1460"/>
      <c r="AM524" s="1460"/>
      <c r="AN524" s="1460"/>
      <c r="AO524" s="1460"/>
      <c r="AP524" s="1460"/>
      <c r="AQ524" s="1460"/>
      <c r="AR524" s="1460"/>
      <c r="AS524" s="1460"/>
      <c r="AT524" s="1460"/>
      <c r="AU524" s="1538"/>
      <c r="BH524" s="1781"/>
    </row>
    <row r="525" spans="1:66">
      <c r="D525" s="129" t="s">
        <v>124</v>
      </c>
      <c r="E525" s="1560"/>
      <c r="F525" s="147"/>
      <c r="G525" s="146"/>
      <c r="H525" s="146"/>
      <c r="I525" s="137"/>
      <c r="J525" s="149"/>
      <c r="K525" s="149"/>
      <c r="L525" s="219"/>
      <c r="M525" s="146"/>
      <c r="N525" s="146"/>
      <c r="O525" s="146"/>
      <c r="P525" s="137"/>
      <c r="Q525" s="149"/>
      <c r="R525" s="149"/>
      <c r="S525" s="219"/>
      <c r="T525" s="146"/>
      <c r="U525" s="146"/>
      <c r="V525" s="146"/>
      <c r="W525" s="137"/>
      <c r="X525" s="149"/>
      <c r="Y525" s="149"/>
      <c r="Z525" s="149"/>
      <c r="AA525" s="146"/>
      <c r="AB525" s="1459"/>
      <c r="AC525" s="1460"/>
      <c r="AD525" s="1460"/>
      <c r="AE525" s="1460"/>
      <c r="AF525" s="1460"/>
      <c r="AG525" s="1460"/>
      <c r="AH525" s="1460"/>
      <c r="AI525" s="3464"/>
      <c r="AJ525" s="3419"/>
      <c r="AK525" s="1460"/>
      <c r="AL525" s="1460"/>
      <c r="AM525" s="1460"/>
      <c r="AN525" s="1460"/>
      <c r="AO525" s="1460"/>
      <c r="AP525" s="1460"/>
      <c r="AQ525" s="1460"/>
      <c r="AR525" s="1460"/>
      <c r="AS525" s="1460"/>
      <c r="AT525" s="1460"/>
      <c r="AU525" s="1538"/>
      <c r="BH525" s="1781"/>
    </row>
    <row r="526" spans="1:66">
      <c r="D526" s="129" t="s">
        <v>125</v>
      </c>
      <c r="E526" s="1560"/>
      <c r="F526" s="147"/>
      <c r="G526" s="146"/>
      <c r="H526" s="146"/>
      <c r="I526" s="137"/>
      <c r="J526" s="149"/>
      <c r="K526" s="149"/>
      <c r="L526" s="219"/>
      <c r="M526" s="146"/>
      <c r="N526" s="146"/>
      <c r="O526" s="146"/>
      <c r="P526" s="137"/>
      <c r="Q526" s="149"/>
      <c r="R526" s="149"/>
      <c r="S526" s="219"/>
      <c r="T526" s="146"/>
      <c r="U526" s="146"/>
      <c r="V526" s="146"/>
      <c r="W526" s="137"/>
      <c r="X526" s="149"/>
      <c r="Y526" s="149"/>
      <c r="Z526" s="149"/>
      <c r="AA526" s="146"/>
      <c r="AB526" s="1459"/>
      <c r="AC526" s="1460"/>
      <c r="AD526" s="1460"/>
      <c r="AE526" s="1460"/>
      <c r="AF526" s="1460"/>
      <c r="AG526" s="1460"/>
      <c r="AH526" s="1460"/>
      <c r="AI526" s="3464"/>
      <c r="AJ526" s="3419"/>
      <c r="AK526" s="1460"/>
      <c r="AL526" s="1460"/>
      <c r="AM526" s="1460"/>
      <c r="AN526" s="1460"/>
      <c r="AO526" s="1460"/>
      <c r="AP526" s="1460"/>
      <c r="AQ526" s="1460"/>
      <c r="AR526" s="1460"/>
      <c r="AS526" s="1460"/>
      <c r="AT526" s="1460"/>
      <c r="AU526" s="1538"/>
      <c r="BH526" s="1781"/>
    </row>
    <row r="527" spans="1:66">
      <c r="D527" s="129" t="s">
        <v>126</v>
      </c>
      <c r="E527" s="1560"/>
      <c r="F527" s="147"/>
      <c r="G527" s="146"/>
      <c r="H527" s="146"/>
      <c r="I527" s="137"/>
      <c r="J527" s="149"/>
      <c r="K527" s="149"/>
      <c r="L527" s="219"/>
      <c r="M527" s="146"/>
      <c r="N527" s="146"/>
      <c r="O527" s="146"/>
      <c r="P527" s="137"/>
      <c r="Q527" s="149"/>
      <c r="R527" s="149"/>
      <c r="S527" s="219"/>
      <c r="T527" s="146"/>
      <c r="U527" s="146"/>
      <c r="V527" s="146"/>
      <c r="W527" s="137"/>
      <c r="X527" s="149"/>
      <c r="Y527" s="149"/>
      <c r="Z527" s="316"/>
      <c r="AA527" s="146"/>
      <c r="AB527" s="1459"/>
      <c r="AC527" s="1460"/>
      <c r="AD527" s="1460"/>
      <c r="AE527" s="1460"/>
      <c r="AF527" s="1460"/>
      <c r="AG527" s="1460"/>
      <c r="AH527" s="1460"/>
      <c r="AI527" s="3464"/>
      <c r="AJ527" s="3419"/>
      <c r="AK527" s="1460"/>
      <c r="AL527" s="1460"/>
      <c r="AM527" s="1460"/>
      <c r="AN527" s="1460"/>
      <c r="AO527" s="1460"/>
      <c r="AP527" s="1460"/>
      <c r="AQ527" s="1460"/>
      <c r="AR527" s="1460"/>
      <c r="AS527" s="1460"/>
      <c r="AT527" s="1460"/>
      <c r="AU527" s="1538"/>
      <c r="BH527" s="1781"/>
    </row>
    <row r="528" spans="1:66">
      <c r="B528" s="292"/>
      <c r="C528" s="292"/>
      <c r="D528" s="122" t="s">
        <v>1023</v>
      </c>
      <c r="E528" s="2138" t="s">
        <v>1022</v>
      </c>
      <c r="F528" s="147"/>
      <c r="G528" s="146"/>
      <c r="H528" s="146"/>
      <c r="I528" s="137"/>
      <c r="J528" s="149"/>
      <c r="K528" s="149"/>
      <c r="L528" s="219"/>
      <c r="M528" s="146"/>
      <c r="N528" s="146"/>
      <c r="O528" s="146"/>
      <c r="P528" s="137"/>
      <c r="Q528" s="149"/>
      <c r="R528" s="149"/>
      <c r="S528" s="219"/>
      <c r="T528" s="146"/>
      <c r="U528" s="146"/>
      <c r="V528" s="146"/>
      <c r="W528" s="137"/>
      <c r="X528" s="149"/>
      <c r="Y528" s="1"/>
      <c r="Z528" s="1"/>
      <c r="AA528" s="1448">
        <f>(AA529*$E529+AA530*$E530+AA532*$E532+AA533*$E533)/1000000000</f>
        <v>137.27180705999999</v>
      </c>
      <c r="AB528" s="1448">
        <f>(AB529*$E529+AB530*$E530+AB532*$E532+AB533*$E533)/1000000000</f>
        <v>146.34828965314284</v>
      </c>
      <c r="AC528" s="1448">
        <f t="shared" ref="AC528:AT528" si="219">(AC529*$E529+AC530*$E530+AC532*$E532+AC533*$E533)/1000000000</f>
        <v>155.42477224628573</v>
      </c>
      <c r="AD528" s="1448">
        <f t="shared" si="219"/>
        <v>164.50125483942858</v>
      </c>
      <c r="AE528" s="1448">
        <f>(AE529*$E529+AE530*$E530+AE532*$E532+AE533*$E533)/1000000000</f>
        <v>114.270057902</v>
      </c>
      <c r="AF528" s="1448">
        <f t="shared" si="219"/>
        <v>144.80495240799999</v>
      </c>
      <c r="AG528" s="1448">
        <f t="shared" si="219"/>
        <v>148.545321524</v>
      </c>
      <c r="AH528" s="1448">
        <f t="shared" si="219"/>
        <v>163.67131138799999</v>
      </c>
      <c r="AI528" s="3468">
        <f t="shared" si="219"/>
        <v>189.90067067440032</v>
      </c>
      <c r="AJ528" s="3422">
        <f t="shared" si="219"/>
        <v>207.86612424346265</v>
      </c>
      <c r="AK528" s="1448">
        <f t="shared" si="219"/>
        <v>228.28895437135921</v>
      </c>
      <c r="AL528" s="1448">
        <f t="shared" si="219"/>
        <v>236.92516985781162</v>
      </c>
      <c r="AM528" s="1448">
        <f t="shared" si="219"/>
        <v>244.8028293217599</v>
      </c>
      <c r="AN528" s="1448">
        <f t="shared" si="219"/>
        <v>252.1938750671907</v>
      </c>
      <c r="AO528" s="1448">
        <f t="shared" si="219"/>
        <v>259.23698962901852</v>
      </c>
      <c r="AP528" s="1793">
        <f t="shared" si="219"/>
        <v>276.27956354012952</v>
      </c>
      <c r="AQ528" s="1793">
        <f t="shared" si="219"/>
        <v>294.47471224452147</v>
      </c>
      <c r="AR528" s="1793">
        <f t="shared" si="219"/>
        <v>313.90311530204053</v>
      </c>
      <c r="AS528" s="1793">
        <f t="shared" si="219"/>
        <v>334.65132707116453</v>
      </c>
      <c r="AT528" s="1793">
        <f t="shared" si="219"/>
        <v>356.81222289451267</v>
      </c>
      <c r="AU528" s="1538"/>
      <c r="AV528" s="1548"/>
      <c r="AW528" s="1548"/>
      <c r="AX528" s="1548"/>
      <c r="AY528" s="701"/>
      <c r="BH528" s="1781"/>
    </row>
    <row r="529" spans="1:60">
      <c r="B529" s="292"/>
      <c r="C529" s="292"/>
      <c r="D529" s="129" t="s">
        <v>1031</v>
      </c>
      <c r="E529" s="2139">
        <v>945832</v>
      </c>
      <c r="F529" s="147"/>
      <c r="G529" s="986"/>
      <c r="H529" s="986"/>
      <c r="I529" s="977"/>
      <c r="J529" s="987"/>
      <c r="K529" s="987"/>
      <c r="L529" s="219"/>
      <c r="M529" s="986"/>
      <c r="N529" s="986"/>
      <c r="O529" s="986"/>
      <c r="P529" s="977"/>
      <c r="Q529" s="987"/>
      <c r="R529" s="987"/>
      <c r="S529" s="219"/>
      <c r="T529" s="986"/>
      <c r="U529" s="986"/>
      <c r="V529" s="986"/>
      <c r="W529" s="977"/>
      <c r="X529" s="987"/>
      <c r="Y529" s="1"/>
      <c r="Z529" s="1"/>
      <c r="AA529" s="1310">
        <v>39036</v>
      </c>
      <c r="AB529" s="1311">
        <v>40997.857142857145</v>
      </c>
      <c r="AC529" s="1310">
        <v>42959.71428571429</v>
      </c>
      <c r="AD529" s="1310">
        <v>44921.571428571435</v>
      </c>
      <c r="AE529" s="1310">
        <v>42757</v>
      </c>
      <c r="AF529" s="1310">
        <v>59731</v>
      </c>
      <c r="AG529" s="1310">
        <v>62762</v>
      </c>
      <c r="AH529" s="1310">
        <v>67604</v>
      </c>
      <c r="AI529" s="3469">
        <v>71370</v>
      </c>
      <c r="AJ529" s="3423">
        <v>78121</v>
      </c>
      <c r="AK529" s="1310">
        <v>85661</v>
      </c>
      <c r="AL529" s="1310">
        <v>89692</v>
      </c>
      <c r="AM529" s="1310">
        <v>93462</v>
      </c>
      <c r="AN529" s="1310">
        <v>97095</v>
      </c>
      <c r="AO529" s="1310">
        <v>100636</v>
      </c>
      <c r="AP529" s="1792">
        <f t="shared" ref="AP529:AT533" si="220">AO529*(1+$BH529)</f>
        <v>106959.33433585991</v>
      </c>
      <c r="AQ529" s="1792">
        <f t="shared" si="220"/>
        <v>113679.98729649688</v>
      </c>
      <c r="AR529" s="1792">
        <f t="shared" si="220"/>
        <v>120822.92388948605</v>
      </c>
      <c r="AS529" s="1792">
        <f t="shared" si="220"/>
        <v>128414.67776672059</v>
      </c>
      <c r="AT529" s="1792">
        <f t="shared" si="220"/>
        <v>136483.44978817107</v>
      </c>
      <c r="AU529" s="1538">
        <f t="shared" ref="AU529:BG529" si="221">AB529/AA529-1</f>
        <v>5.0257637638516872E-2</v>
      </c>
      <c r="AV529" s="1538">
        <f t="shared" si="221"/>
        <v>4.7852675226928376E-2</v>
      </c>
      <c r="AW529" s="1538">
        <f t="shared" si="221"/>
        <v>4.5667369429166271E-2</v>
      </c>
      <c r="AX529" s="1538">
        <f t="shared" si="221"/>
        <v>-4.8185567862719547E-2</v>
      </c>
      <c r="AY529" s="1538">
        <f t="shared" si="221"/>
        <v>0.39698762775685847</v>
      </c>
      <c r="AZ529" s="1538">
        <f t="shared" si="221"/>
        <v>5.0744169694128649E-2</v>
      </c>
      <c r="BA529" s="1538">
        <f t="shared" si="221"/>
        <v>7.7148593097734253E-2</v>
      </c>
      <c r="BB529" s="1538">
        <f t="shared" si="221"/>
        <v>5.5706762913437124E-2</v>
      </c>
      <c r="BC529" s="1538">
        <f t="shared" si="221"/>
        <v>9.4591565083368412E-2</v>
      </c>
      <c r="BD529" s="1538">
        <f t="shared" si="221"/>
        <v>9.6516941667413425E-2</v>
      </c>
      <c r="BE529" s="1538">
        <f t="shared" si="221"/>
        <v>4.7057587466875272E-2</v>
      </c>
      <c r="BF529" s="1538">
        <f t="shared" si="221"/>
        <v>4.2032734246086667E-2</v>
      </c>
      <c r="BG529" s="1538">
        <f t="shared" si="221"/>
        <v>3.8871412980676645E-2</v>
      </c>
      <c r="BH529" s="1781">
        <f>AVERAGE(AZ529:BG529)</f>
        <v>6.2833720893715056E-2</v>
      </c>
    </row>
    <row r="530" spans="1:60">
      <c r="B530" s="292"/>
      <c r="C530" s="292"/>
      <c r="D530" s="129" t="s">
        <v>772</v>
      </c>
      <c r="E530" s="2139">
        <v>2726350</v>
      </c>
      <c r="F530" s="147"/>
      <c r="G530" s="986"/>
      <c r="H530" s="986"/>
      <c r="I530" s="977"/>
      <c r="J530" s="987"/>
      <c r="K530" s="987"/>
      <c r="L530" s="219"/>
      <c r="M530" s="986"/>
      <c r="N530" s="986"/>
      <c r="O530" s="986"/>
      <c r="P530" s="977"/>
      <c r="Q530" s="987"/>
      <c r="R530" s="987"/>
      <c r="S530" s="219"/>
      <c r="T530" s="986"/>
      <c r="U530" s="986"/>
      <c r="V530" s="986"/>
      <c r="W530" s="977"/>
      <c r="X530" s="987"/>
      <c r="Y530" s="1"/>
      <c r="Z530" s="1"/>
      <c r="AA530" s="1310">
        <v>23900</v>
      </c>
      <c r="AB530" s="1311">
        <v>25837.428571428572</v>
      </c>
      <c r="AC530" s="1310">
        <v>27774.857142857145</v>
      </c>
      <c r="AD530" s="1310">
        <v>29712.285714285717</v>
      </c>
      <c r="AE530" s="1310">
        <v>18093</v>
      </c>
      <c r="AF530" s="1310">
        <v>22638</v>
      </c>
      <c r="AG530" s="1310">
        <v>23522</v>
      </c>
      <c r="AH530" s="1310">
        <v>26094</v>
      </c>
      <c r="AI530" s="3469">
        <v>32974</v>
      </c>
      <c r="AJ530" s="3423">
        <v>36093</v>
      </c>
      <c r="AK530" s="1310">
        <v>39691</v>
      </c>
      <c r="AL530" s="1310">
        <v>40891</v>
      </c>
      <c r="AM530" s="1310">
        <v>41950</v>
      </c>
      <c r="AN530" s="1310">
        <v>42907</v>
      </c>
      <c r="AO530" s="1310">
        <v>43789</v>
      </c>
      <c r="AP530" s="1792">
        <f t="shared" si="220"/>
        <v>46386.776805168782</v>
      </c>
      <c r="AQ530" s="1792">
        <f t="shared" si="220"/>
        <v>49138.666385908429</v>
      </c>
      <c r="AR530" s="1792">
        <f t="shared" si="220"/>
        <v>52053.81146285103</v>
      </c>
      <c r="AS530" s="1792">
        <f t="shared" si="220"/>
        <v>55141.897147356802</v>
      </c>
      <c r="AT530" s="1792">
        <f t="shared" si="220"/>
        <v>58413.183118774417</v>
      </c>
      <c r="AU530" s="1538">
        <f>AB530/AA530-1</f>
        <v>8.1063956963538519E-2</v>
      </c>
      <c r="AV530" s="1538">
        <f>AC530/AB530-1</f>
        <v>7.4985347944841907E-2</v>
      </c>
      <c r="AW530" s="1538">
        <f t="shared" ref="AW530:AW536" si="222">AD530/AC530-1</f>
        <v>6.9754762786487401E-2</v>
      </c>
      <c r="AX530" s="1538">
        <f t="shared" ref="AX530:AX536" si="223">AE530/AD530-1</f>
        <v>-0.39105997519063784</v>
      </c>
      <c r="AY530" s="1538">
        <f t="shared" ref="AY530:AY537" si="224">AF530/AE530-1</f>
        <v>0.25120212236776651</v>
      </c>
      <c r="AZ530" s="1538">
        <f t="shared" ref="AZ530:AZ537" si="225">AG530/AF530-1</f>
        <v>3.9049385988161545E-2</v>
      </c>
      <c r="BA530" s="1538">
        <f t="shared" ref="BA530:BA537" si="226">AH530/AG530-1</f>
        <v>0.1093444434997024</v>
      </c>
      <c r="BB530" s="1538">
        <f t="shared" ref="BB530:BB537" si="227">AI530/AH530-1</f>
        <v>0.2636621445543037</v>
      </c>
      <c r="BC530" s="1538">
        <f t="shared" ref="BC530:BC537" si="228">AJ530/AI530-1</f>
        <v>9.4589676714987636E-2</v>
      </c>
      <c r="BD530" s="1538">
        <f t="shared" ref="BD530:BD537" si="229">AK530/AJ530-1</f>
        <v>9.9686919901365911E-2</v>
      </c>
      <c r="BE530" s="1538">
        <f t="shared" ref="BE530:BE537" si="230">AL530/AK530-1</f>
        <v>3.0233554206243296E-2</v>
      </c>
      <c r="BF530" s="1538">
        <f t="shared" ref="BF530:BF537" si="231">AM530/AL530-1</f>
        <v>2.5898119390574958E-2</v>
      </c>
      <c r="BG530" s="1538">
        <f t="shared" ref="BG530:BG537" si="232">AN530/AM530-1</f>
        <v>2.2812872467222967E-2</v>
      </c>
      <c r="BH530" s="1781">
        <f>AVERAGE(AU530:BG530)</f>
        <v>5.9324871661119917E-2</v>
      </c>
    </row>
    <row r="531" spans="1:60">
      <c r="B531" s="292"/>
      <c r="C531" s="292"/>
      <c r="D531" s="129" t="s">
        <v>1030</v>
      </c>
      <c r="E531" s="2139"/>
      <c r="F531" s="147"/>
      <c r="G531" s="986"/>
      <c r="H531" s="986"/>
      <c r="I531" s="977"/>
      <c r="J531" s="987"/>
      <c r="K531" s="987"/>
      <c r="L531" s="219"/>
      <c r="M531" s="986"/>
      <c r="N531" s="986"/>
      <c r="O531" s="986"/>
      <c r="P531" s="977"/>
      <c r="Q531" s="987"/>
      <c r="R531" s="987"/>
      <c r="S531" s="219"/>
      <c r="T531" s="986"/>
      <c r="U531" s="986"/>
      <c r="V531" s="986"/>
      <c r="W531" s="977"/>
      <c r="X531" s="987"/>
      <c r="Y531" s="1"/>
      <c r="Z531" s="1"/>
      <c r="AA531" s="1311"/>
      <c r="AB531" s="1311"/>
      <c r="AC531" s="1311"/>
      <c r="AD531" s="1311"/>
      <c r="AE531" s="1311">
        <v>1837</v>
      </c>
      <c r="AF531" s="1311">
        <v>4272</v>
      </c>
      <c r="AG531" s="1311">
        <v>4855</v>
      </c>
      <c r="AH531" s="1311">
        <v>5879</v>
      </c>
      <c r="AI531" s="3469">
        <v>8054</v>
      </c>
      <c r="AJ531" s="3423">
        <v>8785.9880260404552</v>
      </c>
      <c r="AK531" s="1311">
        <v>9458</v>
      </c>
      <c r="AL531" s="1311">
        <v>9899</v>
      </c>
      <c r="AM531" s="1311">
        <v>10306</v>
      </c>
      <c r="AN531" s="1311">
        <v>10832</v>
      </c>
      <c r="AO531" s="1311">
        <v>11322</v>
      </c>
      <c r="AP531" s="1792">
        <f t="shared" si="220"/>
        <v>12015.251725932165</v>
      </c>
      <c r="AQ531" s="1792">
        <f t="shared" si="220"/>
        <v>12750.951601971017</v>
      </c>
      <c r="AR531" s="1792">
        <f t="shared" si="220"/>
        <v>13531.698749590158</v>
      </c>
      <c r="AS531" s="1792">
        <f t="shared" si="220"/>
        <v>14360.251435771706</v>
      </c>
      <c r="AT531" s="1792">
        <f t="shared" si="220"/>
        <v>15239.536817565433</v>
      </c>
      <c r="AU531" s="1538"/>
      <c r="AV531" s="1538"/>
      <c r="AW531" s="1538"/>
      <c r="AX531" s="1538"/>
      <c r="AY531" s="1538">
        <f t="shared" si="224"/>
        <v>1.3255307566684813</v>
      </c>
      <c r="AZ531" s="1538">
        <f t="shared" si="225"/>
        <v>0.13647003745318353</v>
      </c>
      <c r="BA531" s="1538">
        <f t="shared" si="226"/>
        <v>0.21091658084449016</v>
      </c>
      <c r="BB531" s="1538">
        <f t="shared" si="227"/>
        <v>0.36996087770028918</v>
      </c>
      <c r="BC531" s="1538">
        <f t="shared" si="228"/>
        <v>9.0885029307233189E-2</v>
      </c>
      <c r="BD531" s="1538">
        <f t="shared" si="229"/>
        <v>7.6486784635694249E-2</v>
      </c>
      <c r="BE531" s="1538">
        <f t="shared" si="230"/>
        <v>4.662719390991743E-2</v>
      </c>
      <c r="BF531" s="1538">
        <f t="shared" si="231"/>
        <v>4.1115264168097854E-2</v>
      </c>
      <c r="BG531" s="1538">
        <f t="shared" si="232"/>
        <v>5.103823015718989E-2</v>
      </c>
      <c r="BH531" s="1781">
        <f>AVERAGE(BC531:BG531)</f>
        <v>6.1230500435626521E-2</v>
      </c>
    </row>
    <row r="532" spans="1:60">
      <c r="B532" s="292"/>
      <c r="C532" s="292"/>
      <c r="D532" s="129" t="s">
        <v>807</v>
      </c>
      <c r="E532" s="2139">
        <f>945832*2</f>
        <v>1891664</v>
      </c>
      <c r="F532" s="147"/>
      <c r="G532" s="986"/>
      <c r="H532" s="986"/>
      <c r="I532" s="977"/>
      <c r="J532" s="987"/>
      <c r="K532" s="987"/>
      <c r="L532" s="219"/>
      <c r="M532" s="986"/>
      <c r="N532" s="986"/>
      <c r="O532" s="986"/>
      <c r="P532" s="977"/>
      <c r="Q532" s="987"/>
      <c r="R532" s="987"/>
      <c r="S532" s="219"/>
      <c r="T532" s="986"/>
      <c r="U532" s="986"/>
      <c r="V532" s="986"/>
      <c r="W532" s="977"/>
      <c r="X532" s="987"/>
      <c r="Y532" s="1"/>
      <c r="Z532" s="1"/>
      <c r="AA532" s="1310">
        <v>4522</v>
      </c>
      <c r="AB532" s="1311">
        <v>4763.2857142857147</v>
      </c>
      <c r="AC532" s="1310">
        <v>5004.5714285714294</v>
      </c>
      <c r="AD532" s="1310">
        <v>5245.857142857144</v>
      </c>
      <c r="AE532" s="1310">
        <v>8052</v>
      </c>
      <c r="AF532" s="1310">
        <v>8969</v>
      </c>
      <c r="AG532" s="1310">
        <v>7635</v>
      </c>
      <c r="AH532" s="1310">
        <v>9215</v>
      </c>
      <c r="AI532" s="3469">
        <v>9728.3378202473232</v>
      </c>
      <c r="AJ532" s="3423">
        <v>10648.556520324242</v>
      </c>
      <c r="AK532" s="1310">
        <v>11676.322628838532</v>
      </c>
      <c r="AL532" s="1310">
        <v>12225.782202236556</v>
      </c>
      <c r="AM532" s="1310">
        <v>12739.665256493701</v>
      </c>
      <c r="AN532" s="1310">
        <v>13234.874045914446</v>
      </c>
      <c r="AO532" s="1310">
        <v>13717.542453109287</v>
      </c>
      <c r="AP532" s="1792">
        <f t="shared" si="220"/>
        <v>15019.675966954774</v>
      </c>
      <c r="AQ532" s="1792">
        <f t="shared" si="220"/>
        <v>16445.414105584583</v>
      </c>
      <c r="AR532" s="1792">
        <f t="shared" si="220"/>
        <v>18006.490000129757</v>
      </c>
      <c r="AS532" s="1792">
        <f t="shared" si="220"/>
        <v>19715.750545598527</v>
      </c>
      <c r="AT532" s="1792">
        <f t="shared" si="220"/>
        <v>21587.262124571058</v>
      </c>
      <c r="AU532" s="1538">
        <f>AB532/AA532-1</f>
        <v>5.3358185379414946E-2</v>
      </c>
      <c r="AV532" s="1538">
        <f>AC532/AB532-1</f>
        <v>5.0655309960111694E-2</v>
      </c>
      <c r="AW532" s="1538">
        <f t="shared" si="222"/>
        <v>4.8213062343000823E-2</v>
      </c>
      <c r="AX532" s="1538">
        <f t="shared" si="223"/>
        <v>0.53492551945753086</v>
      </c>
      <c r="AY532" s="1538">
        <f t="shared" si="224"/>
        <v>0.11388474913065072</v>
      </c>
      <c r="AZ532" s="1538">
        <f t="shared" si="225"/>
        <v>-0.1487345300479429</v>
      </c>
      <c r="BA532" s="1538">
        <f t="shared" si="226"/>
        <v>0.20694171578258014</v>
      </c>
      <c r="BB532" s="1538">
        <f t="shared" si="227"/>
        <v>5.5706762913437124E-2</v>
      </c>
      <c r="BC532" s="1538">
        <f t="shared" si="228"/>
        <v>9.4591565083368412E-2</v>
      </c>
      <c r="BD532" s="1538">
        <f t="shared" si="229"/>
        <v>9.6516941667413425E-2</v>
      </c>
      <c r="BE532" s="1538">
        <f t="shared" si="230"/>
        <v>4.7057587466875272E-2</v>
      </c>
      <c r="BF532" s="1538">
        <f t="shared" si="231"/>
        <v>4.2032734246086667E-2</v>
      </c>
      <c r="BG532" s="1538">
        <f t="shared" si="232"/>
        <v>3.8871412980676645E-2</v>
      </c>
      <c r="BH532" s="1781">
        <f>AVERAGE(AU532:BG532)</f>
        <v>9.4924693566400306E-2</v>
      </c>
    </row>
    <row r="533" spans="1:60">
      <c r="B533" s="292"/>
      <c r="C533" s="292"/>
      <c r="D533" s="129" t="s">
        <v>808</v>
      </c>
      <c r="E533" s="2139">
        <f>2726350*2</f>
        <v>5452700</v>
      </c>
      <c r="F533" s="147"/>
      <c r="G533" s="986"/>
      <c r="H533" s="986"/>
      <c r="I533" s="977"/>
      <c r="J533" s="987"/>
      <c r="K533" s="987"/>
      <c r="L533" s="219"/>
      <c r="M533" s="986"/>
      <c r="N533" s="986"/>
      <c r="O533" s="986"/>
      <c r="P533" s="977"/>
      <c r="Q533" s="987"/>
      <c r="R533" s="987"/>
      <c r="S533" s="219"/>
      <c r="T533" s="986"/>
      <c r="U533" s="986"/>
      <c r="V533" s="986"/>
      <c r="W533" s="977"/>
      <c r="X533" s="987"/>
      <c r="Y533" s="1"/>
      <c r="Z533" s="1"/>
      <c r="AA533" s="1310">
        <v>4885</v>
      </c>
      <c r="AB533" s="1311">
        <v>5156.8571428571431</v>
      </c>
      <c r="AC533" s="1310">
        <v>5428.7142857142862</v>
      </c>
      <c r="AD533" s="1310">
        <v>5700.5714285714294</v>
      </c>
      <c r="AE533" s="1310">
        <v>1700</v>
      </c>
      <c r="AF533" s="1310">
        <v>1765</v>
      </c>
      <c r="AG533" s="1310">
        <v>1946</v>
      </c>
      <c r="AH533" s="1310">
        <v>2046</v>
      </c>
      <c r="AI533" s="3469">
        <v>2585</v>
      </c>
      <c r="AJ533" s="3423">
        <v>2830</v>
      </c>
      <c r="AK533" s="1310">
        <v>3112</v>
      </c>
      <c r="AL533" s="1310">
        <v>3206</v>
      </c>
      <c r="AM533" s="1310">
        <v>3289</v>
      </c>
      <c r="AN533" s="1310">
        <v>3364</v>
      </c>
      <c r="AO533" s="1310">
        <v>3433</v>
      </c>
      <c r="AP533" s="1792">
        <f t="shared" si="220"/>
        <v>3711.048318346694</v>
      </c>
      <c r="AQ533" s="1792">
        <f t="shared" si="220"/>
        <v>4011.6165514430018</v>
      </c>
      <c r="AR533" s="1792">
        <f t="shared" si="220"/>
        <v>4336.5286504760606</v>
      </c>
      <c r="AS533" s="1792">
        <f t="shared" si="220"/>
        <v>4687.7562935658152</v>
      </c>
      <c r="AT533" s="1792">
        <f t="shared" si="220"/>
        <v>5067.4308505844883</v>
      </c>
      <c r="AU533" s="1538">
        <f>AB533/AA533-1</f>
        <v>5.5651411025003705E-2</v>
      </c>
      <c r="AV533" s="1538">
        <f>AC533/AB533-1</f>
        <v>5.2717602083217852E-2</v>
      </c>
      <c r="AW533" s="1538">
        <f t="shared" si="222"/>
        <v>5.0077629536064983E-2</v>
      </c>
      <c r="AX533" s="1538">
        <f t="shared" si="223"/>
        <v>-0.70178428227746603</v>
      </c>
      <c r="AY533" s="1538">
        <f t="shared" si="224"/>
        <v>3.8235294117647145E-2</v>
      </c>
      <c r="AZ533" s="1538">
        <f t="shared" si="225"/>
        <v>0.10254957507082163</v>
      </c>
      <c r="BA533" s="1538">
        <f t="shared" si="226"/>
        <v>5.1387461459403871E-2</v>
      </c>
      <c r="BB533" s="1538">
        <f t="shared" si="227"/>
        <v>0.26344086021505375</v>
      </c>
      <c r="BC533" s="1538">
        <f t="shared" si="228"/>
        <v>9.4777562862669251E-2</v>
      </c>
      <c r="BD533" s="1538">
        <f t="shared" si="229"/>
        <v>9.9646643109540634E-2</v>
      </c>
      <c r="BE533" s="1538">
        <f t="shared" si="230"/>
        <v>3.0205655526992281E-2</v>
      </c>
      <c r="BF533" s="1538">
        <f t="shared" si="231"/>
        <v>2.5888958203368784E-2</v>
      </c>
      <c r="BG533" s="1538">
        <f t="shared" si="232"/>
        <v>2.2803283672848895E-2</v>
      </c>
      <c r="BH533" s="1781">
        <f>AVERAGE(AY533:BG533)</f>
        <v>8.0992810470927365E-2</v>
      </c>
    </row>
    <row r="534" spans="1:60">
      <c r="B534" s="292"/>
      <c r="C534" s="292"/>
      <c r="D534" s="129" t="s">
        <v>1032</v>
      </c>
      <c r="E534" s="2139">
        <f>1200000*12</f>
        <v>14400000</v>
      </c>
      <c r="F534" s="147"/>
      <c r="G534" s="986"/>
      <c r="H534" s="986"/>
      <c r="I534" s="977"/>
      <c r="J534" s="987"/>
      <c r="K534" s="987"/>
      <c r="L534" s="219"/>
      <c r="M534" s="986"/>
      <c r="N534" s="986"/>
      <c r="O534" s="986"/>
      <c r="P534" s="977"/>
      <c r="Q534" s="987"/>
      <c r="R534" s="987"/>
      <c r="S534" s="219"/>
      <c r="T534" s="986"/>
      <c r="U534" s="986"/>
      <c r="V534" s="986"/>
      <c r="W534" s="977"/>
      <c r="X534" s="987"/>
      <c r="Y534" s="1"/>
      <c r="Z534" s="1"/>
      <c r="AA534" s="1311"/>
      <c r="AB534" s="1311"/>
      <c r="AC534" s="1311"/>
      <c r="AD534" s="1311"/>
      <c r="AE534" s="1311">
        <v>2083</v>
      </c>
      <c r="AF534" s="1311">
        <v>4204</v>
      </c>
      <c r="AG534" s="1311">
        <v>3598</v>
      </c>
      <c r="AH534" s="1311">
        <v>3996</v>
      </c>
      <c r="AI534" s="3469">
        <v>5377</v>
      </c>
      <c r="AJ534" s="3423">
        <v>5802</v>
      </c>
      <c r="AK534" s="1311">
        <v>6213</v>
      </c>
      <c r="AL534" s="1311">
        <v>6465</v>
      </c>
      <c r="AM534" s="1311">
        <v>6696</v>
      </c>
      <c r="AN534" s="1311">
        <v>7001</v>
      </c>
      <c r="AO534" s="1311">
        <v>7285</v>
      </c>
      <c r="AP534" s="1792">
        <f t="shared" ref="AP534:AT537" si="233">AO534*(1+$BH534)</f>
        <v>7816.6071489088345</v>
      </c>
      <c r="AQ534" s="1792">
        <f t="shared" si="233"/>
        <v>8387.0071819317363</v>
      </c>
      <c r="AR534" s="1792">
        <f t="shared" si="233"/>
        <v>8999.0309260449358</v>
      </c>
      <c r="AS534" s="1792">
        <f t="shared" si="233"/>
        <v>9655.7157817123589</v>
      </c>
      <c r="AT534" s="1792">
        <f t="shared" si="233"/>
        <v>10360.32079713997</v>
      </c>
      <c r="AU534" s="1538"/>
      <c r="AV534" s="1538"/>
      <c r="AW534" s="1538"/>
      <c r="AX534" s="1538"/>
      <c r="AY534" s="1538">
        <f t="shared" si="224"/>
        <v>1.0182429188670188</v>
      </c>
      <c r="AZ534" s="1538">
        <f t="shared" si="225"/>
        <v>-0.14414843006660327</v>
      </c>
      <c r="BA534" s="1538">
        <f t="shared" si="226"/>
        <v>0.11061700944969433</v>
      </c>
      <c r="BB534" s="1538">
        <f t="shared" si="227"/>
        <v>0.34559559559559561</v>
      </c>
      <c r="BC534" s="1538">
        <f t="shared" si="228"/>
        <v>7.904035707643664E-2</v>
      </c>
      <c r="BD534" s="1538">
        <f t="shared" si="229"/>
        <v>7.0837642192347561E-2</v>
      </c>
      <c r="BE534" s="1538">
        <f t="shared" si="230"/>
        <v>4.0560115886045356E-2</v>
      </c>
      <c r="BF534" s="1538">
        <f t="shared" si="231"/>
        <v>3.5730858468677518E-2</v>
      </c>
      <c r="BG534" s="1538">
        <f t="shared" si="232"/>
        <v>4.5549581839904318E-2</v>
      </c>
      <c r="BH534" s="1781">
        <f>AVERAGE(AZ534:BG534)</f>
        <v>7.2972841305262257E-2</v>
      </c>
    </row>
    <row r="535" spans="1:60">
      <c r="B535" s="292"/>
      <c r="C535" s="292"/>
      <c r="D535" s="129" t="s">
        <v>1262</v>
      </c>
      <c r="E535" s="2140" t="s">
        <v>1261</v>
      </c>
      <c r="F535" s="147"/>
      <c r="G535" s="146"/>
      <c r="H535" s="146"/>
      <c r="I535" s="137"/>
      <c r="J535" s="149"/>
      <c r="K535" s="149"/>
      <c r="L535" s="219"/>
      <c r="M535" s="146"/>
      <c r="N535" s="146"/>
      <c r="O535" s="146"/>
      <c r="P535" s="137"/>
      <c r="Q535" s="149"/>
      <c r="R535" s="149"/>
      <c r="S535" s="219"/>
      <c r="T535" s="146"/>
      <c r="U535" s="146"/>
      <c r="V535" s="146"/>
      <c r="W535" s="137"/>
      <c r="X535" s="149"/>
      <c r="Y535" s="224"/>
      <c r="Z535" s="224"/>
      <c r="AA535" s="224"/>
      <c r="AB535" s="1009"/>
      <c r="AC535" s="1539">
        <f>(AC536*$E$536+AC537*$E$537)/1000000000</f>
        <v>76.310038540515379</v>
      </c>
      <c r="AD535" s="1539">
        <f>(AD536*$E$536+AD537*$E$537)/1000000000</f>
        <v>80.053366602106806</v>
      </c>
      <c r="AE535" s="1539">
        <f t="shared" ref="AE535:AT535" si="234">(AE536*$E$536+AE537*$E$537)/1000000000</f>
        <v>102.89405564340917</v>
      </c>
      <c r="AF535" s="1539">
        <f t="shared" si="234"/>
        <v>111.37363442309821</v>
      </c>
      <c r="AG535" s="1539">
        <f t="shared" si="234"/>
        <v>127.28355645193548</v>
      </c>
      <c r="AH535" s="1539">
        <f t="shared" si="234"/>
        <v>134.49652819674861</v>
      </c>
      <c r="AI535" s="3470">
        <f t="shared" si="234"/>
        <v>117.34926068169592</v>
      </c>
      <c r="AJ535" s="3424">
        <f t="shared" si="234"/>
        <v>123.00568152047016</v>
      </c>
      <c r="AK535" s="1539">
        <f t="shared" si="234"/>
        <v>128.93475083201241</v>
      </c>
      <c r="AL535" s="1539">
        <f t="shared" si="234"/>
        <v>135.14961070596237</v>
      </c>
      <c r="AM535" s="1539">
        <f t="shared" si="234"/>
        <v>141.6640367015637</v>
      </c>
      <c r="AN535" s="1539">
        <f t="shared" si="234"/>
        <v>148.4924683819057</v>
      </c>
      <c r="AO535" s="1539">
        <f t="shared" si="234"/>
        <v>155.65004131996383</v>
      </c>
      <c r="AP535" s="1539">
        <f t="shared" si="234"/>
        <v>162.69596081108367</v>
      </c>
      <c r="AQ535" s="1539">
        <f t="shared" si="234"/>
        <v>170.06096453271917</v>
      </c>
      <c r="AR535" s="1539">
        <f t="shared" si="234"/>
        <v>177.7595085808413</v>
      </c>
      <c r="AS535" s="1539">
        <f t="shared" si="234"/>
        <v>185.80670425064065</v>
      </c>
      <c r="AT535" s="1539">
        <f t="shared" si="234"/>
        <v>194.21834774435573</v>
      </c>
      <c r="AU535" s="1538"/>
      <c r="AV535" s="1538"/>
      <c r="AW535" s="1538">
        <f t="shared" si="222"/>
        <v>4.9054202214876108E-2</v>
      </c>
      <c r="AX535" s="1538">
        <f t="shared" si="223"/>
        <v>0.28531828217579625</v>
      </c>
      <c r="AY535" s="1538">
        <f t="shared" si="224"/>
        <v>8.2410774137195553E-2</v>
      </c>
      <c r="AZ535" s="1538">
        <f t="shared" si="225"/>
        <v>0.14285178095559803</v>
      </c>
      <c r="BA535" s="1538">
        <f t="shared" si="226"/>
        <v>5.6668527702059324E-2</v>
      </c>
      <c r="BB535" s="1538">
        <f t="shared" si="227"/>
        <v>-0.1274922687221246</v>
      </c>
      <c r="BC535" s="1538">
        <f t="shared" si="228"/>
        <v>4.8201589050628879E-2</v>
      </c>
      <c r="BD535" s="1538">
        <f t="shared" si="229"/>
        <v>4.8201589050628879E-2</v>
      </c>
      <c r="BE535" s="1538">
        <f t="shared" si="230"/>
        <v>4.8201589050629323E-2</v>
      </c>
      <c r="BF535" s="1538">
        <f t="shared" si="231"/>
        <v>4.8201589050629323E-2</v>
      </c>
      <c r="BG535" s="1538">
        <f t="shared" si="232"/>
        <v>4.8201589050628879E-2</v>
      </c>
      <c r="BH535" s="1781">
        <f>AVERAGE(AW535:BG535)</f>
        <v>6.6347203974231453E-2</v>
      </c>
    </row>
    <row r="536" spans="1:60">
      <c r="B536" s="292"/>
      <c r="C536" s="292"/>
      <c r="D536" s="129" t="s">
        <v>782</v>
      </c>
      <c r="E536" s="2141">
        <v>4180221.2372142104</v>
      </c>
      <c r="F536" s="996"/>
      <c r="G536" s="996"/>
      <c r="H536" s="996"/>
      <c r="I536" s="638"/>
      <c r="J536" s="86"/>
      <c r="K536" s="86"/>
      <c r="L536" s="997"/>
      <c r="M536" s="996"/>
      <c r="N536" s="996"/>
      <c r="O536" s="996"/>
      <c r="P536" s="638"/>
      <c r="Q536" s="86"/>
      <c r="R536" s="86"/>
      <c r="S536" s="997"/>
      <c r="T536" s="996"/>
      <c r="U536" s="996"/>
      <c r="V536" s="996"/>
      <c r="W536" s="638"/>
      <c r="X536" s="86"/>
      <c r="Y536" s="998"/>
      <c r="Z536" s="998"/>
      <c r="AA536" s="998"/>
      <c r="AB536" s="998"/>
      <c r="AC536" s="985">
        <v>18255.023887532334</v>
      </c>
      <c r="AD536" s="985">
        <v>19150.509520748739</v>
      </c>
      <c r="AE536" s="985">
        <v>13462</v>
      </c>
      <c r="AF536" s="985">
        <v>14301</v>
      </c>
      <c r="AG536" s="985">
        <v>14930</v>
      </c>
      <c r="AH536" s="985">
        <v>16006</v>
      </c>
      <c r="AI536" s="3467">
        <v>15930</v>
      </c>
      <c r="AJ536" s="3421">
        <v>16697.851313576521</v>
      </c>
      <c r="AK536" s="985">
        <v>17502.714280622044</v>
      </c>
      <c r="AL536" s="985">
        <v>18346.372921647166</v>
      </c>
      <c r="AM536" s="985">
        <v>19230.697249785993</v>
      </c>
      <c r="AN536" s="985">
        <v>20157.647415777243</v>
      </c>
      <c r="AO536" s="985">
        <v>21129.278052740014</v>
      </c>
      <c r="AP536" s="1792">
        <f t="shared" si="233"/>
        <v>22102.717743986035</v>
      </c>
      <c r="AQ536" s="1792">
        <f t="shared" si="233"/>
        <v>23121.004439948825</v>
      </c>
      <c r="AR536" s="1792">
        <f t="shared" si="233"/>
        <v>24186.204271535262</v>
      </c>
      <c r="AS536" s="1792">
        <f t="shared" si="233"/>
        <v>25300.478557657563</v>
      </c>
      <c r="AT536" s="1792">
        <f t="shared" si="233"/>
        <v>26466.08819060709</v>
      </c>
      <c r="AU536" s="1538"/>
      <c r="AV536" s="1538"/>
      <c r="AW536" s="1538">
        <f t="shared" si="222"/>
        <v>4.9054202214876108E-2</v>
      </c>
      <c r="AX536" s="1538">
        <f t="shared" si="223"/>
        <v>-0.29704220217146116</v>
      </c>
      <c r="AY536" s="1538">
        <f t="shared" si="224"/>
        <v>6.2323577477343628E-2</v>
      </c>
      <c r="AZ536" s="1538">
        <f t="shared" si="225"/>
        <v>4.3982938256065918E-2</v>
      </c>
      <c r="BA536" s="1538">
        <f t="shared" si="226"/>
        <v>7.2069658405894188E-2</v>
      </c>
      <c r="BB536" s="1538">
        <f t="shared" si="227"/>
        <v>-4.7482194177183024E-3</v>
      </c>
      <c r="BC536" s="1538">
        <f t="shared" si="228"/>
        <v>4.8201589050629101E-2</v>
      </c>
      <c r="BD536" s="1538">
        <f t="shared" si="229"/>
        <v>4.8201589050629101E-2</v>
      </c>
      <c r="BE536" s="1538">
        <f t="shared" si="230"/>
        <v>4.8201589050629101E-2</v>
      </c>
      <c r="BF536" s="1538">
        <f t="shared" si="231"/>
        <v>4.8201589050629101E-2</v>
      </c>
      <c r="BG536" s="1538">
        <f t="shared" si="232"/>
        <v>4.8201589050629101E-2</v>
      </c>
      <c r="BH536" s="1781">
        <f>AVERAGE(AY536:BG536)</f>
        <v>4.6070655552747884E-2</v>
      </c>
    </row>
    <row r="537" spans="1:60">
      <c r="B537" s="292"/>
      <c r="C537" s="292"/>
      <c r="D537" s="129" t="s">
        <v>1033</v>
      </c>
      <c r="E537" s="2141">
        <f>E536*1.5</f>
        <v>6270331.8558213152</v>
      </c>
      <c r="F537" s="996"/>
      <c r="G537" s="996"/>
      <c r="H537" s="996"/>
      <c r="I537" s="638"/>
      <c r="J537" s="86"/>
      <c r="K537" s="86"/>
      <c r="L537" s="997"/>
      <c r="M537" s="996"/>
      <c r="N537" s="996"/>
      <c r="O537" s="996"/>
      <c r="P537" s="638"/>
      <c r="Q537" s="86"/>
      <c r="R537" s="86"/>
      <c r="S537" s="997"/>
      <c r="T537" s="996"/>
      <c r="U537" s="996"/>
      <c r="V537" s="996"/>
      <c r="W537" s="638"/>
      <c r="X537" s="86"/>
      <c r="Y537" s="998"/>
      <c r="Z537" s="998"/>
      <c r="AA537" s="998"/>
      <c r="AB537" s="998"/>
      <c r="AC537" s="1462"/>
      <c r="AD537" s="1462"/>
      <c r="AE537" s="1462">
        <v>7435</v>
      </c>
      <c r="AF537" s="1462">
        <v>8228</v>
      </c>
      <c r="AG537" s="1462">
        <v>10346</v>
      </c>
      <c r="AH537" s="1462">
        <v>10779</v>
      </c>
      <c r="AI537" s="3471">
        <v>8095</v>
      </c>
      <c r="AJ537" s="1462">
        <v>8485.191863364842</v>
      </c>
      <c r="AK537" s="1462">
        <v>8894.1915945784967</v>
      </c>
      <c r="AL537" s="1462">
        <v>9322.9057627579296</v>
      </c>
      <c r="AM537" s="1462">
        <v>9772.28463509213</v>
      </c>
      <c r="AN537" s="1462">
        <v>10243.324283158618</v>
      </c>
      <c r="AO537" s="1462">
        <v>10737.068790767758</v>
      </c>
      <c r="AP537" s="1792">
        <f t="shared" si="233"/>
        <v>11211.800637354543</v>
      </c>
      <c r="AQ537" s="1792">
        <f t="shared" si="233"/>
        <v>11707.522414298994</v>
      </c>
      <c r="AR537" s="1792">
        <f t="shared" si="233"/>
        <v>12225.162176416872</v>
      </c>
      <c r="AS537" s="1792">
        <f t="shared" si="233"/>
        <v>12765.689011806393</v>
      </c>
      <c r="AT537" s="1792">
        <f t="shared" si="233"/>
        <v>13330.114856105572</v>
      </c>
      <c r="AU537" s="1538"/>
      <c r="AV537" s="1538"/>
      <c r="AW537" s="1538"/>
      <c r="AX537" s="1538"/>
      <c r="AY537" s="1538">
        <f t="shared" si="224"/>
        <v>0.10665770006724951</v>
      </c>
      <c r="AZ537" s="1538">
        <f t="shared" si="225"/>
        <v>0.257413709285367</v>
      </c>
      <c r="BA537" s="1538">
        <f t="shared" si="226"/>
        <v>4.1851923448675832E-2</v>
      </c>
      <c r="BB537" s="1538">
        <f t="shared" si="227"/>
        <v>-0.24900269041655065</v>
      </c>
      <c r="BC537" s="1538">
        <f t="shared" si="228"/>
        <v>4.8201589050629101E-2</v>
      </c>
      <c r="BD537" s="1538">
        <f t="shared" si="229"/>
        <v>4.8201589050629101E-2</v>
      </c>
      <c r="BE537" s="1538">
        <f t="shared" si="230"/>
        <v>4.8201589050629101E-2</v>
      </c>
      <c r="BF537" s="1538">
        <f t="shared" si="231"/>
        <v>4.8201589050629101E-2</v>
      </c>
      <c r="BG537" s="1538">
        <f t="shared" si="232"/>
        <v>4.8201589050629101E-2</v>
      </c>
      <c r="BH537" s="1781">
        <f>AVERAGE(AY537:BG537)</f>
        <v>4.4214287515320798E-2</v>
      </c>
    </row>
    <row r="538" spans="1:60" ht="16.75" thickBot="1">
      <c r="D538" s="132" t="s">
        <v>37</v>
      </c>
      <c r="F538" s="2940"/>
      <c r="G538" s="236"/>
      <c r="H538" s="236"/>
      <c r="I538" s="236"/>
      <c r="J538" s="236"/>
      <c r="K538" s="236"/>
      <c r="L538" s="236"/>
      <c r="M538" s="236"/>
      <c r="N538" s="236"/>
      <c r="O538" s="236"/>
      <c r="P538" s="236"/>
      <c r="Q538" s="236"/>
      <c r="R538" s="236"/>
      <c r="S538" s="236"/>
      <c r="T538" s="236"/>
      <c r="U538" s="236"/>
      <c r="V538" s="236"/>
      <c r="W538" s="236"/>
      <c r="X538" s="236"/>
      <c r="Y538" s="236"/>
      <c r="Z538" s="236"/>
      <c r="AA538" s="236"/>
      <c r="AB538" s="236"/>
      <c r="AC538" s="236"/>
      <c r="AD538" s="1693"/>
      <c r="AE538" s="1693"/>
      <c r="AF538" s="1693"/>
      <c r="AG538" s="1693"/>
      <c r="AH538" s="1693"/>
      <c r="AI538" s="3472"/>
      <c r="AJ538" s="3425"/>
      <c r="AK538" s="1693"/>
      <c r="AL538" s="1693"/>
      <c r="AM538" s="1693"/>
      <c r="AN538" s="1693"/>
      <c r="AO538" s="1693"/>
      <c r="AP538" s="1693"/>
      <c r="AQ538" s="1693"/>
      <c r="AR538" s="1693"/>
      <c r="AS538" s="1693"/>
      <c r="AT538" s="1693"/>
      <c r="AU538" s="1538"/>
      <c r="AV538" s="1538"/>
      <c r="AW538" s="1538"/>
      <c r="AX538" s="1538"/>
      <c r="AY538" s="1538"/>
      <c r="AZ538" s="1538"/>
      <c r="BA538" s="1538"/>
      <c r="BB538" s="1538"/>
      <c r="BC538" s="1538"/>
      <c r="BD538" s="1538"/>
      <c r="BE538" s="1538"/>
      <c r="BF538" s="1538"/>
      <c r="BG538" s="1538"/>
    </row>
    <row r="539" spans="1:60" ht="16.75" thickBot="1">
      <c r="B539" s="292"/>
      <c r="D539" s="2097"/>
      <c r="E539" s="3008"/>
      <c r="F539" s="2941"/>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3193"/>
      <c r="AE539" s="3193"/>
      <c r="AF539" s="3193"/>
      <c r="AG539" s="61"/>
      <c r="AH539" s="61"/>
      <c r="AI539" s="3455"/>
      <c r="AJ539" s="3411"/>
      <c r="AK539" s="61"/>
      <c r="AL539" s="61"/>
      <c r="AM539" s="61"/>
      <c r="AN539" s="61"/>
      <c r="AO539" s="61"/>
      <c r="AP539" s="61"/>
      <c r="AQ539" s="61"/>
      <c r="AR539" s="61"/>
      <c r="AS539" s="61"/>
      <c r="AT539" s="61"/>
      <c r="AU539" s="1538"/>
    </row>
    <row r="540" spans="1:60">
      <c r="C540" s="293"/>
      <c r="D540" s="295" t="s">
        <v>1166</v>
      </c>
      <c r="U540"/>
      <c r="W540" s="2"/>
      <c r="Y540" s="2"/>
      <c r="AA540" s="2"/>
      <c r="AB540" s="2"/>
      <c r="AC540"/>
      <c r="AD540" s="1694"/>
      <c r="AE540" s="1694"/>
      <c r="AF540" s="1694"/>
      <c r="AG540" s="1694"/>
      <c r="AH540" s="1694"/>
      <c r="AI540" s="1694"/>
      <c r="AJ540" s="1694"/>
      <c r="AK540" s="1694"/>
      <c r="AL540" s="1694"/>
      <c r="AM540" s="1694"/>
      <c r="AN540" s="1694"/>
      <c r="AO540" s="1694"/>
    </row>
    <row r="541" spans="1:60">
      <c r="C541" s="293"/>
      <c r="D541"/>
      <c r="U541"/>
      <c r="W541" s="2"/>
      <c r="Y541" s="2"/>
      <c r="AA541" s="2"/>
      <c r="AB541" s="2"/>
      <c r="AC541"/>
      <c r="AD541" s="2"/>
      <c r="AE541" s="2"/>
      <c r="AF541" s="2"/>
      <c r="AG541" s="2"/>
      <c r="AH541" s="2"/>
      <c r="AI541" s="2"/>
      <c r="AJ541" s="2"/>
      <c r="AK541" s="2"/>
      <c r="AL541" s="2"/>
      <c r="AM541" s="2"/>
      <c r="AP541" s="3194"/>
    </row>
    <row r="542" spans="1:60">
      <c r="C542" s="293"/>
      <c r="D542" s="1563" t="s">
        <v>1057</v>
      </c>
      <c r="E542" s="3009"/>
      <c r="F542" s="21"/>
      <c r="G542" s="21"/>
      <c r="H542" s="21"/>
      <c r="I542" s="21"/>
      <c r="J542" s="21"/>
      <c r="K542" s="21"/>
      <c r="L542" s="21"/>
      <c r="M542" s="21"/>
      <c r="N542" s="21"/>
      <c r="O542" s="21"/>
      <c r="P542" s="21"/>
      <c r="Q542" s="21"/>
      <c r="R542" s="21"/>
      <c r="S542" s="21"/>
      <c r="T542" s="21"/>
      <c r="U542" s="21"/>
      <c r="V542" s="21"/>
      <c r="W542" s="26"/>
      <c r="X542" s="26"/>
      <c r="Y542" s="26"/>
      <c r="Z542" s="26"/>
      <c r="AA542" s="26"/>
      <c r="AB542" s="26"/>
      <c r="AC542" s="21"/>
      <c r="AD542" s="26"/>
      <c r="AE542" s="26"/>
      <c r="AF542" s="26"/>
      <c r="AG542" s="26"/>
      <c r="AH542" s="26"/>
      <c r="AI542" s="26"/>
      <c r="AJ542" s="26"/>
      <c r="AK542" s="26"/>
      <c r="AL542" s="26"/>
      <c r="AM542" s="26"/>
      <c r="AN542" s="26"/>
      <c r="AO542" s="26"/>
      <c r="AP542" s="26"/>
      <c r="AQ542" s="26"/>
      <c r="AR542" s="26"/>
      <c r="AS542" s="26"/>
      <c r="AT542" s="26"/>
    </row>
    <row r="543" spans="1:60">
      <c r="A543" s="300" t="s">
        <v>255</v>
      </c>
      <c r="B543" s="292" t="s">
        <v>256</v>
      </c>
      <c r="C543" s="293"/>
      <c r="D543" s="17" t="s">
        <v>1693</v>
      </c>
      <c r="E543" s="2990"/>
      <c r="F543" s="19"/>
      <c r="G543" s="19"/>
      <c r="H543" s="19"/>
      <c r="I543" s="19"/>
      <c r="J543" s="19"/>
      <c r="K543" s="19"/>
      <c r="L543" s="19"/>
      <c r="M543" s="19"/>
      <c r="N543" s="19"/>
      <c r="O543" s="19"/>
      <c r="P543" s="19"/>
      <c r="Q543" s="19"/>
      <c r="R543" s="19"/>
      <c r="S543" s="19"/>
      <c r="T543" s="19"/>
      <c r="U543" s="19"/>
      <c r="V543" s="19"/>
      <c r="W543" s="870"/>
      <c r="X543" s="870"/>
      <c r="Y543" s="870"/>
      <c r="Z543" s="870"/>
      <c r="AA543" s="870"/>
      <c r="AB543" s="870"/>
      <c r="AC543" s="19"/>
      <c r="AD543" s="26"/>
      <c r="AE543" s="870"/>
      <c r="AF543" s="26"/>
      <c r="AG543" s="26"/>
      <c r="AH543" s="26"/>
      <c r="AI543" s="26"/>
      <c r="AJ543" s="26"/>
      <c r="AK543" s="26"/>
      <c r="AL543" s="26"/>
      <c r="AM543" s="26"/>
      <c r="AN543" s="26"/>
      <c r="AO543" s="26"/>
      <c r="AP543" s="26"/>
      <c r="AQ543" s="26"/>
      <c r="AR543" s="26"/>
      <c r="AS543" s="26"/>
      <c r="AT543" s="26"/>
    </row>
    <row r="544" spans="1:60" ht="16.75" thickBot="1">
      <c r="C544" s="293"/>
      <c r="D544" s="27"/>
      <c r="E544" s="2990"/>
      <c r="F544" s="19"/>
      <c r="G544" s="19"/>
      <c r="H544" s="19"/>
      <c r="I544" s="19"/>
      <c r="J544" s="19"/>
      <c r="K544" s="19"/>
      <c r="L544" s="19"/>
      <c r="M544" s="19"/>
      <c r="N544" s="19"/>
      <c r="O544" s="19"/>
      <c r="P544" s="19"/>
      <c r="Q544" s="19"/>
      <c r="R544" s="19"/>
      <c r="S544" s="19"/>
      <c r="T544" s="19"/>
      <c r="U544" s="19"/>
      <c r="V544" s="19"/>
      <c r="W544" s="870"/>
      <c r="X544" s="870"/>
      <c r="Y544" s="870"/>
      <c r="Z544" s="874"/>
      <c r="AA544" s="870"/>
      <c r="AB544" s="870"/>
      <c r="AC544" s="19"/>
      <c r="AD544" s="870"/>
      <c r="AE544" s="870"/>
      <c r="AF544" s="26"/>
      <c r="AG544" s="26"/>
      <c r="AH544" s="26"/>
      <c r="AI544" s="26"/>
      <c r="AJ544" s="26"/>
      <c r="AK544" s="26"/>
      <c r="AL544" s="26"/>
      <c r="AM544" s="26"/>
      <c r="AN544" s="26"/>
      <c r="AO544" s="26"/>
      <c r="AP544" s="26"/>
      <c r="AQ544" s="26"/>
      <c r="AR544" s="26"/>
      <c r="AS544" s="26"/>
      <c r="AT544" s="26"/>
      <c r="AU544" s="1507"/>
      <c r="AV544" s="1507"/>
      <c r="AW544" s="1507"/>
    </row>
    <row r="545" spans="1:57" ht="16.75" thickBot="1">
      <c r="D545" s="21"/>
      <c r="E545" s="3010"/>
      <c r="F545" s="2185"/>
      <c r="G545" s="112"/>
      <c r="H545" s="112"/>
      <c r="I545" s="112">
        <v>1998</v>
      </c>
      <c r="J545" s="112">
        <v>1999</v>
      </c>
      <c r="K545" s="112">
        <v>2000</v>
      </c>
      <c r="L545" s="112">
        <v>2001</v>
      </c>
      <c r="M545" s="112">
        <v>2002</v>
      </c>
      <c r="N545" s="112">
        <v>2003</v>
      </c>
      <c r="O545" s="112">
        <v>2004</v>
      </c>
      <c r="P545" s="112">
        <v>2005</v>
      </c>
      <c r="Q545" s="112">
        <v>2006</v>
      </c>
      <c r="R545" s="112">
        <v>2007</v>
      </c>
      <c r="S545" s="112">
        <v>2008</v>
      </c>
      <c r="T545" s="112">
        <v>2009</v>
      </c>
      <c r="U545" s="112">
        <v>2010</v>
      </c>
      <c r="V545" s="112">
        <v>2011</v>
      </c>
      <c r="W545" s="112">
        <v>2012</v>
      </c>
      <c r="X545" s="112">
        <v>2013</v>
      </c>
      <c r="Y545" s="112">
        <v>2014</v>
      </c>
      <c r="Z545" s="112">
        <v>2015</v>
      </c>
      <c r="AA545" s="112">
        <v>2016</v>
      </c>
      <c r="AB545" s="112">
        <v>2017</v>
      </c>
      <c r="AC545" s="112">
        <v>2018</v>
      </c>
      <c r="AD545" s="112">
        <v>2019</v>
      </c>
      <c r="AE545" s="112">
        <v>2020</v>
      </c>
      <c r="AF545" s="112">
        <v>2021</v>
      </c>
      <c r="AG545" s="112">
        <v>2022</v>
      </c>
      <c r="AH545" s="112">
        <v>2023</v>
      </c>
      <c r="AI545" s="2887">
        <v>2024</v>
      </c>
      <c r="AJ545" s="2889">
        <v>2025</v>
      </c>
      <c r="AK545" s="112">
        <v>2026</v>
      </c>
      <c r="AL545" s="112">
        <v>2027</v>
      </c>
      <c r="AM545" s="112">
        <v>2028</v>
      </c>
      <c r="AN545" s="112">
        <v>2029</v>
      </c>
      <c r="AO545" s="112">
        <v>2030</v>
      </c>
      <c r="AP545" s="1795">
        <v>2031</v>
      </c>
      <c r="AQ545" s="1795">
        <v>2032</v>
      </c>
      <c r="AR545" s="1795">
        <v>2033</v>
      </c>
      <c r="AS545" s="1795">
        <v>2034</v>
      </c>
      <c r="AT545" s="1795">
        <v>2035</v>
      </c>
    </row>
    <row r="546" spans="1:57" ht="16.75" thickBot="1">
      <c r="A546" s="297" t="s">
        <v>30</v>
      </c>
      <c r="B546" s="292" t="s">
        <v>254</v>
      </c>
      <c r="C546" s="293"/>
      <c r="D546" s="100" t="s">
        <v>59</v>
      </c>
      <c r="E546" s="3011"/>
      <c r="F546" s="2942"/>
      <c r="G546" s="113"/>
      <c r="H546" s="113"/>
      <c r="I546" s="113"/>
      <c r="J546" s="114"/>
      <c r="K546" s="229">
        <v>8.4000000000000005E-2</v>
      </c>
      <c r="L546" s="229">
        <v>8.5000000000000006E-2</v>
      </c>
      <c r="M546" s="229">
        <v>0.13200000000000001</v>
      </c>
      <c r="N546" s="229">
        <v>2.1999999999999999E-2</v>
      </c>
      <c r="O546" s="229">
        <v>7.3999999999999996E-2</v>
      </c>
      <c r="P546" s="229">
        <v>9.4E-2</v>
      </c>
      <c r="Q546" s="229">
        <v>9.1999999999999998E-2</v>
      </c>
      <c r="R546" s="229">
        <v>7.5999999999999998E-2</v>
      </c>
      <c r="S546" s="229">
        <v>0.112</v>
      </c>
      <c r="T546" s="229">
        <v>6.2E-2</v>
      </c>
      <c r="U546" s="229">
        <v>7.2999999999999995E-2</v>
      </c>
      <c r="V546" s="2888">
        <v>0.08</v>
      </c>
      <c r="W546" s="3319">
        <f>W591/V591-1</f>
        <v>8.6302637667746485E-2</v>
      </c>
      <c r="X546" s="229">
        <f t="shared" ref="X546:AH546" si="235">X591/W591-1</f>
        <v>0.54430244941427053</v>
      </c>
      <c r="Y546" s="229">
        <f t="shared" si="235"/>
        <v>-0.28335976829184195</v>
      </c>
      <c r="Z546" s="229">
        <f t="shared" si="235"/>
        <v>8.8722093918398803E-2</v>
      </c>
      <c r="AA546" s="229">
        <f t="shared" si="235"/>
        <v>5.65670850273996E-2</v>
      </c>
      <c r="AB546" s="229">
        <f t="shared" si="235"/>
        <v>4.70972059561654E-2</v>
      </c>
      <c r="AC546" s="229">
        <f t="shared" si="235"/>
        <v>8.0690261244707129E-2</v>
      </c>
      <c r="AD546" s="229">
        <f t="shared" si="235"/>
        <v>9.2777408146669682E-2</v>
      </c>
      <c r="AE546" s="229">
        <f t="shared" si="235"/>
        <v>-0.27269652279799761</v>
      </c>
      <c r="AF546" s="229">
        <f t="shared" si="235"/>
        <v>0.44926053390382292</v>
      </c>
      <c r="AG546" s="229">
        <f t="shared" si="235"/>
        <v>9.8196521404274373E-2</v>
      </c>
      <c r="AH546" s="229">
        <f t="shared" si="235"/>
        <v>8.5617439074279655E-2</v>
      </c>
      <c r="AI546" s="3322">
        <f>AI591/AH591-1</f>
        <v>7.2189922480620172E-2</v>
      </c>
      <c r="AJ546" s="3812">
        <f>'GDP current year'!U85</f>
        <v>7.7782468776579336E-2</v>
      </c>
      <c r="AK546" s="3319">
        <f t="shared" ref="AK546:AT546" si="236">(AK591-AJ591)/AJ591</f>
        <v>8.3624635479302517E-2</v>
      </c>
      <c r="AL546" s="229">
        <f t="shared" si="236"/>
        <v>8.9448074270741265E-2</v>
      </c>
      <c r="AM546" s="229">
        <f t="shared" si="236"/>
        <v>8.4872958933530918E-2</v>
      </c>
      <c r="AN546" s="229">
        <f t="shared" si="236"/>
        <v>7.9348150624235281E-2</v>
      </c>
      <c r="AO546" s="229">
        <f t="shared" si="236"/>
        <v>8.3566922941106181E-2</v>
      </c>
      <c r="AP546" s="1799">
        <f t="shared" si="236"/>
        <v>8.5986517054702047E-2</v>
      </c>
      <c r="AQ546" s="1799">
        <f t="shared" si="236"/>
        <v>8.6815805047469774E-2</v>
      </c>
      <c r="AR546" s="1799">
        <f t="shared" si="236"/>
        <v>8.9285264139473394E-2</v>
      </c>
      <c r="AS546" s="1799">
        <f t="shared" si="236"/>
        <v>9.1185787998089463E-2</v>
      </c>
      <c r="AT546" s="1799">
        <f t="shared" si="236"/>
        <v>9.5543951724292031E-2</v>
      </c>
      <c r="AV546" s="2376"/>
      <c r="AW546" s="2170"/>
      <c r="AX546" s="2170"/>
      <c r="AY546" s="2170"/>
      <c r="AZ546" s="2170"/>
      <c r="BA546" s="2170"/>
      <c r="BB546" s="2170"/>
      <c r="BC546" s="2170"/>
      <c r="BD546" s="2170"/>
      <c r="BE546" s="2170"/>
    </row>
    <row r="547" spans="1:57" ht="14.25" customHeight="1" thickBot="1">
      <c r="A547" s="300" t="s">
        <v>253</v>
      </c>
      <c r="C547" s="293"/>
      <c r="D547" s="100"/>
      <c r="E547" s="3011"/>
      <c r="F547" s="2942"/>
      <c r="G547" s="113"/>
      <c r="H547" s="113"/>
      <c r="I547" s="113"/>
      <c r="J547" s="114"/>
      <c r="K547" s="1073"/>
      <c r="L547" s="1073"/>
      <c r="M547" s="1073"/>
      <c r="N547" s="1073"/>
      <c r="O547" s="1073"/>
      <c r="P547" s="1073"/>
      <c r="Q547" s="1073"/>
      <c r="R547" s="1073"/>
      <c r="S547" s="1073"/>
      <c r="T547" s="1073"/>
      <c r="U547" s="1073"/>
      <c r="V547" s="3312"/>
      <c r="W547" s="3323"/>
      <c r="X547" s="1073"/>
      <c r="Y547" s="1073"/>
      <c r="Z547" s="1073"/>
      <c r="AA547" s="1073"/>
      <c r="AB547" s="1073"/>
      <c r="AC547" s="1073"/>
      <c r="AD547" s="1073"/>
      <c r="AE547" s="1073"/>
      <c r="AF547" s="1073"/>
      <c r="AG547" s="1073"/>
      <c r="AH547" s="1073"/>
      <c r="AI547" s="3324"/>
      <c r="AJ547" s="3320"/>
      <c r="AK547" s="1236"/>
      <c r="AL547" s="1236"/>
      <c r="AM547" s="1236"/>
      <c r="AN547" s="1236"/>
      <c r="AO547" s="1236"/>
      <c r="AP547" s="1800"/>
      <c r="AQ547" s="1800"/>
      <c r="AR547" s="1800"/>
      <c r="AS547" s="1800"/>
      <c r="AT547" s="1800"/>
      <c r="AV547" s="2376"/>
      <c r="AW547" s="2170"/>
      <c r="AX547" s="2170"/>
      <c r="AY547" s="2170"/>
      <c r="AZ547" s="2170"/>
      <c r="BA547" s="2170"/>
      <c r="BB547" s="274"/>
    </row>
    <row r="548" spans="1:57" ht="16.75" thickBot="1">
      <c r="C548" s="293"/>
      <c r="D548" s="104" t="s">
        <v>132</v>
      </c>
      <c r="E548" s="3011"/>
      <c r="F548" s="2942"/>
      <c r="G548" s="113"/>
      <c r="H548" s="113"/>
      <c r="I548" s="113"/>
      <c r="J548" s="114"/>
      <c r="K548" s="1039">
        <v>7.4999999999999997E-2</v>
      </c>
      <c r="L548" s="1039">
        <v>8.7999999999999995E-2</v>
      </c>
      <c r="M548" s="1039">
        <v>0.16900000000000001</v>
      </c>
      <c r="N548" s="1039">
        <v>-3.1E-2</v>
      </c>
      <c r="O548" s="1039">
        <v>1.7999999999999999E-2</v>
      </c>
      <c r="P548" s="1039">
        <v>6.5000000000000002E-2</v>
      </c>
      <c r="Q548" s="1039">
        <v>2.8000000000000001E-2</v>
      </c>
      <c r="R548" s="1039">
        <v>2.5999999999999999E-2</v>
      </c>
      <c r="S548" s="1039">
        <v>6.4000000000000001E-2</v>
      </c>
      <c r="T548" s="1039">
        <v>7.6999999999999999E-2</v>
      </c>
      <c r="U548" s="1039">
        <v>0.05</v>
      </c>
      <c r="V548" s="3313">
        <v>0.04</v>
      </c>
      <c r="W548" s="3325">
        <f t="shared" ref="W548:AH585" si="237">W593/V593-1</f>
        <v>6.7656765676567643E-2</v>
      </c>
      <c r="X548" s="1039">
        <f t="shared" si="237"/>
        <v>0.38446676970633686</v>
      </c>
      <c r="Y548" s="1039">
        <f t="shared" si="237"/>
        <v>-0.21490371197320679</v>
      </c>
      <c r="Z548" s="1039">
        <f t="shared" si="237"/>
        <v>4.5147529328119385E-2</v>
      </c>
      <c r="AA548" s="1039">
        <f t="shared" si="237"/>
        <v>2.7210884353741527E-2</v>
      </c>
      <c r="AB548" s="1039">
        <f t="shared" si="237"/>
        <v>7.8476821192053015E-2</v>
      </c>
      <c r="AC548" s="1039">
        <f t="shared" si="237"/>
        <v>4.4212465459011252E-2</v>
      </c>
      <c r="AD548" s="1039">
        <f t="shared" si="237"/>
        <v>4.322258159364889E-2</v>
      </c>
      <c r="AE548" s="1039">
        <f t="shared" si="237"/>
        <v>-0.21166854565952653</v>
      </c>
      <c r="AF548" s="1039">
        <f t="shared" si="237"/>
        <v>0.36181623167679655</v>
      </c>
      <c r="AG548" s="1039">
        <f t="shared" si="237"/>
        <v>4.4631136781307923E-3</v>
      </c>
      <c r="AH548" s="1039">
        <f t="shared" si="237"/>
        <v>4.8876110820700536E-2</v>
      </c>
      <c r="AI548" s="3326">
        <f t="shared" ref="AI548:AI585" si="238">AI593/AH593-1</f>
        <v>3.2145527037129362E-2</v>
      </c>
      <c r="AJ548" s="3812">
        <f>'GDP current year'!U86</f>
        <v>6.8531117305283287E-2</v>
      </c>
      <c r="AK548" s="229">
        <f>(AK593-AJ593)/AJ593</f>
        <v>9.9180326843461328E-2</v>
      </c>
      <c r="AL548" s="233">
        <f t="shared" ref="AL548:AT548" si="239">(AL593-AK593)/AK593</f>
        <v>8.701307473038547E-2</v>
      </c>
      <c r="AM548" s="233">
        <f t="shared" si="239"/>
        <v>7.4429807203637233E-2</v>
      </c>
      <c r="AN548" s="233">
        <f t="shared" si="239"/>
        <v>6.8559956828897817E-2</v>
      </c>
      <c r="AO548" s="233">
        <f t="shared" si="239"/>
        <v>8.1679384243461384E-2</v>
      </c>
      <c r="AP548" s="1799">
        <f>(AP593-AO593)/AO593</f>
        <v>6.2195102779641818E-2</v>
      </c>
      <c r="AQ548" s="1799">
        <f t="shared" si="239"/>
        <v>6.5519827813702997E-2</v>
      </c>
      <c r="AR548" s="1799">
        <f t="shared" si="239"/>
        <v>6.8333484444108944E-2</v>
      </c>
      <c r="AS548" s="1799">
        <f t="shared" si="239"/>
        <v>7.1042202333124943E-2</v>
      </c>
      <c r="AT548" s="1799">
        <f t="shared" si="239"/>
        <v>7.3089129996456434E-2</v>
      </c>
      <c r="AV548" s="2376"/>
      <c r="AW548" s="2170"/>
      <c r="AX548" s="2170"/>
      <c r="AY548" s="2170"/>
      <c r="AZ548" s="2170"/>
      <c r="BA548" s="2170"/>
      <c r="BB548" s="274"/>
    </row>
    <row r="549" spans="1:57">
      <c r="A549" s="297" t="s">
        <v>176</v>
      </c>
      <c r="B549" s="295" t="s">
        <v>604</v>
      </c>
      <c r="C549" s="293" t="s">
        <v>30</v>
      </c>
      <c r="D549" s="454" t="s">
        <v>48</v>
      </c>
      <c r="E549" s="3012"/>
      <c r="F549" s="2209"/>
      <c r="G549" s="119"/>
      <c r="H549" s="119"/>
      <c r="I549" s="119"/>
      <c r="J549" s="120"/>
      <c r="K549" s="1040">
        <v>7.5999999999999998E-2</v>
      </c>
      <c r="L549" s="1040">
        <v>8.8999999999999996E-2</v>
      </c>
      <c r="M549" s="1040">
        <v>0.187</v>
      </c>
      <c r="N549" s="1040">
        <v>-3.6999999999999998E-2</v>
      </c>
      <c r="O549" s="1040">
        <v>-4.0000000000000001E-3</v>
      </c>
      <c r="P549" s="1040">
        <v>7.9000000000000001E-2</v>
      </c>
      <c r="Q549" s="1040">
        <v>1.4E-2</v>
      </c>
      <c r="R549" s="1040">
        <v>0.04</v>
      </c>
      <c r="S549" s="1040">
        <v>6.2E-2</v>
      </c>
      <c r="T549" s="1040">
        <v>9.4E-2</v>
      </c>
      <c r="U549" s="1040">
        <v>4.9000000000000002E-2</v>
      </c>
      <c r="V549" s="3314">
        <v>0.04</v>
      </c>
      <c r="W549" s="3321">
        <f t="shared" si="237"/>
        <v>8.2666666666666666E-2</v>
      </c>
      <c r="X549" s="1040">
        <f t="shared" si="237"/>
        <v>0.36576354679802958</v>
      </c>
      <c r="Y549" s="1040">
        <f t="shared" si="237"/>
        <v>-0.19522091974752032</v>
      </c>
      <c r="Z549" s="1040">
        <f t="shared" si="237"/>
        <v>3.3053221288515511E-2</v>
      </c>
      <c r="AA549" s="1040">
        <f t="shared" si="237"/>
        <v>1.5184381778741818E-2</v>
      </c>
      <c r="AB549" s="1040">
        <f t="shared" si="237"/>
        <v>9.935897435897445E-2</v>
      </c>
      <c r="AC549" s="1040">
        <f t="shared" si="237"/>
        <v>3.158406219630705E-2</v>
      </c>
      <c r="AD549" s="1040">
        <f t="shared" si="237"/>
        <v>2.9203956665096564E-2</v>
      </c>
      <c r="AE549" s="1040">
        <f t="shared" si="237"/>
        <v>-0.20457665903890165</v>
      </c>
      <c r="AF549" s="1040">
        <f t="shared" si="237"/>
        <v>0.31703107019562715</v>
      </c>
      <c r="AG549" s="1040">
        <f t="shared" si="237"/>
        <v>-2.0969855832241202E-2</v>
      </c>
      <c r="AH549" s="1040">
        <f t="shared" si="237"/>
        <v>5.4439982150825461E-2</v>
      </c>
      <c r="AI549" s="3327">
        <f t="shared" si="238"/>
        <v>4.2319085907744913E-3</v>
      </c>
      <c r="AJ549" s="3813">
        <f>'GDP current year'!U87</f>
        <v>3.054792416545439E-2</v>
      </c>
      <c r="AK549" s="232">
        <f t="shared" ref="AK549:AT549" si="240">AK430/AJ430-1+AK306</f>
        <v>8.3873779955544014E-2</v>
      </c>
      <c r="AL549" s="1570">
        <f t="shared" si="240"/>
        <v>8.9003634260349518E-2</v>
      </c>
      <c r="AM549" s="1570">
        <f t="shared" si="240"/>
        <v>5.9439019498409129E-2</v>
      </c>
      <c r="AN549" s="1570">
        <f t="shared" si="240"/>
        <v>4.1086794533862214E-2</v>
      </c>
      <c r="AO549" s="1570">
        <f>AO430/AN430-1+AO306</f>
        <v>6.6308913673682968E-2</v>
      </c>
      <c r="AP549" s="1801">
        <f t="shared" si="240"/>
        <v>3.0151942765750644E-2</v>
      </c>
      <c r="AQ549" s="1801">
        <f t="shared" si="240"/>
        <v>3.1255623715615882E-2</v>
      </c>
      <c r="AR549" s="1801">
        <f t="shared" si="240"/>
        <v>3.2351617185212761E-2</v>
      </c>
      <c r="AS549" s="1801">
        <f t="shared" si="240"/>
        <v>3.3440199929483355E-2</v>
      </c>
      <c r="AT549" s="1801">
        <f t="shared" si="240"/>
        <v>3.4521606044599668E-2</v>
      </c>
      <c r="AV549" s="2376"/>
      <c r="AW549" s="2170"/>
      <c r="AX549" s="2170"/>
      <c r="AY549" s="2170"/>
      <c r="AZ549" s="2170"/>
      <c r="BA549" s="2170"/>
      <c r="BB549" s="274"/>
    </row>
    <row r="550" spans="1:57">
      <c r="A550" s="297" t="s">
        <v>187</v>
      </c>
      <c r="B550" s="295" t="s">
        <v>605</v>
      </c>
      <c r="C550" s="293" t="s">
        <v>30</v>
      </c>
      <c r="D550" s="122" t="s">
        <v>49</v>
      </c>
      <c r="E550" s="3013"/>
      <c r="F550" s="2210"/>
      <c r="G550" s="121"/>
      <c r="H550" s="121"/>
      <c r="I550" s="121"/>
      <c r="J550" s="120"/>
      <c r="K550" s="1040">
        <v>0.16200000000000001</v>
      </c>
      <c r="L550" s="1040">
        <v>0.13100000000000001</v>
      </c>
      <c r="M550" s="1040">
        <v>5.3999999999999999E-2</v>
      </c>
      <c r="N550" s="1040">
        <v>-0.16400000000000001</v>
      </c>
      <c r="O550" s="1040">
        <v>0.62</v>
      </c>
      <c r="P550" s="1040">
        <v>-0.22500000000000001</v>
      </c>
      <c r="Q550" s="1040">
        <v>0.32800000000000001</v>
      </c>
      <c r="R550" s="1040">
        <v>-0.29199999999999998</v>
      </c>
      <c r="S550" s="1040">
        <v>0.29299999999999998</v>
      </c>
      <c r="T550" s="1040">
        <v>-0.153</v>
      </c>
      <c r="U550" s="1040">
        <v>0.14199999999999999</v>
      </c>
      <c r="V550" s="3314">
        <v>0.03</v>
      </c>
      <c r="W550" s="3321">
        <f t="shared" si="237"/>
        <v>8.6614173228346525E-2</v>
      </c>
      <c r="X550" s="1040">
        <f t="shared" si="237"/>
        <v>0.15579710144927539</v>
      </c>
      <c r="Y550" s="1040">
        <f t="shared" si="237"/>
        <v>-0.19435736677115989</v>
      </c>
      <c r="Z550" s="1040">
        <f t="shared" si="237"/>
        <v>0.14785992217898825</v>
      </c>
      <c r="AA550" s="1040">
        <f t="shared" si="237"/>
        <v>2.3728813559322104E-2</v>
      </c>
      <c r="AB550" s="1040">
        <f t="shared" si="237"/>
        <v>1.3245033112582849E-2</v>
      </c>
      <c r="AC550" s="1040">
        <f t="shared" si="237"/>
        <v>6.8627450980392135E-2</v>
      </c>
      <c r="AD550" s="1040">
        <f t="shared" si="237"/>
        <v>4.587155963302747E-2</v>
      </c>
      <c r="AE550" s="1040">
        <f t="shared" si="237"/>
        <v>-0.26608187134502925</v>
      </c>
      <c r="AF550" s="1040">
        <f t="shared" si="237"/>
        <v>0.43027888446215146</v>
      </c>
      <c r="AG550" s="1040">
        <f t="shared" si="237"/>
        <v>-3.6211699164345412E-2</v>
      </c>
      <c r="AH550" s="1040">
        <f t="shared" si="237"/>
        <v>-2.8901734104046506E-3</v>
      </c>
      <c r="AI550" s="3327">
        <f t="shared" si="238"/>
        <v>2.0289855072463725E-2</v>
      </c>
      <c r="AJ550" s="3813">
        <f>'GDP current year'!U112</f>
        <v>0.26859177379462579</v>
      </c>
      <c r="AK550" s="2205">
        <f t="shared" ref="AK550:AT550" si="241">(AK455/AJ455-1)*(AK307+AK308)+AK310+AK312</f>
        <v>4.1365240647296728E-2</v>
      </c>
      <c r="AL550" s="2205">
        <f t="shared" si="241"/>
        <v>3.9374694750462479E-2</v>
      </c>
      <c r="AM550" s="2205">
        <f t="shared" si="241"/>
        <v>3.8005007473070493E-2</v>
      </c>
      <c r="AN550" s="2205">
        <f t="shared" si="241"/>
        <v>7.0183334785760679E-2</v>
      </c>
      <c r="AO550" s="2205">
        <f t="shared" si="241"/>
        <v>2.7543358230363059E-2</v>
      </c>
      <c r="AP550" s="1801">
        <f t="shared" si="241"/>
        <v>3.7043020923625651E-2</v>
      </c>
      <c r="AQ550" s="1801">
        <f t="shared" si="241"/>
        <v>4.0452521764199459E-2</v>
      </c>
      <c r="AR550" s="1801">
        <f t="shared" si="241"/>
        <v>4.1970922181932019E-2</v>
      </c>
      <c r="AS550" s="1801">
        <f t="shared" si="241"/>
        <v>4.2726656568001772E-2</v>
      </c>
      <c r="AT550" s="1801">
        <f t="shared" si="241"/>
        <v>4.3211257527714549E-2</v>
      </c>
      <c r="AV550" s="2376"/>
      <c r="AW550" s="2170"/>
      <c r="AX550" s="2170"/>
      <c r="AY550" s="2170"/>
      <c r="AZ550" s="2170"/>
      <c r="BA550" s="2170"/>
      <c r="BB550" s="274"/>
    </row>
    <row r="551" spans="1:57" ht="14.95" customHeight="1">
      <c r="B551" s="295" t="s">
        <v>543</v>
      </c>
      <c r="C551" s="293" t="s">
        <v>30</v>
      </c>
      <c r="D551" s="122" t="s">
        <v>55</v>
      </c>
      <c r="E551" s="3012"/>
      <c r="F551" s="2209"/>
      <c r="G551" s="119"/>
      <c r="H551" s="119"/>
      <c r="I551" s="119"/>
      <c r="J551" s="120"/>
      <c r="K551" s="1040">
        <v>0.05</v>
      </c>
      <c r="L551" s="1040">
        <v>6.6000000000000003E-2</v>
      </c>
      <c r="M551" s="1040">
        <v>4.3999999999999997E-2</v>
      </c>
      <c r="N551" s="1040">
        <v>4.2999999999999997E-2</v>
      </c>
      <c r="O551" s="1040">
        <v>4.3999999999999997E-2</v>
      </c>
      <c r="P551" s="1040">
        <v>4.3999999999999997E-2</v>
      </c>
      <c r="Q551" s="1040">
        <v>4.2999999999999997E-2</v>
      </c>
      <c r="R551" s="1040">
        <v>2.5000000000000001E-2</v>
      </c>
      <c r="S551" s="1040">
        <v>2.5999999999999999E-2</v>
      </c>
      <c r="T551" s="1040">
        <v>3.3000000000000002E-2</v>
      </c>
      <c r="U551" s="1040">
        <v>4.5999999999999999E-2</v>
      </c>
      <c r="V551" s="3314">
        <v>0.03</v>
      </c>
      <c r="W551" s="3321">
        <f t="shared" si="237"/>
        <v>6.5656565656565746E-2</v>
      </c>
      <c r="X551" s="1040">
        <f t="shared" si="237"/>
        <v>0.91469194312796209</v>
      </c>
      <c r="Y551" s="1040">
        <f t="shared" si="237"/>
        <v>-0.39851485148514854</v>
      </c>
      <c r="Z551" s="1040">
        <f t="shared" si="237"/>
        <v>8.6419753086419693E-2</v>
      </c>
      <c r="AA551" s="1040">
        <f t="shared" si="237"/>
        <v>9.8484848484848397E-2</v>
      </c>
      <c r="AB551" s="1040">
        <f t="shared" si="237"/>
        <v>8.9655172413793061E-2</v>
      </c>
      <c r="AC551" s="1040">
        <f t="shared" si="237"/>
        <v>0.10759493670886067</v>
      </c>
      <c r="AD551" s="1040">
        <f t="shared" si="237"/>
        <v>0.10857142857142854</v>
      </c>
      <c r="AE551" s="1040">
        <f t="shared" si="237"/>
        <v>-0.17268041237113407</v>
      </c>
      <c r="AF551" s="1040">
        <f t="shared" si="237"/>
        <v>0.38940809968847345</v>
      </c>
      <c r="AG551" s="1040">
        <f t="shared" si="237"/>
        <v>6.7264573991031362E-2</v>
      </c>
      <c r="AH551" s="1040">
        <f t="shared" si="237"/>
        <v>7.1428571428571397E-2</v>
      </c>
      <c r="AI551" s="3327">
        <f t="shared" si="238"/>
        <v>0.13921568627450975</v>
      </c>
      <c r="AJ551" s="3813">
        <f>'GDP current year'!U123</f>
        <v>9.9056603773584939E-2</v>
      </c>
      <c r="AK551" s="232">
        <f>AVERAGE(AF551:AJ551)+AK313</f>
        <v>0.15327470703123419</v>
      </c>
      <c r="AL551" s="1569">
        <f t="shared" ref="AL551:AT552" si="242">AVERAGE(AH551:AK551)+AL313</f>
        <v>0.11574389212697507</v>
      </c>
      <c r="AM551" s="1570">
        <f t="shared" si="242"/>
        <v>0.12682272230157599</v>
      </c>
      <c r="AN551" s="1570">
        <f t="shared" si="242"/>
        <v>0.12372448130834254</v>
      </c>
      <c r="AO551" s="1570">
        <f>AVERAGE(AK551:AN551)+AO313</f>
        <v>0.12989145069203195</v>
      </c>
      <c r="AP551" s="1801">
        <f t="shared" si="242"/>
        <v>0.12404563660723138</v>
      </c>
      <c r="AQ551" s="1801">
        <f t="shared" si="242"/>
        <v>0.12612107272729547</v>
      </c>
      <c r="AR551" s="1801">
        <f t="shared" si="242"/>
        <v>0.12594566033372534</v>
      </c>
      <c r="AS551" s="1801">
        <f t="shared" si="242"/>
        <v>0.12650095509007103</v>
      </c>
      <c r="AT551" s="1801">
        <f t="shared" si="242"/>
        <v>0.1256533311895808</v>
      </c>
      <c r="AV551" s="2376"/>
      <c r="AW551" s="2170"/>
      <c r="AX551" s="2170"/>
      <c r="AY551" s="2170"/>
      <c r="AZ551" s="2170"/>
      <c r="BA551" s="2170"/>
      <c r="BB551" s="274"/>
    </row>
    <row r="552" spans="1:57">
      <c r="B552" s="295" t="s">
        <v>543</v>
      </c>
      <c r="C552" s="293" t="s">
        <v>30</v>
      </c>
      <c r="D552" s="122" t="s">
        <v>56</v>
      </c>
      <c r="E552" s="3012"/>
      <c r="F552" s="2209"/>
      <c r="G552" s="119"/>
      <c r="H552" s="119"/>
      <c r="I552" s="119"/>
      <c r="J552" s="120"/>
      <c r="K552" s="1040">
        <v>0.05</v>
      </c>
      <c r="L552" s="1040">
        <v>0.08</v>
      </c>
      <c r="M552" s="1040">
        <v>9.5000000000000001E-2</v>
      </c>
      <c r="N552" s="1040">
        <v>9.0999999999999998E-2</v>
      </c>
      <c r="O552" s="1040">
        <v>8.6999999999999994E-2</v>
      </c>
      <c r="P552" s="1040">
        <v>8.3000000000000004E-2</v>
      </c>
      <c r="Q552" s="1040">
        <v>0.08</v>
      </c>
      <c r="R552" s="1040">
        <v>3.3000000000000002E-2</v>
      </c>
      <c r="S552" s="1040">
        <v>3.6999999999999998E-2</v>
      </c>
      <c r="T552" s="1040">
        <v>2.4E-2</v>
      </c>
      <c r="U552" s="1040">
        <v>3.2000000000000001E-2</v>
      </c>
      <c r="V552" s="3314">
        <v>0.03</v>
      </c>
      <c r="W552" s="3321">
        <f t="shared" si="237"/>
        <v>4.0178571428571397E-2</v>
      </c>
      <c r="X552" s="1040">
        <f t="shared" si="237"/>
        <v>0.31759656652360513</v>
      </c>
      <c r="Y552" s="1040">
        <f t="shared" si="237"/>
        <v>-0.19543973941368076</v>
      </c>
      <c r="Z552" s="1040">
        <f t="shared" si="237"/>
        <v>3.6437246963562764E-2</v>
      </c>
      <c r="AA552" s="1040">
        <f t="shared" si="237"/>
        <v>3.7109375E-2</v>
      </c>
      <c r="AB552" s="1040">
        <f t="shared" si="237"/>
        <v>3.2015065913370888E-2</v>
      </c>
      <c r="AC552" s="1040">
        <f t="shared" si="237"/>
        <v>4.3795620437956151E-2</v>
      </c>
      <c r="AD552" s="1040">
        <f t="shared" si="237"/>
        <v>5.7692307692307709E-2</v>
      </c>
      <c r="AE552" s="1040">
        <f t="shared" si="237"/>
        <v>-0.21983471074380168</v>
      </c>
      <c r="AF552" s="1040">
        <f t="shared" si="237"/>
        <v>0.39406779661016955</v>
      </c>
      <c r="AG552" s="1040">
        <f t="shared" si="237"/>
        <v>6.990881458966558E-2</v>
      </c>
      <c r="AH552" s="1040">
        <f t="shared" si="237"/>
        <v>5.3977272727272707E-2</v>
      </c>
      <c r="AI552" s="3327">
        <f t="shared" si="238"/>
        <v>5.5256064690026863E-2</v>
      </c>
      <c r="AJ552" s="3813">
        <f>'GDP current year'!U132</f>
        <v>5.6603773584905648E-2</v>
      </c>
      <c r="AK552" s="232">
        <f>AVERAGE(AF552:AJ552)+AK314</f>
        <v>0.12596274444040806</v>
      </c>
      <c r="AL552" s="232">
        <f t="shared" si="242"/>
        <v>7.2949963860653319E-2</v>
      </c>
      <c r="AM552" s="232">
        <f t="shared" si="242"/>
        <v>7.7693136643998476E-2</v>
      </c>
      <c r="AN552" s="232">
        <f t="shared" si="242"/>
        <v>8.3302404632491375E-2</v>
      </c>
      <c r="AO552" s="232">
        <f t="shared" si="242"/>
        <v>8.9977062394387811E-2</v>
      </c>
      <c r="AP552" s="1801">
        <f t="shared" si="242"/>
        <v>8.0980641882882745E-2</v>
      </c>
      <c r="AQ552" s="1801">
        <f t="shared" si="242"/>
        <v>8.2988311388440095E-2</v>
      </c>
      <c r="AR552" s="1801">
        <f t="shared" si="242"/>
        <v>8.4312105074550503E-2</v>
      </c>
      <c r="AS552" s="1801">
        <f t="shared" si="242"/>
        <v>8.4564530185065281E-2</v>
      </c>
      <c r="AT552" s="1801">
        <f t="shared" si="242"/>
        <v>8.3211397132734649E-2</v>
      </c>
      <c r="AV552" s="2376"/>
      <c r="AW552" s="2170"/>
      <c r="AX552" s="2170"/>
      <c r="AY552" s="2170"/>
      <c r="AZ552" s="2170"/>
      <c r="BA552" s="2170"/>
      <c r="BB552" s="274"/>
    </row>
    <row r="553" spans="1:57" ht="16.75" thickBot="1">
      <c r="A553" s="297" t="s">
        <v>188</v>
      </c>
      <c r="B553" s="295" t="s">
        <v>544</v>
      </c>
      <c r="C553" s="293" t="s">
        <v>30</v>
      </c>
      <c r="D553" s="123" t="s">
        <v>57</v>
      </c>
      <c r="E553" s="3013"/>
      <c r="F553" s="2210"/>
      <c r="G553" s="121"/>
      <c r="H553" s="121"/>
      <c r="I553" s="121"/>
      <c r="J553" s="124"/>
      <c r="K553" s="1041">
        <v>2.9000000000000001E-2</v>
      </c>
      <c r="L553" s="1041">
        <v>0.08</v>
      </c>
      <c r="M553" s="1041">
        <v>2.5999999999999999E-2</v>
      </c>
      <c r="N553" s="1041">
        <v>2.5999999999999999E-2</v>
      </c>
      <c r="O553" s="1041">
        <v>2.5999999999999999E-2</v>
      </c>
      <c r="P553" s="1041">
        <v>2.5999999999999999E-2</v>
      </c>
      <c r="Q553" s="1041">
        <v>2.5999999999999999E-2</v>
      </c>
      <c r="R553" s="1041">
        <v>2.7E-2</v>
      </c>
      <c r="S553" s="1041">
        <v>2.7E-2</v>
      </c>
      <c r="T553" s="1041">
        <v>2.7E-2</v>
      </c>
      <c r="U553" s="1041">
        <v>2.7E-2</v>
      </c>
      <c r="V553" s="3315">
        <v>0.03</v>
      </c>
      <c r="W553" s="3328">
        <f t="shared" si="237"/>
        <v>-4.7619047619047672E-2</v>
      </c>
      <c r="X553" s="1041">
        <f t="shared" si="237"/>
        <v>0.19999999999999996</v>
      </c>
      <c r="Y553" s="1041">
        <f t="shared" si="237"/>
        <v>-8.333333333333337E-2</v>
      </c>
      <c r="Z553" s="1041">
        <f t="shared" si="237"/>
        <v>0</v>
      </c>
      <c r="AA553" s="1041">
        <f t="shared" si="237"/>
        <v>9.0909090909090828E-2</v>
      </c>
      <c r="AB553" s="1041">
        <f t="shared" si="237"/>
        <v>2.0833333333333259E-2</v>
      </c>
      <c r="AC553" s="1041">
        <f t="shared" si="237"/>
        <v>6.1224489795918435E-2</v>
      </c>
      <c r="AD553" s="1041">
        <f t="shared" si="237"/>
        <v>1.9230769230769162E-2</v>
      </c>
      <c r="AE553" s="1041">
        <f t="shared" si="237"/>
        <v>-0.39622641509433965</v>
      </c>
      <c r="AF553" s="1041">
        <f t="shared" si="237"/>
        <v>0.75</v>
      </c>
      <c r="AG553" s="1041">
        <f t="shared" si="237"/>
        <v>0</v>
      </c>
      <c r="AH553" s="1041">
        <f t="shared" si="237"/>
        <v>-1.7857142857142905E-2</v>
      </c>
      <c r="AI553" s="3329">
        <f t="shared" si="238"/>
        <v>-3.6363636363636376E-2</v>
      </c>
      <c r="AJ553" s="3813">
        <f>'GDP current year'!U137+AJ315</f>
        <v>0.28205128205128216</v>
      </c>
      <c r="AK553" s="232">
        <f>AVERAGE(AF553:AJ553)+AK315</f>
        <v>0.19556610056610058</v>
      </c>
      <c r="AL553" s="232">
        <f>AVERAGE(AF553:AK553)+AL315</f>
        <v>0.19556610056610058</v>
      </c>
      <c r="AM553" s="232">
        <f t="shared" ref="AM553:AT553" si="243">AVERAGE(AJ553:AL553)+AM315</f>
        <v>0.22439449439449444</v>
      </c>
      <c r="AN553" s="232">
        <f t="shared" si="243"/>
        <v>0.20517556517556521</v>
      </c>
      <c r="AO553" s="232">
        <f t="shared" si="243"/>
        <v>0.20837872004538674</v>
      </c>
      <c r="AP553" s="1801">
        <f t="shared" si="243"/>
        <v>0.21264959320514878</v>
      </c>
      <c r="AQ553" s="1801">
        <f t="shared" si="243"/>
        <v>0.20873462614203356</v>
      </c>
      <c r="AR553" s="1801">
        <f t="shared" si="243"/>
        <v>0.20992097979752303</v>
      </c>
      <c r="AS553" s="1801">
        <f t="shared" si="243"/>
        <v>0.21043506638156848</v>
      </c>
      <c r="AT553" s="1801">
        <f t="shared" si="243"/>
        <v>0.20969689077370834</v>
      </c>
      <c r="AV553" s="2376"/>
      <c r="AW553" s="2170"/>
      <c r="AX553" s="2170"/>
      <c r="AY553" s="2170"/>
      <c r="AZ553" s="2170"/>
      <c r="BA553" s="2170"/>
      <c r="BB553" s="274"/>
    </row>
    <row r="554" spans="1:57" ht="16.75" thickBot="1">
      <c r="C554" s="293"/>
      <c r="D554" s="104" t="s">
        <v>131</v>
      </c>
      <c r="E554" s="3014"/>
      <c r="F554" s="2943"/>
      <c r="G554" s="115"/>
      <c r="H554" s="115"/>
      <c r="I554" s="115"/>
      <c r="J554" s="114"/>
      <c r="K554" s="1039">
        <v>1.6E-2</v>
      </c>
      <c r="L554" s="1039">
        <v>0.129</v>
      </c>
      <c r="M554" s="1039">
        <v>7.1999999999999995E-2</v>
      </c>
      <c r="N554" s="1039">
        <v>4.7E-2</v>
      </c>
      <c r="O554" s="1039">
        <v>0.155</v>
      </c>
      <c r="P554" s="1039">
        <v>9.2999999999999999E-2</v>
      </c>
      <c r="Q554" s="1039">
        <v>0.11700000000000001</v>
      </c>
      <c r="R554" s="1039">
        <v>0.09</v>
      </c>
      <c r="S554" s="1039">
        <v>0.151</v>
      </c>
      <c r="T554" s="1039">
        <v>1.2999999999999999E-2</v>
      </c>
      <c r="U554" s="1039">
        <v>8.4000000000000005E-2</v>
      </c>
      <c r="V554" s="3313">
        <v>0.18</v>
      </c>
      <c r="W554" s="3325">
        <f t="shared" si="237"/>
        <v>8.3087802003535716E-2</v>
      </c>
      <c r="X554" s="1039">
        <f t="shared" si="237"/>
        <v>0.60174102285092501</v>
      </c>
      <c r="Y554" s="1039">
        <f t="shared" si="237"/>
        <v>-0.29993206521739135</v>
      </c>
      <c r="Z554" s="1039">
        <f t="shared" si="237"/>
        <v>8.9277049975740042E-2</v>
      </c>
      <c r="AA554" s="1039">
        <f t="shared" si="237"/>
        <v>6.6815144766146917E-2</v>
      </c>
      <c r="AB554" s="1039">
        <f t="shared" si="237"/>
        <v>1.5031315240083609E-2</v>
      </c>
      <c r="AC554" s="1039">
        <f t="shared" si="237"/>
        <v>8.6795557383792632E-2</v>
      </c>
      <c r="AD554" s="1039">
        <f t="shared" si="237"/>
        <v>0.1650264950794853</v>
      </c>
      <c r="AE554" s="1039">
        <f t="shared" si="237"/>
        <v>-0.27647823261858351</v>
      </c>
      <c r="AF554" s="1039">
        <f t="shared" si="237"/>
        <v>0.39155814997754823</v>
      </c>
      <c r="AG554" s="1039">
        <f t="shared" si="237"/>
        <v>0.21555340432397552</v>
      </c>
      <c r="AH554" s="1039">
        <f t="shared" si="237"/>
        <v>8.5479161136182702E-2</v>
      </c>
      <c r="AI554" s="3326">
        <f t="shared" si="238"/>
        <v>7.5079481535827775E-2</v>
      </c>
      <c r="AJ554" s="3812">
        <f>'GDP current year'!U138</f>
        <v>8.8979071438280322E-2</v>
      </c>
      <c r="AK554" s="229">
        <f t="shared" ref="AK554:AT554" si="244">(AK599-AJ599)/AJ599</f>
        <v>7.3783752959577134E-2</v>
      </c>
      <c r="AL554" s="233">
        <f t="shared" si="244"/>
        <v>7.4894868378878987E-2</v>
      </c>
      <c r="AM554" s="233">
        <f t="shared" si="244"/>
        <v>7.0652256165630659E-2</v>
      </c>
      <c r="AN554" s="233">
        <f t="shared" si="244"/>
        <v>6.9242208673604186E-2</v>
      </c>
      <c r="AO554" s="233">
        <f t="shared" si="244"/>
        <v>7.6317211523131132E-2</v>
      </c>
      <c r="AP554" s="1799">
        <f t="shared" si="244"/>
        <v>7.5525831839809543E-2</v>
      </c>
      <c r="AQ554" s="1799">
        <f t="shared" si="244"/>
        <v>7.533402453053345E-2</v>
      </c>
      <c r="AR554" s="1799">
        <f t="shared" si="244"/>
        <v>7.6150782462832814E-2</v>
      </c>
      <c r="AS554" s="1799">
        <f t="shared" si="244"/>
        <v>7.7423753581340751E-2</v>
      </c>
      <c r="AT554" s="1799">
        <f t="shared" si="244"/>
        <v>7.8216012621735234E-2</v>
      </c>
      <c r="AV554" s="2376"/>
      <c r="AW554" s="2170"/>
      <c r="AX554" s="2170"/>
      <c r="AY554" s="2170"/>
      <c r="AZ554" s="2170"/>
      <c r="BA554" s="2170"/>
      <c r="BB554" s="274"/>
    </row>
    <row r="555" spans="1:57">
      <c r="B555" s="295" t="s">
        <v>545</v>
      </c>
      <c r="C555" s="293" t="s">
        <v>30</v>
      </c>
      <c r="D555" s="484" t="s">
        <v>66</v>
      </c>
      <c r="E555" s="3012"/>
      <c r="F555" s="2209"/>
      <c r="G555" s="119"/>
      <c r="H555" s="119"/>
      <c r="I555" s="119"/>
      <c r="J555" s="120"/>
      <c r="K555" s="1040">
        <v>0.40799999999999997</v>
      </c>
      <c r="L555" s="1040">
        <v>1.7230000000000001</v>
      </c>
      <c r="M555" s="1040">
        <v>-0.24199999999999999</v>
      </c>
      <c r="N555" s="1040">
        <v>-0.20499999999999999</v>
      </c>
      <c r="O555" s="1040">
        <v>0.496</v>
      </c>
      <c r="P555" s="1040">
        <v>0.30399999999999999</v>
      </c>
      <c r="Q555" s="1040">
        <v>-0.13800000000000001</v>
      </c>
      <c r="R555" s="1040">
        <v>0.42799999999999999</v>
      </c>
      <c r="S555" s="1040">
        <v>-0.157</v>
      </c>
      <c r="T555" s="1040">
        <v>-0.17899999999999999</v>
      </c>
      <c r="U555" s="1040">
        <v>-0.108</v>
      </c>
      <c r="V555" s="3314">
        <v>0.5</v>
      </c>
      <c r="W555" s="3321">
        <f t="shared" si="237"/>
        <v>-7.1823204419889541E-2</v>
      </c>
      <c r="X555" s="1040">
        <f t="shared" si="237"/>
        <v>0.54166666666666674</v>
      </c>
      <c r="Y555" s="1040">
        <f t="shared" si="237"/>
        <v>-2.7027027027026973E-2</v>
      </c>
      <c r="Z555" s="1040">
        <f t="shared" si="237"/>
        <v>-5.1587301587301626E-2</v>
      </c>
      <c r="AA555" s="1040">
        <f t="shared" si="237"/>
        <v>0.10878661087866104</v>
      </c>
      <c r="AB555" s="1040">
        <f t="shared" si="237"/>
        <v>0.19999999999999996</v>
      </c>
      <c r="AC555" s="1040">
        <f t="shared" si="237"/>
        <v>3.1446540880503138E-2</v>
      </c>
      <c r="AD555" s="1040">
        <f t="shared" si="237"/>
        <v>-9.1463414634146423E-3</v>
      </c>
      <c r="AE555" s="1040">
        <f t="shared" si="237"/>
        <v>-0.48615384615384616</v>
      </c>
      <c r="AF555" s="1040">
        <f t="shared" si="237"/>
        <v>0.4251497005988023</v>
      </c>
      <c r="AG555" s="1040">
        <f t="shared" si="237"/>
        <v>0.28151260504201692</v>
      </c>
      <c r="AH555" s="1040">
        <f t="shared" si="237"/>
        <v>7.2131147540983598E-2</v>
      </c>
      <c r="AI555" s="3327">
        <f t="shared" si="238"/>
        <v>8.256880733944949E-2</v>
      </c>
      <c r="AJ555" s="3813">
        <f>'GDP current year'!U139</f>
        <v>4.2580677243909071E-2</v>
      </c>
      <c r="AK555" s="232">
        <f t="shared" ref="AK555:AT555" si="245">AK317*(AK490/AJ490-1)+AK319+AK318+AK321</f>
        <v>7.7982192090530061E-2</v>
      </c>
      <c r="AL555" s="232">
        <f t="shared" si="245"/>
        <v>7.7260478268159072E-2</v>
      </c>
      <c r="AM555" s="232">
        <f>AM317*(AM490/AL490-1)+AM319+AM318+AM321</f>
        <v>8.8741030087625614E-2</v>
      </c>
      <c r="AN555" s="232">
        <f>AN317*(AN490/AM490-1)+AN319+AN318+AN321</f>
        <v>7.7902557556834104E-2</v>
      </c>
      <c r="AO555" s="232">
        <f t="shared" si="245"/>
        <v>0.1176498898259947</v>
      </c>
      <c r="AP555" s="1801">
        <f t="shared" si="245"/>
        <v>0.11794233409267793</v>
      </c>
      <c r="AQ555" s="1801">
        <f t="shared" si="245"/>
        <v>0.11823699035114957</v>
      </c>
      <c r="AR555" s="1801">
        <f t="shared" si="245"/>
        <v>0.1185337660767414</v>
      </c>
      <c r="AS555" s="1801">
        <f t="shared" si="245"/>
        <v>0.11883256510571497</v>
      </c>
      <c r="AT555" s="1801">
        <f t="shared" si="245"/>
        <v>0.11913328761874134</v>
      </c>
      <c r="AV555" s="2376"/>
      <c r="AW555" s="2170"/>
      <c r="AX555" s="2170"/>
      <c r="AY555" s="2170"/>
      <c r="AZ555" s="2170"/>
      <c r="BA555" s="2170"/>
      <c r="BB555" s="274"/>
    </row>
    <row r="556" spans="1:57">
      <c r="C556" s="293" t="s">
        <v>30</v>
      </c>
      <c r="D556" s="454" t="s">
        <v>67</v>
      </c>
      <c r="E556" s="3012"/>
      <c r="F556" s="2209"/>
      <c r="G556" s="119"/>
      <c r="H556" s="119"/>
      <c r="I556" s="119"/>
      <c r="J556" s="120"/>
      <c r="K556" s="1040">
        <v>-2E-3</v>
      </c>
      <c r="L556" s="1040">
        <v>0.1</v>
      </c>
      <c r="M556" s="1040">
        <v>0.152</v>
      </c>
      <c r="N556" s="1040">
        <v>4.4999999999999998E-2</v>
      </c>
      <c r="O556" s="1040">
        <v>0.123</v>
      </c>
      <c r="P556" s="1040">
        <v>8.5000000000000006E-2</v>
      </c>
      <c r="Q556" s="1040">
        <v>0.13400000000000001</v>
      </c>
      <c r="R556" s="1040">
        <v>5.0000000000000001E-3</v>
      </c>
      <c r="S556" s="1040">
        <v>5.5E-2</v>
      </c>
      <c r="T556" s="1040">
        <v>2.9000000000000001E-2</v>
      </c>
      <c r="U556" s="1040">
        <v>9.2999999999999999E-2</v>
      </c>
      <c r="V556" s="3314">
        <v>0.08</v>
      </c>
      <c r="W556" s="3321">
        <f t="shared" si="237"/>
        <v>5.8517555266579979E-2</v>
      </c>
      <c r="X556" s="1040">
        <f t="shared" si="237"/>
        <v>0.39189189189189189</v>
      </c>
      <c r="Y556" s="1040">
        <f t="shared" si="237"/>
        <v>-0.34333627537511036</v>
      </c>
      <c r="Z556" s="1040">
        <f t="shared" si="237"/>
        <v>8.1989247311827995E-2</v>
      </c>
      <c r="AA556" s="1040">
        <f t="shared" si="237"/>
        <v>6.8322981366459645E-2</v>
      </c>
      <c r="AB556" s="1040">
        <f t="shared" si="237"/>
        <v>6.3953488372092915E-2</v>
      </c>
      <c r="AC556" s="1040">
        <f t="shared" si="237"/>
        <v>0.13661202185792343</v>
      </c>
      <c r="AD556" s="1040">
        <f t="shared" si="237"/>
        <v>0.11153846153846159</v>
      </c>
      <c r="AE556" s="1040">
        <f t="shared" si="237"/>
        <v>-0.22404844290657444</v>
      </c>
      <c r="AF556" s="1040">
        <f t="shared" si="237"/>
        <v>0.41806020066889626</v>
      </c>
      <c r="AG556" s="1040">
        <f t="shared" si="237"/>
        <v>9.2767295597484312E-2</v>
      </c>
      <c r="AH556" s="1040">
        <f t="shared" si="237"/>
        <v>9.7122302158273444E-2</v>
      </c>
      <c r="AI556" s="3327">
        <f t="shared" si="238"/>
        <v>6.1639344262295115E-2</v>
      </c>
      <c r="AJ556" s="3813">
        <f>'GDP current year'!U143</f>
        <v>4.9301575758418946E-2</v>
      </c>
      <c r="AK556" s="232">
        <f t="shared" ref="AK556:AT556" si="246">(AK601-AJ601)/AJ601</f>
        <v>8.5944243209049698E-2</v>
      </c>
      <c r="AL556" s="232">
        <f t="shared" si="246"/>
        <v>8.3489848474953124E-2</v>
      </c>
      <c r="AM556" s="232">
        <f t="shared" si="246"/>
        <v>7.0252890849752336E-2</v>
      </c>
      <c r="AN556" s="232">
        <f t="shared" si="246"/>
        <v>6.7879164172297377E-2</v>
      </c>
      <c r="AO556" s="232">
        <f t="shared" si="246"/>
        <v>7.7831615238409715E-2</v>
      </c>
      <c r="AP556" s="1801">
        <f t="shared" si="246"/>
        <v>7.5006699590210238E-2</v>
      </c>
      <c r="AQ556" s="1801">
        <f t="shared" si="246"/>
        <v>7.3285530478669342E-2</v>
      </c>
      <c r="AR556" s="1801">
        <f t="shared" si="246"/>
        <v>7.4401409932175366E-2</v>
      </c>
      <c r="AS556" s="1801">
        <f t="shared" si="246"/>
        <v>7.6867668627440405E-2</v>
      </c>
      <c r="AT556" s="1801">
        <f t="shared" si="246"/>
        <v>7.7833691478190525E-2</v>
      </c>
      <c r="AV556" s="2376"/>
      <c r="AW556" s="2170"/>
      <c r="AX556" s="2170"/>
      <c r="AY556" s="2170"/>
      <c r="AZ556" s="2170"/>
      <c r="BA556" s="2170"/>
      <c r="BB556" s="274"/>
    </row>
    <row r="557" spans="1:57">
      <c r="A557" s="297" t="s">
        <v>190</v>
      </c>
      <c r="B557" s="295" t="s">
        <v>546</v>
      </c>
      <c r="C557" s="293" t="s">
        <v>30</v>
      </c>
      <c r="D557" s="154" t="s">
        <v>68</v>
      </c>
      <c r="E557" s="3015"/>
      <c r="F557" s="2213"/>
      <c r="G557" s="126"/>
      <c r="H557" s="126"/>
      <c r="I557" s="126"/>
      <c r="J557" s="128"/>
      <c r="K557" s="1042">
        <v>5.1999999999999998E-2</v>
      </c>
      <c r="L557" s="1042">
        <v>0.247</v>
      </c>
      <c r="M557" s="1042">
        <v>0.10100000000000001</v>
      </c>
      <c r="N557" s="1042">
        <v>0.115</v>
      </c>
      <c r="O557" s="1042">
        <v>0.35799999999999998</v>
      </c>
      <c r="P557" s="1042">
        <v>0.122</v>
      </c>
      <c r="Q557" s="1042">
        <v>0.16300000000000001</v>
      </c>
      <c r="R557" s="1042">
        <v>-4.4999999999999998E-2</v>
      </c>
      <c r="S557" s="1042">
        <v>7.5999999999999998E-2</v>
      </c>
      <c r="T557" s="1042">
        <v>6.4000000000000001E-2</v>
      </c>
      <c r="U557" s="1042">
        <v>9.2999999999999999E-2</v>
      </c>
      <c r="V557" s="3316">
        <v>0.04</v>
      </c>
      <c r="W557" s="3330">
        <f t="shared" si="237"/>
        <v>8.1300813008129413E-3</v>
      </c>
      <c r="X557" s="1042">
        <f t="shared" si="237"/>
        <v>0.69354838709677424</v>
      </c>
      <c r="Y557" s="1042">
        <f t="shared" si="237"/>
        <v>-0.31904761904761902</v>
      </c>
      <c r="Z557" s="1042">
        <f t="shared" si="237"/>
        <v>0</v>
      </c>
      <c r="AA557" s="1042">
        <f t="shared" si="237"/>
        <v>8.3916083916083961E-2</v>
      </c>
      <c r="AB557" s="1042">
        <f t="shared" si="237"/>
        <v>0.10967741935483866</v>
      </c>
      <c r="AC557" s="1042">
        <f t="shared" si="237"/>
        <v>0.13953488372093026</v>
      </c>
      <c r="AD557" s="1042">
        <f t="shared" si="237"/>
        <v>4.081632653061229E-2</v>
      </c>
      <c r="AE557" s="1042">
        <f t="shared" si="237"/>
        <v>-0.2009803921568627</v>
      </c>
      <c r="AF557" s="1042">
        <f t="shared" si="237"/>
        <v>0.79754601226993871</v>
      </c>
      <c r="AG557" s="1042">
        <f t="shared" si="237"/>
        <v>0.13651877133105805</v>
      </c>
      <c r="AH557" s="1042">
        <f t="shared" si="237"/>
        <v>0.12912912912912922</v>
      </c>
      <c r="AI557" s="3331">
        <f t="shared" si="238"/>
        <v>1.8617021276595702E-2</v>
      </c>
      <c r="AJ557" s="3814">
        <f>'GDP current year'!U144</f>
        <v>6.4244329268309697E-2</v>
      </c>
      <c r="AK557" s="1653">
        <f t="shared" ref="AK557:AT557" si="247">AK322*AK323+AK324+AK327</f>
        <v>7.051443405377239E-2</v>
      </c>
      <c r="AL557" s="1653">
        <f t="shared" si="247"/>
        <v>7.2808876740450973E-2</v>
      </c>
      <c r="AM557" s="1653">
        <f t="shared" si="247"/>
        <v>5.9585438004294583E-2</v>
      </c>
      <c r="AN557" s="1653">
        <f t="shared" si="247"/>
        <v>4.8777006005778431E-2</v>
      </c>
      <c r="AO557" s="1653">
        <f t="shared" si="247"/>
        <v>6.005816593047375E-2</v>
      </c>
      <c r="AP557" s="1802">
        <f t="shared" si="247"/>
        <v>4.3886147673650969E-2</v>
      </c>
      <c r="AQ557" s="1802">
        <f t="shared" si="247"/>
        <v>4.4379793795622222E-2</v>
      </c>
      <c r="AR557" s="1802">
        <f t="shared" si="247"/>
        <v>4.4870001519184341E-2</v>
      </c>
      <c r="AS557" s="1802">
        <f t="shared" si="247"/>
        <v>4.5356894629208222E-2</v>
      </c>
      <c r="AT557" s="1802">
        <f t="shared" si="247"/>
        <v>4.5840577830470644E-2</v>
      </c>
      <c r="AV557" s="2376"/>
      <c r="AW557" s="2170"/>
      <c r="AX557" s="2170"/>
      <c r="AY557" s="2170"/>
      <c r="AZ557" s="2170"/>
      <c r="BA557" s="2170"/>
      <c r="BB557" s="274"/>
    </row>
    <row r="558" spans="1:57">
      <c r="A558" s="297" t="s">
        <v>859</v>
      </c>
      <c r="B558" s="295" t="s">
        <v>547</v>
      </c>
      <c r="C558" s="293" t="s">
        <v>30</v>
      </c>
      <c r="D558" s="154" t="s">
        <v>69</v>
      </c>
      <c r="E558" s="3013"/>
      <c r="F558" s="2210"/>
      <c r="G558" s="121"/>
      <c r="H558" s="121"/>
      <c r="I558" s="121"/>
      <c r="J558" s="128"/>
      <c r="K558" s="1042">
        <v>-0.08</v>
      </c>
      <c r="L558" s="1042">
        <v>1.0999999999999999E-2</v>
      </c>
      <c r="M558" s="1042">
        <v>0.193</v>
      </c>
      <c r="N558" s="1042">
        <v>-9.2999999999999999E-2</v>
      </c>
      <c r="O558" s="1042">
        <v>2.3E-2</v>
      </c>
      <c r="P558" s="1042">
        <v>0.114</v>
      </c>
      <c r="Q558" s="1042">
        <v>7.2999999999999995E-2</v>
      </c>
      <c r="R558" s="1042">
        <v>-1.6E-2</v>
      </c>
      <c r="S558" s="1042">
        <v>0.03</v>
      </c>
      <c r="T558" s="1042">
        <v>4.2999999999999997E-2</v>
      </c>
      <c r="U558" s="1042">
        <v>0.02</v>
      </c>
      <c r="V558" s="3316">
        <v>7.0000000000000007E-2</v>
      </c>
      <c r="W558" s="3330">
        <f t="shared" si="237"/>
        <v>3.8461538461538547E-2</v>
      </c>
      <c r="X558" s="1042">
        <f t="shared" si="237"/>
        <v>0.26455026455026465</v>
      </c>
      <c r="Y558" s="1042">
        <f t="shared" si="237"/>
        <v>-0.11715481171548114</v>
      </c>
      <c r="Z558" s="1042">
        <f t="shared" si="237"/>
        <v>5.6872037914691864E-2</v>
      </c>
      <c r="AA558" s="1042">
        <f t="shared" si="237"/>
        <v>3.3632286995515681E-2</v>
      </c>
      <c r="AB558" s="1042">
        <f t="shared" si="237"/>
        <v>-8.2429501084598678E-2</v>
      </c>
      <c r="AC558" s="1042">
        <f t="shared" si="237"/>
        <v>3.7825059101654901E-2</v>
      </c>
      <c r="AD558" s="1042">
        <f t="shared" si="237"/>
        <v>0.10933940774487461</v>
      </c>
      <c r="AE558" s="1042">
        <f t="shared" si="237"/>
        <v>-0.22792607802874743</v>
      </c>
      <c r="AF558" s="1042">
        <f t="shared" si="237"/>
        <v>9.3085106382978733E-2</v>
      </c>
      <c r="AG558" s="1042">
        <f t="shared" si="237"/>
        <v>0.12408759124087587</v>
      </c>
      <c r="AH558" s="1042">
        <f t="shared" si="237"/>
        <v>-4.3290043290042934E-3</v>
      </c>
      <c r="AI558" s="3331">
        <f t="shared" si="238"/>
        <v>5.6521739130434678E-2</v>
      </c>
      <c r="AJ558" s="3814">
        <f>'GDP current year'!U145</f>
        <v>3.8592573677519892E-2</v>
      </c>
      <c r="AK558" s="1653">
        <f>AVERAGE(AG558:AJ558)+AK331</f>
        <v>5.3718224929956537E-2</v>
      </c>
      <c r="AL558" s="1653">
        <f t="shared" ref="AL558:AT558" si="248">AVERAGE(AG558:AK558)+AL331</f>
        <v>5.3718224929956537E-2</v>
      </c>
      <c r="AM558" s="1653">
        <f t="shared" si="248"/>
        <v>3.9644351667772672E-2</v>
      </c>
      <c r="AN558" s="1653">
        <f t="shared" si="248"/>
        <v>4.8439022867128062E-2</v>
      </c>
      <c r="AO558" s="1653">
        <f t="shared" si="248"/>
        <v>4.6822479614466742E-2</v>
      </c>
      <c r="AP558" s="1802">
        <f t="shared" si="248"/>
        <v>4.8468460801856107E-2</v>
      </c>
      <c r="AQ558" s="1802">
        <f t="shared" si="248"/>
        <v>4.7418507976236021E-2</v>
      </c>
      <c r="AR558" s="1802">
        <f t="shared" si="248"/>
        <v>4.6158564585491911E-2</v>
      </c>
      <c r="AS558" s="1802">
        <f t="shared" si="248"/>
        <v>4.7461407169035769E-2</v>
      </c>
      <c r="AT558" s="1802">
        <f t="shared" si="248"/>
        <v>4.7265884029417317E-2</v>
      </c>
      <c r="AV558" s="2376"/>
      <c r="AW558" s="2170"/>
      <c r="AX558" s="2170"/>
      <c r="AY558" s="2170"/>
      <c r="AZ558" s="2170"/>
      <c r="BA558" s="2170"/>
      <c r="BB558" s="274"/>
    </row>
    <row r="559" spans="1:57">
      <c r="B559" s="295" t="s">
        <v>548</v>
      </c>
      <c r="C559" s="293" t="s">
        <v>30</v>
      </c>
      <c r="D559" s="154" t="s">
        <v>70</v>
      </c>
      <c r="E559" s="3013"/>
      <c r="F559" s="2210"/>
      <c r="G559" s="121"/>
      <c r="H559" s="121"/>
      <c r="I559" s="121"/>
      <c r="J559" s="128"/>
      <c r="K559" s="1042">
        <v>0.17</v>
      </c>
      <c r="L559" s="1042">
        <v>4.1000000000000002E-2</v>
      </c>
      <c r="M559" s="1042">
        <v>0.16300000000000001</v>
      </c>
      <c r="N559" s="1042">
        <v>0.106</v>
      </c>
      <c r="O559" s="1042">
        <v>0.186</v>
      </c>
      <c r="P559" s="1042">
        <v>9.0999999999999998E-2</v>
      </c>
      <c r="Q559" s="1042">
        <v>0.153</v>
      </c>
      <c r="R559" s="1042">
        <v>0.09</v>
      </c>
      <c r="S559" s="1042">
        <v>-1.4E-2</v>
      </c>
      <c r="T559" s="1042">
        <v>-2.1999999999999999E-2</v>
      </c>
      <c r="U559" s="1042">
        <v>2.4E-2</v>
      </c>
      <c r="V559" s="3316">
        <v>-0.01</v>
      </c>
      <c r="W559" s="3330">
        <f t="shared" si="237"/>
        <v>8.0645161290322509E-2</v>
      </c>
      <c r="X559" s="1042">
        <f t="shared" si="237"/>
        <v>-0.29850746268656714</v>
      </c>
      <c r="Y559" s="1042">
        <f t="shared" si="237"/>
        <v>-0.65957446808510634</v>
      </c>
      <c r="Z559" s="1042">
        <f t="shared" si="237"/>
        <v>0</v>
      </c>
      <c r="AA559" s="1042">
        <f t="shared" si="237"/>
        <v>0.15625</v>
      </c>
      <c r="AB559" s="1042">
        <f t="shared" si="237"/>
        <v>0.35135135135135132</v>
      </c>
      <c r="AC559" s="1042">
        <f t="shared" si="237"/>
        <v>0.62000000000000011</v>
      </c>
      <c r="AD559" s="1042">
        <f t="shared" si="237"/>
        <v>0.17283950617283961</v>
      </c>
      <c r="AE559" s="1042">
        <f t="shared" si="237"/>
        <v>-0.27368421052631575</v>
      </c>
      <c r="AF559" s="1042">
        <f t="shared" si="237"/>
        <v>0.43478260869565211</v>
      </c>
      <c r="AG559" s="1042">
        <f t="shared" si="237"/>
        <v>0.10101010101010099</v>
      </c>
      <c r="AH559" s="1042">
        <f t="shared" si="237"/>
        <v>0.13761467889908263</v>
      </c>
      <c r="AI559" s="3331">
        <f t="shared" si="238"/>
        <v>9.6774193548387011E-2</v>
      </c>
      <c r="AJ559" s="3814">
        <f>'GDP current year'!U146</f>
        <v>-3.7619088939704004E-2</v>
      </c>
      <c r="AK559" s="1653">
        <f>AVERAGE(AH559:AJ559)+AK332</f>
        <v>6.558992783592188E-2</v>
      </c>
      <c r="AL559" s="1653">
        <f t="shared" ref="AL559:AT559" si="249">AVERAGE(AI559:AK559)+AL332</f>
        <v>4.1581677481534962E-2</v>
      </c>
      <c r="AM559" s="1653">
        <f>AVERAGE(AH559:AL559)+AM332</f>
        <v>6.0788277765044495E-2</v>
      </c>
      <c r="AN559" s="1653">
        <f t="shared" si="249"/>
        <v>5.5986627694167117E-2</v>
      </c>
      <c r="AO559" s="1653">
        <f t="shared" si="249"/>
        <v>5.2785527646915527E-2</v>
      </c>
      <c r="AP559" s="1802">
        <f t="shared" si="249"/>
        <v>5.6520144368709051E-2</v>
      </c>
      <c r="AQ559" s="1802">
        <f t="shared" si="249"/>
        <v>5.5097433236597236E-2</v>
      </c>
      <c r="AR559" s="1802">
        <f t="shared" si="249"/>
        <v>5.480103508407394E-2</v>
      </c>
      <c r="AS559" s="1802">
        <f t="shared" si="249"/>
        <v>5.547287089646008E-2</v>
      </c>
      <c r="AT559" s="1802">
        <f t="shared" si="249"/>
        <v>5.5123779739043754E-2</v>
      </c>
      <c r="AV559" s="2376"/>
      <c r="AW559" s="2170"/>
      <c r="AX559" s="2170"/>
      <c r="AY559" s="2170"/>
      <c r="AZ559" s="2170"/>
      <c r="BA559" s="2170"/>
      <c r="BB559" s="274"/>
    </row>
    <row r="560" spans="1:57">
      <c r="B560" s="295" t="s">
        <v>606</v>
      </c>
      <c r="C560" s="293" t="s">
        <v>30</v>
      </c>
      <c r="D560" s="154" t="s">
        <v>71</v>
      </c>
      <c r="E560" s="3012"/>
      <c r="F560" s="2209"/>
      <c r="G560" s="119"/>
      <c r="H560" s="119"/>
      <c r="I560" s="119"/>
      <c r="J560" s="128"/>
      <c r="K560" s="1042">
        <v>1.7999999999999999E-2</v>
      </c>
      <c r="L560" s="1042">
        <v>6.0999999999999999E-2</v>
      </c>
      <c r="M560" s="1042">
        <v>0.36399999999999999</v>
      </c>
      <c r="N560" s="1042">
        <v>0.35299999999999998</v>
      </c>
      <c r="O560" s="1042">
        <v>0.113</v>
      </c>
      <c r="P560" s="1042">
        <v>0.35599999999999998</v>
      </c>
      <c r="Q560" s="1042">
        <v>0.22700000000000001</v>
      </c>
      <c r="R560" s="1042">
        <v>0.17799999999999999</v>
      </c>
      <c r="S560" s="1042">
        <v>7.4999999999999997E-2</v>
      </c>
      <c r="T560" s="1042">
        <v>7.9000000000000001E-2</v>
      </c>
      <c r="U560" s="1042">
        <v>5.3999999999999999E-2</v>
      </c>
      <c r="V560" s="3316">
        <v>-0.11</v>
      </c>
      <c r="W560" s="3330">
        <f t="shared" si="237"/>
        <v>5.8823529411764719E-2</v>
      </c>
      <c r="X560" s="1042">
        <f t="shared" si="237"/>
        <v>0.83333333333333326</v>
      </c>
      <c r="Y560" s="1042">
        <f t="shared" si="237"/>
        <v>-0.27272727272727271</v>
      </c>
      <c r="Z560" s="1042">
        <f t="shared" si="237"/>
        <v>4.1666666666666741E-2</v>
      </c>
      <c r="AA560" s="1042">
        <f t="shared" si="237"/>
        <v>0.12000000000000011</v>
      </c>
      <c r="AB560" s="1042">
        <f t="shared" si="237"/>
        <v>-7.1428571428571397E-2</v>
      </c>
      <c r="AC560" s="1042">
        <f t="shared" si="237"/>
        <v>0.11538461538461542</v>
      </c>
      <c r="AD560" s="1042">
        <f t="shared" si="237"/>
        <v>0.27586206896551735</v>
      </c>
      <c r="AE560" s="1042">
        <f t="shared" si="237"/>
        <v>-0.29729729729729726</v>
      </c>
      <c r="AF560" s="1042">
        <f t="shared" si="237"/>
        <v>0.65384615384615374</v>
      </c>
      <c r="AG560" s="1042">
        <f t="shared" si="237"/>
        <v>0.32558139534883712</v>
      </c>
      <c r="AH560" s="1042">
        <f t="shared" si="237"/>
        <v>0.17543859649122817</v>
      </c>
      <c r="AI560" s="3331">
        <f t="shared" si="238"/>
        <v>0.16417910447761197</v>
      </c>
      <c r="AJ560" s="3814">
        <f>'GDP current year'!U147</f>
        <v>2.7853564935027775E-2</v>
      </c>
      <c r="AK560" s="1653">
        <f t="shared" ref="AK560:AT560" si="250">AVERAGE(AG560:AJ560)+AK333</f>
        <v>0.17326316531317626</v>
      </c>
      <c r="AL560" s="1653">
        <f t="shared" si="250"/>
        <v>0.13518360780426103</v>
      </c>
      <c r="AM560" s="1653">
        <f t="shared" si="250"/>
        <v>0.12511986063251926</v>
      </c>
      <c r="AN560" s="1653">
        <f t="shared" si="250"/>
        <v>0.11535504967124607</v>
      </c>
      <c r="AO560" s="1653">
        <f>AVERAGE(AK560:AN560)+AO333</f>
        <v>0.13723042085530066</v>
      </c>
      <c r="AP560" s="1802">
        <f t="shared" si="250"/>
        <v>0.12822223474083178</v>
      </c>
      <c r="AQ560" s="1802">
        <f t="shared" si="250"/>
        <v>0.12648189147497446</v>
      </c>
      <c r="AR560" s="1802">
        <f t="shared" si="250"/>
        <v>0.12682239918558824</v>
      </c>
      <c r="AS560" s="1802">
        <f t="shared" si="250"/>
        <v>0.12968923656417378</v>
      </c>
      <c r="AT560" s="1802">
        <f t="shared" si="250"/>
        <v>0.12780394049139207</v>
      </c>
      <c r="AV560" s="2376"/>
      <c r="AW560" s="2170"/>
      <c r="AX560" s="2170"/>
      <c r="AY560" s="2170"/>
      <c r="AZ560" s="2170"/>
      <c r="BA560" s="2170"/>
      <c r="BB560" s="2165"/>
    </row>
    <row r="561" spans="1:64">
      <c r="A561" s="297" t="s">
        <v>191</v>
      </c>
      <c r="B561" s="295" t="s">
        <v>607</v>
      </c>
      <c r="C561" s="293" t="s">
        <v>30</v>
      </c>
      <c r="D561" s="154" t="s">
        <v>72</v>
      </c>
      <c r="E561" s="3013"/>
      <c r="F561" s="2210"/>
      <c r="G561" s="121"/>
      <c r="H561" s="121"/>
      <c r="I561" s="121"/>
      <c r="J561" s="128"/>
      <c r="K561" s="1042">
        <v>-1E-3</v>
      </c>
      <c r="L561" s="1042">
        <v>7.0999999999999994E-2</v>
      </c>
      <c r="M561" s="1042">
        <v>0.186</v>
      </c>
      <c r="N561" s="1042">
        <v>0.16800000000000001</v>
      </c>
      <c r="O561" s="1042">
        <v>9.7000000000000003E-2</v>
      </c>
      <c r="P561" s="1042">
        <v>8.4000000000000005E-2</v>
      </c>
      <c r="Q561" s="1042">
        <v>0.187</v>
      </c>
      <c r="R561" s="1042">
        <v>7.0000000000000001E-3</v>
      </c>
      <c r="S561" s="1042">
        <v>3.3000000000000002E-2</v>
      </c>
      <c r="T561" s="1042">
        <v>1E-3</v>
      </c>
      <c r="U561" s="1042">
        <v>5.1999999999999998E-2</v>
      </c>
      <c r="V561" s="3316">
        <v>0.14000000000000001</v>
      </c>
      <c r="W561" s="3330">
        <f t="shared" si="237"/>
        <v>5.1282051282051322E-2</v>
      </c>
      <c r="X561" s="1042">
        <f t="shared" si="237"/>
        <v>1.2682926829268291</v>
      </c>
      <c r="Y561" s="1042">
        <f t="shared" si="237"/>
        <v>-0.58064516129032251</v>
      </c>
      <c r="Z561" s="1042">
        <f t="shared" si="237"/>
        <v>0.12820512820512819</v>
      </c>
      <c r="AA561" s="1042">
        <f t="shared" si="237"/>
        <v>2.2727272727272707E-2</v>
      </c>
      <c r="AB561" s="1042">
        <f t="shared" si="237"/>
        <v>0.33333333333333326</v>
      </c>
      <c r="AC561" s="1042">
        <f t="shared" si="237"/>
        <v>0.21666666666666656</v>
      </c>
      <c r="AD561" s="1042">
        <f t="shared" si="237"/>
        <v>0.28767123287671237</v>
      </c>
      <c r="AE561" s="1042">
        <f t="shared" si="237"/>
        <v>-0.21276595744680848</v>
      </c>
      <c r="AF561" s="1042">
        <f t="shared" si="237"/>
        <v>0.71621621621621623</v>
      </c>
      <c r="AG561" s="1042">
        <f t="shared" si="237"/>
        <v>-4.7244094488189003E-2</v>
      </c>
      <c r="AH561" s="1042">
        <f t="shared" si="237"/>
        <v>0.42975206611570238</v>
      </c>
      <c r="AI561" s="3331">
        <f t="shared" si="238"/>
        <v>8.092485549132955E-2</v>
      </c>
      <c r="AJ561" s="3814">
        <f>'GDP current year'!U148</f>
        <v>7.1424896577609864E-3</v>
      </c>
      <c r="AK561" s="1653">
        <f t="shared" ref="AK561:AT561" si="251">AVERAGE(AG561:AJ561)+AK336</f>
        <v>0.11764382919415098</v>
      </c>
      <c r="AL561" s="1653">
        <f t="shared" si="251"/>
        <v>0.15886581011473597</v>
      </c>
      <c r="AM561" s="1653">
        <f t="shared" si="251"/>
        <v>9.1144246114494371E-2</v>
      </c>
      <c r="AN561" s="1653">
        <f t="shared" si="251"/>
        <v>9.3699093770285569E-2</v>
      </c>
      <c r="AO561" s="1653">
        <f t="shared" si="251"/>
        <v>0.11533824479841671</v>
      </c>
      <c r="AP561" s="1802">
        <f t="shared" si="251"/>
        <v>0.11476184869948315</v>
      </c>
      <c r="AQ561" s="1802">
        <f t="shared" si="251"/>
        <v>0.10373585834566995</v>
      </c>
      <c r="AR561" s="1802">
        <f t="shared" si="251"/>
        <v>0.10688376140346384</v>
      </c>
      <c r="AS561" s="1802">
        <f t="shared" si="251"/>
        <v>0.11017992831175842</v>
      </c>
      <c r="AT561" s="1802">
        <f t="shared" si="251"/>
        <v>0.10889034919009384</v>
      </c>
      <c r="AV561" s="2376"/>
      <c r="AW561" s="2170"/>
      <c r="AX561" s="2170"/>
      <c r="AY561" s="2170"/>
      <c r="AZ561" s="2170"/>
      <c r="BA561" s="2170"/>
      <c r="BB561" s="2165"/>
    </row>
    <row r="562" spans="1:64">
      <c r="B562" s="295" t="s">
        <v>549</v>
      </c>
      <c r="C562" s="293" t="s">
        <v>30</v>
      </c>
      <c r="D562" s="154" t="s">
        <v>73</v>
      </c>
      <c r="E562" s="3012"/>
      <c r="F562" s="2209"/>
      <c r="G562" s="119"/>
      <c r="H562" s="119"/>
      <c r="I562" s="119"/>
      <c r="J562" s="128"/>
      <c r="K562" s="1042">
        <v>6.5000000000000002E-2</v>
      </c>
      <c r="L562" s="1042">
        <v>0.24399999999999999</v>
      </c>
      <c r="M562" s="1042">
        <v>0.185</v>
      </c>
      <c r="N562" s="1042">
        <v>0.08</v>
      </c>
      <c r="O562" s="1042">
        <v>3.1E-2</v>
      </c>
      <c r="P562" s="1042">
        <v>2E-3</v>
      </c>
      <c r="Q562" s="1042">
        <v>6.9000000000000006E-2</v>
      </c>
      <c r="R562" s="1042">
        <v>0.01</v>
      </c>
      <c r="S562" s="1042">
        <v>0.05</v>
      </c>
      <c r="T562" s="1042">
        <v>-5.5E-2</v>
      </c>
      <c r="U562" s="1042">
        <v>0.108</v>
      </c>
      <c r="V562" s="3316">
        <v>0.18</v>
      </c>
      <c r="W562" s="3330">
        <f t="shared" si="237"/>
        <v>0.19354838709677424</v>
      </c>
      <c r="X562" s="1042">
        <f t="shared" si="237"/>
        <v>1.3783783783783785</v>
      </c>
      <c r="Y562" s="1042">
        <f t="shared" si="237"/>
        <v>-0.48863636363636365</v>
      </c>
      <c r="Z562" s="1042">
        <f t="shared" si="237"/>
        <v>0.17777777777777781</v>
      </c>
      <c r="AA562" s="1042">
        <f t="shared" si="237"/>
        <v>0.22641509433962259</v>
      </c>
      <c r="AB562" s="1042">
        <f t="shared" si="237"/>
        <v>9.2307692307692202E-2</v>
      </c>
      <c r="AC562" s="1042">
        <f t="shared" si="237"/>
        <v>9.8591549295774739E-2</v>
      </c>
      <c r="AD562" s="1042">
        <f t="shared" si="237"/>
        <v>0.19230769230769229</v>
      </c>
      <c r="AE562" s="1042">
        <f t="shared" si="237"/>
        <v>-0.22580645161290325</v>
      </c>
      <c r="AF562" s="1042">
        <f t="shared" si="237"/>
        <v>0.41666666666666674</v>
      </c>
      <c r="AG562" s="1042">
        <f t="shared" si="237"/>
        <v>7.8431372549019551E-2</v>
      </c>
      <c r="AH562" s="1042">
        <f t="shared" si="237"/>
        <v>0.15454545454545454</v>
      </c>
      <c r="AI562" s="3331">
        <f t="shared" si="238"/>
        <v>-3.9370078740157521E-2</v>
      </c>
      <c r="AJ562" s="3814">
        <f>'GDP current year'!U149</f>
        <v>9.9687137616490507E-2</v>
      </c>
      <c r="AK562" s="1653">
        <f t="shared" ref="AK562:AT562" si="252">AVERAGE(AF562:AJ562)+AK338</f>
        <v>0.14199211052749477</v>
      </c>
      <c r="AL562" s="1653">
        <f t="shared" si="252"/>
        <v>8.7057199299660368E-2</v>
      </c>
      <c r="AM562" s="1653">
        <f t="shared" si="252"/>
        <v>8.8782364649788531E-2</v>
      </c>
      <c r="AN562" s="1653">
        <f>AVERAGE(AI562:AM562)+AN338</f>
        <v>7.5629746670655335E-2</v>
      </c>
      <c r="AO562" s="1653">
        <f t="shared" si="252"/>
        <v>9.8629711752817914E-2</v>
      </c>
      <c r="AP562" s="1802">
        <f t="shared" si="252"/>
        <v>9.8418226580083396E-2</v>
      </c>
      <c r="AQ562" s="1802">
        <f t="shared" si="252"/>
        <v>8.9703449790601117E-2</v>
      </c>
      <c r="AR562" s="1802">
        <f t="shared" si="252"/>
        <v>9.0232699888789264E-2</v>
      </c>
      <c r="AS562" s="1802">
        <f t="shared" si="252"/>
        <v>9.0522766936589408E-2</v>
      </c>
      <c r="AT562" s="1802">
        <f t="shared" si="252"/>
        <v>9.3501370989776206E-2</v>
      </c>
      <c r="AV562" s="2376"/>
      <c r="AW562" s="2170"/>
      <c r="AX562" s="2170"/>
      <c r="AY562" s="2170"/>
      <c r="AZ562" s="2170"/>
      <c r="BA562" s="2170"/>
      <c r="BB562" s="274"/>
    </row>
    <row r="563" spans="1:64">
      <c r="B563" s="295" t="s">
        <v>549</v>
      </c>
      <c r="C563" s="293" t="s">
        <v>30</v>
      </c>
      <c r="D563" s="154" t="s">
        <v>74</v>
      </c>
      <c r="E563" s="3012"/>
      <c r="F563" s="2209"/>
      <c r="G563" s="119"/>
      <c r="H563" s="119"/>
      <c r="I563" s="119"/>
      <c r="J563" s="128"/>
      <c r="K563" s="1042">
        <v>3.4000000000000002E-2</v>
      </c>
      <c r="L563" s="1042">
        <v>5.7000000000000002E-2</v>
      </c>
      <c r="M563" s="1042">
        <v>2.5999999999999999E-2</v>
      </c>
      <c r="N563" s="1042">
        <v>0.14199999999999999</v>
      </c>
      <c r="O563" s="1042">
        <v>-7.1999999999999995E-2</v>
      </c>
      <c r="P563" s="1042">
        <v>-0.17899999999999999</v>
      </c>
      <c r="Q563" s="1042">
        <v>0.214</v>
      </c>
      <c r="R563" s="1042">
        <v>0.218</v>
      </c>
      <c r="S563" s="1042">
        <v>0.109</v>
      </c>
      <c r="T563" s="1042">
        <v>-0.05</v>
      </c>
      <c r="U563" s="1042">
        <v>0.437</v>
      </c>
      <c r="V563" s="3316">
        <v>0.33</v>
      </c>
      <c r="W563" s="3330">
        <f t="shared" si="237"/>
        <v>0.21052631578947367</v>
      </c>
      <c r="X563" s="1042">
        <f t="shared" si="237"/>
        <v>1.7391304347826089</v>
      </c>
      <c r="Y563" s="1042">
        <f t="shared" si="237"/>
        <v>-0.58730158730158732</v>
      </c>
      <c r="Z563" s="1042">
        <f t="shared" si="237"/>
        <v>0.42307692307692313</v>
      </c>
      <c r="AA563" s="1042">
        <f t="shared" si="237"/>
        <v>0.13513513513513509</v>
      </c>
      <c r="AB563" s="1042">
        <f t="shared" si="237"/>
        <v>0.11904761904761907</v>
      </c>
      <c r="AC563" s="1042">
        <f t="shared" si="237"/>
        <v>0.2127659574468086</v>
      </c>
      <c r="AD563" s="1042">
        <f t="shared" si="237"/>
        <v>0.21052631578947367</v>
      </c>
      <c r="AE563" s="1042">
        <f t="shared" si="237"/>
        <v>-0.11594202898550721</v>
      </c>
      <c r="AF563" s="1042">
        <f t="shared" si="237"/>
        <v>0.21311475409836067</v>
      </c>
      <c r="AG563" s="1042">
        <f t="shared" si="237"/>
        <v>0.14864864864864868</v>
      </c>
      <c r="AH563" s="1042">
        <f t="shared" si="237"/>
        <v>0.14117647058823524</v>
      </c>
      <c r="AI563" s="3331">
        <f t="shared" si="238"/>
        <v>0.21649484536082464</v>
      </c>
      <c r="AJ563" s="3814">
        <f>'GDP current year'!U150</f>
        <v>5.7157198663192244E-2</v>
      </c>
      <c r="AK563" s="1653">
        <f t="shared" ref="AK563:AT563" si="253">AVERAGE(AG563:AJ563)+AK337</f>
        <v>0.1408692908152252</v>
      </c>
      <c r="AL563" s="1653">
        <f t="shared" si="253"/>
        <v>0.13892445135686932</v>
      </c>
      <c r="AM563" s="1653">
        <f t="shared" si="253"/>
        <v>0.13836144654902785</v>
      </c>
      <c r="AN563" s="1653">
        <f t="shared" si="253"/>
        <v>0.11882809684607865</v>
      </c>
      <c r="AO563" s="1653">
        <f>AVERAGE(AK563:AN563)+AO337</f>
        <v>0.13424582139180025</v>
      </c>
      <c r="AP563" s="1802">
        <f t="shared" si="253"/>
        <v>0.13258995403594404</v>
      </c>
      <c r="AQ563" s="1802">
        <f t="shared" si="253"/>
        <v>0.13100632970571269</v>
      </c>
      <c r="AR563" s="1802">
        <f t="shared" si="253"/>
        <v>0.1291675504948839</v>
      </c>
      <c r="AS563" s="1802">
        <f t="shared" si="253"/>
        <v>0.13175241390708523</v>
      </c>
      <c r="AT563" s="1802">
        <f t="shared" si="253"/>
        <v>0.13112906203590646</v>
      </c>
      <c r="AV563" s="2376"/>
      <c r="AW563" s="2170"/>
      <c r="AX563" s="2170"/>
      <c r="AY563" s="2170"/>
      <c r="AZ563" s="2170"/>
      <c r="BA563" s="2170"/>
      <c r="BB563" s="2165"/>
    </row>
    <row r="564" spans="1:64">
      <c r="B564" s="295" t="s">
        <v>549</v>
      </c>
      <c r="C564" s="293" t="s">
        <v>30</v>
      </c>
      <c r="D564" s="154" t="s">
        <v>75</v>
      </c>
      <c r="E564" s="3015"/>
      <c r="F564" s="2213"/>
      <c r="G564" s="126"/>
      <c r="H564" s="126"/>
      <c r="I564" s="126"/>
      <c r="J564" s="128"/>
      <c r="K564" s="1042">
        <v>3.4000000000000002E-2</v>
      </c>
      <c r="L564" s="1042">
        <v>5.7000000000000002E-2</v>
      </c>
      <c r="M564" s="1042">
        <v>2.5999999999999999E-2</v>
      </c>
      <c r="N564" s="1042">
        <v>0.14199999999999999</v>
      </c>
      <c r="O564" s="1042">
        <v>-7.1999999999999995E-2</v>
      </c>
      <c r="P564" s="1042">
        <v>-0.17899999999999999</v>
      </c>
      <c r="Q564" s="1042">
        <v>0.214</v>
      </c>
      <c r="R564" s="1042">
        <v>0.218</v>
      </c>
      <c r="S564" s="1042">
        <v>0.109</v>
      </c>
      <c r="T564" s="1042">
        <v>-0.05</v>
      </c>
      <c r="U564" s="1042">
        <v>0.437</v>
      </c>
      <c r="V564" s="3316">
        <v>0.33</v>
      </c>
      <c r="W564" s="3330">
        <f t="shared" si="237"/>
        <v>0.10169491525423724</v>
      </c>
      <c r="X564" s="1042">
        <f t="shared" si="237"/>
        <v>0.50769230769230766</v>
      </c>
      <c r="Y564" s="1042">
        <f t="shared" si="237"/>
        <v>-0.17346938775510201</v>
      </c>
      <c r="Z564" s="1042">
        <f t="shared" si="237"/>
        <v>0.17283950617283961</v>
      </c>
      <c r="AA564" s="1042">
        <f t="shared" si="237"/>
        <v>-9.4736842105263119E-2</v>
      </c>
      <c r="AB564" s="1042">
        <f t="shared" si="237"/>
        <v>0.12790697674418605</v>
      </c>
      <c r="AC564" s="1042">
        <f t="shared" si="237"/>
        <v>9.2783505154639068E-2</v>
      </c>
      <c r="AD564" s="1042">
        <f t="shared" si="237"/>
        <v>2.8301886792452935E-2</v>
      </c>
      <c r="AE564" s="1042">
        <f t="shared" si="237"/>
        <v>-0.2844036697247706</v>
      </c>
      <c r="AF564" s="1042">
        <f t="shared" si="237"/>
        <v>0.62820512820512819</v>
      </c>
      <c r="AG564" s="1042">
        <f t="shared" si="237"/>
        <v>-0.11023622047244097</v>
      </c>
      <c r="AH564" s="1042">
        <f t="shared" si="237"/>
        <v>-7.0796460176991149E-2</v>
      </c>
      <c r="AI564" s="3331">
        <f t="shared" si="238"/>
        <v>4.7619047619047672E-2</v>
      </c>
      <c r="AJ564" s="3814">
        <f>'GDP current year'!U151</f>
        <v>0.16508431335673412</v>
      </c>
      <c r="AK564" s="1653">
        <f>AVERAGE(AB564:AJ564)+AK339</f>
        <v>6.9384945277553928E-2</v>
      </c>
      <c r="AL564" s="1653">
        <f>AVERAGE(AC564:AK564)+AL339</f>
        <v>6.2882497336817014E-2</v>
      </c>
      <c r="AM564" s="1653">
        <f>AVERAGE(AD564:AL564)+AM339</f>
        <v>5.9560163134836794E-2</v>
      </c>
      <c r="AN564" s="1653">
        <f>AVERAGE(AE564:AM564)+AN339</f>
        <v>6.3033304950657232E-2</v>
      </c>
      <c r="AO564" s="1653">
        <f t="shared" ref="AO564:AT564" si="254">AVERAGE(AK564:AN564)+AO339</f>
        <v>6.3715227674966249E-2</v>
      </c>
      <c r="AP564" s="1802">
        <f t="shared" si="254"/>
        <v>6.2297798274319319E-2</v>
      </c>
      <c r="AQ564" s="1802">
        <f t="shared" si="254"/>
        <v>6.2151623508694895E-2</v>
      </c>
      <c r="AR564" s="1802">
        <f t="shared" si="254"/>
        <v>6.279948860215942E-2</v>
      </c>
      <c r="AS564" s="1802">
        <f t="shared" si="254"/>
        <v>6.274103451503496E-2</v>
      </c>
      <c r="AT564" s="1802">
        <f t="shared" si="254"/>
        <v>6.2497486225052148E-2</v>
      </c>
      <c r="AV564" s="2376"/>
      <c r="AW564" s="2170"/>
      <c r="AX564" s="2170"/>
      <c r="AY564" s="2170"/>
      <c r="AZ564" s="2170"/>
      <c r="BA564" s="2170"/>
      <c r="BB564" s="2165"/>
    </row>
    <row r="565" spans="1:64">
      <c r="B565" s="295" t="s">
        <v>550</v>
      </c>
      <c r="C565" s="293" t="s">
        <v>30</v>
      </c>
      <c r="D565" s="454" t="s">
        <v>76</v>
      </c>
      <c r="E565" s="3012"/>
      <c r="F565" s="2209"/>
      <c r="G565" s="119"/>
      <c r="H565" s="119"/>
      <c r="I565" s="119"/>
      <c r="J565" s="120"/>
      <c r="K565" s="1040">
        <v>-0.114</v>
      </c>
      <c r="L565" s="1040">
        <v>-9.9000000000000005E-2</v>
      </c>
      <c r="M565" s="1040">
        <v>-1.2E-2</v>
      </c>
      <c r="N565" s="1040">
        <v>-9.4E-2</v>
      </c>
      <c r="O565" s="1040">
        <v>-0.32500000000000001</v>
      </c>
      <c r="P565" s="1040">
        <v>-0.111</v>
      </c>
      <c r="Q565" s="1040">
        <v>-0.13</v>
      </c>
      <c r="R565" s="1040">
        <v>5.0999999999999997E-2</v>
      </c>
      <c r="S565" s="1040">
        <v>0.18099999999999999</v>
      </c>
      <c r="T565" s="1040">
        <v>0.14599999999999999</v>
      </c>
      <c r="U565" s="1040">
        <v>0.153</v>
      </c>
      <c r="V565" s="3314">
        <v>0.15</v>
      </c>
      <c r="W565" s="3321">
        <f t="shared" si="237"/>
        <v>0.1707317073170731</v>
      </c>
      <c r="X565" s="1040">
        <f t="shared" si="237"/>
        <v>0.8125</v>
      </c>
      <c r="Y565" s="1040">
        <f t="shared" si="237"/>
        <v>-0.35632183908045978</v>
      </c>
      <c r="Z565" s="1040">
        <f t="shared" si="237"/>
        <v>7.1428571428571397E-2</v>
      </c>
      <c r="AA565" s="1040">
        <f t="shared" si="237"/>
        <v>0.14999999999999991</v>
      </c>
      <c r="AB565" s="1040">
        <f t="shared" si="237"/>
        <v>7.2463768115942129E-2</v>
      </c>
      <c r="AC565" s="1040">
        <f t="shared" si="237"/>
        <v>9.4594594594594517E-2</v>
      </c>
      <c r="AD565" s="1040">
        <f t="shared" si="237"/>
        <v>8.6419753086419693E-2</v>
      </c>
      <c r="AE565" s="1040">
        <f t="shared" si="237"/>
        <v>-0.23863636363636365</v>
      </c>
      <c r="AF565" s="1040">
        <f t="shared" si="237"/>
        <v>0.47761194029850751</v>
      </c>
      <c r="AG565" s="1040">
        <f t="shared" si="237"/>
        <v>0.14141414141414144</v>
      </c>
      <c r="AH565" s="1040">
        <f t="shared" si="237"/>
        <v>7.9646017699114946E-2</v>
      </c>
      <c r="AI565" s="3327">
        <f t="shared" si="238"/>
        <v>0.20491803278688514</v>
      </c>
      <c r="AJ565" s="3813">
        <f>'GDP current year'!U152</f>
        <v>0.10743087903154969</v>
      </c>
      <c r="AK565" s="232">
        <f t="shared" ref="AK565:AT566" si="255">AVERAGE(AH565:AJ565)+AK340</f>
        <v>0.13066497650584993</v>
      </c>
      <c r="AL565" s="232">
        <f t="shared" si="255"/>
        <v>0.14767129610809493</v>
      </c>
      <c r="AM565" s="232">
        <f t="shared" si="255"/>
        <v>0.1285890505484982</v>
      </c>
      <c r="AN565" s="232">
        <f t="shared" si="255"/>
        <v>0.13564177438748104</v>
      </c>
      <c r="AO565" s="232">
        <f t="shared" si="255"/>
        <v>0.13730070701469141</v>
      </c>
      <c r="AP565" s="1801">
        <f t="shared" si="255"/>
        <v>0.13384384398355689</v>
      </c>
      <c r="AQ565" s="1801">
        <f t="shared" si="255"/>
        <v>0.1355954417952431</v>
      </c>
      <c r="AR565" s="1801">
        <f t="shared" si="255"/>
        <v>0.13557999759783046</v>
      </c>
      <c r="AS565" s="1801">
        <f t="shared" si="255"/>
        <v>0.13500642779221014</v>
      </c>
      <c r="AT565" s="1801">
        <f t="shared" si="255"/>
        <v>0.13539395572842791</v>
      </c>
      <c r="AV565" s="2376"/>
      <c r="AW565" s="2170"/>
      <c r="AX565" s="2170"/>
      <c r="AY565" s="2170"/>
      <c r="AZ565" s="2170"/>
      <c r="BA565" s="2170"/>
      <c r="BB565" s="2165"/>
    </row>
    <row r="566" spans="1:64">
      <c r="B566" s="295" t="s">
        <v>632</v>
      </c>
      <c r="C566" s="293" t="s">
        <v>30</v>
      </c>
      <c r="D566" s="454" t="s">
        <v>77</v>
      </c>
      <c r="E566" s="3012"/>
      <c r="F566" s="2209"/>
      <c r="G566" s="119"/>
      <c r="H566" s="119"/>
      <c r="I566" s="119"/>
      <c r="J566" s="120"/>
      <c r="K566" s="1040">
        <v>-0.114</v>
      </c>
      <c r="L566" s="1040">
        <v>-9.9000000000000005E-2</v>
      </c>
      <c r="M566" s="1040">
        <v>-1.2E-2</v>
      </c>
      <c r="N566" s="1040">
        <v>-9.4E-2</v>
      </c>
      <c r="O566" s="1040">
        <v>-0.32500000000000001</v>
      </c>
      <c r="P566" s="1040">
        <v>-0.111</v>
      </c>
      <c r="Q566" s="1040">
        <v>-0.13</v>
      </c>
      <c r="R566" s="1040">
        <v>5.0999999999999997E-2</v>
      </c>
      <c r="S566" s="1040">
        <v>0.18099999999999999</v>
      </c>
      <c r="T566" s="1040">
        <v>0.14599999999999999</v>
      </c>
      <c r="U566" s="1040">
        <v>0.153</v>
      </c>
      <c r="V566" s="3314">
        <v>0.15</v>
      </c>
      <c r="W566" s="3321">
        <f t="shared" si="237"/>
        <v>8.5106382978723305E-2</v>
      </c>
      <c r="X566" s="1040">
        <f t="shared" si="237"/>
        <v>0.25490196078431371</v>
      </c>
      <c r="Y566" s="1040">
        <f t="shared" si="237"/>
        <v>-0.125</v>
      </c>
      <c r="Z566" s="1040">
        <f t="shared" si="237"/>
        <v>0</v>
      </c>
      <c r="AA566" s="1040">
        <f t="shared" si="237"/>
        <v>7.1428571428571397E-2</v>
      </c>
      <c r="AB566" s="1040">
        <f t="shared" si="237"/>
        <v>0</v>
      </c>
      <c r="AC566" s="1040">
        <f t="shared" si="237"/>
        <v>3.3333333333333437E-2</v>
      </c>
      <c r="AD566" s="1040">
        <f t="shared" si="237"/>
        <v>1.6129032258064502E-2</v>
      </c>
      <c r="AE566" s="1040">
        <f t="shared" si="237"/>
        <v>-0.23809523809523814</v>
      </c>
      <c r="AF566" s="1040">
        <f t="shared" si="237"/>
        <v>0.4375</v>
      </c>
      <c r="AG566" s="1040">
        <f t="shared" si="237"/>
        <v>4.3478260869565188E-2</v>
      </c>
      <c r="AH566" s="1040">
        <f t="shared" si="237"/>
        <v>2.7777777777777679E-2</v>
      </c>
      <c r="AI566" s="3327">
        <f t="shared" si="238"/>
        <v>5.4054054054053946E-2</v>
      </c>
      <c r="AJ566" s="3815">
        <f>'GDP current year'!U153</f>
        <v>0.10633653340086235</v>
      </c>
      <c r="AK566" s="1040">
        <f t="shared" si="255"/>
        <v>6.2722788410897998E-2</v>
      </c>
      <c r="AL566" s="1040">
        <f t="shared" si="255"/>
        <v>7.4371125288604775E-2</v>
      </c>
      <c r="AM566" s="232">
        <f t="shared" si="255"/>
        <v>8.114348236678838E-2</v>
      </c>
      <c r="AN566" s="232">
        <f t="shared" si="255"/>
        <v>7.2745798688763727E-2</v>
      </c>
      <c r="AO566" s="232">
        <f t="shared" si="255"/>
        <v>7.6086802114718965E-2</v>
      </c>
      <c r="AP566" s="1801">
        <f t="shared" si="255"/>
        <v>7.6658694390090362E-2</v>
      </c>
      <c r="AQ566" s="1801">
        <f t="shared" si="255"/>
        <v>7.5163765064524365E-2</v>
      </c>
      <c r="AR566" s="1801">
        <f t="shared" si="255"/>
        <v>7.5969753856444569E-2</v>
      </c>
      <c r="AS566" s="1801">
        <f t="shared" si="255"/>
        <v>7.5930737770353099E-2</v>
      </c>
      <c r="AT566" s="1801">
        <f t="shared" si="255"/>
        <v>7.5688085563774002E-2</v>
      </c>
      <c r="AV566" s="2376"/>
      <c r="AW566" s="2170"/>
      <c r="AX566" s="2170"/>
      <c r="AY566" s="2170"/>
      <c r="AZ566" s="2170"/>
      <c r="BA566" s="2170"/>
      <c r="BB566" s="2165"/>
    </row>
    <row r="567" spans="1:64" ht="16.75" thickBot="1">
      <c r="B567" s="295" t="s">
        <v>551</v>
      </c>
      <c r="C567" s="293" t="s">
        <v>30</v>
      </c>
      <c r="D567" s="454" t="s">
        <v>35</v>
      </c>
      <c r="E567" s="3012"/>
      <c r="F567" s="2209"/>
      <c r="G567" s="119"/>
      <c r="H567" s="119"/>
      <c r="I567" s="119"/>
      <c r="J567" s="124"/>
      <c r="K567" s="1041">
        <v>3.6999999999999998E-2</v>
      </c>
      <c r="L567" s="1041">
        <v>0.10100000000000001</v>
      </c>
      <c r="M567" s="1041">
        <v>2.5999999999999999E-2</v>
      </c>
      <c r="N567" s="1041">
        <v>8.2000000000000003E-2</v>
      </c>
      <c r="O567" s="1041">
        <v>0.2</v>
      </c>
      <c r="P567" s="1041">
        <v>9.0999999999999998E-2</v>
      </c>
      <c r="Q567" s="1041">
        <v>0.13100000000000001</v>
      </c>
      <c r="R567" s="1041">
        <v>0.14899999999999999</v>
      </c>
      <c r="S567" s="1041">
        <v>0.28199999999999997</v>
      </c>
      <c r="T567" s="1041">
        <v>1.2999999999999999E-2</v>
      </c>
      <c r="U567" s="1041">
        <v>8.7999999999999995E-2</v>
      </c>
      <c r="V567" s="3315">
        <v>0.24</v>
      </c>
      <c r="W567" s="3328">
        <f t="shared" si="237"/>
        <v>0.14431486880466471</v>
      </c>
      <c r="X567" s="1041">
        <f t="shared" si="237"/>
        <v>0.77579617834394909</v>
      </c>
      <c r="Y567" s="1041">
        <f t="shared" si="237"/>
        <v>-0.31492109038737448</v>
      </c>
      <c r="Z567" s="1041">
        <f t="shared" si="237"/>
        <v>0.15497382198952869</v>
      </c>
      <c r="AA567" s="1041">
        <f t="shared" si="237"/>
        <v>4.8050770625566619E-2</v>
      </c>
      <c r="AB567" s="1041">
        <f t="shared" si="237"/>
        <v>-9.7750865051903113E-2</v>
      </c>
      <c r="AC567" s="1041">
        <f t="shared" si="237"/>
        <v>4.4103547459252157E-2</v>
      </c>
      <c r="AD567" s="1041">
        <f t="shared" si="237"/>
        <v>0.32690541781450877</v>
      </c>
      <c r="AE567" s="1041">
        <f t="shared" ref="X567:AH582" si="256">AE612/AD612-1</f>
        <v>-0.28927335640138407</v>
      </c>
      <c r="AF567" s="1041">
        <f t="shared" si="256"/>
        <v>0.38461538461538458</v>
      </c>
      <c r="AG567" s="1041">
        <f t="shared" si="256"/>
        <v>0.32700421940928259</v>
      </c>
      <c r="AH567" s="1041">
        <f t="shared" si="256"/>
        <v>8.0551139374668734E-2</v>
      </c>
      <c r="AI567" s="3329">
        <f t="shared" si="238"/>
        <v>7.846983815595876E-2</v>
      </c>
      <c r="AJ567" s="3813">
        <f>'GDP current year'!U154</f>
        <v>0.12331632483972341</v>
      </c>
      <c r="AK567" s="232">
        <f>(AK345*AK346+AK347*AK348)+AK349</f>
        <v>6.1431038158014838E-2</v>
      </c>
      <c r="AL567" s="232">
        <f t="shared" ref="AL567:AT567" si="257">(AL345*AL346+AL347*AL348)+AL349</f>
        <v>6.3397618027015545E-2</v>
      </c>
      <c r="AM567" s="232">
        <f t="shared" si="257"/>
        <v>6.3397618027015545E-2</v>
      </c>
      <c r="AN567" s="232">
        <f>(AN345*AN346+AN347*AN348)+AN349</f>
        <v>6.3397618027015545E-2</v>
      </c>
      <c r="AO567" s="232">
        <f>(AO345*AO346+AO347*AO348)+AO349</f>
        <v>6.3397618027015545E-2</v>
      </c>
      <c r="AP567" s="1801">
        <f t="shared" si="257"/>
        <v>6.3397618027015545E-2</v>
      </c>
      <c r="AQ567" s="1801">
        <f t="shared" si="257"/>
        <v>6.3397618027015545E-2</v>
      </c>
      <c r="AR567" s="1801">
        <f t="shared" si="257"/>
        <v>6.3397618027015545E-2</v>
      </c>
      <c r="AS567" s="1801">
        <f t="shared" si="257"/>
        <v>6.3397618027015545E-2</v>
      </c>
      <c r="AT567" s="1801">
        <f t="shared" si="257"/>
        <v>6.3397618027015545E-2</v>
      </c>
      <c r="AV567" s="2376"/>
      <c r="AW567" s="2170"/>
      <c r="AX567" s="2170"/>
      <c r="AY567" s="2170"/>
      <c r="AZ567" s="2170"/>
      <c r="BA567" s="2170"/>
      <c r="BB567" s="274"/>
    </row>
    <row r="568" spans="1:64" ht="16.75" thickBot="1">
      <c r="C568" s="293"/>
      <c r="D568" s="104" t="s">
        <v>130</v>
      </c>
      <c r="E568" s="3011"/>
      <c r="F568" s="2942"/>
      <c r="G568" s="113"/>
      <c r="H568" s="113"/>
      <c r="I568" s="113"/>
      <c r="J568" s="114"/>
      <c r="K568" s="1039">
        <v>0.115</v>
      </c>
      <c r="L568" s="1039">
        <v>6.8000000000000005E-2</v>
      </c>
      <c r="M568" s="1039">
        <v>0.11600000000000001</v>
      </c>
      <c r="N568" s="1039">
        <v>6.9000000000000006E-2</v>
      </c>
      <c r="O568" s="1039">
        <v>0.10199999999999999</v>
      </c>
      <c r="P568" s="1039">
        <v>0.11899999999999999</v>
      </c>
      <c r="Q568" s="1039">
        <v>0.13300000000000001</v>
      </c>
      <c r="R568" s="1039">
        <v>0.122</v>
      </c>
      <c r="S568" s="1039">
        <v>0.13800000000000001</v>
      </c>
      <c r="T568" s="1039">
        <v>6.2E-2</v>
      </c>
      <c r="U568" s="1039">
        <v>9.1999999999999998E-2</v>
      </c>
      <c r="V568" s="3313">
        <v>0.08</v>
      </c>
      <c r="W568" s="3325">
        <f t="shared" si="237"/>
        <v>0.11585365853658547</v>
      </c>
      <c r="X568" s="1039">
        <f t="shared" si="256"/>
        <v>0.62431693989071047</v>
      </c>
      <c r="Y568" s="1039">
        <f t="shared" si="256"/>
        <v>-0.3069806560134567</v>
      </c>
      <c r="Z568" s="1039">
        <f t="shared" si="256"/>
        <v>0.10436893203883502</v>
      </c>
      <c r="AA568" s="1039">
        <f t="shared" si="256"/>
        <v>7.1428571428571397E-2</v>
      </c>
      <c r="AB568" s="1039">
        <f t="shared" si="256"/>
        <v>5.5897435897435788E-2</v>
      </c>
      <c r="AC568" s="1039">
        <f t="shared" si="256"/>
        <v>9.6972640440343261E-2</v>
      </c>
      <c r="AD568" s="1039">
        <f t="shared" si="256"/>
        <v>8.2792207792207861E-2</v>
      </c>
      <c r="AE568" s="1039">
        <f t="shared" si="256"/>
        <v>-0.30298487120076323</v>
      </c>
      <c r="AF568" s="1039">
        <f t="shared" si="256"/>
        <v>0.51896754008603829</v>
      </c>
      <c r="AG568" s="1039">
        <f t="shared" si="256"/>
        <v>0.10285787847579808</v>
      </c>
      <c r="AH568" s="1039">
        <f t="shared" si="256"/>
        <v>0.11614334072604171</v>
      </c>
      <c r="AI568" s="3326">
        <f t="shared" si="238"/>
        <v>8.7115666178623652E-2</v>
      </c>
      <c r="AJ568" s="3812">
        <f>'GDP current year'!U163</f>
        <v>7.6222468274331545E-2</v>
      </c>
      <c r="AK568" s="229">
        <f t="shared" ref="AK568:AM569" si="258">(AK613-AJ613)/AJ613</f>
        <v>8.2998631380635887E-2</v>
      </c>
      <c r="AL568" s="233">
        <f t="shared" si="258"/>
        <v>9.7126614130843947E-2</v>
      </c>
      <c r="AM568" s="233">
        <f t="shared" si="258"/>
        <v>9.5925507779615157E-2</v>
      </c>
      <c r="AN568" s="233">
        <f>(AN613-AM613)/AM613</f>
        <v>8.883770008383772E-2</v>
      </c>
      <c r="AO568" s="233">
        <f t="shared" ref="AO568:AT568" si="259">(AO613-AN613)/AN613</f>
        <v>8.8691308395212831E-2</v>
      </c>
      <c r="AP568" s="1799">
        <f t="shared" si="259"/>
        <v>9.945762325390696E-2</v>
      </c>
      <c r="AQ568" s="1799">
        <f t="shared" si="259"/>
        <v>9.9634231357998579E-2</v>
      </c>
      <c r="AR568" s="1799">
        <f t="shared" si="259"/>
        <v>0.10226592799112899</v>
      </c>
      <c r="AS568" s="1799">
        <f t="shared" si="259"/>
        <v>0.10391509849777095</v>
      </c>
      <c r="AT568" s="1799">
        <f t="shared" si="259"/>
        <v>0.10981626208929314</v>
      </c>
      <c r="AV568" s="2376"/>
      <c r="AW568" s="2170"/>
      <c r="AX568" s="2170"/>
      <c r="AY568" s="2170"/>
      <c r="AZ568" s="2170"/>
      <c r="BA568" s="2170"/>
      <c r="BB568" s="274"/>
    </row>
    <row r="569" spans="1:64">
      <c r="C569" s="293"/>
      <c r="D569" s="122" t="s">
        <v>106</v>
      </c>
      <c r="E569" s="3012"/>
      <c r="F569" s="2209"/>
      <c r="G569" s="119"/>
      <c r="H569" s="119"/>
      <c r="I569" s="119"/>
      <c r="J569" s="120"/>
      <c r="K569" s="1040">
        <v>0.13800000000000001</v>
      </c>
      <c r="L569" s="1040">
        <v>8.5000000000000006E-2</v>
      </c>
      <c r="M569" s="1040">
        <v>0.14799999999999999</v>
      </c>
      <c r="N569" s="1040">
        <v>0.03</v>
      </c>
      <c r="O569" s="1040">
        <v>0.14199999999999999</v>
      </c>
      <c r="P569" s="1040">
        <v>0.14299999999999999</v>
      </c>
      <c r="Q569" s="1040">
        <v>0.20599999999999999</v>
      </c>
      <c r="R569" s="1040">
        <v>0.14799999999999999</v>
      </c>
      <c r="S569" s="1040">
        <v>0.20599999999999999</v>
      </c>
      <c r="T569" s="1040">
        <v>5.3999999999999999E-2</v>
      </c>
      <c r="U569" s="1040">
        <v>9.0999999999999998E-2</v>
      </c>
      <c r="V569" s="3314">
        <v>7.0000000000000007E-2</v>
      </c>
      <c r="W569" s="3321">
        <f t="shared" si="237"/>
        <v>0.14947552447552437</v>
      </c>
      <c r="X569" s="1040">
        <f t="shared" si="256"/>
        <v>0.82585551330798479</v>
      </c>
      <c r="Y569" s="1040">
        <f t="shared" si="256"/>
        <v>-0.38109121199500207</v>
      </c>
      <c r="Z569" s="1040">
        <f t="shared" si="256"/>
        <v>0.11507402422611035</v>
      </c>
      <c r="AA569" s="1040">
        <f t="shared" si="256"/>
        <v>6.759203379601697E-2</v>
      </c>
      <c r="AB569" s="1040">
        <f t="shared" si="256"/>
        <v>6.6139061616732553E-2</v>
      </c>
      <c r="AC569" s="1040">
        <f t="shared" si="256"/>
        <v>0.1808059384941676</v>
      </c>
      <c r="AD569" s="1040">
        <f t="shared" si="256"/>
        <v>0.14144589133363272</v>
      </c>
      <c r="AE569" s="1040">
        <f t="shared" si="256"/>
        <v>-0.34618410700236035</v>
      </c>
      <c r="AF569" s="1040">
        <f t="shared" si="256"/>
        <v>0.54332129963898912</v>
      </c>
      <c r="AG569" s="1040">
        <f t="shared" si="256"/>
        <v>0.13255360623781676</v>
      </c>
      <c r="AH569" s="1040">
        <f t="shared" si="256"/>
        <v>0.13803786574870913</v>
      </c>
      <c r="AI569" s="3327">
        <f t="shared" si="238"/>
        <v>8.7114337568058087E-2</v>
      </c>
      <c r="AJ569" s="3813">
        <f>'GDP current year'!U164</f>
        <v>0.1262116286784396</v>
      </c>
      <c r="AK569" s="232">
        <f>(AK614-AJ614)/AJ614</f>
        <v>7.3089498929516938E-2</v>
      </c>
      <c r="AL569" s="232">
        <f t="shared" si="258"/>
        <v>8.5889296712833504E-2</v>
      </c>
      <c r="AM569" s="232">
        <f t="shared" si="258"/>
        <v>8.8725769134312682E-2</v>
      </c>
      <c r="AN569" s="232">
        <f>(AN614-AM614)/AM614</f>
        <v>6.110534752062971E-2</v>
      </c>
      <c r="AO569" s="232">
        <f t="shared" ref="AO569:AT569" si="260">(AO614-AN614)/AN614</f>
        <v>6.6956728683953554E-2</v>
      </c>
      <c r="AP569" s="1801">
        <f t="shared" si="260"/>
        <v>7.0195355658969186E-2</v>
      </c>
      <c r="AQ569" s="1801">
        <f t="shared" si="260"/>
        <v>5.9917275375097744E-2</v>
      </c>
      <c r="AR569" s="1801">
        <f t="shared" si="260"/>
        <v>6.3038811930285363E-2</v>
      </c>
      <c r="AS569" s="1801">
        <f t="shared" si="260"/>
        <v>5.9037852080333617E-2</v>
      </c>
      <c r="AT569" s="1801">
        <f t="shared" si="260"/>
        <v>6.5897930666724849E-2</v>
      </c>
      <c r="AV569" s="2376"/>
      <c r="AW569" s="2170"/>
      <c r="AX569" s="2170"/>
      <c r="AY569" s="2170"/>
      <c r="AZ569" s="2170"/>
      <c r="BA569" s="2170"/>
      <c r="BB569" s="274"/>
    </row>
    <row r="570" spans="1:64">
      <c r="B570" s="295" t="s">
        <v>543</v>
      </c>
      <c r="C570" s="293" t="s">
        <v>30</v>
      </c>
      <c r="D570" s="154" t="s">
        <v>107</v>
      </c>
      <c r="E570" s="3012"/>
      <c r="F570" s="2209"/>
      <c r="G570" s="119"/>
      <c r="H570" s="119"/>
      <c r="I570" s="119"/>
      <c r="J570" s="128"/>
      <c r="K570" s="1042">
        <v>0.13</v>
      </c>
      <c r="L570" s="1042">
        <v>6.4000000000000001E-2</v>
      </c>
      <c r="M570" s="1042">
        <v>0.13800000000000001</v>
      </c>
      <c r="N570" s="1042">
        <v>1.7000000000000001E-2</v>
      </c>
      <c r="O570" s="1042">
        <v>0.125</v>
      </c>
      <c r="P570" s="1042">
        <v>0.13200000000000001</v>
      </c>
      <c r="Q570" s="1042">
        <v>0.182</v>
      </c>
      <c r="R570" s="1042">
        <v>0.14699999999999999</v>
      </c>
      <c r="S570" s="1042">
        <v>0.19400000000000001</v>
      </c>
      <c r="T570" s="1042">
        <v>0.04</v>
      </c>
      <c r="U570" s="1042">
        <v>9.0999999999999998E-2</v>
      </c>
      <c r="V570" s="3316">
        <v>0.08</v>
      </c>
      <c r="W570" s="3330">
        <f t="shared" si="237"/>
        <v>5.0000000000000044E-2</v>
      </c>
      <c r="X570" s="1042">
        <f t="shared" si="256"/>
        <v>0.33333333333333326</v>
      </c>
      <c r="Y570" s="1042">
        <f t="shared" si="256"/>
        <v>-0.1428571428571429</v>
      </c>
      <c r="Z570" s="1042">
        <f t="shared" si="256"/>
        <v>0</v>
      </c>
      <c r="AA570" s="1042">
        <f t="shared" si="256"/>
        <v>8.3333333333333259E-2</v>
      </c>
      <c r="AB570" s="1042">
        <f t="shared" si="256"/>
        <v>7.6923076923076872E-2</v>
      </c>
      <c r="AC570" s="1042">
        <f t="shared" si="256"/>
        <v>5.3571428571428603E-2</v>
      </c>
      <c r="AD570" s="1042">
        <f t="shared" si="256"/>
        <v>6.7796610169491567E-2</v>
      </c>
      <c r="AE570" s="1042">
        <f t="shared" si="256"/>
        <v>-0.26984126984126988</v>
      </c>
      <c r="AF570" s="1042">
        <f t="shared" si="256"/>
        <v>0.89130434782608692</v>
      </c>
      <c r="AG570" s="1042">
        <f t="shared" si="256"/>
        <v>0.12643678160919536</v>
      </c>
      <c r="AH570" s="1042">
        <f t="shared" si="256"/>
        <v>0.15306122448979598</v>
      </c>
      <c r="AI570" s="3331">
        <f t="shared" si="238"/>
        <v>0.1415929203539823</v>
      </c>
      <c r="AJ570" s="3814">
        <f>'GDP current year'!U165</f>
        <v>0.23890748643432347</v>
      </c>
      <c r="AK570" s="1653">
        <f t="shared" ref="AK570:AT570" si="261">AVERAGE(AG570:AJ570)+AK351</f>
        <v>0.16499960322182428</v>
      </c>
      <c r="AL570" s="1653">
        <f t="shared" si="261"/>
        <v>0.17464030862498151</v>
      </c>
      <c r="AM570" s="1653">
        <f t="shared" si="261"/>
        <v>0.18003507965877788</v>
      </c>
      <c r="AN570" s="1653">
        <f t="shared" si="261"/>
        <v>0.18964561948497677</v>
      </c>
      <c r="AO570" s="1653">
        <f t="shared" si="261"/>
        <v>0.17733015274764008</v>
      </c>
      <c r="AP570" s="1802">
        <f t="shared" si="261"/>
        <v>0.18041279012909406</v>
      </c>
      <c r="AQ570" s="1802">
        <f t="shared" si="261"/>
        <v>0.1818559105051222</v>
      </c>
      <c r="AR570" s="1802">
        <f t="shared" si="261"/>
        <v>0.18231111821670828</v>
      </c>
      <c r="AS570" s="1802">
        <f t="shared" si="261"/>
        <v>0.18047749289964116</v>
      </c>
      <c r="AT570" s="1802">
        <f t="shared" si="261"/>
        <v>0.18126432793764141</v>
      </c>
      <c r="AV570" s="2376"/>
      <c r="AW570" s="2170"/>
      <c r="AX570" s="2170"/>
      <c r="AY570" s="2170"/>
      <c r="AZ570" s="2170"/>
      <c r="BA570" s="2170"/>
      <c r="BB570" s="2165"/>
    </row>
    <row r="571" spans="1:64">
      <c r="A571" s="297" t="s">
        <v>203</v>
      </c>
      <c r="B571" s="295" t="s">
        <v>552</v>
      </c>
      <c r="C571" s="293" t="s">
        <v>30</v>
      </c>
      <c r="D571" s="154" t="s">
        <v>36</v>
      </c>
      <c r="E571" s="3012"/>
      <c r="F571" s="2209"/>
      <c r="G571" s="119"/>
      <c r="H571" s="119"/>
      <c r="I571" s="119"/>
      <c r="J571" s="128"/>
      <c r="K571" s="1042">
        <v>0.13</v>
      </c>
      <c r="L571" s="1042">
        <v>6.4000000000000001E-2</v>
      </c>
      <c r="M571" s="1042">
        <v>0.13800000000000001</v>
      </c>
      <c r="N571" s="1042">
        <v>1.7000000000000001E-2</v>
      </c>
      <c r="O571" s="1042">
        <v>0.125</v>
      </c>
      <c r="P571" s="1042">
        <v>0.13200000000000001</v>
      </c>
      <c r="Q571" s="1042">
        <v>0.182</v>
      </c>
      <c r="R571" s="1042">
        <v>0.14699999999999999</v>
      </c>
      <c r="S571" s="1042">
        <v>0.19400000000000001</v>
      </c>
      <c r="T571" s="1042">
        <v>0.04</v>
      </c>
      <c r="U571" s="1042">
        <v>9.0999999999999998E-2</v>
      </c>
      <c r="V571" s="3316">
        <v>0.08</v>
      </c>
      <c r="W571" s="3330">
        <f t="shared" si="237"/>
        <v>0.14236111111111116</v>
      </c>
      <c r="X571" s="1042">
        <f t="shared" si="256"/>
        <v>0.85410334346504557</v>
      </c>
      <c r="Y571" s="1042">
        <f t="shared" si="256"/>
        <v>-0.38196721311475412</v>
      </c>
      <c r="Z571" s="1042">
        <f t="shared" si="256"/>
        <v>0.12732095490716189</v>
      </c>
      <c r="AA571" s="1042">
        <f t="shared" si="256"/>
        <v>6.1176470588235388E-2</v>
      </c>
      <c r="AB571" s="1042">
        <f t="shared" si="256"/>
        <v>1.8847006651884657E-2</v>
      </c>
      <c r="AC571" s="1042">
        <f t="shared" si="256"/>
        <v>0.18171926006528838</v>
      </c>
      <c r="AD571" s="1042">
        <f t="shared" si="256"/>
        <v>0.15745856353591159</v>
      </c>
      <c r="AE571" s="1042">
        <f t="shared" si="256"/>
        <v>-0.28321400159108989</v>
      </c>
      <c r="AF571" s="1042">
        <f t="shared" si="256"/>
        <v>0.48279689234184242</v>
      </c>
      <c r="AG571" s="1042">
        <f t="shared" si="256"/>
        <v>8.3083832335329344E-2</v>
      </c>
      <c r="AH571" s="1042">
        <f t="shared" si="256"/>
        <v>0.13545266067726325</v>
      </c>
      <c r="AI571" s="3331">
        <f t="shared" si="238"/>
        <v>0.10894704808277544</v>
      </c>
      <c r="AJ571" s="3814">
        <f>'GDP current year'!U166</f>
        <v>0.11241188285489701</v>
      </c>
      <c r="AK571" s="3733">
        <f>(AK353*AK549+AK354*AK557+AK355*((SUM(AK189:AK192)-SUM(AJ189:AJ192))/SUM(AJ189:AJ192)))+AK357</f>
        <v>9.4427589536886847E-2</v>
      </c>
      <c r="AL571" s="3733">
        <f t="shared" ref="AL571:AT571" si="262">(AL353*AL549+AL354*AL557+AL355*((SUM(AL189:AL192)-SUM(AK189:AK192))/SUM(AK189:AK192)))+AL357</f>
        <v>0.11506237285639054</v>
      </c>
      <c r="AM571" s="1653">
        <f>(AM353*AM549+AM354*AM557+AM355*((SUM(AM189:AM192)-SUM(AL189:AL192))/SUM(AL189:AL192)))+AM357</f>
        <v>8.5571357076997617E-2</v>
      </c>
      <c r="AN571" s="1653">
        <f>(AN353*AN549+AN354*AN557+AN355*((SUM(AN189:AN192)-SUM(AM189:AM192))/SUM(AM189:AM192)))+AN357</f>
        <v>6.636226341827893E-2</v>
      </c>
      <c r="AO571" s="1653">
        <f>(AO353*AO549+AO354*AO557+AO355*((SUM(AO189:AO192)-SUM(AN189:AN192))/SUM(AN189:AN192)))+AO357</f>
        <v>8.0266529504779666E-2</v>
      </c>
      <c r="AP571" s="1802">
        <f t="shared" si="262"/>
        <v>6.8704535189094182E-2</v>
      </c>
      <c r="AQ571" s="1802">
        <f t="shared" si="262"/>
        <v>5.9523005907571251E-2</v>
      </c>
      <c r="AR571" s="1802">
        <f t="shared" si="262"/>
        <v>6.1534480177753995E-2</v>
      </c>
      <c r="AS571" s="1802">
        <f t="shared" si="262"/>
        <v>5.7474972084175791E-2</v>
      </c>
      <c r="AT571" s="1802">
        <f t="shared" si="262"/>
        <v>6.2466777457840093E-2</v>
      </c>
      <c r="AV571" s="2376"/>
      <c r="AW571" s="2170"/>
      <c r="AX571" s="2170"/>
      <c r="AY571" s="2170"/>
      <c r="AZ571" s="2170"/>
      <c r="BA571" s="2170"/>
      <c r="BB571" s="274"/>
    </row>
    <row r="572" spans="1:64" s="1575" customFormat="1">
      <c r="A572" s="1573" t="s">
        <v>203</v>
      </c>
      <c r="B572" s="1574" t="s">
        <v>553</v>
      </c>
      <c r="C572" s="293" t="s">
        <v>30</v>
      </c>
      <c r="D572" s="154" t="s">
        <v>108</v>
      </c>
      <c r="E572" s="3012"/>
      <c r="F572" s="2209"/>
      <c r="G572" s="119"/>
      <c r="H572" s="119"/>
      <c r="I572" s="119"/>
      <c r="J572" s="128"/>
      <c r="K572" s="1042">
        <v>0.16</v>
      </c>
      <c r="L572" s="1042">
        <v>0.14199999999999999</v>
      </c>
      <c r="M572" s="1042">
        <v>0.17599999999999999</v>
      </c>
      <c r="N572" s="1042">
        <v>6.3E-2</v>
      </c>
      <c r="O572" s="1042">
        <v>0.183</v>
      </c>
      <c r="P572" s="1042">
        <v>0.16800000000000001</v>
      </c>
      <c r="Q572" s="1042">
        <v>0.22500000000000001</v>
      </c>
      <c r="R572" s="1042">
        <v>0.15</v>
      </c>
      <c r="S572" s="1042">
        <v>0.23799999999999999</v>
      </c>
      <c r="T572" s="1042">
        <v>9.1999999999999998E-2</v>
      </c>
      <c r="U572" s="1042">
        <v>0.09</v>
      </c>
      <c r="V572" s="3316">
        <v>0.04</v>
      </c>
      <c r="W572" s="3330">
        <f t="shared" si="237"/>
        <v>0.1875</v>
      </c>
      <c r="X572" s="1042">
        <f t="shared" si="256"/>
        <v>0.8405572755417956</v>
      </c>
      <c r="Y572" s="1042">
        <f t="shared" si="256"/>
        <v>-0.39613120269133728</v>
      </c>
      <c r="Z572" s="1042">
        <f t="shared" si="256"/>
        <v>9.7493036211699247E-2</v>
      </c>
      <c r="AA572" s="1042">
        <f t="shared" si="256"/>
        <v>7.8680203045685237E-2</v>
      </c>
      <c r="AB572" s="1042">
        <f t="shared" si="256"/>
        <v>0.15176470588235302</v>
      </c>
      <c r="AC572" s="1042">
        <f t="shared" si="256"/>
        <v>0.19713993871297242</v>
      </c>
      <c r="AD572" s="1042">
        <f t="shared" si="256"/>
        <v>0.12286689419795227</v>
      </c>
      <c r="AE572" s="1042">
        <f t="shared" si="256"/>
        <v>-0.46276595744680848</v>
      </c>
      <c r="AF572" s="1042">
        <f t="shared" si="256"/>
        <v>0.61669024045261667</v>
      </c>
      <c r="AG572" s="1042">
        <f t="shared" si="256"/>
        <v>0.18810148731408582</v>
      </c>
      <c r="AH572" s="1042">
        <f t="shared" si="256"/>
        <v>0.14138438880706916</v>
      </c>
      <c r="AI572" s="3331">
        <f t="shared" si="238"/>
        <v>6.0645161290322491E-2</v>
      </c>
      <c r="AJ572" s="3814">
        <f>'GDP current year'!U167</f>
        <v>0.13197754085076752</v>
      </c>
      <c r="AK572" s="1653">
        <f t="shared" ref="AK572:AT572" si="263">AK360*(1-AK359) +AK362*AK359+AK363</f>
        <v>4.195664678446679E-2</v>
      </c>
      <c r="AL572" s="1653">
        <f t="shared" si="263"/>
        <v>4.3994455695390344E-2</v>
      </c>
      <c r="AM572" s="1653">
        <f t="shared" si="263"/>
        <v>8.2715173891508204E-2</v>
      </c>
      <c r="AN572" s="1653">
        <f>AN360*(1-AN359) +AN362*AN359+AN363</f>
        <v>3.9529993811396949E-2</v>
      </c>
      <c r="AO572" s="1653">
        <f>AO360*(1-AO359) +AO362*AO359+AO363</f>
        <v>3.5357605193411752E-2</v>
      </c>
      <c r="AP572" s="1802">
        <f t="shared" si="263"/>
        <v>5.5261595120079027E-2</v>
      </c>
      <c r="AQ572" s="1802">
        <f>AQ360*(1-AQ359)+AQ362*AQ359+AQ363</f>
        <v>3.9540351616069752E-2</v>
      </c>
      <c r="AR572" s="1802">
        <f>AR360*(1-AR359)+AR362*AR359+AR363</f>
        <v>4.1832584204494851E-2</v>
      </c>
      <c r="AS572" s="1802">
        <f t="shared" si="263"/>
        <v>3.4337643969868804E-2</v>
      </c>
      <c r="AT572" s="1802">
        <f t="shared" si="263"/>
        <v>4.1618383071709522E-2</v>
      </c>
      <c r="AU572" s="1"/>
      <c r="AV572" s="2376"/>
      <c r="AW572" s="2170"/>
      <c r="AX572" s="2170"/>
      <c r="AY572" s="2170"/>
      <c r="AZ572" s="2170"/>
      <c r="BA572" s="2170"/>
      <c r="BB572" s="274"/>
      <c r="BC572" s="1"/>
      <c r="BD572" s="1"/>
      <c r="BE572" s="1"/>
      <c r="BF572" s="1"/>
      <c r="BG572" s="1"/>
      <c r="BH572" s="1"/>
      <c r="BI572" s="1"/>
      <c r="BJ572" s="1"/>
      <c r="BK572" s="1"/>
      <c r="BL572" s="1"/>
    </row>
    <row r="573" spans="1:64" ht="17.25" customHeight="1">
      <c r="C573" s="293"/>
      <c r="D573" s="122" t="s">
        <v>133</v>
      </c>
      <c r="E573" s="3013"/>
      <c r="F573" s="2210"/>
      <c r="G573" s="121"/>
      <c r="H573" s="121"/>
      <c r="I573" s="121"/>
      <c r="J573" s="120"/>
      <c r="K573" s="1040">
        <v>0.125</v>
      </c>
      <c r="L573" s="1040">
        <v>4.9000000000000002E-2</v>
      </c>
      <c r="M573" s="1040">
        <v>8.6999999999999994E-2</v>
      </c>
      <c r="N573" s="1040">
        <v>9.4E-2</v>
      </c>
      <c r="O573" s="1040">
        <v>6.9000000000000006E-2</v>
      </c>
      <c r="P573" s="1040">
        <v>0.114</v>
      </c>
      <c r="Q573" s="1040">
        <v>2.7E-2</v>
      </c>
      <c r="R573" s="1040">
        <v>0.108</v>
      </c>
      <c r="S573" s="1040">
        <v>9.9000000000000005E-2</v>
      </c>
      <c r="T573" s="1040">
        <v>6.8000000000000005E-2</v>
      </c>
      <c r="U573" s="1040">
        <v>9.2999999999999999E-2</v>
      </c>
      <c r="V573" s="3314">
        <v>0.09</v>
      </c>
      <c r="W573" s="3321">
        <f t="shared" si="237"/>
        <v>9.9892202659001006E-2</v>
      </c>
      <c r="X573" s="1040">
        <f t="shared" si="256"/>
        <v>0.55112708265272792</v>
      </c>
      <c r="Y573" s="1040">
        <f t="shared" si="256"/>
        <v>-0.27569502948609936</v>
      </c>
      <c r="Z573" s="1040">
        <f t="shared" si="256"/>
        <v>0.10061064262867103</v>
      </c>
      <c r="AA573" s="1040">
        <f t="shared" si="256"/>
        <v>7.3183619550858614E-2</v>
      </c>
      <c r="AB573" s="1040">
        <f t="shared" si="256"/>
        <v>5.1944854751353908E-2</v>
      </c>
      <c r="AC573" s="1040">
        <f t="shared" si="256"/>
        <v>6.5761759887666749E-2</v>
      </c>
      <c r="AD573" s="1040">
        <f t="shared" si="256"/>
        <v>5.8849363197189364E-2</v>
      </c>
      <c r="AE573" s="1040">
        <f t="shared" si="256"/>
        <v>-0.2839070924927416</v>
      </c>
      <c r="AF573" s="1040">
        <f t="shared" si="256"/>
        <v>0.50680567622357375</v>
      </c>
      <c r="AG573" s="1040">
        <f t="shared" si="256"/>
        <v>8.8218335575629414E-2</v>
      </c>
      <c r="AH573" s="1040">
        <f t="shared" si="256"/>
        <v>0.10526315789473695</v>
      </c>
      <c r="AI573" s="3327">
        <f t="shared" si="238"/>
        <v>8.6928731224033218E-2</v>
      </c>
      <c r="AJ573" s="3813">
        <f>'GDP current year'!U168</f>
        <v>4.9651273778501093E-2</v>
      </c>
      <c r="AK573" s="232">
        <f t="shared" ref="AK573:AT573" si="264">(AK618-AJ618)/AJ618</f>
        <v>8.8616247377678495E-2</v>
      </c>
      <c r="AL573" s="232">
        <f t="shared" si="264"/>
        <v>0.103406332932688</v>
      </c>
      <c r="AM573" s="232">
        <f t="shared" si="264"/>
        <v>9.9885044366775949E-2</v>
      </c>
      <c r="AN573" s="232">
        <f t="shared" si="264"/>
        <v>0.10393452252235574</v>
      </c>
      <c r="AO573" s="232">
        <f t="shared" si="264"/>
        <v>0.10006405254777793</v>
      </c>
      <c r="AP573" s="1801">
        <f t="shared" si="264"/>
        <v>0.11430845690709858</v>
      </c>
      <c r="AQ573" s="1801">
        <f t="shared" si="264"/>
        <v>0.11899294282731844</v>
      </c>
      <c r="AR573" s="1801">
        <f t="shared" si="264"/>
        <v>0.12037647195664911</v>
      </c>
      <c r="AS573" s="1801">
        <f t="shared" si="264"/>
        <v>0.12357387372682901</v>
      </c>
      <c r="AT573" s="1801">
        <f t="shared" si="264"/>
        <v>0.12794994169452026</v>
      </c>
      <c r="AV573" s="2376"/>
      <c r="AW573" s="2170"/>
      <c r="AX573" s="2170"/>
      <c r="AY573" s="2170"/>
      <c r="AZ573" s="2170"/>
      <c r="BA573" s="2170"/>
      <c r="BB573" s="2165"/>
    </row>
    <row r="574" spans="1:64" s="681" customFormat="1">
      <c r="A574" s="1475" t="s">
        <v>210</v>
      </c>
      <c r="B574" s="346" t="s">
        <v>554</v>
      </c>
      <c r="C574" s="2321" t="s">
        <v>30</v>
      </c>
      <c r="D574" s="129" t="s">
        <v>120</v>
      </c>
      <c r="E574" s="3013"/>
      <c r="F574" s="2210"/>
      <c r="G574" s="121"/>
      <c r="H574" s="121"/>
      <c r="I574" s="121"/>
      <c r="J574" s="128"/>
      <c r="K574" s="1042">
        <v>2.8000000000000001E-2</v>
      </c>
      <c r="L574" s="1042">
        <v>4.2999999999999997E-2</v>
      </c>
      <c r="M574" s="1042">
        <v>0.45500000000000002</v>
      </c>
      <c r="N574" s="1042">
        <v>0.50700000000000001</v>
      </c>
      <c r="O574" s="1042">
        <v>0.26300000000000001</v>
      </c>
      <c r="P574" s="1042">
        <v>0.36599999999999999</v>
      </c>
      <c r="Q574" s="1042">
        <v>0.22800000000000001</v>
      </c>
      <c r="R574" s="1042">
        <v>3.3000000000000002E-2</v>
      </c>
      <c r="S574" s="1042">
        <v>5.6000000000000001E-2</v>
      </c>
      <c r="T574" s="1042">
        <v>-5.8000000000000003E-2</v>
      </c>
      <c r="U574" s="1042">
        <v>7.9000000000000001E-2</v>
      </c>
      <c r="V574" s="3316">
        <v>0.04</v>
      </c>
      <c r="W574" s="3330">
        <f t="shared" si="237"/>
        <v>5.9190031152647871E-2</v>
      </c>
      <c r="X574" s="1042">
        <f t="shared" si="256"/>
        <v>0.52941176470588225</v>
      </c>
      <c r="Y574" s="1042">
        <f t="shared" si="256"/>
        <v>-0.24230769230769234</v>
      </c>
      <c r="Z574" s="1042">
        <f t="shared" si="256"/>
        <v>9.3908629441624258E-2</v>
      </c>
      <c r="AA574" s="1042">
        <f t="shared" si="256"/>
        <v>0.11368909512761016</v>
      </c>
      <c r="AB574" s="1042">
        <f t="shared" si="256"/>
        <v>7.2916666666666741E-2</v>
      </c>
      <c r="AC574" s="1042">
        <f t="shared" si="256"/>
        <v>7.3786407766990303E-2</v>
      </c>
      <c r="AD574" s="1042">
        <f t="shared" si="256"/>
        <v>9.5840867992766698E-2</v>
      </c>
      <c r="AE574" s="1042">
        <f t="shared" si="256"/>
        <v>-0.64356435643564358</v>
      </c>
      <c r="AF574" s="1042">
        <f t="shared" si="256"/>
        <v>1.0231481481481484</v>
      </c>
      <c r="AG574" s="1042">
        <f t="shared" si="256"/>
        <v>0.22196796338672775</v>
      </c>
      <c r="AH574" s="1042">
        <f t="shared" si="256"/>
        <v>0.14606741573033699</v>
      </c>
      <c r="AI574" s="3331">
        <f t="shared" si="238"/>
        <v>0.11274509803921573</v>
      </c>
      <c r="AJ574" s="3814">
        <f>'GDP current year'!U169</f>
        <v>0.16193404040032619</v>
      </c>
      <c r="AK574" s="1653">
        <f t="shared" ref="AK574:AT574" si="265">(AK197*AK266)/(AJ197*AJ266)/(1+AK937)-1+AK369</f>
        <v>3.4772780880201415E-2</v>
      </c>
      <c r="AL574" s="1653">
        <f t="shared" si="265"/>
        <v>0.10626276000364632</v>
      </c>
      <c r="AM574" s="1042">
        <f>(AM197*AM266)/(AL197*AL266)/(1+AM937)-1+AM369</f>
        <v>8.5820588184997604E-2</v>
      </c>
      <c r="AN574" s="1653">
        <f>(AN197*AN266)/(AM197*AM266)/(1+AN937)-1+AN369</f>
        <v>6.4176979857053729E-2</v>
      </c>
      <c r="AO574" s="1042">
        <f>(AO197*AO266)/(AN197*AN266)/(1+AO937)-1+AO369</f>
        <v>1.7376111606099531E-2</v>
      </c>
      <c r="AP574" s="1653">
        <f t="shared" si="265"/>
        <v>6.7358210429733223E-2</v>
      </c>
      <c r="AQ574" s="1653">
        <f t="shared" si="265"/>
        <v>5.9820108113529002E-2</v>
      </c>
      <c r="AR574" s="1653">
        <f t="shared" si="265"/>
        <v>5.8635176002726608E-2</v>
      </c>
      <c r="AS574" s="1653">
        <f t="shared" si="265"/>
        <v>7.2841838848404894E-2</v>
      </c>
      <c r="AT574" s="1653">
        <f t="shared" si="265"/>
        <v>9.1419210490049307E-2</v>
      </c>
      <c r="AV574" s="2376"/>
      <c r="AW574" s="2170"/>
      <c r="AX574" s="2170"/>
      <c r="AY574" s="2170"/>
      <c r="AZ574" s="2170"/>
      <c r="BA574" s="2170"/>
      <c r="BB574" s="2322"/>
    </row>
    <row r="575" spans="1:64">
      <c r="B575" s="295" t="s">
        <v>609</v>
      </c>
      <c r="C575" s="293" t="s">
        <v>30</v>
      </c>
      <c r="D575" s="129" t="s">
        <v>121</v>
      </c>
      <c r="E575" s="1560"/>
      <c r="F575" s="560"/>
      <c r="G575" s="130"/>
      <c r="H575" s="130"/>
      <c r="I575" s="130"/>
      <c r="J575" s="128"/>
      <c r="K575" s="1042">
        <v>0.16</v>
      </c>
      <c r="L575" s="1042">
        <v>0.14199999999999999</v>
      </c>
      <c r="M575" s="1042">
        <v>0.17599999999999999</v>
      </c>
      <c r="N575" s="1042">
        <v>6.3E-2</v>
      </c>
      <c r="O575" s="1042">
        <v>0.183</v>
      </c>
      <c r="P575" s="1042">
        <v>0.16800000000000001</v>
      </c>
      <c r="Q575" s="1042">
        <v>0.22500000000000001</v>
      </c>
      <c r="R575" s="1042">
        <v>0.14899999999999999</v>
      </c>
      <c r="S575" s="1042">
        <v>0.23</v>
      </c>
      <c r="T575" s="1042">
        <v>9.0999999999999998E-2</v>
      </c>
      <c r="U575" s="1042">
        <v>8.6999999999999994E-2</v>
      </c>
      <c r="V575" s="3316">
        <v>0.04</v>
      </c>
      <c r="W575" s="3330">
        <f t="shared" si="237"/>
        <v>0.33333333333333326</v>
      </c>
      <c r="X575" s="1042">
        <f t="shared" si="256"/>
        <v>1.1578947368421053</v>
      </c>
      <c r="Y575" s="1042">
        <f t="shared" si="256"/>
        <v>-0.50609756097560976</v>
      </c>
      <c r="Z575" s="1042">
        <f t="shared" si="256"/>
        <v>0.18518518518518512</v>
      </c>
      <c r="AA575" s="1042">
        <f t="shared" si="256"/>
        <v>8.3333333333333259E-2</v>
      </c>
      <c r="AB575" s="1042">
        <f t="shared" si="256"/>
        <v>0.10576923076923084</v>
      </c>
      <c r="AC575" s="1042">
        <f t="shared" si="256"/>
        <v>0.13043478260869557</v>
      </c>
      <c r="AD575" s="1042">
        <f t="shared" si="256"/>
        <v>0.10000000000000009</v>
      </c>
      <c r="AE575" s="1042">
        <f t="shared" si="256"/>
        <v>6.9930069930070893E-3</v>
      </c>
      <c r="AF575" s="1042">
        <f t="shared" si="256"/>
        <v>0.5625</v>
      </c>
      <c r="AG575" s="1042">
        <f t="shared" si="256"/>
        <v>0.2088888888888889</v>
      </c>
      <c r="AH575" s="1042">
        <f t="shared" si="256"/>
        <v>0.32352941176470584</v>
      </c>
      <c r="AI575" s="3331">
        <f t="shared" si="238"/>
        <v>0.20277777777777772</v>
      </c>
      <c r="AJ575" s="3814">
        <f>'GDP current year'!U170</f>
        <v>5.2558506662984561E-2</v>
      </c>
      <c r="AK575" s="1653">
        <f>AVERAGE(AF575:AI575)+AK370</f>
        <v>0.32442401960784312</v>
      </c>
      <c r="AL575" s="1653">
        <f>AVERAGE(AG575:AJ575)+AL370</f>
        <v>0.19693864627358926</v>
      </c>
      <c r="AM575" s="1653">
        <f>AVERAGE(AH575:AK575)+AM370</f>
        <v>0.22582242895332783</v>
      </c>
      <c r="AN575" s="1653">
        <f>AVERAGE(AI575:AL575)+AN370</f>
        <v>0.19417473758054868</v>
      </c>
      <c r="AO575" s="1653">
        <f>AVERAGE(AJ575:AM575)+AO370</f>
        <v>0.19993590037443618</v>
      </c>
      <c r="AP575" s="1802">
        <f>AVERAGE(AK575:AO575)+AP370</f>
        <v>0.22825914655794902</v>
      </c>
      <c r="AQ575" s="1802">
        <f>AVERAGE(AL575:AP575)+AQ370</f>
        <v>0.20902617194797019</v>
      </c>
      <c r="AR575" s="1802">
        <f>AVERAGE(AM575:AQ575)+AR370</f>
        <v>0.21144367708284637</v>
      </c>
      <c r="AS575" s="1802">
        <f>AVERAGE(AN575:AR575)+AS370</f>
        <v>0.20856792670875007</v>
      </c>
      <c r="AT575" s="1802">
        <f>AVERAGE(AO575:AS575)+AT370</f>
        <v>0.21144656453439037</v>
      </c>
      <c r="AV575" s="2376"/>
      <c r="AW575" s="2170"/>
      <c r="AX575" s="2170"/>
      <c r="AY575" s="2170"/>
      <c r="AZ575" s="2170"/>
      <c r="BA575" s="2170"/>
      <c r="BB575" s="274"/>
    </row>
    <row r="576" spans="1:64">
      <c r="A576" s="297" t="s">
        <v>211</v>
      </c>
      <c r="B576" s="295" t="s">
        <v>555</v>
      </c>
      <c r="C576" s="293" t="s">
        <v>30</v>
      </c>
      <c r="D576" s="129" t="s">
        <v>122</v>
      </c>
      <c r="E576" s="3013"/>
      <c r="F576" s="2210"/>
      <c r="G576" s="121"/>
      <c r="H576" s="121"/>
      <c r="I576" s="121"/>
      <c r="J576" s="128"/>
      <c r="K576" s="1042">
        <v>0.223</v>
      </c>
      <c r="L576" s="1042">
        <v>4.4999999999999998E-2</v>
      </c>
      <c r="M576" s="1042">
        <v>-2.4E-2</v>
      </c>
      <c r="N576" s="1042">
        <v>0.20499999999999999</v>
      </c>
      <c r="O576" s="1042">
        <v>8.2000000000000003E-2</v>
      </c>
      <c r="P576" s="1042">
        <v>1.4E-2</v>
      </c>
      <c r="Q576" s="1042">
        <v>9.5000000000000001E-2</v>
      </c>
      <c r="R576" s="1042">
        <v>0.11600000000000001</v>
      </c>
      <c r="S576" s="1042">
        <v>1.7999999999999999E-2</v>
      </c>
      <c r="T576" s="1042">
        <v>-4.1000000000000002E-2</v>
      </c>
      <c r="U576" s="1042">
        <v>0.23599999999999999</v>
      </c>
      <c r="V576" s="3316">
        <v>0.2</v>
      </c>
      <c r="W576" s="3330">
        <f t="shared" si="237"/>
        <v>0.12195121951219523</v>
      </c>
      <c r="X576" s="1042">
        <f t="shared" si="256"/>
        <v>0.63043478260869557</v>
      </c>
      <c r="Y576" s="1042">
        <f t="shared" si="256"/>
        <v>-0.30133333333333334</v>
      </c>
      <c r="Z576" s="1042">
        <f t="shared" si="256"/>
        <v>0.12213740458015265</v>
      </c>
      <c r="AA576" s="1042">
        <f t="shared" si="256"/>
        <v>3.4013605442176909E-2</v>
      </c>
      <c r="AB576" s="1042">
        <f t="shared" si="256"/>
        <v>6.578947368421062E-2</v>
      </c>
      <c r="AC576" s="1042">
        <f t="shared" si="256"/>
        <v>0.10185185185185186</v>
      </c>
      <c r="AD576" s="1042">
        <f t="shared" si="256"/>
        <v>8.6834733893557337E-2</v>
      </c>
      <c r="AE576" s="1042">
        <f t="shared" si="256"/>
        <v>-0.25773195876288657</v>
      </c>
      <c r="AF576" s="1042">
        <f t="shared" si="256"/>
        <v>0.42361111111111116</v>
      </c>
      <c r="AG576" s="1042">
        <f t="shared" si="256"/>
        <v>0.10975609756097571</v>
      </c>
      <c r="AH576" s="1042">
        <f t="shared" si="256"/>
        <v>-1.9780219780219821E-2</v>
      </c>
      <c r="AI576" s="3331">
        <f t="shared" si="238"/>
        <v>0.11659192825112097</v>
      </c>
      <c r="AJ576" s="3814">
        <f>'GDP current year'!U171</f>
        <v>0.14252089097135112</v>
      </c>
      <c r="AK576" s="1653">
        <f>AVERAGE(AG576:AJ576)+AK364</f>
        <v>8.7272174250806994E-2</v>
      </c>
      <c r="AL576" s="1653">
        <f>AVERAGE(AH576:AK576)+AL364</f>
        <v>8.1651193423264823E-2</v>
      </c>
      <c r="AM576" s="1653">
        <f>AVERAGE(AI576:AL576)+AM364</f>
        <v>0.10700904672413598</v>
      </c>
      <c r="AN576" s="1653">
        <f>AVERAGE(AJ576:AM576)+AN364</f>
        <v>0.10461332634238972</v>
      </c>
      <c r="AO576" s="1653">
        <f t="shared" ref="AO576:AT576" si="266">AVERAGE(AK576:AN576)+AO364</f>
        <v>9.5136435185149387E-2</v>
      </c>
      <c r="AP576" s="1802">
        <f t="shared" si="266"/>
        <v>9.7102500418734972E-2</v>
      </c>
      <c r="AQ576" s="1802">
        <f t="shared" si="266"/>
        <v>0.10096532716760252</v>
      </c>
      <c r="AR576" s="1802">
        <f t="shared" si="266"/>
        <v>9.945439727846915E-2</v>
      </c>
      <c r="AS576" s="1802">
        <f t="shared" si="266"/>
        <v>9.8164665012489008E-2</v>
      </c>
      <c r="AT576" s="1802">
        <f t="shared" si="266"/>
        <v>9.8921722469323917E-2</v>
      </c>
      <c r="AV576" s="2376"/>
      <c r="AW576" s="2170"/>
      <c r="AX576" s="2170"/>
      <c r="AY576" s="2170"/>
      <c r="AZ576" s="2170"/>
      <c r="BA576" s="2170"/>
      <c r="BB576" s="2165"/>
    </row>
    <row r="577" spans="1:54">
      <c r="B577" s="295" t="s">
        <v>596</v>
      </c>
      <c r="C577" s="293" t="s">
        <v>30</v>
      </c>
      <c r="D577" s="129" t="s">
        <v>123</v>
      </c>
      <c r="E577" s="3012"/>
      <c r="F577" s="2209"/>
      <c r="G577" s="119"/>
      <c r="H577" s="119"/>
      <c r="I577" s="119"/>
      <c r="J577" s="128"/>
      <c r="K577" s="1042">
        <v>3.2000000000000001E-2</v>
      </c>
      <c r="L577" s="1042">
        <v>3.3000000000000002E-2</v>
      </c>
      <c r="M577" s="1042">
        <v>4.7E-2</v>
      </c>
      <c r="N577" s="1042">
        <v>5.3999999999999999E-2</v>
      </c>
      <c r="O577" s="1042">
        <v>2.7E-2</v>
      </c>
      <c r="P577" s="1042">
        <v>8.1000000000000003E-2</v>
      </c>
      <c r="Q577" s="1042">
        <v>4.2999999999999997E-2</v>
      </c>
      <c r="R577" s="1042">
        <v>0.107</v>
      </c>
      <c r="S577" s="1042">
        <v>0.155</v>
      </c>
      <c r="T577" s="1042">
        <v>8.2000000000000003E-2</v>
      </c>
      <c r="U577" s="1042">
        <v>0.01</v>
      </c>
      <c r="V577" s="3316">
        <v>0</v>
      </c>
      <c r="W577" s="3330">
        <f t="shared" si="237"/>
        <v>-3.4682080924856029E-3</v>
      </c>
      <c r="X577" s="1042">
        <f t="shared" si="256"/>
        <v>0.35034802784222729</v>
      </c>
      <c r="Y577" s="1042">
        <f t="shared" si="256"/>
        <v>-0.21134020618556704</v>
      </c>
      <c r="Z577" s="1042">
        <f t="shared" si="256"/>
        <v>4.466230936819171E-2</v>
      </c>
      <c r="AA577" s="1042">
        <f t="shared" si="256"/>
        <v>6.2565172054223073E-2</v>
      </c>
      <c r="AB577" s="1042">
        <f t="shared" si="256"/>
        <v>6.9676153091265958E-2</v>
      </c>
      <c r="AC577" s="1042">
        <f t="shared" si="256"/>
        <v>4.862385321100926E-2</v>
      </c>
      <c r="AD577" s="1042">
        <f t="shared" si="256"/>
        <v>3.8495188101487221E-2</v>
      </c>
      <c r="AE577" s="1042">
        <f t="shared" si="256"/>
        <v>-0.24515585509688287</v>
      </c>
      <c r="AF577" s="1042">
        <f t="shared" si="256"/>
        <v>0.3828125</v>
      </c>
      <c r="AG577" s="1042">
        <f t="shared" si="256"/>
        <v>1.4527845036319542E-2</v>
      </c>
      <c r="AH577" s="1042">
        <f t="shared" si="256"/>
        <v>4.7732696897374804E-2</v>
      </c>
      <c r="AI577" s="3331">
        <f t="shared" si="238"/>
        <v>4.1761579347000755E-2</v>
      </c>
      <c r="AJ577" s="3814">
        <f>'GDP current year'!U172</f>
        <v>-0.18598189809657495</v>
      </c>
      <c r="AK577" s="1653">
        <f>AVERAGE(Z577:AJ577)+AK365</f>
        <v>2.9065413083037683E-2</v>
      </c>
      <c r="AL577" s="1653">
        <f>AVERAGE(AA577:AK577)+AL365</f>
        <v>2.764751342075095E-2</v>
      </c>
      <c r="AM577" s="1653">
        <f>AVERAGE(AB577:AL577)+AM365</f>
        <v>2.447318081770803E-2</v>
      </c>
      <c r="AN577" s="1653">
        <f>AVERAGE(AC577:AM577)+AN365</f>
        <v>2.0363819701930037E-2</v>
      </c>
      <c r="AO577" s="1653">
        <f>AVERAGE(AD577:AN577)+AO365</f>
        <v>1.7794725746559201E-2</v>
      </c>
      <c r="AP577" s="1653">
        <f>AVERAGE(AE577:AO577)+AP370</f>
        <v>1.5912865532474837E-2</v>
      </c>
      <c r="AQ577" s="1653">
        <f>AVERAGE(AF577:AP577)+AQ370</f>
        <v>3.9646385589689172E-2</v>
      </c>
      <c r="AR577" s="1653">
        <f>AVERAGE(AG577:AQ577)+AR370</f>
        <v>8.4494660978427331E-3</v>
      </c>
      <c r="AS577" s="1653">
        <f>AVERAGE(AH577:AR577)+AS370</f>
        <v>7.8968861943448411E-3</v>
      </c>
      <c r="AT577" s="1653">
        <f>AVERAGE(AI577:AS577)+AT370</f>
        <v>4.2754488577057539E-3</v>
      </c>
      <c r="AV577" s="2376"/>
      <c r="AW577" s="2170"/>
      <c r="AX577" s="2170"/>
      <c r="AY577" s="2170"/>
      <c r="AZ577" s="2170"/>
      <c r="BA577" s="2170"/>
      <c r="BB577" s="2165"/>
    </row>
    <row r="578" spans="1:54">
      <c r="B578" s="295" t="s">
        <v>608</v>
      </c>
      <c r="C578" s="293" t="s">
        <v>30</v>
      </c>
      <c r="D578" s="129" t="s">
        <v>124</v>
      </c>
      <c r="E578" s="3012"/>
      <c r="F578" s="2209"/>
      <c r="G578" s="119"/>
      <c r="H578" s="119"/>
      <c r="I578" s="119"/>
      <c r="J578" s="128"/>
      <c r="K578" s="1042">
        <v>3.2000000000000001E-2</v>
      </c>
      <c r="L578" s="1042">
        <v>3.3000000000000002E-2</v>
      </c>
      <c r="M578" s="1042">
        <v>4.7E-2</v>
      </c>
      <c r="N578" s="1042">
        <v>5.3999999999999999E-2</v>
      </c>
      <c r="O578" s="1042">
        <v>2.7E-2</v>
      </c>
      <c r="P578" s="1042">
        <v>8.1000000000000003E-2</v>
      </c>
      <c r="Q578" s="1042">
        <v>4.2999999999999997E-2</v>
      </c>
      <c r="R578" s="1042">
        <v>0.107</v>
      </c>
      <c r="S578" s="1042">
        <v>0.155</v>
      </c>
      <c r="T578" s="1042">
        <v>8.2000000000000003E-2</v>
      </c>
      <c r="U578" s="1042">
        <v>0.01</v>
      </c>
      <c r="V578" s="3316">
        <v>0</v>
      </c>
      <c r="W578" s="3330">
        <f t="shared" si="237"/>
        <v>6.4377682403433445E-2</v>
      </c>
      <c r="X578" s="1042">
        <f t="shared" si="256"/>
        <v>0.4838709677419355</v>
      </c>
      <c r="Y578" s="1042">
        <f t="shared" si="256"/>
        <v>-0.35597826086956519</v>
      </c>
      <c r="Z578" s="1042">
        <f t="shared" si="256"/>
        <v>0.15189873417721511</v>
      </c>
      <c r="AA578" s="1042">
        <f t="shared" si="256"/>
        <v>5.4945054945054972E-2</v>
      </c>
      <c r="AB578" s="1042">
        <f t="shared" si="256"/>
        <v>7.638888888888884E-2</v>
      </c>
      <c r="AC578" s="1042">
        <f t="shared" si="256"/>
        <v>0.10000000000000009</v>
      </c>
      <c r="AD578" s="1042">
        <f t="shared" si="256"/>
        <v>9.9706744868035102E-2</v>
      </c>
      <c r="AE578" s="1042">
        <f t="shared" si="256"/>
        <v>-0.248</v>
      </c>
      <c r="AF578" s="1042">
        <f t="shared" si="256"/>
        <v>0.52482269503546108</v>
      </c>
      <c r="AG578" s="1042">
        <f t="shared" si="256"/>
        <v>8.6046511627906996E-2</v>
      </c>
      <c r="AH578" s="1042">
        <f t="shared" si="256"/>
        <v>0.10278372591006435</v>
      </c>
      <c r="AI578" s="3331">
        <f t="shared" si="238"/>
        <v>0.14174757281553396</v>
      </c>
      <c r="AJ578" s="3814">
        <f>'GDP current year'!U173</f>
        <v>0.33922672194539549</v>
      </c>
      <c r="AK578" s="1653">
        <f t="shared" ref="AK578:AT578" si="267">AVERAGE(AG578:AJ578)+AK371</f>
        <v>0.1674511330747252</v>
      </c>
      <c r="AL578" s="1653">
        <f t="shared" si="267"/>
        <v>0.18780228843642977</v>
      </c>
      <c r="AM578" s="1653">
        <f>AVERAGE(AI578:AL578)+AM371</f>
        <v>0.20905692906802112</v>
      </c>
      <c r="AN578" s="1653">
        <f>AVERAGE(AJ578:AM578)+AN371</f>
        <v>0.2258842681311429</v>
      </c>
      <c r="AO578" s="1653">
        <f>AVERAGE(AK578:AN578)+AO371</f>
        <v>0.19754865467757976</v>
      </c>
      <c r="AP578" s="1802">
        <f t="shared" si="267"/>
        <v>0.20507303507829339</v>
      </c>
      <c r="AQ578" s="1802">
        <f t="shared" si="267"/>
        <v>0.20939072173875928</v>
      </c>
      <c r="AR578" s="1802">
        <f t="shared" si="267"/>
        <v>0.20947416990644382</v>
      </c>
      <c r="AS578" s="1802">
        <f t="shared" si="267"/>
        <v>0.20537164535026906</v>
      </c>
      <c r="AT578" s="1802">
        <f t="shared" si="267"/>
        <v>0.20732739301844139</v>
      </c>
      <c r="AV578" s="2376"/>
      <c r="AW578" s="2170"/>
      <c r="AX578" s="2170"/>
      <c r="AY578" s="2170"/>
      <c r="AZ578" s="2170"/>
      <c r="BA578" s="2170"/>
      <c r="BB578" s="2165"/>
    </row>
    <row r="579" spans="1:54" ht="16.75" customHeight="1">
      <c r="B579" s="295" t="s">
        <v>597</v>
      </c>
      <c r="C579" s="293" t="s">
        <v>30</v>
      </c>
      <c r="D579" s="129" t="s">
        <v>125</v>
      </c>
      <c r="E579" s="3012"/>
      <c r="F579" s="2209"/>
      <c r="G579" s="119"/>
      <c r="H579" s="119"/>
      <c r="I579" s="119"/>
      <c r="J579" s="128"/>
      <c r="K579" s="1042">
        <v>3.2000000000000001E-2</v>
      </c>
      <c r="L579" s="1042">
        <v>3.3000000000000002E-2</v>
      </c>
      <c r="M579" s="1042">
        <v>4.7E-2</v>
      </c>
      <c r="N579" s="1042">
        <v>5.3999999999999999E-2</v>
      </c>
      <c r="O579" s="1042">
        <v>2.7E-2</v>
      </c>
      <c r="P579" s="1042">
        <v>8.1000000000000003E-2</v>
      </c>
      <c r="Q579" s="1042">
        <v>4.2999999999999997E-2</v>
      </c>
      <c r="R579" s="1042">
        <v>0.107</v>
      </c>
      <c r="S579" s="1042">
        <v>0.155</v>
      </c>
      <c r="T579" s="1042">
        <v>8.2000000000000003E-2</v>
      </c>
      <c r="U579" s="1042">
        <v>0.01</v>
      </c>
      <c r="V579" s="3316">
        <v>0</v>
      </c>
      <c r="W579" s="3330">
        <f t="shared" si="237"/>
        <v>6.3122923588039948E-2</v>
      </c>
      <c r="X579" s="1042">
        <f t="shared" si="256"/>
        <v>0.69375000000000009</v>
      </c>
      <c r="Y579" s="1042">
        <f t="shared" si="256"/>
        <v>-0.29704797047970477</v>
      </c>
      <c r="Z579" s="1042">
        <f t="shared" si="256"/>
        <v>0.162729658792651</v>
      </c>
      <c r="AA579" s="1042">
        <f t="shared" si="256"/>
        <v>9.7065462753950449E-2</v>
      </c>
      <c r="AB579" s="1042">
        <f t="shared" si="256"/>
        <v>3.9094650205761416E-2</v>
      </c>
      <c r="AC579" s="1042">
        <f t="shared" si="256"/>
        <v>4.5544554455445585E-2</v>
      </c>
      <c r="AD579" s="1042">
        <f t="shared" si="256"/>
        <v>4.5454545454545414E-2</v>
      </c>
      <c r="AE579" s="1042">
        <f t="shared" si="256"/>
        <v>-0.30978260869565222</v>
      </c>
      <c r="AF579" s="1042">
        <f t="shared" si="256"/>
        <v>0.51706036745406814</v>
      </c>
      <c r="AG579" s="1042">
        <f t="shared" si="256"/>
        <v>0.12975778546712813</v>
      </c>
      <c r="AH579" s="1042">
        <f t="shared" si="256"/>
        <v>0.12863705972434913</v>
      </c>
      <c r="AI579" s="3331">
        <f t="shared" si="238"/>
        <v>0.13975576662143818</v>
      </c>
      <c r="AJ579" s="3814">
        <f>'GDP current year'!U174</f>
        <v>5.9105431309904199E-2</v>
      </c>
      <c r="AK579" s="1653">
        <f t="shared" ref="AK579:AT579" si="268">AVERAGE(AE579:AJ579)+AK372</f>
        <v>0.11075563364687259</v>
      </c>
      <c r="AL579" s="1653">
        <f t="shared" si="268"/>
        <v>0.18084534070396008</v>
      </c>
      <c r="AM579" s="1042">
        <f t="shared" si="268"/>
        <v>0.12480950291227538</v>
      </c>
      <c r="AN579" s="1653">
        <f t="shared" si="268"/>
        <v>0.12398478915313327</v>
      </c>
      <c r="AO579" s="1653">
        <f>AVERAGE(AI579:AN579)+AO372</f>
        <v>0.12320941072459729</v>
      </c>
      <c r="AP579" s="1802">
        <f t="shared" si="268"/>
        <v>0.12045168474179047</v>
      </c>
      <c r="AQ579" s="1802">
        <f t="shared" si="268"/>
        <v>0.13067606031377152</v>
      </c>
      <c r="AR579" s="1802">
        <f t="shared" si="268"/>
        <v>0.13399613142492134</v>
      </c>
      <c r="AS579" s="1802">
        <f t="shared" si="268"/>
        <v>0.12618792987841487</v>
      </c>
      <c r="AT579" s="1802">
        <f t="shared" si="268"/>
        <v>0.1264176677061048</v>
      </c>
      <c r="AV579" s="2376"/>
      <c r="AW579" s="2170"/>
      <c r="AX579" s="2170"/>
      <c r="AY579" s="2170"/>
      <c r="AZ579" s="2170"/>
      <c r="BA579" s="2170"/>
      <c r="BB579" s="2165"/>
    </row>
    <row r="580" spans="1:54">
      <c r="A580" s="297" t="s">
        <v>135</v>
      </c>
      <c r="B580" s="295" t="s">
        <v>556</v>
      </c>
      <c r="C580" s="293" t="s">
        <v>30</v>
      </c>
      <c r="D580" s="129" t="s">
        <v>126</v>
      </c>
      <c r="E580" s="3016"/>
      <c r="F580" s="2210"/>
      <c r="G580" s="121"/>
      <c r="H580" s="121"/>
      <c r="I580" s="121"/>
      <c r="J580" s="128"/>
      <c r="K580" s="1042">
        <v>5.6000000000000001E-2</v>
      </c>
      <c r="L580" s="1042">
        <v>3.9E-2</v>
      </c>
      <c r="M580" s="1042">
        <v>5.0000000000000001E-3</v>
      </c>
      <c r="N580" s="1042">
        <v>5.8999999999999997E-2</v>
      </c>
      <c r="O580" s="1042">
        <v>7.0000000000000001E-3</v>
      </c>
      <c r="P580" s="1042">
        <v>2.5000000000000001E-2</v>
      </c>
      <c r="Q580" s="1042">
        <v>9.1999999999999998E-2</v>
      </c>
      <c r="R580" s="1042">
        <v>0.06</v>
      </c>
      <c r="S580" s="1042">
        <v>4.9000000000000002E-2</v>
      </c>
      <c r="T580" s="1042">
        <v>7.2999999999999995E-2</v>
      </c>
      <c r="U580" s="1042">
        <v>0.14399999999999999</v>
      </c>
      <c r="V580" s="3316">
        <v>0.15</v>
      </c>
      <c r="W580" s="3330">
        <f t="shared" si="237"/>
        <v>0.21710526315789469</v>
      </c>
      <c r="X580" s="1042">
        <f t="shared" si="256"/>
        <v>0.60270270270270276</v>
      </c>
      <c r="Y580" s="1042">
        <f t="shared" si="256"/>
        <v>-0.269814502529511</v>
      </c>
      <c r="Z580" s="1042">
        <f t="shared" si="256"/>
        <v>5.0808314087759765E-2</v>
      </c>
      <c r="AA580" s="1042">
        <f t="shared" si="256"/>
        <v>0.10989010989010994</v>
      </c>
      <c r="AB580" s="1042">
        <f t="shared" si="256"/>
        <v>2.3762376237623783E-2</v>
      </c>
      <c r="AC580" s="1042">
        <f t="shared" si="256"/>
        <v>6.9632495164410058E-2</v>
      </c>
      <c r="AD580" s="1042">
        <f t="shared" si="256"/>
        <v>4.7016274864376095E-2</v>
      </c>
      <c r="AE580" s="1042">
        <f t="shared" si="256"/>
        <v>-0.23316062176165808</v>
      </c>
      <c r="AF580" s="1042">
        <f t="shared" si="256"/>
        <v>0.38513513513513509</v>
      </c>
      <c r="AG580" s="1042">
        <f t="shared" si="256"/>
        <v>9.9186991869918639E-2</v>
      </c>
      <c r="AH580" s="1042">
        <f t="shared" si="256"/>
        <v>0.10650887573964507</v>
      </c>
      <c r="AI580" s="3331">
        <f t="shared" si="238"/>
        <v>0.10294117647058831</v>
      </c>
      <c r="AJ580" s="3814">
        <f>'GDP current year'!U175</f>
        <v>0.12478632478632479</v>
      </c>
      <c r="AK580" s="1653">
        <f t="shared" ref="AK580:AT580" si="269">AK383*$AG381+(AK377/AJ377-1)*(1-$AG381)+AK373</f>
        <v>1.8481940388485534E-2</v>
      </c>
      <c r="AL580" s="1653">
        <f t="shared" si="269"/>
        <v>3.1341459705775863E-2</v>
      </c>
      <c r="AM580" s="1042">
        <f t="shared" si="269"/>
        <v>3.3505422875809668E-2</v>
      </c>
      <c r="AN580" s="1653">
        <f>AN383*$AG381+(AN377/AM377-1)*(1-$AG381)+AN373</f>
        <v>3.0796374611141798E-2</v>
      </c>
      <c r="AO580" s="1653">
        <f t="shared" si="269"/>
        <v>4.3982346537460484E-2</v>
      </c>
      <c r="AP580" s="1802">
        <f t="shared" si="269"/>
        <v>5.5574273714309314E-2</v>
      </c>
      <c r="AQ580" s="1802">
        <f t="shared" si="269"/>
        <v>4.17895417538241E-2</v>
      </c>
      <c r="AR580" s="1802">
        <f t="shared" si="269"/>
        <v>3.0558515773132171E-2</v>
      </c>
      <c r="AS580" s="1802">
        <f t="shared" si="269"/>
        <v>3.0811045222899666E-2</v>
      </c>
      <c r="AT580" s="1802">
        <f t="shared" si="269"/>
        <v>1.8972301532816642E-2</v>
      </c>
      <c r="AV580" s="2376"/>
      <c r="AW580" s="2170"/>
      <c r="AX580" s="2170"/>
      <c r="AY580" s="2170"/>
      <c r="AZ580" s="2170"/>
      <c r="BA580" s="2170"/>
      <c r="BB580" s="274"/>
    </row>
    <row r="581" spans="1:54">
      <c r="A581" s="297" t="s">
        <v>135</v>
      </c>
      <c r="B581" s="295" t="s">
        <v>556</v>
      </c>
      <c r="C581" s="293" t="s">
        <v>30</v>
      </c>
      <c r="D581" s="129" t="s">
        <v>127</v>
      </c>
      <c r="E581" s="3016"/>
      <c r="F581" s="2210"/>
      <c r="G581" s="121"/>
      <c r="H581" s="121"/>
      <c r="I581" s="121"/>
      <c r="J581" s="128"/>
      <c r="K581" s="1042">
        <v>0.182</v>
      </c>
      <c r="L581" s="1042">
        <v>0.122</v>
      </c>
      <c r="M581" s="1042">
        <v>0.39400000000000002</v>
      </c>
      <c r="N581" s="1042">
        <v>-0.05</v>
      </c>
      <c r="O581" s="1042">
        <v>0.19400000000000001</v>
      </c>
      <c r="P581" s="1042">
        <v>0.183</v>
      </c>
      <c r="Q581" s="1042">
        <v>6.6000000000000003E-2</v>
      </c>
      <c r="R581" s="1042">
        <v>0.14799999999999999</v>
      </c>
      <c r="S581" s="1042">
        <v>6.9000000000000006E-2</v>
      </c>
      <c r="T581" s="1042">
        <v>0.155</v>
      </c>
      <c r="U581" s="1042">
        <v>8.5999999999999993E-2</v>
      </c>
      <c r="V581" s="3316">
        <v>0.18</v>
      </c>
      <c r="W581" s="3330">
        <f t="shared" si="237"/>
        <v>6.6513761467889898E-2</v>
      </c>
      <c r="X581" s="1042">
        <f t="shared" si="256"/>
        <v>1.7204301075268713E-2</v>
      </c>
      <c r="Y581" s="1042">
        <f t="shared" si="256"/>
        <v>6.5539112050740034E-2</v>
      </c>
      <c r="Z581" s="1042">
        <f t="shared" si="256"/>
        <v>1.5873015873015817E-2</v>
      </c>
      <c r="AA581" s="1042">
        <f t="shared" si="256"/>
        <v>3.125E-2</v>
      </c>
      <c r="AB581" s="1042">
        <f t="shared" si="256"/>
        <v>2.2727272727272707E-2</v>
      </c>
      <c r="AC581" s="1042">
        <f t="shared" si="256"/>
        <v>3.7037037037036979E-2</v>
      </c>
      <c r="AD581" s="1042">
        <f t="shared" si="256"/>
        <v>2.1428571428571352E-2</v>
      </c>
      <c r="AE581" s="1042">
        <f t="shared" si="256"/>
        <v>-0.61713286713286708</v>
      </c>
      <c r="AF581" s="1042">
        <f t="shared" si="256"/>
        <v>1.6849315068493151</v>
      </c>
      <c r="AG581" s="1042">
        <f t="shared" si="256"/>
        <v>5.4421768707483054E-2</v>
      </c>
      <c r="AH581" s="1042">
        <f t="shared" si="256"/>
        <v>4.5161290322580649E-2</v>
      </c>
      <c r="AI581" s="3331">
        <f t="shared" si="238"/>
        <v>4.3209876543209846E-2</v>
      </c>
      <c r="AJ581" s="3814">
        <f>'GDP current year'!U176</f>
        <v>-7.8949995144370622E-2</v>
      </c>
      <c r="AK581" s="1653">
        <f t="shared" ref="AK581:AT581" si="270">AK384+AK374</f>
        <v>4.9209392838523769E-2</v>
      </c>
      <c r="AL581" s="1653">
        <f t="shared" si="270"/>
        <v>3.1067515890123576E-2</v>
      </c>
      <c r="AM581" s="1042">
        <f t="shared" si="270"/>
        <v>2.8195023824234555E-2</v>
      </c>
      <c r="AN581" s="1653">
        <f>AN384+AN374</f>
        <v>3.0557463648769989E-2</v>
      </c>
      <c r="AO581" s="1653">
        <f t="shared" si="270"/>
        <v>3.7107077554807785E-2</v>
      </c>
      <c r="AP581" s="1802">
        <f t="shared" si="270"/>
        <v>0.04</v>
      </c>
      <c r="AQ581" s="1802">
        <f t="shared" si="270"/>
        <v>0.04</v>
      </c>
      <c r="AR581" s="1802">
        <f t="shared" si="270"/>
        <v>0.04</v>
      </c>
      <c r="AS581" s="1802">
        <f t="shared" si="270"/>
        <v>0.04</v>
      </c>
      <c r="AT581" s="1802">
        <f t="shared" si="270"/>
        <v>0.02</v>
      </c>
      <c r="AV581" s="2376"/>
      <c r="AW581" s="2170"/>
      <c r="AX581" s="2170"/>
      <c r="AY581" s="2170"/>
      <c r="AZ581" s="2170"/>
      <c r="BA581" s="2170"/>
      <c r="BB581" s="274"/>
    </row>
    <row r="582" spans="1:54">
      <c r="A582" s="297" t="s">
        <v>135</v>
      </c>
      <c r="B582" s="295" t="s">
        <v>556</v>
      </c>
      <c r="C582" s="293" t="s">
        <v>30</v>
      </c>
      <c r="D582" s="129" t="s">
        <v>128</v>
      </c>
      <c r="E582" s="3016"/>
      <c r="F582" s="2210"/>
      <c r="G582" s="121"/>
      <c r="H582" s="121"/>
      <c r="I582" s="121"/>
      <c r="J582" s="131"/>
      <c r="K582" s="1043">
        <v>2.3E-2</v>
      </c>
      <c r="L582" s="1043">
        <v>0.13600000000000001</v>
      </c>
      <c r="M582" s="1043">
        <v>9.0999999999999998E-2</v>
      </c>
      <c r="N582" s="1043">
        <v>0.20100000000000001</v>
      </c>
      <c r="O582" s="1043">
        <v>8.2000000000000003E-2</v>
      </c>
      <c r="P582" s="1043">
        <v>-3.3000000000000002E-2</v>
      </c>
      <c r="Q582" s="1043">
        <v>0.08</v>
      </c>
      <c r="R582" s="1043">
        <v>0.14299999999999999</v>
      </c>
      <c r="S582" s="1043">
        <v>0.11899999999999999</v>
      </c>
      <c r="T582" s="1043">
        <v>0.151</v>
      </c>
      <c r="U582" s="1043">
        <v>0.157</v>
      </c>
      <c r="V582" s="3317">
        <v>0.02</v>
      </c>
      <c r="W582" s="3332">
        <f t="shared" si="237"/>
        <v>0.23809523809523814</v>
      </c>
      <c r="X582" s="1043">
        <f t="shared" si="256"/>
        <v>0.57692307692307687</v>
      </c>
      <c r="Y582" s="1043">
        <f t="shared" si="256"/>
        <v>-0.26829268292682928</v>
      </c>
      <c r="Z582" s="1043">
        <f t="shared" si="256"/>
        <v>9.1666666666666563E-2</v>
      </c>
      <c r="AA582" s="1043">
        <f t="shared" si="256"/>
        <v>6.8702290076335881E-2</v>
      </c>
      <c r="AB582" s="1043">
        <f t="shared" si="256"/>
        <v>4.2857142857142927E-2</v>
      </c>
      <c r="AC582" s="1043">
        <f t="shared" si="256"/>
        <v>0</v>
      </c>
      <c r="AD582" s="1043">
        <f t="shared" si="256"/>
        <v>3.4246575342465668E-2</v>
      </c>
      <c r="AE582" s="1043">
        <f t="shared" si="256"/>
        <v>-0.15894039735099341</v>
      </c>
      <c r="AF582" s="1043">
        <f t="shared" si="256"/>
        <v>0.53543307086614167</v>
      </c>
      <c r="AG582" s="1043">
        <f t="shared" si="256"/>
        <v>9.2307692307692202E-2</v>
      </c>
      <c r="AH582" s="1043">
        <f t="shared" si="256"/>
        <v>0</v>
      </c>
      <c r="AI582" s="3333">
        <f t="shared" si="238"/>
        <v>0.16901408450704225</v>
      </c>
      <c r="AJ582" s="3814">
        <f>'GDP current year'!U181</f>
        <v>-0.02</v>
      </c>
      <c r="AK582" s="1653">
        <f t="shared" ref="AK582:AT582" si="271">AK385+AK374</f>
        <v>4.9209392838523769E-2</v>
      </c>
      <c r="AL582" s="1653">
        <f t="shared" si="271"/>
        <v>3.1067515890123576E-2</v>
      </c>
      <c r="AM582" s="1042">
        <f t="shared" si="271"/>
        <v>2.8195023824234555E-2</v>
      </c>
      <c r="AN582" s="1653">
        <f t="shared" si="271"/>
        <v>3.0557463648769989E-2</v>
      </c>
      <c r="AO582" s="1653">
        <f t="shared" si="271"/>
        <v>3.7107077554807785E-2</v>
      </c>
      <c r="AP582" s="1802">
        <f t="shared" si="271"/>
        <v>0.04</v>
      </c>
      <c r="AQ582" s="1802">
        <f t="shared" si="271"/>
        <v>0.04</v>
      </c>
      <c r="AR582" s="1802">
        <f t="shared" si="271"/>
        <v>0.04</v>
      </c>
      <c r="AS582" s="1802">
        <f t="shared" si="271"/>
        <v>0.04</v>
      </c>
      <c r="AT582" s="1802">
        <f t="shared" si="271"/>
        <v>0.02</v>
      </c>
      <c r="AV582" s="2376"/>
      <c r="AW582" s="2170"/>
      <c r="AX582" s="2170"/>
      <c r="AY582" s="2170"/>
      <c r="AZ582" s="2170"/>
      <c r="BA582" s="2170"/>
      <c r="BB582" s="274"/>
    </row>
    <row r="583" spans="1:54" ht="16.75" thickBot="1">
      <c r="B583" s="295" t="s">
        <v>610</v>
      </c>
      <c r="C583" s="293" t="s">
        <v>30</v>
      </c>
      <c r="D583" s="132" t="s">
        <v>37</v>
      </c>
      <c r="E583" s="3017"/>
      <c r="F583" s="2211"/>
      <c r="G583" s="133"/>
      <c r="H583" s="133"/>
      <c r="I583" s="133"/>
      <c r="J583" s="134"/>
      <c r="K583" s="1044">
        <v>4.1749999999999998</v>
      </c>
      <c r="L583" s="1044">
        <v>6.0999999999999999E-2</v>
      </c>
      <c r="M583" s="1044">
        <v>0.255</v>
      </c>
      <c r="N583" s="1044">
        <v>0.28000000000000003</v>
      </c>
      <c r="O583" s="1044">
        <v>0.159</v>
      </c>
      <c r="P583" s="1044">
        <v>0.34300000000000003</v>
      </c>
      <c r="Q583" s="1044">
        <v>0.19400000000000001</v>
      </c>
      <c r="R583" s="1044">
        <v>0.14000000000000001</v>
      </c>
      <c r="S583" s="1044">
        <v>2.1000000000000001E-2</v>
      </c>
      <c r="T583" s="1044">
        <v>-5.2999999999999999E-2</v>
      </c>
      <c r="U583" s="1044">
        <v>7.0000000000000007E-2</v>
      </c>
      <c r="V583" s="3318">
        <v>-0.01</v>
      </c>
      <c r="W583" s="3334">
        <f t="shared" si="237"/>
        <v>0.11282051282051286</v>
      </c>
      <c r="X583" s="1044">
        <f t="shared" ref="X583:AH585" si="272">X628/W628-1</f>
        <v>1.0414746543778803</v>
      </c>
      <c r="Y583" s="1044">
        <f t="shared" si="272"/>
        <v>-0.36117381489841982</v>
      </c>
      <c r="Z583" s="1044">
        <f t="shared" si="272"/>
        <v>0.19081272084805656</v>
      </c>
      <c r="AA583" s="1044">
        <f t="shared" si="272"/>
        <v>6.8249258160237414E-2</v>
      </c>
      <c r="AB583" s="1044">
        <f t="shared" si="272"/>
        <v>5.2777777777777812E-2</v>
      </c>
      <c r="AC583" s="1044">
        <f t="shared" si="272"/>
        <v>8.7071240105540904E-2</v>
      </c>
      <c r="AD583" s="1044">
        <f t="shared" si="272"/>
        <v>8.4951456310679685E-2</v>
      </c>
      <c r="AE583" s="1044">
        <f t="shared" si="272"/>
        <v>-0.2505592841163311</v>
      </c>
      <c r="AF583" s="1044">
        <f t="shared" si="272"/>
        <v>0.45074626865671652</v>
      </c>
      <c r="AG583" s="1044">
        <f t="shared" si="272"/>
        <v>5.967078189300401E-2</v>
      </c>
      <c r="AH583" s="1044">
        <f t="shared" si="272"/>
        <v>0.29320388349514559</v>
      </c>
      <c r="AI583" s="3335">
        <f t="shared" si="238"/>
        <v>-3.9039039039039047E-2</v>
      </c>
      <c r="AJ583" s="3816">
        <f>'GDP current year'!U182</f>
        <v>0.1487068965517242</v>
      </c>
      <c r="AK583" s="1654">
        <f>AVERAGE(AG583:AJ583)+AK375</f>
        <v>0.11563563072520869</v>
      </c>
      <c r="AL583" s="1654">
        <f t="shared" ref="AL583:AT583" si="273">AVERAGE(AH583:AK583)+AL375</f>
        <v>0.12962684293325985</v>
      </c>
      <c r="AM583" s="1654">
        <f>AVERAGE(AI583:AL583)+AM375</f>
        <v>8.8732582792788423E-2</v>
      </c>
      <c r="AN583" s="1654">
        <f t="shared" si="273"/>
        <v>0.12067548825074528</v>
      </c>
      <c r="AO583" s="1654">
        <f t="shared" si="273"/>
        <v>0.11366763617550055</v>
      </c>
      <c r="AP583" s="1803">
        <f t="shared" si="273"/>
        <v>0.11317563753807353</v>
      </c>
      <c r="AQ583" s="1803">
        <f t="shared" si="273"/>
        <v>0.10906283618927694</v>
      </c>
      <c r="AR583" s="1803">
        <f t="shared" si="273"/>
        <v>0.11414539953839907</v>
      </c>
      <c r="AS583" s="1803">
        <f t="shared" si="273"/>
        <v>0.11251287736031253</v>
      </c>
      <c r="AT583" s="1803">
        <f t="shared" si="273"/>
        <v>0.11222418765651551</v>
      </c>
      <c r="AV583" s="2376"/>
      <c r="AW583" s="2170"/>
      <c r="AX583" s="2170"/>
      <c r="AY583" s="2170"/>
      <c r="AZ583" s="2170"/>
      <c r="BA583" s="2170"/>
      <c r="BB583" s="274"/>
    </row>
    <row r="584" spans="1:54" ht="11.25" customHeight="1" thickBot="1">
      <c r="A584" s="300" t="str">
        <f>+A547</f>
        <v>insert line ~ NISR format</v>
      </c>
      <c r="C584" s="293"/>
      <c r="D584" s="132"/>
      <c r="E584" s="3017"/>
      <c r="F584" s="2211"/>
      <c r="G584" s="133"/>
      <c r="H584" s="133"/>
      <c r="I584" s="133"/>
      <c r="J584" s="134"/>
      <c r="K584" s="1044"/>
      <c r="L584" s="1044"/>
      <c r="M584" s="1044"/>
      <c r="N584" s="1044"/>
      <c r="O584" s="1044"/>
      <c r="P584" s="1044"/>
      <c r="Q584" s="1044"/>
      <c r="R584" s="1044"/>
      <c r="S584" s="1044"/>
      <c r="T584" s="1044"/>
      <c r="U584" s="1044"/>
      <c r="V584" s="3318"/>
      <c r="W584" s="3334"/>
      <c r="X584" s="1044"/>
      <c r="Y584" s="1044"/>
      <c r="Z584" s="1044"/>
      <c r="AA584" s="1044"/>
      <c r="AB584" s="1044"/>
      <c r="AC584" s="1044"/>
      <c r="AD584" s="1044"/>
      <c r="AE584" s="1044"/>
      <c r="AF584" s="1044"/>
      <c r="AG584" s="1044"/>
      <c r="AH584" s="1044"/>
      <c r="AI584" s="3335"/>
      <c r="AJ584" s="3816"/>
      <c r="AK584" s="1654"/>
      <c r="AL584" s="1654"/>
      <c r="AM584" s="1654"/>
      <c r="AN584" s="1654"/>
      <c r="AO584" s="1654"/>
      <c r="AP584" s="1803"/>
      <c r="AQ584" s="1803"/>
      <c r="AR584" s="1803"/>
      <c r="AS584" s="1803"/>
      <c r="AT584" s="1803"/>
      <c r="AV584" s="2376"/>
      <c r="AW584" s="2170"/>
      <c r="AX584" s="2170"/>
      <c r="AY584" s="2170"/>
      <c r="AZ584" s="2170"/>
      <c r="BA584" s="2170"/>
      <c r="BB584" s="274"/>
    </row>
    <row r="585" spans="1:54" ht="16.75" thickBot="1">
      <c r="A585" s="297" t="s">
        <v>135</v>
      </c>
      <c r="B585" s="295" t="s">
        <v>557</v>
      </c>
      <c r="C585" s="293" t="s">
        <v>30</v>
      </c>
      <c r="D585" s="455" t="s">
        <v>129</v>
      </c>
      <c r="E585" s="3018"/>
      <c r="F585" s="2944"/>
      <c r="G585" s="116"/>
      <c r="H585" s="116"/>
      <c r="I585" s="116"/>
      <c r="J585" s="117"/>
      <c r="K585" s="1039">
        <v>8.4000000000000005E-2</v>
      </c>
      <c r="L585" s="1039">
        <v>8.5000000000000006E-2</v>
      </c>
      <c r="M585" s="1039">
        <v>0.10100000000000001</v>
      </c>
      <c r="N585" s="1039">
        <v>-5.0000000000000001E-3</v>
      </c>
      <c r="O585" s="1039">
        <v>4.4999999999999998E-2</v>
      </c>
      <c r="P585" s="1039">
        <v>6.3E-2</v>
      </c>
      <c r="Q585" s="1039">
        <v>8.6999999999999994E-2</v>
      </c>
      <c r="R585" s="1039">
        <v>4.3999999999999997E-2</v>
      </c>
      <c r="S585" s="1039">
        <v>0.115</v>
      </c>
      <c r="T585" s="1039">
        <v>9.6000000000000002E-2</v>
      </c>
      <c r="U585" s="1039">
        <v>4.9000000000000002E-2</v>
      </c>
      <c r="V585" s="3313">
        <v>0.02</v>
      </c>
      <c r="W585" s="3325">
        <f t="shared" si="237"/>
        <v>1.4897579143389184E-2</v>
      </c>
      <c r="X585" s="1039">
        <f t="shared" si="272"/>
        <v>0.52293577981651373</v>
      </c>
      <c r="Y585" s="1039">
        <f t="shared" si="272"/>
        <v>-0.31325301204819278</v>
      </c>
      <c r="Z585" s="1039">
        <f t="shared" si="272"/>
        <v>0.14210526315789473</v>
      </c>
      <c r="AA585" s="1039">
        <f t="shared" si="272"/>
        <v>4.3010752688172005E-2</v>
      </c>
      <c r="AB585" s="1039">
        <f t="shared" si="272"/>
        <v>-2.5036818851251863E-2</v>
      </c>
      <c r="AC585" s="1039">
        <f t="shared" si="272"/>
        <v>9.0634441087613205E-2</v>
      </c>
      <c r="AD585" s="1039">
        <f t="shared" si="272"/>
        <v>0.15096952908587258</v>
      </c>
      <c r="AE585" s="1039">
        <f t="shared" si="272"/>
        <v>-0.26835138387484958</v>
      </c>
      <c r="AF585" s="1039">
        <f t="shared" si="272"/>
        <v>0.48519736842105265</v>
      </c>
      <c r="AG585" s="1039">
        <f t="shared" si="272"/>
        <v>5.2048726467331052E-2</v>
      </c>
      <c r="AH585" s="1039">
        <f t="shared" si="272"/>
        <v>-4.0000000000000036E-2</v>
      </c>
      <c r="AI585" s="3326">
        <f t="shared" si="238"/>
        <v>8.0043859649122862E-2</v>
      </c>
      <c r="AJ585" s="3817">
        <f>'GDP current year'!U183</f>
        <v>8.2084250751562129E-2</v>
      </c>
      <c r="AK585" s="1074">
        <f t="shared" ref="AK585:AT585" si="274">+AK410+AK411</f>
        <v>6.9800841820287757E-2</v>
      </c>
      <c r="AL585" s="233">
        <f t="shared" si="274"/>
        <v>8.3854974509551983E-2</v>
      </c>
      <c r="AM585" s="233">
        <f t="shared" si="274"/>
        <v>7.4258105318198972E-2</v>
      </c>
      <c r="AN585" s="233">
        <f t="shared" si="274"/>
        <v>6.6421533875666086E-2</v>
      </c>
      <c r="AO585" s="233">
        <f t="shared" si="274"/>
        <v>6.6639773775680311E-2</v>
      </c>
      <c r="AP585" s="1799">
        <f t="shared" si="274"/>
        <v>8.2563118883707126E-2</v>
      </c>
      <c r="AQ585" s="1799">
        <f t="shared" si="274"/>
        <v>8.0240981749337775E-2</v>
      </c>
      <c r="AR585" s="1799">
        <f t="shared" si="274"/>
        <v>8.2568035791481822E-2</v>
      </c>
      <c r="AS585" s="1799">
        <f t="shared" si="274"/>
        <v>8.2619989940323851E-2</v>
      </c>
      <c r="AT585" s="1799">
        <f t="shared" si="274"/>
        <v>8.9063503940806615E-2</v>
      </c>
      <c r="AV585" s="2376"/>
      <c r="AW585" s="2170"/>
      <c r="AX585" s="2170"/>
      <c r="AY585" s="2170"/>
      <c r="AZ585" s="2170"/>
      <c r="BA585" s="2170"/>
      <c r="BB585" s="274"/>
    </row>
    <row r="586" spans="1:54">
      <c r="A586" s="300" t="s">
        <v>254</v>
      </c>
      <c r="C586" s="293"/>
      <c r="D586" s="1563" t="s">
        <v>1058</v>
      </c>
      <c r="E586" s="3009"/>
      <c r="F586" s="21"/>
      <c r="G586" s="21"/>
      <c r="H586" s="21"/>
      <c r="I586" s="21"/>
      <c r="J586" s="21"/>
      <c r="K586" s="21"/>
      <c r="L586" s="21"/>
      <c r="M586" s="21"/>
      <c r="N586" s="21"/>
      <c r="O586" s="21"/>
      <c r="P586" s="21"/>
      <c r="Q586" s="21"/>
      <c r="R586" s="21"/>
      <c r="S586" s="21"/>
      <c r="T586" s="21"/>
      <c r="U586" s="21"/>
      <c r="V586" s="21"/>
      <c r="W586" s="26"/>
      <c r="X586" s="26"/>
      <c r="Y586" s="26"/>
      <c r="Z586" s="26"/>
      <c r="AA586" s="26"/>
      <c r="AB586" s="26"/>
      <c r="AC586" s="21"/>
      <c r="AD586" s="26"/>
      <c r="AE586" s="26"/>
      <c r="AF586" s="26"/>
      <c r="AG586" s="26"/>
      <c r="AH586" s="26"/>
      <c r="AI586" s="26"/>
      <c r="AJ586" s="26"/>
      <c r="AK586" s="26"/>
      <c r="AL586" s="3195"/>
      <c r="AM586" s="26"/>
      <c r="AN586" s="26"/>
      <c r="AO586" s="26"/>
      <c r="AP586" s="26"/>
      <c r="AQ586" s="26"/>
      <c r="AR586" s="26"/>
      <c r="AS586" s="26"/>
      <c r="AT586" s="26"/>
    </row>
    <row r="587" spans="1:54">
      <c r="C587" s="293"/>
      <c r="D587" s="21"/>
      <c r="E587" s="3009"/>
      <c r="F587" s="21"/>
      <c r="G587" s="21"/>
      <c r="H587" s="21"/>
      <c r="I587" s="21"/>
      <c r="J587" s="21"/>
      <c r="K587" s="21"/>
      <c r="L587" s="21"/>
      <c r="M587" s="21"/>
      <c r="N587" s="21"/>
      <c r="O587" s="21"/>
      <c r="P587" s="21"/>
      <c r="Q587" s="21"/>
      <c r="R587" s="21"/>
      <c r="S587" s="21"/>
      <c r="T587" s="21"/>
      <c r="U587" s="21"/>
      <c r="V587" s="21"/>
      <c r="W587" s="26"/>
      <c r="X587" s="26"/>
      <c r="Y587" s="26"/>
      <c r="Z587" s="26"/>
      <c r="AA587" s="26"/>
      <c r="AB587" s="26"/>
      <c r="AC587" s="21"/>
      <c r="AD587" s="26"/>
      <c r="AE587" s="26"/>
      <c r="AF587" s="26"/>
      <c r="AG587" s="26"/>
      <c r="AH587" s="26"/>
      <c r="AI587" s="26"/>
      <c r="AJ587" s="26"/>
      <c r="AK587" s="26"/>
      <c r="AL587" s="1695"/>
      <c r="AM587" s="3195"/>
      <c r="AN587" s="26"/>
      <c r="AO587" s="1695"/>
      <c r="AP587" s="1695"/>
      <c r="AQ587" s="1695"/>
      <c r="AR587" s="1695"/>
      <c r="AS587" s="1695"/>
      <c r="AT587" s="1695"/>
    </row>
    <row r="588" spans="1:54">
      <c r="A588" s="300" t="s">
        <v>255</v>
      </c>
      <c r="B588" s="292" t="s">
        <v>256</v>
      </c>
      <c r="C588" s="293"/>
      <c r="D588" s="17" t="s">
        <v>1694</v>
      </c>
      <c r="E588" s="2990"/>
      <c r="F588" s="19"/>
      <c r="G588" s="19"/>
      <c r="H588" s="19"/>
      <c r="I588" s="19"/>
      <c r="J588" s="19"/>
      <c r="K588" s="19"/>
      <c r="L588" s="19"/>
      <c r="M588" s="19"/>
      <c r="N588" s="19"/>
      <c r="O588" s="19"/>
      <c r="P588" s="19"/>
      <c r="Q588" s="19"/>
      <c r="R588" s="19"/>
      <c r="S588" s="19"/>
      <c r="T588" s="19"/>
      <c r="U588" s="19"/>
      <c r="V588" s="19"/>
      <c r="W588" s="870"/>
      <c r="X588" s="870"/>
      <c r="Y588" s="870"/>
      <c r="Z588" s="870"/>
      <c r="AA588" s="870"/>
      <c r="AB588" s="870"/>
      <c r="AC588" s="19"/>
      <c r="AD588" s="870"/>
      <c r="AE588" s="870"/>
      <c r="AF588" s="870"/>
      <c r="AG588" s="870"/>
      <c r="AH588" s="870"/>
      <c r="AI588" s="870"/>
      <c r="AJ588" s="870"/>
      <c r="AK588" s="870"/>
      <c r="AL588" s="870"/>
      <c r="AM588" s="870"/>
      <c r="AN588" s="870"/>
      <c r="AO588" s="870"/>
      <c r="AP588" s="870"/>
      <c r="AQ588" s="870"/>
      <c r="AR588" s="870"/>
      <c r="AS588" s="870"/>
      <c r="AT588" s="870"/>
    </row>
    <row r="589" spans="1:54" ht="16.75" thickBot="1">
      <c r="C589" s="293"/>
      <c r="D589" s="27"/>
      <c r="E589" s="2990"/>
      <c r="F589" s="19"/>
      <c r="G589" s="19"/>
      <c r="H589" s="19"/>
      <c r="I589" s="19"/>
      <c r="J589" s="19"/>
      <c r="K589" s="19"/>
      <c r="L589" s="19"/>
      <c r="M589" s="19"/>
      <c r="N589" s="19"/>
      <c r="O589" s="19"/>
      <c r="P589" s="19"/>
      <c r="Q589" s="19"/>
      <c r="R589" s="19"/>
      <c r="S589" s="19"/>
      <c r="T589" s="19"/>
      <c r="U589" s="19"/>
      <c r="V589" s="19"/>
      <c r="W589" s="870"/>
      <c r="X589" s="870"/>
      <c r="Y589" s="870"/>
      <c r="Z589" s="870"/>
      <c r="AA589" s="870"/>
      <c r="AB589" s="870"/>
      <c r="AC589" s="19"/>
      <c r="AD589" s="870"/>
      <c r="AE589" s="870"/>
      <c r="AF589" s="870"/>
      <c r="AG589" s="870"/>
      <c r="AH589" s="870"/>
      <c r="AI589" s="3191"/>
      <c r="AJ589" s="3191"/>
      <c r="AK589" s="3191"/>
      <c r="AL589" s="3191"/>
      <c r="AM589" s="3191"/>
      <c r="AN589" s="3191"/>
      <c r="AO589" s="3191"/>
      <c r="AP589" s="870"/>
      <c r="AQ589" s="870"/>
      <c r="AR589" s="870"/>
      <c r="AS589" s="870"/>
      <c r="AT589" s="870"/>
    </row>
    <row r="590" spans="1:54" ht="16.75" thickBot="1">
      <c r="B590" s="3844" t="s">
        <v>349</v>
      </c>
      <c r="D590" s="21"/>
      <c r="E590" s="3019" t="s">
        <v>1475</v>
      </c>
      <c r="F590" s="2185">
        <f>+G590-1</f>
        <v>1995</v>
      </c>
      <c r="G590" s="112">
        <f>+H590-1</f>
        <v>1996</v>
      </c>
      <c r="H590" s="112">
        <f>+I590-1</f>
        <v>1997</v>
      </c>
      <c r="I590" s="112">
        <v>1998</v>
      </c>
      <c r="J590" s="112">
        <v>1999</v>
      </c>
      <c r="K590" s="112">
        <v>2000</v>
      </c>
      <c r="L590" s="112">
        <v>2001</v>
      </c>
      <c r="M590" s="112">
        <v>2002</v>
      </c>
      <c r="N590" s="112">
        <v>2003</v>
      </c>
      <c r="O590" s="112">
        <v>2004</v>
      </c>
      <c r="P590" s="112">
        <v>2005</v>
      </c>
      <c r="Q590" s="112">
        <v>2006</v>
      </c>
      <c r="R590" s="112">
        <v>2007</v>
      </c>
      <c r="S590" s="112">
        <v>2008</v>
      </c>
      <c r="T590" s="112">
        <v>2009</v>
      </c>
      <c r="U590" s="112">
        <v>2010</v>
      </c>
      <c r="V590" s="112">
        <v>2011</v>
      </c>
      <c r="W590" s="112">
        <f xml:space="preserve"> 2012</f>
        <v>2012</v>
      </c>
      <c r="X590" s="112">
        <f>2013</f>
        <v>2013</v>
      </c>
      <c r="Y590" s="112">
        <v>2014</v>
      </c>
      <c r="Z590" s="112">
        <v>2015</v>
      </c>
      <c r="AA590" s="112">
        <v>2016</v>
      </c>
      <c r="AB590" s="112">
        <v>2017</v>
      </c>
      <c r="AC590" s="112">
        <v>2018</v>
      </c>
      <c r="AD590" s="112">
        <v>2019</v>
      </c>
      <c r="AE590" s="112">
        <v>2020</v>
      </c>
      <c r="AF590" s="112">
        <v>2021</v>
      </c>
      <c r="AG590" s="112">
        <v>2022</v>
      </c>
      <c r="AH590" s="112">
        <v>2023</v>
      </c>
      <c r="AI590" s="2195">
        <v>2024</v>
      </c>
      <c r="AJ590" s="2185">
        <v>2025</v>
      </c>
      <c r="AK590" s="112">
        <v>2026</v>
      </c>
      <c r="AL590" s="112">
        <v>2027</v>
      </c>
      <c r="AM590" s="112">
        <v>2028</v>
      </c>
      <c r="AN590" s="112">
        <v>2029</v>
      </c>
      <c r="AO590" s="112">
        <v>2030</v>
      </c>
      <c r="AP590" s="1795">
        <v>2031</v>
      </c>
      <c r="AQ590" s="1795">
        <v>2032</v>
      </c>
      <c r="AR590" s="1795">
        <v>2033</v>
      </c>
      <c r="AS590" s="1795">
        <v>2034</v>
      </c>
      <c r="AT590" s="1795">
        <v>2035</v>
      </c>
    </row>
    <row r="591" spans="1:54" ht="16.75" thickBot="1">
      <c r="A591" s="292"/>
      <c r="B591" s="3844"/>
      <c r="C591" s="293"/>
      <c r="D591" s="100" t="s">
        <v>59</v>
      </c>
      <c r="E591" s="3020">
        <f>+F591/AH591</f>
        <v>0.36625215331610683</v>
      </c>
      <c r="F591" s="2945">
        <f>+F593+F599+F613+F630</f>
        <v>6803.5</v>
      </c>
      <c r="G591" s="113"/>
      <c r="H591" s="113"/>
      <c r="I591" s="113"/>
      <c r="J591" s="276">
        <v>2065</v>
      </c>
      <c r="K591" s="276">
        <v>2238</v>
      </c>
      <c r="L591" s="276">
        <v>2428</v>
      </c>
      <c r="M591" s="276">
        <v>2748</v>
      </c>
      <c r="N591" s="276">
        <v>2809</v>
      </c>
      <c r="O591" s="276">
        <v>3018</v>
      </c>
      <c r="P591" s="276">
        <v>3301</v>
      </c>
      <c r="Q591" s="276">
        <v>5869</v>
      </c>
      <c r="R591" s="276">
        <v>6316</v>
      </c>
      <c r="S591" s="276">
        <v>7021</v>
      </c>
      <c r="T591" s="276">
        <v>7460</v>
      </c>
      <c r="U591" s="276">
        <v>8006</v>
      </c>
      <c r="V591" s="276">
        <v>8644</v>
      </c>
      <c r="W591" s="276">
        <v>9390</v>
      </c>
      <c r="X591" s="276">
        <v>14501</v>
      </c>
      <c r="Y591" s="276">
        <v>10392</v>
      </c>
      <c r="Z591" s="276">
        <v>11314</v>
      </c>
      <c r="AA591" s="276">
        <v>11954</v>
      </c>
      <c r="AB591" s="276">
        <v>12517</v>
      </c>
      <c r="AC591" s="276">
        <v>13527</v>
      </c>
      <c r="AD591" s="276">
        <v>14782</v>
      </c>
      <c r="AE591" s="276">
        <v>10751</v>
      </c>
      <c r="AF591" s="276">
        <v>15581</v>
      </c>
      <c r="AG591" s="276">
        <v>17111</v>
      </c>
      <c r="AH591" s="276">
        <v>18576</v>
      </c>
      <c r="AI591" s="2203">
        <v>19917</v>
      </c>
      <c r="AJ591" s="2198">
        <f t="shared" ref="AJ591:AT591" si="275">AJ593+AJ599+AJ613+AJ630</f>
        <v>21466.193430623131</v>
      </c>
      <c r="AK591" s="276">
        <f t="shared" si="275"/>
        <v>23261.296031387188</v>
      </c>
      <c r="AL591" s="276">
        <f t="shared" si="275"/>
        <v>25341.974166436408</v>
      </c>
      <c r="AM591" s="276">
        <f t="shared" si="275"/>
        <v>27492.822499158967</v>
      </c>
      <c r="AN591" s="276">
        <f t="shared" si="275"/>
        <v>29674.327119907597</v>
      </c>
      <c r="AO591" s="276">
        <f t="shared" si="275"/>
        <v>32154.119327666092</v>
      </c>
      <c r="AP591" s="1796">
        <f t="shared" si="275"/>
        <v>34918.940057613378</v>
      </c>
      <c r="AQ591" s="1796">
        <f t="shared" si="275"/>
        <v>37950.455950119424</v>
      </c>
      <c r="AR591" s="1796">
        <f t="shared" si="275"/>
        <v>41338.872433839286</v>
      </c>
      <c r="AS591" s="1796">
        <f t="shared" si="275"/>
        <v>45108.390091671419</v>
      </c>
      <c r="AT591" s="1796">
        <f t="shared" si="275"/>
        <v>49418.223936950606</v>
      </c>
      <c r="AU591" s="1883"/>
      <c r="AV591" s="1883"/>
      <c r="AW591" s="1883"/>
      <c r="AX591" s="1883"/>
      <c r="AY591" s="1883"/>
    </row>
    <row r="592" spans="1:54" ht="13.5" customHeight="1" thickBot="1">
      <c r="A592" s="300" t="str">
        <f>+A584</f>
        <v>insert line ~ NISR format</v>
      </c>
      <c r="C592" s="293"/>
      <c r="D592" s="100"/>
      <c r="E592" s="3011"/>
      <c r="F592" s="2942"/>
      <c r="G592" s="113"/>
      <c r="H592" s="113"/>
      <c r="I592" s="113"/>
      <c r="J592" s="276"/>
      <c r="K592" s="276"/>
      <c r="L592" s="276"/>
      <c r="M592" s="276"/>
      <c r="N592" s="276"/>
      <c r="O592" s="276"/>
      <c r="P592" s="276"/>
      <c r="Q592" s="276"/>
      <c r="R592" s="276"/>
      <c r="S592" s="276"/>
      <c r="T592" s="276"/>
      <c r="U592" s="276"/>
      <c r="V592" s="276"/>
      <c r="W592" s="276"/>
      <c r="X592" s="276"/>
      <c r="Y592" s="276"/>
      <c r="Z592" s="276"/>
      <c r="AA592" s="276"/>
      <c r="AB592" s="276"/>
      <c r="AC592" s="276"/>
      <c r="AD592" s="276"/>
      <c r="AE592" s="276"/>
      <c r="AF592" s="276"/>
      <c r="AG592" s="276"/>
      <c r="AH592" s="276"/>
      <c r="AI592" s="2203"/>
      <c r="AJ592" s="2198"/>
      <c r="AK592" s="276"/>
      <c r="AL592" s="276"/>
      <c r="AM592" s="276"/>
      <c r="AN592" s="276"/>
      <c r="AO592" s="276"/>
      <c r="AP592" s="1796"/>
      <c r="AQ592" s="1796"/>
      <c r="AR592" s="1796"/>
      <c r="AS592" s="1796"/>
      <c r="AT592" s="1796"/>
      <c r="AU592" s="1883"/>
      <c r="AV592" s="1883"/>
      <c r="AW592" s="1883"/>
      <c r="AX592" s="1883"/>
      <c r="AY592" s="1883"/>
    </row>
    <row r="593" spans="1:51" ht="16.75" thickBot="1">
      <c r="C593" s="293"/>
      <c r="D593" s="104" t="s">
        <v>132</v>
      </c>
      <c r="E593" s="3020">
        <f>+F593/AH593</f>
        <v>0.60142038375280338</v>
      </c>
      <c r="F593" s="2945">
        <f>+SUM(F594:F598)</f>
        <v>2413.5</v>
      </c>
      <c r="G593" s="113"/>
      <c r="H593" s="113"/>
      <c r="I593" s="113"/>
      <c r="J593" s="276">
        <v>792</v>
      </c>
      <c r="K593" s="276">
        <v>852</v>
      </c>
      <c r="L593" s="276">
        <v>927</v>
      </c>
      <c r="M593" s="276">
        <v>1083</v>
      </c>
      <c r="N593" s="276">
        <v>1050</v>
      </c>
      <c r="O593" s="276">
        <v>1069</v>
      </c>
      <c r="P593" s="276">
        <v>1139</v>
      </c>
      <c r="Q593" s="276">
        <v>1881</v>
      </c>
      <c r="R593" s="276">
        <v>1929</v>
      </c>
      <c r="S593" s="276">
        <v>2053</v>
      </c>
      <c r="T593" s="276">
        <v>2212</v>
      </c>
      <c r="U593" s="276">
        <v>2322</v>
      </c>
      <c r="V593" s="276">
        <v>2424</v>
      </c>
      <c r="W593" s="276">
        <v>2588</v>
      </c>
      <c r="X593" s="276">
        <v>3583</v>
      </c>
      <c r="Y593" s="276">
        <v>2813</v>
      </c>
      <c r="Z593" s="276">
        <v>2940</v>
      </c>
      <c r="AA593" s="276">
        <v>3020</v>
      </c>
      <c r="AB593" s="276">
        <v>3257</v>
      </c>
      <c r="AC593" s="276">
        <v>3401</v>
      </c>
      <c r="AD593" s="276">
        <v>3548</v>
      </c>
      <c r="AE593" s="276">
        <v>2797</v>
      </c>
      <c r="AF593" s="276">
        <v>3809</v>
      </c>
      <c r="AG593" s="276">
        <v>3826</v>
      </c>
      <c r="AH593" s="276">
        <v>4013</v>
      </c>
      <c r="AI593" s="2203">
        <v>4142</v>
      </c>
      <c r="AJ593" s="2198">
        <f t="shared" ref="AJ593:AT593" si="276">SUM(AJ594:AJ598)</f>
        <v>4425.8558878784834</v>
      </c>
      <c r="AK593" s="276">
        <f t="shared" si="276"/>
        <v>4864.8137214003291</v>
      </c>
      <c r="AL593" s="276">
        <f t="shared" si="276"/>
        <v>5288.1161212899406</v>
      </c>
      <c r="AM593" s="276">
        <f t="shared" si="276"/>
        <v>5681.7095846679968</v>
      </c>
      <c r="AN593" s="276">
        <f t="shared" si="276"/>
        <v>6071.2473485071696</v>
      </c>
      <c r="AO593" s="276">
        <f t="shared" si="276"/>
        <v>6567.1430935229828</v>
      </c>
      <c r="AP593" s="1796">
        <f t="shared" si="276"/>
        <v>6975.5872331932596</v>
      </c>
      <c r="AQ593" s="1796">
        <f t="shared" si="276"/>
        <v>7432.6265076115469</v>
      </c>
      <c r="AR593" s="1796">
        <f t="shared" si="276"/>
        <v>7940.5237754482923</v>
      </c>
      <c r="AS593" s="1796">
        <f t="shared" si="276"/>
        <v>8504.6360721346791</v>
      </c>
      <c r="AT593" s="1796">
        <f t="shared" si="276"/>
        <v>9126.2325235834833</v>
      </c>
      <c r="AU593" s="1883"/>
      <c r="AV593" s="1883"/>
      <c r="AW593" s="1883"/>
      <c r="AX593" s="1883"/>
      <c r="AY593" s="1883"/>
    </row>
    <row r="594" spans="1:51">
      <c r="B594" s="295" t="s">
        <v>30</v>
      </c>
      <c r="C594" s="293"/>
      <c r="D594" s="454" t="s">
        <v>48</v>
      </c>
      <c r="E594" s="3021">
        <v>0.7</v>
      </c>
      <c r="F594" s="2946">
        <f>+E594*AH594</f>
        <v>1654.1</v>
      </c>
      <c r="G594" s="119"/>
      <c r="H594" s="119"/>
      <c r="I594" s="119"/>
      <c r="J594" s="278">
        <v>492</v>
      </c>
      <c r="K594" s="278">
        <v>530</v>
      </c>
      <c r="L594" s="278">
        <v>577</v>
      </c>
      <c r="M594" s="278">
        <v>685</v>
      </c>
      <c r="N594" s="278">
        <v>660</v>
      </c>
      <c r="O594" s="278">
        <v>657</v>
      </c>
      <c r="P594" s="278">
        <v>709</v>
      </c>
      <c r="Q594" s="278">
        <v>1142</v>
      </c>
      <c r="R594" s="278">
        <v>1188</v>
      </c>
      <c r="S594" s="278">
        <v>1260</v>
      </c>
      <c r="T594" s="278">
        <v>1380</v>
      </c>
      <c r="U594" s="278">
        <v>1446</v>
      </c>
      <c r="V594" s="278">
        <v>1500</v>
      </c>
      <c r="W594" s="278">
        <v>1624</v>
      </c>
      <c r="X594" s="278">
        <v>2218</v>
      </c>
      <c r="Y594" s="278">
        <v>1785</v>
      </c>
      <c r="Z594" s="278">
        <v>1844</v>
      </c>
      <c r="AA594" s="278">
        <v>1872</v>
      </c>
      <c r="AB594" s="278">
        <v>2058</v>
      </c>
      <c r="AC594" s="278">
        <v>2123</v>
      </c>
      <c r="AD594" s="278">
        <v>2185</v>
      </c>
      <c r="AE594" s="278">
        <v>1738</v>
      </c>
      <c r="AF594" s="278">
        <v>2289</v>
      </c>
      <c r="AG594" s="278">
        <v>2241</v>
      </c>
      <c r="AH594" s="278">
        <v>2363</v>
      </c>
      <c r="AI594" s="2204">
        <v>2373</v>
      </c>
      <c r="AJ594" s="2199">
        <f>AI594*(1+AJ549)</f>
        <v>2445.4902240446236</v>
      </c>
      <c r="AK594" s="278">
        <f t="shared" ref="AJ594:AO598" si="277">AJ594*(1+AK549)</f>
        <v>2650.6027329795766</v>
      </c>
      <c r="AL594" s="278">
        <f t="shared" ref="AL594:AT594" si="278">AK594*(1+AL549)</f>
        <v>2886.5160091951739</v>
      </c>
      <c r="AM594" s="278">
        <f t="shared" si="278"/>
        <v>3058.087690548196</v>
      </c>
      <c r="AN594" s="278">
        <f t="shared" si="278"/>
        <v>3183.7347111562831</v>
      </c>
      <c r="AO594" s="278">
        <f t="shared" si="278"/>
        <v>3394.8447012782531</v>
      </c>
      <c r="AP594" s="1794">
        <f t="shared" si="278"/>
        <v>3497.2058644098065</v>
      </c>
      <c r="AQ594" s="1794">
        <f t="shared" si="278"/>
        <v>3606.5132149638443</v>
      </c>
      <c r="AR594" s="1794">
        <f t="shared" si="278"/>
        <v>3723.1897498677654</v>
      </c>
      <c r="AS594" s="1794">
        <f t="shared" si="278"/>
        <v>3847.6939594787464</v>
      </c>
      <c r="AT594" s="1794">
        <f t="shared" si="278"/>
        <v>3980.5225345280573</v>
      </c>
      <c r="AU594" s="1883"/>
      <c r="AV594" s="1883"/>
      <c r="AW594" s="1883"/>
      <c r="AX594" s="1883"/>
      <c r="AY594" s="1883"/>
    </row>
    <row r="595" spans="1:51">
      <c r="B595" s="295" t="s">
        <v>30</v>
      </c>
      <c r="C595" s="293"/>
      <c r="D595" s="122" t="s">
        <v>49</v>
      </c>
      <c r="E595" s="3022">
        <v>1</v>
      </c>
      <c r="F595" s="2946">
        <f>+E595*AH595</f>
        <v>345</v>
      </c>
      <c r="G595" s="121"/>
      <c r="H595" s="121"/>
      <c r="I595" s="121"/>
      <c r="J595" s="278">
        <v>65</v>
      </c>
      <c r="K595" s="278">
        <v>75</v>
      </c>
      <c r="L595" s="278">
        <v>85</v>
      </c>
      <c r="M595" s="278">
        <v>90</v>
      </c>
      <c r="N595" s="278">
        <v>75</v>
      </c>
      <c r="O595" s="278">
        <v>122</v>
      </c>
      <c r="P595" s="278">
        <v>94</v>
      </c>
      <c r="Q595" s="278">
        <v>278</v>
      </c>
      <c r="R595" s="278">
        <v>197</v>
      </c>
      <c r="S595" s="278">
        <v>254</v>
      </c>
      <c r="T595" s="278">
        <v>216</v>
      </c>
      <c r="U595" s="278">
        <v>246</v>
      </c>
      <c r="V595" s="278">
        <v>254</v>
      </c>
      <c r="W595" s="278">
        <v>276</v>
      </c>
      <c r="X595" s="278">
        <v>319</v>
      </c>
      <c r="Y595" s="278">
        <v>257</v>
      </c>
      <c r="Z595" s="278">
        <v>295</v>
      </c>
      <c r="AA595" s="278">
        <v>302</v>
      </c>
      <c r="AB595" s="278">
        <v>306</v>
      </c>
      <c r="AC595" s="278">
        <v>327</v>
      </c>
      <c r="AD595" s="278">
        <v>342</v>
      </c>
      <c r="AE595" s="278">
        <v>251</v>
      </c>
      <c r="AF595" s="278">
        <v>359</v>
      </c>
      <c r="AG595" s="278">
        <v>346</v>
      </c>
      <c r="AH595" s="278">
        <v>345</v>
      </c>
      <c r="AI595" s="2204">
        <v>352</v>
      </c>
      <c r="AJ595" s="2199">
        <f t="shared" si="277"/>
        <v>446.54430437570824</v>
      </c>
      <c r="AK595" s="278">
        <f t="shared" si="277"/>
        <v>465.01571698588907</v>
      </c>
      <c r="AL595" s="278">
        <f t="shared" si="277"/>
        <v>483.3255688963759</v>
      </c>
      <c r="AM595" s="278">
        <f t="shared" si="277"/>
        <v>501.69436075420867</v>
      </c>
      <c r="AN595" s="278">
        <f>AM595*(1+AN550)</f>
        <v>536.90494403514958</v>
      </c>
      <c r="AO595" s="278">
        <f>AN595*(1+AO550)</f>
        <v>551.69310924436274</v>
      </c>
      <c r="AP595" s="1794">
        <f t="shared" ref="AP595:AT596" si="279">AO595*(1+AP550)</f>
        <v>572.12948863352176</v>
      </c>
      <c r="AQ595" s="1794">
        <f t="shared" si="279"/>
        <v>595.2735692244097</v>
      </c>
      <c r="AR595" s="1794">
        <f t="shared" si="279"/>
        <v>620.25774987528825</v>
      </c>
      <c r="AS595" s="1794">
        <f t="shared" si="279"/>
        <v>646.7592897378513</v>
      </c>
      <c r="AT595" s="1794">
        <f t="shared" si="279"/>
        <v>674.70657196515538</v>
      </c>
      <c r="AU595" s="1883"/>
      <c r="AV595" s="1883"/>
      <c r="AW595" s="1883"/>
      <c r="AX595" s="1883"/>
      <c r="AY595" s="1883"/>
    </row>
    <row r="596" spans="1:51">
      <c r="B596" s="295" t="s">
        <v>30</v>
      </c>
      <c r="C596" s="293"/>
      <c r="D596" s="122" t="s">
        <v>55</v>
      </c>
      <c r="E596" s="3021">
        <v>0.5</v>
      </c>
      <c r="F596" s="2946">
        <f>+E596*AH596</f>
        <v>255</v>
      </c>
      <c r="G596" s="119"/>
      <c r="H596" s="119"/>
      <c r="I596" s="119"/>
      <c r="J596" s="278">
        <v>72</v>
      </c>
      <c r="K596" s="278">
        <v>75</v>
      </c>
      <c r="L596" s="278">
        <v>80</v>
      </c>
      <c r="M596" s="278">
        <v>84</v>
      </c>
      <c r="N596" s="278">
        <v>88</v>
      </c>
      <c r="O596" s="278">
        <v>91</v>
      </c>
      <c r="P596" s="278">
        <v>95</v>
      </c>
      <c r="Q596" s="278">
        <v>169</v>
      </c>
      <c r="R596" s="278">
        <v>174</v>
      </c>
      <c r="S596" s="278">
        <v>178</v>
      </c>
      <c r="T596" s="278">
        <v>184</v>
      </c>
      <c r="U596" s="278">
        <v>192</v>
      </c>
      <c r="V596" s="278">
        <v>198</v>
      </c>
      <c r="W596" s="278">
        <v>211</v>
      </c>
      <c r="X596" s="278">
        <v>404</v>
      </c>
      <c r="Y596" s="278">
        <v>243</v>
      </c>
      <c r="Z596" s="278">
        <v>264</v>
      </c>
      <c r="AA596" s="278">
        <v>290</v>
      </c>
      <c r="AB596" s="278">
        <v>316</v>
      </c>
      <c r="AC596" s="278">
        <v>350</v>
      </c>
      <c r="AD596" s="278">
        <v>388</v>
      </c>
      <c r="AE596" s="278">
        <v>321</v>
      </c>
      <c r="AF596" s="278">
        <v>446</v>
      </c>
      <c r="AG596" s="278">
        <v>476</v>
      </c>
      <c r="AH596" s="278">
        <v>510</v>
      </c>
      <c r="AI596" s="2204">
        <v>581</v>
      </c>
      <c r="AJ596" s="2199">
        <f t="shared" si="277"/>
        <v>638.55188679245282</v>
      </c>
      <c r="AK596" s="278">
        <f t="shared" si="277"/>
        <v>736.42574016480785</v>
      </c>
      <c r="AL596" s="278">
        <f t="shared" si="277"/>
        <v>821.66252159397118</v>
      </c>
      <c r="AM596" s="278">
        <f t="shared" si="277"/>
        <v>925.86799939569619</v>
      </c>
      <c r="AN596" s="278">
        <f t="shared" si="277"/>
        <v>1040.4205373809214</v>
      </c>
      <c r="AO596" s="278">
        <f t="shared" si="277"/>
        <v>1175.5622703111126</v>
      </c>
      <c r="AP596" s="1794">
        <f t="shared" si="279"/>
        <v>1321.3856405032966</v>
      </c>
      <c r="AQ596" s="1794">
        <f t="shared" si="279"/>
        <v>1488.0402149700167</v>
      </c>
      <c r="AR596" s="1794">
        <f t="shared" si="279"/>
        <v>1675.4524224475538</v>
      </c>
      <c r="AS596" s="1794">
        <f t="shared" si="279"/>
        <v>1887.3987540951425</v>
      </c>
      <c r="AT596" s="1794">
        <f t="shared" si="279"/>
        <v>2124.5566948302617</v>
      </c>
      <c r="AU596" s="1883"/>
      <c r="AV596" s="1883"/>
      <c r="AW596" s="1883"/>
      <c r="AX596" s="1883"/>
      <c r="AY596" s="1883"/>
    </row>
    <row r="597" spans="1:51">
      <c r="B597" s="295" t="s">
        <v>30</v>
      </c>
      <c r="C597" s="293"/>
      <c r="D597" s="122" t="s">
        <v>56</v>
      </c>
      <c r="E597" s="3021">
        <v>0.2</v>
      </c>
      <c r="F597" s="2946">
        <f>+E597*AH597</f>
        <v>148.4</v>
      </c>
      <c r="G597" s="119"/>
      <c r="H597" s="119"/>
      <c r="I597" s="119"/>
      <c r="J597" s="278">
        <v>155</v>
      </c>
      <c r="K597" s="278">
        <v>163</v>
      </c>
      <c r="L597" s="278">
        <v>176</v>
      </c>
      <c r="M597" s="278">
        <v>192</v>
      </c>
      <c r="N597" s="278">
        <v>210</v>
      </c>
      <c r="O597" s="278">
        <v>228</v>
      </c>
      <c r="P597" s="278">
        <v>247</v>
      </c>
      <c r="Q597" s="278">
        <v>386</v>
      </c>
      <c r="R597" s="278">
        <v>399</v>
      </c>
      <c r="S597" s="278">
        <v>414</v>
      </c>
      <c r="T597" s="278">
        <v>423</v>
      </c>
      <c r="U597" s="278">
        <v>437</v>
      </c>
      <c r="V597" s="278">
        <v>448</v>
      </c>
      <c r="W597" s="278">
        <v>466</v>
      </c>
      <c r="X597" s="278">
        <v>614</v>
      </c>
      <c r="Y597" s="278">
        <v>494</v>
      </c>
      <c r="Z597" s="278">
        <v>512</v>
      </c>
      <c r="AA597" s="278">
        <v>531</v>
      </c>
      <c r="AB597" s="278">
        <v>548</v>
      </c>
      <c r="AC597" s="278">
        <v>572</v>
      </c>
      <c r="AD597" s="278">
        <v>605</v>
      </c>
      <c r="AE597" s="278">
        <v>472</v>
      </c>
      <c r="AF597" s="278">
        <v>658</v>
      </c>
      <c r="AG597" s="278">
        <v>704</v>
      </c>
      <c r="AH597" s="278">
        <v>742</v>
      </c>
      <c r="AI597" s="2204">
        <v>783</v>
      </c>
      <c r="AJ597" s="2199">
        <f t="shared" si="277"/>
        <v>827.32075471698113</v>
      </c>
      <c r="AK597" s="278">
        <f t="shared" si="277"/>
        <v>931.53234751364175</v>
      </c>
      <c r="AL597" s="278">
        <f t="shared" si="277"/>
        <v>999.48759859979134</v>
      </c>
      <c r="AM597" s="278">
        <f t="shared" si="277"/>
        <v>1077.1409251717869</v>
      </c>
      <c r="AN597" s="278">
        <f t="shared" ref="AN597:AT598" si="280">AM597*(1+AN552)</f>
        <v>1166.8693543666632</v>
      </c>
      <c r="AO597" s="278">
        <f t="shared" si="280"/>
        <v>1271.8608310706115</v>
      </c>
      <c r="AP597" s="1794">
        <f t="shared" si="280"/>
        <v>1374.8569375564064</v>
      </c>
      <c r="AQ597" s="1794">
        <f t="shared" si="280"/>
        <v>1488.9539932048947</v>
      </c>
      <c r="AR597" s="1794">
        <f t="shared" si="280"/>
        <v>1614.4908387311575</v>
      </c>
      <c r="AS597" s="1794">
        <f t="shared" si="280"/>
        <v>1751.0194979965497</v>
      </c>
      <c r="AT597" s="1794">
        <f t="shared" si="280"/>
        <v>1896.7242768315023</v>
      </c>
      <c r="AU597" s="1883"/>
      <c r="AV597" s="1883"/>
      <c r="AW597" s="1883"/>
      <c r="AX597" s="1883"/>
      <c r="AY597" s="1883"/>
    </row>
    <row r="598" spans="1:51" ht="16.75" thickBot="1">
      <c r="B598" s="295" t="s">
        <v>30</v>
      </c>
      <c r="C598" s="293"/>
      <c r="D598" s="123" t="s">
        <v>57</v>
      </c>
      <c r="E598" s="3022">
        <v>0.2</v>
      </c>
      <c r="F598" s="2946">
        <f>+E598*AH598</f>
        <v>11</v>
      </c>
      <c r="G598" s="121"/>
      <c r="H598" s="121"/>
      <c r="I598" s="121"/>
      <c r="J598" s="279">
        <v>17</v>
      </c>
      <c r="K598" s="279">
        <v>17</v>
      </c>
      <c r="L598" s="279">
        <v>19</v>
      </c>
      <c r="M598" s="279">
        <v>19</v>
      </c>
      <c r="N598" s="279">
        <v>20</v>
      </c>
      <c r="O598" s="279">
        <v>20</v>
      </c>
      <c r="P598" s="279">
        <v>21</v>
      </c>
      <c r="Q598" s="279">
        <v>36</v>
      </c>
      <c r="R598" s="279">
        <v>36</v>
      </c>
      <c r="S598" s="279">
        <v>39</v>
      </c>
      <c r="T598" s="279">
        <v>40</v>
      </c>
      <c r="U598" s="279">
        <v>40</v>
      </c>
      <c r="V598" s="279">
        <v>42</v>
      </c>
      <c r="W598" s="279">
        <v>40</v>
      </c>
      <c r="X598" s="279">
        <v>48</v>
      </c>
      <c r="Y598" s="279">
        <v>44</v>
      </c>
      <c r="Z598" s="278">
        <v>44</v>
      </c>
      <c r="AA598" s="278">
        <v>48</v>
      </c>
      <c r="AB598" s="278">
        <v>49</v>
      </c>
      <c r="AC598" s="278">
        <v>52</v>
      </c>
      <c r="AD598" s="278">
        <v>53</v>
      </c>
      <c r="AE598" s="278">
        <v>32</v>
      </c>
      <c r="AF598" s="278">
        <v>56</v>
      </c>
      <c r="AG598" s="278">
        <v>56</v>
      </c>
      <c r="AH598" s="278">
        <v>55</v>
      </c>
      <c r="AI598" s="2204">
        <v>53</v>
      </c>
      <c r="AJ598" s="2199">
        <f t="shared" si="277"/>
        <v>67.948717948717956</v>
      </c>
      <c r="AK598" s="278">
        <f t="shared" si="277"/>
        <v>81.237183756414538</v>
      </c>
      <c r="AL598" s="278">
        <f t="shared" si="277"/>
        <v>97.124423004628298</v>
      </c>
      <c r="AM598" s="278">
        <f t="shared" si="277"/>
        <v>118.91860879810886</v>
      </c>
      <c r="AN598" s="278">
        <f t="shared" si="280"/>
        <v>143.31780156815279</v>
      </c>
      <c r="AO598" s="278">
        <f t="shared" si="280"/>
        <v>173.1821816186432</v>
      </c>
      <c r="AP598" s="1794">
        <f t="shared" si="280"/>
        <v>210.00930209022789</v>
      </c>
      <c r="AQ598" s="1794">
        <f t="shared" si="280"/>
        <v>253.84551524838099</v>
      </c>
      <c r="AR598" s="1794">
        <f t="shared" si="280"/>
        <v>307.1330145265282</v>
      </c>
      <c r="AS598" s="1794">
        <f t="shared" si="280"/>
        <v>371.76457082638939</v>
      </c>
      <c r="AT598" s="1794">
        <f t="shared" si="280"/>
        <v>449.7224454285053</v>
      </c>
      <c r="AU598" s="1883"/>
      <c r="AV598" s="1883"/>
      <c r="AW598" s="1883"/>
      <c r="AX598" s="1883"/>
      <c r="AY598" s="1883"/>
    </row>
    <row r="599" spans="1:51" ht="16.75" thickBot="1">
      <c r="C599" s="293"/>
      <c r="D599" s="104" t="s">
        <v>131</v>
      </c>
      <c r="E599" s="3020">
        <f>+F599/AH599</f>
        <v>0.48275862068965519</v>
      </c>
      <c r="F599" s="2945">
        <f>+SUM(F600,F601,F610,F611,F612)</f>
        <v>1974</v>
      </c>
      <c r="G599" s="115"/>
      <c r="H599" s="115"/>
      <c r="I599" s="115"/>
      <c r="J599" s="276">
        <v>315</v>
      </c>
      <c r="K599" s="276">
        <v>320</v>
      </c>
      <c r="L599" s="276">
        <v>361</v>
      </c>
      <c r="M599" s="276">
        <v>387</v>
      </c>
      <c r="N599" s="276">
        <v>405</v>
      </c>
      <c r="O599" s="276">
        <v>468</v>
      </c>
      <c r="P599" s="276">
        <v>511</v>
      </c>
      <c r="Q599" s="276">
        <v>1045</v>
      </c>
      <c r="R599" s="276">
        <v>1138</v>
      </c>
      <c r="S599" s="276">
        <v>1311</v>
      </c>
      <c r="T599" s="276">
        <v>1328</v>
      </c>
      <c r="U599" s="276">
        <v>1441</v>
      </c>
      <c r="V599" s="276">
        <v>1697</v>
      </c>
      <c r="W599" s="276">
        <v>1838</v>
      </c>
      <c r="X599" s="276">
        <v>2944</v>
      </c>
      <c r="Y599" s="276">
        <v>2061</v>
      </c>
      <c r="Z599" s="276">
        <v>2245</v>
      </c>
      <c r="AA599" s="276">
        <v>2395</v>
      </c>
      <c r="AB599" s="276">
        <v>2431</v>
      </c>
      <c r="AC599" s="276">
        <v>2642</v>
      </c>
      <c r="AD599" s="276">
        <v>3078</v>
      </c>
      <c r="AE599" s="276">
        <v>2227</v>
      </c>
      <c r="AF599" s="276">
        <v>3099</v>
      </c>
      <c r="AG599" s="276">
        <v>3767</v>
      </c>
      <c r="AH599" s="276">
        <v>4089</v>
      </c>
      <c r="AI599" s="2203">
        <v>4396</v>
      </c>
      <c r="AJ599" s="2198">
        <f t="shared" ref="AJ599:AT599" si="281">AJ600+AJ601+AJ610+AJ611+AJ612</f>
        <v>4787.1519980426801</v>
      </c>
      <c r="AK599" s="276">
        <f t="shared" si="281"/>
        <v>5140.3660384462073</v>
      </c>
      <c r="AL599" s="276">
        <f t="shared" si="281"/>
        <v>5525.3530763148956</v>
      </c>
      <c r="AM599" s="276">
        <f t="shared" si="281"/>
        <v>5915.731737268251</v>
      </c>
      <c r="AN599" s="276">
        <f t="shared" si="281"/>
        <v>6325.3500686772422</v>
      </c>
      <c r="AO599" s="276">
        <f t="shared" si="281"/>
        <v>6808.0831478263353</v>
      </c>
      <c r="AP599" s="1796">
        <f t="shared" si="281"/>
        <v>7322.2692908005083</v>
      </c>
      <c r="AQ599" s="1796">
        <f t="shared" si="281"/>
        <v>7873.8853051728456</v>
      </c>
      <c r="AR599" s="1796">
        <f t="shared" si="281"/>
        <v>8473.4878321843589</v>
      </c>
      <c r="AS599" s="1796">
        <f t="shared" si="281"/>
        <v>9129.5370660778899</v>
      </c>
      <c r="AT599" s="1796">
        <f t="shared" si="281"/>
        <v>9843.6130524688379</v>
      </c>
      <c r="AU599" s="1883"/>
      <c r="AV599" s="1883"/>
      <c r="AW599" s="1883"/>
      <c r="AX599" s="1883"/>
      <c r="AY599" s="1883"/>
    </row>
    <row r="600" spans="1:51">
      <c r="B600" s="295" t="s">
        <v>30</v>
      </c>
      <c r="C600" s="293" t="s">
        <v>30</v>
      </c>
      <c r="D600" s="484" t="s">
        <v>66</v>
      </c>
      <c r="E600" s="3021">
        <v>1</v>
      </c>
      <c r="F600" s="2946">
        <f>+E600*AH600</f>
        <v>327</v>
      </c>
      <c r="G600" s="119"/>
      <c r="H600" s="119"/>
      <c r="I600" s="119"/>
      <c r="J600" s="278">
        <v>18</v>
      </c>
      <c r="K600" s="278">
        <v>26</v>
      </c>
      <c r="L600" s="278">
        <v>70</v>
      </c>
      <c r="M600" s="278">
        <v>53</v>
      </c>
      <c r="N600" s="278">
        <v>42</v>
      </c>
      <c r="O600" s="278">
        <v>63</v>
      </c>
      <c r="P600" s="278">
        <v>83</v>
      </c>
      <c r="Q600" s="278">
        <v>137</v>
      </c>
      <c r="R600" s="278">
        <v>195</v>
      </c>
      <c r="S600" s="278">
        <v>165</v>
      </c>
      <c r="T600" s="278">
        <v>136</v>
      </c>
      <c r="U600" s="278">
        <v>121</v>
      </c>
      <c r="V600" s="278">
        <v>181</v>
      </c>
      <c r="W600" s="278">
        <v>168</v>
      </c>
      <c r="X600" s="278">
        <v>259</v>
      </c>
      <c r="Y600" s="278">
        <v>252</v>
      </c>
      <c r="Z600" s="278">
        <v>239</v>
      </c>
      <c r="AA600" s="278">
        <v>265</v>
      </c>
      <c r="AB600" s="278">
        <v>318</v>
      </c>
      <c r="AC600" s="278">
        <v>328</v>
      </c>
      <c r="AD600" s="278">
        <v>325</v>
      </c>
      <c r="AE600" s="278">
        <v>167</v>
      </c>
      <c r="AF600" s="278">
        <v>238</v>
      </c>
      <c r="AG600" s="278">
        <v>305</v>
      </c>
      <c r="AH600" s="278">
        <v>327</v>
      </c>
      <c r="AI600" s="2204">
        <v>354</v>
      </c>
      <c r="AJ600" s="2199">
        <f t="shared" ref="AJ600:AO600" si="282">AI600*(1+AJ555)</f>
        <v>369.07355974434381</v>
      </c>
      <c r="AK600" s="278">
        <f t="shared" si="282"/>
        <v>397.85472497586301</v>
      </c>
      <c r="AL600" s="278">
        <f t="shared" si="282"/>
        <v>428.59317130874513</v>
      </c>
      <c r="AM600" s="278">
        <f t="shared" si="282"/>
        <v>466.62697081920538</v>
      </c>
      <c r="AN600" s="278">
        <f t="shared" si="282"/>
        <v>502.97840527101971</v>
      </c>
      <c r="AO600" s="278">
        <f t="shared" si="282"/>
        <v>562.15375923600971</v>
      </c>
      <c r="AP600" s="1794">
        <f>AO600*(1+AP555)</f>
        <v>628.45548571927804</v>
      </c>
      <c r="AQ600" s="1794">
        <f>AP600*(1+AQ555)</f>
        <v>702.76217092039531</v>
      </c>
      <c r="AR600" s="1794">
        <f>AQ600*(1+AR555)</f>
        <v>786.06321769585634</v>
      </c>
      <c r="AS600" s="1794">
        <f>AR600*(1+AS555)</f>
        <v>879.47312618990691</v>
      </c>
      <c r="AT600" s="1794">
        <f>AS600*(1+AT555)</f>
        <v>984.24765108524275</v>
      </c>
      <c r="AU600" s="1883"/>
      <c r="AV600" s="1883"/>
      <c r="AW600" s="1883"/>
      <c r="AX600" s="1883"/>
      <c r="AY600" s="1883"/>
    </row>
    <row r="601" spans="1:51">
      <c r="B601" s="295" t="s">
        <v>30</v>
      </c>
      <c r="C601" s="293"/>
      <c r="D601" s="454" t="s">
        <v>67</v>
      </c>
      <c r="E601" s="3021">
        <v>1</v>
      </c>
      <c r="F601" s="2946">
        <f>+E601*AH601</f>
        <v>1525</v>
      </c>
      <c r="G601" s="119"/>
      <c r="H601" s="119"/>
      <c r="I601" s="119"/>
      <c r="J601" s="278">
        <v>210</v>
      </c>
      <c r="K601" s="278">
        <v>210</v>
      </c>
      <c r="L601" s="278">
        <v>231</v>
      </c>
      <c r="M601" s="278">
        <v>266</v>
      </c>
      <c r="N601" s="278">
        <v>278</v>
      </c>
      <c r="O601" s="278">
        <v>312</v>
      </c>
      <c r="P601" s="278">
        <v>338</v>
      </c>
      <c r="Q601" s="278">
        <v>594</v>
      </c>
      <c r="R601" s="278">
        <v>598</v>
      </c>
      <c r="S601" s="278">
        <v>630</v>
      </c>
      <c r="T601" s="278">
        <v>648</v>
      </c>
      <c r="U601" s="278">
        <v>708</v>
      </c>
      <c r="V601" s="278">
        <v>769</v>
      </c>
      <c r="W601" s="278">
        <v>814</v>
      </c>
      <c r="X601" s="278">
        <v>1133</v>
      </c>
      <c r="Y601" s="278">
        <v>744</v>
      </c>
      <c r="Z601" s="278">
        <v>805</v>
      </c>
      <c r="AA601" s="278">
        <v>860</v>
      </c>
      <c r="AB601" s="278">
        <v>915</v>
      </c>
      <c r="AC601" s="278">
        <v>1040</v>
      </c>
      <c r="AD601" s="278">
        <v>1156</v>
      </c>
      <c r="AE601" s="278">
        <v>897</v>
      </c>
      <c r="AF601" s="278">
        <v>1272</v>
      </c>
      <c r="AG601" s="278">
        <v>1390</v>
      </c>
      <c r="AH601" s="278">
        <v>1525</v>
      </c>
      <c r="AI601" s="2204">
        <v>1619</v>
      </c>
      <c r="AJ601" s="2199">
        <f t="shared" ref="AJ601:AT601" si="283">SUM(AJ602:AJ609)</f>
        <v>1698.8192511528803</v>
      </c>
      <c r="AK601" s="278">
        <f t="shared" si="283"/>
        <v>1844.8229860421791</v>
      </c>
      <c r="AL601" s="278">
        <f t="shared" si="283"/>
        <v>1998.8469776099512</v>
      </c>
      <c r="AM601" s="278">
        <f t="shared" si="283"/>
        <v>2139.2717561533404</v>
      </c>
      <c r="AN601" s="278">
        <f t="shared" si="283"/>
        <v>2284.483734898432</v>
      </c>
      <c r="AO601" s="278">
        <f t="shared" si="283"/>
        <v>2462.2887939714519</v>
      </c>
      <c r="AP601" s="1794">
        <f t="shared" si="283"/>
        <v>2646.9769498452097</v>
      </c>
      <c r="AQ601" s="1794">
        <f t="shared" si="283"/>
        <v>2840.962059779426</v>
      </c>
      <c r="AR601" s="1794">
        <f t="shared" si="283"/>
        <v>3052.3336425908324</v>
      </c>
      <c r="AS601" s="1794">
        <f t="shared" si="283"/>
        <v>3286.9594135698926</v>
      </c>
      <c r="AT601" s="1794">
        <f t="shared" si="283"/>
        <v>3542.7955984670257</v>
      </c>
      <c r="AU601" s="1883"/>
      <c r="AV601" s="1883"/>
      <c r="AW601" s="1883"/>
      <c r="AX601" s="1883"/>
      <c r="AY601" s="1883"/>
    </row>
    <row r="602" spans="1:51">
      <c r="B602" s="295" t="s">
        <v>30</v>
      </c>
      <c r="C602" s="293"/>
      <c r="D602" s="154" t="s">
        <v>68</v>
      </c>
      <c r="E602" s="3023"/>
      <c r="F602" s="2213"/>
      <c r="G602" s="126"/>
      <c r="H602" s="126"/>
      <c r="I602" s="126"/>
      <c r="J602" s="277">
        <v>42</v>
      </c>
      <c r="K602" s="277">
        <v>44</v>
      </c>
      <c r="L602" s="277">
        <v>55</v>
      </c>
      <c r="M602" s="277">
        <v>61</v>
      </c>
      <c r="N602" s="277">
        <v>68</v>
      </c>
      <c r="O602" s="277">
        <v>92</v>
      </c>
      <c r="P602" s="277">
        <v>103</v>
      </c>
      <c r="Q602" s="277">
        <v>99</v>
      </c>
      <c r="R602" s="277">
        <v>94</v>
      </c>
      <c r="S602" s="277">
        <v>102</v>
      </c>
      <c r="T602" s="277">
        <v>109</v>
      </c>
      <c r="U602" s="277">
        <v>118</v>
      </c>
      <c r="V602" s="277">
        <v>123</v>
      </c>
      <c r="W602" s="277">
        <v>124</v>
      </c>
      <c r="X602" s="277">
        <v>210</v>
      </c>
      <c r="Y602" s="277">
        <v>143</v>
      </c>
      <c r="Z602" s="277">
        <v>143</v>
      </c>
      <c r="AA602" s="277">
        <v>155</v>
      </c>
      <c r="AB602" s="277">
        <v>172</v>
      </c>
      <c r="AC602" s="277">
        <v>196</v>
      </c>
      <c r="AD602" s="277">
        <v>204</v>
      </c>
      <c r="AE602" s="277">
        <v>163</v>
      </c>
      <c r="AF602" s="277">
        <v>293</v>
      </c>
      <c r="AG602" s="277">
        <v>333</v>
      </c>
      <c r="AH602" s="277">
        <v>376</v>
      </c>
      <c r="AI602" s="2253">
        <v>383</v>
      </c>
      <c r="AJ602" s="1107">
        <f t="shared" ref="AJ602:AM611" si="284">AI602*(1+AJ557)</f>
        <v>407.60557810976263</v>
      </c>
      <c r="AK602" s="277">
        <f t="shared" si="284"/>
        <v>436.34765476733327</v>
      </c>
      <c r="AL602" s="277">
        <f t="shared" si="284"/>
        <v>468.11763737927288</v>
      </c>
      <c r="AM602" s="277">
        <f>AL602*(1+AM557)</f>
        <v>496.01063184005238</v>
      </c>
      <c r="AN602" s="277">
        <f t="shared" ref="AN602:AO612" si="285">AM602*(1+AN557)</f>
        <v>520.2045454082446</v>
      </c>
      <c r="AO602" s="277">
        <f t="shared" si="285"/>
        <v>551.44707631415963</v>
      </c>
      <c r="AP602" s="1797">
        <f t="shared" ref="AP602:AP612" si="286">AO602*(1+AP557)</f>
        <v>575.64796413948591</v>
      </c>
      <c r="AQ602" s="1797">
        <f t="shared" ref="AQ602:AQ612" si="287">AP602*(1+AQ557)</f>
        <v>601.19510208686609</v>
      </c>
      <c r="AR602" s="1797">
        <f t="shared" ref="AR602:AR612" si="288">AQ602*(1+AR557)</f>
        <v>628.17072723082993</v>
      </c>
      <c r="AS602" s="1797">
        <f t="shared" ref="AS602:AS612" si="289">AR602*(1+AS557)</f>
        <v>656.66260071499175</v>
      </c>
      <c r="AT602" s="1797">
        <f t="shared" ref="AT602:AT612" si="290">AS602*(1+AT557)</f>
        <v>686.76439377142663</v>
      </c>
      <c r="AU602" s="1883"/>
      <c r="AV602" s="1883"/>
      <c r="AW602" s="1883"/>
      <c r="AX602" s="1883"/>
      <c r="AY602" s="1883"/>
    </row>
    <row r="603" spans="1:51">
      <c r="C603" s="293"/>
      <c r="D603" s="154" t="s">
        <v>69</v>
      </c>
      <c r="E603" s="3023"/>
      <c r="F603" s="2210"/>
      <c r="G603" s="121"/>
      <c r="H603" s="121"/>
      <c r="I603" s="121"/>
      <c r="J603" s="277">
        <v>96</v>
      </c>
      <c r="K603" s="277">
        <v>88</v>
      </c>
      <c r="L603" s="277">
        <v>89</v>
      </c>
      <c r="M603" s="277">
        <v>106</v>
      </c>
      <c r="N603" s="277">
        <v>96</v>
      </c>
      <c r="O603" s="277">
        <v>99</v>
      </c>
      <c r="P603" s="277">
        <v>110</v>
      </c>
      <c r="Q603" s="277">
        <v>313</v>
      </c>
      <c r="R603" s="277">
        <v>308</v>
      </c>
      <c r="S603" s="277">
        <v>317</v>
      </c>
      <c r="T603" s="277">
        <v>331</v>
      </c>
      <c r="U603" s="277">
        <v>337</v>
      </c>
      <c r="V603" s="277">
        <v>364</v>
      </c>
      <c r="W603" s="277">
        <v>378</v>
      </c>
      <c r="X603" s="277">
        <v>478</v>
      </c>
      <c r="Y603" s="277">
        <v>422</v>
      </c>
      <c r="Z603" s="277">
        <v>446</v>
      </c>
      <c r="AA603" s="277">
        <v>461</v>
      </c>
      <c r="AB603" s="277">
        <v>423</v>
      </c>
      <c r="AC603" s="277">
        <v>439</v>
      </c>
      <c r="AD603" s="277">
        <v>487</v>
      </c>
      <c r="AE603" s="277">
        <v>376</v>
      </c>
      <c r="AF603" s="277">
        <v>411</v>
      </c>
      <c r="AG603" s="277">
        <v>462</v>
      </c>
      <c r="AH603" s="277">
        <v>460</v>
      </c>
      <c r="AI603" s="2253">
        <v>486</v>
      </c>
      <c r="AJ603" s="1107">
        <f t="shared" si="284"/>
        <v>504.75599080727466</v>
      </c>
      <c r="AK603" s="277">
        <f t="shared" si="284"/>
        <v>531.87058665620293</v>
      </c>
      <c r="AL603" s="277">
        <f t="shared" si="284"/>
        <v>560.44173046382878</v>
      </c>
      <c r="AM603" s="277">
        <f t="shared" si="284"/>
        <v>582.66007951563188</v>
      </c>
      <c r="AN603" s="277">
        <f t="shared" si="285"/>
        <v>610.88356443105226</v>
      </c>
      <c r="AO603" s="277">
        <f t="shared" si="285"/>
        <v>639.48664767343803</v>
      </c>
      <c r="AP603" s="1797">
        <f t="shared" si="286"/>
        <v>670.48158118950846</v>
      </c>
      <c r="AQ603" s="1797">
        <f t="shared" si="287"/>
        <v>702.27481739506243</v>
      </c>
      <c r="AR603" s="1797">
        <f t="shared" si="288"/>
        <v>734.69081491055692</v>
      </c>
      <c r="AS603" s="1797">
        <f t="shared" si="289"/>
        <v>769.56027482037757</v>
      </c>
      <c r="AT603" s="1797">
        <f t="shared" si="290"/>
        <v>805.93422152368407</v>
      </c>
      <c r="AU603" s="1883"/>
      <c r="AV603" s="1883"/>
      <c r="AW603" s="1883"/>
      <c r="AX603" s="1883"/>
      <c r="AY603" s="1883"/>
    </row>
    <row r="604" spans="1:51">
      <c r="B604" s="295" t="s">
        <v>30</v>
      </c>
      <c r="C604" s="293"/>
      <c r="D604" s="154" t="s">
        <v>70</v>
      </c>
      <c r="E604" s="3023"/>
      <c r="F604" s="2210"/>
      <c r="G604" s="121"/>
      <c r="H604" s="121"/>
      <c r="I604" s="121"/>
      <c r="J604" s="277">
        <v>34</v>
      </c>
      <c r="K604" s="277">
        <v>39</v>
      </c>
      <c r="L604" s="277">
        <v>41</v>
      </c>
      <c r="M604" s="277">
        <v>48</v>
      </c>
      <c r="N604" s="277">
        <v>53</v>
      </c>
      <c r="O604" s="277">
        <v>63</v>
      </c>
      <c r="P604" s="277">
        <v>68</v>
      </c>
      <c r="Q604" s="277">
        <v>116</v>
      </c>
      <c r="R604" s="277">
        <v>127</v>
      </c>
      <c r="S604" s="277">
        <v>125</v>
      </c>
      <c r="T604" s="277">
        <v>124</v>
      </c>
      <c r="U604" s="277">
        <v>128</v>
      </c>
      <c r="V604" s="277">
        <v>124</v>
      </c>
      <c r="W604" s="277">
        <v>134</v>
      </c>
      <c r="X604" s="277">
        <v>94</v>
      </c>
      <c r="Y604" s="277">
        <v>32</v>
      </c>
      <c r="Z604" s="277">
        <v>32</v>
      </c>
      <c r="AA604" s="277">
        <v>37</v>
      </c>
      <c r="AB604" s="277">
        <v>50</v>
      </c>
      <c r="AC604" s="277">
        <v>81</v>
      </c>
      <c r="AD604" s="277">
        <v>95</v>
      </c>
      <c r="AE604" s="277">
        <v>69</v>
      </c>
      <c r="AF604" s="277">
        <v>99</v>
      </c>
      <c r="AG604" s="277">
        <v>109</v>
      </c>
      <c r="AH604" s="277">
        <v>124</v>
      </c>
      <c r="AI604" s="2253">
        <v>136</v>
      </c>
      <c r="AJ604" s="1107">
        <f t="shared" si="284"/>
        <v>130.88380390420025</v>
      </c>
      <c r="AK604" s="277">
        <f t="shared" si="284"/>
        <v>139.46846315716772</v>
      </c>
      <c r="AL604" s="277">
        <f t="shared" si="284"/>
        <v>145.26779581101439</v>
      </c>
      <c r="AM604" s="277">
        <f t="shared" si="284"/>
        <v>154.09837493309013</v>
      </c>
      <c r="AN604" s="277">
        <f t="shared" si="285"/>
        <v>162.72582327874522</v>
      </c>
      <c r="AO604" s="277">
        <f t="shared" si="285"/>
        <v>171.31539172229253</v>
      </c>
      <c r="AP604" s="1797">
        <f t="shared" si="286"/>
        <v>180.99816239501845</v>
      </c>
      <c r="AQ604" s="1797">
        <f t="shared" si="287"/>
        <v>190.97069656352477</v>
      </c>
      <c r="AR604" s="1797">
        <f t="shared" si="288"/>
        <v>201.43608840593254</v>
      </c>
      <c r="AS604" s="1797">
        <f t="shared" si="289"/>
        <v>212.61032653196273</v>
      </c>
      <c r="AT604" s="1797">
        <f t="shared" si="290"/>
        <v>224.33021134195681</v>
      </c>
      <c r="AU604" s="1883"/>
      <c r="AV604" s="1883"/>
      <c r="AW604" s="1883"/>
      <c r="AX604" s="1883"/>
      <c r="AY604" s="1883"/>
    </row>
    <row r="605" spans="1:51">
      <c r="C605" s="293"/>
      <c r="D605" s="154" t="s">
        <v>71</v>
      </c>
      <c r="E605" s="3024"/>
      <c r="F605" s="2209"/>
      <c r="G605" s="119"/>
      <c r="H605" s="119"/>
      <c r="I605" s="119"/>
      <c r="J605" s="277">
        <v>3</v>
      </c>
      <c r="K605" s="277">
        <v>3</v>
      </c>
      <c r="L605" s="277">
        <v>4</v>
      </c>
      <c r="M605" s="277">
        <v>5</v>
      </c>
      <c r="N605" s="277">
        <v>7</v>
      </c>
      <c r="O605" s="277">
        <v>8</v>
      </c>
      <c r="P605" s="277">
        <v>10</v>
      </c>
      <c r="Q605" s="277">
        <v>13</v>
      </c>
      <c r="R605" s="277">
        <v>15</v>
      </c>
      <c r="S605" s="277">
        <v>15</v>
      </c>
      <c r="T605" s="277">
        <v>17</v>
      </c>
      <c r="U605" s="277">
        <v>18</v>
      </c>
      <c r="V605" s="277">
        <v>17</v>
      </c>
      <c r="W605" s="277">
        <v>18</v>
      </c>
      <c r="X605" s="277">
        <v>33</v>
      </c>
      <c r="Y605" s="277">
        <v>24</v>
      </c>
      <c r="Z605" s="277">
        <v>25</v>
      </c>
      <c r="AA605" s="277">
        <v>28</v>
      </c>
      <c r="AB605" s="277">
        <v>26</v>
      </c>
      <c r="AC605" s="277">
        <v>29</v>
      </c>
      <c r="AD605" s="277">
        <v>37</v>
      </c>
      <c r="AE605" s="277">
        <v>26</v>
      </c>
      <c r="AF605" s="277">
        <v>43</v>
      </c>
      <c r="AG605" s="277">
        <v>57</v>
      </c>
      <c r="AH605" s="277">
        <v>67</v>
      </c>
      <c r="AI605" s="2253">
        <v>78</v>
      </c>
      <c r="AJ605" s="1107">
        <f t="shared" si="284"/>
        <v>80.172578064932168</v>
      </c>
      <c r="AK605" s="277">
        <f t="shared" si="284"/>
        <v>94.063532711780027</v>
      </c>
      <c r="AL605" s="277">
        <f t="shared" si="284"/>
        <v>106.77938042657257</v>
      </c>
      <c r="AM605" s="277">
        <f t="shared" si="284"/>
        <v>120.13960162397208</v>
      </c>
      <c r="AN605" s="277">
        <f t="shared" si="285"/>
        <v>133.9983113367891</v>
      </c>
      <c r="AO605" s="277">
        <f t="shared" si="285"/>
        <v>152.38695599543627</v>
      </c>
      <c r="AP605" s="1797">
        <f t="shared" si="286"/>
        <v>171.9263520385239</v>
      </c>
      <c r="AQ605" s="1797">
        <f t="shared" si="287"/>
        <v>193.67192223874872</v>
      </c>
      <c r="AR605" s="1797">
        <f t="shared" si="288"/>
        <v>218.23386007195154</v>
      </c>
      <c r="AS605" s="1797">
        <f t="shared" si="289"/>
        <v>246.53644277713565</v>
      </c>
      <c r="AT605" s="1797">
        <f t="shared" si="290"/>
        <v>278.04477163878414</v>
      </c>
      <c r="AU605" s="1883"/>
      <c r="AV605" s="1883"/>
      <c r="AW605" s="1883"/>
      <c r="AX605" s="1883"/>
      <c r="AY605" s="1883"/>
    </row>
    <row r="606" spans="1:51">
      <c r="A606" s="296"/>
      <c r="B606" s="295" t="s">
        <v>30</v>
      </c>
      <c r="C606" s="293"/>
      <c r="D606" s="154" t="s">
        <v>72</v>
      </c>
      <c r="E606" s="3024"/>
      <c r="F606" s="2209"/>
      <c r="G606" s="119"/>
      <c r="H606" s="119"/>
      <c r="I606" s="119"/>
      <c r="J606" s="277">
        <v>9</v>
      </c>
      <c r="K606" s="277">
        <v>9</v>
      </c>
      <c r="L606" s="277">
        <v>9</v>
      </c>
      <c r="M606" s="277">
        <v>11</v>
      </c>
      <c r="N606" s="277">
        <v>13</v>
      </c>
      <c r="O606" s="277">
        <v>14</v>
      </c>
      <c r="P606" s="277">
        <v>15</v>
      </c>
      <c r="Q606" s="277">
        <v>33</v>
      </c>
      <c r="R606" s="277">
        <v>32</v>
      </c>
      <c r="S606" s="277">
        <v>32</v>
      </c>
      <c r="T606" s="277">
        <v>32</v>
      </c>
      <c r="U606" s="277">
        <v>35</v>
      </c>
      <c r="V606" s="277">
        <v>39</v>
      </c>
      <c r="W606" s="277">
        <v>41</v>
      </c>
      <c r="X606" s="277">
        <v>93</v>
      </c>
      <c r="Y606" s="277">
        <v>39</v>
      </c>
      <c r="Z606" s="277">
        <v>44</v>
      </c>
      <c r="AA606" s="277">
        <v>45</v>
      </c>
      <c r="AB606" s="277">
        <v>60</v>
      </c>
      <c r="AC606" s="277">
        <v>73</v>
      </c>
      <c r="AD606" s="277">
        <v>94</v>
      </c>
      <c r="AE606" s="277">
        <v>74</v>
      </c>
      <c r="AF606" s="277">
        <v>127</v>
      </c>
      <c r="AG606" s="277">
        <v>121</v>
      </c>
      <c r="AH606" s="277">
        <v>173</v>
      </c>
      <c r="AI606" s="2253">
        <v>187</v>
      </c>
      <c r="AJ606" s="1107">
        <f t="shared" si="284"/>
        <v>188.33564556600132</v>
      </c>
      <c r="AK606" s="277">
        <f t="shared" si="284"/>
        <v>210.49217208413816</v>
      </c>
      <c r="AL606" s="277">
        <f t="shared" si="284"/>
        <v>243.93218152509519</v>
      </c>
      <c r="AM606" s="277">
        <f t="shared" si="284"/>
        <v>266.165196313264</v>
      </c>
      <c r="AN606" s="277">
        <f t="shared" si="285"/>
        <v>291.10463400100696</v>
      </c>
      <c r="AO606" s="277">
        <f t="shared" si="285"/>
        <v>324.68013153936863</v>
      </c>
      <c r="AP606" s="1797">
        <f t="shared" si="286"/>
        <v>361.94102367081797</v>
      </c>
      <c r="AQ606" s="1797">
        <f t="shared" si="287"/>
        <v>399.48728643182073</v>
      </c>
      <c r="AR606" s="1797">
        <f t="shared" si="288"/>
        <v>442.18599023851669</v>
      </c>
      <c r="AS606" s="1797">
        <f t="shared" si="289"/>
        <v>490.90601094346033</v>
      </c>
      <c r="AT606" s="1797">
        <f t="shared" si="290"/>
        <v>544.36093789460972</v>
      </c>
      <c r="AU606" s="1883"/>
      <c r="AV606" s="1883"/>
      <c r="AW606" s="1883"/>
      <c r="AX606" s="1883"/>
      <c r="AY606" s="1883"/>
    </row>
    <row r="607" spans="1:51">
      <c r="B607" s="295" t="s">
        <v>30</v>
      </c>
      <c r="C607" s="293"/>
      <c r="D607" s="154" t="s">
        <v>73</v>
      </c>
      <c r="E607" s="3024"/>
      <c r="F607" s="2209"/>
      <c r="G607" s="119"/>
      <c r="H607" s="119"/>
      <c r="I607" s="119"/>
      <c r="J607" s="277">
        <v>6</v>
      </c>
      <c r="K607" s="277">
        <v>7</v>
      </c>
      <c r="L607" s="277">
        <v>8</v>
      </c>
      <c r="M607" s="277">
        <v>10</v>
      </c>
      <c r="N607" s="277">
        <v>11</v>
      </c>
      <c r="O607" s="277">
        <v>11</v>
      </c>
      <c r="P607" s="277">
        <v>11</v>
      </c>
      <c r="Q607" s="277">
        <v>24</v>
      </c>
      <c r="R607" s="277">
        <v>25</v>
      </c>
      <c r="S607" s="277">
        <v>26</v>
      </c>
      <c r="T607" s="277">
        <v>24</v>
      </c>
      <c r="U607" s="277">
        <v>27</v>
      </c>
      <c r="V607" s="277">
        <v>31</v>
      </c>
      <c r="W607" s="277">
        <v>37</v>
      </c>
      <c r="X607" s="277">
        <v>88</v>
      </c>
      <c r="Y607" s="277">
        <v>45</v>
      </c>
      <c r="Z607" s="277">
        <v>53</v>
      </c>
      <c r="AA607" s="277">
        <v>65</v>
      </c>
      <c r="AB607" s="277">
        <v>71</v>
      </c>
      <c r="AC607" s="277">
        <v>78</v>
      </c>
      <c r="AD607" s="277">
        <v>93</v>
      </c>
      <c r="AE607" s="277">
        <v>72</v>
      </c>
      <c r="AF607" s="277">
        <v>102</v>
      </c>
      <c r="AG607" s="277">
        <v>110</v>
      </c>
      <c r="AH607" s="277">
        <v>127</v>
      </c>
      <c r="AI607" s="2253">
        <v>122</v>
      </c>
      <c r="AJ607" s="1107">
        <f t="shared" si="284"/>
        <v>134.16183078921185</v>
      </c>
      <c r="AK607" s="277">
        <f t="shared" si="284"/>
        <v>153.21175229520469</v>
      </c>
      <c r="AL607" s="277">
        <f t="shared" si="284"/>
        <v>166.54993834981852</v>
      </c>
      <c r="AM607" s="277">
        <f t="shared" si="284"/>
        <v>181.3366357087919</v>
      </c>
      <c r="AN607" s="277">
        <f t="shared" si="285"/>
        <v>195.05107952955674</v>
      </c>
      <c r="AO607" s="277">
        <f t="shared" si="285"/>
        <v>214.28891128063287</v>
      </c>
      <c r="AP607" s="1797">
        <f t="shared" si="286"/>
        <v>235.37884590464961</v>
      </c>
      <c r="AQ607" s="1797">
        <f t="shared" si="287"/>
        <v>256.49314039002695</v>
      </c>
      <c r="AR607" s="1797">
        <f t="shared" si="288"/>
        <v>279.63720895037335</v>
      </c>
      <c r="AS607" s="1797">
        <f t="shared" si="289"/>
        <v>304.95074284298636</v>
      </c>
      <c r="AT607" s="1797">
        <f t="shared" si="290"/>
        <v>333.46405538315628</v>
      </c>
      <c r="AU607" s="1883"/>
      <c r="AV607" s="1883"/>
      <c r="AW607" s="1883"/>
      <c r="AX607" s="1883"/>
      <c r="AY607" s="1883"/>
    </row>
    <row r="608" spans="1:51">
      <c r="B608" s="295" t="s">
        <v>30</v>
      </c>
      <c r="C608" s="293"/>
      <c r="D608" s="154" t="s">
        <v>74</v>
      </c>
      <c r="E608" s="3024"/>
      <c r="F608" s="2209"/>
      <c r="G608" s="119"/>
      <c r="H608" s="119"/>
      <c r="I608" s="119"/>
      <c r="J608" s="277">
        <v>4</v>
      </c>
      <c r="K608" s="277">
        <v>5</v>
      </c>
      <c r="L608" s="277">
        <v>5</v>
      </c>
      <c r="M608" s="277">
        <v>5</v>
      </c>
      <c r="N608" s="277">
        <v>6</v>
      </c>
      <c r="O608" s="277">
        <v>5</v>
      </c>
      <c r="P608" s="277">
        <v>4</v>
      </c>
      <c r="Q608" s="277">
        <v>7</v>
      </c>
      <c r="R608" s="277">
        <v>9</v>
      </c>
      <c r="S608" s="277">
        <v>10</v>
      </c>
      <c r="T608" s="277">
        <v>9</v>
      </c>
      <c r="U608" s="277">
        <v>15</v>
      </c>
      <c r="V608" s="277">
        <v>19</v>
      </c>
      <c r="W608" s="277">
        <v>23</v>
      </c>
      <c r="X608" s="277">
        <v>63</v>
      </c>
      <c r="Y608" s="277">
        <v>26</v>
      </c>
      <c r="Z608" s="277">
        <v>37</v>
      </c>
      <c r="AA608" s="277">
        <v>42</v>
      </c>
      <c r="AB608" s="277">
        <v>47</v>
      </c>
      <c r="AC608" s="277">
        <v>57</v>
      </c>
      <c r="AD608" s="277">
        <v>69</v>
      </c>
      <c r="AE608" s="277">
        <v>61</v>
      </c>
      <c r="AF608" s="277">
        <v>74</v>
      </c>
      <c r="AG608" s="277">
        <v>85</v>
      </c>
      <c r="AH608" s="277">
        <v>97</v>
      </c>
      <c r="AI608" s="2253">
        <v>118</v>
      </c>
      <c r="AJ608" s="1107">
        <f t="shared" si="284"/>
        <v>124.74454944225668</v>
      </c>
      <c r="AK608" s="277">
        <f t="shared" si="284"/>
        <v>142.31722565525217</v>
      </c>
      <c r="AL608" s="277">
        <f t="shared" si="284"/>
        <v>162.08856814803983</v>
      </c>
      <c r="AM608" s="277">
        <f t="shared" si="284"/>
        <v>184.51537690606332</v>
      </c>
      <c r="AN608" s="277">
        <f t="shared" si="285"/>
        <v>206.44098798264773</v>
      </c>
      <c r="AO608" s="277">
        <f t="shared" si="285"/>
        <v>234.15482798331306</v>
      </c>
      <c r="AP608" s="1797">
        <f t="shared" si="286"/>
        <v>265.20140586291495</v>
      </c>
      <c r="AQ608" s="1797">
        <f t="shared" si="287"/>
        <v>299.94446867781051</v>
      </c>
      <c r="AR608" s="1797">
        <f t="shared" si="288"/>
        <v>338.68756098141273</v>
      </c>
      <c r="AS608" s="1797">
        <f t="shared" si="289"/>
        <v>383.31046470101694</v>
      </c>
      <c r="AT608" s="1797">
        <f t="shared" si="290"/>
        <v>433.57360640580873</v>
      </c>
      <c r="AU608" s="1883"/>
      <c r="AV608" s="1883"/>
      <c r="AW608" s="1883"/>
      <c r="AX608" s="1883"/>
      <c r="AY608" s="1883"/>
    </row>
    <row r="609" spans="2:53">
      <c r="C609" s="293"/>
      <c r="D609" s="154" t="s">
        <v>75</v>
      </c>
      <c r="E609" s="3023"/>
      <c r="F609" s="2213"/>
      <c r="G609" s="126"/>
      <c r="H609" s="126"/>
      <c r="I609" s="126"/>
      <c r="J609" s="277">
        <v>13</v>
      </c>
      <c r="K609" s="277">
        <v>13</v>
      </c>
      <c r="L609" s="277">
        <v>14</v>
      </c>
      <c r="M609" s="277">
        <v>15</v>
      </c>
      <c r="N609" s="277">
        <v>17</v>
      </c>
      <c r="O609" s="277">
        <v>15</v>
      </c>
      <c r="P609" s="277">
        <v>13</v>
      </c>
      <c r="Q609" s="277">
        <v>24</v>
      </c>
      <c r="R609" s="277">
        <v>29</v>
      </c>
      <c r="S609" s="277">
        <v>33</v>
      </c>
      <c r="T609" s="277">
        <v>31</v>
      </c>
      <c r="U609" s="277">
        <v>43</v>
      </c>
      <c r="V609" s="277">
        <v>59</v>
      </c>
      <c r="W609" s="277">
        <v>65</v>
      </c>
      <c r="X609" s="277">
        <v>98</v>
      </c>
      <c r="Y609" s="277">
        <v>81</v>
      </c>
      <c r="Z609" s="277">
        <v>95</v>
      </c>
      <c r="AA609" s="277">
        <v>86</v>
      </c>
      <c r="AB609" s="277">
        <v>97</v>
      </c>
      <c r="AC609" s="277">
        <v>106</v>
      </c>
      <c r="AD609" s="277">
        <v>109</v>
      </c>
      <c r="AE609" s="277">
        <v>78</v>
      </c>
      <c r="AF609" s="277">
        <v>127</v>
      </c>
      <c r="AG609" s="277">
        <v>113</v>
      </c>
      <c r="AH609" s="277">
        <v>105</v>
      </c>
      <c r="AI609" s="2253">
        <v>110</v>
      </c>
      <c r="AJ609" s="1107">
        <f t="shared" si="284"/>
        <v>128.15927446924076</v>
      </c>
      <c r="AK609" s="277">
        <f t="shared" si="284"/>
        <v>137.05159871510003</v>
      </c>
      <c r="AL609" s="277">
        <f t="shared" si="284"/>
        <v>145.6697455063088</v>
      </c>
      <c r="AM609" s="277">
        <f t="shared" si="284"/>
        <v>154.34585931247472</v>
      </c>
      <c r="AN609" s="277">
        <f t="shared" si="285"/>
        <v>164.07478893038919</v>
      </c>
      <c r="AO609" s="277">
        <f t="shared" si="285"/>
        <v>174.52885146281096</v>
      </c>
      <c r="AP609" s="1797">
        <f t="shared" si="286"/>
        <v>185.40161464428979</v>
      </c>
      <c r="AQ609" s="1797">
        <f t="shared" si="287"/>
        <v>196.92462599556583</v>
      </c>
      <c r="AR609" s="1797">
        <f t="shared" si="288"/>
        <v>209.29139180125887</v>
      </c>
      <c r="AS609" s="1797">
        <f t="shared" si="289"/>
        <v>222.42255023796136</v>
      </c>
      <c r="AT609" s="1797">
        <f t="shared" si="290"/>
        <v>236.32340050759933</v>
      </c>
      <c r="AU609" s="1883"/>
      <c r="AV609" s="1883"/>
      <c r="AW609" s="1883"/>
      <c r="AX609" s="1883"/>
      <c r="AY609" s="1883"/>
    </row>
    <row r="610" spans="2:53">
      <c r="B610" s="297"/>
      <c r="C610" s="297"/>
      <c r="D610" s="454" t="s">
        <v>76</v>
      </c>
      <c r="E610" s="3021">
        <v>1</v>
      </c>
      <c r="F610" s="2946">
        <f>+E610*AH610</f>
        <v>122</v>
      </c>
      <c r="G610" s="119"/>
      <c r="H610" s="119"/>
      <c r="I610" s="119"/>
      <c r="J610" s="278">
        <v>65</v>
      </c>
      <c r="K610" s="278">
        <v>58</v>
      </c>
      <c r="L610" s="278">
        <v>52</v>
      </c>
      <c r="M610" s="278">
        <v>52</v>
      </c>
      <c r="N610" s="278">
        <v>47</v>
      </c>
      <c r="O610" s="278">
        <v>32</v>
      </c>
      <c r="P610" s="278">
        <v>28</v>
      </c>
      <c r="Q610" s="278">
        <v>22</v>
      </c>
      <c r="R610" s="278">
        <v>24</v>
      </c>
      <c r="S610" s="278">
        <v>27</v>
      </c>
      <c r="T610" s="278">
        <v>30</v>
      </c>
      <c r="U610" s="278">
        <v>35</v>
      </c>
      <c r="V610" s="278">
        <v>41</v>
      </c>
      <c r="W610" s="278">
        <v>48</v>
      </c>
      <c r="X610" s="278">
        <v>87</v>
      </c>
      <c r="Y610" s="278">
        <v>56</v>
      </c>
      <c r="Z610" s="278">
        <v>60</v>
      </c>
      <c r="AA610" s="278">
        <v>69</v>
      </c>
      <c r="AB610" s="278">
        <v>74</v>
      </c>
      <c r="AC610" s="278">
        <v>81</v>
      </c>
      <c r="AD610" s="278">
        <v>88</v>
      </c>
      <c r="AE610" s="278">
        <v>67</v>
      </c>
      <c r="AF610" s="278">
        <v>99</v>
      </c>
      <c r="AG610" s="278">
        <v>113</v>
      </c>
      <c r="AH610" s="278">
        <v>122</v>
      </c>
      <c r="AI610" s="2204">
        <v>147</v>
      </c>
      <c r="AJ610" s="2199">
        <f t="shared" si="284"/>
        <v>162.79233921763782</v>
      </c>
      <c r="AK610" s="278">
        <f t="shared" si="284"/>
        <v>184.0635963968428</v>
      </c>
      <c r="AL610" s="278">
        <f t="shared" si="284"/>
        <v>211.24450624308182</v>
      </c>
      <c r="AM610" s="278">
        <f t="shared" si="284"/>
        <v>238.40823673446599</v>
      </c>
      <c r="AN610" s="278">
        <f t="shared" si="285"/>
        <v>270.74635299371954</v>
      </c>
      <c r="AO610" s="278">
        <f t="shared" si="285"/>
        <v>307.92001868140648</v>
      </c>
      <c r="AP610" s="1794">
        <f t="shared" si="286"/>
        <v>349.13321762121461</v>
      </c>
      <c r="AQ610" s="1794">
        <f t="shared" si="287"/>
        <v>396.47409050995799</v>
      </c>
      <c r="AR610" s="1794">
        <f t="shared" si="288"/>
        <v>450.22804674890011</v>
      </c>
      <c r="AS610" s="1794">
        <f t="shared" si="289"/>
        <v>511.01172703233328</v>
      </c>
      <c r="AT610" s="1794">
        <f t="shared" si="290"/>
        <v>580.19962617885642</v>
      </c>
      <c r="AU610" s="1883"/>
      <c r="AV610" s="1883"/>
      <c r="AW610" s="1883"/>
      <c r="AX610" s="1883"/>
      <c r="AY610" s="1883"/>
    </row>
    <row r="611" spans="2:53">
      <c r="C611" s="293"/>
      <c r="D611" s="454" t="s">
        <v>77</v>
      </c>
      <c r="E611" s="3021">
        <v>0</v>
      </c>
      <c r="F611" s="2946">
        <f>+E611*AH611</f>
        <v>0</v>
      </c>
      <c r="G611" s="119"/>
      <c r="H611" s="119"/>
      <c r="I611" s="119"/>
      <c r="J611" s="278">
        <v>36</v>
      </c>
      <c r="K611" s="278">
        <v>32</v>
      </c>
      <c r="L611" s="278">
        <v>29</v>
      </c>
      <c r="M611" s="278">
        <v>28</v>
      </c>
      <c r="N611" s="278">
        <v>26</v>
      </c>
      <c r="O611" s="278">
        <v>17</v>
      </c>
      <c r="P611" s="278">
        <v>15</v>
      </c>
      <c r="Q611" s="278">
        <v>25</v>
      </c>
      <c r="R611" s="278">
        <v>26</v>
      </c>
      <c r="S611" s="278">
        <v>31</v>
      </c>
      <c r="T611" s="278">
        <v>35</v>
      </c>
      <c r="U611" s="278">
        <v>41</v>
      </c>
      <c r="V611" s="278">
        <v>47</v>
      </c>
      <c r="W611" s="278">
        <v>51</v>
      </c>
      <c r="X611" s="278">
        <v>64</v>
      </c>
      <c r="Y611" s="278">
        <v>56</v>
      </c>
      <c r="Z611" s="278">
        <v>56</v>
      </c>
      <c r="AA611" s="278">
        <v>60</v>
      </c>
      <c r="AB611" s="278">
        <v>60</v>
      </c>
      <c r="AC611" s="278">
        <v>62</v>
      </c>
      <c r="AD611" s="278">
        <v>63</v>
      </c>
      <c r="AE611" s="278">
        <v>48</v>
      </c>
      <c r="AF611" s="278">
        <v>69</v>
      </c>
      <c r="AG611" s="278">
        <v>72</v>
      </c>
      <c r="AH611" s="278">
        <v>74</v>
      </c>
      <c r="AI611" s="2204">
        <v>78</v>
      </c>
      <c r="AJ611" s="2199">
        <f t="shared" si="284"/>
        <v>86.294249605267268</v>
      </c>
      <c r="AK611" s="278">
        <f t="shared" si="284"/>
        <v>91.706865564335672</v>
      </c>
      <c r="AL611" s="278">
        <f t="shared" si="284"/>
        <v>98.52720835304612</v>
      </c>
      <c r="AM611" s="278">
        <f t="shared" si="284"/>
        <v>106.52204914669041</v>
      </c>
      <c r="AN611" s="278">
        <f t="shared" si="285"/>
        <v>114.27108068983013</v>
      </c>
      <c r="AO611" s="278">
        <f t="shared" si="285"/>
        <v>122.96560179371232</v>
      </c>
      <c r="AP611" s="1794">
        <f t="shared" si="286"/>
        <v>132.39198428211006</v>
      </c>
      <c r="AQ611" s="1794">
        <f t="shared" si="287"/>
        <v>142.34306428511678</v>
      </c>
      <c r="AR611" s="1794">
        <f t="shared" si="288"/>
        <v>153.15683184202916</v>
      </c>
      <c r="AS611" s="1794">
        <f t="shared" si="289"/>
        <v>164.78614307836435</v>
      </c>
      <c r="AT611" s="1794">
        <f t="shared" si="290"/>
        <v>177.25849077540391</v>
      </c>
      <c r="AU611" s="1883"/>
      <c r="AV611" s="1883"/>
      <c r="AW611" s="1883"/>
      <c r="AX611" s="1883"/>
      <c r="AY611" s="1883"/>
    </row>
    <row r="612" spans="2:53" ht="16.75" thickBot="1">
      <c r="C612" s="293"/>
      <c r="D612" s="454" t="s">
        <v>35</v>
      </c>
      <c r="E612" s="3021">
        <v>0</v>
      </c>
      <c r="F612" s="2946">
        <f>+E612*AH612</f>
        <v>0</v>
      </c>
      <c r="G612" s="119"/>
      <c r="H612" s="119"/>
      <c r="I612" s="119"/>
      <c r="J612" s="279">
        <v>80</v>
      </c>
      <c r="K612" s="279">
        <v>83</v>
      </c>
      <c r="L612" s="279">
        <v>91</v>
      </c>
      <c r="M612" s="279">
        <v>94</v>
      </c>
      <c r="N612" s="279">
        <v>101</v>
      </c>
      <c r="O612" s="279">
        <v>122</v>
      </c>
      <c r="P612" s="279">
        <v>133</v>
      </c>
      <c r="Q612" s="279">
        <v>342</v>
      </c>
      <c r="R612" s="279">
        <v>392</v>
      </c>
      <c r="S612" s="279">
        <v>503</v>
      </c>
      <c r="T612" s="279">
        <v>510</v>
      </c>
      <c r="U612" s="279">
        <v>553</v>
      </c>
      <c r="V612" s="279">
        <v>686</v>
      </c>
      <c r="W612" s="279">
        <v>785</v>
      </c>
      <c r="X612" s="279">
        <v>1394</v>
      </c>
      <c r="Y612" s="279">
        <v>955</v>
      </c>
      <c r="Z612" s="278">
        <v>1103</v>
      </c>
      <c r="AA612" s="278">
        <v>1156</v>
      </c>
      <c r="AB612" s="278">
        <v>1043</v>
      </c>
      <c r="AC612" s="278">
        <v>1089</v>
      </c>
      <c r="AD612" s="278">
        <v>1445</v>
      </c>
      <c r="AE612" s="278">
        <v>1027</v>
      </c>
      <c r="AF612" s="278">
        <v>1422</v>
      </c>
      <c r="AG612" s="278">
        <v>1887</v>
      </c>
      <c r="AH612" s="278">
        <v>2039</v>
      </c>
      <c r="AI612" s="2204">
        <v>2199</v>
      </c>
      <c r="AJ612" s="2199">
        <f>AI612*(1+AJ567)</f>
        <v>2470.1725983225515</v>
      </c>
      <c r="AK612" s="278">
        <f>AJ612*(1+AK567)</f>
        <v>2621.9178654669868</v>
      </c>
      <c r="AL612" s="278">
        <f>AK612*(1+AL567)</f>
        <v>2788.1412128000707</v>
      </c>
      <c r="AM612" s="278">
        <f>AL612*(1+AM567)</f>
        <v>2964.9027244145491</v>
      </c>
      <c r="AN612" s="278">
        <f t="shared" si="285"/>
        <v>3152.8704948242403</v>
      </c>
      <c r="AO612" s="1794">
        <f t="shared" si="285"/>
        <v>3352.7549741437547</v>
      </c>
      <c r="AP612" s="1794">
        <f t="shared" si="286"/>
        <v>3565.3116533326966</v>
      </c>
      <c r="AQ612" s="1794">
        <f t="shared" si="287"/>
        <v>3791.34391967795</v>
      </c>
      <c r="AR612" s="1794">
        <f t="shared" si="288"/>
        <v>4031.7060933067405</v>
      </c>
      <c r="AS612" s="1794">
        <f t="shared" si="289"/>
        <v>4287.3066562073918</v>
      </c>
      <c r="AT612" s="1794">
        <f t="shared" si="290"/>
        <v>4559.1116859623089</v>
      </c>
      <c r="AU612" s="1883"/>
      <c r="AV612" s="1883"/>
      <c r="AW612" s="1883"/>
      <c r="AX612" s="1883"/>
      <c r="AY612" s="1883"/>
    </row>
    <row r="613" spans="2:53" ht="16.75" thickBot="1">
      <c r="C613" s="293"/>
      <c r="D613" s="104" t="s">
        <v>130</v>
      </c>
      <c r="E613" s="3020">
        <f>+F613/AH613</f>
        <v>0.22405354528341351</v>
      </c>
      <c r="F613" s="2947">
        <f>+SUM(F614:F628)</f>
        <v>2142.4</v>
      </c>
      <c r="G613" s="113"/>
      <c r="H613" s="113"/>
      <c r="I613" s="113"/>
      <c r="J613" s="276">
        <v>739</v>
      </c>
      <c r="K613" s="276">
        <v>823</v>
      </c>
      <c r="L613" s="276">
        <v>879</v>
      </c>
      <c r="M613" s="276">
        <v>981</v>
      </c>
      <c r="N613" s="276">
        <v>1049</v>
      </c>
      <c r="O613" s="276">
        <v>1156</v>
      </c>
      <c r="P613" s="276">
        <v>1294</v>
      </c>
      <c r="Q613" s="276">
        <v>2460</v>
      </c>
      <c r="R613" s="276">
        <v>2761</v>
      </c>
      <c r="S613" s="276">
        <v>3142</v>
      </c>
      <c r="T613" s="276">
        <v>3337</v>
      </c>
      <c r="U613" s="276">
        <v>3644</v>
      </c>
      <c r="V613" s="276">
        <v>3936</v>
      </c>
      <c r="W613" s="276">
        <v>4392</v>
      </c>
      <c r="X613" s="276">
        <v>7134</v>
      </c>
      <c r="Y613" s="276">
        <v>4944</v>
      </c>
      <c r="Z613" s="276">
        <v>5460</v>
      </c>
      <c r="AA613" s="276">
        <v>5850</v>
      </c>
      <c r="AB613" s="276">
        <v>6177</v>
      </c>
      <c r="AC613" s="276">
        <v>6776</v>
      </c>
      <c r="AD613" s="276">
        <v>7337</v>
      </c>
      <c r="AE613" s="276">
        <v>5114</v>
      </c>
      <c r="AF613" s="276">
        <v>7768</v>
      </c>
      <c r="AG613" s="276">
        <v>8567</v>
      </c>
      <c r="AH613" s="276">
        <v>9562</v>
      </c>
      <c r="AI613" s="2203">
        <v>10395</v>
      </c>
      <c r="AJ613" s="2198">
        <f t="shared" ref="AJ613:AT613" si="291">AJ614+AJ618</f>
        <v>11187.332557711678</v>
      </c>
      <c r="AK613" s="276">
        <f t="shared" si="291"/>
        <v>12115.865848801775</v>
      </c>
      <c r="AL613" s="276">
        <f t="shared" si="291"/>
        <v>13292.638875959416</v>
      </c>
      <c r="AM613" s="276">
        <f t="shared" si="291"/>
        <v>14567.742009866875</v>
      </c>
      <c r="AN613" s="276">
        <f t="shared" si="291"/>
        <v>15861.906705438152</v>
      </c>
      <c r="AO613" s="276">
        <f t="shared" si="291"/>
        <v>17268.719964786262</v>
      </c>
      <c r="AP613" s="1796">
        <f t="shared" si="291"/>
        <v>18986.225809121195</v>
      </c>
      <c r="AQ613" s="1796">
        <f t="shared" si="291"/>
        <v>20877.90382400238</v>
      </c>
      <c r="AR613" s="1796">
        <f>AR614+AR618</f>
        <v>23013.002033073524</v>
      </c>
      <c r="AS613" s="1796">
        <f t="shared" si="291"/>
        <v>25404.400406069763</v>
      </c>
      <c r="AT613" s="1796">
        <f t="shared" si="291"/>
        <v>28194.216699284065</v>
      </c>
      <c r="AU613" s="1883"/>
      <c r="AV613" s="1883"/>
      <c r="AW613" s="1883"/>
      <c r="AX613" s="1883"/>
      <c r="AY613" s="1883"/>
      <c r="AZ613" s="1882"/>
      <c r="BA613" s="1882"/>
    </row>
    <row r="614" spans="2:53">
      <c r="C614" s="293"/>
      <c r="D614" s="122" t="s">
        <v>106</v>
      </c>
      <c r="E614" s="3024"/>
      <c r="F614" s="2209"/>
      <c r="G614" s="119"/>
      <c r="H614" s="119"/>
      <c r="I614" s="119"/>
      <c r="J614" s="278">
        <v>154</v>
      </c>
      <c r="K614" s="278">
        <v>175</v>
      </c>
      <c r="L614" s="278">
        <v>190</v>
      </c>
      <c r="M614" s="278">
        <v>218</v>
      </c>
      <c r="N614" s="278">
        <v>225</v>
      </c>
      <c r="O614" s="278">
        <v>256</v>
      </c>
      <c r="P614" s="278">
        <v>293</v>
      </c>
      <c r="Q614" s="278">
        <v>672</v>
      </c>
      <c r="R614" s="278">
        <v>773</v>
      </c>
      <c r="S614" s="278">
        <v>931</v>
      </c>
      <c r="T614" s="278">
        <v>982</v>
      </c>
      <c r="U614" s="278">
        <v>1071</v>
      </c>
      <c r="V614" s="278">
        <v>1144</v>
      </c>
      <c r="W614" s="278">
        <v>1315</v>
      </c>
      <c r="X614" s="278">
        <v>2401</v>
      </c>
      <c r="Y614" s="278">
        <v>1486</v>
      </c>
      <c r="Z614" s="278">
        <v>1657</v>
      </c>
      <c r="AA614" s="278">
        <v>1769</v>
      </c>
      <c r="AB614" s="278">
        <v>1886</v>
      </c>
      <c r="AC614" s="278">
        <v>2227</v>
      </c>
      <c r="AD614" s="278">
        <v>2542</v>
      </c>
      <c r="AE614" s="278">
        <v>1662</v>
      </c>
      <c r="AF614" s="278">
        <v>2565</v>
      </c>
      <c r="AG614" s="278">
        <v>2905</v>
      </c>
      <c r="AH614" s="278">
        <v>3306</v>
      </c>
      <c r="AI614" s="2204">
        <v>3594</v>
      </c>
      <c r="AJ614" s="2199">
        <f t="shared" ref="AJ614:AT614" si="292">SUM(AJ615:AJ617)</f>
        <v>4047.6045934703116</v>
      </c>
      <c r="AK614" s="278">
        <f t="shared" si="292"/>
        <v>4343.4419850718677</v>
      </c>
      <c r="AL614" s="278">
        <f t="shared" si="292"/>
        <v>4716.497162482684</v>
      </c>
      <c r="AM614" s="278">
        <f t="shared" si="292"/>
        <v>5134.9720008437635</v>
      </c>
      <c r="AN614" s="278">
        <f t="shared" si="292"/>
        <v>5448.7462494640249</v>
      </c>
      <c r="AO614" s="278">
        <f t="shared" si="292"/>
        <v>5813.5764737570971</v>
      </c>
      <c r="AP614" s="1794">
        <f t="shared" si="292"/>
        <v>6221.6625419830925</v>
      </c>
      <c r="AQ614" s="1794">
        <f t="shared" si="292"/>
        <v>6594.4476098020241</v>
      </c>
      <c r="AR614" s="1794">
        <f t="shared" si="292"/>
        <v>7010.1537524604537</v>
      </c>
      <c r="AS614" s="1794">
        <f t="shared" si="292"/>
        <v>7424.0181727586096</v>
      </c>
      <c r="AT614" s="1794">
        <f t="shared" si="292"/>
        <v>7913.2456075755617</v>
      </c>
      <c r="AU614" s="1882"/>
      <c r="AV614" s="1882"/>
      <c r="AW614" s="1882"/>
      <c r="AX614" s="1882"/>
      <c r="AY614" s="1882"/>
    </row>
    <row r="615" spans="2:53">
      <c r="B615" s="295" t="s">
        <v>30</v>
      </c>
      <c r="C615" s="293"/>
      <c r="D615" s="154" t="s">
        <v>107</v>
      </c>
      <c r="E615" s="3024"/>
      <c r="F615" s="2946">
        <f>+E615*AH615</f>
        <v>0</v>
      </c>
      <c r="G615" s="119"/>
      <c r="H615" s="119"/>
      <c r="I615" s="119"/>
      <c r="J615" s="277">
        <v>8</v>
      </c>
      <c r="K615" s="277">
        <v>9</v>
      </c>
      <c r="L615" s="277">
        <v>10</v>
      </c>
      <c r="M615" s="277">
        <v>11</v>
      </c>
      <c r="N615" s="277">
        <v>11</v>
      </c>
      <c r="O615" s="277">
        <v>13</v>
      </c>
      <c r="P615" s="277">
        <v>14</v>
      </c>
      <c r="Q615" s="277">
        <v>23</v>
      </c>
      <c r="R615" s="277">
        <v>27</v>
      </c>
      <c r="S615" s="277">
        <v>33</v>
      </c>
      <c r="T615" s="277">
        <v>32</v>
      </c>
      <c r="U615" s="277">
        <v>37</v>
      </c>
      <c r="V615" s="277">
        <v>40</v>
      </c>
      <c r="W615" s="277">
        <v>42</v>
      </c>
      <c r="X615" s="277">
        <v>56</v>
      </c>
      <c r="Y615" s="277">
        <v>48</v>
      </c>
      <c r="Z615" s="277">
        <v>48</v>
      </c>
      <c r="AA615" s="277">
        <v>52</v>
      </c>
      <c r="AB615" s="277">
        <v>56</v>
      </c>
      <c r="AC615" s="277">
        <v>59</v>
      </c>
      <c r="AD615" s="277">
        <v>63</v>
      </c>
      <c r="AE615" s="277">
        <v>46</v>
      </c>
      <c r="AF615" s="277">
        <v>87</v>
      </c>
      <c r="AG615" s="277">
        <v>98</v>
      </c>
      <c r="AH615" s="277">
        <v>113</v>
      </c>
      <c r="AI615" s="2253">
        <v>129</v>
      </c>
      <c r="AJ615" s="1107">
        <f t="shared" ref="AJ615:AM616" si="293">AI615*(1+AJ570)</f>
        <v>159.81906575002773</v>
      </c>
      <c r="AK615" s="277">
        <f t="shared" si="293"/>
        <v>186.18914818606498</v>
      </c>
      <c r="AL615" s="277">
        <f t="shared" si="293"/>
        <v>218.70527848790178</v>
      </c>
      <c r="AM615" s="277">
        <f t="shared" si="293"/>
        <v>258.07990072226642</v>
      </c>
      <c r="AN615" s="277">
        <f t="shared" ref="AN615:AO617" si="294">AM615*(1+AN570)</f>
        <v>307.02362337136191</v>
      </c>
      <c r="AO615" s="277">
        <f t="shared" si="294"/>
        <v>361.46816940093942</v>
      </c>
      <c r="AP615" s="1797">
        <f t="shared" ref="AP615:AT617" si="295">AO615*(1+AP570)</f>
        <v>426.68165038541895</v>
      </c>
      <c r="AQ615" s="1797">
        <f t="shared" si="295"/>
        <v>504.27623041208756</v>
      </c>
      <c r="AR615" s="1797">
        <f t="shared" si="295"/>
        <v>596.21139386862171</v>
      </c>
      <c r="AS615" s="1797">
        <f t="shared" si="295"/>
        <v>703.814131472231</v>
      </c>
      <c r="AT615" s="1797">
        <f t="shared" si="295"/>
        <v>831.39052700655975</v>
      </c>
      <c r="AU615" s="1882"/>
      <c r="AV615" s="1882"/>
      <c r="AW615" s="1882"/>
      <c r="AX615" s="1882"/>
      <c r="AY615" s="1882"/>
    </row>
    <row r="616" spans="2:53">
      <c r="B616" s="295" t="s">
        <v>30</v>
      </c>
      <c r="C616" s="293"/>
      <c r="D616" s="154" t="s">
        <v>36</v>
      </c>
      <c r="E616" s="3021">
        <v>0.3</v>
      </c>
      <c r="F616" s="2946">
        <f t="shared" ref="F616:F630" si="296">+E616*AH616</f>
        <v>492.9</v>
      </c>
      <c r="G616" s="119"/>
      <c r="H616" s="119"/>
      <c r="I616" s="119"/>
      <c r="J616" s="277">
        <v>106</v>
      </c>
      <c r="K616" s="277">
        <v>120</v>
      </c>
      <c r="L616" s="277">
        <v>127</v>
      </c>
      <c r="M616" s="277">
        <v>145</v>
      </c>
      <c r="N616" s="277">
        <v>148</v>
      </c>
      <c r="O616" s="277">
        <v>166</v>
      </c>
      <c r="P616" s="277">
        <v>188</v>
      </c>
      <c r="Q616" s="277">
        <v>343</v>
      </c>
      <c r="R616" s="277">
        <v>395</v>
      </c>
      <c r="S616" s="277">
        <v>471</v>
      </c>
      <c r="T616" s="277">
        <v>490</v>
      </c>
      <c r="U616" s="277">
        <v>534</v>
      </c>
      <c r="V616" s="277">
        <v>576</v>
      </c>
      <c r="W616" s="277">
        <v>658</v>
      </c>
      <c r="X616" s="277">
        <v>1220</v>
      </c>
      <c r="Y616" s="277">
        <v>754</v>
      </c>
      <c r="Z616" s="277">
        <v>850</v>
      </c>
      <c r="AA616" s="277">
        <v>902</v>
      </c>
      <c r="AB616" s="277">
        <v>919</v>
      </c>
      <c r="AC616" s="277">
        <v>1086</v>
      </c>
      <c r="AD616" s="277">
        <v>1257</v>
      </c>
      <c r="AE616" s="277">
        <v>901</v>
      </c>
      <c r="AF616" s="277">
        <v>1336</v>
      </c>
      <c r="AG616" s="277">
        <v>1447</v>
      </c>
      <c r="AH616" s="277">
        <v>1643</v>
      </c>
      <c r="AI616" s="2253">
        <v>1822</v>
      </c>
      <c r="AJ616" s="1107">
        <f t="shared" si="293"/>
        <v>2026.8144505616224</v>
      </c>
      <c r="AK616" s="277">
        <f t="shared" si="293"/>
        <v>2218.2016535666862</v>
      </c>
      <c r="AL616" s="277">
        <f t="shared" si="293"/>
        <v>2473.4331993000387</v>
      </c>
      <c r="AM616" s="277">
        <f t="shared" si="293"/>
        <v>2685.0882348034429</v>
      </c>
      <c r="AN616" s="277">
        <f t="shared" si="294"/>
        <v>2863.2767675427908</v>
      </c>
      <c r="AO616" s="277">
        <f t="shared" si="294"/>
        <v>3093.1020566851148</v>
      </c>
      <c r="AP616" s="1797">
        <f t="shared" si="295"/>
        <v>3305.6121957820969</v>
      </c>
      <c r="AQ616" s="1797">
        <f t="shared" si="295"/>
        <v>3502.3721700397746</v>
      </c>
      <c r="AR616" s="1797">
        <f t="shared" si="295"/>
        <v>3717.8888209122042</v>
      </c>
      <c r="AS616" s="1797">
        <f t="shared" si="295"/>
        <v>3931.5743771062025</v>
      </c>
      <c r="AT616" s="1797">
        <f t="shared" si="295"/>
        <v>4177.1671587798419</v>
      </c>
      <c r="AU616" s="1882"/>
      <c r="AV616" s="1882"/>
      <c r="AW616" s="1882"/>
      <c r="AX616" s="1882"/>
      <c r="AY616" s="1882"/>
    </row>
    <row r="617" spans="2:53">
      <c r="B617" s="295" t="s">
        <v>30</v>
      </c>
      <c r="C617" s="293"/>
      <c r="D617" s="154" t="s">
        <v>108</v>
      </c>
      <c r="E617" s="3022">
        <v>0.5</v>
      </c>
      <c r="F617" s="2946">
        <f t="shared" si="296"/>
        <v>775</v>
      </c>
      <c r="G617" s="126"/>
      <c r="H617" s="126"/>
      <c r="I617" s="126"/>
      <c r="J617" s="277">
        <v>40</v>
      </c>
      <c r="K617" s="277">
        <v>46</v>
      </c>
      <c r="L617" s="277">
        <v>53</v>
      </c>
      <c r="M617" s="277">
        <v>62</v>
      </c>
      <c r="N617" s="277">
        <v>66</v>
      </c>
      <c r="O617" s="277">
        <v>78</v>
      </c>
      <c r="P617" s="277">
        <v>91</v>
      </c>
      <c r="Q617" s="277">
        <v>308</v>
      </c>
      <c r="R617" s="277">
        <v>354</v>
      </c>
      <c r="S617" s="277">
        <v>437</v>
      </c>
      <c r="T617" s="277">
        <v>478</v>
      </c>
      <c r="U617" s="277">
        <v>520</v>
      </c>
      <c r="V617" s="277">
        <v>544</v>
      </c>
      <c r="W617" s="277">
        <v>646</v>
      </c>
      <c r="X617" s="277">
        <v>1189</v>
      </c>
      <c r="Y617" s="277">
        <v>718</v>
      </c>
      <c r="Z617" s="277">
        <v>788</v>
      </c>
      <c r="AA617" s="277">
        <v>850</v>
      </c>
      <c r="AB617" s="277">
        <v>979</v>
      </c>
      <c r="AC617" s="277">
        <v>1172</v>
      </c>
      <c r="AD617" s="277">
        <v>1316</v>
      </c>
      <c r="AE617" s="277">
        <v>707</v>
      </c>
      <c r="AF617" s="277">
        <v>1143</v>
      </c>
      <c r="AG617" s="277">
        <v>1358</v>
      </c>
      <c r="AH617" s="277">
        <v>1550</v>
      </c>
      <c r="AI617" s="2253">
        <v>1644</v>
      </c>
      <c r="AJ617" s="1107">
        <f>AI617*(1+AJ572)</f>
        <v>1860.9710771586617</v>
      </c>
      <c r="AK617" s="277">
        <f>AJ617*(1+AK572)</f>
        <v>1939.0511833191163</v>
      </c>
      <c r="AL617" s="277">
        <f>AK617*(1+AL572)</f>
        <v>2024.3586846947435</v>
      </c>
      <c r="AM617" s="277">
        <f>AL617*(1+AM572)</f>
        <v>2191.8038653180538</v>
      </c>
      <c r="AN617" s="277">
        <f t="shared" si="294"/>
        <v>2278.4458585498724</v>
      </c>
      <c r="AO617" s="277">
        <f t="shared" si="294"/>
        <v>2359.0062476710427</v>
      </c>
      <c r="AP617" s="1797">
        <f t="shared" si="295"/>
        <v>2489.3686958155768</v>
      </c>
      <c r="AQ617" s="1797">
        <f t="shared" si="295"/>
        <v>2587.7992093501616</v>
      </c>
      <c r="AR617" s="1797">
        <f t="shared" si="295"/>
        <v>2696.0535376796274</v>
      </c>
      <c r="AS617" s="1797">
        <f t="shared" si="295"/>
        <v>2788.629664180176</v>
      </c>
      <c r="AT617" s="1797">
        <f t="shared" si="295"/>
        <v>2904.6879217891596</v>
      </c>
      <c r="AU617" s="1882"/>
      <c r="AV617" s="1882"/>
      <c r="AW617" s="1882"/>
      <c r="AX617" s="1882"/>
      <c r="AY617" s="1882"/>
    </row>
    <row r="618" spans="2:53" ht="12.75" customHeight="1">
      <c r="C618" s="293"/>
      <c r="D618" s="122" t="s">
        <v>133</v>
      </c>
      <c r="E618" s="3022"/>
      <c r="F618" s="2946">
        <f t="shared" si="296"/>
        <v>0</v>
      </c>
      <c r="G618" s="121"/>
      <c r="H618" s="121"/>
      <c r="I618" s="121"/>
      <c r="J618" s="278">
        <v>662</v>
      </c>
      <c r="K618" s="278">
        <v>745</v>
      </c>
      <c r="L618" s="278">
        <v>782</v>
      </c>
      <c r="M618" s="278">
        <v>849</v>
      </c>
      <c r="N618" s="278">
        <v>929</v>
      </c>
      <c r="O618" s="278">
        <v>993</v>
      </c>
      <c r="P618" s="278">
        <v>1106</v>
      </c>
      <c r="Q618" s="278">
        <v>1803</v>
      </c>
      <c r="R618" s="278">
        <v>1997</v>
      </c>
      <c r="S618" s="278">
        <v>2194</v>
      </c>
      <c r="T618" s="278">
        <v>2342</v>
      </c>
      <c r="U618" s="278">
        <v>2560</v>
      </c>
      <c r="V618" s="278">
        <v>2783</v>
      </c>
      <c r="W618" s="278">
        <v>3061</v>
      </c>
      <c r="X618" s="278">
        <v>4748</v>
      </c>
      <c r="Y618" s="278">
        <v>3439</v>
      </c>
      <c r="Z618" s="278">
        <v>3785</v>
      </c>
      <c r="AA618" s="278">
        <v>4062</v>
      </c>
      <c r="AB618" s="278">
        <v>4273</v>
      </c>
      <c r="AC618" s="278">
        <v>4554</v>
      </c>
      <c r="AD618" s="278">
        <v>4822</v>
      </c>
      <c r="AE618" s="278">
        <v>3453</v>
      </c>
      <c r="AF618" s="278">
        <v>5203</v>
      </c>
      <c r="AG618" s="278">
        <v>5662</v>
      </c>
      <c r="AH618" s="278">
        <v>6258</v>
      </c>
      <c r="AI618" s="2204">
        <v>6802</v>
      </c>
      <c r="AJ618" s="2199">
        <f t="shared" ref="AJ618:AT618" si="297">SUM(AJ619:AJ628)</f>
        <v>7139.727964241365</v>
      </c>
      <c r="AK618" s="278">
        <f t="shared" si="297"/>
        <v>7772.4238637299068</v>
      </c>
      <c r="AL618" s="278">
        <f t="shared" si="297"/>
        <v>8576.1417134767307</v>
      </c>
      <c r="AM618" s="278">
        <f t="shared" si="297"/>
        <v>9432.7700090231119</v>
      </c>
      <c r="AN618" s="278">
        <f t="shared" si="297"/>
        <v>10413.160455974126</v>
      </c>
      <c r="AO618" s="278">
        <f t="shared" si="297"/>
        <v>11455.143491029165</v>
      </c>
      <c r="AP618" s="1794">
        <f t="shared" si="297"/>
        <v>12764.563267138103</v>
      </c>
      <c r="AQ618" s="1794">
        <f t="shared" si="297"/>
        <v>14283.456214200356</v>
      </c>
      <c r="AR618" s="1794">
        <f t="shared" si="297"/>
        <v>16002.848280613071</v>
      </c>
      <c r="AS618" s="1794">
        <f t="shared" si="297"/>
        <v>17980.382233311153</v>
      </c>
      <c r="AT618" s="1794">
        <f t="shared" si="297"/>
        <v>20280.971091708503</v>
      </c>
      <c r="AU618" s="1883"/>
      <c r="AV618" s="1883"/>
      <c r="AW618" s="1883"/>
      <c r="AX618" s="1883"/>
      <c r="AY618" s="1883"/>
    </row>
    <row r="619" spans="2:53">
      <c r="B619" s="295" t="s">
        <v>30</v>
      </c>
      <c r="C619" s="293"/>
      <c r="D619" s="129" t="s">
        <v>120</v>
      </c>
      <c r="E619" s="3022">
        <v>0.5</v>
      </c>
      <c r="F619" s="2946">
        <f t="shared" si="296"/>
        <v>306</v>
      </c>
      <c r="G619" s="121"/>
      <c r="H619" s="121"/>
      <c r="I619" s="121"/>
      <c r="J619" s="277">
        <v>15</v>
      </c>
      <c r="K619" s="277">
        <v>16</v>
      </c>
      <c r="L619" s="277">
        <v>16</v>
      </c>
      <c r="M619" s="277">
        <v>24</v>
      </c>
      <c r="N619" s="277">
        <v>36</v>
      </c>
      <c r="O619" s="277">
        <v>45</v>
      </c>
      <c r="P619" s="277">
        <v>62</v>
      </c>
      <c r="Q619" s="277">
        <v>279</v>
      </c>
      <c r="R619" s="277">
        <v>289</v>
      </c>
      <c r="S619" s="277">
        <v>304</v>
      </c>
      <c r="T619" s="277">
        <v>286</v>
      </c>
      <c r="U619" s="277">
        <v>309</v>
      </c>
      <c r="V619" s="277">
        <v>321</v>
      </c>
      <c r="W619" s="277">
        <v>340</v>
      </c>
      <c r="X619" s="277">
        <v>520</v>
      </c>
      <c r="Y619" s="277">
        <v>394</v>
      </c>
      <c r="Z619" s="277">
        <v>431</v>
      </c>
      <c r="AA619" s="277">
        <v>480</v>
      </c>
      <c r="AB619" s="277">
        <v>515</v>
      </c>
      <c r="AC619" s="277">
        <v>553</v>
      </c>
      <c r="AD619" s="277">
        <v>606</v>
      </c>
      <c r="AE619" s="277">
        <v>216</v>
      </c>
      <c r="AF619" s="277">
        <v>437</v>
      </c>
      <c r="AG619" s="277">
        <v>534</v>
      </c>
      <c r="AH619" s="277">
        <v>612</v>
      </c>
      <c r="AI619" s="2253">
        <v>681</v>
      </c>
      <c r="AJ619" s="1107">
        <f t="shared" ref="AJ619:AO628" si="298">AI619*(1+AJ574)</f>
        <v>791.2770815126222</v>
      </c>
      <c r="AK619" s="277">
        <f t="shared" si="298"/>
        <v>818.79198608358593</v>
      </c>
      <c r="AL619" s="277">
        <f t="shared" si="298"/>
        <v>905.7990823936949</v>
      </c>
      <c r="AM619" s="277">
        <f t="shared" si="298"/>
        <v>983.53529242215291</v>
      </c>
      <c r="AN619" s="277">
        <f>AM619*(1+AN574)</f>
        <v>1046.6556170726308</v>
      </c>
      <c r="AO619" s="277">
        <f>AN619*(1+AO574)</f>
        <v>1064.8424218880357</v>
      </c>
      <c r="AP619" s="1797">
        <f t="shared" ref="AP619:AT626" si="299">AO619*(1+AP574)</f>
        <v>1136.5683018160767</v>
      </c>
      <c r="AQ619" s="1797">
        <f t="shared" si="299"/>
        <v>1204.5579405091244</v>
      </c>
      <c r="AR619" s="1797">
        <f t="shared" si="299"/>
        <v>1275.1874073563588</v>
      </c>
      <c r="AS619" s="1797">
        <f t="shared" si="299"/>
        <v>1368.0744029845259</v>
      </c>
      <c r="AT619" s="1797">
        <f>AS619*(1+AT574)</f>
        <v>1493.142684797017</v>
      </c>
      <c r="AU619" s="1882"/>
      <c r="AV619" s="1882"/>
      <c r="AW619" s="1882"/>
      <c r="AX619" s="1882"/>
      <c r="AY619" s="1882"/>
    </row>
    <row r="620" spans="2:53">
      <c r="C620" s="293"/>
      <c r="D620" s="129" t="s">
        <v>121</v>
      </c>
      <c r="E620" s="3021">
        <v>0.3</v>
      </c>
      <c r="F620" s="2946">
        <f t="shared" si="296"/>
        <v>108</v>
      </c>
      <c r="G620" s="130"/>
      <c r="H620" s="130"/>
      <c r="I620" s="130"/>
      <c r="J620" s="277">
        <v>14</v>
      </c>
      <c r="K620" s="277">
        <v>16</v>
      </c>
      <c r="L620" s="277">
        <v>18</v>
      </c>
      <c r="M620" s="277">
        <v>21</v>
      </c>
      <c r="N620" s="277">
        <v>23</v>
      </c>
      <c r="O620" s="277">
        <v>27</v>
      </c>
      <c r="P620" s="277">
        <v>32</v>
      </c>
      <c r="Q620" s="277">
        <v>32</v>
      </c>
      <c r="R620" s="277">
        <v>38</v>
      </c>
      <c r="S620" s="277">
        <v>46</v>
      </c>
      <c r="T620" s="277">
        <v>52</v>
      </c>
      <c r="U620" s="277">
        <v>55</v>
      </c>
      <c r="V620" s="277">
        <v>57</v>
      </c>
      <c r="W620" s="277">
        <v>76</v>
      </c>
      <c r="X620" s="277">
        <v>164</v>
      </c>
      <c r="Y620" s="277">
        <v>81</v>
      </c>
      <c r="Z620" s="277">
        <v>96</v>
      </c>
      <c r="AA620" s="277">
        <v>104</v>
      </c>
      <c r="AB620" s="277">
        <v>115</v>
      </c>
      <c r="AC620" s="277">
        <v>130</v>
      </c>
      <c r="AD620" s="277">
        <v>143</v>
      </c>
      <c r="AE620" s="277">
        <v>144</v>
      </c>
      <c r="AF620" s="277">
        <v>225</v>
      </c>
      <c r="AG620" s="277">
        <v>272</v>
      </c>
      <c r="AH620" s="277">
        <v>360</v>
      </c>
      <c r="AI620" s="2253">
        <v>433</v>
      </c>
      <c r="AJ620" s="1107">
        <f t="shared" si="298"/>
        <v>455.75783338507233</v>
      </c>
      <c r="AK620" s="277">
        <f t="shared" si="298"/>
        <v>603.61662165961911</v>
      </c>
      <c r="AL620" s="277">
        <f t="shared" si="298"/>
        <v>722.49206199750176</v>
      </c>
      <c r="AM620" s="277">
        <f t="shared" si="298"/>
        <v>885.64697433727599</v>
      </c>
      <c r="AN620" s="277">
        <f t="shared" ref="AN620:AN625" si="300">AM620*(1+AN575)</f>
        <v>1057.6172431682235</v>
      </c>
      <c r="AO620" s="277">
        <f t="shared" ref="AO620:AO625" si="301">AN620*(1+AO575)</f>
        <v>1269.0728989325912</v>
      </c>
      <c r="AP620" s="1797">
        <f t="shared" si="299"/>
        <v>1558.7503957627669</v>
      </c>
      <c r="AQ620" s="1797">
        <f t="shared" si="299"/>
        <v>1884.5700240114415</v>
      </c>
      <c r="AR620" s="1797">
        <f t="shared" si="299"/>
        <v>2283.0504396085284</v>
      </c>
      <c r="AS620" s="1797">
        <f t="shared" si="299"/>
        <v>2759.2215363691798</v>
      </c>
      <c r="AT620" s="1797">
        <f t="shared" si="299"/>
        <v>3342.6494510237453</v>
      </c>
      <c r="AU620" s="1882"/>
      <c r="AV620" s="1882"/>
      <c r="AW620" s="1882"/>
      <c r="AX620" s="1882"/>
      <c r="AY620" s="1882"/>
    </row>
    <row r="621" spans="2:53">
      <c r="B621" s="297"/>
      <c r="C621" s="297"/>
      <c r="D621" s="129" t="s">
        <v>122</v>
      </c>
      <c r="E621" s="3021">
        <f>+E620</f>
        <v>0.3</v>
      </c>
      <c r="F621" s="2946">
        <f t="shared" si="296"/>
        <v>133.79999999999998</v>
      </c>
      <c r="G621" s="121"/>
      <c r="H621" s="121"/>
      <c r="I621" s="121"/>
      <c r="J621" s="277">
        <v>41</v>
      </c>
      <c r="K621" s="277">
        <v>50</v>
      </c>
      <c r="L621" s="277">
        <v>53</v>
      </c>
      <c r="M621" s="277">
        <v>51</v>
      </c>
      <c r="N621" s="277">
        <v>62</v>
      </c>
      <c r="O621" s="277">
        <v>67</v>
      </c>
      <c r="P621" s="277">
        <v>68</v>
      </c>
      <c r="Q621" s="277">
        <v>126</v>
      </c>
      <c r="R621" s="277">
        <v>141</v>
      </c>
      <c r="S621" s="277">
        <v>143</v>
      </c>
      <c r="T621" s="277">
        <v>137</v>
      </c>
      <c r="U621" s="277">
        <v>170</v>
      </c>
      <c r="V621" s="277">
        <v>205</v>
      </c>
      <c r="W621" s="277">
        <v>230</v>
      </c>
      <c r="X621" s="277">
        <v>375</v>
      </c>
      <c r="Y621" s="277">
        <v>262</v>
      </c>
      <c r="Z621" s="277">
        <v>294</v>
      </c>
      <c r="AA621" s="277">
        <v>304</v>
      </c>
      <c r="AB621" s="277">
        <v>324</v>
      </c>
      <c r="AC621" s="277">
        <v>357</v>
      </c>
      <c r="AD621" s="277">
        <v>388</v>
      </c>
      <c r="AE621" s="277">
        <v>288</v>
      </c>
      <c r="AF621" s="277">
        <v>410</v>
      </c>
      <c r="AG621" s="277">
        <v>455</v>
      </c>
      <c r="AH621" s="277">
        <v>446</v>
      </c>
      <c r="AI621" s="2253">
        <v>498</v>
      </c>
      <c r="AJ621" s="1107">
        <f t="shared" si="298"/>
        <v>568.97540370373281</v>
      </c>
      <c r="AK621" s="277">
        <f t="shared" si="298"/>
        <v>618.63112428018815</v>
      </c>
      <c r="AL621" s="277">
        <f t="shared" si="298"/>
        <v>669.14309386644163</v>
      </c>
      <c r="AM621" s="277">
        <f t="shared" si="298"/>
        <v>740.74745846312862</v>
      </c>
      <c r="AN621" s="277">
        <f t="shared" si="300"/>
        <v>818.23951407262757</v>
      </c>
      <c r="AO621" s="277">
        <f t="shared" si="301"/>
        <v>896.08390456912616</v>
      </c>
      <c r="AP621" s="1797">
        <f t="shared" si="299"/>
        <v>983.09589228777133</v>
      </c>
      <c r="AQ621" s="1797">
        <f t="shared" si="299"/>
        <v>1082.3544906897323</v>
      </c>
      <c r="AR621" s="1797">
        <f t="shared" si="299"/>
        <v>1189.9994042029241</v>
      </c>
      <c r="AS621" s="1797">
        <f t="shared" si="299"/>
        <v>1306.8152970815656</v>
      </c>
      <c r="AT621" s="1797">
        <f t="shared" si="299"/>
        <v>1436.0877172181354</v>
      </c>
      <c r="AU621" s="1882"/>
      <c r="AV621" s="1882"/>
      <c r="AW621" s="1882"/>
      <c r="AX621" s="1882"/>
      <c r="AY621" s="1882"/>
    </row>
    <row r="622" spans="2:53">
      <c r="B622" s="297"/>
      <c r="C622" s="297"/>
      <c r="D622" s="129" t="s">
        <v>123</v>
      </c>
      <c r="E622" s="3021"/>
      <c r="F622" s="2946">
        <f t="shared" si="296"/>
        <v>0</v>
      </c>
      <c r="G622" s="119"/>
      <c r="H622" s="119"/>
      <c r="I622" s="119"/>
      <c r="J622" s="277">
        <v>234</v>
      </c>
      <c r="K622" s="277">
        <v>241</v>
      </c>
      <c r="L622" s="277">
        <v>249</v>
      </c>
      <c r="M622" s="277">
        <v>261</v>
      </c>
      <c r="N622" s="277">
        <v>275</v>
      </c>
      <c r="O622" s="277">
        <v>282</v>
      </c>
      <c r="P622" s="277">
        <v>305</v>
      </c>
      <c r="Q622" s="277">
        <v>620</v>
      </c>
      <c r="R622" s="277">
        <v>687</v>
      </c>
      <c r="S622" s="277">
        <v>794</v>
      </c>
      <c r="T622" s="277">
        <v>858</v>
      </c>
      <c r="U622" s="277">
        <v>867</v>
      </c>
      <c r="V622" s="277">
        <v>865</v>
      </c>
      <c r="W622" s="277">
        <v>862</v>
      </c>
      <c r="X622" s="277">
        <v>1164</v>
      </c>
      <c r="Y622" s="277">
        <v>918</v>
      </c>
      <c r="Z622" s="277">
        <v>959</v>
      </c>
      <c r="AA622" s="277">
        <v>1019</v>
      </c>
      <c r="AB622" s="277">
        <v>1090</v>
      </c>
      <c r="AC622" s="277">
        <v>1143</v>
      </c>
      <c r="AD622" s="277">
        <v>1187</v>
      </c>
      <c r="AE622" s="277">
        <v>896</v>
      </c>
      <c r="AF622" s="277">
        <v>1239</v>
      </c>
      <c r="AG622" s="277">
        <v>1257</v>
      </c>
      <c r="AH622" s="277">
        <v>1317</v>
      </c>
      <c r="AI622" s="2253">
        <v>1372</v>
      </c>
      <c r="AJ622" s="1107">
        <f t="shared" si="298"/>
        <v>1116.8328358114991</v>
      </c>
      <c r="AK622" s="277">
        <f t="shared" si="298"/>
        <v>1149.2940435290607</v>
      </c>
      <c r="AL622" s="277">
        <f t="shared" si="298"/>
        <v>1181.0691660219195</v>
      </c>
      <c r="AM622" s="277">
        <f t="shared" si="298"/>
        <v>1209.9736852801936</v>
      </c>
      <c r="AN622" s="277">
        <f t="shared" si="300"/>
        <v>1234.6133712513192</v>
      </c>
      <c r="AO622" s="277">
        <f t="shared" si="301"/>
        <v>1256.5829775957714</v>
      </c>
      <c r="AP622" s="1797">
        <f t="shared" si="299"/>
        <v>1276.5788135486496</v>
      </c>
      <c r="AQ622" s="1797">
        <f t="shared" si="299"/>
        <v>1327.1905494262271</v>
      </c>
      <c r="AR622" s="1797">
        <f t="shared" si="299"/>
        <v>1338.4046009789813</v>
      </c>
      <c r="AS622" s="1797">
        <f t="shared" si="299"/>
        <v>1348.9738297949</v>
      </c>
      <c r="AT622" s="1797">
        <f t="shared" si="299"/>
        <v>1354.7412984145715</v>
      </c>
      <c r="AU622" s="1882"/>
      <c r="AV622" s="1882"/>
      <c r="AW622" s="1882"/>
      <c r="AX622" s="1882"/>
      <c r="AY622" s="1882"/>
    </row>
    <row r="623" spans="2:53">
      <c r="B623" s="297"/>
      <c r="C623" s="297"/>
      <c r="D623" s="129" t="s">
        <v>124</v>
      </c>
      <c r="E623" s="3021">
        <f>+E620</f>
        <v>0.3</v>
      </c>
      <c r="F623" s="2946">
        <f t="shared" si="296"/>
        <v>154.5</v>
      </c>
      <c r="G623" s="119"/>
      <c r="H623" s="119"/>
      <c r="I623" s="119"/>
      <c r="J623" s="277">
        <v>64</v>
      </c>
      <c r="K623" s="277">
        <v>67</v>
      </c>
      <c r="L623" s="277">
        <v>69</v>
      </c>
      <c r="M623" s="277">
        <v>72</v>
      </c>
      <c r="N623" s="277">
        <v>76</v>
      </c>
      <c r="O623" s="277">
        <v>78</v>
      </c>
      <c r="P623" s="277">
        <v>84</v>
      </c>
      <c r="Q623" s="277">
        <v>168</v>
      </c>
      <c r="R623" s="277">
        <v>185</v>
      </c>
      <c r="S623" s="277">
        <v>214</v>
      </c>
      <c r="T623" s="277">
        <v>232</v>
      </c>
      <c r="U623" s="277">
        <v>234</v>
      </c>
      <c r="V623" s="277">
        <v>233</v>
      </c>
      <c r="W623" s="277">
        <v>248</v>
      </c>
      <c r="X623" s="277">
        <v>368</v>
      </c>
      <c r="Y623" s="277">
        <v>237</v>
      </c>
      <c r="Z623" s="277">
        <v>273</v>
      </c>
      <c r="AA623" s="277">
        <v>288</v>
      </c>
      <c r="AB623" s="277">
        <v>310</v>
      </c>
      <c r="AC623" s="277">
        <v>341</v>
      </c>
      <c r="AD623" s="277">
        <v>375</v>
      </c>
      <c r="AE623" s="277">
        <v>282</v>
      </c>
      <c r="AF623" s="277">
        <v>430</v>
      </c>
      <c r="AG623" s="277">
        <v>467</v>
      </c>
      <c r="AH623" s="277">
        <v>515</v>
      </c>
      <c r="AI623" s="2253">
        <v>588</v>
      </c>
      <c r="AJ623" s="1107">
        <f t="shared" si="298"/>
        <v>787.46531250389251</v>
      </c>
      <c r="AK623" s="277">
        <f t="shared" si="298"/>
        <v>919.32727133971196</v>
      </c>
      <c r="AL623" s="277">
        <f t="shared" si="298"/>
        <v>1091.9790367193286</v>
      </c>
      <c r="AM623" s="277">
        <f t="shared" si="298"/>
        <v>1320.2648207425273</v>
      </c>
      <c r="AN623" s="277">
        <f t="shared" si="300"/>
        <v>1618.4918735152476</v>
      </c>
      <c r="AO623" s="277">
        <f t="shared" si="301"/>
        <v>1938.2227657347803</v>
      </c>
      <c r="AP623" s="1797">
        <f t="shared" si="299"/>
        <v>2335.6999909618557</v>
      </c>
      <c r="AQ623" s="1797">
        <f t="shared" si="299"/>
        <v>2824.7738978345724</v>
      </c>
      <c r="AR623" s="1797">
        <f t="shared" si="299"/>
        <v>3416.4910652568587</v>
      </c>
      <c r="AS623" s="1797">
        <f t="shared" si="299"/>
        <v>4118.141456653153</v>
      </c>
      <c r="AT623" s="1797">
        <f t="shared" si="299"/>
        <v>4971.9449889422176</v>
      </c>
      <c r="AU623" s="1882"/>
      <c r="AV623" s="1882"/>
      <c r="AW623" s="1882"/>
      <c r="AX623" s="1882"/>
      <c r="AY623" s="1882"/>
    </row>
    <row r="624" spans="2:53">
      <c r="C624" s="293"/>
      <c r="D624" s="129" t="s">
        <v>125</v>
      </c>
      <c r="E624" s="3021"/>
      <c r="F624" s="2946">
        <f t="shared" si="296"/>
        <v>0</v>
      </c>
      <c r="G624" s="119"/>
      <c r="H624" s="119"/>
      <c r="I624" s="119"/>
      <c r="J624" s="277">
        <v>87</v>
      </c>
      <c r="K624" s="277">
        <v>89</v>
      </c>
      <c r="L624" s="277">
        <v>92</v>
      </c>
      <c r="M624" s="277">
        <v>97</v>
      </c>
      <c r="N624" s="277">
        <v>102</v>
      </c>
      <c r="O624" s="277">
        <v>105</v>
      </c>
      <c r="P624" s="277">
        <v>113</v>
      </c>
      <c r="Q624" s="277">
        <v>217</v>
      </c>
      <c r="R624" s="277">
        <v>238</v>
      </c>
      <c r="S624" s="277">
        <v>276</v>
      </c>
      <c r="T624" s="277">
        <v>300</v>
      </c>
      <c r="U624" s="277">
        <v>301</v>
      </c>
      <c r="V624" s="277">
        <v>301</v>
      </c>
      <c r="W624" s="277">
        <v>320</v>
      </c>
      <c r="X624" s="277">
        <v>542</v>
      </c>
      <c r="Y624" s="277">
        <v>381</v>
      </c>
      <c r="Z624" s="277">
        <v>443</v>
      </c>
      <c r="AA624" s="277">
        <v>486</v>
      </c>
      <c r="AB624" s="277">
        <v>505</v>
      </c>
      <c r="AC624" s="277">
        <v>528</v>
      </c>
      <c r="AD624" s="277">
        <v>552</v>
      </c>
      <c r="AE624" s="277">
        <v>381</v>
      </c>
      <c r="AF624" s="277">
        <v>578</v>
      </c>
      <c r="AG624" s="277">
        <v>653</v>
      </c>
      <c r="AH624" s="277">
        <v>737</v>
      </c>
      <c r="AI624" s="2253">
        <v>840</v>
      </c>
      <c r="AJ624" s="1107">
        <f t="shared" si="298"/>
        <v>889.64856230031955</v>
      </c>
      <c r="AK624" s="277">
        <f t="shared" si="298"/>
        <v>988.1821525409207</v>
      </c>
      <c r="AL624" s="277">
        <f t="shared" si="298"/>
        <v>1166.8902905947562</v>
      </c>
      <c r="AM624" s="277">
        <f t="shared" si="298"/>
        <v>1312.5292877170482</v>
      </c>
      <c r="AN624" s="277">
        <f t="shared" si="300"/>
        <v>1475.2629547119584</v>
      </c>
      <c r="AO624" s="277">
        <f t="shared" si="301"/>
        <v>1657.0292340258472</v>
      </c>
      <c r="AP624" s="1797">
        <f t="shared" si="299"/>
        <v>1856.6211969306592</v>
      </c>
      <c r="AQ624" s="1797">
        <f t="shared" si="299"/>
        <v>2099.2371404405967</v>
      </c>
      <c r="AR624" s="1797">
        <f t="shared" si="299"/>
        <v>2380.5267962031512</v>
      </c>
      <c r="AS624" s="1797">
        <f t="shared" si="299"/>
        <v>2680.9205446361225</v>
      </c>
      <c r="AT624" s="1797">
        <f t="shared" si="299"/>
        <v>3019.8362671944014</v>
      </c>
      <c r="AU624" s="1882"/>
      <c r="AV624" s="1882"/>
      <c r="AW624" s="1882"/>
      <c r="AX624" s="1882"/>
      <c r="AY624" s="1882"/>
    </row>
    <row r="625" spans="1:51">
      <c r="B625" s="295" t="s">
        <v>30</v>
      </c>
      <c r="C625" s="293"/>
      <c r="D625" s="129" t="s">
        <v>126</v>
      </c>
      <c r="E625" s="3022"/>
      <c r="F625" s="2946">
        <f t="shared" si="296"/>
        <v>0</v>
      </c>
      <c r="G625" s="121"/>
      <c r="H625" s="121"/>
      <c r="I625" s="121"/>
      <c r="J625" s="277">
        <v>127</v>
      </c>
      <c r="K625" s="277">
        <v>134</v>
      </c>
      <c r="L625" s="277">
        <v>139</v>
      </c>
      <c r="M625" s="277">
        <v>140</v>
      </c>
      <c r="N625" s="277">
        <v>148</v>
      </c>
      <c r="O625" s="277">
        <v>149</v>
      </c>
      <c r="P625" s="277">
        <v>153</v>
      </c>
      <c r="Q625" s="277">
        <v>195</v>
      </c>
      <c r="R625" s="277">
        <v>205</v>
      </c>
      <c r="S625" s="277">
        <v>215</v>
      </c>
      <c r="T625" s="277">
        <v>231</v>
      </c>
      <c r="U625" s="277">
        <v>265</v>
      </c>
      <c r="V625" s="277">
        <v>304</v>
      </c>
      <c r="W625" s="277">
        <v>370</v>
      </c>
      <c r="X625" s="277">
        <v>593</v>
      </c>
      <c r="Y625" s="277">
        <v>433</v>
      </c>
      <c r="Z625" s="277">
        <v>455</v>
      </c>
      <c r="AA625" s="277">
        <v>505</v>
      </c>
      <c r="AB625" s="277">
        <v>517</v>
      </c>
      <c r="AC625" s="277">
        <v>553</v>
      </c>
      <c r="AD625" s="277">
        <v>579</v>
      </c>
      <c r="AE625" s="277">
        <v>444</v>
      </c>
      <c r="AF625" s="277">
        <v>615</v>
      </c>
      <c r="AG625" s="277">
        <v>676</v>
      </c>
      <c r="AH625" s="277">
        <v>748</v>
      </c>
      <c r="AI625" s="2253">
        <v>825</v>
      </c>
      <c r="AJ625" s="1107">
        <f t="shared" si="298"/>
        <v>927.9487179487179</v>
      </c>
      <c r="AK625" s="277">
        <f t="shared" si="298"/>
        <v>945.09901083741761</v>
      </c>
      <c r="AL625" s="277">
        <f t="shared" si="298"/>
        <v>974.71979340354721</v>
      </c>
      <c r="AM625" s="277">
        <f t="shared" si="298"/>
        <v>1007.3781922669548</v>
      </c>
      <c r="AN625" s="277">
        <f t="shared" si="300"/>
        <v>1038.4017884511027</v>
      </c>
      <c r="AO625" s="277">
        <f t="shared" si="301"/>
        <v>1084.0731357558777</v>
      </c>
      <c r="AP625" s="1797">
        <f t="shared" si="299"/>
        <v>1144.3197129287043</v>
      </c>
      <c r="AQ625" s="1797">
        <f t="shared" si="299"/>
        <v>1192.1403093518625</v>
      </c>
      <c r="AR625" s="1797">
        <f t="shared" si="299"/>
        <v>1228.570347798978</v>
      </c>
      <c r="AS625" s="1797">
        <f t="shared" si="299"/>
        <v>1266.4238843445257</v>
      </c>
      <c r="AT625" s="1797">
        <f t="shared" si="299"/>
        <v>1290.4508601466712</v>
      </c>
      <c r="AU625" s="1883"/>
      <c r="AV625" s="1883"/>
      <c r="AW625" s="1883"/>
      <c r="AX625" s="1883"/>
      <c r="AY625" s="1883"/>
    </row>
    <row r="626" spans="1:51">
      <c r="C626" s="293"/>
      <c r="D626" s="129" t="s">
        <v>127</v>
      </c>
      <c r="E626" s="3022">
        <v>0.2</v>
      </c>
      <c r="F626" s="2946">
        <f t="shared" si="296"/>
        <v>129.6</v>
      </c>
      <c r="G626" s="121"/>
      <c r="H626" s="121"/>
      <c r="I626" s="121"/>
      <c r="J626" s="277">
        <v>39</v>
      </c>
      <c r="K626" s="277">
        <v>46</v>
      </c>
      <c r="L626" s="277">
        <v>51</v>
      </c>
      <c r="M626" s="277">
        <v>71</v>
      </c>
      <c r="N626" s="277">
        <v>68</v>
      </c>
      <c r="O626" s="277">
        <v>81</v>
      </c>
      <c r="P626" s="277">
        <v>96</v>
      </c>
      <c r="Q626" s="277">
        <v>240</v>
      </c>
      <c r="R626" s="277">
        <v>276</v>
      </c>
      <c r="S626" s="277">
        <v>292</v>
      </c>
      <c r="T626" s="277">
        <v>340</v>
      </c>
      <c r="U626" s="277">
        <v>368</v>
      </c>
      <c r="V626" s="277">
        <v>436</v>
      </c>
      <c r="W626" s="277">
        <v>465</v>
      </c>
      <c r="X626" s="277">
        <v>473</v>
      </c>
      <c r="Y626" s="277">
        <v>504</v>
      </c>
      <c r="Z626" s="277">
        <v>512</v>
      </c>
      <c r="AA626" s="277">
        <v>528</v>
      </c>
      <c r="AB626" s="277">
        <v>540</v>
      </c>
      <c r="AC626" s="277">
        <v>560</v>
      </c>
      <c r="AD626" s="277">
        <v>572</v>
      </c>
      <c r="AE626" s="1210">
        <v>219</v>
      </c>
      <c r="AF626" s="277">
        <v>588</v>
      </c>
      <c r="AG626" s="277">
        <v>620</v>
      </c>
      <c r="AH626" s="277">
        <v>648</v>
      </c>
      <c r="AI626" s="2253">
        <v>676</v>
      </c>
      <c r="AJ626" s="1107">
        <f t="shared" si="298"/>
        <v>622.62980328240542</v>
      </c>
      <c r="AK626" s="277">
        <f t="shared" si="298"/>
        <v>653.26903786510206</v>
      </c>
      <c r="AL626" s="277">
        <f t="shared" si="298"/>
        <v>673.56448407950188</v>
      </c>
      <c r="AM626" s="277">
        <f t="shared" si="298"/>
        <v>692.5556507552817</v>
      </c>
      <c r="AN626" s="277">
        <f t="shared" si="298"/>
        <v>713.7183948779865</v>
      </c>
      <c r="AO626" s="277">
        <f t="shared" si="298"/>
        <v>740.20239870901685</v>
      </c>
      <c r="AP626" s="1797">
        <f t="shared" si="299"/>
        <v>769.8104946573776</v>
      </c>
      <c r="AQ626" s="1797">
        <f t="shared" si="299"/>
        <v>800.60291444367272</v>
      </c>
      <c r="AR626" s="1797">
        <f t="shared" si="299"/>
        <v>832.62703102141961</v>
      </c>
      <c r="AS626" s="1797">
        <f t="shared" si="299"/>
        <v>865.93211226227641</v>
      </c>
      <c r="AT626" s="1797">
        <f t="shared" si="299"/>
        <v>883.25075450752195</v>
      </c>
      <c r="AU626" s="1882"/>
      <c r="AV626" s="1882"/>
      <c r="AW626" s="1882"/>
      <c r="AX626" s="1882"/>
      <c r="AY626" s="1882"/>
    </row>
    <row r="627" spans="1:51">
      <c r="C627" s="293"/>
      <c r="D627" s="129" t="s">
        <v>128</v>
      </c>
      <c r="E627" s="3022">
        <v>0.2</v>
      </c>
      <c r="F627" s="2946">
        <f t="shared" si="296"/>
        <v>42.6</v>
      </c>
      <c r="G627" s="121"/>
      <c r="H627" s="121"/>
      <c r="I627" s="121"/>
      <c r="J627" s="280">
        <v>31</v>
      </c>
      <c r="K627" s="280">
        <v>32</v>
      </c>
      <c r="L627" s="280">
        <v>36</v>
      </c>
      <c r="M627" s="280">
        <v>39</v>
      </c>
      <c r="N627" s="280">
        <v>47</v>
      </c>
      <c r="O627" s="280">
        <v>51</v>
      </c>
      <c r="P627" s="280">
        <v>49</v>
      </c>
      <c r="Q627" s="280">
        <v>48</v>
      </c>
      <c r="R627" s="280">
        <v>56</v>
      </c>
      <c r="S627" s="280">
        <v>63</v>
      </c>
      <c r="T627" s="280">
        <v>71</v>
      </c>
      <c r="U627" s="280">
        <v>83</v>
      </c>
      <c r="V627" s="280">
        <v>84</v>
      </c>
      <c r="W627" s="280">
        <v>104</v>
      </c>
      <c r="X627" s="280">
        <v>164</v>
      </c>
      <c r="Y627" s="280">
        <v>120</v>
      </c>
      <c r="Z627" s="277">
        <v>131</v>
      </c>
      <c r="AA627" s="277">
        <v>140</v>
      </c>
      <c r="AB627" s="277">
        <v>146</v>
      </c>
      <c r="AC627" s="277">
        <v>146</v>
      </c>
      <c r="AD627" s="277">
        <v>151</v>
      </c>
      <c r="AE627" s="277">
        <v>127</v>
      </c>
      <c r="AF627" s="277">
        <v>195</v>
      </c>
      <c r="AG627" s="277">
        <v>213</v>
      </c>
      <c r="AH627" s="277">
        <v>213</v>
      </c>
      <c r="AI627" s="2253">
        <v>249</v>
      </c>
      <c r="AJ627" s="1107">
        <f t="shared" si="298"/>
        <v>244.01999999999998</v>
      </c>
      <c r="AK627" s="277">
        <f t="shared" si="298"/>
        <v>256.02807604045654</v>
      </c>
      <c r="AL627" s="277">
        <f t="shared" si="298"/>
        <v>263.98223236116121</v>
      </c>
      <c r="AM627" s="277">
        <f t="shared" si="298"/>
        <v>271.42521769175875</v>
      </c>
      <c r="AN627" s="277">
        <f t="shared" ref="AN627:AT628" si="302">AM627*(1+AN582)</f>
        <v>279.71928391473415</v>
      </c>
      <c r="AO627" s="277">
        <f t="shared" si="302"/>
        <v>290.09884907653344</v>
      </c>
      <c r="AP627" s="1797">
        <f t="shared" si="302"/>
        <v>301.70280303959481</v>
      </c>
      <c r="AQ627" s="1797">
        <f t="shared" si="302"/>
        <v>313.77091516117861</v>
      </c>
      <c r="AR627" s="1797">
        <f t="shared" si="302"/>
        <v>326.32175176762576</v>
      </c>
      <c r="AS627" s="1797">
        <f t="shared" si="302"/>
        <v>339.37462183833082</v>
      </c>
      <c r="AT627" s="1797">
        <f t="shared" si="302"/>
        <v>346.16211427509745</v>
      </c>
      <c r="AU627" s="1882"/>
      <c r="AV627" s="1882"/>
      <c r="AW627" s="1882"/>
      <c r="AX627" s="1882"/>
      <c r="AY627" s="1882"/>
    </row>
    <row r="628" spans="1:51" ht="16.75" thickBot="1">
      <c r="C628" s="293"/>
      <c r="D628" s="132" t="s">
        <v>37</v>
      </c>
      <c r="E628" s="3017"/>
      <c r="F628" s="2946">
        <f t="shared" si="296"/>
        <v>0</v>
      </c>
      <c r="G628" s="133"/>
      <c r="H628" s="133"/>
      <c r="I628" s="133"/>
      <c r="J628" s="281">
        <v>11</v>
      </c>
      <c r="K628" s="281">
        <v>54</v>
      </c>
      <c r="L628" s="281">
        <v>58</v>
      </c>
      <c r="M628" s="281">
        <v>72</v>
      </c>
      <c r="N628" s="281">
        <v>93</v>
      </c>
      <c r="O628" s="281">
        <v>107</v>
      </c>
      <c r="P628" s="281">
        <v>144</v>
      </c>
      <c r="Q628" s="281">
        <v>168</v>
      </c>
      <c r="R628" s="281">
        <v>191</v>
      </c>
      <c r="S628" s="281">
        <v>195</v>
      </c>
      <c r="T628" s="281">
        <v>184</v>
      </c>
      <c r="U628" s="281">
        <v>197</v>
      </c>
      <c r="V628" s="281">
        <v>195</v>
      </c>
      <c r="W628" s="281">
        <v>217</v>
      </c>
      <c r="X628" s="281">
        <v>443</v>
      </c>
      <c r="Y628" s="281">
        <v>283</v>
      </c>
      <c r="Z628" s="443">
        <v>337</v>
      </c>
      <c r="AA628" s="443">
        <v>360</v>
      </c>
      <c r="AB628" s="443">
        <v>379</v>
      </c>
      <c r="AC628" s="443">
        <v>412</v>
      </c>
      <c r="AD628" s="443">
        <v>447</v>
      </c>
      <c r="AE628" s="443">
        <v>335</v>
      </c>
      <c r="AF628" s="443">
        <v>486</v>
      </c>
      <c r="AG628" s="443">
        <v>515</v>
      </c>
      <c r="AH628" s="443">
        <v>666</v>
      </c>
      <c r="AI628" s="2254">
        <v>640</v>
      </c>
      <c r="AJ628" s="2200">
        <f t="shared" si="298"/>
        <v>735.17241379310349</v>
      </c>
      <c r="AK628" s="443">
        <f t="shared" si="298"/>
        <v>820.18453955384314</v>
      </c>
      <c r="AL628" s="443">
        <f t="shared" si="298"/>
        <v>926.50247203887727</v>
      </c>
      <c r="AM628" s="443">
        <f t="shared" si="298"/>
        <v>1008.7134293467901</v>
      </c>
      <c r="AN628" s="443">
        <f t="shared" si="302"/>
        <v>1130.4404149382976</v>
      </c>
      <c r="AO628" s="443">
        <f t="shared" si="302"/>
        <v>1258.9349047415858</v>
      </c>
      <c r="AP628" s="1798">
        <f t="shared" si="302"/>
        <v>1401.4156652046486</v>
      </c>
      <c r="AQ628" s="1798">
        <f t="shared" si="302"/>
        <v>1554.2580323319496</v>
      </c>
      <c r="AR628" s="1798">
        <f t="shared" si="302"/>
        <v>1731.6694364182458</v>
      </c>
      <c r="AS628" s="1798">
        <f t="shared" si="302"/>
        <v>1926.5045473465734</v>
      </c>
      <c r="AT628" s="1798">
        <f t="shared" si="302"/>
        <v>2142.7049551891259</v>
      </c>
      <c r="AU628" s="1882"/>
      <c r="AV628" s="1882"/>
      <c r="AW628" s="1882"/>
      <c r="AX628" s="1882"/>
      <c r="AY628" s="1882"/>
    </row>
    <row r="629" spans="1:51" ht="11.25" customHeight="1" thickBot="1">
      <c r="A629" s="300" t="str">
        <f>+A584</f>
        <v>insert line ~ NISR format</v>
      </c>
      <c r="C629" s="293"/>
      <c r="D629" s="132"/>
      <c r="E629" s="3017"/>
      <c r="F629" s="2211"/>
      <c r="G629" s="133"/>
      <c r="H629" s="133"/>
      <c r="I629" s="133"/>
      <c r="J629" s="281"/>
      <c r="K629" s="281"/>
      <c r="L629" s="281"/>
      <c r="M629" s="281"/>
      <c r="N629" s="281"/>
      <c r="O629" s="281"/>
      <c r="P629" s="281"/>
      <c r="Q629" s="281"/>
      <c r="R629" s="281"/>
      <c r="S629" s="281"/>
      <c r="T629" s="281"/>
      <c r="U629" s="281"/>
      <c r="V629" s="281"/>
      <c r="W629" s="281"/>
      <c r="X629" s="281"/>
      <c r="Y629" s="281"/>
      <c r="Z629" s="281"/>
      <c r="AA629" s="281"/>
      <c r="AB629" s="281"/>
      <c r="AC629" s="281"/>
      <c r="AD629" s="281"/>
      <c r="AE629" s="281"/>
      <c r="AF629" s="281"/>
      <c r="AG629" s="281"/>
      <c r="AH629" s="281"/>
      <c r="AI629" s="2254"/>
      <c r="AJ629" s="2201"/>
      <c r="AK629" s="281"/>
      <c r="AL629" s="281"/>
      <c r="AM629" s="281"/>
      <c r="AN629" s="281"/>
      <c r="AO629" s="281"/>
      <c r="AP629" s="1798"/>
      <c r="AQ629" s="1798"/>
      <c r="AR629" s="1798"/>
      <c r="AS629" s="1798"/>
      <c r="AT629" s="1798"/>
      <c r="AU629" s="230"/>
      <c r="AV629" s="230"/>
      <c r="AW629" s="230"/>
      <c r="AX629" s="230"/>
    </row>
    <row r="630" spans="1:51" ht="16.75" thickBot="1">
      <c r="C630" s="293"/>
      <c r="D630" s="455" t="s">
        <v>129</v>
      </c>
      <c r="E630" s="3018">
        <v>0.3</v>
      </c>
      <c r="F630" s="2946">
        <f t="shared" si="296"/>
        <v>273.59999999999997</v>
      </c>
      <c r="G630" s="116"/>
      <c r="H630" s="116"/>
      <c r="I630" s="116"/>
      <c r="J630" s="282">
        <v>249</v>
      </c>
      <c r="K630" s="282">
        <v>270</v>
      </c>
      <c r="L630" s="282">
        <v>293</v>
      </c>
      <c r="M630" s="282">
        <v>323</v>
      </c>
      <c r="N630" s="282">
        <v>321</v>
      </c>
      <c r="O630" s="282">
        <v>335</v>
      </c>
      <c r="P630" s="282">
        <v>356</v>
      </c>
      <c r="Q630" s="282">
        <v>394</v>
      </c>
      <c r="R630" s="282">
        <v>411</v>
      </c>
      <c r="S630" s="282">
        <v>459</v>
      </c>
      <c r="T630" s="282">
        <v>503</v>
      </c>
      <c r="U630" s="282">
        <v>528</v>
      </c>
      <c r="V630" s="282">
        <v>537</v>
      </c>
      <c r="W630" s="282">
        <v>545</v>
      </c>
      <c r="X630" s="282">
        <v>830</v>
      </c>
      <c r="Y630" s="282">
        <v>570</v>
      </c>
      <c r="Z630" s="282">
        <v>651</v>
      </c>
      <c r="AA630" s="282">
        <v>679</v>
      </c>
      <c r="AB630" s="282">
        <v>662</v>
      </c>
      <c r="AC630" s="282">
        <v>722</v>
      </c>
      <c r="AD630" s="282">
        <v>831</v>
      </c>
      <c r="AE630" s="282">
        <v>608</v>
      </c>
      <c r="AF630" s="282">
        <v>903</v>
      </c>
      <c r="AG630" s="282">
        <v>950</v>
      </c>
      <c r="AH630" s="282">
        <v>912</v>
      </c>
      <c r="AI630" s="2203">
        <v>985</v>
      </c>
      <c r="AJ630" s="2202">
        <f t="shared" ref="AJ630:AO630" si="303">AI630*(1+AJ585)</f>
        <v>1065.8529869902889</v>
      </c>
      <c r="AK630" s="282">
        <f t="shared" si="303"/>
        <v>1140.2504227388793</v>
      </c>
      <c r="AL630" s="282">
        <f t="shared" si="303"/>
        <v>1235.866092872154</v>
      </c>
      <c r="AM630" s="282">
        <f t="shared" si="303"/>
        <v>1327.6391673558455</v>
      </c>
      <c r="AN630" s="282">
        <f t="shared" si="303"/>
        <v>1415.8229972850331</v>
      </c>
      <c r="AO630" s="282">
        <f t="shared" si="303"/>
        <v>1510.1731215305133</v>
      </c>
      <c r="AP630" s="1796">
        <f>AO630*(1+AP585)</f>
        <v>1634.857724498416</v>
      </c>
      <c r="AQ630" s="1796">
        <f>AP630*(1+AQ585)</f>
        <v>1766.0403133326572</v>
      </c>
      <c r="AR630" s="1796">
        <f>AQ630*(1+AR585)</f>
        <v>1911.8587931331076</v>
      </c>
      <c r="AS630" s="1796">
        <f>AR630*(1+AS585)</f>
        <v>2069.8165473890849</v>
      </c>
      <c r="AT630" s="1796">
        <f>AS630*(1+AT585)</f>
        <v>2254.1616616142192</v>
      </c>
      <c r="AU630" s="231"/>
      <c r="AV630" s="231"/>
      <c r="AW630" s="231"/>
      <c r="AX630" s="231"/>
    </row>
    <row r="631" spans="1:51">
      <c r="A631" s="300"/>
      <c r="C631" s="293"/>
      <c r="D631" s="27"/>
      <c r="E631" s="2990"/>
      <c r="F631" s="19"/>
      <c r="G631" s="19"/>
      <c r="H631" s="19"/>
      <c r="I631" s="19"/>
      <c r="J631" s="19"/>
      <c r="K631" s="19"/>
      <c r="L631" s="19"/>
      <c r="M631" s="19"/>
      <c r="N631" s="19"/>
      <c r="O631" s="19"/>
      <c r="P631" s="19"/>
      <c r="Q631" s="19"/>
      <c r="R631" s="19"/>
      <c r="S631" s="19"/>
      <c r="T631" s="19"/>
      <c r="U631" s="19"/>
      <c r="V631" s="19"/>
      <c r="W631" s="870"/>
      <c r="X631" s="870"/>
      <c r="Y631" s="870"/>
      <c r="Z631" s="870"/>
      <c r="AA631" s="870"/>
      <c r="AB631" s="870"/>
      <c r="AC631" s="19"/>
      <c r="AD631" s="870"/>
      <c r="AE631" s="870"/>
      <c r="AF631" s="870"/>
      <c r="AG631" s="870"/>
      <c r="AH631" s="870"/>
      <c r="AI631" s="870"/>
      <c r="AJ631" s="870"/>
      <c r="AK631" s="870"/>
      <c r="AL631" s="870"/>
      <c r="AM631" s="870"/>
      <c r="AN631" s="870"/>
      <c r="AO631" s="870"/>
      <c r="AP631" s="870"/>
      <c r="AQ631" s="870"/>
      <c r="AR631" s="870"/>
      <c r="AS631" s="870"/>
      <c r="AT631" s="870"/>
      <c r="AU631" s="231"/>
      <c r="AV631" s="231"/>
      <c r="AW631" s="231"/>
      <c r="AX631" s="231"/>
    </row>
    <row r="632" spans="1:51">
      <c r="B632" s="292"/>
      <c r="C632" s="293"/>
      <c r="D632" s="27"/>
      <c r="E632" s="2990"/>
      <c r="F632" s="19"/>
      <c r="G632" s="19"/>
      <c r="H632" s="19"/>
      <c r="I632" s="19"/>
      <c r="J632" s="19"/>
      <c r="K632" s="19"/>
      <c r="L632" s="19"/>
      <c r="M632" s="19"/>
      <c r="N632" s="19"/>
      <c r="O632" s="19"/>
      <c r="P632" s="19"/>
      <c r="Q632" s="19"/>
      <c r="R632" s="19"/>
      <c r="S632" s="19"/>
      <c r="T632" s="19"/>
      <c r="U632" s="19"/>
      <c r="V632" s="19"/>
      <c r="W632" s="870"/>
      <c r="X632" s="870"/>
      <c r="Y632" s="870"/>
      <c r="Z632" s="870"/>
      <c r="AA632" s="870"/>
      <c r="AB632" s="870"/>
      <c r="AC632" s="19"/>
      <c r="AD632" s="870"/>
      <c r="AE632" s="870"/>
      <c r="AF632" s="870"/>
      <c r="AG632" s="870"/>
      <c r="AH632" s="870"/>
      <c r="AI632" s="870"/>
      <c r="AJ632" s="870"/>
      <c r="AK632" s="870"/>
      <c r="AL632" s="870"/>
      <c r="AM632" s="870"/>
      <c r="AN632" s="870"/>
      <c r="AO632" s="870"/>
      <c r="AP632" s="870"/>
      <c r="AQ632" s="870"/>
      <c r="AR632" s="870"/>
      <c r="AS632" s="870"/>
      <c r="AT632" s="870"/>
      <c r="AU632" s="231"/>
      <c r="AV632" s="231"/>
      <c r="AW632" s="231"/>
      <c r="AX632" s="231"/>
    </row>
    <row r="633" spans="1:51">
      <c r="A633" s="300" t="s">
        <v>255</v>
      </c>
      <c r="B633" s="292" t="s">
        <v>256</v>
      </c>
      <c r="C633" s="290"/>
      <c r="D633" s="27" t="s">
        <v>1695</v>
      </c>
      <c r="E633" s="2990"/>
      <c r="F633" s="19"/>
      <c r="G633" s="19"/>
      <c r="H633" s="19"/>
      <c r="I633" s="19"/>
      <c r="J633" s="19"/>
      <c r="K633" s="19"/>
      <c r="L633" s="19"/>
      <c r="M633" s="19"/>
      <c r="N633" s="19"/>
      <c r="O633" s="19"/>
      <c r="P633" s="19"/>
      <c r="Q633" s="19"/>
      <c r="R633" s="19"/>
      <c r="S633" s="19"/>
      <c r="T633" s="19"/>
      <c r="U633" s="19"/>
      <c r="V633" s="19"/>
      <c r="W633" s="870"/>
      <c r="X633" s="870"/>
      <c r="Y633" s="870"/>
      <c r="Z633" s="870"/>
      <c r="AA633" s="870"/>
      <c r="AB633" s="870"/>
      <c r="AC633" s="19"/>
      <c r="AD633" s="870"/>
      <c r="AE633" s="870"/>
      <c r="AF633" s="870"/>
      <c r="AG633" s="870"/>
      <c r="AH633" s="870"/>
      <c r="AI633" s="870"/>
      <c r="AJ633" s="870"/>
      <c r="AK633" s="870"/>
      <c r="AL633" s="870"/>
      <c r="AM633" s="870"/>
      <c r="AN633" s="870"/>
      <c r="AO633" s="870"/>
      <c r="AP633" s="870"/>
      <c r="AQ633" s="870"/>
      <c r="AR633" s="870"/>
      <c r="AS633" s="870"/>
      <c r="AT633" s="870"/>
      <c r="AU633" s="231"/>
      <c r="AV633" s="231"/>
      <c r="AW633" s="231"/>
      <c r="AX633" s="231"/>
    </row>
    <row r="634" spans="1:51" ht="16.75" thickBot="1">
      <c r="B634" s="302"/>
      <c r="C634" s="290"/>
      <c r="D634" s="27"/>
      <c r="E634" s="2990"/>
      <c r="F634" s="19"/>
      <c r="G634" s="19"/>
      <c r="H634" s="19"/>
      <c r="I634" s="19"/>
      <c r="J634" s="19"/>
      <c r="K634" s="19"/>
      <c r="L634" s="19"/>
      <c r="M634" s="19"/>
      <c r="N634" s="19"/>
      <c r="O634" s="19"/>
      <c r="P634" s="19"/>
      <c r="Q634" s="19"/>
      <c r="R634" s="19"/>
      <c r="S634" s="19"/>
      <c r="T634" s="19"/>
      <c r="U634" s="19"/>
      <c r="V634" s="19"/>
      <c r="W634" s="870"/>
      <c r="X634" s="870"/>
      <c r="Y634" s="870"/>
      <c r="Z634" s="870"/>
      <c r="AA634" s="870"/>
      <c r="AB634" s="870"/>
      <c r="AC634" s="19"/>
      <c r="AD634" s="870"/>
      <c r="AE634" s="870"/>
      <c r="AF634" s="870"/>
      <c r="AG634" s="870"/>
      <c r="AH634" s="870"/>
      <c r="AI634" s="3191"/>
      <c r="AJ634" s="3191"/>
      <c r="AK634" s="3191"/>
      <c r="AL634" s="3191"/>
      <c r="AM634" s="3191"/>
      <c r="AN634" s="3191"/>
      <c r="AO634" s="3191"/>
      <c r="AP634" s="870"/>
      <c r="AQ634" s="870"/>
      <c r="AR634" s="870"/>
      <c r="AS634" s="870"/>
      <c r="AT634" s="870"/>
      <c r="AU634" s="231"/>
      <c r="AV634" s="231"/>
      <c r="AW634" s="231"/>
      <c r="AX634" s="231"/>
    </row>
    <row r="635" spans="1:51" ht="16.75" thickBot="1">
      <c r="B635" s="302"/>
      <c r="C635" s="290"/>
      <c r="D635" s="21"/>
      <c r="E635" s="3010"/>
      <c r="F635" s="2185"/>
      <c r="G635" s="112"/>
      <c r="H635" s="112"/>
      <c r="I635" s="112"/>
      <c r="J635" s="112">
        <v>1999</v>
      </c>
      <c r="K635" s="112">
        <v>2000</v>
      </c>
      <c r="L635" s="112">
        <v>2001</v>
      </c>
      <c r="M635" s="112">
        <v>2002</v>
      </c>
      <c r="N635" s="112">
        <v>2003</v>
      </c>
      <c r="O635" s="112">
        <v>2004</v>
      </c>
      <c r="P635" s="112">
        <v>2005</v>
      </c>
      <c r="Q635" s="112">
        <v>2006</v>
      </c>
      <c r="R635" s="112">
        <v>2007</v>
      </c>
      <c r="S635" s="112">
        <v>2008</v>
      </c>
      <c r="T635" s="112">
        <v>2009</v>
      </c>
      <c r="U635" s="112">
        <v>2010</v>
      </c>
      <c r="V635" s="112">
        <v>2011</v>
      </c>
      <c r="W635" s="112">
        <f xml:space="preserve"> 2012</f>
        <v>2012</v>
      </c>
      <c r="X635" s="112">
        <f>2013</f>
        <v>2013</v>
      </c>
      <c r="Y635" s="112">
        <v>2014</v>
      </c>
      <c r="Z635" s="112">
        <v>2015</v>
      </c>
      <c r="AA635" s="112">
        <v>2016</v>
      </c>
      <c r="AB635" s="112">
        <v>2017</v>
      </c>
      <c r="AC635" s="112">
        <v>2018</v>
      </c>
      <c r="AD635" s="112">
        <v>2019</v>
      </c>
      <c r="AE635" s="112">
        <v>2020</v>
      </c>
      <c r="AF635" s="112">
        <v>2021</v>
      </c>
      <c r="AG635" s="112">
        <v>2022</v>
      </c>
      <c r="AH635" s="112">
        <v>2023</v>
      </c>
      <c r="AI635" s="2195">
        <v>2024</v>
      </c>
      <c r="AJ635" s="2185">
        <v>2025</v>
      </c>
      <c r="AK635" s="112">
        <v>2026</v>
      </c>
      <c r="AL635" s="112">
        <v>2027</v>
      </c>
      <c r="AM635" s="112">
        <v>2028</v>
      </c>
      <c r="AN635" s="112">
        <v>2029</v>
      </c>
      <c r="AO635" s="112">
        <v>2030</v>
      </c>
      <c r="AP635" s="1795">
        <v>2031</v>
      </c>
      <c r="AQ635" s="1795">
        <v>2032</v>
      </c>
      <c r="AR635" s="1795">
        <v>2033</v>
      </c>
      <c r="AS635" s="1795">
        <v>2034</v>
      </c>
      <c r="AT635" s="1795">
        <v>2035</v>
      </c>
      <c r="AU635" s="231"/>
      <c r="AV635" s="231"/>
      <c r="AW635" s="231"/>
      <c r="AX635" s="231"/>
    </row>
    <row r="636" spans="1:51" ht="16.75" thickBot="1">
      <c r="B636" s="300"/>
      <c r="C636" s="290"/>
      <c r="D636" s="100" t="s">
        <v>19</v>
      </c>
      <c r="E636" s="3011"/>
      <c r="F636" s="2942"/>
      <c r="G636" s="113"/>
      <c r="H636" s="113"/>
      <c r="I636" s="113"/>
      <c r="J636" s="276">
        <v>35</v>
      </c>
      <c r="K636" s="276">
        <v>36</v>
      </c>
      <c r="L636" s="276">
        <v>36</v>
      </c>
      <c r="M636" s="276">
        <v>34</v>
      </c>
      <c r="N636" s="276">
        <v>41</v>
      </c>
      <c r="O636" s="276">
        <v>45</v>
      </c>
      <c r="P636" s="276">
        <v>50</v>
      </c>
      <c r="Q636" s="276">
        <v>30.5</v>
      </c>
      <c r="R636" s="276">
        <v>34.75</v>
      </c>
      <c r="S636" s="276">
        <v>40</v>
      </c>
      <c r="T636" s="276">
        <v>42.75</v>
      </c>
      <c r="U636" s="276">
        <v>44</v>
      </c>
      <c r="V636" s="276">
        <v>47.25</v>
      </c>
      <c r="W636" s="276">
        <v>49.5</v>
      </c>
      <c r="X636" s="276">
        <v>66.5</v>
      </c>
      <c r="Y636" s="276">
        <v>53.5</v>
      </c>
      <c r="Z636" s="276">
        <v>53.75</v>
      </c>
      <c r="AA636" s="276">
        <v>56.75</v>
      </c>
      <c r="AB636" s="276">
        <v>61</v>
      </c>
      <c r="AC636" s="276">
        <v>61.5</v>
      </c>
      <c r="AD636" s="276">
        <v>64</v>
      </c>
      <c r="AE636" s="276">
        <v>69.666666666666671</v>
      </c>
      <c r="AF636" s="114">
        <v>71.5</v>
      </c>
      <c r="AG636" s="114">
        <v>82.75</v>
      </c>
      <c r="AH636" s="114">
        <v>92.25</v>
      </c>
      <c r="AI636" s="2261">
        <v>99.75</v>
      </c>
      <c r="AJ636" s="2193">
        <f t="shared" ref="AJ636:AT636" si="304">AJ951</f>
        <v>106.19502375093374</v>
      </c>
      <c r="AK636" s="114">
        <f t="shared" si="304"/>
        <v>116.33434606906879</v>
      </c>
      <c r="AL636" s="114">
        <f t="shared" si="304"/>
        <v>120.63168037910386</v>
      </c>
      <c r="AM636" s="114">
        <f t="shared" si="304"/>
        <v>125.47396231546</v>
      </c>
      <c r="AN636" s="114">
        <f t="shared" si="304"/>
        <v>131.75922621518984</v>
      </c>
      <c r="AO636" s="114">
        <f t="shared" si="304"/>
        <v>138.37563169858066</v>
      </c>
      <c r="AP636" s="1806">
        <f t="shared" si="304"/>
        <v>144.56308170345034</v>
      </c>
      <c r="AQ636" s="1806">
        <f t="shared" si="304"/>
        <v>151.87409050989828</v>
      </c>
      <c r="AR636" s="1806">
        <f t="shared" si="304"/>
        <v>159.52888954874746</v>
      </c>
      <c r="AS636" s="1806">
        <f t="shared" si="304"/>
        <v>167.20212508170107</v>
      </c>
      <c r="AT636" s="1806">
        <f t="shared" si="304"/>
        <v>174.75914500648207</v>
      </c>
      <c r="AU636" s="231"/>
      <c r="AV636" s="231"/>
      <c r="AW636" s="231"/>
      <c r="AX636" s="231"/>
    </row>
    <row r="637" spans="1:51" ht="16.5" customHeight="1" thickBot="1">
      <c r="A637" s="300" t="str">
        <f>+A592</f>
        <v>insert line ~ NISR format</v>
      </c>
      <c r="B637" s="302"/>
      <c r="C637" s="290"/>
      <c r="D637" s="100"/>
      <c r="E637" s="3011"/>
      <c r="F637" s="2942"/>
      <c r="G637" s="113"/>
      <c r="H637" s="113"/>
      <c r="I637" s="113"/>
      <c r="J637" s="1073"/>
      <c r="K637" s="1073"/>
      <c r="L637" s="1073"/>
      <c r="M637" s="1073"/>
      <c r="N637" s="1073"/>
      <c r="O637" s="1073"/>
      <c r="P637" s="1073"/>
      <c r="Q637" s="1073"/>
      <c r="R637" s="1073"/>
      <c r="S637" s="1073"/>
      <c r="T637" s="1073"/>
      <c r="U637" s="1073"/>
      <c r="V637" s="1073"/>
      <c r="W637" s="1073"/>
      <c r="X637" s="1073"/>
      <c r="Y637" s="1073"/>
      <c r="Z637" s="1073"/>
      <c r="AA637" s="1073"/>
      <c r="AB637" s="1073"/>
      <c r="AC637" s="1073"/>
      <c r="AD637" s="1073"/>
      <c r="AE637" s="1073"/>
      <c r="AF637" s="114"/>
      <c r="AG637" s="114"/>
      <c r="AH637" s="114"/>
      <c r="AI637" s="2261"/>
      <c r="AJ637" s="2193"/>
      <c r="AK637" s="114"/>
      <c r="AL637" s="114"/>
      <c r="AM637" s="114"/>
      <c r="AN637" s="114"/>
      <c r="AO637" s="114"/>
      <c r="AP637" s="1806"/>
      <c r="AQ637" s="1806"/>
      <c r="AR637" s="1806"/>
      <c r="AS637" s="1806"/>
      <c r="AT637" s="1806"/>
      <c r="AU637" s="231"/>
      <c r="AV637" s="231"/>
      <c r="AW637" s="231"/>
      <c r="AX637" s="231"/>
    </row>
    <row r="638" spans="1:51" ht="16.75" thickBot="1">
      <c r="B638" s="302"/>
      <c r="C638" s="290"/>
      <c r="D638" s="104" t="str">
        <f t="shared" ref="D638:D673" si="305">+D593</f>
        <v>AGRICULTURE</v>
      </c>
      <c r="E638" s="3011"/>
      <c r="F638" s="2942"/>
      <c r="G638" s="113"/>
      <c r="H638" s="113"/>
      <c r="I638" s="113"/>
      <c r="J638" s="276">
        <v>29</v>
      </c>
      <c r="K638" s="276">
        <v>30</v>
      </c>
      <c r="L638" s="276">
        <v>30</v>
      </c>
      <c r="M638" s="276">
        <v>26</v>
      </c>
      <c r="N638" s="276">
        <v>36</v>
      </c>
      <c r="O638" s="276">
        <v>44</v>
      </c>
      <c r="P638" s="276">
        <v>49</v>
      </c>
      <c r="Q638" s="276">
        <v>28</v>
      </c>
      <c r="R638" s="276">
        <v>28.5</v>
      </c>
      <c r="S638" s="276">
        <v>32.5</v>
      </c>
      <c r="T638" s="276">
        <v>35</v>
      </c>
      <c r="U638" s="276">
        <v>35.5</v>
      </c>
      <c r="V638" s="276">
        <v>38.5</v>
      </c>
      <c r="W638" s="276">
        <v>42.75</v>
      </c>
      <c r="X638" s="276">
        <v>62.25</v>
      </c>
      <c r="Y638" s="276">
        <v>47.25</v>
      </c>
      <c r="Z638" s="276">
        <v>48.25</v>
      </c>
      <c r="AA638" s="276">
        <v>54.25</v>
      </c>
      <c r="AB638" s="276">
        <v>60.5</v>
      </c>
      <c r="AC638" s="276">
        <v>57.75</v>
      </c>
      <c r="AD638" s="276">
        <v>57.75</v>
      </c>
      <c r="AE638" s="276">
        <v>65.666666666666671</v>
      </c>
      <c r="AF638" s="114">
        <v>63.5</v>
      </c>
      <c r="AG638" s="114">
        <v>80.75</v>
      </c>
      <c r="AH638" s="114">
        <v>98.5</v>
      </c>
      <c r="AI638" s="2261">
        <v>100.25</v>
      </c>
      <c r="AJ638" s="2193">
        <f t="shared" ref="AJ638:AO638" si="306">+AI638*(((AI$594+AI$596+AI$597+AI$598)*(AJ$953/AI$953)+AI$595*(AJ$952/AI$952))/AI$593)</f>
        <v>106.90797380599406</v>
      </c>
      <c r="AK638" s="114">
        <f t="shared" si="306"/>
        <v>117.62718493470629</v>
      </c>
      <c r="AL638" s="114">
        <f t="shared" si="306"/>
        <v>120.78271250150652</v>
      </c>
      <c r="AM638" s="114">
        <f t="shared" si="306"/>
        <v>125.15875774874161</v>
      </c>
      <c r="AN638" s="114">
        <f t="shared" si="306"/>
        <v>131.43372605096727</v>
      </c>
      <c r="AO638" s="114">
        <f t="shared" si="306"/>
        <v>138.19939811073618</v>
      </c>
      <c r="AP638" s="1806">
        <f>+AO638*(((AO$594+AO$596+AO$597+AO$598)*(AP$953/AO$953)+AO$595*(AP$952/AO$952))/AO$593)</f>
        <v>144.55567493186103</v>
      </c>
      <c r="AQ638" s="1806">
        <f>+AP638*(((AP$594+AP$596+AP$597+AP$598)*(AQ$953/AP$953)+AP$595*(AQ$952/AP$952))/AP$593)</f>
        <v>152.19724192972046</v>
      </c>
      <c r="AR638" s="1806">
        <f>+AQ638*(((AQ$594+AQ$596+AQ$597+AQ$598)*(AR$953/AQ$953)+AQ$595*(AR$952/AQ$952))/AQ$593)</f>
        <v>160.41393294454608</v>
      </c>
      <c r="AS638" s="1806">
        <f>+AR638*(((AR$594+AR$596+AR$597+AR$598)*(AS$953/AR$953)+AR$595*(AS$952/AR$952))/AR$593)</f>
        <v>167.01506789416112</v>
      </c>
      <c r="AT638" s="1806">
        <f>+AS638*(((AS$594+AS$596+AS$597+AS$598)*(AT$953/AS$953)+AS$595*(AT$952/AS$952))/AS$593)</f>
        <v>171.15553628360846</v>
      </c>
      <c r="AU638" s="231"/>
      <c r="AV638" s="231"/>
      <c r="AW638" s="231"/>
      <c r="AX638" s="231"/>
    </row>
    <row r="639" spans="1:51">
      <c r="B639" s="302"/>
      <c r="C639" s="290"/>
      <c r="D639" s="454" t="str">
        <f t="shared" si="305"/>
        <v>Food crops</v>
      </c>
      <c r="E639" s="3012"/>
      <c r="F639" s="2209"/>
      <c r="G639" s="119"/>
      <c r="H639" s="119"/>
      <c r="I639" s="119"/>
      <c r="J639" s="278">
        <v>39</v>
      </c>
      <c r="K639" s="278">
        <v>41</v>
      </c>
      <c r="L639" s="278">
        <v>41</v>
      </c>
      <c r="M639" s="278">
        <v>35</v>
      </c>
      <c r="N639" s="278">
        <v>50</v>
      </c>
      <c r="O639" s="278">
        <v>60</v>
      </c>
      <c r="P639" s="278">
        <v>66</v>
      </c>
      <c r="Q639" s="278">
        <v>21.5</v>
      </c>
      <c r="R639" s="278">
        <v>24</v>
      </c>
      <c r="S639" s="278">
        <v>25</v>
      </c>
      <c r="T639" s="278">
        <v>28.5</v>
      </c>
      <c r="U639" s="278">
        <v>28.75</v>
      </c>
      <c r="V639" s="278">
        <v>32.25</v>
      </c>
      <c r="W639" s="278">
        <v>36.25</v>
      </c>
      <c r="X639" s="278">
        <v>56.5</v>
      </c>
      <c r="Y639" s="278">
        <v>41.5</v>
      </c>
      <c r="Z639" s="278">
        <v>43.25</v>
      </c>
      <c r="AA639" s="278">
        <v>52</v>
      </c>
      <c r="AB639" s="278">
        <v>59.5</v>
      </c>
      <c r="AC639" s="278">
        <v>50.25</v>
      </c>
      <c r="AD639" s="278">
        <v>51.25</v>
      </c>
      <c r="AE639" s="278">
        <v>62</v>
      </c>
      <c r="AF639" s="120">
        <v>56.25</v>
      </c>
      <c r="AG639" s="120">
        <v>73.5</v>
      </c>
      <c r="AH639" s="120">
        <v>102.5</v>
      </c>
      <c r="AI639" s="2196">
        <v>98.75</v>
      </c>
      <c r="AJ639" s="2188">
        <f t="shared" ref="AJ639:AO639" si="307">+AI639*AJ$953/AI$953</f>
        <v>105.32052961273666</v>
      </c>
      <c r="AK639" s="120">
        <f t="shared" si="307"/>
        <v>116.21046064903689</v>
      </c>
      <c r="AL639" s="120">
        <f t="shared" si="307"/>
        <v>119.00780572641098</v>
      </c>
      <c r="AM639" s="120">
        <f t="shared" si="307"/>
        <v>123.25291885910677</v>
      </c>
      <c r="AN639" s="120">
        <f t="shared" si="307"/>
        <v>129.57462553901161</v>
      </c>
      <c r="AO639" s="120">
        <f t="shared" si="307"/>
        <v>136.42016870375443</v>
      </c>
      <c r="AP639" s="1807">
        <f>+AO639*AP$953/AO$953</f>
        <v>142.79689048618937</v>
      </c>
      <c r="AQ639" s="1807">
        <f>+AP639*AQ$953/AP$953</f>
        <v>150.53481687536066</v>
      </c>
      <c r="AR639" s="1807">
        <f>+AQ639*AR$953/AQ$953</f>
        <v>158.86967292079052</v>
      </c>
      <c r="AS639" s="1807">
        <f>+AR639*AS$953/AR$953</f>
        <v>165.44576809316067</v>
      </c>
      <c r="AT639" s="1807">
        <f>+AS639*AT$953/AS$953</f>
        <v>169.36139901650466</v>
      </c>
      <c r="AU639" s="231"/>
      <c r="AV639" s="231"/>
      <c r="AW639" s="231"/>
      <c r="AX639" s="231"/>
    </row>
    <row r="640" spans="1:51">
      <c r="B640" s="668" t="s">
        <v>601</v>
      </c>
      <c r="C640" s="290" t="s">
        <v>30</v>
      </c>
      <c r="D640" s="122" t="str">
        <f t="shared" si="305"/>
        <v>Export crops</v>
      </c>
      <c r="E640" s="3013"/>
      <c r="F640" s="2210"/>
      <c r="G640" s="121"/>
      <c r="H640" s="121"/>
      <c r="I640" s="121"/>
      <c r="J640" s="278">
        <v>10</v>
      </c>
      <c r="K640" s="278">
        <v>10</v>
      </c>
      <c r="L640" s="278">
        <v>10</v>
      </c>
      <c r="M640" s="278">
        <v>7</v>
      </c>
      <c r="N640" s="278">
        <v>10</v>
      </c>
      <c r="O640" s="278">
        <v>11</v>
      </c>
      <c r="P640" s="278">
        <v>19</v>
      </c>
      <c r="Q640" s="278">
        <v>20.5</v>
      </c>
      <c r="R640" s="278">
        <v>20.5</v>
      </c>
      <c r="S640" s="278">
        <v>21.5</v>
      </c>
      <c r="T640" s="278">
        <v>24.75</v>
      </c>
      <c r="U640" s="278">
        <v>26.25</v>
      </c>
      <c r="V640" s="278">
        <v>26.5</v>
      </c>
      <c r="W640" s="278">
        <v>30.75</v>
      </c>
      <c r="X640" s="278">
        <v>42.75</v>
      </c>
      <c r="Y640" s="278">
        <v>34</v>
      </c>
      <c r="Z640" s="278">
        <v>30.75</v>
      </c>
      <c r="AA640" s="278">
        <v>35</v>
      </c>
      <c r="AB640" s="278">
        <v>45.25</v>
      </c>
      <c r="AC640" s="278">
        <v>44</v>
      </c>
      <c r="AD640" s="278">
        <v>37</v>
      </c>
      <c r="AE640" s="278">
        <v>46.666666666666664</v>
      </c>
      <c r="AF640" s="120">
        <v>45.25</v>
      </c>
      <c r="AG640" s="120">
        <v>75.75</v>
      </c>
      <c r="AH640" s="120">
        <v>77.25</v>
      </c>
      <c r="AI640" s="2196">
        <v>100.75</v>
      </c>
      <c r="AJ640" s="2188">
        <f t="shared" ref="AJ640:AO640" si="308">+AI640*AJ$952/AI$952</f>
        <v>107.30742195029262</v>
      </c>
      <c r="AK640" s="120">
        <f t="shared" si="308"/>
        <v>115.07149450912183</v>
      </c>
      <c r="AL640" s="120">
        <f t="shared" si="308"/>
        <v>121.15815873643869</v>
      </c>
      <c r="AM640" s="120">
        <f t="shared" si="308"/>
        <v>126.22211008213705</v>
      </c>
      <c r="AN640" s="120">
        <f t="shared" si="308"/>
        <v>131.04585202796721</v>
      </c>
      <c r="AO640" s="120">
        <f t="shared" si="308"/>
        <v>135.96125788969019</v>
      </c>
      <c r="AP640" s="1807">
        <f>+AO640*AP$952/AO$952</f>
        <v>141.10314633442641</v>
      </c>
      <c r="AQ640" s="1807">
        <f>+AP640*AQ$952/AP$952</f>
        <v>146.46826253844318</v>
      </c>
      <c r="AR640" s="1807">
        <f>+AQ640*AR$952/AQ$952</f>
        <v>152.05205423193144</v>
      </c>
      <c r="AS640" s="1807">
        <f>+AR640*AS$952/AR$952</f>
        <v>157.87413060361476</v>
      </c>
      <c r="AT640" s="1807">
        <f>+AS640*AT$952/AS$952</f>
        <v>163.94361636960767</v>
      </c>
      <c r="AU640" s="231"/>
      <c r="AV640" s="231"/>
      <c r="AW640" s="231"/>
      <c r="AX640" s="231"/>
    </row>
    <row r="641" spans="2:50">
      <c r="B641" s="302"/>
      <c r="C641" s="290"/>
      <c r="D641" s="122" t="str">
        <f t="shared" si="305"/>
        <v>Livestock &amp; livestock products</v>
      </c>
      <c r="E641" s="3012"/>
      <c r="F641" s="2209"/>
      <c r="G641" s="119"/>
      <c r="H641" s="119"/>
      <c r="I641" s="119"/>
      <c r="J641" s="278">
        <v>22</v>
      </c>
      <c r="K641" s="278">
        <v>21</v>
      </c>
      <c r="L641" s="278">
        <v>22</v>
      </c>
      <c r="M641" s="278">
        <v>25</v>
      </c>
      <c r="N641" s="278">
        <v>25</v>
      </c>
      <c r="O641" s="278">
        <v>28</v>
      </c>
      <c r="P641" s="278">
        <v>29</v>
      </c>
      <c r="Q641" s="278">
        <v>29.5</v>
      </c>
      <c r="R641" s="278">
        <v>30.25</v>
      </c>
      <c r="S641" s="278">
        <v>37.5</v>
      </c>
      <c r="T641" s="278">
        <v>43.75</v>
      </c>
      <c r="U641" s="278">
        <v>43.75</v>
      </c>
      <c r="V641" s="278">
        <v>47.5</v>
      </c>
      <c r="W641" s="278">
        <v>50.25</v>
      </c>
      <c r="X641" s="278">
        <v>67</v>
      </c>
      <c r="Y641" s="278">
        <v>53.25</v>
      </c>
      <c r="Z641" s="278">
        <v>54.75</v>
      </c>
      <c r="AA641" s="278">
        <v>57.25</v>
      </c>
      <c r="AB641" s="278">
        <v>59</v>
      </c>
      <c r="AC641" s="278">
        <v>58.75</v>
      </c>
      <c r="AD641" s="278">
        <v>61.5</v>
      </c>
      <c r="AE641" s="278">
        <v>68.666666666666671</v>
      </c>
      <c r="AF641" s="120">
        <v>72.5</v>
      </c>
      <c r="AG641" s="120">
        <v>83.75</v>
      </c>
      <c r="AH641" s="120">
        <v>93.75</v>
      </c>
      <c r="AI641" s="2196">
        <v>99.75</v>
      </c>
      <c r="AJ641" s="2188">
        <f t="shared" ref="AJ641:AT641" si="309">+AI641*AJ$953/AI$953</f>
        <v>106.38706662147324</v>
      </c>
      <c r="AK641" s="120">
        <f t="shared" si="309"/>
        <v>117.38727544041956</v>
      </c>
      <c r="AL641" s="120">
        <f t="shared" si="309"/>
        <v>120.21294806288097</v>
      </c>
      <c r="AM641" s="120">
        <f t="shared" si="309"/>
        <v>124.50104968299647</v>
      </c>
      <c r="AN641" s="120">
        <f t="shared" si="309"/>
        <v>130.88677364573579</v>
      </c>
      <c r="AO641" s="120">
        <f t="shared" si="309"/>
        <v>137.80163876657724</v>
      </c>
      <c r="AP641" s="1807">
        <f t="shared" si="309"/>
        <v>144.24293494680899</v>
      </c>
      <c r="AQ641" s="1807">
        <f t="shared" si="309"/>
        <v>152.05922008422505</v>
      </c>
      <c r="AR641" s="1807">
        <f t="shared" si="309"/>
        <v>160.47847973517824</v>
      </c>
      <c r="AS641" s="1807">
        <f t="shared" si="309"/>
        <v>167.12116827638252</v>
      </c>
      <c r="AT641" s="1807">
        <f t="shared" si="309"/>
        <v>171.07645115844394</v>
      </c>
      <c r="AU641" s="231"/>
      <c r="AV641" s="231"/>
      <c r="AW641" s="231"/>
      <c r="AX641" s="231"/>
    </row>
    <row r="642" spans="2:50">
      <c r="B642" s="302"/>
      <c r="C642" s="290"/>
      <c r="D642" s="122" t="str">
        <f t="shared" si="305"/>
        <v>Forestry</v>
      </c>
      <c r="E642" s="3012"/>
      <c r="F642" s="2209"/>
      <c r="G642" s="119"/>
      <c r="H642" s="119"/>
      <c r="I642" s="119"/>
      <c r="J642" s="278">
        <v>5</v>
      </c>
      <c r="K642" s="278">
        <v>5</v>
      </c>
      <c r="L642" s="278">
        <v>6</v>
      </c>
      <c r="M642" s="278">
        <v>7</v>
      </c>
      <c r="N642" s="278">
        <v>7</v>
      </c>
      <c r="O642" s="278">
        <v>11</v>
      </c>
      <c r="P642" s="278">
        <v>14</v>
      </c>
      <c r="Q642" s="278">
        <v>42.5</v>
      </c>
      <c r="R642" s="278">
        <v>42.25</v>
      </c>
      <c r="S642" s="278">
        <v>53</v>
      </c>
      <c r="T642" s="278">
        <v>55.75</v>
      </c>
      <c r="U642" s="278">
        <v>57</v>
      </c>
      <c r="V642" s="278">
        <v>61</v>
      </c>
      <c r="W642" s="278">
        <v>65</v>
      </c>
      <c r="X642" s="278">
        <v>86</v>
      </c>
      <c r="Y642" s="278">
        <v>66</v>
      </c>
      <c r="Z642" s="278">
        <v>67</v>
      </c>
      <c r="AA642" s="278">
        <v>67.75</v>
      </c>
      <c r="AB642" s="278">
        <v>68.75</v>
      </c>
      <c r="AC642" s="278">
        <v>85.75</v>
      </c>
      <c r="AD642" s="278">
        <v>85.25</v>
      </c>
      <c r="AE642" s="278">
        <v>83.666666666666671</v>
      </c>
      <c r="AF642" s="120">
        <v>88.5</v>
      </c>
      <c r="AG642" s="120">
        <v>100.75</v>
      </c>
      <c r="AH642" s="120">
        <v>100</v>
      </c>
      <c r="AI642" s="2196">
        <v>100</v>
      </c>
      <c r="AJ642" s="2188">
        <f t="shared" ref="AJ642:AT642" si="310">+AI642*AJ$953/AI$953</f>
        <v>106.65370087365739</v>
      </c>
      <c r="AK642" s="120">
        <f t="shared" si="310"/>
        <v>117.68147913826522</v>
      </c>
      <c r="AL642" s="120">
        <f t="shared" si="310"/>
        <v>120.51423364699846</v>
      </c>
      <c r="AM642" s="120">
        <f t="shared" si="310"/>
        <v>124.81308238896889</v>
      </c>
      <c r="AN642" s="120">
        <f t="shared" si="310"/>
        <v>131.21481067241683</v>
      </c>
      <c r="AO642" s="120">
        <f t="shared" si="310"/>
        <v>138.14700628228297</v>
      </c>
      <c r="AP642" s="1807">
        <f t="shared" si="310"/>
        <v>144.60444606196393</v>
      </c>
      <c r="AQ642" s="1807">
        <f t="shared" si="310"/>
        <v>152.44032088644119</v>
      </c>
      <c r="AR642" s="1807">
        <f t="shared" si="310"/>
        <v>160.88068143877521</v>
      </c>
      <c r="AS642" s="1807">
        <f t="shared" si="310"/>
        <v>167.54001832218802</v>
      </c>
      <c r="AT642" s="1807">
        <f t="shared" si="310"/>
        <v>171.50521419392879</v>
      </c>
      <c r="AU642" s="231"/>
      <c r="AV642" s="231"/>
      <c r="AW642" s="231"/>
      <c r="AX642" s="231"/>
    </row>
    <row r="643" spans="2:50" ht="16.75" thickBot="1">
      <c r="B643" s="302"/>
      <c r="C643" s="290"/>
      <c r="D643" s="123" t="str">
        <f t="shared" si="305"/>
        <v>Fishing</v>
      </c>
      <c r="E643" s="3013"/>
      <c r="F643" s="2210"/>
      <c r="G643" s="121"/>
      <c r="H643" s="121"/>
      <c r="I643" s="121"/>
      <c r="J643" s="279">
        <v>18</v>
      </c>
      <c r="K643" s="279">
        <v>16</v>
      </c>
      <c r="L643" s="279">
        <v>15</v>
      </c>
      <c r="M643" s="279">
        <v>18</v>
      </c>
      <c r="N643" s="279">
        <v>20</v>
      </c>
      <c r="O643" s="279">
        <v>22</v>
      </c>
      <c r="P643" s="279">
        <v>25</v>
      </c>
      <c r="Q643" s="279">
        <v>18.5</v>
      </c>
      <c r="R643" s="279">
        <v>20</v>
      </c>
      <c r="S643" s="279">
        <v>25.5</v>
      </c>
      <c r="T643" s="279">
        <v>29</v>
      </c>
      <c r="U643" s="279">
        <v>32</v>
      </c>
      <c r="V643" s="279">
        <v>37.5</v>
      </c>
      <c r="W643" s="279">
        <v>43.75</v>
      </c>
      <c r="X643" s="279">
        <v>63.25</v>
      </c>
      <c r="Y643" s="279">
        <v>50.25</v>
      </c>
      <c r="Z643" s="279">
        <v>54.25</v>
      </c>
      <c r="AA643" s="279">
        <v>55.25</v>
      </c>
      <c r="AB643" s="279">
        <v>58</v>
      </c>
      <c r="AC643" s="279">
        <v>60.5</v>
      </c>
      <c r="AD643" s="279">
        <v>57.25</v>
      </c>
      <c r="AE643" s="279">
        <v>68</v>
      </c>
      <c r="AF643" s="124">
        <v>60</v>
      </c>
      <c r="AG643" s="124">
        <v>74</v>
      </c>
      <c r="AH643" s="124">
        <v>79.5</v>
      </c>
      <c r="AI643" s="2262">
        <v>99.5</v>
      </c>
      <c r="AJ643" s="2189">
        <f t="shared" ref="AJ643:AT643" si="311">+AI643*AJ$953/AI$953</f>
        <v>106.12043236928909</v>
      </c>
      <c r="AK643" s="124">
        <f t="shared" si="311"/>
        <v>117.09307174257388</v>
      </c>
      <c r="AL643" s="124">
        <f t="shared" si="311"/>
        <v>119.91166247876346</v>
      </c>
      <c r="AM643" s="124">
        <f t="shared" si="311"/>
        <v>124.18901697702402</v>
      </c>
      <c r="AN643" s="124">
        <f t="shared" si="311"/>
        <v>130.55873661905471</v>
      </c>
      <c r="AO643" s="124">
        <f t="shared" si="311"/>
        <v>137.45627125087154</v>
      </c>
      <c r="AP643" s="1808">
        <f t="shared" si="311"/>
        <v>143.88142383165408</v>
      </c>
      <c r="AQ643" s="1808">
        <f t="shared" si="311"/>
        <v>151.67811928200896</v>
      </c>
      <c r="AR643" s="1808">
        <f t="shared" si="311"/>
        <v>160.07627803158132</v>
      </c>
      <c r="AS643" s="1808">
        <f t="shared" si="311"/>
        <v>166.70231823057708</v>
      </c>
      <c r="AT643" s="1808">
        <f t="shared" si="311"/>
        <v>170.64768812295915</v>
      </c>
      <c r="AU643" s="231"/>
      <c r="AV643" s="231"/>
      <c r="AW643" s="231"/>
      <c r="AX643" s="231"/>
    </row>
    <row r="644" spans="2:50" ht="16.75" thickBot="1">
      <c r="B644" s="302"/>
      <c r="C644" s="290"/>
      <c r="D644" s="104" t="str">
        <f t="shared" si="305"/>
        <v>INDUSTRY</v>
      </c>
      <c r="E644" s="3014"/>
      <c r="F644" s="2943"/>
      <c r="G644" s="115"/>
      <c r="H644" s="115"/>
      <c r="I644" s="115"/>
      <c r="J644" s="276">
        <v>42</v>
      </c>
      <c r="K644" s="276">
        <v>42</v>
      </c>
      <c r="L644" s="276">
        <v>40</v>
      </c>
      <c r="M644" s="276">
        <v>39</v>
      </c>
      <c r="N644" s="276">
        <v>40</v>
      </c>
      <c r="O644" s="276">
        <v>43</v>
      </c>
      <c r="P644" s="276">
        <v>48</v>
      </c>
      <c r="Q644" s="276">
        <v>28</v>
      </c>
      <c r="R644" s="276">
        <v>32.75</v>
      </c>
      <c r="S644" s="276">
        <v>35</v>
      </c>
      <c r="T644" s="276">
        <v>38.25</v>
      </c>
      <c r="U644" s="276">
        <v>40.25</v>
      </c>
      <c r="V644" s="276">
        <v>44.5</v>
      </c>
      <c r="W644" s="276">
        <v>46.5</v>
      </c>
      <c r="X644" s="276">
        <v>64.25</v>
      </c>
      <c r="Y644" s="276">
        <v>48</v>
      </c>
      <c r="Z644" s="276">
        <v>48</v>
      </c>
      <c r="AA644" s="276">
        <v>48</v>
      </c>
      <c r="AB644" s="276">
        <v>54.75</v>
      </c>
      <c r="AC644" s="276">
        <v>55.25</v>
      </c>
      <c r="AD644" s="276">
        <v>59</v>
      </c>
      <c r="AE644" s="276">
        <v>64</v>
      </c>
      <c r="AF644" s="114">
        <v>76.25</v>
      </c>
      <c r="AG644" s="114">
        <v>82</v>
      </c>
      <c r="AH644" s="114">
        <v>90.25</v>
      </c>
      <c r="AI644" s="2261">
        <v>100</v>
      </c>
      <c r="AJ644" s="2193">
        <f t="shared" ref="AJ644:AO644" si="312">+AI644*(((AI$601+AI$610+AI$611+AI$612)*(AJ$953/AI$953)+AI$600*(AJ$952/AI$952))/AI$599)</f>
        <v>106.66627835531553</v>
      </c>
      <c r="AK644" s="114">
        <f t="shared" si="312"/>
        <v>117.44005950621501</v>
      </c>
      <c r="AL644" s="114">
        <f t="shared" si="312"/>
        <v>120.5289958048235</v>
      </c>
      <c r="AM644" s="114">
        <f t="shared" si="312"/>
        <v>124.88563832779006</v>
      </c>
      <c r="AN644" s="114">
        <f t="shared" si="312"/>
        <v>131.16229577991265</v>
      </c>
      <c r="AO644" s="114">
        <f t="shared" si="312"/>
        <v>137.93191406800582</v>
      </c>
      <c r="AP644" s="1806">
        <f>+AO644*(((AO$601+AO$610+AO$611+AO$612)*(AP$953/AO$953)+AO$600*(AP$952/AO$952))/AO$599)</f>
        <v>144.27765672548531</v>
      </c>
      <c r="AQ644" s="1806">
        <f>+AP644*(((AP$601+AP$610+AP$611+AP$612)*(AQ$953/AP$953)+AP$600*(AQ$952/AP$952))/AP$599)</f>
        <v>151.89564276578486</v>
      </c>
      <c r="AR644" s="1806">
        <f>+AQ644*(((AQ$601+AQ$610+AQ$611+AQ$612)*(AR$953/AQ$953)+AQ$600*(AR$952/AQ$952))/AQ$599)</f>
        <v>160.07204876526126</v>
      </c>
      <c r="AS644" s="1806">
        <f>+AR644*(((AR$601+AR$610+AR$611+AR$612)*(AS$953/AR$953)+AR$600*(AS$952/AR$952))/AR$599)</f>
        <v>166.65183606856525</v>
      </c>
      <c r="AT644" s="1806">
        <f>+AS644*(((AS$601+AS$610+AS$611+AS$612)*(AT$953/AS$953)+AS$600*(AT$952/AS$952))/AS$599)</f>
        <v>170.83325655539835</v>
      </c>
      <c r="AU644" s="231"/>
      <c r="AV644" s="231"/>
      <c r="AW644" s="231"/>
      <c r="AX644" s="231"/>
    </row>
    <row r="645" spans="2:50">
      <c r="B645" s="668" t="s">
        <v>601</v>
      </c>
      <c r="C645" s="290"/>
      <c r="D645" s="484" t="str">
        <f t="shared" si="305"/>
        <v>Mining &amp; quarrying</v>
      </c>
      <c r="E645" s="3012"/>
      <c r="F645" s="2209"/>
      <c r="G645" s="119"/>
      <c r="H645" s="119"/>
      <c r="I645" s="119"/>
      <c r="J645" s="278">
        <v>4</v>
      </c>
      <c r="K645" s="278">
        <v>5</v>
      </c>
      <c r="L645" s="278">
        <v>8</v>
      </c>
      <c r="M645" s="278">
        <v>5</v>
      </c>
      <c r="N645" s="278">
        <v>6</v>
      </c>
      <c r="O645" s="278">
        <v>13</v>
      </c>
      <c r="P645" s="278">
        <v>12</v>
      </c>
      <c r="Q645" s="278">
        <v>13</v>
      </c>
      <c r="R645" s="278">
        <v>17.75</v>
      </c>
      <c r="S645" s="278">
        <v>25.25</v>
      </c>
      <c r="T645" s="278">
        <v>19.5</v>
      </c>
      <c r="U645" s="278">
        <v>30</v>
      </c>
      <c r="V645" s="278">
        <v>46</v>
      </c>
      <c r="W645" s="278">
        <v>46.75</v>
      </c>
      <c r="X645" s="278">
        <v>41.75</v>
      </c>
      <c r="Y645" s="278">
        <v>47.5</v>
      </c>
      <c r="Z645" s="278">
        <v>44.75</v>
      </c>
      <c r="AA645" s="278">
        <v>41.5</v>
      </c>
      <c r="AB645" s="278">
        <v>51.5</v>
      </c>
      <c r="AC645" s="278">
        <v>55.5</v>
      </c>
      <c r="AD645" s="278">
        <v>37.5</v>
      </c>
      <c r="AE645" s="278">
        <v>46.333333333333336</v>
      </c>
      <c r="AF645" s="120">
        <v>106.25</v>
      </c>
      <c r="AG645" s="120">
        <v>101</v>
      </c>
      <c r="AH645" s="120">
        <v>86.75</v>
      </c>
      <c r="AI645" s="2196">
        <v>100</v>
      </c>
      <c r="AJ645" s="2188">
        <f t="shared" ref="AJ645:AO645" si="313">+AI645*AJ$952/AI$952</f>
        <v>106.50860739483139</v>
      </c>
      <c r="AK645" s="120">
        <f t="shared" si="313"/>
        <v>114.21488288746583</v>
      </c>
      <c r="AL645" s="120">
        <f t="shared" si="313"/>
        <v>120.25623695924436</v>
      </c>
      <c r="AM645" s="120">
        <f t="shared" si="313"/>
        <v>125.2824913966621</v>
      </c>
      <c r="AN645" s="120">
        <f t="shared" si="313"/>
        <v>130.07032459351586</v>
      </c>
      <c r="AO645" s="120">
        <f t="shared" si="313"/>
        <v>134.94913934460564</v>
      </c>
      <c r="AP645" s="1807">
        <f>+AO645*AP$952/AO$952</f>
        <v>140.05275070414532</v>
      </c>
      <c r="AQ645" s="1807">
        <f>+AP645*AQ$952/AP$952</f>
        <v>145.37792807785922</v>
      </c>
      <c r="AR645" s="1807">
        <f>+AQ645*AR$952/AQ$952</f>
        <v>150.92015308380289</v>
      </c>
      <c r="AS645" s="1807">
        <f>+AR645*AS$952/AR$952</f>
        <v>156.69888893659029</v>
      </c>
      <c r="AT645" s="1807">
        <f>+AS645*AT$952/AS$952</f>
        <v>162.72319242640958</v>
      </c>
      <c r="AU645" s="231"/>
      <c r="AV645" s="231"/>
      <c r="AW645" s="231"/>
      <c r="AX645" s="231"/>
    </row>
    <row r="646" spans="2:50">
      <c r="B646" s="302"/>
      <c r="C646" s="290"/>
      <c r="D646" s="454" t="str">
        <f t="shared" si="305"/>
        <v>TOTAL MANUFACTURING</v>
      </c>
      <c r="E646" s="3012"/>
      <c r="F646" s="2209"/>
      <c r="G646" s="119"/>
      <c r="H646" s="119"/>
      <c r="I646" s="119"/>
      <c r="J646" s="278">
        <v>35</v>
      </c>
      <c r="K646" s="278">
        <v>37</v>
      </c>
      <c r="L646" s="278">
        <v>34</v>
      </c>
      <c r="M646" s="278">
        <v>34</v>
      </c>
      <c r="N646" s="278">
        <v>37</v>
      </c>
      <c r="O646" s="278">
        <v>39</v>
      </c>
      <c r="P646" s="278">
        <v>42</v>
      </c>
      <c r="Q646" s="278">
        <v>28</v>
      </c>
      <c r="R646" s="278">
        <v>30.5</v>
      </c>
      <c r="S646" s="278">
        <v>35.5</v>
      </c>
      <c r="T646" s="278">
        <v>39.5</v>
      </c>
      <c r="U646" s="278">
        <v>41.5</v>
      </c>
      <c r="V646" s="278">
        <v>45</v>
      </c>
      <c r="W646" s="278">
        <v>47.75</v>
      </c>
      <c r="X646" s="278">
        <v>70</v>
      </c>
      <c r="Y646" s="278">
        <v>51.25</v>
      </c>
      <c r="Z646" s="278">
        <v>52.25</v>
      </c>
      <c r="AA646" s="278">
        <v>53.5</v>
      </c>
      <c r="AB646" s="278">
        <v>64.5</v>
      </c>
      <c r="AC646" s="278">
        <v>60.25</v>
      </c>
      <c r="AD646" s="278">
        <v>66.5</v>
      </c>
      <c r="AE646" s="278">
        <v>70.666666666666671</v>
      </c>
      <c r="AF646" s="120">
        <v>78.25</v>
      </c>
      <c r="AG646" s="120">
        <v>93.5</v>
      </c>
      <c r="AH646" s="120">
        <v>96.5</v>
      </c>
      <c r="AI646" s="2196">
        <v>100.25</v>
      </c>
      <c r="AJ646" s="2188">
        <f t="shared" ref="AJ646:AT646" si="314">+AI646*AJ$953/AI$953</f>
        <v>106.92033512584153</v>
      </c>
      <c r="AK646" s="120">
        <f t="shared" si="314"/>
        <v>117.97568283611089</v>
      </c>
      <c r="AL646" s="120">
        <f t="shared" si="314"/>
        <v>120.81551923111597</v>
      </c>
      <c r="AM646" s="120">
        <f t="shared" si="314"/>
        <v>125.12511509494132</v>
      </c>
      <c r="AN646" s="120">
        <f t="shared" si="314"/>
        <v>131.54284769909788</v>
      </c>
      <c r="AO646" s="120">
        <f t="shared" si="314"/>
        <v>138.49237379798868</v>
      </c>
      <c r="AP646" s="1807">
        <f t="shared" si="314"/>
        <v>144.96595717711884</v>
      </c>
      <c r="AQ646" s="1807">
        <f t="shared" si="314"/>
        <v>152.8214216886573</v>
      </c>
      <c r="AR646" s="1807">
        <f t="shared" si="314"/>
        <v>161.28288314237219</v>
      </c>
      <c r="AS646" s="1807">
        <f t="shared" si="314"/>
        <v>167.95886836799355</v>
      </c>
      <c r="AT646" s="1807">
        <f t="shared" si="314"/>
        <v>171.93397722941364</v>
      </c>
      <c r="AU646" s="231"/>
      <c r="AV646" s="231"/>
      <c r="AW646" s="231"/>
      <c r="AX646" s="231"/>
    </row>
    <row r="647" spans="2:50">
      <c r="B647" s="302"/>
      <c r="C647" s="290"/>
      <c r="D647" s="154" t="str">
        <f t="shared" si="305"/>
        <v>Manufacturing of food</v>
      </c>
      <c r="E647" s="3015"/>
      <c r="F647" s="2213"/>
      <c r="G647" s="126"/>
      <c r="H647" s="126"/>
      <c r="I647" s="126"/>
      <c r="J647" s="277">
        <v>16</v>
      </c>
      <c r="K647" s="277">
        <v>18</v>
      </c>
      <c r="L647" s="277">
        <v>17</v>
      </c>
      <c r="M647" s="277">
        <v>17</v>
      </c>
      <c r="N647" s="277">
        <v>20</v>
      </c>
      <c r="O647" s="277">
        <v>24</v>
      </c>
      <c r="P647" s="277">
        <v>28</v>
      </c>
      <c r="Q647" s="277">
        <v>35.5</v>
      </c>
      <c r="R647" s="277">
        <v>37.75</v>
      </c>
      <c r="S647" s="277">
        <v>46.5</v>
      </c>
      <c r="T647" s="277">
        <v>54.75</v>
      </c>
      <c r="U647" s="277">
        <v>58.25</v>
      </c>
      <c r="V647" s="277">
        <v>65.25</v>
      </c>
      <c r="W647" s="277">
        <v>72</v>
      </c>
      <c r="X647" s="277">
        <v>111.75</v>
      </c>
      <c r="Y647" s="277">
        <v>73.75</v>
      </c>
      <c r="Z647" s="277">
        <v>75.5</v>
      </c>
      <c r="AA647" s="277">
        <v>80.25</v>
      </c>
      <c r="AB647" s="277">
        <v>121</v>
      </c>
      <c r="AC647" s="277">
        <v>88</v>
      </c>
      <c r="AD647" s="277">
        <v>108.75</v>
      </c>
      <c r="AE647" s="277">
        <v>111.66666666666667</v>
      </c>
      <c r="AF647" s="128">
        <v>91.75</v>
      </c>
      <c r="AG647" s="128">
        <v>123.25</v>
      </c>
      <c r="AH647" s="128">
        <v>123.25</v>
      </c>
      <c r="AI647" s="2197">
        <v>99.75</v>
      </c>
      <c r="AJ647" s="2190">
        <f t="shared" ref="AJ647:AT647" si="315">+AI647*AJ$953/AI$953</f>
        <v>106.38706662147324</v>
      </c>
      <c r="AK647" s="128">
        <f t="shared" si="315"/>
        <v>117.38727544041956</v>
      </c>
      <c r="AL647" s="128">
        <f t="shared" si="315"/>
        <v>120.21294806288097</v>
      </c>
      <c r="AM647" s="128">
        <f t="shared" si="315"/>
        <v>124.50104968299647</v>
      </c>
      <c r="AN647" s="128">
        <f t="shared" si="315"/>
        <v>130.88677364573579</v>
      </c>
      <c r="AO647" s="128">
        <f t="shared" si="315"/>
        <v>137.80163876657724</v>
      </c>
      <c r="AP647" s="1809">
        <f t="shared" si="315"/>
        <v>144.24293494680899</v>
      </c>
      <c r="AQ647" s="1809">
        <f t="shared" si="315"/>
        <v>152.05922008422505</v>
      </c>
      <c r="AR647" s="1809">
        <f t="shared" si="315"/>
        <v>160.47847973517824</v>
      </c>
      <c r="AS647" s="1809">
        <f t="shared" si="315"/>
        <v>167.12116827638252</v>
      </c>
      <c r="AT647" s="1809">
        <f t="shared" si="315"/>
        <v>171.07645115844394</v>
      </c>
      <c r="AU647" s="231"/>
      <c r="AV647" s="231"/>
      <c r="AW647" s="231"/>
      <c r="AX647" s="231"/>
    </row>
    <row r="648" spans="2:50">
      <c r="B648" s="302"/>
      <c r="C648" s="290"/>
      <c r="D648" s="154" t="str">
        <f t="shared" si="305"/>
        <v>Manufacturing of beverages &amp; tobacco</v>
      </c>
      <c r="E648" s="3013"/>
      <c r="F648" s="2210"/>
      <c r="G648" s="121"/>
      <c r="H648" s="121"/>
      <c r="I648" s="121"/>
      <c r="J648" s="277">
        <v>26</v>
      </c>
      <c r="K648" s="277">
        <v>26</v>
      </c>
      <c r="L648" s="277">
        <v>27</v>
      </c>
      <c r="M648" s="277">
        <v>28</v>
      </c>
      <c r="N648" s="277">
        <v>29</v>
      </c>
      <c r="O648" s="277">
        <v>30</v>
      </c>
      <c r="P648" s="277">
        <v>31</v>
      </c>
      <c r="Q648" s="277">
        <v>11.25</v>
      </c>
      <c r="R648" s="277">
        <v>13</v>
      </c>
      <c r="S648" s="277">
        <v>16.5</v>
      </c>
      <c r="T648" s="277">
        <v>21.5</v>
      </c>
      <c r="U648" s="277">
        <v>23</v>
      </c>
      <c r="V648" s="277">
        <v>23.25</v>
      </c>
      <c r="W648" s="277">
        <v>25.75</v>
      </c>
      <c r="X648" s="277">
        <v>41.75</v>
      </c>
      <c r="Y648" s="277">
        <v>29</v>
      </c>
      <c r="Z648" s="277">
        <v>29.25</v>
      </c>
      <c r="AA648" s="277">
        <v>30.25</v>
      </c>
      <c r="AB648" s="277">
        <v>37.75</v>
      </c>
      <c r="AC648" s="277">
        <v>40.5</v>
      </c>
      <c r="AD648" s="277">
        <v>39.75</v>
      </c>
      <c r="AE648" s="277">
        <v>39</v>
      </c>
      <c r="AF648" s="128">
        <v>60.75</v>
      </c>
      <c r="AG648" s="128">
        <v>66</v>
      </c>
      <c r="AH648" s="128">
        <v>80.25</v>
      </c>
      <c r="AI648" s="2197">
        <v>100.25</v>
      </c>
      <c r="AJ648" s="2190">
        <f t="shared" ref="AJ648:AT648" si="316">+AI648*AJ$953/AI$953</f>
        <v>106.92033512584153</v>
      </c>
      <c r="AK648" s="128">
        <f t="shared" si="316"/>
        <v>117.97568283611089</v>
      </c>
      <c r="AL648" s="128">
        <f t="shared" si="316"/>
        <v>120.81551923111597</v>
      </c>
      <c r="AM648" s="128">
        <f t="shared" si="316"/>
        <v>125.12511509494132</v>
      </c>
      <c r="AN648" s="128">
        <f t="shared" si="316"/>
        <v>131.54284769909788</v>
      </c>
      <c r="AO648" s="128">
        <f t="shared" si="316"/>
        <v>138.49237379798868</v>
      </c>
      <c r="AP648" s="1809">
        <f t="shared" si="316"/>
        <v>144.96595717711884</v>
      </c>
      <c r="AQ648" s="1809">
        <f t="shared" si="316"/>
        <v>152.8214216886573</v>
      </c>
      <c r="AR648" s="1809">
        <f t="shared" si="316"/>
        <v>161.28288314237219</v>
      </c>
      <c r="AS648" s="1809">
        <f t="shared" si="316"/>
        <v>167.95886836799355</v>
      </c>
      <c r="AT648" s="1809">
        <f t="shared" si="316"/>
        <v>171.93397722941364</v>
      </c>
      <c r="AU648" s="231"/>
      <c r="AV648" s="231"/>
      <c r="AW648" s="231"/>
      <c r="AX648" s="231"/>
    </row>
    <row r="649" spans="2:50">
      <c r="B649" s="302"/>
      <c r="C649" s="290"/>
      <c r="D649" s="154" t="str">
        <f t="shared" si="305"/>
        <v>Manufacturing of textiles, clothing &amp; leather goods</v>
      </c>
      <c r="E649" s="3013"/>
      <c r="F649" s="2210"/>
      <c r="G649" s="121"/>
      <c r="H649" s="121"/>
      <c r="I649" s="121"/>
      <c r="J649" s="277">
        <v>56</v>
      </c>
      <c r="K649" s="277">
        <v>59</v>
      </c>
      <c r="L649" s="277">
        <v>53</v>
      </c>
      <c r="M649" s="277">
        <v>54</v>
      </c>
      <c r="N649" s="277">
        <v>56</v>
      </c>
      <c r="O649" s="277">
        <v>58</v>
      </c>
      <c r="P649" s="277">
        <v>62</v>
      </c>
      <c r="Q649" s="277">
        <v>42</v>
      </c>
      <c r="R649" s="277">
        <v>43.25</v>
      </c>
      <c r="S649" s="277">
        <v>50</v>
      </c>
      <c r="T649" s="277">
        <v>50.25</v>
      </c>
      <c r="U649" s="277">
        <v>53.75</v>
      </c>
      <c r="V649" s="277">
        <v>65</v>
      </c>
      <c r="W649" s="277">
        <v>65</v>
      </c>
      <c r="X649" s="277">
        <v>79</v>
      </c>
      <c r="Y649" s="277">
        <v>68</v>
      </c>
      <c r="Z649" s="277">
        <v>68</v>
      </c>
      <c r="AA649" s="277">
        <v>68.25</v>
      </c>
      <c r="AB649" s="277">
        <v>67</v>
      </c>
      <c r="AC649" s="277">
        <v>72.75</v>
      </c>
      <c r="AD649" s="277">
        <v>72.5</v>
      </c>
      <c r="AE649" s="277">
        <v>86</v>
      </c>
      <c r="AF649" s="128">
        <v>89</v>
      </c>
      <c r="AG649" s="128">
        <v>87.75</v>
      </c>
      <c r="AH649" s="128">
        <v>93.25</v>
      </c>
      <c r="AI649" s="2197">
        <v>99.75</v>
      </c>
      <c r="AJ649" s="2190">
        <f t="shared" ref="AJ649:AT649" si="317">+AI649*AJ$953/AI$953</f>
        <v>106.38706662147324</v>
      </c>
      <c r="AK649" s="128">
        <f t="shared" si="317"/>
        <v>117.38727544041956</v>
      </c>
      <c r="AL649" s="128">
        <f t="shared" si="317"/>
        <v>120.21294806288097</v>
      </c>
      <c r="AM649" s="128">
        <f t="shared" si="317"/>
        <v>124.50104968299647</v>
      </c>
      <c r="AN649" s="128">
        <f t="shared" si="317"/>
        <v>130.88677364573579</v>
      </c>
      <c r="AO649" s="128">
        <f t="shared" si="317"/>
        <v>137.80163876657724</v>
      </c>
      <c r="AP649" s="1809">
        <f t="shared" si="317"/>
        <v>144.24293494680899</v>
      </c>
      <c r="AQ649" s="1809">
        <f t="shared" si="317"/>
        <v>152.05922008422505</v>
      </c>
      <c r="AR649" s="1809">
        <f t="shared" si="317"/>
        <v>160.47847973517824</v>
      </c>
      <c r="AS649" s="1809">
        <f t="shared" si="317"/>
        <v>167.12116827638252</v>
      </c>
      <c r="AT649" s="1809">
        <f t="shared" si="317"/>
        <v>171.07645115844394</v>
      </c>
      <c r="AU649" s="231"/>
      <c r="AV649" s="231"/>
      <c r="AW649" s="231"/>
      <c r="AX649" s="231"/>
    </row>
    <row r="650" spans="2:50">
      <c r="B650" s="302"/>
      <c r="C650" s="290"/>
      <c r="D650" s="154" t="str">
        <f t="shared" si="305"/>
        <v>Manufacturing of wood &amp; paper; printing</v>
      </c>
      <c r="E650" s="3012"/>
      <c r="F650" s="2209"/>
      <c r="G650" s="119"/>
      <c r="H650" s="119"/>
      <c r="I650" s="119"/>
      <c r="J650" s="277">
        <v>57</v>
      </c>
      <c r="K650" s="277">
        <v>60</v>
      </c>
      <c r="L650" s="277">
        <v>60</v>
      </c>
      <c r="M650" s="277">
        <v>60</v>
      </c>
      <c r="N650" s="277">
        <v>62</v>
      </c>
      <c r="O650" s="277">
        <v>67</v>
      </c>
      <c r="P650" s="277">
        <v>74</v>
      </c>
      <c r="Q650" s="277">
        <v>76</v>
      </c>
      <c r="R650" s="277">
        <v>77</v>
      </c>
      <c r="S650" s="277">
        <v>78</v>
      </c>
      <c r="T650" s="277">
        <v>77.25</v>
      </c>
      <c r="U650" s="277">
        <v>87.75</v>
      </c>
      <c r="V650" s="277">
        <v>95</v>
      </c>
      <c r="W650" s="277">
        <v>95</v>
      </c>
      <c r="X650" s="277">
        <v>110.25</v>
      </c>
      <c r="Y650" s="277">
        <v>92.75</v>
      </c>
      <c r="Z650" s="277">
        <v>97</v>
      </c>
      <c r="AA650" s="277">
        <v>101.5</v>
      </c>
      <c r="AB650" s="277">
        <v>99.75</v>
      </c>
      <c r="AC650" s="277">
        <v>100</v>
      </c>
      <c r="AD650" s="277">
        <v>105.75</v>
      </c>
      <c r="AE650" s="277">
        <v>114.66666666666667</v>
      </c>
      <c r="AF650" s="128">
        <v>121.75</v>
      </c>
      <c r="AG650" s="128">
        <v>94.5</v>
      </c>
      <c r="AH650" s="128">
        <v>99.25</v>
      </c>
      <c r="AI650" s="2197">
        <v>100.5</v>
      </c>
      <c r="AJ650" s="2190">
        <f t="shared" ref="AJ650:AT650" si="318">+AI650*AJ$953/AI$953</f>
        <v>107.18696937802567</v>
      </c>
      <c r="AK650" s="128">
        <f t="shared" si="318"/>
        <v>118.26988653395654</v>
      </c>
      <c r="AL650" s="128">
        <f t="shared" si="318"/>
        <v>121.11680481523345</v>
      </c>
      <c r="AM650" s="128">
        <f t="shared" si="318"/>
        <v>125.43714780091373</v>
      </c>
      <c r="AN650" s="128">
        <f t="shared" si="318"/>
        <v>131.87088472577892</v>
      </c>
      <c r="AO650" s="128">
        <f t="shared" si="318"/>
        <v>138.83774131369441</v>
      </c>
      <c r="AP650" s="1809">
        <f t="shared" si="318"/>
        <v>145.32746829227375</v>
      </c>
      <c r="AQ650" s="1809">
        <f t="shared" si="318"/>
        <v>153.20252249087338</v>
      </c>
      <c r="AR650" s="1809">
        <f t="shared" si="318"/>
        <v>161.6850848459691</v>
      </c>
      <c r="AS650" s="1809">
        <f t="shared" si="318"/>
        <v>168.37771841379899</v>
      </c>
      <c r="AT650" s="1809">
        <f t="shared" si="318"/>
        <v>172.36274026489846</v>
      </c>
      <c r="AU650" s="231"/>
      <c r="AV650" s="231"/>
      <c r="AW650" s="231"/>
      <c r="AX650" s="231"/>
    </row>
    <row r="651" spans="2:50">
      <c r="B651" s="302"/>
      <c r="C651" s="290"/>
      <c r="D651" s="154" t="str">
        <f t="shared" si="305"/>
        <v>Manufacturing of chemicals, rubber &amp; plastic products</v>
      </c>
      <c r="E651" s="3012"/>
      <c r="F651" s="2209"/>
      <c r="G651" s="119"/>
      <c r="H651" s="119"/>
      <c r="I651" s="119"/>
      <c r="J651" s="277">
        <v>59</v>
      </c>
      <c r="K651" s="277">
        <v>62</v>
      </c>
      <c r="L651" s="277">
        <v>60</v>
      </c>
      <c r="M651" s="277">
        <v>61</v>
      </c>
      <c r="N651" s="277">
        <v>62</v>
      </c>
      <c r="O651" s="277">
        <v>69</v>
      </c>
      <c r="P651" s="277">
        <v>77</v>
      </c>
      <c r="Q651" s="277">
        <v>43.75</v>
      </c>
      <c r="R651" s="277">
        <v>45.75</v>
      </c>
      <c r="S651" s="277">
        <v>52.75</v>
      </c>
      <c r="T651" s="277">
        <v>52.5</v>
      </c>
      <c r="U651" s="277">
        <v>55.25</v>
      </c>
      <c r="V651" s="277">
        <v>59.25</v>
      </c>
      <c r="W651" s="277">
        <v>65</v>
      </c>
      <c r="X651" s="277">
        <v>80.25</v>
      </c>
      <c r="Y651" s="277">
        <v>69</v>
      </c>
      <c r="Z651" s="277">
        <v>66.75</v>
      </c>
      <c r="AA651" s="277">
        <v>67.75</v>
      </c>
      <c r="AB651" s="277">
        <v>56.5</v>
      </c>
      <c r="AC651" s="277">
        <v>57</v>
      </c>
      <c r="AD651" s="277">
        <v>67.5</v>
      </c>
      <c r="AE651" s="277">
        <v>91.333333333333329</v>
      </c>
      <c r="AF651" s="128">
        <v>89.75</v>
      </c>
      <c r="AG651" s="128">
        <v>139.5</v>
      </c>
      <c r="AH651" s="128">
        <v>98</v>
      </c>
      <c r="AI651" s="2197">
        <v>99.75</v>
      </c>
      <c r="AJ651" s="2190">
        <f t="shared" ref="AJ651:AT651" si="319">+AI651*AJ$953/AI$953</f>
        <v>106.38706662147324</v>
      </c>
      <c r="AK651" s="128">
        <f t="shared" si="319"/>
        <v>117.38727544041956</v>
      </c>
      <c r="AL651" s="128">
        <f t="shared" si="319"/>
        <v>120.21294806288097</v>
      </c>
      <c r="AM651" s="128">
        <f t="shared" si="319"/>
        <v>124.50104968299647</v>
      </c>
      <c r="AN651" s="128">
        <f t="shared" si="319"/>
        <v>130.88677364573579</v>
      </c>
      <c r="AO651" s="128">
        <f t="shared" si="319"/>
        <v>137.80163876657724</v>
      </c>
      <c r="AP651" s="1809">
        <f t="shared" si="319"/>
        <v>144.24293494680899</v>
      </c>
      <c r="AQ651" s="1809">
        <f t="shared" si="319"/>
        <v>152.05922008422505</v>
      </c>
      <c r="AR651" s="1809">
        <f t="shared" si="319"/>
        <v>160.47847973517824</v>
      </c>
      <c r="AS651" s="1809">
        <f t="shared" si="319"/>
        <v>167.12116827638252</v>
      </c>
      <c r="AT651" s="1809">
        <f t="shared" si="319"/>
        <v>171.07645115844394</v>
      </c>
      <c r="AU651" s="231"/>
      <c r="AV651" s="231"/>
      <c r="AW651" s="231"/>
      <c r="AX651" s="231"/>
    </row>
    <row r="652" spans="2:50">
      <c r="B652" s="302"/>
      <c r="C652" s="290"/>
      <c r="D652" s="154" t="str">
        <f t="shared" si="305"/>
        <v>Manufacturing of non-metallic mineral products</v>
      </c>
      <c r="E652" s="3012"/>
      <c r="F652" s="2209"/>
      <c r="G652" s="119"/>
      <c r="H652" s="119"/>
      <c r="I652" s="119"/>
      <c r="J652" s="277">
        <v>91</v>
      </c>
      <c r="K652" s="277">
        <v>86</v>
      </c>
      <c r="L652" s="277">
        <v>68</v>
      </c>
      <c r="M652" s="277">
        <v>57</v>
      </c>
      <c r="N652" s="277">
        <v>61</v>
      </c>
      <c r="O652" s="277">
        <v>61</v>
      </c>
      <c r="P652" s="277">
        <v>57</v>
      </c>
      <c r="Q652" s="277">
        <v>29.25</v>
      </c>
      <c r="R652" s="277">
        <v>32</v>
      </c>
      <c r="S652" s="277">
        <v>36</v>
      </c>
      <c r="T652" s="277">
        <v>42</v>
      </c>
      <c r="U652" s="277">
        <v>44.25</v>
      </c>
      <c r="V652" s="277">
        <v>46</v>
      </c>
      <c r="W652" s="277">
        <v>46.5</v>
      </c>
      <c r="X652" s="277">
        <v>52.75</v>
      </c>
      <c r="Y652" s="277">
        <v>48</v>
      </c>
      <c r="Z652" s="277">
        <v>46.5</v>
      </c>
      <c r="AA652" s="277">
        <v>45.5</v>
      </c>
      <c r="AB652" s="277">
        <v>47.75</v>
      </c>
      <c r="AC652" s="277">
        <v>45.5</v>
      </c>
      <c r="AD652" s="277">
        <v>52.5</v>
      </c>
      <c r="AE652" s="277">
        <v>57.333333333333336</v>
      </c>
      <c r="AF652" s="128">
        <v>57.25</v>
      </c>
      <c r="AG652" s="128">
        <v>74</v>
      </c>
      <c r="AH652" s="128">
        <v>71.25</v>
      </c>
      <c r="AI652" s="2197">
        <v>98.75</v>
      </c>
      <c r="AJ652" s="2190">
        <f t="shared" ref="AJ652:AT652" si="320">+AI652*AJ$953/AI$953</f>
        <v>105.32052961273666</v>
      </c>
      <c r="AK652" s="128">
        <f t="shared" si="320"/>
        <v>116.21046064903689</v>
      </c>
      <c r="AL652" s="128">
        <f t="shared" si="320"/>
        <v>119.00780572641098</v>
      </c>
      <c r="AM652" s="128">
        <f t="shared" si="320"/>
        <v>123.25291885910677</v>
      </c>
      <c r="AN652" s="128">
        <f t="shared" si="320"/>
        <v>129.57462553901161</v>
      </c>
      <c r="AO652" s="128">
        <f t="shared" si="320"/>
        <v>136.42016870375443</v>
      </c>
      <c r="AP652" s="1809">
        <f t="shared" si="320"/>
        <v>142.79689048618937</v>
      </c>
      <c r="AQ652" s="1809">
        <f t="shared" si="320"/>
        <v>150.53481687536066</v>
      </c>
      <c r="AR652" s="1809">
        <f t="shared" si="320"/>
        <v>158.86967292079052</v>
      </c>
      <c r="AS652" s="1809">
        <f t="shared" si="320"/>
        <v>165.44576809316067</v>
      </c>
      <c r="AT652" s="1809">
        <f t="shared" si="320"/>
        <v>169.36139901650466</v>
      </c>
      <c r="AU652" s="231"/>
      <c r="AV652" s="231"/>
      <c r="AW652" s="231"/>
      <c r="AX652" s="231"/>
    </row>
    <row r="653" spans="2:50">
      <c r="B653" s="302"/>
      <c r="C653" s="290"/>
      <c r="D653" s="154" t="str">
        <f t="shared" si="305"/>
        <v>Manufacturing of metal products, machinery &amp; equipment</v>
      </c>
      <c r="E653" s="3012"/>
      <c r="F653" s="2209"/>
      <c r="G653" s="119"/>
      <c r="H653" s="119"/>
      <c r="I653" s="119"/>
      <c r="J653" s="277">
        <v>67</v>
      </c>
      <c r="K653" s="277">
        <v>65</v>
      </c>
      <c r="L653" s="277">
        <v>61</v>
      </c>
      <c r="M653" s="277">
        <v>58</v>
      </c>
      <c r="N653" s="277">
        <v>59</v>
      </c>
      <c r="O653" s="277">
        <v>66</v>
      </c>
      <c r="P653" s="277">
        <v>75</v>
      </c>
      <c r="Q653" s="277">
        <v>49.25</v>
      </c>
      <c r="R653" s="277">
        <v>50.5</v>
      </c>
      <c r="S653" s="277">
        <v>60</v>
      </c>
      <c r="T653" s="277">
        <v>65.75</v>
      </c>
      <c r="U653" s="277">
        <v>65.5</v>
      </c>
      <c r="V653" s="277">
        <v>67</v>
      </c>
      <c r="W653" s="277">
        <v>68.75</v>
      </c>
      <c r="X653" s="277">
        <v>82.75</v>
      </c>
      <c r="Y653" s="277">
        <v>68.75</v>
      </c>
      <c r="Z653" s="277">
        <v>69.25</v>
      </c>
      <c r="AA653" s="277">
        <v>69.25</v>
      </c>
      <c r="AB653" s="277">
        <v>69.25</v>
      </c>
      <c r="AC653" s="277">
        <v>74.5</v>
      </c>
      <c r="AD653" s="277">
        <v>77.5</v>
      </c>
      <c r="AE653" s="277">
        <v>80.666666666666671</v>
      </c>
      <c r="AF653" s="128">
        <v>92.5</v>
      </c>
      <c r="AG653" s="128">
        <v>91</v>
      </c>
      <c r="AH653" s="128">
        <v>95.25</v>
      </c>
      <c r="AI653" s="2197">
        <v>99.75</v>
      </c>
      <c r="AJ653" s="2190">
        <f t="shared" ref="AJ653:AT653" si="321">+AI653*AJ$953/AI$953</f>
        <v>106.38706662147324</v>
      </c>
      <c r="AK653" s="128">
        <f t="shared" si="321"/>
        <v>117.38727544041956</v>
      </c>
      <c r="AL653" s="128">
        <f t="shared" si="321"/>
        <v>120.21294806288097</v>
      </c>
      <c r="AM653" s="128">
        <f t="shared" si="321"/>
        <v>124.50104968299647</v>
      </c>
      <c r="AN653" s="128">
        <f t="shared" si="321"/>
        <v>130.88677364573579</v>
      </c>
      <c r="AO653" s="128">
        <f t="shared" si="321"/>
        <v>137.80163876657724</v>
      </c>
      <c r="AP653" s="1809">
        <f t="shared" si="321"/>
        <v>144.24293494680899</v>
      </c>
      <c r="AQ653" s="1809">
        <f t="shared" si="321"/>
        <v>152.05922008422505</v>
      </c>
      <c r="AR653" s="1809">
        <f t="shared" si="321"/>
        <v>160.47847973517824</v>
      </c>
      <c r="AS653" s="1809">
        <f t="shared" si="321"/>
        <v>167.12116827638252</v>
      </c>
      <c r="AT653" s="1809">
        <f t="shared" si="321"/>
        <v>171.07645115844394</v>
      </c>
      <c r="AU653" s="231"/>
      <c r="AV653" s="231"/>
      <c r="AW653" s="231"/>
      <c r="AX653" s="231"/>
    </row>
    <row r="654" spans="2:50">
      <c r="B654" s="302"/>
      <c r="C654" s="290"/>
      <c r="D654" s="154" t="str">
        <f t="shared" si="305"/>
        <v xml:space="preserve">Furniture &amp; other manufacturing </v>
      </c>
      <c r="E654" s="3015"/>
      <c r="F654" s="2213"/>
      <c r="G654" s="126"/>
      <c r="H654" s="126"/>
      <c r="I654" s="126"/>
      <c r="J654" s="277">
        <v>60</v>
      </c>
      <c r="K654" s="277">
        <v>58</v>
      </c>
      <c r="L654" s="277">
        <v>55</v>
      </c>
      <c r="M654" s="277">
        <v>53</v>
      </c>
      <c r="N654" s="277">
        <v>53</v>
      </c>
      <c r="O654" s="277">
        <v>59</v>
      </c>
      <c r="P654" s="277">
        <v>67</v>
      </c>
      <c r="Q654" s="277">
        <v>41</v>
      </c>
      <c r="R654" s="277">
        <v>41.75</v>
      </c>
      <c r="S654" s="277">
        <v>49.75</v>
      </c>
      <c r="T654" s="277">
        <v>54.5</v>
      </c>
      <c r="U654" s="277">
        <v>54.5</v>
      </c>
      <c r="V654" s="277">
        <v>56</v>
      </c>
      <c r="W654" s="277">
        <v>57.25</v>
      </c>
      <c r="X654" s="277">
        <v>80.5</v>
      </c>
      <c r="Y654" s="277">
        <v>57</v>
      </c>
      <c r="Z654" s="277">
        <v>57.5</v>
      </c>
      <c r="AA654" s="277">
        <v>60.25</v>
      </c>
      <c r="AB654" s="277">
        <v>63.5</v>
      </c>
      <c r="AC654" s="277">
        <v>67.25</v>
      </c>
      <c r="AD654" s="277">
        <v>71.75</v>
      </c>
      <c r="AE654" s="277">
        <v>80.333333333333329</v>
      </c>
      <c r="AF654" s="128">
        <v>76</v>
      </c>
      <c r="AG654" s="128">
        <v>94.25</v>
      </c>
      <c r="AH654" s="128">
        <v>103.25</v>
      </c>
      <c r="AI654" s="2197">
        <v>100.25</v>
      </c>
      <c r="AJ654" s="2190">
        <f t="shared" ref="AJ654:AT654" si="322">+AI654*AJ$953/AI$953</f>
        <v>106.92033512584153</v>
      </c>
      <c r="AK654" s="128">
        <f t="shared" si="322"/>
        <v>117.97568283611089</v>
      </c>
      <c r="AL654" s="128">
        <f t="shared" si="322"/>
        <v>120.81551923111597</v>
      </c>
      <c r="AM654" s="128">
        <f t="shared" si="322"/>
        <v>125.12511509494132</v>
      </c>
      <c r="AN654" s="128">
        <f t="shared" si="322"/>
        <v>131.54284769909788</v>
      </c>
      <c r="AO654" s="128">
        <f t="shared" si="322"/>
        <v>138.49237379798868</v>
      </c>
      <c r="AP654" s="1809">
        <f t="shared" si="322"/>
        <v>144.96595717711884</v>
      </c>
      <c r="AQ654" s="1809">
        <f t="shared" si="322"/>
        <v>152.8214216886573</v>
      </c>
      <c r="AR654" s="1809">
        <f t="shared" si="322"/>
        <v>161.28288314237219</v>
      </c>
      <c r="AS654" s="1809">
        <f t="shared" si="322"/>
        <v>167.95886836799355</v>
      </c>
      <c r="AT654" s="1809">
        <f t="shared" si="322"/>
        <v>171.93397722941364</v>
      </c>
      <c r="AU654" s="231"/>
      <c r="AV654" s="231"/>
      <c r="AW654" s="231"/>
      <c r="AX654" s="231"/>
    </row>
    <row r="655" spans="2:50">
      <c r="B655" s="302"/>
      <c r="C655" s="290"/>
      <c r="D655" s="454" t="str">
        <f t="shared" si="305"/>
        <v>Electricity</v>
      </c>
      <c r="E655" s="3012"/>
      <c r="F655" s="2209"/>
      <c r="G655" s="119"/>
      <c r="H655" s="119"/>
      <c r="I655" s="119"/>
      <c r="J655" s="278">
        <v>20</v>
      </c>
      <c r="K655" s="278">
        <v>20</v>
      </c>
      <c r="L655" s="278">
        <v>20</v>
      </c>
      <c r="M655" s="278">
        <v>21</v>
      </c>
      <c r="N655" s="278">
        <v>14</v>
      </c>
      <c r="O655" s="278">
        <v>14</v>
      </c>
      <c r="P655" s="278">
        <v>33</v>
      </c>
      <c r="Q655" s="278">
        <v>49.25</v>
      </c>
      <c r="R655" s="278">
        <v>111.75</v>
      </c>
      <c r="S655" s="278">
        <v>64</v>
      </c>
      <c r="T655" s="278">
        <v>65</v>
      </c>
      <c r="U655" s="278">
        <v>65.5</v>
      </c>
      <c r="V655" s="278">
        <v>67</v>
      </c>
      <c r="W655" s="278">
        <v>72.75</v>
      </c>
      <c r="X655" s="278">
        <v>127.75</v>
      </c>
      <c r="Y655" s="278">
        <v>80.5</v>
      </c>
      <c r="Z655" s="278">
        <v>90.5</v>
      </c>
      <c r="AA655" s="278">
        <v>112.75</v>
      </c>
      <c r="AB655" s="278">
        <v>112.25</v>
      </c>
      <c r="AC655" s="278">
        <v>116</v>
      </c>
      <c r="AD655" s="278">
        <v>124</v>
      </c>
      <c r="AE655" s="278">
        <v>138.66666666666666</v>
      </c>
      <c r="AF655" s="120">
        <v>137</v>
      </c>
      <c r="AG655" s="120">
        <v>94.5</v>
      </c>
      <c r="AH655" s="120">
        <v>91.25</v>
      </c>
      <c r="AI655" s="2196">
        <v>100</v>
      </c>
      <c r="AJ655" s="2188">
        <f t="shared" ref="AJ655:AT655" si="323">+AI655*AJ$953/AI$953</f>
        <v>106.65370087365739</v>
      </c>
      <c r="AK655" s="120">
        <f t="shared" si="323"/>
        <v>117.68147913826522</v>
      </c>
      <c r="AL655" s="120">
        <f t="shared" si="323"/>
        <v>120.51423364699846</v>
      </c>
      <c r="AM655" s="120">
        <f t="shared" si="323"/>
        <v>124.81308238896889</v>
      </c>
      <c r="AN655" s="120">
        <f t="shared" si="323"/>
        <v>131.21481067241683</v>
      </c>
      <c r="AO655" s="120">
        <f t="shared" si="323"/>
        <v>138.14700628228297</v>
      </c>
      <c r="AP655" s="1807">
        <f t="shared" si="323"/>
        <v>144.60444606196393</v>
      </c>
      <c r="AQ655" s="1807">
        <f t="shared" si="323"/>
        <v>152.44032088644119</v>
      </c>
      <c r="AR655" s="1807">
        <f t="shared" si="323"/>
        <v>160.88068143877521</v>
      </c>
      <c r="AS655" s="1807">
        <f t="shared" si="323"/>
        <v>167.54001832218802</v>
      </c>
      <c r="AT655" s="1807">
        <f t="shared" si="323"/>
        <v>171.50521419392879</v>
      </c>
      <c r="AU655" s="231"/>
      <c r="AV655" s="231"/>
      <c r="AW655" s="231"/>
      <c r="AX655" s="231"/>
    </row>
    <row r="656" spans="2:50">
      <c r="B656" s="302"/>
      <c r="C656" s="290"/>
      <c r="D656" s="454" t="str">
        <f t="shared" si="305"/>
        <v>Water &amp; waste management</v>
      </c>
      <c r="E656" s="3012"/>
      <c r="F656" s="2209"/>
      <c r="G656" s="119"/>
      <c r="H656" s="119"/>
      <c r="I656" s="119"/>
      <c r="J656" s="278">
        <v>37</v>
      </c>
      <c r="K656" s="278">
        <v>37</v>
      </c>
      <c r="L656" s="278">
        <v>37</v>
      </c>
      <c r="M656" s="278">
        <v>38</v>
      </c>
      <c r="N656" s="278">
        <v>26</v>
      </c>
      <c r="O656" s="278">
        <v>25</v>
      </c>
      <c r="P656" s="278">
        <v>59</v>
      </c>
      <c r="Q656" s="278">
        <v>34.75</v>
      </c>
      <c r="R656" s="278">
        <v>78.75</v>
      </c>
      <c r="S656" s="278">
        <v>44.75</v>
      </c>
      <c r="T656" s="278">
        <v>45.75</v>
      </c>
      <c r="U656" s="278">
        <v>46.5</v>
      </c>
      <c r="V656" s="278">
        <v>47</v>
      </c>
      <c r="W656" s="278">
        <v>47</v>
      </c>
      <c r="X656" s="278">
        <v>99</v>
      </c>
      <c r="Y656" s="278">
        <v>47</v>
      </c>
      <c r="Z656" s="278">
        <v>49.25</v>
      </c>
      <c r="AA656" s="278">
        <v>53.75</v>
      </c>
      <c r="AB656" s="278">
        <v>53.5</v>
      </c>
      <c r="AC656" s="278">
        <v>54.75</v>
      </c>
      <c r="AD656" s="278">
        <v>93.75</v>
      </c>
      <c r="AE656" s="278">
        <v>101</v>
      </c>
      <c r="AF656" s="120">
        <v>103.75</v>
      </c>
      <c r="AG656" s="120">
        <v>101.75</v>
      </c>
      <c r="AH656" s="120">
        <v>99.25</v>
      </c>
      <c r="AI656" s="2196">
        <v>100</v>
      </c>
      <c r="AJ656" s="2188">
        <f t="shared" ref="AJ656:AT656" si="324">+AI656*AJ$953/AI$953</f>
        <v>106.65370087365739</v>
      </c>
      <c r="AK656" s="120">
        <f t="shared" si="324"/>
        <v>117.68147913826522</v>
      </c>
      <c r="AL656" s="120">
        <f t="shared" si="324"/>
        <v>120.51423364699846</v>
      </c>
      <c r="AM656" s="120">
        <f t="shared" si="324"/>
        <v>124.81308238896889</v>
      </c>
      <c r="AN656" s="120">
        <f t="shared" si="324"/>
        <v>131.21481067241683</v>
      </c>
      <c r="AO656" s="120">
        <f t="shared" si="324"/>
        <v>138.14700628228297</v>
      </c>
      <c r="AP656" s="1807">
        <f t="shared" si="324"/>
        <v>144.60444606196393</v>
      </c>
      <c r="AQ656" s="1807">
        <f t="shared" si="324"/>
        <v>152.44032088644119</v>
      </c>
      <c r="AR656" s="1807">
        <f t="shared" si="324"/>
        <v>160.88068143877521</v>
      </c>
      <c r="AS656" s="1807">
        <f t="shared" si="324"/>
        <v>167.54001832218802</v>
      </c>
      <c r="AT656" s="1807">
        <f t="shared" si="324"/>
        <v>171.50521419392879</v>
      </c>
      <c r="AU656" s="231"/>
      <c r="AV656" s="231"/>
      <c r="AW656" s="231"/>
      <c r="AX656" s="231"/>
    </row>
    <row r="657" spans="2:50" ht="16.75" thickBot="1">
      <c r="B657" s="302"/>
      <c r="C657" s="290"/>
      <c r="D657" s="454" t="str">
        <f t="shared" si="305"/>
        <v>Construction</v>
      </c>
      <c r="E657" s="3012"/>
      <c r="F657" s="2209"/>
      <c r="G657" s="119"/>
      <c r="H657" s="119"/>
      <c r="I657" s="119"/>
      <c r="J657" s="279">
        <v>39</v>
      </c>
      <c r="K657" s="279">
        <v>40</v>
      </c>
      <c r="L657" s="279">
        <v>41</v>
      </c>
      <c r="M657" s="279">
        <v>40</v>
      </c>
      <c r="N657" s="279">
        <v>45</v>
      </c>
      <c r="O657" s="279">
        <v>51</v>
      </c>
      <c r="P657" s="279">
        <v>55</v>
      </c>
      <c r="Q657" s="279">
        <v>25.75</v>
      </c>
      <c r="R657" s="279">
        <v>28</v>
      </c>
      <c r="S657" s="279">
        <v>32.25</v>
      </c>
      <c r="T657" s="279">
        <v>36.25</v>
      </c>
      <c r="U657" s="279">
        <v>37.75</v>
      </c>
      <c r="V657" s="279">
        <v>40</v>
      </c>
      <c r="W657" s="279">
        <v>42.25</v>
      </c>
      <c r="X657" s="279">
        <v>58.75</v>
      </c>
      <c r="Y657" s="279">
        <v>43.25</v>
      </c>
      <c r="Z657" s="279">
        <v>42</v>
      </c>
      <c r="AA657" s="279">
        <v>41</v>
      </c>
      <c r="AB657" s="279">
        <v>44</v>
      </c>
      <c r="AC657" s="279">
        <v>48.75</v>
      </c>
      <c r="AD657" s="279">
        <v>52.25</v>
      </c>
      <c r="AE657" s="279">
        <v>56</v>
      </c>
      <c r="AF657" s="124">
        <v>63.75</v>
      </c>
      <c r="AG657" s="124">
        <v>68.5</v>
      </c>
      <c r="AH657" s="124">
        <v>85.25</v>
      </c>
      <c r="AI657" s="2262">
        <v>100.5</v>
      </c>
      <c r="AJ657" s="2189">
        <f t="shared" ref="AJ657:AT657" si="325">+AI657*AJ$953/AI$953</f>
        <v>107.18696937802567</v>
      </c>
      <c r="AK657" s="124">
        <f t="shared" si="325"/>
        <v>118.26988653395654</v>
      </c>
      <c r="AL657" s="124">
        <f t="shared" si="325"/>
        <v>121.11680481523345</v>
      </c>
      <c r="AM657" s="124">
        <f t="shared" si="325"/>
        <v>125.43714780091373</v>
      </c>
      <c r="AN657" s="124">
        <f t="shared" si="325"/>
        <v>131.87088472577892</v>
      </c>
      <c r="AO657" s="124">
        <f t="shared" si="325"/>
        <v>138.83774131369441</v>
      </c>
      <c r="AP657" s="1808">
        <f t="shared" si="325"/>
        <v>145.32746829227375</v>
      </c>
      <c r="AQ657" s="1808">
        <f t="shared" si="325"/>
        <v>153.20252249087338</v>
      </c>
      <c r="AR657" s="1808">
        <f t="shared" si="325"/>
        <v>161.6850848459691</v>
      </c>
      <c r="AS657" s="1808">
        <f t="shared" si="325"/>
        <v>168.37771841379899</v>
      </c>
      <c r="AT657" s="1808">
        <f t="shared" si="325"/>
        <v>172.36274026489846</v>
      </c>
      <c r="AU657" s="231"/>
      <c r="AV657" s="231"/>
      <c r="AW657" s="231"/>
      <c r="AX657" s="231"/>
    </row>
    <row r="658" spans="2:50" ht="16.75" thickBot="1">
      <c r="B658" s="302"/>
      <c r="C658" s="290"/>
      <c r="D658" s="104" t="str">
        <f t="shared" si="305"/>
        <v>SERVICES</v>
      </c>
      <c r="E658" s="3011"/>
      <c r="F658" s="2942"/>
      <c r="G658" s="113"/>
      <c r="H658" s="113"/>
      <c r="I658" s="113"/>
      <c r="J658" s="276">
        <v>41</v>
      </c>
      <c r="K658" s="276">
        <v>43</v>
      </c>
      <c r="L658" s="276">
        <v>43</v>
      </c>
      <c r="M658" s="276">
        <v>42</v>
      </c>
      <c r="N658" s="276">
        <v>48</v>
      </c>
      <c r="O658" s="276">
        <v>50</v>
      </c>
      <c r="P658" s="276">
        <v>54</v>
      </c>
      <c r="Q658" s="276">
        <v>33.5</v>
      </c>
      <c r="R658" s="276">
        <v>38.75</v>
      </c>
      <c r="S658" s="276">
        <v>44.25</v>
      </c>
      <c r="T658" s="276">
        <v>48</v>
      </c>
      <c r="U658" s="276">
        <v>48.75</v>
      </c>
      <c r="V658" s="276">
        <v>50.5</v>
      </c>
      <c r="W658" s="276">
        <v>52.5</v>
      </c>
      <c r="X658" s="276">
        <v>66.75</v>
      </c>
      <c r="Y658" s="276">
        <v>56</v>
      </c>
      <c r="Z658" s="276">
        <v>55.75</v>
      </c>
      <c r="AA658" s="276">
        <v>57.5</v>
      </c>
      <c r="AB658" s="276">
        <v>59.5</v>
      </c>
      <c r="AC658" s="276">
        <v>62</v>
      </c>
      <c r="AD658" s="276">
        <v>65.5</v>
      </c>
      <c r="AE658" s="276">
        <v>71.666666666666671</v>
      </c>
      <c r="AF658" s="114">
        <v>73.75</v>
      </c>
      <c r="AG658" s="114">
        <v>84</v>
      </c>
      <c r="AH658" s="114">
        <v>90</v>
      </c>
      <c r="AI658" s="2261">
        <v>100</v>
      </c>
      <c r="AJ658" s="2193">
        <f t="shared" ref="AJ658:AO658" si="326">+AI658*(((AI$614+SUM(AI$619:AI$624)+AI$628)*(AJ$953/AI$953)+SUM(AI$625:AI$627)*(AJ$954/AI$954))/AI$613)</f>
        <v>107.23034129424163</v>
      </c>
      <c r="AK658" s="114">
        <f t="shared" si="326"/>
        <v>118.0872816777881</v>
      </c>
      <c r="AL658" s="114">
        <f t="shared" si="326"/>
        <v>121.94065124624636</v>
      </c>
      <c r="AM658" s="114">
        <f t="shared" si="326"/>
        <v>127.06801483235878</v>
      </c>
      <c r="AN658" s="114">
        <f t="shared" si="326"/>
        <v>134.07906782547641</v>
      </c>
      <c r="AO658" s="114">
        <f t="shared" si="326"/>
        <v>141.62921221834998</v>
      </c>
      <c r="AP658" s="1806">
        <f>+AO658*(((AO$614+SUM(AO$619:AO$624)+AO$628)*(AP$953/AO$953)+SUM(AO$625:AO$627)*(AP$954/AO$954))/AO$613)</f>
        <v>148.82612753774694</v>
      </c>
      <c r="AQ658" s="1806">
        <f>+AP658*(((AP$614+SUM(AP$619:AP$624)+AP$628)*(AQ$953/AP$953)+SUM(AP$625:AP$627)*(AQ$954/AP$954))/AP$613)</f>
        <v>157.33909384335053</v>
      </c>
      <c r="AR658" s="1806">
        <f>+AQ658*(((AQ$614+SUM(AQ$619:AQ$624)+AQ$628)*(AR$953/AQ$953)+SUM(AQ$625:AQ$627)*(AR$954/AQ$954))/AQ$613)</f>
        <v>166.4788454476689</v>
      </c>
      <c r="AS658" s="1806">
        <f>+AR658*(((AR$614+SUM(AR$619:AR$624)+AR$628)*(AS$953/AR$953)+SUM(AR$625:AR$627)*(AS$954/AR$954))/AR$613)</f>
        <v>174.03671169401179</v>
      </c>
      <c r="AT658" s="1806">
        <f>+AS658*(((AS$614+SUM(AS$619:AS$624)+AS$628)*(AT$953/AS$953)+SUM(AS$625:AS$627)*(AT$954/AS$954))/AS$613)</f>
        <v>178.43222931912084</v>
      </c>
      <c r="AU658" s="231"/>
      <c r="AV658" s="231"/>
      <c r="AW658" s="231"/>
      <c r="AX658" s="231"/>
    </row>
    <row r="659" spans="2:50">
      <c r="B659" s="302"/>
      <c r="C659" s="290"/>
      <c r="D659" s="122" t="str">
        <f t="shared" si="305"/>
        <v>Trade and Transport</v>
      </c>
      <c r="E659" s="3012"/>
      <c r="F659" s="2209"/>
      <c r="G659" s="119"/>
      <c r="H659" s="119"/>
      <c r="I659" s="119"/>
      <c r="J659" s="278">
        <v>40</v>
      </c>
      <c r="K659" s="278">
        <v>40</v>
      </c>
      <c r="L659" s="278">
        <v>41</v>
      </c>
      <c r="M659" s="278">
        <v>41</v>
      </c>
      <c r="N659" s="278">
        <v>48</v>
      </c>
      <c r="O659" s="278">
        <v>52</v>
      </c>
      <c r="P659" s="278">
        <v>56</v>
      </c>
      <c r="Q659" s="278">
        <v>30.5</v>
      </c>
      <c r="R659" s="278">
        <v>33.5</v>
      </c>
      <c r="S659" s="278">
        <v>40</v>
      </c>
      <c r="T659" s="278">
        <v>42.5</v>
      </c>
      <c r="U659" s="278">
        <v>44.75</v>
      </c>
      <c r="V659" s="278">
        <v>47.25</v>
      </c>
      <c r="W659" s="278">
        <v>49.25</v>
      </c>
      <c r="X659" s="278">
        <v>58.75</v>
      </c>
      <c r="Y659" s="278">
        <v>50.75</v>
      </c>
      <c r="Z659" s="278">
        <v>49.75</v>
      </c>
      <c r="AA659" s="278">
        <v>50.5</v>
      </c>
      <c r="AB659" s="278">
        <v>52.5</v>
      </c>
      <c r="AC659" s="278">
        <v>54.75</v>
      </c>
      <c r="AD659" s="278">
        <v>56</v>
      </c>
      <c r="AE659" s="278">
        <v>65.666666666666671</v>
      </c>
      <c r="AF659" s="120">
        <v>67.25</v>
      </c>
      <c r="AG659" s="120">
        <v>78.75</v>
      </c>
      <c r="AH659" s="120">
        <v>80.5</v>
      </c>
      <c r="AI659" s="2196">
        <v>99.5</v>
      </c>
      <c r="AJ659" s="2188">
        <f t="shared" ref="AJ659:AT659" si="327">+AI659*AJ$953/AI$953</f>
        <v>106.12043236928909</v>
      </c>
      <c r="AK659" s="120">
        <f t="shared" si="327"/>
        <v>117.09307174257388</v>
      </c>
      <c r="AL659" s="120">
        <f t="shared" si="327"/>
        <v>119.91166247876346</v>
      </c>
      <c r="AM659" s="120">
        <f t="shared" si="327"/>
        <v>124.18901697702402</v>
      </c>
      <c r="AN659" s="120">
        <f t="shared" si="327"/>
        <v>130.55873661905471</v>
      </c>
      <c r="AO659" s="120">
        <f t="shared" si="327"/>
        <v>137.45627125087154</v>
      </c>
      <c r="AP659" s="1807">
        <f t="shared" si="327"/>
        <v>143.88142383165408</v>
      </c>
      <c r="AQ659" s="1807">
        <f t="shared" si="327"/>
        <v>151.67811928200896</v>
      </c>
      <c r="AR659" s="1807">
        <f t="shared" si="327"/>
        <v>160.07627803158132</v>
      </c>
      <c r="AS659" s="1807">
        <f t="shared" si="327"/>
        <v>166.70231823057708</v>
      </c>
      <c r="AT659" s="1807">
        <f t="shared" si="327"/>
        <v>170.64768812295915</v>
      </c>
      <c r="AU659" s="231"/>
      <c r="AV659" s="231"/>
      <c r="AW659" s="231"/>
      <c r="AX659" s="231"/>
    </row>
    <row r="660" spans="2:50">
      <c r="B660" s="302"/>
      <c r="C660" s="290"/>
      <c r="D660" s="154" t="str">
        <f t="shared" si="305"/>
        <v>Maintenance &amp; repair of motor vehicles</v>
      </c>
      <c r="E660" s="3012"/>
      <c r="F660" s="2209"/>
      <c r="G660" s="119"/>
      <c r="H660" s="119"/>
      <c r="I660" s="119"/>
      <c r="J660" s="277">
        <v>36</v>
      </c>
      <c r="K660" s="277">
        <v>35</v>
      </c>
      <c r="L660" s="277">
        <v>36</v>
      </c>
      <c r="M660" s="277">
        <v>35</v>
      </c>
      <c r="N660" s="277">
        <v>42</v>
      </c>
      <c r="O660" s="277">
        <v>47</v>
      </c>
      <c r="P660" s="277">
        <v>51</v>
      </c>
      <c r="Q660" s="277">
        <v>39</v>
      </c>
      <c r="R660" s="277">
        <v>42.75</v>
      </c>
      <c r="S660" s="277">
        <v>53.25</v>
      </c>
      <c r="T660" s="277">
        <v>56</v>
      </c>
      <c r="U660" s="277">
        <v>58.5</v>
      </c>
      <c r="V660" s="277">
        <v>61.75</v>
      </c>
      <c r="W660" s="277">
        <v>64.25</v>
      </c>
      <c r="X660" s="277">
        <v>114.25</v>
      </c>
      <c r="Y660" s="277">
        <v>66</v>
      </c>
      <c r="Z660" s="277">
        <v>67.25</v>
      </c>
      <c r="AA660" s="277">
        <v>71.25</v>
      </c>
      <c r="AB660" s="277">
        <v>72.75</v>
      </c>
      <c r="AC660" s="277">
        <v>80</v>
      </c>
      <c r="AD660" s="277">
        <v>87</v>
      </c>
      <c r="AE660" s="277">
        <v>125</v>
      </c>
      <c r="AF660" s="128">
        <v>94.75</v>
      </c>
      <c r="AG660" s="128">
        <v>98.25</v>
      </c>
      <c r="AH660" s="128">
        <v>96</v>
      </c>
      <c r="AI660" s="2197">
        <v>100</v>
      </c>
      <c r="AJ660" s="2190">
        <f t="shared" ref="AJ660:AT660" si="328">+AI660*AJ$953/AI$953</f>
        <v>106.65370087365739</v>
      </c>
      <c r="AK660" s="128">
        <f t="shared" si="328"/>
        <v>117.68147913826522</v>
      </c>
      <c r="AL660" s="128">
        <f t="shared" si="328"/>
        <v>120.51423364699846</v>
      </c>
      <c r="AM660" s="128">
        <f t="shared" si="328"/>
        <v>124.81308238896889</v>
      </c>
      <c r="AN660" s="128">
        <f t="shared" si="328"/>
        <v>131.21481067241683</v>
      </c>
      <c r="AO660" s="128">
        <f t="shared" si="328"/>
        <v>138.14700628228297</v>
      </c>
      <c r="AP660" s="1809">
        <f t="shared" si="328"/>
        <v>144.60444606196393</v>
      </c>
      <c r="AQ660" s="1809">
        <f t="shared" si="328"/>
        <v>152.44032088644119</v>
      </c>
      <c r="AR660" s="1809">
        <f t="shared" si="328"/>
        <v>160.88068143877521</v>
      </c>
      <c r="AS660" s="1809">
        <f t="shared" si="328"/>
        <v>167.54001832218802</v>
      </c>
      <c r="AT660" s="1809">
        <f t="shared" si="328"/>
        <v>171.50521419392879</v>
      </c>
      <c r="AU660" s="231"/>
      <c r="AV660" s="231"/>
      <c r="AW660" s="231"/>
      <c r="AX660" s="231"/>
    </row>
    <row r="661" spans="2:50">
      <c r="B661" s="302"/>
      <c r="C661" s="290"/>
      <c r="D661" s="154" t="str">
        <f t="shared" si="305"/>
        <v>Wholesale &amp; retail trade</v>
      </c>
      <c r="E661" s="3012"/>
      <c r="F661" s="2209"/>
      <c r="G661" s="119"/>
      <c r="H661" s="119"/>
      <c r="I661" s="119"/>
      <c r="J661" s="277">
        <v>40</v>
      </c>
      <c r="K661" s="277">
        <v>38</v>
      </c>
      <c r="L661" s="277">
        <v>39</v>
      </c>
      <c r="M661" s="277">
        <v>39</v>
      </c>
      <c r="N661" s="277">
        <v>46</v>
      </c>
      <c r="O661" s="277">
        <v>51</v>
      </c>
      <c r="P661" s="277">
        <v>56</v>
      </c>
      <c r="Q661" s="277">
        <v>38</v>
      </c>
      <c r="R661" s="277">
        <v>41.5</v>
      </c>
      <c r="S661" s="277">
        <v>51.5</v>
      </c>
      <c r="T661" s="277">
        <v>54.75</v>
      </c>
      <c r="U661" s="277">
        <v>56.5</v>
      </c>
      <c r="V661" s="277">
        <v>59.5</v>
      </c>
      <c r="W661" s="277">
        <v>62</v>
      </c>
      <c r="X661" s="277">
        <v>56.5</v>
      </c>
      <c r="Y661" s="277">
        <v>64.25</v>
      </c>
      <c r="Z661" s="277">
        <v>62</v>
      </c>
      <c r="AA661" s="277">
        <v>62</v>
      </c>
      <c r="AB661" s="277">
        <v>65</v>
      </c>
      <c r="AC661" s="277">
        <v>62.75</v>
      </c>
      <c r="AD661" s="277">
        <v>58.5</v>
      </c>
      <c r="AE661" s="277">
        <v>61.666666666666664</v>
      </c>
      <c r="AF661" s="128">
        <v>67.5</v>
      </c>
      <c r="AG661" s="128">
        <v>78.25</v>
      </c>
      <c r="AH661" s="128">
        <v>83.75</v>
      </c>
      <c r="AI661" s="2197">
        <v>99.5</v>
      </c>
      <c r="AJ661" s="2190">
        <f t="shared" ref="AJ661:AT661" si="329">+AI661*AJ$953/AI$953</f>
        <v>106.12043236928909</v>
      </c>
      <c r="AK661" s="128">
        <f t="shared" si="329"/>
        <v>117.09307174257388</v>
      </c>
      <c r="AL661" s="128">
        <f t="shared" si="329"/>
        <v>119.91166247876346</v>
      </c>
      <c r="AM661" s="128">
        <f t="shared" si="329"/>
        <v>124.18901697702402</v>
      </c>
      <c r="AN661" s="128">
        <f t="shared" si="329"/>
        <v>130.55873661905471</v>
      </c>
      <c r="AO661" s="128">
        <f t="shared" si="329"/>
        <v>137.45627125087154</v>
      </c>
      <c r="AP661" s="1809">
        <f t="shared" si="329"/>
        <v>143.88142383165408</v>
      </c>
      <c r="AQ661" s="1809">
        <f t="shared" si="329"/>
        <v>151.67811928200896</v>
      </c>
      <c r="AR661" s="1809">
        <f t="shared" si="329"/>
        <v>160.07627803158132</v>
      </c>
      <c r="AS661" s="1809">
        <f t="shared" si="329"/>
        <v>166.70231823057708</v>
      </c>
      <c r="AT661" s="1809">
        <f t="shared" si="329"/>
        <v>170.64768812295915</v>
      </c>
      <c r="AU661" s="231"/>
      <c r="AV661" s="231"/>
      <c r="AW661" s="231"/>
      <c r="AX661" s="231"/>
    </row>
    <row r="662" spans="2:50">
      <c r="B662" s="302"/>
      <c r="C662" s="290"/>
      <c r="D662" s="154" t="str">
        <f t="shared" si="305"/>
        <v>Transport services</v>
      </c>
      <c r="E662" s="3015"/>
      <c r="F662" s="2213"/>
      <c r="G662" s="126"/>
      <c r="H662" s="126"/>
      <c r="I662" s="126"/>
      <c r="J662" s="277">
        <v>43</v>
      </c>
      <c r="K662" s="277">
        <v>47</v>
      </c>
      <c r="L662" s="277">
        <v>47</v>
      </c>
      <c r="M662" s="277">
        <v>49</v>
      </c>
      <c r="N662" s="277">
        <v>52</v>
      </c>
      <c r="O662" s="277">
        <v>54</v>
      </c>
      <c r="P662" s="277">
        <v>57</v>
      </c>
      <c r="Q662" s="277">
        <v>21.75</v>
      </c>
      <c r="R662" s="277">
        <v>23.5</v>
      </c>
      <c r="S662" s="277">
        <v>26.25</v>
      </c>
      <c r="T662" s="277">
        <v>27.5</v>
      </c>
      <c r="U662" s="277">
        <v>29</v>
      </c>
      <c r="V662" s="277">
        <v>31.5</v>
      </c>
      <c r="W662" s="277">
        <v>33</v>
      </c>
      <c r="X662" s="277">
        <v>55.75</v>
      </c>
      <c r="Y662" s="277">
        <v>33.5</v>
      </c>
      <c r="Z662" s="277">
        <v>33.25</v>
      </c>
      <c r="AA662" s="277">
        <v>35.25</v>
      </c>
      <c r="AB662" s="277">
        <v>36.25</v>
      </c>
      <c r="AC662" s="277">
        <v>41.75</v>
      </c>
      <c r="AD662" s="277">
        <v>48.25</v>
      </c>
      <c r="AE662" s="277">
        <v>68</v>
      </c>
      <c r="AF662" s="128">
        <v>65.5</v>
      </c>
      <c r="AG662" s="128">
        <v>77.5</v>
      </c>
      <c r="AH662" s="128">
        <v>75.75</v>
      </c>
      <c r="AI662" s="2197">
        <v>99.75</v>
      </c>
      <c r="AJ662" s="2190">
        <f t="shared" ref="AJ662:AT662" si="330">+AI662*AJ$953/AI$953</f>
        <v>106.38706662147324</v>
      </c>
      <c r="AK662" s="128">
        <f t="shared" si="330"/>
        <v>117.38727544041956</v>
      </c>
      <c r="AL662" s="128">
        <f t="shared" si="330"/>
        <v>120.21294806288097</v>
      </c>
      <c r="AM662" s="128">
        <f t="shared" si="330"/>
        <v>124.50104968299647</v>
      </c>
      <c r="AN662" s="128">
        <f t="shared" si="330"/>
        <v>130.88677364573579</v>
      </c>
      <c r="AO662" s="128">
        <f t="shared" si="330"/>
        <v>137.80163876657724</v>
      </c>
      <c r="AP662" s="1809">
        <f t="shared" si="330"/>
        <v>144.24293494680899</v>
      </c>
      <c r="AQ662" s="1809">
        <f t="shared" si="330"/>
        <v>152.05922008422505</v>
      </c>
      <c r="AR662" s="1809">
        <f t="shared" si="330"/>
        <v>160.47847973517824</v>
      </c>
      <c r="AS662" s="1809">
        <f t="shared" si="330"/>
        <v>167.12116827638252</v>
      </c>
      <c r="AT662" s="1809">
        <f t="shared" si="330"/>
        <v>171.07645115844394</v>
      </c>
      <c r="AU662" s="231"/>
      <c r="AV662" s="231"/>
      <c r="AW662" s="231"/>
      <c r="AX662" s="231"/>
    </row>
    <row r="663" spans="2:50">
      <c r="B663" s="302"/>
      <c r="C663" s="290"/>
      <c r="D663" s="122" t="str">
        <f t="shared" si="305"/>
        <v>Other services</v>
      </c>
      <c r="E663" s="3013"/>
      <c r="F663" s="2210"/>
      <c r="G663" s="121"/>
      <c r="H663" s="121"/>
      <c r="I663" s="121"/>
      <c r="J663" s="278">
        <v>36</v>
      </c>
      <c r="K663" s="278">
        <v>39</v>
      </c>
      <c r="L663" s="278">
        <v>38</v>
      </c>
      <c r="M663" s="278">
        <v>38</v>
      </c>
      <c r="N663" s="278">
        <v>43</v>
      </c>
      <c r="O663" s="278">
        <v>45</v>
      </c>
      <c r="P663" s="278">
        <v>48</v>
      </c>
      <c r="Q663" s="278">
        <v>34.25</v>
      </c>
      <c r="R663" s="278">
        <v>40.5</v>
      </c>
      <c r="S663" s="278">
        <v>46.25</v>
      </c>
      <c r="T663" s="278">
        <v>50.25</v>
      </c>
      <c r="U663" s="278">
        <v>51</v>
      </c>
      <c r="V663" s="278">
        <v>51.5</v>
      </c>
      <c r="W663" s="278">
        <v>53.75</v>
      </c>
      <c r="X663" s="278">
        <v>71</v>
      </c>
      <c r="Y663" s="278">
        <v>58.5</v>
      </c>
      <c r="Z663" s="278">
        <v>59</v>
      </c>
      <c r="AA663" s="278">
        <v>61</v>
      </c>
      <c r="AB663" s="278">
        <v>62.75</v>
      </c>
      <c r="AC663" s="278">
        <v>66.25</v>
      </c>
      <c r="AD663" s="278">
        <v>70.25</v>
      </c>
      <c r="AE663" s="278">
        <v>74.333333333333329</v>
      </c>
      <c r="AF663" s="120">
        <v>77</v>
      </c>
      <c r="AG663" s="120">
        <v>86.5</v>
      </c>
      <c r="AH663" s="120">
        <v>95.75</v>
      </c>
      <c r="AI663" s="2196">
        <v>99.75</v>
      </c>
      <c r="AJ663" s="2188">
        <f t="shared" ref="AJ663:AT663" si="331">+AI663*AJ$953/AI$953</f>
        <v>106.38706662147324</v>
      </c>
      <c r="AK663" s="120">
        <f t="shared" si="331"/>
        <v>117.38727544041956</v>
      </c>
      <c r="AL663" s="120">
        <f t="shared" si="331"/>
        <v>120.21294806288097</v>
      </c>
      <c r="AM663" s="120">
        <f t="shared" si="331"/>
        <v>124.50104968299647</v>
      </c>
      <c r="AN663" s="120">
        <f t="shared" si="331"/>
        <v>130.88677364573579</v>
      </c>
      <c r="AO663" s="120">
        <f t="shared" si="331"/>
        <v>137.80163876657724</v>
      </c>
      <c r="AP663" s="1807">
        <f t="shared" si="331"/>
        <v>144.24293494680899</v>
      </c>
      <c r="AQ663" s="1807">
        <f t="shared" si="331"/>
        <v>152.05922008422505</v>
      </c>
      <c r="AR663" s="1807">
        <f t="shared" si="331"/>
        <v>160.47847973517824</v>
      </c>
      <c r="AS663" s="1807">
        <f t="shared" si="331"/>
        <v>167.12116827638252</v>
      </c>
      <c r="AT663" s="1807">
        <f t="shared" si="331"/>
        <v>171.07645115844394</v>
      </c>
      <c r="AU663" s="231"/>
      <c r="AV663" s="231"/>
      <c r="AW663" s="231"/>
      <c r="AX663" s="231"/>
    </row>
    <row r="664" spans="2:50">
      <c r="B664" s="302"/>
      <c r="C664" s="290"/>
      <c r="D664" s="129" t="str">
        <f t="shared" si="305"/>
        <v>Hotels &amp; restaurants</v>
      </c>
      <c r="E664" s="3013"/>
      <c r="F664" s="2210"/>
      <c r="G664" s="121"/>
      <c r="H664" s="121"/>
      <c r="I664" s="121"/>
      <c r="J664" s="277">
        <v>50</v>
      </c>
      <c r="K664" s="277">
        <v>52</v>
      </c>
      <c r="L664" s="277">
        <v>51</v>
      </c>
      <c r="M664" s="277">
        <v>51</v>
      </c>
      <c r="N664" s="277">
        <v>53</v>
      </c>
      <c r="O664" s="277">
        <v>56</v>
      </c>
      <c r="P664" s="277">
        <v>62</v>
      </c>
      <c r="Q664" s="277">
        <v>17.5</v>
      </c>
      <c r="R664" s="277">
        <v>20.5</v>
      </c>
      <c r="S664" s="277">
        <v>23.5</v>
      </c>
      <c r="T664" s="277">
        <v>26.25</v>
      </c>
      <c r="U664" s="277">
        <v>27</v>
      </c>
      <c r="V664" s="277">
        <v>28</v>
      </c>
      <c r="W664" s="277">
        <v>28</v>
      </c>
      <c r="X664" s="277">
        <v>39.25</v>
      </c>
      <c r="Y664" s="277">
        <v>30</v>
      </c>
      <c r="Z664" s="277">
        <v>31</v>
      </c>
      <c r="AA664" s="277">
        <v>32.25</v>
      </c>
      <c r="AB664" s="277">
        <v>27.25</v>
      </c>
      <c r="AC664" s="277">
        <v>32.5</v>
      </c>
      <c r="AD664" s="277">
        <v>37.25</v>
      </c>
      <c r="AE664" s="277">
        <v>45.333333333333336</v>
      </c>
      <c r="AF664" s="128">
        <v>41.25</v>
      </c>
      <c r="AG664" s="128">
        <v>68.25</v>
      </c>
      <c r="AH664" s="128">
        <v>69.25</v>
      </c>
      <c r="AI664" s="2197">
        <v>99.75</v>
      </c>
      <c r="AJ664" s="2190">
        <f t="shared" ref="AJ664:AT664" si="332">+AI664*AJ$953/AI$953</f>
        <v>106.38706662147324</v>
      </c>
      <c r="AK664" s="128">
        <f t="shared" si="332"/>
        <v>117.38727544041956</v>
      </c>
      <c r="AL664" s="128">
        <f t="shared" si="332"/>
        <v>120.21294806288097</v>
      </c>
      <c r="AM664" s="128">
        <f t="shared" si="332"/>
        <v>124.50104968299647</v>
      </c>
      <c r="AN664" s="128">
        <f t="shared" si="332"/>
        <v>130.88677364573579</v>
      </c>
      <c r="AO664" s="128">
        <f t="shared" si="332"/>
        <v>137.80163876657724</v>
      </c>
      <c r="AP664" s="1809">
        <f t="shared" si="332"/>
        <v>144.24293494680899</v>
      </c>
      <c r="AQ664" s="1809">
        <f t="shared" si="332"/>
        <v>152.05922008422505</v>
      </c>
      <c r="AR664" s="1809">
        <f t="shared" si="332"/>
        <v>160.47847973517824</v>
      </c>
      <c r="AS664" s="1809">
        <f t="shared" si="332"/>
        <v>167.12116827638252</v>
      </c>
      <c r="AT664" s="1809">
        <f t="shared" si="332"/>
        <v>171.07645115844394</v>
      </c>
      <c r="AU664" s="231"/>
      <c r="AV664" s="231"/>
      <c r="AW664" s="231"/>
      <c r="AX664" s="231"/>
    </row>
    <row r="665" spans="2:50">
      <c r="B665" s="302"/>
      <c r="C665" s="290"/>
      <c r="D665" s="129" t="str">
        <f t="shared" si="305"/>
        <v>Information &amp; communication</v>
      </c>
      <c r="E665" s="1560"/>
      <c r="F665" s="560"/>
      <c r="G665" s="130"/>
      <c r="H665" s="130"/>
      <c r="I665" s="130"/>
      <c r="J665" s="277">
        <v>63</v>
      </c>
      <c r="K665" s="277">
        <v>69</v>
      </c>
      <c r="L665" s="277">
        <v>69</v>
      </c>
      <c r="M665" s="277">
        <v>73</v>
      </c>
      <c r="N665" s="277">
        <v>77</v>
      </c>
      <c r="O665" s="277">
        <v>80</v>
      </c>
      <c r="P665" s="277">
        <v>84</v>
      </c>
      <c r="Q665" s="277">
        <v>104.75</v>
      </c>
      <c r="R665" s="277">
        <v>115.25</v>
      </c>
      <c r="S665" s="277">
        <v>126</v>
      </c>
      <c r="T665" s="277">
        <v>132.5</v>
      </c>
      <c r="U665" s="277">
        <v>140.5</v>
      </c>
      <c r="V665" s="277">
        <v>150.5</v>
      </c>
      <c r="W665" s="277">
        <v>142.75</v>
      </c>
      <c r="X665" s="277">
        <v>134.25</v>
      </c>
      <c r="Y665" s="277">
        <v>146.25</v>
      </c>
      <c r="Z665" s="277">
        <v>142.75</v>
      </c>
      <c r="AA665" s="277">
        <v>134</v>
      </c>
      <c r="AB665" s="277">
        <v>118.25</v>
      </c>
      <c r="AC665" s="277">
        <v>116.75</v>
      </c>
      <c r="AD665" s="277">
        <v>145.5</v>
      </c>
      <c r="AE665" s="277">
        <v>124.66666666666667</v>
      </c>
      <c r="AF665" s="128">
        <v>119.75</v>
      </c>
      <c r="AG665" s="128">
        <v>98.25</v>
      </c>
      <c r="AH665" s="128">
        <v>94.25</v>
      </c>
      <c r="AI665" s="2197">
        <v>99.5</v>
      </c>
      <c r="AJ665" s="2190">
        <f t="shared" ref="AJ665:AT665" si="333">+AI665*AJ$953/AI$953</f>
        <v>106.12043236928909</v>
      </c>
      <c r="AK665" s="128">
        <f t="shared" si="333"/>
        <v>117.09307174257388</v>
      </c>
      <c r="AL665" s="128">
        <f t="shared" si="333"/>
        <v>119.91166247876346</v>
      </c>
      <c r="AM665" s="128">
        <f t="shared" si="333"/>
        <v>124.18901697702402</v>
      </c>
      <c r="AN665" s="128">
        <f t="shared" si="333"/>
        <v>130.55873661905471</v>
      </c>
      <c r="AO665" s="128">
        <f t="shared" si="333"/>
        <v>137.45627125087154</v>
      </c>
      <c r="AP665" s="1809">
        <f t="shared" si="333"/>
        <v>143.88142383165408</v>
      </c>
      <c r="AQ665" s="1809">
        <f t="shared" si="333"/>
        <v>151.67811928200896</v>
      </c>
      <c r="AR665" s="1809">
        <f t="shared" si="333"/>
        <v>160.07627803158132</v>
      </c>
      <c r="AS665" s="1809">
        <f t="shared" si="333"/>
        <v>166.70231823057708</v>
      </c>
      <c r="AT665" s="1809">
        <f t="shared" si="333"/>
        <v>170.64768812295915</v>
      </c>
      <c r="AU665" s="231"/>
      <c r="AV665" s="231"/>
      <c r="AW665" s="231"/>
      <c r="AX665" s="231"/>
    </row>
    <row r="666" spans="2:50">
      <c r="B666" s="302"/>
      <c r="C666" s="290"/>
      <c r="D666" s="129" t="str">
        <f t="shared" si="305"/>
        <v>Financial services</v>
      </c>
      <c r="E666" s="3013"/>
      <c r="F666" s="2210"/>
      <c r="G666" s="121"/>
      <c r="H666" s="121"/>
      <c r="I666" s="121"/>
      <c r="J666" s="277">
        <v>39</v>
      </c>
      <c r="K666" s="277">
        <v>42</v>
      </c>
      <c r="L666" s="277">
        <v>38</v>
      </c>
      <c r="M666" s="277">
        <v>39</v>
      </c>
      <c r="N666" s="277">
        <v>44</v>
      </c>
      <c r="O666" s="277">
        <v>51</v>
      </c>
      <c r="P666" s="277">
        <v>55</v>
      </c>
      <c r="Q666" s="277">
        <v>35.25</v>
      </c>
      <c r="R666" s="277">
        <v>38</v>
      </c>
      <c r="S666" s="277">
        <v>41</v>
      </c>
      <c r="T666" s="277">
        <v>43</v>
      </c>
      <c r="U666" s="277">
        <v>44.25</v>
      </c>
      <c r="V666" s="277">
        <v>46</v>
      </c>
      <c r="W666" s="277">
        <v>52.25</v>
      </c>
      <c r="X666" s="277">
        <v>64.25</v>
      </c>
      <c r="Y666" s="277">
        <v>55.25</v>
      </c>
      <c r="Z666" s="277">
        <v>54</v>
      </c>
      <c r="AA666" s="277">
        <v>54</v>
      </c>
      <c r="AB666" s="277">
        <v>59</v>
      </c>
      <c r="AC666" s="277">
        <v>60.5</v>
      </c>
      <c r="AD666" s="277">
        <v>64.5</v>
      </c>
      <c r="AE666" s="277">
        <v>67.333333333333329</v>
      </c>
      <c r="AF666" s="128">
        <v>83.75</v>
      </c>
      <c r="AG666" s="128">
        <v>103.75</v>
      </c>
      <c r="AH666" s="128">
        <v>118.5</v>
      </c>
      <c r="AI666" s="2197">
        <v>100.25</v>
      </c>
      <c r="AJ666" s="2190">
        <f t="shared" ref="AJ666:AT666" si="334">+AI666*AJ$953/AI$953</f>
        <v>106.92033512584153</v>
      </c>
      <c r="AK666" s="128">
        <f t="shared" si="334"/>
        <v>117.97568283611089</v>
      </c>
      <c r="AL666" s="128">
        <f t="shared" si="334"/>
        <v>120.81551923111597</v>
      </c>
      <c r="AM666" s="128">
        <f t="shared" si="334"/>
        <v>125.12511509494132</v>
      </c>
      <c r="AN666" s="128">
        <f t="shared" si="334"/>
        <v>131.54284769909788</v>
      </c>
      <c r="AO666" s="128">
        <f t="shared" si="334"/>
        <v>138.49237379798868</v>
      </c>
      <c r="AP666" s="1809">
        <f t="shared" si="334"/>
        <v>144.96595717711884</v>
      </c>
      <c r="AQ666" s="1809">
        <f t="shared" si="334"/>
        <v>152.8214216886573</v>
      </c>
      <c r="AR666" s="1809">
        <f t="shared" si="334"/>
        <v>161.28288314237219</v>
      </c>
      <c r="AS666" s="1809">
        <f t="shared" si="334"/>
        <v>167.95886836799355</v>
      </c>
      <c r="AT666" s="1809">
        <f t="shared" si="334"/>
        <v>171.93397722941364</v>
      </c>
      <c r="AU666" s="231"/>
      <c r="AV666" s="231"/>
      <c r="AW666" s="231"/>
      <c r="AX666" s="231"/>
    </row>
    <row r="667" spans="2:50">
      <c r="B667" s="302"/>
      <c r="C667" s="290"/>
      <c r="D667" s="129" t="str">
        <f t="shared" si="305"/>
        <v>Real estate activities</v>
      </c>
      <c r="E667" s="3012"/>
      <c r="F667" s="2209"/>
      <c r="G667" s="119"/>
      <c r="H667" s="119"/>
      <c r="I667" s="119"/>
      <c r="J667" s="277">
        <v>33</v>
      </c>
      <c r="K667" s="277">
        <v>34</v>
      </c>
      <c r="L667" s="277">
        <v>34</v>
      </c>
      <c r="M667" s="277">
        <v>34</v>
      </c>
      <c r="N667" s="277">
        <v>38</v>
      </c>
      <c r="O667" s="277">
        <v>39</v>
      </c>
      <c r="P667" s="277">
        <v>40</v>
      </c>
      <c r="Q667" s="277">
        <v>21.5</v>
      </c>
      <c r="R667" s="277">
        <v>29.75</v>
      </c>
      <c r="S667" s="277">
        <v>35</v>
      </c>
      <c r="T667" s="277">
        <v>39.75</v>
      </c>
      <c r="U667" s="277">
        <v>41</v>
      </c>
      <c r="V667" s="277">
        <v>43.5</v>
      </c>
      <c r="W667" s="277">
        <v>43</v>
      </c>
      <c r="X667" s="277">
        <v>65</v>
      </c>
      <c r="Y667" s="277">
        <v>43.75</v>
      </c>
      <c r="Z667" s="277">
        <v>44.75</v>
      </c>
      <c r="AA667" s="277">
        <v>48</v>
      </c>
      <c r="AB667" s="277">
        <v>51.25</v>
      </c>
      <c r="AC667" s="277">
        <v>57.5</v>
      </c>
      <c r="AD667" s="277">
        <v>63.5</v>
      </c>
      <c r="AE667" s="277">
        <v>68.666666666666671</v>
      </c>
      <c r="AF667" s="128">
        <v>75</v>
      </c>
      <c r="AG667" s="128">
        <v>83</v>
      </c>
      <c r="AH667" s="128">
        <v>98</v>
      </c>
      <c r="AI667" s="2197">
        <v>99.75</v>
      </c>
      <c r="AJ667" s="2190">
        <f t="shared" ref="AJ667:AT667" si="335">+AI667*AJ$953/AI$953</f>
        <v>106.38706662147324</v>
      </c>
      <c r="AK667" s="128">
        <f t="shared" si="335"/>
        <v>117.38727544041956</v>
      </c>
      <c r="AL667" s="128">
        <f t="shared" si="335"/>
        <v>120.21294806288097</v>
      </c>
      <c r="AM667" s="128">
        <f t="shared" si="335"/>
        <v>124.50104968299647</v>
      </c>
      <c r="AN667" s="128">
        <f t="shared" si="335"/>
        <v>130.88677364573579</v>
      </c>
      <c r="AO667" s="128">
        <f t="shared" si="335"/>
        <v>137.80163876657724</v>
      </c>
      <c r="AP667" s="1809">
        <f t="shared" si="335"/>
        <v>144.24293494680899</v>
      </c>
      <c r="AQ667" s="1809">
        <f t="shared" si="335"/>
        <v>152.05922008422505</v>
      </c>
      <c r="AR667" s="1809">
        <f t="shared" si="335"/>
        <v>160.47847973517824</v>
      </c>
      <c r="AS667" s="1809">
        <f t="shared" si="335"/>
        <v>167.12116827638252</v>
      </c>
      <c r="AT667" s="1809">
        <f t="shared" si="335"/>
        <v>171.07645115844394</v>
      </c>
      <c r="AU667" s="231"/>
      <c r="AV667" s="231"/>
      <c r="AW667" s="231"/>
      <c r="AX667" s="231"/>
    </row>
    <row r="668" spans="2:50">
      <c r="B668" s="302"/>
      <c r="C668" s="290"/>
      <c r="D668" s="129" t="str">
        <f t="shared" si="305"/>
        <v>Professional, scientific and technical activities</v>
      </c>
      <c r="E668" s="3012"/>
      <c r="F668" s="2209"/>
      <c r="G668" s="119"/>
      <c r="H668" s="119"/>
      <c r="I668" s="119"/>
      <c r="J668" s="277">
        <v>31</v>
      </c>
      <c r="K668" s="277">
        <v>31</v>
      </c>
      <c r="L668" s="277">
        <v>32</v>
      </c>
      <c r="M668" s="277">
        <v>31</v>
      </c>
      <c r="N668" s="277">
        <v>35</v>
      </c>
      <c r="O668" s="277">
        <v>36</v>
      </c>
      <c r="P668" s="277">
        <v>37</v>
      </c>
      <c r="Q668" s="277">
        <v>20.25</v>
      </c>
      <c r="R668" s="277">
        <v>27.75</v>
      </c>
      <c r="S668" s="277">
        <v>33</v>
      </c>
      <c r="T668" s="277">
        <v>37.25</v>
      </c>
      <c r="U668" s="277">
        <v>39</v>
      </c>
      <c r="V668" s="277">
        <v>40.75</v>
      </c>
      <c r="W668" s="277">
        <v>43.25</v>
      </c>
      <c r="X668" s="277">
        <v>67.5</v>
      </c>
      <c r="Y668" s="277">
        <v>46</v>
      </c>
      <c r="Z668" s="277">
        <v>47</v>
      </c>
      <c r="AA668" s="277">
        <v>49.75</v>
      </c>
      <c r="AB668" s="277">
        <v>52.25</v>
      </c>
      <c r="AC668" s="277">
        <v>56.75</v>
      </c>
      <c r="AD668" s="277">
        <v>62.25</v>
      </c>
      <c r="AE668" s="277">
        <v>72.666666666666671</v>
      </c>
      <c r="AF668" s="128">
        <v>75.75</v>
      </c>
      <c r="AG668" s="128">
        <v>85.75</v>
      </c>
      <c r="AH668" s="128">
        <v>99.75</v>
      </c>
      <c r="AI668" s="2197">
        <v>99.75</v>
      </c>
      <c r="AJ668" s="2190">
        <f t="shared" ref="AJ668:AT668" si="336">+AI668*AJ$953/AI$953</f>
        <v>106.38706662147324</v>
      </c>
      <c r="AK668" s="128">
        <f t="shared" si="336"/>
        <v>117.38727544041956</v>
      </c>
      <c r="AL668" s="128">
        <f t="shared" si="336"/>
        <v>120.21294806288097</v>
      </c>
      <c r="AM668" s="128">
        <f t="shared" si="336"/>
        <v>124.50104968299647</v>
      </c>
      <c r="AN668" s="128">
        <f t="shared" si="336"/>
        <v>130.88677364573579</v>
      </c>
      <c r="AO668" s="128">
        <f t="shared" si="336"/>
        <v>137.80163876657724</v>
      </c>
      <c r="AP668" s="1809">
        <f t="shared" si="336"/>
        <v>144.24293494680899</v>
      </c>
      <c r="AQ668" s="1809">
        <f t="shared" si="336"/>
        <v>152.05922008422505</v>
      </c>
      <c r="AR668" s="1809">
        <f t="shared" si="336"/>
        <v>160.47847973517824</v>
      </c>
      <c r="AS668" s="1809">
        <f t="shared" si="336"/>
        <v>167.12116827638252</v>
      </c>
      <c r="AT668" s="1809">
        <f t="shared" si="336"/>
        <v>171.07645115844394</v>
      </c>
      <c r="AU668" s="231"/>
      <c r="AV668" s="231"/>
      <c r="AW668" s="231"/>
      <c r="AX668" s="231"/>
    </row>
    <row r="669" spans="2:50">
      <c r="B669" s="302"/>
      <c r="C669" s="290"/>
      <c r="D669" s="129" t="str">
        <f t="shared" si="305"/>
        <v>Administrative and support service activities</v>
      </c>
      <c r="E669" s="3012"/>
      <c r="F669" s="2209"/>
      <c r="G669" s="119"/>
      <c r="H669" s="119"/>
      <c r="I669" s="119"/>
      <c r="J669" s="277">
        <v>31</v>
      </c>
      <c r="K669" s="277">
        <v>31</v>
      </c>
      <c r="L669" s="277">
        <v>32</v>
      </c>
      <c r="M669" s="277">
        <v>31</v>
      </c>
      <c r="N669" s="277">
        <v>35</v>
      </c>
      <c r="O669" s="277">
        <v>36</v>
      </c>
      <c r="P669" s="277">
        <v>37</v>
      </c>
      <c r="Q669" s="277">
        <v>21.25</v>
      </c>
      <c r="R669" s="277">
        <v>29</v>
      </c>
      <c r="S669" s="277">
        <v>34.75</v>
      </c>
      <c r="T669" s="277">
        <v>39</v>
      </c>
      <c r="U669" s="277">
        <v>40.25</v>
      </c>
      <c r="V669" s="277">
        <v>42.5</v>
      </c>
      <c r="W669" s="277">
        <v>45.25</v>
      </c>
      <c r="X669" s="277">
        <v>71.75</v>
      </c>
      <c r="Y669" s="277">
        <v>48</v>
      </c>
      <c r="Z669" s="277">
        <v>49</v>
      </c>
      <c r="AA669" s="277">
        <v>52</v>
      </c>
      <c r="AB669" s="277">
        <v>54.75</v>
      </c>
      <c r="AC669" s="277">
        <v>59.5</v>
      </c>
      <c r="AD669" s="277">
        <v>65.25</v>
      </c>
      <c r="AE669" s="277">
        <v>76</v>
      </c>
      <c r="AF669" s="128">
        <v>77</v>
      </c>
      <c r="AG669" s="128">
        <v>84.25</v>
      </c>
      <c r="AH669" s="128">
        <v>94.5</v>
      </c>
      <c r="AI669" s="2197">
        <v>99.75</v>
      </c>
      <c r="AJ669" s="2190">
        <f t="shared" ref="AJ669:AT669" si="337">+AI669*AJ$953/AI$953</f>
        <v>106.38706662147324</v>
      </c>
      <c r="AK669" s="128">
        <f t="shared" si="337"/>
        <v>117.38727544041956</v>
      </c>
      <c r="AL669" s="128">
        <f t="shared" si="337"/>
        <v>120.21294806288097</v>
      </c>
      <c r="AM669" s="128">
        <f t="shared" si="337"/>
        <v>124.50104968299647</v>
      </c>
      <c r="AN669" s="128">
        <f t="shared" si="337"/>
        <v>130.88677364573579</v>
      </c>
      <c r="AO669" s="128">
        <f t="shared" si="337"/>
        <v>137.80163876657724</v>
      </c>
      <c r="AP669" s="1809">
        <f t="shared" si="337"/>
        <v>144.24293494680899</v>
      </c>
      <c r="AQ669" s="1809">
        <f t="shared" si="337"/>
        <v>152.05922008422505</v>
      </c>
      <c r="AR669" s="1809">
        <f t="shared" si="337"/>
        <v>160.47847973517824</v>
      </c>
      <c r="AS669" s="1809">
        <f t="shared" si="337"/>
        <v>167.12116827638252</v>
      </c>
      <c r="AT669" s="1809">
        <f t="shared" si="337"/>
        <v>171.07645115844394</v>
      </c>
      <c r="AU669" s="231"/>
      <c r="AV669" s="231"/>
      <c r="AW669" s="231"/>
      <c r="AX669" s="231"/>
    </row>
    <row r="670" spans="2:50">
      <c r="B670" s="668" t="s">
        <v>602</v>
      </c>
      <c r="C670" s="290"/>
      <c r="D670" s="129" t="str">
        <f t="shared" si="305"/>
        <v>Public administration and defence; compulsory social security</v>
      </c>
      <c r="E670" s="3013"/>
      <c r="F670" s="2210"/>
      <c r="G670" s="121"/>
      <c r="H670" s="121"/>
      <c r="I670" s="121"/>
      <c r="J670" s="277">
        <v>42</v>
      </c>
      <c r="K670" s="277">
        <v>43</v>
      </c>
      <c r="L670" s="277">
        <v>44</v>
      </c>
      <c r="M670" s="277">
        <v>45</v>
      </c>
      <c r="N670" s="277">
        <v>48</v>
      </c>
      <c r="O670" s="277">
        <v>52</v>
      </c>
      <c r="P670" s="277">
        <v>55</v>
      </c>
      <c r="Q670" s="277">
        <v>50</v>
      </c>
      <c r="R670" s="277">
        <v>53.5</v>
      </c>
      <c r="S670" s="277">
        <v>58.75</v>
      </c>
      <c r="T670" s="277">
        <v>63.75</v>
      </c>
      <c r="U670" s="277">
        <v>65.75</v>
      </c>
      <c r="V670" s="277">
        <v>69.25</v>
      </c>
      <c r="W670" s="277">
        <v>72.75</v>
      </c>
      <c r="X670" s="277">
        <v>84.5</v>
      </c>
      <c r="Y670" s="277">
        <v>76.75</v>
      </c>
      <c r="Z670" s="277">
        <v>79</v>
      </c>
      <c r="AA670" s="277">
        <v>82.5</v>
      </c>
      <c r="AB670" s="277">
        <v>86.25</v>
      </c>
      <c r="AC670" s="277">
        <v>85.75</v>
      </c>
      <c r="AD670" s="277">
        <v>85</v>
      </c>
      <c r="AE670" s="277">
        <v>87.333333333333329</v>
      </c>
      <c r="AF670" s="128">
        <v>84.5</v>
      </c>
      <c r="AG670" s="128">
        <v>90.75</v>
      </c>
      <c r="AH670" s="128">
        <v>97.25</v>
      </c>
      <c r="AI670" s="2197">
        <v>99.75</v>
      </c>
      <c r="AJ670" s="2190">
        <f t="shared" ref="AJ670:AT670" si="338">+AI670*AJ$954/AI$954</f>
        <v>109.74295499999999</v>
      </c>
      <c r="AK670" s="128">
        <f t="shared" si="338"/>
        <v>119.61982095</v>
      </c>
      <c r="AL670" s="128">
        <f t="shared" si="338"/>
        <v>129.18940662599999</v>
      </c>
      <c r="AM670" s="128">
        <f t="shared" si="338"/>
        <v>139.52455915607999</v>
      </c>
      <c r="AN670" s="128">
        <f t="shared" si="338"/>
        <v>150.6865238885664</v>
      </c>
      <c r="AO670" s="128">
        <f t="shared" si="338"/>
        <v>162.7414457996517</v>
      </c>
      <c r="AP670" s="1809">
        <f t="shared" si="338"/>
        <v>175.76076146362385</v>
      </c>
      <c r="AQ670" s="1809">
        <f t="shared" si="338"/>
        <v>189.82162238071376</v>
      </c>
      <c r="AR670" s="1809">
        <f t="shared" si="338"/>
        <v>205.00735217117088</v>
      </c>
      <c r="AS670" s="1809">
        <f t="shared" si="338"/>
        <v>221.40794034486456</v>
      </c>
      <c r="AT670" s="1809">
        <f t="shared" si="338"/>
        <v>230.26425795865916</v>
      </c>
      <c r="AU670" s="231"/>
      <c r="AV670" s="231"/>
      <c r="AW670" s="231"/>
      <c r="AX670" s="231"/>
    </row>
    <row r="671" spans="2:50">
      <c r="B671" s="668" t="s">
        <v>602</v>
      </c>
      <c r="C671" s="290"/>
      <c r="D671" s="129" t="str">
        <f t="shared" si="305"/>
        <v>Education</v>
      </c>
      <c r="E671" s="3013"/>
      <c r="F671" s="2210"/>
      <c r="G671" s="121"/>
      <c r="H671" s="121"/>
      <c r="I671" s="121"/>
      <c r="J671" s="277">
        <v>22</v>
      </c>
      <c r="K671" s="277">
        <v>28</v>
      </c>
      <c r="L671" s="277">
        <v>26</v>
      </c>
      <c r="M671" s="277">
        <v>23</v>
      </c>
      <c r="N671" s="277">
        <v>27</v>
      </c>
      <c r="O671" s="277">
        <v>28</v>
      </c>
      <c r="P671" s="277">
        <v>32</v>
      </c>
      <c r="Q671" s="277">
        <v>17</v>
      </c>
      <c r="R671" s="277">
        <v>18</v>
      </c>
      <c r="S671" s="277">
        <v>20</v>
      </c>
      <c r="T671" s="277">
        <v>22</v>
      </c>
      <c r="U671" s="277">
        <v>24.5</v>
      </c>
      <c r="V671" s="277">
        <v>25.75</v>
      </c>
      <c r="W671" s="277">
        <v>29.5</v>
      </c>
      <c r="X671" s="277">
        <v>48.25</v>
      </c>
      <c r="Y671" s="277">
        <v>40.75</v>
      </c>
      <c r="Z671" s="277">
        <v>41</v>
      </c>
      <c r="AA671" s="277">
        <v>41.5</v>
      </c>
      <c r="AB671" s="277">
        <v>42.75</v>
      </c>
      <c r="AC671" s="277">
        <v>42.25</v>
      </c>
      <c r="AD671" s="277">
        <v>43.75</v>
      </c>
      <c r="AE671" s="277">
        <v>58.666666666666664</v>
      </c>
      <c r="AF671" s="128">
        <v>52.5</v>
      </c>
      <c r="AG671" s="128">
        <v>74.5</v>
      </c>
      <c r="AH671" s="128">
        <v>99.5</v>
      </c>
      <c r="AI671" s="2197">
        <v>100</v>
      </c>
      <c r="AJ671" s="2190">
        <f t="shared" ref="AJ671:AT671" si="339">+AI671*AJ$954/AI$954</f>
        <v>110.018</v>
      </c>
      <c r="AK671" s="128">
        <f t="shared" si="339"/>
        <v>119.91962000000001</v>
      </c>
      <c r="AL671" s="128">
        <f t="shared" si="339"/>
        <v>129.5131896</v>
      </c>
      <c r="AM671" s="128">
        <f t="shared" si="339"/>
        <v>139.87424476800001</v>
      </c>
      <c r="AN671" s="128">
        <f t="shared" si="339"/>
        <v>151.06418434944001</v>
      </c>
      <c r="AO671" s="128">
        <f t="shared" si="339"/>
        <v>163.14931909739522</v>
      </c>
      <c r="AP671" s="1809">
        <f t="shared" si="339"/>
        <v>176.20126462518687</v>
      </c>
      <c r="AQ671" s="1809">
        <f t="shared" si="339"/>
        <v>190.29736579520184</v>
      </c>
      <c r="AR671" s="1809">
        <f t="shared" si="339"/>
        <v>205.52115505881801</v>
      </c>
      <c r="AS671" s="1809">
        <f t="shared" si="339"/>
        <v>221.96284746352347</v>
      </c>
      <c r="AT671" s="1809">
        <f t="shared" si="339"/>
        <v>230.84136136206439</v>
      </c>
      <c r="AU671" s="231"/>
      <c r="AV671" s="231"/>
      <c r="AW671" s="231"/>
      <c r="AX671" s="231"/>
    </row>
    <row r="672" spans="2:50">
      <c r="B672" s="668" t="s">
        <v>602</v>
      </c>
      <c r="C672" s="290"/>
      <c r="D672" s="129" t="str">
        <f t="shared" si="305"/>
        <v>Human health and social work activities</v>
      </c>
      <c r="E672" s="3013"/>
      <c r="F672" s="2210"/>
      <c r="G672" s="121"/>
      <c r="H672" s="121"/>
      <c r="I672" s="121"/>
      <c r="J672" s="280">
        <v>52</v>
      </c>
      <c r="K672" s="280">
        <v>54</v>
      </c>
      <c r="L672" s="280">
        <v>51</v>
      </c>
      <c r="M672" s="280">
        <v>52</v>
      </c>
      <c r="N672" s="280">
        <v>57</v>
      </c>
      <c r="O672" s="280">
        <v>59</v>
      </c>
      <c r="P672" s="280">
        <v>61</v>
      </c>
      <c r="Q672" s="280">
        <v>67.75</v>
      </c>
      <c r="R672" s="280">
        <v>77.5</v>
      </c>
      <c r="S672" s="280">
        <v>85</v>
      </c>
      <c r="T672" s="280">
        <v>90</v>
      </c>
      <c r="U672" s="280">
        <v>92</v>
      </c>
      <c r="V672" s="280">
        <v>94</v>
      </c>
      <c r="W672" s="280">
        <v>97</v>
      </c>
      <c r="X672" s="280">
        <v>117.75</v>
      </c>
      <c r="Y672" s="280">
        <v>110</v>
      </c>
      <c r="Z672" s="280">
        <v>102.75</v>
      </c>
      <c r="AA672" s="280">
        <v>98.5</v>
      </c>
      <c r="AB672" s="280">
        <v>109.25</v>
      </c>
      <c r="AC672" s="280">
        <v>111.5</v>
      </c>
      <c r="AD672" s="280">
        <v>116.25</v>
      </c>
      <c r="AE672" s="280">
        <v>133</v>
      </c>
      <c r="AF672" s="131">
        <v>126.5</v>
      </c>
      <c r="AG672" s="131">
        <v>115.25</v>
      </c>
      <c r="AH672" s="131">
        <v>104</v>
      </c>
      <c r="AI672" s="2263">
        <v>100.5</v>
      </c>
      <c r="AJ672" s="2191">
        <f t="shared" ref="AJ672:AT672" si="340">+AI672*AJ$954/AI$954</f>
        <v>110.56808999999998</v>
      </c>
      <c r="AK672" s="131">
        <f t="shared" si="340"/>
        <v>120.5192181</v>
      </c>
      <c r="AL672" s="131">
        <f t="shared" si="340"/>
        <v>130.160755548</v>
      </c>
      <c r="AM672" s="131">
        <f t="shared" si="340"/>
        <v>140.57361599184</v>
      </c>
      <c r="AN672" s="131">
        <f t="shared" si="340"/>
        <v>151.81950527118721</v>
      </c>
      <c r="AO672" s="131">
        <f t="shared" si="340"/>
        <v>163.96506569288221</v>
      </c>
      <c r="AP672" s="1810">
        <f t="shared" si="340"/>
        <v>177.08227094831281</v>
      </c>
      <c r="AQ672" s="1810">
        <f t="shared" si="340"/>
        <v>191.24885262417786</v>
      </c>
      <c r="AR672" s="1810">
        <f t="shared" si="340"/>
        <v>206.5487608341121</v>
      </c>
      <c r="AS672" s="1810">
        <f t="shared" si="340"/>
        <v>223.07266170084108</v>
      </c>
      <c r="AT672" s="1810">
        <f t="shared" si="340"/>
        <v>231.99556816887474</v>
      </c>
      <c r="AU672" s="231"/>
      <c r="AV672" s="231"/>
      <c r="AW672" s="231"/>
      <c r="AX672" s="231"/>
    </row>
    <row r="673" spans="1:50" ht="16.75" thickBot="1">
      <c r="B673" s="302"/>
      <c r="C673" s="290"/>
      <c r="D673" s="132" t="str">
        <f t="shared" si="305"/>
        <v>Cultural, domestic &amp; other services</v>
      </c>
      <c r="E673" s="3017"/>
      <c r="F673" s="2211"/>
      <c r="G673" s="133"/>
      <c r="H673" s="133"/>
      <c r="I673" s="133"/>
      <c r="J673" s="281">
        <v>51</v>
      </c>
      <c r="K673" s="281">
        <v>52</v>
      </c>
      <c r="L673" s="281">
        <v>51</v>
      </c>
      <c r="M673" s="281">
        <v>50</v>
      </c>
      <c r="N673" s="281">
        <v>53</v>
      </c>
      <c r="O673" s="281">
        <v>57</v>
      </c>
      <c r="P673" s="281">
        <v>61</v>
      </c>
      <c r="Q673" s="281">
        <v>66</v>
      </c>
      <c r="R673" s="281">
        <v>68.25</v>
      </c>
      <c r="S673" s="281">
        <v>75</v>
      </c>
      <c r="T673" s="281">
        <v>80.75</v>
      </c>
      <c r="U673" s="281">
        <v>82.25</v>
      </c>
      <c r="V673" s="281">
        <v>87.25</v>
      </c>
      <c r="W673" s="281">
        <v>89.75</v>
      </c>
      <c r="X673" s="281">
        <v>98.25</v>
      </c>
      <c r="Y673" s="281">
        <v>95.75</v>
      </c>
      <c r="Z673" s="281">
        <v>98</v>
      </c>
      <c r="AA673" s="281">
        <v>100.5</v>
      </c>
      <c r="AB673" s="281">
        <v>103.25</v>
      </c>
      <c r="AC673" s="281">
        <v>101.75</v>
      </c>
      <c r="AD673" s="281">
        <v>99</v>
      </c>
      <c r="AE673" s="281">
        <v>96.666666666666671</v>
      </c>
      <c r="AF673" s="134">
        <v>94.25</v>
      </c>
      <c r="AG673" s="134">
        <v>95.75</v>
      </c>
      <c r="AH673" s="134">
        <v>91</v>
      </c>
      <c r="AI673" s="2264">
        <v>100</v>
      </c>
      <c r="AJ673" s="2192">
        <f t="shared" ref="AJ673:AO673" si="341">+AI673*AJ$953/AI$953</f>
        <v>106.65370087365739</v>
      </c>
      <c r="AK673" s="134">
        <f t="shared" si="341"/>
        <v>117.68147913826522</v>
      </c>
      <c r="AL673" s="134">
        <f t="shared" si="341"/>
        <v>120.51423364699846</v>
      </c>
      <c r="AM673" s="134">
        <f t="shared" si="341"/>
        <v>124.81308238896889</v>
      </c>
      <c r="AN673" s="134">
        <f t="shared" si="341"/>
        <v>131.21481067241683</v>
      </c>
      <c r="AO673" s="134">
        <f t="shared" si="341"/>
        <v>138.14700628228297</v>
      </c>
      <c r="AP673" s="1811">
        <f>+AO673*AP$953/AO$953</f>
        <v>144.60444606196393</v>
      </c>
      <c r="AQ673" s="1811">
        <f>+AP673*AQ$953/AP$953</f>
        <v>152.44032088644119</v>
      </c>
      <c r="AR673" s="1811">
        <f>+AQ673*AR$953/AQ$953</f>
        <v>160.88068143877521</v>
      </c>
      <c r="AS673" s="1811">
        <f>+AR673*AS$953/AR$953</f>
        <v>167.54001832218802</v>
      </c>
      <c r="AT673" s="1811">
        <f>+AS673*AT$953/AS$953</f>
        <v>171.50521419392879</v>
      </c>
      <c r="AU673" s="231"/>
      <c r="AV673" s="231"/>
      <c r="AW673" s="231"/>
      <c r="AX673" s="231"/>
    </row>
    <row r="674" spans="1:50" ht="12" customHeight="1" thickBot="1">
      <c r="A674" s="300" t="str">
        <f>+A637</f>
        <v>insert line ~ NISR format</v>
      </c>
      <c r="B674" s="302"/>
      <c r="C674" s="290"/>
      <c r="D674" s="132"/>
      <c r="E674" s="3017"/>
      <c r="F674" s="2211"/>
      <c r="G674" s="133"/>
      <c r="H674" s="133"/>
      <c r="I674" s="133"/>
      <c r="J674" s="281"/>
      <c r="K674" s="281"/>
      <c r="L674" s="281"/>
      <c r="M674" s="281"/>
      <c r="N674" s="281"/>
      <c r="O674" s="281"/>
      <c r="P674" s="281"/>
      <c r="Q674" s="281"/>
      <c r="R674" s="281"/>
      <c r="S674" s="281"/>
      <c r="T674" s="281"/>
      <c r="U674" s="281"/>
      <c r="V674" s="281"/>
      <c r="W674" s="281"/>
      <c r="X674" s="281"/>
      <c r="Y674" s="281"/>
      <c r="Z674" s="281"/>
      <c r="AA674" s="1251"/>
      <c r="AB674" s="1251"/>
      <c r="AC674" s="1251"/>
      <c r="AD674" s="1251"/>
      <c r="AE674" s="1251"/>
      <c r="AF674" s="1251"/>
      <c r="AG674" s="1251"/>
      <c r="AH674" s="1251"/>
      <c r="AI674" s="2265"/>
      <c r="AJ674" s="2194"/>
      <c r="AK674" s="1251"/>
      <c r="AL674" s="1251"/>
      <c r="AM674" s="1251"/>
      <c r="AN674" s="1251"/>
      <c r="AO674" s="1251"/>
      <c r="AP674" s="1812"/>
      <c r="AQ674" s="1812"/>
      <c r="AR674" s="1812"/>
      <c r="AS674" s="1812"/>
      <c r="AT674" s="1812"/>
      <c r="AU674" s="231"/>
      <c r="AV674" s="231"/>
      <c r="AW674" s="231"/>
      <c r="AX674" s="231"/>
    </row>
    <row r="675" spans="1:50" ht="16.75" thickBot="1">
      <c r="B675" s="668" t="s">
        <v>603</v>
      </c>
      <c r="C675" s="290"/>
      <c r="D675" s="455" t="str">
        <f>+D630</f>
        <v>Taxes less subsidies on products</v>
      </c>
      <c r="E675" s="3018"/>
      <c r="F675" s="2944"/>
      <c r="G675" s="116"/>
      <c r="H675" s="116"/>
      <c r="I675" s="116"/>
      <c r="J675" s="276">
        <v>24</v>
      </c>
      <c r="K675" s="276">
        <v>23</v>
      </c>
      <c r="L675" s="276">
        <v>25</v>
      </c>
      <c r="M675" s="276">
        <v>26</v>
      </c>
      <c r="N675" s="276">
        <v>32</v>
      </c>
      <c r="O675" s="276">
        <v>37</v>
      </c>
      <c r="P675" s="276">
        <v>40</v>
      </c>
      <c r="Q675" s="276">
        <v>42</v>
      </c>
      <c r="R675" s="276">
        <v>49</v>
      </c>
      <c r="S675" s="276">
        <v>59.75</v>
      </c>
      <c r="T675" s="276">
        <v>60.75</v>
      </c>
      <c r="U675" s="276">
        <v>64</v>
      </c>
      <c r="V675" s="276">
        <v>78</v>
      </c>
      <c r="W675" s="276">
        <v>70.5</v>
      </c>
      <c r="X675" s="276">
        <v>93.25</v>
      </c>
      <c r="Y675" s="276">
        <v>84.25</v>
      </c>
      <c r="Z675" s="276">
        <v>83.5</v>
      </c>
      <c r="AA675" s="276">
        <v>88</v>
      </c>
      <c r="AB675" s="276">
        <v>98.75</v>
      </c>
      <c r="AC675" s="276">
        <v>96</v>
      </c>
      <c r="AD675" s="276">
        <v>95</v>
      </c>
      <c r="AE675" s="276">
        <v>95.666666666666671</v>
      </c>
      <c r="AF675" s="114">
        <v>70</v>
      </c>
      <c r="AG675" s="114">
        <v>81.5</v>
      </c>
      <c r="AH675" s="114">
        <v>95.5</v>
      </c>
      <c r="AI675" s="2261">
        <v>100.25</v>
      </c>
      <c r="AJ675" s="2193">
        <f t="shared" ref="AJ675:AT675" si="342">+AI675*AJ$955/AI$955</f>
        <v>120.39448076626896</v>
      </c>
      <c r="AK675" s="114">
        <f t="shared" si="342"/>
        <v>131.28850207946539</v>
      </c>
      <c r="AL675" s="114">
        <f t="shared" si="342"/>
        <v>144.69673195020962</v>
      </c>
      <c r="AM675" s="114">
        <f t="shared" si="342"/>
        <v>166.68249918511646</v>
      </c>
      <c r="AN675" s="114">
        <f t="shared" si="342"/>
        <v>189.0728586938493</v>
      </c>
      <c r="AO675" s="114">
        <f t="shared" si="342"/>
        <v>207.62457497407448</v>
      </c>
      <c r="AP675" s="1806">
        <f t="shared" si="342"/>
        <v>179.78052214692934</v>
      </c>
      <c r="AQ675" s="1806">
        <f t="shared" si="342"/>
        <v>194.17727315515222</v>
      </c>
      <c r="AR675" s="1806">
        <f t="shared" si="342"/>
        <v>205.24516183490405</v>
      </c>
      <c r="AS675" s="1806">
        <f t="shared" si="342"/>
        <v>261.45182190481171</v>
      </c>
      <c r="AT675" s="1806">
        <f t="shared" si="342"/>
        <v>380.42910464900621</v>
      </c>
      <c r="AU675" s="231"/>
      <c r="AV675" s="231"/>
      <c r="AW675" s="231"/>
      <c r="AX675" s="231"/>
    </row>
    <row r="676" spans="1:50">
      <c r="A676" s="300"/>
      <c r="B676" s="300"/>
      <c r="C676" s="290"/>
      <c r="D676" s="27"/>
      <c r="E676" s="2990"/>
      <c r="F676" s="19"/>
      <c r="G676" s="19"/>
      <c r="H676" s="19"/>
      <c r="I676" s="19"/>
      <c r="J676" s="19"/>
      <c r="K676" s="19"/>
      <c r="L676" s="19"/>
      <c r="M676" s="19"/>
      <c r="N676" s="19"/>
      <c r="O676" s="19"/>
      <c r="P676" s="19"/>
      <c r="Q676" s="19"/>
      <c r="R676" s="19"/>
      <c r="S676" s="19"/>
      <c r="T676" s="19"/>
      <c r="U676" s="19"/>
      <c r="V676" s="19"/>
      <c r="W676" s="870"/>
      <c r="X676" s="870"/>
      <c r="Y676" s="870"/>
      <c r="Z676" s="870"/>
      <c r="AA676" s="870"/>
      <c r="AB676" s="870"/>
      <c r="AC676" s="19"/>
      <c r="AD676" s="870"/>
      <c r="AE676" s="870"/>
      <c r="AF676" s="870"/>
      <c r="AG676" s="870"/>
      <c r="AH676" s="870"/>
      <c r="AI676" s="870"/>
      <c r="AJ676" s="3196"/>
      <c r="AK676" s="870"/>
      <c r="AL676" s="870"/>
      <c r="AM676" s="870"/>
      <c r="AN676" s="870"/>
      <c r="AO676" s="870"/>
      <c r="AP676" s="870"/>
      <c r="AQ676" s="870"/>
      <c r="AR676" s="870"/>
      <c r="AS676" s="870"/>
      <c r="AT676" s="870"/>
      <c r="AU676" s="231"/>
      <c r="AV676" s="231"/>
      <c r="AW676" s="231"/>
      <c r="AX676" s="231"/>
    </row>
    <row r="677" spans="1:50">
      <c r="A677" s="300" t="str">
        <f>+A633</f>
        <v>NISR format</v>
      </c>
      <c r="B677" s="300" t="str">
        <f>+B633</f>
        <v>43 lines</v>
      </c>
      <c r="C677" s="290"/>
      <c r="D677" s="27" t="s">
        <v>1521</v>
      </c>
      <c r="E677" s="2990"/>
      <c r="F677" s="19"/>
      <c r="G677" s="19"/>
      <c r="H677" s="19"/>
      <c r="I677" s="19"/>
      <c r="J677" s="19"/>
      <c r="K677" s="19"/>
      <c r="L677" s="19"/>
      <c r="M677" s="19"/>
      <c r="N677" s="19"/>
      <c r="O677" s="19"/>
      <c r="P677" s="19"/>
      <c r="Q677" s="19"/>
      <c r="R677" s="19"/>
      <c r="S677" s="19"/>
      <c r="T677" s="19"/>
      <c r="U677" s="19"/>
      <c r="V677" s="19"/>
      <c r="W677" s="870"/>
      <c r="X677" s="870"/>
      <c r="Y677" s="870"/>
      <c r="Z677" s="870"/>
      <c r="AA677" s="870"/>
      <c r="AB677" s="870"/>
      <c r="AC677" s="19"/>
      <c r="AD677" s="870"/>
      <c r="AE677" s="870"/>
      <c r="AF677" s="870"/>
      <c r="AG677" s="870"/>
      <c r="AH677" s="870"/>
      <c r="AI677" s="870"/>
      <c r="AJ677" s="870"/>
      <c r="AK677" s="870"/>
      <c r="AL677" s="870"/>
      <c r="AM677" s="870"/>
      <c r="AN677" s="870"/>
      <c r="AO677" s="870"/>
      <c r="AP677" s="870"/>
      <c r="AQ677" s="870"/>
      <c r="AR677" s="870"/>
      <c r="AS677" s="870"/>
      <c r="AT677" s="870"/>
      <c r="AU677" s="231"/>
      <c r="AV677" s="231"/>
      <c r="AW677" s="231"/>
      <c r="AX677" s="231"/>
    </row>
    <row r="678" spans="1:50" ht="16.75" thickBot="1">
      <c r="A678" s="300"/>
      <c r="B678" s="302"/>
      <c r="C678" s="290"/>
      <c r="D678" s="321" t="s">
        <v>1167</v>
      </c>
      <c r="E678" s="2990"/>
      <c r="F678" s="19"/>
      <c r="G678" s="19"/>
      <c r="H678" s="19"/>
      <c r="I678" s="19"/>
      <c r="J678" s="19"/>
      <c r="K678" s="19"/>
      <c r="L678" s="19"/>
      <c r="M678" s="19"/>
      <c r="N678" s="19"/>
      <c r="O678" s="19"/>
      <c r="P678" s="19"/>
      <c r="Q678" s="19"/>
      <c r="R678" s="19"/>
      <c r="S678" s="19"/>
      <c r="T678" s="19"/>
      <c r="U678" s="19"/>
      <c r="V678" s="19"/>
      <c r="W678" s="870"/>
      <c r="X678" s="870"/>
      <c r="Y678" s="870"/>
      <c r="Z678" s="870"/>
      <c r="AA678" s="870"/>
      <c r="AB678" s="870"/>
      <c r="AC678" s="19"/>
      <c r="AD678" s="870"/>
      <c r="AE678" s="870"/>
      <c r="AF678" s="870"/>
      <c r="AG678" s="870"/>
      <c r="AH678" s="870"/>
      <c r="AI678" s="870"/>
      <c r="AJ678" s="870"/>
      <c r="AK678" s="870"/>
      <c r="AL678" s="870"/>
      <c r="AM678" s="870"/>
      <c r="AN678" s="870"/>
      <c r="AO678" s="870"/>
      <c r="AP678" s="870"/>
      <c r="AQ678" s="870"/>
      <c r="AR678" s="870"/>
      <c r="AS678" s="870"/>
      <c r="AT678" s="870"/>
      <c r="AU678" s="231"/>
      <c r="AV678" s="231"/>
      <c r="AW678" s="231"/>
      <c r="AX678" s="231"/>
    </row>
    <row r="679" spans="1:50" ht="16.75" thickBot="1">
      <c r="A679" s="300"/>
      <c r="B679" s="302"/>
      <c r="C679" s="290"/>
      <c r="D679" s="21"/>
      <c r="E679" s="3010"/>
      <c r="F679" s="2185">
        <f>+F635</f>
        <v>0</v>
      </c>
      <c r="G679" s="112">
        <f>+G635</f>
        <v>0</v>
      </c>
      <c r="H679" s="112">
        <f>+H635</f>
        <v>0</v>
      </c>
      <c r="I679" s="112">
        <v>1998</v>
      </c>
      <c r="J679" s="112">
        <v>1999</v>
      </c>
      <c r="K679" s="112">
        <v>2000</v>
      </c>
      <c r="L679" s="112">
        <v>2001</v>
      </c>
      <c r="M679" s="112">
        <v>2002</v>
      </c>
      <c r="N679" s="112">
        <v>2003</v>
      </c>
      <c r="O679" s="112">
        <v>2004</v>
      </c>
      <c r="P679" s="112">
        <v>2005</v>
      </c>
      <c r="Q679" s="112">
        <v>2006</v>
      </c>
      <c r="R679" s="112">
        <v>2007</v>
      </c>
      <c r="S679" s="112">
        <v>2008</v>
      </c>
      <c r="T679" s="112">
        <v>2009</v>
      </c>
      <c r="U679" s="112">
        <v>2010</v>
      </c>
      <c r="V679" s="112">
        <f t="shared" ref="V679:AA679" si="343">+V635</f>
        <v>2011</v>
      </c>
      <c r="W679" s="112">
        <f t="shared" si="343"/>
        <v>2012</v>
      </c>
      <c r="X679" s="112">
        <f t="shared" si="343"/>
        <v>2013</v>
      </c>
      <c r="Y679" s="112">
        <f t="shared" si="343"/>
        <v>2014</v>
      </c>
      <c r="Z679" s="112">
        <f t="shared" si="343"/>
        <v>2015</v>
      </c>
      <c r="AA679" s="112">
        <f t="shared" si="343"/>
        <v>2016</v>
      </c>
      <c r="AB679" s="112">
        <v>2017</v>
      </c>
      <c r="AC679" s="112">
        <f t="shared" ref="AC679:AT679" si="344">+AC635</f>
        <v>2018</v>
      </c>
      <c r="AD679" s="112">
        <f t="shared" si="344"/>
        <v>2019</v>
      </c>
      <c r="AE679" s="112">
        <f t="shared" si="344"/>
        <v>2020</v>
      </c>
      <c r="AF679" s="112">
        <f t="shared" si="344"/>
        <v>2021</v>
      </c>
      <c r="AG679" s="112">
        <f t="shared" si="344"/>
        <v>2022</v>
      </c>
      <c r="AH679" s="112">
        <f t="shared" si="344"/>
        <v>2023</v>
      </c>
      <c r="AI679" s="2266">
        <f t="shared" si="344"/>
        <v>2024</v>
      </c>
      <c r="AJ679" s="2185">
        <f t="shared" si="344"/>
        <v>2025</v>
      </c>
      <c r="AK679" s="112">
        <f t="shared" si="344"/>
        <v>2026</v>
      </c>
      <c r="AL679" s="112">
        <f t="shared" si="344"/>
        <v>2027</v>
      </c>
      <c r="AM679" s="112">
        <f t="shared" si="344"/>
        <v>2028</v>
      </c>
      <c r="AN679" s="112">
        <f t="shared" si="344"/>
        <v>2029</v>
      </c>
      <c r="AO679" s="112">
        <f t="shared" si="344"/>
        <v>2030</v>
      </c>
      <c r="AP679" s="1795">
        <f t="shared" si="344"/>
        <v>2031</v>
      </c>
      <c r="AQ679" s="1795">
        <f t="shared" si="344"/>
        <v>2032</v>
      </c>
      <c r="AR679" s="1795">
        <f t="shared" si="344"/>
        <v>2033</v>
      </c>
      <c r="AS679" s="1795">
        <f t="shared" si="344"/>
        <v>2034</v>
      </c>
      <c r="AT679" s="1795">
        <f t="shared" si="344"/>
        <v>2035</v>
      </c>
      <c r="AU679" s="231"/>
      <c r="AV679" s="231"/>
      <c r="AW679" s="231"/>
      <c r="AX679" s="231"/>
    </row>
    <row r="680" spans="1:50" s="1892" customFormat="1" ht="16.75" thickBot="1">
      <c r="A680" s="1893"/>
      <c r="B680" s="1885"/>
      <c r="C680" s="1886"/>
      <c r="D680" s="1894" t="s">
        <v>59</v>
      </c>
      <c r="E680" s="3025"/>
      <c r="F680" s="2948"/>
      <c r="G680" s="1888"/>
      <c r="H680" s="1889"/>
      <c r="I680" s="1889"/>
      <c r="J680" s="1889">
        <v>720</v>
      </c>
      <c r="K680" s="1889">
        <v>806</v>
      </c>
      <c r="L680" s="1889">
        <v>871</v>
      </c>
      <c r="M680" s="1889">
        <v>934</v>
      </c>
      <c r="N680" s="1889">
        <v>1149</v>
      </c>
      <c r="O680" s="1889">
        <v>1372</v>
      </c>
      <c r="P680" s="1889">
        <v>1636</v>
      </c>
      <c r="Q680" s="1889">
        <v>1806</v>
      </c>
      <c r="R680" s="1889">
        <v>2197</v>
      </c>
      <c r="S680" s="1889">
        <v>2799</v>
      </c>
      <c r="T680" s="1889">
        <v>3185</v>
      </c>
      <c r="U680" s="1895">
        <v>3529</v>
      </c>
      <c r="V680" s="1895">
        <v>4084</v>
      </c>
      <c r="W680" s="1895">
        <v>4642</v>
      </c>
      <c r="X680" s="1889">
        <v>9640</v>
      </c>
      <c r="Y680" s="1889">
        <v>5548</v>
      </c>
      <c r="Z680" s="1889">
        <v>6081</v>
      </c>
      <c r="AA680" s="1889">
        <v>6768</v>
      </c>
      <c r="AB680" s="1889">
        <v>7621</v>
      </c>
      <c r="AC680" s="1889">
        <v>8309</v>
      </c>
      <c r="AD680" s="1889">
        <v>9460</v>
      </c>
      <c r="AE680" s="1889">
        <v>7496</v>
      </c>
      <c r="AF680" s="1889">
        <v>11125</v>
      </c>
      <c r="AG680" s="1889">
        <v>14164</v>
      </c>
      <c r="AH680" s="1889">
        <v>17177</v>
      </c>
      <c r="AI680" s="2267">
        <v>19918</v>
      </c>
      <c r="AJ680" s="2186">
        <f t="shared" ref="AJ680:AO680" si="345">+AI680*(1+AJ546)*(1+AJ962)</f>
        <v>22796.029212071611</v>
      </c>
      <c r="AK680" s="1889">
        <f t="shared" si="345"/>
        <v>27060.876625304529</v>
      </c>
      <c r="AL680" s="1889">
        <f t="shared" si="345"/>
        <v>30570.449278210635</v>
      </c>
      <c r="AM680" s="1889">
        <f t="shared" si="345"/>
        <v>34496.333742051029</v>
      </c>
      <c r="AN680" s="1889">
        <f t="shared" si="345"/>
        <v>39098.663797754474</v>
      </c>
      <c r="AO680" s="1889">
        <f t="shared" si="345"/>
        <v>44493.465736773367</v>
      </c>
      <c r="AP680" s="1890">
        <f>+AO680*(1+AP546)*(1+AP962)</f>
        <v>50479.895845466475</v>
      </c>
      <c r="AQ680" s="1890">
        <f>+AP680*(1+AQ546)*(1+AQ962)</f>
        <v>57636.909818603446</v>
      </c>
      <c r="AR680" s="1890">
        <f>+AQ680*(1+AR546)*(1+AR962)</f>
        <v>65947.444145677087</v>
      </c>
      <c r="AS680" s="1890">
        <f>+AR680*(1+AS546)*(1+AS962)</f>
        <v>75422.186823418117</v>
      </c>
      <c r="AT680" s="1890">
        <f>+AS680*(1+AT546)*(1+AT962)</f>
        <v>86362.865629603562</v>
      </c>
      <c r="AU680" s="1891"/>
      <c r="AV680" s="1891"/>
      <c r="AW680" s="1891"/>
      <c r="AX680" s="1891"/>
    </row>
    <row r="681" spans="1:50" ht="16.75" thickBot="1">
      <c r="A681" s="300"/>
      <c r="B681" s="302"/>
      <c r="C681" s="290"/>
      <c r="D681" s="100"/>
      <c r="E681" s="3011"/>
      <c r="F681" s="2942"/>
      <c r="G681" s="113"/>
      <c r="H681" s="114"/>
      <c r="I681" s="114"/>
      <c r="J681" s="276"/>
      <c r="K681" s="276"/>
      <c r="L681" s="276"/>
      <c r="M681" s="276"/>
      <c r="N681" s="276"/>
      <c r="O681" s="276"/>
      <c r="P681" s="276"/>
      <c r="Q681" s="276"/>
      <c r="R681" s="276"/>
      <c r="S681" s="276"/>
      <c r="T681" s="276"/>
      <c r="U681" s="276"/>
      <c r="V681" s="276"/>
      <c r="W681" s="276"/>
      <c r="X681" s="276"/>
      <c r="Y681" s="276"/>
      <c r="Z681" s="276"/>
      <c r="AA681" s="276"/>
      <c r="AB681" s="276"/>
      <c r="AC681" s="276"/>
      <c r="AD681" s="276"/>
      <c r="AE681" s="276"/>
      <c r="AF681" s="114"/>
      <c r="AG681" s="1364"/>
      <c r="AH681" s="1364"/>
      <c r="AI681" s="2268"/>
      <c r="AJ681" s="2187"/>
      <c r="AK681" s="1364"/>
      <c r="AL681" s="1364"/>
      <c r="AM681" s="1364"/>
      <c r="AN681" s="1364"/>
      <c r="AO681" s="1364"/>
      <c r="AP681" s="1813"/>
      <c r="AQ681" s="1813"/>
      <c r="AR681" s="1813"/>
      <c r="AS681" s="1813"/>
      <c r="AT681" s="1813"/>
      <c r="AU681" s="231"/>
      <c r="AV681" s="231"/>
      <c r="AW681" s="231"/>
      <c r="AX681" s="231"/>
    </row>
    <row r="682" spans="1:50" s="1892" customFormat="1" ht="16.75" thickBot="1">
      <c r="A682" s="1884"/>
      <c r="B682" s="1885"/>
      <c r="C682" s="1886"/>
      <c r="D682" s="1887" t="str">
        <f t="shared" ref="D682:D717" si="346">+D638</f>
        <v>AGRICULTURE</v>
      </c>
      <c r="E682" s="3025"/>
      <c r="F682" s="2948"/>
      <c r="G682" s="1888"/>
      <c r="H682" s="1889"/>
      <c r="I682" s="1889"/>
      <c r="J682" s="1889">
        <v>227</v>
      </c>
      <c r="K682" s="1889">
        <v>251</v>
      </c>
      <c r="L682" s="1889">
        <v>277</v>
      </c>
      <c r="M682" s="1889">
        <v>282</v>
      </c>
      <c r="N682" s="1889">
        <v>380</v>
      </c>
      <c r="O682" s="1889">
        <v>465</v>
      </c>
      <c r="P682" s="1889">
        <v>553</v>
      </c>
      <c r="Q682" s="1889">
        <v>525</v>
      </c>
      <c r="R682" s="1889">
        <v>551</v>
      </c>
      <c r="S682" s="1889">
        <v>670</v>
      </c>
      <c r="T682" s="1889">
        <v>777</v>
      </c>
      <c r="U682" s="1889">
        <v>827</v>
      </c>
      <c r="V682" s="1889">
        <v>936</v>
      </c>
      <c r="W682" s="1889">
        <v>1105</v>
      </c>
      <c r="X682" s="1889">
        <v>2232</v>
      </c>
      <c r="Y682" s="1889">
        <v>1314</v>
      </c>
      <c r="Z682" s="1889">
        <v>1405</v>
      </c>
      <c r="AA682" s="1889">
        <v>1644</v>
      </c>
      <c r="AB682" s="1889">
        <v>1954</v>
      </c>
      <c r="AC682" s="1889">
        <v>1934</v>
      </c>
      <c r="AD682" s="1889">
        <v>2040</v>
      </c>
      <c r="AE682" s="1889">
        <v>1834</v>
      </c>
      <c r="AF682" s="1889">
        <v>2385</v>
      </c>
      <c r="AG682" s="1889">
        <v>3106</v>
      </c>
      <c r="AH682" s="1889">
        <v>3974</v>
      </c>
      <c r="AI682" s="2267">
        <v>4141</v>
      </c>
      <c r="AJ682" s="2186">
        <f>+AI682*(1+AJ548)*(AJ638/AI638)</f>
        <v>4718.6538736530456</v>
      </c>
      <c r="AK682" s="1889">
        <f>+AJ682*(1+AK548)*(AK638/AJ638)</f>
        <v>5706.6951537686464</v>
      </c>
      <c r="AL682" s="1889">
        <f>+AK682*(1+AL548)*(AL638/AK638)</f>
        <v>6369.6638916948559</v>
      </c>
      <c r="AM682" s="1889">
        <f>+AL682*(1+AM548)*(AM638/AL638)</f>
        <v>7091.7110161077971</v>
      </c>
      <c r="AN682" s="1889">
        <f t="shared" ref="AN682:AN688" si="347">+AM682*(1+AN548)*(AN638/AM638)</f>
        <v>7957.8454692264777</v>
      </c>
      <c r="AO682" s="1889">
        <f t="shared" ref="AO682:AO688" si="348">+AN682*(1+AO548)*(AO638/AN638)</f>
        <v>9050.9337418094583</v>
      </c>
      <c r="AP682" s="1890">
        <f t="shared" ref="AP682:AP717" si="349">+AO682*(1+AP548)*(AP638/AO638)</f>
        <v>10056.032645950272</v>
      </c>
      <c r="AQ682" s="1890">
        <f t="shared" ref="AQ682:AQ717" si="350">+AP682*(1+AQ548)*(AQ638/AP638)</f>
        <v>11281.318143388251</v>
      </c>
      <c r="AR682" s="1890">
        <f t="shared" ref="AR682:AR717" si="351">+AQ682*(1+AR548)*(AR638/AQ638)</f>
        <v>12702.874044416027</v>
      </c>
      <c r="AS682" s="1890">
        <f t="shared" ref="AS682:AS717" si="352">+AR682*(1+AS548)*(AS638/AR638)</f>
        <v>14165.181489352912</v>
      </c>
      <c r="AT682" s="1890">
        <f t="shared" ref="AT682:AT717" si="353">+AS682*(1+AT548)*(AT638/AS638)</f>
        <v>15577.337736220485</v>
      </c>
      <c r="AU682" s="1891"/>
      <c r="AV682" s="1891"/>
      <c r="AW682" s="1891"/>
      <c r="AX682" s="1891"/>
    </row>
    <row r="683" spans="1:50" s="1892" customFormat="1">
      <c r="A683" s="1884"/>
      <c r="B683" s="1885"/>
      <c r="C683" s="1886"/>
      <c r="D683" s="2651" t="str">
        <f t="shared" si="346"/>
        <v>Food crops</v>
      </c>
      <c r="E683" s="3026"/>
      <c r="F683" s="2656"/>
      <c r="G683" s="2252"/>
      <c r="H683" s="2569"/>
      <c r="I683" s="2569"/>
      <c r="J683" s="2569">
        <v>194</v>
      </c>
      <c r="K683" s="2569">
        <v>217</v>
      </c>
      <c r="L683" s="2569">
        <v>238</v>
      </c>
      <c r="M683" s="2569">
        <v>238</v>
      </c>
      <c r="N683" s="2569">
        <v>332</v>
      </c>
      <c r="O683" s="2569">
        <v>396</v>
      </c>
      <c r="P683" s="2569">
        <v>467</v>
      </c>
      <c r="Q683" s="2569">
        <v>247</v>
      </c>
      <c r="R683" s="2569">
        <v>283</v>
      </c>
      <c r="S683" s="2569">
        <v>317</v>
      </c>
      <c r="T683" s="2569">
        <v>397</v>
      </c>
      <c r="U683" s="2569">
        <v>414</v>
      </c>
      <c r="V683" s="2569">
        <v>485</v>
      </c>
      <c r="W683" s="2569">
        <v>592</v>
      </c>
      <c r="X683" s="2569">
        <v>1277</v>
      </c>
      <c r="Y683" s="2569">
        <v>749</v>
      </c>
      <c r="Z683" s="2569">
        <v>804</v>
      </c>
      <c r="AA683" s="2569">
        <v>988</v>
      </c>
      <c r="AB683" s="2569">
        <v>1223</v>
      </c>
      <c r="AC683" s="2569">
        <v>1061</v>
      </c>
      <c r="AD683" s="2569">
        <v>1127</v>
      </c>
      <c r="AE683" s="2569">
        <v>1085</v>
      </c>
      <c r="AF683" s="2569">
        <v>1285</v>
      </c>
      <c r="AG683" s="2569">
        <v>1695</v>
      </c>
      <c r="AH683" s="2569">
        <v>2454</v>
      </c>
      <c r="AI683" s="2570">
        <v>2373</v>
      </c>
      <c r="AJ683" s="2571">
        <f t="shared" ref="AJ683:AM697" si="354">+AI683*(1+AJ549)*(AJ639/AI639)</f>
        <v>2608.2058284470863</v>
      </c>
      <c r="AK683" s="2569">
        <f t="shared" si="354"/>
        <v>3119.2685022496476</v>
      </c>
      <c r="AL683" s="2569">
        <f t="shared" si="354"/>
        <v>3478.6626475794865</v>
      </c>
      <c r="AM683" s="2569">
        <f t="shared" si="354"/>
        <v>3816.8935087308346</v>
      </c>
      <c r="AN683" s="2569">
        <f t="shared" si="347"/>
        <v>4177.5314735557313</v>
      </c>
      <c r="AO683" s="2569">
        <f t="shared" si="348"/>
        <v>4689.8763227486161</v>
      </c>
      <c r="AP683" s="2650">
        <f t="shared" si="349"/>
        <v>5057.1151678763144</v>
      </c>
      <c r="AQ683" s="2650">
        <f t="shared" si="350"/>
        <v>5497.7803177027872</v>
      </c>
      <c r="AR683" s="2650">
        <f t="shared" si="351"/>
        <v>5989.8930408458873</v>
      </c>
      <c r="AS683" s="2650">
        <f t="shared" si="352"/>
        <v>6446.427164692409</v>
      </c>
      <c r="AT683" s="2650">
        <f t="shared" si="353"/>
        <v>6826.8036988799431</v>
      </c>
      <c r="AU683" s="1891"/>
      <c r="AV683" s="1891"/>
      <c r="AW683" s="1891"/>
      <c r="AX683" s="1891"/>
    </row>
    <row r="684" spans="1:50" s="1892" customFormat="1">
      <c r="A684" s="1884"/>
      <c r="B684" s="1885"/>
      <c r="C684" s="1886"/>
      <c r="D684" s="2649" t="str">
        <f t="shared" si="346"/>
        <v>Export crops</v>
      </c>
      <c r="E684" s="3027"/>
      <c r="F684" s="2571"/>
      <c r="G684" s="2569"/>
      <c r="H684" s="2569"/>
      <c r="I684" s="2569"/>
      <c r="J684" s="2569">
        <v>6</v>
      </c>
      <c r="K684" s="2569">
        <v>7</v>
      </c>
      <c r="L684" s="2569">
        <v>8</v>
      </c>
      <c r="M684" s="2569">
        <v>7</v>
      </c>
      <c r="N684" s="2569">
        <v>7</v>
      </c>
      <c r="O684" s="2569">
        <v>13</v>
      </c>
      <c r="P684" s="2569">
        <v>18</v>
      </c>
      <c r="Q684" s="2569">
        <v>57</v>
      </c>
      <c r="R684" s="2569">
        <v>41</v>
      </c>
      <c r="S684" s="2569">
        <v>55</v>
      </c>
      <c r="T684" s="2569">
        <v>52</v>
      </c>
      <c r="U684" s="2569">
        <v>65</v>
      </c>
      <c r="V684" s="2569">
        <v>67</v>
      </c>
      <c r="W684" s="2569">
        <v>86</v>
      </c>
      <c r="X684" s="2569">
        <v>129</v>
      </c>
      <c r="Y684" s="2569">
        <v>87</v>
      </c>
      <c r="Z684" s="2569">
        <v>89</v>
      </c>
      <c r="AA684" s="2569">
        <v>104</v>
      </c>
      <c r="AB684" s="2569">
        <v>138</v>
      </c>
      <c r="AC684" s="2569">
        <v>144</v>
      </c>
      <c r="AD684" s="2569">
        <v>125</v>
      </c>
      <c r="AE684" s="2569">
        <v>114</v>
      </c>
      <c r="AF684" s="2569">
        <v>159</v>
      </c>
      <c r="AG684" s="2569">
        <v>261</v>
      </c>
      <c r="AH684" s="2569">
        <v>259</v>
      </c>
      <c r="AI684" s="2570">
        <v>352</v>
      </c>
      <c r="AJ684" s="2571">
        <f t="shared" si="354"/>
        <v>475.608119991504</v>
      </c>
      <c r="AK684" s="2569">
        <f t="shared" si="354"/>
        <v>531.11715656374281</v>
      </c>
      <c r="AL684" s="2569">
        <f t="shared" si="354"/>
        <v>581.22914141664171</v>
      </c>
      <c r="AM684" s="2569">
        <f t="shared" si="354"/>
        <v>628.5351943494303</v>
      </c>
      <c r="AN684" s="2569">
        <f t="shared" si="347"/>
        <v>698.3540034651536</v>
      </c>
      <c r="AO684" s="2569">
        <f t="shared" si="348"/>
        <v>744.5051027487624</v>
      </c>
      <c r="AP684" s="2650">
        <f t="shared" si="349"/>
        <v>801.28308642080754</v>
      </c>
      <c r="AQ684" s="2650">
        <f t="shared" si="350"/>
        <v>865.39638133356777</v>
      </c>
      <c r="AR684" s="2650">
        <f t="shared" si="351"/>
        <v>936.09394562593616</v>
      </c>
      <c r="AS684" s="2650">
        <f t="shared" si="352"/>
        <v>1013.4646211133958</v>
      </c>
      <c r="AT684" s="2650">
        <f t="shared" si="353"/>
        <v>1097.904073412491</v>
      </c>
      <c r="AU684" s="1891"/>
      <c r="AV684" s="1891"/>
      <c r="AW684" s="1891"/>
      <c r="AX684" s="1891"/>
    </row>
    <row r="685" spans="1:50" s="1892" customFormat="1">
      <c r="A685" s="1884"/>
      <c r="B685" s="1885"/>
      <c r="C685" s="1886"/>
      <c r="D685" s="2649" t="str">
        <f t="shared" si="346"/>
        <v>Livestock &amp; livestock products</v>
      </c>
      <c r="E685" s="3026"/>
      <c r="F685" s="2656"/>
      <c r="G685" s="2252"/>
      <c r="H685" s="2569"/>
      <c r="I685" s="2569"/>
      <c r="J685" s="2569">
        <v>16</v>
      </c>
      <c r="K685" s="2569">
        <v>16</v>
      </c>
      <c r="L685" s="2569">
        <v>18</v>
      </c>
      <c r="M685" s="2569">
        <v>21</v>
      </c>
      <c r="N685" s="2569">
        <v>22</v>
      </c>
      <c r="O685" s="2569">
        <v>26</v>
      </c>
      <c r="P685" s="2569">
        <v>27</v>
      </c>
      <c r="Q685" s="2569">
        <v>50</v>
      </c>
      <c r="R685" s="2569">
        <v>53</v>
      </c>
      <c r="S685" s="2569">
        <v>68</v>
      </c>
      <c r="T685" s="2569">
        <v>80</v>
      </c>
      <c r="U685" s="2569">
        <v>84</v>
      </c>
      <c r="V685" s="2569">
        <v>94</v>
      </c>
      <c r="W685" s="2569">
        <v>106</v>
      </c>
      <c r="X685" s="2569">
        <v>270</v>
      </c>
      <c r="Y685" s="2569">
        <v>130</v>
      </c>
      <c r="Z685" s="2569">
        <v>144</v>
      </c>
      <c r="AA685" s="2569">
        <v>166</v>
      </c>
      <c r="AB685" s="2569">
        <v>186</v>
      </c>
      <c r="AC685" s="2569">
        <v>206</v>
      </c>
      <c r="AD685" s="2569">
        <v>241</v>
      </c>
      <c r="AE685" s="2569">
        <v>220</v>
      </c>
      <c r="AF685" s="2569">
        <v>324</v>
      </c>
      <c r="AG685" s="2569">
        <v>400</v>
      </c>
      <c r="AH685" s="2569">
        <v>477</v>
      </c>
      <c r="AI685" s="2570">
        <v>581</v>
      </c>
      <c r="AJ685" s="2571">
        <f t="shared" si="354"/>
        <v>681.03921926271789</v>
      </c>
      <c r="AK685" s="2569">
        <f t="shared" si="354"/>
        <v>866.6367037808634</v>
      </c>
      <c r="AL685" s="2569">
        <f t="shared" si="354"/>
        <v>990.22029106357752</v>
      </c>
      <c r="AM685" s="2569">
        <f t="shared" si="354"/>
        <v>1155.6043888988481</v>
      </c>
      <c r="AN685" s="2569">
        <f t="shared" si="347"/>
        <v>1365.1858383213178</v>
      </c>
      <c r="AO685" s="2569">
        <f t="shared" si="348"/>
        <v>1624.004083418841</v>
      </c>
      <c r="AP685" s="2650">
        <f t="shared" si="349"/>
        <v>1910.7823857921262</v>
      </c>
      <c r="AQ685" s="2650">
        <f t="shared" si="350"/>
        <v>2268.3732786195833</v>
      </c>
      <c r="AR685" s="2650">
        <f t="shared" si="351"/>
        <v>2695.4792744160923</v>
      </c>
      <c r="AS685" s="2650">
        <f t="shared" si="352"/>
        <v>3162.1482184237516</v>
      </c>
      <c r="AT685" s="2650">
        <f t="shared" si="353"/>
        <v>3643.725510140096</v>
      </c>
      <c r="AU685" s="1891"/>
      <c r="AV685" s="1891"/>
      <c r="AW685" s="1891"/>
      <c r="AX685" s="1891"/>
    </row>
    <row r="686" spans="1:50">
      <c r="A686" s="300"/>
      <c r="B686" s="302"/>
      <c r="C686" s="290"/>
      <c r="D686" s="122" t="str">
        <f t="shared" si="346"/>
        <v>Forestry</v>
      </c>
      <c r="E686" s="3012"/>
      <c r="F686" s="2209"/>
      <c r="G686" s="119"/>
      <c r="H686" s="120"/>
      <c r="I686" s="120"/>
      <c r="J686" s="278">
        <v>8</v>
      </c>
      <c r="K686" s="278">
        <v>8</v>
      </c>
      <c r="L686" s="278">
        <v>10</v>
      </c>
      <c r="M686" s="278">
        <v>13</v>
      </c>
      <c r="N686" s="278">
        <v>15</v>
      </c>
      <c r="O686" s="278">
        <v>26</v>
      </c>
      <c r="P686" s="278">
        <v>35</v>
      </c>
      <c r="Q686" s="278">
        <v>165</v>
      </c>
      <c r="R686" s="278">
        <v>169</v>
      </c>
      <c r="S686" s="278">
        <v>220</v>
      </c>
      <c r="T686" s="278">
        <v>237</v>
      </c>
      <c r="U686" s="278">
        <v>250</v>
      </c>
      <c r="V686" s="278">
        <v>274</v>
      </c>
      <c r="W686" s="278">
        <v>303</v>
      </c>
      <c r="X686" s="278">
        <v>526</v>
      </c>
      <c r="Y686" s="278">
        <v>327</v>
      </c>
      <c r="Z686" s="278">
        <v>343</v>
      </c>
      <c r="AA686" s="278">
        <v>360</v>
      </c>
      <c r="AB686" s="278">
        <v>379</v>
      </c>
      <c r="AC686" s="278">
        <v>490</v>
      </c>
      <c r="AD686" s="278">
        <v>515</v>
      </c>
      <c r="AE686" s="278">
        <v>394</v>
      </c>
      <c r="AF686" s="120">
        <v>583</v>
      </c>
      <c r="AG686" s="120">
        <v>709</v>
      </c>
      <c r="AH686" s="120">
        <v>740</v>
      </c>
      <c r="AI686" s="2269">
        <v>783</v>
      </c>
      <c r="AJ686" s="2188">
        <f t="shared" si="354"/>
        <v>882.36820300153374</v>
      </c>
      <c r="AK686" s="120">
        <f t="shared" si="354"/>
        <v>1096.2410452054585</v>
      </c>
      <c r="AL686" s="120">
        <f t="shared" si="354"/>
        <v>1204.5248198493268</v>
      </c>
      <c r="AM686" s="120">
        <f t="shared" si="354"/>
        <v>1344.4127903799642</v>
      </c>
      <c r="AN686" s="120">
        <f t="shared" si="347"/>
        <v>1531.10541412667</v>
      </c>
      <c r="AO686" s="120">
        <f t="shared" si="348"/>
        <v>1757.0376622010142</v>
      </c>
      <c r="AP686" s="1807">
        <f t="shared" si="349"/>
        <v>1988.1042586979227</v>
      </c>
      <c r="AQ686" s="1807">
        <f t="shared" si="350"/>
        <v>2269.7662450930216</v>
      </c>
      <c r="AR686" s="1807">
        <f t="shared" si="351"/>
        <v>2597.4038631172839</v>
      </c>
      <c r="AS686" s="1807">
        <f t="shared" si="352"/>
        <v>2933.6583877685048</v>
      </c>
      <c r="AT686" s="1807">
        <f t="shared" si="353"/>
        <v>3252.9810336481155</v>
      </c>
      <c r="AU686" s="231"/>
      <c r="AV686" s="231"/>
      <c r="AW686" s="231"/>
      <c r="AX686" s="231"/>
    </row>
    <row r="687" spans="1:50" ht="16.75" thickBot="1">
      <c r="A687" s="300"/>
      <c r="B687" s="302"/>
      <c r="C687" s="290"/>
      <c r="D687" s="123" t="str">
        <f t="shared" si="346"/>
        <v>Fishing</v>
      </c>
      <c r="E687" s="3013"/>
      <c r="F687" s="2210"/>
      <c r="G687" s="121"/>
      <c r="H687" s="124"/>
      <c r="I687" s="124"/>
      <c r="J687" s="279">
        <v>3</v>
      </c>
      <c r="K687" s="279">
        <v>3</v>
      </c>
      <c r="L687" s="279">
        <v>3</v>
      </c>
      <c r="M687" s="279">
        <v>3</v>
      </c>
      <c r="N687" s="279">
        <v>4</v>
      </c>
      <c r="O687" s="279">
        <v>5</v>
      </c>
      <c r="P687" s="279">
        <v>5</v>
      </c>
      <c r="Q687" s="279">
        <v>8</v>
      </c>
      <c r="R687" s="279">
        <v>8</v>
      </c>
      <c r="S687" s="279">
        <v>10</v>
      </c>
      <c r="T687" s="279">
        <v>12</v>
      </c>
      <c r="U687" s="279">
        <v>12</v>
      </c>
      <c r="V687" s="279">
        <v>15</v>
      </c>
      <c r="W687" s="279">
        <v>17</v>
      </c>
      <c r="X687" s="279">
        <v>28</v>
      </c>
      <c r="Y687" s="279">
        <v>22</v>
      </c>
      <c r="Z687" s="279">
        <v>25</v>
      </c>
      <c r="AA687" s="279">
        <v>26</v>
      </c>
      <c r="AB687" s="279">
        <v>29</v>
      </c>
      <c r="AC687" s="279">
        <v>31</v>
      </c>
      <c r="AD687" s="279">
        <v>31</v>
      </c>
      <c r="AE687" s="279">
        <v>20</v>
      </c>
      <c r="AF687" s="124">
        <v>34</v>
      </c>
      <c r="AG687" s="124">
        <v>42</v>
      </c>
      <c r="AH687" s="124">
        <v>43</v>
      </c>
      <c r="AI687" s="2270">
        <v>54</v>
      </c>
      <c r="AJ687" s="2189">
        <f t="shared" si="354"/>
        <v>73.837177527916651</v>
      </c>
      <c r="AK687" s="124">
        <f t="shared" si="354"/>
        <v>97.404914161513844</v>
      </c>
      <c r="AL687" s="124">
        <f t="shared" si="354"/>
        <v>119.2572211259855</v>
      </c>
      <c r="AM687" s="124">
        <f t="shared" si="354"/>
        <v>151.22647138584827</v>
      </c>
      <c r="AN687" s="124">
        <f t="shared" si="347"/>
        <v>191.60237410049382</v>
      </c>
      <c r="AO687" s="124">
        <f t="shared" si="348"/>
        <v>243.76007477937912</v>
      </c>
      <c r="AP687" s="1808">
        <f t="shared" si="349"/>
        <v>309.41265189006049</v>
      </c>
      <c r="AQ687" s="1808">
        <f t="shared" si="350"/>
        <v>394.26410513255638</v>
      </c>
      <c r="AR687" s="1808">
        <f t="shared" si="351"/>
        <v>503.44066191436752</v>
      </c>
      <c r="AS687" s="1808">
        <f t="shared" si="352"/>
        <v>634.60640045676564</v>
      </c>
      <c r="AT687" s="1808">
        <f t="shared" si="353"/>
        <v>785.85022525958436</v>
      </c>
      <c r="AU687" s="231"/>
      <c r="AV687" s="231"/>
      <c r="AW687" s="231"/>
      <c r="AX687" s="231"/>
    </row>
    <row r="688" spans="1:50" s="1892" customFormat="1" ht="16.75" thickBot="1">
      <c r="A688" s="1884"/>
      <c r="B688" s="1885"/>
      <c r="C688" s="1886"/>
      <c r="D688" s="1887" t="str">
        <f t="shared" si="346"/>
        <v>INDUSTRY</v>
      </c>
      <c r="E688" s="3028"/>
      <c r="F688" s="2186"/>
      <c r="G688" s="1889"/>
      <c r="H688" s="1889"/>
      <c r="I688" s="1889"/>
      <c r="J688" s="1889">
        <v>132</v>
      </c>
      <c r="K688" s="1889">
        <v>135</v>
      </c>
      <c r="L688" s="1889">
        <v>143</v>
      </c>
      <c r="M688" s="1889">
        <v>153</v>
      </c>
      <c r="N688" s="1889">
        <v>164</v>
      </c>
      <c r="O688" s="1889">
        <v>200</v>
      </c>
      <c r="P688" s="1889">
        <v>244</v>
      </c>
      <c r="Q688" s="1889">
        <v>290</v>
      </c>
      <c r="R688" s="1889">
        <v>372</v>
      </c>
      <c r="S688" s="1889">
        <v>461</v>
      </c>
      <c r="T688" s="1889">
        <v>506</v>
      </c>
      <c r="U688" s="1889">
        <v>583</v>
      </c>
      <c r="V688" s="1889">
        <v>750</v>
      </c>
      <c r="W688" s="1889">
        <v>857</v>
      </c>
      <c r="X688" s="1889">
        <v>1880</v>
      </c>
      <c r="Y688" s="1889">
        <v>987</v>
      </c>
      <c r="Z688" s="1889">
        <v>1073</v>
      </c>
      <c r="AA688" s="1889">
        <v>1152</v>
      </c>
      <c r="AB688" s="1889">
        <v>1330</v>
      </c>
      <c r="AC688" s="1889">
        <v>1460</v>
      </c>
      <c r="AD688" s="1889">
        <v>1819</v>
      </c>
      <c r="AE688" s="1889">
        <v>1418</v>
      </c>
      <c r="AF688" s="1889">
        <v>2357</v>
      </c>
      <c r="AG688" s="1889">
        <v>3081</v>
      </c>
      <c r="AH688" s="1889">
        <v>3689</v>
      </c>
      <c r="AI688" s="2267">
        <v>4395</v>
      </c>
      <c r="AJ688" s="2186">
        <f>+AI688*(1+AJ554)*(AJ644/AI644)</f>
        <v>5105.1153020766824</v>
      </c>
      <c r="AK688" s="1889">
        <f>+AJ688*(1+AK554)*(AK644/AJ644)</f>
        <v>6035.4756748492773</v>
      </c>
      <c r="AL688" s="1889">
        <f>+AK688*(1+AL554)*(AL644/AK644)</f>
        <v>6658.137642935988</v>
      </c>
      <c r="AM688" s="1889">
        <f>+AL688*(1+AM554)*(AM644/AL644)</f>
        <v>7386.2187460004743</v>
      </c>
      <c r="AN688" s="1889">
        <f t="shared" si="347"/>
        <v>8294.5870881300671</v>
      </c>
      <c r="AO688" s="1889">
        <f t="shared" si="348"/>
        <v>9388.3832462289374</v>
      </c>
      <c r="AP688" s="1890">
        <f t="shared" si="349"/>
        <v>10561.99536751282</v>
      </c>
      <c r="AQ688" s="1890">
        <f t="shared" si="350"/>
        <v>11957.368019615651</v>
      </c>
      <c r="AR688" s="1890">
        <f t="shared" si="351"/>
        <v>13560.600114075813</v>
      </c>
      <c r="AS688" s="1890">
        <f t="shared" si="352"/>
        <v>15211.080148558189</v>
      </c>
      <c r="AT688" s="1890">
        <f t="shared" si="353"/>
        <v>16812.339407046344</v>
      </c>
      <c r="AU688" s="1891"/>
      <c r="AV688" s="1891"/>
      <c r="AW688" s="1891"/>
      <c r="AX688" s="1891"/>
    </row>
    <row r="689" spans="1:50" s="1892" customFormat="1">
      <c r="A689" s="1884"/>
      <c r="B689" s="1885"/>
      <c r="C689" s="1886"/>
      <c r="D689" s="2653" t="str">
        <f t="shared" si="346"/>
        <v>Mining &amp; quarrying</v>
      </c>
      <c r="E689" s="3026"/>
      <c r="F689" s="2656"/>
      <c r="G689" s="2252"/>
      <c r="H689" s="2569"/>
      <c r="I689" s="2569"/>
      <c r="J689" s="2569">
        <v>1</v>
      </c>
      <c r="K689" s="2569">
        <v>1</v>
      </c>
      <c r="L689" s="2569">
        <v>6</v>
      </c>
      <c r="M689" s="2569">
        <v>2</v>
      </c>
      <c r="N689" s="2569">
        <v>3</v>
      </c>
      <c r="O689" s="2569">
        <v>8</v>
      </c>
      <c r="P689" s="2569">
        <v>10</v>
      </c>
      <c r="Q689" s="2569">
        <v>19</v>
      </c>
      <c r="R689" s="2569">
        <v>34</v>
      </c>
      <c r="S689" s="2569">
        <v>41</v>
      </c>
      <c r="T689" s="2569">
        <v>27</v>
      </c>
      <c r="U689" s="2569">
        <v>36</v>
      </c>
      <c r="V689" s="2569">
        <v>82</v>
      </c>
      <c r="W689" s="2569">
        <v>77</v>
      </c>
      <c r="X689" s="2569">
        <v>103</v>
      </c>
      <c r="Y689" s="2569">
        <v>119</v>
      </c>
      <c r="Z689" s="2569">
        <v>105</v>
      </c>
      <c r="AA689" s="2569">
        <v>111</v>
      </c>
      <c r="AB689" s="2569">
        <v>166</v>
      </c>
      <c r="AC689" s="2569">
        <v>177</v>
      </c>
      <c r="AD689" s="2569">
        <v>122</v>
      </c>
      <c r="AE689" s="2569">
        <v>77</v>
      </c>
      <c r="AF689" s="2569">
        <v>255</v>
      </c>
      <c r="AG689" s="2569">
        <v>309</v>
      </c>
      <c r="AH689" s="2569">
        <v>283</v>
      </c>
      <c r="AI689" s="2570">
        <v>355</v>
      </c>
      <c r="AJ689" s="2571">
        <f t="shared" si="354"/>
        <v>394.20554690653171</v>
      </c>
      <c r="AK689" s="2569">
        <f t="shared" si="354"/>
        <v>455.69295030697197</v>
      </c>
      <c r="AL689" s="2569">
        <f t="shared" si="354"/>
        <v>516.86598018775578</v>
      </c>
      <c r="AM689" s="2569">
        <f t="shared" si="354"/>
        <v>586.25331235235024</v>
      </c>
      <c r="AN689" s="2569">
        <f t="shared" ref="AN689:AN717" si="355">+AM689*(1+AN555)*(AN645/AM645)</f>
        <v>656.07373941190201</v>
      </c>
      <c r="AO689" s="2569">
        <f t="shared" ref="AO689:AO717" si="356">+AN689*(1+AO555)*(AO645/AN645)</f>
        <v>760.76465892155738</v>
      </c>
      <c r="AP689" s="2650">
        <f t="shared" si="349"/>
        <v>882.65554835829346</v>
      </c>
      <c r="AQ689" s="2650">
        <f t="shared" si="350"/>
        <v>1024.5471316572439</v>
      </c>
      <c r="AR689" s="2650">
        <f t="shared" si="351"/>
        <v>1189.6790199890647</v>
      </c>
      <c r="AS689" s="2650">
        <f t="shared" si="352"/>
        <v>1382.0176246288015</v>
      </c>
      <c r="AT689" s="2650">
        <f t="shared" si="353"/>
        <v>1606.1234907510986</v>
      </c>
      <c r="AU689" s="1891"/>
      <c r="AV689" s="1891"/>
      <c r="AW689" s="1891"/>
      <c r="AX689" s="1891"/>
    </row>
    <row r="690" spans="1:50" s="1892" customFormat="1">
      <c r="A690" s="1884"/>
      <c r="B690" s="1885"/>
      <c r="C690" s="1886"/>
      <c r="D690" s="2651" t="str">
        <f t="shared" si="346"/>
        <v>TOTAL MANUFACTURING</v>
      </c>
      <c r="E690" s="3026"/>
      <c r="F690" s="2656"/>
      <c r="G690" s="2252"/>
      <c r="H690" s="2569"/>
      <c r="I690" s="2569"/>
      <c r="J690" s="2569">
        <v>74</v>
      </c>
      <c r="K690" s="2569">
        <v>78</v>
      </c>
      <c r="L690" s="2569">
        <v>79</v>
      </c>
      <c r="M690" s="2569">
        <v>91</v>
      </c>
      <c r="N690" s="2569">
        <v>102</v>
      </c>
      <c r="O690" s="2569">
        <v>121</v>
      </c>
      <c r="P690" s="2569">
        <v>142</v>
      </c>
      <c r="Q690" s="2569">
        <v>165</v>
      </c>
      <c r="R690" s="2569">
        <v>181</v>
      </c>
      <c r="S690" s="2569">
        <v>225</v>
      </c>
      <c r="T690" s="2569">
        <v>257</v>
      </c>
      <c r="U690" s="2569">
        <v>295</v>
      </c>
      <c r="V690" s="2569">
        <v>345</v>
      </c>
      <c r="W690" s="2569">
        <v>389</v>
      </c>
      <c r="X690" s="2569">
        <v>790</v>
      </c>
      <c r="Y690" s="2569">
        <v>383</v>
      </c>
      <c r="Z690" s="2569">
        <v>419</v>
      </c>
      <c r="AA690" s="2569">
        <v>459</v>
      </c>
      <c r="AB690" s="2569">
        <v>590</v>
      </c>
      <c r="AC690" s="2569">
        <v>629</v>
      </c>
      <c r="AD690" s="2569">
        <v>767</v>
      </c>
      <c r="AE690" s="2569">
        <v>632</v>
      </c>
      <c r="AF690" s="2569">
        <v>994</v>
      </c>
      <c r="AG690" s="2569">
        <v>1302</v>
      </c>
      <c r="AH690" s="2569">
        <v>1473</v>
      </c>
      <c r="AI690" s="2570">
        <v>1618</v>
      </c>
      <c r="AJ690" s="2571">
        <f t="shared" si="354"/>
        <v>1810.7344835448275</v>
      </c>
      <c r="AK690" s="2569">
        <f t="shared" si="354"/>
        <v>2169.6740170016474</v>
      </c>
      <c r="AL690" s="2569">
        <f t="shared" si="354"/>
        <v>2407.4072260973994</v>
      </c>
      <c r="AM690" s="2569">
        <f t="shared" si="354"/>
        <v>2668.441797160066</v>
      </c>
      <c r="AN690" s="2569">
        <f t="shared" si="355"/>
        <v>2995.7295060402839</v>
      </c>
      <c r="AO690" s="2569">
        <f t="shared" si="356"/>
        <v>3399.4772182960032</v>
      </c>
      <c r="AP690" s="2650">
        <f t="shared" si="349"/>
        <v>3825.2821516623003</v>
      </c>
      <c r="AQ690" s="2650">
        <f t="shared" si="350"/>
        <v>4328.0967131235993</v>
      </c>
      <c r="AR690" s="2650">
        <f t="shared" si="351"/>
        <v>4907.5820477627713</v>
      </c>
      <c r="AS690" s="2650">
        <f t="shared" si="352"/>
        <v>5503.5709383865942</v>
      </c>
      <c r="AT690" s="2650">
        <f t="shared" si="353"/>
        <v>6072.326196787646</v>
      </c>
      <c r="AU690" s="1891"/>
      <c r="AV690" s="1891"/>
      <c r="AW690" s="1891"/>
      <c r="AX690" s="1891"/>
    </row>
    <row r="691" spans="1:50" s="1892" customFormat="1">
      <c r="A691" s="1884"/>
      <c r="B691" s="1885"/>
      <c r="C691" s="1886"/>
      <c r="D691" s="2654" t="str">
        <f t="shared" si="346"/>
        <v>Manufacturing of food</v>
      </c>
      <c r="E691" s="3027"/>
      <c r="F691" s="2571"/>
      <c r="G691" s="2569"/>
      <c r="H691" s="2252"/>
      <c r="I691" s="2252"/>
      <c r="J691" s="2252">
        <v>7</v>
      </c>
      <c r="K691" s="2252">
        <v>8</v>
      </c>
      <c r="L691" s="2252">
        <v>10</v>
      </c>
      <c r="M691" s="2252">
        <v>10</v>
      </c>
      <c r="N691" s="2252">
        <v>14</v>
      </c>
      <c r="O691" s="2252">
        <v>22</v>
      </c>
      <c r="P691" s="2252">
        <v>28</v>
      </c>
      <c r="Q691" s="2252">
        <v>36</v>
      </c>
      <c r="R691" s="2252">
        <v>35</v>
      </c>
      <c r="S691" s="2252">
        <v>48</v>
      </c>
      <c r="T691" s="2252">
        <v>59</v>
      </c>
      <c r="U691" s="2252">
        <v>69</v>
      </c>
      <c r="V691" s="2252">
        <v>82</v>
      </c>
      <c r="W691" s="2252">
        <v>89</v>
      </c>
      <c r="X691" s="2252">
        <v>235</v>
      </c>
      <c r="Y691" s="2252">
        <v>104</v>
      </c>
      <c r="Z691" s="2252">
        <v>108</v>
      </c>
      <c r="AA691" s="2252">
        <v>124</v>
      </c>
      <c r="AB691" s="2252">
        <v>211</v>
      </c>
      <c r="AC691" s="2252">
        <v>173</v>
      </c>
      <c r="AD691" s="2252">
        <v>223</v>
      </c>
      <c r="AE691" s="2252">
        <v>183</v>
      </c>
      <c r="AF691" s="2252">
        <v>271</v>
      </c>
      <c r="AG691" s="2252">
        <v>417</v>
      </c>
      <c r="AH691" s="2252">
        <v>462</v>
      </c>
      <c r="AI691" s="2655">
        <v>383</v>
      </c>
      <c r="AJ691" s="2656">
        <f t="shared" si="354"/>
        <v>434.72643402152812</v>
      </c>
      <c r="AK691" s="2252">
        <f t="shared" si="354"/>
        <v>513.50037431532883</v>
      </c>
      <c r="AL691" s="2252">
        <f t="shared" si="354"/>
        <v>564.14838325406595</v>
      </c>
      <c r="AM691" s="2252">
        <f t="shared" si="354"/>
        <v>619.0861585765698</v>
      </c>
      <c r="AN691" s="2252">
        <f t="shared" si="355"/>
        <v>682.58540936673478</v>
      </c>
      <c r="AO691" s="2252">
        <f t="shared" si="356"/>
        <v>761.80762715918775</v>
      </c>
      <c r="AP691" s="2657">
        <f t="shared" si="349"/>
        <v>832.41254981087627</v>
      </c>
      <c r="AQ691" s="2657">
        <f t="shared" si="350"/>
        <v>916.46374277478617</v>
      </c>
      <c r="AR691" s="2657">
        <f t="shared" si="351"/>
        <v>1010.605346567869</v>
      </c>
      <c r="AS691" s="2657">
        <f t="shared" si="352"/>
        <v>1100.1726415528535</v>
      </c>
      <c r="AT691" s="2657">
        <f t="shared" si="353"/>
        <v>1177.8367445453216</v>
      </c>
      <c r="AU691" s="1891"/>
      <c r="AV691" s="1891"/>
      <c r="AW691" s="1891"/>
      <c r="AX691" s="1891"/>
    </row>
    <row r="692" spans="1:50">
      <c r="A692" s="300"/>
      <c r="B692" s="302"/>
      <c r="C692" s="290"/>
      <c r="D692" s="154" t="str">
        <f t="shared" si="346"/>
        <v>Manufacturing of beverages &amp; tobacco</v>
      </c>
      <c r="E692" s="3013"/>
      <c r="F692" s="2210"/>
      <c r="G692" s="121"/>
      <c r="H692" s="128"/>
      <c r="I692" s="128"/>
      <c r="J692" s="277">
        <v>25</v>
      </c>
      <c r="K692" s="277">
        <v>23</v>
      </c>
      <c r="L692" s="277">
        <v>24</v>
      </c>
      <c r="M692" s="277">
        <v>29</v>
      </c>
      <c r="N692" s="277">
        <v>28</v>
      </c>
      <c r="O692" s="277">
        <v>30</v>
      </c>
      <c r="P692" s="277">
        <v>34</v>
      </c>
      <c r="Q692" s="277">
        <v>35</v>
      </c>
      <c r="R692" s="277">
        <v>39</v>
      </c>
      <c r="S692" s="277">
        <v>52</v>
      </c>
      <c r="T692" s="277">
        <v>72</v>
      </c>
      <c r="U692" s="277">
        <v>78</v>
      </c>
      <c r="V692" s="277">
        <v>83</v>
      </c>
      <c r="W692" s="277">
        <v>99</v>
      </c>
      <c r="X692" s="277">
        <v>197</v>
      </c>
      <c r="Y692" s="277">
        <v>122</v>
      </c>
      <c r="Z692" s="277">
        <v>131</v>
      </c>
      <c r="AA692" s="277">
        <v>140</v>
      </c>
      <c r="AB692" s="277">
        <v>159</v>
      </c>
      <c r="AC692" s="277">
        <v>176</v>
      </c>
      <c r="AD692" s="277">
        <v>192</v>
      </c>
      <c r="AE692" s="277">
        <v>146</v>
      </c>
      <c r="AF692" s="128">
        <v>250</v>
      </c>
      <c r="AG692" s="128">
        <v>302</v>
      </c>
      <c r="AH692" s="128">
        <v>367</v>
      </c>
      <c r="AI692" s="2271">
        <v>486</v>
      </c>
      <c r="AJ692" s="2190">
        <f t="shared" si="354"/>
        <v>538.3409445774563</v>
      </c>
      <c r="AK692" s="128">
        <f t="shared" si="354"/>
        <v>625.91317347838822</v>
      </c>
      <c r="AL692" s="128">
        <f t="shared" si="354"/>
        <v>675.41205650645998</v>
      </c>
      <c r="AM692" s="128">
        <f t="shared" si="354"/>
        <v>727.23600509347716</v>
      </c>
      <c r="AN692" s="128">
        <f t="shared" si="355"/>
        <v>801.56971249711648</v>
      </c>
      <c r="AO692" s="128">
        <f t="shared" si="356"/>
        <v>883.43165933578484</v>
      </c>
      <c r="AP692" s="1809">
        <f t="shared" si="349"/>
        <v>969.54617642658525</v>
      </c>
      <c r="AQ692" s="1809">
        <f t="shared" si="350"/>
        <v>1070.5499851417017</v>
      </c>
      <c r="AR692" s="1809">
        <f t="shared" si="351"/>
        <v>1181.9755894961945</v>
      </c>
      <c r="AS692" s="1809">
        <f t="shared" si="352"/>
        <v>1289.3214254343411</v>
      </c>
      <c r="AT692" s="1809">
        <f t="shared" si="353"/>
        <v>1382.2192128863667</v>
      </c>
      <c r="AU692" s="231"/>
      <c r="AV692" s="231"/>
      <c r="AW692" s="231"/>
      <c r="AX692" s="231"/>
    </row>
    <row r="693" spans="1:50">
      <c r="A693" s="300"/>
      <c r="B693" s="302"/>
      <c r="C693" s="290"/>
      <c r="D693" s="154" t="str">
        <f t="shared" si="346"/>
        <v>Manufacturing of textiles, clothing &amp; leather goods</v>
      </c>
      <c r="E693" s="3013"/>
      <c r="F693" s="2210"/>
      <c r="G693" s="121"/>
      <c r="H693" s="128"/>
      <c r="I693" s="128"/>
      <c r="J693" s="277">
        <v>19</v>
      </c>
      <c r="K693" s="277">
        <v>23</v>
      </c>
      <c r="L693" s="277">
        <v>22</v>
      </c>
      <c r="M693" s="277">
        <v>26</v>
      </c>
      <c r="N693" s="277">
        <v>30</v>
      </c>
      <c r="O693" s="277">
        <v>36</v>
      </c>
      <c r="P693" s="277">
        <v>43</v>
      </c>
      <c r="Q693" s="277">
        <v>49</v>
      </c>
      <c r="R693" s="277">
        <v>54</v>
      </c>
      <c r="S693" s="277">
        <v>63</v>
      </c>
      <c r="T693" s="277">
        <v>62</v>
      </c>
      <c r="U693" s="277">
        <v>67</v>
      </c>
      <c r="V693" s="277">
        <v>81</v>
      </c>
      <c r="W693" s="277">
        <v>88</v>
      </c>
      <c r="X693" s="277">
        <v>74</v>
      </c>
      <c r="Y693" s="277">
        <v>23</v>
      </c>
      <c r="Z693" s="277">
        <v>23</v>
      </c>
      <c r="AA693" s="277">
        <v>25</v>
      </c>
      <c r="AB693" s="277">
        <v>33</v>
      </c>
      <c r="AC693" s="277">
        <v>58</v>
      </c>
      <c r="AD693" s="277">
        <v>69</v>
      </c>
      <c r="AE693" s="277">
        <v>59</v>
      </c>
      <c r="AF693" s="128">
        <v>88</v>
      </c>
      <c r="AG693" s="128">
        <v>96</v>
      </c>
      <c r="AH693" s="128">
        <v>114</v>
      </c>
      <c r="AI693" s="2271">
        <v>134</v>
      </c>
      <c r="AJ693" s="2190">
        <f t="shared" si="354"/>
        <v>137.53959099175518</v>
      </c>
      <c r="AK693" s="128">
        <f t="shared" si="354"/>
        <v>161.71489522219139</v>
      </c>
      <c r="AL693" s="128">
        <f t="shared" si="354"/>
        <v>172.49383599197859</v>
      </c>
      <c r="AM693" s="128">
        <f t="shared" si="354"/>
        <v>189.50647678786905</v>
      </c>
      <c r="AN693" s="128">
        <f t="shared" si="355"/>
        <v>210.3803753284204</v>
      </c>
      <c r="AO693" s="128">
        <f t="shared" si="356"/>
        <v>233.18668665680261</v>
      </c>
      <c r="AP693" s="1809">
        <f t="shared" si="349"/>
        <v>257.88239908256719</v>
      </c>
      <c r="AQ693" s="1809">
        <f t="shared" si="350"/>
        <v>286.83521995461916</v>
      </c>
      <c r="AR693" s="1809">
        <f t="shared" si="351"/>
        <v>319.30599063679733</v>
      </c>
      <c r="AS693" s="1809">
        <f t="shared" si="352"/>
        <v>350.96903620259479</v>
      </c>
      <c r="AT693" s="1809">
        <f t="shared" si="353"/>
        <v>379.08009755983801</v>
      </c>
      <c r="AU693" s="231"/>
      <c r="AV693" s="231"/>
      <c r="AW693" s="231"/>
      <c r="AX693" s="231"/>
    </row>
    <row r="694" spans="1:50">
      <c r="A694" s="300"/>
      <c r="B694" s="302"/>
      <c r="C694" s="290"/>
      <c r="D694" s="154" t="str">
        <f t="shared" si="346"/>
        <v>Manufacturing of wood &amp; paper; printing</v>
      </c>
      <c r="E694" s="3012"/>
      <c r="F694" s="2209"/>
      <c r="G694" s="119"/>
      <c r="H694" s="128"/>
      <c r="I694" s="128"/>
      <c r="J694" s="277">
        <v>2</v>
      </c>
      <c r="K694" s="277">
        <v>2</v>
      </c>
      <c r="L694" s="277">
        <v>2</v>
      </c>
      <c r="M694" s="277">
        <v>3</v>
      </c>
      <c r="N694" s="277">
        <v>4</v>
      </c>
      <c r="O694" s="277">
        <v>5</v>
      </c>
      <c r="P694" s="277">
        <v>8</v>
      </c>
      <c r="Q694" s="277">
        <v>9</v>
      </c>
      <c r="R694" s="277">
        <v>12</v>
      </c>
      <c r="S694" s="277">
        <v>12</v>
      </c>
      <c r="T694" s="277">
        <v>13</v>
      </c>
      <c r="U694" s="277">
        <v>15</v>
      </c>
      <c r="V694" s="277">
        <v>15</v>
      </c>
      <c r="W694" s="277">
        <v>17</v>
      </c>
      <c r="X694" s="277">
        <v>37</v>
      </c>
      <c r="Y694" s="277">
        <v>20</v>
      </c>
      <c r="Z694" s="277">
        <v>25</v>
      </c>
      <c r="AA694" s="277">
        <v>28</v>
      </c>
      <c r="AB694" s="277">
        <v>26</v>
      </c>
      <c r="AC694" s="277">
        <v>30</v>
      </c>
      <c r="AD694" s="277">
        <v>40</v>
      </c>
      <c r="AE694" s="277">
        <v>30</v>
      </c>
      <c r="AF694" s="128">
        <v>52</v>
      </c>
      <c r="AG694" s="128">
        <v>53</v>
      </c>
      <c r="AH694" s="128">
        <v>66</v>
      </c>
      <c r="AI694" s="2271">
        <v>79</v>
      </c>
      <c r="AJ694" s="2190">
        <f t="shared" si="354"/>
        <v>86.603265458637225</v>
      </c>
      <c r="AK694" s="128">
        <f t="shared" si="354"/>
        <v>112.11452786370982</v>
      </c>
      <c r="AL694" s="128">
        <f t="shared" si="354"/>
        <v>130.33415139889314</v>
      </c>
      <c r="AM694" s="128">
        <f t="shared" si="354"/>
        <v>151.87237508435737</v>
      </c>
      <c r="AN694" s="128">
        <f t="shared" si="355"/>
        <v>178.07980527512149</v>
      </c>
      <c r="AO694" s="128">
        <f t="shared" si="356"/>
        <v>213.21696661691306</v>
      </c>
      <c r="AP694" s="1809">
        <f t="shared" si="349"/>
        <v>251.80049706395013</v>
      </c>
      <c r="AQ694" s="1809">
        <f t="shared" si="350"/>
        <v>299.0191522882987</v>
      </c>
      <c r="AR694" s="1809">
        <f t="shared" si="351"/>
        <v>355.59735353715394</v>
      </c>
      <c r="AS694" s="1809">
        <f t="shared" si="352"/>
        <v>418.34267834070533</v>
      </c>
      <c r="AT694" s="1809">
        <f t="shared" si="353"/>
        <v>482.97488732275957</v>
      </c>
      <c r="AU694" s="231"/>
      <c r="AV694" s="231"/>
      <c r="AW694" s="231"/>
      <c r="AX694" s="231"/>
    </row>
    <row r="695" spans="1:50">
      <c r="A695" s="300"/>
      <c r="B695" s="302"/>
      <c r="C695" s="290"/>
      <c r="D695" s="154" t="str">
        <f t="shared" si="346"/>
        <v>Manufacturing of chemicals, rubber &amp; plastic products</v>
      </c>
      <c r="E695" s="3012"/>
      <c r="F695" s="2209"/>
      <c r="G695" s="119"/>
      <c r="H695" s="128"/>
      <c r="I695" s="128"/>
      <c r="J695" s="277">
        <v>5</v>
      </c>
      <c r="K695" s="277">
        <v>5</v>
      </c>
      <c r="L695" s="277">
        <v>5</v>
      </c>
      <c r="M695" s="277">
        <v>7</v>
      </c>
      <c r="N695" s="277">
        <v>8</v>
      </c>
      <c r="O695" s="277">
        <v>10</v>
      </c>
      <c r="P695" s="277">
        <v>11</v>
      </c>
      <c r="Q695" s="277">
        <v>14</v>
      </c>
      <c r="R695" s="277">
        <v>15</v>
      </c>
      <c r="S695" s="277">
        <v>17</v>
      </c>
      <c r="T695" s="277">
        <v>17</v>
      </c>
      <c r="U695" s="277">
        <v>19</v>
      </c>
      <c r="V695" s="277">
        <v>23</v>
      </c>
      <c r="W695" s="277">
        <v>26</v>
      </c>
      <c r="X695" s="277">
        <v>75</v>
      </c>
      <c r="Y695" s="277">
        <v>27</v>
      </c>
      <c r="Z695" s="277">
        <v>29</v>
      </c>
      <c r="AA695" s="277">
        <v>30</v>
      </c>
      <c r="AB695" s="277">
        <v>34</v>
      </c>
      <c r="AC695" s="277">
        <v>41</v>
      </c>
      <c r="AD695" s="277">
        <v>64</v>
      </c>
      <c r="AE695" s="277">
        <v>67</v>
      </c>
      <c r="AF695" s="128">
        <v>113</v>
      </c>
      <c r="AG695" s="128">
        <v>169</v>
      </c>
      <c r="AH695" s="128">
        <v>171</v>
      </c>
      <c r="AI695" s="2271">
        <v>187</v>
      </c>
      <c r="AJ695" s="2190">
        <f t="shared" si="354"/>
        <v>200.8669360604346</v>
      </c>
      <c r="AK695" s="128">
        <f t="shared" si="354"/>
        <v>247.71030157887631</v>
      </c>
      <c r="AL695" s="128">
        <f t="shared" si="354"/>
        <v>293.97299918337359</v>
      </c>
      <c r="AM695" s="128">
        <f t="shared" si="354"/>
        <v>332.2089857652349</v>
      </c>
      <c r="AN695" s="128">
        <f t="shared" si="355"/>
        <v>381.97239436305318</v>
      </c>
      <c r="AO695" s="128">
        <f t="shared" si="356"/>
        <v>448.5358817150161</v>
      </c>
      <c r="AP695" s="1809">
        <f t="shared" si="349"/>
        <v>523.38281235018792</v>
      </c>
      <c r="AQ695" s="1809">
        <f t="shared" si="350"/>
        <v>608.97970133720389</v>
      </c>
      <c r="AR695" s="1809">
        <f t="shared" si="351"/>
        <v>711.39183432252173</v>
      </c>
      <c r="AS695" s="1809">
        <f t="shared" si="352"/>
        <v>822.46402067939584</v>
      </c>
      <c r="AT695" s="1809">
        <f t="shared" si="353"/>
        <v>933.60739252423025</v>
      </c>
      <c r="AU695" s="231"/>
      <c r="AV695" s="231"/>
      <c r="AW695" s="231"/>
      <c r="AX695" s="231"/>
    </row>
    <row r="696" spans="1:50">
      <c r="A696" s="300"/>
      <c r="B696" s="302"/>
      <c r="C696" s="290"/>
      <c r="D696" s="154" t="str">
        <f t="shared" si="346"/>
        <v>Manufacturing of non-metallic mineral products</v>
      </c>
      <c r="E696" s="3012"/>
      <c r="F696" s="2209"/>
      <c r="G696" s="119"/>
      <c r="H696" s="128"/>
      <c r="I696" s="128"/>
      <c r="J696" s="277">
        <v>6</v>
      </c>
      <c r="K696" s="277">
        <v>6</v>
      </c>
      <c r="L696" s="277">
        <v>6</v>
      </c>
      <c r="M696" s="277">
        <v>6</v>
      </c>
      <c r="N696" s="277">
        <v>6</v>
      </c>
      <c r="O696" s="277">
        <v>7</v>
      </c>
      <c r="P696" s="277">
        <v>6</v>
      </c>
      <c r="Q696" s="277">
        <v>8</v>
      </c>
      <c r="R696" s="277">
        <v>8</v>
      </c>
      <c r="S696" s="277">
        <v>9</v>
      </c>
      <c r="T696" s="277">
        <v>10</v>
      </c>
      <c r="U696" s="277">
        <v>11</v>
      </c>
      <c r="V696" s="277">
        <v>14</v>
      </c>
      <c r="W696" s="277">
        <v>18</v>
      </c>
      <c r="X696" s="277">
        <v>47</v>
      </c>
      <c r="Y696" s="277">
        <v>22</v>
      </c>
      <c r="Z696" s="277">
        <v>24</v>
      </c>
      <c r="AA696" s="277">
        <v>30</v>
      </c>
      <c r="AB696" s="277">
        <v>34</v>
      </c>
      <c r="AC696" s="277">
        <v>36</v>
      </c>
      <c r="AD696" s="277">
        <v>49</v>
      </c>
      <c r="AE696" s="277">
        <v>41</v>
      </c>
      <c r="AF696" s="128">
        <v>58</v>
      </c>
      <c r="AG696" s="128">
        <v>82</v>
      </c>
      <c r="AH696" s="128">
        <v>90</v>
      </c>
      <c r="AI696" s="2271">
        <v>121</v>
      </c>
      <c r="AJ696" s="2190">
        <f t="shared" si="354"/>
        <v>141.9157006662488</v>
      </c>
      <c r="AK696" s="128">
        <f t="shared" si="354"/>
        <v>178.82397224649895</v>
      </c>
      <c r="AL696" s="128">
        <f t="shared" si="354"/>
        <v>199.07116559722695</v>
      </c>
      <c r="AM696" s="128">
        <f t="shared" si="354"/>
        <v>224.47666547508564</v>
      </c>
      <c r="AN696" s="128">
        <f t="shared" si="355"/>
        <v>253.8380694346292</v>
      </c>
      <c r="AO696" s="128">
        <f t="shared" si="356"/>
        <v>293.60720986245968</v>
      </c>
      <c r="AP696" s="1809">
        <f t="shared" si="349"/>
        <v>337.57837236363048</v>
      </c>
      <c r="AQ696" s="1809">
        <f t="shared" si="350"/>
        <v>387.79405670274031</v>
      </c>
      <c r="AR696" s="1809">
        <f t="shared" si="351"/>
        <v>446.19468791150496</v>
      </c>
      <c r="AS696" s="1809">
        <f t="shared" si="352"/>
        <v>506.72670641284674</v>
      </c>
      <c r="AT696" s="1809">
        <f t="shared" si="353"/>
        <v>567.2204699655889</v>
      </c>
      <c r="AU696" s="231"/>
      <c r="AV696" s="231"/>
      <c r="AW696" s="231"/>
      <c r="AX696" s="231"/>
    </row>
    <row r="697" spans="1:50">
      <c r="A697" s="300"/>
      <c r="B697" s="302"/>
      <c r="C697" s="290"/>
      <c r="D697" s="154" t="str">
        <f t="shared" si="346"/>
        <v>Manufacturing of metal products, machinery &amp; equipment</v>
      </c>
      <c r="E697" s="3012"/>
      <c r="F697" s="2209"/>
      <c r="G697" s="119"/>
      <c r="H697" s="128"/>
      <c r="I697" s="128"/>
      <c r="J697" s="277">
        <v>3</v>
      </c>
      <c r="K697" s="277">
        <v>3</v>
      </c>
      <c r="L697" s="277">
        <v>3</v>
      </c>
      <c r="M697" s="277">
        <v>3</v>
      </c>
      <c r="N697" s="277">
        <v>3</v>
      </c>
      <c r="O697" s="277">
        <v>3</v>
      </c>
      <c r="P697" s="277">
        <v>3</v>
      </c>
      <c r="Q697" s="277">
        <v>4</v>
      </c>
      <c r="R697" s="277">
        <v>4</v>
      </c>
      <c r="S697" s="277">
        <v>6</v>
      </c>
      <c r="T697" s="277">
        <v>6</v>
      </c>
      <c r="U697" s="277">
        <v>9</v>
      </c>
      <c r="V697" s="277">
        <v>13</v>
      </c>
      <c r="W697" s="277">
        <v>17</v>
      </c>
      <c r="X697" s="277">
        <v>50</v>
      </c>
      <c r="Y697" s="277">
        <v>18</v>
      </c>
      <c r="Z697" s="277">
        <v>24</v>
      </c>
      <c r="AA697" s="277">
        <v>28</v>
      </c>
      <c r="AB697" s="277">
        <v>32</v>
      </c>
      <c r="AC697" s="277">
        <v>43</v>
      </c>
      <c r="AD697" s="277">
        <v>53</v>
      </c>
      <c r="AE697" s="277">
        <v>48</v>
      </c>
      <c r="AF697" s="128">
        <v>67</v>
      </c>
      <c r="AG697" s="128">
        <v>78</v>
      </c>
      <c r="AH697" s="128">
        <v>93</v>
      </c>
      <c r="AI697" s="2271">
        <v>117</v>
      </c>
      <c r="AJ697" s="2190">
        <f t="shared" si="354"/>
        <v>131.9171813419095</v>
      </c>
      <c r="AK697" s="128">
        <f t="shared" si="354"/>
        <v>166.06168557371421</v>
      </c>
      <c r="AL697" s="128">
        <f t="shared" si="354"/>
        <v>193.68437373526572</v>
      </c>
      <c r="AM697" s="128">
        <f t="shared" si="354"/>
        <v>228.34764016589412</v>
      </c>
      <c r="AN697" s="128">
        <f t="shared" si="355"/>
        <v>268.58554855261576</v>
      </c>
      <c r="AO697" s="128">
        <f t="shared" si="356"/>
        <v>320.73654691654258</v>
      </c>
      <c r="AP697" s="1809">
        <f t="shared" si="349"/>
        <v>380.24308301612899</v>
      </c>
      <c r="AQ697" s="1809">
        <f t="shared" si="350"/>
        <v>453.36142654601247</v>
      </c>
      <c r="AR697" s="1809">
        <f t="shared" si="351"/>
        <v>540.26520473276173</v>
      </c>
      <c r="AS697" s="1809">
        <f t="shared" si="352"/>
        <v>636.75606327577009</v>
      </c>
      <c r="AT697" s="1809">
        <f t="shared" si="353"/>
        <v>737.29963606348281</v>
      </c>
      <c r="AU697" s="231"/>
      <c r="AV697" s="231"/>
      <c r="AW697" s="231"/>
      <c r="AX697" s="231"/>
    </row>
    <row r="698" spans="1:50">
      <c r="A698" s="300"/>
      <c r="B698" s="302"/>
      <c r="C698" s="290"/>
      <c r="D698" s="154" t="str">
        <f t="shared" si="346"/>
        <v xml:space="preserve">Furniture &amp; other manufacturing </v>
      </c>
      <c r="E698" s="3015"/>
      <c r="F698" s="2213"/>
      <c r="G698" s="126"/>
      <c r="H698" s="128"/>
      <c r="I698" s="128"/>
      <c r="J698" s="277">
        <v>8</v>
      </c>
      <c r="K698" s="277">
        <v>8</v>
      </c>
      <c r="L698" s="277">
        <v>8</v>
      </c>
      <c r="M698" s="277">
        <v>8</v>
      </c>
      <c r="N698" s="277">
        <v>9</v>
      </c>
      <c r="O698" s="277">
        <v>9</v>
      </c>
      <c r="P698" s="277">
        <v>8</v>
      </c>
      <c r="Q698" s="277">
        <v>10</v>
      </c>
      <c r="R698" s="277">
        <v>13</v>
      </c>
      <c r="S698" s="277">
        <v>17</v>
      </c>
      <c r="T698" s="277">
        <v>17</v>
      </c>
      <c r="U698" s="277">
        <v>24</v>
      </c>
      <c r="V698" s="277">
        <v>32</v>
      </c>
      <c r="W698" s="277">
        <v>37</v>
      </c>
      <c r="X698" s="277">
        <v>75</v>
      </c>
      <c r="Y698" s="277">
        <v>47</v>
      </c>
      <c r="Z698" s="277">
        <v>55</v>
      </c>
      <c r="AA698" s="277">
        <v>51</v>
      </c>
      <c r="AB698" s="277">
        <v>62</v>
      </c>
      <c r="AC698" s="277">
        <v>71</v>
      </c>
      <c r="AD698" s="277">
        <v>78</v>
      </c>
      <c r="AE698" s="277">
        <v>57</v>
      </c>
      <c r="AF698" s="128">
        <v>95</v>
      </c>
      <c r="AG698" s="128">
        <v>107</v>
      </c>
      <c r="AH698" s="128">
        <v>108</v>
      </c>
      <c r="AI698" s="2271">
        <v>110</v>
      </c>
      <c r="AJ698" s="2190">
        <f t="shared" ref="AJ698:AM717" si="357">+AI698*(1+AJ564)*(AJ654/AI654)</f>
        <v>136.68660923427362</v>
      </c>
      <c r="AK698" s="128">
        <f t="shared" si="357"/>
        <v>161.28434855056943</v>
      </c>
      <c r="AL698" s="128">
        <f t="shared" si="357"/>
        <v>175.55277745246107</v>
      </c>
      <c r="AM698" s="128">
        <f t="shared" si="357"/>
        <v>192.64382454764112</v>
      </c>
      <c r="AN698" s="128">
        <f t="shared" si="355"/>
        <v>215.29042365617769</v>
      </c>
      <c r="AO698" s="128">
        <f t="shared" si="356"/>
        <v>241.10638339472575</v>
      </c>
      <c r="AP698" s="1809">
        <f t="shared" si="349"/>
        <v>268.09897784631227</v>
      </c>
      <c r="AQ698" s="1809">
        <f t="shared" si="350"/>
        <v>300.1925317720648</v>
      </c>
      <c r="AR698" s="1809">
        <f t="shared" si="351"/>
        <v>336.70941732256233</v>
      </c>
      <c r="AS698" s="1809">
        <f t="shared" si="352"/>
        <v>372.64678142135853</v>
      </c>
      <c r="AT698" s="1809">
        <f t="shared" si="353"/>
        <v>405.30695423093459</v>
      </c>
      <c r="AU698" s="231"/>
      <c r="AV698" s="231"/>
      <c r="AW698" s="231"/>
      <c r="AX698" s="231"/>
    </row>
    <row r="699" spans="1:50">
      <c r="A699" s="300"/>
      <c r="B699" s="302"/>
      <c r="C699" s="290"/>
      <c r="D699" s="454" t="str">
        <f t="shared" si="346"/>
        <v>Electricity</v>
      </c>
      <c r="E699" s="3012"/>
      <c r="F699" s="2209"/>
      <c r="G699" s="119"/>
      <c r="H699" s="120"/>
      <c r="I699" s="120"/>
      <c r="J699" s="278">
        <v>13</v>
      </c>
      <c r="K699" s="278">
        <v>12</v>
      </c>
      <c r="L699" s="278">
        <v>11</v>
      </c>
      <c r="M699" s="278">
        <v>11</v>
      </c>
      <c r="N699" s="278">
        <v>7</v>
      </c>
      <c r="O699" s="278">
        <v>4</v>
      </c>
      <c r="P699" s="278">
        <v>9</v>
      </c>
      <c r="Q699" s="278">
        <v>11</v>
      </c>
      <c r="R699" s="278">
        <v>25</v>
      </c>
      <c r="S699" s="278">
        <v>17</v>
      </c>
      <c r="T699" s="278">
        <v>20</v>
      </c>
      <c r="U699" s="278">
        <v>23</v>
      </c>
      <c r="V699" s="278">
        <v>28</v>
      </c>
      <c r="W699" s="278">
        <v>35</v>
      </c>
      <c r="X699" s="278">
        <v>111</v>
      </c>
      <c r="Y699" s="278">
        <v>45</v>
      </c>
      <c r="Z699" s="278">
        <v>56</v>
      </c>
      <c r="AA699" s="278">
        <v>77</v>
      </c>
      <c r="AB699" s="278">
        <v>84</v>
      </c>
      <c r="AC699" s="278">
        <v>95</v>
      </c>
      <c r="AD699" s="278">
        <v>109</v>
      </c>
      <c r="AE699" s="278">
        <v>94</v>
      </c>
      <c r="AF699" s="120">
        <v>136</v>
      </c>
      <c r="AG699" s="120">
        <v>107</v>
      </c>
      <c r="AH699" s="120">
        <v>110</v>
      </c>
      <c r="AI699" s="2269">
        <v>147</v>
      </c>
      <c r="AJ699" s="2188">
        <f t="shared" si="357"/>
        <v>173.62405451440907</v>
      </c>
      <c r="AK699" s="120">
        <f t="shared" si="357"/>
        <v>216.60876279489122</v>
      </c>
      <c r="AL699" s="120">
        <f t="shared" si="357"/>
        <v>254.57969782023588</v>
      </c>
      <c r="AM699" s="120">
        <f t="shared" si="357"/>
        <v>297.56466893747699</v>
      </c>
      <c r="AN699" s="120">
        <f t="shared" si="355"/>
        <v>355.25931448318249</v>
      </c>
      <c r="AO699" s="120">
        <f t="shared" si="356"/>
        <v>425.3822875522095</v>
      </c>
      <c r="AP699" s="1807">
        <f t="shared" si="349"/>
        <v>504.86215535946843</v>
      </c>
      <c r="AQ699" s="1807">
        <f t="shared" si="350"/>
        <v>604.38637580497925</v>
      </c>
      <c r="AR699" s="1807">
        <f t="shared" si="351"/>
        <v>724.32994963811791</v>
      </c>
      <c r="AS699" s="1807">
        <f t="shared" si="352"/>
        <v>856.14914109850054</v>
      </c>
      <c r="AT699" s="1807">
        <f t="shared" si="353"/>
        <v>995.07261163042187</v>
      </c>
      <c r="AU699" s="231"/>
      <c r="AV699" s="231"/>
      <c r="AW699" s="231"/>
      <c r="AX699" s="231"/>
    </row>
    <row r="700" spans="1:50">
      <c r="A700" s="300"/>
      <c r="B700" s="302"/>
      <c r="C700" s="290"/>
      <c r="D700" s="454" t="str">
        <f t="shared" si="346"/>
        <v>Water &amp; waste management</v>
      </c>
      <c r="E700" s="3012"/>
      <c r="F700" s="2209"/>
      <c r="G700" s="119"/>
      <c r="H700" s="120"/>
      <c r="I700" s="120"/>
      <c r="J700" s="278">
        <v>13</v>
      </c>
      <c r="K700" s="278">
        <v>12</v>
      </c>
      <c r="L700" s="278">
        <v>11</v>
      </c>
      <c r="M700" s="278">
        <v>11</v>
      </c>
      <c r="N700" s="278">
        <v>7</v>
      </c>
      <c r="O700" s="278">
        <v>4</v>
      </c>
      <c r="P700" s="278">
        <v>9</v>
      </c>
      <c r="Q700" s="278">
        <v>9</v>
      </c>
      <c r="R700" s="278">
        <v>21</v>
      </c>
      <c r="S700" s="278">
        <v>13</v>
      </c>
      <c r="T700" s="278">
        <v>16</v>
      </c>
      <c r="U700" s="278">
        <v>19</v>
      </c>
      <c r="V700" s="278">
        <v>22</v>
      </c>
      <c r="W700" s="278">
        <v>24</v>
      </c>
      <c r="X700" s="278">
        <v>63</v>
      </c>
      <c r="Y700" s="278">
        <v>27</v>
      </c>
      <c r="Z700" s="278">
        <v>29</v>
      </c>
      <c r="AA700" s="278">
        <v>32</v>
      </c>
      <c r="AB700" s="278">
        <v>32</v>
      </c>
      <c r="AC700" s="278">
        <v>34</v>
      </c>
      <c r="AD700" s="278">
        <v>59</v>
      </c>
      <c r="AE700" s="278">
        <v>49</v>
      </c>
      <c r="AF700" s="120">
        <v>70</v>
      </c>
      <c r="AG700" s="120">
        <v>73</v>
      </c>
      <c r="AH700" s="120">
        <v>74</v>
      </c>
      <c r="AI700" s="2269">
        <v>78</v>
      </c>
      <c r="AJ700" s="2188">
        <f t="shared" si="357"/>
        <v>92.036010845169017</v>
      </c>
      <c r="AK700" s="120">
        <f t="shared" si="357"/>
        <v>107.92199586745059</v>
      </c>
      <c r="AL700" s="120">
        <f t="shared" si="357"/>
        <v>118.73931008045496</v>
      </c>
      <c r="AM700" s="120">
        <f t="shared" si="357"/>
        <v>132.9534529638766</v>
      </c>
      <c r="AN700" s="120">
        <f t="shared" si="355"/>
        <v>149.94058218048525</v>
      </c>
      <c r="AO700" s="120">
        <f t="shared" si="356"/>
        <v>169.87329763500679</v>
      </c>
      <c r="AP700" s="1807">
        <f t="shared" si="349"/>
        <v>191.44469550158757</v>
      </c>
      <c r="AQ700" s="1807">
        <f t="shared" si="350"/>
        <v>216.98822395582525</v>
      </c>
      <c r="AR700" s="1807">
        <f t="shared" si="351"/>
        <v>246.39975473749556</v>
      </c>
      <c r="AS700" s="1807">
        <f t="shared" si="352"/>
        <v>276.08273430591851</v>
      </c>
      <c r="AT700" s="1807">
        <f t="shared" si="353"/>
        <v>304.0075542812819</v>
      </c>
      <c r="AU700" s="231"/>
      <c r="AV700" s="231"/>
      <c r="AW700" s="231"/>
      <c r="AX700" s="231"/>
    </row>
    <row r="701" spans="1:50" s="1892" customFormat="1" ht="16.75" thickBot="1">
      <c r="A701" s="1884"/>
      <c r="B701" s="1885"/>
      <c r="C701" s="1886"/>
      <c r="D701" s="2651" t="str">
        <f t="shared" si="346"/>
        <v>Construction</v>
      </c>
      <c r="E701" s="3026"/>
      <c r="F701" s="2656"/>
      <c r="G701" s="2252"/>
      <c r="H701" s="2566"/>
      <c r="I701" s="2566"/>
      <c r="J701" s="2566">
        <v>31</v>
      </c>
      <c r="K701" s="2566">
        <v>33</v>
      </c>
      <c r="L701" s="2566">
        <v>37</v>
      </c>
      <c r="M701" s="2566">
        <v>38</v>
      </c>
      <c r="N701" s="2566">
        <v>46</v>
      </c>
      <c r="O701" s="2566">
        <v>62</v>
      </c>
      <c r="P701" s="2566">
        <v>73</v>
      </c>
      <c r="Q701" s="2566">
        <v>87</v>
      </c>
      <c r="R701" s="2566">
        <v>111</v>
      </c>
      <c r="S701" s="2566">
        <v>164</v>
      </c>
      <c r="T701" s="2566">
        <v>185</v>
      </c>
      <c r="U701" s="2566">
        <v>208</v>
      </c>
      <c r="V701" s="2566">
        <v>272</v>
      </c>
      <c r="W701" s="2566">
        <v>331</v>
      </c>
      <c r="X701" s="2566">
        <v>812</v>
      </c>
      <c r="Y701" s="2566">
        <v>413</v>
      </c>
      <c r="Z701" s="2566">
        <v>464</v>
      </c>
      <c r="AA701" s="2566">
        <v>474</v>
      </c>
      <c r="AB701" s="2566">
        <v>458</v>
      </c>
      <c r="AC701" s="2566">
        <v>526</v>
      </c>
      <c r="AD701" s="2566">
        <v>761</v>
      </c>
      <c r="AE701" s="2566">
        <v>568</v>
      </c>
      <c r="AF701" s="2566">
        <v>902</v>
      </c>
      <c r="AG701" s="2566">
        <v>1290</v>
      </c>
      <c r="AH701" s="2566">
        <v>1749</v>
      </c>
      <c r="AI701" s="2567">
        <v>2199</v>
      </c>
      <c r="AJ701" s="2568">
        <f t="shared" ref="AJ701:AM703" si="358">+AI701*(1+AJ567)*(AJ657/AI657)</f>
        <v>2634.5304940779843</v>
      </c>
      <c r="AK701" s="2566">
        <f t="shared" si="358"/>
        <v>3085.5117258719802</v>
      </c>
      <c r="AL701" s="2566">
        <f t="shared" si="358"/>
        <v>3360.1070156021333</v>
      </c>
      <c r="AM701" s="2566">
        <f t="shared" si="358"/>
        <v>3700.5864801763137</v>
      </c>
      <c r="AN701" s="2566">
        <f t="shared" si="355"/>
        <v>4137.0330505301181</v>
      </c>
      <c r="AO701" s="2566">
        <f t="shared" si="356"/>
        <v>4631.7306247599272</v>
      </c>
      <c r="AP701" s="2652">
        <f t="shared" si="349"/>
        <v>5155.599166684392</v>
      </c>
      <c r="AQ701" s="2652">
        <f t="shared" si="350"/>
        <v>5779.5368370656406</v>
      </c>
      <c r="AR701" s="2652">
        <f t="shared" si="351"/>
        <v>6486.2362365205045</v>
      </c>
      <c r="AS701" s="2652">
        <f t="shared" si="352"/>
        <v>7182.9543573382507</v>
      </c>
      <c r="AT701" s="2652">
        <f t="shared" si="353"/>
        <v>7819.1142623500964</v>
      </c>
      <c r="AU701" s="1891"/>
      <c r="AV701" s="1891"/>
      <c r="AW701" s="1891"/>
      <c r="AX701" s="1891"/>
    </row>
    <row r="702" spans="1:50" s="1892" customFormat="1" ht="16.75" thickBot="1">
      <c r="A702" s="1884"/>
      <c r="B702" s="1885"/>
      <c r="C702" s="1886"/>
      <c r="D702" s="1887" t="str">
        <f t="shared" si="346"/>
        <v>SERVICES</v>
      </c>
      <c r="E702" s="3025"/>
      <c r="F702" s="2948"/>
      <c r="G702" s="1888"/>
      <c r="H702" s="1889"/>
      <c r="I702" s="1889"/>
      <c r="J702" s="1889">
        <v>301</v>
      </c>
      <c r="K702" s="1889">
        <v>357</v>
      </c>
      <c r="L702" s="1889">
        <v>378</v>
      </c>
      <c r="M702" s="1889">
        <v>415</v>
      </c>
      <c r="N702" s="1889">
        <v>502</v>
      </c>
      <c r="O702" s="1889">
        <v>582</v>
      </c>
      <c r="P702" s="1889">
        <v>696</v>
      </c>
      <c r="Q702" s="1889">
        <v>829</v>
      </c>
      <c r="R702" s="1889">
        <v>1072</v>
      </c>
      <c r="S702" s="1889">
        <v>1397</v>
      </c>
      <c r="T702" s="1889">
        <v>1597</v>
      </c>
      <c r="U702" s="1889">
        <v>1781</v>
      </c>
      <c r="V702" s="1889">
        <v>1980</v>
      </c>
      <c r="W702" s="1889">
        <v>2298</v>
      </c>
      <c r="X702" s="1889">
        <v>4755</v>
      </c>
      <c r="Y702" s="1889">
        <v>2767</v>
      </c>
      <c r="Z702" s="1889">
        <v>3059</v>
      </c>
      <c r="AA702" s="1889">
        <v>3374</v>
      </c>
      <c r="AB702" s="1889">
        <v>3683</v>
      </c>
      <c r="AC702" s="1889">
        <v>4225</v>
      </c>
      <c r="AD702" s="1889">
        <v>4813</v>
      </c>
      <c r="AE702" s="1889">
        <v>3662</v>
      </c>
      <c r="AF702" s="1889">
        <v>5750</v>
      </c>
      <c r="AG702" s="1889">
        <v>7203</v>
      </c>
      <c r="AH702" s="1889">
        <v>8646</v>
      </c>
      <c r="AI702" s="2267">
        <v>10397</v>
      </c>
      <c r="AJ702" s="2186">
        <f t="shared" si="358"/>
        <v>11998.522957407673</v>
      </c>
      <c r="AK702" s="1889">
        <f t="shared" si="358"/>
        <v>14310.049359202319</v>
      </c>
      <c r="AL702" s="1889">
        <f t="shared" si="358"/>
        <v>16212.249052966765</v>
      </c>
      <c r="AM702" s="1889">
        <f t="shared" si="358"/>
        <v>18514.502086366087</v>
      </c>
      <c r="AN702" s="1889">
        <f t="shared" si="355"/>
        <v>21271.588520445537</v>
      </c>
      <c r="AO702" s="1889">
        <f t="shared" si="356"/>
        <v>24462.25768403905</v>
      </c>
      <c r="AP702" s="1890">
        <f t="shared" si="349"/>
        <v>28261.901186520096</v>
      </c>
      <c r="AQ702" s="1890">
        <f t="shared" si="350"/>
        <v>32855.424864234134</v>
      </c>
      <c r="AR702" s="1890">
        <f t="shared" si="351"/>
        <v>38319.151281369399</v>
      </c>
      <c r="AS702" s="1890">
        <f t="shared" si="352"/>
        <v>44221.489678757527</v>
      </c>
      <c r="AT702" s="1890">
        <f t="shared" si="353"/>
        <v>50317.248581627289</v>
      </c>
      <c r="AU702" s="1891"/>
      <c r="AV702" s="1891"/>
      <c r="AW702" s="1891"/>
      <c r="AX702" s="1891"/>
    </row>
    <row r="703" spans="1:50">
      <c r="A703" s="300"/>
      <c r="B703" s="302"/>
      <c r="C703" s="290"/>
      <c r="D703" s="122" t="str">
        <f t="shared" si="346"/>
        <v>Trade and Transport</v>
      </c>
      <c r="E703" s="3012"/>
      <c r="F703" s="2209"/>
      <c r="G703" s="119"/>
      <c r="H703" s="120"/>
      <c r="I703" s="120"/>
      <c r="J703" s="278">
        <v>62</v>
      </c>
      <c r="K703" s="278">
        <v>70</v>
      </c>
      <c r="L703" s="278">
        <v>78</v>
      </c>
      <c r="M703" s="278">
        <v>90</v>
      </c>
      <c r="N703" s="278">
        <v>107</v>
      </c>
      <c r="O703" s="278">
        <v>133</v>
      </c>
      <c r="P703" s="278">
        <v>165</v>
      </c>
      <c r="Q703" s="278">
        <v>207</v>
      </c>
      <c r="R703" s="278">
        <v>259</v>
      </c>
      <c r="S703" s="278">
        <v>376</v>
      </c>
      <c r="T703" s="278">
        <v>417</v>
      </c>
      <c r="U703" s="278">
        <v>474</v>
      </c>
      <c r="V703" s="2569">
        <v>538</v>
      </c>
      <c r="W703" s="2569">
        <v>649</v>
      </c>
      <c r="X703" s="2569">
        <v>1387</v>
      </c>
      <c r="Y703" s="2569">
        <v>754</v>
      </c>
      <c r="Z703" s="2569">
        <v>823</v>
      </c>
      <c r="AA703" s="2569">
        <v>897</v>
      </c>
      <c r="AB703" s="2569">
        <v>991</v>
      </c>
      <c r="AC703" s="2569">
        <v>1223</v>
      </c>
      <c r="AD703" s="2569">
        <v>1424</v>
      </c>
      <c r="AE703" s="2569">
        <v>1086</v>
      </c>
      <c r="AF703" s="2569">
        <v>1731</v>
      </c>
      <c r="AG703" s="2569">
        <v>2286</v>
      </c>
      <c r="AH703" s="2569">
        <v>2663</v>
      </c>
      <c r="AI703" s="2570">
        <v>3594</v>
      </c>
      <c r="AJ703" s="2571">
        <f t="shared" si="358"/>
        <v>4316.9200956682425</v>
      </c>
      <c r="AK703" s="2569">
        <f t="shared" si="358"/>
        <v>5111.426773545003</v>
      </c>
      <c r="AL703" s="2569">
        <f t="shared" si="358"/>
        <v>5684.0504103484345</v>
      </c>
      <c r="AM703" s="2569">
        <f t="shared" si="358"/>
        <v>6409.1168340636095</v>
      </c>
      <c r="AN703" s="2569">
        <f t="shared" si="355"/>
        <v>7149.5620752546311</v>
      </c>
      <c r="AO703" s="2569">
        <f t="shared" si="356"/>
        <v>8031.2818564265408</v>
      </c>
      <c r="AP703" s="1807">
        <f t="shared" si="349"/>
        <v>8996.8006546793531</v>
      </c>
      <c r="AQ703" s="1807">
        <f t="shared" si="350"/>
        <v>10052.597097070457</v>
      </c>
      <c r="AR703" s="1807">
        <f t="shared" si="351"/>
        <v>11277.98312686425</v>
      </c>
      <c r="AS703" s="1807">
        <f t="shared" si="352"/>
        <v>12438.201406882346</v>
      </c>
      <c r="AT703" s="1807">
        <f t="shared" si="353"/>
        <v>13571.628828964134</v>
      </c>
      <c r="AU703" s="231"/>
      <c r="AV703" s="231"/>
      <c r="AW703" s="231"/>
      <c r="AX703" s="231"/>
    </row>
    <row r="704" spans="1:50">
      <c r="A704" s="300"/>
      <c r="B704" s="302"/>
      <c r="C704" s="290"/>
      <c r="D704" s="154" t="str">
        <f t="shared" si="346"/>
        <v>Maintenance &amp; repair of motor vehicles</v>
      </c>
      <c r="E704" s="3012"/>
      <c r="F704" s="2209"/>
      <c r="G704" s="119"/>
      <c r="H704" s="128"/>
      <c r="I704" s="128"/>
      <c r="J704" s="277">
        <v>3</v>
      </c>
      <c r="K704" s="277">
        <v>3</v>
      </c>
      <c r="L704" s="277">
        <v>4</v>
      </c>
      <c r="M704" s="277">
        <v>4</v>
      </c>
      <c r="N704" s="277">
        <v>5</v>
      </c>
      <c r="O704" s="277">
        <v>6</v>
      </c>
      <c r="P704" s="277">
        <v>7</v>
      </c>
      <c r="Q704" s="277">
        <v>8</v>
      </c>
      <c r="R704" s="277">
        <v>11</v>
      </c>
      <c r="S704" s="277">
        <v>17</v>
      </c>
      <c r="T704" s="277">
        <v>20</v>
      </c>
      <c r="U704" s="277">
        <v>21</v>
      </c>
      <c r="V704" s="277">
        <v>24</v>
      </c>
      <c r="W704" s="277">
        <v>28</v>
      </c>
      <c r="X704" s="277">
        <v>61</v>
      </c>
      <c r="Y704" s="277">
        <v>32</v>
      </c>
      <c r="Z704" s="277">
        <v>33</v>
      </c>
      <c r="AA704" s="277">
        <v>38</v>
      </c>
      <c r="AB704" s="277">
        <v>40</v>
      </c>
      <c r="AC704" s="277">
        <v>47</v>
      </c>
      <c r="AD704" s="277">
        <v>55</v>
      </c>
      <c r="AE704" s="277">
        <v>54</v>
      </c>
      <c r="AF704" s="128">
        <v>83</v>
      </c>
      <c r="AG704" s="128">
        <v>97</v>
      </c>
      <c r="AH704" s="128">
        <v>109</v>
      </c>
      <c r="AI704" s="2271">
        <v>128</v>
      </c>
      <c r="AJ704" s="2190">
        <f t="shared" si="357"/>
        <v>169.13160763942537</v>
      </c>
      <c r="AK704" s="128">
        <f t="shared" si="357"/>
        <v>217.41161533548922</v>
      </c>
      <c r="AL704" s="128">
        <f t="shared" si="357"/>
        <v>261.5278043437927</v>
      </c>
      <c r="AM704" s="128">
        <f t="shared" si="357"/>
        <v>319.6204443960076</v>
      </c>
      <c r="AN704" s="128">
        <f t="shared" si="355"/>
        <v>399.73751677651006</v>
      </c>
      <c r="AO704" s="128">
        <f t="shared" si="356"/>
        <v>495.48646666991021</v>
      </c>
      <c r="AP704" s="1809">
        <f t="shared" si="349"/>
        <v>612.21768631355576</v>
      </c>
      <c r="AQ704" s="1809">
        <f t="shared" si="350"/>
        <v>762.76123167179969</v>
      </c>
      <c r="AR704" s="1809">
        <f t="shared" si="351"/>
        <v>951.75337999028432</v>
      </c>
      <c r="AS704" s="1809">
        <f t="shared" si="352"/>
        <v>1170.02946959154</v>
      </c>
      <c r="AT704" s="1809">
        <f t="shared" si="353"/>
        <v>1414.8247854939616</v>
      </c>
      <c r="AU704" s="231"/>
      <c r="AV704" s="231"/>
      <c r="AW704" s="231"/>
      <c r="AX704" s="231"/>
    </row>
    <row r="705" spans="1:50">
      <c r="A705" s="300"/>
      <c r="B705" s="302"/>
      <c r="C705" s="290"/>
      <c r="D705" s="154" t="str">
        <f t="shared" si="346"/>
        <v>Wholesale &amp; retail trade</v>
      </c>
      <c r="E705" s="3012"/>
      <c r="F705" s="2209"/>
      <c r="G705" s="119"/>
      <c r="H705" s="128"/>
      <c r="I705" s="128"/>
      <c r="J705" s="277">
        <v>42</v>
      </c>
      <c r="K705" s="277">
        <v>46</v>
      </c>
      <c r="L705" s="277">
        <v>50</v>
      </c>
      <c r="M705" s="277">
        <v>56</v>
      </c>
      <c r="N705" s="277">
        <v>68</v>
      </c>
      <c r="O705" s="277">
        <v>85</v>
      </c>
      <c r="P705" s="277">
        <v>106</v>
      </c>
      <c r="Q705" s="277">
        <v>130</v>
      </c>
      <c r="R705" s="277">
        <v>164</v>
      </c>
      <c r="S705" s="277">
        <v>246</v>
      </c>
      <c r="T705" s="277">
        <v>267</v>
      </c>
      <c r="U705" s="277">
        <v>301</v>
      </c>
      <c r="V705" s="277">
        <v>344</v>
      </c>
      <c r="W705" s="277">
        <v>408</v>
      </c>
      <c r="X705" s="277">
        <v>685</v>
      </c>
      <c r="Y705" s="277">
        <v>482</v>
      </c>
      <c r="Z705" s="277">
        <v>529</v>
      </c>
      <c r="AA705" s="277">
        <v>560</v>
      </c>
      <c r="AB705" s="277">
        <v>597</v>
      </c>
      <c r="AC705" s="277">
        <v>682</v>
      </c>
      <c r="AD705" s="277">
        <v>734</v>
      </c>
      <c r="AE705" s="277">
        <v>552</v>
      </c>
      <c r="AF705" s="128">
        <v>899</v>
      </c>
      <c r="AG705" s="128">
        <v>1131</v>
      </c>
      <c r="AH705" s="128">
        <v>1377</v>
      </c>
      <c r="AI705" s="2271">
        <v>1822</v>
      </c>
      <c r="AJ705" s="2190">
        <f t="shared" si="357"/>
        <v>2161.672621366055</v>
      </c>
      <c r="AK705" s="128">
        <f t="shared" si="357"/>
        <v>2610.4125161867332</v>
      </c>
      <c r="AL705" s="128">
        <f t="shared" si="357"/>
        <v>2980.839064906877</v>
      </c>
      <c r="AM705" s="128">
        <f t="shared" si="357"/>
        <v>3351.3413907217305</v>
      </c>
      <c r="AN705" s="128">
        <f t="shared" si="355"/>
        <v>3757.0431895585675</v>
      </c>
      <c r="AO705" s="128">
        <f t="shared" si="356"/>
        <v>4273.0278925662078</v>
      </c>
      <c r="AP705" s="1809">
        <f t="shared" si="349"/>
        <v>4780.0622046674225</v>
      </c>
      <c r="AQ705" s="1809">
        <f t="shared" si="350"/>
        <v>5339.0273746460443</v>
      </c>
      <c r="AR705" s="1809">
        <f t="shared" si="351"/>
        <v>5981.3648702195978</v>
      </c>
      <c r="AS705" s="1809">
        <f t="shared" si="352"/>
        <v>6586.9604317541807</v>
      </c>
      <c r="AT705" s="1809">
        <f t="shared" si="353"/>
        <v>7164.0594829038164</v>
      </c>
      <c r="AU705" s="231"/>
      <c r="AV705" s="231"/>
      <c r="AW705" s="231"/>
      <c r="AX705" s="231"/>
    </row>
    <row r="706" spans="1:50">
      <c r="A706" s="300"/>
      <c r="B706" s="302"/>
      <c r="C706" s="290"/>
      <c r="D706" s="154" t="str">
        <f t="shared" si="346"/>
        <v>Transport services</v>
      </c>
      <c r="E706" s="3015"/>
      <c r="F706" s="2213"/>
      <c r="G706" s="126"/>
      <c r="H706" s="128"/>
      <c r="I706" s="128"/>
      <c r="J706" s="277">
        <v>17</v>
      </c>
      <c r="K706" s="277">
        <v>22</v>
      </c>
      <c r="L706" s="277">
        <v>25</v>
      </c>
      <c r="M706" s="277">
        <v>30</v>
      </c>
      <c r="N706" s="277">
        <v>34</v>
      </c>
      <c r="O706" s="277">
        <v>42</v>
      </c>
      <c r="P706" s="277">
        <v>52</v>
      </c>
      <c r="Q706" s="277">
        <v>67</v>
      </c>
      <c r="R706" s="277">
        <v>84</v>
      </c>
      <c r="S706" s="277">
        <v>115</v>
      </c>
      <c r="T706" s="277">
        <v>131</v>
      </c>
      <c r="U706" s="277">
        <v>152</v>
      </c>
      <c r="V706" s="277">
        <v>171</v>
      </c>
      <c r="W706" s="277">
        <v>214</v>
      </c>
      <c r="X706" s="277">
        <v>642</v>
      </c>
      <c r="Y706" s="277">
        <v>242</v>
      </c>
      <c r="Z706" s="277">
        <v>263</v>
      </c>
      <c r="AA706" s="277">
        <v>301</v>
      </c>
      <c r="AB706" s="277">
        <v>356</v>
      </c>
      <c r="AC706" s="277">
        <v>492</v>
      </c>
      <c r="AD706" s="277">
        <v>635</v>
      </c>
      <c r="AE706" s="277">
        <v>480</v>
      </c>
      <c r="AF706" s="128">
        <v>747</v>
      </c>
      <c r="AG706" s="128">
        <v>1058</v>
      </c>
      <c r="AH706" s="128">
        <v>1177</v>
      </c>
      <c r="AI706" s="2271">
        <v>1644</v>
      </c>
      <c r="AJ706" s="2190">
        <f>+AI706*(1+AJ572)*(AJ662/AI662)</f>
        <v>1984.7945259780786</v>
      </c>
      <c r="AK706" s="128">
        <f>+AJ706*(1+AK572)*(AK662/AJ662)</f>
        <v>2281.9041137779705</v>
      </c>
      <c r="AL706" s="128">
        <f>+AK706*(1+AL572)*(AL662/AK662)</f>
        <v>2439.6403551263279</v>
      </c>
      <c r="AM706" s="128">
        <f>+AL706*(1+AM572)*(AM662/AL662)</f>
        <v>2735.6579642240272</v>
      </c>
      <c r="AN706" s="128">
        <f t="shared" si="355"/>
        <v>2989.6584195697374</v>
      </c>
      <c r="AO706" s="128">
        <f t="shared" si="356"/>
        <v>3258.8965091695632</v>
      </c>
      <c r="AP706" s="1809">
        <f t="shared" si="349"/>
        <v>3599.7378130240504</v>
      </c>
      <c r="AQ706" s="1809">
        <f t="shared" si="350"/>
        <v>3944.8494186301741</v>
      </c>
      <c r="AR706" s="1809">
        <f t="shared" si="351"/>
        <v>4337.429303373191</v>
      </c>
      <c r="AS706" s="1809">
        <f t="shared" si="352"/>
        <v>4672.0706503054371</v>
      </c>
      <c r="AT706" s="1809">
        <f t="shared" si="353"/>
        <v>4981.6912419296768</v>
      </c>
      <c r="AU706" s="231"/>
      <c r="AV706" s="231"/>
      <c r="AW706" s="231"/>
      <c r="AX706" s="231"/>
    </row>
    <row r="707" spans="1:50" s="1892" customFormat="1">
      <c r="A707" s="1884"/>
      <c r="B707" s="1885"/>
      <c r="C707" s="1886"/>
      <c r="D707" s="2649" t="str">
        <f t="shared" si="346"/>
        <v>Other services</v>
      </c>
      <c r="E707" s="3027"/>
      <c r="F707" s="2571"/>
      <c r="G707" s="2569"/>
      <c r="H707" s="2569"/>
      <c r="I707" s="2569"/>
      <c r="J707" s="2569">
        <v>240</v>
      </c>
      <c r="K707" s="2569">
        <v>287</v>
      </c>
      <c r="L707" s="2569">
        <v>300</v>
      </c>
      <c r="M707" s="2569">
        <v>324</v>
      </c>
      <c r="N707" s="2569">
        <v>395</v>
      </c>
      <c r="O707" s="2569">
        <v>449</v>
      </c>
      <c r="P707" s="2569">
        <v>531</v>
      </c>
      <c r="Q707" s="2569">
        <v>621</v>
      </c>
      <c r="R707" s="2569">
        <v>814</v>
      </c>
      <c r="S707" s="2569">
        <v>1020</v>
      </c>
      <c r="T707" s="2569">
        <v>1180</v>
      </c>
      <c r="U707" s="2569">
        <v>1306</v>
      </c>
      <c r="V707" s="2569">
        <v>1441</v>
      </c>
      <c r="W707" s="2569">
        <v>1648</v>
      </c>
      <c r="X707" s="2569">
        <v>3368</v>
      </c>
      <c r="Y707" s="2569">
        <v>2013</v>
      </c>
      <c r="Z707" s="2569">
        <v>2234</v>
      </c>
      <c r="AA707" s="2569">
        <v>2478</v>
      </c>
      <c r="AB707" s="2569">
        <v>2693</v>
      </c>
      <c r="AC707" s="2569">
        <v>3004</v>
      </c>
      <c r="AD707" s="2569">
        <v>3389</v>
      </c>
      <c r="AE707" s="2569">
        <v>2576</v>
      </c>
      <c r="AF707" s="2569">
        <v>4020</v>
      </c>
      <c r="AG707" s="2569">
        <v>4917</v>
      </c>
      <c r="AH707" s="2569">
        <v>5983</v>
      </c>
      <c r="AI707" s="2570">
        <v>6802</v>
      </c>
      <c r="AJ707" s="2571">
        <f t="shared" si="357"/>
        <v>7614.7841061748513</v>
      </c>
      <c r="AK707" s="2569">
        <f t="shared" si="357"/>
        <v>9146.7033677328563</v>
      </c>
      <c r="AL707" s="2569">
        <f t="shared" si="357"/>
        <v>10335.471462477044</v>
      </c>
      <c r="AM707" s="2569">
        <f t="shared" si="357"/>
        <v>11773.331002923964</v>
      </c>
      <c r="AN707" s="2569">
        <f t="shared" si="355"/>
        <v>13663.608777321428</v>
      </c>
      <c r="AO707" s="2569">
        <f t="shared" si="356"/>
        <v>15824.937798196586</v>
      </c>
      <c r="AP707" s="2650">
        <f t="shared" si="349"/>
        <v>18458.126004673977</v>
      </c>
      <c r="AQ707" s="2650">
        <f t="shared" si="350"/>
        <v>21773.746486601343</v>
      </c>
      <c r="AR707" s="2650">
        <f t="shared" si="351"/>
        <v>25745.491363463629</v>
      </c>
      <c r="AS707" s="2650">
        <f t="shared" si="352"/>
        <v>30124.335688088944</v>
      </c>
      <c r="AT707" s="2650">
        <f t="shared" si="353"/>
        <v>34782.922911443442</v>
      </c>
      <c r="AU707" s="1891"/>
      <c r="AV707" s="1891"/>
      <c r="AW707" s="1891"/>
      <c r="AX707" s="1891"/>
    </row>
    <row r="708" spans="1:50">
      <c r="A708" s="300"/>
      <c r="B708" s="302"/>
      <c r="C708" s="290"/>
      <c r="D708" s="129" t="str">
        <f t="shared" si="346"/>
        <v>Hotels &amp; restaurants</v>
      </c>
      <c r="E708" s="3013"/>
      <c r="F708" s="2210"/>
      <c r="G708" s="121"/>
      <c r="H708" s="128"/>
      <c r="I708" s="128"/>
      <c r="J708" s="277">
        <v>8</v>
      </c>
      <c r="K708" s="277">
        <v>8</v>
      </c>
      <c r="L708" s="277">
        <v>8</v>
      </c>
      <c r="M708" s="277">
        <v>12</v>
      </c>
      <c r="N708" s="277">
        <v>19</v>
      </c>
      <c r="O708" s="277">
        <v>25</v>
      </c>
      <c r="P708" s="277">
        <v>38</v>
      </c>
      <c r="Q708" s="277">
        <v>49</v>
      </c>
      <c r="R708" s="277">
        <v>59</v>
      </c>
      <c r="S708" s="277">
        <v>71</v>
      </c>
      <c r="T708" s="277">
        <v>75</v>
      </c>
      <c r="U708" s="277">
        <v>84</v>
      </c>
      <c r="V708" s="277">
        <v>90</v>
      </c>
      <c r="W708" s="277">
        <v>96</v>
      </c>
      <c r="X708" s="277">
        <v>190</v>
      </c>
      <c r="Y708" s="277">
        <v>119</v>
      </c>
      <c r="Z708" s="277">
        <v>133</v>
      </c>
      <c r="AA708" s="277">
        <v>154</v>
      </c>
      <c r="AB708" s="277">
        <v>140</v>
      </c>
      <c r="AC708" s="277">
        <v>180</v>
      </c>
      <c r="AD708" s="277">
        <v>224</v>
      </c>
      <c r="AE708" s="277">
        <v>95</v>
      </c>
      <c r="AF708" s="128">
        <v>182</v>
      </c>
      <c r="AG708" s="128">
        <v>366</v>
      </c>
      <c r="AH708" s="128">
        <v>426</v>
      </c>
      <c r="AI708" s="2271">
        <v>681</v>
      </c>
      <c r="AJ708" s="2190">
        <f t="shared" si="357"/>
        <v>843.92629159827811</v>
      </c>
      <c r="AK708" s="128">
        <f t="shared" si="357"/>
        <v>963.56652028874237</v>
      </c>
      <c r="AL708" s="128">
        <f t="shared" si="357"/>
        <v>1091.6168225283054</v>
      </c>
      <c r="AM708" s="128">
        <f t="shared" si="357"/>
        <v>1227.5807148554475</v>
      </c>
      <c r="AN708" s="128">
        <f t="shared" si="355"/>
        <v>1373.3671863340683</v>
      </c>
      <c r="AO708" s="128">
        <f t="shared" si="356"/>
        <v>1471.0479274620786</v>
      </c>
      <c r="AP708" s="1809">
        <f t="shared" si="349"/>
        <v>1643.5282969570078</v>
      </c>
      <c r="AQ708" s="1809">
        <f t="shared" si="350"/>
        <v>1836.2319897752166</v>
      </c>
      <c r="AR708" s="1809">
        <f t="shared" si="351"/>
        <v>2051.5301905763604</v>
      </c>
      <c r="AS708" s="1809">
        <f t="shared" si="352"/>
        <v>2292.0721054214387</v>
      </c>
      <c r="AT708" s="1809">
        <f t="shared" si="353"/>
        <v>2560.8175597821023</v>
      </c>
      <c r="AU708" s="231"/>
      <c r="AV708" s="231"/>
      <c r="AW708" s="231"/>
      <c r="AX708" s="231"/>
    </row>
    <row r="709" spans="1:50">
      <c r="A709" s="300"/>
      <c r="B709" s="302"/>
      <c r="C709" s="290"/>
      <c r="D709" s="129" t="str">
        <f t="shared" si="346"/>
        <v>Information &amp; communication</v>
      </c>
      <c r="E709" s="1560"/>
      <c r="F709" s="560"/>
      <c r="G709" s="130"/>
      <c r="H709" s="128"/>
      <c r="I709" s="128"/>
      <c r="J709" s="277">
        <v>9</v>
      </c>
      <c r="K709" s="277">
        <v>11</v>
      </c>
      <c r="L709" s="277">
        <v>13</v>
      </c>
      <c r="M709" s="277">
        <v>16</v>
      </c>
      <c r="N709" s="277">
        <v>17</v>
      </c>
      <c r="O709" s="277">
        <v>22</v>
      </c>
      <c r="P709" s="277">
        <v>27</v>
      </c>
      <c r="Q709" s="277">
        <v>33</v>
      </c>
      <c r="R709" s="277">
        <v>45</v>
      </c>
      <c r="S709" s="277">
        <v>58</v>
      </c>
      <c r="T709" s="277">
        <v>67</v>
      </c>
      <c r="U709" s="277">
        <v>77</v>
      </c>
      <c r="V709" s="277">
        <v>86</v>
      </c>
      <c r="W709" s="277">
        <v>109</v>
      </c>
      <c r="X709" s="277">
        <v>219</v>
      </c>
      <c r="Y709" s="277">
        <v>118</v>
      </c>
      <c r="Z709" s="277">
        <v>135</v>
      </c>
      <c r="AA709" s="277">
        <v>138</v>
      </c>
      <c r="AB709" s="277">
        <v>134</v>
      </c>
      <c r="AC709" s="277">
        <v>152</v>
      </c>
      <c r="AD709" s="277">
        <v>208</v>
      </c>
      <c r="AE709" s="277">
        <v>180</v>
      </c>
      <c r="AF709" s="128">
        <v>270</v>
      </c>
      <c r="AG709" s="128">
        <v>266</v>
      </c>
      <c r="AH709" s="128">
        <v>340</v>
      </c>
      <c r="AI709" s="2271">
        <v>432</v>
      </c>
      <c r="AJ709" s="2190">
        <f t="shared" si="357"/>
        <v>484.96000372556023</v>
      </c>
      <c r="AK709" s="128">
        <f t="shared" si="357"/>
        <v>708.70444913528229</v>
      </c>
      <c r="AL709" s="128">
        <f t="shared" si="357"/>
        <v>868.69490384371454</v>
      </c>
      <c r="AM709" s="128">
        <f t="shared" si="357"/>
        <v>1102.8503933259988</v>
      </c>
      <c r="AN709" s="128">
        <f t="shared" si="355"/>
        <v>1384.5454968341612</v>
      </c>
      <c r="AO709" s="128">
        <f t="shared" si="356"/>
        <v>1749.1372885065766</v>
      </c>
      <c r="AP709" s="1809">
        <f t="shared" si="349"/>
        <v>2248.8167808812304</v>
      </c>
      <c r="AQ709" s="1809">
        <f t="shared" si="350"/>
        <v>2866.2098469167117</v>
      </c>
      <c r="AR709" s="1809">
        <f t="shared" si="351"/>
        <v>3664.5044556303055</v>
      </c>
      <c r="AS709" s="1809">
        <f t="shared" si="352"/>
        <v>4612.1240544935763</v>
      </c>
      <c r="AT709" s="1809">
        <f t="shared" si="353"/>
        <v>5719.578336063646</v>
      </c>
      <c r="AU709" s="231"/>
      <c r="AV709" s="231"/>
      <c r="AW709" s="231"/>
      <c r="AX709" s="231"/>
    </row>
    <row r="710" spans="1:50">
      <c r="A710" s="300"/>
      <c r="B710" s="302"/>
      <c r="C710" s="290"/>
      <c r="D710" s="129" t="str">
        <f t="shared" si="346"/>
        <v>Financial services</v>
      </c>
      <c r="E710" s="3013"/>
      <c r="F710" s="2210"/>
      <c r="G710" s="121"/>
      <c r="H710" s="128"/>
      <c r="I710" s="128"/>
      <c r="J710" s="277">
        <v>16</v>
      </c>
      <c r="K710" s="277">
        <v>21</v>
      </c>
      <c r="L710" s="277">
        <v>20</v>
      </c>
      <c r="M710" s="277">
        <v>20</v>
      </c>
      <c r="N710" s="277">
        <v>27</v>
      </c>
      <c r="O710" s="277">
        <v>34</v>
      </c>
      <c r="P710" s="277">
        <v>37</v>
      </c>
      <c r="Q710" s="277">
        <v>44</v>
      </c>
      <c r="R710" s="277">
        <v>54</v>
      </c>
      <c r="S710" s="277">
        <v>60</v>
      </c>
      <c r="T710" s="277">
        <v>60</v>
      </c>
      <c r="U710" s="277">
        <v>75</v>
      </c>
      <c r="V710" s="277">
        <v>94</v>
      </c>
      <c r="W710" s="277">
        <v>121</v>
      </c>
      <c r="X710" s="277">
        <v>240</v>
      </c>
      <c r="Y710" s="277">
        <v>146</v>
      </c>
      <c r="Z710" s="277">
        <v>160</v>
      </c>
      <c r="AA710" s="277">
        <v>164</v>
      </c>
      <c r="AB710" s="277">
        <v>191</v>
      </c>
      <c r="AC710" s="277">
        <v>216</v>
      </c>
      <c r="AD710" s="277">
        <v>250</v>
      </c>
      <c r="AE710" s="277">
        <v>194</v>
      </c>
      <c r="AF710" s="128">
        <v>345</v>
      </c>
      <c r="AG710" s="128">
        <v>475</v>
      </c>
      <c r="AH710" s="128">
        <v>527</v>
      </c>
      <c r="AI710" s="2271">
        <v>498</v>
      </c>
      <c r="AJ710" s="2190">
        <f t="shared" si="357"/>
        <v>606.83332511086383</v>
      </c>
      <c r="AK710" s="128">
        <f t="shared" si="357"/>
        <v>728.01425746260531</v>
      </c>
      <c r="AL710" s="128">
        <f t="shared" si="357"/>
        <v>806.41267157495781</v>
      </c>
      <c r="AM710" s="128">
        <f t="shared" si="357"/>
        <v>924.549735625778</v>
      </c>
      <c r="AN710" s="128">
        <f t="shared" si="355"/>
        <v>1073.651429237302</v>
      </c>
      <c r="AO710" s="128">
        <f t="shared" si="356"/>
        <v>1237.9130879396375</v>
      </c>
      <c r="AP710" s="1809">
        <f t="shared" si="349"/>
        <v>1421.6003693006537</v>
      </c>
      <c r="AQ710" s="1809">
        <f t="shared" si="350"/>
        <v>1649.9446587362347</v>
      </c>
      <c r="AR710" s="1809">
        <f t="shared" si="351"/>
        <v>1914.4791505990306</v>
      </c>
      <c r="AS710" s="1809">
        <f t="shared" si="352"/>
        <v>2189.4385881676126</v>
      </c>
      <c r="AT710" s="1809">
        <f t="shared" si="353"/>
        <v>2462.9653154276671</v>
      </c>
      <c r="AU710" s="231"/>
      <c r="AV710" s="231"/>
      <c r="AW710" s="231"/>
      <c r="AX710" s="231"/>
    </row>
    <row r="711" spans="1:50">
      <c r="A711" s="300"/>
      <c r="B711" s="302"/>
      <c r="C711" s="290"/>
      <c r="D711" s="129" t="str">
        <f t="shared" si="346"/>
        <v>Real estate activities</v>
      </c>
      <c r="E711" s="3012"/>
      <c r="F711" s="2209"/>
      <c r="G711" s="119"/>
      <c r="H711" s="128"/>
      <c r="I711" s="128"/>
      <c r="J711" s="277">
        <v>77</v>
      </c>
      <c r="K711" s="277">
        <v>82</v>
      </c>
      <c r="L711" s="277">
        <v>85</v>
      </c>
      <c r="M711" s="277">
        <v>88</v>
      </c>
      <c r="N711" s="277">
        <v>104</v>
      </c>
      <c r="O711" s="277">
        <v>111</v>
      </c>
      <c r="P711" s="277">
        <v>123</v>
      </c>
      <c r="Q711" s="277">
        <v>133</v>
      </c>
      <c r="R711" s="277">
        <v>203</v>
      </c>
      <c r="S711" s="277">
        <v>280</v>
      </c>
      <c r="T711" s="277">
        <v>340</v>
      </c>
      <c r="U711" s="277">
        <v>356</v>
      </c>
      <c r="V711" s="277">
        <v>375</v>
      </c>
      <c r="W711" s="277">
        <v>370</v>
      </c>
      <c r="X711" s="277">
        <v>758</v>
      </c>
      <c r="Y711" s="277">
        <v>401</v>
      </c>
      <c r="Z711" s="277">
        <v>429</v>
      </c>
      <c r="AA711" s="277">
        <v>488</v>
      </c>
      <c r="AB711" s="277">
        <v>559</v>
      </c>
      <c r="AC711" s="277">
        <v>655</v>
      </c>
      <c r="AD711" s="277">
        <v>755</v>
      </c>
      <c r="AE711" s="277">
        <v>616</v>
      </c>
      <c r="AF711" s="128">
        <v>926</v>
      </c>
      <c r="AG711" s="128">
        <v>1041</v>
      </c>
      <c r="AH711" s="128">
        <v>1288</v>
      </c>
      <c r="AI711" s="2271">
        <v>1372</v>
      </c>
      <c r="AJ711" s="2190">
        <f t="shared" si="357"/>
        <v>1191.1435519651811</v>
      </c>
      <c r="AK711" s="128">
        <f t="shared" si="357"/>
        <v>1352.506230072976</v>
      </c>
      <c r="AL711" s="128">
        <f t="shared" si="357"/>
        <v>1423.356454272312</v>
      </c>
      <c r="AM711" s="128">
        <f t="shared" si="357"/>
        <v>1510.2054526936111</v>
      </c>
      <c r="AN711" s="128">
        <f t="shared" si="355"/>
        <v>1619.9955976237611</v>
      </c>
      <c r="AO711" s="128">
        <f t="shared" si="356"/>
        <v>1735.9317650013284</v>
      </c>
      <c r="AP711" s="1809">
        <f t="shared" si="349"/>
        <v>1845.9897218764158</v>
      </c>
      <c r="AQ711" s="1809">
        <f t="shared" si="350"/>
        <v>2023.1735323198625</v>
      </c>
      <c r="AR711" s="1809">
        <f t="shared" si="351"/>
        <v>2153.2344424629055</v>
      </c>
      <c r="AS711" s="1809">
        <f t="shared" si="352"/>
        <v>2260.0710015998966</v>
      </c>
      <c r="AT711" s="1809">
        <f t="shared" si="353"/>
        <v>2323.4519656195225</v>
      </c>
      <c r="AU711" s="231"/>
      <c r="AV711" s="231"/>
      <c r="AW711" s="231"/>
      <c r="AX711" s="231"/>
    </row>
    <row r="712" spans="1:50">
      <c r="A712" s="300"/>
      <c r="B712" s="302"/>
      <c r="C712" s="290"/>
      <c r="D712" s="129" t="str">
        <f t="shared" si="346"/>
        <v>Professional, scientific and technical activities</v>
      </c>
      <c r="E712" s="3012"/>
      <c r="F712" s="2209"/>
      <c r="G712" s="119"/>
      <c r="H712" s="128"/>
      <c r="I712" s="128"/>
      <c r="J712" s="277">
        <v>20</v>
      </c>
      <c r="K712" s="277">
        <v>21</v>
      </c>
      <c r="L712" s="277">
        <v>22</v>
      </c>
      <c r="M712" s="277">
        <v>22</v>
      </c>
      <c r="N712" s="277">
        <v>26</v>
      </c>
      <c r="O712" s="277">
        <v>28</v>
      </c>
      <c r="P712" s="277">
        <v>31</v>
      </c>
      <c r="Q712" s="277">
        <v>34</v>
      </c>
      <c r="R712" s="277">
        <v>52</v>
      </c>
      <c r="S712" s="277">
        <v>71</v>
      </c>
      <c r="T712" s="277">
        <v>87</v>
      </c>
      <c r="U712" s="277">
        <v>90</v>
      </c>
      <c r="V712" s="277">
        <v>96</v>
      </c>
      <c r="W712" s="277">
        <v>107</v>
      </c>
      <c r="X712" s="277">
        <v>247</v>
      </c>
      <c r="Y712" s="277">
        <v>110</v>
      </c>
      <c r="Z712" s="277">
        <v>128</v>
      </c>
      <c r="AA712" s="277">
        <v>144</v>
      </c>
      <c r="AB712" s="277">
        <v>164</v>
      </c>
      <c r="AC712" s="277">
        <v>194</v>
      </c>
      <c r="AD712" s="277">
        <v>233</v>
      </c>
      <c r="AE712" s="277">
        <v>205</v>
      </c>
      <c r="AF712" s="128">
        <v>326</v>
      </c>
      <c r="AG712" s="128">
        <v>402</v>
      </c>
      <c r="AH712" s="128">
        <v>513</v>
      </c>
      <c r="AI712" s="2271">
        <v>588</v>
      </c>
      <c r="AJ712" s="2190">
        <f t="shared" si="357"/>
        <v>839.86089888171273</v>
      </c>
      <c r="AK712" s="128">
        <f t="shared" si="357"/>
        <v>1081.8779310340258</v>
      </c>
      <c r="AL712" s="128">
        <f t="shared" si="357"/>
        <v>1315.9901676881746</v>
      </c>
      <c r="AM712" s="128">
        <f t="shared" si="357"/>
        <v>1647.8632184659425</v>
      </c>
      <c r="AN712" s="128">
        <f t="shared" si="355"/>
        <v>2123.7010475814836</v>
      </c>
      <c r="AO712" s="128">
        <f t="shared" si="356"/>
        <v>2677.5967259442646</v>
      </c>
      <c r="AP712" s="1809">
        <f t="shared" si="349"/>
        <v>3377.5260335997318</v>
      </c>
      <c r="AQ712" s="1809">
        <f t="shared" si="350"/>
        <v>4306.0943941754531</v>
      </c>
      <c r="AR712" s="1809">
        <f t="shared" si="351"/>
        <v>5496.4741070801028</v>
      </c>
      <c r="AS712" s="1809">
        <f t="shared" si="352"/>
        <v>6899.5349510103106</v>
      </c>
      <c r="AT712" s="1809">
        <f t="shared" si="353"/>
        <v>8527.1449028896568</v>
      </c>
      <c r="AU712" s="231"/>
      <c r="AV712" s="231"/>
      <c r="AW712" s="231"/>
      <c r="AX712" s="231"/>
    </row>
    <row r="713" spans="1:50">
      <c r="A713" s="300"/>
      <c r="B713" s="302"/>
      <c r="C713" s="290"/>
      <c r="D713" s="129" t="str">
        <f t="shared" si="346"/>
        <v>Administrative and support service activities</v>
      </c>
      <c r="E713" s="3012"/>
      <c r="F713" s="2209"/>
      <c r="G713" s="119"/>
      <c r="H713" s="128"/>
      <c r="I713" s="128"/>
      <c r="J713" s="277">
        <v>26</v>
      </c>
      <c r="K713" s="277">
        <v>28</v>
      </c>
      <c r="L713" s="277">
        <v>29</v>
      </c>
      <c r="M713" s="277">
        <v>30</v>
      </c>
      <c r="N713" s="277">
        <v>36</v>
      </c>
      <c r="O713" s="277">
        <v>38</v>
      </c>
      <c r="P713" s="277">
        <v>42</v>
      </c>
      <c r="Q713" s="277">
        <v>46</v>
      </c>
      <c r="R713" s="277">
        <v>70</v>
      </c>
      <c r="S713" s="277">
        <v>96</v>
      </c>
      <c r="T713" s="277">
        <v>116</v>
      </c>
      <c r="U713" s="277">
        <v>122</v>
      </c>
      <c r="V713" s="277">
        <v>128</v>
      </c>
      <c r="W713" s="277">
        <v>145</v>
      </c>
      <c r="X713" s="277">
        <v>389</v>
      </c>
      <c r="Y713" s="277">
        <v>183</v>
      </c>
      <c r="Z713" s="277">
        <v>218</v>
      </c>
      <c r="AA713" s="277">
        <v>252</v>
      </c>
      <c r="AB713" s="277">
        <v>276</v>
      </c>
      <c r="AC713" s="277">
        <v>313</v>
      </c>
      <c r="AD713" s="277">
        <v>360</v>
      </c>
      <c r="AE713" s="277">
        <v>290</v>
      </c>
      <c r="AF713" s="128">
        <v>445</v>
      </c>
      <c r="AG713" s="128">
        <v>553</v>
      </c>
      <c r="AH713" s="128">
        <v>697</v>
      </c>
      <c r="AI713" s="2271">
        <v>840</v>
      </c>
      <c r="AJ713" s="2190">
        <f t="shared" si="357"/>
        <v>948.84311646257618</v>
      </c>
      <c r="AK713" s="128">
        <f t="shared" si="357"/>
        <v>1162.9073736905036</v>
      </c>
      <c r="AL713" s="128">
        <f t="shared" si="357"/>
        <v>1406.2688912115036</v>
      </c>
      <c r="AM713" s="128">
        <f t="shared" si="357"/>
        <v>1638.2082612576257</v>
      </c>
      <c r="AN713" s="128">
        <f t="shared" si="355"/>
        <v>1935.7634929455987</v>
      </c>
      <c r="AO713" s="128">
        <f t="shared" si="356"/>
        <v>2289.1362800289521</v>
      </c>
      <c r="AP713" s="1809">
        <f t="shared" si="349"/>
        <v>2684.7567972905831</v>
      </c>
      <c r="AQ713" s="1809">
        <f t="shared" si="350"/>
        <v>3200.0838330549964</v>
      </c>
      <c r="AR713" s="1809">
        <f t="shared" si="351"/>
        <v>3829.8077315642718</v>
      </c>
      <c r="AS713" s="1809">
        <f t="shared" si="352"/>
        <v>4491.6147716866599</v>
      </c>
      <c r="AT713" s="1809">
        <f t="shared" si="353"/>
        <v>5179.1766583576982</v>
      </c>
      <c r="AU713" s="231"/>
      <c r="AV713" s="231"/>
      <c r="AW713" s="231"/>
      <c r="AX713" s="231"/>
    </row>
    <row r="714" spans="1:50">
      <c r="A714" s="300"/>
      <c r="B714" s="302"/>
      <c r="C714" s="290"/>
      <c r="D714" s="129" t="str">
        <f t="shared" si="346"/>
        <v>Public administration and defence; compulsory social security</v>
      </c>
      <c r="E714" s="3013"/>
      <c r="F714" s="2210"/>
      <c r="G714" s="121"/>
      <c r="H714" s="128"/>
      <c r="I714" s="128"/>
      <c r="J714" s="277">
        <v>54</v>
      </c>
      <c r="K714" s="277">
        <v>58</v>
      </c>
      <c r="L714" s="277">
        <v>62</v>
      </c>
      <c r="M714" s="277">
        <v>63</v>
      </c>
      <c r="N714" s="277">
        <v>71</v>
      </c>
      <c r="O714" s="277">
        <v>77</v>
      </c>
      <c r="P714" s="277">
        <v>84</v>
      </c>
      <c r="Q714" s="277">
        <v>97</v>
      </c>
      <c r="R714" s="277">
        <v>110</v>
      </c>
      <c r="S714" s="277">
        <v>127</v>
      </c>
      <c r="T714" s="277">
        <v>147</v>
      </c>
      <c r="U714" s="277">
        <v>175</v>
      </c>
      <c r="V714" s="277">
        <v>210</v>
      </c>
      <c r="W714" s="277">
        <v>267</v>
      </c>
      <c r="X714" s="277">
        <v>501</v>
      </c>
      <c r="Y714" s="277">
        <v>332</v>
      </c>
      <c r="Z714" s="277">
        <v>359</v>
      </c>
      <c r="AA714" s="277">
        <v>418</v>
      </c>
      <c r="AB714" s="277">
        <v>446</v>
      </c>
      <c r="AC714" s="277">
        <v>475</v>
      </c>
      <c r="AD714" s="277">
        <v>491</v>
      </c>
      <c r="AE714" s="277">
        <v>386</v>
      </c>
      <c r="AF714" s="128">
        <v>519</v>
      </c>
      <c r="AG714" s="128">
        <v>615</v>
      </c>
      <c r="AH714" s="128">
        <v>727</v>
      </c>
      <c r="AI714" s="2271">
        <v>826</v>
      </c>
      <c r="AJ714" s="2190">
        <f t="shared" si="357"/>
        <v>1022.1480879316239</v>
      </c>
      <c r="AK714" s="128">
        <f t="shared" si="357"/>
        <v>1134.732911077469</v>
      </c>
      <c r="AL714" s="128">
        <f t="shared" si="357"/>
        <v>1263.9208646377667</v>
      </c>
      <c r="AM714" s="128">
        <f t="shared" si="357"/>
        <v>1410.7705931041353</v>
      </c>
      <c r="AN714" s="128">
        <f t="shared" si="355"/>
        <v>1570.554589802133</v>
      </c>
      <c r="AO714" s="128">
        <f t="shared" si="356"/>
        <v>1770.8017673089539</v>
      </c>
      <c r="AP714" s="1809">
        <f t="shared" si="349"/>
        <v>2018.7498125726975</v>
      </c>
      <c r="AQ714" s="1809">
        <f t="shared" si="350"/>
        <v>2271.3614375281873</v>
      </c>
      <c r="AR714" s="1809">
        <f t="shared" si="351"/>
        <v>2528.0325415908469</v>
      </c>
      <c r="AS714" s="1809">
        <f t="shared" si="352"/>
        <v>2814.3977758791452</v>
      </c>
      <c r="AT714" s="1809">
        <f t="shared" si="353"/>
        <v>2982.5051142810698</v>
      </c>
      <c r="AU714" s="231"/>
      <c r="AV714" s="231"/>
      <c r="AW714" s="231"/>
      <c r="AX714" s="231"/>
    </row>
    <row r="715" spans="1:50">
      <c r="A715" s="300"/>
      <c r="B715" s="302"/>
      <c r="C715" s="290"/>
      <c r="D715" s="129" t="str">
        <f t="shared" si="346"/>
        <v>Education</v>
      </c>
      <c r="E715" s="3013"/>
      <c r="F715" s="2210"/>
      <c r="G715" s="121"/>
      <c r="H715" s="128"/>
      <c r="I715" s="128"/>
      <c r="J715" s="277">
        <v>8</v>
      </c>
      <c r="K715" s="277">
        <v>13</v>
      </c>
      <c r="L715" s="277">
        <v>13</v>
      </c>
      <c r="M715" s="277">
        <v>17</v>
      </c>
      <c r="N715" s="277">
        <v>18</v>
      </c>
      <c r="O715" s="277">
        <v>22</v>
      </c>
      <c r="P715" s="277">
        <v>31</v>
      </c>
      <c r="Q715" s="277">
        <v>40</v>
      </c>
      <c r="R715" s="277">
        <v>50</v>
      </c>
      <c r="S715" s="277">
        <v>60</v>
      </c>
      <c r="T715" s="277">
        <v>74</v>
      </c>
      <c r="U715" s="277">
        <v>90</v>
      </c>
      <c r="V715" s="277">
        <v>113</v>
      </c>
      <c r="W715" s="277">
        <v>138</v>
      </c>
      <c r="X715" s="277">
        <v>197</v>
      </c>
      <c r="Y715" s="277">
        <v>204</v>
      </c>
      <c r="Z715" s="277">
        <v>208</v>
      </c>
      <c r="AA715" s="277">
        <v>219</v>
      </c>
      <c r="AB715" s="277">
        <v>230</v>
      </c>
      <c r="AC715" s="277">
        <v>236</v>
      </c>
      <c r="AD715" s="277">
        <v>250</v>
      </c>
      <c r="AE715" s="277">
        <v>115</v>
      </c>
      <c r="AF715" s="128">
        <v>308</v>
      </c>
      <c r="AG715" s="128">
        <v>461</v>
      </c>
      <c r="AH715" s="128">
        <v>643</v>
      </c>
      <c r="AI715" s="2271">
        <v>677</v>
      </c>
      <c r="AJ715" s="2190">
        <f t="shared" si="357"/>
        <v>686.01817776957887</v>
      </c>
      <c r="AK715" s="128">
        <f t="shared" si="357"/>
        <v>784.55662019345334</v>
      </c>
      <c r="AL715" s="128">
        <f t="shared" si="357"/>
        <v>873.64531309465622</v>
      </c>
      <c r="AM715" s="128">
        <f t="shared" si="357"/>
        <v>970.1399845921942</v>
      </c>
      <c r="AN715" s="128">
        <f t="shared" si="355"/>
        <v>1079.7678020580356</v>
      </c>
      <c r="AO715" s="128">
        <f t="shared" si="356"/>
        <v>1209.4216160006024</v>
      </c>
      <c r="AP715" s="1809">
        <f t="shared" si="349"/>
        <v>1358.4223590918768</v>
      </c>
      <c r="AQ715" s="1809">
        <f t="shared" si="350"/>
        <v>1525.7799937319962</v>
      </c>
      <c r="AR715" s="1809">
        <f t="shared" si="351"/>
        <v>1713.7560889597785</v>
      </c>
      <c r="AS715" s="1809">
        <f t="shared" si="352"/>
        <v>1924.8908391196235</v>
      </c>
      <c r="AT715" s="1809">
        <f t="shared" si="353"/>
        <v>2041.9242021380962</v>
      </c>
      <c r="AU715" s="231"/>
      <c r="AV715" s="231"/>
      <c r="AW715" s="231"/>
      <c r="AX715" s="231"/>
    </row>
    <row r="716" spans="1:50">
      <c r="A716" s="300"/>
      <c r="B716" s="302"/>
      <c r="C716" s="290"/>
      <c r="D716" s="129" t="str">
        <f t="shared" si="346"/>
        <v>Human health and social work activities</v>
      </c>
      <c r="E716" s="3013"/>
      <c r="F716" s="2210"/>
      <c r="G716" s="121"/>
      <c r="H716" s="131"/>
      <c r="I716" s="131"/>
      <c r="J716" s="280">
        <v>16</v>
      </c>
      <c r="K716" s="280">
        <v>17</v>
      </c>
      <c r="L716" s="280">
        <v>18</v>
      </c>
      <c r="M716" s="280">
        <v>20</v>
      </c>
      <c r="N716" s="280">
        <v>27</v>
      </c>
      <c r="O716" s="280">
        <v>30</v>
      </c>
      <c r="P716" s="280">
        <v>30</v>
      </c>
      <c r="Q716" s="280">
        <v>32</v>
      </c>
      <c r="R716" s="280">
        <v>43</v>
      </c>
      <c r="S716" s="280">
        <v>53</v>
      </c>
      <c r="T716" s="280">
        <v>64</v>
      </c>
      <c r="U716" s="280">
        <v>76</v>
      </c>
      <c r="V716" s="280">
        <v>79</v>
      </c>
      <c r="W716" s="280">
        <v>100</v>
      </c>
      <c r="X716" s="280">
        <v>193</v>
      </c>
      <c r="Y716" s="280">
        <v>130</v>
      </c>
      <c r="Z716" s="280">
        <v>134</v>
      </c>
      <c r="AA716" s="280">
        <v>137</v>
      </c>
      <c r="AB716" s="280">
        <v>160</v>
      </c>
      <c r="AC716" s="280">
        <v>163</v>
      </c>
      <c r="AD716" s="280">
        <v>175</v>
      </c>
      <c r="AE716" s="280">
        <v>170</v>
      </c>
      <c r="AF716" s="131">
        <v>243</v>
      </c>
      <c r="AG716" s="131">
        <v>245</v>
      </c>
      <c r="AH716" s="131">
        <v>218</v>
      </c>
      <c r="AI716" s="2272">
        <v>249</v>
      </c>
      <c r="AJ716" s="2191">
        <f t="shared" si="357"/>
        <v>268.46592359999994</v>
      </c>
      <c r="AK716" s="131">
        <f t="shared" si="357"/>
        <v>307.02789588102655</v>
      </c>
      <c r="AL716" s="131">
        <f t="shared" si="357"/>
        <v>341.89180910822324</v>
      </c>
      <c r="AM716" s="131">
        <f t="shared" si="357"/>
        <v>379.65397335624749</v>
      </c>
      <c r="AN716" s="131">
        <f t="shared" si="355"/>
        <v>422.55565471388752</v>
      </c>
      <c r="AO716" s="131">
        <f t="shared" si="356"/>
        <v>473.29429697774458</v>
      </c>
      <c r="AP716" s="1810">
        <f t="shared" si="349"/>
        <v>531.60415436540279</v>
      </c>
      <c r="AQ716" s="1810">
        <f t="shared" si="350"/>
        <v>597.09778618322048</v>
      </c>
      <c r="AR716" s="1810">
        <f t="shared" si="351"/>
        <v>670.66023344099335</v>
      </c>
      <c r="AS716" s="1810">
        <f t="shared" si="352"/>
        <v>753.28557420092386</v>
      </c>
      <c r="AT716" s="1810">
        <f t="shared" si="353"/>
        <v>799.08533711234008</v>
      </c>
      <c r="AU716" s="231"/>
      <c r="AV716" s="231"/>
      <c r="AW716" s="231"/>
      <c r="AX716" s="231"/>
    </row>
    <row r="717" spans="1:50" ht="16.75" thickBot="1">
      <c r="A717" s="300"/>
      <c r="B717" s="302"/>
      <c r="C717" s="290"/>
      <c r="D717" s="132" t="str">
        <f t="shared" si="346"/>
        <v>Cultural, domestic &amp; other services</v>
      </c>
      <c r="E717" s="3017"/>
      <c r="F717" s="2211"/>
      <c r="G717" s="133"/>
      <c r="H717" s="134"/>
      <c r="I717" s="134"/>
      <c r="J717" s="281">
        <v>5</v>
      </c>
      <c r="K717" s="281">
        <v>28</v>
      </c>
      <c r="L717" s="281">
        <v>29</v>
      </c>
      <c r="M717" s="281">
        <v>36</v>
      </c>
      <c r="N717" s="281">
        <v>49</v>
      </c>
      <c r="O717" s="281">
        <v>61</v>
      </c>
      <c r="P717" s="281">
        <v>88</v>
      </c>
      <c r="Q717" s="281">
        <v>111</v>
      </c>
      <c r="R717" s="281">
        <v>130</v>
      </c>
      <c r="S717" s="281">
        <v>146</v>
      </c>
      <c r="T717" s="281">
        <v>149</v>
      </c>
      <c r="U717" s="281">
        <v>161</v>
      </c>
      <c r="V717" s="281">
        <v>170</v>
      </c>
      <c r="W717" s="281">
        <v>195</v>
      </c>
      <c r="X717" s="281">
        <v>433</v>
      </c>
      <c r="Y717" s="281">
        <v>271</v>
      </c>
      <c r="Z717" s="281">
        <v>330</v>
      </c>
      <c r="AA717" s="281">
        <v>362</v>
      </c>
      <c r="AB717" s="281">
        <v>390</v>
      </c>
      <c r="AC717" s="281">
        <v>421</v>
      </c>
      <c r="AD717" s="281">
        <v>442</v>
      </c>
      <c r="AE717" s="281">
        <v>324</v>
      </c>
      <c r="AF717" s="134">
        <v>457</v>
      </c>
      <c r="AG717" s="134">
        <v>494</v>
      </c>
      <c r="AH717" s="134">
        <v>604</v>
      </c>
      <c r="AI717" s="2273">
        <v>640</v>
      </c>
      <c r="AJ717" s="2192">
        <f t="shared" si="357"/>
        <v>784.08858711254322</v>
      </c>
      <c r="AK717" s="134">
        <f t="shared" si="357"/>
        <v>965.20529781033235</v>
      </c>
      <c r="AL717" s="134">
        <f t="shared" si="357"/>
        <v>1116.5673538981489</v>
      </c>
      <c r="AM717" s="134">
        <f t="shared" si="357"/>
        <v>1259.0063236392023</v>
      </c>
      <c r="AN717" s="134">
        <f t="shared" si="355"/>
        <v>1483.3052502257701</v>
      </c>
      <c r="AO717" s="134">
        <f t="shared" si="356"/>
        <v>1739.1808819432113</v>
      </c>
      <c r="AP717" s="1811">
        <f t="shared" si="349"/>
        <v>2026.5093596947686</v>
      </c>
      <c r="AQ717" s="1811">
        <f t="shared" si="350"/>
        <v>2369.3159318901107</v>
      </c>
      <c r="AR717" s="1811">
        <f t="shared" si="351"/>
        <v>2785.921589576672</v>
      </c>
      <c r="AS717" s="1811">
        <f t="shared" si="352"/>
        <v>3227.6660716022343</v>
      </c>
      <c r="AT717" s="1811">
        <f t="shared" si="353"/>
        <v>3674.8507229410361</v>
      </c>
      <c r="AU717" s="231"/>
      <c r="AV717" s="231"/>
      <c r="AW717" s="231"/>
      <c r="AX717" s="231"/>
    </row>
    <row r="718" spans="1:50" ht="16.75" thickBot="1">
      <c r="A718" s="300"/>
      <c r="B718" s="302"/>
      <c r="C718" s="290"/>
      <c r="D718" s="132"/>
      <c r="E718" s="3017"/>
      <c r="F718" s="2211"/>
      <c r="G718" s="133"/>
      <c r="H718" s="134"/>
      <c r="I718" s="134"/>
      <c r="J718" s="281"/>
      <c r="K718" s="281"/>
      <c r="L718" s="281"/>
      <c r="M718" s="281"/>
      <c r="N718" s="281"/>
      <c r="O718" s="281"/>
      <c r="P718" s="281"/>
      <c r="Q718" s="281"/>
      <c r="R718" s="281"/>
      <c r="S718" s="281"/>
      <c r="T718" s="281"/>
      <c r="U718" s="281"/>
      <c r="V718" s="281"/>
      <c r="W718" s="281"/>
      <c r="X718" s="281"/>
      <c r="Y718" s="281"/>
      <c r="Z718" s="281"/>
      <c r="AA718" s="281"/>
      <c r="AB718" s="281"/>
      <c r="AC718" s="281"/>
      <c r="AD718" s="281"/>
      <c r="AE718" s="281"/>
      <c r="AF718" s="134"/>
      <c r="AG718" s="134"/>
      <c r="AH718" s="134"/>
      <c r="AI718" s="2273"/>
      <c r="AJ718" s="2192"/>
      <c r="AK718" s="134"/>
      <c r="AL718" s="134"/>
      <c r="AM718" s="134"/>
      <c r="AN718" s="134"/>
      <c r="AO718" s="134"/>
      <c r="AP718" s="1811"/>
      <c r="AQ718" s="1811"/>
      <c r="AR718" s="1811"/>
      <c r="AS718" s="1811"/>
      <c r="AT718" s="1811"/>
      <c r="AU718" s="231"/>
      <c r="AV718" s="231"/>
      <c r="AW718" s="231"/>
      <c r="AX718" s="231"/>
    </row>
    <row r="719" spans="1:50" s="1892" customFormat="1" ht="16.75" thickBot="1">
      <c r="A719" s="1884"/>
      <c r="B719" s="1885"/>
      <c r="C719" s="1886"/>
      <c r="D719" s="2098" t="str">
        <f>+D675</f>
        <v>Taxes less subsidies on products</v>
      </c>
      <c r="E719" s="3029"/>
      <c r="F719" s="2949"/>
      <c r="G719" s="1896"/>
      <c r="H719" s="1889"/>
      <c r="I719" s="1889"/>
      <c r="J719" s="1889">
        <v>59</v>
      </c>
      <c r="K719" s="1889">
        <v>62</v>
      </c>
      <c r="L719" s="1889">
        <v>73</v>
      </c>
      <c r="M719" s="1889">
        <v>84</v>
      </c>
      <c r="N719" s="1889">
        <v>103</v>
      </c>
      <c r="O719" s="1889">
        <v>124</v>
      </c>
      <c r="P719" s="1889">
        <v>143</v>
      </c>
      <c r="Q719" s="1889">
        <v>164</v>
      </c>
      <c r="R719" s="1889">
        <v>201</v>
      </c>
      <c r="S719" s="1889">
        <v>273</v>
      </c>
      <c r="T719" s="1889">
        <v>305</v>
      </c>
      <c r="U719" s="1889">
        <v>338</v>
      </c>
      <c r="V719" s="1889">
        <v>418</v>
      </c>
      <c r="W719" s="1889">
        <v>384</v>
      </c>
      <c r="X719" s="1889">
        <v>774</v>
      </c>
      <c r="Y719" s="1889">
        <v>480</v>
      </c>
      <c r="Z719" s="1889">
        <v>543</v>
      </c>
      <c r="AA719" s="1889">
        <v>596</v>
      </c>
      <c r="AB719" s="1889">
        <v>652</v>
      </c>
      <c r="AC719" s="1889">
        <v>692</v>
      </c>
      <c r="AD719" s="1889">
        <v>789</v>
      </c>
      <c r="AE719" s="1889">
        <v>584</v>
      </c>
      <c r="AF719" s="1889">
        <v>633</v>
      </c>
      <c r="AG719" s="1889">
        <v>774</v>
      </c>
      <c r="AH719" s="1889">
        <v>868</v>
      </c>
      <c r="AI719" s="2267">
        <v>985</v>
      </c>
      <c r="AJ719" s="2186">
        <f t="shared" ref="AJ719:AO719" si="359">+AI719*(1+AJ585)*(AJ675/AI675)</f>
        <v>1280.0280991707996</v>
      </c>
      <c r="AK719" s="1889">
        <f t="shared" si="359"/>
        <v>1493.2844887467797</v>
      </c>
      <c r="AL719" s="1889">
        <f t="shared" si="359"/>
        <v>1783.7983517872815</v>
      </c>
      <c r="AM719" s="1889">
        <f t="shared" si="359"/>
        <v>2207.4235853458299</v>
      </c>
      <c r="AN719" s="1889">
        <f t="shared" si="359"/>
        <v>2670.2613616077338</v>
      </c>
      <c r="AO719" s="1889">
        <f t="shared" si="359"/>
        <v>3127.6713465839821</v>
      </c>
      <c r="AP719" s="1890">
        <f>+AO719*(1+AP585)*(AP675/AO675)</f>
        <v>2931.8261879926786</v>
      </c>
      <c r="AQ719" s="1890">
        <f>+AP719*(1+AQ585)*(AQ675/AP675)</f>
        <v>3420.6971802993121</v>
      </c>
      <c r="AR719" s="1890">
        <f>+AQ719*(1+AR585)*(AR675/AQ675)</f>
        <v>3914.2121436617367</v>
      </c>
      <c r="AS719" s="1890">
        <f>+AR719*(1+AS585)*(AS675/AR675)</f>
        <v>5398.0778785396851</v>
      </c>
      <c r="AT719" s="1890">
        <f>+AS719*(1+AT585)*(AT675/AS675)</f>
        <v>8554.1017721896624</v>
      </c>
      <c r="AU719" s="1891"/>
      <c r="AV719" s="1891"/>
      <c r="AW719" s="1891"/>
      <c r="AX719" s="1891"/>
    </row>
    <row r="720" spans="1:50" ht="16.75" thickBot="1">
      <c r="A720" s="306"/>
      <c r="B720" s="307"/>
      <c r="C720" s="308"/>
      <c r="D720" s="308"/>
      <c r="E720" s="3030"/>
      <c r="F720" s="308"/>
      <c r="G720" s="308"/>
      <c r="H720" s="308"/>
      <c r="I720" s="308"/>
      <c r="J720" s="308"/>
      <c r="K720" s="308"/>
      <c r="L720" s="308"/>
      <c r="M720" s="308"/>
      <c r="N720" s="308"/>
      <c r="O720" s="308"/>
      <c r="P720" s="308"/>
      <c r="Q720" s="308"/>
      <c r="R720" s="308"/>
      <c r="S720" s="308"/>
      <c r="T720" s="308"/>
      <c r="U720" s="308"/>
      <c r="V720" s="308"/>
      <c r="W720" s="875"/>
      <c r="X720" s="875"/>
      <c r="Y720" s="875"/>
      <c r="Z720" s="875"/>
      <c r="AA720" s="875"/>
      <c r="AB720" s="875"/>
      <c r="AC720" s="308"/>
      <c r="AD720" s="875"/>
      <c r="AE720" s="875"/>
      <c r="AF720" s="875"/>
      <c r="AG720" s="875"/>
      <c r="AH720" s="875"/>
      <c r="AI720" s="875"/>
      <c r="AJ720" s="875"/>
      <c r="AK720" s="875"/>
      <c r="AL720" s="875"/>
      <c r="AM720" s="875"/>
      <c r="AN720" s="875"/>
      <c r="AO720" s="875"/>
      <c r="AP720" s="875"/>
      <c r="AQ720" s="875"/>
      <c r="AR720" s="875"/>
      <c r="AS720" s="875"/>
      <c r="AT720" s="875"/>
      <c r="AU720" s="231"/>
      <c r="AV720" s="231"/>
      <c r="AW720" s="231"/>
      <c r="AX720" s="231"/>
    </row>
    <row r="721" spans="1:50" ht="16.75" thickTop="1">
      <c r="B721" s="302"/>
      <c r="C721" s="290"/>
      <c r="D721" s="2099" t="s">
        <v>661</v>
      </c>
      <c r="E721" s="3031"/>
      <c r="F721" s="290"/>
      <c r="G721" s="290"/>
      <c r="H721" s="290"/>
      <c r="I721" s="290"/>
      <c r="J721" s="290"/>
      <c r="K721" s="290"/>
      <c r="L721" s="290"/>
      <c r="M721" s="290"/>
      <c r="N721" s="290"/>
      <c r="O721" s="290"/>
      <c r="P721" s="290"/>
      <c r="Q721" s="290"/>
      <c r="R721" s="290"/>
      <c r="S721" s="290"/>
      <c r="T721" s="290"/>
      <c r="U721" s="290"/>
      <c r="V721" s="290"/>
      <c r="W721" s="876"/>
      <c r="X721" s="876"/>
      <c r="Y721" s="876"/>
      <c r="Z721" s="876"/>
      <c r="AA721" s="876"/>
      <c r="AB721" s="876"/>
      <c r="AC721" s="290"/>
      <c r="AD721" s="876"/>
      <c r="AE721" s="876"/>
      <c r="AF721" s="876"/>
      <c r="AG721" s="876"/>
      <c r="AH721" s="876"/>
      <c r="AI721" s="876"/>
      <c r="AJ721" s="876"/>
      <c r="AK721" s="876"/>
      <c r="AL721" s="876"/>
      <c r="AM721" s="231"/>
      <c r="AN721" s="231"/>
      <c r="AO721" s="231"/>
      <c r="AP721" s="231"/>
      <c r="AQ721" s="231"/>
      <c r="AR721" s="231"/>
      <c r="AS721" s="231"/>
      <c r="AT721" s="231"/>
      <c r="AU721" s="231"/>
      <c r="AV721" s="231"/>
      <c r="AW721" s="231"/>
      <c r="AX721" s="231"/>
    </row>
    <row r="722" spans="1:50" s="2639" customFormat="1" ht="16.75" thickBot="1">
      <c r="A722" s="2631"/>
      <c r="B722" s="2632"/>
      <c r="C722" s="2633"/>
      <c r="D722" s="2634" t="s">
        <v>1037</v>
      </c>
      <c r="E722" s="3032">
        <f ca="1">NOW()</f>
        <v>46074.610906250004</v>
      </c>
      <c r="F722" s="2950"/>
      <c r="G722" s="2635"/>
      <c r="H722" s="2635"/>
      <c r="I722" s="2635"/>
      <c r="J722" s="2636">
        <v>1999</v>
      </c>
      <c r="K722" s="2636">
        <v>2000</v>
      </c>
      <c r="L722" s="2636">
        <v>2001</v>
      </c>
      <c r="M722" s="2636">
        <v>2002</v>
      </c>
      <c r="N722" s="2636">
        <v>2003</v>
      </c>
      <c r="O722" s="2636">
        <v>2004</v>
      </c>
      <c r="P722" s="2636">
        <v>2005</v>
      </c>
      <c r="Q722" s="2636">
        <v>2006</v>
      </c>
      <c r="R722" s="2636">
        <v>2007</v>
      </c>
      <c r="S722" s="2636">
        <v>2008</v>
      </c>
      <c r="T722" s="2636">
        <v>2009</v>
      </c>
      <c r="U722" s="2636">
        <v>2010</v>
      </c>
      <c r="V722" s="2636">
        <v>2011</v>
      </c>
      <c r="W722" s="2637">
        <v>2012</v>
      </c>
      <c r="X722" s="2637">
        <v>2013</v>
      </c>
      <c r="Y722" s="2637">
        <v>2014</v>
      </c>
      <c r="Z722" s="2637">
        <v>2015</v>
      </c>
      <c r="AA722" s="2637">
        <v>2016</v>
      </c>
      <c r="AB722" s="2637">
        <v>2017</v>
      </c>
      <c r="AC722" s="2636">
        <v>2018</v>
      </c>
      <c r="AD722" s="2637">
        <v>2019</v>
      </c>
      <c r="AE722" s="2637">
        <v>2020</v>
      </c>
      <c r="AF722" s="2637">
        <v>2021</v>
      </c>
      <c r="AG722" s="2637">
        <v>2022</v>
      </c>
      <c r="AH722" s="2637">
        <v>2023</v>
      </c>
      <c r="AI722" s="3356">
        <v>2024</v>
      </c>
      <c r="AJ722" s="3336">
        <v>2025</v>
      </c>
      <c r="AK722" s="2637">
        <v>2026</v>
      </c>
      <c r="AL722" s="2637">
        <v>2027</v>
      </c>
      <c r="AM722" s="2637">
        <v>2028</v>
      </c>
      <c r="AN722" s="2637">
        <v>2029</v>
      </c>
      <c r="AO722" s="2637">
        <v>2030</v>
      </c>
      <c r="AP722" s="2637">
        <v>2031</v>
      </c>
      <c r="AQ722" s="2637">
        <v>2032</v>
      </c>
      <c r="AR722" s="2637">
        <v>2033</v>
      </c>
      <c r="AS722" s="2637">
        <v>2034</v>
      </c>
      <c r="AT722" s="2637">
        <v>2035</v>
      </c>
      <c r="AU722" s="2638"/>
      <c r="AV722" s="2638"/>
      <c r="AW722" s="2638"/>
      <c r="AX722" s="2638"/>
    </row>
    <row r="723" spans="1:50" ht="16.75" thickTop="1">
      <c r="B723" s="302"/>
      <c r="C723" s="290"/>
      <c r="D723" s="2072"/>
      <c r="E723" s="774"/>
      <c r="F723" s="2951"/>
      <c r="G723" s="331"/>
      <c r="H723" s="331"/>
      <c r="I723" s="331"/>
      <c r="J723" s="331"/>
      <c r="K723" s="331"/>
      <c r="L723" s="331"/>
      <c r="M723" s="331"/>
      <c r="N723" s="331"/>
      <c r="O723" s="331"/>
      <c r="P723" s="331"/>
      <c r="Q723" s="331"/>
      <c r="R723" s="331"/>
      <c r="S723" s="331"/>
      <c r="T723" s="331"/>
      <c r="U723" s="331"/>
      <c r="V723" s="331"/>
      <c r="W723" s="877"/>
      <c r="X723" s="877"/>
      <c r="Y723" s="877"/>
      <c r="Z723" s="878" t="s">
        <v>323</v>
      </c>
      <c r="AA723" s="877"/>
      <c r="AB723" s="877"/>
      <c r="AC723" s="331"/>
      <c r="AD723" s="877"/>
      <c r="AE723" s="877"/>
      <c r="AF723" s="877"/>
      <c r="AG723" s="877"/>
      <c r="AH723" s="877"/>
      <c r="AI723" s="3357" t="s">
        <v>323</v>
      </c>
      <c r="AJ723" s="3337"/>
      <c r="AK723" s="877"/>
      <c r="AL723" s="877"/>
      <c r="AM723" s="877"/>
      <c r="AN723" s="877"/>
      <c r="AO723" s="877"/>
      <c r="AP723" s="877"/>
      <c r="AQ723" s="877"/>
      <c r="AR723" s="877"/>
      <c r="AS723" s="877"/>
      <c r="AT723" s="877"/>
      <c r="AU723" s="231"/>
      <c r="AV723" s="231"/>
      <c r="AW723" s="231"/>
      <c r="AX723" s="231"/>
    </row>
    <row r="724" spans="1:50">
      <c r="B724" s="302"/>
      <c r="C724" s="290"/>
      <c r="D724" s="2072" t="s">
        <v>350</v>
      </c>
      <c r="E724" s="774"/>
      <c r="F724" s="2951"/>
      <c r="G724" s="331"/>
      <c r="H724" s="331"/>
      <c r="I724" s="332">
        <f t="shared" ref="I724:W724" si="360">I819-I173*I$266/1000</f>
        <v>-33.333358236924916</v>
      </c>
      <c r="J724" s="332">
        <f t="shared" si="360"/>
        <v>3.0401002997390307</v>
      </c>
      <c r="K724" s="332">
        <f t="shared" si="360"/>
        <v>1.638100580796845</v>
      </c>
      <c r="L724" s="332">
        <f t="shared" si="360"/>
        <v>2.6548957522972145</v>
      </c>
      <c r="M724" s="332">
        <f t="shared" si="360"/>
        <v>7.3575796194416796</v>
      </c>
      <c r="N724" s="332">
        <f t="shared" si="360"/>
        <v>16.990965165794591</v>
      </c>
      <c r="O724" s="332">
        <f t="shared" si="360"/>
        <v>31.28805852606736</v>
      </c>
      <c r="P724" s="332">
        <f t="shared" si="360"/>
        <v>43.311980771268566</v>
      </c>
      <c r="Q724" s="332">
        <f t="shared" si="360"/>
        <v>15.097946770507122</v>
      </c>
      <c r="R724" s="332">
        <f t="shared" si="360"/>
        <v>87.24209770888865</v>
      </c>
      <c r="S724" s="332">
        <f t="shared" si="360"/>
        <v>4.8487543856574575</v>
      </c>
      <c r="T724" s="332">
        <f t="shared" si="360"/>
        <v>2.3837806089049423</v>
      </c>
      <c r="U724" s="332">
        <f t="shared" si="360"/>
        <v>-26.782658336880672</v>
      </c>
      <c r="V724" s="332">
        <f t="shared" si="360"/>
        <v>-50.252304489409312</v>
      </c>
      <c r="W724" s="879">
        <f t="shared" si="360"/>
        <v>-123.24358916257052</v>
      </c>
      <c r="X724" s="879">
        <f t="shared" ref="X724:AG724" si="361">+X884-X173*X$266/1000</f>
        <v>-157.87605776245391</v>
      </c>
      <c r="Y724" s="879">
        <f t="shared" si="361"/>
        <v>-126.4668703390422</v>
      </c>
      <c r="Z724" s="879">
        <f t="shared" si="361"/>
        <v>-228.63157096976306</v>
      </c>
      <c r="AA724" s="879">
        <f t="shared" si="361"/>
        <v>-136.94463445350561</v>
      </c>
      <c r="AB724" s="879">
        <f t="shared" si="361"/>
        <v>-2.9576080699064278</v>
      </c>
      <c r="AC724" s="879">
        <f t="shared" si="361"/>
        <v>37.588433070050542</v>
      </c>
      <c r="AD724" s="879">
        <f t="shared" si="361"/>
        <v>52.085257365560437</v>
      </c>
      <c r="AE724" s="879">
        <f t="shared" si="361"/>
        <v>23.760188006847784</v>
      </c>
      <c r="AF724" s="879">
        <f t="shared" si="361"/>
        <v>58.129583298966736</v>
      </c>
      <c r="AG724" s="879">
        <f t="shared" si="361"/>
        <v>-5.8202817203177801</v>
      </c>
      <c r="AH724" s="879">
        <f>+AH884-AH173*AH$266/1000</f>
        <v>178.40319086769887</v>
      </c>
      <c r="AI724" s="3358">
        <f>+AI884-AI173*AI$266/1000</f>
        <v>127.07069449804567</v>
      </c>
      <c r="AJ724" s="3338">
        <f t="shared" ref="AJ724:AT724" si="362">AI724</f>
        <v>127.07069449804567</v>
      </c>
      <c r="AK724" s="879">
        <f t="shared" si="362"/>
        <v>127.07069449804567</v>
      </c>
      <c r="AL724" s="879">
        <f t="shared" si="362"/>
        <v>127.07069449804567</v>
      </c>
      <c r="AM724" s="879">
        <f t="shared" si="362"/>
        <v>127.07069449804567</v>
      </c>
      <c r="AN724" s="879">
        <f t="shared" si="362"/>
        <v>127.07069449804567</v>
      </c>
      <c r="AO724" s="879">
        <f t="shared" si="362"/>
        <v>127.07069449804567</v>
      </c>
      <c r="AP724" s="879">
        <f t="shared" si="362"/>
        <v>127.07069449804567</v>
      </c>
      <c r="AQ724" s="879">
        <f t="shared" si="362"/>
        <v>127.07069449804567</v>
      </c>
      <c r="AR724" s="879">
        <f t="shared" si="362"/>
        <v>127.07069449804567</v>
      </c>
      <c r="AS724" s="879">
        <f t="shared" si="362"/>
        <v>127.07069449804567</v>
      </c>
      <c r="AT724" s="879">
        <f t="shared" si="362"/>
        <v>127.07069449804567</v>
      </c>
      <c r="AU724" s="231"/>
      <c r="AV724" s="231"/>
      <c r="AW724" s="231"/>
      <c r="AX724" s="231"/>
    </row>
    <row r="725" spans="1:50">
      <c r="B725" s="302"/>
      <c r="C725" s="290"/>
      <c r="D725" s="811" t="s">
        <v>351</v>
      </c>
      <c r="E725" s="774"/>
      <c r="F725" s="2951"/>
      <c r="G725" s="331"/>
      <c r="H725" s="331"/>
      <c r="I725" s="332">
        <f t="shared" ref="I725:W725" si="363">I822-I188*I$266/1000</f>
        <v>-76.859938520303785</v>
      </c>
      <c r="J725" s="332">
        <f t="shared" si="363"/>
        <v>74.944875154566162</v>
      </c>
      <c r="K725" s="332">
        <f t="shared" si="363"/>
        <v>80.494059548843524</v>
      </c>
      <c r="L725" s="332">
        <f t="shared" si="363"/>
        <v>39.24498643160382</v>
      </c>
      <c r="M725" s="332">
        <f t="shared" si="363"/>
        <v>35.150263896577371</v>
      </c>
      <c r="N725" s="332">
        <f t="shared" si="363"/>
        <v>47.226009924559435</v>
      </c>
      <c r="O725" s="332">
        <f t="shared" si="363"/>
        <v>63.73614046156402</v>
      </c>
      <c r="P725" s="332">
        <f t="shared" si="363"/>
        <v>51.60841454295462</v>
      </c>
      <c r="Q725" s="332">
        <f t="shared" si="363"/>
        <v>3.5234638934431928</v>
      </c>
      <c r="R725" s="332">
        <f t="shared" si="363"/>
        <v>4.6283295613901032</v>
      </c>
      <c r="S725" s="332">
        <f t="shared" si="363"/>
        <v>15.7140279962058</v>
      </c>
      <c r="T725" s="332">
        <f t="shared" si="363"/>
        <v>6.1598909348170992</v>
      </c>
      <c r="U725" s="332">
        <f t="shared" si="363"/>
        <v>-9.5690456611343961</v>
      </c>
      <c r="V725" s="332">
        <f t="shared" si="363"/>
        <v>-189.44511542922032</v>
      </c>
      <c r="W725" s="879">
        <f t="shared" si="363"/>
        <v>-116.45519114486774</v>
      </c>
      <c r="X725" s="879">
        <f t="shared" ref="X725:AG725" si="364">+X885-X188*X$266/1000</f>
        <v>-110.51721179852734</v>
      </c>
      <c r="Y725" s="879">
        <f t="shared" si="364"/>
        <v>-122.86272058958275</v>
      </c>
      <c r="Z725" s="879">
        <f t="shared" si="364"/>
        <v>-147.53954906577064</v>
      </c>
      <c r="AA725" s="879">
        <f t="shared" si="364"/>
        <v>-72.368343132828159</v>
      </c>
      <c r="AB725" s="879">
        <f t="shared" si="364"/>
        <v>-1.9752286273119353</v>
      </c>
      <c r="AC725" s="879">
        <f t="shared" si="364"/>
        <v>-687.20034845033524</v>
      </c>
      <c r="AD725" s="879">
        <f t="shared" si="364"/>
        <v>-826.92954515845713</v>
      </c>
      <c r="AE725" s="879">
        <f t="shared" si="364"/>
        <v>-840.4673028047805</v>
      </c>
      <c r="AF725" s="879">
        <f t="shared" si="364"/>
        <v>1320.185584853853</v>
      </c>
      <c r="AG725" s="879">
        <f t="shared" si="364"/>
        <v>408.18891928998164</v>
      </c>
      <c r="AH725" s="879">
        <f>+AH885-AH188*AH$266/1000</f>
        <v>887.05785334965185</v>
      </c>
      <c r="AI725" s="3358">
        <f>+AI885-AI188*AI$266/1000</f>
        <v>161.27446873374902</v>
      </c>
      <c r="AJ725" s="3339">
        <f t="shared" ref="AJ725:AO725" si="365">+AI725</f>
        <v>161.27446873374902</v>
      </c>
      <c r="AK725" s="2615">
        <f t="shared" si="365"/>
        <v>161.27446873374902</v>
      </c>
      <c r="AL725" s="2615">
        <f t="shared" si="365"/>
        <v>161.27446873374902</v>
      </c>
      <c r="AM725" s="2615">
        <f t="shared" si="365"/>
        <v>161.27446873374902</v>
      </c>
      <c r="AN725" s="2615">
        <f t="shared" si="365"/>
        <v>161.27446873374902</v>
      </c>
      <c r="AO725" s="2615">
        <f t="shared" si="365"/>
        <v>161.27446873374902</v>
      </c>
      <c r="AP725" s="2615">
        <f>+AO725</f>
        <v>161.27446873374902</v>
      </c>
      <c r="AQ725" s="2615">
        <f>+AP725</f>
        <v>161.27446873374902</v>
      </c>
      <c r="AR725" s="2615">
        <f>+AQ725</f>
        <v>161.27446873374902</v>
      </c>
      <c r="AS725" s="2615">
        <f>+AR725</f>
        <v>161.27446873374902</v>
      </c>
      <c r="AT725" s="2615">
        <f>+AS725</f>
        <v>161.27446873374902</v>
      </c>
      <c r="AU725" s="231"/>
      <c r="AV725" s="231"/>
      <c r="AW725" s="231"/>
      <c r="AX725" s="231"/>
    </row>
    <row r="726" spans="1:50">
      <c r="B726" s="302"/>
      <c r="C726" s="290"/>
      <c r="D726" s="2072"/>
      <c r="E726" s="774"/>
      <c r="F726" s="2951"/>
      <c r="G726" s="331"/>
      <c r="H726" s="331"/>
      <c r="I726" s="331"/>
      <c r="J726" s="331"/>
      <c r="K726" s="331"/>
      <c r="L726" s="331"/>
      <c r="M726" s="331"/>
      <c r="N726" s="331"/>
      <c r="O726" s="331"/>
      <c r="P726" s="331"/>
      <c r="Q726" s="331"/>
      <c r="R726" s="331"/>
      <c r="S726" s="331"/>
      <c r="T726" s="331"/>
      <c r="U726" s="331"/>
      <c r="V726" s="331"/>
      <c r="W726" s="877"/>
      <c r="X726" s="877"/>
      <c r="Y726" s="877"/>
      <c r="Z726" s="877"/>
      <c r="AA726" s="877"/>
      <c r="AB726" s="877"/>
      <c r="AC726" s="331"/>
      <c r="AD726" s="877"/>
      <c r="AE726" s="877"/>
      <c r="AF726" s="877"/>
      <c r="AG726" s="877"/>
      <c r="AH726" s="877"/>
      <c r="AI726" s="3359"/>
      <c r="AJ726" s="3337"/>
      <c r="AK726" s="877"/>
      <c r="AL726" s="877"/>
      <c r="AM726" s="877"/>
      <c r="AN726" s="877"/>
      <c r="AO726" s="877"/>
      <c r="AP726" s="877"/>
      <c r="AQ726" s="877"/>
      <c r="AR726" s="877"/>
      <c r="AS726" s="877"/>
      <c r="AT726" s="877"/>
      <c r="AU726" s="231"/>
      <c r="AV726" s="231"/>
      <c r="AW726" s="231"/>
      <c r="AX726" s="231"/>
    </row>
    <row r="727" spans="1:50">
      <c r="B727" s="302"/>
      <c r="C727" s="290"/>
      <c r="D727" s="2072" t="s">
        <v>352</v>
      </c>
      <c r="E727" s="774"/>
      <c r="F727" s="2951"/>
      <c r="G727" s="331"/>
      <c r="H727" s="331"/>
      <c r="I727" s="332"/>
      <c r="J727" s="332">
        <f t="shared" ref="J727:U727" si="366">+J729-J728</f>
        <v>42.032516885250004</v>
      </c>
      <c r="K727" s="332">
        <f t="shared" si="366"/>
        <v>47.390692817625002</v>
      </c>
      <c r="L727" s="332">
        <f t="shared" si="366"/>
        <v>56.338293749999998</v>
      </c>
      <c r="M727" s="332">
        <f t="shared" si="366"/>
        <v>71.486981249999999</v>
      </c>
      <c r="N727" s="332">
        <f t="shared" si="366"/>
        <v>96.862899999999996</v>
      </c>
      <c r="O727" s="332">
        <f t="shared" si="366"/>
        <v>114.22204546500001</v>
      </c>
      <c r="P727" s="332">
        <f t="shared" si="366"/>
        <v>138.2072895485625</v>
      </c>
      <c r="Q727" s="332">
        <f t="shared" si="366"/>
        <v>140.93227533356247</v>
      </c>
      <c r="R727" s="332">
        <f t="shared" si="366"/>
        <v>133.55000000000001</v>
      </c>
      <c r="S727" s="332">
        <f t="shared" si="366"/>
        <v>121.18750000000001</v>
      </c>
      <c r="T727" s="332">
        <f t="shared" si="366"/>
        <v>139.47499999999999</v>
      </c>
      <c r="U727" s="332">
        <f t="shared" si="366"/>
        <v>52.945738838075869</v>
      </c>
      <c r="V727" s="332">
        <f t="shared" ref="V727:AG727" si="367">+V729-V728</f>
        <v>-108.12712788693983</v>
      </c>
      <c r="W727" s="879">
        <f t="shared" si="367"/>
        <v>-65.961357276816784</v>
      </c>
      <c r="X727" s="879">
        <f t="shared" si="367"/>
        <v>-345.0405247356627</v>
      </c>
      <c r="Y727" s="879">
        <f t="shared" si="367"/>
        <v>-77.957980901779706</v>
      </c>
      <c r="Z727" s="879">
        <f t="shared" si="367"/>
        <v>-163.51014232740795</v>
      </c>
      <c r="AA727" s="879">
        <f t="shared" si="367"/>
        <v>-112.20692322812124</v>
      </c>
      <c r="AB727" s="879">
        <f t="shared" si="367"/>
        <v>-109.62332474189304</v>
      </c>
      <c r="AC727" s="879">
        <f t="shared" si="367"/>
        <v>-237.8118423929177</v>
      </c>
      <c r="AD727" s="879">
        <f t="shared" si="367"/>
        <v>-115.26008119940286</v>
      </c>
      <c r="AE727" s="879">
        <f t="shared" si="367"/>
        <v>24.282535896997615</v>
      </c>
      <c r="AF727" s="879">
        <f t="shared" si="367"/>
        <v>107.45375285196587</v>
      </c>
      <c r="AG727" s="846">
        <f t="shared" si="367"/>
        <v>301.06822568610028</v>
      </c>
      <c r="AH727" s="2383">
        <f>+AH729-AH728</f>
        <v>528.67066904925468</v>
      </c>
      <c r="AI727" s="3360">
        <f>+AI729-AI728</f>
        <v>941.61311884511679</v>
      </c>
      <c r="AJ727" s="3340">
        <f t="shared" ref="AJ727:AO727" si="368">+AI727</f>
        <v>941.61311884511679</v>
      </c>
      <c r="AK727" s="3197">
        <f t="shared" si="368"/>
        <v>941.61311884511679</v>
      </c>
      <c r="AL727" s="3197">
        <f t="shared" si="368"/>
        <v>941.61311884511679</v>
      </c>
      <c r="AM727" s="3197">
        <f t="shared" si="368"/>
        <v>941.61311884511679</v>
      </c>
      <c r="AN727" s="2615">
        <f t="shared" si="368"/>
        <v>941.61311884511679</v>
      </c>
      <c r="AO727" s="2615">
        <f t="shared" si="368"/>
        <v>941.61311884511679</v>
      </c>
      <c r="AP727" s="2615">
        <f>+AO727</f>
        <v>941.61311884511679</v>
      </c>
      <c r="AQ727" s="2615">
        <f>+AP727</f>
        <v>941.61311884511679</v>
      </c>
      <c r="AR727" s="2615">
        <f>+AQ727</f>
        <v>941.61311884511679</v>
      </c>
      <c r="AS727" s="2615">
        <f>+AR727</f>
        <v>941.61311884511679</v>
      </c>
      <c r="AT727" s="2615">
        <f>+AS727</f>
        <v>941.61311884511679</v>
      </c>
      <c r="AU727" s="231"/>
      <c r="AV727" s="231"/>
      <c r="AW727" s="231"/>
      <c r="AX727" s="231"/>
    </row>
    <row r="728" spans="1:50">
      <c r="B728" s="302"/>
      <c r="C728" s="290"/>
      <c r="D728" s="2100" t="s">
        <v>353</v>
      </c>
      <c r="E728" s="774"/>
      <c r="F728" s="2952"/>
      <c r="G728" s="408"/>
      <c r="H728" s="408"/>
      <c r="I728" s="429"/>
      <c r="J728" s="429">
        <f t="shared" ref="J728:AN728" si="369">+J234+J239+J240*(1-J735)</f>
        <v>15.567483114750001</v>
      </c>
      <c r="K728" s="429">
        <f t="shared" si="369"/>
        <v>15.559307182375001</v>
      </c>
      <c r="L728" s="429">
        <f t="shared" si="369"/>
        <v>14.461706250000001</v>
      </c>
      <c r="M728" s="429">
        <f t="shared" si="369"/>
        <v>14.013018750000001</v>
      </c>
      <c r="N728" s="429">
        <f t="shared" si="369"/>
        <v>15.0871</v>
      </c>
      <c r="O728" s="429">
        <f t="shared" si="369"/>
        <v>20.277954534999999</v>
      </c>
      <c r="P728" s="429">
        <f t="shared" si="369"/>
        <v>26.7927104514375</v>
      </c>
      <c r="Q728" s="429">
        <f t="shared" si="369"/>
        <v>31.267724666437502</v>
      </c>
      <c r="R728" s="429">
        <f t="shared" si="369"/>
        <v>40</v>
      </c>
      <c r="S728" s="429">
        <f t="shared" si="369"/>
        <v>61.862499999999997</v>
      </c>
      <c r="T728" s="429">
        <f t="shared" si="369"/>
        <v>77.925000000000011</v>
      </c>
      <c r="U728" s="429">
        <f t="shared" si="369"/>
        <v>183.65426116192413</v>
      </c>
      <c r="V728" s="429">
        <f t="shared" si="369"/>
        <v>326.77712788693981</v>
      </c>
      <c r="W728" s="429">
        <f t="shared" si="369"/>
        <v>358.96135727681678</v>
      </c>
      <c r="X728" s="429">
        <f t="shared" si="369"/>
        <v>446.36183687849888</v>
      </c>
      <c r="Y728" s="429">
        <f t="shared" si="369"/>
        <v>560.13790840321326</v>
      </c>
      <c r="Z728" s="429">
        <f t="shared" si="369"/>
        <v>612.66130493122853</v>
      </c>
      <c r="AA728" s="429">
        <f t="shared" si="369"/>
        <v>711.17284565877685</v>
      </c>
      <c r="AB728" s="429">
        <f t="shared" si="369"/>
        <v>800.71346270232539</v>
      </c>
      <c r="AC728" s="429">
        <f t="shared" si="369"/>
        <v>919.09538782119193</v>
      </c>
      <c r="AD728" s="3198">
        <f t="shared" si="369"/>
        <v>1063.3037390805778</v>
      </c>
      <c r="AE728" s="3198">
        <f t="shared" si="369"/>
        <v>1161.8727293505845</v>
      </c>
      <c r="AF728" s="3198">
        <f t="shared" si="369"/>
        <v>1327.5289176116598</v>
      </c>
      <c r="AG728" s="3198">
        <f t="shared" si="369"/>
        <v>1515.9127913825398</v>
      </c>
      <c r="AH728" s="3198">
        <f t="shared" si="369"/>
        <v>1613.8893410609048</v>
      </c>
      <c r="AI728" s="3361">
        <f>+AI234+AI239+AI240*(1-AI735)</f>
        <v>1639.1515109241386</v>
      </c>
      <c r="AJ728" s="3341">
        <f t="shared" si="369"/>
        <v>1661.7458338161814</v>
      </c>
      <c r="AK728" s="2616">
        <f t="shared" si="369"/>
        <v>1820.1968478254498</v>
      </c>
      <c r="AL728" s="2616">
        <f t="shared" si="369"/>
        <v>2128.0220675877126</v>
      </c>
      <c r="AM728" s="2616">
        <f t="shared" si="369"/>
        <v>2448.8834170028758</v>
      </c>
      <c r="AN728" s="2616">
        <f t="shared" si="369"/>
        <v>2850.9851256684724</v>
      </c>
      <c r="AO728" s="2616">
        <f t="shared" ref="AO728:AT728" si="370">+AO234+AO240+AO241*(1-AO735)</f>
        <v>6103.3614427020348</v>
      </c>
      <c r="AP728" s="2616">
        <f t="shared" si="370"/>
        <v>6803.7630944888651</v>
      </c>
      <c r="AQ728" s="2616">
        <f t="shared" si="370"/>
        <v>7924.6783393003625</v>
      </c>
      <c r="AR728" s="2616">
        <f t="shared" si="370"/>
        <v>9456.4960146271278</v>
      </c>
      <c r="AS728" s="2616">
        <f t="shared" si="370"/>
        <v>12317.449420041825</v>
      </c>
      <c r="AT728" s="2616">
        <f t="shared" si="370"/>
        <v>17060.530774008937</v>
      </c>
      <c r="AU728" s="231"/>
      <c r="AV728" s="231"/>
      <c r="AW728" s="231"/>
      <c r="AX728" s="231"/>
    </row>
    <row r="729" spans="1:50">
      <c r="B729" s="302"/>
      <c r="C729" s="290"/>
      <c r="D729" s="2100" t="s">
        <v>1081</v>
      </c>
      <c r="E729" s="774"/>
      <c r="F729" s="2952"/>
      <c r="G729" s="408"/>
      <c r="H729" s="408"/>
      <c r="I729" s="430"/>
      <c r="J729" s="430">
        <f t="shared" ref="J729:U729" si="371">+J876</f>
        <v>57.6</v>
      </c>
      <c r="K729" s="430">
        <f t="shared" si="371"/>
        <v>62.95</v>
      </c>
      <c r="L729" s="430">
        <f t="shared" si="371"/>
        <v>70.8</v>
      </c>
      <c r="M729" s="430">
        <f t="shared" si="371"/>
        <v>85.5</v>
      </c>
      <c r="N729" s="430">
        <f t="shared" si="371"/>
        <v>111.95</v>
      </c>
      <c r="O729" s="430">
        <f t="shared" si="371"/>
        <v>134.5</v>
      </c>
      <c r="P729" s="430">
        <f t="shared" si="371"/>
        <v>165</v>
      </c>
      <c r="Q729" s="430">
        <f t="shared" si="371"/>
        <v>172.2</v>
      </c>
      <c r="R729" s="430">
        <f t="shared" si="371"/>
        <v>173.55</v>
      </c>
      <c r="S729" s="430">
        <f t="shared" si="371"/>
        <v>183.05</v>
      </c>
      <c r="T729" s="430">
        <f t="shared" si="371"/>
        <v>217.4</v>
      </c>
      <c r="U729" s="430">
        <f t="shared" si="371"/>
        <v>236.6</v>
      </c>
      <c r="V729" s="430">
        <f t="shared" ref="V729:AS729" si="372">+V876</f>
        <v>218.64999999999998</v>
      </c>
      <c r="W729" s="880">
        <f t="shared" si="372"/>
        <v>293</v>
      </c>
      <c r="X729" s="880">
        <f t="shared" si="372"/>
        <v>101.32131214283618</v>
      </c>
      <c r="Y729" s="880">
        <f t="shared" si="372"/>
        <v>482.17992750143355</v>
      </c>
      <c r="Z729" s="880">
        <f t="shared" si="372"/>
        <v>449.15116260382058</v>
      </c>
      <c r="AA729" s="880">
        <f t="shared" si="372"/>
        <v>598.96592243065561</v>
      </c>
      <c r="AB729" s="880">
        <f t="shared" si="372"/>
        <v>691.09013796043234</v>
      </c>
      <c r="AC729" s="880">
        <f t="shared" si="372"/>
        <v>681.28354542827424</v>
      </c>
      <c r="AD729" s="880">
        <f t="shared" si="372"/>
        <v>948.04365788117491</v>
      </c>
      <c r="AE729" s="880">
        <f t="shared" si="372"/>
        <v>1186.1552652475821</v>
      </c>
      <c r="AF729" s="880">
        <f t="shared" si="372"/>
        <v>1434.9826704636257</v>
      </c>
      <c r="AG729" s="880">
        <f t="shared" si="372"/>
        <v>1816.9810170686401</v>
      </c>
      <c r="AH729" s="880">
        <f t="shared" si="372"/>
        <v>2142.5600101101595</v>
      </c>
      <c r="AI729" s="3362">
        <f>+AI876</f>
        <v>2580.7646297692554</v>
      </c>
      <c r="AJ729" s="3342">
        <f t="shared" si="372"/>
        <v>2603.3589526612982</v>
      </c>
      <c r="AK729" s="880">
        <f t="shared" si="372"/>
        <v>2761.8099666705666</v>
      </c>
      <c r="AL729" s="880">
        <f t="shared" si="372"/>
        <v>3069.6351864328294</v>
      </c>
      <c r="AM729" s="880">
        <f t="shared" si="372"/>
        <v>3390.4965358479926</v>
      </c>
      <c r="AN729" s="880">
        <f t="shared" si="372"/>
        <v>3792.5982445135892</v>
      </c>
      <c r="AO729" s="880">
        <f t="shared" si="372"/>
        <v>7044.9745615471511</v>
      </c>
      <c r="AP729" s="880">
        <f t="shared" si="372"/>
        <v>7745.3762133339824</v>
      </c>
      <c r="AQ729" s="880">
        <f t="shared" si="372"/>
        <v>8866.2914581454788</v>
      </c>
      <c r="AR729" s="880">
        <f t="shared" si="372"/>
        <v>10398.109133472244</v>
      </c>
      <c r="AS729" s="880">
        <f t="shared" si="372"/>
        <v>13259.062538886941</v>
      </c>
      <c r="AT729" s="880">
        <f>+AT876</f>
        <v>18002.143892854056</v>
      </c>
      <c r="AU729" s="231"/>
      <c r="AV729" s="231"/>
      <c r="AW729" s="231"/>
      <c r="AX729" s="231"/>
    </row>
    <row r="730" spans="1:50">
      <c r="B730" s="302"/>
      <c r="C730" s="290"/>
      <c r="D730" s="2072" t="s">
        <v>265</v>
      </c>
      <c r="E730" s="774"/>
      <c r="F730" s="2951"/>
      <c r="G730" s="331"/>
      <c r="H730" s="331"/>
      <c r="I730" s="331"/>
      <c r="J730" s="331"/>
      <c r="K730" s="331"/>
      <c r="L730" s="331"/>
      <c r="M730" s="331"/>
      <c r="N730" s="331"/>
      <c r="O730" s="331"/>
      <c r="P730" s="331"/>
      <c r="Q730" s="331"/>
      <c r="R730" s="331"/>
      <c r="S730" s="331"/>
      <c r="T730" s="331"/>
      <c r="U730" s="331"/>
      <c r="V730" s="407"/>
      <c r="W730" s="877"/>
      <c r="X730" s="877"/>
      <c r="Y730" s="877"/>
      <c r="Z730" s="877"/>
      <c r="AA730" s="877"/>
      <c r="AB730" s="877"/>
      <c r="AC730" s="331"/>
      <c r="AD730" s="877"/>
      <c r="AE730" s="877"/>
      <c r="AF730" s="877"/>
      <c r="AG730" s="877"/>
      <c r="AH730" s="3199"/>
      <c r="AI730" s="3359"/>
      <c r="AJ730" s="3337"/>
      <c r="AK730" s="877"/>
      <c r="AL730" s="877"/>
      <c r="AM730" s="877"/>
      <c r="AN730" s="877"/>
      <c r="AO730" s="877"/>
      <c r="AP730" s="877"/>
      <c r="AQ730" s="877"/>
      <c r="AR730" s="877"/>
      <c r="AS730" s="877"/>
      <c r="AT730" s="877"/>
      <c r="AU730" s="231"/>
      <c r="AV730" s="231"/>
      <c r="AW730" s="231"/>
      <c r="AX730" s="231"/>
    </row>
    <row r="731" spans="1:50" ht="10.5" customHeight="1">
      <c r="B731" s="302"/>
      <c r="C731" s="290"/>
      <c r="D731" s="2072"/>
      <c r="E731" s="774"/>
      <c r="F731" s="2951"/>
      <c r="G731" s="331"/>
      <c r="H731" s="331"/>
      <c r="I731" s="331"/>
      <c r="J731" s="331"/>
      <c r="K731" s="331"/>
      <c r="L731" s="331"/>
      <c r="M731" s="331"/>
      <c r="N731" s="331"/>
      <c r="O731" s="331"/>
      <c r="P731" s="331"/>
      <c r="Q731" s="331"/>
      <c r="R731" s="331"/>
      <c r="S731" s="331"/>
      <c r="T731" s="331"/>
      <c r="U731" s="331"/>
      <c r="V731" s="331"/>
      <c r="W731" s="877"/>
      <c r="X731" s="877"/>
      <c r="Y731" s="877"/>
      <c r="Z731" s="881"/>
      <c r="AA731" s="877"/>
      <c r="AB731" s="877"/>
      <c r="AC731" s="331"/>
      <c r="AD731" s="877"/>
      <c r="AE731" s="877"/>
      <c r="AF731" s="877"/>
      <c r="AG731" s="877"/>
      <c r="AH731" s="877"/>
      <c r="AI731" s="3359"/>
      <c r="AJ731" s="3337"/>
      <c r="AK731" s="877"/>
      <c r="AL731" s="877"/>
      <c r="AM731" s="877"/>
      <c r="AN731" s="877"/>
      <c r="AO731" s="877"/>
      <c r="AP731" s="877"/>
      <c r="AQ731" s="877"/>
      <c r="AR731" s="877"/>
      <c r="AS731" s="877"/>
      <c r="AT731" s="877"/>
      <c r="AU731" s="231"/>
      <c r="AV731" s="231"/>
      <c r="AW731" s="231"/>
      <c r="AX731" s="231"/>
    </row>
    <row r="732" spans="1:50" ht="16.75" thickBot="1">
      <c r="B732" s="302"/>
      <c r="C732" s="290"/>
      <c r="D732" s="2072" t="s">
        <v>266</v>
      </c>
      <c r="E732" s="774"/>
      <c r="F732" s="2951"/>
      <c r="G732" s="331"/>
      <c r="H732" s="331"/>
      <c r="I732" s="331"/>
      <c r="J732" s="331"/>
      <c r="K732" s="331"/>
      <c r="L732" s="331"/>
      <c r="M732" s="331"/>
      <c r="N732" s="331"/>
      <c r="O732" s="331"/>
      <c r="P732" s="331"/>
      <c r="Q732" s="331"/>
      <c r="R732" s="331"/>
      <c r="S732" s="331"/>
      <c r="T732" s="331"/>
      <c r="U732" s="331"/>
      <c r="V732" s="331"/>
      <c r="W732" s="877"/>
      <c r="X732" s="877"/>
      <c r="Y732" s="877"/>
      <c r="Z732" s="878" t="s">
        <v>330</v>
      </c>
      <c r="AA732" s="877"/>
      <c r="AB732" s="877"/>
      <c r="AC732" s="331"/>
      <c r="AD732" s="877"/>
      <c r="AE732" s="877"/>
      <c r="AF732" s="877"/>
      <c r="AG732" s="877"/>
      <c r="AH732" s="3200"/>
      <c r="AI732" s="3359"/>
      <c r="AJ732" s="3337"/>
      <c r="AK732" s="877"/>
      <c r="AL732" s="877"/>
      <c r="AM732" s="877"/>
      <c r="AN732" s="877"/>
      <c r="AO732" s="877"/>
      <c r="AP732" s="877"/>
      <c r="AQ732" s="877"/>
      <c r="AR732" s="877"/>
      <c r="AS732" s="877"/>
      <c r="AT732" s="877"/>
      <c r="AU732" s="231"/>
      <c r="AV732" s="231"/>
      <c r="AW732" s="231"/>
      <c r="AX732" s="231"/>
    </row>
    <row r="733" spans="1:50" s="1892" customFormat="1">
      <c r="A733" s="1893"/>
      <c r="B733" s="2580" t="s">
        <v>506</v>
      </c>
      <c r="C733" s="1886"/>
      <c r="D733" s="2581" t="s">
        <v>305</v>
      </c>
      <c r="E733" s="2582"/>
      <c r="F733" s="2953"/>
      <c r="G733" s="2583"/>
      <c r="H733" s="2583"/>
      <c r="I733" s="2584"/>
      <c r="J733" s="2584">
        <f t="shared" ref="J733:P733" si="373">+J813-J736</f>
        <v>-46.702449344249999</v>
      </c>
      <c r="K733" s="2584">
        <f t="shared" si="373"/>
        <v>-46.677921547125003</v>
      </c>
      <c r="L733" s="2584">
        <f t="shared" si="373"/>
        <v>-43.385118750000004</v>
      </c>
      <c r="M733" s="2584">
        <f t="shared" si="373"/>
        <v>-42.039056250000002</v>
      </c>
      <c r="N733" s="2584">
        <f t="shared" si="373"/>
        <v>-45.261299999999999</v>
      </c>
      <c r="O733" s="2584">
        <f t="shared" si="373"/>
        <v>-60.833863604999998</v>
      </c>
      <c r="P733" s="2584">
        <f t="shared" si="373"/>
        <v>-80.378131354312501</v>
      </c>
      <c r="Q733" s="2584">
        <f>+Q812-Q736</f>
        <v>181.19682600068751</v>
      </c>
      <c r="R733" s="2584">
        <f t="shared" ref="R733:AH733" si="374">+R812-R736</f>
        <v>253</v>
      </c>
      <c r="S733" s="2584">
        <f t="shared" si="374"/>
        <v>419.41250000000002</v>
      </c>
      <c r="T733" s="2584">
        <f t="shared" si="374"/>
        <v>444.22499999999997</v>
      </c>
      <c r="U733" s="2584">
        <f t="shared" si="374"/>
        <v>514.08385041354995</v>
      </c>
      <c r="V733" s="2584">
        <f t="shared" si="374"/>
        <v>599.78556728426986</v>
      </c>
      <c r="W733" s="2584">
        <f t="shared" si="374"/>
        <v>753.8799074075306</v>
      </c>
      <c r="X733" s="2584">
        <f t="shared" si="374"/>
        <v>797.67600851315774</v>
      </c>
      <c r="Y733" s="2584">
        <f t="shared" si="374"/>
        <v>769.97958648692929</v>
      </c>
      <c r="Z733" s="2584">
        <f t="shared" si="374"/>
        <v>957.49659052812842</v>
      </c>
      <c r="AA733" s="2584">
        <f t="shared" si="374"/>
        <v>1245.6067779025143</v>
      </c>
      <c r="AB733" s="2584">
        <f t="shared" si="374"/>
        <v>1280.018295580307</v>
      </c>
      <c r="AC733" s="2584">
        <f t="shared" si="374"/>
        <v>810.14308915478875</v>
      </c>
      <c r="AD733" s="2584">
        <f t="shared" si="374"/>
        <v>1222.6644920185074</v>
      </c>
      <c r="AE733" s="2584">
        <f t="shared" si="374"/>
        <v>820.25472700974683</v>
      </c>
      <c r="AF733" s="2584">
        <f t="shared" si="374"/>
        <v>2753.0810235350104</v>
      </c>
      <c r="AG733" s="2584">
        <f t="shared" si="374"/>
        <v>4040.2756723099283</v>
      </c>
      <c r="AH733" s="2584">
        <f t="shared" si="374"/>
        <v>5520.9829533283446</v>
      </c>
      <c r="AI733" s="2584">
        <f>+AI812-AI736</f>
        <v>5635.8243422075848</v>
      </c>
      <c r="AJ733" s="3343">
        <f t="shared" ref="AJ733:AT733" si="375">+AJ741*AJ740/100</f>
        <v>6673.1823198352022</v>
      </c>
      <c r="AK733" s="2597">
        <f t="shared" si="375"/>
        <v>8448.7847204025256</v>
      </c>
      <c r="AL733" s="2597">
        <f t="shared" si="375"/>
        <v>9531.1236899938685</v>
      </c>
      <c r="AM733" s="2597">
        <f t="shared" si="375"/>
        <v>9922.2454121151823</v>
      </c>
      <c r="AN733" s="2597">
        <f t="shared" si="375"/>
        <v>10992.885281789464</v>
      </c>
      <c r="AO733" s="2597">
        <f t="shared" si="375"/>
        <v>11601.031272653221</v>
      </c>
      <c r="AP733" s="2597">
        <f t="shared" si="375"/>
        <v>12228.43682392546</v>
      </c>
      <c r="AQ733" s="2597">
        <f t="shared" si="375"/>
        <v>13145.495147355283</v>
      </c>
      <c r="AR733" s="2597">
        <f t="shared" si="375"/>
        <v>14154.141781184437</v>
      </c>
      <c r="AS733" s="2597">
        <f t="shared" si="375"/>
        <v>15297.181571972873</v>
      </c>
      <c r="AT733" s="2597">
        <f t="shared" si="375"/>
        <v>16597.374386796033</v>
      </c>
      <c r="AU733" s="1891"/>
      <c r="AV733" s="1891"/>
      <c r="AW733" s="1891"/>
      <c r="AX733" s="1891"/>
    </row>
    <row r="734" spans="1:50">
      <c r="B734" s="668"/>
      <c r="C734" s="290"/>
      <c r="D734" s="2100" t="s">
        <v>271</v>
      </c>
      <c r="E734" s="774"/>
      <c r="F734" s="2951"/>
      <c r="G734" s="331"/>
      <c r="H734" s="331"/>
      <c r="I734" s="882"/>
      <c r="J734" s="882"/>
      <c r="K734" s="882">
        <f t="shared" ref="K734:V734" si="376">+K733/J733-1</f>
        <v>-5.2519294960740037E-4</v>
      </c>
      <c r="L734" s="882">
        <f t="shared" si="376"/>
        <v>-7.0543046647881691E-2</v>
      </c>
      <c r="M734" s="882">
        <f t="shared" si="376"/>
        <v>-3.1025903323129711E-2</v>
      </c>
      <c r="N734" s="882">
        <f t="shared" si="376"/>
        <v>7.6648812733516092E-2</v>
      </c>
      <c r="O734" s="882">
        <f t="shared" si="376"/>
        <v>0.34405913230508189</v>
      </c>
      <c r="P734" s="882">
        <f t="shared" si="376"/>
        <v>0.32127283376599713</v>
      </c>
      <c r="Q734" s="882">
        <f t="shared" si="376"/>
        <v>-3.2543050323222751</v>
      </c>
      <c r="R734" s="882">
        <f t="shared" si="376"/>
        <v>0.39627169848460841</v>
      </c>
      <c r="S734" s="882">
        <f t="shared" si="376"/>
        <v>0.65775691699604755</v>
      </c>
      <c r="T734" s="882">
        <f t="shared" si="376"/>
        <v>5.9160134712246126E-2</v>
      </c>
      <c r="U734" s="882">
        <f t="shared" si="376"/>
        <v>0.15726006058540154</v>
      </c>
      <c r="V734" s="882">
        <f t="shared" si="376"/>
        <v>0.16670766218736088</v>
      </c>
      <c r="W734" s="882">
        <f>+W733/V733-1</f>
        <v>0.25691571876424857</v>
      </c>
      <c r="X734" s="882">
        <f>+X733/W733-1</f>
        <v>5.809426763505976E-2</v>
      </c>
      <c r="Y734" s="883">
        <f>+Y733/X733-1</f>
        <v>-3.4721392809411E-2</v>
      </c>
      <c r="Z734" s="883">
        <f t="shared" ref="Z734:AG734" si="377">+Z733/Y733-1</f>
        <v>0.24353503304776547</v>
      </c>
      <c r="AA734" s="883">
        <f t="shared" si="377"/>
        <v>0.30089943945959363</v>
      </c>
      <c r="AB734" s="883">
        <f t="shared" si="377"/>
        <v>2.762630895099849E-2</v>
      </c>
      <c r="AC734" s="883">
        <f t="shared" si="377"/>
        <v>-0.36708475812253638</v>
      </c>
      <c r="AD734" s="883">
        <f t="shared" si="377"/>
        <v>0.50919573145294206</v>
      </c>
      <c r="AE734" s="883">
        <f t="shared" si="377"/>
        <v>-0.32912525687600436</v>
      </c>
      <c r="AF734" s="883">
        <f t="shared" si="377"/>
        <v>2.3563732495287364</v>
      </c>
      <c r="AG734" s="883">
        <f t="shared" si="377"/>
        <v>0.46754695476493269</v>
      </c>
      <c r="AH734" s="1696">
        <f t="shared" ref="AH734:AM734" si="378">+AH733/AG733-1</f>
        <v>0.36648669573872383</v>
      </c>
      <c r="AI734" s="3364">
        <f t="shared" si="378"/>
        <v>2.0800895393094487E-2</v>
      </c>
      <c r="AJ734" s="3344">
        <f t="shared" si="378"/>
        <v>0.18406499469095916</v>
      </c>
      <c r="AK734" s="1696">
        <f t="shared" si="378"/>
        <v>0.26608030703575514</v>
      </c>
      <c r="AL734" s="1696">
        <f t="shared" si="378"/>
        <v>0.12810587621881986</v>
      </c>
      <c r="AM734" s="1696">
        <f t="shared" si="378"/>
        <v>4.1036265485876244E-2</v>
      </c>
      <c r="AN734" s="1696">
        <f t="shared" ref="AN734:AT734" si="379">+AN733/AM733-1</f>
        <v>0.10790298215835481</v>
      </c>
      <c r="AO734" s="1696">
        <f t="shared" si="379"/>
        <v>5.5321780885969618E-2</v>
      </c>
      <c r="AP734" s="1696">
        <f t="shared" si="379"/>
        <v>5.4081877423363567E-2</v>
      </c>
      <c r="AQ734" s="1696">
        <f t="shared" si="379"/>
        <v>7.4993912683553932E-2</v>
      </c>
      <c r="AR734" s="1696">
        <f t="shared" si="379"/>
        <v>7.6729451612332911E-2</v>
      </c>
      <c r="AS734" s="1696">
        <f t="shared" si="379"/>
        <v>8.0756559349145274E-2</v>
      </c>
      <c r="AT734" s="1696">
        <f t="shared" si="379"/>
        <v>8.4995579656669706E-2</v>
      </c>
      <c r="AU734" s="231"/>
      <c r="AV734" s="231"/>
      <c r="AW734" s="231"/>
      <c r="AX734" s="231"/>
    </row>
    <row r="735" spans="1:50" s="1662" customFormat="1">
      <c r="A735" s="1658"/>
      <c r="B735" s="1659"/>
      <c r="C735" s="1660"/>
      <c r="D735" s="2101" t="s">
        <v>270</v>
      </c>
      <c r="E735" s="2142">
        <f t="shared" ref="E735:U735" si="380">F735</f>
        <v>0.75</v>
      </c>
      <c r="F735" s="2954">
        <f t="shared" si="380"/>
        <v>0.75</v>
      </c>
      <c r="G735" s="1664">
        <f t="shared" si="380"/>
        <v>0.75</v>
      </c>
      <c r="H735" s="1664">
        <f t="shared" si="380"/>
        <v>0.75</v>
      </c>
      <c r="I735" s="1664">
        <f t="shared" si="380"/>
        <v>0.75</v>
      </c>
      <c r="J735" s="1664">
        <f t="shared" si="380"/>
        <v>0.75</v>
      </c>
      <c r="K735" s="1664">
        <f t="shared" si="380"/>
        <v>0.75</v>
      </c>
      <c r="L735" s="1664">
        <f t="shared" si="380"/>
        <v>0.75</v>
      </c>
      <c r="M735" s="1664">
        <f t="shared" si="380"/>
        <v>0.75</v>
      </c>
      <c r="N735" s="1664">
        <f t="shared" si="380"/>
        <v>0.75</v>
      </c>
      <c r="O735" s="1664">
        <f t="shared" si="380"/>
        <v>0.75</v>
      </c>
      <c r="P735" s="1664">
        <f t="shared" si="380"/>
        <v>0.75</v>
      </c>
      <c r="Q735" s="1664">
        <f t="shared" si="380"/>
        <v>0.75</v>
      </c>
      <c r="R735" s="1664">
        <f t="shared" si="380"/>
        <v>0.75</v>
      </c>
      <c r="S735" s="1664">
        <f t="shared" si="380"/>
        <v>0.75</v>
      </c>
      <c r="T735" s="1664">
        <f t="shared" si="380"/>
        <v>0.75</v>
      </c>
      <c r="U735" s="1664">
        <f t="shared" si="380"/>
        <v>0.75</v>
      </c>
      <c r="V735" s="1664">
        <f>W735</f>
        <v>0.75</v>
      </c>
      <c r="W735" s="1664">
        <v>0.75</v>
      </c>
      <c r="X735" s="1664">
        <f t="shared" ref="X735:AO735" si="381">W735</f>
        <v>0.75</v>
      </c>
      <c r="Y735" s="1664">
        <f t="shared" si="381"/>
        <v>0.75</v>
      </c>
      <c r="Z735" s="1664">
        <f t="shared" si="381"/>
        <v>0.75</v>
      </c>
      <c r="AA735" s="1664">
        <f t="shared" si="381"/>
        <v>0.75</v>
      </c>
      <c r="AB735" s="1664">
        <f t="shared" si="381"/>
        <v>0.75</v>
      </c>
      <c r="AC735" s="1664">
        <f t="shared" si="381"/>
        <v>0.75</v>
      </c>
      <c r="AD735" s="1664">
        <f t="shared" si="381"/>
        <v>0.75</v>
      </c>
      <c r="AE735" s="1664">
        <f t="shared" si="381"/>
        <v>0.75</v>
      </c>
      <c r="AF735" s="1664">
        <f t="shared" si="381"/>
        <v>0.75</v>
      </c>
      <c r="AG735" s="1664">
        <f t="shared" si="381"/>
        <v>0.75</v>
      </c>
      <c r="AH735" s="1664">
        <v>0.75</v>
      </c>
      <c r="AI735" s="3365">
        <v>0.75</v>
      </c>
      <c r="AJ735" s="2954">
        <f t="shared" si="381"/>
        <v>0.75</v>
      </c>
      <c r="AK735" s="1664">
        <f t="shared" si="381"/>
        <v>0.75</v>
      </c>
      <c r="AL735" s="1664">
        <f t="shared" si="381"/>
        <v>0.75</v>
      </c>
      <c r="AM735" s="1664">
        <f t="shared" si="381"/>
        <v>0.75</v>
      </c>
      <c r="AN735" s="1664">
        <f t="shared" si="381"/>
        <v>0.75</v>
      </c>
      <c r="AO735" s="1664">
        <f t="shared" si="381"/>
        <v>0.75</v>
      </c>
      <c r="AP735" s="1657">
        <f>AO735</f>
        <v>0.75</v>
      </c>
      <c r="AQ735" s="1657">
        <f>AP735</f>
        <v>0.75</v>
      </c>
      <c r="AR735" s="1657">
        <f>AQ735</f>
        <v>0.75</v>
      </c>
      <c r="AS735" s="1657">
        <f>AR735</f>
        <v>0.75</v>
      </c>
      <c r="AT735" s="1657">
        <f>AS735</f>
        <v>0.75</v>
      </c>
      <c r="AU735" s="1661"/>
      <c r="AV735" s="1661"/>
      <c r="AW735" s="1661"/>
      <c r="AX735" s="1661"/>
    </row>
    <row r="736" spans="1:50" s="1892" customFormat="1">
      <c r="A736" s="1893"/>
      <c r="B736" s="2580"/>
      <c r="C736" s="1886"/>
      <c r="D736" s="2581" t="s">
        <v>1341</v>
      </c>
      <c r="E736" s="2582"/>
      <c r="F736" s="2953"/>
      <c r="G736" s="2583"/>
      <c r="H736" s="2583"/>
      <c r="I736" s="2584"/>
      <c r="J736" s="2585">
        <f t="shared" ref="J736:T736" si="382">+J240*J735</f>
        <v>46.702449344249999</v>
      </c>
      <c r="K736" s="2585">
        <f t="shared" si="382"/>
        <v>46.677921547125003</v>
      </c>
      <c r="L736" s="2585">
        <f t="shared" si="382"/>
        <v>43.385118750000004</v>
      </c>
      <c r="M736" s="2585">
        <f t="shared" si="382"/>
        <v>42.039056250000002</v>
      </c>
      <c r="N736" s="2585">
        <f t="shared" si="382"/>
        <v>45.261299999999999</v>
      </c>
      <c r="O736" s="2585">
        <f t="shared" si="382"/>
        <v>60.833863604999998</v>
      </c>
      <c r="P736" s="2585">
        <f t="shared" si="382"/>
        <v>80.378131354312501</v>
      </c>
      <c r="Q736" s="2585">
        <f t="shared" si="382"/>
        <v>93.803173999312506</v>
      </c>
      <c r="R736" s="2585">
        <f t="shared" si="382"/>
        <v>120</v>
      </c>
      <c r="S736" s="2585">
        <f t="shared" si="382"/>
        <v>185.58749999999998</v>
      </c>
      <c r="T736" s="2585">
        <f t="shared" si="382"/>
        <v>233.77500000000003</v>
      </c>
      <c r="U736" s="2585">
        <f t="shared" ref="U736:AS736" si="383">+U240*U735</f>
        <v>219.9161495864501</v>
      </c>
      <c r="V736" s="2585">
        <f t="shared" si="383"/>
        <v>263.21443271573014</v>
      </c>
      <c r="W736" s="2585">
        <f t="shared" si="383"/>
        <v>342.1200925924694</v>
      </c>
      <c r="X736" s="2585">
        <f t="shared" si="383"/>
        <v>436.3239914868422</v>
      </c>
      <c r="Y736" s="2585">
        <f t="shared" si="383"/>
        <v>536.02041351307071</v>
      </c>
      <c r="Z736" s="2585">
        <f t="shared" si="383"/>
        <v>533.50340947187158</v>
      </c>
      <c r="AA736" s="2585">
        <f t="shared" si="383"/>
        <v>527.39322209748582</v>
      </c>
      <c r="AB736" s="2585">
        <f t="shared" si="383"/>
        <v>555.98170441969296</v>
      </c>
      <c r="AC736" s="2585">
        <f t="shared" si="383"/>
        <v>678.85691084521125</v>
      </c>
      <c r="AD736" s="2585">
        <f t="shared" si="383"/>
        <v>826.33550798149258</v>
      </c>
      <c r="AE736" s="2585">
        <f t="shared" si="383"/>
        <v>978.74527299025317</v>
      </c>
      <c r="AF736" s="2585">
        <f t="shared" si="383"/>
        <v>1188.9189764649896</v>
      </c>
      <c r="AG736" s="2585">
        <f t="shared" si="383"/>
        <v>1308.7243276900715</v>
      </c>
      <c r="AH736" s="2585">
        <f t="shared" si="383"/>
        <v>1409.0170466716559</v>
      </c>
      <c r="AI736" s="3363">
        <f t="shared" si="383"/>
        <v>1499.1756577924157</v>
      </c>
      <c r="AJ736" s="3345">
        <f>+AJ240*AJ735</f>
        <v>1573.9665820542314</v>
      </c>
      <c r="AK736" s="2585">
        <f t="shared" si="383"/>
        <v>1774.067579041774</v>
      </c>
      <c r="AL736" s="2585">
        <f t="shared" si="383"/>
        <v>2072.5336184123908</v>
      </c>
      <c r="AM736" s="2585">
        <f t="shared" si="383"/>
        <v>2394.8979902054016</v>
      </c>
      <c r="AN736" s="2585">
        <f t="shared" si="383"/>
        <v>2712.301853575279</v>
      </c>
      <c r="AO736" s="2585">
        <f>+AO240*AO735</f>
        <v>2943.7591144471921</v>
      </c>
      <c r="AP736" s="2585">
        <f t="shared" si="383"/>
        <v>3198.4390852111464</v>
      </c>
      <c r="AQ736" s="2585">
        <f t="shared" si="383"/>
        <v>3665.185320095954</v>
      </c>
      <c r="AR736" s="2585">
        <f>+AR240*AR735</f>
        <v>4363.6709257504626</v>
      </c>
      <c r="AS736" s="2585">
        <f t="shared" si="383"/>
        <v>5613.1096438777213</v>
      </c>
      <c r="AT736" s="2585">
        <f>+AT240*AT735</f>
        <v>7577.8347405265049</v>
      </c>
      <c r="AU736" s="1891"/>
      <c r="AV736" s="1891"/>
      <c r="AW736" s="1891"/>
      <c r="AX736" s="1891"/>
    </row>
    <row r="737" spans="1:60">
      <c r="B737" s="668"/>
      <c r="C737" s="290"/>
      <c r="D737" s="2102" t="s">
        <v>338</v>
      </c>
      <c r="E737" s="774"/>
      <c r="F737" s="2951"/>
      <c r="G737" s="331"/>
      <c r="H737" s="331"/>
      <c r="I737" s="884"/>
      <c r="J737" s="884">
        <f t="shared" ref="J737:V737" si="384">+J736/J738*100</f>
        <v>129.72902595625001</v>
      </c>
      <c r="K737" s="884">
        <f t="shared" si="384"/>
        <v>133.36549013464287</v>
      </c>
      <c r="L737" s="884">
        <f t="shared" si="384"/>
        <v>108.462796875</v>
      </c>
      <c r="M737" s="884">
        <f t="shared" si="384"/>
        <v>107.79245192307694</v>
      </c>
      <c r="N737" s="884">
        <f t="shared" si="384"/>
        <v>100.58066666666667</v>
      </c>
      <c r="O737" s="884">
        <f t="shared" si="384"/>
        <v>114.78087472641509</v>
      </c>
      <c r="P737" s="884">
        <f t="shared" si="384"/>
        <v>141.0142655338816</v>
      </c>
      <c r="Q737" s="884">
        <f t="shared" si="384"/>
        <v>349.2889097283491</v>
      </c>
      <c r="R737" s="884">
        <f t="shared" si="384"/>
        <v>417.58713136729222</v>
      </c>
      <c r="S737" s="884">
        <f t="shared" si="384"/>
        <v>524.85985537190072</v>
      </c>
      <c r="T737" s="884">
        <f t="shared" si="384"/>
        <v>606.15995575221245</v>
      </c>
      <c r="U737" s="884">
        <f t="shared" si="384"/>
        <v>564.77103810689164</v>
      </c>
      <c r="V737" s="884">
        <f t="shared" si="384"/>
        <v>627.99364653729822</v>
      </c>
      <c r="W737" s="884">
        <f>+W736/W738*100</f>
        <v>785.69003015989551</v>
      </c>
      <c r="X737" s="884">
        <f>+X736/X738*100</f>
        <v>957.86198779404822</v>
      </c>
      <c r="Y737" s="885">
        <f>+Y736/Y738*100</f>
        <v>1173.0063873050199</v>
      </c>
      <c r="Z737" s="885">
        <f>+Z736/Z738*100</f>
        <v>1205.4815469555572</v>
      </c>
      <c r="AA737" s="885">
        <f>+AA736/AA739*100</f>
        <v>1087.2093777587766</v>
      </c>
      <c r="AB737" s="885">
        <f t="shared" ref="AB737:AG737" si="385">+AB736/AB739*100</f>
        <v>1068.9626452077973</v>
      </c>
      <c r="AC737" s="885">
        <f t="shared" si="385"/>
        <v>1678.6777338697568</v>
      </c>
      <c r="AD737" s="885">
        <f t="shared" si="385"/>
        <v>1947.0706844971432</v>
      </c>
      <c r="AE737" s="885">
        <f t="shared" si="385"/>
        <v>2280.111972819428</v>
      </c>
      <c r="AF737" s="885">
        <f t="shared" si="385"/>
        <v>1503.4908923586943</v>
      </c>
      <c r="AG737" s="885">
        <f t="shared" si="385"/>
        <v>1420.292526124671</v>
      </c>
      <c r="AH737" s="884">
        <f t="shared" ref="AH737:AT737" si="386">+AH736/AH739*100</f>
        <v>1470.6234197079489</v>
      </c>
      <c r="AI737" s="3366">
        <f t="shared" si="386"/>
        <v>1466.1874898494011</v>
      </c>
      <c r="AJ737" s="3346">
        <f t="shared" si="386"/>
        <v>1481.9592115422224</v>
      </c>
      <c r="AK737" s="884">
        <f t="shared" si="386"/>
        <v>1565.8160544419466</v>
      </c>
      <c r="AL737" s="884">
        <f t="shared" si="386"/>
        <v>1765.3838150335087</v>
      </c>
      <c r="AM737" s="884">
        <f t="shared" si="386"/>
        <v>1949.6897605545207</v>
      </c>
      <c r="AN737" s="884">
        <f>+AN736/AN739*100</f>
        <v>2106.2376249298277</v>
      </c>
      <c r="AO737" s="884">
        <f t="shared" si="386"/>
        <v>2186.7687050991476</v>
      </c>
      <c r="AP737" s="884">
        <f t="shared" si="386"/>
        <v>2323.5864826446204</v>
      </c>
      <c r="AQ737" s="884">
        <f t="shared" si="386"/>
        <v>2548.0667053103894</v>
      </c>
      <c r="AR737" s="884">
        <f t="shared" si="386"/>
        <v>2903.8212453979049</v>
      </c>
      <c r="AS737" s="884">
        <f t="shared" si="386"/>
        <v>3567.6429887372137</v>
      </c>
      <c r="AT737" s="884">
        <f t="shared" si="386"/>
        <v>4588.8894669842966</v>
      </c>
      <c r="AU737" s="231"/>
      <c r="AV737" s="231"/>
      <c r="AW737" s="231"/>
      <c r="AX737" s="231"/>
    </row>
    <row r="738" spans="1:60">
      <c r="B738" s="668"/>
      <c r="C738" s="290"/>
      <c r="D738" s="2072" t="s">
        <v>1342</v>
      </c>
      <c r="E738" s="774"/>
      <c r="F738" s="2951"/>
      <c r="G738" s="331"/>
      <c r="H738" s="331"/>
      <c r="I738" s="886"/>
      <c r="J738" s="886">
        <f t="shared" ref="J738:V738" si="387">+J791</f>
        <v>36</v>
      </c>
      <c r="K738" s="886">
        <f t="shared" si="387"/>
        <v>35</v>
      </c>
      <c r="L738" s="886">
        <f t="shared" si="387"/>
        <v>40</v>
      </c>
      <c r="M738" s="886">
        <f t="shared" si="387"/>
        <v>39</v>
      </c>
      <c r="N738" s="886">
        <f t="shared" si="387"/>
        <v>45</v>
      </c>
      <c r="O738" s="886">
        <f t="shared" si="387"/>
        <v>53</v>
      </c>
      <c r="P738" s="886">
        <f t="shared" si="387"/>
        <v>57</v>
      </c>
      <c r="Q738" s="886">
        <f t="shared" si="387"/>
        <v>26.85546875</v>
      </c>
      <c r="R738" s="886">
        <f t="shared" si="387"/>
        <v>28.736517719568567</v>
      </c>
      <c r="S738" s="886">
        <f t="shared" si="387"/>
        <v>35.359438924605499</v>
      </c>
      <c r="T738" s="886">
        <f t="shared" si="387"/>
        <v>38.56655290102389</v>
      </c>
      <c r="U738" s="886">
        <f t="shared" si="387"/>
        <v>38.938992042440319</v>
      </c>
      <c r="V738" s="886">
        <f t="shared" si="387"/>
        <v>41.913550267119959</v>
      </c>
      <c r="W738" s="886">
        <f>+W791</f>
        <v>43.543901470003973</v>
      </c>
      <c r="X738" s="886">
        <f>+X791</f>
        <v>45.551864156515322</v>
      </c>
      <c r="Y738" s="887">
        <f>+Y791</f>
        <v>45.696291112666202</v>
      </c>
      <c r="Z738" s="887">
        <f>+Z791</f>
        <v>44.256455921638462</v>
      </c>
      <c r="AA738" s="887">
        <f t="shared" ref="AA738:AF738" si="388">+AA791</f>
        <v>48.508891928864564</v>
      </c>
      <c r="AB738" s="887">
        <f t="shared" si="388"/>
        <v>52.011331444759215</v>
      </c>
      <c r="AC738" s="887">
        <f t="shared" si="388"/>
        <v>40.439978272677891</v>
      </c>
      <c r="AD738" s="887">
        <f t="shared" si="388"/>
        <v>42.439933719966859</v>
      </c>
      <c r="AE738" s="887">
        <f t="shared" si="388"/>
        <v>42.925316153662614</v>
      </c>
      <c r="AF738" s="887">
        <f t="shared" si="388"/>
        <v>79.07723169508526</v>
      </c>
      <c r="AG738" s="887">
        <f>+AG791</f>
        <v>92.144702842377257</v>
      </c>
      <c r="AH738" s="1697">
        <f t="shared" ref="AH738:AT738" si="389">+AH975</f>
        <v>95.810866860223982</v>
      </c>
      <c r="AI738" s="3367">
        <f t="shared" si="389"/>
        <v>102.24992834623102</v>
      </c>
      <c r="AJ738" s="1697">
        <f t="shared" si="389"/>
        <v>106.16972770411735</v>
      </c>
      <c r="AK738" s="1697">
        <f t="shared" si="389"/>
        <v>113.4164867701038</v>
      </c>
      <c r="AL738" s="1697">
        <f t="shared" si="389"/>
        <v>117.47794111029964</v>
      </c>
      <c r="AM738" s="1697">
        <f t="shared" si="389"/>
        <v>122.87486437880443</v>
      </c>
      <c r="AN738" s="1697">
        <f t="shared" si="389"/>
        <v>128.82828126673488</v>
      </c>
      <c r="AO738" s="1697">
        <f t="shared" si="389"/>
        <v>134.70717136248754</v>
      </c>
      <c r="AP738" s="1697">
        <f t="shared" si="389"/>
        <v>137.95849756304915</v>
      </c>
      <c r="AQ738" s="1697">
        <f t="shared" si="389"/>
        <v>144.20629714417768</v>
      </c>
      <c r="AR738" s="1697">
        <f t="shared" si="389"/>
        <v>150.70221805413783</v>
      </c>
      <c r="AS738" s="1697">
        <f t="shared" si="389"/>
        <v>157.81183857411909</v>
      </c>
      <c r="AT738" s="1697">
        <f t="shared" si="389"/>
        <v>165.64036378076938</v>
      </c>
      <c r="AU738" s="231"/>
      <c r="AV738" s="231"/>
      <c r="AW738" s="231"/>
      <c r="AX738" s="231"/>
    </row>
    <row r="739" spans="1:60" ht="14.25" customHeight="1">
      <c r="B739" s="668"/>
      <c r="C739" s="290"/>
      <c r="D739" s="811" t="s">
        <v>329</v>
      </c>
      <c r="E739" s="774"/>
      <c r="F739" s="2951"/>
      <c r="G739" s="331"/>
      <c r="H739" s="331"/>
      <c r="I739" s="884"/>
      <c r="J739" s="884">
        <f t="shared" ref="J739:V740" si="390">+J$738</f>
        <v>36</v>
      </c>
      <c r="K739" s="884">
        <f t="shared" si="390"/>
        <v>35</v>
      </c>
      <c r="L739" s="884">
        <f t="shared" si="390"/>
        <v>40</v>
      </c>
      <c r="M739" s="884">
        <f t="shared" si="390"/>
        <v>39</v>
      </c>
      <c r="N739" s="884">
        <f t="shared" si="390"/>
        <v>45</v>
      </c>
      <c r="O739" s="884">
        <f t="shared" si="390"/>
        <v>53</v>
      </c>
      <c r="P739" s="884">
        <f t="shared" si="390"/>
        <v>57</v>
      </c>
      <c r="Q739" s="884">
        <f t="shared" si="390"/>
        <v>26.85546875</v>
      </c>
      <c r="R739" s="884">
        <f t="shared" si="390"/>
        <v>28.736517719568567</v>
      </c>
      <c r="S739" s="884">
        <f t="shared" si="390"/>
        <v>35.359438924605499</v>
      </c>
      <c r="T739" s="884">
        <f t="shared" si="390"/>
        <v>38.56655290102389</v>
      </c>
      <c r="U739" s="884">
        <f t="shared" si="390"/>
        <v>38.938992042440319</v>
      </c>
      <c r="V739" s="884">
        <f t="shared" si="390"/>
        <v>41.913550267119959</v>
      </c>
      <c r="W739" s="884">
        <f t="shared" ref="W739:AI740" si="391">+W$738</f>
        <v>43.543901470003973</v>
      </c>
      <c r="X739" s="884">
        <f t="shared" si="391"/>
        <v>45.551864156515322</v>
      </c>
      <c r="Y739" s="885">
        <f t="shared" si="391"/>
        <v>45.696291112666202</v>
      </c>
      <c r="Z739" s="885">
        <f t="shared" si="391"/>
        <v>44.256455921638462</v>
      </c>
      <c r="AA739" s="885">
        <f t="shared" si="391"/>
        <v>48.508891928864564</v>
      </c>
      <c r="AB739" s="884">
        <f t="shared" si="391"/>
        <v>52.011331444759215</v>
      </c>
      <c r="AC739" s="884">
        <f t="shared" si="391"/>
        <v>40.439978272677891</v>
      </c>
      <c r="AD739" s="884">
        <f t="shared" si="391"/>
        <v>42.439933719966859</v>
      </c>
      <c r="AE739" s="884">
        <f t="shared" si="391"/>
        <v>42.925316153662614</v>
      </c>
      <c r="AF739" s="884">
        <f t="shared" si="391"/>
        <v>79.07723169508526</v>
      </c>
      <c r="AG739" s="884">
        <f t="shared" si="391"/>
        <v>92.144702842377257</v>
      </c>
      <c r="AH739" s="884">
        <f t="shared" si="391"/>
        <v>95.810866860223982</v>
      </c>
      <c r="AI739" s="3366">
        <f t="shared" si="391"/>
        <v>102.24992834623102</v>
      </c>
      <c r="AJ739" s="1698">
        <f t="shared" ref="AJ739:AT739" si="392">+AJ$978</f>
        <v>106.20849546974104</v>
      </c>
      <c r="AK739" s="1698">
        <f t="shared" si="392"/>
        <v>113.29987159149724</v>
      </c>
      <c r="AL739" s="1698">
        <f t="shared" si="392"/>
        <v>117.39847169568912</v>
      </c>
      <c r="AM739" s="1698">
        <f t="shared" si="392"/>
        <v>122.83482421963672</v>
      </c>
      <c r="AN739" s="1698">
        <f t="shared" si="392"/>
        <v>128.77473184753515</v>
      </c>
      <c r="AO739" s="1698">
        <f t="shared" si="392"/>
        <v>134.61684848438156</v>
      </c>
      <c r="AP739" s="1698">
        <f t="shared" si="392"/>
        <v>137.65095937254728</v>
      </c>
      <c r="AQ739" s="1698">
        <f t="shared" si="392"/>
        <v>143.84181200819404</v>
      </c>
      <c r="AR739" s="1698">
        <f t="shared" si="392"/>
        <v>150.27340035707044</v>
      </c>
      <c r="AS739" s="1698">
        <f t="shared" si="392"/>
        <v>157.33383809977329</v>
      </c>
      <c r="AT739" s="1698">
        <f t="shared" si="392"/>
        <v>165.13439242864285</v>
      </c>
      <c r="AU739" s="231"/>
      <c r="AV739" s="231"/>
      <c r="AW739" s="231"/>
      <c r="AX739" s="378"/>
      <c r="AY739" s="378"/>
      <c r="AZ739" s="378"/>
      <c r="BA739" s="378"/>
      <c r="BB739" s="378"/>
      <c r="BC739" s="378"/>
      <c r="BD739" s="378"/>
      <c r="BE739" s="378"/>
      <c r="BF739" s="378"/>
      <c r="BG739" s="378"/>
      <c r="BH739" s="378"/>
    </row>
    <row r="740" spans="1:60" ht="14.25" customHeight="1">
      <c r="B740" s="668" t="s">
        <v>504</v>
      </c>
      <c r="C740" s="290"/>
      <c r="D740" s="811" t="s">
        <v>328</v>
      </c>
      <c r="E740" s="774"/>
      <c r="F740" s="2951"/>
      <c r="G740" s="331"/>
      <c r="H740" s="331"/>
      <c r="I740" s="884"/>
      <c r="J740" s="884">
        <f t="shared" si="390"/>
        <v>36</v>
      </c>
      <c r="K740" s="884">
        <f t="shared" si="390"/>
        <v>35</v>
      </c>
      <c r="L740" s="884">
        <f t="shared" si="390"/>
        <v>40</v>
      </c>
      <c r="M740" s="884">
        <f t="shared" si="390"/>
        <v>39</v>
      </c>
      <c r="N740" s="884">
        <f t="shared" si="390"/>
        <v>45</v>
      </c>
      <c r="O740" s="884">
        <f t="shared" si="390"/>
        <v>53</v>
      </c>
      <c r="P740" s="884">
        <f t="shared" si="390"/>
        <v>57</v>
      </c>
      <c r="Q740" s="884">
        <f t="shared" si="390"/>
        <v>26.85546875</v>
      </c>
      <c r="R740" s="884">
        <f t="shared" si="390"/>
        <v>28.736517719568567</v>
      </c>
      <c r="S740" s="884">
        <f t="shared" si="390"/>
        <v>35.359438924605499</v>
      </c>
      <c r="T740" s="884">
        <f t="shared" si="390"/>
        <v>38.56655290102389</v>
      </c>
      <c r="U740" s="884">
        <f t="shared" si="390"/>
        <v>38.938992042440319</v>
      </c>
      <c r="V740" s="884">
        <f t="shared" si="390"/>
        <v>41.913550267119959</v>
      </c>
      <c r="W740" s="884">
        <f t="shared" si="391"/>
        <v>43.543901470003973</v>
      </c>
      <c r="X740" s="884">
        <f t="shared" si="391"/>
        <v>45.551864156515322</v>
      </c>
      <c r="Y740" s="885">
        <f t="shared" si="391"/>
        <v>45.696291112666202</v>
      </c>
      <c r="Z740" s="885">
        <f t="shared" si="391"/>
        <v>44.256455921638462</v>
      </c>
      <c r="AA740" s="885">
        <f t="shared" si="391"/>
        <v>48.508891928864564</v>
      </c>
      <c r="AB740" s="884">
        <f t="shared" si="391"/>
        <v>52.011331444759215</v>
      </c>
      <c r="AC740" s="884">
        <f t="shared" si="391"/>
        <v>40.439978272677891</v>
      </c>
      <c r="AD740" s="884">
        <f t="shared" si="391"/>
        <v>42.439933719966859</v>
      </c>
      <c r="AE740" s="884">
        <f t="shared" si="391"/>
        <v>42.925316153662614</v>
      </c>
      <c r="AF740" s="884">
        <f t="shared" si="391"/>
        <v>79.07723169508526</v>
      </c>
      <c r="AG740" s="884">
        <f t="shared" si="391"/>
        <v>92.144702842377257</v>
      </c>
      <c r="AH740" s="884">
        <f t="shared" si="391"/>
        <v>95.810866860223982</v>
      </c>
      <c r="AI740" s="3366">
        <f t="shared" si="391"/>
        <v>102.24992834623102</v>
      </c>
      <c r="AJ740" s="1698">
        <f t="shared" ref="AJ740:AT740" si="393">+AJ$979</f>
        <v>106.08681946622102</v>
      </c>
      <c r="AK740" s="1698">
        <f t="shared" si="393"/>
        <v>113.66587847000426</v>
      </c>
      <c r="AL740" s="1698">
        <f t="shared" si="393"/>
        <v>117.64789336382815</v>
      </c>
      <c r="AM740" s="1698">
        <f t="shared" si="393"/>
        <v>122.96049374093761</v>
      </c>
      <c r="AN740" s="1698">
        <f t="shared" si="393"/>
        <v>128.94280135616472</v>
      </c>
      <c r="AO740" s="1698">
        <f t="shared" si="393"/>
        <v>134.90033469148045</v>
      </c>
      <c r="AP740" s="1841">
        <f t="shared" si="393"/>
        <v>138.61619472588882</v>
      </c>
      <c r="AQ740" s="1841">
        <f t="shared" si="393"/>
        <v>144.98578030183836</v>
      </c>
      <c r="AR740" s="1841">
        <f t="shared" si="393"/>
        <v>151.61928198781186</v>
      </c>
      <c r="AS740" s="1841">
        <f t="shared" si="393"/>
        <v>158.83408415376618</v>
      </c>
      <c r="AT740" s="1841">
        <f t="shared" si="393"/>
        <v>166.72242751480078</v>
      </c>
      <c r="AU740" s="231"/>
      <c r="AV740" s="231"/>
      <c r="AW740" s="231"/>
      <c r="AX740" s="378"/>
      <c r="AY740" s="378"/>
      <c r="AZ740" s="378"/>
      <c r="BA740" s="378"/>
      <c r="BB740" s="378"/>
      <c r="BC740" s="378"/>
      <c r="BD740" s="378"/>
      <c r="BE740" s="378"/>
      <c r="BF740" s="378"/>
      <c r="BG740" s="378"/>
      <c r="BH740" s="378"/>
    </row>
    <row r="741" spans="1:60" s="1892" customFormat="1" ht="14.25" customHeight="1">
      <c r="A741" s="1893"/>
      <c r="B741" s="2580"/>
      <c r="C741" s="1886"/>
      <c r="D741" s="2586" t="s">
        <v>649</v>
      </c>
      <c r="E741" s="2582"/>
      <c r="F741" s="2953"/>
      <c r="G741" s="2587"/>
      <c r="H741" s="2587"/>
      <c r="I741" s="2538"/>
      <c r="J741" s="2538">
        <f t="shared" ref="J741:U741" si="394">+J733/J$791*100</f>
        <v>-129.72902595625001</v>
      </c>
      <c r="K741" s="2538">
        <f t="shared" si="394"/>
        <v>-133.36549013464287</v>
      </c>
      <c r="L741" s="2538">
        <f t="shared" si="394"/>
        <v>-108.462796875</v>
      </c>
      <c r="M741" s="2538">
        <f t="shared" si="394"/>
        <v>-107.79245192307694</v>
      </c>
      <c r="N741" s="2538">
        <f t="shared" si="394"/>
        <v>-100.58066666666667</v>
      </c>
      <c r="O741" s="2538">
        <f t="shared" si="394"/>
        <v>-114.78087472641509</v>
      </c>
      <c r="P741" s="2538">
        <f t="shared" si="394"/>
        <v>-141.0142655338816</v>
      </c>
      <c r="Q741" s="2538">
        <f t="shared" si="394"/>
        <v>674.71109027165096</v>
      </c>
      <c r="R741" s="2538">
        <f t="shared" si="394"/>
        <v>880.41286863270773</v>
      </c>
      <c r="S741" s="2538">
        <f t="shared" si="394"/>
        <v>1186.1401446280991</v>
      </c>
      <c r="T741" s="2538">
        <f t="shared" si="394"/>
        <v>1151.8400442477875</v>
      </c>
      <c r="U741" s="2538">
        <f t="shared" si="394"/>
        <v>1320.2289618931084</v>
      </c>
      <c r="V741" s="2538">
        <f t="shared" ref="V741:AA741" si="395">+V733/V740*100</f>
        <v>1431.0063534627018</v>
      </c>
      <c r="W741" s="2538">
        <f t="shared" si="395"/>
        <v>1731.3099698401043</v>
      </c>
      <c r="X741" s="2538">
        <f t="shared" si="395"/>
        <v>1751.1380122059518</v>
      </c>
      <c r="Y741" s="2538">
        <f t="shared" si="395"/>
        <v>1684.9936126949799</v>
      </c>
      <c r="Z741" s="2538">
        <f t="shared" si="395"/>
        <v>2163.5184530444435</v>
      </c>
      <c r="AA741" s="2538">
        <f t="shared" si="395"/>
        <v>2567.7906222412239</v>
      </c>
      <c r="AB741" s="2538">
        <f t="shared" ref="AB741:AI741" si="396">+AB733/AB740*100</f>
        <v>2461.0373547922022</v>
      </c>
      <c r="AC741" s="2538">
        <f t="shared" si="396"/>
        <v>2003.3222661302432</v>
      </c>
      <c r="AD741" s="2538">
        <f t="shared" si="396"/>
        <v>2880.9293155028572</v>
      </c>
      <c r="AE741" s="2538">
        <f t="shared" si="396"/>
        <v>1910.8880271805717</v>
      </c>
      <c r="AF741" s="2538">
        <f t="shared" si="396"/>
        <v>3481.5091076413055</v>
      </c>
      <c r="AG741" s="2538">
        <f t="shared" si="396"/>
        <v>4384.707473875329</v>
      </c>
      <c r="AH741" s="2538">
        <f t="shared" si="396"/>
        <v>5762.3765802920507</v>
      </c>
      <c r="AI741" s="3368">
        <f t="shared" si="396"/>
        <v>5511.8125101505984</v>
      </c>
      <c r="AJ741" s="3347">
        <f>AJ743+AJ749+AJ750+AJ751</f>
        <v>6290.3029362285697</v>
      </c>
      <c r="AK741" s="2538">
        <f t="shared" ref="AK741:AT741" si="397">AK743+AK749+AK750+AK751</f>
        <v>7432.9999768858597</v>
      </c>
      <c r="AL741" s="2538">
        <f t="shared" si="397"/>
        <v>8101.3976684807303</v>
      </c>
      <c r="AM741" s="2538">
        <f t="shared" si="397"/>
        <v>8069.4580106518706</v>
      </c>
      <c r="AN741" s="2538">
        <f t="shared" si="397"/>
        <v>8525.3966612878285</v>
      </c>
      <c r="AO741" s="2588">
        <f t="shared" si="397"/>
        <v>8599.7053300015832</v>
      </c>
      <c r="AP741" s="2588">
        <f t="shared" si="397"/>
        <v>8821.7952080613577</v>
      </c>
      <c r="AQ741" s="2588">
        <f t="shared" si="397"/>
        <v>9066.7478700244665</v>
      </c>
      <c r="AR741" s="2588">
        <f t="shared" si="397"/>
        <v>9335.3177746364981</v>
      </c>
      <c r="AS741" s="2588">
        <f t="shared" si="397"/>
        <v>9630.9187372930464</v>
      </c>
      <c r="AT741" s="2588">
        <f t="shared" si="397"/>
        <v>9955.0940051677226</v>
      </c>
      <c r="AU741" s="1891"/>
      <c r="AV741" s="1891"/>
      <c r="AW741" s="1891"/>
      <c r="AX741" s="2589"/>
      <c r="AY741" s="2589"/>
      <c r="AZ741" s="2589"/>
      <c r="BA741" s="2589"/>
      <c r="BB741" s="2589"/>
      <c r="BC741" s="2589"/>
      <c r="BD741" s="2589"/>
      <c r="BE741" s="2589"/>
      <c r="BF741" s="2589"/>
      <c r="BG741" s="2589"/>
      <c r="BH741" s="2589"/>
    </row>
    <row r="742" spans="1:60" ht="14.25" customHeight="1" thickBot="1">
      <c r="B742" s="668"/>
      <c r="C742" s="290"/>
      <c r="D742" s="2100" t="s">
        <v>981</v>
      </c>
      <c r="E742" s="774"/>
      <c r="F742" s="2951"/>
      <c r="G742" s="331"/>
      <c r="H742" s="331"/>
      <c r="I742" s="882"/>
      <c r="J742" s="882"/>
      <c r="K742" s="882">
        <f t="shared" ref="K742:V742" si="398">+K741/J741-1</f>
        <v>2.8031230108975125E-2</v>
      </c>
      <c r="L742" s="882">
        <f t="shared" si="398"/>
        <v>-0.18672516581689658</v>
      </c>
      <c r="M742" s="882">
        <f t="shared" si="398"/>
        <v>-6.1804136647481966E-3</v>
      </c>
      <c r="N742" s="882">
        <f t="shared" si="398"/>
        <v>-6.6904362297619424E-2</v>
      </c>
      <c r="O742" s="882">
        <f t="shared" si="398"/>
        <v>0.14118228214582418</v>
      </c>
      <c r="P742" s="882">
        <f t="shared" si="398"/>
        <v>0.22855193315083944</v>
      </c>
      <c r="Q742" s="882">
        <f t="shared" si="398"/>
        <v>-5.784700950057692</v>
      </c>
      <c r="R742" s="882">
        <f t="shared" si="398"/>
        <v>0.30487386575821285</v>
      </c>
      <c r="S742" s="882">
        <f t="shared" si="398"/>
        <v>0.34725443810264789</v>
      </c>
      <c r="T742" s="882">
        <f t="shared" si="398"/>
        <v>-2.891740957900546E-2</v>
      </c>
      <c r="U742" s="882">
        <f t="shared" si="398"/>
        <v>0.14619123417895041</v>
      </c>
      <c r="V742" s="882">
        <f t="shared" si="398"/>
        <v>8.3907712046209726E-2</v>
      </c>
      <c r="W742" s="882">
        <f>+W741/V741-1</f>
        <v>0.20985484491437623</v>
      </c>
      <c r="X742" s="882">
        <f>+X741/W741-1</f>
        <v>1.1452624146604196E-2</v>
      </c>
      <c r="Y742" s="882">
        <f>+Y741/X741-1</f>
        <v>-3.7772236711170581E-2</v>
      </c>
      <c r="Z742" s="882">
        <f>+Z741/Y741-1</f>
        <v>0.28399207969940643</v>
      </c>
      <c r="AA742" s="882">
        <f t="shared" ref="AA742:AM742" si="399">+AA741/Z741-1</f>
        <v>0.18685866470327528</v>
      </c>
      <c r="AB742" s="882">
        <f t="shared" si="399"/>
        <v>-4.1573976680328029E-2</v>
      </c>
      <c r="AC742" s="882">
        <f t="shared" si="399"/>
        <v>-0.18598461651574816</v>
      </c>
      <c r="AD742" s="882">
        <f t="shared" si="399"/>
        <v>0.43807582245260068</v>
      </c>
      <c r="AE742" s="882">
        <f t="shared" si="399"/>
        <v>-0.33671124213367509</v>
      </c>
      <c r="AF742" s="882">
        <f t="shared" si="399"/>
        <v>0.82193255602637993</v>
      </c>
      <c r="AG742" s="882">
        <f t="shared" si="399"/>
        <v>0.25942725936050559</v>
      </c>
      <c r="AH742" s="882">
        <f t="shared" si="399"/>
        <v>0.31419863574139395</v>
      </c>
      <c r="AI742" s="3369">
        <f t="shared" si="399"/>
        <v>-4.3482765600292184E-2</v>
      </c>
      <c r="AJ742" s="3348">
        <f t="shared" si="399"/>
        <v>0.14124036778179527</v>
      </c>
      <c r="AK742" s="882">
        <f t="shared" si="399"/>
        <v>0.18166009685733964</v>
      </c>
      <c r="AL742" s="882">
        <f t="shared" si="399"/>
        <v>8.9923004664787198E-2</v>
      </c>
      <c r="AM742" s="882">
        <f t="shared" si="399"/>
        <v>-3.9424873504387836E-3</v>
      </c>
      <c r="AN742" s="882">
        <f t="shared" ref="AN742:AT742" si="400">+AN741/AM741-1</f>
        <v>5.6501768772339922E-2</v>
      </c>
      <c r="AO742" s="882">
        <f t="shared" si="400"/>
        <v>8.7161538243933911E-3</v>
      </c>
      <c r="AP742" s="1840">
        <f t="shared" si="400"/>
        <v>2.5825289302061849E-2</v>
      </c>
      <c r="AQ742" s="1840">
        <f t="shared" si="400"/>
        <v>2.7766759053675427E-2</v>
      </c>
      <c r="AR742" s="1840">
        <f t="shared" si="400"/>
        <v>2.962141535885765E-2</v>
      </c>
      <c r="AS742" s="1840">
        <f t="shared" si="400"/>
        <v>3.1664799184413228E-2</v>
      </c>
      <c r="AT742" s="1840">
        <f t="shared" si="400"/>
        <v>3.3659848734824971E-2</v>
      </c>
      <c r="AU742" s="231"/>
      <c r="AV742" s="231"/>
      <c r="AW742" s="231"/>
      <c r="AX742" s="378"/>
      <c r="AY742" s="378"/>
      <c r="AZ742" s="378"/>
      <c r="BA742" s="378"/>
      <c r="BB742" s="378"/>
      <c r="BC742" s="378"/>
      <c r="BD742" s="378"/>
      <c r="BE742" s="378"/>
      <c r="BF742" s="378"/>
      <c r="BG742" s="378"/>
      <c r="BH742" s="378"/>
    </row>
    <row r="743" spans="1:60" s="1892" customFormat="1" ht="16.75" thickBot="1">
      <c r="A743" s="1893"/>
      <c r="B743" s="2580"/>
      <c r="C743" s="1886"/>
      <c r="D743" s="2581" t="s">
        <v>1083</v>
      </c>
      <c r="E743" s="2582"/>
      <c r="F743" s="2953"/>
      <c r="G743" s="2583"/>
      <c r="H743" s="2583"/>
      <c r="I743" s="2590"/>
      <c r="J743" s="2590">
        <f t="shared" ref="J743:AF743" si="401">J741-J749-J750-J752</f>
        <v>-129.72902595625001</v>
      </c>
      <c r="K743" s="2590">
        <f t="shared" si="401"/>
        <v>-133.36549013464287</v>
      </c>
      <c r="L743" s="2590">
        <f t="shared" si="401"/>
        <v>-108.462796875</v>
      </c>
      <c r="M743" s="2590">
        <f t="shared" si="401"/>
        <v>-107.79245192307694</v>
      </c>
      <c r="N743" s="2590">
        <f t="shared" si="401"/>
        <v>-100.58066666666667</v>
      </c>
      <c r="O743" s="2590">
        <f t="shared" si="401"/>
        <v>-114.78087472641509</v>
      </c>
      <c r="P743" s="2590">
        <f t="shared" si="401"/>
        <v>-141.0142655338816</v>
      </c>
      <c r="Q743" s="2590">
        <f t="shared" si="401"/>
        <v>674.71109027165096</v>
      </c>
      <c r="R743" s="2590">
        <f t="shared" si="401"/>
        <v>880.41286863270773</v>
      </c>
      <c r="S743" s="2590">
        <f t="shared" si="401"/>
        <v>1186.1401446280991</v>
      </c>
      <c r="T743" s="2590">
        <f t="shared" si="401"/>
        <v>1151.8400442477875</v>
      </c>
      <c r="U743" s="2590">
        <f t="shared" si="401"/>
        <v>1320.2289618931084</v>
      </c>
      <c r="V743" s="2590">
        <f t="shared" si="401"/>
        <v>1431.0063534627018</v>
      </c>
      <c r="W743" s="2590">
        <f t="shared" si="401"/>
        <v>1731.3099698401043</v>
      </c>
      <c r="X743" s="2590">
        <f t="shared" si="401"/>
        <v>1751.1380122059518</v>
      </c>
      <c r="Y743" s="2590">
        <f t="shared" si="401"/>
        <v>1684.9936126949799</v>
      </c>
      <c r="Z743" s="2590">
        <f t="shared" si="401"/>
        <v>2029.3785989855453</v>
      </c>
      <c r="AA743" s="2590">
        <f t="shared" si="401"/>
        <v>2289.0867895672181</v>
      </c>
      <c r="AB743" s="2590">
        <f t="shared" si="401"/>
        <v>2446.2123547922024</v>
      </c>
      <c r="AC743" s="2590">
        <f t="shared" si="401"/>
        <v>1941.1663121302431</v>
      </c>
      <c r="AD743" s="2590">
        <f t="shared" si="401"/>
        <v>2855.3943155028574</v>
      </c>
      <c r="AE743" s="2590">
        <f t="shared" si="401"/>
        <v>1833.7160271805717</v>
      </c>
      <c r="AF743" s="2590">
        <f t="shared" si="401"/>
        <v>3380.2581076413053</v>
      </c>
      <c r="AG743" s="2590">
        <f>AG741-AG749-AG750-AG752</f>
        <v>4292.0294738753291</v>
      </c>
      <c r="AH743" s="2590">
        <f>AH741-AH749-AH750-AH752</f>
        <v>5515.2695802920507</v>
      </c>
      <c r="AI743" s="3368">
        <f>AI741-AI749-AI750-AI752</f>
        <v>5403.9843817588517</v>
      </c>
      <c r="AJ743" s="3349">
        <f>+AI743*(1+AJ756*AJ748)+(AJ746-AI746)*AJ266/1000/(AJ740/100)+(AJ747)*AJ266/1000/(AJ740/100)</f>
        <v>5877.1775464792363</v>
      </c>
      <c r="AK743" s="2591">
        <f t="shared" ref="AK743:AT743" si="402">+AJ743*(1+AK756*AK748)+(AK746-AJ746)*AK266/1000/(AK740/100)+(AK747)*AK266/1000/(AK740/100)</f>
        <v>6489.712308792301</v>
      </c>
      <c r="AL743" s="2591">
        <f t="shared" si="402"/>
        <v>7139.888767889548</v>
      </c>
      <c r="AM743" s="2591">
        <f t="shared" si="402"/>
        <v>7825.8479194258789</v>
      </c>
      <c r="AN743" s="2591">
        <f t="shared" si="402"/>
        <v>8520.0319032006337</v>
      </c>
      <c r="AO743" s="2591">
        <f t="shared" si="402"/>
        <v>8599.7053300015832</v>
      </c>
      <c r="AP743" s="2592">
        <f t="shared" si="402"/>
        <v>8821.7952080613577</v>
      </c>
      <c r="AQ743" s="2592">
        <f t="shared" si="402"/>
        <v>9066.7478700244665</v>
      </c>
      <c r="AR743" s="2592">
        <f t="shared" si="402"/>
        <v>9335.3177746364981</v>
      </c>
      <c r="AS743" s="2592">
        <f t="shared" si="402"/>
        <v>9630.9187372930464</v>
      </c>
      <c r="AT743" s="2592">
        <f t="shared" si="402"/>
        <v>9955.0940051677226</v>
      </c>
      <c r="AU743" s="1891"/>
      <c r="AV743" s="1891"/>
      <c r="AW743" s="1891"/>
      <c r="AX743" s="2589"/>
      <c r="AY743" s="2589"/>
      <c r="AZ743" s="2589"/>
      <c r="BA743" s="2589"/>
      <c r="BB743" s="2589"/>
      <c r="BC743" s="2589"/>
      <c r="BD743" s="2589"/>
      <c r="BE743" s="2589"/>
      <c r="BF743" s="2589"/>
      <c r="BG743" s="2589"/>
      <c r="BH743" s="2589"/>
    </row>
    <row r="744" spans="1:60" s="1892" customFormat="1">
      <c r="A744" s="1893"/>
      <c r="B744" s="2580"/>
      <c r="C744" s="1886"/>
      <c r="D744" s="2645" t="s">
        <v>1084</v>
      </c>
      <c r="E744" s="2582"/>
      <c r="F744" s="2953"/>
      <c r="G744" s="2587"/>
      <c r="H744" s="2587"/>
      <c r="I744" s="2646"/>
      <c r="J744" s="2646">
        <f t="shared" ref="J744:AM744" si="403">J741-J749</f>
        <v>-129.72902595625001</v>
      </c>
      <c r="K744" s="2646">
        <f t="shared" si="403"/>
        <v>-133.36549013464287</v>
      </c>
      <c r="L744" s="2646">
        <f t="shared" si="403"/>
        <v>-108.462796875</v>
      </c>
      <c r="M744" s="2646">
        <f t="shared" si="403"/>
        <v>-107.79245192307694</v>
      </c>
      <c r="N744" s="2646">
        <f t="shared" si="403"/>
        <v>-100.58066666666667</v>
      </c>
      <c r="O744" s="2646">
        <f t="shared" si="403"/>
        <v>-114.78087472641509</v>
      </c>
      <c r="P744" s="2646">
        <f t="shared" si="403"/>
        <v>-141.0142655338816</v>
      </c>
      <c r="Q744" s="2646">
        <f t="shared" si="403"/>
        <v>674.71109027165096</v>
      </c>
      <c r="R744" s="2646">
        <f t="shared" si="403"/>
        <v>880.41286863270773</v>
      </c>
      <c r="S744" s="2646">
        <f t="shared" si="403"/>
        <v>1186.1401446280991</v>
      </c>
      <c r="T744" s="2646">
        <f t="shared" si="403"/>
        <v>1151.8400442477875</v>
      </c>
      <c r="U744" s="2646">
        <f t="shared" si="403"/>
        <v>1320.2289618931084</v>
      </c>
      <c r="V744" s="2646">
        <f t="shared" si="403"/>
        <v>1431.0063534627018</v>
      </c>
      <c r="W744" s="2646">
        <f t="shared" si="403"/>
        <v>1731.3099698401043</v>
      </c>
      <c r="X744" s="2646">
        <f t="shared" si="403"/>
        <v>1751.1380122059518</v>
      </c>
      <c r="Y744" s="2646">
        <f t="shared" si="403"/>
        <v>1684.9936126949799</v>
      </c>
      <c r="Z744" s="2646">
        <f t="shared" si="403"/>
        <v>2129.301578595464</v>
      </c>
      <c r="AA744" s="2647">
        <f t="shared" si="403"/>
        <v>2396.190622241224</v>
      </c>
      <c r="AB744" s="2647">
        <f t="shared" si="403"/>
        <v>2461.0373547922022</v>
      </c>
      <c r="AC744" s="2647">
        <f t="shared" si="403"/>
        <v>1951.7443121302431</v>
      </c>
      <c r="AD744" s="2647">
        <f t="shared" si="403"/>
        <v>2880.9293155028572</v>
      </c>
      <c r="AE744" s="2647">
        <f t="shared" si="403"/>
        <v>1904.1380271805717</v>
      </c>
      <c r="AF744" s="2647">
        <f t="shared" si="403"/>
        <v>3481.5091076413055</v>
      </c>
      <c r="AG744" s="2647">
        <f t="shared" si="403"/>
        <v>4384.707473875329</v>
      </c>
      <c r="AH744" s="2647">
        <f t="shared" si="403"/>
        <v>5762.3765802920507</v>
      </c>
      <c r="AI744" s="3370">
        <f t="shared" si="403"/>
        <v>5511.8125101505984</v>
      </c>
      <c r="AJ744" s="2647">
        <f t="shared" si="403"/>
        <v>6290.3029362285697</v>
      </c>
      <c r="AK744" s="2647">
        <f t="shared" si="403"/>
        <v>7432.9999768858597</v>
      </c>
      <c r="AL744" s="2647">
        <f t="shared" si="403"/>
        <v>8101.3976684807303</v>
      </c>
      <c r="AM744" s="2647">
        <f t="shared" si="403"/>
        <v>8069.4580106518706</v>
      </c>
      <c r="AN744" s="2647">
        <f t="shared" ref="AN744:AT744" si="404">AN741-AN749</f>
        <v>8525.3966612878285</v>
      </c>
      <c r="AO744" s="2647">
        <f t="shared" si="404"/>
        <v>8599.7053300015832</v>
      </c>
      <c r="AP744" s="2648">
        <f t="shared" si="404"/>
        <v>8821.7952080613577</v>
      </c>
      <c r="AQ744" s="2648">
        <f t="shared" si="404"/>
        <v>9066.7478700244665</v>
      </c>
      <c r="AR744" s="2648">
        <f t="shared" si="404"/>
        <v>9335.3177746364981</v>
      </c>
      <c r="AS744" s="2648">
        <f t="shared" si="404"/>
        <v>9630.9187372930464</v>
      </c>
      <c r="AT744" s="2648">
        <f t="shared" si="404"/>
        <v>9955.0940051677226</v>
      </c>
      <c r="AU744" s="1891"/>
      <c r="AV744" s="1891"/>
      <c r="AW744" s="1891"/>
      <c r="AX744" s="2589"/>
      <c r="AY744" s="2589"/>
      <c r="AZ744" s="2589"/>
      <c r="BA744" s="2589"/>
      <c r="BB744" s="2589"/>
      <c r="BC744" s="2589"/>
      <c r="BD744" s="2589"/>
      <c r="BE744" s="2589"/>
      <c r="BF744" s="2589"/>
      <c r="BG744" s="2589"/>
      <c r="BH744" s="2589"/>
    </row>
    <row r="745" spans="1:60" s="1892" customFormat="1">
      <c r="A745" s="1893"/>
      <c r="B745" s="2580"/>
      <c r="C745" s="1886"/>
      <c r="D745" s="2581" t="s">
        <v>1632</v>
      </c>
      <c r="E745" s="2582"/>
      <c r="F745" s="2953"/>
      <c r="G745" s="2583"/>
      <c r="H745" s="2583"/>
      <c r="I745" s="2590">
        <f t="shared" ref="I745:AT745" si="405">+I207</f>
        <v>7.1</v>
      </c>
      <c r="J745" s="2590">
        <f t="shared" si="405"/>
        <v>1.7</v>
      </c>
      <c r="K745" s="2590">
        <f t="shared" si="405"/>
        <v>8.1</v>
      </c>
      <c r="L745" s="2590">
        <f t="shared" si="405"/>
        <v>3.8</v>
      </c>
      <c r="M745" s="2590">
        <f t="shared" si="405"/>
        <v>2.6</v>
      </c>
      <c r="N745" s="2590">
        <f t="shared" si="405"/>
        <v>4.7</v>
      </c>
      <c r="O745" s="2590">
        <f t="shared" si="405"/>
        <v>7.7</v>
      </c>
      <c r="P745" s="2590">
        <f t="shared" si="405"/>
        <v>10.5</v>
      </c>
      <c r="Q745" s="2590">
        <f t="shared" si="405"/>
        <v>30.643966474959157</v>
      </c>
      <c r="R745" s="2590">
        <f t="shared" si="405"/>
        <v>82.283165861670568</v>
      </c>
      <c r="S745" s="2590">
        <f t="shared" si="405"/>
        <v>103.35</v>
      </c>
      <c r="T745" s="2590">
        <f t="shared" si="405"/>
        <v>118.67174479049295</v>
      </c>
      <c r="U745" s="2590">
        <f t="shared" si="405"/>
        <v>216.19255681733989</v>
      </c>
      <c r="V745" s="2590">
        <f t="shared" si="405"/>
        <v>112.12753581255713</v>
      </c>
      <c r="W745" s="2590">
        <f t="shared" si="405"/>
        <v>269.6155503502896</v>
      </c>
      <c r="X745" s="2590">
        <f t="shared" si="405"/>
        <v>233.76379360783355</v>
      </c>
      <c r="Y745" s="2590">
        <f t="shared" si="405"/>
        <v>313.9971627876057</v>
      </c>
      <c r="Z745" s="2590">
        <f t="shared" si="405"/>
        <v>162.08382099716067</v>
      </c>
      <c r="AA745" s="2593">
        <f t="shared" si="405"/>
        <v>279.74732759838088</v>
      </c>
      <c r="AB745" s="2593">
        <f t="shared" si="405"/>
        <v>274.02599065994434</v>
      </c>
      <c r="AC745" s="2593">
        <f t="shared" si="405"/>
        <v>366.19231550623959</v>
      </c>
      <c r="AD745" s="2593">
        <f t="shared" si="405"/>
        <v>263.17233523000004</v>
      </c>
      <c r="AE745" s="2593">
        <f t="shared" si="405"/>
        <v>152.61412094999997</v>
      </c>
      <c r="AF745" s="2593">
        <f t="shared" si="405"/>
        <v>233.38493876999999</v>
      </c>
      <c r="AG745" s="2593">
        <f t="shared" si="405"/>
        <v>305.10186338</v>
      </c>
      <c r="AH745" s="2593">
        <f t="shared" si="405"/>
        <v>457.64400300682775</v>
      </c>
      <c r="AI745" s="3371">
        <f t="shared" si="405"/>
        <v>572.92930001410286</v>
      </c>
      <c r="AJ745" s="3350">
        <f t="shared" si="405"/>
        <v>633.23170154990112</v>
      </c>
      <c r="AK745" s="2593">
        <f t="shared" si="405"/>
        <v>935.25216006317805</v>
      </c>
      <c r="AL745" s="2593">
        <f t="shared" si="405"/>
        <v>1064.0968429791571</v>
      </c>
      <c r="AM745" s="2593">
        <f t="shared" si="405"/>
        <v>801.21641452076597</v>
      </c>
      <c r="AN745" s="2593">
        <f t="shared" si="405"/>
        <v>716.88687043282778</v>
      </c>
      <c r="AO745" s="2593">
        <f t="shared" si="405"/>
        <v>672.1185153659851</v>
      </c>
      <c r="AP745" s="2594">
        <f t="shared" si="405"/>
        <v>726.50162218034257</v>
      </c>
      <c r="AQ745" s="2594">
        <f t="shared" si="405"/>
        <v>786.25546950522835</v>
      </c>
      <c r="AR745" s="2594">
        <f t="shared" si="405"/>
        <v>851.99274254530019</v>
      </c>
      <c r="AS745" s="2594">
        <f t="shared" si="405"/>
        <v>924.31312935995629</v>
      </c>
      <c r="AT745" s="2594">
        <f t="shared" si="405"/>
        <v>1003.6424361672523</v>
      </c>
      <c r="AU745" s="1891"/>
      <c r="AV745" s="1891"/>
      <c r="AW745" s="1891"/>
      <c r="AX745" s="1891"/>
    </row>
    <row r="746" spans="1:60">
      <c r="B746" s="668"/>
      <c r="C746" s="290"/>
      <c r="D746" s="811" t="s">
        <v>1082</v>
      </c>
      <c r="E746" s="774"/>
      <c r="F746" s="2951"/>
      <c r="G746" s="679"/>
      <c r="H746" s="679"/>
      <c r="I746" s="842">
        <f t="shared" ref="I746:V746" si="406">I745</f>
        <v>7.1</v>
      </c>
      <c r="J746" s="842">
        <f t="shared" si="406"/>
        <v>1.7</v>
      </c>
      <c r="K746" s="842">
        <f t="shared" si="406"/>
        <v>8.1</v>
      </c>
      <c r="L746" s="842">
        <f t="shared" si="406"/>
        <v>3.8</v>
      </c>
      <c r="M746" s="842">
        <f t="shared" si="406"/>
        <v>2.6</v>
      </c>
      <c r="N746" s="842">
        <f t="shared" si="406"/>
        <v>4.7</v>
      </c>
      <c r="O746" s="842">
        <f t="shared" si="406"/>
        <v>7.7</v>
      </c>
      <c r="P746" s="842">
        <f t="shared" si="406"/>
        <v>10.5</v>
      </c>
      <c r="Q746" s="842">
        <f t="shared" si="406"/>
        <v>30.643966474959157</v>
      </c>
      <c r="R746" s="842">
        <f t="shared" si="406"/>
        <v>82.283165861670568</v>
      </c>
      <c r="S746" s="842">
        <f t="shared" si="406"/>
        <v>103.35</v>
      </c>
      <c r="T746" s="842">
        <f t="shared" si="406"/>
        <v>118.67174479049295</v>
      </c>
      <c r="U746" s="842">
        <f t="shared" si="406"/>
        <v>216.19255681733989</v>
      </c>
      <c r="V746" s="842">
        <f t="shared" si="406"/>
        <v>112.12753581255713</v>
      </c>
      <c r="W746" s="1332">
        <f t="shared" ref="W746:AF746" si="407">+W745-W753</f>
        <v>269.6155503502896</v>
      </c>
      <c r="X746" s="1332">
        <f t="shared" si="407"/>
        <v>233.76379360783355</v>
      </c>
      <c r="Y746" s="1332">
        <f t="shared" si="407"/>
        <v>313.9971627876057</v>
      </c>
      <c r="Z746" s="1332">
        <f t="shared" si="407"/>
        <v>162.08382099716067</v>
      </c>
      <c r="AA746" s="1332">
        <f>+AA745-AA753</f>
        <v>279.74732759838088</v>
      </c>
      <c r="AB746" s="1332">
        <f t="shared" si="407"/>
        <v>274.02599065994434</v>
      </c>
      <c r="AC746" s="1332">
        <f t="shared" si="407"/>
        <v>366.19231550623959</v>
      </c>
      <c r="AD746" s="1332">
        <f t="shared" si="407"/>
        <v>252.46233523000004</v>
      </c>
      <c r="AE746" s="1332">
        <f t="shared" si="407"/>
        <v>92.770120949999978</v>
      </c>
      <c r="AF746" s="1332">
        <f t="shared" si="407"/>
        <v>134.13393876999999</v>
      </c>
      <c r="AG746" s="1332">
        <f>+AG745-AG753</f>
        <v>215.75286338000001</v>
      </c>
      <c r="AH746" s="1332">
        <f>AH745-AH753</f>
        <v>378.27000300682778</v>
      </c>
      <c r="AI746" s="3372">
        <f>AI745-AI753</f>
        <v>465.57730001410289</v>
      </c>
      <c r="AJ746" s="3351">
        <f>AJ745-AJ753</f>
        <v>459.22809117828075</v>
      </c>
      <c r="AK746" s="1332">
        <f t="shared" ref="AK746:AT746" si="408">AK745-AK753</f>
        <v>549.76636245282396</v>
      </c>
      <c r="AL746" s="1332">
        <f t="shared" si="408"/>
        <v>624.76528086014855</v>
      </c>
      <c r="AM746" s="1332">
        <f t="shared" si="408"/>
        <v>688.4544913339065</v>
      </c>
      <c r="AN746" s="1332">
        <f t="shared" si="408"/>
        <v>714.34976372067001</v>
      </c>
      <c r="AO746" s="1332">
        <f t="shared" si="408"/>
        <v>672.1185153659851</v>
      </c>
      <c r="AP746" s="1332">
        <f t="shared" si="408"/>
        <v>726.50162218034257</v>
      </c>
      <c r="AQ746" s="1332">
        <f t="shared" si="408"/>
        <v>786.25546950522835</v>
      </c>
      <c r="AR746" s="1332">
        <f t="shared" si="408"/>
        <v>851.99274254530019</v>
      </c>
      <c r="AS746" s="1332">
        <f t="shared" si="408"/>
        <v>924.31312935995629</v>
      </c>
      <c r="AT746" s="1332">
        <f t="shared" si="408"/>
        <v>1003.6424361672523</v>
      </c>
      <c r="AU746" s="231"/>
      <c r="AV746" s="231"/>
      <c r="AW746" s="231"/>
      <c r="AX746" s="231"/>
    </row>
    <row r="747" spans="1:60" s="1892" customFormat="1">
      <c r="A747" s="1893"/>
      <c r="B747" s="2580"/>
      <c r="C747" s="1886"/>
      <c r="D747" s="2581" t="s">
        <v>1633</v>
      </c>
      <c r="E747" s="2582"/>
      <c r="F747" s="2953"/>
      <c r="G747" s="2587"/>
      <c r="H747" s="2587"/>
      <c r="I747" s="2538"/>
      <c r="J747" s="2538"/>
      <c r="K747" s="2538"/>
      <c r="L747" s="2538"/>
      <c r="M747" s="2538"/>
      <c r="N747" s="2538"/>
      <c r="O747" s="2538"/>
      <c r="P747" s="2538"/>
      <c r="Q747" s="2538"/>
      <c r="R747" s="2538"/>
      <c r="S747" s="2538"/>
      <c r="T747" s="2538"/>
      <c r="U747" s="2538"/>
      <c r="V747" s="2538"/>
      <c r="W747" s="2538">
        <f t="shared" ref="W747:AF747" si="409">W208</f>
        <v>8.1695174709504386</v>
      </c>
      <c r="X747" s="2538">
        <f t="shared" si="409"/>
        <v>-163.85561576593315</v>
      </c>
      <c r="Y747" s="2538">
        <f t="shared" si="409"/>
        <v>109.60353050633853</v>
      </c>
      <c r="Z747" s="2538">
        <f t="shared" si="409"/>
        <v>462.96818317039748</v>
      </c>
      <c r="AA747" s="2538">
        <f t="shared" si="409"/>
        <v>680.98808923168781</v>
      </c>
      <c r="AB747" s="2538">
        <f t="shared" si="409"/>
        <v>103.01036500626594</v>
      </c>
      <c r="AC747" s="2538">
        <f t="shared" si="409"/>
        <v>-45.44980685767915</v>
      </c>
      <c r="AD747" s="2538">
        <f t="shared" si="409"/>
        <v>186.58769070824252</v>
      </c>
      <c r="AE747" s="2538">
        <f t="shared" si="409"/>
        <v>165.55391035315284</v>
      </c>
      <c r="AF747" s="2538">
        <f t="shared" si="409"/>
        <v>-233.81829397400926</v>
      </c>
      <c r="AG747" s="2595">
        <f>AG209</f>
        <v>18.091017983229701</v>
      </c>
      <c r="AH747" s="2595">
        <f>IF(AH209&gt;0, AH209, 0)</f>
        <v>13.338598494315875</v>
      </c>
      <c r="AI747" s="3371">
        <f>IF(AI209&gt;0, AI209, 0)</f>
        <v>13.338598494315875</v>
      </c>
      <c r="AJ747" s="3350">
        <f t="shared" ref="AJ747:AT747" si="410">IF(AJ208&gt;0, AJ208, 0)</f>
        <v>77.308502447081423</v>
      </c>
      <c r="AK747" s="2595">
        <f t="shared" si="410"/>
        <v>63.269300829587337</v>
      </c>
      <c r="AL747" s="2595">
        <f t="shared" si="410"/>
        <v>74.18250212269777</v>
      </c>
      <c r="AM747" s="2595">
        <f t="shared" si="410"/>
        <v>79.931974187163291</v>
      </c>
      <c r="AN747" s="2595">
        <f t="shared" si="410"/>
        <v>89.477452329579251</v>
      </c>
      <c r="AO747" s="2595">
        <f t="shared" si="410"/>
        <v>106.32901506232918</v>
      </c>
      <c r="AP747" s="2596">
        <f t="shared" si="410"/>
        <v>124.73324984912574</v>
      </c>
      <c r="AQ747" s="2596">
        <f t="shared" si="410"/>
        <v>141.83950969443731</v>
      </c>
      <c r="AR747" s="2596">
        <f t="shared" si="410"/>
        <v>159.76792573082423</v>
      </c>
      <c r="AS747" s="2596">
        <f t="shared" si="410"/>
        <v>181.3504022374575</v>
      </c>
      <c r="AT747" s="2596">
        <f t="shared" si="410"/>
        <v>205.55659031085702</v>
      </c>
      <c r="AU747" s="1891"/>
      <c r="AV747" s="1891"/>
      <c r="AW747" s="1891"/>
      <c r="AX747" s="1891"/>
    </row>
    <row r="748" spans="1:60" s="1662" customFormat="1">
      <c r="A748" s="1658"/>
      <c r="B748" s="1659" t="s">
        <v>577</v>
      </c>
      <c r="C748" s="1660" t="s">
        <v>30</v>
      </c>
      <c r="D748" s="2103" t="s">
        <v>1424</v>
      </c>
      <c r="E748" s="768" t="s">
        <v>411</v>
      </c>
      <c r="F748" s="2955"/>
      <c r="G748" s="1904"/>
      <c r="H748" s="1904"/>
      <c r="I748" s="1840"/>
      <c r="J748" s="1840"/>
      <c r="K748" s="1840"/>
      <c r="L748" s="1840"/>
      <c r="M748" s="1840"/>
      <c r="N748" s="1840"/>
      <c r="O748" s="1840"/>
      <c r="P748" s="1840"/>
      <c r="Q748" s="1840"/>
      <c r="R748" s="1840"/>
      <c r="S748" s="1840"/>
      <c r="T748" s="1840"/>
      <c r="U748" s="1840"/>
      <c r="V748" s="1840"/>
      <c r="W748" s="1840"/>
      <c r="X748" s="1840"/>
      <c r="Y748" s="1840"/>
      <c r="Z748" s="1840"/>
      <c r="AA748" s="1840"/>
      <c r="AB748" s="1840"/>
      <c r="AC748" s="1840"/>
      <c r="AD748" s="1840"/>
      <c r="AE748" s="1840"/>
      <c r="AF748" s="1840"/>
      <c r="AG748" s="1840"/>
      <c r="AH748" s="1840"/>
      <c r="AI748" s="3373"/>
      <c r="AJ748" s="1839">
        <v>7.0000000000000007E-2</v>
      </c>
      <c r="AK748" s="1839">
        <v>7.0000000000000007E-2</v>
      </c>
      <c r="AL748" s="1839">
        <v>7.0000000000000007E-2</v>
      </c>
      <c r="AM748" s="1839">
        <v>7.0000000000000007E-2</v>
      </c>
      <c r="AN748" s="1839">
        <v>7.0000000000000007E-2</v>
      </c>
      <c r="AO748" s="1839">
        <v>0</v>
      </c>
      <c r="AP748" s="1839">
        <v>0</v>
      </c>
      <c r="AQ748" s="1839">
        <v>0</v>
      </c>
      <c r="AR748" s="1839">
        <f>+AQ748</f>
        <v>0</v>
      </c>
      <c r="AS748" s="1839">
        <f>+AR748</f>
        <v>0</v>
      </c>
      <c r="AT748" s="1839">
        <f>+AS748</f>
        <v>0</v>
      </c>
      <c r="AU748" s="1661"/>
      <c r="AV748" s="1661"/>
      <c r="AW748" s="1661"/>
      <c r="AX748" s="1661"/>
    </row>
    <row r="749" spans="1:60" s="1662" customFormat="1">
      <c r="A749" s="1658"/>
      <c r="B749" s="1659" t="s">
        <v>594</v>
      </c>
      <c r="C749" s="1660"/>
      <c r="D749" s="2104" t="s">
        <v>1641</v>
      </c>
      <c r="E749" s="768"/>
      <c r="F749" s="2955"/>
      <c r="G749" s="1901"/>
      <c r="H749" s="1901"/>
      <c r="I749" s="1902"/>
      <c r="J749" s="1902"/>
      <c r="K749" s="1902"/>
      <c r="L749" s="1902"/>
      <c r="M749" s="1902"/>
      <c r="N749" s="1902"/>
      <c r="O749" s="1902"/>
      <c r="P749" s="1902"/>
      <c r="Q749" s="1902"/>
      <c r="R749" s="1902"/>
      <c r="S749" s="1902"/>
      <c r="T749" s="1902"/>
      <c r="U749" s="1902"/>
      <c r="V749" s="1902"/>
      <c r="W749" s="1902"/>
      <c r="X749" s="1902"/>
      <c r="Y749" s="1902"/>
      <c r="Z749" s="1903">
        <v>34.216874448979596</v>
      </c>
      <c r="AA749" s="1903">
        <v>171.6</v>
      </c>
      <c r="AB749" s="1903">
        <v>0</v>
      </c>
      <c r="AC749" s="1903">
        <v>51.577953999999998</v>
      </c>
      <c r="AD749" s="1903">
        <v>0</v>
      </c>
      <c r="AE749" s="1903">
        <v>6.75</v>
      </c>
      <c r="AF749" s="1903">
        <v>0</v>
      </c>
      <c r="AG749" s="1903">
        <v>0</v>
      </c>
      <c r="AH749" s="1903">
        <v>0</v>
      </c>
      <c r="AI749" s="3374">
        <v>0</v>
      </c>
      <c r="AJ749" s="3352">
        <v>0</v>
      </c>
      <c r="AK749" s="1903">
        <v>0</v>
      </c>
      <c r="AL749" s="1903">
        <v>0</v>
      </c>
      <c r="AM749" s="1903">
        <v>0</v>
      </c>
      <c r="AN749" s="1903">
        <v>0</v>
      </c>
      <c r="AO749" s="1903">
        <v>0</v>
      </c>
      <c r="AP749" s="1903">
        <v>0</v>
      </c>
      <c r="AQ749" s="1903">
        <v>0</v>
      </c>
      <c r="AR749" s="1903">
        <v>0</v>
      </c>
      <c r="AS749" s="1903">
        <v>0</v>
      </c>
      <c r="AT749" s="1903">
        <v>0</v>
      </c>
      <c r="AU749" s="1661"/>
      <c r="AV749" s="1661"/>
      <c r="AW749" s="1661"/>
      <c r="AX749" s="1661"/>
    </row>
    <row r="750" spans="1:60">
      <c r="B750" s="668" t="s">
        <v>594</v>
      </c>
      <c r="C750" s="290"/>
      <c r="D750" s="2100" t="s">
        <v>1640</v>
      </c>
      <c r="E750" s="678"/>
      <c r="F750" s="2951"/>
      <c r="G750" s="679"/>
      <c r="H750" s="679"/>
      <c r="I750" s="888"/>
      <c r="J750" s="888"/>
      <c r="K750" s="888"/>
      <c r="L750" s="888"/>
      <c r="M750" s="888"/>
      <c r="N750" s="888"/>
      <c r="O750" s="888"/>
      <c r="P750" s="888"/>
      <c r="Q750" s="888"/>
      <c r="R750" s="888"/>
      <c r="S750" s="888"/>
      <c r="T750" s="888"/>
      <c r="U750" s="888"/>
      <c r="V750" s="888"/>
      <c r="W750" s="888"/>
      <c r="X750" s="888"/>
      <c r="Y750" s="888"/>
      <c r="Z750" s="889">
        <v>99.922979609918656</v>
      </c>
      <c r="AA750" s="889">
        <v>103.06466824101615</v>
      </c>
      <c r="AB750" s="889"/>
      <c r="AC750" s="680"/>
      <c r="AD750" s="889"/>
      <c r="AE750" s="889"/>
      <c r="AF750" s="889"/>
      <c r="AG750" s="889"/>
      <c r="AH750" s="889"/>
      <c r="AI750" s="3362"/>
      <c r="AJ750" s="3342"/>
      <c r="AK750" s="889"/>
      <c r="AL750" s="889"/>
      <c r="AM750" s="889"/>
      <c r="AN750" s="889"/>
      <c r="AO750" s="889"/>
      <c r="AP750" s="889"/>
      <c r="AQ750" s="889"/>
      <c r="AR750" s="889"/>
      <c r="AS750" s="889"/>
      <c r="AT750" s="889"/>
      <c r="AU750" s="231"/>
      <c r="AV750" s="231"/>
      <c r="AW750" s="231"/>
      <c r="AX750" s="231"/>
    </row>
    <row r="751" spans="1:60">
      <c r="B751" s="668"/>
      <c r="C751" s="290"/>
      <c r="D751" s="2100" t="s">
        <v>1085</v>
      </c>
      <c r="E751" s="678"/>
      <c r="F751" s="2951"/>
      <c r="G751" s="679"/>
      <c r="H751" s="679"/>
      <c r="I751" s="888"/>
      <c r="J751" s="888"/>
      <c r="K751" s="888"/>
      <c r="L751" s="888"/>
      <c r="M751" s="888"/>
      <c r="N751" s="888"/>
      <c r="O751" s="888"/>
      <c r="P751" s="888"/>
      <c r="Q751" s="888"/>
      <c r="R751" s="888"/>
      <c r="S751" s="888"/>
      <c r="T751" s="888"/>
      <c r="U751" s="888"/>
      <c r="V751" s="888"/>
      <c r="W751" s="888"/>
      <c r="X751" s="888"/>
      <c r="Y751" s="888"/>
      <c r="Z751" s="889"/>
      <c r="AA751" s="680">
        <f t="shared" ref="AA751:AT751" si="411">+AA752*AA266/1000/AA740*100</f>
        <v>6.5549618220800046</v>
      </c>
      <c r="AB751" s="680">
        <f t="shared" si="411"/>
        <v>23.69851550501572</v>
      </c>
      <c r="AC751" s="680">
        <f t="shared" si="411"/>
        <v>22.523569216996755</v>
      </c>
      <c r="AD751" s="889">
        <f t="shared" si="411"/>
        <v>54.222899103965574</v>
      </c>
      <c r="AE751" s="889">
        <f t="shared" si="411"/>
        <v>155.06543182800428</v>
      </c>
      <c r="AF751" s="889">
        <f>+AF752*AF266/1000/AF740*100</f>
        <v>126.80669321330669</v>
      </c>
      <c r="AG751" s="889">
        <f t="shared" si="411"/>
        <v>103.8970426117401</v>
      </c>
      <c r="AH751" s="889">
        <f t="shared" si="411"/>
        <v>301.26972954480942</v>
      </c>
      <c r="AI751" s="3362">
        <f>+AI752*AI266/1000/AI740*100</f>
        <v>139.48862016457767</v>
      </c>
      <c r="AJ751" s="3342">
        <f t="shared" si="411"/>
        <v>413.12538974933324</v>
      </c>
      <c r="AK751" s="889">
        <f t="shared" si="411"/>
        <v>943.2876680935592</v>
      </c>
      <c r="AL751" s="889">
        <f t="shared" si="411"/>
        <v>961.50890059118194</v>
      </c>
      <c r="AM751" s="889">
        <f t="shared" si="411"/>
        <v>243.61009122599211</v>
      </c>
      <c r="AN751" s="889">
        <f t="shared" si="411"/>
        <v>5.3647580871953036</v>
      </c>
      <c r="AO751" s="889">
        <f t="shared" si="411"/>
        <v>0</v>
      </c>
      <c r="AP751" s="889">
        <f t="shared" si="411"/>
        <v>0</v>
      </c>
      <c r="AQ751" s="889">
        <f t="shared" si="411"/>
        <v>0</v>
      </c>
      <c r="AR751" s="889">
        <f t="shared" si="411"/>
        <v>0</v>
      </c>
      <c r="AS751" s="889">
        <f t="shared" si="411"/>
        <v>0</v>
      </c>
      <c r="AT751" s="889">
        <f t="shared" si="411"/>
        <v>0</v>
      </c>
      <c r="AU751" s="231"/>
      <c r="AV751" s="231"/>
      <c r="AW751" s="231"/>
      <c r="AX751" s="231"/>
    </row>
    <row r="752" spans="1:60">
      <c r="B752" s="668" t="s">
        <v>594</v>
      </c>
      <c r="C752" s="290"/>
      <c r="D752" s="2100" t="s">
        <v>1558</v>
      </c>
      <c r="E752" s="678"/>
      <c r="F752" s="2951"/>
      <c r="G752" s="679"/>
      <c r="H752" s="679"/>
      <c r="I752" s="888"/>
      <c r="J752" s="888"/>
      <c r="K752" s="888"/>
      <c r="L752" s="888"/>
      <c r="M752" s="888"/>
      <c r="N752" s="888"/>
      <c r="O752" s="888"/>
      <c r="P752" s="888"/>
      <c r="Q752" s="888"/>
      <c r="R752" s="888"/>
      <c r="S752" s="888"/>
      <c r="T752" s="888"/>
      <c r="U752" s="888"/>
      <c r="V752" s="888"/>
      <c r="W752" s="888"/>
      <c r="X752" s="888"/>
      <c r="Y752" s="888"/>
      <c r="Z752" s="889"/>
      <c r="AA752" s="1087">
        <v>4.0391644329896907</v>
      </c>
      <c r="AB752" s="1207">
        <f>AB753+AB755</f>
        <v>14.824999999999999</v>
      </c>
      <c r="AC752" s="1207">
        <f>AC753+AC755</f>
        <v>10.577999999999999</v>
      </c>
      <c r="AD752" s="1207">
        <f>AD753+AD754</f>
        <v>25.534999999999997</v>
      </c>
      <c r="AE752" s="1207">
        <f>AE753+AE754</f>
        <v>70.421999999999997</v>
      </c>
      <c r="AF752" s="1207">
        <f>AF753+AF754</f>
        <v>101.251</v>
      </c>
      <c r="AG752" s="1207">
        <f>AG753+AG754</f>
        <v>92.677999999999997</v>
      </c>
      <c r="AH752" s="1207">
        <f>AH753+AH754</f>
        <v>247.107</v>
      </c>
      <c r="AI752" s="3375">
        <f>AI753+AI755</f>
        <v>107.82812839174696</v>
      </c>
      <c r="AJ752" s="3353">
        <f>AJ753+AJ755+AJ754</f>
        <v>308.85861037162039</v>
      </c>
      <c r="AK752" s="2685">
        <f>AK753+AK755+AK754</f>
        <v>721.33994120659054</v>
      </c>
      <c r="AL752" s="2685">
        <f t="shared" ref="AL752:AT752" si="412">AL753+AL755+AL754</f>
        <v>732.21927019834698</v>
      </c>
      <c r="AM752" s="2685">
        <f t="shared" si="412"/>
        <v>187.93653864476565</v>
      </c>
      <c r="AN752" s="2685">
        <f t="shared" si="412"/>
        <v>4.2285111869296426</v>
      </c>
      <c r="AO752" s="2685">
        <f t="shared" si="412"/>
        <v>0</v>
      </c>
      <c r="AP752" s="2685">
        <f t="shared" si="412"/>
        <v>0</v>
      </c>
      <c r="AQ752" s="2685">
        <f t="shared" si="412"/>
        <v>0</v>
      </c>
      <c r="AR752" s="2685">
        <f t="shared" si="412"/>
        <v>0</v>
      </c>
      <c r="AS752" s="2685">
        <f t="shared" si="412"/>
        <v>0</v>
      </c>
      <c r="AT752" s="2685">
        <f t="shared" si="412"/>
        <v>0</v>
      </c>
      <c r="AU752" s="231"/>
      <c r="AV752" s="231"/>
      <c r="AW752" s="231"/>
      <c r="AX752" s="231"/>
    </row>
    <row r="753" spans="1:50">
      <c r="B753" s="668"/>
      <c r="C753" s="290"/>
      <c r="D753" s="2392" t="s">
        <v>1711</v>
      </c>
      <c r="E753" s="678"/>
      <c r="F753" s="2951"/>
      <c r="G753" s="679"/>
      <c r="H753" s="679"/>
      <c r="I753" s="888"/>
      <c r="J753" s="888"/>
      <c r="K753" s="888"/>
      <c r="L753" s="888"/>
      <c r="M753" s="888"/>
      <c r="N753" s="888"/>
      <c r="O753" s="888"/>
      <c r="P753" s="888"/>
      <c r="Q753" s="888"/>
      <c r="R753" s="888"/>
      <c r="S753" s="888"/>
      <c r="T753" s="888"/>
      <c r="U753" s="888"/>
      <c r="V753" s="888"/>
      <c r="W753" s="888"/>
      <c r="X753" s="888"/>
      <c r="Y753" s="888"/>
      <c r="Z753" s="889"/>
      <c r="AA753" s="1087"/>
      <c r="AB753" s="1207">
        <v>0</v>
      </c>
      <c r="AC753" s="1208">
        <v>0</v>
      </c>
      <c r="AD753" s="3201">
        <v>10.709999999999999</v>
      </c>
      <c r="AE753" s="3202">
        <v>59.844000000000001</v>
      </c>
      <c r="AF753" s="3202">
        <v>99.251000000000005</v>
      </c>
      <c r="AG753" s="3202">
        <v>89.349000000000004</v>
      </c>
      <c r="AH753" s="3202">
        <v>79.373999999999995</v>
      </c>
      <c r="AI753" s="3376">
        <v>107.352</v>
      </c>
      <c r="AJ753" s="2646">
        <v>174.00361037162037</v>
      </c>
      <c r="AK753" s="3203">
        <v>385.4857976103541</v>
      </c>
      <c r="AL753" s="3203">
        <v>439.33156211900854</v>
      </c>
      <c r="AM753" s="3203">
        <v>112.76192318685943</v>
      </c>
      <c r="AN753" s="3203">
        <v>2.5371067121577857</v>
      </c>
      <c r="AO753" s="2617"/>
      <c r="AP753" s="2617"/>
      <c r="AQ753" s="2617"/>
      <c r="AR753" s="2617"/>
      <c r="AS753" s="2617"/>
      <c r="AT753" s="2617"/>
      <c r="AU753" s="231"/>
      <c r="AV753" s="231"/>
      <c r="AW753" s="231"/>
      <c r="AX753" s="231"/>
    </row>
    <row r="754" spans="1:50">
      <c r="B754" s="668"/>
      <c r="C754" s="290"/>
      <c r="D754" s="2392" t="s">
        <v>1559</v>
      </c>
      <c r="E754" s="678"/>
      <c r="F754" s="2951"/>
      <c r="G754" s="679"/>
      <c r="H754" s="679"/>
      <c r="I754" s="888"/>
      <c r="J754" s="888"/>
      <c r="K754" s="888"/>
      <c r="L754" s="888"/>
      <c r="M754" s="888"/>
      <c r="N754" s="888"/>
      <c r="O754" s="888"/>
      <c r="P754" s="888"/>
      <c r="Q754" s="888"/>
      <c r="R754" s="888"/>
      <c r="S754" s="888"/>
      <c r="T754" s="888"/>
      <c r="U754" s="888"/>
      <c r="V754" s="888"/>
      <c r="W754" s="888"/>
      <c r="X754" s="888"/>
      <c r="Y754" s="888"/>
      <c r="Z754" s="889"/>
      <c r="AA754" s="1087"/>
      <c r="AB754" s="1207"/>
      <c r="AC754" s="1208"/>
      <c r="AD754" s="1207">
        <v>14.824999999999999</v>
      </c>
      <c r="AE754" s="2617">
        <v>10.577999999999999</v>
      </c>
      <c r="AF754" s="2617">
        <v>2</v>
      </c>
      <c r="AG754" s="2617">
        <v>3.3289999999999997</v>
      </c>
      <c r="AH754" s="2617">
        <v>167.733</v>
      </c>
      <c r="AI754" s="3377">
        <v>0.59599999999999997</v>
      </c>
      <c r="AJ754" s="2646">
        <v>134.85500000000002</v>
      </c>
      <c r="AK754" s="3203">
        <v>335.85414359623644</v>
      </c>
      <c r="AL754" s="3203">
        <v>292.88770807933849</v>
      </c>
      <c r="AM754" s="3203">
        <v>75.174615457906214</v>
      </c>
      <c r="AN754" s="3203">
        <v>1.6914044747718571</v>
      </c>
      <c r="AO754" s="2617"/>
      <c r="AP754" s="2617"/>
      <c r="AQ754" s="2617"/>
      <c r="AR754" s="2617"/>
      <c r="AS754" s="2617"/>
      <c r="AT754" s="2617"/>
      <c r="AU754" s="231"/>
      <c r="AV754" s="231"/>
      <c r="AW754" s="231"/>
      <c r="AX754" s="231"/>
    </row>
    <row r="755" spans="1:50">
      <c r="B755" s="668"/>
      <c r="C755" s="290"/>
      <c r="D755" s="3621" t="s">
        <v>1560</v>
      </c>
      <c r="E755" s="678"/>
      <c r="F755" s="2951"/>
      <c r="G755" s="679"/>
      <c r="H755" s="679"/>
      <c r="I755" s="888"/>
      <c r="J755" s="888"/>
      <c r="K755" s="888"/>
      <c r="L755" s="888"/>
      <c r="M755" s="888"/>
      <c r="N755" s="888"/>
      <c r="O755" s="888"/>
      <c r="P755" s="888"/>
      <c r="Q755" s="888"/>
      <c r="R755" s="888"/>
      <c r="S755" s="888"/>
      <c r="T755" s="888"/>
      <c r="U755" s="888"/>
      <c r="V755" s="888"/>
      <c r="W755" s="888"/>
      <c r="X755" s="888"/>
      <c r="Y755" s="888"/>
      <c r="Z755" s="889"/>
      <c r="AA755" s="1087"/>
      <c r="AB755" s="1207">
        <v>14.824999999999999</v>
      </c>
      <c r="AC755" s="1208">
        <v>10.577999999999999</v>
      </c>
      <c r="AD755" s="1207">
        <v>2</v>
      </c>
      <c r="AE755" s="2617">
        <v>3.3289999999999997</v>
      </c>
      <c r="AF755" s="2617">
        <v>167.733</v>
      </c>
      <c r="AG755" s="2617">
        <v>0.59599999999999997</v>
      </c>
      <c r="AH755" s="2617">
        <v>0</v>
      </c>
      <c r="AI755" s="3377">
        <v>0.47612839174694999</v>
      </c>
      <c r="AJ755" s="3354"/>
      <c r="AK755" s="2617"/>
      <c r="AL755" s="2617"/>
      <c r="AM755" s="2617"/>
      <c r="AN755" s="2617"/>
      <c r="AO755" s="2617"/>
      <c r="AP755" s="2617"/>
      <c r="AQ755" s="2617"/>
      <c r="AR755" s="2617"/>
      <c r="AS755" s="2617"/>
      <c r="AT755" s="2617"/>
      <c r="AU755" s="231"/>
      <c r="AV755" s="231"/>
      <c r="AW755" s="231"/>
      <c r="AX755" s="231"/>
    </row>
    <row r="756" spans="1:50" s="1662" customFormat="1">
      <c r="A756" s="1658"/>
      <c r="B756" s="1659"/>
      <c r="C756" s="1660"/>
      <c r="D756" s="2105" t="s">
        <v>272</v>
      </c>
      <c r="E756" s="3033"/>
      <c r="F756" s="2956"/>
      <c r="G756" s="1897"/>
      <c r="H756" s="1897"/>
      <c r="I756" s="1898"/>
      <c r="J756" s="1898"/>
      <c r="K756" s="1898"/>
      <c r="L756" s="1898"/>
      <c r="M756" s="1898"/>
      <c r="N756" s="1898"/>
      <c r="O756" s="1898"/>
      <c r="P756" s="1898"/>
      <c r="Q756" s="1898"/>
      <c r="R756" s="1898"/>
      <c r="S756" s="1898"/>
      <c r="T756" s="1898"/>
      <c r="U756" s="1898"/>
      <c r="V756" s="1898"/>
      <c r="W756" s="1898"/>
      <c r="X756" s="1898"/>
      <c r="Y756" s="1898"/>
      <c r="Z756" s="1899"/>
      <c r="AA756" s="1899"/>
      <c r="AB756" s="1899">
        <v>1</v>
      </c>
      <c r="AC756" s="1900">
        <f t="shared" ref="AC756:AO756" si="413">+AB756</f>
        <v>1</v>
      </c>
      <c r="AD756" s="1899">
        <f t="shared" si="413"/>
        <v>1</v>
      </c>
      <c r="AE756" s="1899">
        <f t="shared" si="413"/>
        <v>1</v>
      </c>
      <c r="AF756" s="1899">
        <f t="shared" si="413"/>
        <v>1</v>
      </c>
      <c r="AG756" s="1899">
        <f t="shared" si="413"/>
        <v>1</v>
      </c>
      <c r="AH756" s="1899">
        <f t="shared" si="413"/>
        <v>1</v>
      </c>
      <c r="AI756" s="3378">
        <f t="shared" si="413"/>
        <v>1</v>
      </c>
      <c r="AJ756" s="3355">
        <f t="shared" si="413"/>
        <v>1</v>
      </c>
      <c r="AK756" s="1899">
        <f t="shared" si="413"/>
        <v>1</v>
      </c>
      <c r="AL756" s="1899">
        <f t="shared" si="413"/>
        <v>1</v>
      </c>
      <c r="AM756" s="1899">
        <f t="shared" si="413"/>
        <v>1</v>
      </c>
      <c r="AN756" s="1899">
        <f t="shared" si="413"/>
        <v>1</v>
      </c>
      <c r="AO756" s="1899">
        <f t="shared" si="413"/>
        <v>1</v>
      </c>
      <c r="AP756" s="1899">
        <f>+AO756</f>
        <v>1</v>
      </c>
      <c r="AQ756" s="1899">
        <f>+AP756</f>
        <v>1</v>
      </c>
      <c r="AR756" s="1899">
        <f>+AQ756</f>
        <v>1</v>
      </c>
      <c r="AS756" s="1899">
        <f>+AR756</f>
        <v>1</v>
      </c>
      <c r="AT756" s="1899">
        <f>+AS756</f>
        <v>1</v>
      </c>
      <c r="AU756" s="1661"/>
      <c r="AV756" s="1661"/>
      <c r="AW756" s="1661"/>
      <c r="AX756" s="1661"/>
    </row>
    <row r="757" spans="1:50">
      <c r="B757" s="302"/>
      <c r="C757" s="290"/>
      <c r="D757" s="2863" t="s">
        <v>662</v>
      </c>
      <c r="E757" s="3031"/>
      <c r="F757" s="290"/>
      <c r="G757" s="290"/>
      <c r="H757" s="290"/>
      <c r="I757" s="290"/>
      <c r="J757" s="290"/>
      <c r="K757" s="290"/>
      <c r="L757" s="290"/>
      <c r="M757" s="290"/>
      <c r="N757" s="290"/>
      <c r="O757" s="290"/>
      <c r="P757" s="290"/>
      <c r="Q757" s="290"/>
      <c r="R757" s="290"/>
      <c r="S757" s="290"/>
      <c r="T757" s="290"/>
      <c r="U757" s="290"/>
      <c r="V757" s="290"/>
      <c r="W757" s="876"/>
      <c r="X757" s="876"/>
      <c r="Y757" s="876"/>
      <c r="Z757" s="876"/>
      <c r="AA757" s="876"/>
      <c r="AB757" s="876"/>
      <c r="AC757" s="290"/>
      <c r="AD757" s="876"/>
      <c r="AE757" s="876"/>
      <c r="AF757" s="876"/>
      <c r="AG757" s="876"/>
      <c r="AM757" s="231"/>
      <c r="AN757" s="231"/>
      <c r="AO757" s="231"/>
      <c r="AP757" s="231"/>
      <c r="AQ757" s="231"/>
      <c r="AR757" s="231"/>
      <c r="AS757" s="231"/>
      <c r="AT757" s="231"/>
      <c r="AU757" s="231"/>
      <c r="AV757" s="231"/>
      <c r="AW757" s="231"/>
      <c r="AX757" s="231"/>
    </row>
    <row r="758" spans="1:50" ht="16.75" thickBot="1">
      <c r="B758" s="302"/>
      <c r="C758" s="290"/>
      <c r="D758" s="290"/>
      <c r="E758" s="3031"/>
      <c r="F758" s="290"/>
      <c r="G758" s="290"/>
      <c r="H758" s="290"/>
      <c r="I758" s="290"/>
      <c r="J758" s="290"/>
      <c r="K758" s="290"/>
      <c r="L758" s="290"/>
      <c r="M758" s="290"/>
      <c r="N758" s="290"/>
      <c r="O758" s="290"/>
      <c r="P758" s="290"/>
      <c r="Q758" s="290"/>
      <c r="R758" s="290"/>
      <c r="S758" s="290"/>
      <c r="T758" s="290"/>
      <c r="U758" s="290"/>
      <c r="V758" s="290"/>
      <c r="W758" s="876"/>
      <c r="X758" s="876"/>
      <c r="Y758" s="876"/>
      <c r="Z758" s="876"/>
      <c r="AA758" s="876"/>
      <c r="AB758" s="876"/>
      <c r="AC758" s="290"/>
      <c r="AD758" s="876"/>
      <c r="AE758" s="876"/>
      <c r="AF758" s="876"/>
      <c r="AG758" s="876"/>
      <c r="AM758" s="231"/>
      <c r="AN758" s="231"/>
      <c r="AO758" s="231"/>
      <c r="AP758" s="231"/>
      <c r="AQ758" s="231"/>
      <c r="AR758" s="231"/>
      <c r="AS758" s="231"/>
      <c r="AT758" s="231"/>
      <c r="AU758" s="231"/>
      <c r="AV758" s="231"/>
      <c r="AW758" s="231"/>
      <c r="AX758" s="231"/>
    </row>
    <row r="759" spans="1:50" s="288" customFormat="1" ht="16.75" thickBot="1">
      <c r="A759" s="300" t="s">
        <v>267</v>
      </c>
      <c r="B759" s="292"/>
      <c r="C759" s="291"/>
      <c r="D759" s="2106" t="s">
        <v>273</v>
      </c>
      <c r="E759" s="3034"/>
      <c r="F759" s="2185"/>
      <c r="G759" s="112"/>
      <c r="H759" s="112"/>
      <c r="I759" s="112"/>
      <c r="J759" s="324">
        <f t="shared" ref="J759:T759" si="414">+K759-1</f>
        <v>1999</v>
      </c>
      <c r="K759" s="324">
        <f t="shared" si="414"/>
        <v>2000</v>
      </c>
      <c r="L759" s="324">
        <f t="shared" si="414"/>
        <v>2001</v>
      </c>
      <c r="M759" s="324">
        <f t="shared" si="414"/>
        <v>2002</v>
      </c>
      <c r="N759" s="324">
        <f t="shared" si="414"/>
        <v>2003</v>
      </c>
      <c r="O759" s="324">
        <f t="shared" si="414"/>
        <v>2004</v>
      </c>
      <c r="P759" s="324">
        <f t="shared" si="414"/>
        <v>2005</v>
      </c>
      <c r="Q759" s="324">
        <f t="shared" si="414"/>
        <v>2006</v>
      </c>
      <c r="R759" s="324">
        <f t="shared" si="414"/>
        <v>2007</v>
      </c>
      <c r="S759" s="324">
        <f t="shared" si="414"/>
        <v>2008</v>
      </c>
      <c r="T759" s="324">
        <f t="shared" si="414"/>
        <v>2009</v>
      </c>
      <c r="U759" s="324">
        <f>+V759-1</f>
        <v>2010</v>
      </c>
      <c r="V759" s="324">
        <v>2011</v>
      </c>
      <c r="W759" s="324">
        <v>2012</v>
      </c>
      <c r="X759" s="324">
        <v>2013</v>
      </c>
      <c r="Y759" s="324">
        <v>2014</v>
      </c>
      <c r="Z759" s="324">
        <v>2015</v>
      </c>
      <c r="AA759" s="324">
        <v>2016</v>
      </c>
      <c r="AB759" s="324">
        <v>2017</v>
      </c>
      <c r="AC759" s="324">
        <v>2018</v>
      </c>
      <c r="AD759" s="324">
        <v>2019</v>
      </c>
      <c r="AE759" s="324">
        <v>2020</v>
      </c>
      <c r="AF759" s="324">
        <v>2021</v>
      </c>
      <c r="AG759" s="324">
        <v>2022</v>
      </c>
      <c r="AH759" s="324">
        <v>2023</v>
      </c>
      <c r="AI759" s="2214">
        <v>2024</v>
      </c>
      <c r="AJ759" s="2206">
        <v>2025</v>
      </c>
      <c r="AK759" s="324">
        <v>2026</v>
      </c>
      <c r="AL759" s="324">
        <v>2027</v>
      </c>
      <c r="AM759" s="324">
        <v>2028</v>
      </c>
      <c r="AN759" s="324">
        <v>2029</v>
      </c>
      <c r="AO759" s="324">
        <v>2030</v>
      </c>
      <c r="AP759" s="324">
        <v>2031</v>
      </c>
      <c r="AQ759" s="324">
        <v>2032</v>
      </c>
      <c r="AR759" s="324">
        <v>2033</v>
      </c>
      <c r="AS759" s="324">
        <v>2034</v>
      </c>
      <c r="AT759" s="324">
        <v>2035</v>
      </c>
    </row>
    <row r="760" spans="1:50" ht="16.75" thickBot="1">
      <c r="B760" s="295" t="s">
        <v>704</v>
      </c>
      <c r="D760" s="2107" t="s">
        <v>259</v>
      </c>
      <c r="E760" s="3035"/>
      <c r="F760" s="2198"/>
      <c r="G760" s="276"/>
      <c r="H760" s="276"/>
      <c r="I760" s="276"/>
      <c r="J760" s="3809"/>
      <c r="K760" s="3809"/>
      <c r="L760" s="3809"/>
      <c r="M760" s="3809"/>
      <c r="N760" s="3809"/>
      <c r="O760" s="3809"/>
      <c r="P760" s="3809"/>
      <c r="Q760" s="3809"/>
      <c r="R760" s="3809"/>
      <c r="S760" s="3809"/>
      <c r="T760" s="3809"/>
      <c r="U760" s="3809"/>
      <c r="V760" s="3809"/>
      <c r="W760" s="3809"/>
      <c r="X760" s="3809"/>
      <c r="Y760" s="3809"/>
      <c r="Z760" s="3809"/>
      <c r="AA760" s="3809"/>
      <c r="AB760" s="3809"/>
      <c r="AC760" s="3809"/>
      <c r="AD760" s="3809"/>
      <c r="AE760" s="3809"/>
      <c r="AF760" s="3809"/>
      <c r="AG760" s="3809"/>
      <c r="AH760" s="3809"/>
      <c r="AI760" s="3810"/>
      <c r="AJ760" s="2198"/>
      <c r="AK760" s="276"/>
      <c r="AL760" s="276"/>
      <c r="AM760" s="276"/>
      <c r="AN760" s="276"/>
      <c r="AO760" s="276"/>
      <c r="AP760" s="276"/>
      <c r="AQ760" s="276"/>
      <c r="AR760" s="276"/>
      <c r="AS760" s="276"/>
      <c r="AT760" s="276"/>
    </row>
    <row r="761" spans="1:50">
      <c r="D761" s="3284" t="s">
        <v>1730</v>
      </c>
      <c r="E761" s="3012"/>
      <c r="F761" s="2209"/>
      <c r="G761" s="119"/>
      <c r="H761" s="119"/>
      <c r="I761" s="3835"/>
      <c r="J761" s="1292"/>
      <c r="K761" s="1292"/>
      <c r="L761" s="1292"/>
      <c r="M761" s="1292"/>
      <c r="N761" s="1292"/>
      <c r="O761" s="1292"/>
      <c r="P761" s="1292"/>
      <c r="Q761" s="1292"/>
      <c r="R761" s="1292"/>
      <c r="S761" s="1292"/>
      <c r="T761" s="1292"/>
      <c r="U761" s="1292"/>
      <c r="V761" s="3836"/>
      <c r="W761" s="3836"/>
      <c r="X761" s="3836"/>
      <c r="Y761" s="3836"/>
      <c r="Z761" s="3836"/>
      <c r="AA761" s="3836"/>
      <c r="AB761" s="3836"/>
      <c r="AC761" s="3837"/>
      <c r="AD761" s="3836"/>
      <c r="AE761" s="3836"/>
      <c r="AF761" s="3836"/>
      <c r="AG761" s="3836"/>
      <c r="AH761" s="3838" t="s">
        <v>1528</v>
      </c>
      <c r="AI761" s="3836"/>
      <c r="AJ761" s="3205"/>
      <c r="AK761" s="319"/>
      <c r="AL761" s="319"/>
      <c r="AM761" s="319"/>
      <c r="AN761" s="319"/>
      <c r="AO761" s="319"/>
      <c r="AP761" s="319"/>
      <c r="AQ761" s="319"/>
      <c r="AR761" s="319"/>
      <c r="AS761" s="319"/>
      <c r="AT761" s="319"/>
    </row>
    <row r="762" spans="1:50">
      <c r="D762" s="3791" t="s">
        <v>212</v>
      </c>
      <c r="E762" s="3035"/>
      <c r="F762" s="2207"/>
      <c r="G762" s="127"/>
      <c r="H762" s="127"/>
      <c r="I762" s="127"/>
      <c r="J762" s="3786">
        <v>2065</v>
      </c>
      <c r="K762" s="3786">
        <v>2238</v>
      </c>
      <c r="L762" s="3786">
        <v>2428</v>
      </c>
      <c r="M762" s="3786">
        <v>2748</v>
      </c>
      <c r="N762" s="3786">
        <v>2809</v>
      </c>
      <c r="O762" s="3786">
        <v>3018</v>
      </c>
      <c r="P762" s="3786">
        <v>3301</v>
      </c>
      <c r="Q762" s="3786">
        <v>5869</v>
      </c>
      <c r="R762" s="3786">
        <v>6316</v>
      </c>
      <c r="S762" s="3786">
        <v>7021</v>
      </c>
      <c r="T762" s="3786">
        <v>7460</v>
      </c>
      <c r="U762" s="3786">
        <v>8006</v>
      </c>
      <c r="V762" s="3786">
        <v>8644</v>
      </c>
      <c r="W762" s="3786">
        <v>9390</v>
      </c>
      <c r="X762" s="3786">
        <v>9834</v>
      </c>
      <c r="Y762" s="3786">
        <v>10392</v>
      </c>
      <c r="Z762" s="3786">
        <v>11314</v>
      </c>
      <c r="AA762" s="3786">
        <v>11954</v>
      </c>
      <c r="AB762" s="3786">
        <v>12517</v>
      </c>
      <c r="AC762" s="3786">
        <v>13527</v>
      </c>
      <c r="AD762" s="3786">
        <v>14782</v>
      </c>
      <c r="AE762" s="3786">
        <v>14372</v>
      </c>
      <c r="AF762" s="3786">
        <v>15581</v>
      </c>
      <c r="AG762" s="3786">
        <v>17111</v>
      </c>
      <c r="AH762" s="3786">
        <v>18931</v>
      </c>
      <c r="AI762" s="3786">
        <v>20228</v>
      </c>
      <c r="AJ762" s="2208">
        <f t="shared" ref="AJ762:AT762" si="415">+AJ859</f>
        <v>21466.193430623131</v>
      </c>
      <c r="AK762" s="1355">
        <f t="shared" si="415"/>
        <v>23261.296031387188</v>
      </c>
      <c r="AL762" s="1355">
        <f t="shared" si="415"/>
        <v>25341.974166436408</v>
      </c>
      <c r="AM762" s="1355">
        <f t="shared" si="415"/>
        <v>27492.822499158967</v>
      </c>
      <c r="AN762" s="1355">
        <f t="shared" si="415"/>
        <v>29674.327119907597</v>
      </c>
      <c r="AO762" s="1355">
        <f t="shared" si="415"/>
        <v>32154.119327666092</v>
      </c>
      <c r="AP762" s="1355">
        <f t="shared" si="415"/>
        <v>34918.940057613378</v>
      </c>
      <c r="AQ762" s="1355">
        <f t="shared" si="415"/>
        <v>37950.455950119424</v>
      </c>
      <c r="AR762" s="1355">
        <f t="shared" si="415"/>
        <v>41338.872433839286</v>
      </c>
      <c r="AS762" s="1355">
        <f t="shared" si="415"/>
        <v>45108.390091671419</v>
      </c>
      <c r="AT762" s="1355">
        <f t="shared" si="415"/>
        <v>49418.223936950606</v>
      </c>
    </row>
    <row r="763" spans="1:50" ht="12" customHeight="1">
      <c r="D763" s="3792"/>
      <c r="E763" s="3035"/>
      <c r="F763" s="2207"/>
      <c r="G763" s="127"/>
      <c r="H763" s="127"/>
      <c r="I763" s="127"/>
      <c r="J763" s="3787"/>
      <c r="K763" s="3787"/>
      <c r="L763" s="3787"/>
      <c r="M763" s="3787"/>
      <c r="N763" s="3787"/>
      <c r="O763" s="3787"/>
      <c r="P763" s="3787"/>
      <c r="Q763" s="3787"/>
      <c r="R763" s="3787"/>
      <c r="S763" s="3787"/>
      <c r="T763" s="3787"/>
      <c r="U763" s="3787"/>
      <c r="V763" s="3787"/>
      <c r="W763" s="3787"/>
      <c r="X763" s="3787"/>
      <c r="Y763" s="3787"/>
      <c r="Z763" s="3787"/>
      <c r="AA763" s="3787"/>
      <c r="AB763" s="3787"/>
      <c r="AC763" s="3787"/>
      <c r="AD763" s="3787"/>
      <c r="AE763" s="3787"/>
      <c r="AF763" s="3787"/>
      <c r="AG763" s="3787"/>
      <c r="AH763" s="3787"/>
      <c r="AI763" s="3787"/>
      <c r="AJ763" s="3205"/>
      <c r="AK763" s="319"/>
      <c r="AL763" s="319"/>
      <c r="AM763" s="319"/>
      <c r="AN763" s="319"/>
      <c r="AO763" s="319"/>
      <c r="AP763" s="319"/>
      <c r="AQ763" s="319"/>
      <c r="AR763" s="319"/>
      <c r="AS763" s="319"/>
      <c r="AT763" s="319"/>
    </row>
    <row r="764" spans="1:50">
      <c r="D764" s="3791" t="s">
        <v>213</v>
      </c>
      <c r="E764" s="3012"/>
      <c r="F764" s="2209"/>
      <c r="G764" s="119"/>
      <c r="H764" s="119"/>
      <c r="I764" s="119"/>
      <c r="J764" s="3786">
        <v>2095</v>
      </c>
      <c r="K764" s="3786">
        <v>2323</v>
      </c>
      <c r="L764" s="3786">
        <v>2439</v>
      </c>
      <c r="M764" s="3786">
        <v>2772</v>
      </c>
      <c r="N764" s="3786">
        <v>2704</v>
      </c>
      <c r="O764" s="3786">
        <v>2897</v>
      </c>
      <c r="P764" s="3786">
        <v>3152</v>
      </c>
      <c r="Q764" s="3786">
        <v>6207</v>
      </c>
      <c r="R764" s="3786">
        <v>6216</v>
      </c>
      <c r="S764" s="3786">
        <v>6622</v>
      </c>
      <c r="T764" s="3786">
        <v>7490</v>
      </c>
      <c r="U764" s="3786">
        <v>7881</v>
      </c>
      <c r="V764" s="3786">
        <v>8568</v>
      </c>
      <c r="W764" s="3786">
        <v>9399</v>
      </c>
      <c r="X764" s="3786">
        <v>9692</v>
      </c>
      <c r="Y764" s="3786">
        <v>10647</v>
      </c>
      <c r="Z764" s="3786">
        <v>12198</v>
      </c>
      <c r="AA764" s="3786">
        <v>12737</v>
      </c>
      <c r="AB764" s="3786">
        <v>12301</v>
      </c>
      <c r="AC764" s="3786">
        <v>13258</v>
      </c>
      <c r="AD764" s="3786">
        <v>13869</v>
      </c>
      <c r="AE764" s="3786">
        <v>14386</v>
      </c>
      <c r="AF764" s="3786">
        <v>14929</v>
      </c>
      <c r="AG764" s="3786">
        <v>13988</v>
      </c>
      <c r="AH764" s="3786">
        <v>15213</v>
      </c>
      <c r="AI764" s="3786">
        <v>16188</v>
      </c>
      <c r="AJ764" s="2209"/>
      <c r="AK764" s="119"/>
      <c r="AL764" s="119"/>
      <c r="AM764" s="119"/>
      <c r="AN764" s="119"/>
      <c r="AO764" s="119"/>
      <c r="AP764" s="119"/>
      <c r="AQ764" s="119"/>
      <c r="AR764" s="119"/>
      <c r="AS764" s="119"/>
      <c r="AT764" s="119"/>
    </row>
    <row r="765" spans="1:50">
      <c r="D765" s="3793" t="s">
        <v>216</v>
      </c>
      <c r="E765" s="3012"/>
      <c r="F765" s="2209"/>
      <c r="G765" s="119"/>
      <c r="H765" s="119"/>
      <c r="I765" s="119"/>
      <c r="J765" s="3788">
        <v>266</v>
      </c>
      <c r="K765" s="3788">
        <v>277</v>
      </c>
      <c r="L765" s="3788">
        <v>303</v>
      </c>
      <c r="M765" s="3788">
        <v>345</v>
      </c>
      <c r="N765" s="3788">
        <v>386</v>
      </c>
      <c r="O765" s="3788">
        <v>423</v>
      </c>
      <c r="P765" s="3788">
        <v>463</v>
      </c>
      <c r="Q765" s="3788">
        <v>816</v>
      </c>
      <c r="R765" s="3788">
        <v>824</v>
      </c>
      <c r="S765" s="3788">
        <v>841</v>
      </c>
      <c r="T765" s="3788">
        <v>941</v>
      </c>
      <c r="U765" s="3788">
        <v>1039</v>
      </c>
      <c r="V765" s="3788">
        <v>1077</v>
      </c>
      <c r="W765" s="3788">
        <v>1247</v>
      </c>
      <c r="X765" s="3788">
        <v>1244</v>
      </c>
      <c r="Y765" s="3788">
        <v>1504</v>
      </c>
      <c r="Z765" s="3788">
        <v>1580</v>
      </c>
      <c r="AA765" s="3788">
        <v>1725</v>
      </c>
      <c r="AB765" s="3788">
        <v>1851</v>
      </c>
      <c r="AC765" s="3788">
        <v>1945</v>
      </c>
      <c r="AD765" s="3788">
        <v>2286</v>
      </c>
      <c r="AE765" s="3788">
        <v>2327</v>
      </c>
      <c r="AF765" s="3788">
        <v>2649</v>
      </c>
      <c r="AG765" s="3788">
        <v>2911</v>
      </c>
      <c r="AH765" s="3788">
        <v>2967</v>
      </c>
      <c r="AI765" s="3788">
        <v>3408</v>
      </c>
      <c r="AJ765" s="2209"/>
      <c r="AK765" s="119"/>
      <c r="AL765" s="119"/>
      <c r="AM765" s="119"/>
      <c r="AN765" s="119"/>
      <c r="AO765" s="119"/>
      <c r="AP765" s="119"/>
      <c r="AQ765" s="119"/>
      <c r="AR765" s="119"/>
      <c r="AS765" s="119"/>
      <c r="AT765" s="119"/>
    </row>
    <row r="766" spans="1:50">
      <c r="D766" s="3793" t="s">
        <v>217</v>
      </c>
      <c r="E766" s="3012"/>
      <c r="F766" s="2209"/>
      <c r="G766" s="119"/>
      <c r="H766" s="119"/>
      <c r="I766" s="119"/>
      <c r="J766" s="3788">
        <v>1829</v>
      </c>
      <c r="K766" s="3788">
        <v>2046</v>
      </c>
      <c r="L766" s="3788">
        <v>2136</v>
      </c>
      <c r="M766" s="3788">
        <v>2427</v>
      </c>
      <c r="N766" s="3788">
        <v>2318</v>
      </c>
      <c r="O766" s="3788">
        <v>2474</v>
      </c>
      <c r="P766" s="3788">
        <v>2689</v>
      </c>
      <c r="Q766" s="3788">
        <v>5390</v>
      </c>
      <c r="R766" s="3788">
        <v>5391</v>
      </c>
      <c r="S766" s="3788">
        <v>5780</v>
      </c>
      <c r="T766" s="3788">
        <v>6549</v>
      </c>
      <c r="U766" s="3788">
        <v>6842</v>
      </c>
      <c r="V766" s="3788">
        <v>7491</v>
      </c>
      <c r="W766" s="3788">
        <v>8152</v>
      </c>
      <c r="X766" s="3788">
        <v>8447</v>
      </c>
      <c r="Y766" s="3788">
        <v>9144</v>
      </c>
      <c r="Z766" s="3788">
        <v>10618</v>
      </c>
      <c r="AA766" s="3788">
        <v>11012</v>
      </c>
      <c r="AB766" s="3788">
        <v>10450</v>
      </c>
      <c r="AC766" s="3788">
        <v>11314</v>
      </c>
      <c r="AD766" s="3788">
        <v>11584</v>
      </c>
      <c r="AE766" s="3788">
        <v>12059</v>
      </c>
      <c r="AF766" s="3788">
        <v>12281</v>
      </c>
      <c r="AG766" s="3788">
        <v>11078</v>
      </c>
      <c r="AH766" s="3788">
        <v>12247</v>
      </c>
      <c r="AI766" s="3788">
        <v>12781</v>
      </c>
      <c r="AJ766" s="2199"/>
      <c r="AK766" s="278"/>
      <c r="AL766" s="278"/>
      <c r="AM766" s="278"/>
      <c r="AN766" s="278"/>
      <c r="AO766" s="278"/>
      <c r="AP766" s="278"/>
      <c r="AQ766" s="278"/>
      <c r="AR766" s="278"/>
      <c r="AS766" s="278"/>
      <c r="AT766" s="278"/>
    </row>
    <row r="767" spans="1:50" ht="16" customHeight="1">
      <c r="D767" s="3792"/>
      <c r="E767" s="3012"/>
      <c r="F767" s="2209"/>
      <c r="G767" s="119"/>
      <c r="H767" s="119"/>
      <c r="I767" s="119"/>
      <c r="J767" s="3787"/>
      <c r="K767" s="3787"/>
      <c r="L767" s="3787"/>
      <c r="M767" s="3787"/>
      <c r="N767" s="3787"/>
      <c r="O767" s="3787"/>
      <c r="P767" s="3787"/>
      <c r="Q767" s="3787"/>
      <c r="R767" s="3787"/>
      <c r="S767" s="3787"/>
      <c r="T767" s="3787"/>
      <c r="U767" s="3787"/>
      <c r="V767" s="3787"/>
      <c r="W767" s="3787"/>
      <c r="X767" s="3787"/>
      <c r="Y767" s="3787"/>
      <c r="Z767" s="3787"/>
      <c r="AA767" s="3787"/>
      <c r="AB767" s="3787"/>
      <c r="AC767" s="3787"/>
      <c r="AD767" s="3787"/>
      <c r="AE767" s="3787"/>
      <c r="AF767" s="3787"/>
      <c r="AG767" s="3787"/>
      <c r="AH767" s="3787"/>
      <c r="AI767" s="3787"/>
      <c r="AJ767" s="2199"/>
      <c r="AK767" s="278"/>
      <c r="AL767" s="278"/>
      <c r="AM767" s="278"/>
      <c r="AN767" s="278"/>
      <c r="AO767" s="278"/>
      <c r="AP767" s="278"/>
      <c r="AQ767" s="278"/>
      <c r="AR767" s="278"/>
      <c r="AS767" s="278"/>
      <c r="AT767" s="278"/>
    </row>
    <row r="768" spans="1:50">
      <c r="D768" s="3791" t="s">
        <v>1725</v>
      </c>
      <c r="E768" s="3015"/>
      <c r="F768" s="2213"/>
      <c r="G768" s="126"/>
      <c r="H768" s="126"/>
      <c r="I768" s="126"/>
      <c r="J768" s="3786">
        <v>233</v>
      </c>
      <c r="K768" s="3786">
        <v>272</v>
      </c>
      <c r="L768" s="3786">
        <v>272</v>
      </c>
      <c r="M768" s="3786">
        <v>293</v>
      </c>
      <c r="N768" s="3786">
        <v>322</v>
      </c>
      <c r="O768" s="3786">
        <v>360</v>
      </c>
      <c r="P768" s="3786">
        <v>418</v>
      </c>
      <c r="Q768" s="3786">
        <v>1024</v>
      </c>
      <c r="R768" s="3786">
        <v>1298</v>
      </c>
      <c r="S768" s="3786">
        <v>1711</v>
      </c>
      <c r="T768" s="3786">
        <v>1758</v>
      </c>
      <c r="U768" s="3786">
        <v>1885</v>
      </c>
      <c r="V768" s="3786">
        <v>2059</v>
      </c>
      <c r="W768" s="3786">
        <v>2517</v>
      </c>
      <c r="X768" s="3786">
        <v>2709</v>
      </c>
      <c r="Y768" s="3786">
        <v>2858</v>
      </c>
      <c r="Z768" s="3786">
        <v>3369</v>
      </c>
      <c r="AA768" s="3786">
        <v>3655</v>
      </c>
      <c r="AB768" s="3786">
        <v>3530</v>
      </c>
      <c r="AC768" s="3786">
        <v>3682</v>
      </c>
      <c r="AD768" s="3786">
        <v>4828</v>
      </c>
      <c r="AE768" s="3786">
        <v>4191</v>
      </c>
      <c r="AF768" s="3786">
        <v>4985</v>
      </c>
      <c r="AG768" s="3786">
        <v>5805</v>
      </c>
      <c r="AH768" s="3786">
        <v>7233</v>
      </c>
      <c r="AI768" s="3786">
        <v>6978</v>
      </c>
      <c r="AJ768" s="2199"/>
      <c r="AK768" s="278"/>
      <c r="AL768" s="278"/>
      <c r="AM768" s="278"/>
      <c r="AN768" s="278"/>
      <c r="AO768" s="278"/>
      <c r="AP768" s="278"/>
      <c r="AQ768" s="278"/>
      <c r="AR768" s="278"/>
      <c r="AS768" s="278"/>
      <c r="AT768" s="278"/>
    </row>
    <row r="769" spans="1:46" s="288" customFormat="1">
      <c r="A769" s="300"/>
      <c r="B769" s="292"/>
      <c r="C769" s="292"/>
      <c r="D769" s="3807" t="s">
        <v>218</v>
      </c>
      <c r="E769" s="3801"/>
      <c r="F769" s="3802"/>
      <c r="G769" s="3803"/>
      <c r="H769" s="3803"/>
      <c r="I769" s="3803"/>
      <c r="J769" s="3808">
        <v>241</v>
      </c>
      <c r="K769" s="3808">
        <v>282</v>
      </c>
      <c r="L769" s="3808">
        <v>282</v>
      </c>
      <c r="M769" s="3808">
        <v>304</v>
      </c>
      <c r="N769" s="3808">
        <v>334</v>
      </c>
      <c r="O769" s="3808">
        <v>373</v>
      </c>
      <c r="P769" s="3808">
        <v>433</v>
      </c>
      <c r="Q769" s="3808"/>
      <c r="R769" s="3808"/>
      <c r="S769" s="3808"/>
      <c r="T769" s="3808"/>
      <c r="U769" s="3808"/>
      <c r="V769" s="3808"/>
      <c r="W769" s="3808"/>
      <c r="X769" s="3808"/>
      <c r="Y769" s="3808"/>
      <c r="Z769" s="3808"/>
      <c r="AA769" s="3808"/>
      <c r="AB769" s="3808"/>
      <c r="AC769" s="3808"/>
      <c r="AD769" s="3808"/>
      <c r="AE769" s="3808"/>
      <c r="AF769" s="3808"/>
      <c r="AG769" s="3808"/>
      <c r="AH769" s="3808"/>
      <c r="AI769" s="3808"/>
      <c r="AJ769" s="3805"/>
      <c r="AK769" s="3799"/>
      <c r="AL769" s="3799"/>
      <c r="AM769" s="3799"/>
      <c r="AN769" s="3799"/>
      <c r="AO769" s="3799"/>
      <c r="AP769" s="3799"/>
      <c r="AQ769" s="3799"/>
      <c r="AR769" s="3799"/>
      <c r="AS769" s="3799"/>
      <c r="AT769" s="3799"/>
    </row>
    <row r="770" spans="1:46">
      <c r="D770" s="3793" t="s">
        <v>219</v>
      </c>
      <c r="E770" s="3013"/>
      <c r="F770" s="2210"/>
      <c r="G770" s="121"/>
      <c r="H770" s="121"/>
      <c r="I770" s="121"/>
      <c r="J770" s="3788">
        <v>164</v>
      </c>
      <c r="K770" s="3788">
        <v>170</v>
      </c>
      <c r="L770" s="3788">
        <v>189</v>
      </c>
      <c r="M770" s="3788">
        <v>199</v>
      </c>
      <c r="N770" s="3788">
        <v>223</v>
      </c>
      <c r="O770" s="3788">
        <v>279</v>
      </c>
      <c r="P770" s="3788">
        <v>314</v>
      </c>
      <c r="Q770" s="3788">
        <v>639</v>
      </c>
      <c r="R770" s="3788">
        <v>740</v>
      </c>
      <c r="S770" s="3788">
        <v>956</v>
      </c>
      <c r="T770" s="3788">
        <v>969</v>
      </c>
      <c r="U770" s="3788">
        <v>1057</v>
      </c>
      <c r="V770" s="3788">
        <v>1317</v>
      </c>
      <c r="W770" s="3788">
        <v>1519</v>
      </c>
      <c r="X770" s="3788">
        <v>1691</v>
      </c>
      <c r="Y770" s="3788">
        <v>1778</v>
      </c>
      <c r="Z770" s="3788">
        <v>2057</v>
      </c>
      <c r="AA770" s="3788">
        <v>2109</v>
      </c>
      <c r="AB770" s="3788">
        <v>1898</v>
      </c>
      <c r="AC770" s="3788">
        <v>1986</v>
      </c>
      <c r="AD770" s="3788">
        <v>2634</v>
      </c>
      <c r="AE770" s="3788">
        <v>2486</v>
      </c>
      <c r="AF770" s="3788">
        <v>2858</v>
      </c>
      <c r="AG770" s="3788">
        <v>3806</v>
      </c>
      <c r="AH770" s="3788">
        <v>4412</v>
      </c>
      <c r="AI770" s="3788">
        <v>4472</v>
      </c>
      <c r="AJ770" s="2210"/>
      <c r="AK770" s="121"/>
      <c r="AL770" s="121"/>
      <c r="AM770" s="121"/>
      <c r="AN770" s="121"/>
      <c r="AO770" s="121"/>
      <c r="AP770" s="121"/>
      <c r="AQ770" s="121"/>
      <c r="AR770" s="121"/>
      <c r="AS770" s="121"/>
      <c r="AT770" s="121"/>
    </row>
    <row r="771" spans="1:46">
      <c r="D771" s="3793" t="s">
        <v>220</v>
      </c>
      <c r="E771" s="1560"/>
      <c r="F771" s="560"/>
      <c r="G771" s="130"/>
      <c r="H771" s="130"/>
      <c r="I771" s="130"/>
      <c r="J771" s="3788">
        <v>78</v>
      </c>
      <c r="K771" s="3788">
        <v>111</v>
      </c>
      <c r="L771" s="3788">
        <v>93</v>
      </c>
      <c r="M771" s="3788">
        <v>104</v>
      </c>
      <c r="N771" s="3788">
        <v>111</v>
      </c>
      <c r="O771" s="3788">
        <v>95</v>
      </c>
      <c r="P771" s="3788">
        <v>120</v>
      </c>
      <c r="Q771" s="3788">
        <v>213</v>
      </c>
      <c r="R771" s="3788">
        <v>336</v>
      </c>
      <c r="S771" s="3788">
        <v>465</v>
      </c>
      <c r="T771" s="3788">
        <v>486</v>
      </c>
      <c r="U771" s="3788">
        <v>504</v>
      </c>
      <c r="V771" s="3788">
        <v>425</v>
      </c>
      <c r="W771" s="3788">
        <v>583</v>
      </c>
      <c r="X771" s="3788">
        <v>574</v>
      </c>
      <c r="Y771" s="3788">
        <v>592</v>
      </c>
      <c r="Z771" s="3788">
        <v>767</v>
      </c>
      <c r="AA771" s="3788">
        <v>964</v>
      </c>
      <c r="AB771" s="3788">
        <v>968</v>
      </c>
      <c r="AC771" s="3788">
        <v>1024</v>
      </c>
      <c r="AD771" s="3788">
        <v>1324</v>
      </c>
      <c r="AE771" s="3788">
        <v>1108</v>
      </c>
      <c r="AF771" s="3788">
        <v>2124</v>
      </c>
      <c r="AG771" s="3788">
        <v>2000</v>
      </c>
      <c r="AH771" s="3788">
        <v>2819</v>
      </c>
      <c r="AI771" s="3788">
        <v>2505</v>
      </c>
      <c r="AJ771" s="560"/>
      <c r="AK771" s="130"/>
      <c r="AL771" s="130"/>
      <c r="AM771" s="130"/>
      <c r="AN771" s="130"/>
      <c r="AO771" s="130"/>
      <c r="AP771" s="130"/>
      <c r="AQ771" s="130"/>
      <c r="AR771" s="130"/>
      <c r="AS771" s="130"/>
      <c r="AT771" s="130"/>
    </row>
    <row r="772" spans="1:46" s="288" customFormat="1">
      <c r="A772" s="300"/>
      <c r="B772" s="292"/>
      <c r="C772" s="292"/>
      <c r="D772" s="3806" t="s">
        <v>221</v>
      </c>
      <c r="E772" s="3801"/>
      <c r="F772" s="3802"/>
      <c r="G772" s="3803"/>
      <c r="H772" s="3803"/>
      <c r="I772" s="3803"/>
      <c r="J772" s="3811"/>
      <c r="K772" s="3811"/>
      <c r="L772" s="3811"/>
      <c r="M772" s="3811"/>
      <c r="N772" s="3811"/>
      <c r="O772" s="3811"/>
      <c r="P772" s="3811"/>
      <c r="Q772" s="3811"/>
      <c r="R772" s="3811"/>
      <c r="S772" s="3811"/>
      <c r="T772" s="3811"/>
      <c r="U772" s="3811"/>
      <c r="V772" s="3811"/>
      <c r="W772" s="3811"/>
      <c r="X772" s="3811"/>
      <c r="Y772" s="3811"/>
      <c r="Z772" s="3811"/>
      <c r="AA772" s="3811"/>
      <c r="AB772" s="3811"/>
      <c r="AC772" s="3811"/>
      <c r="AD772" s="3811"/>
      <c r="AE772" s="3811"/>
      <c r="AF772" s="3811"/>
      <c r="AG772" s="3811"/>
      <c r="AH772" s="3811"/>
      <c r="AI772" s="3811"/>
      <c r="AJ772" s="3802"/>
      <c r="AK772" s="3803"/>
      <c r="AL772" s="3803"/>
      <c r="AM772" s="3803"/>
      <c r="AN772" s="3803"/>
      <c r="AO772" s="3803"/>
      <c r="AP772" s="3803"/>
      <c r="AQ772" s="3803"/>
      <c r="AR772" s="3803"/>
      <c r="AS772" s="3803"/>
      <c r="AT772" s="3803"/>
    </row>
    <row r="773" spans="1:46" ht="9.75" customHeight="1">
      <c r="D773" s="129"/>
      <c r="E773" s="3013"/>
      <c r="F773" s="2210"/>
      <c r="G773" s="121"/>
      <c r="H773" s="121"/>
      <c r="I773" s="121"/>
      <c r="J773" s="3789"/>
      <c r="K773" s="3789"/>
      <c r="L773" s="3789"/>
      <c r="M773" s="3789"/>
      <c r="N773" s="3789"/>
      <c r="O773" s="3789"/>
      <c r="P773" s="3789"/>
      <c r="Q773" s="3789"/>
      <c r="R773" s="3789"/>
      <c r="S773" s="3789"/>
      <c r="T773" s="3789"/>
      <c r="U773" s="3789"/>
      <c r="V773" s="3789"/>
      <c r="W773" s="3789"/>
      <c r="X773" s="3789"/>
      <c r="Y773" s="3789"/>
      <c r="Z773" s="3789"/>
      <c r="AA773" s="3789"/>
      <c r="AB773" s="3789"/>
      <c r="AC773" s="3789"/>
      <c r="AD773" s="3789"/>
      <c r="AE773" s="3789"/>
      <c r="AF773" s="3789"/>
      <c r="AG773" s="3789"/>
      <c r="AH773" s="3789"/>
      <c r="AI773" s="3789"/>
      <c r="AJ773" s="2210"/>
      <c r="AK773" s="121"/>
      <c r="AL773" s="121"/>
      <c r="AM773" s="121"/>
      <c r="AN773" s="121"/>
      <c r="AO773" s="121"/>
      <c r="AP773" s="121"/>
      <c r="AQ773" s="121"/>
      <c r="AR773" s="121"/>
      <c r="AS773" s="121"/>
      <c r="AT773" s="121"/>
    </row>
    <row r="774" spans="1:46">
      <c r="D774" s="3791" t="s">
        <v>215</v>
      </c>
      <c r="E774" s="3012"/>
      <c r="F774" s="2209"/>
      <c r="G774" s="119"/>
      <c r="H774" s="119"/>
      <c r="I774" s="119"/>
      <c r="J774" s="3786">
        <v>-263</v>
      </c>
      <c r="K774" s="3786">
        <v>-357</v>
      </c>
      <c r="L774" s="3786">
        <v>-283</v>
      </c>
      <c r="M774" s="3786">
        <v>-317</v>
      </c>
      <c r="N774" s="3786">
        <v>-217</v>
      </c>
      <c r="O774" s="3786">
        <v>-239</v>
      </c>
      <c r="P774" s="3786">
        <v>-270</v>
      </c>
      <c r="Q774" s="3786">
        <v>-1363</v>
      </c>
      <c r="R774" s="3786">
        <v>-1199</v>
      </c>
      <c r="S774" s="3786">
        <v>-1310</v>
      </c>
      <c r="T774" s="3786">
        <v>-1790</v>
      </c>
      <c r="U774" s="3786">
        <v>-1759</v>
      </c>
      <c r="V774" s="3786">
        <v>-1983</v>
      </c>
      <c r="W774" s="3786">
        <v>-2527</v>
      </c>
      <c r="X774" s="3786">
        <v>-2567</v>
      </c>
      <c r="Y774" s="3786">
        <v>-3114</v>
      </c>
      <c r="Z774" s="3786">
        <v>-4253</v>
      </c>
      <c r="AA774" s="3786">
        <v>-4437</v>
      </c>
      <c r="AB774" s="3786">
        <v>-3315</v>
      </c>
      <c r="AC774" s="3786">
        <v>-3414</v>
      </c>
      <c r="AD774" s="3786">
        <v>-3916</v>
      </c>
      <c r="AE774" s="3786">
        <v>-4206</v>
      </c>
      <c r="AF774" s="3786">
        <v>-4332</v>
      </c>
      <c r="AG774" s="3786">
        <v>-2683</v>
      </c>
      <c r="AH774" s="3786">
        <v>-3514</v>
      </c>
      <c r="AI774" s="3786">
        <v>-2937</v>
      </c>
      <c r="AJ774" s="2209"/>
      <c r="AK774" s="119"/>
      <c r="AL774" s="119"/>
      <c r="AM774" s="119"/>
      <c r="AN774" s="119"/>
      <c r="AO774" s="119"/>
      <c r="AP774" s="119"/>
      <c r="AQ774" s="119"/>
      <c r="AR774" s="119"/>
      <c r="AS774" s="119"/>
      <c r="AT774" s="119"/>
    </row>
    <row r="775" spans="1:46">
      <c r="D775" s="3794" t="s">
        <v>222</v>
      </c>
      <c r="E775" s="3012"/>
      <c r="F775" s="2209"/>
      <c r="G775" s="119"/>
      <c r="H775" s="119"/>
      <c r="I775" s="119"/>
      <c r="J775" s="3789">
        <v>151</v>
      </c>
      <c r="K775" s="3789">
        <v>152</v>
      </c>
      <c r="L775" s="3789">
        <v>212</v>
      </c>
      <c r="M775" s="3789">
        <v>223</v>
      </c>
      <c r="N775" s="3789">
        <v>268</v>
      </c>
      <c r="O775" s="3789">
        <v>353</v>
      </c>
      <c r="P775" s="3789">
        <v>393</v>
      </c>
      <c r="Q775" s="3789">
        <v>504</v>
      </c>
      <c r="R775" s="3789">
        <v>726</v>
      </c>
      <c r="S775" s="3789">
        <v>641</v>
      </c>
      <c r="T775" s="3789">
        <v>621</v>
      </c>
      <c r="U775" s="3789">
        <v>673</v>
      </c>
      <c r="V775" s="3789">
        <v>832</v>
      </c>
      <c r="W775" s="3789">
        <v>906</v>
      </c>
      <c r="X775" s="3789">
        <v>1076</v>
      </c>
      <c r="Y775" s="3789">
        <v>1156</v>
      </c>
      <c r="Z775" s="3789">
        <v>1229</v>
      </c>
      <c r="AA775" s="3789">
        <v>1387</v>
      </c>
      <c r="AB775" s="3789">
        <v>1968</v>
      </c>
      <c r="AC775" s="3789">
        <v>2182</v>
      </c>
      <c r="AD775" s="3789">
        <v>2616</v>
      </c>
      <c r="AE775" s="3789">
        <v>2365</v>
      </c>
      <c r="AF775" s="3789">
        <v>2422</v>
      </c>
      <c r="AG775" s="3789">
        <v>3835</v>
      </c>
      <c r="AH775" s="3789">
        <v>4776</v>
      </c>
      <c r="AI775" s="3789">
        <v>5650</v>
      </c>
      <c r="AJ775" s="2209"/>
      <c r="AK775" s="119"/>
      <c r="AL775" s="119"/>
      <c r="AM775" s="119"/>
      <c r="AN775" s="119"/>
      <c r="AO775" s="119"/>
      <c r="AP775" s="119"/>
      <c r="AQ775" s="119"/>
      <c r="AR775" s="119"/>
      <c r="AS775" s="119"/>
      <c r="AT775" s="119"/>
    </row>
    <row r="776" spans="1:46">
      <c r="D776" s="3793" t="s">
        <v>223</v>
      </c>
      <c r="E776" s="3012"/>
      <c r="F776" s="2209"/>
      <c r="G776" s="119"/>
      <c r="H776" s="119"/>
      <c r="I776" s="119"/>
      <c r="J776" s="3788">
        <v>75</v>
      </c>
      <c r="K776" s="3788">
        <v>80</v>
      </c>
      <c r="L776" s="3788">
        <v>115</v>
      </c>
      <c r="M776" s="3788">
        <v>115</v>
      </c>
      <c r="N776" s="3788">
        <v>93</v>
      </c>
      <c r="O776" s="3788">
        <v>113</v>
      </c>
      <c r="P776" s="3788">
        <v>123</v>
      </c>
      <c r="Q776" s="3788">
        <v>152</v>
      </c>
      <c r="R776" s="3788">
        <v>175</v>
      </c>
      <c r="S776" s="3788">
        <v>218</v>
      </c>
      <c r="T776" s="3788">
        <v>161</v>
      </c>
      <c r="U776" s="3788">
        <v>205</v>
      </c>
      <c r="V776" s="3788">
        <v>334</v>
      </c>
      <c r="W776" s="3788">
        <v>411</v>
      </c>
      <c r="X776" s="3788">
        <v>510</v>
      </c>
      <c r="Y776" s="3788">
        <v>463</v>
      </c>
      <c r="Z776" s="3788">
        <v>453</v>
      </c>
      <c r="AA776" s="3788">
        <v>499</v>
      </c>
      <c r="AB776" s="3788">
        <v>1023</v>
      </c>
      <c r="AC776" s="3788">
        <v>1161</v>
      </c>
      <c r="AD776" s="3788">
        <v>1455</v>
      </c>
      <c r="AE776" s="3788">
        <v>1747</v>
      </c>
      <c r="AF776" s="3788">
        <v>1656</v>
      </c>
      <c r="AG776" s="3788">
        <v>2768</v>
      </c>
      <c r="AH776" s="3788">
        <v>3502</v>
      </c>
      <c r="AI776" s="3788">
        <v>4216</v>
      </c>
      <c r="AJ776" s="2209"/>
      <c r="AK776" s="119"/>
      <c r="AL776" s="119"/>
      <c r="AM776" s="119"/>
      <c r="AN776" s="119"/>
      <c r="AO776" s="119"/>
      <c r="AP776" s="119"/>
      <c r="AQ776" s="119"/>
      <c r="AR776" s="119"/>
      <c r="AS776" s="119"/>
      <c r="AT776" s="119"/>
    </row>
    <row r="777" spans="1:46">
      <c r="D777" s="3793" t="s">
        <v>224</v>
      </c>
      <c r="E777" s="3013"/>
      <c r="F777" s="2210"/>
      <c r="G777" s="121"/>
      <c r="H777" s="121"/>
      <c r="I777" s="121"/>
      <c r="J777" s="3788">
        <v>68</v>
      </c>
      <c r="K777" s="3788">
        <v>62</v>
      </c>
      <c r="L777" s="3788">
        <v>82</v>
      </c>
      <c r="M777" s="3788">
        <v>95</v>
      </c>
      <c r="N777" s="3788">
        <v>177</v>
      </c>
      <c r="O777" s="3788">
        <v>248</v>
      </c>
      <c r="P777" s="3788">
        <v>279</v>
      </c>
      <c r="Q777" s="3788">
        <v>397</v>
      </c>
      <c r="R777" s="3788">
        <v>640</v>
      </c>
      <c r="S777" s="3788">
        <v>460</v>
      </c>
      <c r="T777" s="3788">
        <v>533</v>
      </c>
      <c r="U777" s="3788">
        <v>524</v>
      </c>
      <c r="V777" s="3788">
        <v>518</v>
      </c>
      <c r="W777" s="3788">
        <v>491</v>
      </c>
      <c r="X777" s="3788">
        <v>547</v>
      </c>
      <c r="Y777" s="3788">
        <v>717</v>
      </c>
      <c r="Z777" s="3788">
        <v>819</v>
      </c>
      <c r="AA777" s="3788">
        <v>943</v>
      </c>
      <c r="AB777" s="3788">
        <v>984</v>
      </c>
      <c r="AC777" s="3788">
        <v>1066</v>
      </c>
      <c r="AD777" s="3788">
        <v>1205</v>
      </c>
      <c r="AE777" s="3788">
        <v>599</v>
      </c>
      <c r="AF777" s="3788">
        <v>766</v>
      </c>
      <c r="AG777" s="3788">
        <v>1067</v>
      </c>
      <c r="AH777" s="3788">
        <v>1273</v>
      </c>
      <c r="AI777" s="3788">
        <v>1435</v>
      </c>
      <c r="AJ777" s="2210"/>
      <c r="AK777" s="121"/>
      <c r="AL777" s="121"/>
      <c r="AM777" s="121"/>
      <c r="AN777" s="121"/>
      <c r="AO777" s="121"/>
      <c r="AP777" s="121"/>
      <c r="AQ777" s="121"/>
      <c r="AR777" s="121"/>
      <c r="AS777" s="121"/>
      <c r="AT777" s="121"/>
    </row>
    <row r="778" spans="1:46">
      <c r="D778" s="3794" t="s">
        <v>225</v>
      </c>
      <c r="E778" s="3013"/>
      <c r="F778" s="2210"/>
      <c r="G778" s="121"/>
      <c r="H778" s="121"/>
      <c r="I778" s="121"/>
      <c r="J778" s="3789">
        <v>422</v>
      </c>
      <c r="K778" s="3789">
        <v>525</v>
      </c>
      <c r="L778" s="3789">
        <v>498</v>
      </c>
      <c r="M778" s="3789">
        <v>544</v>
      </c>
      <c r="N778" s="3789">
        <v>476</v>
      </c>
      <c r="O778" s="3789">
        <v>576</v>
      </c>
      <c r="P778" s="3789">
        <v>644</v>
      </c>
      <c r="Q778" s="3789">
        <v>1669</v>
      </c>
      <c r="R778" s="3789">
        <v>1879</v>
      </c>
      <c r="S778" s="3789">
        <v>1827</v>
      </c>
      <c r="T778" s="3789">
        <v>2142</v>
      </c>
      <c r="U778" s="3789">
        <v>2192</v>
      </c>
      <c r="V778" s="3789">
        <v>2582</v>
      </c>
      <c r="W778" s="3789">
        <v>3065</v>
      </c>
      <c r="X778" s="3789">
        <v>3342</v>
      </c>
      <c r="Y778" s="3789">
        <v>3830</v>
      </c>
      <c r="Z778" s="3789">
        <v>4713</v>
      </c>
      <c r="AA778" s="3789">
        <v>5071</v>
      </c>
      <c r="AB778" s="3789">
        <v>5363</v>
      </c>
      <c r="AC778" s="3789">
        <v>5788</v>
      </c>
      <c r="AD778" s="3789">
        <v>6827</v>
      </c>
      <c r="AE778" s="3789">
        <v>6577</v>
      </c>
      <c r="AF778" s="3789">
        <v>6755</v>
      </c>
      <c r="AG778" s="3789">
        <v>6518</v>
      </c>
      <c r="AH778" s="3789">
        <v>8289</v>
      </c>
      <c r="AI778" s="3789">
        <v>8588</v>
      </c>
      <c r="AJ778" s="2210"/>
      <c r="AK778" s="121"/>
      <c r="AL778" s="121"/>
      <c r="AM778" s="121"/>
      <c r="AN778" s="121"/>
      <c r="AO778" s="121"/>
      <c r="AP778" s="121"/>
      <c r="AQ778" s="121"/>
      <c r="AR778" s="121"/>
      <c r="AS778" s="121"/>
      <c r="AT778" s="121"/>
    </row>
    <row r="779" spans="1:46">
      <c r="D779" s="3793" t="s">
        <v>223</v>
      </c>
      <c r="E779" s="3013"/>
      <c r="F779" s="2210"/>
      <c r="G779" s="121"/>
      <c r="H779" s="121"/>
      <c r="I779" s="121"/>
      <c r="J779" s="3788">
        <v>194</v>
      </c>
      <c r="K779" s="3788">
        <v>225</v>
      </c>
      <c r="L779" s="3788">
        <v>229</v>
      </c>
      <c r="M779" s="3788">
        <v>231</v>
      </c>
      <c r="N779" s="3788">
        <v>203</v>
      </c>
      <c r="O779" s="3788">
        <v>250</v>
      </c>
      <c r="P779" s="3788">
        <v>294</v>
      </c>
      <c r="Q779" s="3788">
        <v>836</v>
      </c>
      <c r="R779" s="3788">
        <v>1050</v>
      </c>
      <c r="S779" s="3788">
        <v>1238</v>
      </c>
      <c r="T779" s="3788">
        <v>1428</v>
      </c>
      <c r="U779" s="3788">
        <v>1556</v>
      </c>
      <c r="V779" s="3788">
        <v>1875</v>
      </c>
      <c r="W779" s="3788">
        <v>2297</v>
      </c>
      <c r="X779" s="3788">
        <v>2431</v>
      </c>
      <c r="Y779" s="3788">
        <v>2751</v>
      </c>
      <c r="Z779" s="3788">
        <v>3062</v>
      </c>
      <c r="AA779" s="3788">
        <v>3278</v>
      </c>
      <c r="AB779" s="3788">
        <v>3590</v>
      </c>
      <c r="AC779" s="3788">
        <v>4042</v>
      </c>
      <c r="AD779" s="3788">
        <v>5046</v>
      </c>
      <c r="AE779" s="3788">
        <v>5708</v>
      </c>
      <c r="AF779" s="3788">
        <v>5840</v>
      </c>
      <c r="AG779" s="3788">
        <v>5430</v>
      </c>
      <c r="AH779" s="3788">
        <v>7056</v>
      </c>
      <c r="AI779" s="3788">
        <v>7280</v>
      </c>
      <c r="AJ779" s="2210"/>
      <c r="AK779" s="121"/>
      <c r="AL779" s="121"/>
      <c r="AM779" s="121"/>
      <c r="AN779" s="121"/>
      <c r="AO779" s="121"/>
      <c r="AP779" s="121"/>
      <c r="AQ779" s="121"/>
      <c r="AR779" s="121"/>
      <c r="AS779" s="121"/>
      <c r="AT779" s="121"/>
    </row>
    <row r="780" spans="1:46" ht="16.75" thickBot="1">
      <c r="D780" s="3795" t="s">
        <v>224</v>
      </c>
      <c r="E780" s="3017"/>
      <c r="F780" s="2211"/>
      <c r="G780" s="133"/>
      <c r="H780" s="133"/>
      <c r="I780" s="133"/>
      <c r="J780" s="3790">
        <v>228</v>
      </c>
      <c r="K780" s="3790">
        <v>300</v>
      </c>
      <c r="L780" s="3790">
        <v>269</v>
      </c>
      <c r="M780" s="3790">
        <v>313</v>
      </c>
      <c r="N780" s="3790">
        <v>273</v>
      </c>
      <c r="O780" s="3790">
        <v>325</v>
      </c>
      <c r="P780" s="3790">
        <v>349</v>
      </c>
      <c r="Q780" s="3790">
        <v>822</v>
      </c>
      <c r="R780" s="3790">
        <v>808</v>
      </c>
      <c r="S780" s="3790">
        <v>560</v>
      </c>
      <c r="T780" s="3790">
        <v>684</v>
      </c>
      <c r="U780" s="3790">
        <v>594</v>
      </c>
      <c r="V780" s="3790">
        <v>661</v>
      </c>
      <c r="W780" s="3790">
        <v>703</v>
      </c>
      <c r="X780" s="3790">
        <v>850</v>
      </c>
      <c r="Y780" s="3790">
        <v>1003</v>
      </c>
      <c r="Z780" s="3790">
        <v>1510</v>
      </c>
      <c r="AA780" s="3790">
        <v>1643</v>
      </c>
      <c r="AB780" s="3790">
        <v>1628</v>
      </c>
      <c r="AC780" s="3790">
        <v>1613</v>
      </c>
      <c r="AD780" s="3790">
        <v>1662</v>
      </c>
      <c r="AE780" s="3790">
        <v>873</v>
      </c>
      <c r="AF780" s="3790">
        <v>914</v>
      </c>
      <c r="AG780" s="3790">
        <v>1088</v>
      </c>
      <c r="AH780" s="3790">
        <v>1235</v>
      </c>
      <c r="AI780" s="3790">
        <v>1308</v>
      </c>
      <c r="AJ780" s="2211"/>
      <c r="AK780" s="133"/>
      <c r="AL780" s="133"/>
      <c r="AM780" s="133"/>
      <c r="AN780" s="133"/>
      <c r="AO780" s="133"/>
      <c r="AP780" s="133"/>
      <c r="AQ780" s="133"/>
      <c r="AR780" s="133"/>
      <c r="AS780" s="133"/>
      <c r="AT780" s="133"/>
    </row>
    <row r="781" spans="1:46" ht="17.5" thickTop="1" thickBot="1">
      <c r="A781" s="300" t="s">
        <v>268</v>
      </c>
      <c r="D781" s="2108" t="s">
        <v>669</v>
      </c>
      <c r="E781" s="3036"/>
      <c r="F781" s="2206"/>
      <c r="G781" s="324"/>
      <c r="H781" s="324"/>
      <c r="I781" s="324"/>
      <c r="J781" s="324">
        <f t="shared" ref="J781:U781" si="416">+K781-1</f>
        <v>1999</v>
      </c>
      <c r="K781" s="324">
        <f t="shared" si="416"/>
        <v>2000</v>
      </c>
      <c r="L781" s="324">
        <f t="shared" si="416"/>
        <v>2001</v>
      </c>
      <c r="M781" s="324">
        <f t="shared" si="416"/>
        <v>2002</v>
      </c>
      <c r="N781" s="324">
        <f t="shared" si="416"/>
        <v>2003</v>
      </c>
      <c r="O781" s="324">
        <f t="shared" si="416"/>
        <v>2004</v>
      </c>
      <c r="P781" s="324">
        <f t="shared" si="416"/>
        <v>2005</v>
      </c>
      <c r="Q781" s="324">
        <f t="shared" si="416"/>
        <v>2006</v>
      </c>
      <c r="R781" s="324">
        <f t="shared" si="416"/>
        <v>2007</v>
      </c>
      <c r="S781" s="324">
        <f t="shared" si="416"/>
        <v>2008</v>
      </c>
      <c r="T781" s="324">
        <f t="shared" si="416"/>
        <v>2009</v>
      </c>
      <c r="U781" s="324">
        <f t="shared" si="416"/>
        <v>2010</v>
      </c>
      <c r="V781" s="324">
        <v>2011</v>
      </c>
      <c r="W781" s="324">
        <v>2012</v>
      </c>
      <c r="X781" s="324">
        <v>2013</v>
      </c>
      <c r="Y781" s="324">
        <v>2014</v>
      </c>
      <c r="Z781" s="324">
        <v>2015</v>
      </c>
      <c r="AA781" s="324">
        <v>2016</v>
      </c>
      <c r="AB781" s="324">
        <v>2017</v>
      </c>
      <c r="AC781" s="324">
        <v>2018</v>
      </c>
      <c r="AD781" s="324">
        <v>2019</v>
      </c>
      <c r="AE781" s="324">
        <v>2020</v>
      </c>
      <c r="AF781" s="324">
        <v>2021</v>
      </c>
      <c r="AG781" s="324">
        <v>2022</v>
      </c>
      <c r="AH781" s="324">
        <v>2023</v>
      </c>
      <c r="AI781" s="2214">
        <v>2024</v>
      </c>
      <c r="AJ781" s="2206">
        <v>2025</v>
      </c>
      <c r="AK781" s="324">
        <v>2026</v>
      </c>
      <c r="AL781" s="324">
        <v>2027</v>
      </c>
      <c r="AM781" s="324">
        <v>2028</v>
      </c>
      <c r="AN781" s="324">
        <v>2029</v>
      </c>
      <c r="AO781" s="324">
        <v>2030</v>
      </c>
      <c r="AP781" s="324">
        <v>2031</v>
      </c>
      <c r="AQ781" s="324">
        <v>2032</v>
      </c>
      <c r="AR781" s="324">
        <v>2033</v>
      </c>
      <c r="AS781" s="324">
        <v>2034</v>
      </c>
      <c r="AT781" s="324">
        <v>2035</v>
      </c>
    </row>
    <row r="782" spans="1:46" ht="16.75" thickBot="1">
      <c r="D782" s="2109"/>
      <c r="E782" s="3037"/>
      <c r="F782" s="2198"/>
      <c r="G782" s="276"/>
      <c r="H782" s="276"/>
      <c r="I782" s="276"/>
      <c r="J782" s="276"/>
      <c r="K782" s="276"/>
      <c r="L782" s="276"/>
      <c r="M782" s="276"/>
      <c r="N782" s="276"/>
      <c r="O782" s="276"/>
      <c r="P782" s="276"/>
      <c r="Q782" s="3809"/>
      <c r="R782" s="3809"/>
      <c r="S782" s="3809"/>
      <c r="T782" s="3809"/>
      <c r="U782" s="3809"/>
      <c r="V782" s="3809"/>
      <c r="W782" s="3809"/>
      <c r="X782" s="3809"/>
      <c r="Y782" s="3809"/>
      <c r="Z782" s="3809"/>
      <c r="AA782" s="3809"/>
      <c r="AB782" s="3809"/>
      <c r="AC782" s="3809"/>
      <c r="AD782" s="3809"/>
      <c r="AE782" s="3809"/>
      <c r="AF782" s="3809"/>
      <c r="AG782" s="3809"/>
      <c r="AH782" s="3809"/>
      <c r="AI782" s="3810"/>
      <c r="AJ782" s="2198"/>
      <c r="AK782" s="276"/>
      <c r="AL782" s="276"/>
      <c r="AM782" s="276"/>
      <c r="AN782" s="276"/>
      <c r="AO782" s="276"/>
      <c r="AP782" s="276"/>
      <c r="AQ782" s="276"/>
      <c r="AR782" s="276"/>
      <c r="AS782" s="276"/>
      <c r="AT782" s="276"/>
    </row>
    <row r="783" spans="1:46" ht="16.75" thickBot="1">
      <c r="D783" s="3283" t="s">
        <v>1731</v>
      </c>
      <c r="E783" s="3038"/>
      <c r="F783" s="2212"/>
      <c r="G783" s="279"/>
      <c r="H783" s="279"/>
      <c r="I783" s="1292"/>
      <c r="J783" s="1292"/>
      <c r="K783" s="1292"/>
      <c r="L783" s="1292"/>
      <c r="M783" s="1292"/>
      <c r="N783" s="1292"/>
      <c r="O783" s="1292"/>
      <c r="P783" s="1292"/>
      <c r="Q783" s="1292"/>
      <c r="R783" s="1292"/>
      <c r="S783" s="1292"/>
      <c r="T783" s="1292"/>
      <c r="U783" s="1292"/>
      <c r="V783" s="1292"/>
      <c r="W783" s="1292"/>
      <c r="X783" s="1292"/>
      <c r="Y783" s="1292"/>
      <c r="Z783" s="1292"/>
      <c r="AA783" s="1292"/>
      <c r="AB783" s="1292"/>
      <c r="AC783" s="1292"/>
      <c r="AD783" s="1292"/>
      <c r="AE783" s="1292"/>
      <c r="AF783" s="1292"/>
      <c r="AG783" s="1292"/>
      <c r="AH783" s="1252" t="str">
        <f>+AH805</f>
        <v>corrected fr NA</v>
      </c>
      <c r="AI783" s="1292"/>
      <c r="AJ783" s="2212"/>
      <c r="AK783" s="279"/>
      <c r="AL783" s="279"/>
      <c r="AM783" s="279"/>
      <c r="AN783" s="279"/>
      <c r="AO783" s="279"/>
      <c r="AP783" s="279"/>
      <c r="AQ783" s="279"/>
      <c r="AR783" s="279"/>
      <c r="AS783" s="279"/>
      <c r="AT783" s="279"/>
    </row>
    <row r="784" spans="1:46">
      <c r="D784" s="3791" t="s">
        <v>1729</v>
      </c>
      <c r="E784" s="3012"/>
      <c r="F784" s="2209"/>
      <c r="G784" s="119"/>
      <c r="H784" s="119"/>
      <c r="I784" s="3786"/>
      <c r="J784" s="3786">
        <v>35</v>
      </c>
      <c r="K784" s="3786">
        <v>36</v>
      </c>
      <c r="L784" s="3786">
        <v>36</v>
      </c>
      <c r="M784" s="3786">
        <v>34</v>
      </c>
      <c r="N784" s="3786">
        <v>41</v>
      </c>
      <c r="O784" s="3786">
        <v>45</v>
      </c>
      <c r="P784" s="3786">
        <v>50</v>
      </c>
      <c r="Q784" s="3786">
        <v>30.5</v>
      </c>
      <c r="R784" s="3786">
        <v>34.75</v>
      </c>
      <c r="S784" s="3786">
        <v>40</v>
      </c>
      <c r="T784" s="3786">
        <v>42.75</v>
      </c>
      <c r="U784" s="3786">
        <v>44</v>
      </c>
      <c r="V784" s="3786">
        <v>47.25</v>
      </c>
      <c r="W784" s="3786">
        <v>49.5</v>
      </c>
      <c r="X784" s="3786">
        <v>50.75</v>
      </c>
      <c r="Y784" s="3786">
        <v>53.5</v>
      </c>
      <c r="Z784" s="3786">
        <v>53.75</v>
      </c>
      <c r="AA784" s="3786">
        <v>56.75</v>
      </c>
      <c r="AB784" s="3786">
        <v>61</v>
      </c>
      <c r="AC784" s="3786">
        <v>61.5</v>
      </c>
      <c r="AD784" s="3786">
        <v>64</v>
      </c>
      <c r="AE784" s="3786">
        <v>68.75</v>
      </c>
      <c r="AF784" s="3786">
        <v>71.5</v>
      </c>
      <c r="AG784" s="3786">
        <v>82.75</v>
      </c>
      <c r="AH784" s="3786">
        <v>93</v>
      </c>
      <c r="AI784" s="3786">
        <v>102</v>
      </c>
      <c r="AJ784" s="2215">
        <f t="shared" ref="AJ784:AO784" si="417">+AJ806/AJ762*100</f>
        <v>106.19502375093374</v>
      </c>
      <c r="AK784" s="1286">
        <f t="shared" si="417"/>
        <v>116.33434606906879</v>
      </c>
      <c r="AL784" s="1286">
        <f t="shared" si="417"/>
        <v>120.63168037910386</v>
      </c>
      <c r="AM784" s="1286">
        <f t="shared" si="417"/>
        <v>125.47396231546</v>
      </c>
      <c r="AN784" s="1286">
        <f t="shared" si="417"/>
        <v>131.75922621518984</v>
      </c>
      <c r="AO784" s="1286">
        <f t="shared" si="417"/>
        <v>138.37563169858066</v>
      </c>
      <c r="AP784" s="1286">
        <f>+AP806/AP762*100</f>
        <v>144.56308170345037</v>
      </c>
      <c r="AQ784" s="1286">
        <f>+AQ806/AQ762*100</f>
        <v>151.87409050989828</v>
      </c>
      <c r="AR784" s="1286">
        <f>+AR806/AR762*100</f>
        <v>159.52888954874746</v>
      </c>
      <c r="AS784" s="1286">
        <f>+AS806/AS762*100</f>
        <v>167.20212508170104</v>
      </c>
      <c r="AT784" s="1286">
        <f>+AT806/AT762*100</f>
        <v>174.75914500648207</v>
      </c>
    </row>
    <row r="785" spans="1:46" ht="18">
      <c r="D785" s="3792"/>
      <c r="E785" s="3012"/>
      <c r="F785" s="2209"/>
      <c r="G785" s="119"/>
      <c r="H785" s="119"/>
      <c r="I785" s="3787"/>
      <c r="J785" s="3787"/>
      <c r="K785" s="3787"/>
      <c r="L785" s="3787"/>
      <c r="M785" s="3787"/>
      <c r="N785" s="3787"/>
      <c r="O785" s="3787"/>
      <c r="P785" s="3787"/>
      <c r="Q785" s="3787"/>
      <c r="R785" s="3787"/>
      <c r="S785" s="3787"/>
      <c r="T785" s="3787"/>
      <c r="U785" s="3787"/>
      <c r="V785" s="3787"/>
      <c r="W785" s="3787"/>
      <c r="X785" s="3787"/>
      <c r="Y785" s="3787"/>
      <c r="Z785" s="3787"/>
      <c r="AA785" s="3787"/>
      <c r="AB785" s="3787"/>
      <c r="AC785" s="3787"/>
      <c r="AD785" s="3787"/>
      <c r="AE785" s="3787"/>
      <c r="AF785" s="3787"/>
      <c r="AG785" s="3787"/>
      <c r="AH785" s="3787"/>
      <c r="AI785" s="3787"/>
      <c r="AJ785" s="3204"/>
      <c r="AK785" s="119"/>
      <c r="AL785" s="119"/>
      <c r="AM785" s="119"/>
      <c r="AN785" s="119"/>
      <c r="AO785" s="119"/>
      <c r="AP785" s="119"/>
      <c r="AQ785" s="119"/>
      <c r="AR785" s="119"/>
      <c r="AS785" s="119"/>
      <c r="AT785" s="119"/>
    </row>
    <row r="786" spans="1:46">
      <c r="D786" s="3791" t="s">
        <v>213</v>
      </c>
      <c r="E786" s="3012"/>
      <c r="F786" s="2209"/>
      <c r="G786" s="119"/>
      <c r="H786" s="119"/>
      <c r="I786" s="3786"/>
      <c r="J786" s="3786">
        <v>36</v>
      </c>
      <c r="K786" s="3786">
        <v>36</v>
      </c>
      <c r="L786" s="3786">
        <v>36</v>
      </c>
      <c r="M786" s="3786">
        <v>35</v>
      </c>
      <c r="N786" s="3786">
        <v>43</v>
      </c>
      <c r="O786" s="3786">
        <v>47</v>
      </c>
      <c r="P786" s="3786">
        <v>51</v>
      </c>
      <c r="Q786" s="3786">
        <v>27.75</v>
      </c>
      <c r="R786" s="3786">
        <v>32.25</v>
      </c>
      <c r="S786" s="3786">
        <v>39.75</v>
      </c>
      <c r="T786" s="3786">
        <v>40.5</v>
      </c>
      <c r="U786" s="3786">
        <v>42.5</v>
      </c>
      <c r="V786" s="3786">
        <v>44.5</v>
      </c>
      <c r="W786" s="3786">
        <v>46</v>
      </c>
      <c r="X786" s="3786">
        <v>47</v>
      </c>
      <c r="Y786" s="3786">
        <v>48.5</v>
      </c>
      <c r="Z786" s="3786">
        <v>47.25</v>
      </c>
      <c r="AA786" s="3786">
        <v>49.25</v>
      </c>
      <c r="AB786" s="3786">
        <v>55</v>
      </c>
      <c r="AC786" s="3786">
        <v>54.25</v>
      </c>
      <c r="AD786" s="3786">
        <v>56.75</v>
      </c>
      <c r="AE786" s="3786">
        <v>61</v>
      </c>
      <c r="AF786" s="3786">
        <v>68.5</v>
      </c>
      <c r="AG786" s="3786">
        <v>80.25</v>
      </c>
      <c r="AH786" s="3786">
        <v>92.5</v>
      </c>
      <c r="AI786" s="3786">
        <v>102.25</v>
      </c>
      <c r="AJ786" s="2250"/>
      <c r="AK786" s="119"/>
      <c r="AL786" s="119"/>
      <c r="AM786" s="119"/>
      <c r="AN786" s="119"/>
      <c r="AO786" s="119"/>
      <c r="AP786" s="119"/>
      <c r="AQ786" s="119"/>
      <c r="AR786" s="119"/>
      <c r="AS786" s="119"/>
      <c r="AT786" s="119"/>
    </row>
    <row r="787" spans="1:46">
      <c r="D787" s="3793" t="s">
        <v>216</v>
      </c>
      <c r="E787" s="3012"/>
      <c r="F787" s="2209"/>
      <c r="G787" s="119"/>
      <c r="H787" s="119"/>
      <c r="I787" s="3788"/>
      <c r="J787" s="3788">
        <v>44</v>
      </c>
      <c r="K787" s="3788">
        <v>47</v>
      </c>
      <c r="L787" s="3788">
        <v>47</v>
      </c>
      <c r="M787" s="3788">
        <v>46</v>
      </c>
      <c r="N787" s="3788">
        <v>51</v>
      </c>
      <c r="O787" s="3788">
        <v>54</v>
      </c>
      <c r="P787" s="3788">
        <v>58</v>
      </c>
      <c r="Q787" s="3788">
        <v>36</v>
      </c>
      <c r="R787" s="3788">
        <v>38</v>
      </c>
      <c r="S787" s="3788">
        <v>41.25</v>
      </c>
      <c r="T787" s="3788">
        <v>43.5</v>
      </c>
      <c r="U787" s="3788">
        <v>45.25</v>
      </c>
      <c r="V787" s="3788">
        <v>45.75</v>
      </c>
      <c r="W787" s="3788">
        <v>48.75</v>
      </c>
      <c r="X787" s="3788">
        <v>52.25</v>
      </c>
      <c r="Y787" s="3788">
        <v>53.5</v>
      </c>
      <c r="Z787" s="3788">
        <v>53.75</v>
      </c>
      <c r="AA787" s="3788">
        <v>59.75</v>
      </c>
      <c r="AB787" s="3788">
        <v>62.5</v>
      </c>
      <c r="AC787" s="3788">
        <v>59.5</v>
      </c>
      <c r="AD787" s="3788">
        <v>61</v>
      </c>
      <c r="AE787" s="3788">
        <v>63.75</v>
      </c>
      <c r="AF787" s="3788">
        <v>74</v>
      </c>
      <c r="AG787" s="3788">
        <v>84.25</v>
      </c>
      <c r="AH787" s="3788">
        <v>97.5</v>
      </c>
      <c r="AI787" s="3788">
        <v>101.5</v>
      </c>
      <c r="AJ787" s="2250"/>
      <c r="AK787" s="119"/>
      <c r="AL787" s="119"/>
      <c r="AM787" s="119"/>
      <c r="AN787" s="119"/>
      <c r="AO787" s="119"/>
      <c r="AP787" s="119"/>
      <c r="AQ787" s="119"/>
      <c r="AR787" s="119"/>
      <c r="AS787" s="119"/>
      <c r="AT787" s="119"/>
    </row>
    <row r="788" spans="1:46">
      <c r="D788" s="3793" t="s">
        <v>217</v>
      </c>
      <c r="E788" s="3012"/>
      <c r="F788" s="2209"/>
      <c r="G788" s="119"/>
      <c r="H788" s="119"/>
      <c r="I788" s="3788"/>
      <c r="J788" s="3788">
        <v>35</v>
      </c>
      <c r="K788" s="3788">
        <v>35</v>
      </c>
      <c r="L788" s="3788">
        <v>35</v>
      </c>
      <c r="M788" s="3788">
        <v>33</v>
      </c>
      <c r="N788" s="3788">
        <v>41</v>
      </c>
      <c r="O788" s="3788">
        <v>45</v>
      </c>
      <c r="P788" s="3788">
        <v>49</v>
      </c>
      <c r="Q788" s="3788">
        <v>26.75</v>
      </c>
      <c r="R788" s="3788">
        <v>31.5</v>
      </c>
      <c r="S788" s="3788">
        <v>39</v>
      </c>
      <c r="T788" s="3788">
        <v>39.75</v>
      </c>
      <c r="U788" s="3788">
        <v>42.25</v>
      </c>
      <c r="V788" s="3788">
        <v>44.5</v>
      </c>
      <c r="W788" s="3788">
        <v>45.5</v>
      </c>
      <c r="X788" s="3788">
        <v>46.25</v>
      </c>
      <c r="Y788" s="3788">
        <v>47.5</v>
      </c>
      <c r="Z788" s="3788">
        <v>46.25</v>
      </c>
      <c r="AA788" s="3788">
        <v>47.75</v>
      </c>
      <c r="AB788" s="3788">
        <v>53.5</v>
      </c>
      <c r="AC788" s="3788">
        <v>53.75</v>
      </c>
      <c r="AD788" s="3788">
        <v>55.75</v>
      </c>
      <c r="AE788" s="3788">
        <v>60.5</v>
      </c>
      <c r="AF788" s="3788">
        <v>66.75</v>
      </c>
      <c r="AG788" s="3788">
        <v>79.5</v>
      </c>
      <c r="AH788" s="3788">
        <v>91.25</v>
      </c>
      <c r="AI788" s="3788">
        <v>102.25</v>
      </c>
      <c r="AJ788" s="2204"/>
      <c r="AK788" s="119"/>
      <c r="AL788" s="119"/>
      <c r="AM788" s="119"/>
      <c r="AN788" s="119"/>
      <c r="AO788" s="119"/>
      <c r="AP788" s="119"/>
      <c r="AQ788" s="119"/>
      <c r="AR788" s="119"/>
      <c r="AS788" s="119"/>
      <c r="AT788" s="119"/>
    </row>
    <row r="789" spans="1:46" ht="18">
      <c r="D789" s="3792"/>
      <c r="E789" s="3012"/>
      <c r="F789" s="2209"/>
      <c r="G789" s="119"/>
      <c r="H789" s="119"/>
      <c r="I789" s="3787"/>
      <c r="J789" s="3787"/>
      <c r="K789" s="3787"/>
      <c r="L789" s="3787"/>
      <c r="M789" s="3787"/>
      <c r="N789" s="3787"/>
      <c r="O789" s="3787"/>
      <c r="P789" s="3787"/>
      <c r="Q789" s="3787"/>
      <c r="R789" s="3787"/>
      <c r="S789" s="3787"/>
      <c r="T789" s="3787"/>
      <c r="U789" s="3787"/>
      <c r="V789" s="3787"/>
      <c r="W789" s="3787"/>
      <c r="X789" s="3787"/>
      <c r="Y789" s="3787"/>
      <c r="Z789" s="3787"/>
      <c r="AA789" s="3787"/>
      <c r="AB789" s="3787"/>
      <c r="AC789" s="3787"/>
      <c r="AD789" s="3787"/>
      <c r="AE789" s="3787"/>
      <c r="AF789" s="3787"/>
      <c r="AG789" s="3787"/>
      <c r="AH789" s="3787"/>
      <c r="AI789" s="3787"/>
      <c r="AJ789" s="2204"/>
      <c r="AK789" s="119"/>
      <c r="AL789" s="119"/>
      <c r="AM789" s="119"/>
      <c r="AN789" s="119"/>
      <c r="AO789" s="119"/>
      <c r="AP789" s="119"/>
      <c r="AQ789" s="119"/>
      <c r="AR789" s="119"/>
      <c r="AS789" s="119"/>
      <c r="AT789" s="119"/>
    </row>
    <row r="790" spans="1:46">
      <c r="D790" s="3791" t="s">
        <v>214</v>
      </c>
      <c r="E790" s="3015"/>
      <c r="F790" s="2213"/>
      <c r="G790" s="126"/>
      <c r="H790" s="126"/>
      <c r="I790" s="3786"/>
      <c r="J790" s="3786">
        <v>37</v>
      </c>
      <c r="K790" s="3786">
        <v>36</v>
      </c>
      <c r="L790" s="3786">
        <v>41</v>
      </c>
      <c r="M790" s="3786">
        <v>40</v>
      </c>
      <c r="N790" s="3786">
        <v>47</v>
      </c>
      <c r="O790" s="3786">
        <v>55</v>
      </c>
      <c r="P790" s="3786">
        <v>59</v>
      </c>
      <c r="Q790" s="3786">
        <v>27</v>
      </c>
      <c r="R790" s="3786">
        <v>29</v>
      </c>
      <c r="S790" s="3786">
        <v>35.25</v>
      </c>
      <c r="T790" s="3786">
        <v>38.5</v>
      </c>
      <c r="U790" s="3786">
        <v>39.25</v>
      </c>
      <c r="V790" s="3786">
        <v>42</v>
      </c>
      <c r="W790" s="3786">
        <v>43.5</v>
      </c>
      <c r="X790" s="3786">
        <v>45.5</v>
      </c>
      <c r="Y790" s="3786">
        <v>45.75</v>
      </c>
      <c r="Z790" s="3786">
        <v>44.25</v>
      </c>
      <c r="AA790" s="3786">
        <v>48.5</v>
      </c>
      <c r="AB790" s="3786">
        <v>52</v>
      </c>
      <c r="AC790" s="3786">
        <v>40.5</v>
      </c>
      <c r="AD790" s="3786">
        <v>42.25</v>
      </c>
      <c r="AE790" s="3786">
        <v>43.25</v>
      </c>
      <c r="AF790" s="3786">
        <v>79</v>
      </c>
      <c r="AG790" s="3786">
        <v>92.5</v>
      </c>
      <c r="AH790" s="3786">
        <v>95.75</v>
      </c>
      <c r="AI790" s="3786">
        <v>102.25</v>
      </c>
      <c r="AJ790" s="2204"/>
      <c r="AK790" s="126"/>
      <c r="AL790" s="126"/>
      <c r="AM790" s="126"/>
      <c r="AN790" s="126"/>
      <c r="AO790" s="126"/>
      <c r="AP790" s="126"/>
      <c r="AQ790" s="126"/>
      <c r="AR790" s="126"/>
      <c r="AS790" s="126"/>
      <c r="AT790" s="126"/>
    </row>
    <row r="791" spans="1:46" s="288" customFormat="1">
      <c r="A791" s="300"/>
      <c r="B791" s="292"/>
      <c r="C791" s="292"/>
      <c r="D791" s="3807" t="s">
        <v>1758</v>
      </c>
      <c r="E791" s="3801"/>
      <c r="F791" s="3802"/>
      <c r="G791" s="3803"/>
      <c r="H791" s="3803"/>
      <c r="I791" s="3808"/>
      <c r="J791" s="3808">
        <v>36</v>
      </c>
      <c r="K791" s="3808">
        <v>35</v>
      </c>
      <c r="L791" s="3808">
        <v>40</v>
      </c>
      <c r="M791" s="3808">
        <v>39</v>
      </c>
      <c r="N791" s="3808">
        <v>45</v>
      </c>
      <c r="O791" s="3808">
        <v>53</v>
      </c>
      <c r="P791" s="3808">
        <v>57</v>
      </c>
      <c r="Q791" s="3808">
        <f>+Q812/Q768*100</f>
        <v>26.85546875</v>
      </c>
      <c r="R791" s="3808">
        <f t="shared" ref="R791:AI791" si="418">+R812/R768*100</f>
        <v>28.736517719568567</v>
      </c>
      <c r="S791" s="3808">
        <f t="shared" si="418"/>
        <v>35.359438924605499</v>
      </c>
      <c r="T791" s="3808">
        <f t="shared" si="418"/>
        <v>38.56655290102389</v>
      </c>
      <c r="U791" s="3808">
        <f t="shared" si="418"/>
        <v>38.938992042440319</v>
      </c>
      <c r="V791" s="3808">
        <f t="shared" si="418"/>
        <v>41.913550267119959</v>
      </c>
      <c r="W791" s="3808">
        <f t="shared" si="418"/>
        <v>43.543901470003973</v>
      </c>
      <c r="X791" s="3808">
        <f t="shared" si="418"/>
        <v>45.551864156515322</v>
      </c>
      <c r="Y791" s="3808">
        <f t="shared" si="418"/>
        <v>45.696291112666202</v>
      </c>
      <c r="Z791" s="3808">
        <f t="shared" si="418"/>
        <v>44.256455921638462</v>
      </c>
      <c r="AA791" s="3808">
        <f t="shared" si="418"/>
        <v>48.508891928864564</v>
      </c>
      <c r="AB791" s="3808">
        <f t="shared" si="418"/>
        <v>52.011331444759215</v>
      </c>
      <c r="AC791" s="3808">
        <f t="shared" si="418"/>
        <v>40.439978272677891</v>
      </c>
      <c r="AD791" s="3808">
        <f t="shared" si="418"/>
        <v>42.439933719966859</v>
      </c>
      <c r="AE791" s="3808">
        <f t="shared" si="418"/>
        <v>42.925316153662614</v>
      </c>
      <c r="AF791" s="3808">
        <f t="shared" si="418"/>
        <v>79.07723169508526</v>
      </c>
      <c r="AG791" s="3808">
        <f t="shared" si="418"/>
        <v>92.144702842377257</v>
      </c>
      <c r="AH791" s="3808">
        <f t="shared" si="418"/>
        <v>95.810866860223982</v>
      </c>
      <c r="AI791" s="3808">
        <f t="shared" si="418"/>
        <v>102.24992834623102</v>
      </c>
      <c r="AJ791" s="3800"/>
      <c r="AK791" s="3803"/>
      <c r="AL791" s="3803"/>
      <c r="AM791" s="3803"/>
      <c r="AN791" s="3803"/>
      <c r="AO791" s="3803"/>
      <c r="AP791" s="3803"/>
      <c r="AQ791" s="3803"/>
      <c r="AR791" s="3803"/>
      <c r="AS791" s="3803"/>
      <c r="AT791" s="3803"/>
    </row>
    <row r="792" spans="1:46">
      <c r="D792" s="3793" t="s">
        <v>219</v>
      </c>
      <c r="E792" s="3013"/>
      <c r="F792" s="2210"/>
      <c r="G792" s="121"/>
      <c r="H792" s="121"/>
      <c r="I792" s="3788"/>
      <c r="J792" s="3788">
        <v>38</v>
      </c>
      <c r="K792" s="3788">
        <v>38</v>
      </c>
      <c r="L792" s="3788">
        <v>39</v>
      </c>
      <c r="M792" s="3788">
        <v>39</v>
      </c>
      <c r="N792" s="3788">
        <v>43</v>
      </c>
      <c r="O792" s="3788">
        <v>49</v>
      </c>
      <c r="P792" s="3788">
        <v>53</v>
      </c>
      <c r="Q792" s="3788">
        <v>33.25</v>
      </c>
      <c r="R792" s="3788">
        <v>35.75</v>
      </c>
      <c r="S792" s="3788">
        <v>40.5</v>
      </c>
      <c r="T792" s="3788">
        <v>45</v>
      </c>
      <c r="U792" s="3788">
        <v>45.75</v>
      </c>
      <c r="V792" s="3788">
        <v>47.75</v>
      </c>
      <c r="W792" s="3788">
        <v>50.5</v>
      </c>
      <c r="X792" s="3788">
        <v>52.25</v>
      </c>
      <c r="Y792" s="3788">
        <v>53.25</v>
      </c>
      <c r="Z792" s="3788">
        <v>53.75</v>
      </c>
      <c r="AA792" s="3788">
        <v>57.25</v>
      </c>
      <c r="AB792" s="3788">
        <v>60.25</v>
      </c>
      <c r="AC792" s="3788">
        <v>50</v>
      </c>
      <c r="AD792" s="3788">
        <v>50.25</v>
      </c>
      <c r="AE792" s="3788">
        <v>50.75</v>
      </c>
      <c r="AF792" s="3788">
        <v>82.25</v>
      </c>
      <c r="AG792" s="3788">
        <v>83.25</v>
      </c>
      <c r="AH792" s="3788">
        <v>92.75</v>
      </c>
      <c r="AI792" s="3788">
        <v>101.5</v>
      </c>
      <c r="AJ792" s="2204"/>
      <c r="AK792" s="121"/>
      <c r="AL792" s="121"/>
      <c r="AM792" s="121"/>
      <c r="AN792" s="121"/>
      <c r="AO792" s="121"/>
      <c r="AP792" s="121"/>
      <c r="AQ792" s="121"/>
      <c r="AR792" s="121"/>
      <c r="AS792" s="121"/>
      <c r="AT792" s="121"/>
    </row>
    <row r="793" spans="1:46">
      <c r="D793" s="3793" t="s">
        <v>220</v>
      </c>
      <c r="E793" s="1560"/>
      <c r="F793" s="560"/>
      <c r="G793" s="130"/>
      <c r="H793" s="130"/>
      <c r="I793" s="3788"/>
      <c r="J793" s="3788">
        <v>32</v>
      </c>
      <c r="K793" s="3788">
        <v>31</v>
      </c>
      <c r="L793" s="3788">
        <v>40</v>
      </c>
      <c r="M793" s="3788">
        <v>39</v>
      </c>
      <c r="N793" s="3788">
        <v>49</v>
      </c>
      <c r="O793" s="3788">
        <v>64</v>
      </c>
      <c r="P793" s="3788">
        <v>67</v>
      </c>
      <c r="Q793" s="3788">
        <v>30.75</v>
      </c>
      <c r="R793" s="3788">
        <v>32.25</v>
      </c>
      <c r="S793" s="3788">
        <v>45.25</v>
      </c>
      <c r="T793" s="3788">
        <v>50</v>
      </c>
      <c r="U793" s="3788">
        <v>49.75</v>
      </c>
      <c r="V793" s="3788">
        <v>55.25</v>
      </c>
      <c r="W793" s="3788">
        <v>56.5</v>
      </c>
      <c r="X793" s="3788">
        <v>60.75</v>
      </c>
      <c r="Y793" s="3788">
        <v>61.25</v>
      </c>
      <c r="Z793" s="3788">
        <v>50.25</v>
      </c>
      <c r="AA793" s="3788">
        <v>60</v>
      </c>
      <c r="AB793" s="3788">
        <v>71.75</v>
      </c>
      <c r="AC793" s="3788">
        <v>47.75</v>
      </c>
      <c r="AD793" s="3788">
        <v>54.25</v>
      </c>
      <c r="AE793" s="3788">
        <v>48.75</v>
      </c>
      <c r="AF793" s="3788">
        <v>76.5</v>
      </c>
      <c r="AG793" s="3788">
        <v>112.5</v>
      </c>
      <c r="AH793" s="3788">
        <v>100.25</v>
      </c>
      <c r="AI793" s="3788">
        <v>103.25</v>
      </c>
      <c r="AJ793" s="2197"/>
      <c r="AK793" s="130"/>
      <c r="AL793" s="130"/>
      <c r="AM793" s="130"/>
      <c r="AN793" s="130"/>
      <c r="AO793" s="130"/>
      <c r="AP793" s="130"/>
      <c r="AQ793" s="130"/>
      <c r="AR793" s="130"/>
      <c r="AS793" s="130"/>
      <c r="AT793" s="130"/>
    </row>
    <row r="794" spans="1:46" s="288" customFormat="1">
      <c r="A794" s="300"/>
      <c r="B794" s="292"/>
      <c r="C794" s="292"/>
      <c r="D794" s="3806" t="s">
        <v>221</v>
      </c>
      <c r="E794" s="3801"/>
      <c r="F794" s="3802"/>
      <c r="G794" s="3803"/>
      <c r="H794" s="3803"/>
      <c r="I794" s="3789"/>
      <c r="J794" s="3789"/>
      <c r="K794" s="3789"/>
      <c r="L794" s="3789"/>
      <c r="M794" s="3789"/>
      <c r="N794" s="3789"/>
      <c r="O794" s="3789"/>
      <c r="P794" s="3789"/>
      <c r="Q794" s="3789"/>
      <c r="R794" s="3789"/>
      <c r="S794" s="3789"/>
      <c r="T794" s="3789"/>
      <c r="U794" s="3789"/>
      <c r="V794" s="3789"/>
      <c r="W794" s="3789"/>
      <c r="X794" s="3789"/>
      <c r="Y794" s="3789"/>
      <c r="Z794" s="3789"/>
      <c r="AA794" s="3789"/>
      <c r="AB794" s="3789"/>
      <c r="AC794" s="3789"/>
      <c r="AD794" s="3789"/>
      <c r="AE794" s="3789"/>
      <c r="AF794" s="3789"/>
      <c r="AG794" s="3789"/>
      <c r="AH794" s="3789"/>
      <c r="AI794" s="3789"/>
      <c r="AJ794" s="3804"/>
      <c r="AK794" s="3803"/>
      <c r="AL794" s="3803"/>
      <c r="AM794" s="3803"/>
      <c r="AN794" s="3803"/>
      <c r="AO794" s="3803"/>
      <c r="AP794" s="3803"/>
      <c r="AQ794" s="3803"/>
      <c r="AR794" s="3803"/>
      <c r="AS794" s="3803"/>
      <c r="AT794" s="3803"/>
    </row>
    <row r="795" spans="1:46">
      <c r="D795" s="129"/>
      <c r="E795" s="3013"/>
      <c r="F795" s="2210"/>
      <c r="G795" s="121"/>
      <c r="H795" s="121"/>
      <c r="I795" s="3789"/>
      <c r="J795" s="3789"/>
      <c r="K795" s="3789"/>
      <c r="L795" s="3789"/>
      <c r="M795" s="3789"/>
      <c r="N795" s="3789"/>
      <c r="O795" s="3789"/>
      <c r="P795" s="3789"/>
      <c r="Q795" s="3789"/>
      <c r="R795" s="3789"/>
      <c r="S795" s="3789"/>
      <c r="T795" s="3789"/>
      <c r="U795" s="3789"/>
      <c r="V795" s="3789"/>
      <c r="W795" s="3789"/>
      <c r="X795" s="3789"/>
      <c r="Y795" s="3789"/>
      <c r="Z795" s="3789"/>
      <c r="AA795" s="3789"/>
      <c r="AB795" s="3789"/>
      <c r="AC795" s="3789"/>
      <c r="AD795" s="3789"/>
      <c r="AE795" s="3789"/>
      <c r="AF795" s="3789"/>
      <c r="AG795" s="3789"/>
      <c r="AH795" s="3789"/>
      <c r="AI795" s="3789"/>
      <c r="AJ795" s="2196"/>
      <c r="AK795" s="121"/>
      <c r="AL795" s="121"/>
      <c r="AM795" s="121"/>
      <c r="AN795" s="121"/>
      <c r="AO795" s="121"/>
      <c r="AP795" s="121"/>
      <c r="AQ795" s="121"/>
      <c r="AR795" s="121"/>
      <c r="AS795" s="121"/>
      <c r="AT795" s="121"/>
    </row>
    <row r="796" spans="1:46">
      <c r="D796" s="3791" t="s">
        <v>215</v>
      </c>
      <c r="E796" s="3012"/>
      <c r="F796" s="2209"/>
      <c r="G796" s="119"/>
      <c r="H796" s="119"/>
      <c r="I796" s="3786"/>
      <c r="J796" s="3786">
        <v>45</v>
      </c>
      <c r="K796" s="3786">
        <v>38</v>
      </c>
      <c r="L796" s="3786">
        <v>45</v>
      </c>
      <c r="M796" s="3786">
        <v>45</v>
      </c>
      <c r="N796" s="3786">
        <v>73</v>
      </c>
      <c r="O796" s="3786">
        <v>73</v>
      </c>
      <c r="P796" s="3786">
        <v>78</v>
      </c>
      <c r="Q796" s="3786">
        <v>15.75</v>
      </c>
      <c r="R796" s="3786">
        <v>15.75</v>
      </c>
      <c r="S796" s="3786">
        <v>33.5</v>
      </c>
      <c r="T796" s="3786">
        <v>29.5</v>
      </c>
      <c r="U796" s="3786">
        <v>33</v>
      </c>
      <c r="V796" s="3786">
        <v>30.25</v>
      </c>
      <c r="W796" s="3786">
        <v>31.25</v>
      </c>
      <c r="X796" s="3786">
        <v>31</v>
      </c>
      <c r="Y796" s="3786">
        <v>29</v>
      </c>
      <c r="Z796" s="3786">
        <v>27</v>
      </c>
      <c r="AA796" s="3786">
        <v>28.75</v>
      </c>
      <c r="AB796" s="3786">
        <v>29.25</v>
      </c>
      <c r="AC796" s="3786">
        <v>11</v>
      </c>
      <c r="AD796" s="3786">
        <v>11.75</v>
      </c>
      <c r="AE796" s="3786">
        <v>16.5</v>
      </c>
      <c r="AF796" s="3786">
        <v>70</v>
      </c>
      <c r="AG796" s="3786">
        <v>92</v>
      </c>
      <c r="AH796" s="3786">
        <v>95.5</v>
      </c>
      <c r="AI796" s="3786">
        <v>102.5</v>
      </c>
      <c r="AJ796" s="3282"/>
      <c r="AK796" s="119"/>
      <c r="AL796" s="119"/>
      <c r="AM796" s="119"/>
      <c r="AN796" s="119"/>
      <c r="AO796" s="119"/>
      <c r="AP796" s="119"/>
      <c r="AQ796" s="119"/>
      <c r="AR796" s="119"/>
      <c r="AS796" s="119"/>
      <c r="AT796" s="119"/>
    </row>
    <row r="797" spans="1:46">
      <c r="D797" s="3794" t="s">
        <v>222</v>
      </c>
      <c r="E797" s="3012"/>
      <c r="F797" s="2209"/>
      <c r="G797" s="119"/>
      <c r="H797" s="119"/>
      <c r="I797" s="3789"/>
      <c r="J797" s="3789">
        <v>26</v>
      </c>
      <c r="K797" s="3789">
        <v>29</v>
      </c>
      <c r="L797" s="3789">
        <v>30</v>
      </c>
      <c r="M797" s="3789">
        <v>26</v>
      </c>
      <c r="N797" s="3789">
        <v>33</v>
      </c>
      <c r="O797" s="3789">
        <v>40</v>
      </c>
      <c r="P797" s="3789">
        <v>45</v>
      </c>
      <c r="Q797" s="3789">
        <v>40</v>
      </c>
      <c r="R797" s="3789">
        <v>42</v>
      </c>
      <c r="S797" s="3789">
        <v>50.25</v>
      </c>
      <c r="T797" s="3789">
        <v>54</v>
      </c>
      <c r="U797" s="3789">
        <v>56.75</v>
      </c>
      <c r="V797" s="3789">
        <v>62.5</v>
      </c>
      <c r="W797" s="3789">
        <v>62.25</v>
      </c>
      <c r="X797" s="3789">
        <v>63.25</v>
      </c>
      <c r="Y797" s="3789">
        <v>67.5</v>
      </c>
      <c r="Z797" s="3789">
        <v>66.25</v>
      </c>
      <c r="AA797" s="3789">
        <v>76</v>
      </c>
      <c r="AB797" s="3789">
        <v>80</v>
      </c>
      <c r="AC797" s="3789">
        <v>82.5</v>
      </c>
      <c r="AD797" s="3789">
        <v>79.75</v>
      </c>
      <c r="AE797" s="3789">
        <v>78</v>
      </c>
      <c r="AF797" s="3789">
        <v>88.25</v>
      </c>
      <c r="AG797" s="3789">
        <v>80.75</v>
      </c>
      <c r="AH797" s="3789">
        <v>89.5</v>
      </c>
      <c r="AI797" s="3789">
        <v>102.5</v>
      </c>
      <c r="AJ797" s="3282"/>
      <c r="AK797" s="119"/>
      <c r="AL797" s="119"/>
      <c r="AM797" s="119"/>
      <c r="AN797" s="119"/>
      <c r="AO797" s="119"/>
      <c r="AP797" s="119"/>
      <c r="AQ797" s="119"/>
      <c r="AR797" s="119"/>
      <c r="AS797" s="119"/>
      <c r="AT797" s="119"/>
    </row>
    <row r="798" spans="1:46">
      <c r="D798" s="3793" t="s">
        <v>223</v>
      </c>
      <c r="E798" s="3012"/>
      <c r="F798" s="2209"/>
      <c r="G798" s="119"/>
      <c r="H798" s="119"/>
      <c r="I798" s="3788"/>
      <c r="J798" s="3788">
        <v>26</v>
      </c>
      <c r="K798" s="3788">
        <v>31</v>
      </c>
      <c r="L798" s="3788">
        <v>34</v>
      </c>
      <c r="M798" s="3788">
        <v>26</v>
      </c>
      <c r="N798" s="3788">
        <v>33</v>
      </c>
      <c r="O798" s="3788">
        <v>45</v>
      </c>
      <c r="P798" s="3788">
        <v>51</v>
      </c>
      <c r="Q798" s="3788">
        <v>55.75</v>
      </c>
      <c r="R798" s="3788">
        <v>59.75</v>
      </c>
      <c r="S798" s="3788">
        <v>73</v>
      </c>
      <c r="T798" s="3788">
        <v>76.25</v>
      </c>
      <c r="U798" s="3788">
        <v>81.5</v>
      </c>
      <c r="V798" s="3788">
        <v>89</v>
      </c>
      <c r="W798" s="3788">
        <v>82</v>
      </c>
      <c r="X798" s="3788">
        <v>82</v>
      </c>
      <c r="Y798" s="3788">
        <v>92.25</v>
      </c>
      <c r="Z798" s="3788">
        <v>88.75</v>
      </c>
      <c r="AA798" s="3788">
        <v>77.75</v>
      </c>
      <c r="AB798" s="3788">
        <v>83.25</v>
      </c>
      <c r="AC798" s="3788">
        <v>78.25</v>
      </c>
      <c r="AD798" s="3788">
        <v>73</v>
      </c>
      <c r="AE798" s="3788">
        <v>74.25</v>
      </c>
      <c r="AF798" s="3788">
        <v>95</v>
      </c>
      <c r="AG798" s="3788">
        <v>78.75</v>
      </c>
      <c r="AH798" s="3788">
        <v>87</v>
      </c>
      <c r="AI798" s="3788">
        <v>102.75</v>
      </c>
      <c r="AJ798" s="2197"/>
      <c r="AK798" s="119"/>
      <c r="AL798" s="119"/>
      <c r="AM798" s="119"/>
      <c r="AN798" s="119"/>
      <c r="AO798" s="119"/>
      <c r="AP798" s="119"/>
      <c r="AQ798" s="119"/>
      <c r="AR798" s="119"/>
      <c r="AS798" s="119"/>
      <c r="AT798" s="119"/>
    </row>
    <row r="799" spans="1:46">
      <c r="D799" s="3793" t="s">
        <v>224</v>
      </c>
      <c r="E799" s="3013"/>
      <c r="F799" s="2210"/>
      <c r="G799" s="121"/>
      <c r="H799" s="121"/>
      <c r="I799" s="3788"/>
      <c r="J799" s="3788">
        <v>29</v>
      </c>
      <c r="K799" s="3788">
        <v>30</v>
      </c>
      <c r="L799" s="3788">
        <v>30</v>
      </c>
      <c r="M799" s="3788">
        <v>30</v>
      </c>
      <c r="N799" s="3788">
        <v>33</v>
      </c>
      <c r="O799" s="3788">
        <v>37</v>
      </c>
      <c r="P799" s="3788">
        <v>40</v>
      </c>
      <c r="Q799" s="3788">
        <v>29.25</v>
      </c>
      <c r="R799" s="3788">
        <v>31.25</v>
      </c>
      <c r="S799" s="3788">
        <v>35</v>
      </c>
      <c r="T799" s="3788">
        <v>39.5</v>
      </c>
      <c r="U799" s="3788">
        <v>41.25</v>
      </c>
      <c r="V799" s="3788">
        <v>43.25</v>
      </c>
      <c r="W799" s="3788">
        <v>46</v>
      </c>
      <c r="X799" s="3788">
        <v>48.25</v>
      </c>
      <c r="Y799" s="3788">
        <v>49</v>
      </c>
      <c r="Z799" s="3788">
        <v>50.25</v>
      </c>
      <c r="AA799" s="3788">
        <v>70.5</v>
      </c>
      <c r="AB799" s="3788">
        <v>73.75</v>
      </c>
      <c r="AC799" s="3788">
        <v>83.25</v>
      </c>
      <c r="AD799" s="3788">
        <v>85.25</v>
      </c>
      <c r="AE799" s="3788">
        <v>91.5</v>
      </c>
      <c r="AF799" s="3788">
        <v>74.25</v>
      </c>
      <c r="AG799" s="3788">
        <v>84.75</v>
      </c>
      <c r="AH799" s="3788">
        <v>97.5</v>
      </c>
      <c r="AI799" s="3788">
        <v>102</v>
      </c>
      <c r="AJ799" s="2196"/>
      <c r="AK799" s="121"/>
      <c r="AL799" s="121"/>
      <c r="AM799" s="121"/>
      <c r="AN799" s="121"/>
      <c r="AO799" s="121"/>
      <c r="AP799" s="121"/>
      <c r="AQ799" s="121"/>
      <c r="AR799" s="121"/>
      <c r="AS799" s="121"/>
      <c r="AT799" s="121"/>
    </row>
    <row r="800" spans="1:46">
      <c r="D800" s="3794" t="s">
        <v>225</v>
      </c>
      <c r="E800" s="3013"/>
      <c r="F800" s="2210"/>
      <c r="G800" s="121"/>
      <c r="H800" s="121"/>
      <c r="I800" s="3789"/>
      <c r="J800" s="3789">
        <v>37</v>
      </c>
      <c r="K800" s="3789">
        <v>34</v>
      </c>
      <c r="L800" s="3789">
        <v>38</v>
      </c>
      <c r="M800" s="3789">
        <v>37</v>
      </c>
      <c r="N800" s="3789">
        <v>52</v>
      </c>
      <c r="O800" s="3789">
        <v>55</v>
      </c>
      <c r="P800" s="3789">
        <v>60</v>
      </c>
      <c r="Q800" s="3789">
        <v>24.5</v>
      </c>
      <c r="R800" s="3789">
        <v>26.5</v>
      </c>
      <c r="S800" s="3789">
        <v>40.75</v>
      </c>
      <c r="T800" s="3789">
        <v>40</v>
      </c>
      <c r="U800" s="3789">
        <v>43.5</v>
      </c>
      <c r="V800" s="3789">
        <v>43.25</v>
      </c>
      <c r="W800" s="3789">
        <v>44</v>
      </c>
      <c r="X800" s="3789">
        <v>44</v>
      </c>
      <c r="Y800" s="3789">
        <v>44</v>
      </c>
      <c r="Z800" s="3789">
        <v>41.75</v>
      </c>
      <c r="AA800" s="3789">
        <v>46</v>
      </c>
      <c r="AB800" s="3789">
        <v>47.75</v>
      </c>
      <c r="AC800" s="3789">
        <v>37.75</v>
      </c>
      <c r="AD800" s="3789">
        <v>37</v>
      </c>
      <c r="AE800" s="3789">
        <v>38.75</v>
      </c>
      <c r="AF800" s="3789">
        <v>76.75</v>
      </c>
      <c r="AG800" s="3789">
        <v>85</v>
      </c>
      <c r="AH800" s="3789">
        <v>92.25</v>
      </c>
      <c r="AI800" s="3789">
        <v>102.5</v>
      </c>
      <c r="AJ800" s="2196"/>
      <c r="AK800" s="121"/>
      <c r="AL800" s="121"/>
      <c r="AM800" s="121"/>
      <c r="AN800" s="121"/>
      <c r="AO800" s="121"/>
      <c r="AP800" s="121"/>
      <c r="AQ800" s="121"/>
      <c r="AR800" s="121"/>
      <c r="AS800" s="121"/>
      <c r="AT800" s="121"/>
    </row>
    <row r="801" spans="1:46">
      <c r="D801" s="3793" t="s">
        <v>223</v>
      </c>
      <c r="E801" s="3013"/>
      <c r="F801" s="2210"/>
      <c r="G801" s="121"/>
      <c r="H801" s="121"/>
      <c r="I801" s="3788"/>
      <c r="J801" s="3788">
        <v>47</v>
      </c>
      <c r="K801" s="3788">
        <v>43</v>
      </c>
      <c r="L801" s="3788">
        <v>48</v>
      </c>
      <c r="M801" s="3788">
        <v>47</v>
      </c>
      <c r="N801" s="3788">
        <v>66</v>
      </c>
      <c r="O801" s="3788">
        <v>70</v>
      </c>
      <c r="P801" s="3788">
        <v>75</v>
      </c>
      <c r="Q801" s="3788">
        <v>27.75</v>
      </c>
      <c r="R801" s="3788">
        <v>28.75</v>
      </c>
      <c r="S801" s="3788">
        <v>37.5</v>
      </c>
      <c r="T801" s="3788">
        <v>39.25</v>
      </c>
      <c r="U801" s="3788">
        <v>42.75</v>
      </c>
      <c r="V801" s="3788">
        <v>42</v>
      </c>
      <c r="W801" s="3788">
        <v>43.5</v>
      </c>
      <c r="X801" s="3788">
        <v>43.25</v>
      </c>
      <c r="Y801" s="3788">
        <v>42.75</v>
      </c>
      <c r="Z801" s="3788">
        <v>40</v>
      </c>
      <c r="AA801" s="3788">
        <v>45</v>
      </c>
      <c r="AB801" s="3788">
        <v>46.75</v>
      </c>
      <c r="AC801" s="3788">
        <v>35</v>
      </c>
      <c r="AD801" s="3788">
        <v>34.75</v>
      </c>
      <c r="AE801" s="3788">
        <v>36.75</v>
      </c>
      <c r="AF801" s="3788">
        <v>76.75</v>
      </c>
      <c r="AG801" s="3788">
        <v>85.5</v>
      </c>
      <c r="AH801" s="3788">
        <v>92.25</v>
      </c>
      <c r="AI801" s="3788">
        <v>102.75</v>
      </c>
      <c r="AJ801" s="2196"/>
      <c r="AK801" s="121"/>
      <c r="AL801" s="121"/>
      <c r="AM801" s="121"/>
      <c r="AN801" s="121"/>
      <c r="AO801" s="121"/>
      <c r="AP801" s="121"/>
      <c r="AQ801" s="121"/>
      <c r="AR801" s="121"/>
      <c r="AS801" s="121"/>
      <c r="AT801" s="121"/>
    </row>
    <row r="802" spans="1:46" ht="16.75" thickBot="1">
      <c r="D802" s="3795" t="s">
        <v>224</v>
      </c>
      <c r="E802" s="3017"/>
      <c r="F802" s="2211"/>
      <c r="G802" s="133"/>
      <c r="H802" s="133"/>
      <c r="I802" s="3790"/>
      <c r="J802" s="3790">
        <v>29</v>
      </c>
      <c r="K802" s="3790">
        <v>27</v>
      </c>
      <c r="L802" s="3790">
        <v>30</v>
      </c>
      <c r="M802" s="3790">
        <v>29</v>
      </c>
      <c r="N802" s="3790">
        <v>42</v>
      </c>
      <c r="O802" s="3790">
        <v>44</v>
      </c>
      <c r="P802" s="3790">
        <v>47</v>
      </c>
      <c r="Q802" s="3790">
        <v>21.25</v>
      </c>
      <c r="R802" s="3790">
        <v>24</v>
      </c>
      <c r="S802" s="3790">
        <v>49.5</v>
      </c>
      <c r="T802" s="3790">
        <v>42.5</v>
      </c>
      <c r="U802" s="3790">
        <v>48.75</v>
      </c>
      <c r="V802" s="3790">
        <v>49.5</v>
      </c>
      <c r="W802" s="3790">
        <v>49.5</v>
      </c>
      <c r="X802" s="3790">
        <v>50.25</v>
      </c>
      <c r="Y802" s="3790">
        <v>51</v>
      </c>
      <c r="Z802" s="3790">
        <v>49.5</v>
      </c>
      <c r="AA802" s="3790">
        <v>52</v>
      </c>
      <c r="AB802" s="3790">
        <v>54</v>
      </c>
      <c r="AC802" s="3790">
        <v>47.75</v>
      </c>
      <c r="AD802" s="3790">
        <v>47.5</v>
      </c>
      <c r="AE802" s="3790">
        <v>50.5</v>
      </c>
      <c r="AF802" s="3790">
        <v>76</v>
      </c>
      <c r="AG802" s="3790">
        <v>83.25</v>
      </c>
      <c r="AH802" s="3790">
        <v>90.75</v>
      </c>
      <c r="AI802" s="3790">
        <v>102</v>
      </c>
      <c r="AJ802" s="2251"/>
      <c r="AK802" s="133"/>
      <c r="AL802" s="133"/>
      <c r="AM802" s="133"/>
      <c r="AN802" s="133"/>
      <c r="AO802" s="133"/>
      <c r="AP802" s="133"/>
      <c r="AQ802" s="133"/>
      <c r="AR802" s="133"/>
      <c r="AS802" s="133"/>
      <c r="AT802" s="133"/>
    </row>
    <row r="803" spans="1:46" ht="17.5" thickTop="1" thickBot="1">
      <c r="A803" s="300" t="s">
        <v>267</v>
      </c>
      <c r="D803" s="2106" t="s">
        <v>670</v>
      </c>
      <c r="E803" s="3039"/>
      <c r="F803" s="317"/>
      <c r="G803" s="317"/>
      <c r="H803" s="317"/>
      <c r="I803" s="317"/>
      <c r="J803" s="324">
        <f t="shared" ref="J803:T803" si="419">+K803-1</f>
        <v>1999</v>
      </c>
      <c r="K803" s="324">
        <f t="shared" si="419"/>
        <v>2000</v>
      </c>
      <c r="L803" s="324">
        <f t="shared" si="419"/>
        <v>2001</v>
      </c>
      <c r="M803" s="324">
        <f t="shared" si="419"/>
        <v>2002</v>
      </c>
      <c r="N803" s="324">
        <f t="shared" si="419"/>
        <v>2003</v>
      </c>
      <c r="O803" s="324">
        <f t="shared" si="419"/>
        <v>2004</v>
      </c>
      <c r="P803" s="324">
        <f t="shared" si="419"/>
        <v>2005</v>
      </c>
      <c r="Q803" s="324">
        <f t="shared" si="419"/>
        <v>2006</v>
      </c>
      <c r="R803" s="324">
        <f t="shared" si="419"/>
        <v>2007</v>
      </c>
      <c r="S803" s="324">
        <f t="shared" si="419"/>
        <v>2008</v>
      </c>
      <c r="T803" s="324">
        <f t="shared" si="419"/>
        <v>2009</v>
      </c>
      <c r="U803" s="324">
        <f>+V803-1</f>
        <v>2010</v>
      </c>
      <c r="V803" s="324">
        <v>2011</v>
      </c>
      <c r="W803" s="324">
        <v>2012</v>
      </c>
      <c r="X803" s="324">
        <v>2013</v>
      </c>
      <c r="Y803" s="324">
        <v>2014</v>
      </c>
      <c r="Z803" s="324">
        <v>2015</v>
      </c>
      <c r="AA803" s="324">
        <v>2016</v>
      </c>
      <c r="AB803" s="324">
        <v>2017</v>
      </c>
      <c r="AC803" s="324">
        <v>2018</v>
      </c>
      <c r="AD803" s="324">
        <v>2019</v>
      </c>
      <c r="AE803" s="324">
        <v>2020</v>
      </c>
      <c r="AF803" s="324">
        <v>2021</v>
      </c>
      <c r="AG803" s="324">
        <v>2022</v>
      </c>
      <c r="AH803" s="324">
        <v>2023</v>
      </c>
      <c r="AI803" s="2214">
        <v>2024</v>
      </c>
      <c r="AJ803" s="2214">
        <v>2025</v>
      </c>
      <c r="AK803" s="324">
        <v>2026</v>
      </c>
      <c r="AL803" s="324">
        <v>2027</v>
      </c>
      <c r="AM803" s="324">
        <v>2028</v>
      </c>
      <c r="AN803" s="324">
        <v>2029</v>
      </c>
      <c r="AO803" s="324">
        <v>2030</v>
      </c>
      <c r="AP803" s="324">
        <v>2031</v>
      </c>
      <c r="AQ803" s="324">
        <v>2032</v>
      </c>
      <c r="AR803" s="324">
        <v>2033</v>
      </c>
      <c r="AS803" s="324">
        <v>2034</v>
      </c>
      <c r="AT803" s="324">
        <v>2035</v>
      </c>
    </row>
    <row r="804" spans="1:46" ht="16.75" thickBot="1">
      <c r="D804" s="2107" t="s">
        <v>259</v>
      </c>
      <c r="E804" s="3012"/>
      <c r="F804" s="317"/>
      <c r="G804" s="317"/>
      <c r="H804" s="317"/>
      <c r="I804" s="317"/>
      <c r="J804" s="3809"/>
      <c r="K804" s="3809"/>
      <c r="L804" s="3809"/>
      <c r="M804" s="3809"/>
      <c r="N804" s="3809"/>
      <c r="O804" s="3809"/>
      <c r="P804" s="3809"/>
      <c r="Q804" s="3809"/>
      <c r="R804" s="3809"/>
      <c r="S804" s="3809"/>
      <c r="T804" s="3809"/>
      <c r="U804" s="3809"/>
      <c r="V804" s="3809"/>
      <c r="W804" s="3809"/>
      <c r="X804" s="3809"/>
      <c r="Y804" s="3809"/>
      <c r="Z804" s="3809"/>
      <c r="AA804" s="3809"/>
      <c r="AB804" s="3809"/>
      <c r="AC804" s="3809"/>
      <c r="AD804" s="3809"/>
      <c r="AE804" s="3809"/>
      <c r="AF804" s="3809"/>
      <c r="AG804" s="3809"/>
      <c r="AH804" s="3809"/>
      <c r="AI804" s="3810"/>
      <c r="AJ804" s="2203"/>
      <c r="AK804" s="276"/>
      <c r="AL804" s="276"/>
      <c r="AM804" s="276"/>
      <c r="AN804" s="276"/>
      <c r="AO804" s="276"/>
      <c r="AP804" s="276"/>
      <c r="AQ804" s="276"/>
      <c r="AR804" s="276"/>
      <c r="AS804" s="276"/>
      <c r="AT804" s="276"/>
    </row>
    <row r="805" spans="1:46">
      <c r="D805" s="3785" t="s">
        <v>1732</v>
      </c>
      <c r="E805" s="3012"/>
      <c r="F805" s="2209"/>
      <c r="G805" s="119"/>
      <c r="H805" s="119"/>
      <c r="I805" s="1292"/>
      <c r="J805" s="1292"/>
      <c r="K805" s="1292"/>
      <c r="L805" s="1292"/>
      <c r="M805" s="1292"/>
      <c r="N805" s="1292"/>
      <c r="O805" s="1292"/>
      <c r="P805" s="1292"/>
      <c r="Q805" s="1292"/>
      <c r="R805" s="1292"/>
      <c r="S805" s="1292"/>
      <c r="T805" s="1292"/>
      <c r="U805" s="1292"/>
      <c r="V805" s="1292"/>
      <c r="W805" s="1292"/>
      <c r="X805" s="1292"/>
      <c r="Y805" s="1292"/>
      <c r="Z805" s="1292"/>
      <c r="AA805" s="1292"/>
      <c r="AB805" s="1292"/>
      <c r="AC805" s="1292"/>
      <c r="AD805" s="1292"/>
      <c r="AE805" s="1292"/>
      <c r="AF805" s="1292"/>
      <c r="AG805" s="1292"/>
      <c r="AH805" s="1252" t="s">
        <v>1527</v>
      </c>
      <c r="AI805" s="1292"/>
      <c r="AJ805" s="2199"/>
      <c r="AK805" s="278"/>
      <c r="AL805" s="278"/>
      <c r="AM805" s="278"/>
      <c r="AN805" s="278"/>
      <c r="AO805" s="278"/>
      <c r="AP805" s="278"/>
      <c r="AQ805" s="278"/>
      <c r="AR805" s="278"/>
      <c r="AS805" s="278"/>
      <c r="AT805" s="278"/>
    </row>
    <row r="806" spans="1:46">
      <c r="D806" s="3791" t="s">
        <v>1727</v>
      </c>
      <c r="E806" s="3013"/>
      <c r="F806" s="2210"/>
      <c r="G806" s="121"/>
      <c r="H806" s="121"/>
      <c r="I806" s="3786"/>
      <c r="J806" s="3786">
        <v>720</v>
      </c>
      <c r="K806" s="3786">
        <v>806</v>
      </c>
      <c r="L806" s="3786">
        <v>871</v>
      </c>
      <c r="M806" s="3786">
        <v>934</v>
      </c>
      <c r="N806" s="3786">
        <v>1149</v>
      </c>
      <c r="O806" s="3786">
        <v>1372</v>
      </c>
      <c r="P806" s="3786">
        <v>1636</v>
      </c>
      <c r="Q806" s="3786">
        <v>1806</v>
      </c>
      <c r="R806" s="3786">
        <v>2197</v>
      </c>
      <c r="S806" s="3786">
        <v>2799</v>
      </c>
      <c r="T806" s="3786">
        <v>3185</v>
      </c>
      <c r="U806" s="3786">
        <v>3529</v>
      </c>
      <c r="V806" s="3786">
        <v>4084</v>
      </c>
      <c r="W806" s="3786">
        <v>4642</v>
      </c>
      <c r="X806" s="3786">
        <v>4988</v>
      </c>
      <c r="Y806" s="3786">
        <v>5548</v>
      </c>
      <c r="Z806" s="3786">
        <v>6081</v>
      </c>
      <c r="AA806" s="3786">
        <v>6768</v>
      </c>
      <c r="AB806" s="3786">
        <v>7621</v>
      </c>
      <c r="AC806" s="3786">
        <v>8309</v>
      </c>
      <c r="AD806" s="3786">
        <v>9460</v>
      </c>
      <c r="AE806" s="3786">
        <v>9891</v>
      </c>
      <c r="AF806" s="3786">
        <v>11125</v>
      </c>
      <c r="AG806" s="3786">
        <v>14164</v>
      </c>
      <c r="AH806" s="3786">
        <v>17660</v>
      </c>
      <c r="AI806" s="3786">
        <v>20680</v>
      </c>
      <c r="AJ806" s="2208">
        <f t="shared" ref="AJ806:AO806" si="420">+AJ873</f>
        <v>22796.029212071611</v>
      </c>
      <c r="AK806" s="1355">
        <f t="shared" si="420"/>
        <v>27060.876625304532</v>
      </c>
      <c r="AL806" s="1355">
        <f t="shared" si="420"/>
        <v>30570.449278210635</v>
      </c>
      <c r="AM806" s="1355">
        <f t="shared" si="420"/>
        <v>34496.333742051029</v>
      </c>
      <c r="AN806" s="1355">
        <f t="shared" si="420"/>
        <v>39098.663797754474</v>
      </c>
      <c r="AO806" s="1355">
        <f t="shared" si="420"/>
        <v>44493.465736773374</v>
      </c>
      <c r="AP806" s="1355">
        <f>+AP873</f>
        <v>50479.895845466483</v>
      </c>
      <c r="AQ806" s="1355">
        <f>+AQ873</f>
        <v>57636.909818603453</v>
      </c>
      <c r="AR806" s="1355">
        <f>+AR873</f>
        <v>65947.444145677087</v>
      </c>
      <c r="AS806" s="1355">
        <f>+AS873</f>
        <v>75422.186823418087</v>
      </c>
      <c r="AT806" s="1355">
        <f>+AT873</f>
        <v>86362.865629603548</v>
      </c>
    </row>
    <row r="807" spans="1:46" ht="18">
      <c r="D807" s="3792"/>
      <c r="E807" s="3013"/>
      <c r="F807" s="2210"/>
      <c r="G807" s="121"/>
      <c r="H807" s="121"/>
      <c r="I807" s="3787"/>
      <c r="J807" s="3787"/>
      <c r="K807" s="3787"/>
      <c r="L807" s="3787"/>
      <c r="M807" s="3787"/>
      <c r="N807" s="3787"/>
      <c r="O807" s="3787"/>
      <c r="P807" s="3787"/>
      <c r="Q807" s="3787"/>
      <c r="R807" s="3787"/>
      <c r="S807" s="3787"/>
      <c r="T807" s="3787"/>
      <c r="U807" s="3787"/>
      <c r="V807" s="3787"/>
      <c r="W807" s="3787"/>
      <c r="X807" s="3787"/>
      <c r="Y807" s="3787"/>
      <c r="Z807" s="3787"/>
      <c r="AA807" s="3787"/>
      <c r="AB807" s="3787"/>
      <c r="AC807" s="3787"/>
      <c r="AD807" s="3787"/>
      <c r="AE807" s="3787"/>
      <c r="AF807" s="3787"/>
      <c r="AG807" s="3787"/>
      <c r="AH807" s="3787"/>
      <c r="AI807" s="3787"/>
      <c r="AJ807" s="2199"/>
      <c r="AK807" s="278"/>
      <c r="AL807" s="278"/>
      <c r="AM807" s="278"/>
      <c r="AN807" s="278"/>
      <c r="AO807" s="278"/>
      <c r="AP807" s="278"/>
      <c r="AQ807" s="278"/>
      <c r="AR807" s="278"/>
      <c r="AS807" s="278"/>
      <c r="AT807" s="278"/>
    </row>
    <row r="808" spans="1:46">
      <c r="D808" s="3791" t="s">
        <v>213</v>
      </c>
      <c r="E808" s="3012"/>
      <c r="F808" s="2209"/>
      <c r="G808" s="119"/>
      <c r="H808" s="119"/>
      <c r="I808" s="3786"/>
      <c r="J808" s="3786">
        <v>753</v>
      </c>
      <c r="K808" s="3786">
        <v>841</v>
      </c>
      <c r="L808" s="3786">
        <v>887</v>
      </c>
      <c r="M808" s="3786">
        <v>959</v>
      </c>
      <c r="N808" s="3786">
        <v>1156</v>
      </c>
      <c r="O808" s="3786">
        <v>1348</v>
      </c>
      <c r="P808" s="3786">
        <v>1598</v>
      </c>
      <c r="Q808" s="3786">
        <v>1737</v>
      </c>
      <c r="R808" s="3786">
        <v>2015</v>
      </c>
      <c r="S808" s="3786">
        <v>2620</v>
      </c>
      <c r="T808" s="3786">
        <v>3024</v>
      </c>
      <c r="U808" s="3786">
        <v>3361</v>
      </c>
      <c r="V808" s="3786">
        <v>3817</v>
      </c>
      <c r="W808" s="3786">
        <v>4323</v>
      </c>
      <c r="X808" s="3786">
        <v>4548</v>
      </c>
      <c r="Y808" s="3786">
        <v>5150</v>
      </c>
      <c r="Z808" s="3786">
        <v>5743</v>
      </c>
      <c r="AA808" s="3786">
        <v>6271</v>
      </c>
      <c r="AB808" s="3786">
        <v>6756</v>
      </c>
      <c r="AC808" s="3786">
        <v>7214</v>
      </c>
      <c r="AD808" s="3786">
        <v>7868</v>
      </c>
      <c r="AE808" s="3786">
        <v>8787</v>
      </c>
      <c r="AF808" s="3786">
        <v>10210</v>
      </c>
      <c r="AG808" s="3786">
        <v>11274</v>
      </c>
      <c r="AH808" s="3786">
        <v>14087</v>
      </c>
      <c r="AI808" s="3786">
        <v>16559</v>
      </c>
      <c r="AJ808" s="2199"/>
      <c r="AK808" s="278"/>
      <c r="AL808" s="278"/>
      <c r="AM808" s="278"/>
      <c r="AN808" s="278"/>
      <c r="AO808" s="278"/>
      <c r="AP808" s="278"/>
      <c r="AQ808" s="278"/>
      <c r="AR808" s="278"/>
      <c r="AS808" s="278"/>
      <c r="AT808" s="278"/>
    </row>
    <row r="809" spans="1:46">
      <c r="D809" s="3793" t="s">
        <v>216</v>
      </c>
      <c r="E809" s="3012"/>
      <c r="F809" s="2209"/>
      <c r="G809" s="119"/>
      <c r="H809" s="119"/>
      <c r="I809" s="3788"/>
      <c r="J809" s="3788">
        <v>118</v>
      </c>
      <c r="K809" s="3788">
        <v>130</v>
      </c>
      <c r="L809" s="3788">
        <v>142</v>
      </c>
      <c r="M809" s="3788">
        <v>160</v>
      </c>
      <c r="N809" s="3788">
        <v>196</v>
      </c>
      <c r="O809" s="3788">
        <v>227</v>
      </c>
      <c r="P809" s="3788">
        <v>269</v>
      </c>
      <c r="Q809" s="3788">
        <v>294</v>
      </c>
      <c r="R809" s="3788">
        <v>315</v>
      </c>
      <c r="S809" s="3788">
        <v>348</v>
      </c>
      <c r="T809" s="3788">
        <v>411</v>
      </c>
      <c r="U809" s="3788">
        <v>468</v>
      </c>
      <c r="V809" s="3788">
        <v>497</v>
      </c>
      <c r="W809" s="3788">
        <v>609</v>
      </c>
      <c r="X809" s="3788">
        <v>650</v>
      </c>
      <c r="Y809" s="3788">
        <v>803</v>
      </c>
      <c r="Z809" s="3788">
        <v>852</v>
      </c>
      <c r="AA809" s="3788">
        <v>1031</v>
      </c>
      <c r="AB809" s="3788">
        <v>1156</v>
      </c>
      <c r="AC809" s="3788">
        <v>1157</v>
      </c>
      <c r="AD809" s="3788">
        <v>1392</v>
      </c>
      <c r="AE809" s="3788">
        <v>1486</v>
      </c>
      <c r="AF809" s="3788">
        <v>1963</v>
      </c>
      <c r="AG809" s="3788">
        <v>2446</v>
      </c>
      <c r="AH809" s="3788">
        <v>2884</v>
      </c>
      <c r="AI809" s="3788">
        <v>3456</v>
      </c>
      <c r="AJ809" s="2199"/>
      <c r="AK809" s="278"/>
      <c r="AL809" s="278"/>
      <c r="AM809" s="278"/>
      <c r="AN809" s="278"/>
      <c r="AO809" s="278"/>
      <c r="AP809" s="278"/>
      <c r="AQ809" s="278"/>
      <c r="AR809" s="278"/>
      <c r="AS809" s="278"/>
      <c r="AT809" s="278"/>
    </row>
    <row r="810" spans="1:46">
      <c r="D810" s="3793" t="s">
        <v>217</v>
      </c>
      <c r="E810" s="3013"/>
      <c r="F810" s="2210"/>
      <c r="G810" s="121"/>
      <c r="H810" s="121"/>
      <c r="I810" s="3788"/>
      <c r="J810" s="3788">
        <v>635</v>
      </c>
      <c r="K810" s="3788">
        <v>712</v>
      </c>
      <c r="L810" s="3788">
        <v>745</v>
      </c>
      <c r="M810" s="3788">
        <v>798</v>
      </c>
      <c r="N810" s="3788">
        <v>960</v>
      </c>
      <c r="O810" s="3788">
        <v>1121</v>
      </c>
      <c r="P810" s="3788">
        <v>1329</v>
      </c>
      <c r="Q810" s="3788">
        <v>1443</v>
      </c>
      <c r="R810" s="3788">
        <v>1700</v>
      </c>
      <c r="S810" s="3788">
        <v>2272</v>
      </c>
      <c r="T810" s="3788">
        <v>2613</v>
      </c>
      <c r="U810" s="3788">
        <v>2893</v>
      </c>
      <c r="V810" s="3788">
        <v>3320</v>
      </c>
      <c r="W810" s="3788">
        <v>3714</v>
      </c>
      <c r="X810" s="3788">
        <v>3898</v>
      </c>
      <c r="Y810" s="3788">
        <v>4347</v>
      </c>
      <c r="Z810" s="3788">
        <v>4891</v>
      </c>
      <c r="AA810" s="3788">
        <v>5240</v>
      </c>
      <c r="AB810" s="3788">
        <v>5600</v>
      </c>
      <c r="AC810" s="3788">
        <v>6056</v>
      </c>
      <c r="AD810" s="3788">
        <v>6475</v>
      </c>
      <c r="AE810" s="3788">
        <v>7301</v>
      </c>
      <c r="AF810" s="3788">
        <v>8247</v>
      </c>
      <c r="AG810" s="3788">
        <v>8829</v>
      </c>
      <c r="AH810" s="3788">
        <v>11205</v>
      </c>
      <c r="AI810" s="3788">
        <v>13103</v>
      </c>
      <c r="AJ810" s="2199"/>
      <c r="AK810" s="278"/>
      <c r="AL810" s="278"/>
      <c r="AM810" s="278"/>
      <c r="AN810" s="278"/>
      <c r="AO810" s="278"/>
      <c r="AP810" s="278"/>
      <c r="AQ810" s="278"/>
      <c r="AR810" s="278"/>
      <c r="AS810" s="278"/>
      <c r="AT810" s="278"/>
    </row>
    <row r="811" spans="1:46" ht="18">
      <c r="D811" s="3792"/>
      <c r="E811" s="3013"/>
      <c r="F811" s="2210"/>
      <c r="G811" s="121"/>
      <c r="H811" s="121"/>
      <c r="I811" s="3787"/>
      <c r="J811" s="3787"/>
      <c r="K811" s="3787"/>
      <c r="L811" s="3787"/>
      <c r="M811" s="3787"/>
      <c r="N811" s="3787"/>
      <c r="O811" s="3787"/>
      <c r="P811" s="3787"/>
      <c r="Q811" s="3787"/>
      <c r="R811" s="3787"/>
      <c r="S811" s="3787"/>
      <c r="T811" s="3787"/>
      <c r="U811" s="3787"/>
      <c r="V811" s="3787"/>
      <c r="W811" s="3787"/>
      <c r="X811" s="3787"/>
      <c r="Y811" s="3787"/>
      <c r="Z811" s="3787"/>
      <c r="AA811" s="3787"/>
      <c r="AB811" s="3787"/>
      <c r="AC811" s="3787"/>
      <c r="AD811" s="3787"/>
      <c r="AE811" s="3787"/>
      <c r="AF811" s="3787"/>
      <c r="AG811" s="3787"/>
      <c r="AH811" s="3787"/>
      <c r="AI811" s="3787"/>
      <c r="AJ811" s="2199"/>
      <c r="AK811" s="278"/>
      <c r="AL811" s="278"/>
      <c r="AM811" s="278"/>
      <c r="AN811" s="278"/>
      <c r="AO811" s="278"/>
      <c r="AP811" s="278"/>
      <c r="AQ811" s="278"/>
      <c r="AR811" s="278"/>
      <c r="AS811" s="278"/>
      <c r="AT811" s="278"/>
    </row>
    <row r="812" spans="1:46">
      <c r="D812" s="3791" t="s">
        <v>1728</v>
      </c>
      <c r="E812" s="3040"/>
      <c r="F812" s="2199"/>
      <c r="G812" s="278"/>
      <c r="H812" s="278"/>
      <c r="I812" s="3786"/>
      <c r="J812" s="3786">
        <v>86</v>
      </c>
      <c r="K812" s="3786">
        <v>99</v>
      </c>
      <c r="L812" s="3786">
        <v>111</v>
      </c>
      <c r="M812" s="3786">
        <v>118</v>
      </c>
      <c r="N812" s="3786">
        <v>151</v>
      </c>
      <c r="O812" s="3786">
        <v>197</v>
      </c>
      <c r="P812" s="3786">
        <v>248</v>
      </c>
      <c r="Q812" s="3786">
        <v>275</v>
      </c>
      <c r="R812" s="3786">
        <v>373</v>
      </c>
      <c r="S812" s="3786">
        <v>605</v>
      </c>
      <c r="T812" s="3786">
        <v>678</v>
      </c>
      <c r="U812" s="3786">
        <v>734</v>
      </c>
      <c r="V812" s="3786">
        <v>863</v>
      </c>
      <c r="W812" s="3786">
        <v>1096</v>
      </c>
      <c r="X812" s="3786">
        <v>1234</v>
      </c>
      <c r="Y812" s="3786">
        <v>1306</v>
      </c>
      <c r="Z812" s="3786">
        <v>1491</v>
      </c>
      <c r="AA812" s="3786">
        <v>1773</v>
      </c>
      <c r="AB812" s="3786">
        <v>1836</v>
      </c>
      <c r="AC812" s="3786">
        <v>1489</v>
      </c>
      <c r="AD812" s="3786">
        <v>2049</v>
      </c>
      <c r="AE812" s="3786">
        <v>1799</v>
      </c>
      <c r="AF812" s="3786">
        <v>3942</v>
      </c>
      <c r="AG812" s="3786">
        <v>5349</v>
      </c>
      <c r="AH812" s="3786">
        <v>6930</v>
      </c>
      <c r="AI812" s="3786">
        <v>7135</v>
      </c>
      <c r="AJ812" s="2199"/>
      <c r="AK812" s="278"/>
      <c r="AL812" s="278"/>
      <c r="AM812" s="278"/>
      <c r="AN812" s="278"/>
      <c r="AO812" s="278"/>
      <c r="AP812" s="278"/>
      <c r="AQ812" s="278"/>
      <c r="AR812" s="278"/>
      <c r="AS812" s="278"/>
      <c r="AT812" s="278"/>
    </row>
    <row r="813" spans="1:46">
      <c r="D813" s="3807" t="s">
        <v>1726</v>
      </c>
      <c r="E813" s="3796"/>
      <c r="F813" s="3797"/>
      <c r="G813" s="3798"/>
      <c r="H813" s="3798"/>
      <c r="I813" s="3808"/>
      <c r="J813" s="3808"/>
      <c r="K813" s="3808"/>
      <c r="L813" s="3808"/>
      <c r="M813" s="3808"/>
      <c r="N813" s="3808"/>
      <c r="O813" s="3808"/>
      <c r="P813" s="3808"/>
      <c r="Q813" s="3808"/>
      <c r="R813" s="3808"/>
      <c r="S813" s="3808"/>
      <c r="T813" s="3808"/>
      <c r="U813" s="3808"/>
      <c r="V813" s="3808"/>
      <c r="W813" s="3808"/>
      <c r="X813" s="3808"/>
      <c r="Y813" s="3808"/>
      <c r="Z813" s="3808"/>
      <c r="AA813" s="3808"/>
      <c r="AB813" s="3808"/>
      <c r="AC813" s="3808"/>
      <c r="AD813" s="3808"/>
      <c r="AE813" s="3808"/>
      <c r="AF813" s="3808"/>
      <c r="AG813" s="3808"/>
      <c r="AH813" s="3808"/>
      <c r="AI813" s="3808"/>
      <c r="AJ813" s="2199"/>
      <c r="AK813" s="278"/>
      <c r="AL813" s="278"/>
      <c r="AM813" s="278"/>
      <c r="AN813" s="278"/>
      <c r="AO813" s="278"/>
      <c r="AP813" s="278"/>
      <c r="AQ813" s="278"/>
      <c r="AR813" s="278"/>
      <c r="AS813" s="278"/>
      <c r="AT813" s="278"/>
    </row>
    <row r="814" spans="1:46">
      <c r="D814" s="3793" t="s">
        <v>219</v>
      </c>
      <c r="E814" s="3012"/>
      <c r="F814" s="2209"/>
      <c r="G814" s="119"/>
      <c r="H814" s="119"/>
      <c r="I814" s="3788"/>
      <c r="J814" s="3788">
        <v>61</v>
      </c>
      <c r="K814" s="3788">
        <v>65</v>
      </c>
      <c r="L814" s="3788">
        <v>74</v>
      </c>
      <c r="M814" s="3788">
        <v>77</v>
      </c>
      <c r="N814" s="3788">
        <v>97</v>
      </c>
      <c r="O814" s="3788">
        <v>136</v>
      </c>
      <c r="P814" s="3788">
        <v>167</v>
      </c>
      <c r="Q814" s="3788">
        <v>212</v>
      </c>
      <c r="R814" s="3788">
        <v>265</v>
      </c>
      <c r="S814" s="3788">
        <v>391</v>
      </c>
      <c r="T814" s="3788">
        <v>436</v>
      </c>
      <c r="U814" s="3788">
        <v>486</v>
      </c>
      <c r="V814" s="3788">
        <v>629</v>
      </c>
      <c r="W814" s="3788">
        <v>768</v>
      </c>
      <c r="X814" s="3788">
        <v>885</v>
      </c>
      <c r="Y814" s="3788">
        <v>945</v>
      </c>
      <c r="Z814" s="3788">
        <v>1108</v>
      </c>
      <c r="AA814" s="3788">
        <v>1201</v>
      </c>
      <c r="AB814" s="3788">
        <v>1143</v>
      </c>
      <c r="AC814" s="3788">
        <v>992</v>
      </c>
      <c r="AD814" s="3788">
        <v>1323</v>
      </c>
      <c r="AE814" s="3788">
        <v>1262</v>
      </c>
      <c r="AF814" s="3788">
        <v>2343</v>
      </c>
      <c r="AG814" s="3788">
        <v>3150</v>
      </c>
      <c r="AH814" s="3788">
        <v>4104</v>
      </c>
      <c r="AI814" s="3788">
        <v>4530</v>
      </c>
      <c r="AJ814" s="2199"/>
      <c r="AK814" s="278"/>
      <c r="AL814" s="278"/>
      <c r="AM814" s="278"/>
      <c r="AN814" s="278"/>
      <c r="AO814" s="278"/>
      <c r="AP814" s="278"/>
      <c r="AQ814" s="278"/>
      <c r="AR814" s="278"/>
      <c r="AS814" s="278"/>
      <c r="AT814" s="278"/>
    </row>
    <row r="815" spans="1:46">
      <c r="D815" s="3793" t="s">
        <v>220</v>
      </c>
      <c r="E815" s="3015"/>
      <c r="F815" s="2213"/>
      <c r="G815" s="126"/>
      <c r="H815" s="126"/>
      <c r="I815" s="3788"/>
      <c r="J815" s="3788">
        <v>25</v>
      </c>
      <c r="K815" s="3788">
        <v>34</v>
      </c>
      <c r="L815" s="3788">
        <v>37</v>
      </c>
      <c r="M815" s="3788">
        <v>41</v>
      </c>
      <c r="N815" s="3788">
        <v>54</v>
      </c>
      <c r="O815" s="3788">
        <v>61</v>
      </c>
      <c r="P815" s="3788">
        <v>81</v>
      </c>
      <c r="Q815" s="3788">
        <v>63</v>
      </c>
      <c r="R815" s="3788">
        <v>108</v>
      </c>
      <c r="S815" s="3788">
        <v>214</v>
      </c>
      <c r="T815" s="3788">
        <v>242</v>
      </c>
      <c r="U815" s="3788">
        <v>248</v>
      </c>
      <c r="V815" s="3788">
        <v>234</v>
      </c>
      <c r="W815" s="3788">
        <v>328</v>
      </c>
      <c r="X815" s="3788">
        <v>349</v>
      </c>
      <c r="Y815" s="3788">
        <v>361</v>
      </c>
      <c r="Z815" s="3788">
        <v>383</v>
      </c>
      <c r="AA815" s="3788">
        <v>572</v>
      </c>
      <c r="AB815" s="3788">
        <v>693</v>
      </c>
      <c r="AC815" s="3788">
        <v>497</v>
      </c>
      <c r="AD815" s="3788">
        <v>726</v>
      </c>
      <c r="AE815" s="3788">
        <v>536</v>
      </c>
      <c r="AF815" s="3788">
        <v>1598</v>
      </c>
      <c r="AG815" s="3788">
        <v>2197</v>
      </c>
      <c r="AH815" s="3788">
        <v>2826</v>
      </c>
      <c r="AI815" s="3788">
        <v>2606</v>
      </c>
      <c r="AJ815" s="2199"/>
      <c r="AK815" s="278"/>
      <c r="AL815" s="278"/>
      <c r="AM815" s="278"/>
      <c r="AN815" s="278"/>
      <c r="AO815" s="278"/>
      <c r="AP815" s="278"/>
      <c r="AQ815" s="278"/>
      <c r="AR815" s="278"/>
      <c r="AS815" s="278"/>
      <c r="AT815" s="278"/>
    </row>
    <row r="816" spans="1:46" s="288" customFormat="1">
      <c r="A816" s="300"/>
      <c r="B816" s="292"/>
      <c r="C816" s="292"/>
      <c r="D816" s="3806" t="s">
        <v>221</v>
      </c>
      <c r="E816" s="3801"/>
      <c r="F816" s="3802"/>
      <c r="G816" s="3803"/>
      <c r="H816" s="3803"/>
      <c r="I816" s="3808"/>
      <c r="J816" s="3808"/>
      <c r="K816" s="3808"/>
      <c r="L816" s="3808"/>
      <c r="M816" s="3808"/>
      <c r="N816" s="3808"/>
      <c r="O816" s="3808"/>
      <c r="P816" s="3808"/>
      <c r="Q816" s="3808"/>
      <c r="R816" s="3808"/>
      <c r="S816" s="3808"/>
      <c r="T816" s="3808"/>
      <c r="U816" s="3808"/>
      <c r="V816" s="3808"/>
      <c r="W816" s="3808"/>
      <c r="X816" s="3808"/>
      <c r="Y816" s="3808"/>
      <c r="Z816" s="3808"/>
      <c r="AA816" s="3808"/>
      <c r="AB816" s="3808"/>
      <c r="AC816" s="3808"/>
      <c r="AD816" s="3808"/>
      <c r="AE816" s="3808"/>
      <c r="AF816" s="3808"/>
      <c r="AG816" s="3808"/>
      <c r="AH816" s="3808"/>
      <c r="AI816" s="3808"/>
      <c r="AJ816" s="3805"/>
      <c r="AK816" s="3799"/>
      <c r="AL816" s="3799"/>
      <c r="AM816" s="3799"/>
      <c r="AN816" s="3799"/>
      <c r="AO816" s="3799"/>
      <c r="AP816" s="3799"/>
      <c r="AQ816" s="3799"/>
      <c r="AR816" s="3799"/>
      <c r="AS816" s="3799"/>
      <c r="AT816" s="3799"/>
    </row>
    <row r="817" spans="1:50">
      <c r="D817" s="129"/>
      <c r="E817" s="3013"/>
      <c r="F817" s="2210"/>
      <c r="G817" s="121"/>
      <c r="H817" s="121"/>
      <c r="I817" s="3789"/>
      <c r="J817" s="3789"/>
      <c r="K817" s="3789"/>
      <c r="L817" s="3789"/>
      <c r="M817" s="3789"/>
      <c r="N817" s="3789"/>
      <c r="O817" s="3789"/>
      <c r="P817" s="3789"/>
      <c r="Q817" s="3789"/>
      <c r="R817" s="3789"/>
      <c r="S817" s="3789"/>
      <c r="T817" s="3789"/>
      <c r="U817" s="3789"/>
      <c r="V817" s="3789"/>
      <c r="W817" s="3789"/>
      <c r="X817" s="3789"/>
      <c r="Y817" s="3789"/>
      <c r="Z817" s="3789"/>
      <c r="AA817" s="3789"/>
      <c r="AB817" s="3789"/>
      <c r="AC817" s="3789"/>
      <c r="AD817" s="3789"/>
      <c r="AE817" s="3789"/>
      <c r="AF817" s="3789"/>
      <c r="AG817" s="3789"/>
      <c r="AH817" s="3789"/>
      <c r="AI817" s="3789"/>
      <c r="AJ817" s="2199"/>
      <c r="AK817" s="278"/>
      <c r="AL817" s="278"/>
      <c r="AM817" s="278"/>
      <c r="AN817" s="278"/>
      <c r="AO817" s="278"/>
      <c r="AP817" s="278"/>
      <c r="AQ817" s="278"/>
      <c r="AR817" s="278"/>
      <c r="AS817" s="278"/>
      <c r="AT817" s="278"/>
    </row>
    <row r="818" spans="1:50">
      <c r="D818" s="3791" t="s">
        <v>215</v>
      </c>
      <c r="E818" s="3013"/>
      <c r="F818" s="2210"/>
      <c r="G818" s="121"/>
      <c r="H818" s="121"/>
      <c r="I818" s="3786"/>
      <c r="J818" s="3786">
        <v>-119</v>
      </c>
      <c r="K818" s="3786">
        <v>-135</v>
      </c>
      <c r="L818" s="3786">
        <v>-128</v>
      </c>
      <c r="M818" s="3786">
        <v>-143</v>
      </c>
      <c r="N818" s="3786">
        <v>-158</v>
      </c>
      <c r="O818" s="3786">
        <v>-174</v>
      </c>
      <c r="P818" s="3786">
        <v>-210</v>
      </c>
      <c r="Q818" s="3786">
        <v>-206</v>
      </c>
      <c r="R818" s="3786">
        <v>-191</v>
      </c>
      <c r="S818" s="3786">
        <v>-426</v>
      </c>
      <c r="T818" s="3786">
        <v>-517</v>
      </c>
      <c r="U818" s="3786">
        <v>-566</v>
      </c>
      <c r="V818" s="3786">
        <v>-596</v>
      </c>
      <c r="W818" s="3786">
        <v>-777</v>
      </c>
      <c r="X818" s="3786">
        <v>-794</v>
      </c>
      <c r="Y818" s="3786">
        <v>-908</v>
      </c>
      <c r="Z818" s="3786">
        <v>-1153</v>
      </c>
      <c r="AA818" s="3786">
        <v>-1276</v>
      </c>
      <c r="AB818" s="3786">
        <v>-971</v>
      </c>
      <c r="AC818" s="3786">
        <v>-391</v>
      </c>
      <c r="AD818" s="3786">
        <v>-457</v>
      </c>
      <c r="AE818" s="3786">
        <v>-695</v>
      </c>
      <c r="AF818" s="3786">
        <v>-3026</v>
      </c>
      <c r="AG818" s="3786">
        <v>-2460</v>
      </c>
      <c r="AH818" s="3786">
        <v>-3358</v>
      </c>
      <c r="AI818" s="3786">
        <v>-3013</v>
      </c>
      <c r="AJ818" s="2199"/>
      <c r="AK818" s="278"/>
      <c r="AL818" s="278"/>
      <c r="AM818" s="278"/>
      <c r="AN818" s="278"/>
      <c r="AO818" s="278"/>
      <c r="AP818" s="278"/>
      <c r="AQ818" s="278"/>
      <c r="AR818" s="278"/>
      <c r="AS818" s="278"/>
      <c r="AT818" s="278"/>
    </row>
    <row r="819" spans="1:50">
      <c r="D819" s="3794" t="s">
        <v>222</v>
      </c>
      <c r="E819" s="3012"/>
      <c r="F819" s="2209"/>
      <c r="G819" s="119"/>
      <c r="H819" s="119"/>
      <c r="I819" s="3789"/>
      <c r="J819" s="3789">
        <v>39</v>
      </c>
      <c r="K819" s="3789">
        <v>43</v>
      </c>
      <c r="L819" s="3789">
        <v>63</v>
      </c>
      <c r="M819" s="3789">
        <v>58</v>
      </c>
      <c r="N819" s="3789">
        <v>89</v>
      </c>
      <c r="O819" s="3789">
        <v>143</v>
      </c>
      <c r="P819" s="3789">
        <v>175</v>
      </c>
      <c r="Q819" s="3789">
        <v>201</v>
      </c>
      <c r="R819" s="3789">
        <v>305</v>
      </c>
      <c r="S819" s="3789">
        <v>319</v>
      </c>
      <c r="T819" s="3789">
        <v>334</v>
      </c>
      <c r="U819" s="3789">
        <v>383</v>
      </c>
      <c r="V819" s="3789">
        <v>522</v>
      </c>
      <c r="W819" s="3789">
        <v>565</v>
      </c>
      <c r="X819" s="3789">
        <v>682</v>
      </c>
      <c r="Y819" s="3789">
        <v>780</v>
      </c>
      <c r="Z819" s="3789">
        <v>814</v>
      </c>
      <c r="AA819" s="3789">
        <v>1057</v>
      </c>
      <c r="AB819" s="3789">
        <v>1580</v>
      </c>
      <c r="AC819" s="3789">
        <v>1797</v>
      </c>
      <c r="AD819" s="3789">
        <v>2084</v>
      </c>
      <c r="AE819" s="3789">
        <v>1847</v>
      </c>
      <c r="AF819" s="3789">
        <v>2145</v>
      </c>
      <c r="AG819" s="3789">
        <v>3088</v>
      </c>
      <c r="AH819" s="3789">
        <v>4279</v>
      </c>
      <c r="AI819" s="3789">
        <v>5791</v>
      </c>
      <c r="AJ819" s="2199"/>
      <c r="AK819" s="278"/>
      <c r="AL819" s="278"/>
      <c r="AM819" s="278"/>
      <c r="AN819" s="278"/>
      <c r="AO819" s="278"/>
      <c r="AP819" s="278"/>
      <c r="AQ819" s="278"/>
      <c r="AR819" s="278"/>
      <c r="AS819" s="278"/>
      <c r="AT819" s="278"/>
    </row>
    <row r="820" spans="1:50">
      <c r="D820" s="3793" t="s">
        <v>223</v>
      </c>
      <c r="E820" s="3012"/>
      <c r="F820" s="2209"/>
      <c r="G820" s="119"/>
      <c r="H820" s="119"/>
      <c r="I820" s="3788"/>
      <c r="J820" s="3788">
        <v>19</v>
      </c>
      <c r="K820" s="3788">
        <v>25</v>
      </c>
      <c r="L820" s="3788">
        <v>39</v>
      </c>
      <c r="M820" s="3788">
        <v>30</v>
      </c>
      <c r="N820" s="3788">
        <v>31</v>
      </c>
      <c r="O820" s="3788">
        <v>51</v>
      </c>
      <c r="P820" s="3788">
        <v>63</v>
      </c>
      <c r="Q820" s="3788">
        <v>85</v>
      </c>
      <c r="R820" s="3788">
        <v>105</v>
      </c>
      <c r="S820" s="3788">
        <v>158</v>
      </c>
      <c r="T820" s="3788">
        <v>122</v>
      </c>
      <c r="U820" s="3788">
        <v>168</v>
      </c>
      <c r="V820" s="3788">
        <v>298</v>
      </c>
      <c r="W820" s="3788">
        <v>338</v>
      </c>
      <c r="X820" s="3788">
        <v>419</v>
      </c>
      <c r="Y820" s="3788">
        <v>429</v>
      </c>
      <c r="Z820" s="3788">
        <v>402</v>
      </c>
      <c r="AA820" s="3788">
        <v>391</v>
      </c>
      <c r="AB820" s="3788">
        <v>853</v>
      </c>
      <c r="AC820" s="3788">
        <v>910</v>
      </c>
      <c r="AD820" s="3788">
        <v>1055</v>
      </c>
      <c r="AE820" s="3788">
        <v>1297</v>
      </c>
      <c r="AF820" s="3788">
        <v>1575</v>
      </c>
      <c r="AG820" s="3788">
        <v>2177</v>
      </c>
      <c r="AH820" s="3788">
        <v>3036</v>
      </c>
      <c r="AI820" s="3788">
        <v>4333</v>
      </c>
      <c r="AJ820" s="2199"/>
      <c r="AK820" s="278"/>
      <c r="AL820" s="278"/>
      <c r="AM820" s="278"/>
      <c r="AN820" s="278"/>
      <c r="AO820" s="278"/>
      <c r="AP820" s="278"/>
      <c r="AQ820" s="278"/>
      <c r="AR820" s="278"/>
      <c r="AS820" s="278"/>
      <c r="AT820" s="278"/>
    </row>
    <row r="821" spans="1:50">
      <c r="D821" s="3793" t="s">
        <v>224</v>
      </c>
      <c r="E821" s="3012"/>
      <c r="F821" s="2209"/>
      <c r="G821" s="119"/>
      <c r="H821" s="119"/>
      <c r="I821" s="3788"/>
      <c r="J821" s="3788">
        <v>20</v>
      </c>
      <c r="K821" s="3788">
        <v>18</v>
      </c>
      <c r="L821" s="3788">
        <v>25</v>
      </c>
      <c r="M821" s="3788">
        <v>28</v>
      </c>
      <c r="N821" s="3788">
        <v>58</v>
      </c>
      <c r="O821" s="3788">
        <v>91</v>
      </c>
      <c r="P821" s="3788">
        <v>112</v>
      </c>
      <c r="Q821" s="3788">
        <v>116</v>
      </c>
      <c r="R821" s="3788">
        <v>200</v>
      </c>
      <c r="S821" s="3788">
        <v>161</v>
      </c>
      <c r="T821" s="3788">
        <v>212</v>
      </c>
      <c r="U821" s="3788">
        <v>215</v>
      </c>
      <c r="V821" s="3788">
        <v>224</v>
      </c>
      <c r="W821" s="3788">
        <v>227</v>
      </c>
      <c r="X821" s="3788">
        <v>263</v>
      </c>
      <c r="Y821" s="3788">
        <v>351</v>
      </c>
      <c r="Z821" s="3788">
        <v>412</v>
      </c>
      <c r="AA821" s="3788">
        <v>666</v>
      </c>
      <c r="AB821" s="3788">
        <v>727</v>
      </c>
      <c r="AC821" s="3788">
        <v>887</v>
      </c>
      <c r="AD821" s="3788">
        <v>1029</v>
      </c>
      <c r="AE821" s="3788">
        <v>549</v>
      </c>
      <c r="AF821" s="3788">
        <v>571</v>
      </c>
      <c r="AG821" s="3788">
        <v>910</v>
      </c>
      <c r="AH821" s="3788">
        <v>1242</v>
      </c>
      <c r="AI821" s="3788">
        <v>1458</v>
      </c>
      <c r="AJ821" s="2199"/>
      <c r="AK821" s="278"/>
      <c r="AL821" s="278"/>
      <c r="AM821" s="278"/>
      <c r="AN821" s="278"/>
      <c r="AO821" s="278"/>
      <c r="AP821" s="278"/>
      <c r="AQ821" s="278"/>
      <c r="AR821" s="278"/>
      <c r="AS821" s="278"/>
      <c r="AT821" s="278"/>
    </row>
    <row r="822" spans="1:50">
      <c r="D822" s="3794" t="s">
        <v>225</v>
      </c>
      <c r="E822" s="3012"/>
      <c r="F822" s="2209"/>
      <c r="G822" s="119"/>
      <c r="H822" s="119"/>
      <c r="I822" s="3789"/>
      <c r="J822" s="3789">
        <v>158</v>
      </c>
      <c r="K822" s="3789">
        <v>178</v>
      </c>
      <c r="L822" s="3789">
        <v>191</v>
      </c>
      <c r="M822" s="3789">
        <v>200</v>
      </c>
      <c r="N822" s="3789">
        <v>248</v>
      </c>
      <c r="O822" s="3789">
        <v>317</v>
      </c>
      <c r="P822" s="3789">
        <v>385</v>
      </c>
      <c r="Q822" s="3789">
        <v>407</v>
      </c>
      <c r="R822" s="3789">
        <v>496</v>
      </c>
      <c r="S822" s="3789">
        <v>745</v>
      </c>
      <c r="T822" s="3789">
        <v>851</v>
      </c>
      <c r="U822" s="3789">
        <v>949</v>
      </c>
      <c r="V822" s="3789">
        <v>1118</v>
      </c>
      <c r="W822" s="3789">
        <v>1342</v>
      </c>
      <c r="X822" s="3789">
        <v>1476</v>
      </c>
      <c r="Y822" s="3789">
        <v>1688</v>
      </c>
      <c r="Z822" s="3789">
        <v>1967</v>
      </c>
      <c r="AA822" s="3789">
        <v>2333</v>
      </c>
      <c r="AB822" s="3789">
        <v>2551</v>
      </c>
      <c r="AC822" s="3789">
        <v>2190</v>
      </c>
      <c r="AD822" s="3789">
        <v>2541</v>
      </c>
      <c r="AE822" s="3789">
        <v>2541</v>
      </c>
      <c r="AF822" s="3789">
        <v>5173</v>
      </c>
      <c r="AG822" s="3789">
        <v>5546</v>
      </c>
      <c r="AH822" s="3789">
        <v>7637</v>
      </c>
      <c r="AI822" s="3789">
        <v>8807</v>
      </c>
      <c r="AJ822" s="2199"/>
      <c r="AK822" s="278"/>
      <c r="AL822" s="278"/>
      <c r="AM822" s="278"/>
      <c r="AN822" s="278"/>
      <c r="AO822" s="278"/>
      <c r="AP822" s="278"/>
      <c r="AQ822" s="278"/>
      <c r="AR822" s="278"/>
      <c r="AS822" s="278"/>
      <c r="AT822" s="278"/>
    </row>
    <row r="823" spans="1:50">
      <c r="D823" s="3793" t="s">
        <v>223</v>
      </c>
      <c r="E823" s="3015"/>
      <c r="F823" s="2213"/>
      <c r="G823" s="126"/>
      <c r="H823" s="126"/>
      <c r="I823" s="3788"/>
      <c r="J823" s="3788">
        <v>91</v>
      </c>
      <c r="K823" s="3788">
        <v>97</v>
      </c>
      <c r="L823" s="3788">
        <v>110</v>
      </c>
      <c r="M823" s="3788">
        <v>108</v>
      </c>
      <c r="N823" s="3788">
        <v>134</v>
      </c>
      <c r="O823" s="3788">
        <v>174</v>
      </c>
      <c r="P823" s="3788">
        <v>221</v>
      </c>
      <c r="Q823" s="3788">
        <v>231</v>
      </c>
      <c r="R823" s="3788">
        <v>304</v>
      </c>
      <c r="S823" s="3788">
        <v>468</v>
      </c>
      <c r="T823" s="3788">
        <v>561</v>
      </c>
      <c r="U823" s="3788">
        <v>660</v>
      </c>
      <c r="V823" s="3788">
        <v>790</v>
      </c>
      <c r="W823" s="3788">
        <v>994</v>
      </c>
      <c r="X823" s="3788">
        <v>1046</v>
      </c>
      <c r="Y823" s="3788">
        <v>1174</v>
      </c>
      <c r="Z823" s="3788">
        <v>1221</v>
      </c>
      <c r="AA823" s="3788">
        <v>1475</v>
      </c>
      <c r="AB823" s="3788">
        <v>1672</v>
      </c>
      <c r="AC823" s="3788">
        <v>1416</v>
      </c>
      <c r="AD823" s="3788">
        <v>1751</v>
      </c>
      <c r="AE823" s="3788">
        <v>2104</v>
      </c>
      <c r="AF823" s="3788">
        <v>4479</v>
      </c>
      <c r="AG823" s="3788">
        <v>4641</v>
      </c>
      <c r="AH823" s="3788">
        <v>6516</v>
      </c>
      <c r="AI823" s="3788">
        <v>7470</v>
      </c>
      <c r="AJ823" s="2199"/>
      <c r="AK823" s="278"/>
      <c r="AL823" s="278"/>
      <c r="AM823" s="278"/>
      <c r="AN823" s="278"/>
      <c r="AO823" s="278"/>
      <c r="AP823" s="278"/>
      <c r="AQ823" s="278"/>
      <c r="AR823" s="278"/>
      <c r="AS823" s="278"/>
      <c r="AT823" s="278"/>
    </row>
    <row r="824" spans="1:50" ht="16.75" thickBot="1">
      <c r="D824" s="3795" t="s">
        <v>224</v>
      </c>
      <c r="E824" s="3041"/>
      <c r="F824" s="2957"/>
      <c r="G824" s="323"/>
      <c r="H824" s="323"/>
      <c r="I824" s="3790"/>
      <c r="J824" s="3790">
        <v>67</v>
      </c>
      <c r="K824" s="3790">
        <v>81</v>
      </c>
      <c r="L824" s="3790">
        <v>81</v>
      </c>
      <c r="M824" s="3790">
        <v>92</v>
      </c>
      <c r="N824" s="3790">
        <v>114</v>
      </c>
      <c r="O824" s="3790">
        <v>142</v>
      </c>
      <c r="P824" s="3790">
        <v>165</v>
      </c>
      <c r="Q824" s="3790">
        <v>176</v>
      </c>
      <c r="R824" s="3790">
        <v>192</v>
      </c>
      <c r="S824" s="3790">
        <v>277</v>
      </c>
      <c r="T824" s="3790">
        <v>290</v>
      </c>
      <c r="U824" s="3790">
        <v>289</v>
      </c>
      <c r="V824" s="3790">
        <v>328</v>
      </c>
      <c r="W824" s="3790">
        <v>348</v>
      </c>
      <c r="X824" s="3790">
        <v>430</v>
      </c>
      <c r="Y824" s="3790">
        <v>514</v>
      </c>
      <c r="Z824" s="3790">
        <v>746</v>
      </c>
      <c r="AA824" s="3790">
        <v>858</v>
      </c>
      <c r="AB824" s="3790">
        <v>879</v>
      </c>
      <c r="AC824" s="3790">
        <v>773</v>
      </c>
      <c r="AD824" s="3790">
        <v>791</v>
      </c>
      <c r="AE824" s="3790">
        <v>436</v>
      </c>
      <c r="AF824" s="3790">
        <v>694</v>
      </c>
      <c r="AG824" s="3790">
        <v>905</v>
      </c>
      <c r="AH824" s="3790">
        <v>1122</v>
      </c>
      <c r="AI824" s="3790">
        <v>1335</v>
      </c>
      <c r="AJ824" s="2212"/>
      <c r="AK824" s="279"/>
      <c r="AL824" s="279"/>
      <c r="AM824" s="279"/>
      <c r="AN824" s="279"/>
      <c r="AO824" s="279"/>
      <c r="AP824" s="279"/>
      <c r="AQ824" s="279"/>
      <c r="AR824" s="279"/>
      <c r="AS824" s="279"/>
      <c r="AT824" s="279"/>
    </row>
    <row r="825" spans="1:50" ht="16.75" thickTop="1">
      <c r="D825" s="2536" t="s">
        <v>984</v>
      </c>
      <c r="E825" s="3012"/>
      <c r="F825" s="1291"/>
      <c r="G825" s="1291"/>
      <c r="H825" s="1291"/>
      <c r="I825" s="1291"/>
      <c r="J825" s="1292"/>
      <c r="K825" s="1292"/>
      <c r="L825" s="1292"/>
      <c r="M825" s="1292"/>
      <c r="N825" s="1292"/>
      <c r="O825" s="1292"/>
      <c r="P825" s="1292"/>
      <c r="Q825" s="1292"/>
      <c r="R825" s="1292"/>
      <c r="S825" s="1292"/>
      <c r="T825" s="1292"/>
      <c r="U825" s="1292"/>
      <c r="V825" s="1292"/>
      <c r="W825" s="1292"/>
      <c r="X825" s="1292"/>
      <c r="Y825" s="1292"/>
      <c r="Z825" s="1252" t="str">
        <f t="shared" ref="Z825:AG825" si="421">IF(ABS(Z806-Z808-Z812-Z816-Z819+Z822)&gt;1,Z806-Z808-Z812-Z816-Z819+Z822,"")</f>
        <v/>
      </c>
      <c r="AA825" s="1252" t="str">
        <f t="shared" si="421"/>
        <v/>
      </c>
      <c r="AB825" s="1252" t="str">
        <f t="shared" si="421"/>
        <v/>
      </c>
      <c r="AC825" s="1252" t="str">
        <f t="shared" si="421"/>
        <v/>
      </c>
      <c r="AD825" s="1252" t="str">
        <f t="shared" si="421"/>
        <v/>
      </c>
      <c r="AE825" s="1252" t="str">
        <f t="shared" si="421"/>
        <v/>
      </c>
      <c r="AF825" s="1252" t="str">
        <f t="shared" si="421"/>
        <v/>
      </c>
      <c r="AG825" s="1252" t="str">
        <f t="shared" si="421"/>
        <v/>
      </c>
      <c r="AH825" s="1252" t="str">
        <f>IF(ABS(AH806-AH808-AH812-AH816-AH819+AH822)&gt;1,AH806-AH808-AH812-AH816-AH819+AH822,"")</f>
        <v/>
      </c>
      <c r="AI825" s="1252">
        <f>IF(ABS(AI806-AI808-AI812-AI816-AI819+AI822)&gt;1,AI806-AI808-AI812-AI816-AI819+AI822,"")</f>
        <v>2</v>
      </c>
      <c r="AJ825" s="1252"/>
      <c r="AK825" s="1292"/>
      <c r="AL825" s="1292"/>
      <c r="AM825" s="1292"/>
    </row>
    <row r="826" spans="1:50">
      <c r="D826" s="2862" t="s">
        <v>1009</v>
      </c>
      <c r="E826" s="3012"/>
      <c r="F826" s="1291"/>
      <c r="G826" s="1291"/>
      <c r="H826" s="1291"/>
      <c r="I826" s="1291"/>
      <c r="J826" s="1292"/>
      <c r="K826" s="1292"/>
      <c r="L826" s="1292"/>
      <c r="M826" s="1292"/>
      <c r="N826" s="1292"/>
      <c r="O826" s="1292"/>
      <c r="P826" s="1292"/>
      <c r="Q826" s="1292"/>
      <c r="R826" s="1292"/>
      <c r="S826" s="1292"/>
      <c r="T826" s="1292"/>
      <c r="U826" s="1292"/>
      <c r="V826" s="1292"/>
      <c r="W826" s="1292"/>
      <c r="X826" s="1292"/>
      <c r="Y826" s="1292"/>
      <c r="Z826" s="1292"/>
      <c r="AA826" s="1292"/>
      <c r="AB826" s="1292"/>
      <c r="AC826" s="1292"/>
      <c r="AD826" s="1292"/>
      <c r="AE826" s="1292"/>
      <c r="AF826" s="1292"/>
      <c r="AG826" s="1292"/>
      <c r="AH826" s="1292"/>
      <c r="AI826" s="1292"/>
      <c r="AJ826" s="1292"/>
      <c r="AK826" s="1292"/>
      <c r="AL826" s="1292"/>
      <c r="AM826" s="1292"/>
    </row>
    <row r="827" spans="1:50">
      <c r="D827" s="1293" t="s">
        <v>1020</v>
      </c>
      <c r="E827" s="3042" t="s">
        <v>1021</v>
      </c>
      <c r="F827" s="1294"/>
      <c r="G827" s="1294"/>
      <c r="H827" s="1294"/>
      <c r="I827" s="1294"/>
      <c r="J827" s="1295"/>
      <c r="K827" s="1295"/>
      <c r="L827" s="1295"/>
      <c r="M827" s="1295"/>
      <c r="N827" s="1295"/>
      <c r="O827" s="1295"/>
      <c r="P827" s="1295"/>
      <c r="Q827" s="1295"/>
      <c r="R827" s="1295"/>
      <c r="S827" s="1295"/>
      <c r="T827" s="1295"/>
      <c r="U827" s="1295"/>
      <c r="V827" s="1296">
        <f>+V819/V775*100</f>
        <v>62.740384615384613</v>
      </c>
      <c r="W827" s="1296">
        <f t="shared" ref="W827:AH827" si="422">+W819/W775*100</f>
        <v>62.362030905077262</v>
      </c>
      <c r="X827" s="1296">
        <f t="shared" si="422"/>
        <v>63.382899628252787</v>
      </c>
      <c r="Y827" s="1296">
        <f t="shared" si="422"/>
        <v>67.474048442906579</v>
      </c>
      <c r="Z827" s="1296">
        <f t="shared" si="422"/>
        <v>66.2327095199349</v>
      </c>
      <c r="AA827" s="1296">
        <f t="shared" si="422"/>
        <v>76.207642393655377</v>
      </c>
      <c r="AB827" s="1296">
        <f t="shared" si="422"/>
        <v>80.284552845528452</v>
      </c>
      <c r="AC827" s="1296">
        <f t="shared" si="422"/>
        <v>82.355637030247479</v>
      </c>
      <c r="AD827" s="1296">
        <f t="shared" si="422"/>
        <v>79.663608562691138</v>
      </c>
      <c r="AE827" s="1296">
        <f t="shared" si="422"/>
        <v>78.097251585623681</v>
      </c>
      <c r="AF827" s="1296">
        <f t="shared" si="422"/>
        <v>88.563170933113128</v>
      </c>
      <c r="AG827" s="1296">
        <f t="shared" si="422"/>
        <v>80.521512385919166</v>
      </c>
      <c r="AH827" s="1296">
        <f t="shared" si="422"/>
        <v>89.59380234505862</v>
      </c>
      <c r="AI827" s="1296">
        <f>+AI819/AI775*100</f>
        <v>102.49557522123894</v>
      </c>
      <c r="AJ827" s="1296"/>
      <c r="AK827" s="1296"/>
      <c r="AL827" s="1296"/>
      <c r="AM827" s="1296"/>
      <c r="AN827" s="1296"/>
      <c r="AO827" s="1296"/>
      <c r="AP827" s="1296"/>
      <c r="AQ827" s="1296"/>
      <c r="AR827" s="1296"/>
      <c r="AS827" s="1296"/>
      <c r="AT827" s="1296"/>
    </row>
    <row r="828" spans="1:50">
      <c r="D828" s="1293" t="s">
        <v>1011</v>
      </c>
      <c r="E828" s="3043">
        <v>1</v>
      </c>
      <c r="F828" s="1294"/>
      <c r="G828" s="1294"/>
      <c r="H828" s="1294"/>
      <c r="I828" s="1294"/>
      <c r="J828" s="1295"/>
      <c r="K828" s="1295"/>
      <c r="L828" s="1295"/>
      <c r="M828" s="1295"/>
      <c r="N828" s="1295"/>
      <c r="O828" s="1295"/>
      <c r="P828" s="1295"/>
      <c r="Q828" s="1295"/>
      <c r="R828" s="1295"/>
      <c r="S828" s="1295"/>
      <c r="T828" s="1295"/>
      <c r="U828" s="1295"/>
      <c r="V828" s="1296">
        <f>+V784</f>
        <v>47.25</v>
      </c>
      <c r="W828" s="1296">
        <f t="shared" ref="W828:AG828" si="423">+W784</f>
        <v>49.5</v>
      </c>
      <c r="X828" s="1296">
        <f t="shared" si="423"/>
        <v>50.75</v>
      </c>
      <c r="Y828" s="1296">
        <f t="shared" si="423"/>
        <v>53.5</v>
      </c>
      <c r="Z828" s="1296">
        <f t="shared" si="423"/>
        <v>53.75</v>
      </c>
      <c r="AA828" s="1296">
        <f t="shared" si="423"/>
        <v>56.75</v>
      </c>
      <c r="AB828" s="1296">
        <f t="shared" si="423"/>
        <v>61</v>
      </c>
      <c r="AC828" s="1296">
        <f t="shared" si="423"/>
        <v>61.5</v>
      </c>
      <c r="AD828" s="1296">
        <f t="shared" si="423"/>
        <v>64</v>
      </c>
      <c r="AE828" s="1296">
        <f t="shared" si="423"/>
        <v>68.75</v>
      </c>
      <c r="AF828" s="1296">
        <f t="shared" si="423"/>
        <v>71.5</v>
      </c>
      <c r="AG828" s="1296">
        <f t="shared" si="423"/>
        <v>82.75</v>
      </c>
      <c r="AH828" s="1296">
        <f>+AH784</f>
        <v>93</v>
      </c>
      <c r="AI828" s="1296">
        <f>+AI784</f>
        <v>102</v>
      </c>
      <c r="AJ828" s="1296"/>
      <c r="AK828" s="1296"/>
      <c r="AL828" s="1296"/>
      <c r="AM828" s="1296"/>
      <c r="AN828" s="1296"/>
      <c r="AO828" s="1296"/>
      <c r="AP828" s="1296"/>
      <c r="AQ828" s="1296"/>
      <c r="AR828" s="1296"/>
      <c r="AS828" s="1296"/>
      <c r="AT828" s="1296"/>
    </row>
    <row r="829" spans="1:50">
      <c r="D829" s="1293" t="s">
        <v>1010</v>
      </c>
      <c r="E829" s="3042">
        <v>0.3</v>
      </c>
      <c r="F829" s="1294"/>
      <c r="G829" s="1294"/>
      <c r="H829" s="1294"/>
      <c r="I829" s="1294"/>
      <c r="J829" s="1295"/>
      <c r="K829" s="1295"/>
      <c r="L829" s="1295"/>
      <c r="M829" s="1295"/>
      <c r="N829" s="1295"/>
      <c r="O829" s="1295"/>
      <c r="P829" s="1295"/>
      <c r="Q829" s="1295"/>
      <c r="R829" s="1295"/>
      <c r="S829" s="1295"/>
      <c r="T829" s="1295"/>
      <c r="U829" s="1295"/>
      <c r="V829" s="1296">
        <f t="shared" ref="V829:AA829" si="424">+$E829*V827+(1-$E829)*V828</f>
        <v>51.897115384615375</v>
      </c>
      <c r="W829" s="1296">
        <f t="shared" si="424"/>
        <v>53.358609271523179</v>
      </c>
      <c r="X829" s="1296">
        <f t="shared" si="424"/>
        <v>54.539869888475835</v>
      </c>
      <c r="Y829" s="1296">
        <f t="shared" si="424"/>
        <v>57.692214532871972</v>
      </c>
      <c r="Z829" s="1296">
        <f t="shared" si="424"/>
        <v>57.49481285598047</v>
      </c>
      <c r="AA829" s="1296">
        <f t="shared" si="424"/>
        <v>62.587292718096606</v>
      </c>
      <c r="AB829" s="1296">
        <f>(($E829*AB827+(1-$E829)*AB828)/100)^$E828*100</f>
        <v>66.785365853658533</v>
      </c>
      <c r="AC829" s="1296">
        <f t="shared" ref="AC829:AH829" si="425">($E829*AC827+(1-$E829)*AC828)*$E828</f>
        <v>67.756691109074239</v>
      </c>
      <c r="AD829" s="1296">
        <f t="shared" si="425"/>
        <v>68.699082568807341</v>
      </c>
      <c r="AE829" s="1296">
        <f t="shared" si="425"/>
        <v>71.554175475687103</v>
      </c>
      <c r="AF829" s="1296">
        <f t="shared" si="425"/>
        <v>76.618951279933938</v>
      </c>
      <c r="AG829" s="1296">
        <f t="shared" si="425"/>
        <v>82.081453715775751</v>
      </c>
      <c r="AH829" s="1296">
        <f t="shared" si="425"/>
        <v>91.978140703517582</v>
      </c>
      <c r="AI829" s="1296">
        <f>($E829*AI827+(1-$E829)*AI828)*$E828</f>
        <v>102.14867256637167</v>
      </c>
      <c r="AJ829" s="1296"/>
      <c r="AK829" s="1296"/>
      <c r="AL829" s="1296"/>
      <c r="AM829" s="1296"/>
      <c r="AN829" s="1296"/>
      <c r="AO829" s="1296"/>
      <c r="AP829" s="1296"/>
      <c r="AQ829" s="1296"/>
      <c r="AR829" s="1296"/>
      <c r="AS829" s="1296"/>
      <c r="AT829" s="1296"/>
    </row>
    <row r="830" spans="1:50">
      <c r="D830" s="208"/>
      <c r="E830" s="3039"/>
      <c r="F830" s="317"/>
      <c r="G830" s="317"/>
      <c r="H830" s="317"/>
      <c r="I830" s="317"/>
      <c r="J830" s="318"/>
      <c r="K830" s="318"/>
      <c r="L830" s="318"/>
      <c r="M830" s="318"/>
      <c r="N830" s="318"/>
      <c r="O830" s="318"/>
      <c r="P830" s="318"/>
      <c r="Q830" s="318"/>
      <c r="R830" s="318"/>
      <c r="S830" s="318"/>
      <c r="T830" s="318"/>
      <c r="U830" s="318"/>
      <c r="V830" s="318"/>
      <c r="W830" s="318"/>
      <c r="X830" s="318"/>
      <c r="Y830" s="318"/>
      <c r="Z830" s="318"/>
      <c r="AA830" s="318"/>
      <c r="AB830" s="318"/>
      <c r="AC830" s="318"/>
      <c r="AD830" s="317"/>
      <c r="AE830" s="317"/>
      <c r="AF830" s="317"/>
    </row>
    <row r="831" spans="1:50" ht="16.75" thickBot="1">
      <c r="A831" s="295"/>
      <c r="B831" s="1"/>
      <c r="D831" s="295" t="s">
        <v>1124</v>
      </c>
      <c r="E831" s="3044" t="s">
        <v>992</v>
      </c>
      <c r="F831" s="1"/>
      <c r="G831" s="1"/>
      <c r="H831" s="1"/>
      <c r="I831" s="1"/>
      <c r="J831" s="1"/>
      <c r="K831" s="1"/>
      <c r="L831" s="1"/>
      <c r="M831" s="1"/>
      <c r="N831" s="1"/>
      <c r="O831" s="1"/>
      <c r="P831" s="1"/>
      <c r="Q831" s="1"/>
      <c r="R831" s="1"/>
      <c r="S831" s="1"/>
      <c r="T831" s="1"/>
      <c r="V831" s="1252">
        <f t="shared" ref="V831:AT831" si="426">+V227</f>
        <v>278.89813015875336</v>
      </c>
      <c r="W831" s="1252">
        <f t="shared" si="426"/>
        <v>318.63437414921384</v>
      </c>
      <c r="X831" s="1252">
        <f t="shared" si="426"/>
        <v>336.02065152884842</v>
      </c>
      <c r="Y831" s="1252">
        <f t="shared" si="426"/>
        <v>354.43289321812483</v>
      </c>
      <c r="Z831" s="1252">
        <f t="shared" si="426"/>
        <v>395.22141457847027</v>
      </c>
      <c r="AA831" s="1252">
        <f t="shared" si="426"/>
        <v>434.83379311621269</v>
      </c>
      <c r="AB831" s="1252">
        <f t="shared" si="426"/>
        <v>468.12234387810565</v>
      </c>
      <c r="AC831" s="1252">
        <f t="shared" si="426"/>
        <v>493.35227637071171</v>
      </c>
      <c r="AD831" s="1252">
        <f t="shared" si="426"/>
        <v>478.23108465322764</v>
      </c>
      <c r="AE831" s="1252">
        <f t="shared" si="426"/>
        <v>502.37385927150001</v>
      </c>
      <c r="AF831" s="1252">
        <f t="shared" si="426"/>
        <v>600.22728551378623</v>
      </c>
      <c r="AG831" s="1252">
        <f t="shared" si="426"/>
        <v>739.6341987060498</v>
      </c>
      <c r="AH831" s="1252">
        <f t="shared" si="426"/>
        <v>917.34299313376357</v>
      </c>
      <c r="AI831" s="1252">
        <f t="shared" si="426"/>
        <v>1095.5812292624998</v>
      </c>
      <c r="AJ831" s="1252">
        <f t="shared" si="426"/>
        <v>1306.9845509371096</v>
      </c>
      <c r="AK831" s="1252">
        <f t="shared" si="426"/>
        <v>1520.2942196747217</v>
      </c>
      <c r="AL831" s="1252">
        <f t="shared" si="426"/>
        <v>1720.8641011251789</v>
      </c>
      <c r="AM831" s="1252">
        <f t="shared" si="426"/>
        <v>1948.6067454016904</v>
      </c>
      <c r="AN831" s="1252">
        <f t="shared" si="426"/>
        <v>2172.4349787440879</v>
      </c>
      <c r="AO831" s="1252">
        <f t="shared" si="426"/>
        <v>2428.6991722717366</v>
      </c>
      <c r="AP831" s="1252">
        <f t="shared" si="426"/>
        <v>2739.5582274420676</v>
      </c>
      <c r="AQ831" s="1252">
        <f t="shared" si="426"/>
        <v>3076.0276225289922</v>
      </c>
      <c r="AR831" s="1252">
        <f t="shared" si="426"/>
        <v>3455.9332033819146</v>
      </c>
      <c r="AS831" s="1252">
        <f t="shared" si="426"/>
        <v>4063.0194756323258</v>
      </c>
      <c r="AT831" s="1252">
        <f t="shared" si="426"/>
        <v>4982.3245313410298</v>
      </c>
      <c r="AU831" s="231"/>
      <c r="AV831" s="231"/>
      <c r="AW831" s="231"/>
      <c r="AX831" s="231"/>
    </row>
    <row r="832" spans="1:50" ht="17.5" thickTop="1" thickBot="1">
      <c r="A832" s="295"/>
      <c r="B832" s="1"/>
      <c r="D832" s="347" t="s">
        <v>1608</v>
      </c>
      <c r="E832" s="3045"/>
      <c r="F832" s="2958"/>
      <c r="G832" s="348"/>
      <c r="H832" s="348"/>
      <c r="I832" s="348"/>
      <c r="J832" s="391">
        <v>1999</v>
      </c>
      <c r="K832" s="391">
        <f>+J832+1</f>
        <v>2000</v>
      </c>
      <c r="L832" s="391">
        <f t="shared" ref="L832:V832" si="427">+K832+1</f>
        <v>2001</v>
      </c>
      <c r="M832" s="391">
        <f t="shared" si="427"/>
        <v>2002</v>
      </c>
      <c r="N832" s="391">
        <f t="shared" si="427"/>
        <v>2003</v>
      </c>
      <c r="O832" s="391">
        <f t="shared" si="427"/>
        <v>2004</v>
      </c>
      <c r="P832" s="391">
        <f t="shared" si="427"/>
        <v>2005</v>
      </c>
      <c r="Q832" s="391">
        <f t="shared" si="427"/>
        <v>2006</v>
      </c>
      <c r="R832" s="391">
        <f t="shared" si="427"/>
        <v>2007</v>
      </c>
      <c r="S832" s="391">
        <f t="shared" si="427"/>
        <v>2008</v>
      </c>
      <c r="T832" s="391">
        <f t="shared" si="427"/>
        <v>2009</v>
      </c>
      <c r="U832" s="391">
        <f t="shared" si="427"/>
        <v>2010</v>
      </c>
      <c r="V832" s="1906">
        <f t="shared" si="427"/>
        <v>2011</v>
      </c>
      <c r="W832" s="1907">
        <f>+V832+1</f>
        <v>2012</v>
      </c>
      <c r="X832" s="1907">
        <f>+W832+1</f>
        <v>2013</v>
      </c>
      <c r="Y832" s="1907">
        <f>+X832+1</f>
        <v>2014</v>
      </c>
      <c r="Z832" s="1907">
        <f t="shared" ref="Z832:AF832" si="428">+Y832+1</f>
        <v>2015</v>
      </c>
      <c r="AA832" s="1907">
        <f t="shared" si="428"/>
        <v>2016</v>
      </c>
      <c r="AB832" s="1907">
        <v>2017</v>
      </c>
      <c r="AC832" s="1907">
        <f t="shared" si="428"/>
        <v>2018</v>
      </c>
      <c r="AD832" s="1907">
        <f t="shared" si="428"/>
        <v>2019</v>
      </c>
      <c r="AE832" s="1907">
        <f t="shared" si="428"/>
        <v>2020</v>
      </c>
      <c r="AF832" s="1907">
        <f t="shared" si="428"/>
        <v>2021</v>
      </c>
      <c r="AG832" s="1907">
        <f t="shared" ref="AG832:AO832" si="429">+AF832+1</f>
        <v>2022</v>
      </c>
      <c r="AH832" s="1907">
        <f t="shared" si="429"/>
        <v>2023</v>
      </c>
      <c r="AI832" s="1907">
        <f t="shared" si="429"/>
        <v>2024</v>
      </c>
      <c r="AJ832" s="3206">
        <f t="shared" si="429"/>
        <v>2025</v>
      </c>
      <c r="AK832" s="1907">
        <f t="shared" si="429"/>
        <v>2026</v>
      </c>
      <c r="AL832" s="1907">
        <f t="shared" si="429"/>
        <v>2027</v>
      </c>
      <c r="AM832" s="1907">
        <f t="shared" si="429"/>
        <v>2028</v>
      </c>
      <c r="AN832" s="1907">
        <f t="shared" si="429"/>
        <v>2029</v>
      </c>
      <c r="AO832" s="1908">
        <f t="shared" si="429"/>
        <v>2030</v>
      </c>
      <c r="AP832" s="1908">
        <f>+AO832+1</f>
        <v>2031</v>
      </c>
      <c r="AQ832" s="1908">
        <f>+AP832+1</f>
        <v>2032</v>
      </c>
      <c r="AR832" s="1908">
        <f>+AQ832+1</f>
        <v>2033</v>
      </c>
      <c r="AS832" s="1908">
        <f>+AR832+1</f>
        <v>2034</v>
      </c>
      <c r="AT832" s="1908">
        <f>+AS832+1</f>
        <v>2035</v>
      </c>
      <c r="AU832" s="231"/>
      <c r="AV832" s="231"/>
      <c r="AW832" s="231"/>
      <c r="AX832" s="231"/>
    </row>
    <row r="833" spans="1:50" s="3781" customFormat="1" ht="16.75" thickTop="1">
      <c r="A833" s="3780"/>
      <c r="C833" s="3782">
        <v>1</v>
      </c>
      <c r="D833" s="3783" t="s">
        <v>1609</v>
      </c>
      <c r="E833" s="3784"/>
      <c r="F833" s="3275"/>
      <c r="G833" s="3275"/>
      <c r="H833" s="2576"/>
      <c r="I833" s="2577"/>
      <c r="J833" s="2577">
        <f t="shared" ref="J833:AO833" si="430">+J591</f>
        <v>2065</v>
      </c>
      <c r="K833" s="2577">
        <f t="shared" si="430"/>
        <v>2238</v>
      </c>
      <c r="L833" s="2577">
        <f t="shared" si="430"/>
        <v>2428</v>
      </c>
      <c r="M833" s="2577">
        <f t="shared" si="430"/>
        <v>2748</v>
      </c>
      <c r="N833" s="2577">
        <f t="shared" si="430"/>
        <v>2809</v>
      </c>
      <c r="O833" s="2577">
        <f t="shared" si="430"/>
        <v>3018</v>
      </c>
      <c r="P833" s="2577">
        <f t="shared" si="430"/>
        <v>3301</v>
      </c>
      <c r="Q833" s="2577">
        <f t="shared" si="430"/>
        <v>5869</v>
      </c>
      <c r="R833" s="2577">
        <f t="shared" si="430"/>
        <v>6316</v>
      </c>
      <c r="S833" s="2577">
        <f t="shared" si="430"/>
        <v>7021</v>
      </c>
      <c r="T833" s="2577">
        <f t="shared" si="430"/>
        <v>7460</v>
      </c>
      <c r="U833" s="2577">
        <f t="shared" si="430"/>
        <v>8006</v>
      </c>
      <c r="V833" s="2577">
        <f t="shared" si="430"/>
        <v>8644</v>
      </c>
      <c r="W833" s="2577">
        <f t="shared" si="430"/>
        <v>9390</v>
      </c>
      <c r="X833" s="2577">
        <f t="shared" si="430"/>
        <v>14501</v>
      </c>
      <c r="Y833" s="2577">
        <f t="shared" si="430"/>
        <v>10392</v>
      </c>
      <c r="Z833" s="2577">
        <f t="shared" si="430"/>
        <v>11314</v>
      </c>
      <c r="AA833" s="2577">
        <f t="shared" si="430"/>
        <v>11954</v>
      </c>
      <c r="AB833" s="2577">
        <f t="shared" si="430"/>
        <v>12517</v>
      </c>
      <c r="AC833" s="2577">
        <f t="shared" si="430"/>
        <v>13527</v>
      </c>
      <c r="AD833" s="2577">
        <f t="shared" si="430"/>
        <v>14782</v>
      </c>
      <c r="AE833" s="2577">
        <f t="shared" si="430"/>
        <v>10751</v>
      </c>
      <c r="AF833" s="2577">
        <f t="shared" si="430"/>
        <v>15581</v>
      </c>
      <c r="AG833" s="2577">
        <f t="shared" si="430"/>
        <v>17111</v>
      </c>
      <c r="AH833" s="2577">
        <f>+AH591</f>
        <v>18576</v>
      </c>
      <c r="AI833" s="2577">
        <f t="shared" si="430"/>
        <v>19917</v>
      </c>
      <c r="AJ833" s="2792">
        <f t="shared" si="430"/>
        <v>21466.193430623131</v>
      </c>
      <c r="AK833" s="2577">
        <f t="shared" si="430"/>
        <v>23261.296031387188</v>
      </c>
      <c r="AL833" s="2577">
        <f t="shared" si="430"/>
        <v>25341.974166436408</v>
      </c>
      <c r="AM833" s="2577">
        <f t="shared" si="430"/>
        <v>27492.822499158967</v>
      </c>
      <c r="AN833" s="2577">
        <f t="shared" si="430"/>
        <v>29674.327119907597</v>
      </c>
      <c r="AO833" s="2793">
        <f t="shared" si="430"/>
        <v>32154.119327666092</v>
      </c>
      <c r="AP833" s="2793">
        <f>+AP591</f>
        <v>34918.940057613378</v>
      </c>
      <c r="AQ833" s="2793">
        <f>+AQ591</f>
        <v>37950.455950119424</v>
      </c>
      <c r="AR833" s="2793">
        <f>+AR591</f>
        <v>41338.872433839286</v>
      </c>
      <c r="AS833" s="2793">
        <f>+AS591</f>
        <v>45108.390091671419</v>
      </c>
      <c r="AT833" s="2793">
        <f>+AT591</f>
        <v>49418.223936950606</v>
      </c>
      <c r="AU833" s="1891"/>
      <c r="AV833" s="1891"/>
      <c r="AW833" s="1891"/>
      <c r="AX833" s="1891"/>
    </row>
    <row r="834" spans="1:50" s="1892" customFormat="1">
      <c r="A834" s="2573"/>
      <c r="C834" s="2574">
        <f>+C833+1</f>
        <v>2</v>
      </c>
      <c r="D834" s="2575" t="s">
        <v>987</v>
      </c>
      <c r="E834" s="3047"/>
      <c r="F834" s="1239"/>
      <c r="G834" s="1239"/>
      <c r="H834" s="2576"/>
      <c r="I834" s="2577"/>
      <c r="J834" s="2578">
        <f t="shared" ref="J834:U834" si="431">+J775*(1-J835)</f>
        <v>113.25</v>
      </c>
      <c r="K834" s="2578">
        <f t="shared" si="431"/>
        <v>114</v>
      </c>
      <c r="L834" s="2578">
        <f t="shared" si="431"/>
        <v>159</v>
      </c>
      <c r="M834" s="2578">
        <f t="shared" si="431"/>
        <v>167.25</v>
      </c>
      <c r="N834" s="2578">
        <f t="shared" si="431"/>
        <v>201</v>
      </c>
      <c r="O834" s="2578">
        <f t="shared" si="431"/>
        <v>264.75</v>
      </c>
      <c r="P834" s="2578">
        <f t="shared" si="431"/>
        <v>294.75</v>
      </c>
      <c r="Q834" s="2578">
        <f t="shared" si="431"/>
        <v>378</v>
      </c>
      <c r="R834" s="2578">
        <f t="shared" si="431"/>
        <v>544.5</v>
      </c>
      <c r="S834" s="2578">
        <f t="shared" si="431"/>
        <v>480.75</v>
      </c>
      <c r="T834" s="2578">
        <f t="shared" si="431"/>
        <v>465.75</v>
      </c>
      <c r="U834" s="2578">
        <f t="shared" si="431"/>
        <v>504.75</v>
      </c>
      <c r="V834" s="2794">
        <f>+V847/(V829/100)</f>
        <v>754.37718859429719</v>
      </c>
      <c r="W834" s="2794">
        <f>+W847/(W829/100)</f>
        <v>794.15488106836779</v>
      </c>
      <c r="X834" s="2794">
        <f t="shared" ref="X834:AG834" si="432">+X847/(X829/100)</f>
        <v>937.84602171938616</v>
      </c>
      <c r="Y834" s="2794">
        <f t="shared" si="432"/>
        <v>1014.0016373728861</v>
      </c>
      <c r="Z834" s="2794">
        <f t="shared" si="432"/>
        <v>1061.8349198374638</v>
      </c>
      <c r="AA834" s="2794">
        <f t="shared" si="432"/>
        <v>1266.6309175101653</v>
      </c>
      <c r="AB834" s="2794">
        <f t="shared" si="432"/>
        <v>1774.3408078299615</v>
      </c>
      <c r="AC834" s="2794">
        <f t="shared" si="432"/>
        <v>1989.1024457354354</v>
      </c>
      <c r="AD834" s="2794">
        <f t="shared" si="432"/>
        <v>2275.1395528965572</v>
      </c>
      <c r="AE834" s="2794">
        <f t="shared" si="432"/>
        <v>1935.9457233501134</v>
      </c>
      <c r="AF834" s="2794">
        <f t="shared" si="432"/>
        <v>2099.6763504662094</v>
      </c>
      <c r="AG834" s="2794">
        <f t="shared" si="432"/>
        <v>2671.1027896653995</v>
      </c>
      <c r="AH834" s="2794">
        <f>+AH847/(AH829/100)</f>
        <v>3303.0565488304242</v>
      </c>
      <c r="AI834" s="2794">
        <f>+AI847/(AI829/100)</f>
        <v>4025.1232803132689</v>
      </c>
      <c r="AJ834" s="2795">
        <f t="shared" ref="AJ834:AT834" si="433">+AJ847/AJ952*100</f>
        <v>3970.972545399808</v>
      </c>
      <c r="AK834" s="2794">
        <f t="shared" si="433"/>
        <v>4402.4849366307608</v>
      </c>
      <c r="AL834" s="2794">
        <f t="shared" si="433"/>
        <v>4725.3832500954704</v>
      </c>
      <c r="AM834" s="2794">
        <f t="shared" si="433"/>
        <v>5046.7019691683126</v>
      </c>
      <c r="AN834" s="2794">
        <f t="shared" si="433"/>
        <v>5252.7568108900759</v>
      </c>
      <c r="AO834" s="2793">
        <f t="shared" si="433"/>
        <v>5553.9861272505723</v>
      </c>
      <c r="AP834" s="2793">
        <f t="shared" si="433"/>
        <v>5941.8637051761389</v>
      </c>
      <c r="AQ834" s="2793">
        <f t="shared" si="433"/>
        <v>6345.7988573502644</v>
      </c>
      <c r="AR834" s="2793">
        <f t="shared" si="433"/>
        <v>6787.3849713389345</v>
      </c>
      <c r="AS834" s="2793">
        <f t="shared" si="433"/>
        <v>7270.1796696928041</v>
      </c>
      <c r="AT834" s="2793">
        <f t="shared" si="433"/>
        <v>7798.6135998304617</v>
      </c>
    </row>
    <row r="835" spans="1:50">
      <c r="A835" s="295"/>
      <c r="B835" s="1"/>
      <c r="C835" s="387">
        <f t="shared" ref="C835:C871" si="434">+C834+1</f>
        <v>3</v>
      </c>
      <c r="D835" s="1254" t="s">
        <v>1356</v>
      </c>
      <c r="E835" s="2143" t="s">
        <v>341</v>
      </c>
      <c r="H835" s="335"/>
      <c r="I835" s="336"/>
      <c r="J835" s="345">
        <f t="shared" ref="J835:Q835" si="435">K835</f>
        <v>0.25</v>
      </c>
      <c r="K835" s="345">
        <f t="shared" si="435"/>
        <v>0.25</v>
      </c>
      <c r="L835" s="345">
        <f t="shared" si="435"/>
        <v>0.25</v>
      </c>
      <c r="M835" s="345">
        <f t="shared" si="435"/>
        <v>0.25</v>
      </c>
      <c r="N835" s="345">
        <f t="shared" si="435"/>
        <v>0.25</v>
      </c>
      <c r="O835" s="345">
        <f t="shared" si="435"/>
        <v>0.25</v>
      </c>
      <c r="P835" s="345">
        <f t="shared" si="435"/>
        <v>0.25</v>
      </c>
      <c r="Q835" s="345">
        <f t="shared" si="435"/>
        <v>0.25</v>
      </c>
      <c r="R835" s="345">
        <f>S835</f>
        <v>0.25</v>
      </c>
      <c r="S835" s="345">
        <f>T835</f>
        <v>0.25</v>
      </c>
      <c r="T835" s="345">
        <f>U835</f>
        <v>0.25</v>
      </c>
      <c r="U835" s="345">
        <f>V835</f>
        <v>0.25</v>
      </c>
      <c r="V835" s="345">
        <v>0.25</v>
      </c>
      <c r="W835" s="345">
        <f t="shared" ref="W835:AF835" si="436">+V835</f>
        <v>0.25</v>
      </c>
      <c r="X835" s="345">
        <f t="shared" si="436"/>
        <v>0.25</v>
      </c>
      <c r="Y835" s="345">
        <f t="shared" si="436"/>
        <v>0.25</v>
      </c>
      <c r="Z835" s="345">
        <f t="shared" si="436"/>
        <v>0.25</v>
      </c>
      <c r="AA835" s="345">
        <f t="shared" si="436"/>
        <v>0.25</v>
      </c>
      <c r="AB835" s="345">
        <f t="shared" si="436"/>
        <v>0.25</v>
      </c>
      <c r="AC835" s="345">
        <f t="shared" si="436"/>
        <v>0.25</v>
      </c>
      <c r="AD835" s="345">
        <f t="shared" si="436"/>
        <v>0.25</v>
      </c>
      <c r="AE835" s="345">
        <f t="shared" si="436"/>
        <v>0.25</v>
      </c>
      <c r="AF835" s="345">
        <f t="shared" si="436"/>
        <v>0.25</v>
      </c>
      <c r="AG835" s="345">
        <f>+AF835+0.04</f>
        <v>0.28999999999999998</v>
      </c>
      <c r="AH835" s="345">
        <f>+AG835+0.03</f>
        <v>0.31999999999999995</v>
      </c>
      <c r="AI835" s="345">
        <f t="shared" ref="AI835:AO835" si="437">+AH835</f>
        <v>0.31999999999999995</v>
      </c>
      <c r="AJ835" s="2274">
        <f t="shared" si="437"/>
        <v>0.31999999999999995</v>
      </c>
      <c r="AK835" s="345">
        <f t="shared" si="437"/>
        <v>0.31999999999999995</v>
      </c>
      <c r="AL835" s="345">
        <f t="shared" si="437"/>
        <v>0.31999999999999995</v>
      </c>
      <c r="AM835" s="345">
        <f t="shared" si="437"/>
        <v>0.31999999999999995</v>
      </c>
      <c r="AN835" s="345">
        <f t="shared" si="437"/>
        <v>0.31999999999999995</v>
      </c>
      <c r="AO835" s="1830">
        <f t="shared" si="437"/>
        <v>0.31999999999999995</v>
      </c>
      <c r="AP835" s="1830">
        <f>+AO835</f>
        <v>0.31999999999999995</v>
      </c>
      <c r="AQ835" s="1830">
        <f>+AP835</f>
        <v>0.31999999999999995</v>
      </c>
      <c r="AR835" s="1830">
        <f>+AQ835</f>
        <v>0.31999999999999995</v>
      </c>
      <c r="AS835" s="1830">
        <f>+AR835</f>
        <v>0.31999999999999995</v>
      </c>
      <c r="AT835" s="1830">
        <f>+AS835</f>
        <v>0.31999999999999995</v>
      </c>
    </row>
    <row r="836" spans="1:50">
      <c r="A836" s="295"/>
      <c r="B836" s="1"/>
      <c r="C836" s="387">
        <f t="shared" si="434"/>
        <v>4</v>
      </c>
      <c r="D836" s="337" t="s">
        <v>274</v>
      </c>
      <c r="E836" s="3048">
        <f>E849</f>
        <v>1</v>
      </c>
      <c r="H836" s="335"/>
      <c r="I836" s="336"/>
      <c r="J836" s="338">
        <f t="shared" ref="J836:V836" si="438">+$E836*(J625-J377-J379)</f>
        <v>127</v>
      </c>
      <c r="K836" s="338">
        <f t="shared" si="438"/>
        <v>134</v>
      </c>
      <c r="L836" s="338">
        <f t="shared" si="438"/>
        <v>139</v>
      </c>
      <c r="M836" s="338">
        <f t="shared" si="438"/>
        <v>140</v>
      </c>
      <c r="N836" s="338">
        <f t="shared" si="438"/>
        <v>148</v>
      </c>
      <c r="O836" s="338">
        <f t="shared" si="438"/>
        <v>149</v>
      </c>
      <c r="P836" s="338">
        <f t="shared" si="438"/>
        <v>153</v>
      </c>
      <c r="Q836" s="338">
        <f t="shared" si="438"/>
        <v>195</v>
      </c>
      <c r="R836" s="338">
        <f t="shared" si="438"/>
        <v>205</v>
      </c>
      <c r="S836" s="338">
        <f t="shared" si="438"/>
        <v>215</v>
      </c>
      <c r="T836" s="338">
        <f t="shared" si="438"/>
        <v>231</v>
      </c>
      <c r="U836" s="338">
        <f t="shared" si="438"/>
        <v>265</v>
      </c>
      <c r="V836" s="338">
        <f t="shared" si="438"/>
        <v>304</v>
      </c>
      <c r="W836" s="338">
        <f t="shared" ref="W836:AN836" si="439">+$E836*(W625-W377-W380)</f>
        <v>335</v>
      </c>
      <c r="X836" s="338">
        <f t="shared" si="439"/>
        <v>469.78066572840157</v>
      </c>
      <c r="Y836" s="338">
        <f t="shared" si="439"/>
        <v>211.07490186647937</v>
      </c>
      <c r="Z836" s="338">
        <f t="shared" si="439"/>
        <v>271.27690678358954</v>
      </c>
      <c r="AA836" s="338">
        <f t="shared" si="439"/>
        <v>288.37282391073899</v>
      </c>
      <c r="AB836" s="338">
        <f t="shared" si="439"/>
        <v>300.95059350748795</v>
      </c>
      <c r="AC836" s="338">
        <f t="shared" si="439"/>
        <v>310.01862531987939</v>
      </c>
      <c r="AD836" s="338">
        <f t="shared" si="439"/>
        <v>291.66615956066414</v>
      </c>
      <c r="AE836" s="338">
        <f t="shared" si="439"/>
        <v>188.86506873078991</v>
      </c>
      <c r="AF836" s="338">
        <f t="shared" si="439"/>
        <v>359.57668466625762</v>
      </c>
      <c r="AG836" s="338">
        <f t="shared" si="439"/>
        <v>404.41266819499674</v>
      </c>
      <c r="AH836" s="338">
        <f t="shared" si="439"/>
        <v>419.3548278385382</v>
      </c>
      <c r="AI836" s="338">
        <f t="shared" si="439"/>
        <v>530.0640884615143</v>
      </c>
      <c r="AJ836" s="2275">
        <f t="shared" si="439"/>
        <v>722.44765674819337</v>
      </c>
      <c r="AK836" s="338">
        <f t="shared" si="439"/>
        <v>745.20266244606978</v>
      </c>
      <c r="AL836" s="338">
        <f t="shared" si="439"/>
        <v>768.47685961776654</v>
      </c>
      <c r="AM836" s="338">
        <f t="shared" si="439"/>
        <v>792.59412375437671</v>
      </c>
      <c r="AN836" s="338">
        <f t="shared" si="439"/>
        <v>816.92673874361753</v>
      </c>
      <c r="AO836" s="1831">
        <f t="shared" ref="AO836:AT836" si="440">+$E836*(AO625-AO377-AO379)</f>
        <v>850.58968529719186</v>
      </c>
      <c r="AP836" s="1831">
        <f t="shared" si="440"/>
        <v>892.44583007498818</v>
      </c>
      <c r="AQ836" s="1831">
        <f t="shared" si="440"/>
        <v>929.06955048505142</v>
      </c>
      <c r="AR836" s="1831">
        <f t="shared" si="440"/>
        <v>961.15905802800773</v>
      </c>
      <c r="AS836" s="1831">
        <f t="shared" si="440"/>
        <v>994.43236216351602</v>
      </c>
      <c r="AT836" s="1831">
        <f t="shared" si="440"/>
        <v>1013.7152656104483</v>
      </c>
    </row>
    <row r="837" spans="1:50">
      <c r="A837" s="295"/>
      <c r="B837" s="1"/>
      <c r="C837" s="387">
        <f t="shared" si="434"/>
        <v>5</v>
      </c>
      <c r="D837" s="339" t="s">
        <v>982</v>
      </c>
      <c r="E837" s="1301" t="s">
        <v>1035</v>
      </c>
      <c r="H837" s="335"/>
      <c r="I837" s="336"/>
      <c r="J837" s="338">
        <f t="shared" ref="J837:AO837" si="441">+J626*J390</f>
        <v>19.5</v>
      </c>
      <c r="K837" s="338">
        <f t="shared" si="441"/>
        <v>23</v>
      </c>
      <c r="L837" s="338">
        <f t="shared" si="441"/>
        <v>25.5</v>
      </c>
      <c r="M837" s="338">
        <f t="shared" si="441"/>
        <v>35.5</v>
      </c>
      <c r="N837" s="338">
        <f t="shared" si="441"/>
        <v>34</v>
      </c>
      <c r="O837" s="338">
        <f t="shared" si="441"/>
        <v>40.5</v>
      </c>
      <c r="P837" s="338">
        <f t="shared" si="441"/>
        <v>48</v>
      </c>
      <c r="Q837" s="338">
        <f t="shared" si="441"/>
        <v>120</v>
      </c>
      <c r="R837" s="338">
        <f t="shared" si="441"/>
        <v>138</v>
      </c>
      <c r="S837" s="338">
        <f t="shared" si="441"/>
        <v>146</v>
      </c>
      <c r="T837" s="338">
        <f t="shared" si="441"/>
        <v>170</v>
      </c>
      <c r="U837" s="338">
        <f t="shared" si="441"/>
        <v>184</v>
      </c>
      <c r="V837" s="338">
        <f t="shared" si="441"/>
        <v>218</v>
      </c>
      <c r="W837" s="338">
        <f t="shared" si="441"/>
        <v>232.5</v>
      </c>
      <c r="X837" s="338">
        <f t="shared" si="441"/>
        <v>236.5</v>
      </c>
      <c r="Y837" s="338">
        <f t="shared" si="441"/>
        <v>252</v>
      </c>
      <c r="Z837" s="338">
        <f t="shared" si="441"/>
        <v>256</v>
      </c>
      <c r="AA837" s="338">
        <f t="shared" si="441"/>
        <v>264</v>
      </c>
      <c r="AB837" s="338">
        <f t="shared" si="441"/>
        <v>270</v>
      </c>
      <c r="AC837" s="338">
        <f t="shared" si="441"/>
        <v>280</v>
      </c>
      <c r="AD837" s="338">
        <f t="shared" si="441"/>
        <v>286</v>
      </c>
      <c r="AE837" s="338">
        <f t="shared" si="441"/>
        <v>109.5</v>
      </c>
      <c r="AF837" s="338">
        <f t="shared" si="441"/>
        <v>288.12</v>
      </c>
      <c r="AG837" s="338">
        <f t="shared" si="441"/>
        <v>291.39999999999998</v>
      </c>
      <c r="AH837" s="338">
        <f>+AH626*AH390</f>
        <v>298.08</v>
      </c>
      <c r="AI837" s="338">
        <f t="shared" si="441"/>
        <v>310.95999999999998</v>
      </c>
      <c r="AJ837" s="2275">
        <f>+AJ626*AJ390</f>
        <v>0</v>
      </c>
      <c r="AK837" s="338">
        <f t="shared" si="441"/>
        <v>0</v>
      </c>
      <c r="AL837" s="338">
        <f t="shared" si="441"/>
        <v>0</v>
      </c>
      <c r="AM837" s="338">
        <f t="shared" si="441"/>
        <v>0</v>
      </c>
      <c r="AN837" s="338">
        <f t="shared" si="441"/>
        <v>0</v>
      </c>
      <c r="AO837" s="1831">
        <f t="shared" si="441"/>
        <v>0</v>
      </c>
      <c r="AP837" s="1831">
        <f t="shared" ref="AP837:AT838" si="442">+AP626*AP390</f>
        <v>0</v>
      </c>
      <c r="AQ837" s="1831">
        <f t="shared" si="442"/>
        <v>0</v>
      </c>
      <c r="AR837" s="1831">
        <f t="shared" si="442"/>
        <v>0</v>
      </c>
      <c r="AS837" s="1831">
        <f t="shared" si="442"/>
        <v>0</v>
      </c>
      <c r="AT837" s="1831">
        <f t="shared" si="442"/>
        <v>0</v>
      </c>
      <c r="AU837" s="231"/>
      <c r="AV837" s="231"/>
      <c r="AW837" s="231"/>
      <c r="AX837" s="231"/>
    </row>
    <row r="838" spans="1:50">
      <c r="A838" s="295"/>
      <c r="B838" s="1"/>
      <c r="C838" s="387">
        <f t="shared" si="434"/>
        <v>6</v>
      </c>
      <c r="D838" s="339" t="s">
        <v>280</v>
      </c>
      <c r="E838" s="3049" t="s">
        <v>1034</v>
      </c>
      <c r="H838" s="335"/>
      <c r="I838" s="336"/>
      <c r="J838" s="338">
        <f t="shared" ref="J838:AO838" si="443">+J627*J391</f>
        <v>4.6499999999999995</v>
      </c>
      <c r="K838" s="338">
        <f t="shared" si="443"/>
        <v>4.8</v>
      </c>
      <c r="L838" s="338">
        <f t="shared" si="443"/>
        <v>5.3999999999999995</v>
      </c>
      <c r="M838" s="338">
        <f t="shared" si="443"/>
        <v>5.85</v>
      </c>
      <c r="N838" s="338">
        <f t="shared" si="443"/>
        <v>7.05</v>
      </c>
      <c r="O838" s="338">
        <f t="shared" si="443"/>
        <v>7.6499999999999995</v>
      </c>
      <c r="P838" s="338">
        <f t="shared" si="443"/>
        <v>7.35</v>
      </c>
      <c r="Q838" s="338">
        <f t="shared" si="443"/>
        <v>7.1999999999999993</v>
      </c>
      <c r="R838" s="338">
        <f t="shared" si="443"/>
        <v>8.4</v>
      </c>
      <c r="S838" s="338">
        <f t="shared" si="443"/>
        <v>9.4499999999999993</v>
      </c>
      <c r="T838" s="338">
        <f t="shared" si="443"/>
        <v>10.65</v>
      </c>
      <c r="U838" s="338">
        <f t="shared" si="443"/>
        <v>12.45</v>
      </c>
      <c r="V838" s="338">
        <f t="shared" si="443"/>
        <v>12.6</v>
      </c>
      <c r="W838" s="338">
        <f t="shared" si="443"/>
        <v>15.6</v>
      </c>
      <c r="X838" s="338">
        <f t="shared" si="443"/>
        <v>24.599999999999998</v>
      </c>
      <c r="Y838" s="338">
        <f t="shared" si="443"/>
        <v>18</v>
      </c>
      <c r="Z838" s="338">
        <f t="shared" si="443"/>
        <v>19.649999999999999</v>
      </c>
      <c r="AA838" s="338">
        <f t="shared" si="443"/>
        <v>21</v>
      </c>
      <c r="AB838" s="338">
        <f t="shared" si="443"/>
        <v>21.9</v>
      </c>
      <c r="AC838" s="338">
        <f t="shared" si="443"/>
        <v>21.9</v>
      </c>
      <c r="AD838" s="338">
        <f t="shared" si="443"/>
        <v>22.65</v>
      </c>
      <c r="AE838" s="338">
        <f t="shared" si="443"/>
        <v>19.05</v>
      </c>
      <c r="AF838" s="338">
        <f t="shared" si="443"/>
        <v>29.25</v>
      </c>
      <c r="AG838" s="338">
        <f t="shared" si="443"/>
        <v>31.95</v>
      </c>
      <c r="AH838" s="338">
        <f>+AH627*AH391</f>
        <v>31.95</v>
      </c>
      <c r="AI838" s="338">
        <f t="shared" si="443"/>
        <v>37.35</v>
      </c>
      <c r="AJ838" s="2275">
        <f>+AJ627*AJ391</f>
        <v>0</v>
      </c>
      <c r="AK838" s="338">
        <f t="shared" si="443"/>
        <v>0</v>
      </c>
      <c r="AL838" s="338">
        <f t="shared" si="443"/>
        <v>0</v>
      </c>
      <c r="AM838" s="338">
        <f t="shared" si="443"/>
        <v>0</v>
      </c>
      <c r="AN838" s="338">
        <f t="shared" si="443"/>
        <v>0</v>
      </c>
      <c r="AO838" s="1831">
        <f t="shared" si="443"/>
        <v>0</v>
      </c>
      <c r="AP838" s="1831">
        <f t="shared" si="442"/>
        <v>0</v>
      </c>
      <c r="AQ838" s="1831">
        <f t="shared" si="442"/>
        <v>0</v>
      </c>
      <c r="AR838" s="1831">
        <f t="shared" si="442"/>
        <v>0</v>
      </c>
      <c r="AS838" s="1831">
        <f t="shared" si="442"/>
        <v>0</v>
      </c>
      <c r="AT838" s="1831">
        <f t="shared" si="442"/>
        <v>0</v>
      </c>
    </row>
    <row r="839" spans="1:50">
      <c r="A839" s="295"/>
      <c r="B839" s="1"/>
      <c r="C839" s="387">
        <f t="shared" si="434"/>
        <v>7</v>
      </c>
      <c r="D839" s="339" t="s">
        <v>275</v>
      </c>
      <c r="H839" s="335"/>
      <c r="I839" s="336"/>
      <c r="J839" s="404">
        <f t="shared" ref="J839:U839" si="444">+J836+J837+J838</f>
        <v>151.15</v>
      </c>
      <c r="K839" s="404">
        <f t="shared" si="444"/>
        <v>161.80000000000001</v>
      </c>
      <c r="L839" s="404">
        <f t="shared" si="444"/>
        <v>169.9</v>
      </c>
      <c r="M839" s="404">
        <f t="shared" si="444"/>
        <v>181.35</v>
      </c>
      <c r="N839" s="404">
        <f t="shared" si="444"/>
        <v>189.05</v>
      </c>
      <c r="O839" s="404">
        <f t="shared" si="444"/>
        <v>197.15</v>
      </c>
      <c r="P839" s="404">
        <f t="shared" si="444"/>
        <v>208.35</v>
      </c>
      <c r="Q839" s="404">
        <f t="shared" si="444"/>
        <v>322.2</v>
      </c>
      <c r="R839" s="404">
        <f t="shared" si="444"/>
        <v>351.4</v>
      </c>
      <c r="S839" s="404">
        <f t="shared" si="444"/>
        <v>370.45</v>
      </c>
      <c r="T839" s="404">
        <f t="shared" si="444"/>
        <v>411.65</v>
      </c>
      <c r="U839" s="404">
        <f t="shared" si="444"/>
        <v>461.45</v>
      </c>
      <c r="V839" s="404">
        <f t="shared" ref="V839:AA839" si="445">+V836+V837+V838</f>
        <v>534.6</v>
      </c>
      <c r="W839" s="404">
        <f t="shared" si="445"/>
        <v>583.1</v>
      </c>
      <c r="X839" s="404">
        <f t="shared" si="445"/>
        <v>730.8806657284016</v>
      </c>
      <c r="Y839" s="404">
        <f t="shared" si="445"/>
        <v>481.07490186647937</v>
      </c>
      <c r="Z839" s="404">
        <f t="shared" si="445"/>
        <v>546.92690678358952</v>
      </c>
      <c r="AA839" s="404">
        <f t="shared" si="445"/>
        <v>573.37282391073904</v>
      </c>
      <c r="AB839" s="404">
        <f>+AB836+AB837+AB838</f>
        <v>592.85059350748793</v>
      </c>
      <c r="AC839" s="404">
        <f t="shared" ref="AC839:AI839" si="446">+AC836+AC837+AC838</f>
        <v>611.91862531987942</v>
      </c>
      <c r="AD839" s="404">
        <f>+AD836+AD837+AD838</f>
        <v>600.31615956066412</v>
      </c>
      <c r="AE839" s="404">
        <f t="shared" si="446"/>
        <v>317.41506873078993</v>
      </c>
      <c r="AF839" s="404">
        <f t="shared" si="446"/>
        <v>676.94668466625762</v>
      </c>
      <c r="AG839" s="404">
        <f t="shared" si="446"/>
        <v>727.76266819499676</v>
      </c>
      <c r="AH839" s="404">
        <f t="shared" si="446"/>
        <v>749.38482783853829</v>
      </c>
      <c r="AI839" s="404">
        <f t="shared" si="446"/>
        <v>878.37408846151436</v>
      </c>
      <c r="AJ839" s="2276">
        <f t="shared" ref="AJ839:AO839" si="447">+AJ852/AJ954*100</f>
        <v>1192.2336190384588</v>
      </c>
      <c r="AK839" s="404">
        <f t="shared" si="447"/>
        <v>1272.3074093058349</v>
      </c>
      <c r="AL839" s="404">
        <f t="shared" si="447"/>
        <v>1333.4822262588846</v>
      </c>
      <c r="AM839" s="404">
        <f t="shared" si="447"/>
        <v>1398.1092294263533</v>
      </c>
      <c r="AN839" s="404">
        <f t="shared" si="447"/>
        <v>1443.2445706629055</v>
      </c>
      <c r="AO839" s="1832">
        <f t="shared" si="447"/>
        <v>1493.9742596615747</v>
      </c>
      <c r="AP839" s="1832">
        <f>+AP852/AP954*100</f>
        <v>1560.3648917212647</v>
      </c>
      <c r="AQ839" s="1832">
        <f>+AQ852/AQ954*100</f>
        <v>1622.2288107677944</v>
      </c>
      <c r="AR839" s="1832">
        <f>+AR852/AR954*100</f>
        <v>1687.576478072343</v>
      </c>
      <c r="AS839" s="1832">
        <f>+AS852/AS954*100</f>
        <v>1837.0597091351574</v>
      </c>
      <c r="AT839" s="1832">
        <f>+AT852/AT954*100</f>
        <v>2166.0727629499138</v>
      </c>
      <c r="AU839" s="231"/>
      <c r="AV839" s="231"/>
      <c r="AW839" s="231"/>
      <c r="AX839" s="231"/>
    </row>
    <row r="840" spans="1:50">
      <c r="A840" s="295"/>
      <c r="B840" s="1"/>
      <c r="C840" s="387">
        <f t="shared" si="434"/>
        <v>8</v>
      </c>
      <c r="D840" s="337" t="s">
        <v>129</v>
      </c>
      <c r="H840" s="335"/>
      <c r="I840" s="336"/>
      <c r="J840" s="340">
        <f t="shared" ref="J840:AG840" si="448">+J630</f>
        <v>249</v>
      </c>
      <c r="K840" s="340">
        <f t="shared" si="448"/>
        <v>270</v>
      </c>
      <c r="L840" s="340">
        <f t="shared" si="448"/>
        <v>293</v>
      </c>
      <c r="M840" s="340">
        <f t="shared" si="448"/>
        <v>323</v>
      </c>
      <c r="N840" s="340">
        <f t="shared" si="448"/>
        <v>321</v>
      </c>
      <c r="O840" s="340">
        <f t="shared" si="448"/>
        <v>335</v>
      </c>
      <c r="P840" s="340">
        <f t="shared" si="448"/>
        <v>356</v>
      </c>
      <c r="Q840" s="340">
        <f t="shared" si="448"/>
        <v>394</v>
      </c>
      <c r="R840" s="340">
        <f t="shared" si="448"/>
        <v>411</v>
      </c>
      <c r="S840" s="340">
        <f t="shared" si="448"/>
        <v>459</v>
      </c>
      <c r="T840" s="340">
        <f t="shared" si="448"/>
        <v>503</v>
      </c>
      <c r="U840" s="340">
        <f t="shared" si="448"/>
        <v>528</v>
      </c>
      <c r="V840" s="340">
        <f t="shared" si="448"/>
        <v>537</v>
      </c>
      <c r="W840" s="340">
        <f t="shared" si="448"/>
        <v>545</v>
      </c>
      <c r="X840" s="340">
        <f t="shared" si="448"/>
        <v>830</v>
      </c>
      <c r="Y840" s="340">
        <f t="shared" si="448"/>
        <v>570</v>
      </c>
      <c r="Z840" s="340">
        <f t="shared" si="448"/>
        <v>651</v>
      </c>
      <c r="AA840" s="340">
        <f t="shared" si="448"/>
        <v>679</v>
      </c>
      <c r="AB840" s="340">
        <f t="shared" si="448"/>
        <v>662</v>
      </c>
      <c r="AC840" s="340">
        <f t="shared" si="448"/>
        <v>722</v>
      </c>
      <c r="AD840" s="340">
        <f t="shared" si="448"/>
        <v>831</v>
      </c>
      <c r="AE840" s="340">
        <f t="shared" si="448"/>
        <v>608</v>
      </c>
      <c r="AF840" s="340">
        <f t="shared" si="448"/>
        <v>903</v>
      </c>
      <c r="AG840" s="340">
        <f t="shared" si="448"/>
        <v>950</v>
      </c>
      <c r="AH840" s="340">
        <f>+AH630</f>
        <v>912</v>
      </c>
      <c r="AI840" s="340">
        <f t="shared" ref="AI840:AO840" si="449">+AI841+AI842+AI843</f>
        <v>725.15057621594792</v>
      </c>
      <c r="AJ840" s="2277">
        <f t="shared" si="449"/>
        <v>798.49018731631986</v>
      </c>
      <c r="AK840" s="340">
        <f t="shared" si="449"/>
        <v>923.98818683528532</v>
      </c>
      <c r="AL840" s="340">
        <f t="shared" si="449"/>
        <v>1043.4763292982229</v>
      </c>
      <c r="AM840" s="340">
        <f t="shared" si="449"/>
        <v>1113.8327225102573</v>
      </c>
      <c r="AN840" s="340">
        <f t="shared" si="449"/>
        <v>1191.9034557763061</v>
      </c>
      <c r="AO840" s="1833">
        <f t="shared" si="449"/>
        <v>1291.8858135503476</v>
      </c>
      <c r="AP840" s="1833">
        <f>+AP841+AP842+AP843</f>
        <v>1399.5794778936167</v>
      </c>
      <c r="AQ840" s="1833">
        <f>+AQ841+AQ842+AQ843</f>
        <v>1513.5529048744118</v>
      </c>
      <c r="AR840" s="1833">
        <f>+AR841+AR842+AR843</f>
        <v>1634.8248974869834</v>
      </c>
      <c r="AS840" s="1833">
        <f>+AS841+AS842+AS843</f>
        <v>1773.2581364437715</v>
      </c>
      <c r="AT840" s="1833">
        <f>+AT841+AT842+AT843</f>
        <v>1943.0292578432634</v>
      </c>
      <c r="AU840" s="231"/>
      <c r="AV840" s="231"/>
      <c r="AW840" s="231"/>
      <c r="AX840" s="231"/>
    </row>
    <row r="841" spans="1:50">
      <c r="A841" s="295"/>
      <c r="B841" s="1"/>
      <c r="C841" s="387">
        <f t="shared" si="434"/>
        <v>9</v>
      </c>
      <c r="D841" s="344" t="s">
        <v>1344</v>
      </c>
      <c r="H841" s="335"/>
      <c r="I841" s="336"/>
      <c r="J841" s="340"/>
      <c r="K841" s="340"/>
      <c r="L841" s="340"/>
      <c r="M841" s="340"/>
      <c r="N841" s="340"/>
      <c r="O841" s="340"/>
      <c r="P841" s="340"/>
      <c r="Q841" s="340"/>
      <c r="R841" s="340"/>
      <c r="S841" s="340"/>
      <c r="T841" s="340"/>
      <c r="U841" s="340"/>
      <c r="V841" s="340"/>
      <c r="W841" s="340"/>
      <c r="X841" s="340"/>
      <c r="Y841" s="890">
        <f>+Y854/Y675*100</f>
        <v>310.8703140727003</v>
      </c>
      <c r="Z841" s="890">
        <f t="shared" ref="Z841:AH841" si="450">+Z854/Z675*100</f>
        <v>379.04692428509463</v>
      </c>
      <c r="AA841" s="890">
        <f t="shared" si="450"/>
        <v>405.87753715637467</v>
      </c>
      <c r="AB841" s="890">
        <f t="shared" si="450"/>
        <v>394.08330204370077</v>
      </c>
      <c r="AC841" s="890">
        <f t="shared" si="450"/>
        <v>462.96833610407748</v>
      </c>
      <c r="AD841" s="890">
        <f t="shared" si="450"/>
        <v>513.48787564547956</v>
      </c>
      <c r="AE841" s="890">
        <f t="shared" si="450"/>
        <v>554.94930073237242</v>
      </c>
      <c r="AF841" s="890">
        <f t="shared" si="450"/>
        <v>818.6192804403147</v>
      </c>
      <c r="AG841" s="890">
        <f t="shared" si="450"/>
        <v>736.90555171833228</v>
      </c>
      <c r="AH841" s="890">
        <f t="shared" si="450"/>
        <v>694.876415984593</v>
      </c>
      <c r="AI841" s="890">
        <f t="shared" ref="AI841:AO841" si="451">+AI854/AI956*100</f>
        <v>682.96785958001556</v>
      </c>
      <c r="AJ841" s="2278">
        <f t="shared" si="451"/>
        <v>731.80002356229807</v>
      </c>
      <c r="AK841" s="890">
        <f t="shared" si="451"/>
        <v>755.08592322423988</v>
      </c>
      <c r="AL841" s="890">
        <f t="shared" si="451"/>
        <v>832.59148721638849</v>
      </c>
      <c r="AM841" s="890">
        <f t="shared" si="451"/>
        <v>900.33987165087797</v>
      </c>
      <c r="AN841" s="890">
        <f t="shared" si="451"/>
        <v>960.57195059622074</v>
      </c>
      <c r="AO841" s="1833">
        <f t="shared" si="451"/>
        <v>1023.6026293634002</v>
      </c>
      <c r="AP841" s="1833">
        <f t="shared" ref="AP841:AT843" si="452">+AP854/AP956*100</f>
        <v>1089.4610040833784</v>
      </c>
      <c r="AQ841" s="1833">
        <f t="shared" si="452"/>
        <v>1164.2210057211512</v>
      </c>
      <c r="AR841" s="1833">
        <f t="shared" si="452"/>
        <v>1243.9174926888741</v>
      </c>
      <c r="AS841" s="1833">
        <f t="shared" si="452"/>
        <v>1344.6453548214229</v>
      </c>
      <c r="AT841" s="1833">
        <f t="shared" si="452"/>
        <v>1476.3759387787659</v>
      </c>
      <c r="AU841" s="231"/>
      <c r="AV841" s="231"/>
      <c r="AW841" s="231"/>
      <c r="AX841" s="231"/>
    </row>
    <row r="842" spans="1:50" ht="18.75" customHeight="1">
      <c r="A842" s="295"/>
      <c r="B842" s="1"/>
      <c r="C842" s="387">
        <f t="shared" si="434"/>
        <v>10</v>
      </c>
      <c r="D842" s="344" t="str">
        <f>+D855</f>
        <v xml:space="preserve">            indirect taxes on imported goods (incl. VAT and fuel excises)</v>
      </c>
      <c r="H842" s="335"/>
      <c r="I842" s="336"/>
      <c r="J842" s="340"/>
      <c r="K842" s="340"/>
      <c r="L842" s="340"/>
      <c r="M842" s="340"/>
      <c r="N842" s="340"/>
      <c r="O842" s="340"/>
      <c r="P842" s="340"/>
      <c r="Q842" s="340"/>
      <c r="R842" s="340"/>
      <c r="S842" s="340"/>
      <c r="T842" s="340"/>
      <c r="U842" s="340"/>
      <c r="V842" s="340"/>
      <c r="W842" s="340"/>
      <c r="X842" s="340"/>
      <c r="Y842" s="890">
        <f>+Y855/Y675*100</f>
        <v>238.62867655756673</v>
      </c>
      <c r="Z842" s="890">
        <f t="shared" ref="Z842:AH842" si="453">+Z855/Z675*100</f>
        <v>267.31575968494894</v>
      </c>
      <c r="AA842" s="890">
        <f t="shared" si="453"/>
        <v>277.79726048727758</v>
      </c>
      <c r="AB842" s="890">
        <f t="shared" si="453"/>
        <v>263.82642216872779</v>
      </c>
      <c r="AC842" s="890">
        <f t="shared" si="453"/>
        <v>306.02186866340611</v>
      </c>
      <c r="AD842" s="890">
        <f t="shared" si="453"/>
        <v>337.70491244248745</v>
      </c>
      <c r="AE842" s="890">
        <f t="shared" si="453"/>
        <v>348.80503317504196</v>
      </c>
      <c r="AF842" s="890">
        <f t="shared" si="453"/>
        <v>542.66831324757015</v>
      </c>
      <c r="AG842" s="890">
        <f t="shared" si="453"/>
        <v>642.33571056364246</v>
      </c>
      <c r="AH842" s="890">
        <f t="shared" si="453"/>
        <v>680.15064071881307</v>
      </c>
      <c r="AI842" s="890">
        <f t="shared" ref="AI842:AO842" si="454">+AI855/AI957*100</f>
        <v>400.96373629284631</v>
      </c>
      <c r="AJ842" s="2278">
        <f t="shared" si="454"/>
        <v>403.08826032071102</v>
      </c>
      <c r="AK842" s="890">
        <f t="shared" si="454"/>
        <v>473.7769323219801</v>
      </c>
      <c r="AL842" s="890">
        <f t="shared" si="454"/>
        <v>508.59326107890428</v>
      </c>
      <c r="AM842" s="890">
        <f t="shared" si="454"/>
        <v>500.94750928917836</v>
      </c>
      <c r="AN842" s="890">
        <f t="shared" si="454"/>
        <v>504.76178170018449</v>
      </c>
      <c r="AO842" s="1833">
        <f t="shared" si="454"/>
        <v>527.99277132327529</v>
      </c>
      <c r="AP842" s="1833">
        <f t="shared" si="452"/>
        <v>558.23049901254387</v>
      </c>
      <c r="AQ842" s="1833">
        <f t="shared" si="452"/>
        <v>584.69024632191031</v>
      </c>
      <c r="AR842" s="1833">
        <f t="shared" si="452"/>
        <v>613.91803382347905</v>
      </c>
      <c r="AS842" s="1833">
        <f t="shared" si="452"/>
        <v>642.75924242012616</v>
      </c>
      <c r="AT842" s="1833">
        <f t="shared" si="452"/>
        <v>675.84871953274444</v>
      </c>
      <c r="AU842" s="231"/>
      <c r="AV842" s="231"/>
      <c r="AW842" s="231"/>
      <c r="AX842" s="231"/>
    </row>
    <row r="843" spans="1:50" ht="17.2" customHeight="1">
      <c r="A843" s="295"/>
      <c r="B843" s="1"/>
      <c r="C843" s="387">
        <f t="shared" si="434"/>
        <v>11</v>
      </c>
      <c r="D843" s="344" t="str">
        <f>+D856</f>
        <v xml:space="preserve">            indirect subsidies (-)  (implicit in Nat Accts) : residual</v>
      </c>
      <c r="H843" s="335"/>
      <c r="I843" s="336"/>
      <c r="J843" s="340"/>
      <c r="K843" s="340"/>
      <c r="L843" s="340"/>
      <c r="M843" s="340"/>
      <c r="N843" s="340"/>
      <c r="O843" s="340"/>
      <c r="P843" s="340"/>
      <c r="Q843" s="340"/>
      <c r="R843" s="340"/>
      <c r="S843" s="340"/>
      <c r="T843" s="340"/>
      <c r="U843" s="340"/>
      <c r="V843" s="340"/>
      <c r="W843" s="340"/>
      <c r="X843" s="340"/>
      <c r="Y843" s="890">
        <f>+Y840-Y841-Y842</f>
        <v>20.501009369732969</v>
      </c>
      <c r="Z843" s="890">
        <f t="shared" ref="Z843:AH843" si="455">+Z840-Z841-Z842</f>
        <v>4.6373160299564233</v>
      </c>
      <c r="AA843" s="890">
        <f t="shared" si="455"/>
        <v>-4.6747976436522549</v>
      </c>
      <c r="AB843" s="890">
        <f t="shared" si="455"/>
        <v>4.0902757875714428</v>
      </c>
      <c r="AC843" s="890">
        <f t="shared" si="455"/>
        <v>-46.99020476748359</v>
      </c>
      <c r="AD843" s="890">
        <f t="shared" si="455"/>
        <v>-20.192788087967017</v>
      </c>
      <c r="AE843" s="890">
        <f t="shared" si="455"/>
        <v>-295.75433390741438</v>
      </c>
      <c r="AF843" s="890">
        <f t="shared" si="455"/>
        <v>-458.28759368788485</v>
      </c>
      <c r="AG843" s="890">
        <f t="shared" si="455"/>
        <v>-429.24126228197474</v>
      </c>
      <c r="AH843" s="890">
        <f t="shared" si="455"/>
        <v>-463.02705670340606</v>
      </c>
      <c r="AI843" s="890">
        <f t="shared" ref="AI843:AO843" si="456">+AI856/AI958*100</f>
        <v>-358.78101965691388</v>
      </c>
      <c r="AJ843" s="2278">
        <f t="shared" si="456"/>
        <v>-336.39809656668922</v>
      </c>
      <c r="AK843" s="890">
        <f t="shared" si="456"/>
        <v>-304.87466871093477</v>
      </c>
      <c r="AL843" s="890">
        <f t="shared" si="456"/>
        <v>-297.70841899706983</v>
      </c>
      <c r="AM843" s="890">
        <f t="shared" si="456"/>
        <v>-287.45465842979883</v>
      </c>
      <c r="AN843" s="890">
        <f t="shared" si="456"/>
        <v>-273.4302765200992</v>
      </c>
      <c r="AO843" s="1833">
        <f t="shared" si="456"/>
        <v>-259.70958713632785</v>
      </c>
      <c r="AP843" s="1833">
        <f t="shared" si="452"/>
        <v>-248.11202520230532</v>
      </c>
      <c r="AQ843" s="1833">
        <f t="shared" si="452"/>
        <v>-235.35834716864977</v>
      </c>
      <c r="AR843" s="1833">
        <f t="shared" si="452"/>
        <v>-223.01062902536981</v>
      </c>
      <c r="AS843" s="1833">
        <f t="shared" si="452"/>
        <v>-214.14646079777765</v>
      </c>
      <c r="AT843" s="1833">
        <f t="shared" si="452"/>
        <v>-209.1954004682469</v>
      </c>
      <c r="AU843" s="231"/>
      <c r="AV843" s="231"/>
      <c r="AW843" s="231"/>
      <c r="AX843" s="231"/>
    </row>
    <row r="844" spans="1:50" s="1892" customFormat="1" ht="19" customHeight="1">
      <c r="A844" s="2573"/>
      <c r="C844" s="2574">
        <f t="shared" si="434"/>
        <v>12</v>
      </c>
      <c r="D844" s="2575" t="s">
        <v>276</v>
      </c>
      <c r="E844" s="3046"/>
      <c r="F844" s="1239"/>
      <c r="G844" s="1239"/>
      <c r="H844" s="2576"/>
      <c r="I844" s="2577"/>
      <c r="J844" s="2578">
        <f t="shared" ref="J844:Q844" si="457">+J833-J834-J839-J840</f>
        <v>1551.6</v>
      </c>
      <c r="K844" s="2578">
        <f t="shared" si="457"/>
        <v>1692.2</v>
      </c>
      <c r="L844" s="2578">
        <f t="shared" si="457"/>
        <v>1806.1</v>
      </c>
      <c r="M844" s="2578">
        <f t="shared" si="457"/>
        <v>2076.4</v>
      </c>
      <c r="N844" s="2578">
        <f t="shared" si="457"/>
        <v>2097.9499999999998</v>
      </c>
      <c r="O844" s="2578">
        <f t="shared" si="457"/>
        <v>2221.1</v>
      </c>
      <c r="P844" s="2578">
        <f t="shared" si="457"/>
        <v>2441.9</v>
      </c>
      <c r="Q844" s="2578">
        <f t="shared" si="457"/>
        <v>4774.8</v>
      </c>
      <c r="R844" s="2578">
        <f t="shared" ref="R844:AL844" si="458">+R833-R834-R839-R840</f>
        <v>5009.1000000000004</v>
      </c>
      <c r="S844" s="2578">
        <f t="shared" si="458"/>
        <v>5710.8</v>
      </c>
      <c r="T844" s="2578">
        <f t="shared" si="458"/>
        <v>6079.6</v>
      </c>
      <c r="U844" s="2578">
        <f t="shared" si="458"/>
        <v>6511.8</v>
      </c>
      <c r="V844" s="2578">
        <f t="shared" si="458"/>
        <v>6818.0228114057027</v>
      </c>
      <c r="W844" s="2578">
        <f t="shared" si="458"/>
        <v>7467.7451189316325</v>
      </c>
      <c r="X844" s="2578">
        <f t="shared" si="458"/>
        <v>12002.273312552212</v>
      </c>
      <c r="Y844" s="2578">
        <f t="shared" si="458"/>
        <v>8326.923460760634</v>
      </c>
      <c r="Z844" s="2228">
        <f t="shared" si="458"/>
        <v>9054.2381733789462</v>
      </c>
      <c r="AA844" s="2228">
        <f t="shared" si="458"/>
        <v>9434.9962585790963</v>
      </c>
      <c r="AB844" s="2228">
        <f t="shared" si="458"/>
        <v>9487.8085986625501</v>
      </c>
      <c r="AC844" s="2228">
        <f t="shared" si="458"/>
        <v>10203.978928944685</v>
      </c>
      <c r="AD844" s="2228">
        <f t="shared" si="458"/>
        <v>11075.54428754278</v>
      </c>
      <c r="AE844" s="2228">
        <f t="shared" si="458"/>
        <v>7889.6392079190973</v>
      </c>
      <c r="AF844" s="2228">
        <f t="shared" si="458"/>
        <v>11901.376964867533</v>
      </c>
      <c r="AG844" s="2228">
        <f t="shared" si="458"/>
        <v>12762.134542139604</v>
      </c>
      <c r="AH844" s="2228">
        <f t="shared" si="458"/>
        <v>13611.558623331039</v>
      </c>
      <c r="AI844" s="2228">
        <f t="shared" si="458"/>
        <v>14288.352055009267</v>
      </c>
      <c r="AJ844" s="2282">
        <f t="shared" si="458"/>
        <v>15504.497078868544</v>
      </c>
      <c r="AK844" s="2228">
        <f t="shared" si="458"/>
        <v>16662.515498615307</v>
      </c>
      <c r="AL844" s="2228">
        <f t="shared" si="458"/>
        <v>18239.632360783828</v>
      </c>
      <c r="AM844" s="2228">
        <f t="shared" ref="AM844:AT844" si="459">+AM833-AM834-AM839-AM840</f>
        <v>19934.178578054041</v>
      </c>
      <c r="AN844" s="2228">
        <f t="shared" si="459"/>
        <v>21786.422282578314</v>
      </c>
      <c r="AO844" s="2579">
        <f t="shared" si="459"/>
        <v>23814.273127203596</v>
      </c>
      <c r="AP844" s="2579">
        <f t="shared" si="459"/>
        <v>26017.131982822357</v>
      </c>
      <c r="AQ844" s="2579">
        <f t="shared" si="459"/>
        <v>28468.875377126951</v>
      </c>
      <c r="AR844" s="2579">
        <f t="shared" si="459"/>
        <v>31229.086086941028</v>
      </c>
      <c r="AS844" s="2579">
        <f t="shared" si="459"/>
        <v>34227.892576399681</v>
      </c>
      <c r="AT844" s="2579">
        <f t="shared" si="459"/>
        <v>37510.508316326966</v>
      </c>
    </row>
    <row r="845" spans="1:50" ht="13" customHeight="1" thickBot="1">
      <c r="A845" s="295"/>
      <c r="B845" s="1"/>
      <c r="C845" s="387"/>
      <c r="D845" s="390" t="s">
        <v>326</v>
      </c>
      <c r="E845" s="3050"/>
      <c r="F845" s="349"/>
      <c r="G845" s="349"/>
      <c r="H845" s="393"/>
      <c r="I845" s="394"/>
      <c r="J845" s="393"/>
      <c r="K845" s="393"/>
      <c r="L845" s="350"/>
      <c r="M845" s="350"/>
      <c r="N845" s="350"/>
      <c r="O845" s="350"/>
      <c r="P845" s="350"/>
      <c r="Q845" s="350"/>
      <c r="R845" s="350"/>
      <c r="S845" s="350"/>
      <c r="T845" s="350"/>
      <c r="U845" s="350"/>
      <c r="V845" s="1287" t="str">
        <f t="shared" ref="V845:AN845" si="460">+IF(ABS(V833-V834-V839-V840-V844)&gt;0.1,"check","")</f>
        <v/>
      </c>
      <c r="W845" s="1287" t="str">
        <f t="shared" si="460"/>
        <v/>
      </c>
      <c r="X845" s="1287" t="str">
        <f t="shared" si="460"/>
        <v/>
      </c>
      <c r="Y845" s="1287" t="str">
        <f t="shared" si="460"/>
        <v/>
      </c>
      <c r="Z845" s="1287" t="str">
        <f t="shared" si="460"/>
        <v/>
      </c>
      <c r="AA845" s="1287" t="str">
        <f t="shared" si="460"/>
        <v/>
      </c>
      <c r="AB845" s="1287" t="str">
        <f t="shared" si="460"/>
        <v/>
      </c>
      <c r="AC845" s="1287" t="str">
        <f t="shared" si="460"/>
        <v/>
      </c>
      <c r="AD845" s="1287" t="str">
        <f t="shared" si="460"/>
        <v/>
      </c>
      <c r="AE845" s="1287" t="str">
        <f t="shared" si="460"/>
        <v/>
      </c>
      <c r="AF845" s="1287" t="str">
        <f t="shared" si="460"/>
        <v/>
      </c>
      <c r="AG845" s="1287" t="str">
        <f t="shared" si="460"/>
        <v/>
      </c>
      <c r="AH845" s="1287" t="str">
        <f t="shared" si="460"/>
        <v/>
      </c>
      <c r="AI845" s="1287" t="str">
        <f t="shared" si="460"/>
        <v/>
      </c>
      <c r="AJ845" s="2285" t="str">
        <f>+IF(ABS(AJ833-AJ834-AJ839-AJ840-AJ844)&gt;0.2,"check","")</f>
        <v/>
      </c>
      <c r="AK845" s="1287" t="str">
        <f>+IF(ABS(AK833-AK834-AK839-AK840-AK844)&gt;0.2,"check","")</f>
        <v/>
      </c>
      <c r="AL845" s="1287" t="str">
        <f>+IF(ABS(AL833-AL834-AL839-AL840-AL844)&gt;0.2,AL833-AL834-AL839-AL840-AL844,"")</f>
        <v/>
      </c>
      <c r="AM845" s="1287" t="str">
        <f t="shared" si="460"/>
        <v/>
      </c>
      <c r="AN845" s="1287" t="str">
        <f t="shared" si="460"/>
        <v/>
      </c>
      <c r="AO845" s="1834"/>
      <c r="AP845" s="1834"/>
      <c r="AQ845" s="1834"/>
      <c r="AR845" s="1834"/>
      <c r="AS845" s="1834"/>
      <c r="AT845" s="1834"/>
    </row>
    <row r="846" spans="1:50" s="397" customFormat="1" ht="16.75" thickTop="1">
      <c r="A846" s="1165"/>
      <c r="C846" s="3766">
        <f>+C833</f>
        <v>1</v>
      </c>
      <c r="D846" s="3779" t="s">
        <v>1610</v>
      </c>
      <c r="E846" s="3059"/>
      <c r="F846" s="11"/>
      <c r="G846" s="11"/>
      <c r="H846" s="335"/>
      <c r="I846" s="336"/>
      <c r="J846" s="351">
        <f t="shared" ref="J846:AI846" si="461">+J680</f>
        <v>720</v>
      </c>
      <c r="K846" s="351">
        <f t="shared" si="461"/>
        <v>806</v>
      </c>
      <c r="L846" s="351">
        <f t="shared" si="461"/>
        <v>871</v>
      </c>
      <c r="M846" s="351">
        <f t="shared" si="461"/>
        <v>934</v>
      </c>
      <c r="N846" s="351">
        <f t="shared" si="461"/>
        <v>1149</v>
      </c>
      <c r="O846" s="351">
        <f t="shared" si="461"/>
        <v>1372</v>
      </c>
      <c r="P846" s="351">
        <f t="shared" si="461"/>
        <v>1636</v>
      </c>
      <c r="Q846" s="351">
        <f t="shared" si="461"/>
        <v>1806</v>
      </c>
      <c r="R846" s="351">
        <f t="shared" si="461"/>
        <v>2197</v>
      </c>
      <c r="S846" s="351">
        <f t="shared" si="461"/>
        <v>2799</v>
      </c>
      <c r="T846" s="351">
        <f t="shared" si="461"/>
        <v>3185</v>
      </c>
      <c r="U846" s="351">
        <f t="shared" si="461"/>
        <v>3529</v>
      </c>
      <c r="V846" s="2229">
        <f t="shared" si="461"/>
        <v>4084</v>
      </c>
      <c r="W846" s="2227">
        <f t="shared" si="461"/>
        <v>4642</v>
      </c>
      <c r="X846" s="2227">
        <f t="shared" si="461"/>
        <v>9640</v>
      </c>
      <c r="Y846" s="2227">
        <f t="shared" si="461"/>
        <v>5548</v>
      </c>
      <c r="Z846" s="2227">
        <f t="shared" si="461"/>
        <v>6081</v>
      </c>
      <c r="AA846" s="2227">
        <f t="shared" si="461"/>
        <v>6768</v>
      </c>
      <c r="AB846" s="2227">
        <f t="shared" si="461"/>
        <v>7621</v>
      </c>
      <c r="AC846" s="2227">
        <f t="shared" si="461"/>
        <v>8309</v>
      </c>
      <c r="AD846" s="2227">
        <f t="shared" si="461"/>
        <v>9460</v>
      </c>
      <c r="AE846" s="2227">
        <f t="shared" si="461"/>
        <v>7496</v>
      </c>
      <c r="AF846" s="2227">
        <f t="shared" si="461"/>
        <v>11125</v>
      </c>
      <c r="AG846" s="2227">
        <f t="shared" si="461"/>
        <v>14164</v>
      </c>
      <c r="AH846" s="2227">
        <f t="shared" si="461"/>
        <v>17177</v>
      </c>
      <c r="AI846" s="2227">
        <f t="shared" si="461"/>
        <v>19918</v>
      </c>
      <c r="AJ846" s="2279">
        <f t="shared" ref="AJ846:AO846" si="462">+AJ833*AJ951/100</f>
        <v>22796.029212071611</v>
      </c>
      <c r="AK846" s="2227">
        <f t="shared" si="462"/>
        <v>27060.876625304532</v>
      </c>
      <c r="AL846" s="1411">
        <f t="shared" si="462"/>
        <v>30570.449278210635</v>
      </c>
      <c r="AM846" s="1411">
        <f t="shared" si="462"/>
        <v>34496.333742051029</v>
      </c>
      <c r="AN846" s="1411">
        <f t="shared" si="462"/>
        <v>39098.663797754474</v>
      </c>
      <c r="AO846" s="1833">
        <f t="shared" si="462"/>
        <v>44493.465736773374</v>
      </c>
      <c r="AP846" s="1833">
        <f>+AP833*AP951/100</f>
        <v>50479.895845466483</v>
      </c>
      <c r="AQ846" s="1833">
        <f>+AQ833*AQ951/100</f>
        <v>57636.909818603453</v>
      </c>
      <c r="AR846" s="1833">
        <f>+AR833*AR951/100</f>
        <v>65947.444145677087</v>
      </c>
      <c r="AS846" s="1833">
        <f>+AS833*AS951/100</f>
        <v>75422.186823418087</v>
      </c>
      <c r="AT846" s="1833">
        <f>+AT833*AT951/100</f>
        <v>86362.865629603548</v>
      </c>
    </row>
    <row r="847" spans="1:50">
      <c r="A847" s="295"/>
      <c r="B847" s="1"/>
      <c r="C847" s="387">
        <f t="shared" si="434"/>
        <v>2</v>
      </c>
      <c r="D847" s="337" t="s">
        <v>987</v>
      </c>
      <c r="E847" s="3044"/>
      <c r="H847" s="335"/>
      <c r="I847" s="336"/>
      <c r="J847" s="342">
        <f t="shared" ref="J847:U847" si="463">+J819*(1-J848)</f>
        <v>29.25</v>
      </c>
      <c r="K847" s="342">
        <f t="shared" si="463"/>
        <v>32.25</v>
      </c>
      <c r="L847" s="342">
        <f t="shared" si="463"/>
        <v>47.25</v>
      </c>
      <c r="M847" s="342">
        <f t="shared" si="463"/>
        <v>43.5</v>
      </c>
      <c r="N847" s="342">
        <f t="shared" si="463"/>
        <v>66.75</v>
      </c>
      <c r="O847" s="342">
        <f t="shared" si="463"/>
        <v>107.25</v>
      </c>
      <c r="P847" s="342">
        <f t="shared" si="463"/>
        <v>131.25</v>
      </c>
      <c r="Q847" s="342">
        <f t="shared" si="463"/>
        <v>150.75</v>
      </c>
      <c r="R847" s="342">
        <f t="shared" si="463"/>
        <v>228.75</v>
      </c>
      <c r="S847" s="342">
        <f t="shared" si="463"/>
        <v>239.25</v>
      </c>
      <c r="T847" s="342">
        <f t="shared" si="463"/>
        <v>250.5</v>
      </c>
      <c r="U847" s="342">
        <f t="shared" si="463"/>
        <v>287.25</v>
      </c>
      <c r="V847" s="342">
        <f t="shared" ref="V847:AA847" si="464">+V819*(1-V848)</f>
        <v>391.5</v>
      </c>
      <c r="W847" s="338">
        <f t="shared" si="464"/>
        <v>423.75</v>
      </c>
      <c r="X847" s="338">
        <f t="shared" si="464"/>
        <v>511.5</v>
      </c>
      <c r="Y847" s="338">
        <f t="shared" si="464"/>
        <v>585</v>
      </c>
      <c r="Z847" s="338">
        <f t="shared" si="464"/>
        <v>610.5</v>
      </c>
      <c r="AA847" s="338">
        <f t="shared" si="464"/>
        <v>792.75</v>
      </c>
      <c r="AB847" s="338">
        <f t="shared" ref="AB847:AH847" si="465">+AB819*(1-AB848)</f>
        <v>1185</v>
      </c>
      <c r="AC847" s="338">
        <f t="shared" si="465"/>
        <v>1347.75</v>
      </c>
      <c r="AD847" s="338">
        <f t="shared" si="465"/>
        <v>1563</v>
      </c>
      <c r="AE847" s="338">
        <f t="shared" si="465"/>
        <v>1385.25</v>
      </c>
      <c r="AF847" s="338">
        <f t="shared" si="465"/>
        <v>1608.75</v>
      </c>
      <c r="AG847" s="338">
        <f t="shared" si="465"/>
        <v>2192.48</v>
      </c>
      <c r="AH847" s="338">
        <f t="shared" si="465"/>
        <v>3038.0899999999997</v>
      </c>
      <c r="AI847" s="338">
        <f t="shared" ref="AI847:AO847" si="466">+AI884*(1-AI848)</f>
        <v>4111.6099999999997</v>
      </c>
      <c r="AJ847" s="2275">
        <f>+AJ884*(1-AJ848)</f>
        <v>4335.1632470898348</v>
      </c>
      <c r="AK847" s="338">
        <f t="shared" si="466"/>
        <v>5154.0003398739264</v>
      </c>
      <c r="AL847" s="338">
        <f t="shared" si="466"/>
        <v>5824.632280428933</v>
      </c>
      <c r="AM847" s="338">
        <f t="shared" si="466"/>
        <v>6480.6998093469292</v>
      </c>
      <c r="AN847" s="338">
        <f t="shared" si="466"/>
        <v>7003.0847798835521</v>
      </c>
      <c r="AO847" s="1833">
        <f t="shared" si="466"/>
        <v>7682.4328899945276</v>
      </c>
      <c r="AP847" s="1833">
        <f>+AP884*(1-AP848)</f>
        <v>8529.7871512451911</v>
      </c>
      <c r="AQ847" s="1833">
        <f>+AQ884*(1-AQ848)</f>
        <v>9456.0256712743885</v>
      </c>
      <c r="AR847" s="1833">
        <f>+AR884*(1-AR848)</f>
        <v>10499.620083860047</v>
      </c>
      <c r="AS847" s="1833">
        <f>+AS884*(1-AS848)</f>
        <v>11677.09803525506</v>
      </c>
      <c r="AT847" s="1833">
        <f>+AT884*(1-AT848)</f>
        <v>13007.406840010379</v>
      </c>
    </row>
    <row r="848" spans="1:50">
      <c r="A848" s="295"/>
      <c r="B848" s="1"/>
      <c r="C848" s="387">
        <f t="shared" si="434"/>
        <v>3</v>
      </c>
      <c r="D848" s="1254" t="str">
        <f>+D835</f>
        <v xml:space="preserve">   1-  share of VA in exports (assumption, high import share for minerals)</v>
      </c>
      <c r="E848" s="2144" t="str">
        <f>+E835</f>
        <v>WG share in</v>
      </c>
      <c r="H848" s="335"/>
      <c r="I848" s="336"/>
      <c r="J848" s="345">
        <f t="shared" ref="J848:Q848" si="467">+J835</f>
        <v>0.25</v>
      </c>
      <c r="K848" s="345">
        <f t="shared" si="467"/>
        <v>0.25</v>
      </c>
      <c r="L848" s="345">
        <f t="shared" si="467"/>
        <v>0.25</v>
      </c>
      <c r="M848" s="345">
        <f t="shared" si="467"/>
        <v>0.25</v>
      </c>
      <c r="N848" s="345">
        <f t="shared" si="467"/>
        <v>0.25</v>
      </c>
      <c r="O848" s="345">
        <f t="shared" si="467"/>
        <v>0.25</v>
      </c>
      <c r="P848" s="345">
        <f t="shared" si="467"/>
        <v>0.25</v>
      </c>
      <c r="Q848" s="345">
        <f t="shared" si="467"/>
        <v>0.25</v>
      </c>
      <c r="R848" s="345">
        <f>+R835</f>
        <v>0.25</v>
      </c>
      <c r="S848" s="345">
        <f>+S835</f>
        <v>0.25</v>
      </c>
      <c r="T848" s="345">
        <f>+T835</f>
        <v>0.25</v>
      </c>
      <c r="U848" s="345">
        <f>+U835</f>
        <v>0.25</v>
      </c>
      <c r="V848" s="345">
        <f t="shared" ref="V848:AA848" si="468">+V835</f>
        <v>0.25</v>
      </c>
      <c r="W848" s="345">
        <f t="shared" si="468"/>
        <v>0.25</v>
      </c>
      <c r="X848" s="345">
        <f t="shared" si="468"/>
        <v>0.25</v>
      </c>
      <c r="Y848" s="345">
        <f t="shared" si="468"/>
        <v>0.25</v>
      </c>
      <c r="Z848" s="345">
        <f t="shared" si="468"/>
        <v>0.25</v>
      </c>
      <c r="AA848" s="345">
        <f t="shared" si="468"/>
        <v>0.25</v>
      </c>
      <c r="AB848" s="345">
        <f t="shared" ref="AB848:AG848" si="469">+AB835</f>
        <v>0.25</v>
      </c>
      <c r="AC848" s="345">
        <f t="shared" si="469"/>
        <v>0.25</v>
      </c>
      <c r="AD848" s="345">
        <f t="shared" si="469"/>
        <v>0.25</v>
      </c>
      <c r="AE848" s="345">
        <f t="shared" si="469"/>
        <v>0.25</v>
      </c>
      <c r="AF848" s="345">
        <f t="shared" si="469"/>
        <v>0.25</v>
      </c>
      <c r="AG848" s="345">
        <f t="shared" si="469"/>
        <v>0.28999999999999998</v>
      </c>
      <c r="AH848" s="345">
        <f>+AG835</f>
        <v>0.28999999999999998</v>
      </c>
      <c r="AI848" s="345">
        <f t="shared" ref="AI848:AO848" si="470">+AH848</f>
        <v>0.28999999999999998</v>
      </c>
      <c r="AJ848" s="2274">
        <f t="shared" si="470"/>
        <v>0.28999999999999998</v>
      </c>
      <c r="AK848" s="345">
        <f t="shared" si="470"/>
        <v>0.28999999999999998</v>
      </c>
      <c r="AL848" s="345">
        <f t="shared" si="470"/>
        <v>0.28999999999999998</v>
      </c>
      <c r="AM848" s="345">
        <f t="shared" si="470"/>
        <v>0.28999999999999998</v>
      </c>
      <c r="AN848" s="345">
        <f t="shared" si="470"/>
        <v>0.28999999999999998</v>
      </c>
      <c r="AO848" s="1835">
        <f t="shared" si="470"/>
        <v>0.28999999999999998</v>
      </c>
      <c r="AP848" s="1835">
        <f>+AO848</f>
        <v>0.28999999999999998</v>
      </c>
      <c r="AQ848" s="1835">
        <f>+AP848</f>
        <v>0.28999999999999998</v>
      </c>
      <c r="AR848" s="1835">
        <f>+AQ848</f>
        <v>0.28999999999999998</v>
      </c>
      <c r="AS848" s="1835">
        <f>+AR848</f>
        <v>0.28999999999999998</v>
      </c>
      <c r="AT848" s="1835">
        <f>+AS848</f>
        <v>0.28999999999999998</v>
      </c>
    </row>
    <row r="849" spans="1:47">
      <c r="A849" s="295"/>
      <c r="B849" s="1"/>
      <c r="C849" s="387">
        <f t="shared" si="434"/>
        <v>4</v>
      </c>
      <c r="D849" s="1255" t="s">
        <v>988</v>
      </c>
      <c r="E849" s="3048">
        <v>1</v>
      </c>
      <c r="H849" s="335"/>
      <c r="I849" s="336"/>
      <c r="J849" s="342">
        <f t="shared" ref="J849:U849" si="471">+$E849*J714</f>
        <v>54</v>
      </c>
      <c r="K849" s="342">
        <f t="shared" si="471"/>
        <v>58</v>
      </c>
      <c r="L849" s="342">
        <f t="shared" si="471"/>
        <v>62</v>
      </c>
      <c r="M849" s="342">
        <f t="shared" si="471"/>
        <v>63</v>
      </c>
      <c r="N849" s="342">
        <f t="shared" si="471"/>
        <v>71</v>
      </c>
      <c r="O849" s="342">
        <f t="shared" si="471"/>
        <v>77</v>
      </c>
      <c r="P849" s="342">
        <f t="shared" si="471"/>
        <v>84</v>
      </c>
      <c r="Q849" s="342">
        <f t="shared" si="471"/>
        <v>97</v>
      </c>
      <c r="R849" s="342">
        <f t="shared" si="471"/>
        <v>110</v>
      </c>
      <c r="S849" s="342">
        <f t="shared" si="471"/>
        <v>127</v>
      </c>
      <c r="T849" s="342">
        <f t="shared" si="471"/>
        <v>147</v>
      </c>
      <c r="U849" s="342">
        <f t="shared" si="471"/>
        <v>175</v>
      </c>
      <c r="V849" s="893">
        <f t="shared" ref="V849:AT849" si="472">+$E849*(V714-V376-V379)</f>
        <v>210</v>
      </c>
      <c r="W849" s="893">
        <f t="shared" si="472"/>
        <v>232</v>
      </c>
      <c r="X849" s="893">
        <f t="shared" si="472"/>
        <v>421.22868785716378</v>
      </c>
      <c r="Y849" s="893">
        <f t="shared" si="472"/>
        <v>199.32007249856645</v>
      </c>
      <c r="Z849" s="893">
        <f t="shared" si="472"/>
        <v>278.7488373961794</v>
      </c>
      <c r="AA849" s="893">
        <f t="shared" si="472"/>
        <v>301.98407756934438</v>
      </c>
      <c r="AB849" s="893">
        <f t="shared" si="472"/>
        <v>325.90986203956766</v>
      </c>
      <c r="AC849" s="893">
        <f t="shared" si="472"/>
        <v>333.26645457172583</v>
      </c>
      <c r="AD849" s="893">
        <f t="shared" si="472"/>
        <v>292.70634211882509</v>
      </c>
      <c r="AE849" s="893">
        <f t="shared" si="472"/>
        <v>216.84473475241805</v>
      </c>
      <c r="AF849" s="893">
        <f t="shared" si="472"/>
        <v>340.64732953637423</v>
      </c>
      <c r="AG849" s="893">
        <f t="shared" si="472"/>
        <v>375.59898293135984</v>
      </c>
      <c r="AH849" s="893">
        <f t="shared" si="472"/>
        <v>412.95998988984047</v>
      </c>
      <c r="AI849" s="893">
        <f t="shared" si="472"/>
        <v>526.46537023074461</v>
      </c>
      <c r="AJ849" s="2280">
        <f t="shared" si="472"/>
        <v>797.27984839359715</v>
      </c>
      <c r="AK849" s="893">
        <f t="shared" si="472"/>
        <v>905.60943025321308</v>
      </c>
      <c r="AL849" s="893">
        <f t="shared" si="472"/>
        <v>1018.2204803766579</v>
      </c>
      <c r="AM849" s="893">
        <f t="shared" si="472"/>
        <v>1146.7838233386656</v>
      </c>
      <c r="AN849" s="893">
        <f t="shared" si="472"/>
        <v>1291.1619142567301</v>
      </c>
      <c r="AO849" s="1831">
        <f t="shared" si="472"/>
        <v>1468.8968567760651</v>
      </c>
      <c r="AP849" s="1831">
        <f t="shared" si="472"/>
        <v>1684.9231067949904</v>
      </c>
      <c r="AQ849" s="1831">
        <f t="shared" si="472"/>
        <v>1913.9780323114496</v>
      </c>
      <c r="AR849" s="1831">
        <f t="shared" si="472"/>
        <v>2155.6704946381587</v>
      </c>
      <c r="AS849" s="1831">
        <f t="shared" si="472"/>
        <v>2426.1893982865722</v>
      </c>
      <c r="AT849" s="1831">
        <f t="shared" si="472"/>
        <v>2577.6511239858642</v>
      </c>
    </row>
    <row r="850" spans="1:47">
      <c r="A850" s="295"/>
      <c r="B850" s="1"/>
      <c r="C850" s="387">
        <f t="shared" si="434"/>
        <v>5</v>
      </c>
      <c r="D850" s="1256" t="s">
        <v>982</v>
      </c>
      <c r="E850" s="3044" t="str">
        <f>+E837</f>
        <v xml:space="preserve">see share in </v>
      </c>
      <c r="H850" s="335"/>
      <c r="I850" s="336"/>
      <c r="J850" s="342">
        <f t="shared" ref="J850:AG850" si="473">J715*J390</f>
        <v>4</v>
      </c>
      <c r="K850" s="342">
        <f t="shared" si="473"/>
        <v>6.5</v>
      </c>
      <c r="L850" s="342">
        <f t="shared" si="473"/>
        <v>6.5</v>
      </c>
      <c r="M850" s="342">
        <f t="shared" si="473"/>
        <v>8.5</v>
      </c>
      <c r="N850" s="342">
        <f t="shared" si="473"/>
        <v>9</v>
      </c>
      <c r="O850" s="342">
        <f t="shared" si="473"/>
        <v>11</v>
      </c>
      <c r="P850" s="342">
        <f t="shared" si="473"/>
        <v>15.5</v>
      </c>
      <c r="Q850" s="342">
        <f t="shared" si="473"/>
        <v>20</v>
      </c>
      <c r="R850" s="342">
        <f t="shared" si="473"/>
        <v>25</v>
      </c>
      <c r="S850" s="342">
        <f t="shared" si="473"/>
        <v>30</v>
      </c>
      <c r="T850" s="342">
        <f t="shared" si="473"/>
        <v>37</v>
      </c>
      <c r="U850" s="342">
        <f t="shared" si="473"/>
        <v>45</v>
      </c>
      <c r="V850" s="343">
        <f t="shared" si="473"/>
        <v>56.5</v>
      </c>
      <c r="W850" s="343">
        <f t="shared" si="473"/>
        <v>69</v>
      </c>
      <c r="X850" s="343">
        <f>X715*X390</f>
        <v>98.5</v>
      </c>
      <c r="Y850" s="343">
        <f t="shared" si="473"/>
        <v>102</v>
      </c>
      <c r="Z850" s="343">
        <f t="shared" si="473"/>
        <v>104</v>
      </c>
      <c r="AA850" s="343">
        <f t="shared" si="473"/>
        <v>109.5</v>
      </c>
      <c r="AB850" s="343">
        <f t="shared" si="473"/>
        <v>115</v>
      </c>
      <c r="AC850" s="343">
        <f t="shared" si="473"/>
        <v>118</v>
      </c>
      <c r="AD850" s="893">
        <f t="shared" si="473"/>
        <v>125</v>
      </c>
      <c r="AE850" s="893">
        <f t="shared" si="473"/>
        <v>57.5</v>
      </c>
      <c r="AF850" s="893">
        <f t="shared" si="473"/>
        <v>150.91999999999999</v>
      </c>
      <c r="AG850" s="893">
        <f t="shared" si="473"/>
        <v>216.67</v>
      </c>
      <c r="AH850" s="893">
        <f>AH715*AH390</f>
        <v>295.77999999999997</v>
      </c>
      <c r="AI850" s="893">
        <f>AI715*AI390</f>
        <v>311.41999999999996</v>
      </c>
      <c r="AJ850" s="2280">
        <f t="shared" ref="AJ850:AO850" si="474">AJ715*AJ390</f>
        <v>0</v>
      </c>
      <c r="AK850" s="893">
        <f t="shared" si="474"/>
        <v>0</v>
      </c>
      <c r="AL850" s="893">
        <f t="shared" si="474"/>
        <v>0</v>
      </c>
      <c r="AM850" s="893">
        <f t="shared" si="474"/>
        <v>0</v>
      </c>
      <c r="AN850" s="893">
        <f t="shared" si="474"/>
        <v>0</v>
      </c>
      <c r="AO850" s="1831">
        <f t="shared" si="474"/>
        <v>0</v>
      </c>
      <c r="AP850" s="1831">
        <f t="shared" ref="AP850:AT851" si="475">AP715*AP390</f>
        <v>0</v>
      </c>
      <c r="AQ850" s="1831">
        <f t="shared" si="475"/>
        <v>0</v>
      </c>
      <c r="AR850" s="1831">
        <f t="shared" si="475"/>
        <v>0</v>
      </c>
      <c r="AS850" s="1831">
        <f t="shared" si="475"/>
        <v>0</v>
      </c>
      <c r="AT850" s="1831">
        <f t="shared" si="475"/>
        <v>0</v>
      </c>
    </row>
    <row r="851" spans="1:47">
      <c r="A851" s="295"/>
      <c r="B851" s="1"/>
      <c r="C851" s="387">
        <f t="shared" si="434"/>
        <v>6</v>
      </c>
      <c r="D851" s="1256" t="str">
        <f>+D838</f>
        <v>Public wages and other VA in health</v>
      </c>
      <c r="E851" s="3044"/>
      <c r="H851" s="335"/>
      <c r="I851" s="336"/>
      <c r="J851" s="342">
        <f t="shared" ref="J851:AG851" si="476">J716*J391</f>
        <v>2.4</v>
      </c>
      <c r="K851" s="342">
        <f t="shared" si="476"/>
        <v>2.5499999999999998</v>
      </c>
      <c r="L851" s="342">
        <f t="shared" si="476"/>
        <v>2.6999999999999997</v>
      </c>
      <c r="M851" s="342">
        <f t="shared" si="476"/>
        <v>3</v>
      </c>
      <c r="N851" s="342">
        <f t="shared" si="476"/>
        <v>4.05</v>
      </c>
      <c r="O851" s="342">
        <f t="shared" si="476"/>
        <v>4.5</v>
      </c>
      <c r="P851" s="342">
        <f t="shared" si="476"/>
        <v>4.5</v>
      </c>
      <c r="Q851" s="342">
        <f t="shared" si="476"/>
        <v>4.8</v>
      </c>
      <c r="R851" s="342">
        <f t="shared" si="476"/>
        <v>6.45</v>
      </c>
      <c r="S851" s="342">
        <f t="shared" si="476"/>
        <v>7.9499999999999993</v>
      </c>
      <c r="T851" s="342">
        <f t="shared" si="476"/>
        <v>9.6</v>
      </c>
      <c r="U851" s="342">
        <f t="shared" si="476"/>
        <v>11.4</v>
      </c>
      <c r="V851" s="343">
        <f t="shared" si="476"/>
        <v>11.85</v>
      </c>
      <c r="W851" s="343">
        <f t="shared" si="476"/>
        <v>15</v>
      </c>
      <c r="X851" s="343">
        <f t="shared" si="476"/>
        <v>28.95</v>
      </c>
      <c r="Y851" s="343">
        <f t="shared" si="476"/>
        <v>19.5</v>
      </c>
      <c r="Z851" s="343">
        <f t="shared" si="476"/>
        <v>20.099999999999998</v>
      </c>
      <c r="AA851" s="343">
        <f t="shared" si="476"/>
        <v>20.55</v>
      </c>
      <c r="AB851" s="343">
        <f t="shared" si="476"/>
        <v>24</v>
      </c>
      <c r="AC851" s="343">
        <f t="shared" si="476"/>
        <v>24.45</v>
      </c>
      <c r="AD851" s="893">
        <f t="shared" si="476"/>
        <v>26.25</v>
      </c>
      <c r="AE851" s="893">
        <f t="shared" si="476"/>
        <v>25.5</v>
      </c>
      <c r="AF851" s="893">
        <f t="shared" si="476"/>
        <v>36.449999999999996</v>
      </c>
      <c r="AG851" s="893">
        <f t="shared" si="476"/>
        <v>36.75</v>
      </c>
      <c r="AH851" s="893">
        <f>AH716*AH391</f>
        <v>32.699999999999996</v>
      </c>
      <c r="AI851" s="893">
        <f t="shared" ref="AI851:AO851" si="477">AI716*AI391</f>
        <v>37.35</v>
      </c>
      <c r="AJ851" s="2280">
        <f t="shared" si="477"/>
        <v>0</v>
      </c>
      <c r="AK851" s="893">
        <f t="shared" si="477"/>
        <v>0</v>
      </c>
      <c r="AL851" s="893">
        <f t="shared" si="477"/>
        <v>0</v>
      </c>
      <c r="AM851" s="893">
        <f t="shared" si="477"/>
        <v>0</v>
      </c>
      <c r="AN851" s="893">
        <f t="shared" si="477"/>
        <v>0</v>
      </c>
      <c r="AO851" s="1831">
        <f t="shared" si="477"/>
        <v>0</v>
      </c>
      <c r="AP851" s="1831">
        <f t="shared" si="475"/>
        <v>0</v>
      </c>
      <c r="AQ851" s="1831">
        <f t="shared" si="475"/>
        <v>0</v>
      </c>
      <c r="AR851" s="1831">
        <f t="shared" si="475"/>
        <v>0</v>
      </c>
      <c r="AS851" s="1831">
        <f t="shared" si="475"/>
        <v>0</v>
      </c>
      <c r="AT851" s="1831">
        <f t="shared" si="475"/>
        <v>0</v>
      </c>
    </row>
    <row r="852" spans="1:47">
      <c r="A852" s="295"/>
      <c r="B852" s="1"/>
      <c r="C852" s="387">
        <f t="shared" si="434"/>
        <v>7</v>
      </c>
      <c r="D852" s="339" t="s">
        <v>989</v>
      </c>
      <c r="E852" s="3051"/>
      <c r="H852" s="335"/>
      <c r="I852" s="336"/>
      <c r="J852" s="395">
        <f t="shared" ref="J852:U852" si="478">+J849+J850+J851</f>
        <v>60.4</v>
      </c>
      <c r="K852" s="395">
        <f t="shared" si="478"/>
        <v>67.05</v>
      </c>
      <c r="L852" s="395">
        <f t="shared" si="478"/>
        <v>71.2</v>
      </c>
      <c r="M852" s="395">
        <f t="shared" si="478"/>
        <v>74.5</v>
      </c>
      <c r="N852" s="395">
        <f t="shared" si="478"/>
        <v>84.05</v>
      </c>
      <c r="O852" s="395">
        <f t="shared" si="478"/>
        <v>92.5</v>
      </c>
      <c r="P852" s="395">
        <f t="shared" si="478"/>
        <v>104</v>
      </c>
      <c r="Q852" s="395">
        <f t="shared" si="478"/>
        <v>121.8</v>
      </c>
      <c r="R852" s="395">
        <f t="shared" si="478"/>
        <v>141.44999999999999</v>
      </c>
      <c r="S852" s="395">
        <f t="shared" si="478"/>
        <v>164.95</v>
      </c>
      <c r="T852" s="395">
        <f t="shared" si="478"/>
        <v>193.6</v>
      </c>
      <c r="U852" s="395">
        <f t="shared" si="478"/>
        <v>231.4</v>
      </c>
      <c r="V852" s="395">
        <f t="shared" ref="V852:AA852" si="479">+V849+V850+V851</f>
        <v>278.35000000000002</v>
      </c>
      <c r="W852" s="395">
        <f t="shared" si="479"/>
        <v>316</v>
      </c>
      <c r="X852" s="395">
        <f t="shared" si="479"/>
        <v>548.67868785716382</v>
      </c>
      <c r="Y852" s="395">
        <f t="shared" si="479"/>
        <v>320.82007249856645</v>
      </c>
      <c r="Z852" s="395">
        <f t="shared" si="479"/>
        <v>402.84883739617942</v>
      </c>
      <c r="AA852" s="395">
        <f t="shared" si="479"/>
        <v>432.03407756934439</v>
      </c>
      <c r="AB852" s="395">
        <f t="shared" ref="AB852:AI852" si="480">+AB849+AB850+AB851</f>
        <v>464.90986203956766</v>
      </c>
      <c r="AC852" s="395">
        <f t="shared" si="480"/>
        <v>475.71645457172582</v>
      </c>
      <c r="AD852" s="395">
        <f t="shared" si="480"/>
        <v>443.95634211882509</v>
      </c>
      <c r="AE852" s="395">
        <f t="shared" si="480"/>
        <v>299.84473475241805</v>
      </c>
      <c r="AF852" s="395">
        <f t="shared" si="480"/>
        <v>528.01732953637429</v>
      </c>
      <c r="AG852" s="395">
        <f t="shared" si="480"/>
        <v>629.0189829313598</v>
      </c>
      <c r="AH852" s="395">
        <f t="shared" si="480"/>
        <v>741.43998988984049</v>
      </c>
      <c r="AI852" s="395">
        <f t="shared" si="480"/>
        <v>875.23537023074459</v>
      </c>
      <c r="AJ852" s="2281">
        <f t="shared" ref="AJ852:AT852" si="481">+AJ227</f>
        <v>1306.9845509371096</v>
      </c>
      <c r="AK852" s="395">
        <f t="shared" si="481"/>
        <v>1520.2942196747217</v>
      </c>
      <c r="AL852" s="395">
        <f t="shared" si="481"/>
        <v>1720.8641011251789</v>
      </c>
      <c r="AM852" s="395">
        <f t="shared" si="481"/>
        <v>1948.6067454016904</v>
      </c>
      <c r="AN852" s="395">
        <f t="shared" si="481"/>
        <v>2172.4349787440879</v>
      </c>
      <c r="AO852" s="1832">
        <f t="shared" si="481"/>
        <v>2428.6991722717366</v>
      </c>
      <c r="AP852" s="1832">
        <f t="shared" si="481"/>
        <v>2739.5582274420676</v>
      </c>
      <c r="AQ852" s="1832">
        <f t="shared" si="481"/>
        <v>3076.0276225289922</v>
      </c>
      <c r="AR852" s="1832">
        <f t="shared" si="481"/>
        <v>3455.9332033819146</v>
      </c>
      <c r="AS852" s="1832">
        <f t="shared" si="481"/>
        <v>4063.0194756323258</v>
      </c>
      <c r="AT852" s="1832">
        <f t="shared" si="481"/>
        <v>4982.3245313410298</v>
      </c>
    </row>
    <row r="853" spans="1:47">
      <c r="A853" s="295"/>
      <c r="B853" s="1"/>
      <c r="C853" s="387">
        <f t="shared" si="434"/>
        <v>8</v>
      </c>
      <c r="D853" s="337" t="s">
        <v>129</v>
      </c>
      <c r="H853" s="335"/>
      <c r="I853" s="336"/>
      <c r="J853" s="342">
        <f t="shared" ref="J853:AG853" si="482">+J719</f>
        <v>59</v>
      </c>
      <c r="K853" s="342">
        <f t="shared" si="482"/>
        <v>62</v>
      </c>
      <c r="L853" s="342">
        <f t="shared" si="482"/>
        <v>73</v>
      </c>
      <c r="M853" s="342">
        <f t="shared" si="482"/>
        <v>84</v>
      </c>
      <c r="N853" s="342">
        <f t="shared" si="482"/>
        <v>103</v>
      </c>
      <c r="O853" s="342">
        <f t="shared" si="482"/>
        <v>124</v>
      </c>
      <c r="P853" s="342">
        <f t="shared" si="482"/>
        <v>143</v>
      </c>
      <c r="Q853" s="342">
        <f t="shared" si="482"/>
        <v>164</v>
      </c>
      <c r="R853" s="342">
        <f t="shared" si="482"/>
        <v>201</v>
      </c>
      <c r="S853" s="342">
        <f t="shared" si="482"/>
        <v>273</v>
      </c>
      <c r="T853" s="342">
        <f t="shared" si="482"/>
        <v>305</v>
      </c>
      <c r="U853" s="342">
        <f t="shared" si="482"/>
        <v>338</v>
      </c>
      <c r="V853" s="342">
        <f t="shared" si="482"/>
        <v>418</v>
      </c>
      <c r="W853" s="338">
        <f t="shared" si="482"/>
        <v>384</v>
      </c>
      <c r="X853" s="338">
        <f t="shared" si="482"/>
        <v>774</v>
      </c>
      <c r="Y853" s="338">
        <f t="shared" si="482"/>
        <v>480</v>
      </c>
      <c r="Z853" s="338">
        <f t="shared" si="482"/>
        <v>543</v>
      </c>
      <c r="AA853" s="338">
        <f t="shared" si="482"/>
        <v>596</v>
      </c>
      <c r="AB853" s="338">
        <f t="shared" si="482"/>
        <v>652</v>
      </c>
      <c r="AC853" s="338">
        <f t="shared" si="482"/>
        <v>692</v>
      </c>
      <c r="AD853" s="338">
        <f t="shared" si="482"/>
        <v>789</v>
      </c>
      <c r="AE853" s="338">
        <f t="shared" si="482"/>
        <v>584</v>
      </c>
      <c r="AF853" s="338">
        <f t="shared" si="482"/>
        <v>633</v>
      </c>
      <c r="AG853" s="338">
        <f t="shared" si="482"/>
        <v>774</v>
      </c>
      <c r="AH853" s="338">
        <f>+AH719</f>
        <v>868</v>
      </c>
      <c r="AI853" s="338">
        <f>+AI719</f>
        <v>985</v>
      </c>
      <c r="AJ853" s="2275">
        <f t="shared" ref="AJ853:AO853" si="483">+AJ854+AJ855+AJ856</f>
        <v>1343.9600456183844</v>
      </c>
      <c r="AK853" s="338">
        <f t="shared" si="483"/>
        <v>1758.1398934746308</v>
      </c>
      <c r="AL853" s="338">
        <f t="shared" si="483"/>
        <v>2140.9767082505682</v>
      </c>
      <c r="AM853" s="338">
        <f t="shared" si="483"/>
        <v>2518.0485318025408</v>
      </c>
      <c r="AN853" s="338">
        <f t="shared" si="483"/>
        <v>2937.4577063574907</v>
      </c>
      <c r="AO853" s="1833">
        <f t="shared" si="483"/>
        <v>3414.1365330575177</v>
      </c>
      <c r="AP853" s="1833">
        <f>+AP854+AP855+AP856</f>
        <v>3949.2345600486019</v>
      </c>
      <c r="AQ853" s="1833">
        <f>+AQ854+AQ855+AQ856</f>
        <v>4526.9608973947124</v>
      </c>
      <c r="AR853" s="1833">
        <f>+AR854+AR855+AR856</f>
        <v>5109.8105830694858</v>
      </c>
      <c r="AS853" s="1833">
        <f>+AS854+AS855+AS856</f>
        <v>6662.1860970527923</v>
      </c>
      <c r="AT853" s="1833">
        <f>+AT854+AT855+AT856</f>
        <v>9856.6356664932664</v>
      </c>
    </row>
    <row r="854" spans="1:47">
      <c r="A854" s="295"/>
      <c r="B854" s="1"/>
      <c r="C854" s="387">
        <f t="shared" si="434"/>
        <v>9</v>
      </c>
      <c r="D854" s="344" t="s">
        <v>1345</v>
      </c>
      <c r="E854" s="2968" t="s">
        <v>416</v>
      </c>
      <c r="H854" s="335"/>
      <c r="I854" s="336"/>
      <c r="J854" s="342">
        <f t="shared" ref="J854:X854" si="484">+J253-J254-J255</f>
        <v>0</v>
      </c>
      <c r="K854" s="342">
        <f t="shared" si="484"/>
        <v>0</v>
      </c>
      <c r="L854" s="342">
        <f t="shared" si="484"/>
        <v>0</v>
      </c>
      <c r="M854" s="342">
        <f t="shared" si="484"/>
        <v>0</v>
      </c>
      <c r="N854" s="342">
        <f t="shared" si="484"/>
        <v>0</v>
      </c>
      <c r="O854" s="342">
        <f t="shared" si="484"/>
        <v>9.1624699637500022</v>
      </c>
      <c r="P854" s="342">
        <f t="shared" si="484"/>
        <v>18.516830645650003</v>
      </c>
      <c r="Q854" s="342">
        <f t="shared" si="484"/>
        <v>21.787166696750003</v>
      </c>
      <c r="R854" s="342">
        <f t="shared" si="484"/>
        <v>30.652935856205076</v>
      </c>
      <c r="S854" s="342">
        <f t="shared" si="484"/>
        <v>38.902546544835531</v>
      </c>
      <c r="T854" s="342">
        <f t="shared" si="484"/>
        <v>34.249909869580463</v>
      </c>
      <c r="U854" s="342">
        <f t="shared" si="484"/>
        <v>14.778954197400004</v>
      </c>
      <c r="V854" s="342">
        <f t="shared" si="484"/>
        <v>14.106740746450008</v>
      </c>
      <c r="W854" s="342">
        <f t="shared" si="484"/>
        <v>30.536979602600013</v>
      </c>
      <c r="X854" s="342">
        <f t="shared" si="484"/>
        <v>40.931980067449992</v>
      </c>
      <c r="Y854" s="2384">
        <f t="shared" ref="Y854:AN854" si="485">+Y252-Y253-Y254-Y255</f>
        <v>261.90823960624999</v>
      </c>
      <c r="Z854" s="2384">
        <f t="shared" si="485"/>
        <v>316.50418177805403</v>
      </c>
      <c r="AA854" s="2384">
        <f t="shared" si="485"/>
        <v>357.17223269760973</v>
      </c>
      <c r="AB854" s="2384">
        <f t="shared" si="485"/>
        <v>389.15726076815452</v>
      </c>
      <c r="AC854" s="2384">
        <f t="shared" si="485"/>
        <v>444.44960265991438</v>
      </c>
      <c r="AD854" s="2384">
        <f t="shared" si="485"/>
        <v>487.81348186320565</v>
      </c>
      <c r="AE854" s="2384">
        <f t="shared" si="485"/>
        <v>530.90149770063636</v>
      </c>
      <c r="AF854" s="2384">
        <f t="shared" si="485"/>
        <v>573.03349630822026</v>
      </c>
      <c r="AG854" s="2384">
        <f t="shared" si="485"/>
        <v>600.57802465044085</v>
      </c>
      <c r="AH854" s="2384">
        <f t="shared" si="485"/>
        <v>663.60697726528633</v>
      </c>
      <c r="AI854" s="338">
        <f t="shared" si="485"/>
        <v>860.29620886891746</v>
      </c>
      <c r="AJ854" s="2387">
        <f t="shared" si="485"/>
        <v>1198.0096909719514</v>
      </c>
      <c r="AK854" s="2387">
        <f t="shared" si="485"/>
        <v>1519.0878215986475</v>
      </c>
      <c r="AL854" s="2387">
        <f t="shared" si="485"/>
        <v>1769.9124897008383</v>
      </c>
      <c r="AM854" s="2387">
        <f t="shared" si="485"/>
        <v>1990.9002512586146</v>
      </c>
      <c r="AN854" s="2387">
        <f t="shared" si="485"/>
        <v>2224.3015898066319</v>
      </c>
      <c r="AO854" s="2387">
        <f t="shared" ref="AO854:AT854" si="486">+AO252-AO253-AO254-AO255</f>
        <v>2500.1436478803248</v>
      </c>
      <c r="AP854" s="2387">
        <f t="shared" si="486"/>
        <v>3709.1145176034938</v>
      </c>
      <c r="AQ854" s="2387">
        <f t="shared" si="486"/>
        <v>4140.8235943217769</v>
      </c>
      <c r="AR854" s="2387">
        <f t="shared" si="486"/>
        <v>4572.7947498029025</v>
      </c>
      <c r="AS854" s="2387">
        <f t="shared" si="486"/>
        <v>5840.7867447898652</v>
      </c>
      <c r="AT854" s="2387">
        <f t="shared" si="486"/>
        <v>8552.282453442318</v>
      </c>
    </row>
    <row r="855" spans="1:47">
      <c r="A855" s="295"/>
      <c r="B855" s="1"/>
      <c r="C855" s="387">
        <f t="shared" si="434"/>
        <v>10</v>
      </c>
      <c r="D855" s="344" t="s">
        <v>1346</v>
      </c>
      <c r="H855" s="335"/>
      <c r="I855" s="336"/>
      <c r="J855" s="342">
        <f t="shared" ref="J855:X855" si="487">+J254+J255+J258</f>
        <v>9.3669750000000001</v>
      </c>
      <c r="K855" s="342">
        <f t="shared" si="487"/>
        <v>9.0872062499999995</v>
      </c>
      <c r="L855" s="342">
        <f t="shared" si="487"/>
        <v>10.545674999999999</v>
      </c>
      <c r="M855" s="342">
        <f t="shared" si="487"/>
        <v>13.030162500000001</v>
      </c>
      <c r="N855" s="342">
        <f t="shared" si="487"/>
        <v>0</v>
      </c>
      <c r="O855" s="342">
        <f t="shared" si="487"/>
        <v>13.551160078062502</v>
      </c>
      <c r="P855" s="342">
        <f t="shared" si="487"/>
        <v>28.295828251112503</v>
      </c>
      <c r="Q855" s="342">
        <f t="shared" si="487"/>
        <v>31.747502714812502</v>
      </c>
      <c r="R855" s="342">
        <f t="shared" si="487"/>
        <v>35.361658958153811</v>
      </c>
      <c r="S855" s="342">
        <f t="shared" si="487"/>
        <v>47.500860830826653</v>
      </c>
      <c r="T855" s="342">
        <f t="shared" si="487"/>
        <v>60.818286107772842</v>
      </c>
      <c r="U855" s="342">
        <f t="shared" si="487"/>
        <v>76.301580787462498</v>
      </c>
      <c r="V855" s="342">
        <f t="shared" si="487"/>
        <v>91.953145489437503</v>
      </c>
      <c r="W855" s="342">
        <f t="shared" si="487"/>
        <v>96.038417902074997</v>
      </c>
      <c r="X855" s="342">
        <f t="shared" si="487"/>
        <v>125.7221646718375</v>
      </c>
      <c r="Y855" s="338">
        <f t="shared" ref="Y855:AH855" si="488">+Y253+Y254+Y255+Y257</f>
        <v>201.04465999975</v>
      </c>
      <c r="Z855" s="338">
        <f t="shared" si="488"/>
        <v>223.20865933693239</v>
      </c>
      <c r="AA855" s="338">
        <f t="shared" si="488"/>
        <v>244.46158922880429</v>
      </c>
      <c r="AB855" s="338">
        <f t="shared" si="488"/>
        <v>260.5285918916187</v>
      </c>
      <c r="AC855" s="338">
        <f t="shared" si="488"/>
        <v>293.78099391686987</v>
      </c>
      <c r="AD855" s="338">
        <f t="shared" si="488"/>
        <v>320.81966682036312</v>
      </c>
      <c r="AE855" s="338">
        <f t="shared" si="488"/>
        <v>333.69014840412348</v>
      </c>
      <c r="AF855" s="338">
        <f t="shared" si="488"/>
        <v>379.86781927329906</v>
      </c>
      <c r="AG855" s="338">
        <f t="shared" si="488"/>
        <v>523.50360410936867</v>
      </c>
      <c r="AH855" s="338">
        <f t="shared" si="488"/>
        <v>649.54386188646652</v>
      </c>
      <c r="AI855" s="338">
        <f>+AI253+AI254+AI255+AI257</f>
        <v>662.66252902125177</v>
      </c>
      <c r="AJ855" s="338">
        <f>+AJ253+AJ254+AJ255+AJ257</f>
        <v>683.9090925366022</v>
      </c>
      <c r="AK855" s="338">
        <f t="shared" ref="AK855:AT855" si="489">+AK253+AK254+AK255+AK257</f>
        <v>777.01080976615242</v>
      </c>
      <c r="AL855" s="338">
        <f t="shared" si="489"/>
        <v>909.02295643989942</v>
      </c>
      <c r="AM855" s="338">
        <f t="shared" si="489"/>
        <v>1065.1070184340952</v>
      </c>
      <c r="AN855" s="338">
        <f t="shared" si="489"/>
        <v>1251.114854441028</v>
      </c>
      <c r="AO855" s="338">
        <f t="shared" si="489"/>
        <v>1451.9516230673623</v>
      </c>
      <c r="AP855" s="338">
        <f t="shared" si="489"/>
        <v>778.07878033527754</v>
      </c>
      <c r="AQ855" s="338">
        <f t="shared" si="489"/>
        <v>924.09604096310454</v>
      </c>
      <c r="AR855" s="338">
        <f t="shared" si="489"/>
        <v>1074.9745711567521</v>
      </c>
      <c r="AS855" s="338">
        <f t="shared" si="489"/>
        <v>1359.358090153097</v>
      </c>
      <c r="AT855" s="338">
        <f t="shared" si="489"/>
        <v>1842.3119509411179</v>
      </c>
    </row>
    <row r="856" spans="1:47">
      <c r="A856" s="295"/>
      <c r="B856" s="1"/>
      <c r="C856" s="387">
        <f t="shared" si="434"/>
        <v>11</v>
      </c>
      <c r="D856" s="344" t="s">
        <v>1347</v>
      </c>
      <c r="H856" s="335"/>
      <c r="I856" s="336"/>
      <c r="J856" s="342">
        <f t="shared" ref="J856:X856" si="490">+J853-J854-J855</f>
        <v>49.633025000000004</v>
      </c>
      <c r="K856" s="342">
        <f t="shared" si="490"/>
        <v>52.912793749999999</v>
      </c>
      <c r="L856" s="342">
        <f t="shared" si="490"/>
        <v>62.454324999999997</v>
      </c>
      <c r="M856" s="342">
        <f t="shared" si="490"/>
        <v>70.969837499999997</v>
      </c>
      <c r="N856" s="342">
        <f t="shared" si="490"/>
        <v>103</v>
      </c>
      <c r="O856" s="342">
        <f t="shared" si="490"/>
        <v>101.28636995818749</v>
      </c>
      <c r="P856" s="342">
        <f t="shared" si="490"/>
        <v>96.187341103237486</v>
      </c>
      <c r="Q856" s="342">
        <f t="shared" si="490"/>
        <v>110.4653305884375</v>
      </c>
      <c r="R856" s="342">
        <f t="shared" si="490"/>
        <v>134.9854051856411</v>
      </c>
      <c r="S856" s="342">
        <f t="shared" si="490"/>
        <v>186.5965926243378</v>
      </c>
      <c r="T856" s="342">
        <f t="shared" si="490"/>
        <v>209.9318040226467</v>
      </c>
      <c r="U856" s="342">
        <f t="shared" si="490"/>
        <v>246.91946501513746</v>
      </c>
      <c r="V856" s="342">
        <f t="shared" si="490"/>
        <v>311.94011376411254</v>
      </c>
      <c r="W856" s="342">
        <f t="shared" si="490"/>
        <v>257.42460249532496</v>
      </c>
      <c r="X856" s="342">
        <f t="shared" si="490"/>
        <v>607.34585526071248</v>
      </c>
      <c r="Y856" s="2384">
        <f>+Y853-Y854-Y855</f>
        <v>17.047100394000012</v>
      </c>
      <c r="Z856" s="2384">
        <f t="shared" ref="Z856:AI856" si="491">+Z853-Z854-Z855</f>
        <v>3.2871588850135822</v>
      </c>
      <c r="AA856" s="2384">
        <f t="shared" si="491"/>
        <v>-5.633821926414015</v>
      </c>
      <c r="AB856" s="2384">
        <f t="shared" si="491"/>
        <v>2.314147340226782</v>
      </c>
      <c r="AC856" s="2384">
        <f t="shared" si="491"/>
        <v>-46.230596576784251</v>
      </c>
      <c r="AD856" s="2384">
        <f t="shared" si="491"/>
        <v>-19.633148683568777</v>
      </c>
      <c r="AE856" s="2384">
        <f t="shared" si="491"/>
        <v>-280.59164610475983</v>
      </c>
      <c r="AF856" s="2384">
        <f t="shared" si="491"/>
        <v>-319.90131558151933</v>
      </c>
      <c r="AG856" s="2384">
        <f t="shared" si="491"/>
        <v>-350.08162875980952</v>
      </c>
      <c r="AH856" s="2384">
        <f t="shared" si="491"/>
        <v>-445.15083915175285</v>
      </c>
      <c r="AI856" s="338">
        <f t="shared" si="491"/>
        <v>-537.95873789016923</v>
      </c>
      <c r="AJ856" s="2275">
        <f t="shared" ref="AJ856:AT856" si="492">+AI856</f>
        <v>-537.95873789016923</v>
      </c>
      <c r="AK856" s="338">
        <f t="shared" si="492"/>
        <v>-537.95873789016923</v>
      </c>
      <c r="AL856" s="338">
        <f t="shared" si="492"/>
        <v>-537.95873789016923</v>
      </c>
      <c r="AM856" s="338">
        <f t="shared" si="492"/>
        <v>-537.95873789016923</v>
      </c>
      <c r="AN856" s="338">
        <f t="shared" si="492"/>
        <v>-537.95873789016923</v>
      </c>
      <c r="AO856" s="338">
        <f t="shared" si="492"/>
        <v>-537.95873789016923</v>
      </c>
      <c r="AP856" s="338">
        <f t="shared" si="492"/>
        <v>-537.95873789016923</v>
      </c>
      <c r="AQ856" s="338">
        <f t="shared" si="492"/>
        <v>-537.95873789016923</v>
      </c>
      <c r="AR856" s="338">
        <f t="shared" si="492"/>
        <v>-537.95873789016923</v>
      </c>
      <c r="AS856" s="338">
        <f t="shared" si="492"/>
        <v>-537.95873789016923</v>
      </c>
      <c r="AT856" s="338">
        <f t="shared" si="492"/>
        <v>-537.95873789016923</v>
      </c>
    </row>
    <row r="857" spans="1:47">
      <c r="A857" s="295"/>
      <c r="B857" s="1"/>
      <c r="C857" s="387">
        <f t="shared" si="434"/>
        <v>12</v>
      </c>
      <c r="D857" s="339" t="s">
        <v>986</v>
      </c>
      <c r="H857" s="335"/>
      <c r="I857" s="336"/>
      <c r="J857" s="2578">
        <f t="shared" ref="J857:Q857" si="493">+J846-J847-J852-J853</f>
        <v>571.35</v>
      </c>
      <c r="K857" s="2578">
        <f t="shared" si="493"/>
        <v>644.70000000000005</v>
      </c>
      <c r="L857" s="2578">
        <f t="shared" si="493"/>
        <v>679.55</v>
      </c>
      <c r="M857" s="2578">
        <f t="shared" si="493"/>
        <v>732</v>
      </c>
      <c r="N857" s="2578">
        <f t="shared" si="493"/>
        <v>895.2</v>
      </c>
      <c r="O857" s="2578">
        <f t="shared" si="493"/>
        <v>1048.25</v>
      </c>
      <c r="P857" s="2578">
        <f t="shared" si="493"/>
        <v>1257.75</v>
      </c>
      <c r="Q857" s="2578">
        <f t="shared" si="493"/>
        <v>1369.45</v>
      </c>
      <c r="R857" s="2578">
        <f t="shared" ref="R857:AO857" si="494">+R846-R847-R852-R853</f>
        <v>1625.8</v>
      </c>
      <c r="S857" s="2578">
        <f t="shared" si="494"/>
        <v>2121.8000000000002</v>
      </c>
      <c r="T857" s="2578">
        <f t="shared" si="494"/>
        <v>2435.9</v>
      </c>
      <c r="U857" s="2578">
        <f t="shared" si="494"/>
        <v>2672.35</v>
      </c>
      <c r="V857" s="2228">
        <f t="shared" si="494"/>
        <v>2996.15</v>
      </c>
      <c r="W857" s="2228">
        <f t="shared" si="494"/>
        <v>3518.25</v>
      </c>
      <c r="X857" s="2228">
        <f t="shared" si="494"/>
        <v>7805.8213121428362</v>
      </c>
      <c r="Y857" s="2228">
        <f t="shared" si="494"/>
        <v>4162.1799275014337</v>
      </c>
      <c r="Z857" s="2228">
        <f t="shared" si="494"/>
        <v>4524.6511626038209</v>
      </c>
      <c r="AA857" s="2228">
        <f t="shared" si="494"/>
        <v>4947.2159224306561</v>
      </c>
      <c r="AB857" s="2228">
        <f t="shared" si="494"/>
        <v>5319.090137960432</v>
      </c>
      <c r="AC857" s="2228">
        <f t="shared" si="494"/>
        <v>5793.533545428274</v>
      </c>
      <c r="AD857" s="2228">
        <f t="shared" si="494"/>
        <v>6664.043657881175</v>
      </c>
      <c r="AE857" s="2228">
        <f t="shared" si="494"/>
        <v>5226.9052652475821</v>
      </c>
      <c r="AF857" s="2228">
        <f t="shared" si="494"/>
        <v>8355.2326704636253</v>
      </c>
      <c r="AG857" s="2228">
        <f t="shared" si="494"/>
        <v>10568.50101706864</v>
      </c>
      <c r="AH857" s="2228">
        <f t="shared" si="494"/>
        <v>12529.470010110159</v>
      </c>
      <c r="AI857" s="2228">
        <f>+AI846-AI847-AI852-AI853</f>
        <v>13946.154629769255</v>
      </c>
      <c r="AJ857" s="2282">
        <f t="shared" si="494"/>
        <v>15809.921368426287</v>
      </c>
      <c r="AK857" s="2228">
        <f t="shared" si="494"/>
        <v>18628.442172281251</v>
      </c>
      <c r="AL857" s="2228">
        <f t="shared" si="494"/>
        <v>20883.976188405955</v>
      </c>
      <c r="AM857" s="2228">
        <f t="shared" si="494"/>
        <v>23548.978655499865</v>
      </c>
      <c r="AN857" s="2228">
        <f t="shared" si="494"/>
        <v>26985.686332769343</v>
      </c>
      <c r="AO857" s="2228">
        <f t="shared" si="494"/>
        <v>30968.197141449597</v>
      </c>
      <c r="AP857" s="2228">
        <f>+AP846-AP847-AP852-AP853</f>
        <v>35261.315906730626</v>
      </c>
      <c r="AQ857" s="2228">
        <f>+AQ846-AQ847-AQ852-AQ853</f>
        <v>40577.895627405363</v>
      </c>
      <c r="AR857" s="2228">
        <f>+AR846-AR847-AR852-AR853</f>
        <v>46882.080275365639</v>
      </c>
      <c r="AS857" s="2228">
        <f>+AS846-AS847-AS852-AS853</f>
        <v>53019.883215477908</v>
      </c>
      <c r="AT857" s="2228">
        <f>+AT846-AT847-AT852-AT853</f>
        <v>58516.498591758864</v>
      </c>
      <c r="AU857" s="2228"/>
    </row>
    <row r="858" spans="1:47" ht="11.25" customHeight="1" thickBot="1">
      <c r="A858" s="295"/>
      <c r="B858" s="1"/>
      <c r="C858" s="387"/>
      <c r="D858" s="390" t="str">
        <f>+D872</f>
        <v>check NA discrepancies</v>
      </c>
      <c r="E858" s="3050"/>
      <c r="F858" s="349"/>
      <c r="G858" s="349"/>
      <c r="H858" s="393"/>
      <c r="I858" s="394"/>
      <c r="J858" s="393"/>
      <c r="K858" s="393"/>
      <c r="L858" s="350"/>
      <c r="M858" s="350"/>
      <c r="N858" s="350"/>
      <c r="O858" s="350"/>
      <c r="P858" s="350"/>
      <c r="Q858" s="350"/>
      <c r="R858" s="350"/>
      <c r="S858" s="350"/>
      <c r="T858" s="350"/>
      <c r="U858" s="350"/>
      <c r="V858" s="1287" t="str">
        <f>+IF(ABS(V846-V847-V852-V853-V857)&gt;0.1,"check","")</f>
        <v/>
      </c>
      <c r="W858" s="1287" t="str">
        <f t="shared" ref="W858:AO858" si="495">+IF(ABS(W846-W847-W852-W853-W857)&gt;0.1,"check","")</f>
        <v/>
      </c>
      <c r="X858" s="1287" t="str">
        <f t="shared" si="495"/>
        <v/>
      </c>
      <c r="Y858" s="1287" t="str">
        <f t="shared" si="495"/>
        <v/>
      </c>
      <c r="Z858" s="1287" t="str">
        <f t="shared" si="495"/>
        <v/>
      </c>
      <c r="AA858" s="1287" t="str">
        <f t="shared" si="495"/>
        <v/>
      </c>
      <c r="AB858" s="1287" t="str">
        <f t="shared" si="495"/>
        <v/>
      </c>
      <c r="AC858" s="1287" t="str">
        <f t="shared" si="495"/>
        <v/>
      </c>
      <c r="AD858" s="1287" t="str">
        <f t="shared" si="495"/>
        <v/>
      </c>
      <c r="AE858" s="1287" t="str">
        <f t="shared" si="495"/>
        <v/>
      </c>
      <c r="AF858" s="1287" t="str">
        <f>+IF(ABS(AF846-AF847-AF852-AF853-AF857)&gt;0.1,"check","")</f>
        <v/>
      </c>
      <c r="AG858" s="1287" t="str">
        <f t="shared" si="495"/>
        <v/>
      </c>
      <c r="AH858" s="1287" t="str">
        <f t="shared" si="495"/>
        <v/>
      </c>
      <c r="AI858" s="1287" t="str">
        <f t="shared" si="495"/>
        <v/>
      </c>
      <c r="AJ858" s="2285" t="str">
        <f t="shared" si="495"/>
        <v/>
      </c>
      <c r="AK858" s="1287" t="str">
        <f t="shared" si="495"/>
        <v/>
      </c>
      <c r="AL858" s="1287" t="str">
        <f t="shared" si="495"/>
        <v/>
      </c>
      <c r="AM858" s="1287" t="str">
        <f t="shared" si="495"/>
        <v/>
      </c>
      <c r="AN858" s="1287" t="str">
        <f t="shared" si="495"/>
        <v/>
      </c>
      <c r="AO858" s="1834" t="str">
        <f t="shared" si="495"/>
        <v/>
      </c>
      <c r="AP858" s="1834" t="str">
        <f>+IF(ABS(AP846-AP847-AP852-AP853-AP857)&gt;0.1,"check","")</f>
        <v/>
      </c>
      <c r="AQ858" s="1834" t="str">
        <f>+IF(ABS(AQ846-AQ847-AQ852-AQ853-AQ857)&gt;0.1,"check","")</f>
        <v/>
      </c>
      <c r="AR858" s="1834" t="str">
        <f>+IF(ABS(AR846-AR847-AR852-AR853-AR857)&gt;0.1,"check","")</f>
        <v/>
      </c>
      <c r="AS858" s="1834" t="str">
        <f>+IF(ABS(AS846-AS847-AS852-AS853-AS857)&gt;0.1,"check","")</f>
        <v/>
      </c>
      <c r="AT858" s="1834" t="str">
        <f>+IF(ABS(AT846-AT847-AT852-AT853-AT857)&gt;0.1,"check","")</f>
        <v/>
      </c>
    </row>
    <row r="859" spans="1:47" s="3768" customFormat="1" ht="20.25" customHeight="1" thickTop="1">
      <c r="A859" s="3767"/>
      <c r="C859" s="3769">
        <f>+C846</f>
        <v>1</v>
      </c>
      <c r="D859" s="3770" t="s">
        <v>1724</v>
      </c>
      <c r="E859" s="3771" t="s">
        <v>325</v>
      </c>
      <c r="F859" s="2014"/>
      <c r="G859" s="2014"/>
      <c r="H859" s="2014"/>
      <c r="I859" s="2014"/>
      <c r="J859" s="3772">
        <f t="shared" ref="J859:U859" si="496">+J762</f>
        <v>2065</v>
      </c>
      <c r="K859" s="3772">
        <f t="shared" si="496"/>
        <v>2238</v>
      </c>
      <c r="L859" s="3772">
        <f t="shared" si="496"/>
        <v>2428</v>
      </c>
      <c r="M859" s="3772">
        <f t="shared" si="496"/>
        <v>2748</v>
      </c>
      <c r="N859" s="3772">
        <f t="shared" si="496"/>
        <v>2809</v>
      </c>
      <c r="O859" s="3772">
        <f t="shared" si="496"/>
        <v>3018</v>
      </c>
      <c r="P859" s="3772">
        <f t="shared" si="496"/>
        <v>3301</v>
      </c>
      <c r="Q859" s="3772">
        <f t="shared" si="496"/>
        <v>5869</v>
      </c>
      <c r="R859" s="3772">
        <f t="shared" si="496"/>
        <v>6316</v>
      </c>
      <c r="S859" s="3772">
        <f t="shared" si="496"/>
        <v>7021</v>
      </c>
      <c r="T859" s="3772">
        <f t="shared" si="496"/>
        <v>7460</v>
      </c>
      <c r="U859" s="3772">
        <f t="shared" si="496"/>
        <v>8006</v>
      </c>
      <c r="V859" s="3772">
        <f t="shared" ref="V859:AI859" si="497">+V762</f>
        <v>8644</v>
      </c>
      <c r="W859" s="3773">
        <f t="shared" si="497"/>
        <v>9390</v>
      </c>
      <c r="X859" s="3773">
        <f t="shared" si="497"/>
        <v>9834</v>
      </c>
      <c r="Y859" s="3774">
        <f t="shared" si="497"/>
        <v>10392</v>
      </c>
      <c r="Z859" s="3775">
        <f t="shared" si="497"/>
        <v>11314</v>
      </c>
      <c r="AA859" s="3775">
        <f t="shared" si="497"/>
        <v>11954</v>
      </c>
      <c r="AB859" s="3775">
        <f t="shared" si="497"/>
        <v>12517</v>
      </c>
      <c r="AC859" s="3775">
        <f t="shared" si="497"/>
        <v>13527</v>
      </c>
      <c r="AD859" s="3775">
        <f t="shared" si="497"/>
        <v>14782</v>
      </c>
      <c r="AE859" s="3775">
        <f t="shared" si="497"/>
        <v>14372</v>
      </c>
      <c r="AF859" s="3775">
        <f t="shared" si="497"/>
        <v>15581</v>
      </c>
      <c r="AG859" s="3775">
        <f t="shared" si="497"/>
        <v>17111</v>
      </c>
      <c r="AH859" s="3775">
        <f t="shared" si="497"/>
        <v>18931</v>
      </c>
      <c r="AI859" s="3775">
        <f t="shared" si="497"/>
        <v>20228</v>
      </c>
      <c r="AJ859" s="3776">
        <f t="shared" ref="AJ859:AO859" si="498">+AJ833</f>
        <v>21466.193430623131</v>
      </c>
      <c r="AK859" s="3777">
        <f t="shared" si="498"/>
        <v>23261.296031387188</v>
      </c>
      <c r="AL859" s="3777">
        <f t="shared" si="498"/>
        <v>25341.974166436408</v>
      </c>
      <c r="AM859" s="3777">
        <f t="shared" si="498"/>
        <v>27492.822499158967</v>
      </c>
      <c r="AN859" s="3777">
        <f t="shared" si="498"/>
        <v>29674.327119907597</v>
      </c>
      <c r="AO859" s="3778">
        <f t="shared" si="498"/>
        <v>32154.119327666092</v>
      </c>
      <c r="AP859" s="3778">
        <f>+AP833</f>
        <v>34918.940057613378</v>
      </c>
      <c r="AQ859" s="3778">
        <f>+AQ833</f>
        <v>37950.455950119424</v>
      </c>
      <c r="AR859" s="3778">
        <f>+AR833</f>
        <v>41338.872433839286</v>
      </c>
      <c r="AS859" s="3778">
        <f>+AS833</f>
        <v>45108.390091671419</v>
      </c>
      <c r="AT859" s="3778">
        <f>+AT833</f>
        <v>49418.223936950606</v>
      </c>
    </row>
    <row r="860" spans="1:47">
      <c r="A860" s="295"/>
      <c r="B860" s="1"/>
      <c r="C860" s="387">
        <f t="shared" si="434"/>
        <v>2</v>
      </c>
      <c r="D860" s="339" t="str">
        <f t="shared" ref="D860:D871" si="499">+D874</f>
        <v xml:space="preserve">    Government</v>
      </c>
      <c r="J860" s="388">
        <f t="shared" ref="J860:U860" si="500">+J765</f>
        <v>266</v>
      </c>
      <c r="K860" s="388">
        <f t="shared" si="500"/>
        <v>277</v>
      </c>
      <c r="L860" s="388">
        <f t="shared" si="500"/>
        <v>303</v>
      </c>
      <c r="M860" s="388">
        <f t="shared" si="500"/>
        <v>345</v>
      </c>
      <c r="N860" s="388">
        <f t="shared" si="500"/>
        <v>386</v>
      </c>
      <c r="O860" s="388">
        <f t="shared" si="500"/>
        <v>423</v>
      </c>
      <c r="P860" s="388">
        <f t="shared" si="500"/>
        <v>463</v>
      </c>
      <c r="Q860" s="388">
        <f t="shared" si="500"/>
        <v>816</v>
      </c>
      <c r="R860" s="388">
        <f t="shared" si="500"/>
        <v>824</v>
      </c>
      <c r="S860" s="388">
        <f t="shared" si="500"/>
        <v>841</v>
      </c>
      <c r="T860" s="388">
        <f t="shared" si="500"/>
        <v>941</v>
      </c>
      <c r="U860" s="388">
        <f t="shared" si="500"/>
        <v>1039</v>
      </c>
      <c r="V860" s="388">
        <f t="shared" ref="V860:AA860" si="501">+V765</f>
        <v>1077</v>
      </c>
      <c r="W860" s="891">
        <f t="shared" si="501"/>
        <v>1247</v>
      </c>
      <c r="X860" s="891">
        <f t="shared" si="501"/>
        <v>1244</v>
      </c>
      <c r="Y860" s="891">
        <f t="shared" si="501"/>
        <v>1504</v>
      </c>
      <c r="Z860" s="891">
        <f t="shared" si="501"/>
        <v>1580</v>
      </c>
      <c r="AA860" s="891">
        <f t="shared" si="501"/>
        <v>1725</v>
      </c>
      <c r="AB860" s="891">
        <f t="shared" ref="AB860:AI860" si="502">+AB765</f>
        <v>1851</v>
      </c>
      <c r="AC860" s="891">
        <f t="shared" si="502"/>
        <v>1945</v>
      </c>
      <c r="AD860" s="891">
        <f t="shared" si="502"/>
        <v>2286</v>
      </c>
      <c r="AE860" s="891">
        <f t="shared" si="502"/>
        <v>2327</v>
      </c>
      <c r="AF860" s="891">
        <f t="shared" si="502"/>
        <v>2649</v>
      </c>
      <c r="AG860" s="891">
        <f t="shared" si="502"/>
        <v>2911</v>
      </c>
      <c r="AH860" s="891">
        <f t="shared" si="502"/>
        <v>2967</v>
      </c>
      <c r="AI860" s="891">
        <f t="shared" si="502"/>
        <v>3408</v>
      </c>
      <c r="AJ860" s="2283">
        <f t="shared" ref="AJ860:AO860" si="503">+AJ861+AJ862</f>
        <v>3655.4759807382015</v>
      </c>
      <c r="AK860" s="891">
        <f t="shared" si="503"/>
        <v>3676.7112584171959</v>
      </c>
      <c r="AL860" s="891">
        <f t="shared" si="503"/>
        <v>3924.6610609138183</v>
      </c>
      <c r="AM860" s="891">
        <f t="shared" si="503"/>
        <v>4146.2967862169062</v>
      </c>
      <c r="AN860" s="891">
        <f t="shared" si="503"/>
        <v>4372.044012834438</v>
      </c>
      <c r="AO860" s="1833">
        <f t="shared" si="503"/>
        <v>6680.6307262227692</v>
      </c>
      <c r="AP860" s="1833">
        <f>+AP861+AP862</f>
        <v>7023.4117484674935</v>
      </c>
      <c r="AQ860" s="1833">
        <f>+AQ861+AQ862</f>
        <v>7583.4592789566796</v>
      </c>
      <c r="AR860" s="1833">
        <f>+AR861+AR862</f>
        <v>8351.8608190864143</v>
      </c>
      <c r="AS860" s="1833">
        <f>+AS861+AS862</f>
        <v>9934.3069693595426</v>
      </c>
      <c r="AT860" s="1833">
        <f>+AT861+AT862</f>
        <v>12637.083276055591</v>
      </c>
    </row>
    <row r="861" spans="1:47">
      <c r="A861" s="295"/>
      <c r="B861" s="1"/>
      <c r="C861" s="387">
        <f t="shared" si="434"/>
        <v>3</v>
      </c>
      <c r="D861" s="396" t="str">
        <f t="shared" si="499"/>
        <v xml:space="preserve">      o/w: Govt wages (not explicit in NA) from BUDGET and Educ, Health wagebills</v>
      </c>
      <c r="E861" s="3044" t="s">
        <v>331</v>
      </c>
      <c r="J861" s="389">
        <f t="shared" ref="J861:U861" si="504">+J839</f>
        <v>151.15</v>
      </c>
      <c r="K861" s="389">
        <f t="shared" si="504"/>
        <v>161.80000000000001</v>
      </c>
      <c r="L861" s="389">
        <f t="shared" si="504"/>
        <v>169.9</v>
      </c>
      <c r="M861" s="389">
        <f t="shared" si="504"/>
        <v>181.35</v>
      </c>
      <c r="N861" s="389">
        <f t="shared" si="504"/>
        <v>189.05</v>
      </c>
      <c r="O861" s="389">
        <f t="shared" si="504"/>
        <v>197.15</v>
      </c>
      <c r="P861" s="389">
        <f t="shared" si="504"/>
        <v>208.35</v>
      </c>
      <c r="Q861" s="389">
        <f t="shared" si="504"/>
        <v>322.2</v>
      </c>
      <c r="R861" s="389">
        <f t="shared" si="504"/>
        <v>351.4</v>
      </c>
      <c r="S861" s="389">
        <f t="shared" si="504"/>
        <v>370.45</v>
      </c>
      <c r="T861" s="389">
        <f t="shared" si="504"/>
        <v>411.65</v>
      </c>
      <c r="U861" s="389">
        <f t="shared" si="504"/>
        <v>461.45</v>
      </c>
      <c r="V861" s="389">
        <f t="shared" ref="V861:AO861" si="505">+V839</f>
        <v>534.6</v>
      </c>
      <c r="W861" s="892">
        <f t="shared" si="505"/>
        <v>583.1</v>
      </c>
      <c r="X861" s="892">
        <f t="shared" si="505"/>
        <v>730.8806657284016</v>
      </c>
      <c r="Y861" s="892">
        <f t="shared" si="505"/>
        <v>481.07490186647937</v>
      </c>
      <c r="Z861" s="892">
        <f t="shared" si="505"/>
        <v>546.92690678358952</v>
      </c>
      <c r="AA861" s="892">
        <f t="shared" si="505"/>
        <v>573.37282391073904</v>
      </c>
      <c r="AB861" s="892">
        <f t="shared" si="505"/>
        <v>592.85059350748793</v>
      </c>
      <c r="AC861" s="892">
        <f t="shared" si="505"/>
        <v>611.91862531987942</v>
      </c>
      <c r="AD861" s="892">
        <f t="shared" si="505"/>
        <v>600.31615956066412</v>
      </c>
      <c r="AE861" s="892">
        <f t="shared" si="505"/>
        <v>317.41506873078993</v>
      </c>
      <c r="AF861" s="892">
        <f t="shared" si="505"/>
        <v>676.94668466625762</v>
      </c>
      <c r="AG861" s="892">
        <f t="shared" si="505"/>
        <v>727.76266819499676</v>
      </c>
      <c r="AH861" s="892">
        <f t="shared" si="505"/>
        <v>749.38482783853829</v>
      </c>
      <c r="AI861" s="892">
        <f t="shared" si="505"/>
        <v>878.37408846151436</v>
      </c>
      <c r="AJ861" s="2284">
        <f t="shared" si="505"/>
        <v>1192.2336190384588</v>
      </c>
      <c r="AK861" s="892">
        <f t="shared" si="505"/>
        <v>1272.3074093058349</v>
      </c>
      <c r="AL861" s="892">
        <f t="shared" si="505"/>
        <v>1333.4822262588846</v>
      </c>
      <c r="AM861" s="892">
        <f t="shared" si="505"/>
        <v>1398.1092294263533</v>
      </c>
      <c r="AN861" s="892">
        <f t="shared" si="505"/>
        <v>1443.2445706629055</v>
      </c>
      <c r="AO861" s="1833">
        <f t="shared" si="505"/>
        <v>1493.9742596615747</v>
      </c>
      <c r="AP861" s="1833">
        <f>+AP839</f>
        <v>1560.3648917212647</v>
      </c>
      <c r="AQ861" s="1833">
        <f>+AQ839</f>
        <v>1622.2288107677944</v>
      </c>
      <c r="AR861" s="1833">
        <f>+AR839</f>
        <v>1687.576478072343</v>
      </c>
      <c r="AS861" s="1833">
        <f>+AS839</f>
        <v>1837.0597091351574</v>
      </c>
      <c r="AT861" s="1833">
        <f>+AT839</f>
        <v>2166.0727629499138</v>
      </c>
    </row>
    <row r="862" spans="1:47">
      <c r="A862" s="295"/>
      <c r="B862" s="1"/>
      <c r="C862" s="387">
        <f t="shared" si="434"/>
        <v>4</v>
      </c>
      <c r="D862" s="396" t="str">
        <f t="shared" si="499"/>
        <v xml:space="preserve">                           goods and services from FISCAL</v>
      </c>
      <c r="J862" s="389">
        <f t="shared" ref="J862:U862" si="506">+J860-J861</f>
        <v>114.85</v>
      </c>
      <c r="K862" s="389">
        <f t="shared" si="506"/>
        <v>115.19999999999999</v>
      </c>
      <c r="L862" s="389">
        <f t="shared" si="506"/>
        <v>133.1</v>
      </c>
      <c r="M862" s="389">
        <f t="shared" si="506"/>
        <v>163.65</v>
      </c>
      <c r="N862" s="389">
        <f t="shared" si="506"/>
        <v>196.95</v>
      </c>
      <c r="O862" s="389">
        <f t="shared" si="506"/>
        <v>225.85</v>
      </c>
      <c r="P862" s="389">
        <f t="shared" si="506"/>
        <v>254.65</v>
      </c>
      <c r="Q862" s="389">
        <f t="shared" si="506"/>
        <v>493.8</v>
      </c>
      <c r="R862" s="389">
        <f t="shared" si="506"/>
        <v>472.6</v>
      </c>
      <c r="S862" s="389">
        <f t="shared" si="506"/>
        <v>470.55</v>
      </c>
      <c r="T862" s="389">
        <f t="shared" si="506"/>
        <v>529.35</v>
      </c>
      <c r="U862" s="389">
        <f t="shared" si="506"/>
        <v>577.54999999999995</v>
      </c>
      <c r="V862" s="389">
        <f t="shared" ref="V862:AA862" si="507">+V860-V861</f>
        <v>542.4</v>
      </c>
      <c r="W862" s="892">
        <f t="shared" si="507"/>
        <v>663.9</v>
      </c>
      <c r="X862" s="892">
        <f t="shared" si="507"/>
        <v>513.1193342715984</v>
      </c>
      <c r="Y862" s="892">
        <f t="shared" si="507"/>
        <v>1022.9250981335206</v>
      </c>
      <c r="Z862" s="892">
        <f t="shared" si="507"/>
        <v>1033.0730932164106</v>
      </c>
      <c r="AA862" s="892">
        <f t="shared" si="507"/>
        <v>1151.627176089261</v>
      </c>
      <c r="AB862" s="892">
        <f t="shared" ref="AB862:AI862" si="508">+AB860-AB861</f>
        <v>1258.1494064925121</v>
      </c>
      <c r="AC862" s="892">
        <f t="shared" si="508"/>
        <v>1333.0813746801205</v>
      </c>
      <c r="AD862" s="892">
        <f t="shared" si="508"/>
        <v>1685.6838404393359</v>
      </c>
      <c r="AE862" s="892">
        <f t="shared" si="508"/>
        <v>2009.5849312692101</v>
      </c>
      <c r="AF862" s="892">
        <f t="shared" si="508"/>
        <v>1972.0533153337424</v>
      </c>
      <c r="AG862" s="892">
        <f t="shared" si="508"/>
        <v>2183.2373318050031</v>
      </c>
      <c r="AH862" s="892">
        <f t="shared" si="508"/>
        <v>2217.6151721614615</v>
      </c>
      <c r="AI862" s="892">
        <f t="shared" si="508"/>
        <v>2529.6259115384855</v>
      </c>
      <c r="AJ862" s="2284">
        <f t="shared" ref="AJ862:AO862" si="509">+AJ876/AJ968*100</f>
        <v>2463.242361699743</v>
      </c>
      <c r="AK862" s="892">
        <f t="shared" si="509"/>
        <v>2404.4038491113611</v>
      </c>
      <c r="AL862" s="892">
        <f t="shared" si="509"/>
        <v>2591.1788346549338</v>
      </c>
      <c r="AM862" s="892">
        <f t="shared" si="509"/>
        <v>2748.1875567905531</v>
      </c>
      <c r="AN862" s="892">
        <f t="shared" si="509"/>
        <v>2928.7994421715325</v>
      </c>
      <c r="AO862" s="1833">
        <f t="shared" si="509"/>
        <v>5186.656466561195</v>
      </c>
      <c r="AP862" s="1833">
        <f>+AP876/AP968*100</f>
        <v>5463.0468567462285</v>
      </c>
      <c r="AQ862" s="1833">
        <f>+AQ876/AQ968*100</f>
        <v>5961.2304681888854</v>
      </c>
      <c r="AR862" s="1833">
        <f>+AR876/AR968*100</f>
        <v>6664.2843410140704</v>
      </c>
      <c r="AS862" s="1833">
        <f>+AS876/AS968*100</f>
        <v>8097.2472602243852</v>
      </c>
      <c r="AT862" s="1833">
        <f>+AT876/AT968*100</f>
        <v>10471.010513105677</v>
      </c>
    </row>
    <row r="863" spans="1:47">
      <c r="A863" s="295"/>
      <c r="B863" s="1"/>
      <c r="C863" s="387">
        <f t="shared" si="434"/>
        <v>5</v>
      </c>
      <c r="D863" s="1566" t="str">
        <f>+D877</f>
        <v xml:space="preserve">    Households and NGOs (residual)</v>
      </c>
      <c r="J863" s="388">
        <f t="shared" ref="J863:U863" si="510">+J766</f>
        <v>1829</v>
      </c>
      <c r="K863" s="388">
        <f t="shared" si="510"/>
        <v>2046</v>
      </c>
      <c r="L863" s="388">
        <f t="shared" si="510"/>
        <v>2136</v>
      </c>
      <c r="M863" s="388">
        <f t="shared" si="510"/>
        <v>2427</v>
      </c>
      <c r="N863" s="388">
        <f t="shared" si="510"/>
        <v>2318</v>
      </c>
      <c r="O863" s="388">
        <f t="shared" si="510"/>
        <v>2474</v>
      </c>
      <c r="P863" s="388">
        <f t="shared" si="510"/>
        <v>2689</v>
      </c>
      <c r="Q863" s="388">
        <f t="shared" si="510"/>
        <v>5390</v>
      </c>
      <c r="R863" s="388">
        <f t="shared" si="510"/>
        <v>5391</v>
      </c>
      <c r="S863" s="388">
        <f t="shared" si="510"/>
        <v>5780</v>
      </c>
      <c r="T863" s="388">
        <f t="shared" si="510"/>
        <v>6549</v>
      </c>
      <c r="U863" s="388">
        <f t="shared" si="510"/>
        <v>6842</v>
      </c>
      <c r="V863" s="388">
        <f t="shared" ref="V863:AA863" si="511">+V766</f>
        <v>7491</v>
      </c>
      <c r="W863" s="891">
        <f t="shared" si="511"/>
        <v>8152</v>
      </c>
      <c r="X863" s="891">
        <f t="shared" si="511"/>
        <v>8447</v>
      </c>
      <c r="Y863" s="891">
        <f t="shared" si="511"/>
        <v>9144</v>
      </c>
      <c r="Z863" s="891">
        <f t="shared" si="511"/>
        <v>10618</v>
      </c>
      <c r="AA863" s="891">
        <f t="shared" si="511"/>
        <v>11012</v>
      </c>
      <c r="AB863" s="891">
        <f t="shared" ref="AB863:AI863" si="512">+AB766</f>
        <v>10450</v>
      </c>
      <c r="AC863" s="891">
        <f t="shared" si="512"/>
        <v>11314</v>
      </c>
      <c r="AD863" s="891">
        <f t="shared" si="512"/>
        <v>11584</v>
      </c>
      <c r="AE863" s="891">
        <f t="shared" si="512"/>
        <v>12059</v>
      </c>
      <c r="AF863" s="891">
        <f t="shared" si="512"/>
        <v>12281</v>
      </c>
      <c r="AG863" s="891">
        <f t="shared" si="512"/>
        <v>11078</v>
      </c>
      <c r="AH863" s="891">
        <f t="shared" si="512"/>
        <v>12247</v>
      </c>
      <c r="AI863" s="891">
        <f t="shared" si="512"/>
        <v>12781</v>
      </c>
      <c r="AJ863" s="2283">
        <f>+AJ859-AJ860-AJ864-AJ869-AJ870+AJ871</f>
        <v>13045.644088488287</v>
      </c>
      <c r="AK863" s="891">
        <f t="shared" ref="AK863:AO863" si="513">+AK859-AK860-AK864-AK869-AK870+AK871</f>
        <v>14397.912190365512</v>
      </c>
      <c r="AL863" s="891">
        <f t="shared" si="513"/>
        <v>15603.757976816863</v>
      </c>
      <c r="AM863" s="891">
        <f t="shared" si="513"/>
        <v>16759.414121690003</v>
      </c>
      <c r="AN863" s="891">
        <f t="shared" si="513"/>
        <v>17877.661495296041</v>
      </c>
      <c r="AO863" s="1833">
        <f t="shared" si="513"/>
        <v>17933.329266863897</v>
      </c>
      <c r="AP863" s="1833">
        <f>+AP859-AP860-AP864-AP869-AP870+AP871</f>
        <v>20056.857639599912</v>
      </c>
      <c r="AQ863" s="1833">
        <f>+AQ859-AQ860-AQ864-AQ869-AQ870+AQ871</f>
        <v>22014.347986447174</v>
      </c>
      <c r="AR863" s="1833">
        <f>+AR859-AR860-AR864-AR869-AR870+AR871</f>
        <v>23967.425301349071</v>
      </c>
      <c r="AS863" s="1833">
        <f>+AS859-AS860-AS864-AS869-AS870+AS871</f>
        <v>25082.323324606237</v>
      </c>
      <c r="AT863" s="1833">
        <f>+AT859-AT860-AT864-AT869-AT870+AT871</f>
        <v>25251.719818336653</v>
      </c>
    </row>
    <row r="864" spans="1:47">
      <c r="A864" s="295"/>
      <c r="B864" s="1">
        <f>Z864/Z859</f>
        <v>0.29777267102704613</v>
      </c>
      <c r="C864" s="387">
        <f t="shared" si="434"/>
        <v>6</v>
      </c>
      <c r="D864" s="339" t="str">
        <f t="shared" si="499"/>
        <v xml:space="preserve">    Gross fixed capital formation </v>
      </c>
      <c r="J864" s="388">
        <f t="shared" ref="J864:P864" si="514">+J769</f>
        <v>241</v>
      </c>
      <c r="K864" s="388">
        <f t="shared" si="514"/>
        <v>282</v>
      </c>
      <c r="L864" s="388">
        <f t="shared" si="514"/>
        <v>282</v>
      </c>
      <c r="M864" s="388">
        <f t="shared" si="514"/>
        <v>304</v>
      </c>
      <c r="N864" s="388">
        <f t="shared" si="514"/>
        <v>334</v>
      </c>
      <c r="O864" s="388">
        <f t="shared" si="514"/>
        <v>373</v>
      </c>
      <c r="P864" s="388">
        <f t="shared" si="514"/>
        <v>433</v>
      </c>
      <c r="Q864" s="388">
        <f>+Q768</f>
        <v>1024</v>
      </c>
      <c r="R864" s="388">
        <f>+R768</f>
        <v>1298</v>
      </c>
      <c r="S864" s="388">
        <f t="shared" ref="S864:AI864" si="515">+S768</f>
        <v>1711</v>
      </c>
      <c r="T864" s="388">
        <f t="shared" si="515"/>
        <v>1758</v>
      </c>
      <c r="U864" s="388">
        <f t="shared" si="515"/>
        <v>1885</v>
      </c>
      <c r="V864" s="388">
        <f t="shared" si="515"/>
        <v>2059</v>
      </c>
      <c r="W864" s="388">
        <f t="shared" si="515"/>
        <v>2517</v>
      </c>
      <c r="X864" s="388">
        <f t="shared" si="515"/>
        <v>2709</v>
      </c>
      <c r="Y864" s="388">
        <f t="shared" si="515"/>
        <v>2858</v>
      </c>
      <c r="Z864" s="388">
        <f t="shared" si="515"/>
        <v>3369</v>
      </c>
      <c r="AA864" s="388">
        <f t="shared" si="515"/>
        <v>3655</v>
      </c>
      <c r="AB864" s="388">
        <f t="shared" si="515"/>
        <v>3530</v>
      </c>
      <c r="AC864" s="388">
        <f t="shared" si="515"/>
        <v>3682</v>
      </c>
      <c r="AD864" s="388">
        <f t="shared" si="515"/>
        <v>4828</v>
      </c>
      <c r="AE864" s="388">
        <f t="shared" si="515"/>
        <v>4191</v>
      </c>
      <c r="AF864" s="388">
        <f t="shared" si="515"/>
        <v>4985</v>
      </c>
      <c r="AG864" s="388">
        <f t="shared" si="515"/>
        <v>5805</v>
      </c>
      <c r="AH864" s="388">
        <f t="shared" si="515"/>
        <v>7233</v>
      </c>
      <c r="AI864" s="388">
        <f t="shared" si="515"/>
        <v>6978</v>
      </c>
      <c r="AJ864" s="2283">
        <f t="shared" ref="AJ864:AT864" si="516">+AJ865+AJ866</f>
        <v>7772.2621477707926</v>
      </c>
      <c r="AK864" s="891">
        <f t="shared" si="516"/>
        <v>8998.8160313278058</v>
      </c>
      <c r="AL864" s="891">
        <f t="shared" si="516"/>
        <v>9866.7814835142381</v>
      </c>
      <c r="AM864" s="891">
        <f t="shared" si="516"/>
        <v>10019.147771206392</v>
      </c>
      <c r="AN864" s="891">
        <f t="shared" si="516"/>
        <v>10631.634286217657</v>
      </c>
      <c r="AO864" s="1836">
        <f t="shared" si="516"/>
        <v>10786.474035100731</v>
      </c>
      <c r="AP864" s="1836">
        <f t="shared" si="516"/>
        <v>11145.381690705977</v>
      </c>
      <c r="AQ864" s="1836">
        <f t="shared" si="516"/>
        <v>11614.814575334856</v>
      </c>
      <c r="AR864" s="1836">
        <f t="shared" si="516"/>
        <v>12239.139020034403</v>
      </c>
      <c r="AS864" s="1836">
        <f t="shared" si="516"/>
        <v>13198.561726030261</v>
      </c>
      <c r="AT864" s="1836">
        <f t="shared" si="516"/>
        <v>14543.98347215202</v>
      </c>
    </row>
    <row r="865" spans="1:232">
      <c r="A865" s="295"/>
      <c r="B865" s="1"/>
      <c r="C865" s="387">
        <f t="shared" si="434"/>
        <v>7</v>
      </c>
      <c r="D865" s="339" t="str">
        <f t="shared" si="499"/>
        <v xml:space="preserve">         Government  (from FISCAL)</v>
      </c>
      <c r="J865" s="389">
        <f t="shared" ref="J865:AO865" si="517">+J737</f>
        <v>129.72902595625001</v>
      </c>
      <c r="K865" s="389">
        <f t="shared" si="517"/>
        <v>133.36549013464287</v>
      </c>
      <c r="L865" s="389">
        <f t="shared" si="517"/>
        <v>108.462796875</v>
      </c>
      <c r="M865" s="389">
        <f t="shared" si="517"/>
        <v>107.79245192307694</v>
      </c>
      <c r="N865" s="389">
        <f t="shared" si="517"/>
        <v>100.58066666666667</v>
      </c>
      <c r="O865" s="389">
        <f t="shared" si="517"/>
        <v>114.78087472641509</v>
      </c>
      <c r="P865" s="389">
        <f t="shared" si="517"/>
        <v>141.0142655338816</v>
      </c>
      <c r="Q865" s="389">
        <f t="shared" si="517"/>
        <v>349.2889097283491</v>
      </c>
      <c r="R865" s="389">
        <f t="shared" si="517"/>
        <v>417.58713136729222</v>
      </c>
      <c r="S865" s="389">
        <f t="shared" si="517"/>
        <v>524.85985537190072</v>
      </c>
      <c r="T865" s="389">
        <f t="shared" si="517"/>
        <v>606.15995575221245</v>
      </c>
      <c r="U865" s="389">
        <f t="shared" si="517"/>
        <v>564.77103810689164</v>
      </c>
      <c r="V865" s="389">
        <f t="shared" si="517"/>
        <v>627.99364653729822</v>
      </c>
      <c r="W865" s="892">
        <f t="shared" si="517"/>
        <v>785.69003015989551</v>
      </c>
      <c r="X865" s="892">
        <f t="shared" si="517"/>
        <v>957.86198779404822</v>
      </c>
      <c r="Y865" s="892">
        <f t="shared" si="517"/>
        <v>1173.0063873050199</v>
      </c>
      <c r="Z865" s="892">
        <f t="shared" si="517"/>
        <v>1205.4815469555572</v>
      </c>
      <c r="AA865" s="892">
        <f t="shared" si="517"/>
        <v>1087.2093777587766</v>
      </c>
      <c r="AB865" s="892">
        <f t="shared" si="517"/>
        <v>1068.9626452077973</v>
      </c>
      <c r="AC865" s="892">
        <f t="shared" si="517"/>
        <v>1678.6777338697568</v>
      </c>
      <c r="AD865" s="892">
        <f t="shared" si="517"/>
        <v>1947.0706844971432</v>
      </c>
      <c r="AE865" s="892">
        <f t="shared" si="517"/>
        <v>2280.111972819428</v>
      </c>
      <c r="AF865" s="892">
        <f t="shared" si="517"/>
        <v>1503.4908923586943</v>
      </c>
      <c r="AG865" s="892">
        <f t="shared" si="517"/>
        <v>1420.292526124671</v>
      </c>
      <c r="AH865" s="892">
        <f>+AH737</f>
        <v>1470.6234197079489</v>
      </c>
      <c r="AI865" s="892">
        <f>+AI737</f>
        <v>1466.1874898494011</v>
      </c>
      <c r="AJ865" s="2284">
        <f t="shared" si="517"/>
        <v>1481.9592115422224</v>
      </c>
      <c r="AK865" s="892">
        <f t="shared" si="517"/>
        <v>1565.8160544419466</v>
      </c>
      <c r="AL865" s="892">
        <f t="shared" si="517"/>
        <v>1765.3838150335087</v>
      </c>
      <c r="AM865" s="892">
        <f t="shared" si="517"/>
        <v>1949.6897605545207</v>
      </c>
      <c r="AN865" s="892">
        <f t="shared" si="517"/>
        <v>2106.2376249298277</v>
      </c>
      <c r="AO865" s="1833">
        <f t="shared" si="517"/>
        <v>2186.7687050991476</v>
      </c>
      <c r="AP865" s="1833">
        <f>+AP737</f>
        <v>2323.5864826446204</v>
      </c>
      <c r="AQ865" s="1833">
        <f>+AQ737</f>
        <v>2548.0667053103894</v>
      </c>
      <c r="AR865" s="1833">
        <f>+AR737</f>
        <v>2903.8212453979049</v>
      </c>
      <c r="AS865" s="1833">
        <f>+AS737</f>
        <v>3567.6429887372137</v>
      </c>
      <c r="AT865" s="1833">
        <f>+AT737</f>
        <v>4588.8894669842966</v>
      </c>
    </row>
    <row r="866" spans="1:232">
      <c r="A866" s="295"/>
      <c r="B866" s="1"/>
      <c r="C866" s="387">
        <f t="shared" si="434"/>
        <v>8</v>
      </c>
      <c r="D866" s="1256" t="s">
        <v>1265</v>
      </c>
      <c r="J866" s="389">
        <f t="shared" ref="J866:AO866" si="518">+J741</f>
        <v>-129.72902595625001</v>
      </c>
      <c r="K866" s="389">
        <f t="shared" si="518"/>
        <v>-133.36549013464287</v>
      </c>
      <c r="L866" s="389">
        <f t="shared" si="518"/>
        <v>-108.462796875</v>
      </c>
      <c r="M866" s="389">
        <f t="shared" si="518"/>
        <v>-107.79245192307694</v>
      </c>
      <c r="N866" s="389">
        <f t="shared" si="518"/>
        <v>-100.58066666666667</v>
      </c>
      <c r="O866" s="389">
        <f t="shared" si="518"/>
        <v>-114.78087472641509</v>
      </c>
      <c r="P866" s="389">
        <f t="shared" si="518"/>
        <v>-141.0142655338816</v>
      </c>
      <c r="Q866" s="389">
        <f t="shared" si="518"/>
        <v>674.71109027165096</v>
      </c>
      <c r="R866" s="389">
        <f t="shared" si="518"/>
        <v>880.41286863270773</v>
      </c>
      <c r="S866" s="389">
        <f t="shared" si="518"/>
        <v>1186.1401446280991</v>
      </c>
      <c r="T866" s="389">
        <f t="shared" si="518"/>
        <v>1151.8400442477875</v>
      </c>
      <c r="U866" s="389">
        <f t="shared" si="518"/>
        <v>1320.2289618931084</v>
      </c>
      <c r="V866" s="389">
        <f t="shared" si="518"/>
        <v>1431.0063534627018</v>
      </c>
      <c r="W866" s="892">
        <f t="shared" si="518"/>
        <v>1731.3099698401043</v>
      </c>
      <c r="X866" s="892">
        <f t="shared" si="518"/>
        <v>1751.1380122059518</v>
      </c>
      <c r="Y866" s="892">
        <f t="shared" si="518"/>
        <v>1684.9936126949799</v>
      </c>
      <c r="Z866" s="892">
        <f t="shared" si="518"/>
        <v>2163.5184530444435</v>
      </c>
      <c r="AA866" s="892">
        <f t="shared" si="518"/>
        <v>2567.7906222412239</v>
      </c>
      <c r="AB866" s="892">
        <f t="shared" si="518"/>
        <v>2461.0373547922022</v>
      </c>
      <c r="AC866" s="892">
        <f t="shared" si="518"/>
        <v>2003.3222661302432</v>
      </c>
      <c r="AD866" s="892">
        <f t="shared" si="518"/>
        <v>2880.9293155028572</v>
      </c>
      <c r="AE866" s="892">
        <f t="shared" si="518"/>
        <v>1910.8880271805717</v>
      </c>
      <c r="AF866" s="892">
        <f t="shared" si="518"/>
        <v>3481.5091076413055</v>
      </c>
      <c r="AG866" s="892">
        <f t="shared" si="518"/>
        <v>4384.707473875329</v>
      </c>
      <c r="AH866" s="892">
        <f>+AH741</f>
        <v>5762.3765802920507</v>
      </c>
      <c r="AI866" s="892">
        <f>+AI741</f>
        <v>5511.8125101505984</v>
      </c>
      <c r="AJ866" s="2284">
        <f t="shared" si="518"/>
        <v>6290.3029362285697</v>
      </c>
      <c r="AK866" s="892">
        <f t="shared" si="518"/>
        <v>7432.9999768858597</v>
      </c>
      <c r="AL866" s="892">
        <f t="shared" si="518"/>
        <v>8101.3976684807303</v>
      </c>
      <c r="AM866" s="892">
        <f t="shared" si="518"/>
        <v>8069.4580106518706</v>
      </c>
      <c r="AN866" s="892">
        <f t="shared" si="518"/>
        <v>8525.3966612878285</v>
      </c>
      <c r="AO866" s="1833">
        <f t="shared" si="518"/>
        <v>8599.7053300015832</v>
      </c>
      <c r="AP866" s="1833">
        <f>+AP741</f>
        <v>8821.7952080613577</v>
      </c>
      <c r="AQ866" s="1833">
        <f>+AQ741</f>
        <v>9066.7478700244665</v>
      </c>
      <c r="AR866" s="1833">
        <f>+AR741</f>
        <v>9335.3177746364981</v>
      </c>
      <c r="AS866" s="1833">
        <f>+AS741</f>
        <v>9630.9187372930464</v>
      </c>
      <c r="AT866" s="1833">
        <f>+AT741</f>
        <v>9955.0940051677226</v>
      </c>
    </row>
    <row r="867" spans="1:232">
      <c r="A867" s="295"/>
      <c r="B867" s="1"/>
      <c r="C867" s="387">
        <f t="shared" si="434"/>
        <v>9</v>
      </c>
      <c r="D867" s="339" t="str">
        <f t="shared" si="499"/>
        <v xml:space="preserve">      Construction</v>
      </c>
      <c r="J867" s="388">
        <f t="shared" ref="J867:U867" si="519">+J770</f>
        <v>164</v>
      </c>
      <c r="K867" s="388">
        <f t="shared" si="519"/>
        <v>170</v>
      </c>
      <c r="L867" s="388">
        <f t="shared" si="519"/>
        <v>189</v>
      </c>
      <c r="M867" s="388">
        <f t="shared" si="519"/>
        <v>199</v>
      </c>
      <c r="N867" s="388">
        <f t="shared" si="519"/>
        <v>223</v>
      </c>
      <c r="O867" s="388">
        <f t="shared" si="519"/>
        <v>279</v>
      </c>
      <c r="P867" s="388">
        <f t="shared" si="519"/>
        <v>314</v>
      </c>
      <c r="Q867" s="388">
        <f t="shared" si="519"/>
        <v>639</v>
      </c>
      <c r="R867" s="388">
        <f t="shared" si="519"/>
        <v>740</v>
      </c>
      <c r="S867" s="388">
        <f t="shared" si="519"/>
        <v>956</v>
      </c>
      <c r="T867" s="388">
        <f t="shared" si="519"/>
        <v>969</v>
      </c>
      <c r="U867" s="388">
        <f t="shared" si="519"/>
        <v>1057</v>
      </c>
      <c r="V867" s="388">
        <f t="shared" ref="V867:Y868" si="520">+V770</f>
        <v>1317</v>
      </c>
      <c r="W867" s="891">
        <f t="shared" si="520"/>
        <v>1519</v>
      </c>
      <c r="X867" s="891">
        <f t="shared" si="520"/>
        <v>1691</v>
      </c>
      <c r="Y867" s="891">
        <f t="shared" si="520"/>
        <v>1778</v>
      </c>
      <c r="Z867" s="891">
        <f t="shared" ref="Z867:AF868" si="521">+Z770</f>
        <v>2057</v>
      </c>
      <c r="AA867" s="891">
        <f t="shared" si="521"/>
        <v>2109</v>
      </c>
      <c r="AB867" s="891">
        <f t="shared" si="521"/>
        <v>1898</v>
      </c>
      <c r="AC867" s="891">
        <f t="shared" si="521"/>
        <v>1986</v>
      </c>
      <c r="AD867" s="891">
        <f t="shared" si="521"/>
        <v>2634</v>
      </c>
      <c r="AE867" s="891">
        <f t="shared" si="521"/>
        <v>2486</v>
      </c>
      <c r="AF867" s="891">
        <f t="shared" si="521"/>
        <v>2858</v>
      </c>
      <c r="AG867" s="891">
        <f t="shared" ref="AG867" si="522">+AG770</f>
        <v>3806</v>
      </c>
      <c r="AH867" s="891">
        <f t="shared" ref="AH867:AI868" si="523">+AH770</f>
        <v>4412</v>
      </c>
      <c r="AI867" s="891">
        <f t="shared" si="523"/>
        <v>4472</v>
      </c>
      <c r="AJ867" s="891"/>
      <c r="AK867" s="1"/>
      <c r="AL867" s="1"/>
      <c r="AM867" s="1"/>
      <c r="AN867" s="1"/>
      <c r="AO867" s="1"/>
      <c r="AP867" s="1"/>
      <c r="AQ867" s="1"/>
      <c r="AR867" s="1"/>
      <c r="AS867" s="1"/>
      <c r="AT867" s="1"/>
    </row>
    <row r="868" spans="1:232">
      <c r="A868" s="295"/>
      <c r="B868" s="1"/>
      <c r="C868" s="387">
        <f t="shared" si="434"/>
        <v>10</v>
      </c>
      <c r="D868" s="339" t="str">
        <f t="shared" si="499"/>
        <v xml:space="preserve">      Other</v>
      </c>
      <c r="J868" s="388">
        <f t="shared" ref="J868:U868" si="524">+J771</f>
        <v>78</v>
      </c>
      <c r="K868" s="388">
        <f t="shared" si="524"/>
        <v>111</v>
      </c>
      <c r="L868" s="388">
        <f t="shared" si="524"/>
        <v>93</v>
      </c>
      <c r="M868" s="388">
        <f t="shared" si="524"/>
        <v>104</v>
      </c>
      <c r="N868" s="388">
        <f t="shared" si="524"/>
        <v>111</v>
      </c>
      <c r="O868" s="388">
        <f t="shared" si="524"/>
        <v>95</v>
      </c>
      <c r="P868" s="388">
        <f t="shared" si="524"/>
        <v>120</v>
      </c>
      <c r="Q868" s="388">
        <f t="shared" si="524"/>
        <v>213</v>
      </c>
      <c r="R868" s="388">
        <f t="shared" si="524"/>
        <v>336</v>
      </c>
      <c r="S868" s="388">
        <f t="shared" si="524"/>
        <v>465</v>
      </c>
      <c r="T868" s="388">
        <f t="shared" si="524"/>
        <v>486</v>
      </c>
      <c r="U868" s="388">
        <f t="shared" si="524"/>
        <v>504</v>
      </c>
      <c r="V868" s="388">
        <f t="shared" si="520"/>
        <v>425</v>
      </c>
      <c r="W868" s="891">
        <f t="shared" si="520"/>
        <v>583</v>
      </c>
      <c r="X868" s="891">
        <f t="shared" si="520"/>
        <v>574</v>
      </c>
      <c r="Y868" s="891">
        <f t="shared" si="520"/>
        <v>592</v>
      </c>
      <c r="Z868" s="891">
        <f t="shared" si="521"/>
        <v>767</v>
      </c>
      <c r="AA868" s="891">
        <f t="shared" si="521"/>
        <v>964</v>
      </c>
      <c r="AB868" s="891">
        <f t="shared" si="521"/>
        <v>968</v>
      </c>
      <c r="AC868" s="891">
        <f t="shared" si="521"/>
        <v>1024</v>
      </c>
      <c r="AD868" s="891">
        <f t="shared" si="521"/>
        <v>1324</v>
      </c>
      <c r="AE868" s="891">
        <f t="shared" si="521"/>
        <v>1108</v>
      </c>
      <c r="AF868" s="891">
        <f t="shared" si="521"/>
        <v>2124</v>
      </c>
      <c r="AG868" s="891">
        <f t="shared" ref="AG868" si="525">+AG771</f>
        <v>2000</v>
      </c>
      <c r="AH868" s="891">
        <f t="shared" si="523"/>
        <v>2819</v>
      </c>
      <c r="AI868" s="891">
        <f t="shared" si="523"/>
        <v>2505</v>
      </c>
      <c r="AJ868" s="2283"/>
      <c r="AK868" s="1"/>
      <c r="AL868" s="1"/>
      <c r="AM868" s="1"/>
      <c r="AN868" s="1"/>
      <c r="AO868" s="1"/>
      <c r="AP868" s="1"/>
      <c r="AQ868" s="1"/>
      <c r="AR868" s="1"/>
      <c r="AS868" s="1"/>
      <c r="AT868" s="1"/>
    </row>
    <row r="869" spans="1:232">
      <c r="A869" s="295"/>
      <c r="B869" s="1"/>
      <c r="C869" s="387">
        <f t="shared" si="434"/>
        <v>11</v>
      </c>
      <c r="D869" s="339" t="s">
        <v>985</v>
      </c>
      <c r="U869"/>
      <c r="W869"/>
      <c r="X869"/>
      <c r="Y869"/>
      <c r="Z869"/>
      <c r="AA869"/>
      <c r="AB869"/>
      <c r="AC869"/>
      <c r="AD869"/>
      <c r="AE869"/>
      <c r="AF869"/>
      <c r="AG869"/>
      <c r="AH869"/>
      <c r="AI869"/>
      <c r="AJ869" s="1"/>
      <c r="AK869" s="1"/>
      <c r="AL869" s="1"/>
      <c r="AM869" s="1"/>
      <c r="AN869" s="1"/>
      <c r="AO869" s="1"/>
      <c r="AP869" s="1"/>
      <c r="AQ869" s="1"/>
      <c r="AR869" s="1"/>
      <c r="AS869" s="1"/>
      <c r="AT869" s="1"/>
    </row>
    <row r="870" spans="1:232">
      <c r="A870" s="295"/>
      <c r="B870" s="1"/>
      <c r="C870" s="387">
        <f t="shared" si="434"/>
        <v>12</v>
      </c>
      <c r="D870" s="339" t="str">
        <f t="shared" si="499"/>
        <v xml:space="preserve">    Exports of goods &amp; services (excl. indirect taxes) (from BOP)</v>
      </c>
      <c r="J870" s="388">
        <f t="shared" ref="J870:U870" si="526">+J775</f>
        <v>151</v>
      </c>
      <c r="K870" s="388">
        <f t="shared" si="526"/>
        <v>152</v>
      </c>
      <c r="L870" s="388">
        <f t="shared" si="526"/>
        <v>212</v>
      </c>
      <c r="M870" s="388">
        <f t="shared" si="526"/>
        <v>223</v>
      </c>
      <c r="N870" s="388">
        <f t="shared" si="526"/>
        <v>268</v>
      </c>
      <c r="O870" s="388">
        <f t="shared" si="526"/>
        <v>353</v>
      </c>
      <c r="P870" s="388">
        <f t="shared" si="526"/>
        <v>393</v>
      </c>
      <c r="Q870" s="388">
        <f t="shared" si="526"/>
        <v>504</v>
      </c>
      <c r="R870" s="388">
        <f t="shared" si="526"/>
        <v>726</v>
      </c>
      <c r="S870" s="388">
        <f t="shared" si="526"/>
        <v>641</v>
      </c>
      <c r="T870" s="388">
        <f t="shared" si="526"/>
        <v>621</v>
      </c>
      <c r="U870" s="388">
        <f t="shared" si="526"/>
        <v>673</v>
      </c>
      <c r="V870" s="388">
        <f t="shared" ref="V870:AA870" si="527">+V775</f>
        <v>832</v>
      </c>
      <c r="W870" s="891">
        <f t="shared" si="527"/>
        <v>906</v>
      </c>
      <c r="X870" s="891">
        <f t="shared" si="527"/>
        <v>1076</v>
      </c>
      <c r="Y870" s="891">
        <f t="shared" si="527"/>
        <v>1156</v>
      </c>
      <c r="Z870" s="891">
        <f t="shared" si="527"/>
        <v>1229</v>
      </c>
      <c r="AA870" s="891">
        <f t="shared" si="527"/>
        <v>1387</v>
      </c>
      <c r="AB870" s="891">
        <f t="shared" ref="AB870:AH870" si="528">+AB775</f>
        <v>1968</v>
      </c>
      <c r="AC870" s="891">
        <f t="shared" si="528"/>
        <v>2182</v>
      </c>
      <c r="AD870" s="891">
        <f t="shared" si="528"/>
        <v>2616</v>
      </c>
      <c r="AE870" s="891">
        <f t="shared" si="528"/>
        <v>2365</v>
      </c>
      <c r="AF870" s="891">
        <f t="shared" si="528"/>
        <v>2422</v>
      </c>
      <c r="AG870" s="891">
        <f t="shared" si="528"/>
        <v>3835</v>
      </c>
      <c r="AH870" s="891">
        <f t="shared" si="528"/>
        <v>4776</v>
      </c>
      <c r="AI870" s="891">
        <f>+AI775</f>
        <v>5650</v>
      </c>
      <c r="AJ870" s="2283">
        <f t="shared" ref="AJ870:AO871" si="529">+AJ884/AJ982*100</f>
        <v>5621.3617799098129</v>
      </c>
      <c r="AK870" s="891">
        <f>+AK884/AK982*100</f>
        <v>6292.3920466350082</v>
      </c>
      <c r="AL870" s="891">
        <f t="shared" si="529"/>
        <v>6774.5503779100527</v>
      </c>
      <c r="AM870" s="891">
        <f t="shared" si="529"/>
        <v>7228.3642923788339</v>
      </c>
      <c r="AN870" s="891">
        <f t="shared" si="529"/>
        <v>7527.9316114870753</v>
      </c>
      <c r="AO870" s="3731">
        <f t="shared" si="529"/>
        <v>7971.0347566543742</v>
      </c>
      <c r="AP870" s="1837">
        <f t="shared" ref="AP870:AT871" si="530">+AP884/AP982*100</f>
        <v>8540.0828677626723</v>
      </c>
      <c r="AQ870" s="1837">
        <f t="shared" si="530"/>
        <v>9135.0305912302665</v>
      </c>
      <c r="AR870" s="1837">
        <f t="shared" si="530"/>
        <v>9786.2203592096557</v>
      </c>
      <c r="AS870" s="1837">
        <f t="shared" si="530"/>
        <v>10499.582211336879</v>
      </c>
      <c r="AT870" s="1837">
        <f t="shared" si="530"/>
        <v>11281.639966428114</v>
      </c>
    </row>
    <row r="871" spans="1:232">
      <c r="A871" s="295"/>
      <c r="B871" s="1"/>
      <c r="C871" s="387">
        <f t="shared" si="434"/>
        <v>13</v>
      </c>
      <c r="D871" s="339" t="str">
        <f t="shared" si="499"/>
        <v xml:space="preserve">    Imports of goods &amp; services (excl. indirect taxes) (from BOP)</v>
      </c>
      <c r="J871" s="388">
        <f t="shared" ref="J871:U871" si="531">+J778</f>
        <v>422</v>
      </c>
      <c r="K871" s="388">
        <f t="shared" si="531"/>
        <v>525</v>
      </c>
      <c r="L871" s="388">
        <f t="shared" si="531"/>
        <v>498</v>
      </c>
      <c r="M871" s="388">
        <f t="shared" si="531"/>
        <v>544</v>
      </c>
      <c r="N871" s="388">
        <f t="shared" si="531"/>
        <v>476</v>
      </c>
      <c r="O871" s="388">
        <f t="shared" si="531"/>
        <v>576</v>
      </c>
      <c r="P871" s="388">
        <f t="shared" si="531"/>
        <v>644</v>
      </c>
      <c r="Q871" s="388">
        <f t="shared" si="531"/>
        <v>1669</v>
      </c>
      <c r="R871" s="388">
        <f t="shared" si="531"/>
        <v>1879</v>
      </c>
      <c r="S871" s="388">
        <f t="shared" si="531"/>
        <v>1827</v>
      </c>
      <c r="T871" s="388">
        <f t="shared" si="531"/>
        <v>2142</v>
      </c>
      <c r="U871" s="388">
        <f t="shared" si="531"/>
        <v>2192</v>
      </c>
      <c r="V871" s="388">
        <f t="shared" ref="V871:AA871" si="532">+V778</f>
        <v>2582</v>
      </c>
      <c r="W871" s="891">
        <f t="shared" si="532"/>
        <v>3065</v>
      </c>
      <c r="X871" s="891">
        <f t="shared" si="532"/>
        <v>3342</v>
      </c>
      <c r="Y871" s="891">
        <f t="shared" si="532"/>
        <v>3830</v>
      </c>
      <c r="Z871" s="891">
        <f t="shared" si="532"/>
        <v>4713</v>
      </c>
      <c r="AA871" s="891">
        <f t="shared" si="532"/>
        <v>5071</v>
      </c>
      <c r="AB871" s="891">
        <f t="shared" ref="AB871:AH871" si="533">+AB778</f>
        <v>5363</v>
      </c>
      <c r="AC871" s="891">
        <f t="shared" si="533"/>
        <v>5788</v>
      </c>
      <c r="AD871" s="891">
        <f t="shared" si="533"/>
        <v>6827</v>
      </c>
      <c r="AE871" s="891">
        <f t="shared" si="533"/>
        <v>6577</v>
      </c>
      <c r="AF871" s="891">
        <f t="shared" si="533"/>
        <v>6755</v>
      </c>
      <c r="AG871" s="891">
        <f t="shared" si="533"/>
        <v>6518</v>
      </c>
      <c r="AH871" s="891">
        <f t="shared" si="533"/>
        <v>8289</v>
      </c>
      <c r="AI871" s="891">
        <f>+AI778</f>
        <v>8588</v>
      </c>
      <c r="AJ871" s="2283">
        <f t="shared" si="529"/>
        <v>8628.550566283966</v>
      </c>
      <c r="AK871" s="891">
        <f t="shared" si="529"/>
        <v>10104.535495358334</v>
      </c>
      <c r="AL871" s="891">
        <f t="shared" si="529"/>
        <v>10827.776732718565</v>
      </c>
      <c r="AM871" s="891">
        <f t="shared" si="529"/>
        <v>10660.400472333169</v>
      </c>
      <c r="AN871" s="891">
        <f t="shared" si="529"/>
        <v>10734.944285927613</v>
      </c>
      <c r="AO871" s="3731">
        <f t="shared" si="529"/>
        <v>11217.349457175682</v>
      </c>
      <c r="AP871" s="1837">
        <f t="shared" si="530"/>
        <v>11846.793888922675</v>
      </c>
      <c r="AQ871" s="1837">
        <f t="shared" si="530"/>
        <v>12397.196481849556</v>
      </c>
      <c r="AR871" s="1837">
        <f t="shared" si="530"/>
        <v>13005.773065840254</v>
      </c>
      <c r="AS871" s="1837">
        <f t="shared" si="530"/>
        <v>13606.384139661503</v>
      </c>
      <c r="AT871" s="1837">
        <f t="shared" si="530"/>
        <v>14296.202596021774</v>
      </c>
    </row>
    <row r="872" spans="1:232" ht="12.75" customHeight="1" thickBot="1">
      <c r="A872" s="295"/>
      <c r="B872" s="1"/>
      <c r="D872" s="392" t="s">
        <v>984</v>
      </c>
      <c r="J872" s="342" t="str">
        <f t="shared" ref="J872:AO872" si="534">+IF(ABS(J859-J860-J863-J864-J869-J870+J871)&gt;1,"CHECK","")</f>
        <v/>
      </c>
      <c r="K872" s="342" t="str">
        <f>+IF(ABS(K859-K860-K863-K864-K869-K870+K871)&gt;1,"CHECK","")</f>
        <v>CHECK</v>
      </c>
      <c r="L872" s="342" t="str">
        <f t="shared" si="534"/>
        <v>CHECK</v>
      </c>
      <c r="M872" s="342" t="str">
        <f t="shared" si="534"/>
        <v>CHECK</v>
      </c>
      <c r="N872" s="342" t="str">
        <f t="shared" si="534"/>
        <v>CHECK</v>
      </c>
      <c r="O872" s="342" t="str">
        <f t="shared" si="534"/>
        <v>CHECK</v>
      </c>
      <c r="P872" s="342" t="str">
        <f t="shared" si="534"/>
        <v>CHECK</v>
      </c>
      <c r="Q872" s="342" t="str">
        <f t="shared" si="534"/>
        <v>CHECK</v>
      </c>
      <c r="R872" s="342" t="str">
        <f t="shared" si="534"/>
        <v>CHECK</v>
      </c>
      <c r="S872" s="342" t="str">
        <f t="shared" si="534"/>
        <v>CHECK</v>
      </c>
      <c r="T872" s="342" t="str">
        <f t="shared" si="534"/>
        <v>CHECK</v>
      </c>
      <c r="U872" s="342" t="str">
        <f t="shared" si="534"/>
        <v>CHECK</v>
      </c>
      <c r="V872" s="1316">
        <f>+IF(ABS(V859-V860-V863-V864-V869-V870+V871)&gt;1,V859-V860-V863-V864-V869-V870+V871,"")</f>
        <v>-233</v>
      </c>
      <c r="W872" s="1316">
        <f>+IF(ABS(W859-W860-W863-W864-W869-W870+W871)&gt;1,W859-W860-W863-W864-W869-W870+W871,"")</f>
        <v>-367</v>
      </c>
      <c r="X872" s="1316">
        <f>+IF(ABS(X859-X860-X863-X864-X869-X870+X871)&gt;1,X859-X860-X863-X864-X869-X870+X871,"")</f>
        <v>-300</v>
      </c>
      <c r="Y872" s="1316">
        <f>+IF(ABS(Y859-Y860-Y863-Y864-Y869-Y870+Y871)&gt;1,Y859-Y860-Y863-Y864-Y869-Y870+Y871,"")</f>
        <v>-440</v>
      </c>
      <c r="Z872" s="1316">
        <f>+IF(ABS(Z859-Z860-Z863-Z864-Z869-Z870+Z871)&gt;1,Z859-Z860-Z863-Z864-Z869-Z870+Z871,"")</f>
        <v>-769</v>
      </c>
      <c r="AA872" s="1316">
        <f t="shared" ref="AA872:AG872" si="535">+IF(ABS(AA859-AA860-AA863-AA864-AA869-AA870+AA871)&gt;1,AA859-AA860-AA863-AA864-AA869-AA870+AA871,"")</f>
        <v>-754</v>
      </c>
      <c r="AB872" s="1316">
        <f t="shared" si="535"/>
        <v>81</v>
      </c>
      <c r="AC872" s="1316">
        <f t="shared" si="535"/>
        <v>192</v>
      </c>
      <c r="AD872" s="1316">
        <f t="shared" si="535"/>
        <v>295</v>
      </c>
      <c r="AE872" s="1316">
        <f t="shared" si="535"/>
        <v>7</v>
      </c>
      <c r="AF872" s="1316" t="str">
        <f>+IF(ABS(AF859-AF860-AF863-AF864-AF869-AF870+AF871)&gt;1,AF859-AF860-AF863-AF864-AF869-AF870+AF871,"")</f>
        <v/>
      </c>
      <c r="AG872" s="1316" t="str">
        <f t="shared" si="535"/>
        <v/>
      </c>
      <c r="AH872" s="1316">
        <f>+IF(ABS(AH859-AH860-AH863-AH864-AH869-AH870+AH871)&gt;1,AH859-AH860-AH863-AH864-AH869-AH870+AH871,"")</f>
        <v>-3</v>
      </c>
      <c r="AI872" s="1316" t="str">
        <f>+IF(ABS(AI859-AI860-AI863-AI864-AI869-AI870+AI871)&gt;1,AI859-AI860-AI863-AI864-AI869-AI870+AI871,"")</f>
        <v/>
      </c>
      <c r="AJ872" s="2286" t="str">
        <f t="shared" si="534"/>
        <v/>
      </c>
      <c r="AK872" s="1316" t="str">
        <f t="shared" si="534"/>
        <v/>
      </c>
      <c r="AL872" s="1316" t="str">
        <f t="shared" si="534"/>
        <v/>
      </c>
      <c r="AM872" s="1316" t="str">
        <f t="shared" si="534"/>
        <v/>
      </c>
      <c r="AN872" s="1316" t="str">
        <f t="shared" si="534"/>
        <v/>
      </c>
      <c r="AO872" s="1834" t="str">
        <f t="shared" si="534"/>
        <v/>
      </c>
      <c r="AP872" s="1834" t="str">
        <f>+IF(ABS(AP859-AP860-AP863-AP864-AP869-AP870+AP871)&gt;1,"CHECK","")</f>
        <v/>
      </c>
      <c r="AQ872" s="1834" t="str">
        <f>+IF(ABS(AQ859-AQ860-AQ863-AQ864-AQ869-AQ870+AQ871)&gt;1,"CHECK","")</f>
        <v/>
      </c>
      <c r="AR872" s="1834" t="str">
        <f>+IF(ABS(AR859-AR860-AR863-AR864-AR869-AR870+AR871)&gt;1,"CHECK","")</f>
        <v/>
      </c>
      <c r="AS872" s="1834" t="str">
        <f>+IF(ABS(AS859-AS860-AS863-AS864-AS869-AS870+AS871)&gt;1,"CHECK","")</f>
        <v/>
      </c>
      <c r="AT872" s="1834" t="str">
        <f>+IF(ABS(AT859-AT860-AT863-AT864-AT869-AT870+AT871)&gt;1,"CHECK","")</f>
        <v/>
      </c>
    </row>
    <row r="873" spans="1:232" s="3278" customFormat="1" ht="15.75" customHeight="1" thickTop="1">
      <c r="A873" s="2573"/>
      <c r="C873" s="2574">
        <f>+C833</f>
        <v>1</v>
      </c>
      <c r="D873" s="3765" t="s">
        <v>1145</v>
      </c>
      <c r="E873" s="3046"/>
      <c r="F873" s="715"/>
      <c r="G873" s="715"/>
      <c r="H873" s="2576"/>
      <c r="I873" s="2577"/>
      <c r="J873" s="3275">
        <f t="shared" ref="J873:U873" si="536">+J806</f>
        <v>720</v>
      </c>
      <c r="K873" s="3275">
        <f t="shared" si="536"/>
        <v>806</v>
      </c>
      <c r="L873" s="3275">
        <f t="shared" si="536"/>
        <v>871</v>
      </c>
      <c r="M873" s="3275">
        <f t="shared" si="536"/>
        <v>934</v>
      </c>
      <c r="N873" s="3275">
        <f t="shared" si="536"/>
        <v>1149</v>
      </c>
      <c r="O873" s="3275">
        <f t="shared" si="536"/>
        <v>1372</v>
      </c>
      <c r="P873" s="3275">
        <f t="shared" si="536"/>
        <v>1636</v>
      </c>
      <c r="Q873" s="3275">
        <f t="shared" si="536"/>
        <v>1806</v>
      </c>
      <c r="R873" s="3275">
        <f t="shared" si="536"/>
        <v>2197</v>
      </c>
      <c r="S873" s="3275">
        <f t="shared" si="536"/>
        <v>2799</v>
      </c>
      <c r="T873" s="3275">
        <f t="shared" si="536"/>
        <v>3185</v>
      </c>
      <c r="U873" s="3275">
        <f t="shared" si="536"/>
        <v>3529</v>
      </c>
      <c r="V873" s="3275">
        <f t="shared" ref="V873:AA873" si="537">+V806</f>
        <v>4084</v>
      </c>
      <c r="W873" s="1891">
        <f t="shared" si="537"/>
        <v>4642</v>
      </c>
      <c r="X873" s="1891">
        <f t="shared" si="537"/>
        <v>4988</v>
      </c>
      <c r="Y873" s="1891">
        <f t="shared" si="537"/>
        <v>5548</v>
      </c>
      <c r="Z873" s="3276">
        <f t="shared" si="537"/>
        <v>6081</v>
      </c>
      <c r="AA873" s="3277">
        <f t="shared" si="537"/>
        <v>6768</v>
      </c>
      <c r="AB873" s="3276">
        <f t="shared" ref="AB873:AG873" si="538">+AB806</f>
        <v>7621</v>
      </c>
      <c r="AC873" s="3276">
        <f t="shared" si="538"/>
        <v>8309</v>
      </c>
      <c r="AD873" s="3276">
        <f t="shared" si="538"/>
        <v>9460</v>
      </c>
      <c r="AE873" s="3276">
        <f t="shared" si="538"/>
        <v>9891</v>
      </c>
      <c r="AF873" s="3276">
        <f t="shared" si="538"/>
        <v>11125</v>
      </c>
      <c r="AG873" s="3276">
        <f t="shared" si="538"/>
        <v>14164</v>
      </c>
      <c r="AH873" s="3276">
        <f t="shared" ref="AH873:AO873" si="539">+AH846</f>
        <v>17177</v>
      </c>
      <c r="AI873" s="3276">
        <f t="shared" si="539"/>
        <v>19918</v>
      </c>
      <c r="AJ873" s="3279">
        <f t="shared" si="539"/>
        <v>22796.029212071611</v>
      </c>
      <c r="AK873" s="3280">
        <f t="shared" si="539"/>
        <v>27060.876625304532</v>
      </c>
      <c r="AL873" s="3280">
        <f t="shared" si="539"/>
        <v>30570.449278210635</v>
      </c>
      <c r="AM873" s="3280">
        <f t="shared" si="539"/>
        <v>34496.333742051029</v>
      </c>
      <c r="AN873" s="3280">
        <f t="shared" si="539"/>
        <v>39098.663797754474</v>
      </c>
      <c r="AO873" s="3281">
        <f t="shared" si="539"/>
        <v>44493.465736773374</v>
      </c>
      <c r="AP873" s="3281">
        <f>+AP846</f>
        <v>50479.895845466483</v>
      </c>
      <c r="AQ873" s="3281">
        <f>+AQ846</f>
        <v>57636.909818603453</v>
      </c>
      <c r="AR873" s="3281">
        <f>+AR846</f>
        <v>65947.444145677087</v>
      </c>
      <c r="AS873" s="3281">
        <f>+AS846</f>
        <v>75422.186823418087</v>
      </c>
      <c r="AT873" s="3281">
        <f>+AT846</f>
        <v>86362.865629603548</v>
      </c>
    </row>
    <row r="874" spans="1:232" s="1892" customFormat="1" ht="15.75" customHeight="1">
      <c r="A874" s="2573"/>
      <c r="C874" s="2574">
        <f t="shared" ref="C874:C885" si="540">+C873+1</f>
        <v>2</v>
      </c>
      <c r="D874" s="2575" t="s">
        <v>277</v>
      </c>
      <c r="E874" s="3046"/>
      <c r="F874" s="1239"/>
      <c r="G874" s="1239"/>
      <c r="H874" s="1239"/>
      <c r="I874" s="2668"/>
      <c r="J874" s="2663">
        <f t="shared" ref="J874:U874" si="541">+J809</f>
        <v>118</v>
      </c>
      <c r="K874" s="2663">
        <f t="shared" si="541"/>
        <v>130</v>
      </c>
      <c r="L874" s="2663">
        <f t="shared" si="541"/>
        <v>142</v>
      </c>
      <c r="M874" s="2663">
        <f t="shared" si="541"/>
        <v>160</v>
      </c>
      <c r="N874" s="2663">
        <f t="shared" si="541"/>
        <v>196</v>
      </c>
      <c r="O874" s="2663">
        <f t="shared" si="541"/>
        <v>227</v>
      </c>
      <c r="P874" s="2663">
        <f t="shared" si="541"/>
        <v>269</v>
      </c>
      <c r="Q874" s="2663">
        <f t="shared" si="541"/>
        <v>294</v>
      </c>
      <c r="R874" s="2663">
        <f t="shared" si="541"/>
        <v>315</v>
      </c>
      <c r="S874" s="2663">
        <f t="shared" si="541"/>
        <v>348</v>
      </c>
      <c r="T874" s="2663">
        <f t="shared" si="541"/>
        <v>411</v>
      </c>
      <c r="U874" s="2663">
        <f t="shared" si="541"/>
        <v>468</v>
      </c>
      <c r="V874" s="2663">
        <f t="shared" ref="V874:AG874" si="542">+V809</f>
        <v>497</v>
      </c>
      <c r="W874" s="2664">
        <f t="shared" si="542"/>
        <v>609</v>
      </c>
      <c r="X874" s="2664">
        <f t="shared" si="542"/>
        <v>650</v>
      </c>
      <c r="Y874" s="2664">
        <f t="shared" si="542"/>
        <v>803</v>
      </c>
      <c r="Z874" s="2664">
        <f t="shared" si="542"/>
        <v>852</v>
      </c>
      <c r="AA874" s="2664">
        <f t="shared" si="542"/>
        <v>1031</v>
      </c>
      <c r="AB874" s="2664">
        <f t="shared" si="542"/>
        <v>1156</v>
      </c>
      <c r="AC874" s="2664">
        <f t="shared" si="542"/>
        <v>1157</v>
      </c>
      <c r="AD874" s="2664">
        <f t="shared" si="542"/>
        <v>1392</v>
      </c>
      <c r="AE874" s="2664">
        <f t="shared" si="542"/>
        <v>1486</v>
      </c>
      <c r="AF874" s="2664">
        <f t="shared" si="542"/>
        <v>1963</v>
      </c>
      <c r="AG874" s="2664">
        <f t="shared" si="542"/>
        <v>2446</v>
      </c>
      <c r="AH874" s="2664">
        <f>+AH809</f>
        <v>2884</v>
      </c>
      <c r="AI874" s="2664">
        <f>+AI809</f>
        <v>3456</v>
      </c>
      <c r="AJ874" s="2669">
        <f t="shared" ref="AJ874:AO874" si="543">+AJ875+AJ876</f>
        <v>3910.3435035984076</v>
      </c>
      <c r="AK874" s="2664">
        <f t="shared" si="543"/>
        <v>4282.1041863452883</v>
      </c>
      <c r="AL874" s="2664">
        <f t="shared" si="543"/>
        <v>4790.4992875580083</v>
      </c>
      <c r="AM874" s="2664">
        <f t="shared" si="543"/>
        <v>5339.1032812496833</v>
      </c>
      <c r="AN874" s="2664">
        <f t="shared" si="543"/>
        <v>5965.0332232576766</v>
      </c>
      <c r="AO874" s="2579">
        <f t="shared" si="543"/>
        <v>9473.6737338188868</v>
      </c>
      <c r="AP874" s="2579">
        <f>+AP875+AP876</f>
        <v>10484.934440776051</v>
      </c>
      <c r="AQ874" s="2579">
        <f>+AQ875+AQ876</f>
        <v>11942.319080674471</v>
      </c>
      <c r="AR874" s="2579">
        <f>+AR875+AR876</f>
        <v>13854.04233685416</v>
      </c>
      <c r="AS874" s="2579">
        <f>+AS875+AS876</f>
        <v>17322.082014519267</v>
      </c>
      <c r="AT874" s="2579">
        <f>+AT875+AT876</f>
        <v>22984.468424195085</v>
      </c>
    </row>
    <row r="875" spans="1:232" s="1892" customFormat="1" ht="15.75" customHeight="1">
      <c r="A875" s="2573"/>
      <c r="C875" s="2574">
        <f t="shared" si="540"/>
        <v>3</v>
      </c>
      <c r="D875" s="2681" t="s">
        <v>983</v>
      </c>
      <c r="E875" s="3128">
        <f>+X875/X$874</f>
        <v>0.84412105824179051</v>
      </c>
      <c r="F875" s="1239"/>
      <c r="G875" s="1239"/>
      <c r="H875" s="1239"/>
      <c r="I875" s="2668"/>
      <c r="J875" s="2670">
        <f t="shared" ref="J875:U875" si="544">+J852</f>
        <v>60.4</v>
      </c>
      <c r="K875" s="2670">
        <f t="shared" si="544"/>
        <v>67.05</v>
      </c>
      <c r="L875" s="2670">
        <f t="shared" si="544"/>
        <v>71.2</v>
      </c>
      <c r="M875" s="2670">
        <f t="shared" si="544"/>
        <v>74.5</v>
      </c>
      <c r="N875" s="2670">
        <f t="shared" si="544"/>
        <v>84.05</v>
      </c>
      <c r="O875" s="2670">
        <f t="shared" si="544"/>
        <v>92.5</v>
      </c>
      <c r="P875" s="2670">
        <f t="shared" si="544"/>
        <v>104</v>
      </c>
      <c r="Q875" s="2670">
        <f t="shared" si="544"/>
        <v>121.8</v>
      </c>
      <c r="R875" s="2670">
        <f t="shared" si="544"/>
        <v>141.44999999999999</v>
      </c>
      <c r="S875" s="2670">
        <f t="shared" si="544"/>
        <v>164.95</v>
      </c>
      <c r="T875" s="2670">
        <f t="shared" si="544"/>
        <v>193.6</v>
      </c>
      <c r="U875" s="2670">
        <f t="shared" si="544"/>
        <v>231.4</v>
      </c>
      <c r="V875" s="2670">
        <f t="shared" ref="V875:AO875" si="545">+V852</f>
        <v>278.35000000000002</v>
      </c>
      <c r="W875" s="2666">
        <f t="shared" si="545"/>
        <v>316</v>
      </c>
      <c r="X875" s="2666">
        <f t="shared" si="545"/>
        <v>548.67868785716382</v>
      </c>
      <c r="Y875" s="2666">
        <f t="shared" si="545"/>
        <v>320.82007249856645</v>
      </c>
      <c r="Z875" s="2666">
        <f t="shared" si="545"/>
        <v>402.84883739617942</v>
      </c>
      <c r="AA875" s="2666">
        <f t="shared" si="545"/>
        <v>432.03407756934439</v>
      </c>
      <c r="AB875" s="2666">
        <f t="shared" si="545"/>
        <v>464.90986203956766</v>
      </c>
      <c r="AC875" s="2666">
        <f t="shared" si="545"/>
        <v>475.71645457172582</v>
      </c>
      <c r="AD875" s="2666">
        <f t="shared" si="545"/>
        <v>443.95634211882509</v>
      </c>
      <c r="AE875" s="2666">
        <f t="shared" si="545"/>
        <v>299.84473475241805</v>
      </c>
      <c r="AF875" s="2666">
        <f t="shared" si="545"/>
        <v>528.01732953637429</v>
      </c>
      <c r="AG875" s="2666">
        <f t="shared" si="545"/>
        <v>629.0189829313598</v>
      </c>
      <c r="AH875" s="2666">
        <f>+AH852</f>
        <v>741.43998988984049</v>
      </c>
      <c r="AI875" s="2666">
        <f>+AI852</f>
        <v>875.23537023074459</v>
      </c>
      <c r="AJ875" s="2671">
        <f t="shared" si="545"/>
        <v>1306.9845509371096</v>
      </c>
      <c r="AK875" s="2666">
        <f t="shared" si="545"/>
        <v>1520.2942196747217</v>
      </c>
      <c r="AL875" s="2666">
        <f t="shared" si="545"/>
        <v>1720.8641011251789</v>
      </c>
      <c r="AM875" s="2666">
        <f t="shared" si="545"/>
        <v>1948.6067454016904</v>
      </c>
      <c r="AN875" s="2666">
        <f t="shared" si="545"/>
        <v>2172.4349787440879</v>
      </c>
      <c r="AO875" s="2579">
        <f t="shared" si="545"/>
        <v>2428.6991722717366</v>
      </c>
      <c r="AP875" s="2579">
        <f>+AP852</f>
        <v>2739.5582274420676</v>
      </c>
      <c r="AQ875" s="2579">
        <f>+AQ852</f>
        <v>3076.0276225289922</v>
      </c>
      <c r="AR875" s="2579">
        <f>+AR852</f>
        <v>3455.9332033819146</v>
      </c>
      <c r="AS875" s="2579">
        <f>+AS852</f>
        <v>4063.0194756323258</v>
      </c>
      <c r="AT875" s="2579">
        <f>+AT852</f>
        <v>4982.3245313410298</v>
      </c>
    </row>
    <row r="876" spans="1:232" s="1892" customFormat="1" ht="15.75" customHeight="1">
      <c r="A876" s="2573"/>
      <c r="C876" s="2574">
        <f t="shared" si="540"/>
        <v>4</v>
      </c>
      <c r="D876" s="2681" t="s">
        <v>1139</v>
      </c>
      <c r="E876" s="3128">
        <f>+X876/X$874</f>
        <v>0.15587894175820952</v>
      </c>
      <c r="F876" s="1239"/>
      <c r="G876" s="1239"/>
      <c r="H876" s="1239"/>
      <c r="I876" s="2668"/>
      <c r="J876" s="2670">
        <f t="shared" ref="J876:U876" si="546">+J874-J875</f>
        <v>57.6</v>
      </c>
      <c r="K876" s="2670">
        <f t="shared" si="546"/>
        <v>62.95</v>
      </c>
      <c r="L876" s="2670">
        <f t="shared" si="546"/>
        <v>70.8</v>
      </c>
      <c r="M876" s="2670">
        <f t="shared" si="546"/>
        <v>85.5</v>
      </c>
      <c r="N876" s="2670">
        <f t="shared" si="546"/>
        <v>111.95</v>
      </c>
      <c r="O876" s="2670">
        <f t="shared" si="546"/>
        <v>134.5</v>
      </c>
      <c r="P876" s="2670">
        <f t="shared" si="546"/>
        <v>165</v>
      </c>
      <c r="Q876" s="2670">
        <f t="shared" si="546"/>
        <v>172.2</v>
      </c>
      <c r="R876" s="2670">
        <f t="shared" si="546"/>
        <v>173.55</v>
      </c>
      <c r="S876" s="2670">
        <f t="shared" si="546"/>
        <v>183.05</v>
      </c>
      <c r="T876" s="2670">
        <f t="shared" si="546"/>
        <v>217.4</v>
      </c>
      <c r="U876" s="2670">
        <f t="shared" si="546"/>
        <v>236.6</v>
      </c>
      <c r="V876" s="2670">
        <f t="shared" ref="V876:AA876" si="547">+V874-V875</f>
        <v>218.64999999999998</v>
      </c>
      <c r="W876" s="2666">
        <f t="shared" si="547"/>
        <v>293</v>
      </c>
      <c r="X876" s="2666">
        <f t="shared" si="547"/>
        <v>101.32131214283618</v>
      </c>
      <c r="Y876" s="2666">
        <f t="shared" si="547"/>
        <v>482.17992750143355</v>
      </c>
      <c r="Z876" s="2666">
        <f t="shared" si="547"/>
        <v>449.15116260382058</v>
      </c>
      <c r="AA876" s="2666">
        <f t="shared" si="547"/>
        <v>598.96592243065561</v>
      </c>
      <c r="AB876" s="2666">
        <f t="shared" ref="AB876:AG876" si="548">+AB874-AB875</f>
        <v>691.09013796043234</v>
      </c>
      <c r="AC876" s="2666">
        <f t="shared" si="548"/>
        <v>681.28354542827424</v>
      </c>
      <c r="AD876" s="2666">
        <f t="shared" si="548"/>
        <v>948.04365788117491</v>
      </c>
      <c r="AE876" s="2666">
        <f t="shared" si="548"/>
        <v>1186.1552652475821</v>
      </c>
      <c r="AF876" s="2666">
        <f t="shared" si="548"/>
        <v>1434.9826704636257</v>
      </c>
      <c r="AG876" s="2666">
        <f t="shared" si="548"/>
        <v>1816.9810170686401</v>
      </c>
      <c r="AH876" s="2666">
        <f>+AH874-AH875</f>
        <v>2142.5600101101595</v>
      </c>
      <c r="AI876" s="2666">
        <f>+AI874-AI875</f>
        <v>2580.7646297692554</v>
      </c>
      <c r="AJ876" s="2671">
        <f t="shared" ref="AJ876:AN876" si="549">+AJ728+AJ727</f>
        <v>2603.3589526612982</v>
      </c>
      <c r="AK876" s="2666">
        <f t="shared" si="549"/>
        <v>2761.8099666705666</v>
      </c>
      <c r="AL876" s="2666">
        <f t="shared" si="549"/>
        <v>3069.6351864328294</v>
      </c>
      <c r="AM876" s="2666">
        <f t="shared" si="549"/>
        <v>3390.4965358479926</v>
      </c>
      <c r="AN876" s="2666">
        <f t="shared" si="549"/>
        <v>3792.5982445135892</v>
      </c>
      <c r="AO876" s="2579">
        <f t="shared" ref="AO876:AT876" si="550">+AO728+AO727</f>
        <v>7044.9745615471511</v>
      </c>
      <c r="AP876" s="2579">
        <f t="shared" si="550"/>
        <v>7745.3762133339824</v>
      </c>
      <c r="AQ876" s="2579">
        <f t="shared" si="550"/>
        <v>8866.2914581454788</v>
      </c>
      <c r="AR876" s="2579">
        <f t="shared" si="550"/>
        <v>10398.109133472244</v>
      </c>
      <c r="AS876" s="2579">
        <f t="shared" si="550"/>
        <v>13259.062538886941</v>
      </c>
      <c r="AT876" s="2579">
        <f t="shared" si="550"/>
        <v>18002.143892854056</v>
      </c>
    </row>
    <row r="877" spans="1:232" s="1892" customFormat="1" ht="15.75" customHeight="1">
      <c r="A877" s="2573"/>
      <c r="C877" s="2574">
        <f t="shared" si="540"/>
        <v>5</v>
      </c>
      <c r="D877" s="2667" t="s">
        <v>1140</v>
      </c>
      <c r="E877" s="3046"/>
      <c r="F877" s="1239"/>
      <c r="G877" s="1239"/>
      <c r="H877" s="1239"/>
      <c r="I877" s="2668"/>
      <c r="J877" s="2663">
        <f t="shared" ref="J877:U877" si="551">+J810</f>
        <v>635</v>
      </c>
      <c r="K877" s="2663">
        <f t="shared" si="551"/>
        <v>712</v>
      </c>
      <c r="L877" s="2663">
        <f t="shared" si="551"/>
        <v>745</v>
      </c>
      <c r="M877" s="2663">
        <f t="shared" si="551"/>
        <v>798</v>
      </c>
      <c r="N877" s="2663">
        <f t="shared" si="551"/>
        <v>960</v>
      </c>
      <c r="O877" s="2663">
        <f t="shared" si="551"/>
        <v>1121</v>
      </c>
      <c r="P877" s="2663">
        <f t="shared" si="551"/>
        <v>1329</v>
      </c>
      <c r="Q877" s="2663">
        <f t="shared" si="551"/>
        <v>1443</v>
      </c>
      <c r="R877" s="2663">
        <f t="shared" si="551"/>
        <v>1700</v>
      </c>
      <c r="S877" s="2663">
        <f t="shared" si="551"/>
        <v>2272</v>
      </c>
      <c r="T877" s="2663">
        <f t="shared" si="551"/>
        <v>2613</v>
      </c>
      <c r="U877" s="2663">
        <f t="shared" si="551"/>
        <v>2893</v>
      </c>
      <c r="V877" s="2663">
        <f t="shared" ref="V877:AA877" si="552">+V810</f>
        <v>3320</v>
      </c>
      <c r="W877" s="2664">
        <f t="shared" si="552"/>
        <v>3714</v>
      </c>
      <c r="X877" s="2664">
        <f t="shared" si="552"/>
        <v>3898</v>
      </c>
      <c r="Y877" s="2664">
        <f t="shared" si="552"/>
        <v>4347</v>
      </c>
      <c r="Z877" s="2664">
        <f t="shared" si="552"/>
        <v>4891</v>
      </c>
      <c r="AA877" s="2664">
        <f t="shared" si="552"/>
        <v>5240</v>
      </c>
      <c r="AB877" s="2664">
        <f t="shared" ref="AB877:AG877" si="553">+AB810</f>
        <v>5600</v>
      </c>
      <c r="AC877" s="2664">
        <f t="shared" si="553"/>
        <v>6056</v>
      </c>
      <c r="AD877" s="2664">
        <f t="shared" si="553"/>
        <v>6475</v>
      </c>
      <c r="AE877" s="2664">
        <f t="shared" si="553"/>
        <v>7301</v>
      </c>
      <c r="AF877" s="2664">
        <f t="shared" si="553"/>
        <v>8247</v>
      </c>
      <c r="AG877" s="2664">
        <f t="shared" si="553"/>
        <v>8829</v>
      </c>
      <c r="AH877" s="2664">
        <f>+AH810</f>
        <v>11205</v>
      </c>
      <c r="AI877" s="2664">
        <f>+AI810</f>
        <v>13103</v>
      </c>
      <c r="AJ877" s="2669">
        <f t="shared" ref="AJ877:AT877" si="554">+AJ873-AJ874-AJ878-AJ883-AJ884+AJ885</f>
        <v>13788.222813379407</v>
      </c>
      <c r="AK877" s="2664">
        <f t="shared" si="554"/>
        <v>16536.489656506739</v>
      </c>
      <c r="AL877" s="2664">
        <f t="shared" si="554"/>
        <v>18520.614085191562</v>
      </c>
      <c r="AM877" s="2664">
        <f t="shared" si="554"/>
        <v>20624.78143003034</v>
      </c>
      <c r="AN877" s="2664">
        <f t="shared" si="554"/>
        <v>23037.160691994708</v>
      </c>
      <c r="AO877" s="2579">
        <f t="shared" si="554"/>
        <v>24188.313822072749</v>
      </c>
      <c r="AP877" s="2579">
        <f t="shared" si="554"/>
        <v>28404.40070731561</v>
      </c>
      <c r="AQ877" s="2579">
        <f t="shared" si="554"/>
        <v>32689.250087632277</v>
      </c>
      <c r="AR877" s="2579">
        <f t="shared" si="554"/>
        <v>37334.614545082251</v>
      </c>
      <c r="AS877" s="2579">
        <f t="shared" si="554"/>
        <v>40775.727261031636</v>
      </c>
      <c r="AT877" s="2579">
        <f t="shared" si="554"/>
        <v>42614.008785068116</v>
      </c>
      <c r="AU877" s="2664"/>
      <c r="AV877" s="2664"/>
      <c r="AW877" s="2664"/>
      <c r="AX877" s="2664"/>
      <c r="AY877" s="2664"/>
      <c r="AZ877" s="2664"/>
      <c r="BA877" s="2664"/>
      <c r="BB877" s="2664"/>
      <c r="BC877" s="2664"/>
      <c r="BD877" s="2664"/>
      <c r="BE877" s="2664"/>
      <c r="BF877" s="2664"/>
      <c r="BG877" s="2664"/>
      <c r="BH877" s="2664"/>
      <c r="BI877" s="2664"/>
      <c r="BJ877" s="2664"/>
      <c r="BK877" s="2664"/>
    </row>
    <row r="878" spans="1:232" s="1892" customFormat="1" ht="15.75" customHeight="1">
      <c r="A878" s="2573"/>
      <c r="B878" s="1892">
        <f>Z878/Z873</f>
        <v>0.24518993586581153</v>
      </c>
      <c r="C878" s="2574">
        <f t="shared" si="540"/>
        <v>6</v>
      </c>
      <c r="D878" s="2575" t="s">
        <v>278</v>
      </c>
      <c r="E878" s="3046"/>
      <c r="F878" s="1239"/>
      <c r="G878" s="1239"/>
      <c r="H878" s="1239"/>
      <c r="I878" s="2668"/>
      <c r="J878" s="2663">
        <f t="shared" ref="J878:P878" si="555">+J813</f>
        <v>0</v>
      </c>
      <c r="K878" s="2663">
        <f t="shared" si="555"/>
        <v>0</v>
      </c>
      <c r="L878" s="2663">
        <f t="shared" si="555"/>
        <v>0</v>
      </c>
      <c r="M878" s="2663">
        <f t="shared" si="555"/>
        <v>0</v>
      </c>
      <c r="N878" s="2663">
        <f t="shared" si="555"/>
        <v>0</v>
      </c>
      <c r="O878" s="2663">
        <f t="shared" si="555"/>
        <v>0</v>
      </c>
      <c r="P878" s="2663">
        <f t="shared" si="555"/>
        <v>0</v>
      </c>
      <c r="Q878" s="2663">
        <f>+Q812</f>
        <v>275</v>
      </c>
      <c r="R878" s="2663">
        <f t="shared" ref="R878:AI878" si="556">+R812</f>
        <v>373</v>
      </c>
      <c r="S878" s="2663">
        <f t="shared" si="556"/>
        <v>605</v>
      </c>
      <c r="T878" s="2663">
        <f t="shared" si="556"/>
        <v>678</v>
      </c>
      <c r="U878" s="2663">
        <f t="shared" si="556"/>
        <v>734</v>
      </c>
      <c r="V878" s="2663">
        <f t="shared" si="556"/>
        <v>863</v>
      </c>
      <c r="W878" s="2663">
        <f t="shared" si="556"/>
        <v>1096</v>
      </c>
      <c r="X878" s="2663">
        <f t="shared" si="556"/>
        <v>1234</v>
      </c>
      <c r="Y878" s="2663">
        <f t="shared" si="556"/>
        <v>1306</v>
      </c>
      <c r="Z878" s="2663">
        <f t="shared" si="556"/>
        <v>1491</v>
      </c>
      <c r="AA878" s="2663">
        <f t="shared" si="556"/>
        <v>1773</v>
      </c>
      <c r="AB878" s="2663">
        <f t="shared" si="556"/>
        <v>1836</v>
      </c>
      <c r="AC878" s="2663">
        <f t="shared" si="556"/>
        <v>1489</v>
      </c>
      <c r="AD878" s="2663">
        <f t="shared" si="556"/>
        <v>2049</v>
      </c>
      <c r="AE878" s="2663">
        <f t="shared" si="556"/>
        <v>1799</v>
      </c>
      <c r="AF878" s="2663">
        <f t="shared" si="556"/>
        <v>3942</v>
      </c>
      <c r="AG878" s="2663">
        <f t="shared" si="556"/>
        <v>5349</v>
      </c>
      <c r="AH878" s="2663">
        <f t="shared" si="556"/>
        <v>6930</v>
      </c>
      <c r="AI878" s="2663">
        <f t="shared" si="556"/>
        <v>7135</v>
      </c>
      <c r="AJ878" s="2669">
        <f t="shared" ref="AJ878:AT878" si="557">+AJ879+AJ880</f>
        <v>8247.1489018894335</v>
      </c>
      <c r="AK878" s="2664">
        <f t="shared" si="557"/>
        <v>10222.852299444299</v>
      </c>
      <c r="AL878" s="2664">
        <f t="shared" si="557"/>
        <v>11603.657308406258</v>
      </c>
      <c r="AM878" s="2664">
        <f t="shared" si="557"/>
        <v>12317.143402320584</v>
      </c>
      <c r="AN878" s="2664">
        <f t="shared" si="557"/>
        <v>13705.187135364744</v>
      </c>
      <c r="AO878" s="2579">
        <f t="shared" si="557"/>
        <v>14544.790387100413</v>
      </c>
      <c r="AP878" s="2579">
        <f t="shared" si="557"/>
        <v>15426.875909136606</v>
      </c>
      <c r="AQ878" s="2579">
        <f t="shared" si="557"/>
        <v>16810.680467451239</v>
      </c>
      <c r="AR878" s="2579">
        <f t="shared" si="557"/>
        <v>18517.812706934899</v>
      </c>
      <c r="AS878" s="2579">
        <f t="shared" si="557"/>
        <v>20910.291215850593</v>
      </c>
      <c r="AT878" s="2579">
        <f t="shared" si="557"/>
        <v>24175.209127322538</v>
      </c>
      <c r="AU878" s="2664"/>
      <c r="AV878" s="2664"/>
      <c r="AW878" s="2664"/>
      <c r="AX878" s="2664"/>
      <c r="AY878" s="2664"/>
      <c r="AZ878" s="2664"/>
      <c r="BA878" s="2664"/>
      <c r="BB878" s="2664"/>
      <c r="BC878" s="2664"/>
      <c r="BD878" s="2664"/>
      <c r="BE878" s="2664"/>
      <c r="BF878" s="2664"/>
      <c r="BG878" s="2664"/>
      <c r="BH878" s="2664"/>
      <c r="BI878" s="2664"/>
      <c r="BJ878" s="2664"/>
      <c r="BK878" s="2664"/>
    </row>
    <row r="879" spans="1:232" s="1892" customFormat="1" ht="15.75" customHeight="1">
      <c r="A879" s="2573"/>
      <c r="C879" s="2574">
        <f t="shared" si="540"/>
        <v>7</v>
      </c>
      <c r="D879" s="2575" t="s">
        <v>1141</v>
      </c>
      <c r="E879" s="3046"/>
      <c r="F879" s="1239"/>
      <c r="G879" s="1239"/>
      <c r="H879" s="1239"/>
      <c r="I879" s="2668"/>
      <c r="J879" s="2670">
        <f t="shared" ref="J879:AO879" si="558">+J736</f>
        <v>46.702449344249999</v>
      </c>
      <c r="K879" s="2670">
        <f t="shared" si="558"/>
        <v>46.677921547125003</v>
      </c>
      <c r="L879" s="2670">
        <f t="shared" si="558"/>
        <v>43.385118750000004</v>
      </c>
      <c r="M879" s="2670">
        <f t="shared" si="558"/>
        <v>42.039056250000002</v>
      </c>
      <c r="N879" s="2670">
        <f t="shared" si="558"/>
        <v>45.261299999999999</v>
      </c>
      <c r="O879" s="2670">
        <f t="shared" si="558"/>
        <v>60.833863604999998</v>
      </c>
      <c r="P879" s="2670">
        <f t="shared" si="558"/>
        <v>80.378131354312501</v>
      </c>
      <c r="Q879" s="2670">
        <f t="shared" si="558"/>
        <v>93.803173999312506</v>
      </c>
      <c r="R879" s="2670">
        <f t="shared" si="558"/>
        <v>120</v>
      </c>
      <c r="S879" s="2670">
        <f t="shared" si="558"/>
        <v>185.58749999999998</v>
      </c>
      <c r="T879" s="2670">
        <f t="shared" si="558"/>
        <v>233.77500000000003</v>
      </c>
      <c r="U879" s="2670">
        <f t="shared" si="558"/>
        <v>219.9161495864501</v>
      </c>
      <c r="V879" s="2670">
        <f t="shared" si="558"/>
        <v>263.21443271573014</v>
      </c>
      <c r="W879" s="2666">
        <f t="shared" si="558"/>
        <v>342.1200925924694</v>
      </c>
      <c r="X879" s="2666">
        <f t="shared" si="558"/>
        <v>436.3239914868422</v>
      </c>
      <c r="Y879" s="2666">
        <f t="shared" si="558"/>
        <v>536.02041351307071</v>
      </c>
      <c r="Z879" s="2666">
        <f t="shared" si="558"/>
        <v>533.50340947187158</v>
      </c>
      <c r="AA879" s="2666">
        <f t="shared" si="558"/>
        <v>527.39322209748582</v>
      </c>
      <c r="AB879" s="2666">
        <f t="shared" si="558"/>
        <v>555.98170441969296</v>
      </c>
      <c r="AC879" s="2666">
        <f t="shared" si="558"/>
        <v>678.85691084521125</v>
      </c>
      <c r="AD879" s="2666">
        <f t="shared" si="558"/>
        <v>826.33550798149258</v>
      </c>
      <c r="AE879" s="2666">
        <f t="shared" si="558"/>
        <v>978.74527299025317</v>
      </c>
      <c r="AF879" s="2666">
        <f t="shared" si="558"/>
        <v>1188.9189764649896</v>
      </c>
      <c r="AG879" s="2666">
        <f t="shared" si="558"/>
        <v>1308.7243276900715</v>
      </c>
      <c r="AH879" s="2666">
        <f t="shared" si="558"/>
        <v>1409.0170466716559</v>
      </c>
      <c r="AI879" s="2666">
        <f>+AI736</f>
        <v>1499.1756577924157</v>
      </c>
      <c r="AJ879" s="2671">
        <f t="shared" si="558"/>
        <v>1573.9665820542314</v>
      </c>
      <c r="AK879" s="2666">
        <f t="shared" si="558"/>
        <v>1774.067579041774</v>
      </c>
      <c r="AL879" s="2666">
        <f t="shared" si="558"/>
        <v>2072.5336184123908</v>
      </c>
      <c r="AM879" s="2666">
        <f t="shared" si="558"/>
        <v>2394.8979902054016</v>
      </c>
      <c r="AN879" s="2666">
        <f t="shared" si="558"/>
        <v>2712.301853575279</v>
      </c>
      <c r="AO879" s="2579">
        <f t="shared" si="558"/>
        <v>2943.7591144471921</v>
      </c>
      <c r="AP879" s="2579">
        <f>+AP736</f>
        <v>3198.4390852111464</v>
      </c>
      <c r="AQ879" s="2579">
        <f>+AQ736</f>
        <v>3665.185320095954</v>
      </c>
      <c r="AR879" s="2579">
        <f>+AR736</f>
        <v>4363.6709257504626</v>
      </c>
      <c r="AS879" s="2579">
        <f>+AS736</f>
        <v>5613.1096438777213</v>
      </c>
      <c r="AT879" s="2579">
        <f>+AT736</f>
        <v>7577.8347405265049</v>
      </c>
      <c r="AU879" s="2664"/>
      <c r="AV879" s="2664"/>
      <c r="AW879" s="2664"/>
      <c r="AX879" s="2664"/>
      <c r="AY879" s="2664"/>
      <c r="AZ879" s="2664"/>
      <c r="BA879" s="2664"/>
      <c r="BB879" s="2664"/>
      <c r="BC879" s="2664"/>
      <c r="BD879" s="2664"/>
      <c r="BE879" s="2664"/>
      <c r="BF879" s="2664"/>
      <c r="BG879" s="2664"/>
      <c r="BH879" s="2664"/>
      <c r="BI879" s="2664"/>
      <c r="BJ879" s="2664"/>
      <c r="BK879" s="2664"/>
    </row>
    <row r="880" spans="1:232" s="2673" customFormat="1" ht="15.75" customHeight="1">
      <c r="A880" s="2672"/>
      <c r="C880" s="2674">
        <f t="shared" si="540"/>
        <v>8</v>
      </c>
      <c r="D880" s="2667" t="s">
        <v>1142</v>
      </c>
      <c r="E880" s="3052"/>
      <c r="F880" s="2675"/>
      <c r="G880" s="2675"/>
      <c r="H880" s="2675"/>
      <c r="I880" s="2676"/>
      <c r="J880" s="2677">
        <f t="shared" ref="J880:U880" si="559">+J878-J879</f>
        <v>-46.702449344249999</v>
      </c>
      <c r="K880" s="2677">
        <f t="shared" si="559"/>
        <v>-46.677921547125003</v>
      </c>
      <c r="L880" s="2677">
        <f t="shared" si="559"/>
        <v>-43.385118750000004</v>
      </c>
      <c r="M880" s="2677">
        <f t="shared" si="559"/>
        <v>-42.039056250000002</v>
      </c>
      <c r="N880" s="2677">
        <f t="shared" si="559"/>
        <v>-45.261299999999999</v>
      </c>
      <c r="O880" s="2677">
        <f t="shared" si="559"/>
        <v>-60.833863604999998</v>
      </c>
      <c r="P880" s="2677">
        <f t="shared" si="559"/>
        <v>-80.378131354312501</v>
      </c>
      <c r="Q880" s="2677">
        <f t="shared" si="559"/>
        <v>181.19682600068751</v>
      </c>
      <c r="R880" s="2677">
        <f t="shared" si="559"/>
        <v>253</v>
      </c>
      <c r="S880" s="2677">
        <f t="shared" si="559"/>
        <v>419.41250000000002</v>
      </c>
      <c r="T880" s="2677">
        <f t="shared" si="559"/>
        <v>444.22499999999997</v>
      </c>
      <c r="U880" s="2677">
        <f t="shared" si="559"/>
        <v>514.08385041354995</v>
      </c>
      <c r="V880" s="2677">
        <f t="shared" ref="V880:AA880" si="560">+V878-V879</f>
        <v>599.78556728426986</v>
      </c>
      <c r="W880" s="2678">
        <f t="shared" si="560"/>
        <v>753.8799074075306</v>
      </c>
      <c r="X880" s="2678">
        <f t="shared" si="560"/>
        <v>797.67600851315774</v>
      </c>
      <c r="Y880" s="2678">
        <f t="shared" si="560"/>
        <v>769.97958648692929</v>
      </c>
      <c r="Z880" s="2678">
        <f t="shared" si="560"/>
        <v>957.49659052812842</v>
      </c>
      <c r="AA880" s="2678">
        <f t="shared" si="560"/>
        <v>1245.6067779025143</v>
      </c>
      <c r="AB880" s="2678">
        <f t="shared" ref="AB880:AI880" si="561">+AB878-AB879</f>
        <v>1280.018295580307</v>
      </c>
      <c r="AC880" s="2678">
        <f t="shared" si="561"/>
        <v>810.14308915478875</v>
      </c>
      <c r="AD880" s="2678">
        <f t="shared" si="561"/>
        <v>1222.6644920185074</v>
      </c>
      <c r="AE880" s="2678">
        <f t="shared" si="561"/>
        <v>820.25472700974683</v>
      </c>
      <c r="AF880" s="2678">
        <f t="shared" si="561"/>
        <v>2753.0810235350104</v>
      </c>
      <c r="AG880" s="2678">
        <f t="shared" si="561"/>
        <v>4040.2756723099283</v>
      </c>
      <c r="AH880" s="2678">
        <f t="shared" si="561"/>
        <v>5520.9829533283446</v>
      </c>
      <c r="AI880" s="2678">
        <f t="shared" si="561"/>
        <v>5635.8243422075848</v>
      </c>
      <c r="AJ880" s="2679">
        <f t="shared" ref="AJ880:AO880" si="562">+AJ733</f>
        <v>6673.1823198352022</v>
      </c>
      <c r="AK880" s="2678">
        <f t="shared" si="562"/>
        <v>8448.7847204025256</v>
      </c>
      <c r="AL880" s="2678">
        <f t="shared" si="562"/>
        <v>9531.1236899938685</v>
      </c>
      <c r="AM880" s="2678">
        <f t="shared" si="562"/>
        <v>9922.2454121151823</v>
      </c>
      <c r="AN880" s="2678">
        <f t="shared" si="562"/>
        <v>10992.885281789464</v>
      </c>
      <c r="AO880" s="2680">
        <f t="shared" si="562"/>
        <v>11601.031272653221</v>
      </c>
      <c r="AP880" s="2680">
        <f>+AP733</f>
        <v>12228.43682392546</v>
      </c>
      <c r="AQ880" s="2680">
        <f>+AQ733</f>
        <v>13145.495147355283</v>
      </c>
      <c r="AR880" s="2680">
        <f>+AR733</f>
        <v>14154.141781184437</v>
      </c>
      <c r="AS880" s="2680">
        <f>+AS733</f>
        <v>15297.181571972873</v>
      </c>
      <c r="AT880" s="2680">
        <f>+AT733</f>
        <v>16597.374386796033</v>
      </c>
      <c r="AU880" s="2664"/>
      <c r="AV880" s="2664"/>
      <c r="AW880" s="2664"/>
      <c r="AX880" s="2664"/>
      <c r="AY880" s="2664"/>
      <c r="AZ880" s="2664"/>
      <c r="BA880" s="2664"/>
      <c r="BB880" s="2664"/>
      <c r="BC880" s="2664"/>
      <c r="BD880" s="2664"/>
      <c r="BE880" s="2664"/>
      <c r="BF880" s="2664"/>
      <c r="BG880" s="2664"/>
      <c r="BH880" s="2664"/>
      <c r="BI880" s="2664"/>
      <c r="BJ880" s="2664"/>
      <c r="BK880" s="2664"/>
      <c r="BL880" s="2664"/>
      <c r="BM880" s="2664"/>
      <c r="BN880" s="2664"/>
      <c r="BO880" s="2664"/>
      <c r="BP880" s="2664"/>
      <c r="BQ880" s="2664"/>
      <c r="BR880" s="2664"/>
      <c r="BS880" s="2664"/>
      <c r="BT880" s="2664"/>
      <c r="BU880" s="2664"/>
      <c r="BV880" s="2664"/>
      <c r="BW880" s="2664"/>
      <c r="BX880" s="2664"/>
      <c r="BY880" s="2664"/>
      <c r="BZ880" s="2664"/>
      <c r="CA880" s="2664"/>
      <c r="CB880" s="2664"/>
      <c r="CC880" s="2664"/>
      <c r="CD880" s="2664"/>
      <c r="CE880" s="2664"/>
      <c r="CF880" s="2664"/>
      <c r="CG880" s="2664"/>
      <c r="CH880" s="2664"/>
      <c r="CI880" s="2664"/>
      <c r="CJ880" s="2664"/>
      <c r="CK880" s="2664"/>
      <c r="CL880" s="2664"/>
      <c r="CM880" s="2664"/>
      <c r="CN880" s="2664"/>
      <c r="CO880" s="2664"/>
      <c r="CP880" s="2664"/>
      <c r="CQ880" s="2664"/>
      <c r="CR880" s="2664"/>
      <c r="CS880" s="2664"/>
      <c r="CT880" s="2664"/>
      <c r="CU880" s="2664"/>
      <c r="CV880" s="2664"/>
      <c r="CW880" s="2664"/>
      <c r="CX880" s="2664"/>
      <c r="CY880" s="2664"/>
      <c r="CZ880" s="2664"/>
      <c r="DA880" s="2664"/>
      <c r="DB880" s="2664"/>
      <c r="DC880" s="2664"/>
      <c r="DD880" s="2664"/>
      <c r="DE880" s="2664"/>
      <c r="DF880" s="2664"/>
      <c r="DG880" s="2664"/>
      <c r="DH880" s="2664"/>
      <c r="DI880" s="2664"/>
      <c r="DJ880" s="2664"/>
      <c r="DK880" s="2664"/>
      <c r="DL880" s="2664"/>
      <c r="DM880" s="2664"/>
      <c r="DN880" s="2664"/>
      <c r="DO880" s="2664"/>
      <c r="DP880" s="2664"/>
      <c r="DQ880" s="2664"/>
      <c r="DR880" s="2664"/>
      <c r="DS880" s="2664"/>
      <c r="DT880" s="2664"/>
      <c r="DU880" s="2664"/>
      <c r="DV880" s="2664"/>
      <c r="DW880" s="2664"/>
      <c r="DX880" s="2664"/>
      <c r="DY880" s="2664"/>
      <c r="DZ880" s="2664"/>
      <c r="EA880" s="2664"/>
      <c r="EB880" s="2664"/>
      <c r="EC880" s="2664"/>
      <c r="ED880" s="2664"/>
      <c r="EE880" s="2664"/>
      <c r="EF880" s="2664"/>
      <c r="EG880" s="2664"/>
      <c r="EH880" s="2664"/>
      <c r="EI880" s="2664"/>
      <c r="EJ880" s="2664"/>
      <c r="EK880" s="2664"/>
      <c r="EL880" s="2664"/>
      <c r="EM880" s="2664"/>
      <c r="EN880" s="2664"/>
      <c r="EO880" s="2664"/>
      <c r="EP880" s="2664"/>
      <c r="EQ880" s="2664"/>
      <c r="ER880" s="2664"/>
      <c r="ES880" s="2664"/>
      <c r="ET880" s="2664"/>
      <c r="EU880" s="2664"/>
      <c r="EV880" s="2664"/>
      <c r="EW880" s="2664"/>
      <c r="EX880" s="2664"/>
      <c r="EY880" s="2664"/>
      <c r="EZ880" s="2664"/>
      <c r="FA880" s="2664"/>
      <c r="FB880" s="2664"/>
      <c r="FC880" s="2664"/>
      <c r="FD880" s="2664"/>
      <c r="FE880" s="2664"/>
      <c r="FF880" s="2664"/>
      <c r="FG880" s="2664"/>
      <c r="FH880" s="2664"/>
      <c r="FI880" s="2664"/>
      <c r="FJ880" s="2664"/>
      <c r="FK880" s="2664"/>
      <c r="FL880" s="2664"/>
      <c r="FM880" s="2664"/>
      <c r="FN880" s="2664"/>
      <c r="FO880" s="2664"/>
      <c r="FP880" s="2664"/>
      <c r="FQ880" s="2664"/>
      <c r="FR880" s="2664"/>
      <c r="FS880" s="2664"/>
      <c r="FT880" s="2664"/>
      <c r="FU880" s="2664"/>
      <c r="FV880" s="2664"/>
      <c r="FW880" s="2664"/>
      <c r="FX880" s="2664"/>
      <c r="FY880" s="2664"/>
      <c r="FZ880" s="2664"/>
      <c r="GA880" s="2664"/>
      <c r="GB880" s="2664"/>
      <c r="GC880" s="2664"/>
      <c r="GD880" s="2664"/>
      <c r="GE880" s="2664"/>
      <c r="GF880" s="2664"/>
      <c r="GG880" s="2664"/>
      <c r="GH880" s="2664"/>
      <c r="GI880" s="2664"/>
      <c r="GJ880" s="2664"/>
      <c r="GK880" s="2664"/>
      <c r="GL880" s="2664"/>
      <c r="GM880" s="2664"/>
      <c r="GN880" s="2664"/>
      <c r="GO880" s="2664"/>
      <c r="GP880" s="2664"/>
      <c r="GQ880" s="2664"/>
      <c r="GR880" s="2664"/>
      <c r="GS880" s="2664"/>
      <c r="GT880" s="2664"/>
      <c r="GU880" s="2664"/>
      <c r="GV880" s="2664"/>
      <c r="GW880" s="2664"/>
      <c r="GX880" s="2664"/>
      <c r="GY880" s="2664"/>
      <c r="GZ880" s="2664"/>
      <c r="HA880" s="2664"/>
      <c r="HB880" s="2664"/>
      <c r="HC880" s="2664"/>
      <c r="HD880" s="2664"/>
      <c r="HE880" s="2664"/>
      <c r="HF880" s="2664"/>
      <c r="HG880" s="2664"/>
      <c r="HH880" s="2664"/>
      <c r="HI880" s="2664"/>
      <c r="HJ880" s="2664"/>
      <c r="HK880" s="2664"/>
      <c r="HL880" s="2664"/>
      <c r="HM880" s="2664"/>
      <c r="HN880" s="2664"/>
      <c r="HO880" s="2664"/>
      <c r="HP880" s="2664"/>
      <c r="HQ880" s="2664"/>
      <c r="HR880" s="2664"/>
      <c r="HS880" s="2664"/>
      <c r="HT880" s="2664"/>
      <c r="HU880" s="2664"/>
      <c r="HV880" s="2664"/>
      <c r="HW880" s="2664"/>
      <c r="HX880" s="2664"/>
    </row>
    <row r="881" spans="1:46" ht="15.75" customHeight="1">
      <c r="A881" s="295"/>
      <c r="B881" s="1"/>
      <c r="C881" s="387">
        <f t="shared" si="540"/>
        <v>9</v>
      </c>
      <c r="D881" s="354" t="s">
        <v>284</v>
      </c>
      <c r="I881" s="2"/>
      <c r="J881" s="355">
        <f t="shared" ref="J881:U881" si="563">+J814</f>
        <v>61</v>
      </c>
      <c r="K881" s="355">
        <f t="shared" si="563"/>
        <v>65</v>
      </c>
      <c r="L881" s="355">
        <f t="shared" si="563"/>
        <v>74</v>
      </c>
      <c r="M881" s="355">
        <f t="shared" si="563"/>
        <v>77</v>
      </c>
      <c r="N881" s="355">
        <f t="shared" si="563"/>
        <v>97</v>
      </c>
      <c r="O881" s="355">
        <f t="shared" si="563"/>
        <v>136</v>
      </c>
      <c r="P881" s="355">
        <f t="shared" si="563"/>
        <v>167</v>
      </c>
      <c r="Q881" s="355">
        <f t="shared" si="563"/>
        <v>212</v>
      </c>
      <c r="R881" s="355">
        <f t="shared" si="563"/>
        <v>265</v>
      </c>
      <c r="S881" s="355">
        <f t="shared" si="563"/>
        <v>391</v>
      </c>
      <c r="T881" s="355">
        <f t="shared" si="563"/>
        <v>436</v>
      </c>
      <c r="U881" s="355">
        <f t="shared" si="563"/>
        <v>486</v>
      </c>
      <c r="V881" s="355">
        <f t="shared" ref="V881:Y882" si="564">+V814</f>
        <v>629</v>
      </c>
      <c r="W881" s="894">
        <f t="shared" si="564"/>
        <v>768</v>
      </c>
      <c r="X881" s="894">
        <f t="shared" si="564"/>
        <v>885</v>
      </c>
      <c r="Y881" s="894">
        <f t="shared" si="564"/>
        <v>945</v>
      </c>
      <c r="Z881" s="894">
        <f t="shared" ref="Z881:AF882" si="565">+Z814</f>
        <v>1108</v>
      </c>
      <c r="AA881" s="894">
        <f t="shared" si="565"/>
        <v>1201</v>
      </c>
      <c r="AB881" s="894">
        <f t="shared" si="565"/>
        <v>1143</v>
      </c>
      <c r="AC881" s="894">
        <f t="shared" si="565"/>
        <v>992</v>
      </c>
      <c r="AD881" s="894">
        <f t="shared" si="565"/>
        <v>1323</v>
      </c>
      <c r="AE881" s="894">
        <f t="shared" si="565"/>
        <v>1262</v>
      </c>
      <c r="AF881" s="894">
        <f t="shared" si="565"/>
        <v>2343</v>
      </c>
      <c r="AG881" s="894">
        <f t="shared" ref="AG881:AH881" si="566">+AG814</f>
        <v>3150</v>
      </c>
      <c r="AH881" s="894">
        <f t="shared" si="566"/>
        <v>4104</v>
      </c>
      <c r="AI881" s="894">
        <f>+AI814</f>
        <v>4530</v>
      </c>
      <c r="AJ881" s="1"/>
      <c r="AK881" s="1"/>
      <c r="AL881" s="1"/>
      <c r="AM881" s="1"/>
      <c r="AN881" s="1"/>
      <c r="AO881" s="1"/>
      <c r="AP881" s="1"/>
      <c r="AQ881" s="1"/>
      <c r="AR881" s="1"/>
      <c r="AS881" s="1"/>
      <c r="AT881" s="1"/>
    </row>
    <row r="882" spans="1:46" ht="15.75" customHeight="1">
      <c r="A882" s="295"/>
      <c r="B882" s="1"/>
      <c r="C882" s="387">
        <f t="shared" si="540"/>
        <v>10</v>
      </c>
      <c r="D882" s="354" t="s">
        <v>285</v>
      </c>
      <c r="I882" s="2"/>
      <c r="J882" s="355">
        <f t="shared" ref="J882:U882" si="567">+J815</f>
        <v>25</v>
      </c>
      <c r="K882" s="355">
        <f t="shared" si="567"/>
        <v>34</v>
      </c>
      <c r="L882" s="355">
        <f t="shared" si="567"/>
        <v>37</v>
      </c>
      <c r="M882" s="355">
        <f t="shared" si="567"/>
        <v>41</v>
      </c>
      <c r="N882" s="355">
        <f t="shared" si="567"/>
        <v>54</v>
      </c>
      <c r="O882" s="355">
        <f t="shared" si="567"/>
        <v>61</v>
      </c>
      <c r="P882" s="355">
        <f t="shared" si="567"/>
        <v>81</v>
      </c>
      <c r="Q882" s="355">
        <f t="shared" si="567"/>
        <v>63</v>
      </c>
      <c r="R882" s="355">
        <f t="shared" si="567"/>
        <v>108</v>
      </c>
      <c r="S882" s="355">
        <f t="shared" si="567"/>
        <v>214</v>
      </c>
      <c r="T882" s="355">
        <f t="shared" si="567"/>
        <v>242</v>
      </c>
      <c r="U882" s="355">
        <f t="shared" si="567"/>
        <v>248</v>
      </c>
      <c r="V882" s="355">
        <f t="shared" si="564"/>
        <v>234</v>
      </c>
      <c r="W882" s="894">
        <f t="shared" si="564"/>
        <v>328</v>
      </c>
      <c r="X882" s="894">
        <f t="shared" si="564"/>
        <v>349</v>
      </c>
      <c r="Y882" s="894">
        <f t="shared" si="564"/>
        <v>361</v>
      </c>
      <c r="Z882" s="894">
        <f t="shared" si="565"/>
        <v>383</v>
      </c>
      <c r="AA882" s="894">
        <f t="shared" si="565"/>
        <v>572</v>
      </c>
      <c r="AB882" s="894">
        <f t="shared" si="565"/>
        <v>693</v>
      </c>
      <c r="AC882" s="894">
        <f t="shared" si="565"/>
        <v>497</v>
      </c>
      <c r="AD882" s="894">
        <f t="shared" si="565"/>
        <v>726</v>
      </c>
      <c r="AE882" s="894">
        <f t="shared" si="565"/>
        <v>536</v>
      </c>
      <c r="AF882" s="894">
        <f t="shared" si="565"/>
        <v>1598</v>
      </c>
      <c r="AG882" s="894">
        <f t="shared" ref="AG882:AH882" si="568">+AG815</f>
        <v>2197</v>
      </c>
      <c r="AH882" s="894">
        <f t="shared" si="568"/>
        <v>2826</v>
      </c>
      <c r="AI882" s="894">
        <f>+AI815</f>
        <v>2606</v>
      </c>
      <c r="AJ882" s="1"/>
      <c r="AK882" s="1"/>
      <c r="AL882" s="1"/>
      <c r="AM882" s="1"/>
      <c r="AN882" s="1"/>
      <c r="AO882" s="1"/>
      <c r="AP882" s="1"/>
      <c r="AQ882" s="1"/>
      <c r="AR882" s="1"/>
      <c r="AS882" s="1"/>
      <c r="AT882" s="1"/>
    </row>
    <row r="883" spans="1:46" ht="15.75" customHeight="1">
      <c r="A883" s="295"/>
      <c r="B883" s="1"/>
      <c r="C883" s="387">
        <f t="shared" si="540"/>
        <v>11</v>
      </c>
      <c r="D883" s="339" t="s">
        <v>279</v>
      </c>
      <c r="I883" s="2"/>
      <c r="J883" s="342">
        <f t="shared" ref="J883:P883" si="569">+J816</f>
        <v>0</v>
      </c>
      <c r="K883" s="342">
        <f t="shared" si="569"/>
        <v>0</v>
      </c>
      <c r="L883" s="342">
        <f t="shared" si="569"/>
        <v>0</v>
      </c>
      <c r="M883" s="342">
        <f t="shared" si="569"/>
        <v>0</v>
      </c>
      <c r="N883" s="342">
        <f t="shared" si="569"/>
        <v>0</v>
      </c>
      <c r="O883" s="342">
        <f t="shared" si="569"/>
        <v>0</v>
      </c>
      <c r="P883" s="342">
        <f t="shared" si="569"/>
        <v>0</v>
      </c>
      <c r="Q883" s="342"/>
      <c r="R883" s="342"/>
      <c r="S883" s="342"/>
      <c r="T883" s="342"/>
      <c r="U883" s="342"/>
      <c r="V883" s="342"/>
      <c r="W883" s="342"/>
      <c r="X883" s="342"/>
      <c r="Y883" s="342"/>
      <c r="Z883" s="342"/>
      <c r="AA883" s="342"/>
      <c r="AB883" s="342"/>
      <c r="AC883" s="342"/>
      <c r="AD883" s="342"/>
      <c r="AE883" s="342"/>
      <c r="AF883" s="342"/>
      <c r="AG883" s="342"/>
      <c r="AH883" s="342"/>
      <c r="AI883" s="342"/>
      <c r="AJ883" s="1"/>
      <c r="AK883" s="1"/>
      <c r="AL883" s="1"/>
      <c r="AM883" s="1"/>
      <c r="AN883" s="1"/>
      <c r="AO883" s="1"/>
      <c r="AP883" s="1"/>
      <c r="AQ883" s="1"/>
      <c r="AR883" s="1"/>
      <c r="AS883" s="1"/>
      <c r="AT883" s="1"/>
    </row>
    <row r="884" spans="1:46" s="1892" customFormat="1" ht="15.75" customHeight="1">
      <c r="A884" s="2573"/>
      <c r="C884" s="2574">
        <f t="shared" si="540"/>
        <v>12</v>
      </c>
      <c r="D884" s="2575" t="s">
        <v>1144</v>
      </c>
      <c r="E884" s="3046"/>
      <c r="F884" s="1239"/>
      <c r="G884" s="1239"/>
      <c r="H884" s="1239"/>
      <c r="I884" s="2668"/>
      <c r="J884" s="2663">
        <f t="shared" ref="J884:U884" si="570">+J819</f>
        <v>39</v>
      </c>
      <c r="K884" s="2663">
        <f t="shared" si="570"/>
        <v>43</v>
      </c>
      <c r="L884" s="2663">
        <f t="shared" si="570"/>
        <v>63</v>
      </c>
      <c r="M884" s="2663">
        <f t="shared" si="570"/>
        <v>58</v>
      </c>
      <c r="N884" s="2663">
        <f t="shared" si="570"/>
        <v>89</v>
      </c>
      <c r="O884" s="2663">
        <f t="shared" si="570"/>
        <v>143</v>
      </c>
      <c r="P884" s="2663">
        <f t="shared" si="570"/>
        <v>175</v>
      </c>
      <c r="Q884" s="2663">
        <f t="shared" si="570"/>
        <v>201</v>
      </c>
      <c r="R884" s="2663">
        <f t="shared" si="570"/>
        <v>305</v>
      </c>
      <c r="S884" s="2663">
        <f t="shared" si="570"/>
        <v>319</v>
      </c>
      <c r="T884" s="2663">
        <f t="shared" si="570"/>
        <v>334</v>
      </c>
      <c r="U884" s="2663">
        <f t="shared" si="570"/>
        <v>383</v>
      </c>
      <c r="V884" s="2663">
        <f>+V819</f>
        <v>522</v>
      </c>
      <c r="W884" s="2664">
        <f>+W819</f>
        <v>565</v>
      </c>
      <c r="X884" s="2664">
        <f>+X819</f>
        <v>682</v>
      </c>
      <c r="Y884" s="2664">
        <f>+Y819</f>
        <v>780</v>
      </c>
      <c r="Z884" s="2664">
        <f>+Z819</f>
        <v>814</v>
      </c>
      <c r="AA884" s="2664">
        <f t="shared" ref="AA884:AF884" si="571">+AA819</f>
        <v>1057</v>
      </c>
      <c r="AB884" s="2664">
        <f t="shared" si="571"/>
        <v>1580</v>
      </c>
      <c r="AC884" s="2664">
        <f t="shared" si="571"/>
        <v>1797</v>
      </c>
      <c r="AD884" s="2664">
        <f t="shared" si="571"/>
        <v>2084</v>
      </c>
      <c r="AE884" s="2664">
        <f t="shared" si="571"/>
        <v>1847</v>
      </c>
      <c r="AF884" s="2664">
        <f t="shared" si="571"/>
        <v>2145</v>
      </c>
      <c r="AG884" s="2664">
        <f>+AG819</f>
        <v>3088</v>
      </c>
      <c r="AH884" s="2664">
        <f>+AH819</f>
        <v>4279</v>
      </c>
      <c r="AI884" s="2664">
        <f>+AI819</f>
        <v>5791</v>
      </c>
      <c r="AJ884" s="2669">
        <f t="shared" ref="AJ884:AT884" si="572">+AJ173*AJ$266/1000+AJ724</f>
        <v>6105.8637282955424</v>
      </c>
      <c r="AK884" s="2664">
        <f>+AK173*AK$266/1000+AK724</f>
        <v>7259.1554082731354</v>
      </c>
      <c r="AL884" s="2664">
        <f t="shared" si="572"/>
        <v>8203.7074372238494</v>
      </c>
      <c r="AM884" s="2664">
        <f t="shared" si="572"/>
        <v>9127.7462103477883</v>
      </c>
      <c r="AN884" s="2664">
        <f t="shared" si="572"/>
        <v>9863.4996899768339</v>
      </c>
      <c r="AO884" s="2579">
        <f t="shared" si="572"/>
        <v>10820.3280140768</v>
      </c>
      <c r="AP884" s="2579">
        <f t="shared" si="572"/>
        <v>12013.78472006365</v>
      </c>
      <c r="AQ884" s="2579">
        <f t="shared" si="572"/>
        <v>13318.346015879422</v>
      </c>
      <c r="AR884" s="2579">
        <f t="shared" si="572"/>
        <v>14788.197301211334</v>
      </c>
      <c r="AS884" s="2579">
        <f t="shared" si="572"/>
        <v>16446.616951063465</v>
      </c>
      <c r="AT884" s="2579">
        <f t="shared" si="572"/>
        <v>18320.291323958281</v>
      </c>
    </row>
    <row r="885" spans="1:46" s="1892" customFormat="1" ht="15.75" customHeight="1">
      <c r="A885" s="2573"/>
      <c r="C885" s="2574">
        <f t="shared" si="540"/>
        <v>13</v>
      </c>
      <c r="D885" s="2575" t="s">
        <v>1143</v>
      </c>
      <c r="E885" s="3046"/>
      <c r="F885" s="1239"/>
      <c r="G885" s="1239"/>
      <c r="H885" s="1239"/>
      <c r="I885" s="2668"/>
      <c r="J885" s="2663">
        <f t="shared" ref="J885:U885" si="573">+J822</f>
        <v>158</v>
      </c>
      <c r="K885" s="2663">
        <f t="shared" si="573"/>
        <v>178</v>
      </c>
      <c r="L885" s="2663">
        <f t="shared" si="573"/>
        <v>191</v>
      </c>
      <c r="M885" s="2663">
        <f t="shared" si="573"/>
        <v>200</v>
      </c>
      <c r="N885" s="2663">
        <f t="shared" si="573"/>
        <v>248</v>
      </c>
      <c r="O885" s="2663">
        <f t="shared" si="573"/>
        <v>317</v>
      </c>
      <c r="P885" s="2663">
        <f t="shared" si="573"/>
        <v>385</v>
      </c>
      <c r="Q885" s="2663">
        <f t="shared" si="573"/>
        <v>407</v>
      </c>
      <c r="R885" s="2663">
        <f t="shared" si="573"/>
        <v>496</v>
      </c>
      <c r="S885" s="2663">
        <f t="shared" si="573"/>
        <v>745</v>
      </c>
      <c r="T885" s="2663">
        <f t="shared" si="573"/>
        <v>851</v>
      </c>
      <c r="U885" s="2663">
        <f t="shared" si="573"/>
        <v>949</v>
      </c>
      <c r="V885" s="2663">
        <f t="shared" ref="V885:AA885" si="574">+V822</f>
        <v>1118</v>
      </c>
      <c r="W885" s="2664">
        <f t="shared" si="574"/>
        <v>1342</v>
      </c>
      <c r="X885" s="2664">
        <f t="shared" si="574"/>
        <v>1476</v>
      </c>
      <c r="Y885" s="2664">
        <f t="shared" si="574"/>
        <v>1688</v>
      </c>
      <c r="Z885" s="2664">
        <f t="shared" si="574"/>
        <v>1967</v>
      </c>
      <c r="AA885" s="2664">
        <f t="shared" si="574"/>
        <v>2333</v>
      </c>
      <c r="AB885" s="2664">
        <f t="shared" ref="AB885:AG885" si="575">+AB822</f>
        <v>2551</v>
      </c>
      <c r="AC885" s="2664">
        <f t="shared" si="575"/>
        <v>2190</v>
      </c>
      <c r="AD885" s="2664">
        <f t="shared" si="575"/>
        <v>2541</v>
      </c>
      <c r="AE885" s="2664">
        <f t="shared" si="575"/>
        <v>2541</v>
      </c>
      <c r="AF885" s="2664">
        <f t="shared" si="575"/>
        <v>5173</v>
      </c>
      <c r="AG885" s="2664">
        <f t="shared" si="575"/>
        <v>5546</v>
      </c>
      <c r="AH885" s="2664">
        <f>+AH822</f>
        <v>7637</v>
      </c>
      <c r="AI885" s="2664">
        <f>+AI822</f>
        <v>8807</v>
      </c>
      <c r="AJ885" s="2669">
        <f t="shared" ref="AJ885:AT885" si="576">+AJ188*AJ$266/1000+AJ725</f>
        <v>9255.5497350911792</v>
      </c>
      <c r="AK885" s="2664">
        <f t="shared" si="576"/>
        <v>11239.724925264929</v>
      </c>
      <c r="AL885" s="2664">
        <f t="shared" si="576"/>
        <v>12548.028840169043</v>
      </c>
      <c r="AM885" s="2664">
        <f t="shared" si="576"/>
        <v>12912.440581897368</v>
      </c>
      <c r="AN885" s="2664">
        <f t="shared" si="576"/>
        <v>13472.216942839488</v>
      </c>
      <c r="AO885" s="2579">
        <f t="shared" si="576"/>
        <v>14533.640220295469</v>
      </c>
      <c r="AP885" s="2579">
        <f t="shared" si="576"/>
        <v>15850.099931825436</v>
      </c>
      <c r="AQ885" s="2579">
        <f t="shared" si="576"/>
        <v>17123.685833033953</v>
      </c>
      <c r="AR885" s="2579">
        <f t="shared" si="576"/>
        <v>18547.222744405553</v>
      </c>
      <c r="AS885" s="2579">
        <f t="shared" si="576"/>
        <v>20032.530619046876</v>
      </c>
      <c r="AT885" s="2579">
        <f t="shared" si="576"/>
        <v>21731.11203094048</v>
      </c>
    </row>
    <row r="886" spans="1:46" ht="11.25" customHeight="1" thickBot="1">
      <c r="A886" s="295"/>
      <c r="B886" s="1"/>
      <c r="D886" s="390" t="s">
        <v>984</v>
      </c>
      <c r="E886" s="3053"/>
      <c r="F886" s="349"/>
      <c r="G886" s="349"/>
      <c r="H886" s="349"/>
      <c r="I886" s="349"/>
      <c r="J886" s="349"/>
      <c r="K886" s="349"/>
      <c r="L886" s="349"/>
      <c r="M886" s="349"/>
      <c r="N886" s="349"/>
      <c r="O886" s="349"/>
      <c r="P886" s="349"/>
      <c r="Q886" s="349"/>
      <c r="R886" s="349"/>
      <c r="S886" s="349"/>
      <c r="T886" s="349"/>
      <c r="U886" s="349"/>
      <c r="V886" s="1312" t="str">
        <f t="shared" ref="V886:AF886" si="577">+IF(ABS(V873-V874-V877-V878-V883-V884+V885)&gt;1,V873-V874-V877-V878-V883-V884+V885,"")</f>
        <v/>
      </c>
      <c r="W886" s="1312" t="str">
        <f t="shared" si="577"/>
        <v/>
      </c>
      <c r="X886" s="1312" t="str">
        <f t="shared" si="577"/>
        <v/>
      </c>
      <c r="Y886" s="1312" t="str">
        <f t="shared" si="577"/>
        <v/>
      </c>
      <c r="Z886" s="1312" t="str">
        <f t="shared" si="577"/>
        <v/>
      </c>
      <c r="AA886" s="1312" t="str">
        <f t="shared" si="577"/>
        <v/>
      </c>
      <c r="AB886" s="1312" t="str">
        <f t="shared" si="577"/>
        <v/>
      </c>
      <c r="AC886" s="1312" t="str">
        <f t="shared" si="577"/>
        <v/>
      </c>
      <c r="AD886" s="1312" t="str">
        <f t="shared" si="577"/>
        <v/>
      </c>
      <c r="AE886" s="1312" t="str">
        <f t="shared" si="577"/>
        <v/>
      </c>
      <c r="AF886" s="1312" t="str">
        <f t="shared" si="577"/>
        <v/>
      </c>
      <c r="AG886" s="1312">
        <f>+IF(ABS(AG873-AG874-AG877-AG878-AG883-AG884+AG885)&gt;1,AG873-AG874-AG877-AG878-AG883-AG884+AG885,"")</f>
        <v>-2</v>
      </c>
      <c r="AH886" s="2382">
        <f>+IF(ABS(AH873-AH874-AH877-AH878-AH883-AH884+AH885)&gt;1,AH873-AH874-AH877-AH878-AH883-AH884+AH885,"")</f>
        <v>-484</v>
      </c>
      <c r="AI886" s="2382">
        <f t="shared" ref="AI886:AN886" si="578">+IF(ABS(AI873-AI874-AI877-AI878-AI883-AI884+AI885)&gt;1,AI873-AI874-AI877-AI878-AI883-AI884+AI885,"")</f>
        <v>-760</v>
      </c>
      <c r="AJ886" s="2287" t="str">
        <f t="shared" si="578"/>
        <v/>
      </c>
      <c r="AK886" s="1312" t="str">
        <f t="shared" si="578"/>
        <v/>
      </c>
      <c r="AL886" s="1312" t="str">
        <f t="shared" si="578"/>
        <v/>
      </c>
      <c r="AM886" s="1312" t="str">
        <f t="shared" si="578"/>
        <v/>
      </c>
      <c r="AN886" s="1312" t="str">
        <f t="shared" si="578"/>
        <v/>
      </c>
      <c r="AO886" s="1838" t="str">
        <f t="shared" ref="AO886:AT886" si="579">+IF(ABS(AO873-AO874-AO877-AO878-AO883-AO884+AO885)&gt;1,AO873-AO874-AO877-AO878-AO883-AO884+AO885,"")</f>
        <v/>
      </c>
      <c r="AP886" s="1838" t="str">
        <f t="shared" si="579"/>
        <v/>
      </c>
      <c r="AQ886" s="1838" t="str">
        <f t="shared" si="579"/>
        <v/>
      </c>
      <c r="AR886" s="1838" t="str">
        <f t="shared" si="579"/>
        <v/>
      </c>
      <c r="AS886" s="1838" t="str">
        <f t="shared" si="579"/>
        <v/>
      </c>
      <c r="AT886" s="1838" t="str">
        <f t="shared" si="579"/>
        <v/>
      </c>
    </row>
    <row r="887" spans="1:46" s="1892" customFormat="1" ht="15.75" customHeight="1" thickTop="1">
      <c r="A887" s="2573"/>
      <c r="C887" s="2573"/>
      <c r="D887" s="1893" t="s">
        <v>1125</v>
      </c>
      <c r="E887" s="3046"/>
      <c r="F887" s="1239"/>
      <c r="G887" s="1239"/>
      <c r="H887" s="1239"/>
      <c r="I887" s="1239"/>
      <c r="J887" s="1239"/>
      <c r="K887" s="1239"/>
      <c r="L887" s="1239"/>
      <c r="M887" s="1239"/>
      <c r="N887" s="1239"/>
      <c r="O887" s="1239"/>
      <c r="P887" s="1239"/>
      <c r="Q887" s="1239"/>
      <c r="R887" s="1239"/>
      <c r="S887" s="1239"/>
      <c r="T887" s="1239"/>
      <c r="U887" s="1239"/>
      <c r="V887" s="2663"/>
      <c r="W887" s="2664"/>
      <c r="X887" s="2665"/>
      <c r="Y887" s="2665"/>
      <c r="Z887" s="2665"/>
      <c r="AA887" s="2665"/>
      <c r="AB887" s="2665"/>
      <c r="AC887" s="2665"/>
      <c r="AD887" s="3207"/>
      <c r="AE887" s="3207"/>
      <c r="AF887" s="3207"/>
      <c r="AG887" s="3207"/>
      <c r="AH887" s="3207"/>
      <c r="AI887" s="2" t="s">
        <v>1707</v>
      </c>
      <c r="AJ887" s="2682">
        <f t="shared" ref="AJ887:AT887" si="580">AJ876+AJ879</f>
        <v>4177.32553471553</v>
      </c>
      <c r="AK887" s="2682">
        <f t="shared" si="580"/>
        <v>4535.8775457123411</v>
      </c>
      <c r="AL887" s="2682">
        <f t="shared" si="580"/>
        <v>5142.1688048452197</v>
      </c>
      <c r="AM887" s="2682">
        <f t="shared" si="580"/>
        <v>5785.3945260533947</v>
      </c>
      <c r="AN887" s="2682">
        <f t="shared" si="580"/>
        <v>6504.9000980888686</v>
      </c>
      <c r="AO887" s="2682">
        <f t="shared" si="580"/>
        <v>9988.7336759943428</v>
      </c>
      <c r="AP887" s="2682">
        <f t="shared" si="580"/>
        <v>10943.815298545129</v>
      </c>
      <c r="AQ887" s="2682">
        <f t="shared" si="580"/>
        <v>12531.476778241433</v>
      </c>
      <c r="AR887" s="2682">
        <f t="shared" si="580"/>
        <v>14761.780059222707</v>
      </c>
      <c r="AS887" s="2682">
        <f t="shared" si="580"/>
        <v>18872.172182764662</v>
      </c>
      <c r="AT887" s="2682">
        <f t="shared" si="580"/>
        <v>25579.97863338056</v>
      </c>
    </row>
    <row r="888" spans="1:46" ht="15.75" customHeight="1">
      <c r="A888" s="295"/>
      <c r="B888" s="1"/>
      <c r="D888" s="297"/>
      <c r="U888"/>
      <c r="V888" s="342"/>
      <c r="W888" s="338"/>
      <c r="X888" s="1222"/>
      <c r="Y888" s="1222"/>
      <c r="Z888" s="1222"/>
      <c r="AA888" s="1222"/>
      <c r="AB888" s="1222"/>
      <c r="AC888" s="1222"/>
      <c r="AD888" s="3208"/>
      <c r="AE888" s="3208"/>
      <c r="AF888" s="3208"/>
      <c r="AG888" s="3208"/>
      <c r="AH888" s="3208"/>
      <c r="AI888" s="3379" t="s">
        <v>1708</v>
      </c>
      <c r="AJ888" s="2880">
        <f t="shared" ref="AJ888:AT888" si="581">AJ877/AI877-1</f>
        <v>5.229510901163148E-2</v>
      </c>
      <c r="AK888" s="2880">
        <f t="shared" si="581"/>
        <v>0.19931987467308332</v>
      </c>
      <c r="AL888" s="2880">
        <f t="shared" si="581"/>
        <v>0.11998462006742261</v>
      </c>
      <c r="AM888" s="2880">
        <f t="shared" si="581"/>
        <v>0.11361218019877617</v>
      </c>
      <c r="AN888" s="2880">
        <f t="shared" si="581"/>
        <v>0.11696508252212889</v>
      </c>
      <c r="AO888" s="2880">
        <f t="shared" si="581"/>
        <v>4.9969401414908798E-2</v>
      </c>
      <c r="AP888" s="2880">
        <f t="shared" si="581"/>
        <v>0.17430263706085714</v>
      </c>
      <c r="AQ888" s="2880">
        <f t="shared" si="581"/>
        <v>0.15085160304801271</v>
      </c>
      <c r="AR888" s="2880">
        <f t="shared" si="581"/>
        <v>0.14210679183513952</v>
      </c>
      <c r="AS888" s="2880">
        <f t="shared" si="581"/>
        <v>9.2169498945654738E-2</v>
      </c>
      <c r="AT888" s="2880">
        <f t="shared" si="581"/>
        <v>4.5082740333935778E-2</v>
      </c>
    </row>
    <row r="889" spans="1:46">
      <c r="A889" s="295"/>
      <c r="B889" s="1"/>
      <c r="D889" s="11" t="s">
        <v>309</v>
      </c>
      <c r="I889" s="2"/>
      <c r="L889" s="1"/>
      <c r="M889" s="1"/>
      <c r="N889" s="1"/>
      <c r="O889" s="1"/>
      <c r="P889" s="1"/>
      <c r="Q889" s="1"/>
      <c r="R889" s="1"/>
      <c r="S889" s="1"/>
      <c r="T889" s="1"/>
      <c r="V889" s="1"/>
      <c r="X889" s="824"/>
      <c r="Z889" s="824"/>
      <c r="AI889" s="2" t="s">
        <v>1709</v>
      </c>
      <c r="AJ889" s="2683">
        <f t="shared" ref="AJ889:AT889" si="582">AJ880/AI880-1</f>
        <v>0.18406499469095916</v>
      </c>
      <c r="AK889" s="2683">
        <f t="shared" si="582"/>
        <v>0.26608030703575514</v>
      </c>
      <c r="AL889" s="2683">
        <f t="shared" si="582"/>
        <v>0.12810587621881986</v>
      </c>
      <c r="AM889" s="2683">
        <f t="shared" si="582"/>
        <v>4.1036265485876244E-2</v>
      </c>
      <c r="AN889" s="2683">
        <f t="shared" si="582"/>
        <v>0.10790298215835481</v>
      </c>
      <c r="AO889" s="2683">
        <f t="shared" si="582"/>
        <v>5.5321780885969618E-2</v>
      </c>
      <c r="AP889" s="2683">
        <f t="shared" si="582"/>
        <v>5.4081877423363567E-2</v>
      </c>
      <c r="AQ889" s="2683">
        <f t="shared" si="582"/>
        <v>7.4993912683553932E-2</v>
      </c>
      <c r="AR889" s="2683">
        <f t="shared" si="582"/>
        <v>7.6729451612332911E-2</v>
      </c>
      <c r="AS889" s="2683">
        <f t="shared" si="582"/>
        <v>8.0756559349145274E-2</v>
      </c>
      <c r="AT889" s="2683">
        <f t="shared" si="582"/>
        <v>8.4995579656669706E-2</v>
      </c>
    </row>
    <row r="890" spans="1:46" ht="16.75" thickBot="1">
      <c r="A890" s="295"/>
      <c r="B890" s="1"/>
      <c r="D890" s="295" t="s">
        <v>1123</v>
      </c>
      <c r="E890" s="3054">
        <f ca="1">NOW()</f>
        <v>46074.610906250004</v>
      </c>
      <c r="I890" s="2"/>
      <c r="L890" s="1"/>
      <c r="M890" s="1"/>
      <c r="N890" s="1"/>
      <c r="O890" s="1"/>
      <c r="P890" s="1"/>
      <c r="Q890" s="1"/>
      <c r="R890" s="1"/>
      <c r="S890" s="1"/>
      <c r="T890" s="1"/>
      <c r="V890" s="1"/>
      <c r="X890" s="824"/>
      <c r="Z890" s="824"/>
      <c r="AI890" s="2" t="s">
        <v>1710</v>
      </c>
      <c r="AJ890" s="2881">
        <f t="shared" ref="AJ890:AT890" si="583">AJ885/AI885-1</f>
        <v>5.0931047472599023E-2</v>
      </c>
      <c r="AK890" s="2881">
        <f t="shared" si="583"/>
        <v>0.21437680602060993</v>
      </c>
      <c r="AL890" s="2881">
        <f t="shared" si="583"/>
        <v>0.11639999409267365</v>
      </c>
      <c r="AM890" s="2881">
        <f t="shared" si="583"/>
        <v>2.9041353536083836E-2</v>
      </c>
      <c r="AN890" s="2881">
        <f t="shared" si="583"/>
        <v>4.3351708562895608E-2</v>
      </c>
      <c r="AO890" s="2881">
        <f t="shared" si="583"/>
        <v>7.8786088582111891E-2</v>
      </c>
      <c r="AP890" s="2881">
        <f t="shared" si="583"/>
        <v>9.0580177545031004E-2</v>
      </c>
      <c r="AQ890" s="2881">
        <f t="shared" si="583"/>
        <v>8.0351916182640704E-2</v>
      </c>
      <c r="AR890" s="2881">
        <f t="shared" si="583"/>
        <v>8.3132622570393222E-2</v>
      </c>
      <c r="AS890" s="2881">
        <f t="shared" si="583"/>
        <v>8.0082495105060492E-2</v>
      </c>
      <c r="AT890" s="2881">
        <f t="shared" si="583"/>
        <v>8.4791155156333398E-2</v>
      </c>
    </row>
    <row r="891" spans="1:46">
      <c r="A891" s="295"/>
      <c r="B891" s="292"/>
      <c r="C891" s="293"/>
      <c r="D891" s="313" t="s">
        <v>310</v>
      </c>
      <c r="E891" s="3845" t="s">
        <v>283</v>
      </c>
      <c r="F891" s="314"/>
      <c r="G891" s="314"/>
      <c r="H891" s="314"/>
      <c r="I891" s="314"/>
      <c r="J891" s="315"/>
      <c r="K891" s="315"/>
      <c r="L891" s="315"/>
      <c r="M891" s="315"/>
      <c r="N891" s="315"/>
      <c r="O891" s="315"/>
      <c r="P891" s="315"/>
      <c r="Q891" s="315"/>
      <c r="R891" s="315"/>
      <c r="S891" s="315"/>
      <c r="T891" s="315"/>
      <c r="U891" s="315"/>
      <c r="V891" s="326"/>
      <c r="W891" s="326"/>
      <c r="X891" s="326"/>
      <c r="Y891" s="326"/>
      <c r="Z891" s="327"/>
      <c r="AA891" s="328"/>
      <c r="AB891" s="328"/>
      <c r="AC891" s="328"/>
      <c r="AD891" s="328"/>
      <c r="AE891" s="328"/>
      <c r="AF891" s="328"/>
      <c r="AG891" s="328"/>
      <c r="AH891" s="328"/>
      <c r="AI891" s="2176"/>
      <c r="AJ891" s="328"/>
      <c r="AK891" s="328"/>
      <c r="AL891" s="328"/>
      <c r="AM891" s="328"/>
      <c r="AN891" s="328"/>
      <c r="AO891" s="328"/>
      <c r="AP891" s="328"/>
      <c r="AQ891" s="328"/>
      <c r="AR891" s="328"/>
      <c r="AS891" s="328"/>
      <c r="AT891" s="328"/>
    </row>
    <row r="892" spans="1:46">
      <c r="A892" s="295"/>
      <c r="B892" s="292"/>
      <c r="C892" s="293"/>
      <c r="D892" s="370" t="s">
        <v>300</v>
      </c>
      <c r="E892" s="3846"/>
      <c r="F892" s="2"/>
      <c r="G892" s="2"/>
      <c r="H892" s="2"/>
      <c r="I892" s="2"/>
      <c r="J892" s="231"/>
      <c r="K892" s="231"/>
      <c r="L892" s="231"/>
      <c r="M892" s="231"/>
      <c r="N892" s="231"/>
      <c r="O892" s="231"/>
      <c r="P892" s="231"/>
      <c r="Q892" s="231"/>
      <c r="R892" s="231"/>
      <c r="S892" s="231"/>
      <c r="T892" s="231"/>
      <c r="U892" s="231"/>
      <c r="V892" s="1905">
        <f>+V832</f>
        <v>2011</v>
      </c>
      <c r="W892" s="1905">
        <f>+W832</f>
        <v>2012</v>
      </c>
      <c r="X892" s="1905">
        <f>+X832</f>
        <v>2013</v>
      </c>
      <c r="Y892" s="1905">
        <f t="shared" ref="Y892:AE892" si="584">+Y832</f>
        <v>2014</v>
      </c>
      <c r="Z892" s="1905">
        <f t="shared" si="584"/>
        <v>2015</v>
      </c>
      <c r="AA892" s="1905">
        <f t="shared" si="584"/>
        <v>2016</v>
      </c>
      <c r="AB892" s="1905">
        <v>2017</v>
      </c>
      <c r="AC892" s="1905">
        <f t="shared" si="584"/>
        <v>2018</v>
      </c>
      <c r="AD892" s="1905">
        <f>+AD832</f>
        <v>2019</v>
      </c>
      <c r="AE892" s="1905">
        <f t="shared" si="584"/>
        <v>2020</v>
      </c>
      <c r="AF892" s="1905">
        <f t="shared" ref="AF892:AT892" si="585">+AF832</f>
        <v>2021</v>
      </c>
      <c r="AG892" s="1905">
        <f t="shared" si="585"/>
        <v>2022</v>
      </c>
      <c r="AH892" s="1905">
        <f t="shared" si="585"/>
        <v>2023</v>
      </c>
      <c r="AI892" s="2177">
        <f t="shared" si="585"/>
        <v>2024</v>
      </c>
      <c r="AJ892" s="1905">
        <f t="shared" si="585"/>
        <v>2025</v>
      </c>
      <c r="AK892" s="1905">
        <f t="shared" si="585"/>
        <v>2026</v>
      </c>
      <c r="AL892" s="1905">
        <f t="shared" si="585"/>
        <v>2027</v>
      </c>
      <c r="AM892" s="1905">
        <f t="shared" si="585"/>
        <v>2028</v>
      </c>
      <c r="AN892" s="1905">
        <f t="shared" si="585"/>
        <v>2029</v>
      </c>
      <c r="AO892" s="1905">
        <f t="shared" si="585"/>
        <v>2030</v>
      </c>
      <c r="AP892" s="1905">
        <f t="shared" si="585"/>
        <v>2031</v>
      </c>
      <c r="AQ892" s="1905">
        <f t="shared" si="585"/>
        <v>2032</v>
      </c>
      <c r="AR892" s="1905">
        <f t="shared" si="585"/>
        <v>2033</v>
      </c>
      <c r="AS892" s="1905">
        <f t="shared" si="585"/>
        <v>2034</v>
      </c>
      <c r="AT892" s="1905">
        <f t="shared" si="585"/>
        <v>2035</v>
      </c>
    </row>
    <row r="893" spans="1:46">
      <c r="A893" s="295"/>
      <c r="B893" s="292"/>
      <c r="C893" s="293"/>
      <c r="D893" s="325" t="s">
        <v>357</v>
      </c>
      <c r="E893" s="3055"/>
      <c r="F893" s="2"/>
      <c r="G893" s="2"/>
      <c r="H893" s="2"/>
      <c r="I893" s="2"/>
      <c r="J893" s="231"/>
      <c r="K893" s="231"/>
      <c r="L893" s="231"/>
      <c r="M893" s="231"/>
      <c r="N893" s="231"/>
      <c r="O893" s="231"/>
      <c r="P893" s="231"/>
      <c r="Q893" s="231"/>
      <c r="R893" s="231"/>
      <c r="S893" s="231"/>
      <c r="T893" s="231"/>
      <c r="U893" s="231"/>
      <c r="V893" s="330">
        <f t="shared" ref="V893:AT893" si="586">+(V187*V$266/1000)*V423/(V876+V877)</f>
        <v>0.108094170607396</v>
      </c>
      <c r="W893" s="330">
        <f t="shared" si="586"/>
        <v>0.10361747315143088</v>
      </c>
      <c r="X893" s="330">
        <f t="shared" si="586"/>
        <v>0.11184138101547657</v>
      </c>
      <c r="Y893" s="330">
        <f t="shared" si="586"/>
        <v>0.10308488416739815</v>
      </c>
      <c r="Z893" s="330">
        <f>+(Z187*Z$266/1000)*Z423/(Z876+Z877)</f>
        <v>0.11892124245333738</v>
      </c>
      <c r="AA893" s="330">
        <f t="shared" si="586"/>
        <v>0.13396725637039397</v>
      </c>
      <c r="AB893" s="330">
        <f t="shared" si="586"/>
        <v>0.12052758127915486</v>
      </c>
      <c r="AC893" s="330">
        <f t="shared" si="586"/>
        <v>0.11947978846031743</v>
      </c>
      <c r="AD893" s="330">
        <f t="shared" si="586"/>
        <v>0.12192897964003883</v>
      </c>
      <c r="AE893" s="330">
        <f t="shared" si="586"/>
        <v>0.12085988306280622</v>
      </c>
      <c r="AF893" s="330">
        <f t="shared" si="586"/>
        <v>0.12096341245649658</v>
      </c>
      <c r="AG893" s="330">
        <f t="shared" si="586"/>
        <v>0.14300426451072376</v>
      </c>
      <c r="AH893" s="330">
        <f t="shared" si="586"/>
        <v>0.16060471015107211</v>
      </c>
      <c r="AI893" s="2178">
        <f t="shared" si="586"/>
        <v>0.17308046633575594</v>
      </c>
      <c r="AJ893" s="330">
        <f t="shared" si="586"/>
        <v>0.17824562619242279</v>
      </c>
      <c r="AK893" s="330">
        <f t="shared" si="586"/>
        <v>0.18824503402218148</v>
      </c>
      <c r="AL893" s="330">
        <f t="shared" si="586"/>
        <v>0.18616825630078243</v>
      </c>
      <c r="AM893" s="330">
        <f t="shared" si="586"/>
        <v>0.17157114094496506</v>
      </c>
      <c r="AN893" s="330">
        <f t="shared" si="586"/>
        <v>0.16008805464238349</v>
      </c>
      <c r="AO893" s="1909">
        <f t="shared" si="586"/>
        <v>0.14778889873895151</v>
      </c>
      <c r="AP893" s="1909">
        <f t="shared" si="586"/>
        <v>0.13685541909556095</v>
      </c>
      <c r="AQ893" s="1909">
        <f t="shared" si="586"/>
        <v>0.1267522337079304</v>
      </c>
      <c r="AR893" s="1909">
        <f t="shared" si="586"/>
        <v>0.11789698375956797</v>
      </c>
      <c r="AS893" s="1909">
        <f t="shared" si="586"/>
        <v>0.11069834781339795</v>
      </c>
      <c r="AT893" s="1909">
        <f t="shared" si="586"/>
        <v>0.10314393520360125</v>
      </c>
    </row>
    <row r="894" spans="1:46">
      <c r="A894" s="295"/>
      <c r="B894" s="292"/>
      <c r="C894" s="293"/>
      <c r="D894" s="325" t="s">
        <v>716</v>
      </c>
      <c r="E894" s="3056" t="s">
        <v>359</v>
      </c>
      <c r="F894" s="2"/>
      <c r="G894" s="2"/>
      <c r="H894" s="2"/>
      <c r="I894" s="2"/>
      <c r="J894" s="231"/>
      <c r="K894" s="231"/>
      <c r="L894" s="231"/>
      <c r="M894" s="231"/>
      <c r="N894" s="231"/>
      <c r="O894" s="231"/>
      <c r="P894" s="231"/>
      <c r="Q894" s="231"/>
      <c r="R894" s="231"/>
      <c r="S894" s="231"/>
      <c r="T894" s="231"/>
      <c r="U894" s="231"/>
      <c r="V894" s="353">
        <v>0.25</v>
      </c>
      <c r="W894" s="353">
        <f>+V894</f>
        <v>0.25</v>
      </c>
      <c r="X894" s="353">
        <f>+W894</f>
        <v>0.25</v>
      </c>
      <c r="Y894" s="330">
        <f>+X894</f>
        <v>0.25</v>
      </c>
      <c r="Z894" s="330">
        <f>+Y894+0.005</f>
        <v>0.255</v>
      </c>
      <c r="AA894" s="330">
        <f t="shared" ref="AA894:AH894" si="587">+Z894+0.005</f>
        <v>0.26</v>
      </c>
      <c r="AB894" s="330">
        <f t="shared" si="587"/>
        <v>0.26500000000000001</v>
      </c>
      <c r="AC894" s="330">
        <f t="shared" si="587"/>
        <v>0.27</v>
      </c>
      <c r="AD894" s="330">
        <f t="shared" si="587"/>
        <v>0.27500000000000002</v>
      </c>
      <c r="AE894" s="330">
        <f t="shared" si="587"/>
        <v>0.28000000000000003</v>
      </c>
      <c r="AF894" s="330">
        <f t="shared" si="587"/>
        <v>0.28500000000000003</v>
      </c>
      <c r="AG894" s="330">
        <f t="shared" si="587"/>
        <v>0.29000000000000004</v>
      </c>
      <c r="AH894" s="330">
        <f t="shared" si="587"/>
        <v>0.29500000000000004</v>
      </c>
      <c r="AI894" s="2178">
        <f t="shared" ref="AI894:AT894" si="588">+AH894</f>
        <v>0.29500000000000004</v>
      </c>
      <c r="AJ894" s="330">
        <f t="shared" si="588"/>
        <v>0.29500000000000004</v>
      </c>
      <c r="AK894" s="330">
        <f t="shared" si="588"/>
        <v>0.29500000000000004</v>
      </c>
      <c r="AL894" s="330">
        <f t="shared" si="588"/>
        <v>0.29500000000000004</v>
      </c>
      <c r="AM894" s="330">
        <f t="shared" si="588"/>
        <v>0.29500000000000004</v>
      </c>
      <c r="AN894" s="330">
        <f t="shared" si="588"/>
        <v>0.29500000000000004</v>
      </c>
      <c r="AO894" s="1909">
        <f t="shared" si="588"/>
        <v>0.29500000000000004</v>
      </c>
      <c r="AP894" s="1909">
        <f t="shared" si="588"/>
        <v>0.29500000000000004</v>
      </c>
      <c r="AQ894" s="1909">
        <f t="shared" si="588"/>
        <v>0.29500000000000004</v>
      </c>
      <c r="AR894" s="1909">
        <f t="shared" si="588"/>
        <v>0.29500000000000004</v>
      </c>
      <c r="AS894" s="1909">
        <f t="shared" si="588"/>
        <v>0.29500000000000004</v>
      </c>
      <c r="AT894" s="1909">
        <f t="shared" si="588"/>
        <v>0.29500000000000004</v>
      </c>
    </row>
    <row r="895" spans="1:46" ht="20.25" customHeight="1">
      <c r="A895" s="295"/>
      <c r="B895" s="292"/>
      <c r="C895" s="293"/>
      <c r="D895" s="325" t="s">
        <v>319</v>
      </c>
      <c r="E895" s="3847" t="s">
        <v>358</v>
      </c>
      <c r="F895" s="2"/>
      <c r="G895" s="2"/>
      <c r="H895" s="2"/>
      <c r="I895" s="2"/>
      <c r="J895" s="231"/>
      <c r="K895" s="231"/>
      <c r="L895" s="231"/>
      <c r="M895" s="231"/>
      <c r="N895" s="231"/>
      <c r="O895" s="231"/>
      <c r="P895" s="231"/>
      <c r="Q895" s="231"/>
      <c r="R895" s="231"/>
      <c r="S895" s="231"/>
      <c r="T895" s="231"/>
      <c r="U895" s="231"/>
      <c r="V895" s="330">
        <f t="shared" ref="V895:AH895" si="589">+(V187*V$266/1000*V423-V894*V876)/V877</f>
        <v>9.8748474945741543E-2</v>
      </c>
      <c r="W895" s="330">
        <f t="shared" si="589"/>
        <v>9.206925549751846E-2</v>
      </c>
      <c r="X895" s="330">
        <f t="shared" si="589"/>
        <v>0.10825020283195834</v>
      </c>
      <c r="Y895" s="330">
        <f t="shared" si="589"/>
        <v>8.6788698314849574E-2</v>
      </c>
      <c r="Z895" s="330">
        <f t="shared" si="589"/>
        <v>0.10642483432457703</v>
      </c>
      <c r="AA895" s="330">
        <f t="shared" si="589"/>
        <v>0.11956089786952122</v>
      </c>
      <c r="AB895" s="330">
        <f t="shared" si="589"/>
        <v>0.10269839131750017</v>
      </c>
      <c r="AC895" s="330">
        <f t="shared" si="589"/>
        <v>0.10254667363595005</v>
      </c>
      <c r="AD895" s="330">
        <f t="shared" si="589"/>
        <v>9.951693175468572E-2</v>
      </c>
      <c r="AE895" s="330">
        <f t="shared" si="589"/>
        <v>9.5005221014159688E-2</v>
      </c>
      <c r="AF895" s="330">
        <f t="shared" si="589"/>
        <v>9.2420953326277477E-2</v>
      </c>
      <c r="AG895" s="330">
        <f t="shared" si="589"/>
        <v>0.11275299472093353</v>
      </c>
      <c r="AH895" s="330">
        <f t="shared" si="589"/>
        <v>0.13490636355781224</v>
      </c>
      <c r="AI895" s="2179">
        <f t="shared" ref="AI895:AT895" si="590">+AH895</f>
        <v>0.13490636355781224</v>
      </c>
      <c r="AJ895" s="420">
        <f t="shared" si="590"/>
        <v>0.13490636355781224</v>
      </c>
      <c r="AK895" s="420">
        <f t="shared" si="590"/>
        <v>0.13490636355781224</v>
      </c>
      <c r="AL895" s="420">
        <f t="shared" si="590"/>
        <v>0.13490636355781224</v>
      </c>
      <c r="AM895" s="420">
        <f t="shared" si="590"/>
        <v>0.13490636355781224</v>
      </c>
      <c r="AN895" s="420">
        <f t="shared" si="590"/>
        <v>0.13490636355781224</v>
      </c>
      <c r="AO895" s="1910">
        <f t="shared" si="590"/>
        <v>0.13490636355781224</v>
      </c>
      <c r="AP895" s="1910">
        <f t="shared" si="590"/>
        <v>0.13490636355781224</v>
      </c>
      <c r="AQ895" s="1910">
        <f t="shared" si="590"/>
        <v>0.13490636355781224</v>
      </c>
      <c r="AR895" s="1910">
        <f t="shared" si="590"/>
        <v>0.13490636355781224</v>
      </c>
      <c r="AS895" s="1910">
        <f t="shared" si="590"/>
        <v>0.13490636355781224</v>
      </c>
      <c r="AT895" s="1910">
        <f t="shared" si="590"/>
        <v>0.13490636355781224</v>
      </c>
    </row>
    <row r="896" spans="1:46">
      <c r="A896" s="295"/>
      <c r="B896" s="292"/>
      <c r="C896" s="293"/>
      <c r="D896" s="325"/>
      <c r="E896" s="3848"/>
      <c r="F896" s="1"/>
      <c r="G896" s="1"/>
      <c r="H896" s="1"/>
      <c r="I896" s="1"/>
      <c r="J896" s="1"/>
      <c r="K896" s="1"/>
      <c r="L896" s="1"/>
      <c r="M896" s="1"/>
      <c r="N896" s="1"/>
      <c r="O896" s="1"/>
      <c r="P896" s="1"/>
      <c r="Q896" s="1"/>
      <c r="R896" s="1"/>
      <c r="S896" s="1"/>
      <c r="T896" s="1"/>
      <c r="V896" s="1"/>
      <c r="X896" s="824"/>
      <c r="Z896" s="824"/>
      <c r="AA896" s="329"/>
      <c r="AB896" s="329"/>
      <c r="AC896" s="329"/>
      <c r="AD896" s="329"/>
      <c r="AE896" s="329"/>
      <c r="AF896" s="329"/>
      <c r="AG896" s="329"/>
      <c r="AH896" s="329"/>
      <c r="AI896" s="2180"/>
      <c r="AJ896" s="329"/>
      <c r="AK896" s="329"/>
      <c r="AL896" s="329"/>
      <c r="AM896" s="329"/>
      <c r="AN896" s="329"/>
      <c r="AO896" s="1911"/>
      <c r="AP896" s="1911"/>
      <c r="AQ896" s="1911"/>
      <c r="AR896" s="1911"/>
      <c r="AS896" s="1911"/>
      <c r="AT896" s="1911"/>
    </row>
    <row r="897" spans="1:46">
      <c r="A897" s="295"/>
      <c r="B897" s="292"/>
      <c r="C897" s="293"/>
      <c r="D897" s="325" t="s">
        <v>1348</v>
      </c>
      <c r="E897" s="766"/>
      <c r="F897" s="2"/>
      <c r="G897" s="2"/>
      <c r="H897" s="2"/>
      <c r="I897" s="2"/>
      <c r="J897" s="231"/>
      <c r="K897" s="231"/>
      <c r="L897" s="231"/>
      <c r="M897" s="231"/>
      <c r="N897" s="231"/>
      <c r="O897" s="231"/>
      <c r="P897" s="231"/>
      <c r="Q897" s="231"/>
      <c r="R897" s="231"/>
      <c r="S897" s="231"/>
      <c r="T897" s="231"/>
      <c r="U897" s="231"/>
      <c r="V897" s="330">
        <f t="shared" ref="V897:AT897" si="591">+(V184*V$266/1000)*V423/(V878+V883)</f>
        <v>0.37290184888555228</v>
      </c>
      <c r="W897" s="330">
        <f t="shared" si="591"/>
        <v>0.35654913832351276</v>
      </c>
      <c r="X897" s="330">
        <f t="shared" si="591"/>
        <v>0.34113492554979469</v>
      </c>
      <c r="Y897" s="330">
        <f t="shared" si="591"/>
        <v>0.37308358444945833</v>
      </c>
      <c r="Z897" s="330">
        <f t="shared" si="591"/>
        <v>0.40042790843828735</v>
      </c>
      <c r="AA897" s="330">
        <f t="shared" si="591"/>
        <v>0.43197791254216339</v>
      </c>
      <c r="AB897" s="330">
        <f t="shared" si="591"/>
        <v>0.3169308635166479</v>
      </c>
      <c r="AC897" s="330">
        <f t="shared" si="591"/>
        <v>0.45729541937561358</v>
      </c>
      <c r="AD897" s="330">
        <f t="shared" si="591"/>
        <v>0.42803460209138761</v>
      </c>
      <c r="AE897" s="330">
        <f t="shared" si="591"/>
        <v>0.48811533369187238</v>
      </c>
      <c r="AF897" s="330">
        <f t="shared" si="591"/>
        <v>0.24869188278039864</v>
      </c>
      <c r="AG897" s="330">
        <f t="shared" si="591"/>
        <v>0.195416521407213</v>
      </c>
      <c r="AH897" s="330">
        <f t="shared" si="591"/>
        <v>0.22874200128293939</v>
      </c>
      <c r="AI897" s="2178">
        <f t="shared" si="591"/>
        <v>0.2827730546820954</v>
      </c>
      <c r="AJ897" s="330">
        <f t="shared" si="591"/>
        <v>0.25310479611376202</v>
      </c>
      <c r="AK897" s="330">
        <f t="shared" si="591"/>
        <v>0.23148114244240775</v>
      </c>
      <c r="AL897" s="330">
        <f t="shared" si="591"/>
        <v>0.22754344633305082</v>
      </c>
      <c r="AM897" s="330">
        <f t="shared" si="591"/>
        <v>0.20904337511667617</v>
      </c>
      <c r="AN897" s="330">
        <f t="shared" si="591"/>
        <v>0.18387782743371159</v>
      </c>
      <c r="AO897" s="1909">
        <f t="shared" si="591"/>
        <v>0.18143247852820754</v>
      </c>
      <c r="AP897" s="1909">
        <f t="shared" si="591"/>
        <v>0.1890058540864763</v>
      </c>
      <c r="AQ897" s="1909">
        <f t="shared" si="591"/>
        <v>0.18398734937697586</v>
      </c>
      <c r="AR897" s="1909">
        <f t="shared" si="591"/>
        <v>0.17644847479641257</v>
      </c>
      <c r="AS897" s="1909">
        <f t="shared" si="591"/>
        <v>0.16260729222871251</v>
      </c>
      <c r="AT897" s="1909">
        <f t="shared" si="591"/>
        <v>0.1636537708823961</v>
      </c>
    </row>
    <row r="898" spans="1:46">
      <c r="A898" s="295"/>
      <c r="B898" s="292"/>
      <c r="C898" s="293"/>
      <c r="D898" s="325" t="s">
        <v>282</v>
      </c>
      <c r="E898" s="766"/>
      <c r="F898" s="2"/>
      <c r="G898" s="2"/>
      <c r="H898" s="2"/>
      <c r="I898" s="2"/>
      <c r="J898" s="231"/>
      <c r="K898" s="231"/>
      <c r="L898" s="231"/>
      <c r="M898" s="231"/>
      <c r="N898" s="231"/>
      <c r="O898" s="231"/>
      <c r="P898" s="231"/>
      <c r="Q898" s="231"/>
      <c r="R898" s="231"/>
      <c r="S898" s="231"/>
      <c r="T898" s="231"/>
      <c r="U898" s="231"/>
      <c r="V898" s="330">
        <f t="shared" ref="V898:AH898" si="592">+((V185+V186)*V$266/1000)*V423/V873</f>
        <v>0.14767957468685777</v>
      </c>
      <c r="W898" s="330">
        <f t="shared" si="592"/>
        <v>0.14056056023793922</v>
      </c>
      <c r="X898" s="330">
        <f t="shared" si="592"/>
        <v>0.14399901663901318</v>
      </c>
      <c r="Y898" s="330">
        <f t="shared" si="592"/>
        <v>0.14884645022505061</v>
      </c>
      <c r="Z898" s="330">
        <f t="shared" si="592"/>
        <v>0.14511496899174536</v>
      </c>
      <c r="AA898" s="330">
        <f t="shared" si="592"/>
        <v>0.12666094260155306</v>
      </c>
      <c r="AB898" s="330">
        <f t="shared" si="592"/>
        <v>0.15914450666227931</v>
      </c>
      <c r="AC898" s="330">
        <f t="shared" si="592"/>
        <v>0.16744713638164624</v>
      </c>
      <c r="AD898" s="330">
        <f t="shared" si="592"/>
        <v>0.16763240025838161</v>
      </c>
      <c r="AE898" s="330">
        <f t="shared" si="592"/>
        <v>0.14938744561716702</v>
      </c>
      <c r="AF898" s="330">
        <f t="shared" si="592"/>
        <v>0.15292632360106709</v>
      </c>
      <c r="AG898" s="330">
        <f t="shared" si="592"/>
        <v>0.18145350341441741</v>
      </c>
      <c r="AH898" s="330">
        <f t="shared" si="592"/>
        <v>0.17587931950351018</v>
      </c>
      <c r="AI898" s="2179">
        <f t="shared" ref="AI898:AM902" si="593">+AH898</f>
        <v>0.17587931950351018</v>
      </c>
      <c r="AJ898" s="420">
        <f>+AI898</f>
        <v>0.17587931950351018</v>
      </c>
      <c r="AK898" s="420">
        <f t="shared" si="593"/>
        <v>0.17587931950351018</v>
      </c>
      <c r="AL898" s="420">
        <f t="shared" si="593"/>
        <v>0.17587931950351018</v>
      </c>
      <c r="AM898" s="420">
        <f t="shared" si="593"/>
        <v>0.17587931950351018</v>
      </c>
      <c r="AN898" s="420">
        <f t="shared" ref="AN898:AT902" si="594">+AM898</f>
        <v>0.17587931950351018</v>
      </c>
      <c r="AO898" s="1910">
        <f t="shared" si="594"/>
        <v>0.17587931950351018</v>
      </c>
      <c r="AP898" s="1910">
        <f t="shared" si="594"/>
        <v>0.17587931950351018</v>
      </c>
      <c r="AQ898" s="1910">
        <f t="shared" si="594"/>
        <v>0.17587931950351018</v>
      </c>
      <c r="AR898" s="1910">
        <f t="shared" si="594"/>
        <v>0.17587931950351018</v>
      </c>
      <c r="AS898" s="1910">
        <f t="shared" si="594"/>
        <v>0.17587931950351018</v>
      </c>
      <c r="AT898" s="1910">
        <f t="shared" si="594"/>
        <v>0.17587931950351018</v>
      </c>
    </row>
    <row r="899" spans="1:46">
      <c r="A899" s="295"/>
      <c r="B899" s="292"/>
      <c r="C899" s="293"/>
      <c r="D899" s="325" t="s">
        <v>360</v>
      </c>
      <c r="E899" s="3057" t="s">
        <v>359</v>
      </c>
      <c r="F899" s="2"/>
      <c r="G899" s="2"/>
      <c r="H899" s="2"/>
      <c r="I899" s="2"/>
      <c r="J899" s="231"/>
      <c r="K899" s="231"/>
      <c r="L899" s="231"/>
      <c r="M899" s="231"/>
      <c r="N899" s="231"/>
      <c r="O899" s="231"/>
      <c r="P899" s="231"/>
      <c r="Q899" s="231"/>
      <c r="R899" s="231"/>
      <c r="S899" s="231"/>
      <c r="T899" s="231"/>
      <c r="U899" s="231"/>
      <c r="V899" s="353">
        <f t="shared" ref="V899:AA899" si="595">+V848</f>
        <v>0.25</v>
      </c>
      <c r="W899" s="353">
        <f t="shared" si="595"/>
        <v>0.25</v>
      </c>
      <c r="X899" s="353">
        <f t="shared" si="595"/>
        <v>0.25</v>
      </c>
      <c r="Y899" s="353">
        <f t="shared" si="595"/>
        <v>0.25</v>
      </c>
      <c r="Z899" s="353">
        <f t="shared" si="595"/>
        <v>0.25</v>
      </c>
      <c r="AA899" s="353">
        <f t="shared" si="595"/>
        <v>0.25</v>
      </c>
      <c r="AB899" s="353">
        <f t="shared" ref="AB899:AH899" si="596">+AB848</f>
        <v>0.25</v>
      </c>
      <c r="AC899" s="353">
        <f t="shared" si="596"/>
        <v>0.25</v>
      </c>
      <c r="AD899" s="353">
        <f t="shared" si="596"/>
        <v>0.25</v>
      </c>
      <c r="AE899" s="353">
        <f t="shared" si="596"/>
        <v>0.25</v>
      </c>
      <c r="AF899" s="353">
        <f t="shared" si="596"/>
        <v>0.25</v>
      </c>
      <c r="AG899" s="353">
        <f t="shared" si="596"/>
        <v>0.28999999999999998</v>
      </c>
      <c r="AH899" s="353">
        <f t="shared" si="596"/>
        <v>0.28999999999999998</v>
      </c>
      <c r="AI899" s="2179">
        <f t="shared" si="593"/>
        <v>0.28999999999999998</v>
      </c>
      <c r="AJ899" s="420">
        <f>+AI899</f>
        <v>0.28999999999999998</v>
      </c>
      <c r="AK899" s="420">
        <f t="shared" si="593"/>
        <v>0.28999999999999998</v>
      </c>
      <c r="AL899" s="420">
        <f t="shared" si="593"/>
        <v>0.28999999999999998</v>
      </c>
      <c r="AM899" s="420">
        <f t="shared" si="593"/>
        <v>0.28999999999999998</v>
      </c>
      <c r="AN899" s="420">
        <f t="shared" si="594"/>
        <v>0.28999999999999998</v>
      </c>
      <c r="AO899" s="1910">
        <f t="shared" si="594"/>
        <v>0.28999999999999998</v>
      </c>
      <c r="AP899" s="1910">
        <f t="shared" si="594"/>
        <v>0.28999999999999998</v>
      </c>
      <c r="AQ899" s="1910">
        <f t="shared" si="594"/>
        <v>0.28999999999999998</v>
      </c>
      <c r="AR899" s="1910">
        <f t="shared" si="594"/>
        <v>0.28999999999999998</v>
      </c>
      <c r="AS899" s="1910">
        <f t="shared" si="594"/>
        <v>0.28999999999999998</v>
      </c>
      <c r="AT899" s="1910">
        <f t="shared" si="594"/>
        <v>0.28999999999999998</v>
      </c>
    </row>
    <row r="900" spans="1:46">
      <c r="A900" s="295"/>
      <c r="B900" s="292"/>
      <c r="C900" s="293"/>
      <c r="D900" s="325" t="s">
        <v>293</v>
      </c>
      <c r="E900" s="766"/>
      <c r="F900" s="2"/>
      <c r="G900" s="2"/>
      <c r="H900" s="2"/>
      <c r="I900" s="2"/>
      <c r="J900" s="231"/>
      <c r="K900" s="231"/>
      <c r="L900" s="231"/>
      <c r="M900" s="231"/>
      <c r="N900" s="231"/>
      <c r="O900" s="231"/>
      <c r="P900" s="231"/>
      <c r="Q900" s="231"/>
      <c r="R900" s="231"/>
      <c r="S900" s="231"/>
      <c r="T900" s="231"/>
      <c r="U900" s="231"/>
      <c r="V900" s="330">
        <f t="shared" ref="V900:AH900" si="597">+(((V185+V186)*V$266/1000)*V423-V899*V884)/V873</f>
        <v>0.11572560798754336</v>
      </c>
      <c r="W900" s="330">
        <f t="shared" si="597"/>
        <v>0.11013186570971863</v>
      </c>
      <c r="X900" s="330">
        <f t="shared" si="597"/>
        <v>0.10981697975048071</v>
      </c>
      <c r="Y900" s="330">
        <f t="shared" si="597"/>
        <v>0.11369864921567786</v>
      </c>
      <c r="Z900" s="330">
        <f t="shared" si="597"/>
        <v>0.11165007834875901</v>
      </c>
      <c r="AA900" s="330">
        <f t="shared" si="597"/>
        <v>8.7616911868692554E-2</v>
      </c>
      <c r="AB900" s="330">
        <f t="shared" si="597"/>
        <v>0.10731403821981769</v>
      </c>
      <c r="AC900" s="330">
        <f t="shared" si="597"/>
        <v>0.11337925817728953</v>
      </c>
      <c r="AD900" s="330">
        <f t="shared" si="597"/>
        <v>0.11255840448671141</v>
      </c>
      <c r="AE900" s="330">
        <f t="shared" si="597"/>
        <v>0.10270359160847226</v>
      </c>
      <c r="AF900" s="330">
        <f t="shared" si="597"/>
        <v>0.10472407641005586</v>
      </c>
      <c r="AG900" s="330">
        <f t="shared" si="597"/>
        <v>0.1182284257527399</v>
      </c>
      <c r="AH900" s="330">
        <f t="shared" si="597"/>
        <v>0.10363678588297109</v>
      </c>
      <c r="AI900" s="2179">
        <f t="shared" si="593"/>
        <v>0.10363678588297109</v>
      </c>
      <c r="AJ900" s="420">
        <f>+AI900</f>
        <v>0.10363678588297109</v>
      </c>
      <c r="AK900" s="420">
        <f t="shared" si="593"/>
        <v>0.10363678588297109</v>
      </c>
      <c r="AL900" s="420">
        <f t="shared" si="593"/>
        <v>0.10363678588297109</v>
      </c>
      <c r="AM900" s="420">
        <f t="shared" si="593"/>
        <v>0.10363678588297109</v>
      </c>
      <c r="AN900" s="420">
        <f t="shared" si="594"/>
        <v>0.10363678588297109</v>
      </c>
      <c r="AO900" s="1910">
        <f t="shared" si="594"/>
        <v>0.10363678588297109</v>
      </c>
      <c r="AP900" s="1910">
        <f t="shared" si="594"/>
        <v>0.10363678588297109</v>
      </c>
      <c r="AQ900" s="1910">
        <f t="shared" si="594"/>
        <v>0.10363678588297109</v>
      </c>
      <c r="AR900" s="1910">
        <f t="shared" si="594"/>
        <v>0.10363678588297109</v>
      </c>
      <c r="AS900" s="1910">
        <f t="shared" si="594"/>
        <v>0.10363678588297109</v>
      </c>
      <c r="AT900" s="1910">
        <f t="shared" si="594"/>
        <v>0.10363678588297109</v>
      </c>
    </row>
    <row r="901" spans="1:46">
      <c r="A901" s="295"/>
      <c r="B901" s="292"/>
      <c r="C901" s="293"/>
      <c r="D901" s="325" t="s">
        <v>315</v>
      </c>
      <c r="E901" s="766"/>
      <c r="F901" s="2"/>
      <c r="G901" s="2"/>
      <c r="H901" s="2"/>
      <c r="I901" s="2"/>
      <c r="J901" s="231"/>
      <c r="K901" s="231"/>
      <c r="L901" s="231"/>
      <c r="M901" s="231"/>
      <c r="N901" s="231"/>
      <c r="O901" s="231"/>
      <c r="P901" s="231"/>
      <c r="Q901" s="231"/>
      <c r="R901" s="231"/>
      <c r="S901" s="231"/>
      <c r="T901" s="231"/>
      <c r="U901" s="231"/>
      <c r="V901" s="330">
        <f t="shared" ref="V901:AH901" si="598">+(V186*V$266/1000)/V873</f>
        <v>5.0793980348045609E-2</v>
      </c>
      <c r="W901" s="330">
        <f t="shared" si="598"/>
        <v>4.7845676497678617E-2</v>
      </c>
      <c r="X901" s="330">
        <f t="shared" si="598"/>
        <v>4.9858907853838987E-2</v>
      </c>
      <c r="Y901" s="330">
        <f t="shared" si="598"/>
        <v>4.5327271390820163E-2</v>
      </c>
      <c r="Z901" s="330">
        <f t="shared" si="598"/>
        <v>3.3377324944305814E-2</v>
      </c>
      <c r="AA901" s="330">
        <f t="shared" si="598"/>
        <v>2.6333557033018838E-2</v>
      </c>
      <c r="AB901" s="330">
        <f t="shared" si="598"/>
        <v>5.3144799547423682E-2</v>
      </c>
      <c r="AC901" s="330">
        <f t="shared" si="598"/>
        <v>5.8269235088859207E-2</v>
      </c>
      <c r="AD901" s="330">
        <f t="shared" si="598"/>
        <v>4.9679732327264046E-2</v>
      </c>
      <c r="AE901" s="330">
        <f t="shared" si="598"/>
        <v>3.332606707240976E-2</v>
      </c>
      <c r="AF901" s="330">
        <f t="shared" si="598"/>
        <v>3.5364765175265003E-2</v>
      </c>
      <c r="AG901" s="330">
        <f t="shared" si="598"/>
        <v>5.565048539630172E-2</v>
      </c>
      <c r="AH901" s="330">
        <f t="shared" si="598"/>
        <v>4.624101353918468E-2</v>
      </c>
      <c r="AI901" s="2179">
        <f t="shared" si="593"/>
        <v>4.624101353918468E-2</v>
      </c>
      <c r="AJ901" s="420">
        <f>+AI901</f>
        <v>4.624101353918468E-2</v>
      </c>
      <c r="AK901" s="420">
        <f t="shared" si="593"/>
        <v>4.624101353918468E-2</v>
      </c>
      <c r="AL901" s="420">
        <f t="shared" si="593"/>
        <v>4.624101353918468E-2</v>
      </c>
      <c r="AM901" s="420">
        <f t="shared" si="593"/>
        <v>4.624101353918468E-2</v>
      </c>
      <c r="AN901" s="420">
        <f t="shared" si="594"/>
        <v>4.624101353918468E-2</v>
      </c>
      <c r="AO901" s="1910">
        <f t="shared" si="594"/>
        <v>4.624101353918468E-2</v>
      </c>
      <c r="AP901" s="1910">
        <f t="shared" si="594"/>
        <v>4.624101353918468E-2</v>
      </c>
      <c r="AQ901" s="1910">
        <f t="shared" si="594"/>
        <v>4.624101353918468E-2</v>
      </c>
      <c r="AR901" s="1910">
        <f t="shared" si="594"/>
        <v>4.624101353918468E-2</v>
      </c>
      <c r="AS901" s="1910">
        <f t="shared" si="594"/>
        <v>4.624101353918468E-2</v>
      </c>
      <c r="AT901" s="1910">
        <f t="shared" si="594"/>
        <v>4.624101353918468E-2</v>
      </c>
    </row>
    <row r="902" spans="1:46" ht="16.75" thickBot="1">
      <c r="A902" s="295"/>
      <c r="B902" s="1"/>
      <c r="D902" s="371" t="s">
        <v>290</v>
      </c>
      <c r="E902" s="3058"/>
      <c r="F902" s="372"/>
      <c r="G902" s="372"/>
      <c r="H902" s="372"/>
      <c r="I902" s="372"/>
      <c r="J902" s="372"/>
      <c r="K902" s="372"/>
      <c r="L902" s="372"/>
      <c r="M902" s="372"/>
      <c r="N902" s="372"/>
      <c r="O902" s="372"/>
      <c r="P902" s="372"/>
      <c r="Q902" s="372"/>
      <c r="R902" s="372"/>
      <c r="S902" s="372"/>
      <c r="T902" s="372"/>
      <c r="U902" s="372"/>
      <c r="V902" s="373">
        <f t="shared" ref="V902:AH902" si="599">+(V188*V$266/1000)/V873</f>
        <v>0.32013837302380516</v>
      </c>
      <c r="W902" s="373">
        <f t="shared" si="599"/>
        <v>0.31418681411996291</v>
      </c>
      <c r="X902" s="373">
        <f t="shared" si="599"/>
        <v>0.31806680268615223</v>
      </c>
      <c r="Y902" s="373">
        <f t="shared" si="599"/>
        <v>0.32639919260807188</v>
      </c>
      <c r="Z902" s="373">
        <f t="shared" si="599"/>
        <v>0.3477289177874972</v>
      </c>
      <c r="AA902" s="373">
        <f t="shared" si="599"/>
        <v>0.35540312398534696</v>
      </c>
      <c r="AB902" s="373">
        <f t="shared" si="599"/>
        <v>0.33499215701709906</v>
      </c>
      <c r="AC902" s="373">
        <f t="shared" si="599"/>
        <v>0.3462751652967066</v>
      </c>
      <c r="AD902" s="373">
        <f t="shared" si="599"/>
        <v>0.35601792232118995</v>
      </c>
      <c r="AE902" s="373">
        <f t="shared" si="599"/>
        <v>0.34187314758920034</v>
      </c>
      <c r="AF902" s="373">
        <f t="shared" si="599"/>
        <v>0.34632039686706939</v>
      </c>
      <c r="AG902" s="373">
        <f t="shared" si="599"/>
        <v>0.36273729742375166</v>
      </c>
      <c r="AH902" s="373">
        <f t="shared" si="599"/>
        <v>0.3929639719770826</v>
      </c>
      <c r="AI902" s="2179">
        <f t="shared" si="593"/>
        <v>0.3929639719770826</v>
      </c>
      <c r="AJ902" s="420">
        <f>+AI902</f>
        <v>0.3929639719770826</v>
      </c>
      <c r="AK902" s="420">
        <f t="shared" si="593"/>
        <v>0.3929639719770826</v>
      </c>
      <c r="AL902" s="420">
        <f t="shared" si="593"/>
        <v>0.3929639719770826</v>
      </c>
      <c r="AM902" s="1257">
        <f t="shared" si="593"/>
        <v>0.3929639719770826</v>
      </c>
      <c r="AN902" s="1257">
        <f t="shared" si="594"/>
        <v>0.3929639719770826</v>
      </c>
      <c r="AO902" s="1912">
        <f t="shared" si="594"/>
        <v>0.3929639719770826</v>
      </c>
      <c r="AP902" s="1912">
        <f t="shared" si="594"/>
        <v>0.3929639719770826</v>
      </c>
      <c r="AQ902" s="1912">
        <f t="shared" si="594"/>
        <v>0.3929639719770826</v>
      </c>
      <c r="AR902" s="1912">
        <f t="shared" si="594"/>
        <v>0.3929639719770826</v>
      </c>
      <c r="AS902" s="1912">
        <f t="shared" si="594"/>
        <v>0.3929639719770826</v>
      </c>
      <c r="AT902" s="1912">
        <f t="shared" si="594"/>
        <v>0.3929639719770826</v>
      </c>
    </row>
    <row r="903" spans="1:46" ht="16.75" thickBot="1">
      <c r="A903" s="295"/>
      <c r="B903" s="288" t="s">
        <v>261</v>
      </c>
      <c r="D903" s="412" t="s">
        <v>292</v>
      </c>
      <c r="E903" s="2987"/>
      <c r="F903" s="379"/>
      <c r="G903" s="379"/>
      <c r="H903" s="379"/>
      <c r="I903" s="379"/>
      <c r="J903" s="379"/>
      <c r="K903" s="379"/>
      <c r="L903" s="379"/>
      <c r="M903" s="379"/>
      <c r="N903" s="379"/>
      <c r="O903" s="379"/>
      <c r="P903" s="379"/>
      <c r="Q903" s="379"/>
      <c r="R903" s="379"/>
      <c r="S903" s="379"/>
      <c r="T903" s="379"/>
      <c r="U903" s="379"/>
      <c r="V903" s="380">
        <f t="shared" ref="V903:AB903" si="600">+(V893*(V876+V877)+V897*(V878+V883)+V899*V884+V900*V873)/V873</f>
        <v>0.32013837302380521</v>
      </c>
      <c r="W903" s="895">
        <f t="shared" si="600"/>
        <v>0.31418681411996285</v>
      </c>
      <c r="X903" s="895">
        <f t="shared" si="600"/>
        <v>0.31806680268615217</v>
      </c>
      <c r="Y903" s="895">
        <f t="shared" si="600"/>
        <v>0.32639919260807188</v>
      </c>
      <c r="Z903" s="895">
        <f t="shared" si="600"/>
        <v>0.34772891778749715</v>
      </c>
      <c r="AA903" s="895">
        <f t="shared" si="600"/>
        <v>0.35540312398534701</v>
      </c>
      <c r="AB903" s="895">
        <f t="shared" si="600"/>
        <v>0.334992157017099</v>
      </c>
      <c r="AC903" s="895">
        <f t="shared" ref="AC903:AN903" si="601">+(AC893*(AC876+AC877)+AC897*(AC878+AC883)+AC899*AC884+AC900*AC873)/AC873</f>
        <v>0.34627516529670654</v>
      </c>
      <c r="AD903" s="895">
        <f t="shared" si="601"/>
        <v>0.35601792232118995</v>
      </c>
      <c r="AE903" s="895">
        <f t="shared" si="601"/>
        <v>0.34187314758920034</v>
      </c>
      <c r="AF903" s="895">
        <f t="shared" si="601"/>
        <v>0.34632039686706934</v>
      </c>
      <c r="AG903" s="895">
        <f t="shared" si="601"/>
        <v>0.36273729742375166</v>
      </c>
      <c r="AH903" s="895">
        <f t="shared" si="601"/>
        <v>0.39296397197708255</v>
      </c>
      <c r="AI903" s="2181">
        <f t="shared" si="601"/>
        <v>0.42553301247085379</v>
      </c>
      <c r="AJ903" s="895">
        <f t="shared" si="601"/>
        <v>0.40104916045214589</v>
      </c>
      <c r="AK903" s="895">
        <f t="shared" si="601"/>
        <v>0.4031230803975942</v>
      </c>
      <c r="AL903" s="895">
        <f t="shared" si="601"/>
        <v>0.39930893347085189</v>
      </c>
      <c r="AM903" s="895">
        <f t="shared" si="601"/>
        <v>0.37445374690240102</v>
      </c>
      <c r="AN903" s="895">
        <f t="shared" si="601"/>
        <v>0.35110352566301478</v>
      </c>
      <c r="AO903" s="1913">
        <f t="shared" ref="AO903:AT903" si="602">+(AO893*(AO876+AO877)+AO897*(AO878+AO883)+AO899*AO884+AO900*AO873)/AO873</f>
        <v>0.33721548369407334</v>
      </c>
      <c r="AP903" s="1913">
        <f t="shared" si="602"/>
        <v>0.3284205360581709</v>
      </c>
      <c r="AQ903" s="1913">
        <f t="shared" si="602"/>
        <v>0.31569761005574198</v>
      </c>
      <c r="AR903" s="1913">
        <f t="shared" si="602"/>
        <v>0.30354690135710138</v>
      </c>
      <c r="AS903" s="1913">
        <f t="shared" si="602"/>
        <v>0.291263892725663</v>
      </c>
      <c r="AT903" s="1913">
        <f t="shared" si="602"/>
        <v>0.28336029355555004</v>
      </c>
    </row>
    <row r="904" spans="1:46" ht="16.75" thickBot="1">
      <c r="A904" s="295"/>
      <c r="B904" s="1"/>
      <c r="D904" s="413" t="s">
        <v>291</v>
      </c>
      <c r="F904" s="295"/>
      <c r="G904" s="295"/>
      <c r="H904" s="295"/>
      <c r="I904" s="295"/>
      <c r="J904" s="295"/>
      <c r="K904" s="295"/>
      <c r="L904" s="295"/>
      <c r="M904" s="295"/>
      <c r="N904" s="295"/>
      <c r="O904" s="295"/>
      <c r="P904" s="295"/>
      <c r="Q904" s="295"/>
      <c r="R904" s="295"/>
      <c r="S904" s="295"/>
      <c r="T904" s="295"/>
      <c r="U904" s="295"/>
      <c r="V904" s="381">
        <f t="shared" ref="V904:AB904" si="603">+V885/V873</f>
        <v>0.27375122428991183</v>
      </c>
      <c r="W904" s="896">
        <f t="shared" si="603"/>
        <v>0.2890995260663507</v>
      </c>
      <c r="X904" s="897">
        <f t="shared" si="603"/>
        <v>0.29591018444266237</v>
      </c>
      <c r="Y904" s="898">
        <f t="shared" si="603"/>
        <v>0.30425378514780099</v>
      </c>
      <c r="Z904" s="898">
        <f t="shared" si="603"/>
        <v>0.32346653510935702</v>
      </c>
      <c r="AA904" s="898">
        <f t="shared" si="603"/>
        <v>0.34471040189125296</v>
      </c>
      <c r="AB904" s="898">
        <f t="shared" si="603"/>
        <v>0.33473297467523949</v>
      </c>
      <c r="AC904" s="898">
        <f t="shared" ref="AC904:AN904" si="604">+AC885/AC873</f>
        <v>0.26356962330003608</v>
      </c>
      <c r="AD904" s="898">
        <f t="shared" si="604"/>
        <v>0.2686046511627907</v>
      </c>
      <c r="AE904" s="898">
        <f t="shared" si="604"/>
        <v>0.25690021231422505</v>
      </c>
      <c r="AF904" s="898">
        <f t="shared" si="604"/>
        <v>0.46498876404494383</v>
      </c>
      <c r="AG904" s="898">
        <f t="shared" si="604"/>
        <v>0.39155605761084439</v>
      </c>
      <c r="AH904" s="898">
        <f t="shared" si="604"/>
        <v>0.44460615939919662</v>
      </c>
      <c r="AI904" s="2182">
        <f t="shared" si="604"/>
        <v>0.442162867757807</v>
      </c>
      <c r="AJ904" s="898">
        <f t="shared" si="604"/>
        <v>0.40601587447474902</v>
      </c>
      <c r="AK904" s="898">
        <f t="shared" si="604"/>
        <v>0.41534962377215456</v>
      </c>
      <c r="AL904" s="898">
        <f t="shared" si="604"/>
        <v>0.41046268983402756</v>
      </c>
      <c r="AM904" s="898">
        <f t="shared" si="604"/>
        <v>0.3743134177229131</v>
      </c>
      <c r="AN904" s="898">
        <f t="shared" si="604"/>
        <v>0.34456975339431495</v>
      </c>
      <c r="AO904" s="1914">
        <f t="shared" ref="AO904:AT904" si="605">+AO885/AO873</f>
        <v>0.32664662056845734</v>
      </c>
      <c r="AP904" s="1914">
        <f t="shared" si="605"/>
        <v>0.31398836440445843</v>
      </c>
      <c r="AQ904" s="1914">
        <f t="shared" si="605"/>
        <v>0.29709583471643625</v>
      </c>
      <c r="AR904" s="1914">
        <f t="shared" si="605"/>
        <v>0.28124248004873348</v>
      </c>
      <c r="AS904" s="1914">
        <f t="shared" si="605"/>
        <v>0.26560527429346437</v>
      </c>
      <c r="AT904" s="1914">
        <f t="shared" si="605"/>
        <v>0.2516256480434742</v>
      </c>
    </row>
    <row r="905" spans="1:46">
      <c r="A905" s="295"/>
      <c r="B905" s="1"/>
      <c r="D905" s="377" t="s">
        <v>288</v>
      </c>
      <c r="E905" s="2968" t="s">
        <v>345</v>
      </c>
      <c r="F905" s="376"/>
      <c r="G905" s="376"/>
      <c r="H905" s="376"/>
      <c r="I905" s="376"/>
      <c r="J905" s="376"/>
      <c r="K905" s="376"/>
      <c r="L905" s="376"/>
      <c r="M905" s="376"/>
      <c r="N905" s="376"/>
      <c r="O905" s="376"/>
      <c r="P905" s="376"/>
      <c r="Q905" s="376"/>
      <c r="R905" s="376"/>
      <c r="S905" s="376"/>
      <c r="T905" s="376"/>
      <c r="U905" s="376"/>
      <c r="V905" s="378" t="str">
        <f>+(IF(ABS(V725/V873-V904+V903)&gt;0.1,"check",""))</f>
        <v/>
      </c>
      <c r="W905" s="330" t="str">
        <f>+(IF(ABS(W725/W873-W904+W903)&gt;0.1,"check",""))</f>
        <v/>
      </c>
      <c r="X905" s="411">
        <v>2013</v>
      </c>
      <c r="Y905" s="411">
        <f>+X905+1</f>
        <v>2014</v>
      </c>
      <c r="Z905" s="411">
        <f t="shared" ref="Z905:AF905" si="606">+Y905+1</f>
        <v>2015</v>
      </c>
      <c r="AA905" s="411">
        <f t="shared" si="606"/>
        <v>2016</v>
      </c>
      <c r="AB905" s="411">
        <v>2017</v>
      </c>
      <c r="AC905" s="411">
        <v>2018</v>
      </c>
      <c r="AD905" s="411">
        <f t="shared" si="606"/>
        <v>2019</v>
      </c>
      <c r="AE905" s="411">
        <f t="shared" si="606"/>
        <v>2020</v>
      </c>
      <c r="AF905" s="411">
        <f t="shared" si="606"/>
        <v>2021</v>
      </c>
      <c r="AG905" s="411">
        <f t="shared" ref="AG905:AN905" si="607">+AF905+1</f>
        <v>2022</v>
      </c>
      <c r="AH905" s="411">
        <f t="shared" si="607"/>
        <v>2023</v>
      </c>
      <c r="AI905" s="3209">
        <f t="shared" si="607"/>
        <v>2024</v>
      </c>
      <c r="AJ905" s="411">
        <f t="shared" si="607"/>
        <v>2025</v>
      </c>
      <c r="AK905" s="411">
        <f t="shared" si="607"/>
        <v>2026</v>
      </c>
      <c r="AL905" s="411">
        <f t="shared" si="607"/>
        <v>2027</v>
      </c>
      <c r="AM905" s="411">
        <f t="shared" si="607"/>
        <v>2028</v>
      </c>
      <c r="AN905" s="411">
        <f t="shared" si="607"/>
        <v>2029</v>
      </c>
      <c r="AO905" s="2618">
        <f t="shared" ref="AO905:AT905" si="608">+AN905+1</f>
        <v>2030</v>
      </c>
      <c r="AP905" s="2618">
        <f t="shared" si="608"/>
        <v>2031</v>
      </c>
      <c r="AQ905" s="2618">
        <f t="shared" si="608"/>
        <v>2032</v>
      </c>
      <c r="AR905" s="2618">
        <f t="shared" si="608"/>
        <v>2033</v>
      </c>
      <c r="AS905" s="2618">
        <f t="shared" si="608"/>
        <v>2034</v>
      </c>
      <c r="AT905" s="2618">
        <f t="shared" si="608"/>
        <v>2035</v>
      </c>
    </row>
    <row r="906" spans="1:46">
      <c r="A906" s="295"/>
      <c r="D906" s="325" t="s">
        <v>717</v>
      </c>
      <c r="E906" s="3044" t="s">
        <v>359</v>
      </c>
      <c r="F906" s="1"/>
      <c r="G906" s="1"/>
      <c r="H906" s="1"/>
      <c r="I906" s="1"/>
      <c r="J906" s="1"/>
      <c r="K906" s="1"/>
      <c r="L906" s="1"/>
      <c r="M906" s="1"/>
      <c r="N906" s="1"/>
      <c r="O906" s="1"/>
      <c r="P906" s="1"/>
      <c r="Q906" s="1"/>
      <c r="R906" s="1"/>
      <c r="S906" s="1"/>
      <c r="T906" s="1"/>
      <c r="V906" s="378"/>
      <c r="W906" s="330"/>
      <c r="X906" s="330">
        <f>+X907-X908</f>
        <v>0.20858898225465944</v>
      </c>
      <c r="Y906" s="330">
        <f t="shared" ref="Y906:AE906" si="609">+Y907-Y908</f>
        <v>0.21818976611733953</v>
      </c>
      <c r="Z906" s="330">
        <f t="shared" si="609"/>
        <v>0.21314463920849794</v>
      </c>
      <c r="AA906" s="330">
        <f t="shared" si="609"/>
        <v>0.21201582869535246</v>
      </c>
      <c r="AB906" s="330">
        <f t="shared" si="609"/>
        <v>0.2118373505923547</v>
      </c>
      <c r="AC906" s="330">
        <f t="shared" si="609"/>
        <v>0.21036724041946381</v>
      </c>
      <c r="AD906" s="330">
        <f t="shared" si="609"/>
        <v>0.20923431475457571</v>
      </c>
      <c r="AE906" s="330">
        <f t="shared" si="609"/>
        <v>0.21142163307649514</v>
      </c>
      <c r="AF906" s="330">
        <f>+AF907-AF908</f>
        <v>0.21236527605781647</v>
      </c>
      <c r="AG906" s="420">
        <f t="shared" ref="AG906:AG917" si="610">+AF906</f>
        <v>0.21236527605781647</v>
      </c>
      <c r="AH906" s="420">
        <f t="shared" ref="AH906:AH917" si="611">+AG906</f>
        <v>0.21236527605781647</v>
      </c>
      <c r="AI906" s="2179">
        <f t="shared" ref="AI906:AM918" si="612">+AH906</f>
        <v>0.21236527605781647</v>
      </c>
      <c r="AJ906" s="420">
        <f t="shared" ref="AJ906:AJ918" si="613">+AI906</f>
        <v>0.21236527605781647</v>
      </c>
      <c r="AK906" s="420">
        <f t="shared" si="612"/>
        <v>0.21236527605781647</v>
      </c>
      <c r="AL906" s="420">
        <f t="shared" si="612"/>
        <v>0.21236527605781647</v>
      </c>
      <c r="AM906" s="420">
        <f t="shared" si="612"/>
        <v>0.21236527605781647</v>
      </c>
      <c r="AN906" s="420">
        <f t="shared" ref="AN906:AN913" si="614">+AM906</f>
        <v>0.21236527605781647</v>
      </c>
      <c r="AO906" s="1910">
        <f t="shared" ref="AO906:AO918" si="615">+AN906</f>
        <v>0.21236527605781647</v>
      </c>
      <c r="AP906" s="1910">
        <f t="shared" ref="AP906:AP918" si="616">+AO906</f>
        <v>0.21236527605781647</v>
      </c>
      <c r="AQ906" s="1910">
        <f t="shared" ref="AQ906:AQ918" si="617">+AP906</f>
        <v>0.21236527605781647</v>
      </c>
      <c r="AR906" s="1910">
        <f t="shared" ref="AR906:AR918" si="618">+AQ906</f>
        <v>0.21236527605781647</v>
      </c>
      <c r="AS906" s="1910">
        <f t="shared" ref="AS906:AS918" si="619">+AR906</f>
        <v>0.21236527605781647</v>
      </c>
      <c r="AT906" s="1910">
        <f t="shared" ref="AT906:AT918" si="620">+AS906</f>
        <v>0.21236527605781647</v>
      </c>
    </row>
    <row r="907" spans="1:46">
      <c r="A907" s="295"/>
      <c r="B907" s="288"/>
      <c r="D907" s="325" t="s">
        <v>327</v>
      </c>
      <c r="E907" s="3059" t="s">
        <v>356</v>
      </c>
      <c r="F907" s="1"/>
      <c r="G907" s="1"/>
      <c r="H907" s="1"/>
      <c r="I907" s="1"/>
      <c r="J907" s="1"/>
      <c r="K907" s="1"/>
      <c r="L907" s="1"/>
      <c r="M907" s="1"/>
      <c r="N907" s="1"/>
      <c r="O907" s="1"/>
      <c r="P907" s="1"/>
      <c r="Q907" s="1"/>
      <c r="R907" s="1"/>
      <c r="S907" s="1"/>
      <c r="T907" s="1"/>
      <c r="V907" s="378"/>
      <c r="W907" s="330"/>
      <c r="X907" s="3840">
        <f>+(19+4)%</f>
        <v>0.23</v>
      </c>
      <c r="Y907" s="3840">
        <f>+X907+0.015</f>
        <v>0.245</v>
      </c>
      <c r="Z907" s="3840">
        <f>+(22.69+1.3)%</f>
        <v>0.23990000000000003</v>
      </c>
      <c r="AA907" s="3840">
        <f t="shared" ref="AA907:AF907" si="621">+Z907</f>
        <v>0.23990000000000003</v>
      </c>
      <c r="AB907" s="330">
        <f t="shared" si="621"/>
        <v>0.23990000000000003</v>
      </c>
      <c r="AC907" s="330">
        <f t="shared" si="621"/>
        <v>0.23990000000000003</v>
      </c>
      <c r="AD907" s="420">
        <f t="shared" si="621"/>
        <v>0.23990000000000003</v>
      </c>
      <c r="AE907" s="420">
        <f t="shared" si="621"/>
        <v>0.23990000000000003</v>
      </c>
      <c r="AF907" s="420">
        <f t="shared" si="621"/>
        <v>0.23990000000000003</v>
      </c>
      <c r="AG907" s="420">
        <f t="shared" si="610"/>
        <v>0.23990000000000003</v>
      </c>
      <c r="AH907" s="420">
        <f t="shared" si="611"/>
        <v>0.23990000000000003</v>
      </c>
      <c r="AI907" s="2179">
        <f t="shared" si="612"/>
        <v>0.23990000000000003</v>
      </c>
      <c r="AJ907" s="420">
        <f t="shared" si="613"/>
        <v>0.23990000000000003</v>
      </c>
      <c r="AK907" s="420">
        <f t="shared" si="612"/>
        <v>0.23990000000000003</v>
      </c>
      <c r="AL907" s="420">
        <f t="shared" si="612"/>
        <v>0.23990000000000003</v>
      </c>
      <c r="AM907" s="420">
        <f t="shared" si="612"/>
        <v>0.23990000000000003</v>
      </c>
      <c r="AN907" s="420">
        <f t="shared" si="614"/>
        <v>0.23990000000000003</v>
      </c>
      <c r="AO907" s="1910">
        <f t="shared" si="615"/>
        <v>0.23990000000000003</v>
      </c>
      <c r="AP907" s="1910">
        <f t="shared" si="616"/>
        <v>0.23990000000000003</v>
      </c>
      <c r="AQ907" s="1910">
        <f t="shared" si="617"/>
        <v>0.23990000000000003</v>
      </c>
      <c r="AR907" s="1910">
        <f t="shared" si="618"/>
        <v>0.23990000000000003</v>
      </c>
      <c r="AS907" s="1910">
        <f t="shared" si="619"/>
        <v>0.23990000000000003</v>
      </c>
      <c r="AT907" s="1910">
        <f t="shared" si="620"/>
        <v>0.23990000000000003</v>
      </c>
    </row>
    <row r="908" spans="1:46">
      <c r="A908" s="295"/>
      <c r="B908" s="288"/>
      <c r="D908" s="325" t="s">
        <v>320</v>
      </c>
      <c r="E908" s="3044"/>
      <c r="F908" s="1"/>
      <c r="G908" s="1"/>
      <c r="H908" s="1"/>
      <c r="I908" s="1"/>
      <c r="J908" s="1"/>
      <c r="K908" s="1"/>
      <c r="L908" s="1"/>
      <c r="M908" s="1"/>
      <c r="N908" s="1"/>
      <c r="O908" s="1"/>
      <c r="P908" s="1"/>
      <c r="Q908" s="1"/>
      <c r="R908" s="1"/>
      <c r="S908" s="1"/>
      <c r="T908" s="1"/>
      <c r="V908" s="378"/>
      <c r="W908" s="330"/>
      <c r="X908" s="330">
        <f t="shared" ref="X908:AI908" si="622">+X258/X877</f>
        <v>2.1411017745340558E-2</v>
      </c>
      <c r="Y908" s="330">
        <f t="shared" si="622"/>
        <v>2.6810233882660454E-2</v>
      </c>
      <c r="Z908" s="330">
        <f t="shared" si="622"/>
        <v>2.6755360791502102E-2</v>
      </c>
      <c r="AA908" s="330">
        <f t="shared" si="622"/>
        <v>2.7884171304647563E-2</v>
      </c>
      <c r="AB908" s="330">
        <f t="shared" si="622"/>
        <v>2.8062649407645336E-2</v>
      </c>
      <c r="AC908" s="330">
        <f t="shared" si="622"/>
        <v>2.9532759580536232E-2</v>
      </c>
      <c r="AD908" s="330">
        <f t="shared" si="622"/>
        <v>3.0665685245424318E-2</v>
      </c>
      <c r="AE908" s="330">
        <f t="shared" si="622"/>
        <v>2.8478366923504889E-2</v>
      </c>
      <c r="AF908" s="330">
        <f t="shared" si="622"/>
        <v>2.7534723942183561E-2</v>
      </c>
      <c r="AG908" s="330">
        <f t="shared" si="622"/>
        <v>3.1871191879370729E-2</v>
      </c>
      <c r="AH908" s="330">
        <f t="shared" si="622"/>
        <v>2.88831286192195E-2</v>
      </c>
      <c r="AI908" s="330">
        <f t="shared" si="622"/>
        <v>2.7838679212122335E-2</v>
      </c>
      <c r="AJ908" s="420">
        <f t="shared" si="613"/>
        <v>2.7838679212122335E-2</v>
      </c>
      <c r="AK908" s="420">
        <f t="shared" si="612"/>
        <v>2.7838679212122335E-2</v>
      </c>
      <c r="AL908" s="420">
        <f t="shared" si="612"/>
        <v>2.7838679212122335E-2</v>
      </c>
      <c r="AM908" s="420">
        <f t="shared" si="612"/>
        <v>2.7838679212122335E-2</v>
      </c>
      <c r="AN908" s="420">
        <f t="shared" si="614"/>
        <v>2.7838679212122335E-2</v>
      </c>
      <c r="AO908" s="1910">
        <f t="shared" si="615"/>
        <v>2.7838679212122335E-2</v>
      </c>
      <c r="AP908" s="1910">
        <f t="shared" si="616"/>
        <v>2.7838679212122335E-2</v>
      </c>
      <c r="AQ908" s="1910">
        <f t="shared" si="617"/>
        <v>2.7838679212122335E-2</v>
      </c>
      <c r="AR908" s="1910">
        <f t="shared" si="618"/>
        <v>2.7838679212122335E-2</v>
      </c>
      <c r="AS908" s="1910">
        <f t="shared" si="619"/>
        <v>2.7838679212122335E-2</v>
      </c>
      <c r="AT908" s="1910">
        <f t="shared" si="620"/>
        <v>2.7838679212122335E-2</v>
      </c>
    </row>
    <row r="909" spans="1:46">
      <c r="A909" s="295"/>
      <c r="B909" s="288"/>
      <c r="D909" s="325" t="s">
        <v>311</v>
      </c>
      <c r="E909" s="3044"/>
      <c r="F909" s="1"/>
      <c r="G909" s="1"/>
      <c r="H909" s="1"/>
      <c r="I909" s="1"/>
      <c r="J909" s="1"/>
      <c r="K909" s="1"/>
      <c r="L909" s="1"/>
      <c r="M909" s="1"/>
      <c r="N909" s="1"/>
      <c r="O909" s="1"/>
      <c r="P909" s="1"/>
      <c r="Q909" s="1"/>
      <c r="R909" s="1"/>
      <c r="S909" s="1"/>
      <c r="T909" s="1"/>
      <c r="V909" s="378"/>
      <c r="W909" s="330"/>
      <c r="X909" s="330">
        <f t="shared" ref="X909:AC909" si="623">+X895</f>
        <v>0.10825020283195834</v>
      </c>
      <c r="Y909" s="330">
        <f t="shared" si="623"/>
        <v>8.6788698314849574E-2</v>
      </c>
      <c r="Z909" s="330">
        <f t="shared" si="623"/>
        <v>0.10642483432457703</v>
      </c>
      <c r="AA909" s="330">
        <f t="shared" si="623"/>
        <v>0.11956089786952122</v>
      </c>
      <c r="AB909" s="330">
        <f t="shared" si="623"/>
        <v>0.10269839131750017</v>
      </c>
      <c r="AC909" s="330">
        <f t="shared" si="623"/>
        <v>0.10254667363595005</v>
      </c>
      <c r="AD909" s="420">
        <f>+AC909</f>
        <v>0.10254667363595005</v>
      </c>
      <c r="AE909" s="420">
        <f>+AD909</f>
        <v>0.10254667363595005</v>
      </c>
      <c r="AF909" s="420">
        <f>+AE909</f>
        <v>0.10254667363595005</v>
      </c>
      <c r="AG909" s="420">
        <f t="shared" si="610"/>
        <v>0.10254667363595005</v>
      </c>
      <c r="AH909" s="420">
        <f t="shared" si="611"/>
        <v>0.10254667363595005</v>
      </c>
      <c r="AI909" s="2179">
        <f t="shared" si="612"/>
        <v>0.10254667363595005</v>
      </c>
      <c r="AJ909" s="420">
        <f t="shared" si="613"/>
        <v>0.10254667363595005</v>
      </c>
      <c r="AK909" s="420">
        <f t="shared" si="612"/>
        <v>0.10254667363595005</v>
      </c>
      <c r="AL909" s="420">
        <f t="shared" si="612"/>
        <v>0.10254667363595005</v>
      </c>
      <c r="AM909" s="420">
        <f t="shared" si="612"/>
        <v>0.10254667363595005</v>
      </c>
      <c r="AN909" s="420">
        <f t="shared" si="614"/>
        <v>0.10254667363595005</v>
      </c>
      <c r="AO909" s="1910">
        <f t="shared" si="615"/>
        <v>0.10254667363595005</v>
      </c>
      <c r="AP909" s="1910">
        <f t="shared" si="616"/>
        <v>0.10254667363595005</v>
      </c>
      <c r="AQ909" s="1910">
        <f t="shared" si="617"/>
        <v>0.10254667363595005</v>
      </c>
      <c r="AR909" s="1910">
        <f t="shared" si="618"/>
        <v>0.10254667363595005</v>
      </c>
      <c r="AS909" s="1910">
        <f t="shared" si="619"/>
        <v>0.10254667363595005</v>
      </c>
      <c r="AT909" s="1910">
        <f t="shared" si="620"/>
        <v>0.10254667363595005</v>
      </c>
    </row>
    <row r="910" spans="1:46">
      <c r="A910" s="295"/>
      <c r="B910" s="1"/>
      <c r="D910" s="1681" t="s">
        <v>286</v>
      </c>
      <c r="E910" s="3059" t="s">
        <v>359</v>
      </c>
      <c r="F910" s="1"/>
      <c r="G910" s="1"/>
      <c r="H910" s="1"/>
      <c r="I910" s="1"/>
      <c r="J910" s="1"/>
      <c r="K910" s="1"/>
      <c r="L910" s="1"/>
      <c r="M910" s="1"/>
      <c r="N910" s="1"/>
      <c r="O910" s="1"/>
      <c r="P910" s="1"/>
      <c r="Q910" s="1"/>
      <c r="R910" s="1"/>
      <c r="S910" s="1"/>
      <c r="T910" s="1"/>
      <c r="V910" s="1"/>
      <c r="X910" s="899">
        <f t="shared" ref="X910:AH910" si="624">+(X912*X881+X913*X882)/(X881+X882)</f>
        <v>0.42726904376012964</v>
      </c>
      <c r="Y910" s="899">
        <f t="shared" si="624"/>
        <v>0.42438744257274119</v>
      </c>
      <c r="Z910" s="899">
        <f t="shared" si="624"/>
        <v>0.41559356136820924</v>
      </c>
      <c r="AA910" s="899">
        <f t="shared" si="624"/>
        <v>0.44517766497461925</v>
      </c>
      <c r="AB910" s="899">
        <f t="shared" si="624"/>
        <v>0.46985294117647058</v>
      </c>
      <c r="AC910" s="899">
        <f t="shared" si="624"/>
        <v>0.45020147750167894</v>
      </c>
      <c r="AD910" s="899">
        <f t="shared" si="624"/>
        <v>0.45944363103953145</v>
      </c>
      <c r="AE910" s="899">
        <f t="shared" si="624"/>
        <v>0.43414905450500552</v>
      </c>
      <c r="AF910" s="899">
        <f t="shared" si="624"/>
        <v>0.48246637909160112</v>
      </c>
      <c r="AG910" s="899">
        <f t="shared" si="624"/>
        <v>0.50257153544043387</v>
      </c>
      <c r="AH910" s="899">
        <f t="shared" si="624"/>
        <v>0.53088311688311685</v>
      </c>
      <c r="AI910" s="2179">
        <f t="shared" si="612"/>
        <v>0.53088311688311685</v>
      </c>
      <c r="AJ910" s="420">
        <f t="shared" si="613"/>
        <v>0.53088311688311685</v>
      </c>
      <c r="AK910" s="420">
        <f t="shared" si="612"/>
        <v>0.53088311688311685</v>
      </c>
      <c r="AL910" s="420">
        <f t="shared" si="612"/>
        <v>0.53088311688311685</v>
      </c>
      <c r="AM910" s="420">
        <f t="shared" si="612"/>
        <v>0.53088311688311685</v>
      </c>
      <c r="AN910" s="420">
        <f t="shared" si="614"/>
        <v>0.53088311688311685</v>
      </c>
      <c r="AO910" s="1910">
        <f t="shared" si="615"/>
        <v>0.53088311688311685</v>
      </c>
      <c r="AP910" s="1910">
        <f t="shared" si="616"/>
        <v>0.53088311688311685</v>
      </c>
      <c r="AQ910" s="1910">
        <f t="shared" si="617"/>
        <v>0.53088311688311685</v>
      </c>
      <c r="AR910" s="1910">
        <f t="shared" si="618"/>
        <v>0.53088311688311685</v>
      </c>
      <c r="AS910" s="1910">
        <f t="shared" si="619"/>
        <v>0.53088311688311685</v>
      </c>
      <c r="AT910" s="1910">
        <f t="shared" si="620"/>
        <v>0.53088311688311685</v>
      </c>
    </row>
    <row r="911" spans="1:46">
      <c r="A911" s="295"/>
      <c r="B911" s="1"/>
      <c r="D911" s="325" t="str">
        <f>+D909</f>
        <v xml:space="preserve">                   of which: direct imports (from BOP)</v>
      </c>
      <c r="E911" s="3044"/>
      <c r="F911" s="1"/>
      <c r="G911" s="1"/>
      <c r="H911" s="1"/>
      <c r="I911" s="1"/>
      <c r="J911" s="1"/>
      <c r="K911" s="1"/>
      <c r="L911" s="1"/>
      <c r="M911" s="1"/>
      <c r="N911" s="1"/>
      <c r="O911" s="1"/>
      <c r="P911" s="1"/>
      <c r="Q911" s="1"/>
      <c r="R911" s="1"/>
      <c r="S911" s="1"/>
      <c r="T911" s="1"/>
      <c r="V911" s="1"/>
      <c r="X911" s="900">
        <f t="shared" ref="X911:AH911" si="625">+X897</f>
        <v>0.34113492554979469</v>
      </c>
      <c r="Y911" s="900">
        <f t="shared" si="625"/>
        <v>0.37308358444945833</v>
      </c>
      <c r="Z911" s="900">
        <f t="shared" si="625"/>
        <v>0.40042790843828735</v>
      </c>
      <c r="AA911" s="900">
        <f t="shared" si="625"/>
        <v>0.43197791254216339</v>
      </c>
      <c r="AB911" s="900">
        <f t="shared" si="625"/>
        <v>0.3169308635166479</v>
      </c>
      <c r="AC911" s="900">
        <f t="shared" si="625"/>
        <v>0.45729541937561358</v>
      </c>
      <c r="AD911" s="900">
        <f t="shared" si="625"/>
        <v>0.42803460209138761</v>
      </c>
      <c r="AE911" s="900">
        <f t="shared" si="625"/>
        <v>0.48811533369187238</v>
      </c>
      <c r="AF911" s="900">
        <f t="shared" si="625"/>
        <v>0.24869188278039864</v>
      </c>
      <c r="AG911" s="900">
        <f t="shared" si="625"/>
        <v>0.195416521407213</v>
      </c>
      <c r="AH911" s="900">
        <f t="shared" si="625"/>
        <v>0.22874200128293939</v>
      </c>
      <c r="AI911" s="2179">
        <f t="shared" si="612"/>
        <v>0.22874200128293939</v>
      </c>
      <c r="AJ911" s="420">
        <f t="shared" si="613"/>
        <v>0.22874200128293939</v>
      </c>
      <c r="AK911" s="420">
        <f t="shared" si="612"/>
        <v>0.22874200128293939</v>
      </c>
      <c r="AL911" s="420">
        <f t="shared" si="612"/>
        <v>0.22874200128293939</v>
      </c>
      <c r="AM911" s="420">
        <f t="shared" si="612"/>
        <v>0.22874200128293939</v>
      </c>
      <c r="AN911" s="420">
        <f t="shared" si="614"/>
        <v>0.22874200128293939</v>
      </c>
      <c r="AO911" s="1910">
        <f t="shared" si="615"/>
        <v>0.22874200128293939</v>
      </c>
      <c r="AP911" s="1910">
        <f t="shared" si="616"/>
        <v>0.22874200128293939</v>
      </c>
      <c r="AQ911" s="1910">
        <f t="shared" si="617"/>
        <v>0.22874200128293939</v>
      </c>
      <c r="AR911" s="1910">
        <f t="shared" si="618"/>
        <v>0.22874200128293939</v>
      </c>
      <c r="AS911" s="1910">
        <f t="shared" si="619"/>
        <v>0.22874200128293939</v>
      </c>
      <c r="AT911" s="1910">
        <f t="shared" si="620"/>
        <v>0.22874200128293939</v>
      </c>
    </row>
    <row r="912" spans="1:46">
      <c r="A912" s="295"/>
      <c r="B912" s="1"/>
      <c r="D912" s="325" t="s">
        <v>313</v>
      </c>
      <c r="F912" s="1"/>
      <c r="G912" s="1"/>
      <c r="H912" s="1"/>
      <c r="I912" s="1"/>
      <c r="J912" s="1"/>
      <c r="K912" s="1"/>
      <c r="L912" s="1"/>
      <c r="M912" s="1"/>
      <c r="N912" s="1"/>
      <c r="O912" s="1"/>
      <c r="P912" s="1"/>
      <c r="Q912" s="1"/>
      <c r="R912" s="1"/>
      <c r="S912" s="1"/>
      <c r="T912" s="1"/>
      <c r="V912" s="1"/>
      <c r="X912" s="901">
        <v>0.3</v>
      </c>
      <c r="Y912" s="901">
        <f>+X912</f>
        <v>0.3</v>
      </c>
      <c r="Z912" s="901">
        <f t="shared" ref="Z912:AF912" si="626">+Y912</f>
        <v>0.3</v>
      </c>
      <c r="AA912" s="901">
        <f t="shared" si="626"/>
        <v>0.3</v>
      </c>
      <c r="AB912" s="901">
        <f t="shared" si="626"/>
        <v>0.3</v>
      </c>
      <c r="AC912" s="901">
        <f t="shared" si="626"/>
        <v>0.3</v>
      </c>
      <c r="AD912" s="901">
        <f t="shared" si="626"/>
        <v>0.3</v>
      </c>
      <c r="AE912" s="901">
        <f t="shared" si="626"/>
        <v>0.3</v>
      </c>
      <c r="AF912" s="901">
        <f t="shared" si="626"/>
        <v>0.3</v>
      </c>
      <c r="AG912" s="901">
        <f>+AF912+0.03</f>
        <v>0.32999999999999996</v>
      </c>
      <c r="AH912" s="901">
        <f>+AG912+0.05</f>
        <v>0.37999999999999995</v>
      </c>
      <c r="AI912" s="2183">
        <f t="shared" si="612"/>
        <v>0.37999999999999995</v>
      </c>
      <c r="AJ912" s="901">
        <f t="shared" si="613"/>
        <v>0.37999999999999995</v>
      </c>
      <c r="AK912" s="901">
        <f t="shared" si="612"/>
        <v>0.37999999999999995</v>
      </c>
      <c r="AL912" s="901">
        <f t="shared" si="612"/>
        <v>0.37999999999999995</v>
      </c>
      <c r="AM912" s="901">
        <f t="shared" si="612"/>
        <v>0.37999999999999995</v>
      </c>
      <c r="AN912" s="901">
        <f t="shared" si="614"/>
        <v>0.37999999999999995</v>
      </c>
      <c r="AO912" s="901">
        <f t="shared" si="615"/>
        <v>0.37999999999999995</v>
      </c>
      <c r="AP912" s="901">
        <f t="shared" si="616"/>
        <v>0.37999999999999995</v>
      </c>
      <c r="AQ912" s="901">
        <f t="shared" si="617"/>
        <v>0.37999999999999995</v>
      </c>
      <c r="AR912" s="901">
        <f t="shared" si="618"/>
        <v>0.37999999999999995</v>
      </c>
      <c r="AS912" s="901">
        <f t="shared" si="619"/>
        <v>0.37999999999999995</v>
      </c>
      <c r="AT912" s="901">
        <f t="shared" si="620"/>
        <v>0.37999999999999995</v>
      </c>
    </row>
    <row r="913" spans="1:47">
      <c r="A913" s="295"/>
      <c r="B913" s="1"/>
      <c r="D913" s="325" t="s">
        <v>312</v>
      </c>
      <c r="F913" s="1"/>
      <c r="G913" s="1"/>
      <c r="H913" s="1"/>
      <c r="I913" s="1"/>
      <c r="J913" s="1"/>
      <c r="K913" s="1"/>
      <c r="L913" s="1"/>
      <c r="M913" s="1"/>
      <c r="N913" s="1"/>
      <c r="O913" s="1"/>
      <c r="P913" s="1"/>
      <c r="Q913" s="1"/>
      <c r="R913" s="1"/>
      <c r="S913" s="1"/>
      <c r="T913" s="1"/>
      <c r="V913" s="1"/>
      <c r="X913" s="901">
        <v>0.75</v>
      </c>
      <c r="Y913" s="901">
        <f>+X913</f>
        <v>0.75</v>
      </c>
      <c r="Z913" s="901">
        <f t="shared" ref="Z913:AH913" si="627">+Y913</f>
        <v>0.75</v>
      </c>
      <c r="AA913" s="901">
        <f t="shared" si="627"/>
        <v>0.75</v>
      </c>
      <c r="AB913" s="901">
        <f t="shared" si="627"/>
        <v>0.75</v>
      </c>
      <c r="AC913" s="901">
        <f t="shared" si="627"/>
        <v>0.75</v>
      </c>
      <c r="AD913" s="901">
        <f t="shared" si="627"/>
        <v>0.75</v>
      </c>
      <c r="AE913" s="901">
        <f t="shared" si="627"/>
        <v>0.75</v>
      </c>
      <c r="AF913" s="901">
        <f t="shared" si="627"/>
        <v>0.75</v>
      </c>
      <c r="AG913" s="901">
        <f t="shared" si="627"/>
        <v>0.75</v>
      </c>
      <c r="AH913" s="901">
        <f t="shared" si="627"/>
        <v>0.75</v>
      </c>
      <c r="AI913" s="2183">
        <f t="shared" si="612"/>
        <v>0.75</v>
      </c>
      <c r="AJ913" s="901">
        <f t="shared" si="613"/>
        <v>0.75</v>
      </c>
      <c r="AK913" s="901">
        <f t="shared" si="612"/>
        <v>0.75</v>
      </c>
      <c r="AL913" s="901">
        <f t="shared" si="612"/>
        <v>0.75</v>
      </c>
      <c r="AM913" s="901">
        <f t="shared" si="612"/>
        <v>0.75</v>
      </c>
      <c r="AN913" s="901">
        <f t="shared" si="614"/>
        <v>0.75</v>
      </c>
      <c r="AO913" s="901">
        <f t="shared" si="615"/>
        <v>0.75</v>
      </c>
      <c r="AP913" s="901">
        <f t="shared" si="616"/>
        <v>0.75</v>
      </c>
      <c r="AQ913" s="901">
        <f t="shared" si="617"/>
        <v>0.75</v>
      </c>
      <c r="AR913" s="901">
        <f t="shared" si="618"/>
        <v>0.75</v>
      </c>
      <c r="AS913" s="901">
        <f t="shared" si="619"/>
        <v>0.75</v>
      </c>
      <c r="AT913" s="901">
        <f t="shared" si="620"/>
        <v>0.75</v>
      </c>
    </row>
    <row r="914" spans="1:47">
      <c r="A914" s="295"/>
      <c r="B914" s="1"/>
      <c r="D914" s="382" t="str">
        <f>+D910</f>
        <v>share of imports in investment (chosen, incl. indirect imports)</v>
      </c>
      <c r="E914" s="3060"/>
      <c r="F914" s="724"/>
      <c r="G914" s="724"/>
      <c r="H914" s="724"/>
      <c r="I914" s="724"/>
      <c r="J914" s="724"/>
      <c r="K914" s="724"/>
      <c r="L914" s="724"/>
      <c r="M914" s="724"/>
      <c r="N914" s="724"/>
      <c r="O914" s="724"/>
      <c r="P914" s="724"/>
      <c r="Q914" s="724"/>
      <c r="R914" s="724"/>
      <c r="S914" s="724"/>
      <c r="T914" s="724"/>
      <c r="U914" s="724"/>
      <c r="V914" s="724"/>
      <c r="W914" s="902"/>
      <c r="X914" s="903">
        <f t="shared" ref="X914:AH914" si="628">+(X915*X879+X916*X880)/(X879+X880)</f>
        <v>0.51121510493453048</v>
      </c>
      <c r="Y914" s="903">
        <f t="shared" si="628"/>
        <v>0.51462574640948255</v>
      </c>
      <c r="Z914" s="903">
        <f t="shared" si="628"/>
        <v>0.511468950079351</v>
      </c>
      <c r="AA914" s="903">
        <f t="shared" si="628"/>
        <v>0.50784748636539723</v>
      </c>
      <c r="AB914" s="903">
        <f t="shared" si="628"/>
        <v>0.50816933674574161</v>
      </c>
      <c r="AC914" s="903">
        <f t="shared" si="628"/>
        <v>0.51735487887892062</v>
      </c>
      <c r="AD914" s="903">
        <f t="shared" si="628"/>
        <v>0.5141972330302047</v>
      </c>
      <c r="AE914" s="903">
        <f t="shared" si="628"/>
        <v>0.52264297742046428</v>
      </c>
      <c r="AF914" s="903">
        <f t="shared" si="628"/>
        <v>0.50809617924604245</v>
      </c>
      <c r="AG914" s="903">
        <f t="shared" si="628"/>
        <v>0.50468002610981566</v>
      </c>
      <c r="AH914" s="903">
        <f t="shared" si="628"/>
        <v>0.50219928178936502</v>
      </c>
      <c r="AI914" s="2179">
        <f t="shared" si="612"/>
        <v>0.50219928178936502</v>
      </c>
      <c r="AJ914" s="420">
        <f t="shared" si="613"/>
        <v>0.50219928178936502</v>
      </c>
      <c r="AK914" s="420">
        <f t="shared" si="612"/>
        <v>0.50219928178936502</v>
      </c>
      <c r="AL914" s="420">
        <f t="shared" si="612"/>
        <v>0.50219928178936502</v>
      </c>
      <c r="AM914" s="420">
        <f t="shared" si="612"/>
        <v>0.50219928178936502</v>
      </c>
      <c r="AN914" s="420">
        <f>+AM914</f>
        <v>0.50219928178936502</v>
      </c>
      <c r="AO914" s="1910">
        <f t="shared" si="615"/>
        <v>0.50219928178936502</v>
      </c>
      <c r="AP914" s="1910">
        <f t="shared" si="616"/>
        <v>0.50219928178936502</v>
      </c>
      <c r="AQ914" s="1910">
        <f t="shared" si="617"/>
        <v>0.50219928178936502</v>
      </c>
      <c r="AR914" s="1910">
        <f t="shared" si="618"/>
        <v>0.50219928178936502</v>
      </c>
      <c r="AS914" s="1910">
        <f t="shared" si="619"/>
        <v>0.50219928178936502</v>
      </c>
      <c r="AT914" s="1910">
        <f t="shared" si="620"/>
        <v>0.50219928178936502</v>
      </c>
    </row>
    <row r="915" spans="1:47">
      <c r="A915" s="295"/>
      <c r="B915" s="1"/>
      <c r="D915" s="382" t="s">
        <v>301</v>
      </c>
      <c r="E915" s="3059" t="s">
        <v>370</v>
      </c>
      <c r="F915" s="724"/>
      <c r="G915" s="724"/>
      <c r="H915" s="724"/>
      <c r="I915" s="724"/>
      <c r="J915" s="724"/>
      <c r="K915" s="724"/>
      <c r="L915" s="724"/>
      <c r="M915" s="724"/>
      <c r="N915" s="724"/>
      <c r="O915" s="724"/>
      <c r="P915" s="724"/>
      <c r="Q915" s="724"/>
      <c r="R915" s="724"/>
      <c r="S915" s="724"/>
      <c r="T915" s="724"/>
      <c r="U915" s="724"/>
      <c r="V915" s="724"/>
      <c r="W915" s="902"/>
      <c r="X915" s="383">
        <v>0.55000000000000004</v>
      </c>
      <c r="Y915" s="383">
        <f>+X915</f>
        <v>0.55000000000000004</v>
      </c>
      <c r="Z915" s="383">
        <v>0.55000000000000004</v>
      </c>
      <c r="AA915" s="383">
        <f t="shared" ref="AA915:AF915" si="629">+Z915</f>
        <v>0.55000000000000004</v>
      </c>
      <c r="AB915" s="383">
        <f t="shared" si="629"/>
        <v>0.55000000000000004</v>
      </c>
      <c r="AC915" s="383">
        <f t="shared" si="629"/>
        <v>0.55000000000000004</v>
      </c>
      <c r="AD915" s="383">
        <f t="shared" si="629"/>
        <v>0.55000000000000004</v>
      </c>
      <c r="AE915" s="383">
        <f t="shared" si="629"/>
        <v>0.55000000000000004</v>
      </c>
      <c r="AF915" s="383">
        <f t="shared" si="629"/>
        <v>0.55000000000000004</v>
      </c>
      <c r="AG915" s="383">
        <f t="shared" si="610"/>
        <v>0.55000000000000004</v>
      </c>
      <c r="AH915" s="383">
        <f t="shared" si="611"/>
        <v>0.55000000000000004</v>
      </c>
      <c r="AI915" s="2184">
        <f t="shared" si="612"/>
        <v>0.55000000000000004</v>
      </c>
      <c r="AJ915" s="383">
        <f t="shared" si="613"/>
        <v>0.55000000000000004</v>
      </c>
      <c r="AK915" s="383">
        <f t="shared" si="612"/>
        <v>0.55000000000000004</v>
      </c>
      <c r="AL915" s="383">
        <f t="shared" si="612"/>
        <v>0.55000000000000004</v>
      </c>
      <c r="AM915" s="383">
        <f t="shared" si="612"/>
        <v>0.55000000000000004</v>
      </c>
      <c r="AN915" s="383">
        <f>+AM915</f>
        <v>0.55000000000000004</v>
      </c>
      <c r="AO915" s="383">
        <f t="shared" si="615"/>
        <v>0.55000000000000004</v>
      </c>
      <c r="AP915" s="383">
        <f t="shared" si="616"/>
        <v>0.55000000000000004</v>
      </c>
      <c r="AQ915" s="383">
        <f t="shared" si="617"/>
        <v>0.55000000000000004</v>
      </c>
      <c r="AR915" s="383">
        <f t="shared" si="618"/>
        <v>0.55000000000000004</v>
      </c>
      <c r="AS915" s="383">
        <f t="shared" si="619"/>
        <v>0.55000000000000004</v>
      </c>
      <c r="AT915" s="383">
        <f t="shared" si="620"/>
        <v>0.55000000000000004</v>
      </c>
    </row>
    <row r="916" spans="1:47">
      <c r="A916" s="295"/>
      <c r="B916" s="1"/>
      <c r="D916" s="382" t="s">
        <v>302</v>
      </c>
      <c r="E916" s="3059" t="s">
        <v>303</v>
      </c>
      <c r="F916" s="724"/>
      <c r="G916" s="724"/>
      <c r="H916" s="724"/>
      <c r="I916" s="724"/>
      <c r="J916" s="724"/>
      <c r="K916" s="724"/>
      <c r="L916" s="724"/>
      <c r="M916" s="724"/>
      <c r="N916" s="724"/>
      <c r="O916" s="724"/>
      <c r="P916" s="724"/>
      <c r="Q916" s="724"/>
      <c r="R916" s="724"/>
      <c r="S916" s="724"/>
      <c r="T916" s="724"/>
      <c r="U916" s="724"/>
      <c r="V916" s="724"/>
      <c r="W916" s="902"/>
      <c r="X916" s="383">
        <v>0.49</v>
      </c>
      <c r="Y916" s="383">
        <f>+X916</f>
        <v>0.49</v>
      </c>
      <c r="Z916" s="383">
        <f>+Y916</f>
        <v>0.49</v>
      </c>
      <c r="AA916" s="383">
        <v>0.49</v>
      </c>
      <c r="AB916" s="383">
        <v>0.49</v>
      </c>
      <c r="AC916" s="383">
        <v>0.49</v>
      </c>
      <c r="AD916" s="383">
        <f t="shared" ref="AD916:AF917" si="630">+AC916</f>
        <v>0.49</v>
      </c>
      <c r="AE916" s="383">
        <f t="shared" si="630"/>
        <v>0.49</v>
      </c>
      <c r="AF916" s="383">
        <f t="shared" si="630"/>
        <v>0.49</v>
      </c>
      <c r="AG916" s="383">
        <f t="shared" si="610"/>
        <v>0.49</v>
      </c>
      <c r="AH916" s="383">
        <f t="shared" si="611"/>
        <v>0.49</v>
      </c>
      <c r="AI916" s="2184">
        <f t="shared" si="612"/>
        <v>0.49</v>
      </c>
      <c r="AJ916" s="383">
        <f t="shared" si="613"/>
        <v>0.49</v>
      </c>
      <c r="AK916" s="383">
        <f t="shared" si="612"/>
        <v>0.49</v>
      </c>
      <c r="AL916" s="383">
        <f t="shared" si="612"/>
        <v>0.49</v>
      </c>
      <c r="AM916" s="383">
        <f t="shared" si="612"/>
        <v>0.49</v>
      </c>
      <c r="AN916" s="383">
        <f>+AM916</f>
        <v>0.49</v>
      </c>
      <c r="AO916" s="383">
        <f t="shared" si="615"/>
        <v>0.49</v>
      </c>
      <c r="AP916" s="383">
        <f t="shared" si="616"/>
        <v>0.49</v>
      </c>
      <c r="AQ916" s="383">
        <f t="shared" si="617"/>
        <v>0.49</v>
      </c>
      <c r="AR916" s="383">
        <f t="shared" si="618"/>
        <v>0.49</v>
      </c>
      <c r="AS916" s="383">
        <f t="shared" si="619"/>
        <v>0.49</v>
      </c>
      <c r="AT916" s="383">
        <f t="shared" si="620"/>
        <v>0.49</v>
      </c>
    </row>
    <row r="917" spans="1:47" ht="16.75" thickBot="1">
      <c r="A917" s="295"/>
      <c r="B917" s="1"/>
      <c r="D917" s="325" t="s">
        <v>287</v>
      </c>
      <c r="E917" s="3059" t="s">
        <v>303</v>
      </c>
      <c r="F917" s="1"/>
      <c r="G917" s="1"/>
      <c r="H917" s="1"/>
      <c r="I917" s="1"/>
      <c r="J917" s="1"/>
      <c r="K917" s="1"/>
      <c r="L917" s="1"/>
      <c r="M917" s="1"/>
      <c r="N917" s="1"/>
      <c r="O917" s="1"/>
      <c r="P917" s="1"/>
      <c r="Q917" s="1"/>
      <c r="R917" s="1"/>
      <c r="S917" s="1"/>
      <c r="T917" s="1"/>
      <c r="V917" s="1"/>
      <c r="X917" s="384">
        <v>0</v>
      </c>
      <c r="Y917" s="384">
        <f>+X917</f>
        <v>0</v>
      </c>
      <c r="Z917" s="384">
        <f>+Y917</f>
        <v>0</v>
      </c>
      <c r="AA917" s="384">
        <f>+Z917</f>
        <v>0</v>
      </c>
      <c r="AB917" s="384">
        <f>+AA917</f>
        <v>0</v>
      </c>
      <c r="AC917" s="1677">
        <f>+AB917</f>
        <v>0</v>
      </c>
      <c r="AD917" s="3210">
        <f t="shared" si="630"/>
        <v>0</v>
      </c>
      <c r="AE917" s="3210">
        <f t="shared" si="630"/>
        <v>0</v>
      </c>
      <c r="AF917" s="3210">
        <f t="shared" si="630"/>
        <v>0</v>
      </c>
      <c r="AG917" s="3210">
        <f t="shared" si="610"/>
        <v>0</v>
      </c>
      <c r="AH917" s="3210">
        <f t="shared" si="611"/>
        <v>0</v>
      </c>
      <c r="AI917" s="3211">
        <f t="shared" si="612"/>
        <v>0</v>
      </c>
      <c r="AJ917" s="3210">
        <f t="shared" si="613"/>
        <v>0</v>
      </c>
      <c r="AK917" s="3210">
        <f t="shared" si="612"/>
        <v>0</v>
      </c>
      <c r="AL917" s="3210">
        <f t="shared" si="612"/>
        <v>0</v>
      </c>
      <c r="AM917" s="3210">
        <f t="shared" si="612"/>
        <v>0</v>
      </c>
      <c r="AN917" s="3210">
        <f>+AM917</f>
        <v>0</v>
      </c>
      <c r="AO917" s="1910">
        <f t="shared" si="615"/>
        <v>0</v>
      </c>
      <c r="AP917" s="1910">
        <f t="shared" si="616"/>
        <v>0</v>
      </c>
      <c r="AQ917" s="1910">
        <f t="shared" si="617"/>
        <v>0</v>
      </c>
      <c r="AR917" s="1910">
        <f t="shared" si="618"/>
        <v>0</v>
      </c>
      <c r="AS917" s="1910">
        <f t="shared" si="619"/>
        <v>0</v>
      </c>
      <c r="AT917" s="1910">
        <f t="shared" si="620"/>
        <v>0</v>
      </c>
    </row>
    <row r="918" spans="1:47" ht="16.75" thickBot="1">
      <c r="A918" s="295"/>
      <c r="B918" s="1"/>
      <c r="D918" s="725" t="s">
        <v>289</v>
      </c>
      <c r="E918" s="3061" t="s">
        <v>324</v>
      </c>
      <c r="F918" s="726"/>
      <c r="G918" s="726"/>
      <c r="H918" s="726"/>
      <c r="I918" s="726"/>
      <c r="J918" s="726"/>
      <c r="K918" s="726"/>
      <c r="L918" s="726"/>
      <c r="M918" s="726"/>
      <c r="N918" s="726"/>
      <c r="O918" s="726"/>
      <c r="P918" s="726"/>
      <c r="Q918" s="726"/>
      <c r="R918" s="726"/>
      <c r="S918" s="726"/>
      <c r="T918" s="726"/>
      <c r="U918" s="726"/>
      <c r="V918" s="726"/>
      <c r="W918" s="904"/>
      <c r="X918" s="905">
        <f t="shared" ref="X918:AH918" si="631">+(X894*X876+X906*X877+X910*X878+X917*X883+X899*X884)/X873</f>
        <v>0.30797116697361099</v>
      </c>
      <c r="Y918" s="906">
        <f t="shared" si="631"/>
        <v>0.3277335788009072</v>
      </c>
      <c r="Z918" s="906">
        <f t="shared" si="631"/>
        <v>0.32563295129628966</v>
      </c>
      <c r="AA918" s="906">
        <f t="shared" si="631"/>
        <v>0.34282566226294575</v>
      </c>
      <c r="AB918" s="906">
        <f t="shared" si="631"/>
        <v>0.3447156606582733</v>
      </c>
      <c r="AC918" s="906">
        <f t="shared" si="631"/>
        <v>0.31020947950967703</v>
      </c>
      <c r="AD918" s="906">
        <f t="shared" si="631"/>
        <v>0.3253598513692601</v>
      </c>
      <c r="AE918" s="906">
        <f t="shared" si="631"/>
        <v>0.31528631750230701</v>
      </c>
      <c r="AF918" s="906">
        <f t="shared" si="631"/>
        <v>0.41334642329078986</v>
      </c>
      <c r="AG918" s="906">
        <f t="shared" si="631"/>
        <v>0.42259761792821582</v>
      </c>
      <c r="AH918" s="906">
        <f t="shared" si="631"/>
        <v>0.4617533982191494</v>
      </c>
      <c r="AI918" s="3212">
        <f t="shared" si="612"/>
        <v>0.4617533982191494</v>
      </c>
      <c r="AJ918" s="1257">
        <f t="shared" si="613"/>
        <v>0.4617533982191494</v>
      </c>
      <c r="AK918" s="1257">
        <f t="shared" si="612"/>
        <v>0.4617533982191494</v>
      </c>
      <c r="AL918" s="1257">
        <f t="shared" si="612"/>
        <v>0.4617533982191494</v>
      </c>
      <c r="AM918" s="1257">
        <f t="shared" si="612"/>
        <v>0.4617533982191494</v>
      </c>
      <c r="AN918" s="1257">
        <f>+AM918</f>
        <v>0.4617533982191494</v>
      </c>
      <c r="AO918" s="1912">
        <f t="shared" si="615"/>
        <v>0.4617533982191494</v>
      </c>
      <c r="AP918" s="1912">
        <f t="shared" si="616"/>
        <v>0.4617533982191494</v>
      </c>
      <c r="AQ918" s="1912">
        <f t="shared" si="617"/>
        <v>0.4617533982191494</v>
      </c>
      <c r="AR918" s="1912">
        <f t="shared" si="618"/>
        <v>0.4617533982191494</v>
      </c>
      <c r="AS918" s="1912">
        <f t="shared" si="619"/>
        <v>0.4617533982191494</v>
      </c>
      <c r="AT918" s="1912">
        <f t="shared" si="620"/>
        <v>0.4617533982191494</v>
      </c>
    </row>
    <row r="919" spans="1:47">
      <c r="A919" s="295"/>
      <c r="B919" s="1"/>
      <c r="D919" s="295" t="s">
        <v>1122</v>
      </c>
      <c r="E919" s="3044"/>
      <c r="F919" s="1"/>
      <c r="G919" s="1"/>
      <c r="H919" s="1"/>
      <c r="I919" s="1"/>
      <c r="J919" s="1"/>
      <c r="K919" s="1"/>
      <c r="L919" s="1"/>
      <c r="M919" s="1"/>
      <c r="N919" s="1"/>
      <c r="O919" s="1"/>
      <c r="P919" s="1"/>
      <c r="Q919" s="1"/>
      <c r="R919" s="1"/>
      <c r="S919" s="1"/>
      <c r="T919" s="1"/>
      <c r="V919" s="1"/>
      <c r="X919" s="900"/>
      <c r="Y919" s="900"/>
      <c r="Z919" s="900"/>
      <c r="AA919" s="420"/>
      <c r="AB919" s="420"/>
      <c r="AC919" s="410"/>
      <c r="AD919" s="420"/>
      <c r="AE919" s="420"/>
      <c r="AF919" s="420"/>
      <c r="AG919" s="420"/>
      <c r="AH919" s="420"/>
      <c r="AI919" s="420"/>
      <c r="AJ919" s="420"/>
      <c r="AK919" s="420"/>
      <c r="AL919" s="420"/>
      <c r="AM919" s="420"/>
    </row>
    <row r="920" spans="1:47">
      <c r="A920" s="295"/>
      <c r="B920" s="1"/>
      <c r="D920" s="723"/>
      <c r="E920" s="3044"/>
      <c r="F920" s="1"/>
      <c r="G920" s="1"/>
      <c r="H920" s="1"/>
      <c r="I920" s="1"/>
      <c r="J920" s="1"/>
      <c r="K920" s="1"/>
      <c r="L920" s="1"/>
      <c r="M920" s="1"/>
      <c r="N920" s="1"/>
      <c r="O920" s="1"/>
      <c r="P920" s="1"/>
      <c r="Q920" s="1"/>
      <c r="R920" s="1"/>
      <c r="S920" s="1"/>
      <c r="T920" s="1"/>
      <c r="V920" s="1"/>
      <c r="X920" s="900"/>
      <c r="Y920" s="900"/>
      <c r="Z920" s="900"/>
      <c r="AA920" s="420"/>
      <c r="AB920" s="420"/>
      <c r="AC920" s="410"/>
      <c r="AD920" s="420"/>
      <c r="AE920" s="420"/>
      <c r="AF920" s="420"/>
      <c r="AG920" s="420"/>
      <c r="AH920" s="420"/>
      <c r="AI920" s="420"/>
      <c r="AJ920" s="420"/>
      <c r="AK920" s="420"/>
      <c r="AL920" s="420"/>
      <c r="AM920" s="420"/>
    </row>
    <row r="921" spans="1:47" ht="16.75" thickBot="1">
      <c r="A921" s="295"/>
      <c r="B921" s="1"/>
      <c r="D921" s="295" t="s">
        <v>1126</v>
      </c>
      <c r="E921" s="447"/>
      <c r="F921" s="1"/>
      <c r="G921" s="1"/>
      <c r="H921" s="1"/>
      <c r="I921" s="1"/>
      <c r="J921" s="1"/>
      <c r="K921" s="1"/>
      <c r="L921" s="1"/>
      <c r="M921" s="1"/>
      <c r="N921" s="1"/>
      <c r="O921" s="1"/>
      <c r="P921" s="1"/>
      <c r="Q921" s="1"/>
      <c r="R921" s="1"/>
      <c r="S921" s="1"/>
      <c r="T921" s="1"/>
      <c r="V921" s="1"/>
      <c r="X921" s="824"/>
      <c r="Z921" s="824"/>
      <c r="AG921" s="420"/>
      <c r="AH921" s="420"/>
    </row>
    <row r="922" spans="1:47" ht="16.75" thickTop="1">
      <c r="A922" s="295"/>
      <c r="B922" s="1"/>
      <c r="D922" s="374" t="s">
        <v>1127</v>
      </c>
      <c r="E922" s="3764">
        <f ca="1">NOW()</f>
        <v>46074.610906250004</v>
      </c>
      <c r="F922" s="423">
        <v>1995</v>
      </c>
      <c r="G922" s="423">
        <v>1996</v>
      </c>
      <c r="H922" s="423">
        <v>1997</v>
      </c>
      <c r="I922" s="423">
        <v>1998</v>
      </c>
      <c r="J922" s="423">
        <v>1999</v>
      </c>
      <c r="K922" s="423">
        <v>2000</v>
      </c>
      <c r="L922" s="423">
        <v>2001</v>
      </c>
      <c r="M922" s="423">
        <v>2002</v>
      </c>
      <c r="N922" s="423">
        <v>2003</v>
      </c>
      <c r="O922" s="423">
        <v>2004</v>
      </c>
      <c r="P922" s="423">
        <v>2005</v>
      </c>
      <c r="Q922" s="423">
        <v>2006</v>
      </c>
      <c r="R922" s="423">
        <v>2007</v>
      </c>
      <c r="S922" s="423">
        <v>2008</v>
      </c>
      <c r="T922" s="423">
        <v>2009</v>
      </c>
      <c r="U922" s="423">
        <v>2010</v>
      </c>
      <c r="V922" s="423">
        <v>2011</v>
      </c>
      <c r="W922" s="423">
        <v>2012</v>
      </c>
      <c r="X922" s="423">
        <v>2013</v>
      </c>
      <c r="Y922" s="423">
        <v>2014</v>
      </c>
      <c r="Z922" s="423">
        <f t="shared" ref="Z922:AF922" si="632">+Y922+1</f>
        <v>2015</v>
      </c>
      <c r="AA922" s="423">
        <f t="shared" si="632"/>
        <v>2016</v>
      </c>
      <c r="AB922" s="423">
        <v>2017</v>
      </c>
      <c r="AC922" s="424">
        <f t="shared" si="632"/>
        <v>2018</v>
      </c>
      <c r="AD922" s="423">
        <f t="shared" si="632"/>
        <v>2019</v>
      </c>
      <c r="AE922" s="423">
        <f t="shared" si="632"/>
        <v>2020</v>
      </c>
      <c r="AF922" s="423">
        <f t="shared" si="632"/>
        <v>2021</v>
      </c>
      <c r="AG922" s="423">
        <f t="shared" ref="AG922:AN922" si="633">+AF922+1</f>
        <v>2022</v>
      </c>
      <c r="AH922" s="423">
        <f t="shared" si="633"/>
        <v>2023</v>
      </c>
      <c r="AI922" s="3213">
        <f t="shared" si="633"/>
        <v>2024</v>
      </c>
      <c r="AJ922" s="423">
        <f t="shared" si="633"/>
        <v>2025</v>
      </c>
      <c r="AK922" s="423">
        <f t="shared" si="633"/>
        <v>2026</v>
      </c>
      <c r="AL922" s="423">
        <f t="shared" si="633"/>
        <v>2027</v>
      </c>
      <c r="AM922" s="423">
        <f t="shared" si="633"/>
        <v>2028</v>
      </c>
      <c r="AN922" s="423">
        <f t="shared" si="633"/>
        <v>2029</v>
      </c>
      <c r="AO922" s="2619">
        <f t="shared" ref="AO922:AT922" si="634">+AN922+1</f>
        <v>2030</v>
      </c>
      <c r="AP922" s="2619">
        <f t="shared" si="634"/>
        <v>2031</v>
      </c>
      <c r="AQ922" s="2619">
        <f t="shared" si="634"/>
        <v>2032</v>
      </c>
      <c r="AR922" s="2619">
        <f t="shared" si="634"/>
        <v>2033</v>
      </c>
      <c r="AS922" s="2619">
        <f t="shared" si="634"/>
        <v>2034</v>
      </c>
      <c r="AT922" s="2619">
        <f t="shared" si="634"/>
        <v>2035</v>
      </c>
    </row>
    <row r="923" spans="1:47">
      <c r="A923" s="295"/>
      <c r="B923" s="1"/>
      <c r="D923" s="356"/>
      <c r="E923" s="1159"/>
      <c r="F923" s="386"/>
      <c r="G923" s="386"/>
      <c r="H923" s="386"/>
      <c r="I923" s="386"/>
      <c r="J923" s="422"/>
      <c r="K923" s="422"/>
      <c r="L923" s="422"/>
      <c r="M923" s="422"/>
      <c r="N923" s="422"/>
      <c r="O923" s="422"/>
      <c r="P923" s="422"/>
      <c r="Q923" s="422"/>
      <c r="R923" s="422"/>
      <c r="S923" s="422"/>
      <c r="T923" s="422"/>
      <c r="U923" s="422"/>
      <c r="V923" s="422"/>
      <c r="W923" s="907"/>
      <c r="X923" s="907"/>
      <c r="Y923" s="907"/>
      <c r="Z923" s="421"/>
      <c r="AA923" s="421"/>
      <c r="AB923" s="421"/>
      <c r="AC923" s="205"/>
      <c r="AD923" s="421"/>
      <c r="AE923" s="421"/>
      <c r="AF923" s="421"/>
      <c r="AG923" s="421"/>
      <c r="AH923" s="421"/>
      <c r="AI923" s="3214"/>
      <c r="AJ923" s="421"/>
      <c r="AK923" s="421"/>
      <c r="AL923" s="421"/>
      <c r="AM923" s="421"/>
      <c r="AN923" s="421"/>
      <c r="AO923" s="2620"/>
      <c r="AP923" s="2620"/>
      <c r="AQ923" s="2620"/>
      <c r="AR923" s="2620"/>
      <c r="AS923" s="2620"/>
      <c r="AT923" s="2620"/>
    </row>
    <row r="924" spans="1:47">
      <c r="A924" s="295"/>
      <c r="B924" s="1"/>
      <c r="D924" s="357" t="s">
        <v>294</v>
      </c>
      <c r="E924" s="1159"/>
      <c r="F924" s="386"/>
      <c r="G924" s="386"/>
      <c r="H924" s="386"/>
      <c r="I924" s="386"/>
      <c r="J924" s="386"/>
      <c r="K924" s="386"/>
      <c r="L924" s="386"/>
      <c r="M924" s="386"/>
      <c r="N924" s="386"/>
      <c r="O924" s="386"/>
      <c r="P924" s="386"/>
      <c r="Q924" s="386">
        <f t="shared" ref="Q924:AT924" si="635">(Q194-P194)/P194</f>
        <v>-8.4173400420109429E-2</v>
      </c>
      <c r="R924" s="386">
        <f t="shared" si="635"/>
        <v>3.0239886560154659E-2</v>
      </c>
      <c r="S924" s="386">
        <f t="shared" si="635"/>
        <v>0.1647723735952783</v>
      </c>
      <c r="T924" s="386">
        <f t="shared" si="635"/>
        <v>3.9759818272659361E-4</v>
      </c>
      <c r="U924" s="386">
        <f t="shared" si="635"/>
        <v>0.12801406567830487</v>
      </c>
      <c r="V924" s="386">
        <f t="shared" si="635"/>
        <v>8.5623904344761553E-2</v>
      </c>
      <c r="W924" s="386">
        <f t="shared" si="635"/>
        <v>3.9610153252431002E-2</v>
      </c>
      <c r="X924" s="386">
        <f t="shared" si="635"/>
        <v>1.4844856395393423E-2</v>
      </c>
      <c r="Y924" s="386">
        <f t="shared" si="635"/>
        <v>6.5665598969700478E-2</v>
      </c>
      <c r="Z924" s="386">
        <f t="shared" si="635"/>
        <v>-1.8284088076374289E-2</v>
      </c>
      <c r="AA924" s="386">
        <f t="shared" si="635"/>
        <v>5.438211180575233E-2</v>
      </c>
      <c r="AB924" s="386">
        <f t="shared" si="635"/>
        <v>0.12382060813898724</v>
      </c>
      <c r="AC924" s="386">
        <f t="shared" si="635"/>
        <v>3.3748530246258283E-2</v>
      </c>
      <c r="AD924" s="386">
        <f t="shared" si="635"/>
        <v>-2.1665287401788347E-2</v>
      </c>
      <c r="AE924" s="386">
        <f t="shared" si="635"/>
        <v>-1.0333907090945456E-2</v>
      </c>
      <c r="AF924" s="386">
        <f t="shared" si="635"/>
        <v>0.18211039783837776</v>
      </c>
      <c r="AG924" s="386">
        <f t="shared" si="635"/>
        <v>0.17894846096168102</v>
      </c>
      <c r="AH924" s="386">
        <f t="shared" si="635"/>
        <v>3.9798830716514806E-2</v>
      </c>
      <c r="AI924" s="1409">
        <f t="shared" si="635"/>
        <v>0.12456059172310789</v>
      </c>
      <c r="AJ924" s="386">
        <f t="shared" si="635"/>
        <v>5.9697001537397917E-2</v>
      </c>
      <c r="AK924" s="386">
        <f t="shared" si="635"/>
        <v>6.2098388293850039E-2</v>
      </c>
      <c r="AL924" s="386">
        <f t="shared" si="635"/>
        <v>4.9685907583017427E-2</v>
      </c>
      <c r="AM924" s="386">
        <f t="shared" si="635"/>
        <v>4.2782747169072322E-2</v>
      </c>
      <c r="AN924" s="386">
        <f t="shared" si="635"/>
        <v>3.7604497938095782E-2</v>
      </c>
      <c r="AO924" s="386">
        <f t="shared" si="635"/>
        <v>3.6025281557064359E-2</v>
      </c>
      <c r="AP924" s="910">
        <f t="shared" si="635"/>
        <v>3.6315602716123399E-2</v>
      </c>
      <c r="AQ924" s="910">
        <f t="shared" si="635"/>
        <v>3.6388361455458457E-2</v>
      </c>
      <c r="AR924" s="910">
        <f t="shared" si="635"/>
        <v>3.6477688390877207E-2</v>
      </c>
      <c r="AS924" s="910">
        <f t="shared" si="635"/>
        <v>3.6583552700189384E-2</v>
      </c>
      <c r="AT924" s="910">
        <f t="shared" si="635"/>
        <v>3.6705924262892049E-2</v>
      </c>
    </row>
    <row r="925" spans="1:47">
      <c r="A925" s="295"/>
      <c r="B925" s="1"/>
      <c r="D925" s="357" t="s">
        <v>321</v>
      </c>
      <c r="E925" s="1159"/>
      <c r="F925" s="386"/>
      <c r="G925" s="386"/>
      <c r="H925" s="386"/>
      <c r="I925" s="386"/>
      <c r="J925" s="360"/>
      <c r="K925" s="360"/>
      <c r="L925" s="360"/>
      <c r="M925" s="360"/>
      <c r="N925" s="360"/>
      <c r="O925" s="360"/>
      <c r="P925" s="360"/>
      <c r="Q925" s="360"/>
      <c r="R925" s="360"/>
      <c r="S925" s="360"/>
      <c r="T925" s="360"/>
      <c r="U925" s="360"/>
      <c r="V925" s="386">
        <f t="shared" ref="V925:AN925" si="636">+(V924-V899*V926)/(1-V899)</f>
        <v>5.8376648687632149E-2</v>
      </c>
      <c r="W925" s="386">
        <f t="shared" si="636"/>
        <v>5.3837960486600465E-2</v>
      </c>
      <c r="X925" s="386">
        <f t="shared" si="636"/>
        <v>-2.8578302689934907E-3</v>
      </c>
      <c r="Y925" s="386">
        <f t="shared" si="636"/>
        <v>6.5320098496735701E-2</v>
      </c>
      <c r="Z925" s="386">
        <f t="shared" si="636"/>
        <v>-6.3047775557098186E-3</v>
      </c>
      <c r="AA925" s="386">
        <f t="shared" si="636"/>
        <v>4.4607916779436159E-2</v>
      </c>
      <c r="AB925" s="386">
        <f t="shared" si="636"/>
        <v>0.16087346672380873</v>
      </c>
      <c r="AC925" s="431">
        <f t="shared" si="636"/>
        <v>3.0078928850120191E-2</v>
      </c>
      <c r="AD925" s="386">
        <f t="shared" si="636"/>
        <v>-4.0429427068224742E-2</v>
      </c>
      <c r="AE925" s="386">
        <f t="shared" si="636"/>
        <v>-1.2949945600552562E-2</v>
      </c>
      <c r="AF925" s="386">
        <f t="shared" si="636"/>
        <v>0.19601053912156471</v>
      </c>
      <c r="AG925" s="386">
        <f t="shared" si="636"/>
        <v>0.17949257554626133</v>
      </c>
      <c r="AH925" s="386">
        <f t="shared" si="636"/>
        <v>2.3039931845285834E-2</v>
      </c>
      <c r="AI925" s="1409">
        <f>+(AI924-AI899*AI926)/(1-AI899)</f>
        <v>0.14070482075481414</v>
      </c>
      <c r="AJ925" s="386">
        <f t="shared" si="636"/>
        <v>6.5086073948313936E-2</v>
      </c>
      <c r="AK925" s="386">
        <f t="shared" si="636"/>
        <v>7.2353546639352742E-2</v>
      </c>
      <c r="AL925" s="386">
        <f t="shared" si="636"/>
        <v>5.2894630883883853E-2</v>
      </c>
      <c r="AM925" s="386">
        <f t="shared" si="636"/>
        <v>4.1796205872641386E-2</v>
      </c>
      <c r="AN925" s="386">
        <f t="shared" si="636"/>
        <v>3.8216299368559185E-2</v>
      </c>
      <c r="AO925" s="386">
        <f t="shared" ref="AO925:AT925" si="637">+(AO924-AO899*AO926)/(1-AO899)</f>
        <v>3.7509053401201385E-2</v>
      </c>
      <c r="AP925" s="910">
        <f t="shared" si="637"/>
        <v>3.7818776646712238E-2</v>
      </c>
      <c r="AQ925" s="910">
        <f t="shared" si="637"/>
        <v>3.8022654656480706E-2</v>
      </c>
      <c r="AR925" s="910">
        <f t="shared" si="637"/>
        <v>3.8122877930791749E-2</v>
      </c>
      <c r="AS925" s="910">
        <f t="shared" si="637"/>
        <v>3.829002114501294E-2</v>
      </c>
      <c r="AT925" s="910">
        <f t="shared" si="637"/>
        <v>3.8445093840180806E-2</v>
      </c>
    </row>
    <row r="926" spans="1:47">
      <c r="A926" s="295"/>
      <c r="B926" s="1"/>
      <c r="D926" s="357" t="s">
        <v>295</v>
      </c>
      <c r="E926" s="1159"/>
      <c r="F926" s="386"/>
      <c r="G926" s="386"/>
      <c r="H926" s="386"/>
      <c r="I926" s="386"/>
      <c r="J926" s="386"/>
      <c r="K926" s="386"/>
      <c r="L926" s="386"/>
      <c r="M926" s="386"/>
      <c r="N926" s="386"/>
      <c r="O926" s="386"/>
      <c r="P926" s="386"/>
      <c r="Q926" s="386">
        <f t="shared" ref="Q926:AT926" si="638">+Q196/P196-1</f>
        <v>-1.1903747152881117E-2</v>
      </c>
      <c r="R926" s="386">
        <f t="shared" si="638"/>
        <v>8.3083379344686126E-3</v>
      </c>
      <c r="S926" s="386">
        <f t="shared" si="638"/>
        <v>0.18725836115411409</v>
      </c>
      <c r="T926" s="386">
        <f t="shared" si="638"/>
        <v>-3.1304182237977818E-2</v>
      </c>
      <c r="U926" s="386">
        <f t="shared" si="638"/>
        <v>8.150937119973678E-2</v>
      </c>
      <c r="V926" s="386">
        <f t="shared" si="638"/>
        <v>0.16736567131614977</v>
      </c>
      <c r="W926" s="386">
        <f t="shared" si="638"/>
        <v>-3.0732684500773821E-3</v>
      </c>
      <c r="X926" s="386">
        <f t="shared" si="638"/>
        <v>6.7952916388554163E-2</v>
      </c>
      <c r="Y926" s="386">
        <f t="shared" si="638"/>
        <v>6.6702100388594809E-2</v>
      </c>
      <c r="Z926" s="386">
        <f t="shared" si="638"/>
        <v>-5.4222019638367702E-2</v>
      </c>
      <c r="AA926" s="386">
        <f t="shared" si="638"/>
        <v>8.3704696884700835E-2</v>
      </c>
      <c r="AB926" s="386">
        <f t="shared" si="638"/>
        <v>1.2662032384522792E-2</v>
      </c>
      <c r="AC926" s="386">
        <f t="shared" si="638"/>
        <v>4.4757334434672558E-2</v>
      </c>
      <c r="AD926" s="386">
        <f t="shared" si="638"/>
        <v>3.4627131597520844E-2</v>
      </c>
      <c r="AE926" s="386">
        <f t="shared" si="638"/>
        <v>-2.48579156212414E-3</v>
      </c>
      <c r="AF926" s="386">
        <f t="shared" si="638"/>
        <v>0.14040997398881694</v>
      </c>
      <c r="AG926" s="386">
        <f t="shared" si="638"/>
        <v>0.17761631835805347</v>
      </c>
      <c r="AH926" s="386">
        <f t="shared" si="638"/>
        <v>8.0829238297799533E-2</v>
      </c>
      <c r="AI926" s="1409">
        <f t="shared" si="638"/>
        <v>8.5035065473068494E-2</v>
      </c>
      <c r="AJ926" s="386">
        <f t="shared" si="638"/>
        <v>4.6503065634810437E-2</v>
      </c>
      <c r="AK926" s="386">
        <f t="shared" si="638"/>
        <v>3.699093165486067E-2</v>
      </c>
      <c r="AL926" s="386">
        <f t="shared" si="638"/>
        <v>4.183006777744791E-2</v>
      </c>
      <c r="AM926" s="386">
        <f t="shared" si="638"/>
        <v>4.5198072412058421E-2</v>
      </c>
      <c r="AN926" s="386">
        <f t="shared" si="638"/>
        <v>3.6106639263512985E-2</v>
      </c>
      <c r="AO926" s="386">
        <f t="shared" si="638"/>
        <v>3.2392598766246117E-2</v>
      </c>
      <c r="AP926" s="910">
        <f t="shared" si="638"/>
        <v>3.2635418265371419E-2</v>
      </c>
      <c r="AQ926" s="910">
        <f t="shared" si="638"/>
        <v>3.2387160859852271E-2</v>
      </c>
      <c r="AR926" s="910">
        <f t="shared" si="638"/>
        <v>3.2449810551776093E-2</v>
      </c>
      <c r="AS926" s="910">
        <f t="shared" si="638"/>
        <v>3.2405647197345511E-2</v>
      </c>
      <c r="AT926" s="910">
        <f t="shared" si="638"/>
        <v>3.2447957366771307E-2</v>
      </c>
    </row>
    <row r="927" spans="1:47">
      <c r="A927" s="295"/>
      <c r="B927" s="1"/>
      <c r="D927" s="357" t="s">
        <v>433</v>
      </c>
      <c r="E927" s="3849" t="s">
        <v>418</v>
      </c>
      <c r="F927" s="386"/>
      <c r="G927" s="386"/>
      <c r="H927" s="386"/>
      <c r="I927" s="386"/>
      <c r="J927" s="386"/>
      <c r="K927" s="386"/>
      <c r="L927" s="386"/>
      <c r="M927" s="386"/>
      <c r="N927" s="386"/>
      <c r="O927" s="386"/>
      <c r="P927" s="386"/>
      <c r="Q927" s="386">
        <f t="shared" ref="Q927:AT927" si="639">+Q261</f>
        <v>5.0415728095646629E-2</v>
      </c>
      <c r="R927" s="386">
        <f t="shared" si="639"/>
        <v>4.7120804163347539E-2</v>
      </c>
      <c r="S927" s="386">
        <f t="shared" si="639"/>
        <v>4.9414959062472938E-2</v>
      </c>
      <c r="T927" s="386">
        <f t="shared" si="639"/>
        <v>5.3988289406413842E-2</v>
      </c>
      <c r="U927" s="386">
        <f t="shared" si="639"/>
        <v>5.8492835468805175E-2</v>
      </c>
      <c r="V927" s="386">
        <f t="shared" si="639"/>
        <v>6.0612396758938203E-2</v>
      </c>
      <c r="W927" s="386">
        <f t="shared" si="639"/>
        <v>5.6819605655719058E-2</v>
      </c>
      <c r="X927" s="386">
        <f t="shared" si="639"/>
        <v>7.1144378745080714E-2</v>
      </c>
      <c r="Y927" s="386">
        <f t="shared" si="639"/>
        <v>8.3752027242720045E-2</v>
      </c>
      <c r="Z927" s="386">
        <f t="shared" si="639"/>
        <v>8.4835040954101507E-2</v>
      </c>
      <c r="AA927" s="386">
        <f t="shared" si="639"/>
        <v>8.348136066060198E-2</v>
      </c>
      <c r="AB927" s="386">
        <f t="shared" si="639"/>
        <v>7.9010110440966189E-2</v>
      </c>
      <c r="AC927" s="386">
        <f t="shared" si="639"/>
        <v>8.1707497681876129E-2</v>
      </c>
      <c r="AD927" s="386">
        <f t="shared" si="639"/>
        <v>7.8372405932585973E-2</v>
      </c>
      <c r="AE927" s="386">
        <f t="shared" si="639"/>
        <v>7.7956909597737933E-2</v>
      </c>
      <c r="AF927" s="386">
        <f t="shared" si="639"/>
        <v>7.8917209856407877E-2</v>
      </c>
      <c r="AG927" s="386">
        <f t="shared" si="639"/>
        <v>8.5422641362230337E-2</v>
      </c>
      <c r="AH927" s="386">
        <f t="shared" si="639"/>
        <v>8.7402869273831174E-2</v>
      </c>
      <c r="AI927" s="1409">
        <f t="shared" si="639"/>
        <v>7.6892843933772534E-2</v>
      </c>
      <c r="AJ927" s="386">
        <f t="shared" si="639"/>
        <v>7.5432122750024741E-2</v>
      </c>
      <c r="AK927" s="386">
        <f t="shared" si="639"/>
        <v>7.0313107512946657E-2</v>
      </c>
      <c r="AL927" s="386">
        <f t="shared" si="639"/>
        <v>7.3551325771278486E-2</v>
      </c>
      <c r="AM927" s="386">
        <f t="shared" si="639"/>
        <v>8.371218551918308E-2</v>
      </c>
      <c r="AN927" s="386">
        <f t="shared" si="639"/>
        <v>9.4187639923735467E-2</v>
      </c>
      <c r="AO927" s="386">
        <f t="shared" si="639"/>
        <v>0.10121910349574841</v>
      </c>
      <c r="AP927" s="910">
        <f t="shared" si="639"/>
        <v>4.9682256273336084E-2</v>
      </c>
      <c r="AQ927" s="910">
        <f t="shared" si="639"/>
        <v>5.4568242368010146E-2</v>
      </c>
      <c r="AR927" s="910">
        <f t="shared" si="639"/>
        <v>5.8555481438656014E-2</v>
      </c>
      <c r="AS927" s="910">
        <f t="shared" si="639"/>
        <v>6.8503842196726464E-2</v>
      </c>
      <c r="AT927" s="910">
        <f t="shared" si="639"/>
        <v>8.5521417226641666E-2</v>
      </c>
      <c r="AU927" s="1680"/>
    </row>
    <row r="928" spans="1:47">
      <c r="A928" s="295"/>
      <c r="B928" s="1"/>
      <c r="D928" s="357" t="s">
        <v>419</v>
      </c>
      <c r="E928" s="3849"/>
      <c r="F928" s="386"/>
      <c r="G928" s="386"/>
      <c r="H928" s="386"/>
      <c r="I928" s="386"/>
      <c r="J928" s="363"/>
      <c r="K928" s="363"/>
      <c r="L928" s="363"/>
      <c r="M928" s="363"/>
      <c r="N928" s="363"/>
      <c r="O928" s="363"/>
      <c r="P928" s="363"/>
      <c r="Q928" s="363"/>
      <c r="R928" s="363"/>
      <c r="S928" s="363"/>
      <c r="T928" s="363"/>
      <c r="U928" s="363"/>
      <c r="V928" s="363"/>
      <c r="W928" s="386"/>
      <c r="X928" s="386">
        <v>0</v>
      </c>
      <c r="Y928" s="386">
        <f>+Y927/X927-1</f>
        <v>0.17721215252738554</v>
      </c>
      <c r="Z928" s="386">
        <f>+Z927/Y927-1</f>
        <v>1.2931193990598056E-2</v>
      </c>
      <c r="AA928" s="386">
        <f t="shared" ref="AA928:AF928" si="640">+AA927/Z927-1</f>
        <v>-1.5956617433967035E-2</v>
      </c>
      <c r="AB928" s="386">
        <f t="shared" si="640"/>
        <v>-5.3559862755638399E-2</v>
      </c>
      <c r="AC928" s="431">
        <f t="shared" si="640"/>
        <v>3.4139773072780821E-2</v>
      </c>
      <c r="AD928" s="386">
        <f t="shared" si="640"/>
        <v>-4.0817450587890547E-2</v>
      </c>
      <c r="AE928" s="386">
        <f t="shared" si="640"/>
        <v>-5.3015641143572267E-3</v>
      </c>
      <c r="AF928" s="386">
        <f t="shared" si="640"/>
        <v>1.2318346938393843E-2</v>
      </c>
      <c r="AG928" s="386">
        <f t="shared" ref="AG928:AN928" si="641">+AG927/AF927-1</f>
        <v>8.2433622750465618E-2</v>
      </c>
      <c r="AH928" s="386">
        <f t="shared" si="641"/>
        <v>2.3181534544264304E-2</v>
      </c>
      <c r="AI928" s="1409">
        <f t="shared" si="641"/>
        <v>-0.1202480585291883</v>
      </c>
      <c r="AJ928" s="386">
        <f t="shared" si="641"/>
        <v>-1.8996841695774758E-2</v>
      </c>
      <c r="AK928" s="386">
        <f t="shared" si="641"/>
        <v>-6.7862537211660356E-2</v>
      </c>
      <c r="AL928" s="386">
        <f t="shared" si="641"/>
        <v>4.6054261756751202E-2</v>
      </c>
      <c r="AM928" s="386">
        <f t="shared" si="641"/>
        <v>0.13814652069633215</v>
      </c>
      <c r="AN928" s="386">
        <f t="shared" si="641"/>
        <v>0.12513655377151611</v>
      </c>
      <c r="AO928" s="386">
        <f t="shared" ref="AO928:AT928" si="642">+AO927/AN927-1</f>
        <v>7.4653782361532528E-2</v>
      </c>
      <c r="AP928" s="910">
        <f t="shared" si="642"/>
        <v>-0.50916126938999284</v>
      </c>
      <c r="AQ928" s="910">
        <f t="shared" si="642"/>
        <v>9.834469005982549E-2</v>
      </c>
      <c r="AR928" s="910">
        <f t="shared" si="642"/>
        <v>7.3068856492679135E-2</v>
      </c>
      <c r="AS928" s="910">
        <f t="shared" si="642"/>
        <v>0.16989631907462965</v>
      </c>
      <c r="AT928" s="910">
        <f t="shared" si="642"/>
        <v>0.24841781839104504</v>
      </c>
    </row>
    <row r="929" spans="1:46">
      <c r="A929" s="295"/>
      <c r="B929" s="1"/>
      <c r="D929" s="356" t="s">
        <v>296</v>
      </c>
      <c r="E929" s="1159"/>
      <c r="F929" s="386"/>
      <c r="G929" s="386"/>
      <c r="H929" s="386"/>
      <c r="I929" s="386"/>
      <c r="J929" s="364"/>
      <c r="K929" s="364"/>
      <c r="L929" s="364"/>
      <c r="M929" s="364"/>
      <c r="N929" s="364"/>
      <c r="O929" s="364"/>
      <c r="P929" s="364"/>
      <c r="Q929" s="364">
        <f t="shared" ref="Q929:X929" si="643">+(1+Q926)*(1+(Q927-P927)/(1+P927))-1</f>
        <v>3.7911844862986488E-2</v>
      </c>
      <c r="R929" s="364">
        <f t="shared" si="643"/>
        <v>5.1454956569445542E-3</v>
      </c>
      <c r="S929" s="364">
        <f t="shared" si="643"/>
        <v>0.18985954582635034</v>
      </c>
      <c r="T929" s="364">
        <f t="shared" si="643"/>
        <v>-2.7082624369794361E-2</v>
      </c>
      <c r="U929" s="364">
        <f t="shared" si="643"/>
        <v>8.6131537146400872E-2</v>
      </c>
      <c r="V929" s="425">
        <f t="shared" si="643"/>
        <v>0.16970324319707419</v>
      </c>
      <c r="W929" s="425">
        <f t="shared" si="643"/>
        <v>-6.6383171422654819E-3</v>
      </c>
      <c r="X929" s="425">
        <f t="shared" si="643"/>
        <v>8.242859711544237E-2</v>
      </c>
      <c r="Y929" s="425">
        <f>+(1+Y926)*(1+(Y927-X927)/(1+X927))-1</f>
        <v>7.9257462112239496E-2</v>
      </c>
      <c r="Z929" s="425">
        <f t="shared" ref="Z929:AF929" si="644">+(1+Z926)*(1+(Z927-Y927)/(1+Y927))-1</f>
        <v>-5.3276885977801225E-2</v>
      </c>
      <c r="AA929" s="425">
        <f t="shared" si="644"/>
        <v>8.2352427058630662E-2</v>
      </c>
      <c r="AB929" s="425">
        <f t="shared" si="644"/>
        <v>8.4830354039420186E-3</v>
      </c>
      <c r="AC929" s="432">
        <f t="shared" si="644"/>
        <v>4.7369094117442945E-2</v>
      </c>
      <c r="AD929" s="425">
        <f>+(1+AD926)*(1+(AD927-AC927)/(1+AC927))-1</f>
        <v>3.1437196779118048E-2</v>
      </c>
      <c r="AE929" s="425">
        <f t="shared" si="644"/>
        <v>-2.870133274954112E-3</v>
      </c>
      <c r="AF929" s="425">
        <f t="shared" si="644"/>
        <v>0.14142591069580446</v>
      </c>
      <c r="AG929" s="425">
        <f t="shared" ref="AG929:AO929" si="645">+(1+AG926)*(1+(AG927-AF927)/(1+AF927))-1</f>
        <v>0.18471686530385356</v>
      </c>
      <c r="AH929" s="425">
        <f t="shared" si="645"/>
        <v>8.2801086077449071E-2</v>
      </c>
      <c r="AI929" s="3215">
        <f t="shared" si="645"/>
        <v>7.4547925559055317E-2</v>
      </c>
      <c r="AJ929" s="386">
        <f t="shared" si="645"/>
        <v>4.5083565816011584E-2</v>
      </c>
      <c r="AK929" s="386">
        <f t="shared" si="645"/>
        <v>3.2054894998006178E-2</v>
      </c>
      <c r="AL929" s="386">
        <f t="shared" si="645"/>
        <v>4.4982110972915601E-2</v>
      </c>
      <c r="AM929" s="386">
        <f>+(1+AM926)*(1+(AM927-AL927)/(1+AL927))-1</f>
        <v>5.5090576633902932E-2</v>
      </c>
      <c r="AN929" s="386">
        <f>+(1+AN926)*(1+(AN927-AM927)/(1+AM927))-1</f>
        <v>4.6121925612497838E-2</v>
      </c>
      <c r="AO929" s="386">
        <f t="shared" si="645"/>
        <v>3.9026955329391599E-2</v>
      </c>
      <c r="AP929" s="1814">
        <f>+(1+AP926)*(1+(AP927-AO927)/(1+AO927))-1</f>
        <v>-1.5691725369037735E-2</v>
      </c>
      <c r="AQ929" s="1814">
        <f>+(1+AQ926)*(1+(AQ927-AP927)/(1+AP927))-1</f>
        <v>3.7192642978021606E-2</v>
      </c>
      <c r="AR929" s="1814">
        <f>+(1+AR926)*(1+(AR927-AQ927)/(1+AQ927))-1</f>
        <v>3.6353421582077106E-2</v>
      </c>
      <c r="AS929" s="1814">
        <f>+(1+AS926)*(1+(AS927-AR927)/(1+AR927))-1</f>
        <v>4.2108250421344362E-2</v>
      </c>
      <c r="AT929" s="1814">
        <f>+(1+AT926)*(1+(AT927-AS927)/(1+AS927))-1</f>
        <v>4.8891286707403614E-2</v>
      </c>
    </row>
    <row r="930" spans="1:46" ht="16.75" thickBot="1">
      <c r="A930" s="295"/>
      <c r="B930" s="1"/>
      <c r="D930" s="356"/>
      <c r="E930" s="1159"/>
      <c r="F930" s="1162"/>
      <c r="G930" s="1162" t="s">
        <v>878</v>
      </c>
      <c r="H930" s="386"/>
      <c r="I930" s="386"/>
      <c r="J930" s="386"/>
      <c r="K930" s="386"/>
      <c r="L930" s="386"/>
      <c r="M930" s="386"/>
      <c r="N930" s="386"/>
      <c r="O930" s="386"/>
      <c r="P930" s="386"/>
      <c r="Q930" s="386"/>
      <c r="R930" s="386"/>
      <c r="S930" s="386"/>
      <c r="T930" s="386"/>
      <c r="U930" s="386"/>
      <c r="V930" s="358"/>
      <c r="W930" s="366"/>
      <c r="X930" s="359"/>
      <c r="Y930" s="359"/>
      <c r="Z930" s="364"/>
      <c r="AA930" s="364"/>
      <c r="AB930" s="364"/>
      <c r="AC930" s="365"/>
      <c r="AD930" s="364"/>
      <c r="AE930" s="364"/>
      <c r="AF930" s="364"/>
      <c r="AG930" s="364"/>
      <c r="AH930" s="364"/>
      <c r="AI930" s="1258"/>
      <c r="AJ930" s="364"/>
      <c r="AK930" s="364"/>
      <c r="AL930" s="364"/>
      <c r="AM930" s="364"/>
      <c r="AN930" s="364"/>
      <c r="AO930" s="1815"/>
      <c r="AP930" s="1815"/>
      <c r="AQ930" s="1815"/>
      <c r="AR930" s="1815"/>
      <c r="AS930" s="1815"/>
      <c r="AT930" s="1815"/>
    </row>
    <row r="931" spans="1:46">
      <c r="A931" s="295"/>
      <c r="B931" s="289" t="s">
        <v>576</v>
      </c>
      <c r="C931" s="295" t="s">
        <v>30</v>
      </c>
      <c r="D931" s="356" t="s">
        <v>344</v>
      </c>
      <c r="E931" s="2145" t="s">
        <v>342</v>
      </c>
      <c r="F931" s="1160"/>
      <c r="G931" s="1161">
        <v>9.3251279460426301E-2</v>
      </c>
      <c r="H931" s="1161">
        <v>0.171099873975462</v>
      </c>
      <c r="I931" s="1161">
        <v>4.0550344216768501E-2</v>
      </c>
      <c r="J931" s="1161">
        <v>-0.10228761707806999</v>
      </c>
      <c r="K931" s="1161">
        <v>2.1214788865460354E-2</v>
      </c>
      <c r="L931" s="1161">
        <v>1.1494230477025358E-2</v>
      </c>
      <c r="M931" s="1161">
        <v>-1.2501792998073302E-2</v>
      </c>
      <c r="N931" s="1161">
        <v>0.11744236377675076</v>
      </c>
      <c r="O931" s="1161">
        <v>0.11937808306006037</v>
      </c>
      <c r="P931" s="1161">
        <v>9.132697764056763E-2</v>
      </c>
      <c r="Q931" s="1161">
        <v>8.8313394380501897E-2</v>
      </c>
      <c r="R931" s="1161">
        <v>9.0809741086125495E-2</v>
      </c>
      <c r="S931" s="1161">
        <v>0.15441509649830398</v>
      </c>
      <c r="T931" s="1161">
        <v>0.10340221174350983</v>
      </c>
      <c r="U931" s="1161">
        <v>2.3073277314962892E-2</v>
      </c>
      <c r="V931" s="364">
        <v>5.6675699845492297E-2</v>
      </c>
      <c r="W931" s="364">
        <v>6.2863849450282228E-2</v>
      </c>
      <c r="X931" s="364">
        <v>4.2000000000000003E-2</v>
      </c>
      <c r="Y931" s="364">
        <v>1.784010267913394E-2</v>
      </c>
      <c r="Z931" s="908">
        <v>2.5072988767667947E-2</v>
      </c>
      <c r="AA931" s="364">
        <v>5.7234630000000002E-2</v>
      </c>
      <c r="AB931" s="364">
        <v>4.8367798851274957E-2</v>
      </c>
      <c r="AC931" s="364">
        <v>1.4E-2</v>
      </c>
      <c r="AD931" s="364">
        <v>2.4299999999999999E-2</v>
      </c>
      <c r="AE931" s="364">
        <v>7.7156235546899099E-2</v>
      </c>
      <c r="AF931" s="364">
        <v>8.1775706194855413E-3</v>
      </c>
      <c r="AG931" s="364">
        <v>0.13892335864190652</v>
      </c>
      <c r="AH931" s="364">
        <v>0.14030353524911621</v>
      </c>
      <c r="AI931" s="1258">
        <v>4.7622148458877703E-2</v>
      </c>
      <c r="AJ931" s="2791">
        <v>7.0000000000000007E-2</v>
      </c>
      <c r="AK931" s="2791">
        <f>+((AJ932+AK932)/2)+0.9%</f>
        <v>9.35E-2</v>
      </c>
      <c r="AL931" s="426">
        <f>+((AK932+AL932)/2)-2.5%</f>
        <v>0.03</v>
      </c>
      <c r="AM931" s="426">
        <f t="shared" ref="AK931:AT931" si="646">+((AL932+AM932)/2)</f>
        <v>0.04</v>
      </c>
      <c r="AN931" s="426">
        <f t="shared" si="646"/>
        <v>0.05</v>
      </c>
      <c r="AO931" s="426">
        <f t="shared" si="646"/>
        <v>0.05</v>
      </c>
      <c r="AP931" s="1816">
        <f t="shared" si="646"/>
        <v>0.05</v>
      </c>
      <c r="AQ931" s="1816">
        <f t="shared" si="646"/>
        <v>0.05</v>
      </c>
      <c r="AR931" s="1816">
        <f t="shared" si="646"/>
        <v>0.05</v>
      </c>
      <c r="AS931" s="1816">
        <f t="shared" si="646"/>
        <v>0.05</v>
      </c>
      <c r="AT931" s="1816">
        <f t="shared" si="646"/>
        <v>0.05</v>
      </c>
    </row>
    <row r="932" spans="1:46" ht="16.75" thickBot="1">
      <c r="A932" s="295"/>
      <c r="B932" s="1"/>
      <c r="D932" s="356" t="s">
        <v>343</v>
      </c>
      <c r="E932" s="1159" t="s">
        <v>876</v>
      </c>
      <c r="F932" s="1161">
        <v>1.0114011107055045</v>
      </c>
      <c r="G932" s="1161">
        <v>0.14247178861398813</v>
      </c>
      <c r="H932" s="1161">
        <v>0.19943564092403787</v>
      </c>
      <c r="I932" s="1161">
        <v>-0.13680987624776086</v>
      </c>
      <c r="J932" s="1161">
        <v>-5.9021725104933316E-2</v>
      </c>
      <c r="K932" s="1161">
        <v>0.14119489507326066</v>
      </c>
      <c r="L932" s="1161">
        <v>-0.10155494511280116</v>
      </c>
      <c r="M932" s="1161">
        <v>0.12488994928949569</v>
      </c>
      <c r="N932" s="1161">
        <v>7.5285504912388612E-2</v>
      </c>
      <c r="O932" s="1161">
        <v>0.10245782930883829</v>
      </c>
      <c r="P932" s="1161">
        <v>5.6075951070651664E-2</v>
      </c>
      <c r="Q932" s="1161">
        <v>0.12138244260886166</v>
      </c>
      <c r="R932" s="1161">
        <v>6.5793237144370575E-2</v>
      </c>
      <c r="S932" s="1161">
        <v>0.22322678116126582</v>
      </c>
      <c r="T932" s="1161">
        <v>5.736903261746007E-2</v>
      </c>
      <c r="U932" s="1161">
        <v>2.2675069879221077E-3</v>
      </c>
      <c r="V932" s="425">
        <v>8.3355391639918092E-2</v>
      </c>
      <c r="W932" s="425">
        <v>3.8845157048789547E-2</v>
      </c>
      <c r="X932" s="425">
        <v>3.6000000000000004E-2</v>
      </c>
      <c r="Y932" s="425">
        <v>2.1000000000000001E-2</v>
      </c>
      <c r="Z932" s="908">
        <v>4.4999999999999998E-2</v>
      </c>
      <c r="AA932" s="364">
        <v>7.2834999999999997E-2</v>
      </c>
      <c r="AB932" s="364">
        <v>6.6540877038754331E-3</v>
      </c>
      <c r="AC932" s="364">
        <v>1.0999999999999999E-2</v>
      </c>
      <c r="AD932" s="364">
        <v>6.7309999999999995E-2</v>
      </c>
      <c r="AE932" s="364">
        <v>3.74308209199119E-2</v>
      </c>
      <c r="AF932" s="364">
        <v>1.8628873248091482E-2</v>
      </c>
      <c r="AG932" s="364">
        <v>0.21631732425985128</v>
      </c>
      <c r="AH932" s="364">
        <v>6.4478216181379056E-2</v>
      </c>
      <c r="AI932" s="1258">
        <v>6.7787993314077033E-2</v>
      </c>
      <c r="AJ932" s="3216">
        <v>8.8999999999999996E-2</v>
      </c>
      <c r="AK932" s="3216">
        <v>0.08</v>
      </c>
      <c r="AL932" s="3217">
        <v>0.03</v>
      </c>
      <c r="AM932" s="3217">
        <v>0.05</v>
      </c>
      <c r="AN932" s="3217">
        <f t="shared" ref="AM932:AT932" si="647">+AM932</f>
        <v>0.05</v>
      </c>
      <c r="AO932" s="3217">
        <f t="shared" si="647"/>
        <v>0.05</v>
      </c>
      <c r="AP932" s="2621">
        <f t="shared" si="647"/>
        <v>0.05</v>
      </c>
      <c r="AQ932" s="2621">
        <f t="shared" si="647"/>
        <v>0.05</v>
      </c>
      <c r="AR932" s="2621">
        <f t="shared" si="647"/>
        <v>0.05</v>
      </c>
      <c r="AS932" s="2621">
        <f t="shared" si="647"/>
        <v>0.05</v>
      </c>
      <c r="AT932" s="2621">
        <f t="shared" si="647"/>
        <v>0.05</v>
      </c>
    </row>
    <row r="933" spans="1:46">
      <c r="A933" s="295"/>
      <c r="B933" s="1"/>
      <c r="D933" s="427" t="s">
        <v>1754</v>
      </c>
      <c r="E933" s="3062" t="s">
        <v>877</v>
      </c>
      <c r="F933" s="442"/>
      <c r="G933" s="442"/>
      <c r="H933" s="442"/>
      <c r="I933" s="442"/>
      <c r="J933" s="442"/>
      <c r="K933" s="442"/>
      <c r="L933" s="442"/>
      <c r="M933" s="442"/>
      <c r="N933" s="442"/>
      <c r="O933" s="442"/>
      <c r="P933" s="442"/>
      <c r="Q933" s="442"/>
      <c r="R933" s="442"/>
      <c r="S933" s="442"/>
      <c r="T933" s="442"/>
      <c r="U933" s="442"/>
      <c r="V933" s="428">
        <f t="shared" ref="V933:AA933" si="648">+W933/(1+W931)</f>
        <v>78.079180124820397</v>
      </c>
      <c r="W933" s="428">
        <f t="shared" si="648"/>
        <v>82.987537949388582</v>
      </c>
      <c r="X933" s="428">
        <f t="shared" si="648"/>
        <v>86.473014543262906</v>
      </c>
      <c r="Y933" s="428">
        <f t="shared" si="648"/>
        <v>88.015702001688965</v>
      </c>
      <c r="Z933" s="428">
        <f t="shared" si="648"/>
        <v>90.222518709355725</v>
      </c>
      <c r="AA933" s="428">
        <f t="shared" si="648"/>
        <v>95.386371185353767</v>
      </c>
      <c r="AB933" s="428">
        <v>100</v>
      </c>
      <c r="AC933" s="428">
        <f t="shared" ref="AC933:AO933" si="649">+AB933*(1+AC931)</f>
        <v>101.4</v>
      </c>
      <c r="AD933" s="428">
        <f t="shared" si="649"/>
        <v>103.86402000000001</v>
      </c>
      <c r="AE933" s="428">
        <f t="shared" si="649"/>
        <v>111.87777679196785</v>
      </c>
      <c r="AF933" s="428">
        <f t="shared" si="649"/>
        <v>112.79266521243521</v>
      </c>
      <c r="AG933" s="428">
        <f t="shared" si="649"/>
        <v>128.46220109391885</v>
      </c>
      <c r="AH933" s="428">
        <f t="shared" si="649"/>
        <v>146.48590205327855</v>
      </c>
      <c r="AI933" s="1259">
        <f t="shared" si="649"/>
        <v>153.4618754279924</v>
      </c>
      <c r="AJ933" s="428">
        <f>+AI933*(1+AJ931)</f>
        <v>164.20420670795187</v>
      </c>
      <c r="AK933" s="428">
        <f t="shared" si="649"/>
        <v>179.55730003514535</v>
      </c>
      <c r="AL933" s="428">
        <f t="shared" si="649"/>
        <v>184.94401903619971</v>
      </c>
      <c r="AM933" s="428">
        <f t="shared" si="649"/>
        <v>192.34177979764769</v>
      </c>
      <c r="AN933" s="428">
        <f t="shared" si="649"/>
        <v>201.95886878753009</v>
      </c>
      <c r="AO933" s="1817">
        <f t="shared" si="649"/>
        <v>212.0568122269066</v>
      </c>
      <c r="AP933" s="1817">
        <f>+AO933*(1+AP931)</f>
        <v>222.65965283825193</v>
      </c>
      <c r="AQ933" s="1817">
        <f>+AP933*(1+AQ931)</f>
        <v>233.79263548016453</v>
      </c>
      <c r="AR933" s="1817">
        <f>+AQ933*(1+AR931)</f>
        <v>245.48226725417277</v>
      </c>
      <c r="AS933" s="1817">
        <f>+AR933*(1+AS931)</f>
        <v>257.75638061688142</v>
      </c>
      <c r="AT933" s="1817">
        <f>+AS933*(1+AT931)</f>
        <v>270.64419964772549</v>
      </c>
    </row>
    <row r="934" spans="1:46">
      <c r="A934" s="295"/>
      <c r="B934" s="1"/>
      <c r="D934" s="427" t="s">
        <v>1349</v>
      </c>
      <c r="E934" s="1159"/>
      <c r="F934" s="442"/>
      <c r="G934" s="442"/>
      <c r="H934" s="442"/>
      <c r="I934" s="442"/>
      <c r="J934" s="442"/>
      <c r="K934" s="442"/>
      <c r="L934" s="442"/>
      <c r="M934" s="442"/>
      <c r="N934" s="442"/>
      <c r="O934" s="442"/>
      <c r="P934" s="442"/>
      <c r="Q934" s="442"/>
      <c r="R934" s="442"/>
      <c r="S934" s="442"/>
      <c r="T934" s="442"/>
      <c r="U934" s="442"/>
      <c r="V934" s="1264">
        <f t="shared" ref="V934:AB934" si="650">+V788/U788-1</f>
        <v>5.3254437869822535E-2</v>
      </c>
      <c r="W934" s="1264">
        <f t="shared" si="650"/>
        <v>2.2471910112359605E-2</v>
      </c>
      <c r="X934" s="1264">
        <f t="shared" si="650"/>
        <v>1.6483516483516425E-2</v>
      </c>
      <c r="Y934" s="1264">
        <f t="shared" si="650"/>
        <v>2.7027027027026973E-2</v>
      </c>
      <c r="Z934" s="1264">
        <f t="shared" si="650"/>
        <v>-2.6315789473684181E-2</v>
      </c>
      <c r="AA934" s="1264">
        <f t="shared" si="650"/>
        <v>3.2432432432432323E-2</v>
      </c>
      <c r="AB934" s="1264">
        <f t="shared" si="650"/>
        <v>0.12041884816753923</v>
      </c>
      <c r="AC934" s="1264">
        <f t="shared" ref="AC934:AI934" si="651">+AC788/AB788-1</f>
        <v>4.6728971962617383E-3</v>
      </c>
      <c r="AD934" s="1264">
        <f t="shared" si="651"/>
        <v>3.7209302325581506E-2</v>
      </c>
      <c r="AE934" s="1264">
        <f t="shared" si="651"/>
        <v>8.5201793721973118E-2</v>
      </c>
      <c r="AF934" s="1264">
        <f t="shared" si="651"/>
        <v>0.10330578512396693</v>
      </c>
      <c r="AG934" s="1264">
        <f t="shared" si="651"/>
        <v>0.1910112359550562</v>
      </c>
      <c r="AH934" s="1264">
        <f t="shared" si="651"/>
        <v>0.14779874213836486</v>
      </c>
      <c r="AI934" s="1264">
        <f t="shared" si="651"/>
        <v>0.1205479452054794</v>
      </c>
      <c r="AJ934" s="1264"/>
      <c r="AK934" s="428"/>
      <c r="AL934" s="428"/>
      <c r="AM934" s="428"/>
      <c r="AN934" s="428"/>
      <c r="AO934" s="1817"/>
      <c r="AP934" s="1817"/>
      <c r="AQ934" s="1817"/>
      <c r="AR934" s="1817"/>
      <c r="AS934" s="1817"/>
      <c r="AT934" s="1817"/>
    </row>
    <row r="935" spans="1:46" ht="17.25" customHeight="1">
      <c r="A935" s="295"/>
      <c r="B935" s="1"/>
      <c r="D935" s="357" t="s">
        <v>1000</v>
      </c>
      <c r="E935" s="1159"/>
      <c r="F935" s="442"/>
      <c r="G935" s="442"/>
      <c r="H935" s="442"/>
      <c r="I935" s="442"/>
      <c r="J935" s="442"/>
      <c r="K935" s="442"/>
      <c r="L935" s="442"/>
      <c r="M935" s="442"/>
      <c r="N935" s="442"/>
      <c r="O935" s="442"/>
      <c r="P935" s="442"/>
      <c r="Q935" s="442"/>
      <c r="R935" s="442"/>
      <c r="S935" s="442"/>
      <c r="T935" s="442"/>
      <c r="U935" s="442"/>
      <c r="V935" s="1083">
        <f>+(V931-$AB906*V929)/(1-$AB906)</f>
        <v>2.6296874680969893E-2</v>
      </c>
      <c r="W935" s="1083">
        <f t="shared" ref="W935:AM935" si="652">+(W931-$AB906*W929)/(1-$AB906)</f>
        <v>8.1544200317529195E-2</v>
      </c>
      <c r="X935" s="1083">
        <f t="shared" si="652"/>
        <v>3.1133858464953104E-2</v>
      </c>
      <c r="Y935" s="1083">
        <f t="shared" si="652"/>
        <v>1.3327349264680899E-3</v>
      </c>
      <c r="Z935" s="1083">
        <f t="shared" si="652"/>
        <v>4.6131370432666997E-2</v>
      </c>
      <c r="AA935" s="1083">
        <f t="shared" si="652"/>
        <v>5.0483628051841527E-2</v>
      </c>
      <c r="AB935" s="1083">
        <f t="shared" si="652"/>
        <v>5.9087772227374213E-2</v>
      </c>
      <c r="AC935" s="1083">
        <f t="shared" si="652"/>
        <v>5.0312668396317534E-3</v>
      </c>
      <c r="AD935" s="1083">
        <f t="shared" si="652"/>
        <v>2.2381709584333939E-2</v>
      </c>
      <c r="AE935" s="1083">
        <f t="shared" si="652"/>
        <v>9.8665214640857618E-2</v>
      </c>
      <c r="AF935" s="1083">
        <f t="shared" si="652"/>
        <v>-2.7636071848615246E-2</v>
      </c>
      <c r="AG935" s="1083">
        <f t="shared" si="652"/>
        <v>0.12661527079621762</v>
      </c>
      <c r="AH935" s="1083">
        <f t="shared" si="652"/>
        <v>0.15575867828875711</v>
      </c>
      <c r="AI935" s="1410">
        <f t="shared" si="652"/>
        <v>4.0385209119226488E-2</v>
      </c>
      <c r="AJ935" s="1083">
        <f>+(AJ931-$AI906*AJ929)/(1-$AI906)</f>
        <v>7.671807027168033E-2</v>
      </c>
      <c r="AK935" s="1083">
        <f t="shared" si="652"/>
        <v>0.11001482503043508</v>
      </c>
      <c r="AL935" s="1083">
        <f t="shared" si="652"/>
        <v>2.5973203377287188E-2</v>
      </c>
      <c r="AM935" s="1083">
        <f t="shared" si="652"/>
        <v>3.5944050665887996E-2</v>
      </c>
      <c r="AN935" s="1083">
        <f t="shared" ref="AN935:AT935" si="653">+(AN931-$AB906*AN929)/(1-$AB906)</f>
        <v>5.1042324200805449E-2</v>
      </c>
      <c r="AO935" s="1815">
        <f t="shared" si="653"/>
        <v>5.2949265247091142E-2</v>
      </c>
      <c r="AP935" s="1815">
        <f t="shared" si="653"/>
        <v>6.7656204678661541E-2</v>
      </c>
      <c r="AQ935" s="1815">
        <f t="shared" si="653"/>
        <v>5.3442280069558416E-2</v>
      </c>
      <c r="AR935" s="1815">
        <f t="shared" si="653"/>
        <v>5.3667840665725865E-2</v>
      </c>
      <c r="AS935" s="1815">
        <f t="shared" si="653"/>
        <v>5.2121094324296117E-2</v>
      </c>
      <c r="AT935" s="1815">
        <f t="shared" si="653"/>
        <v>5.0297992916369064E-2</v>
      </c>
    </row>
    <row r="936" spans="1:46">
      <c r="A936" s="295"/>
      <c r="B936" s="1"/>
      <c r="D936" s="357"/>
      <c r="E936" s="1159"/>
      <c r="F936" s="442"/>
      <c r="G936" s="442"/>
      <c r="H936" s="442"/>
      <c r="I936" s="442"/>
      <c r="J936" s="442"/>
      <c r="K936" s="442"/>
      <c r="L936" s="442"/>
      <c r="M936" s="442"/>
      <c r="N936" s="442"/>
      <c r="O936" s="442"/>
      <c r="P936" s="442"/>
      <c r="Q936" s="442"/>
      <c r="R936" s="442"/>
      <c r="S936" s="442"/>
      <c r="T936" s="442"/>
      <c r="U936" s="442"/>
      <c r="V936" s="442"/>
      <c r="W936" s="909"/>
      <c r="X936" s="366"/>
      <c r="Y936" s="445"/>
      <c r="Z936" s="367"/>
      <c r="AA936" s="367"/>
      <c r="AB936" s="366"/>
      <c r="AC936" s="358"/>
      <c r="AD936" s="366"/>
      <c r="AE936" s="366"/>
      <c r="AF936" s="366"/>
      <c r="AG936" s="366"/>
      <c r="AH936" s="366"/>
      <c r="AI936" s="3218"/>
      <c r="AJ936" s="366"/>
      <c r="AK936" s="366"/>
      <c r="AL936" s="366"/>
      <c r="AM936" s="366"/>
      <c r="AN936" s="366"/>
      <c r="AO936" s="1818"/>
      <c r="AP936" s="1818"/>
      <c r="AQ936" s="1818"/>
      <c r="AR936" s="1818"/>
      <c r="AS936" s="1818"/>
      <c r="AT936" s="1818"/>
    </row>
    <row r="937" spans="1:46">
      <c r="A937" s="295"/>
      <c r="B937" s="1"/>
      <c r="D937" s="357" t="s">
        <v>994</v>
      </c>
      <c r="E937" s="1159"/>
      <c r="F937" s="442"/>
      <c r="G937" s="442"/>
      <c r="H937" s="442"/>
      <c r="I937" s="442"/>
      <c r="J937" s="442"/>
      <c r="K937" s="442"/>
      <c r="L937" s="442"/>
      <c r="M937" s="442"/>
      <c r="N937" s="442"/>
      <c r="O937" s="442"/>
      <c r="P937" s="442"/>
      <c r="Q937" s="442"/>
      <c r="R937" s="442"/>
      <c r="S937" s="442"/>
      <c r="T937" s="442"/>
      <c r="U937" s="442"/>
      <c r="V937" s="1084">
        <f>+(1+V935)/(1+(V939-U939+V941-U941)/(1+U939+U941))-1</f>
        <v>2.6296874680969973E-2</v>
      </c>
      <c r="W937" s="1084">
        <f>+(1+W935)/(1+(W939-V939+W941-V941)/(1+V939+V941))-1</f>
        <v>1.0788972259373031E-2</v>
      </c>
      <c r="X937" s="1084">
        <f>+(1+X935)/(1+(X939-W939+X941-W941)/(1+W939+W941))-1</f>
        <v>3.1133858464953201E-2</v>
      </c>
      <c r="Y937" s="1084">
        <f>+(1+Y935)/(1+(Y939-X939+Y941-X941)/(1+X939+X941))-1</f>
        <v>1.602707927849889E-2</v>
      </c>
      <c r="Z937" s="1084">
        <f>+(1+Z935)/(1+(Z939-Y939+Z941-Y941)/(1+Y939+Y941))-1</f>
        <v>4.428214314270762E-2</v>
      </c>
      <c r="AA937" s="1084">
        <f t="shared" ref="AA937:AF937" si="654">+(1+AA935)/(1+(AA939-Z939+AA941-Z941)/(1+Z939+Z941))-1</f>
        <v>4.9757051840270128E-2</v>
      </c>
      <c r="AB937" s="1084">
        <f t="shared" si="654"/>
        <v>6.108664944551534E-2</v>
      </c>
      <c r="AC937" s="1084">
        <f t="shared" si="654"/>
        <v>2.6995272829650752E-3</v>
      </c>
      <c r="AD937" s="1084">
        <f t="shared" si="654"/>
        <v>2.4856566500031096E-2</v>
      </c>
      <c r="AE937" s="1084">
        <f t="shared" si="654"/>
        <v>9.6348102282450387E-2</v>
      </c>
      <c r="AF937" s="1084">
        <f t="shared" si="654"/>
        <v>-2.5710924548053682E-2</v>
      </c>
      <c r="AG937" s="1084">
        <f t="shared" ref="AG937:AO937" si="655">+(1+AG935)/(1+(AG939-AF939+AG941-AF941)/(1+AF939+AF941))-1</f>
        <v>0.13707710032566878</v>
      </c>
      <c r="AH937" s="1084">
        <f t="shared" si="655"/>
        <v>0.16011109983097449</v>
      </c>
      <c r="AI937" s="1260">
        <f t="shared" si="655"/>
        <v>3.5523145304627191E-2</v>
      </c>
      <c r="AJ937" s="687">
        <f>+(1+AJ935)/(1+(AJ939-AI939+AJ941-AI941)/(1+AI939+AI941))-1</f>
        <v>6.6537008736573755E-2</v>
      </c>
      <c r="AK937" s="687">
        <f>+(1+AK935)/(1+(AK939-AJ939+AK941-AJ941)/(1+AJ939+AJ941))-1</f>
        <v>0.10339798970193637</v>
      </c>
      <c r="AL937" s="687">
        <f t="shared" si="655"/>
        <v>2.4071370698910188E-2</v>
      </c>
      <c r="AM937" s="687">
        <f t="shared" si="655"/>
        <v>3.5670879794682975E-2</v>
      </c>
      <c r="AN937" s="687">
        <f t="shared" si="655"/>
        <v>5.129052308393045E-2</v>
      </c>
      <c r="AO937" s="687">
        <f t="shared" si="655"/>
        <v>5.2830892902575144E-2</v>
      </c>
      <c r="AP937" s="1819">
        <f>+(1+AP935)/(1+(AP939-AO939+AP941-AO941)/(1+AO939+AO941))-1</f>
        <v>4.6743248033085383E-2</v>
      </c>
      <c r="AQ937" s="1819">
        <f>+(1+AQ935)/(1+(AQ939-AP939+AQ941-AP941)/(1+AP939+AP941))-1</f>
        <v>5.4188339555752973E-2</v>
      </c>
      <c r="AR937" s="1819">
        <f>+(1+AR935)/(1+(AR939-AQ939+AR941-AQ941)/(1+AQ939+AQ941))-1</f>
        <v>5.536829431513457E-2</v>
      </c>
      <c r="AS937" s="1819">
        <f>+(1+AS935)/(1+(AS939-AR939+AS941-AR941)/(1+AR939+AR941))-1</f>
        <v>4.1393017631810025E-2</v>
      </c>
      <c r="AT937" s="1819">
        <f>+(1+AT935)/(1+(AT939-AS939+AT941-AS941)/(1+AS939+AS941))-1</f>
        <v>2.3667156727388505E-2</v>
      </c>
    </row>
    <row r="938" spans="1:46" ht="15.75" customHeight="1">
      <c r="A938" s="295"/>
      <c r="B938" s="1"/>
      <c r="D938" s="357" t="s">
        <v>993</v>
      </c>
      <c r="E938" s="3842" t="s">
        <v>592</v>
      </c>
      <c r="F938" s="442"/>
      <c r="G938" s="442"/>
      <c r="H938" s="442"/>
      <c r="I938" s="442"/>
      <c r="J938" s="442"/>
      <c r="K938" s="442"/>
      <c r="L938" s="442"/>
      <c r="M938" s="442"/>
      <c r="N938" s="442"/>
      <c r="O938" s="442"/>
      <c r="P938" s="442"/>
      <c r="Q938" s="442"/>
      <c r="R938" s="442"/>
      <c r="S938" s="442"/>
      <c r="T938" s="442"/>
      <c r="U938" s="442"/>
      <c r="V938" s="442"/>
      <c r="W938" s="909"/>
      <c r="X938" s="366"/>
      <c r="Y938" s="366"/>
      <c r="Z938" s="910">
        <f t="shared" ref="Z938:AT938" si="656">+Z231</f>
        <v>0.02</v>
      </c>
      <c r="AA938" s="910">
        <f t="shared" si="656"/>
        <v>4.4999999999999998E-2</v>
      </c>
      <c r="AB938" s="910">
        <f t="shared" si="656"/>
        <v>0.05</v>
      </c>
      <c r="AC938" s="444">
        <f t="shared" si="656"/>
        <v>0.05</v>
      </c>
      <c r="AD938" s="910">
        <f t="shared" si="656"/>
        <v>6.0249999999999998E-2</v>
      </c>
      <c r="AE938" s="910">
        <f t="shared" si="656"/>
        <v>6.5549999999999997E-2</v>
      </c>
      <c r="AF938" s="910">
        <f t="shared" si="656"/>
        <v>3.8600000000000002E-2</v>
      </c>
      <c r="AG938" s="910">
        <f t="shared" si="656"/>
        <v>5.0800000000000005E-2</v>
      </c>
      <c r="AH938" s="910">
        <f t="shared" si="656"/>
        <v>0.11015</v>
      </c>
      <c r="AI938" s="3219">
        <f t="shared" si="656"/>
        <v>0.11783</v>
      </c>
      <c r="AJ938" s="361">
        <f t="shared" si="656"/>
        <v>0.10018000000000001</v>
      </c>
      <c r="AK938" s="386">
        <f t="shared" si="656"/>
        <v>0.09</v>
      </c>
      <c r="AL938" s="386">
        <f t="shared" si="656"/>
        <v>0.08</v>
      </c>
      <c r="AM938" s="386">
        <f t="shared" si="656"/>
        <v>0.08</v>
      </c>
      <c r="AN938" s="386">
        <f t="shared" si="656"/>
        <v>0.08</v>
      </c>
      <c r="AO938" s="386">
        <f t="shared" si="656"/>
        <v>0.08</v>
      </c>
      <c r="AP938" s="1699">
        <f t="shared" si="656"/>
        <v>0.08</v>
      </c>
      <c r="AQ938" s="1699">
        <f t="shared" si="656"/>
        <v>0.08</v>
      </c>
      <c r="AR938" s="1699">
        <f t="shared" si="656"/>
        <v>0.08</v>
      </c>
      <c r="AS938" s="1699">
        <f t="shared" si="656"/>
        <v>0.08</v>
      </c>
      <c r="AT938" s="1699">
        <f t="shared" si="656"/>
        <v>0.04</v>
      </c>
    </row>
    <row r="939" spans="1:46">
      <c r="A939" s="295"/>
      <c r="B939" s="1"/>
      <c r="D939" s="357" t="s">
        <v>417</v>
      </c>
      <c r="E939" s="3843"/>
      <c r="F939" s="442"/>
      <c r="G939" s="442"/>
      <c r="H939" s="442"/>
      <c r="I939" s="442"/>
      <c r="J939" s="442"/>
      <c r="K939" s="442"/>
      <c r="L939" s="442"/>
      <c r="M939" s="442"/>
      <c r="N939" s="442"/>
      <c r="O939" s="442"/>
      <c r="P939" s="442"/>
      <c r="Q939" s="442"/>
      <c r="R939" s="442"/>
      <c r="S939" s="442"/>
      <c r="T939" s="442"/>
      <c r="U939" s="442"/>
      <c r="V939" s="442"/>
      <c r="W939" s="1269">
        <v>7.0000000000000007E-2</v>
      </c>
      <c r="X939" s="1269">
        <v>7.0000000000000007E-2</v>
      </c>
      <c r="Y939" s="2385">
        <f t="shared" ref="Y939:AT939" si="657">+Y259</f>
        <v>5.0429355050451631E-2</v>
      </c>
      <c r="Z939" s="2385">
        <f t="shared" si="657"/>
        <v>5.5665935108619634E-2</v>
      </c>
      <c r="AA939" s="2385">
        <f t="shared" si="657"/>
        <v>5.639710391768718E-2</v>
      </c>
      <c r="AB939" s="2385">
        <f t="shared" si="657"/>
        <v>5.440569229295969E-2</v>
      </c>
      <c r="AC939" s="2385">
        <f t="shared" si="657"/>
        <v>5.6859362014789042E-2</v>
      </c>
      <c r="AD939" s="2385">
        <f t="shared" si="657"/>
        <v>5.4305469333602911E-2</v>
      </c>
      <c r="AE939" s="2385">
        <f t="shared" si="657"/>
        <v>5.6535260774363064E-2</v>
      </c>
      <c r="AF939" s="2385">
        <f t="shared" si="657"/>
        <v>5.4446163528025782E-2</v>
      </c>
      <c r="AG939" s="2385">
        <f t="shared" si="657"/>
        <v>4.4737906694448999E-2</v>
      </c>
      <c r="AH939" s="2385">
        <f t="shared" si="657"/>
        <v>4.0815608385430399E-2</v>
      </c>
      <c r="AI939" s="2385">
        <f>+AI259</f>
        <v>4.5705932874386332E-2</v>
      </c>
      <c r="AJ939" s="2385">
        <f t="shared" si="657"/>
        <v>5.5695078027099366E-2</v>
      </c>
      <c r="AK939" s="2385">
        <f t="shared" si="657"/>
        <v>6.2030206135223233E-2</v>
      </c>
      <c r="AL939" s="2385">
        <f t="shared" si="657"/>
        <v>6.4003882473265328E-2</v>
      </c>
      <c r="AM939" s="2385">
        <f t="shared" si="657"/>
        <v>6.4284718143980651E-2</v>
      </c>
      <c r="AN939" s="2385">
        <f t="shared" si="657"/>
        <v>6.4033279945837712E-2</v>
      </c>
      <c r="AO939" s="2385">
        <f t="shared" si="657"/>
        <v>6.4152993484206902E-2</v>
      </c>
      <c r="AP939" s="910">
        <f>+AP259</f>
        <v>8.5428295446738384E-2</v>
      </c>
      <c r="AQ939" s="910">
        <f t="shared" si="657"/>
        <v>8.4659612984428215E-2</v>
      </c>
      <c r="AR939" s="910">
        <f t="shared" si="657"/>
        <v>8.2910793366940752E-2</v>
      </c>
      <c r="AS939" s="910">
        <f t="shared" si="657"/>
        <v>9.4074056220457447E-2</v>
      </c>
      <c r="AT939" s="910">
        <f t="shared" si="657"/>
        <v>0.12255543718459191</v>
      </c>
    </row>
    <row r="940" spans="1:46">
      <c r="A940" s="295"/>
      <c r="B940" s="1"/>
      <c r="D940" s="357" t="s">
        <v>297</v>
      </c>
      <c r="E940" s="3843"/>
      <c r="F940" s="442"/>
      <c r="G940" s="442"/>
      <c r="H940" s="442"/>
      <c r="I940" s="442"/>
      <c r="J940" s="442"/>
      <c r="K940" s="442"/>
      <c r="L940" s="442"/>
      <c r="M940" s="442"/>
      <c r="N940" s="442"/>
      <c r="O940" s="442"/>
      <c r="P940" s="442"/>
      <c r="Q940" s="442"/>
      <c r="R940" s="442"/>
      <c r="S940" s="442"/>
      <c r="T940" s="442"/>
      <c r="U940" s="442"/>
      <c r="V940" s="442"/>
      <c r="W940" s="909"/>
      <c r="X940" s="386">
        <f>+X939/W939-1</f>
        <v>0</v>
      </c>
      <c r="Y940" s="386">
        <f>+Y939/X939-1</f>
        <v>-0.27958064213640532</v>
      </c>
      <c r="Z940" s="386">
        <f t="shared" ref="Z940:AF940" si="658">+Z939/Y939-1</f>
        <v>0.10383991730469511</v>
      </c>
      <c r="AA940" s="386">
        <f t="shared" si="658"/>
        <v>1.3134941641433473E-2</v>
      </c>
      <c r="AB940" s="386">
        <f t="shared" si="658"/>
        <v>-3.5310529910081878E-2</v>
      </c>
      <c r="AC940" s="431">
        <f t="shared" si="658"/>
        <v>4.5099503717681122E-2</v>
      </c>
      <c r="AD940" s="386">
        <f t="shared" si="658"/>
        <v>-4.4915957384851879E-2</v>
      </c>
      <c r="AE940" s="386">
        <f t="shared" si="658"/>
        <v>4.1060163333868971E-2</v>
      </c>
      <c r="AF940" s="386">
        <f t="shared" si="658"/>
        <v>-3.6952111261590259E-2</v>
      </c>
      <c r="AG940" s="386">
        <f t="shared" ref="AG940:AO940" si="659">+AG939/AF939-1</f>
        <v>-0.17830929131635742</v>
      </c>
      <c r="AH940" s="386">
        <f t="shared" si="659"/>
        <v>-8.7672817054385566E-2</v>
      </c>
      <c r="AI940" s="1409">
        <f t="shared" si="659"/>
        <v>0.11981505807228365</v>
      </c>
      <c r="AJ940" s="386">
        <f>+AJ939/AI939-1</f>
        <v>0.21855248376980319</v>
      </c>
      <c r="AK940" s="386">
        <f t="shared" si="659"/>
        <v>0.11374664211874164</v>
      </c>
      <c r="AL940" s="386">
        <f t="shared" si="659"/>
        <v>3.1817987735516473E-2</v>
      </c>
      <c r="AM940" s="386">
        <f t="shared" si="659"/>
        <v>4.3877911755216825E-3</v>
      </c>
      <c r="AN940" s="386">
        <f t="shared" si="659"/>
        <v>-3.9113214680319697E-3</v>
      </c>
      <c r="AO940" s="386">
        <f t="shared" si="659"/>
        <v>1.8695518716276283E-3</v>
      </c>
      <c r="AP940" s="910">
        <f>+AP939/AO939-1</f>
        <v>0.33163381483934984</v>
      </c>
      <c r="AQ940" s="910">
        <f>+AQ939/AP939-1</f>
        <v>-8.9979843129307513E-3</v>
      </c>
      <c r="AR940" s="910">
        <f>+AR939/AQ939-1</f>
        <v>-2.065707077835488E-2</v>
      </c>
      <c r="AS940" s="910">
        <f>+AS939/AR939-1</f>
        <v>0.13464185301075471</v>
      </c>
      <c r="AT940" s="910">
        <f>+AT939/AS939-1</f>
        <v>0.30275489447791948</v>
      </c>
    </row>
    <row r="941" spans="1:46">
      <c r="A941" s="295"/>
      <c r="B941" s="1"/>
      <c r="D941" s="357" t="s">
        <v>298</v>
      </c>
      <c r="E941" s="3843"/>
      <c r="F941" s="442"/>
      <c r="G941" s="442"/>
      <c r="H941" s="442"/>
      <c r="I941" s="442"/>
      <c r="J941" s="442"/>
      <c r="K941" s="442"/>
      <c r="L941" s="442"/>
      <c r="M941" s="442"/>
      <c r="N941" s="442"/>
      <c r="O941" s="442"/>
      <c r="P941" s="442"/>
      <c r="Q941" s="442"/>
      <c r="R941" s="442"/>
      <c r="S941" s="442"/>
      <c r="T941" s="442"/>
      <c r="U941" s="442"/>
      <c r="V941" s="442"/>
      <c r="W941" s="909"/>
      <c r="X941" s="366"/>
      <c r="Y941" s="386">
        <f>+Y856/Y857</f>
        <v>4.0957144311234584E-3</v>
      </c>
      <c r="Z941" s="386">
        <f>+Z856/Z857</f>
        <v>7.2649995919727578E-4</v>
      </c>
      <c r="AA941" s="386">
        <f t="shared" ref="AA941:AF941" si="660">+Z941*(1+AA942)</f>
        <v>7.2649995919727578E-4</v>
      </c>
      <c r="AB941" s="386">
        <f t="shared" si="660"/>
        <v>7.2649995919727578E-4</v>
      </c>
      <c r="AC941" s="431">
        <f t="shared" si="660"/>
        <v>7.2649995919727578E-4</v>
      </c>
      <c r="AD941" s="386">
        <f t="shared" si="660"/>
        <v>7.2649995919727578E-4</v>
      </c>
      <c r="AE941" s="386">
        <f t="shared" si="660"/>
        <v>7.2649995919727578E-4</v>
      </c>
      <c r="AF941" s="386">
        <f t="shared" si="660"/>
        <v>7.2649995919727578E-4</v>
      </c>
      <c r="AG941" s="386">
        <f t="shared" ref="AG941:AO941" si="661">+AF941*(1+AG942)</f>
        <v>7.2649995919727578E-4</v>
      </c>
      <c r="AH941" s="386">
        <f t="shared" si="661"/>
        <v>7.2649995919727578E-4</v>
      </c>
      <c r="AI941" s="1409">
        <f t="shared" si="661"/>
        <v>7.2649995919727578E-4</v>
      </c>
      <c r="AJ941" s="386">
        <f t="shared" si="661"/>
        <v>7.2649995919727578E-4</v>
      </c>
      <c r="AK941" s="386">
        <f t="shared" si="661"/>
        <v>7.2649995919727578E-4</v>
      </c>
      <c r="AL941" s="386">
        <f t="shared" si="661"/>
        <v>7.2649995919727578E-4</v>
      </c>
      <c r="AM941" s="386">
        <f t="shared" si="661"/>
        <v>7.2649995919727578E-4</v>
      </c>
      <c r="AN941" s="386">
        <f t="shared" si="661"/>
        <v>7.2649995919727578E-4</v>
      </c>
      <c r="AO941" s="386">
        <f t="shared" si="661"/>
        <v>7.2649995919727578E-4</v>
      </c>
      <c r="AP941" s="910">
        <f>+AO941*(1+AP942)</f>
        <v>7.2649995919727578E-4</v>
      </c>
      <c r="AQ941" s="910">
        <f>+AP941*(1+AQ942)</f>
        <v>7.2649995919727578E-4</v>
      </c>
      <c r="AR941" s="910">
        <f>+AQ941*(1+AR942)</f>
        <v>7.2649995919727578E-4</v>
      </c>
      <c r="AS941" s="910">
        <f>+AR941*(1+AS942)</f>
        <v>7.2649995919727578E-4</v>
      </c>
      <c r="AT941" s="910">
        <f>+AS941*(1+AT942)</f>
        <v>7.2649995919727578E-4</v>
      </c>
    </row>
    <row r="942" spans="1:46">
      <c r="A942" s="295"/>
      <c r="B942" s="1"/>
      <c r="D942" s="357" t="s">
        <v>299</v>
      </c>
      <c r="E942" s="3843"/>
      <c r="F942" s="442"/>
      <c r="G942" s="442"/>
      <c r="H942" s="442"/>
      <c r="I942" s="442"/>
      <c r="J942" s="442"/>
      <c r="K942" s="442"/>
      <c r="L942" s="442"/>
      <c r="M942" s="442"/>
      <c r="N942" s="442"/>
      <c r="O942" s="442"/>
      <c r="P942" s="442"/>
      <c r="Q942" s="442"/>
      <c r="R942" s="442"/>
      <c r="S942" s="442"/>
      <c r="T942" s="442"/>
      <c r="U942" s="442"/>
      <c r="V942" s="442"/>
      <c r="W942" s="909"/>
      <c r="X942" s="366"/>
      <c r="Y942" s="366"/>
      <c r="Z942" s="363">
        <v>0</v>
      </c>
      <c r="AA942" s="363">
        <f t="shared" ref="AA942:AF942" si="662">+Z942</f>
        <v>0</v>
      </c>
      <c r="AB942" s="363">
        <f t="shared" si="662"/>
        <v>0</v>
      </c>
      <c r="AC942" s="362">
        <f t="shared" si="662"/>
        <v>0</v>
      </c>
      <c r="AD942" s="363">
        <f t="shared" si="662"/>
        <v>0</v>
      </c>
      <c r="AE942" s="363">
        <f t="shared" si="662"/>
        <v>0</v>
      </c>
      <c r="AF942" s="363">
        <f t="shared" si="662"/>
        <v>0</v>
      </c>
      <c r="AG942" s="363">
        <f t="shared" ref="AG942:AO942" si="663">+AF942</f>
        <v>0</v>
      </c>
      <c r="AH942" s="363">
        <f t="shared" si="663"/>
        <v>0</v>
      </c>
      <c r="AI942" s="3220">
        <f t="shared" si="663"/>
        <v>0</v>
      </c>
      <c r="AJ942" s="363">
        <f t="shared" si="663"/>
        <v>0</v>
      </c>
      <c r="AK942" s="386">
        <f t="shared" si="663"/>
        <v>0</v>
      </c>
      <c r="AL942" s="386">
        <f t="shared" si="663"/>
        <v>0</v>
      </c>
      <c r="AM942" s="386">
        <f t="shared" si="663"/>
        <v>0</v>
      </c>
      <c r="AN942" s="386">
        <f t="shared" si="663"/>
        <v>0</v>
      </c>
      <c r="AO942" s="386">
        <f t="shared" si="663"/>
        <v>0</v>
      </c>
      <c r="AP942" s="1820">
        <f>+AO942</f>
        <v>0</v>
      </c>
      <c r="AQ942" s="1820">
        <f>+AP942</f>
        <v>0</v>
      </c>
      <c r="AR942" s="1820">
        <f>+AQ942</f>
        <v>0</v>
      </c>
      <c r="AS942" s="1820">
        <f>+AR942</f>
        <v>0</v>
      </c>
      <c r="AT942" s="1820">
        <f>+AS942</f>
        <v>0</v>
      </c>
    </row>
    <row r="943" spans="1:46">
      <c r="A943" s="295"/>
      <c r="B943" s="1"/>
      <c r="D943" s="356" t="s">
        <v>451</v>
      </c>
      <c r="E943" s="1159"/>
      <c r="F943" s="442"/>
      <c r="G943" s="442"/>
      <c r="H943" s="442"/>
      <c r="I943" s="442"/>
      <c r="J943" s="442"/>
      <c r="K943" s="442"/>
      <c r="L943" s="442"/>
      <c r="M943" s="442"/>
      <c r="N943" s="442"/>
      <c r="O943" s="442"/>
      <c r="P943" s="442"/>
      <c r="Q943" s="442"/>
      <c r="R943" s="442"/>
      <c r="S943" s="442"/>
      <c r="T943" s="442"/>
      <c r="U943" s="442"/>
      <c r="V943" s="442"/>
      <c r="W943" s="398" t="s">
        <v>333</v>
      </c>
      <c r="X943" s="1281">
        <f>+(1+X937)*(1+(X939-W939)/(1+W939))-1</f>
        <v>3.1133858464953201E-2</v>
      </c>
      <c r="Y943" s="1281">
        <f>+(1+Y937)*(1+(Y939-X939)/(1+X939))-1</f>
        <v>-2.5563835511143163E-3</v>
      </c>
      <c r="Z943" s="1281">
        <f>+(1+Z937)*(1+(Z939-Y939)/(1+Y939))-1</f>
        <v>4.9488078239237288E-2</v>
      </c>
      <c r="AA943" s="361">
        <f t="shared" ref="AA943:AF943" si="664">+(1+AA937)*(1+(AA939-Z939+AA941-Z941)/(1+Z939+Z941))-1</f>
        <v>5.0483628051841478E-2</v>
      </c>
      <c r="AB943" s="361">
        <f t="shared" si="664"/>
        <v>5.9087772227374158E-2</v>
      </c>
      <c r="AC943" s="361">
        <f t="shared" si="664"/>
        <v>5.0312668396317317E-3</v>
      </c>
      <c r="AD943" s="361">
        <f t="shared" si="664"/>
        <v>2.2381709584333942E-2</v>
      </c>
      <c r="AE943" s="361">
        <f t="shared" si="664"/>
        <v>9.8665214640857535E-2</v>
      </c>
      <c r="AF943" s="361">
        <f t="shared" si="664"/>
        <v>-2.7636071848615273E-2</v>
      </c>
      <c r="AG943" s="361">
        <f t="shared" ref="AG943:AO943" si="665">+(1+AG937)*(1+(AG939-AF939+AG941-AF941)/(1+AF939+AF941))-1</f>
        <v>0.12661527079621759</v>
      </c>
      <c r="AH943" s="361">
        <f t="shared" si="665"/>
        <v>0.15575867828875722</v>
      </c>
      <c r="AI943" s="1261">
        <f t="shared" si="665"/>
        <v>4.0385209119226495E-2</v>
      </c>
      <c r="AJ943" s="3221">
        <f>+(1+AJ937)*(1+(AJ939-AI939+AJ941-AI941)/(1+AI939+AI941))-1</f>
        <v>7.6718070271680316E-2</v>
      </c>
      <c r="AK943" s="3221">
        <f t="shared" si="665"/>
        <v>0.11001482503043514</v>
      </c>
      <c r="AL943" s="3222">
        <f t="shared" si="665"/>
        <v>2.5973203377287257E-2</v>
      </c>
      <c r="AM943" s="3222">
        <f t="shared" si="665"/>
        <v>3.5944050665887906E-2</v>
      </c>
      <c r="AN943" s="3222">
        <f>+(1+AN937)*(1+(AN939-AM939+AN941-AM941)/(1+AM939+AM941))-1</f>
        <v>5.1042324200805345E-2</v>
      </c>
      <c r="AO943" s="1821">
        <f t="shared" si="665"/>
        <v>5.2949265247091093E-2</v>
      </c>
      <c r="AP943" s="1821">
        <f>+(1+AP937)*(1+(AP939-AO939+AP941-AO941)/(1+AO939+AO941))-1</f>
        <v>6.7656204678661513E-2</v>
      </c>
      <c r="AQ943" s="1821">
        <f>+(1+AQ937)*(1+(AQ939-AP939+AQ941-AP941)/(1+AP939+AP941))-1</f>
        <v>5.3442280069558423E-2</v>
      </c>
      <c r="AR943" s="1821">
        <f>+(1+AR937)*(1+(AR939-AQ939+AR941-AQ941)/(1+AQ939+AQ941))-1</f>
        <v>5.366784066572583E-2</v>
      </c>
      <c r="AS943" s="1821">
        <f>+(1+AS937)*(1+(AS939-AR939+AS941-AR941)/(1+AR939+AR941))-1</f>
        <v>5.2121094324296013E-2</v>
      </c>
      <c r="AT943" s="1821">
        <f>+(1+AT937)*(1+(AT939-AS939+AT941-AS941)/(1+AS939+AS941))-1</f>
        <v>5.0297992916369161E-2</v>
      </c>
    </row>
    <row r="944" spans="1:46">
      <c r="A944" s="295"/>
      <c r="B944" s="1"/>
      <c r="D944" s="1110" t="s">
        <v>1631</v>
      </c>
      <c r="E944" s="3063"/>
      <c r="F944" s="775"/>
      <c r="G944" s="775"/>
      <c r="H944" s="775"/>
      <c r="I944" s="775"/>
      <c r="J944" s="775"/>
      <c r="K944" s="775"/>
      <c r="L944" s="775"/>
      <c r="M944" s="775"/>
      <c r="N944" s="775"/>
      <c r="O944" s="775"/>
      <c r="P944" s="775"/>
      <c r="Q944" s="775"/>
      <c r="R944" s="775"/>
      <c r="S944" s="775"/>
      <c r="T944" s="775"/>
      <c r="U944" s="775"/>
      <c r="V944" s="775"/>
      <c r="W944" s="1111"/>
      <c r="X944" s="1112"/>
      <c r="Y944" s="1112"/>
      <c r="Z944" s="1112"/>
      <c r="AA944" s="1113"/>
      <c r="AB944" s="1114"/>
      <c r="AC944" s="1114"/>
      <c r="AD944" s="1114"/>
      <c r="AE944" s="1114"/>
      <c r="AF944" s="1114"/>
      <c r="AG944" s="1114"/>
      <c r="AH944" s="1114"/>
      <c r="AI944" s="1114"/>
      <c r="AJ944" s="3223">
        <v>0</v>
      </c>
      <c r="AK944" s="3223">
        <v>0</v>
      </c>
      <c r="AL944" s="3223">
        <v>0</v>
      </c>
      <c r="AM944" s="3223">
        <v>-0.7</v>
      </c>
      <c r="AN944" s="3223">
        <v>-1.4</v>
      </c>
      <c r="AO944" s="3223">
        <v>-2</v>
      </c>
      <c r="AP944" s="3223">
        <v>-0.5</v>
      </c>
      <c r="AQ944" s="3223">
        <v>-1</v>
      </c>
      <c r="AR944" s="3223">
        <v>-1.5</v>
      </c>
      <c r="AS944" s="3223">
        <v>-3.1</v>
      </c>
      <c r="AT944" s="3223">
        <v>-5.8</v>
      </c>
    </row>
    <row r="945" spans="1:47" ht="16.75" thickBot="1">
      <c r="A945" s="295"/>
      <c r="B945" s="1"/>
      <c r="D945" s="375"/>
      <c r="E945" s="3053"/>
      <c r="F945" s="350"/>
      <c r="G945" s="350"/>
      <c r="H945" s="350"/>
      <c r="I945" s="350"/>
      <c r="J945" s="350"/>
      <c r="K945" s="350"/>
      <c r="L945" s="350"/>
      <c r="M945" s="350"/>
      <c r="N945" s="350"/>
      <c r="O945" s="350"/>
      <c r="P945" s="350"/>
      <c r="Q945" s="350"/>
      <c r="R945" s="350"/>
      <c r="S945" s="350"/>
      <c r="T945" s="350"/>
      <c r="U945" s="350"/>
      <c r="V945" s="350"/>
      <c r="W945" s="911"/>
      <c r="X945" s="911"/>
      <c r="Y945" s="911"/>
      <c r="Z945" s="911"/>
      <c r="AA945" s="911"/>
      <c r="AB945" s="911"/>
      <c r="AC945" s="350"/>
      <c r="AD945" s="911"/>
      <c r="AE945" s="911"/>
      <c r="AF945" s="911"/>
      <c r="AG945" s="911"/>
      <c r="AH945" s="911"/>
      <c r="AI945" s="3224"/>
      <c r="AJ945" s="3225"/>
      <c r="AK945" s="1700"/>
      <c r="AL945" s="1700"/>
      <c r="AM945" s="1700"/>
      <c r="AN945" s="1700"/>
      <c r="AO945" s="1700"/>
      <c r="AP945" s="1700"/>
      <c r="AQ945" s="1700"/>
      <c r="AR945" s="1700"/>
      <c r="AS945" s="1700"/>
      <c r="AT945" s="1700"/>
    </row>
    <row r="946" spans="1:47" ht="16.75" hidden="1" thickTop="1">
      <c r="A946" s="295"/>
      <c r="B946" s="1"/>
      <c r="F946" s="1"/>
      <c r="G946" s="1"/>
      <c r="H946" s="1"/>
      <c r="I946" s="1"/>
      <c r="J946" s="1"/>
      <c r="K946" s="1"/>
      <c r="L946" s="1"/>
      <c r="M946" s="1"/>
      <c r="N946" s="1"/>
      <c r="O946" s="1"/>
      <c r="P946" s="1"/>
      <c r="Q946" s="1"/>
      <c r="R946" s="1"/>
      <c r="S946" s="1"/>
      <c r="T946" s="1"/>
      <c r="V946" s="1"/>
      <c r="X946" s="824"/>
      <c r="Z946" s="824"/>
      <c r="AF946" s="2890">
        <f>AG1146</f>
        <v>0.35809032812416097</v>
      </c>
      <c r="AG946" s="2890">
        <f>AH1146</f>
        <v>0.23931353552928147</v>
      </c>
      <c r="AH946" s="3226">
        <f t="shared" ref="AH946:AM946" si="666">AI1146</f>
        <v>0.18359337608882931</v>
      </c>
      <c r="AI946" s="2890">
        <f t="shared" si="666"/>
        <v>0.1514767276471658</v>
      </c>
      <c r="AJ946" s="2890">
        <f t="shared" si="666"/>
        <v>0.16722554057920269</v>
      </c>
      <c r="AK946" s="2890">
        <f t="shared" si="666"/>
        <v>0.15593466813800538</v>
      </c>
      <c r="AL946" s="2890">
        <f t="shared" si="666"/>
        <v>0.12901763060587457</v>
      </c>
      <c r="AM946" s="2890">
        <f t="shared" si="666"/>
        <v>0.13106863630999221</v>
      </c>
    </row>
    <row r="947" spans="1:47" ht="17.5" thickTop="1" thickBot="1">
      <c r="A947" s="295"/>
      <c r="B947" s="1"/>
      <c r="D947" s="295" t="s">
        <v>1131</v>
      </c>
      <c r="F947" s="1"/>
      <c r="G947" s="1"/>
      <c r="H947" s="1"/>
      <c r="I947" s="1"/>
      <c r="J947" s="1"/>
      <c r="K947" s="1"/>
      <c r="L947" s="1"/>
      <c r="M947" s="1"/>
      <c r="N947" s="1"/>
      <c r="O947" s="1"/>
      <c r="P947" s="1"/>
      <c r="Q947" s="1"/>
      <c r="R947" s="1"/>
      <c r="S947" s="1"/>
      <c r="T947" s="1"/>
      <c r="V947" s="1"/>
      <c r="X947" s="824"/>
      <c r="Z947" s="824"/>
      <c r="AI947" s="3227"/>
      <c r="AJ947" s="2890">
        <v>5.7475784334105828E-2</v>
      </c>
      <c r="AK947" s="2890">
        <v>5.0904268171092504E-2</v>
      </c>
      <c r="AL947" s="2890">
        <v>5.0036127196866564E-2</v>
      </c>
      <c r="AM947" s="2890">
        <v>4.9687201470135056E-2</v>
      </c>
      <c r="AN947" s="2890">
        <v>5.0323505114015621E-2</v>
      </c>
      <c r="AO947" s="2890">
        <v>4.9557772600167027E-2</v>
      </c>
    </row>
    <row r="948" spans="1:47" ht="16.75" thickTop="1">
      <c r="A948" s="295"/>
      <c r="B948" s="1"/>
      <c r="D948" s="727" t="s">
        <v>1130</v>
      </c>
      <c r="E948" s="3054">
        <f ca="1">NOW()</f>
        <v>46074.610906250004</v>
      </c>
      <c r="F948" s="728"/>
      <c r="G948" s="728"/>
      <c r="H948" s="728"/>
      <c r="I948" s="728"/>
      <c r="J948" s="728"/>
      <c r="K948" s="728"/>
      <c r="L948" s="728"/>
      <c r="M948" s="728"/>
      <c r="N948" s="728"/>
      <c r="O948" s="728"/>
      <c r="P948" s="728"/>
      <c r="Q948" s="728"/>
      <c r="R948" s="728"/>
      <c r="S948" s="728"/>
      <c r="T948" s="728"/>
      <c r="U948" s="728"/>
      <c r="V948" s="728"/>
      <c r="W948" s="912"/>
      <c r="X948" s="912"/>
      <c r="Y948" s="913" t="s">
        <v>633</v>
      </c>
      <c r="Z948" s="913"/>
      <c r="AA948" s="912"/>
      <c r="AB948" s="912"/>
      <c r="AC948" s="728"/>
      <c r="AD948" s="912"/>
      <c r="AE948" s="912"/>
      <c r="AF948" s="912"/>
      <c r="AG948" s="912" t="s">
        <v>1090</v>
      </c>
      <c r="AH948" s="1701">
        <f>+AH846/AH833*100</f>
        <v>92.468776916451333</v>
      </c>
      <c r="AI948" s="3228">
        <f t="shared" ref="AI948:AT948" si="667">+AI846/AI833*100</f>
        <v>100.00502083647136</v>
      </c>
      <c r="AJ948" s="1701">
        <f t="shared" si="667"/>
        <v>106.19502375093374</v>
      </c>
      <c r="AK948" s="1701">
        <f t="shared" si="667"/>
        <v>116.33434606906879</v>
      </c>
      <c r="AL948" s="1701">
        <f t="shared" si="667"/>
        <v>120.63168037910386</v>
      </c>
      <c r="AM948" s="1701">
        <f>+AM846/AM833*100</f>
        <v>125.47396231546</v>
      </c>
      <c r="AN948" s="1701">
        <f t="shared" si="667"/>
        <v>131.75922621518984</v>
      </c>
      <c r="AO948" s="1701">
        <f t="shared" si="667"/>
        <v>138.37563169858066</v>
      </c>
      <c r="AP948" s="1701">
        <f t="shared" si="667"/>
        <v>144.56308170345037</v>
      </c>
      <c r="AQ948" s="1701">
        <f t="shared" si="667"/>
        <v>151.87409050989828</v>
      </c>
      <c r="AR948" s="1701">
        <f t="shared" si="667"/>
        <v>159.52888954874746</v>
      </c>
      <c r="AS948" s="1701">
        <f t="shared" si="667"/>
        <v>167.20212508170104</v>
      </c>
      <c r="AT948" s="1701">
        <f t="shared" si="667"/>
        <v>174.75914500648207</v>
      </c>
    </row>
    <row r="949" spans="1:47">
      <c r="A949" s="295"/>
      <c r="B949" s="1"/>
      <c r="D949" s="729"/>
      <c r="E949" s="3064"/>
      <c r="F949" s="730"/>
      <c r="G949" s="730"/>
      <c r="H949" s="730"/>
      <c r="I949" s="730"/>
      <c r="J949" s="730"/>
      <c r="K949" s="730"/>
      <c r="L949" s="730"/>
      <c r="M949" s="730"/>
      <c r="N949" s="730"/>
      <c r="O949" s="730"/>
      <c r="P949" s="730"/>
      <c r="Q949" s="730"/>
      <c r="R949" s="730"/>
      <c r="S949" s="730"/>
      <c r="T949" s="730"/>
      <c r="U949" s="730"/>
      <c r="V949" s="730"/>
      <c r="W949" s="914"/>
      <c r="X949" s="914"/>
      <c r="Y949" s="914"/>
      <c r="Z949" s="914"/>
      <c r="AA949" s="914"/>
      <c r="AB949" s="914"/>
      <c r="AC949" s="730"/>
      <c r="AD949" s="914"/>
      <c r="AE949" s="914"/>
      <c r="AF949" s="914"/>
      <c r="AG949" s="914"/>
      <c r="AH949" s="914" t="s">
        <v>1221</v>
      </c>
      <c r="AI949" s="3229"/>
      <c r="AJ949" s="914"/>
      <c r="AK949" s="914"/>
      <c r="AL949" s="914"/>
      <c r="AM949" s="914"/>
      <c r="AN949" s="914"/>
      <c r="AO949" s="914"/>
      <c r="AP949" s="914"/>
      <c r="AQ949" s="914"/>
      <c r="AR949" s="914"/>
      <c r="AS949" s="914"/>
      <c r="AT949" s="914"/>
    </row>
    <row r="950" spans="1:47" s="1384" customFormat="1">
      <c r="A950" s="2148"/>
      <c r="C950" s="2148"/>
      <c r="D950" s="2216" t="s">
        <v>1088</v>
      </c>
      <c r="E950" s="3065"/>
      <c r="F950" s="2959"/>
      <c r="G950" s="2217"/>
      <c r="H950" s="2217"/>
      <c r="I950" s="2217"/>
      <c r="J950" s="2217"/>
      <c r="K950" s="2217"/>
      <c r="L950" s="2217"/>
      <c r="M950" s="2217"/>
      <c r="N950" s="2217"/>
      <c r="O950" s="2217"/>
      <c r="P950" s="2217"/>
      <c r="Q950" s="2217"/>
      <c r="R950" s="2217"/>
      <c r="S950" s="2217"/>
      <c r="T950" s="2217"/>
      <c r="U950" s="2217"/>
      <c r="V950" s="2217"/>
      <c r="W950" s="2218" t="s">
        <v>1696</v>
      </c>
      <c r="X950" s="2218">
        <v>2024</v>
      </c>
      <c r="Y950" s="2221">
        <v>2014</v>
      </c>
      <c r="Z950" s="2221">
        <f t="shared" ref="Z950:AG950" si="668">+Y950+1</f>
        <v>2015</v>
      </c>
      <c r="AA950" s="2221">
        <f t="shared" si="668"/>
        <v>2016</v>
      </c>
      <c r="AB950" s="2221">
        <v>2017</v>
      </c>
      <c r="AC950" s="1571">
        <f t="shared" si="668"/>
        <v>2018</v>
      </c>
      <c r="AD950" s="2221">
        <f t="shared" si="668"/>
        <v>2019</v>
      </c>
      <c r="AE950" s="2221">
        <f t="shared" si="668"/>
        <v>2020</v>
      </c>
      <c r="AF950" s="2221">
        <f t="shared" si="668"/>
        <v>2021</v>
      </c>
      <c r="AG950" s="2221">
        <f t="shared" si="668"/>
        <v>2022</v>
      </c>
      <c r="AH950" s="2221">
        <f t="shared" ref="AH950:AO950" si="669">+AG950+1</f>
        <v>2023</v>
      </c>
      <c r="AI950" s="3230">
        <f t="shared" si="669"/>
        <v>2024</v>
      </c>
      <c r="AJ950" s="2221">
        <f t="shared" si="669"/>
        <v>2025</v>
      </c>
      <c r="AK950" s="2221">
        <f t="shared" si="669"/>
        <v>2026</v>
      </c>
      <c r="AL950" s="2221">
        <f t="shared" si="669"/>
        <v>2027</v>
      </c>
      <c r="AM950" s="2221">
        <f t="shared" si="669"/>
        <v>2028</v>
      </c>
      <c r="AN950" s="2221">
        <f t="shared" si="669"/>
        <v>2029</v>
      </c>
      <c r="AO950" s="1804">
        <f t="shared" si="669"/>
        <v>2030</v>
      </c>
      <c r="AP950" s="1804">
        <f>+AO950+1</f>
        <v>2031</v>
      </c>
      <c r="AQ950" s="1804">
        <f>+AP950+1</f>
        <v>2032</v>
      </c>
      <c r="AR950" s="1804">
        <f>+AQ950+1</f>
        <v>2033</v>
      </c>
      <c r="AS950" s="1804">
        <f>+AR950+1</f>
        <v>2034</v>
      </c>
      <c r="AT950" s="1804">
        <f>+AS950+1</f>
        <v>2035</v>
      </c>
    </row>
    <row r="951" spans="1:47">
      <c r="A951" s="295"/>
      <c r="B951" s="1"/>
      <c r="D951" s="732" t="s">
        <v>1340</v>
      </c>
      <c r="E951" s="3064"/>
      <c r="F951" s="730"/>
      <c r="G951" s="730"/>
      <c r="H951" s="730"/>
      <c r="I951" s="730"/>
      <c r="J951" s="730"/>
      <c r="K951" s="730"/>
      <c r="L951" s="730"/>
      <c r="M951" s="730"/>
      <c r="N951" s="730"/>
      <c r="O951" s="730"/>
      <c r="P951" s="730"/>
      <c r="Q951" s="730"/>
      <c r="R951" s="730"/>
      <c r="S951" s="730"/>
      <c r="T951" s="730"/>
      <c r="U951" s="730"/>
      <c r="V951" s="730"/>
      <c r="W951" s="1288" t="str">
        <f>IF(ABS(1-W952-W953-W954-W955)&gt;0.1,"check","100%")</f>
        <v>100%</v>
      </c>
      <c r="X951" s="2222">
        <f>+AI846</f>
        <v>19918</v>
      </c>
      <c r="Y951" s="733">
        <f t="shared" ref="Y951:AD951" si="670">+Y846/Y833*100</f>
        <v>53.38722093918399</v>
      </c>
      <c r="Z951" s="733">
        <f t="shared" si="670"/>
        <v>53.747569383065233</v>
      </c>
      <c r="AA951" s="733">
        <f t="shared" si="670"/>
        <v>56.61703195583069</v>
      </c>
      <c r="AB951" s="1265">
        <f t="shared" si="670"/>
        <v>60.885196133258766</v>
      </c>
      <c r="AC951" s="733">
        <f t="shared" si="670"/>
        <v>61.425297553042071</v>
      </c>
      <c r="AD951" s="733">
        <f t="shared" si="670"/>
        <v>63.996752807468539</v>
      </c>
      <c r="AE951" s="733">
        <f>+AE846/AE833*100</f>
        <v>69.723746628220624</v>
      </c>
      <c r="AF951" s="733">
        <f>+AF846/AF833*100</f>
        <v>71.401065400166871</v>
      </c>
      <c r="AG951" s="733">
        <f>+AG846/AG833*100</f>
        <v>82.777160890655139</v>
      </c>
      <c r="AH951" s="733">
        <f>+AH846/AH833*100</f>
        <v>92.468776916451333</v>
      </c>
      <c r="AI951" s="2288">
        <f>+AI846/AI833*100</f>
        <v>100.00502083647136</v>
      </c>
      <c r="AJ951" s="3231">
        <f>+($W952*AJ952+$W953*AJ953+$W954*AJ954+$W955*AJ955)+AJ944</f>
        <v>106.19502375093374</v>
      </c>
      <c r="AK951" s="3231">
        <f>+($W952*AK952+$W953*AK953+$W954*AK954+$W955*AK955)+AK944</f>
        <v>116.33434606906879</v>
      </c>
      <c r="AL951" s="3231">
        <f>+($W952*AL952+$W953*AL953+$W954*AL954+$W955*AL955)+AL944</f>
        <v>120.63168037910386</v>
      </c>
      <c r="AM951" s="3231">
        <f t="shared" ref="AM951:AT951" si="671">+($W952*AM952+$W953*AM953+$W954*AM954+$W955*AM955)+AM944</f>
        <v>125.47396231546</v>
      </c>
      <c r="AN951" s="3231">
        <f t="shared" si="671"/>
        <v>131.75922621518984</v>
      </c>
      <c r="AO951" s="1822">
        <f t="shared" si="671"/>
        <v>138.37563169858066</v>
      </c>
      <c r="AP951" s="1822">
        <f t="shared" si="671"/>
        <v>144.56308170345034</v>
      </c>
      <c r="AQ951" s="1822">
        <f t="shared" si="671"/>
        <v>151.87409050989828</v>
      </c>
      <c r="AR951" s="1822">
        <f t="shared" si="671"/>
        <v>159.52888954874746</v>
      </c>
      <c r="AS951" s="1822">
        <f t="shared" si="671"/>
        <v>167.20212508170107</v>
      </c>
      <c r="AT951" s="1822">
        <f t="shared" si="671"/>
        <v>174.75914500648207</v>
      </c>
    </row>
    <row r="952" spans="1:47">
      <c r="A952" s="295"/>
      <c r="B952" s="1"/>
      <c r="D952" s="734" t="s">
        <v>306</v>
      </c>
      <c r="E952" s="3064"/>
      <c r="F952" s="730"/>
      <c r="G952" s="730"/>
      <c r="H952" s="730"/>
      <c r="I952" s="730"/>
      <c r="J952" s="730"/>
      <c r="K952" s="730"/>
      <c r="L952" s="730"/>
      <c r="M952" s="730"/>
      <c r="N952" s="730"/>
      <c r="O952" s="730"/>
      <c r="P952" s="730"/>
      <c r="Q952" s="730"/>
      <c r="R952" s="730"/>
      <c r="S952" s="730"/>
      <c r="T952" s="730"/>
      <c r="U952" s="730"/>
      <c r="V952" s="730"/>
      <c r="W952" s="1289">
        <f t="shared" ref="W952:W958" si="672">+X952/X$951</f>
        <v>0.20642685008534992</v>
      </c>
      <c r="X952" s="2223">
        <f>+AI847</f>
        <v>4111.6099999999997</v>
      </c>
      <c r="Y952" s="735">
        <f t="shared" ref="Y952:AD952" si="673">+Y797</f>
        <v>67.5</v>
      </c>
      <c r="Z952" s="735">
        <f t="shared" si="673"/>
        <v>66.25</v>
      </c>
      <c r="AA952" s="735">
        <f t="shared" si="673"/>
        <v>76</v>
      </c>
      <c r="AB952" s="1266">
        <f>+AB797</f>
        <v>80</v>
      </c>
      <c r="AC952" s="735">
        <f t="shared" si="673"/>
        <v>82.5</v>
      </c>
      <c r="AD952" s="735">
        <f t="shared" si="673"/>
        <v>79.75</v>
      </c>
      <c r="AE952" s="735">
        <f>+AE797</f>
        <v>78</v>
      </c>
      <c r="AF952" s="735">
        <f>+AF797</f>
        <v>88.25</v>
      </c>
      <c r="AG952" s="735">
        <f>+AG797</f>
        <v>80.75</v>
      </c>
      <c r="AH952" s="735">
        <f>+AH797</f>
        <v>89.5</v>
      </c>
      <c r="AI952" s="2230">
        <f>+AI797</f>
        <v>102.5</v>
      </c>
      <c r="AJ952" s="737">
        <f t="shared" ref="AJ952:AT952" si="674">+AI952*(1+AJ925)</f>
        <v>109.17132257970218</v>
      </c>
      <c r="AK952" s="737">
        <f t="shared" si="674"/>
        <v>117.07025495965249</v>
      </c>
      <c r="AL952" s="737">
        <f t="shared" si="674"/>
        <v>123.26264288322547</v>
      </c>
      <c r="AM952" s="737">
        <f t="shared" si="674"/>
        <v>128.41455368157864</v>
      </c>
      <c r="AN952" s="737">
        <f t="shared" si="674"/>
        <v>133.32208270835375</v>
      </c>
      <c r="AO952" s="735">
        <f t="shared" si="674"/>
        <v>138.32286782822078</v>
      </c>
      <c r="AP952" s="735">
        <f t="shared" si="674"/>
        <v>143.55406947174896</v>
      </c>
      <c r="AQ952" s="735">
        <f t="shared" si="674"/>
        <v>149.01237627980572</v>
      </c>
      <c r="AR952" s="735">
        <f t="shared" si="674"/>
        <v>154.69315691089798</v>
      </c>
      <c r="AS952" s="735">
        <f t="shared" si="674"/>
        <v>160.61636116000508</v>
      </c>
      <c r="AT952" s="735">
        <f t="shared" si="674"/>
        <v>166.79127223706985</v>
      </c>
    </row>
    <row r="953" spans="1:47">
      <c r="A953" s="295"/>
      <c r="B953" s="1"/>
      <c r="D953" s="734" t="s">
        <v>307</v>
      </c>
      <c r="E953" s="3064"/>
      <c r="F953" s="730"/>
      <c r="G953" s="730"/>
      <c r="H953" s="730"/>
      <c r="I953" s="730"/>
      <c r="J953" s="730"/>
      <c r="K953" s="730"/>
      <c r="L953" s="730"/>
      <c r="M953" s="730"/>
      <c r="N953" s="730"/>
      <c r="O953" s="730"/>
      <c r="P953" s="730"/>
      <c r="Q953" s="730"/>
      <c r="R953" s="730"/>
      <c r="S953" s="730"/>
      <c r="T953" s="730"/>
      <c r="U953" s="730"/>
      <c r="V953" s="730"/>
      <c r="W953" s="1289">
        <f t="shared" si="672"/>
        <v>0.70017846318753163</v>
      </c>
      <c r="X953" s="2223">
        <f>+AI857</f>
        <v>13946.154629769255</v>
      </c>
      <c r="Y953" s="736">
        <f t="shared" ref="Y953:AD953" si="675">+Y857/Y844*100</f>
        <v>49.984606525027836</v>
      </c>
      <c r="Z953" s="736">
        <f t="shared" si="675"/>
        <v>49.972742885283175</v>
      </c>
      <c r="AA953" s="736">
        <f t="shared" si="675"/>
        <v>52.43474175129883</v>
      </c>
      <c r="AB953" s="1267">
        <f t="shared" si="675"/>
        <v>56.062367644202247</v>
      </c>
      <c r="AC953" s="736">
        <f t="shared" si="675"/>
        <v>56.777200205640291</v>
      </c>
      <c r="AD953" s="736">
        <f t="shared" si="675"/>
        <v>60.168994722693306</v>
      </c>
      <c r="AE953" s="736">
        <f>+AE857/AE844*100</f>
        <v>66.250244497887309</v>
      </c>
      <c r="AF953" s="736">
        <f>+AF857/AF844*100</f>
        <v>70.203915858879128</v>
      </c>
      <c r="AG953" s="736">
        <f>+AG857/AG844*100</f>
        <v>82.811390070934038</v>
      </c>
      <c r="AH953" s="736">
        <f>+AH857/AH844*100</f>
        <v>92.050222585339242</v>
      </c>
      <c r="AI953" s="2231">
        <f>+AI857/AI844*100</f>
        <v>97.605060234220346</v>
      </c>
      <c r="AJ953" s="737">
        <f t="shared" ref="AJ953:AO954" si="676">+AI953*(1+AJ937)</f>
        <v>104.09940897975848</v>
      </c>
      <c r="AK953" s="737">
        <f t="shared" si="676"/>
        <v>114.86307859742521</v>
      </c>
      <c r="AL953" s="737">
        <f t="shared" si="676"/>
        <v>117.62799034196189</v>
      </c>
      <c r="AM953" s="737">
        <f t="shared" si="676"/>
        <v>121.82388424594015</v>
      </c>
      <c r="AN953" s="737">
        <f t="shared" si="676"/>
        <v>128.07229499303062</v>
      </c>
      <c r="AO953" s="735">
        <f t="shared" si="676"/>
        <v>134.83846869359445</v>
      </c>
      <c r="AP953" s="735">
        <f t="shared" ref="AP953:AT954" si="677">+AO953*(1+AP937)</f>
        <v>141.14125668014054</v>
      </c>
      <c r="AQ953" s="735">
        <f t="shared" si="677"/>
        <v>148.78946702244968</v>
      </c>
      <c r="AR953" s="735">
        <f t="shared" si="677"/>
        <v>157.0276860235407</v>
      </c>
      <c r="AS953" s="735">
        <f t="shared" si="677"/>
        <v>163.52753579979543</v>
      </c>
      <c r="AT953" s="735">
        <f t="shared" si="677"/>
        <v>167.39776761881282</v>
      </c>
      <c r="AU953" s="818"/>
    </row>
    <row r="954" spans="1:47">
      <c r="A954" s="295"/>
      <c r="B954" s="1"/>
      <c r="D954" s="734" t="s">
        <v>1432</v>
      </c>
      <c r="E954" s="3064"/>
      <c r="F954" s="730"/>
      <c r="G954" s="730"/>
      <c r="H954" s="730"/>
      <c r="I954" s="730"/>
      <c r="J954" s="730"/>
      <c r="K954" s="730"/>
      <c r="L954" s="730"/>
      <c r="M954" s="730"/>
      <c r="N954" s="730"/>
      <c r="O954" s="730"/>
      <c r="P954" s="730"/>
      <c r="Q954" s="730"/>
      <c r="R954" s="730"/>
      <c r="S954" s="730"/>
      <c r="T954" s="730"/>
      <c r="U954" s="730"/>
      <c r="V954" s="730"/>
      <c r="W954" s="1289">
        <f t="shared" si="672"/>
        <v>4.3941930426284997E-2</v>
      </c>
      <c r="X954" s="2223">
        <f>+AI852</f>
        <v>875.23537023074459</v>
      </c>
      <c r="Y954" s="736">
        <f t="shared" ref="Y954:AI954" si="678">+Y852/Y839*100</f>
        <v>66.688175012632215</v>
      </c>
      <c r="Z954" s="736">
        <f t="shared" si="678"/>
        <v>73.656796255515076</v>
      </c>
      <c r="AA954" s="736">
        <f t="shared" si="678"/>
        <v>75.349590973394669</v>
      </c>
      <c r="AB954" s="736">
        <f t="shared" si="678"/>
        <v>78.419397253027398</v>
      </c>
      <c r="AC954" s="736">
        <f t="shared" si="678"/>
        <v>77.741783774443178</v>
      </c>
      <c r="AD954" s="736">
        <f t="shared" si="678"/>
        <v>73.953755041964968</v>
      </c>
      <c r="AE954" s="736">
        <f t="shared" si="678"/>
        <v>94.464555810589488</v>
      </c>
      <c r="AF954" s="736">
        <f t="shared" si="678"/>
        <v>77.999839794871406</v>
      </c>
      <c r="AG954" s="736">
        <f t="shared" si="678"/>
        <v>86.431883692448537</v>
      </c>
      <c r="AH954" s="736">
        <f t="shared" si="678"/>
        <v>98.939818681462611</v>
      </c>
      <c r="AI954" s="2231">
        <f t="shared" si="678"/>
        <v>99.642667256240756</v>
      </c>
      <c r="AJ954" s="737">
        <f>+AI954*(1+AJ938)</f>
        <v>109.62486966197095</v>
      </c>
      <c r="AK954" s="737">
        <f t="shared" si="676"/>
        <v>119.49110793154834</v>
      </c>
      <c r="AL954" s="737">
        <f t="shared" si="676"/>
        <v>129.05039656607221</v>
      </c>
      <c r="AM954" s="737">
        <f t="shared" si="676"/>
        <v>139.37442829135799</v>
      </c>
      <c r="AN954" s="737">
        <f t="shared" si="676"/>
        <v>150.52438255466663</v>
      </c>
      <c r="AO954" s="735">
        <f t="shared" si="676"/>
        <v>162.56633315903997</v>
      </c>
      <c r="AP954" s="735">
        <f t="shared" si="677"/>
        <v>175.57163981176319</v>
      </c>
      <c r="AQ954" s="735">
        <f t="shared" si="677"/>
        <v>189.61737099670427</v>
      </c>
      <c r="AR954" s="735">
        <f t="shared" si="677"/>
        <v>204.78676067644062</v>
      </c>
      <c r="AS954" s="735">
        <f t="shared" si="677"/>
        <v>221.1697015305559</v>
      </c>
      <c r="AT954" s="735">
        <f t="shared" si="677"/>
        <v>230.01648959177814</v>
      </c>
      <c r="AU954" s="1088"/>
    </row>
    <row r="955" spans="1:47">
      <c r="A955" s="295"/>
      <c r="B955" s="1"/>
      <c r="D955" s="734" t="s">
        <v>308</v>
      </c>
      <c r="E955" s="3064"/>
      <c r="F955" s="730"/>
      <c r="G955" s="730"/>
      <c r="H955" s="730"/>
      <c r="I955" s="730"/>
      <c r="J955" s="730"/>
      <c r="K955" s="730"/>
      <c r="L955" s="730"/>
      <c r="M955" s="730"/>
      <c r="N955" s="730"/>
      <c r="O955" s="730"/>
      <c r="P955" s="730"/>
      <c r="Q955" s="730"/>
      <c r="R955" s="730"/>
      <c r="S955" s="730"/>
      <c r="T955" s="730"/>
      <c r="U955" s="730"/>
      <c r="V955" s="730"/>
      <c r="W955" s="1289">
        <f t="shared" si="672"/>
        <v>4.9452756300833414E-2</v>
      </c>
      <c r="X955" s="2223">
        <f>+AI853</f>
        <v>985</v>
      </c>
      <c r="Y955" s="737">
        <f t="shared" ref="Y955:AH955" si="679">+Y675</f>
        <v>84.25</v>
      </c>
      <c r="Z955" s="737">
        <f t="shared" si="679"/>
        <v>83.5</v>
      </c>
      <c r="AA955" s="737">
        <f t="shared" si="679"/>
        <v>88</v>
      </c>
      <c r="AB955" s="1268">
        <f t="shared" si="679"/>
        <v>98.75</v>
      </c>
      <c r="AC955" s="737">
        <f t="shared" si="679"/>
        <v>96</v>
      </c>
      <c r="AD955" s="737">
        <f t="shared" si="679"/>
        <v>95</v>
      </c>
      <c r="AE955" s="737">
        <f t="shared" si="679"/>
        <v>95.666666666666671</v>
      </c>
      <c r="AF955" s="737">
        <f t="shared" si="679"/>
        <v>70</v>
      </c>
      <c r="AG955" s="737">
        <f t="shared" si="679"/>
        <v>81.5</v>
      </c>
      <c r="AH955" s="737">
        <f t="shared" si="679"/>
        <v>95.5</v>
      </c>
      <c r="AI955" s="2232">
        <f>+AI675</f>
        <v>100.25</v>
      </c>
      <c r="AJ955" s="737">
        <f>+AI955*(AJ959/AI959)</f>
        <v>120.39448076626896</v>
      </c>
      <c r="AK955" s="737">
        <f t="shared" ref="AK955:AT955" si="680">+AJ955*(AK959/AJ959)</f>
        <v>131.28850207946539</v>
      </c>
      <c r="AL955" s="737">
        <f t="shared" si="680"/>
        <v>144.69673195020962</v>
      </c>
      <c r="AM955" s="737">
        <f t="shared" si="680"/>
        <v>166.68249918511646</v>
      </c>
      <c r="AN955" s="737">
        <f t="shared" si="680"/>
        <v>189.0728586938493</v>
      </c>
      <c r="AO955" s="735">
        <f t="shared" si="680"/>
        <v>207.62457497407451</v>
      </c>
      <c r="AP955" s="735">
        <f t="shared" si="680"/>
        <v>179.78052214692937</v>
      </c>
      <c r="AQ955" s="735">
        <f t="shared" si="680"/>
        <v>194.17727315515225</v>
      </c>
      <c r="AR955" s="735">
        <f t="shared" si="680"/>
        <v>205.24516183490411</v>
      </c>
      <c r="AS955" s="735">
        <f t="shared" si="680"/>
        <v>261.45182190481177</v>
      </c>
      <c r="AT955" s="735">
        <f t="shared" si="680"/>
        <v>380.42910464900626</v>
      </c>
    </row>
    <row r="956" spans="1:47">
      <c r="A956" s="295"/>
      <c r="B956" s="1"/>
      <c r="D956" s="734" t="s">
        <v>1564</v>
      </c>
      <c r="E956" s="3064"/>
      <c r="F956" s="730"/>
      <c r="G956" s="730"/>
      <c r="H956" s="730"/>
      <c r="I956" s="730"/>
      <c r="J956" s="730"/>
      <c r="K956" s="730"/>
      <c r="L956" s="730"/>
      <c r="M956" s="730"/>
      <c r="N956" s="730"/>
      <c r="O956" s="730"/>
      <c r="P956" s="730"/>
      <c r="Q956" s="730"/>
      <c r="R956" s="730"/>
      <c r="S956" s="730"/>
      <c r="T956" s="730"/>
      <c r="U956" s="730"/>
      <c r="V956" s="730"/>
      <c r="W956" s="1289">
        <f t="shared" si="672"/>
        <v>3.331694835150549E-2</v>
      </c>
      <c r="X956" s="2223">
        <f>+AH854</f>
        <v>663.60697726528633</v>
      </c>
      <c r="Y956" s="736">
        <f>+Z956/((1+Z937)*(1+Z940))</f>
        <v>79.685916170883445</v>
      </c>
      <c r="Z956" s="736">
        <f>+AA956/((1+AA937)*(1+AA940))</f>
        <v>91.85557435206546</v>
      </c>
      <c r="AA956" s="736">
        <f>+AB956/((1+AB937)*(1+AB940))</f>
        <v>97.692587294668755</v>
      </c>
      <c r="AB956" s="1267">
        <v>100</v>
      </c>
      <c r="AC956" s="736">
        <f t="shared" ref="AC956:AO956" si="681">+AB956*(1+AC937)*(1+AC940)</f>
        <v>104.79207783413803</v>
      </c>
      <c r="AD956" s="736">
        <f t="shared" si="681"/>
        <v>102.57301678870709</v>
      </c>
      <c r="AE956" s="736">
        <f t="shared" si="681"/>
        <v>117.07318303782198</v>
      </c>
      <c r="AF956" s="736">
        <f t="shared" si="681"/>
        <v>109.84825004050913</v>
      </c>
      <c r="AG956" s="736">
        <f t="shared" si="681"/>
        <v>102.63404183803426</v>
      </c>
      <c r="AH956" s="736">
        <f t="shared" si="681"/>
        <v>108.62796139119384</v>
      </c>
      <c r="AI956" s="2231">
        <f t="shared" si="681"/>
        <v>125.96437691781694</v>
      </c>
      <c r="AJ956" s="737">
        <f>+AI956*(1+AJ937)*(1+AJ940)</f>
        <v>163.70724957621772</v>
      </c>
      <c r="AK956" s="737">
        <f t="shared" si="681"/>
        <v>201.18078948049995</v>
      </c>
      <c r="AL956" s="737">
        <f t="shared" si="681"/>
        <v>212.57873961913836</v>
      </c>
      <c r="AM956" s="737">
        <f t="shared" si="681"/>
        <v>221.1276334578038</v>
      </c>
      <c r="AN956" s="737">
        <f t="shared" si="681"/>
        <v>231.56012294821042</v>
      </c>
      <c r="AO956" s="735">
        <f t="shared" si="681"/>
        <v>244.24943588072028</v>
      </c>
      <c r="AP956" s="735">
        <f>+AO956*(1+AP937)*(1+AP940)</f>
        <v>340.45408726897659</v>
      </c>
      <c r="AQ956" s="735">
        <f>+AP956*(1+AQ937)*(1+AQ940)</f>
        <v>355.67332782806426</v>
      </c>
      <c r="AR956" s="735">
        <f>+AQ956*(1+AR937)*(1+AR940)</f>
        <v>367.61238399487968</v>
      </c>
      <c r="AS956" s="735">
        <f>+AR956*(1+AS937)*(1+AS940)</f>
        <v>434.37377177906939</v>
      </c>
      <c r="AT956" s="735">
        <f>+AS956*(1+AT937)*(1+AT940)</f>
        <v>579.2753883889917</v>
      </c>
    </row>
    <row r="957" spans="1:47">
      <c r="A957" s="295"/>
      <c r="B957" s="1"/>
      <c r="D957" s="734" t="s">
        <v>1565</v>
      </c>
      <c r="E957" s="3064"/>
      <c r="F957" s="730"/>
      <c r="G957" s="730"/>
      <c r="H957" s="730"/>
      <c r="I957" s="730"/>
      <c r="J957" s="730"/>
      <c r="K957" s="730"/>
      <c r="L957" s="730"/>
      <c r="M957" s="730"/>
      <c r="N957" s="730"/>
      <c r="O957" s="730"/>
      <c r="P957" s="730"/>
      <c r="Q957" s="730"/>
      <c r="R957" s="730"/>
      <c r="S957" s="730"/>
      <c r="T957" s="730"/>
      <c r="U957" s="730"/>
      <c r="V957" s="730"/>
      <c r="W957" s="1289">
        <f t="shared" si="672"/>
        <v>3.3269531530336967E-2</v>
      </c>
      <c r="X957" s="2223">
        <f>+AI855</f>
        <v>662.66252902125177</v>
      </c>
      <c r="Y957" s="736">
        <f>+Z957/((1+Z926)*(1+Z928))</f>
        <v>102.12874089323601</v>
      </c>
      <c r="Z957" s="736">
        <f>+AA957/((1+AA926)*(1+AA928))</f>
        <v>97.840152735648061</v>
      </c>
      <c r="AA957" s="736">
        <f>+AB957/((1+AB926)*(1+AB928))</f>
        <v>104.33795558075606</v>
      </c>
      <c r="AB957" s="1267">
        <v>100</v>
      </c>
      <c r="AC957" s="736">
        <f t="shared" ref="AC957:AO957" si="682">+AB957*(1+AC926)*(1+AC928)</f>
        <v>108.04251127483955</v>
      </c>
      <c r="AD957" s="736">
        <f t="shared" si="682"/>
        <v>107.22098732730244</v>
      </c>
      <c r="AE957" s="736">
        <f t="shared" si="682"/>
        <v>106.38743238371869</v>
      </c>
      <c r="AF957" s="736">
        <f t="shared" si="682"/>
        <v>122.81981599972518</v>
      </c>
      <c r="AG957" s="736">
        <f t="shared" si="682"/>
        <v>156.55737520274579</v>
      </c>
      <c r="AH957" s="736">
        <f t="shared" si="682"/>
        <v>173.13437751278903</v>
      </c>
      <c r="AI957" s="2231">
        <f t="shared" si="682"/>
        <v>165.2674466643717</v>
      </c>
      <c r="AJ957" s="737">
        <f>+AI957*(1+AJ926)*(1+AJ928)</f>
        <v>169.66733091965031</v>
      </c>
      <c r="AK957" s="737">
        <f t="shared" si="682"/>
        <v>164.00351236140253</v>
      </c>
      <c r="AL957" s="737">
        <f t="shared" si="682"/>
        <v>178.73279612701583</v>
      </c>
      <c r="AM957" s="737">
        <f t="shared" si="682"/>
        <v>212.61848770252067</v>
      </c>
      <c r="AN957" s="737">
        <f t="shared" si="682"/>
        <v>247.86243725246183</v>
      </c>
      <c r="AO957" s="735">
        <f t="shared" si="682"/>
        <v>274.99460256405155</v>
      </c>
      <c r="AP957" s="735">
        <f>+AO957*(1+AP926)*(1+AP928)</f>
        <v>139.38306518752097</v>
      </c>
      <c r="AQ957" s="735">
        <f>+AP957*(1+AQ926)*(1+AQ928)</f>
        <v>158.04882102553992</v>
      </c>
      <c r="AR957" s="735">
        <f>+AQ957*(1+AR926)*(1+AR928)</f>
        <v>175.10066685316519</v>
      </c>
      <c r="AS957" s="735">
        <f>+AR957*(1+AS926)*(1+AS928)</f>
        <v>211.48791031534961</v>
      </c>
      <c r="AT957" s="735">
        <f>+AS957*(1+AT926)*(1+AT928)</f>
        <v>272.59235649877695</v>
      </c>
    </row>
    <row r="958" spans="1:47">
      <c r="A958" s="295"/>
      <c r="B958" s="1"/>
      <c r="D958" s="734" t="s">
        <v>317</v>
      </c>
      <c r="E958" s="3064"/>
      <c r="F958" s="730"/>
      <c r="G958" s="730"/>
      <c r="H958" s="730"/>
      <c r="I958" s="730"/>
      <c r="J958" s="730"/>
      <c r="K958" s="730"/>
      <c r="L958" s="730"/>
      <c r="M958" s="730"/>
      <c r="N958" s="730"/>
      <c r="O958" s="730"/>
      <c r="P958" s="730"/>
      <c r="Q958" s="730"/>
      <c r="R958" s="730"/>
      <c r="S958" s="730"/>
      <c r="T958" s="730"/>
      <c r="U958" s="730"/>
      <c r="V958" s="730"/>
      <c r="W958" s="1289">
        <f t="shared" si="672"/>
        <v>-2.7008672451559856E-2</v>
      </c>
      <c r="X958" s="2224">
        <f>+AI856</f>
        <v>-537.95873789016923</v>
      </c>
      <c r="Y958" s="736">
        <f>+Z958/((1+Z937)*(1+Z942))</f>
        <v>85.969123161269508</v>
      </c>
      <c r="Z958" s="736">
        <f>+AA958/((1+AA937)*(1+AA942))</f>
        <v>89.776020178949906</v>
      </c>
      <c r="AA958" s="736">
        <f>+AB958/((1+AB937)*(1+AB942))</f>
        <v>94.243010269007058</v>
      </c>
      <c r="AB958" s="1267">
        <v>100</v>
      </c>
      <c r="AC958" s="736">
        <f t="shared" ref="AC958:AO958" si="683">+AB958*(1+AC937)*(1+AC942)</f>
        <v>100.2699527282965</v>
      </c>
      <c r="AD958" s="736">
        <f t="shared" si="683"/>
        <v>102.76231947624238</v>
      </c>
      <c r="AE958" s="736">
        <f t="shared" si="683"/>
        <v>112.66327394392123</v>
      </c>
      <c r="AF958" s="736">
        <f t="shared" si="683"/>
        <v>109.76659700821236</v>
      </c>
      <c r="AG958" s="736">
        <f t="shared" si="683"/>
        <v>124.81308383871433</v>
      </c>
      <c r="AH958" s="736">
        <f t="shared" si="683"/>
        <v>144.79704396542652</v>
      </c>
      <c r="AI958" s="2231">
        <f t="shared" si="683"/>
        <v>149.94069039789088</v>
      </c>
      <c r="AJ958" s="737">
        <f>+AI958*(1+AJ937)*(1+AJ942)</f>
        <v>159.91729542486325</v>
      </c>
      <c r="AK958" s="737">
        <f t="shared" si="683"/>
        <v>176.45242229036478</v>
      </c>
      <c r="AL958" s="737">
        <f t="shared" si="683"/>
        <v>180.69987395803679</v>
      </c>
      <c r="AM958" s="737">
        <f t="shared" si="683"/>
        <v>187.14559744090829</v>
      </c>
      <c r="AN958" s="737">
        <f t="shared" si="683"/>
        <v>196.74439302650714</v>
      </c>
      <c r="AO958" s="735">
        <f t="shared" si="683"/>
        <v>207.1385749836727</v>
      </c>
      <c r="AP958" s="735">
        <f>+AO958*(1+AP937)*(1+AP942)</f>
        <v>216.82090477135438</v>
      </c>
      <c r="AQ958" s="735">
        <f>+AP958*(1+AQ937)*(1+AQ942)</f>
        <v>228.5700695818901</v>
      </c>
      <c r="AR958" s="735">
        <f>+AQ958*(1+AR937)*(1+AR942)</f>
        <v>241.22560446613096</v>
      </c>
      <c r="AS958" s="735">
        <f>+AR958*(1+AS937)*(1+AS942)</f>
        <v>251.21066016504156</v>
      </c>
      <c r="AT958" s="735">
        <f>+AS958*(1+AT937)*(1+AT942)</f>
        <v>257.15610223075834</v>
      </c>
    </row>
    <row r="959" spans="1:47" ht="13.5" customHeight="1">
      <c r="A959" s="295"/>
      <c r="B959" s="1"/>
      <c r="D959" s="734"/>
      <c r="E959" s="3064"/>
      <c r="F959" s="730"/>
      <c r="G959" s="730"/>
      <c r="H959" s="730"/>
      <c r="I959" s="730"/>
      <c r="J959" s="730"/>
      <c r="K959" s="730"/>
      <c r="L959" s="730"/>
      <c r="M959" s="730"/>
      <c r="N959" s="730"/>
      <c r="O959" s="730"/>
      <c r="P959" s="730"/>
      <c r="Q959" s="730"/>
      <c r="R959" s="730"/>
      <c r="S959" s="730"/>
      <c r="T959" s="730"/>
      <c r="U959" s="730"/>
      <c r="V959" s="730"/>
      <c r="W959" s="914"/>
      <c r="X959" s="916" t="str">
        <f>IF(ABS(X951-X952-X953-X954-X955&gt;0.1),"CHECK","")</f>
        <v/>
      </c>
      <c r="Y959" s="738"/>
      <c r="Z959" s="738"/>
      <c r="AA959" s="739"/>
      <c r="AB959" s="739"/>
      <c r="AC959" s="740"/>
      <c r="AD959" s="3232"/>
      <c r="AE959" s="3232"/>
      <c r="AF959" s="3232"/>
      <c r="AG959" s="2222">
        <f>+(AG956*$W956+AG957*$W957+AG958*$W958)/$W955</f>
        <v>106.30363797297741</v>
      </c>
      <c r="AH959" s="2222">
        <f t="shared" ref="AH959:AT959" si="684">+(AH956*$W956+AH957*$W957+AH958*$W958)/$W955</f>
        <v>110.57979953967217</v>
      </c>
      <c r="AI959" s="3233">
        <f t="shared" si="684"/>
        <v>114.1578467169595</v>
      </c>
      <c r="AJ959" s="2222">
        <f>+(AJ956*$W956+AJ957*$W957+AJ958*$W958)/$W955</f>
        <v>137.09700429809138</v>
      </c>
      <c r="AK959" s="2222">
        <f t="shared" si="684"/>
        <v>149.50237103328507</v>
      </c>
      <c r="AL959" s="2222">
        <f t="shared" si="684"/>
        <v>164.7707465976759</v>
      </c>
      <c r="AM959" s="2222">
        <f t="shared" si="684"/>
        <v>189.80663533540402</v>
      </c>
      <c r="AN959" s="2222">
        <f t="shared" si="684"/>
        <v>215.3032460958583</v>
      </c>
      <c r="AO959" s="1823">
        <f t="shared" si="684"/>
        <v>236.42867236473083</v>
      </c>
      <c r="AP959" s="1823">
        <f t="shared" si="684"/>
        <v>204.72176847824548</v>
      </c>
      <c r="AQ959" s="1823">
        <f t="shared" si="684"/>
        <v>221.11580433678853</v>
      </c>
      <c r="AR959" s="1823">
        <f t="shared" si="684"/>
        <v>233.71915934310758</v>
      </c>
      <c r="AS959" s="1823">
        <f t="shared" si="684"/>
        <v>297.72346143520502</v>
      </c>
      <c r="AT959" s="1823">
        <f t="shared" si="684"/>
        <v>433.20665750814379</v>
      </c>
    </row>
    <row r="960" spans="1:47" ht="14.5" customHeight="1">
      <c r="A960" s="295"/>
      <c r="B960" s="1"/>
      <c r="D960" s="734" t="s">
        <v>339</v>
      </c>
      <c r="E960" s="3064"/>
      <c r="F960" s="730"/>
      <c r="G960" s="730"/>
      <c r="H960" s="730"/>
      <c r="I960" s="730"/>
      <c r="J960" s="730"/>
      <c r="K960" s="730"/>
      <c r="L960" s="730"/>
      <c r="M960" s="730"/>
      <c r="N960" s="730"/>
      <c r="O960" s="730"/>
      <c r="P960" s="730"/>
      <c r="Q960" s="730"/>
      <c r="R960" s="730"/>
      <c r="S960" s="730"/>
      <c r="T960" s="730"/>
      <c r="U960" s="730"/>
      <c r="V960" s="730"/>
      <c r="W960" s="739"/>
      <c r="X960" s="916"/>
      <c r="Y960" s="741">
        <f t="shared" ref="Y960:AO960" si="685">+Y953</f>
        <v>49.984606525027836</v>
      </c>
      <c r="Z960" s="741">
        <f t="shared" si="685"/>
        <v>49.972742885283175</v>
      </c>
      <c r="AA960" s="741">
        <f t="shared" si="685"/>
        <v>52.43474175129883</v>
      </c>
      <c r="AB960" s="741">
        <f t="shared" si="685"/>
        <v>56.062367644202247</v>
      </c>
      <c r="AC960" s="741">
        <f t="shared" si="685"/>
        <v>56.777200205640291</v>
      </c>
      <c r="AD960" s="741">
        <f t="shared" si="685"/>
        <v>60.168994722693306</v>
      </c>
      <c r="AE960" s="741">
        <f t="shared" si="685"/>
        <v>66.250244497887309</v>
      </c>
      <c r="AF960" s="741">
        <f t="shared" si="685"/>
        <v>70.203915858879128</v>
      </c>
      <c r="AG960" s="741">
        <f t="shared" si="685"/>
        <v>82.811390070934038</v>
      </c>
      <c r="AH960" s="741">
        <f>+AH953</f>
        <v>92.050222585339242</v>
      </c>
      <c r="AI960" s="2233">
        <f>+AI953</f>
        <v>97.605060234220346</v>
      </c>
      <c r="AJ960" s="1824">
        <f t="shared" si="685"/>
        <v>104.09940897975848</v>
      </c>
      <c r="AK960" s="1824">
        <f t="shared" si="685"/>
        <v>114.86307859742521</v>
      </c>
      <c r="AL960" s="1824">
        <f t="shared" si="685"/>
        <v>117.62799034196189</v>
      </c>
      <c r="AM960" s="1824">
        <f t="shared" si="685"/>
        <v>121.82388424594015</v>
      </c>
      <c r="AN960" s="1824">
        <f t="shared" si="685"/>
        <v>128.07229499303062</v>
      </c>
      <c r="AO960" s="1824">
        <f t="shared" si="685"/>
        <v>134.83846869359445</v>
      </c>
      <c r="AP960" s="1824">
        <f>+AP953</f>
        <v>141.14125668014054</v>
      </c>
      <c r="AQ960" s="1824">
        <f>+AQ953</f>
        <v>148.78946702244968</v>
      </c>
      <c r="AR960" s="1824">
        <f>+AR953</f>
        <v>157.0276860235407</v>
      </c>
      <c r="AS960" s="1824">
        <f>+AS953</f>
        <v>163.52753579979543</v>
      </c>
      <c r="AT960" s="1824">
        <f>+AT953</f>
        <v>167.39776761881282</v>
      </c>
    </row>
    <row r="961" spans="1:46" ht="14.5" customHeight="1" thickBot="1">
      <c r="A961" s="295"/>
      <c r="B961" s="1"/>
      <c r="D961" s="734"/>
      <c r="E961" s="3064"/>
      <c r="F961" s="730"/>
      <c r="G961" s="730"/>
      <c r="H961" s="730"/>
      <c r="I961" s="730"/>
      <c r="J961" s="730"/>
      <c r="K961" s="730"/>
      <c r="L961" s="730"/>
      <c r="M961" s="730"/>
      <c r="N961" s="730"/>
      <c r="O961" s="730"/>
      <c r="P961" s="730"/>
      <c r="Q961" s="730"/>
      <c r="R961" s="730"/>
      <c r="S961" s="730"/>
      <c r="T961" s="730"/>
      <c r="U961" s="730"/>
      <c r="V961" s="730"/>
      <c r="W961" s="739"/>
      <c r="X961" s="916"/>
      <c r="Y961" s="742"/>
      <c r="Z961" s="739"/>
      <c r="AA961" s="739"/>
      <c r="AB961" s="739"/>
      <c r="AC961" s="740"/>
      <c r="AD961" s="3232"/>
      <c r="AE961" s="3232"/>
      <c r="AF961" s="3232"/>
      <c r="AG961" s="3234"/>
      <c r="AH961" s="3234"/>
      <c r="AI961" s="3234"/>
      <c r="AJ961" s="3232"/>
      <c r="AK961" s="3232"/>
      <c r="AL961" s="3232"/>
      <c r="AM961" s="3235"/>
      <c r="AN961" s="3235"/>
      <c r="AO961" s="1825"/>
      <c r="AP961" s="1825"/>
      <c r="AQ961" s="1825"/>
      <c r="AR961" s="1825"/>
      <c r="AS961" s="1825"/>
      <c r="AT961" s="1825"/>
    </row>
    <row r="962" spans="1:46" ht="17.5" thickTop="1" thickBot="1">
      <c r="A962" s="295"/>
      <c r="B962" s="1"/>
      <c r="D962" s="1116" t="s">
        <v>1629</v>
      </c>
      <c r="E962" s="3066"/>
      <c r="F962" s="743"/>
      <c r="G962" s="743"/>
      <c r="H962" s="743"/>
      <c r="I962" s="743"/>
      <c r="J962" s="743"/>
      <c r="K962" s="743"/>
      <c r="L962" s="743"/>
      <c r="M962" s="743"/>
      <c r="N962" s="743"/>
      <c r="O962" s="743"/>
      <c r="P962" s="743"/>
      <c r="Q962" s="743"/>
      <c r="R962" s="743"/>
      <c r="S962" s="743"/>
      <c r="T962" s="743"/>
      <c r="U962" s="743"/>
      <c r="V962" s="1115">
        <f>+V784/U784-1</f>
        <v>7.3863636363636465E-2</v>
      </c>
      <c r="W962" s="1115">
        <f>+W784/V784-1</f>
        <v>4.7619047619047672E-2</v>
      </c>
      <c r="X962" s="1115">
        <f>+X784/W784-1</f>
        <v>2.5252525252525304E-2</v>
      </c>
      <c r="Y962" s="1115">
        <f>+Y784/X784-1</f>
        <v>5.4187192118226646E-2</v>
      </c>
      <c r="Z962" s="1115">
        <f>+Z784/Y784-1</f>
        <v>4.6728971962617383E-3</v>
      </c>
      <c r="AA962" s="744">
        <f>+AA951/Z951-1</f>
        <v>5.338776442734483E-2</v>
      </c>
      <c r="AB962" s="744">
        <f>+AB951/AA951-1</f>
        <v>7.5386575911606357E-2</v>
      </c>
      <c r="AC962" s="744">
        <f>+AC951/AB951-1</f>
        <v>8.8708167844477881E-3</v>
      </c>
      <c r="AD962" s="744">
        <f>+AD951/AC951-1</f>
        <v>4.1863130613343236E-2</v>
      </c>
      <c r="AE962" s="744">
        <f t="shared" ref="AE962:AM962" si="686">+AE951/AD951-1</f>
        <v>8.948881887775606E-2</v>
      </c>
      <c r="AF962" s="744">
        <f t="shared" si="686"/>
        <v>2.4056635695296258E-2</v>
      </c>
      <c r="AG962" s="1408">
        <f t="shared" si="686"/>
        <v>0.15932669108970576</v>
      </c>
      <c r="AH962" s="1408">
        <f>+AH951/AG951-1</f>
        <v>0.11708079766831303</v>
      </c>
      <c r="AI962" s="2256">
        <f>+AI951/AH951-1</f>
        <v>8.1500417452577301E-2</v>
      </c>
      <c r="AJ962" s="744">
        <f>+AJ951/AI951-1</f>
        <v>6.1896921401419558E-2</v>
      </c>
      <c r="AK962" s="744">
        <f>+AK951/AJ951-1</f>
        <v>9.5478318663174466E-2</v>
      </c>
      <c r="AL962" s="744">
        <f>+AL951/AK951-1</f>
        <v>3.6939514900300452E-2</v>
      </c>
      <c r="AM962" s="744">
        <f t="shared" si="686"/>
        <v>4.0141046872086417E-2</v>
      </c>
      <c r="AN962" s="744">
        <f t="shared" ref="AN962:AT962" si="687">+AN951/AM951-1</f>
        <v>5.009217676515032E-2</v>
      </c>
      <c r="AO962" s="744">
        <f t="shared" si="687"/>
        <v>5.0215879930752383E-2</v>
      </c>
      <c r="AP962" s="744">
        <f t="shared" si="687"/>
        <v>4.4714881723883382E-2</v>
      </c>
      <c r="AQ962" s="744">
        <f t="shared" si="687"/>
        <v>5.0573138869890677E-2</v>
      </c>
      <c r="AR962" s="744">
        <f t="shared" si="687"/>
        <v>5.0402270809649874E-2</v>
      </c>
      <c r="AS962" s="744">
        <f t="shared" si="687"/>
        <v>4.8099347739826825E-2</v>
      </c>
      <c r="AT962" s="744">
        <f t="shared" si="687"/>
        <v>4.5196913143827455E-2</v>
      </c>
    </row>
    <row r="963" spans="1:46" ht="16.75" thickTop="1">
      <c r="A963" s="295"/>
      <c r="B963" s="1"/>
      <c r="D963" s="1117" t="s">
        <v>1630</v>
      </c>
      <c r="E963" s="3064"/>
      <c r="F963" s="730"/>
      <c r="G963" s="730"/>
      <c r="H963" s="730"/>
      <c r="I963" s="730"/>
      <c r="J963" s="730"/>
      <c r="K963" s="730"/>
      <c r="L963" s="730"/>
      <c r="M963" s="730"/>
      <c r="N963" s="730"/>
      <c r="O963" s="730"/>
      <c r="P963" s="730"/>
      <c r="Q963" s="730"/>
      <c r="R963" s="730"/>
      <c r="S963" s="730"/>
      <c r="T963" s="730"/>
      <c r="U963" s="730"/>
      <c r="V963" s="745" t="s">
        <v>1006</v>
      </c>
      <c r="W963" s="917"/>
      <c r="X963" s="1272" t="s">
        <v>261</v>
      </c>
      <c r="Y963" s="917"/>
      <c r="Z963" s="917">
        <f t="shared" ref="Z963:AG963" si="688">+Z965/Y965-1</f>
        <v>4.6728971962617383E-3</v>
      </c>
      <c r="AA963" s="918">
        <f t="shared" si="688"/>
        <v>5.5813953488372148E-2</v>
      </c>
      <c r="AB963" s="918">
        <f t="shared" si="688"/>
        <v>7.4889867841409608E-2</v>
      </c>
      <c r="AC963" s="745">
        <f t="shared" si="688"/>
        <v>8.1967213114753079E-3</v>
      </c>
      <c r="AD963" s="917">
        <f t="shared" si="688"/>
        <v>4.0650406504065151E-2</v>
      </c>
      <c r="AE963" s="917">
        <f t="shared" si="688"/>
        <v>7.421875E-2</v>
      </c>
      <c r="AF963" s="917">
        <f t="shared" si="688"/>
        <v>4.0000000000000036E-2</v>
      </c>
      <c r="AG963" s="917">
        <f t="shared" si="688"/>
        <v>0.15734265734265729</v>
      </c>
      <c r="AH963" s="3236">
        <f t="shared" ref="AH963:AO963" si="689">+AH965/AG965-1</f>
        <v>9.6492732950844928E-2</v>
      </c>
      <c r="AI963" s="3237">
        <f>+AI965/AH965-1</f>
        <v>8.5223083384895704E-2</v>
      </c>
      <c r="AJ963" s="1702">
        <f>+AJ965/AI965-1</f>
        <v>0.1434180531885314</v>
      </c>
      <c r="AK963" s="1702">
        <f t="shared" si="689"/>
        <v>9.7436952607327765E-2</v>
      </c>
      <c r="AL963" s="1702">
        <f t="shared" si="689"/>
        <v>3.5053864551179759E-2</v>
      </c>
      <c r="AM963" s="1702">
        <f t="shared" si="689"/>
        <v>4.2844719109798701E-2</v>
      </c>
      <c r="AN963" s="1702">
        <f t="shared" si="689"/>
        <v>5.2909764404628135E-2</v>
      </c>
      <c r="AO963" s="1702">
        <f t="shared" si="689"/>
        <v>5.2805289205121841E-2</v>
      </c>
      <c r="AP963" s="1702">
        <f>+AP965/AO965-1</f>
        <v>4.4209620889600787E-2</v>
      </c>
      <c r="AQ963" s="1702">
        <f>+AQ965/AP965-1</f>
        <v>5.2944716565946903E-2</v>
      </c>
      <c r="AR963" s="1702">
        <f>+AR965/AQ965-1</f>
        <v>5.2865496158394087E-2</v>
      </c>
      <c r="AS963" s="1702">
        <f>+AS965/AR965-1</f>
        <v>5.3650886139223086E-2</v>
      </c>
      <c r="AT963" s="1702">
        <f>+AT965/AS965-1</f>
        <v>5.2308034088818456E-2</v>
      </c>
    </row>
    <row r="964" spans="1:46" s="1384" customFormat="1">
      <c r="A964" s="2148"/>
      <c r="C964" s="2148"/>
      <c r="D964" s="2216" t="s">
        <v>1089</v>
      </c>
      <c r="E964" s="3065"/>
      <c r="F964" s="2959"/>
      <c r="G964" s="2217"/>
      <c r="H964" s="2217"/>
      <c r="I964" s="2217"/>
      <c r="J964" s="2217"/>
      <c r="K964" s="2217"/>
      <c r="L964" s="2217"/>
      <c r="M964" s="2217"/>
      <c r="N964" s="2217"/>
      <c r="O964" s="2217"/>
      <c r="P964" s="2217"/>
      <c r="Q964" s="2217"/>
      <c r="R964" s="2217"/>
      <c r="S964" s="2217"/>
      <c r="T964" s="2217"/>
      <c r="U964" s="2217"/>
      <c r="V964" s="2218" t="s">
        <v>1678</v>
      </c>
      <c r="W964" s="2219" t="s">
        <v>1678</v>
      </c>
      <c r="X964" s="2220">
        <v>2024</v>
      </c>
      <c r="Y964" s="2221">
        <v>2014</v>
      </c>
      <c r="Z964" s="2221">
        <f t="shared" ref="Z964:AG964" si="690">+Y964+1</f>
        <v>2015</v>
      </c>
      <c r="AA964" s="2221">
        <f t="shared" si="690"/>
        <v>2016</v>
      </c>
      <c r="AB964" s="2221">
        <v>2017</v>
      </c>
      <c r="AC964" s="1571">
        <f t="shared" si="690"/>
        <v>2018</v>
      </c>
      <c r="AD964" s="2221">
        <f t="shared" si="690"/>
        <v>2019</v>
      </c>
      <c r="AE964" s="2221">
        <f t="shared" si="690"/>
        <v>2020</v>
      </c>
      <c r="AF964" s="2221">
        <f t="shared" si="690"/>
        <v>2021</v>
      </c>
      <c r="AG964" s="2221">
        <f t="shared" si="690"/>
        <v>2022</v>
      </c>
      <c r="AH964" s="2221">
        <f t="shared" ref="AH964:AO964" si="691">+AG964+1</f>
        <v>2023</v>
      </c>
      <c r="AI964" s="3238">
        <f t="shared" si="691"/>
        <v>2024</v>
      </c>
      <c r="AJ964" s="2221">
        <f t="shared" si="691"/>
        <v>2025</v>
      </c>
      <c r="AK964" s="2221">
        <f t="shared" si="691"/>
        <v>2026</v>
      </c>
      <c r="AL964" s="2221">
        <f t="shared" si="691"/>
        <v>2027</v>
      </c>
      <c r="AM964" s="2221">
        <f t="shared" si="691"/>
        <v>2028</v>
      </c>
      <c r="AN964" s="2221">
        <f t="shared" si="691"/>
        <v>2029</v>
      </c>
      <c r="AO964" s="1804">
        <f t="shared" si="691"/>
        <v>2030</v>
      </c>
      <c r="AP964" s="1804">
        <f>+AO964+1</f>
        <v>2031</v>
      </c>
      <c r="AQ964" s="1804">
        <f>+AP964+1</f>
        <v>2032</v>
      </c>
      <c r="AR964" s="1804">
        <f>+AQ964+1</f>
        <v>2033</v>
      </c>
      <c r="AS964" s="1804">
        <f>+AR964+1</f>
        <v>2034</v>
      </c>
      <c r="AT964" s="1804">
        <f>+AS964+1</f>
        <v>2035</v>
      </c>
    </row>
    <row r="965" spans="1:46">
      <c r="A965" s="295"/>
      <c r="B965" s="1"/>
      <c r="D965" s="731" t="s">
        <v>995</v>
      </c>
      <c r="E965" s="3064"/>
      <c r="F965" s="730"/>
      <c r="G965" s="730"/>
      <c r="H965" s="730"/>
      <c r="I965" s="730"/>
      <c r="J965" s="730"/>
      <c r="K965" s="730"/>
      <c r="L965" s="730"/>
      <c r="M965" s="730"/>
      <c r="N965" s="730"/>
      <c r="O965" s="730"/>
      <c r="P965" s="730"/>
      <c r="Q965" s="730"/>
      <c r="R965" s="730"/>
      <c r="S965" s="730"/>
      <c r="T965" s="730"/>
      <c r="U965" s="730"/>
      <c r="V965" s="1288">
        <f>+AB873/AB$873</f>
        <v>1</v>
      </c>
      <c r="W965" s="1288">
        <f>+AI873/AI$873</f>
        <v>1</v>
      </c>
      <c r="X965" s="1285">
        <f>+$W966*X966+$W971*X971+$W975*X975+$W981*X981+$W982*X982-$W983*X983</f>
        <v>95.293547786397568</v>
      </c>
      <c r="Y965" s="1284">
        <f t="shared" ref="Y965:AD965" si="692">+Y784</f>
        <v>53.5</v>
      </c>
      <c r="Z965" s="1284">
        <f t="shared" si="692"/>
        <v>53.75</v>
      </c>
      <c r="AA965" s="1284">
        <f t="shared" si="692"/>
        <v>56.75</v>
      </c>
      <c r="AB965" s="1340">
        <f t="shared" si="692"/>
        <v>61</v>
      </c>
      <c r="AC965" s="1284">
        <f t="shared" si="692"/>
        <v>61.5</v>
      </c>
      <c r="AD965" s="1284">
        <f t="shared" si="692"/>
        <v>64</v>
      </c>
      <c r="AE965" s="1284">
        <f>+AE784</f>
        <v>68.75</v>
      </c>
      <c r="AF965" s="1284">
        <f>+AF784</f>
        <v>71.5</v>
      </c>
      <c r="AG965" s="1284">
        <f>+AG784</f>
        <v>82.75</v>
      </c>
      <c r="AH965" s="2289">
        <f>+AH873/AH859*100</f>
        <v>90.734773651682417</v>
      </c>
      <c r="AI965" s="2289">
        <f>+AI873/AI859*100</f>
        <v>98.467470832509392</v>
      </c>
      <c r="AJ965" s="1284">
        <f>+$W966*AJ966+$W971*AJ971+$W975*AJ975+$W981*AJ981+$W982*AJ982-$W983*AJ983</f>
        <v>112.58948380170638</v>
      </c>
      <c r="AK965" s="1284">
        <f>+$W966*AK966+$W971*AK971+$W975*AK975+$W981*AK981+$W982*AK982-$W983*AK983</f>
        <v>123.55985999897673</v>
      </c>
      <c r="AL965" s="1284">
        <f t="shared" ref="AL965:AO965" si="693">+$W966*AL966+$W971*AL971+$W975*AL975+$W981*AL981+$W982*AL982-$W983*AL983</f>
        <v>127.8911105953436</v>
      </c>
      <c r="AM965" s="1284">
        <f t="shared" si="693"/>
        <v>133.37056930544131</v>
      </c>
      <c r="AN965" s="1284">
        <f t="shared" si="693"/>
        <v>140.42717470590333</v>
      </c>
      <c r="AO965" s="1826">
        <f t="shared" si="693"/>
        <v>147.84247227850673</v>
      </c>
      <c r="AP965" s="1826">
        <f>+$W966*AP966+$W971*AP971+$W975*AP975+$W981*AP981+$W982*AP982-$W983*AP983</f>
        <v>154.37853192932084</v>
      </c>
      <c r="AQ965" s="1826">
        <f>+$W966*AQ966+$W971*AQ971+$W975*AQ975+$W981*AQ981+$W982*AQ982-$W983*AQ983</f>
        <v>162.55205954618572</v>
      </c>
      <c r="AR965" s="1826">
        <f>+$W966*AR966+$W971*AR971+$W975*AR975+$W981*AR981+$W982*AR982-$W983*AR983</f>
        <v>171.14545482566365</v>
      </c>
      <c r="AS965" s="1826">
        <f>+$W966*AS966+$W971*AS971+$W975*AS975+$W981*AS981+$W982*AS982-$W983*AS983</f>
        <v>180.32756013576088</v>
      </c>
      <c r="AT965" s="1826">
        <f>+$W966*AT966+$W971*AT971+$W975*AT975+$W981*AT981+$W982*AT982-$W983*AT983</f>
        <v>189.76014029849571</v>
      </c>
    </row>
    <row r="966" spans="1:46">
      <c r="A966" s="295"/>
      <c r="B966" s="1"/>
      <c r="D966" s="734" t="s">
        <v>277</v>
      </c>
      <c r="E966" s="3064"/>
      <c r="F966" s="730"/>
      <c r="G966" s="730"/>
      <c r="H966" s="730"/>
      <c r="I966" s="730"/>
      <c r="J966" s="730"/>
      <c r="K966" s="730"/>
      <c r="L966" s="730"/>
      <c r="M966" s="730"/>
      <c r="N966" s="730"/>
      <c r="O966" s="730"/>
      <c r="P966" s="730"/>
      <c r="Q966" s="730"/>
      <c r="R966" s="730"/>
      <c r="S966" s="730"/>
      <c r="T966" s="730"/>
      <c r="U966" s="730"/>
      <c r="V966" s="1289">
        <f>+AB874/AB$873</f>
        <v>0.15168613042907755</v>
      </c>
      <c r="W966" s="1289">
        <f>+AI874/AI$873</f>
        <v>0.17351139672657898</v>
      </c>
      <c r="X966" s="1273">
        <f>+$X967*AH967+$X969*AH969+$X970*AH970</f>
        <v>93.838802578532821</v>
      </c>
      <c r="Y966" s="746">
        <f t="shared" ref="Y966:AD966" si="694">+Y787</f>
        <v>53.5</v>
      </c>
      <c r="Z966" s="746">
        <f t="shared" si="694"/>
        <v>53.75</v>
      </c>
      <c r="AA966" s="746">
        <f t="shared" si="694"/>
        <v>59.75</v>
      </c>
      <c r="AB966" s="1341">
        <f t="shared" si="694"/>
        <v>62.5</v>
      </c>
      <c r="AC966" s="746">
        <f t="shared" si="694"/>
        <v>59.5</v>
      </c>
      <c r="AD966" s="746">
        <f t="shared" si="694"/>
        <v>61</v>
      </c>
      <c r="AE966" s="746">
        <f>+AE787</f>
        <v>63.75</v>
      </c>
      <c r="AF966" s="746">
        <f>+AF787</f>
        <v>74</v>
      </c>
      <c r="AG966" s="1407">
        <f>+AG787</f>
        <v>84.25</v>
      </c>
      <c r="AH966" s="1407">
        <f>+$X967*AH967+$X969*AH969+$X970*AH970</f>
        <v>93.838802578532821</v>
      </c>
      <c r="AI966" s="2258">
        <f>+$X967*AI967+$X969*AI969+$X970*AI970</f>
        <v>99.193857401821163</v>
      </c>
      <c r="AJ966" s="733">
        <f>+$X967*AJ967+$X969*AJ969+$X970*AJ970</f>
        <v>106.68523936912661</v>
      </c>
      <c r="AK966" s="733">
        <f t="shared" ref="AK966:AO966" si="695">+$X967*AK967+$X969*AK969+$X970*AK970</f>
        <v>116.03630190196672</v>
      </c>
      <c r="AL966" s="733">
        <f t="shared" si="695"/>
        <v>121.14562309480731</v>
      </c>
      <c r="AM966" s="733">
        <f t="shared" si="695"/>
        <v>127.42470076415813</v>
      </c>
      <c r="AN966" s="733">
        <f t="shared" si="695"/>
        <v>134.81942167854902</v>
      </c>
      <c r="AO966" s="1827">
        <f t="shared" si="695"/>
        <v>142.60012539288172</v>
      </c>
      <c r="AP966" s="1827">
        <f>+$X967*AP967+$X969*AP969+$X970*AP970</f>
        <v>150.33596660695909</v>
      </c>
      <c r="AQ966" s="1827">
        <f>+$X967*AQ967+$X969*AQ969+$X970*AQ970</f>
        <v>159.08668796716702</v>
      </c>
      <c r="AR966" s="1827">
        <f>+$X967*AR967+$X969*AR969+$X970*AR970</f>
        <v>168.37575057111931</v>
      </c>
      <c r="AS966" s="1827">
        <f>+$X967*AS967+$X969*AS969+$X970*AS970</f>
        <v>178.28993678670466</v>
      </c>
      <c r="AT966" s="1827">
        <f>+$X967*AT967+$X969*AT969+$X970*AT970</f>
        <v>186.63572132177777</v>
      </c>
    </row>
    <row r="967" spans="1:46">
      <c r="A967" s="295"/>
      <c r="B967" s="1"/>
      <c r="D967" s="734" t="s">
        <v>322</v>
      </c>
      <c r="E967" s="3064"/>
      <c r="F967" s="730"/>
      <c r="G967" s="730"/>
      <c r="H967" s="730"/>
      <c r="I967" s="730"/>
      <c r="J967" s="730"/>
      <c r="K967" s="730"/>
      <c r="L967" s="730"/>
      <c r="M967" s="730"/>
      <c r="N967" s="730"/>
      <c r="O967" s="730"/>
      <c r="P967" s="730"/>
      <c r="Q967" s="730"/>
      <c r="R967" s="730"/>
      <c r="S967" s="730"/>
      <c r="T967" s="730"/>
      <c r="U967" s="730"/>
      <c r="V967" s="1289">
        <f>+AB875/AB$873</f>
        <v>6.1003787172230373E-2</v>
      </c>
      <c r="W967" s="1289">
        <f>+AI875/AI$873</f>
        <v>4.3941930426284997E-2</v>
      </c>
      <c r="X967" s="1274">
        <f>+AI875/AI$874</f>
        <v>0.25325097518250711</v>
      </c>
      <c r="Y967" s="737">
        <f t="shared" ref="Y967:AD967" si="696">+Y954</f>
        <v>66.688175012632215</v>
      </c>
      <c r="Z967" s="737">
        <f t="shared" si="696"/>
        <v>73.656796255515076</v>
      </c>
      <c r="AA967" s="737">
        <f t="shared" si="696"/>
        <v>75.349590973394669</v>
      </c>
      <c r="AB967" s="1268">
        <f t="shared" si="696"/>
        <v>78.419397253027398</v>
      </c>
      <c r="AC967" s="737">
        <f t="shared" si="696"/>
        <v>77.741783774443178</v>
      </c>
      <c r="AD967" s="737">
        <f t="shared" si="696"/>
        <v>73.953755041964968</v>
      </c>
      <c r="AE967" s="737">
        <f>+AE954</f>
        <v>94.464555810589488</v>
      </c>
      <c r="AF967" s="737">
        <f>+AF954</f>
        <v>77.999839794871406</v>
      </c>
      <c r="AG967" s="737">
        <f>+AG954</f>
        <v>86.431883692448537</v>
      </c>
      <c r="AH967" s="737">
        <f>+AH954</f>
        <v>98.939818681462611</v>
      </c>
      <c r="AI967" s="2232">
        <f>+AI954</f>
        <v>99.642667256240756</v>
      </c>
      <c r="AJ967" s="737">
        <f>+AI967*(1+AJ938)</f>
        <v>109.62486966197095</v>
      </c>
      <c r="AK967" s="737">
        <f t="shared" ref="AK967:AO967" si="697">+AJ967*(1+AK938)</f>
        <v>119.49110793154834</v>
      </c>
      <c r="AL967" s="737">
        <f t="shared" si="697"/>
        <v>129.05039656607221</v>
      </c>
      <c r="AM967" s="737">
        <f t="shared" si="697"/>
        <v>139.37442829135799</v>
      </c>
      <c r="AN967" s="737">
        <f t="shared" si="697"/>
        <v>150.52438255466663</v>
      </c>
      <c r="AO967" s="735">
        <f t="shared" si="697"/>
        <v>162.56633315903997</v>
      </c>
      <c r="AP967" s="735">
        <f>+AO967*(1+AP938)</f>
        <v>175.57163981176319</v>
      </c>
      <c r="AQ967" s="735">
        <f>+AP967*(1+AQ938)</f>
        <v>189.61737099670427</v>
      </c>
      <c r="AR967" s="735">
        <f>+AQ967*(1+AR938)</f>
        <v>204.78676067644062</v>
      </c>
      <c r="AS967" s="735">
        <f>+AR967*(1+AS938)</f>
        <v>221.1697015305559</v>
      </c>
      <c r="AT967" s="735">
        <f>+AS967*(1+AT938)</f>
        <v>230.01648959177814</v>
      </c>
    </row>
    <row r="968" spans="1:46">
      <c r="A968" s="295"/>
      <c r="B968" s="1"/>
      <c r="D968" s="734" t="s">
        <v>332</v>
      </c>
      <c r="E968" s="3064"/>
      <c r="F968" s="730"/>
      <c r="G968" s="730"/>
      <c r="H968" s="730"/>
      <c r="I968" s="730"/>
      <c r="J968" s="730"/>
      <c r="K968" s="730"/>
      <c r="L968" s="730"/>
      <c r="M968" s="730"/>
      <c r="N968" s="730"/>
      <c r="O968" s="730"/>
      <c r="P968" s="730"/>
      <c r="Q968" s="730"/>
      <c r="R968" s="730"/>
      <c r="S968" s="730"/>
      <c r="T968" s="730"/>
      <c r="U968" s="730"/>
      <c r="V968" s="1289"/>
      <c r="W968" s="1289"/>
      <c r="X968" s="1275">
        <f>+X969+X970</f>
        <v>0.74674902481749295</v>
      </c>
      <c r="Y968" s="737">
        <f t="shared" ref="Y968:AI968" si="698">+($X969*Y969+$X970*Y970)/($X969+$X970)</f>
        <v>48.228217590610974</v>
      </c>
      <c r="Z968" s="737">
        <f t="shared" si="698"/>
        <v>47.559495739649137</v>
      </c>
      <c r="AA968" s="737">
        <f t="shared" si="698"/>
        <v>50.546245129082081</v>
      </c>
      <c r="AB968" s="1268">
        <f t="shared" si="698"/>
        <v>53.622817025790688</v>
      </c>
      <c r="AC968" s="737">
        <f t="shared" si="698"/>
        <v>51.193012881985752</v>
      </c>
      <c r="AD968" s="737">
        <f t="shared" si="698"/>
        <v>53.369255127062715</v>
      </c>
      <c r="AE968" s="737">
        <f t="shared" si="698"/>
        <v>58.179350458680183</v>
      </c>
      <c r="AF968" s="737">
        <f t="shared" si="698"/>
        <v>72.12508974076151</v>
      </c>
      <c r="AG968" s="737">
        <f t="shared" si="698"/>
        <v>83.453713044899061</v>
      </c>
      <c r="AH968" s="737">
        <f t="shared" si="698"/>
        <v>92.108854149334149</v>
      </c>
      <c r="AI968" s="2257">
        <f t="shared" si="698"/>
        <v>99.041648922766157</v>
      </c>
      <c r="AJ968" s="747">
        <f t="shared" ref="AJ968:AO968" si="699">+($X969*AJ969+$X970*AJ970)/($X969+$X970)</f>
        <v>105.6882990135355</v>
      </c>
      <c r="AK968" s="747">
        <f t="shared" si="699"/>
        <v>114.86464587433174</v>
      </c>
      <c r="AL968" s="747">
        <f t="shared" si="699"/>
        <v>118.46481398269107</v>
      </c>
      <c r="AM968" s="747">
        <f t="shared" si="699"/>
        <v>123.3720939995651</v>
      </c>
      <c r="AN968" s="747">
        <f t="shared" si="699"/>
        <v>129.4932725643242</v>
      </c>
      <c r="AO968" s="1828">
        <f t="shared" si="699"/>
        <v>135.82882550573163</v>
      </c>
      <c r="AP968" s="1828">
        <f>+($X969*AP969+$X970*AP970)/($X969+$X970)</f>
        <v>141.77759071880084</v>
      </c>
      <c r="AQ968" s="1828">
        <f>+($X969*AQ969+$X970*AQ970)/($X969+$X970)</f>
        <v>148.73257300584112</v>
      </c>
      <c r="AR968" s="1828">
        <f>+($X969*AR969+$X970*AR970)/($X969+$X970)</f>
        <v>156.02739321128692</v>
      </c>
      <c r="AS968" s="1828">
        <f>+($X969*AS969+$X970*AS970)/($X969+$X970)</f>
        <v>163.74777887812104</v>
      </c>
      <c r="AT968" s="1828">
        <f>+($X969*AT969+$X970*AT970)/($X969+$X970)</f>
        <v>171.92365407638832</v>
      </c>
    </row>
    <row r="969" spans="1:46">
      <c r="A969" s="295"/>
      <c r="B969" s="1"/>
      <c r="D969" s="734" t="s">
        <v>1012</v>
      </c>
      <c r="E969" s="3067" t="s">
        <v>1007</v>
      </c>
      <c r="F969" s="730"/>
      <c r="G969" s="730"/>
      <c r="H969" s="730"/>
      <c r="I969" s="730"/>
      <c r="J969" s="730"/>
      <c r="K969" s="730"/>
      <c r="L969" s="730"/>
      <c r="M969" s="730"/>
      <c r="N969" s="730"/>
      <c r="O969" s="730"/>
      <c r="P969" s="730"/>
      <c r="Q969" s="730"/>
      <c r="R969" s="730"/>
      <c r="S969" s="730"/>
      <c r="T969" s="730"/>
      <c r="U969" s="730"/>
      <c r="V969" s="1289">
        <f>+V966-V967-V970</f>
        <v>6.6651522293782683E-2</v>
      </c>
      <c r="W969" s="1289">
        <f>+W966-W967-W970</f>
        <v>9.1346473741707249E-2</v>
      </c>
      <c r="X969" s="1275">
        <f>1-X970-X967</f>
        <v>0.52758980048236914</v>
      </c>
      <c r="Y969" s="737">
        <f t="shared" ref="Y969:AD969" si="700">+Y960</f>
        <v>49.984606525027836</v>
      </c>
      <c r="Z969" s="737">
        <f t="shared" si="700"/>
        <v>49.972742885283175</v>
      </c>
      <c r="AA969" s="737">
        <f t="shared" si="700"/>
        <v>52.43474175129883</v>
      </c>
      <c r="AB969" s="1268">
        <f t="shared" si="700"/>
        <v>56.062367644202247</v>
      </c>
      <c r="AC969" s="737">
        <f t="shared" si="700"/>
        <v>56.777200205640291</v>
      </c>
      <c r="AD969" s="737">
        <f t="shared" si="700"/>
        <v>60.168994722693306</v>
      </c>
      <c r="AE969" s="737">
        <f>+AE960</f>
        <v>66.250244497887309</v>
      </c>
      <c r="AF969" s="737">
        <f>+AF960</f>
        <v>70.203915858879128</v>
      </c>
      <c r="AG969" s="737">
        <f>+AG960</f>
        <v>82.811390070934038</v>
      </c>
      <c r="AH969" s="737">
        <f>+AH960</f>
        <v>92.050222585339242</v>
      </c>
      <c r="AI969" s="2232">
        <f>+AI960</f>
        <v>97.605060234220346</v>
      </c>
      <c r="AJ969" s="737">
        <f>+AI969*(1+AJ$943)</f>
        <v>105.09313210414085</v>
      </c>
      <c r="AK969" s="737">
        <f t="shared" ref="AK969:AO969" si="701">+AJ969*(1+AK$943)</f>
        <v>116.65493464447832</v>
      </c>
      <c r="AL969" s="737">
        <f t="shared" si="701"/>
        <v>119.6848369869635</v>
      </c>
      <c r="AM969" s="737">
        <f t="shared" si="701"/>
        <v>123.98679483156145</v>
      </c>
      <c r="AN969" s="737">
        <f t="shared" si="701"/>
        <v>130.31536900997276</v>
      </c>
      <c r="AO969" s="735">
        <f t="shared" si="701"/>
        <v>137.21547204945435</v>
      </c>
      <c r="AP969" s="735">
        <f>+AO969*(1+AP$943)</f>
        <v>146.49895011151139</v>
      </c>
      <c r="AQ969" s="735">
        <f>+AP969*(1+AQ$943)</f>
        <v>154.32818803326705</v>
      </c>
      <c r="AR969" s="735">
        <f>+AQ969*(1+AR$943)</f>
        <v>162.61064863886659</v>
      </c>
      <c r="AS969" s="735">
        <f>+AR969*(1+AS$943)</f>
        <v>171.0860935947079</v>
      </c>
      <c r="AT969" s="735">
        <f>+AS969*(1+AT$943)</f>
        <v>179.6913807184238</v>
      </c>
    </row>
    <row r="970" spans="1:46">
      <c r="A970" s="295"/>
      <c r="B970" s="1"/>
      <c r="D970" s="734" t="s">
        <v>1013</v>
      </c>
      <c r="E970" s="3067" t="s">
        <v>1008</v>
      </c>
      <c r="F970" s="730"/>
      <c r="G970" s="730"/>
      <c r="H970" s="730"/>
      <c r="I970" s="730"/>
      <c r="J970" s="730"/>
      <c r="K970" s="730"/>
      <c r="L970" s="730"/>
      <c r="M970" s="730"/>
      <c r="N970" s="730"/>
      <c r="O970" s="730"/>
      <c r="P970" s="730"/>
      <c r="Q970" s="730"/>
      <c r="R970" s="730"/>
      <c r="S970" s="730"/>
      <c r="T970" s="730"/>
      <c r="U970" s="730"/>
      <c r="V970" s="1289">
        <f>AB894*AB876/AB873</f>
        <v>2.4030820963064504E-2</v>
      </c>
      <c r="W970" s="1289">
        <f>AI894*AI876/AI873</f>
        <v>3.822299255858673E-2</v>
      </c>
      <c r="X970" s="1275">
        <f>+AH894*AH876/AH874</f>
        <v>0.21915922433512383</v>
      </c>
      <c r="Y970" s="737">
        <f t="shared" ref="Y970:AD970" si="702">+Y984</f>
        <v>44</v>
      </c>
      <c r="Z970" s="737">
        <f t="shared" si="702"/>
        <v>41.75</v>
      </c>
      <c r="AA970" s="737">
        <f t="shared" si="702"/>
        <v>46</v>
      </c>
      <c r="AB970" s="1268">
        <f t="shared" si="702"/>
        <v>47.75</v>
      </c>
      <c r="AC970" s="737">
        <f t="shared" si="702"/>
        <v>37.75</v>
      </c>
      <c r="AD970" s="737">
        <f t="shared" si="702"/>
        <v>37</v>
      </c>
      <c r="AE970" s="737">
        <f>+AE984</f>
        <v>38.75</v>
      </c>
      <c r="AF970" s="737">
        <f>+AF984</f>
        <v>76.75</v>
      </c>
      <c r="AG970" s="737">
        <f>+AG984</f>
        <v>85</v>
      </c>
      <c r="AH970" s="737">
        <f>+AH984</f>
        <v>92.25</v>
      </c>
      <c r="AI970" s="2232">
        <f>+AI984</f>
        <v>102.5</v>
      </c>
      <c r="AJ970" s="737">
        <f t="shared" ref="AJ970:AO970" si="703">+AI970*(1+AJ$929)</f>
        <v>107.12106549614118</v>
      </c>
      <c r="AK970" s="737">
        <f t="shared" si="703"/>
        <v>110.55482000269453</v>
      </c>
      <c r="AL970" s="737">
        <f t="shared" si="703"/>
        <v>115.52780918464644</v>
      </c>
      <c r="AM970" s="737">
        <f t="shared" si="703"/>
        <v>121.89230280988012</v>
      </c>
      <c r="AN970" s="737">
        <f t="shared" si="703"/>
        <v>127.51421053281348</v>
      </c>
      <c r="AO970" s="735">
        <f t="shared" si="703"/>
        <v>132.49070193114022</v>
      </c>
      <c r="AP970" s="735">
        <f>+AO970*(1+AP$929)</f>
        <v>130.41169422248572</v>
      </c>
      <c r="AQ970" s="735">
        <f>+AP970*(1+AQ$929)</f>
        <v>135.26204980586155</v>
      </c>
      <c r="AR970" s="735">
        <f>+AQ970*(1+AR$929)</f>
        <v>140.17928812650996</v>
      </c>
      <c r="AS970" s="735">
        <f>+AR970*(1+AS$929)</f>
        <v>146.08199269482682</v>
      </c>
      <c r="AT970" s="735">
        <f>+AS970*(1+AT$929)</f>
        <v>153.22412928245845</v>
      </c>
    </row>
    <row r="971" spans="1:46">
      <c r="A971" s="295"/>
      <c r="B971" s="1"/>
      <c r="D971" s="734" t="s">
        <v>199</v>
      </c>
      <c r="E971" s="3064"/>
      <c r="F971" s="730"/>
      <c r="G971" s="730"/>
      <c r="H971" s="730"/>
      <c r="I971" s="730"/>
      <c r="J971" s="730"/>
      <c r="K971" s="730"/>
      <c r="L971" s="730"/>
      <c r="M971" s="730"/>
      <c r="N971" s="730"/>
      <c r="O971" s="730"/>
      <c r="P971" s="730"/>
      <c r="Q971" s="730"/>
      <c r="R971" s="730"/>
      <c r="S971" s="730"/>
      <c r="T971" s="730"/>
      <c r="U971" s="730"/>
      <c r="V971" s="1289">
        <f>+AB877/AB$873</f>
        <v>0.73481170450072164</v>
      </c>
      <c r="W971" s="1289">
        <f>+AI877/AI$873</f>
        <v>0.65784717341098509</v>
      </c>
      <c r="X971" s="1273">
        <f>+$X972*AH972+$X973*AH973</f>
        <v>92.098149187116363</v>
      </c>
      <c r="Y971" s="737">
        <f t="shared" ref="Y971:AI971" si="704">+Y788</f>
        <v>47.5</v>
      </c>
      <c r="Z971" s="737">
        <f t="shared" si="704"/>
        <v>46.25</v>
      </c>
      <c r="AA971" s="737">
        <f t="shared" si="704"/>
        <v>47.75</v>
      </c>
      <c r="AB971" s="1268">
        <f t="shared" si="704"/>
        <v>53.5</v>
      </c>
      <c r="AC971" s="737">
        <f t="shared" si="704"/>
        <v>53.75</v>
      </c>
      <c r="AD971" s="737">
        <f t="shared" si="704"/>
        <v>55.75</v>
      </c>
      <c r="AE971" s="737">
        <f t="shared" si="704"/>
        <v>60.5</v>
      </c>
      <c r="AF971" s="737">
        <f t="shared" si="704"/>
        <v>66.75</v>
      </c>
      <c r="AG971" s="737">
        <f t="shared" si="704"/>
        <v>79.5</v>
      </c>
      <c r="AH971" s="737">
        <f t="shared" si="704"/>
        <v>91.25</v>
      </c>
      <c r="AI971" s="2232">
        <f t="shared" si="704"/>
        <v>102.25</v>
      </c>
      <c r="AJ971" s="737">
        <f t="shared" ref="AJ971:AO971" si="705">+AI971*(AJ974/AI974)</f>
        <v>109.28920691108419</v>
      </c>
      <c r="AK971" s="737">
        <f t="shared" si="705"/>
        <v>119.23880728573732</v>
      </c>
      <c r="AL971" s="737">
        <f t="shared" si="705"/>
        <v>122.85769093657643</v>
      </c>
      <c r="AM971" s="737">
        <f t="shared" si="705"/>
        <v>127.82298679078598</v>
      </c>
      <c r="AN971" s="737">
        <f t="shared" si="705"/>
        <v>134.19843166389094</v>
      </c>
      <c r="AO971" s="735">
        <f t="shared" si="705"/>
        <v>140.8632835095444</v>
      </c>
      <c r="AP971" s="735">
        <f>+AO971*(AP974/AO974)</f>
        <v>147.65130519416712</v>
      </c>
      <c r="AQ971" s="735">
        <f>+AP971*(AQ974/AP974)</f>
        <v>155.01588309135261</v>
      </c>
      <c r="AR971" s="735">
        <f>+AQ971*(AR974/AQ974)</f>
        <v>162.75366839590492</v>
      </c>
      <c r="AS971" s="735">
        <f>+AR971*(AS974/AR974)</f>
        <v>170.88801482336069</v>
      </c>
      <c r="AT971" s="735">
        <f>+AS971*(AT974/AS974)</f>
        <v>179.43230875995843</v>
      </c>
    </row>
    <row r="972" spans="1:46">
      <c r="A972" s="295"/>
      <c r="B972" s="1"/>
      <c r="D972" s="734" t="s">
        <v>1014</v>
      </c>
      <c r="E972" s="3064"/>
      <c r="F972" s="730"/>
      <c r="G972" s="730"/>
      <c r="H972" s="730"/>
      <c r="I972" s="730"/>
      <c r="J972" s="730"/>
      <c r="K972" s="730"/>
      <c r="L972" s="730"/>
      <c r="M972" s="730"/>
      <c r="N972" s="730"/>
      <c r="O972" s="730"/>
      <c r="P972" s="730"/>
      <c r="Q972" s="730"/>
      <c r="R972" s="730"/>
      <c r="S972" s="730"/>
      <c r="T972" s="730"/>
      <c r="U972" s="730"/>
      <c r="V972" s="1290"/>
      <c r="W972" s="1290"/>
      <c r="X972" s="1274">
        <f>1-X973</f>
        <v>0.7601</v>
      </c>
      <c r="Y972" s="737">
        <f t="shared" ref="Y972:AI972" si="706">+Y960</f>
        <v>49.984606525027836</v>
      </c>
      <c r="Z972" s="737">
        <f t="shared" si="706"/>
        <v>49.972742885283175</v>
      </c>
      <c r="AA972" s="737">
        <f t="shared" si="706"/>
        <v>52.43474175129883</v>
      </c>
      <c r="AB972" s="1268">
        <f t="shared" si="706"/>
        <v>56.062367644202247</v>
      </c>
      <c r="AC972" s="737">
        <f t="shared" si="706"/>
        <v>56.777200205640291</v>
      </c>
      <c r="AD972" s="737">
        <f t="shared" si="706"/>
        <v>60.168994722693306</v>
      </c>
      <c r="AE972" s="737">
        <f t="shared" si="706"/>
        <v>66.250244497887309</v>
      </c>
      <c r="AF972" s="737">
        <f t="shared" si="706"/>
        <v>70.203915858879128</v>
      </c>
      <c r="AG972" s="737">
        <f t="shared" si="706"/>
        <v>82.811390070934038</v>
      </c>
      <c r="AH972" s="737">
        <f t="shared" si="706"/>
        <v>92.050222585339242</v>
      </c>
      <c r="AI972" s="2232">
        <f t="shared" si="706"/>
        <v>97.605060234220346</v>
      </c>
      <c r="AJ972" s="737">
        <f t="shared" ref="AJ972:AO972" si="707">+AI972*(1+AJ$943)</f>
        <v>105.09313210414085</v>
      </c>
      <c r="AK972" s="737">
        <f t="shared" si="707"/>
        <v>116.65493464447832</v>
      </c>
      <c r="AL972" s="737">
        <f t="shared" si="707"/>
        <v>119.6848369869635</v>
      </c>
      <c r="AM972" s="737">
        <f t="shared" si="707"/>
        <v>123.98679483156145</v>
      </c>
      <c r="AN972" s="737">
        <f t="shared" si="707"/>
        <v>130.31536900997276</v>
      </c>
      <c r="AO972" s="735">
        <f t="shared" si="707"/>
        <v>137.21547204945435</v>
      </c>
      <c r="AP972" s="735">
        <f>+AO972*(1+AP$943)</f>
        <v>146.49895011151139</v>
      </c>
      <c r="AQ972" s="735">
        <f>+AP972*(1+AQ$943)</f>
        <v>154.32818803326705</v>
      </c>
      <c r="AR972" s="735">
        <f>+AQ972*(1+AR$943)</f>
        <v>162.61064863886659</v>
      </c>
      <c r="AS972" s="735">
        <f>+AR972*(1+AS$943)</f>
        <v>171.0860935947079</v>
      </c>
      <c r="AT972" s="735">
        <f>+AS972*(1+AT$943)</f>
        <v>179.6913807184238</v>
      </c>
    </row>
    <row r="973" spans="1:46">
      <c r="A973" s="295"/>
      <c r="B973" s="1"/>
      <c r="D973" s="734" t="s">
        <v>1015</v>
      </c>
      <c r="E973" s="3064"/>
      <c r="F973" s="730"/>
      <c r="G973" s="730"/>
      <c r="H973" s="730"/>
      <c r="I973" s="730"/>
      <c r="J973" s="730"/>
      <c r="K973" s="730"/>
      <c r="L973" s="730"/>
      <c r="M973" s="730"/>
      <c r="N973" s="730"/>
      <c r="O973" s="730"/>
      <c r="P973" s="730"/>
      <c r="Q973" s="730"/>
      <c r="R973" s="730"/>
      <c r="S973" s="730"/>
      <c r="T973" s="730"/>
      <c r="U973" s="730"/>
      <c r="V973" s="1289"/>
      <c r="W973" s="1289"/>
      <c r="X973" s="1274">
        <f>+AI907</f>
        <v>0.23990000000000003</v>
      </c>
      <c r="Y973" s="737">
        <f t="shared" ref="Y973:AD973" si="708">+Y984</f>
        <v>44</v>
      </c>
      <c r="Z973" s="737">
        <f t="shared" si="708"/>
        <v>41.75</v>
      </c>
      <c r="AA973" s="737">
        <f t="shared" si="708"/>
        <v>46</v>
      </c>
      <c r="AB973" s="1268">
        <f t="shared" si="708"/>
        <v>47.75</v>
      </c>
      <c r="AC973" s="737">
        <f t="shared" si="708"/>
        <v>37.75</v>
      </c>
      <c r="AD973" s="737">
        <f t="shared" si="708"/>
        <v>37</v>
      </c>
      <c r="AE973" s="737">
        <f>+AE984</f>
        <v>38.75</v>
      </c>
      <c r="AF973" s="737">
        <f>+AF984</f>
        <v>76.75</v>
      </c>
      <c r="AG973" s="737">
        <f>+AG984</f>
        <v>85</v>
      </c>
      <c r="AH973" s="737">
        <f>+AH984</f>
        <v>92.25</v>
      </c>
      <c r="AI973" s="2232">
        <f>+AI984</f>
        <v>102.5</v>
      </c>
      <c r="AJ973" s="737">
        <f t="shared" ref="AJ973:AO973" si="709">+AI973*(1+AJ$929)</f>
        <v>107.12106549614118</v>
      </c>
      <c r="AK973" s="737">
        <f t="shared" si="709"/>
        <v>110.55482000269453</v>
      </c>
      <c r="AL973" s="737">
        <f t="shared" si="709"/>
        <v>115.52780918464644</v>
      </c>
      <c r="AM973" s="737">
        <f t="shared" si="709"/>
        <v>121.89230280988012</v>
      </c>
      <c r="AN973" s="737">
        <f t="shared" si="709"/>
        <v>127.51421053281348</v>
      </c>
      <c r="AO973" s="735">
        <f t="shared" si="709"/>
        <v>132.49070193114022</v>
      </c>
      <c r="AP973" s="735">
        <f>+AO973*(1+AP$929)</f>
        <v>130.41169422248572</v>
      </c>
      <c r="AQ973" s="735">
        <f>+AP973*(1+AQ$929)</f>
        <v>135.26204980586155</v>
      </c>
      <c r="AR973" s="735">
        <f>+AQ973*(1+AR$929)</f>
        <v>140.17928812650996</v>
      </c>
      <c r="AS973" s="735">
        <f>+AR973*(1+AS$929)</f>
        <v>146.08199269482682</v>
      </c>
      <c r="AT973" s="735">
        <f>+AS973*(1+AT$929)</f>
        <v>153.22412928245845</v>
      </c>
    </row>
    <row r="974" spans="1:46">
      <c r="A974" s="295"/>
      <c r="B974" s="1"/>
      <c r="D974" s="1282" t="s">
        <v>999</v>
      </c>
      <c r="E974" s="3064"/>
      <c r="F974" s="730"/>
      <c r="G974" s="730"/>
      <c r="H974" s="730"/>
      <c r="I974" s="730"/>
      <c r="J974" s="730"/>
      <c r="K974" s="730"/>
      <c r="L974" s="730"/>
      <c r="M974" s="730"/>
      <c r="N974" s="730"/>
      <c r="O974" s="730"/>
      <c r="P974" s="730"/>
      <c r="Q974" s="730"/>
      <c r="R974" s="730"/>
      <c r="S974" s="730"/>
      <c r="T974" s="730"/>
      <c r="U974" s="730"/>
      <c r="V974" s="1289"/>
      <c r="W974" s="1289"/>
      <c r="X974" s="1274"/>
      <c r="Y974" s="1271">
        <f t="shared" ref="Y974:AH974" si="710">+$X972*Y972+$X973*Y973</f>
        <v>48.54889941967366</v>
      </c>
      <c r="Z974" s="1271">
        <f t="shared" si="710"/>
        <v>48.000106867103739</v>
      </c>
      <c r="AA974" s="1271">
        <f t="shared" si="710"/>
        <v>50.891047205162245</v>
      </c>
      <c r="AB974" s="1271">
        <f t="shared" si="710"/>
        <v>54.068230646358131</v>
      </c>
      <c r="AC974" s="1271">
        <f t="shared" si="710"/>
        <v>52.212574876307187</v>
      </c>
      <c r="AD974" s="2222">
        <f t="shared" si="710"/>
        <v>54.610752888719183</v>
      </c>
      <c r="AE974" s="2222">
        <f t="shared" si="710"/>
        <v>59.652935842844144</v>
      </c>
      <c r="AF974" s="2222">
        <f t="shared" si="710"/>
        <v>71.774321444334021</v>
      </c>
      <c r="AG974" s="2222">
        <f t="shared" si="710"/>
        <v>83.336437592916965</v>
      </c>
      <c r="AH974" s="2222">
        <f t="shared" si="710"/>
        <v>92.098149187116363</v>
      </c>
      <c r="AI974" s="3233">
        <f t="shared" ref="AI974:AO974" si="711">+$X972*AI972+$X973*AI973</f>
        <v>98.779356284030882</v>
      </c>
      <c r="AJ974" s="2222">
        <f t="shared" si="711"/>
        <v>105.57963332488173</v>
      </c>
      <c r="AK974" s="2222">
        <f t="shared" si="711"/>
        <v>115.19151714191439</v>
      </c>
      <c r="AL974" s="2222">
        <f t="shared" si="711"/>
        <v>118.68756601718763</v>
      </c>
      <c r="AM974" s="2222">
        <f t="shared" si="711"/>
        <v>123.4843261955601</v>
      </c>
      <c r="AN974" s="2222">
        <f t="shared" si="711"/>
        <v>129.64337109130224</v>
      </c>
      <c r="AO974" s="1823">
        <f t="shared" si="711"/>
        <v>136.0819996980708</v>
      </c>
      <c r="AP974" s="1823">
        <f>+$X972*AP972+$X973*AP973</f>
        <v>142.63961742373414</v>
      </c>
      <c r="AQ974" s="1823">
        <f>+$X972*AQ972+$X973*AQ973</f>
        <v>149.75422147251248</v>
      </c>
      <c r="AR974" s="1823">
        <f>+$X972*AR972+$X973*AR973</f>
        <v>157.22936525195223</v>
      </c>
      <c r="AS974" s="1823">
        <f>+$X972*AS972+$X973*AS973</f>
        <v>165.08760978882643</v>
      </c>
      <c r="AT974" s="1823">
        <f>+$X972*AT972+$X973*AT973</f>
        <v>173.3418870989357</v>
      </c>
    </row>
    <row r="975" spans="1:46">
      <c r="A975" s="295"/>
      <c r="B975" s="1"/>
      <c r="D975" s="734" t="s">
        <v>278</v>
      </c>
      <c r="E975" s="3064"/>
      <c r="F975" s="730"/>
      <c r="G975" s="730"/>
      <c r="H975" s="730"/>
      <c r="I975" s="730"/>
      <c r="J975" s="730"/>
      <c r="K975" s="730"/>
      <c r="L975" s="730"/>
      <c r="M975" s="730"/>
      <c r="N975" s="730"/>
      <c r="O975" s="730"/>
      <c r="P975" s="730"/>
      <c r="Q975" s="730"/>
      <c r="R975" s="730"/>
      <c r="S975" s="730"/>
      <c r="T975" s="730"/>
      <c r="U975" s="730"/>
      <c r="V975" s="1289">
        <f>+AB878/AB$873</f>
        <v>0.24091326597559376</v>
      </c>
      <c r="W975" s="1289">
        <f>+AI878/AI$873</f>
        <v>0.3582186966562908</v>
      </c>
      <c r="X975" s="1273">
        <f>+$X976*AI976+$X977*AH977</f>
        <v>94.762149165980617</v>
      </c>
      <c r="Y975" s="733">
        <f t="shared" ref="Y975:AI975" si="712">+Y791</f>
        <v>45.696291112666202</v>
      </c>
      <c r="Z975" s="733">
        <f t="shared" si="712"/>
        <v>44.256455921638462</v>
      </c>
      <c r="AA975" s="733">
        <f t="shared" si="712"/>
        <v>48.508891928864564</v>
      </c>
      <c r="AB975" s="1265">
        <f t="shared" si="712"/>
        <v>52.011331444759215</v>
      </c>
      <c r="AC975" s="733">
        <f t="shared" si="712"/>
        <v>40.439978272677891</v>
      </c>
      <c r="AD975" s="733">
        <f t="shared" si="712"/>
        <v>42.439933719966859</v>
      </c>
      <c r="AE975" s="733">
        <f t="shared" si="712"/>
        <v>42.925316153662614</v>
      </c>
      <c r="AF975" s="733">
        <f t="shared" si="712"/>
        <v>79.07723169508526</v>
      </c>
      <c r="AG975" s="733">
        <f t="shared" si="712"/>
        <v>92.144702842377257</v>
      </c>
      <c r="AH975" s="733">
        <f t="shared" si="712"/>
        <v>95.810866860223982</v>
      </c>
      <c r="AI975" s="2258">
        <f t="shared" si="712"/>
        <v>102.24992834623102</v>
      </c>
      <c r="AJ975" s="733">
        <f t="shared" ref="AJ975:AO975" si="713">+$X976*AJ976+$X977*AJ977</f>
        <v>106.16972770411735</v>
      </c>
      <c r="AK975" s="733">
        <f t="shared" si="713"/>
        <v>113.4164867701038</v>
      </c>
      <c r="AL975" s="733">
        <f t="shared" si="713"/>
        <v>117.47794111029964</v>
      </c>
      <c r="AM975" s="733">
        <f t="shared" si="713"/>
        <v>122.87486437880443</v>
      </c>
      <c r="AN975" s="733">
        <f t="shared" si="713"/>
        <v>128.82828126673488</v>
      </c>
      <c r="AO975" s="1827">
        <f t="shared" si="713"/>
        <v>134.70717136248754</v>
      </c>
      <c r="AP975" s="1827">
        <f>+$X976*AP976+$X977*AP977</f>
        <v>137.95849756304915</v>
      </c>
      <c r="AQ975" s="1827">
        <f>+$X976*AQ976+$X977*AQ977</f>
        <v>144.20629714417768</v>
      </c>
      <c r="AR975" s="1827">
        <f>+$X976*AR976+$X977*AR977</f>
        <v>150.70221805413783</v>
      </c>
      <c r="AS975" s="1827">
        <f>+$X976*AS976+$X977*AS977</f>
        <v>157.81183857411909</v>
      </c>
      <c r="AT975" s="1827">
        <f>+$X976*AT976+$X977*AT977</f>
        <v>165.64036378076938</v>
      </c>
    </row>
    <row r="976" spans="1:46">
      <c r="A976" s="295"/>
      <c r="B976" s="1"/>
      <c r="D976" s="734" t="s">
        <v>1016</v>
      </c>
      <c r="E976" s="3064"/>
      <c r="F976" s="730"/>
      <c r="G976" s="730"/>
      <c r="H976" s="730"/>
      <c r="I976" s="730"/>
      <c r="J976" s="730"/>
      <c r="K976" s="730"/>
      <c r="L976" s="730"/>
      <c r="M976" s="730"/>
      <c r="N976" s="730"/>
      <c r="O976" s="730"/>
      <c r="P976" s="730"/>
      <c r="Q976" s="730"/>
      <c r="R976" s="730"/>
      <c r="S976" s="730"/>
      <c r="T976" s="730"/>
      <c r="U976" s="730"/>
      <c r="V976" s="730"/>
      <c r="W976" s="1290"/>
      <c r="X976" s="1274">
        <f>1-X977</f>
        <v>0.46911688311688315</v>
      </c>
      <c r="Y976" s="737">
        <f t="shared" ref="Y976:AI976" si="714">+Y960</f>
        <v>49.984606525027836</v>
      </c>
      <c r="Z976" s="737">
        <f t="shared" si="714"/>
        <v>49.972742885283175</v>
      </c>
      <c r="AA976" s="737">
        <f t="shared" si="714"/>
        <v>52.43474175129883</v>
      </c>
      <c r="AB976" s="1268">
        <f t="shared" si="714"/>
        <v>56.062367644202247</v>
      </c>
      <c r="AC976" s="737">
        <f t="shared" si="714"/>
        <v>56.777200205640291</v>
      </c>
      <c r="AD976" s="737">
        <f t="shared" si="714"/>
        <v>60.168994722693306</v>
      </c>
      <c r="AE976" s="737">
        <f t="shared" si="714"/>
        <v>66.250244497887309</v>
      </c>
      <c r="AF976" s="737">
        <f t="shared" si="714"/>
        <v>70.203915858879128</v>
      </c>
      <c r="AG976" s="737">
        <f t="shared" si="714"/>
        <v>82.811390070934038</v>
      </c>
      <c r="AH976" s="737">
        <f t="shared" si="714"/>
        <v>92.050222585339242</v>
      </c>
      <c r="AI976" s="2232">
        <f t="shared" si="714"/>
        <v>97.605060234220346</v>
      </c>
      <c r="AJ976" s="737">
        <f t="shared" ref="AJ976:AO976" si="715">+AI976*(1+AJ$943)</f>
        <v>105.09313210414085</v>
      </c>
      <c r="AK976" s="737">
        <f t="shared" si="715"/>
        <v>116.65493464447832</v>
      </c>
      <c r="AL976" s="737">
        <f t="shared" si="715"/>
        <v>119.6848369869635</v>
      </c>
      <c r="AM976" s="737">
        <f t="shared" si="715"/>
        <v>123.98679483156145</v>
      </c>
      <c r="AN976" s="737">
        <f t="shared" si="715"/>
        <v>130.31536900997276</v>
      </c>
      <c r="AO976" s="735">
        <f t="shared" si="715"/>
        <v>137.21547204945435</v>
      </c>
      <c r="AP976" s="735">
        <f>+AO976*(1+AP$943)</f>
        <v>146.49895011151139</v>
      </c>
      <c r="AQ976" s="735">
        <f>+AP976*(1+AQ$943)</f>
        <v>154.32818803326705</v>
      </c>
      <c r="AR976" s="735">
        <f>+AQ976*(1+AR$943)</f>
        <v>162.61064863886659</v>
      </c>
      <c r="AS976" s="735">
        <f>+AR976*(1+AS$943)</f>
        <v>171.0860935947079</v>
      </c>
      <c r="AT976" s="735">
        <f>+AS976*(1+AT$943)</f>
        <v>179.6913807184238</v>
      </c>
    </row>
    <row r="977" spans="1:49">
      <c r="A977" s="295"/>
      <c r="B977" s="1"/>
      <c r="D977" s="734" t="s">
        <v>1017</v>
      </c>
      <c r="E977" s="3064"/>
      <c r="F977" s="730"/>
      <c r="G977" s="730"/>
      <c r="H977" s="730"/>
      <c r="I977" s="730"/>
      <c r="J977" s="730"/>
      <c r="K977" s="730"/>
      <c r="L977" s="730"/>
      <c r="M977" s="730"/>
      <c r="N977" s="730"/>
      <c r="O977" s="730"/>
      <c r="P977" s="730"/>
      <c r="Q977" s="730"/>
      <c r="R977" s="730"/>
      <c r="S977" s="730"/>
      <c r="T977" s="730"/>
      <c r="U977" s="730"/>
      <c r="V977" s="730"/>
      <c r="W977" s="748" t="s">
        <v>371</v>
      </c>
      <c r="X977" s="1274">
        <f>+AI910</f>
        <v>0.53088311688311685</v>
      </c>
      <c r="Y977" s="737">
        <f t="shared" ref="Y977:AD977" si="716">+Y984</f>
        <v>44</v>
      </c>
      <c r="Z977" s="737">
        <f t="shared" si="716"/>
        <v>41.75</v>
      </c>
      <c r="AA977" s="737">
        <f t="shared" si="716"/>
        <v>46</v>
      </c>
      <c r="AB977" s="1268">
        <f t="shared" si="716"/>
        <v>47.75</v>
      </c>
      <c r="AC977" s="737">
        <f t="shared" si="716"/>
        <v>37.75</v>
      </c>
      <c r="AD977" s="737">
        <f t="shared" si="716"/>
        <v>37</v>
      </c>
      <c r="AE977" s="737">
        <f>+AE984</f>
        <v>38.75</v>
      </c>
      <c r="AF977" s="737">
        <f>+AF984</f>
        <v>76.75</v>
      </c>
      <c r="AG977" s="737">
        <f>+AG984</f>
        <v>85</v>
      </c>
      <c r="AH977" s="737">
        <f>+AH984</f>
        <v>92.25</v>
      </c>
      <c r="AI977" s="2232">
        <f>+AI984</f>
        <v>102.5</v>
      </c>
      <c r="AJ977" s="737">
        <f t="shared" ref="AJ977:AO977" si="717">+AI977*(1+AJ$929)</f>
        <v>107.12106549614118</v>
      </c>
      <c r="AK977" s="737">
        <f t="shared" si="717"/>
        <v>110.55482000269453</v>
      </c>
      <c r="AL977" s="737">
        <f t="shared" si="717"/>
        <v>115.52780918464644</v>
      </c>
      <c r="AM977" s="737">
        <f t="shared" si="717"/>
        <v>121.89230280988012</v>
      </c>
      <c r="AN977" s="737">
        <f t="shared" si="717"/>
        <v>127.51421053281348</v>
      </c>
      <c r="AO977" s="735">
        <f t="shared" si="717"/>
        <v>132.49070193114022</v>
      </c>
      <c r="AP977" s="735">
        <f>+AO977*(1+AP$929)</f>
        <v>130.41169422248572</v>
      </c>
      <c r="AQ977" s="735">
        <f>+AP977*(1+AQ$929)</f>
        <v>135.26204980586155</v>
      </c>
      <c r="AR977" s="735">
        <f>+AQ977*(1+AR$929)</f>
        <v>140.17928812650996</v>
      </c>
      <c r="AS977" s="735">
        <f>+AR977*(1+AS$929)</f>
        <v>146.08199269482682</v>
      </c>
      <c r="AT977" s="735">
        <f>+AS977*(1+AT$929)</f>
        <v>153.22412928245845</v>
      </c>
    </row>
    <row r="978" spans="1:49">
      <c r="A978" s="295"/>
      <c r="B978" s="1"/>
      <c r="D978" s="734" t="s">
        <v>334</v>
      </c>
      <c r="E978" s="3064"/>
      <c r="F978" s="730"/>
      <c r="G978" s="730"/>
      <c r="H978" s="730"/>
      <c r="I978" s="730"/>
      <c r="J978" s="730"/>
      <c r="K978" s="730"/>
      <c r="L978" s="730"/>
      <c r="M978" s="730"/>
      <c r="N978" s="730"/>
      <c r="O978" s="730"/>
      <c r="P978" s="730"/>
      <c r="Q978" s="730"/>
      <c r="R978" s="730"/>
      <c r="S978" s="730"/>
      <c r="T978" s="730"/>
      <c r="U978" s="730"/>
      <c r="V978" s="730"/>
      <c r="W978" s="919" t="s">
        <v>996</v>
      </c>
      <c r="X978" s="1274">
        <f>+AI915</f>
        <v>0.55000000000000004</v>
      </c>
      <c r="Y978" s="1283">
        <f t="shared" ref="Y978:AN979" si="718">+Y$976*(1-$X978)+Y$977*$X978</f>
        <v>46.693072936262524</v>
      </c>
      <c r="Z978" s="1283">
        <f t="shared" si="718"/>
        <v>45.450234298377424</v>
      </c>
      <c r="AA978" s="1283">
        <f t="shared" si="718"/>
        <v>48.895633788084467</v>
      </c>
      <c r="AB978" s="1342">
        <f t="shared" si="718"/>
        <v>51.490565439891014</v>
      </c>
      <c r="AC978" s="1283">
        <f t="shared" si="718"/>
        <v>46.312240092538133</v>
      </c>
      <c r="AD978" s="1283">
        <f t="shared" si="718"/>
        <v>47.426047625211986</v>
      </c>
      <c r="AE978" s="1283">
        <f t="shared" si="718"/>
        <v>51.125110024049285</v>
      </c>
      <c r="AF978" s="1283">
        <f t="shared" si="718"/>
        <v>73.804262136495609</v>
      </c>
      <c r="AG978" s="1283">
        <f t="shared" si="718"/>
        <v>84.015125531920319</v>
      </c>
      <c r="AH978" s="1283">
        <f t="shared" si="718"/>
        <v>92.16010016340266</v>
      </c>
      <c r="AI978" s="2232">
        <f t="shared" si="718"/>
        <v>100.29727710539916</v>
      </c>
      <c r="AJ978" s="737">
        <f t="shared" si="718"/>
        <v>106.20849546974104</v>
      </c>
      <c r="AK978" s="737">
        <f t="shared" si="718"/>
        <v>113.29987159149724</v>
      </c>
      <c r="AL978" s="737">
        <f t="shared" si="718"/>
        <v>117.39847169568912</v>
      </c>
      <c r="AM978" s="737">
        <f t="shared" si="718"/>
        <v>122.83482421963672</v>
      </c>
      <c r="AN978" s="737">
        <f t="shared" si="718"/>
        <v>128.77473184753515</v>
      </c>
      <c r="AO978" s="735">
        <f t="shared" ref="AJ978:AT979" si="719">+AO$976*(1-$X978)+AO$977*$X978</f>
        <v>134.61684848438156</v>
      </c>
      <c r="AP978" s="735">
        <f t="shared" si="719"/>
        <v>137.65095937254728</v>
      </c>
      <c r="AQ978" s="735">
        <f t="shared" si="719"/>
        <v>143.84181200819404</v>
      </c>
      <c r="AR978" s="735">
        <f t="shared" si="719"/>
        <v>150.27340035707044</v>
      </c>
      <c r="AS978" s="735">
        <f t="shared" si="719"/>
        <v>157.33383809977329</v>
      </c>
      <c r="AT978" s="735">
        <f t="shared" si="719"/>
        <v>165.13439242864285</v>
      </c>
    </row>
    <row r="979" spans="1:49">
      <c r="A979" s="295"/>
      <c r="B979" s="1"/>
      <c r="D979" s="734" t="s">
        <v>335</v>
      </c>
      <c r="E979" s="3064"/>
      <c r="F979" s="730"/>
      <c r="G979" s="730"/>
      <c r="H979" s="730"/>
      <c r="I979" s="730"/>
      <c r="J979" s="730"/>
      <c r="K979" s="730"/>
      <c r="L979" s="730"/>
      <c r="M979" s="730"/>
      <c r="N979" s="730"/>
      <c r="O979" s="730"/>
      <c r="P979" s="730"/>
      <c r="Q979" s="730"/>
      <c r="R979" s="730"/>
      <c r="S979" s="730"/>
      <c r="T979" s="730"/>
      <c r="U979" s="730"/>
      <c r="V979" s="730"/>
      <c r="W979" s="919" t="s">
        <v>997</v>
      </c>
      <c r="X979" s="1274">
        <f>+AI916</f>
        <v>0.49</v>
      </c>
      <c r="Y979" s="1283">
        <f t="shared" si="718"/>
        <v>47.052149327764198</v>
      </c>
      <c r="Z979" s="1283">
        <f t="shared" si="718"/>
        <v>45.943598871494416</v>
      </c>
      <c r="AA979" s="1283">
        <f t="shared" si="718"/>
        <v>49.281718293162399</v>
      </c>
      <c r="AB979" s="1342">
        <f t="shared" si="718"/>
        <v>51.989307498543148</v>
      </c>
      <c r="AC979" s="1283">
        <f t="shared" si="718"/>
        <v>47.453872104876552</v>
      </c>
      <c r="AD979" s="1283">
        <f t="shared" si="718"/>
        <v>48.816187308573589</v>
      </c>
      <c r="AE979" s="1283">
        <f t="shared" si="718"/>
        <v>52.775124693922535</v>
      </c>
      <c r="AF979" s="1283">
        <f t="shared" si="718"/>
        <v>73.411497088028355</v>
      </c>
      <c r="AG979" s="1283">
        <f t="shared" si="718"/>
        <v>83.883808936176365</v>
      </c>
      <c r="AH979" s="1283">
        <f t="shared" si="718"/>
        <v>92.148113518523019</v>
      </c>
      <c r="AI979" s="2232">
        <f>+AI$976*(1-$X979)+AI$977*$X979</f>
        <v>100.00358071945237</v>
      </c>
      <c r="AJ979" s="737">
        <f t="shared" si="719"/>
        <v>106.08681946622102</v>
      </c>
      <c r="AK979" s="737">
        <f t="shared" si="719"/>
        <v>113.66587847000426</v>
      </c>
      <c r="AL979" s="737">
        <f t="shared" si="719"/>
        <v>117.64789336382815</v>
      </c>
      <c r="AM979" s="737">
        <f t="shared" si="719"/>
        <v>122.96049374093761</v>
      </c>
      <c r="AN979" s="737">
        <f t="shared" si="719"/>
        <v>128.94280135616472</v>
      </c>
      <c r="AO979" s="735">
        <f t="shared" si="719"/>
        <v>134.90033469148045</v>
      </c>
      <c r="AP979" s="735">
        <f t="shared" si="719"/>
        <v>138.61619472588882</v>
      </c>
      <c r="AQ979" s="735">
        <f t="shared" si="719"/>
        <v>144.98578030183836</v>
      </c>
      <c r="AR979" s="735">
        <f t="shared" si="719"/>
        <v>151.61928198781186</v>
      </c>
      <c r="AS979" s="735">
        <f t="shared" si="719"/>
        <v>158.83408415376618</v>
      </c>
      <c r="AT979" s="735">
        <f t="shared" si="719"/>
        <v>166.72242751480078</v>
      </c>
    </row>
    <row r="980" spans="1:49">
      <c r="A980" s="295"/>
      <c r="B980" s="1"/>
      <c r="D980" s="1282" t="s">
        <v>998</v>
      </c>
      <c r="E980" s="3064"/>
      <c r="F980" s="730"/>
      <c r="G980" s="730"/>
      <c r="H980" s="730"/>
      <c r="I980" s="730"/>
      <c r="J980" s="730"/>
      <c r="K980" s="730"/>
      <c r="L980" s="730"/>
      <c r="M980" s="730"/>
      <c r="N980" s="730"/>
      <c r="O980" s="730"/>
      <c r="P980" s="730"/>
      <c r="Q980" s="730"/>
      <c r="R980" s="730"/>
      <c r="S980" s="730"/>
      <c r="T980" s="730"/>
      <c r="U980" s="730"/>
      <c r="V980" s="730"/>
      <c r="W980" s="919"/>
      <c r="X980" s="1274"/>
      <c r="Y980" s="920"/>
      <c r="Z980" s="920"/>
      <c r="AA980" s="920"/>
      <c r="AB980" s="1343"/>
      <c r="AC980" s="920"/>
      <c r="AD980" s="920"/>
      <c r="AE980" s="2222">
        <f t="shared" ref="AE980:AO980" si="720">+$X976*AE976+$X977*AE977</f>
        <v>51.650828983801112</v>
      </c>
      <c r="AF980" s="2222">
        <f t="shared" si="720"/>
        <v>73.679121411096517</v>
      </c>
      <c r="AG980" s="2222">
        <f t="shared" si="720"/>
        <v>83.973286131717913</v>
      </c>
      <c r="AH980" s="2222">
        <f t="shared" si="720"/>
        <v>92.156281041917197</v>
      </c>
      <c r="AI980" s="3233">
        <f t="shared" si="720"/>
        <v>100.20370111403255</v>
      </c>
      <c r="AJ980" s="2222">
        <f t="shared" si="720"/>
        <v>106.16972770411735</v>
      </c>
      <c r="AK980" s="2222">
        <f t="shared" si="720"/>
        <v>113.4164867701038</v>
      </c>
      <c r="AL980" s="2222">
        <f t="shared" si="720"/>
        <v>117.47794111029964</v>
      </c>
      <c r="AM980" s="2222">
        <f t="shared" si="720"/>
        <v>122.87486437880443</v>
      </c>
      <c r="AN980" s="2222">
        <f t="shared" si="720"/>
        <v>128.82828126673488</v>
      </c>
      <c r="AO980" s="1823">
        <f t="shared" si="720"/>
        <v>134.70717136248754</v>
      </c>
      <c r="AP980" s="1823">
        <f>+$X976*AP976+$X977*AP977</f>
        <v>137.95849756304915</v>
      </c>
      <c r="AQ980" s="1823">
        <f>+$X976*AQ976+$X977*AQ977</f>
        <v>144.20629714417768</v>
      </c>
      <c r="AR980" s="1823">
        <f>+$X976*AR976+$X977*AR977</f>
        <v>150.70221805413783</v>
      </c>
      <c r="AS980" s="1823">
        <f>+$X976*AS976+$X977*AS977</f>
        <v>157.81183857411909</v>
      </c>
      <c r="AT980" s="1823">
        <f>+$X976*AT976+$X977*AT977</f>
        <v>165.64036378076938</v>
      </c>
    </row>
    <row r="981" spans="1:49">
      <c r="A981" s="295"/>
      <c r="B981" s="1"/>
      <c r="D981" s="734" t="s">
        <v>1043</v>
      </c>
      <c r="E981" s="3064"/>
      <c r="F981" s="730"/>
      <c r="G981" s="730"/>
      <c r="H981" s="730"/>
      <c r="I981" s="730"/>
      <c r="J981" s="730"/>
      <c r="K981" s="730"/>
      <c r="L981" s="730"/>
      <c r="M981" s="730"/>
      <c r="N981" s="730"/>
      <c r="O981" s="730"/>
      <c r="P981" s="730"/>
      <c r="Q981" s="730"/>
      <c r="R981" s="730"/>
      <c r="S981" s="730"/>
      <c r="T981" s="730"/>
      <c r="U981" s="730"/>
      <c r="V981" s="1289">
        <f>+AB883/AB$873</f>
        <v>0</v>
      </c>
      <c r="W981" s="1289">
        <f>+AI883/AI$873</f>
        <v>0</v>
      </c>
      <c r="X981" s="1679">
        <v>0</v>
      </c>
      <c r="Y981" s="1678">
        <f t="shared" ref="Y981" si="721">+Y794</f>
        <v>0</v>
      </c>
      <c r="Z981" s="1678"/>
      <c r="AA981" s="1678"/>
      <c r="AB981" s="1678"/>
      <c r="AC981" s="1678"/>
      <c r="AD981" s="1678"/>
      <c r="AE981" s="1678"/>
      <c r="AF981" s="1678"/>
      <c r="AG981" s="1678"/>
      <c r="AH981" s="1678"/>
      <c r="AI981" s="1678"/>
      <c r="AJ981" s="1678"/>
      <c r="AK981" s="1678"/>
      <c r="AL981" s="1678"/>
      <c r="AM981" s="1678"/>
      <c r="AN981" s="1678"/>
      <c r="AO981" s="1678"/>
      <c r="AP981" s="1678"/>
      <c r="AQ981" s="1678"/>
      <c r="AR981" s="1678"/>
      <c r="AS981" s="1678"/>
      <c r="AT981" s="1678"/>
    </row>
    <row r="982" spans="1:49">
      <c r="A982" s="295"/>
      <c r="B982" s="1"/>
      <c r="D982" s="734" t="s">
        <v>1018</v>
      </c>
      <c r="E982" s="3064"/>
      <c r="F982" s="730"/>
      <c r="G982" s="730"/>
      <c r="H982" s="730"/>
      <c r="I982" s="730"/>
      <c r="J982" s="730"/>
      <c r="K982" s="730"/>
      <c r="L982" s="730"/>
      <c r="M982" s="730"/>
      <c r="N982" s="730"/>
      <c r="O982" s="730"/>
      <c r="P982" s="730"/>
      <c r="Q982" s="730"/>
      <c r="R982" s="730"/>
      <c r="S982" s="730"/>
      <c r="T982" s="730"/>
      <c r="U982" s="730"/>
      <c r="V982" s="1289">
        <f>+AB884/AB$873</f>
        <v>0.20732187376984648</v>
      </c>
      <c r="W982" s="1289">
        <f>+AI884/AI$873</f>
        <v>0.2907420423737323</v>
      </c>
      <c r="X982" s="1276">
        <f>+AI982</f>
        <v>102.5</v>
      </c>
      <c r="Y982" s="737">
        <f t="shared" ref="Y982:AI982" si="722">+Y797</f>
        <v>67.5</v>
      </c>
      <c r="Z982" s="737">
        <f t="shared" si="722"/>
        <v>66.25</v>
      </c>
      <c r="AA982" s="737">
        <f t="shared" si="722"/>
        <v>76</v>
      </c>
      <c r="AB982" s="1268">
        <f t="shared" si="722"/>
        <v>80</v>
      </c>
      <c r="AC982" s="737">
        <f t="shared" si="722"/>
        <v>82.5</v>
      </c>
      <c r="AD982" s="737">
        <f t="shared" si="722"/>
        <v>79.75</v>
      </c>
      <c r="AE982" s="737">
        <f t="shared" si="722"/>
        <v>78</v>
      </c>
      <c r="AF982" s="737">
        <f t="shared" si="722"/>
        <v>88.25</v>
      </c>
      <c r="AG982" s="733">
        <f t="shared" si="722"/>
        <v>80.75</v>
      </c>
      <c r="AH982" s="733">
        <f t="shared" si="722"/>
        <v>89.5</v>
      </c>
      <c r="AI982" s="2258">
        <f t="shared" si="722"/>
        <v>102.5</v>
      </c>
      <c r="AJ982" s="737">
        <f t="shared" ref="AJ982:AT982" si="723">+AI982*(1+AJ924)</f>
        <v>108.61894265758328</v>
      </c>
      <c r="AK982" s="737">
        <f t="shared" si="723"/>
        <v>115.3640039348013</v>
      </c>
      <c r="AL982" s="737">
        <f t="shared" si="723"/>
        <v>121.0959691727127</v>
      </c>
      <c r="AM982" s="737">
        <f t="shared" si="723"/>
        <v>126.27678740502263</v>
      </c>
      <c r="AN982" s="737">
        <f t="shared" si="723"/>
        <v>131.02536259662418</v>
      </c>
      <c r="AO982" s="737">
        <f t="shared" si="723"/>
        <v>135.74558817528401</v>
      </c>
      <c r="AP982" s="737">
        <f t="shared" si="723"/>
        <v>140.6752710259241</v>
      </c>
      <c r="AQ982" s="737">
        <f t="shared" si="723"/>
        <v>145.79421363586002</v>
      </c>
      <c r="AR982" s="737">
        <f t="shared" si="723"/>
        <v>151.11244953006192</v>
      </c>
      <c r="AS982" s="737">
        <f t="shared" si="723"/>
        <v>156.64067979109967</v>
      </c>
      <c r="AT982" s="737">
        <f t="shared" si="723"/>
        <v>162.39032071999969</v>
      </c>
    </row>
    <row r="983" spans="1:49">
      <c r="A983" s="295"/>
      <c r="B983" s="1"/>
      <c r="D983" s="734" t="s">
        <v>1019</v>
      </c>
      <c r="E983" s="3064"/>
      <c r="F983" s="730"/>
      <c r="G983" s="730"/>
      <c r="H983" s="730"/>
      <c r="I983" s="730"/>
      <c r="J983" s="730"/>
      <c r="K983" s="730"/>
      <c r="L983" s="730"/>
      <c r="M983" s="730"/>
      <c r="N983" s="730"/>
      <c r="O983" s="730"/>
      <c r="P983" s="730"/>
      <c r="Q983" s="730"/>
      <c r="R983" s="730"/>
      <c r="S983" s="730"/>
      <c r="T983" s="730"/>
      <c r="U983" s="730"/>
      <c r="V983" s="1289">
        <f>+AB885/AB$873</f>
        <v>0.33473297467523949</v>
      </c>
      <c r="W983" s="1289">
        <f>+AI885/AI$873</f>
        <v>0.442162867757807</v>
      </c>
      <c r="X983" s="1277">
        <f>+AI983</f>
        <v>102.5</v>
      </c>
      <c r="Y983" s="737">
        <f t="shared" ref="Y983:AI983" si="724">+Y800</f>
        <v>44</v>
      </c>
      <c r="Z983" s="737">
        <f t="shared" si="724"/>
        <v>41.75</v>
      </c>
      <c r="AA983" s="737">
        <f t="shared" si="724"/>
        <v>46</v>
      </c>
      <c r="AB983" s="1268">
        <f t="shared" si="724"/>
        <v>47.75</v>
      </c>
      <c r="AC983" s="737">
        <f t="shared" si="724"/>
        <v>37.75</v>
      </c>
      <c r="AD983" s="737">
        <f t="shared" si="724"/>
        <v>37</v>
      </c>
      <c r="AE983" s="737">
        <f t="shared" si="724"/>
        <v>38.75</v>
      </c>
      <c r="AF983" s="737">
        <f t="shared" si="724"/>
        <v>76.75</v>
      </c>
      <c r="AG983" s="733">
        <f t="shared" si="724"/>
        <v>85</v>
      </c>
      <c r="AH983" s="733">
        <f t="shared" si="724"/>
        <v>92.25</v>
      </c>
      <c r="AI983" s="2258">
        <f t="shared" si="724"/>
        <v>102.5</v>
      </c>
      <c r="AJ983" s="737">
        <f t="shared" ref="AJ983:AO983" si="725">+AI983*(1+AJ926)</f>
        <v>107.26656422756807</v>
      </c>
      <c r="AK983" s="737">
        <f t="shared" si="725"/>
        <v>111.23445437376176</v>
      </c>
      <c r="AL983" s="737">
        <f t="shared" si="725"/>
        <v>115.88739913940366</v>
      </c>
      <c r="AM983" s="737">
        <f t="shared" si="725"/>
        <v>121.12528619735154</v>
      </c>
      <c r="AN983" s="737">
        <f t="shared" si="725"/>
        <v>125.49871321176909</v>
      </c>
      <c r="AO983" s="735">
        <f t="shared" si="725"/>
        <v>129.5639426745181</v>
      </c>
      <c r="AP983" s="735">
        <f>+AO983*(1+AP926)</f>
        <v>133.7923161358116</v>
      </c>
      <c r="AQ983" s="735">
        <f>+AP983*(1+AQ926)</f>
        <v>138.12546940031433</v>
      </c>
      <c r="AR983" s="735">
        <f>+AQ983*(1+AR926)</f>
        <v>142.60761471472966</v>
      </c>
      <c r="AS983" s="735">
        <f>+AR983*(1+AS926)</f>
        <v>147.22890676483019</v>
      </c>
      <c r="AT983" s="735">
        <f>+AS983*(1+AT926)</f>
        <v>152.00618405469174</v>
      </c>
      <c r="AU983" s="818"/>
      <c r="AV983" s="818"/>
      <c r="AW983" s="818"/>
    </row>
    <row r="984" spans="1:49" ht="16.75" thickBot="1">
      <c r="A984" s="295"/>
      <c r="B984" s="1"/>
      <c r="D984" s="734" t="s">
        <v>336</v>
      </c>
      <c r="E984" s="3064"/>
      <c r="F984" s="730"/>
      <c r="G984" s="730"/>
      <c r="H984" s="730"/>
      <c r="I984" s="730"/>
      <c r="J984" s="730"/>
      <c r="K984" s="730"/>
      <c r="L984" s="730"/>
      <c r="M984" s="730"/>
      <c r="N984" s="730"/>
      <c r="O984" s="730"/>
      <c r="P984" s="730"/>
      <c r="Q984" s="730"/>
      <c r="R984" s="730"/>
      <c r="S984" s="730"/>
      <c r="T984" s="730"/>
      <c r="U984" s="730"/>
      <c r="V984" s="730"/>
      <c r="W984" s="915"/>
      <c r="X984" s="737"/>
      <c r="Y984" s="741">
        <f t="shared" ref="Y984:AE984" si="726">+Y983</f>
        <v>44</v>
      </c>
      <c r="Z984" s="741">
        <f t="shared" si="726"/>
        <v>41.75</v>
      </c>
      <c r="AA984" s="741">
        <f t="shared" si="726"/>
        <v>46</v>
      </c>
      <c r="AB984" s="1344">
        <f t="shared" si="726"/>
        <v>47.75</v>
      </c>
      <c r="AC984" s="741">
        <f t="shared" si="726"/>
        <v>37.75</v>
      </c>
      <c r="AD984" s="741">
        <f t="shared" si="726"/>
        <v>37</v>
      </c>
      <c r="AE984" s="1572">
        <f t="shared" si="726"/>
        <v>38.75</v>
      </c>
      <c r="AF984" s="1572">
        <f>+AF983</f>
        <v>76.75</v>
      </c>
      <c r="AG984" s="1572">
        <f>+AG983</f>
        <v>85</v>
      </c>
      <c r="AH984" s="1572">
        <f>+AH983</f>
        <v>92.25</v>
      </c>
      <c r="AI984" s="2259">
        <f>+AI983</f>
        <v>102.5</v>
      </c>
      <c r="AJ984" s="1572">
        <f t="shared" ref="AJ984:AO984" si="727">+AJ983</f>
        <v>107.26656422756807</v>
      </c>
      <c r="AK984" s="1572">
        <f t="shared" si="727"/>
        <v>111.23445437376176</v>
      </c>
      <c r="AL984" s="1572">
        <f t="shared" si="727"/>
        <v>115.88739913940366</v>
      </c>
      <c r="AM984" s="1572">
        <f t="shared" si="727"/>
        <v>121.12528619735154</v>
      </c>
      <c r="AN984" s="1572">
        <f t="shared" si="727"/>
        <v>125.49871321176909</v>
      </c>
      <c r="AO984" s="1829">
        <f t="shared" si="727"/>
        <v>129.5639426745181</v>
      </c>
      <c r="AP984" s="1829">
        <f>+AP983</f>
        <v>133.7923161358116</v>
      </c>
      <c r="AQ984" s="1829">
        <f>+AQ983</f>
        <v>138.12546940031433</v>
      </c>
      <c r="AR984" s="1829">
        <f>+AR983</f>
        <v>142.60761471472966</v>
      </c>
      <c r="AS984" s="1829">
        <f>+AS983</f>
        <v>147.22890676483019</v>
      </c>
      <c r="AT984" s="1829">
        <f>+AT983</f>
        <v>152.00618405469174</v>
      </c>
    </row>
    <row r="985" spans="1:49" ht="17.5" thickTop="1" thickBot="1">
      <c r="A985" s="295"/>
      <c r="B985" s="1"/>
      <c r="D985" s="1116" t="s">
        <v>1351</v>
      </c>
      <c r="E985" s="3066"/>
      <c r="F985" s="743"/>
      <c r="G985" s="743"/>
      <c r="H985" s="743"/>
      <c r="I985" s="743"/>
      <c r="J985" s="743"/>
      <c r="K985" s="743"/>
      <c r="L985" s="743"/>
      <c r="M985" s="743"/>
      <c r="N985" s="743"/>
      <c r="O985" s="743"/>
      <c r="P985" s="743"/>
      <c r="Q985" s="743"/>
      <c r="R985" s="743"/>
      <c r="S985" s="743"/>
      <c r="T985" s="743"/>
      <c r="U985" s="743"/>
      <c r="V985" s="1115"/>
      <c r="W985" s="1115"/>
      <c r="X985" s="744"/>
      <c r="Y985" s="744"/>
      <c r="Z985" s="744">
        <f t="shared" ref="Z985:AG985" si="728">+Z965/Y965-1</f>
        <v>4.6728971962617383E-3</v>
      </c>
      <c r="AA985" s="744">
        <f t="shared" si="728"/>
        <v>5.5813953488372148E-2</v>
      </c>
      <c r="AB985" s="744">
        <f t="shared" si="728"/>
        <v>7.4889867841409608E-2</v>
      </c>
      <c r="AC985" s="744">
        <f t="shared" si="728"/>
        <v>8.1967213114753079E-3</v>
      </c>
      <c r="AD985" s="744">
        <f t="shared" si="728"/>
        <v>4.0650406504065151E-2</v>
      </c>
      <c r="AE985" s="744">
        <f t="shared" si="728"/>
        <v>7.421875E-2</v>
      </c>
      <c r="AF985" s="744">
        <f t="shared" si="728"/>
        <v>4.0000000000000036E-2</v>
      </c>
      <c r="AG985" s="744">
        <f t="shared" si="728"/>
        <v>0.15734265734265729</v>
      </c>
      <c r="AH985" s="744">
        <f t="shared" ref="AH985:AO985" si="729">+AH965/AG965-1</f>
        <v>9.6492732950844928E-2</v>
      </c>
      <c r="AI985" s="2260">
        <f t="shared" si="729"/>
        <v>8.5223083384895704E-2</v>
      </c>
      <c r="AJ985" s="3839">
        <f>+AJ965/AI965-1</f>
        <v>0.1434180531885314</v>
      </c>
      <c r="AK985" s="744">
        <f t="shared" si="729"/>
        <v>9.7436952607327765E-2</v>
      </c>
      <c r="AL985" s="744">
        <f t="shared" si="729"/>
        <v>3.5053864551179759E-2</v>
      </c>
      <c r="AM985" s="744">
        <f t="shared" si="729"/>
        <v>4.2844719109798701E-2</v>
      </c>
      <c r="AN985" s="744">
        <f t="shared" si="729"/>
        <v>5.2909764404628135E-2</v>
      </c>
      <c r="AO985" s="744">
        <f t="shared" si="729"/>
        <v>5.2805289205121841E-2</v>
      </c>
      <c r="AP985" s="744">
        <f>+AP965/AO965-1</f>
        <v>4.4209620889600787E-2</v>
      </c>
      <c r="AQ985" s="744">
        <f>+AQ965/AP965-1</f>
        <v>5.2944716565946903E-2</v>
      </c>
      <c r="AR985" s="744">
        <f>+AR965/AQ965-1</f>
        <v>5.2865496158394087E-2</v>
      </c>
      <c r="AS985" s="744">
        <f>+AS965/AR965-1</f>
        <v>5.3650886139223086E-2</v>
      </c>
      <c r="AT985" s="744">
        <f>+AT965/AS965-1</f>
        <v>5.2308034088818456E-2</v>
      </c>
    </row>
    <row r="986" spans="1:49" ht="16.75" thickTop="1">
      <c r="A986" s="295"/>
      <c r="B986" s="1"/>
      <c r="D986" s="1356" t="s">
        <v>1652</v>
      </c>
      <c r="E986" s="3064"/>
      <c r="F986" s="730"/>
      <c r="G986" s="730"/>
      <c r="H986" s="730"/>
      <c r="I986" s="730"/>
      <c r="J986" s="730"/>
      <c r="K986" s="730"/>
      <c r="L986" s="730"/>
      <c r="M986" s="730"/>
      <c r="N986" s="730"/>
      <c r="O986" s="730"/>
      <c r="P986" s="730"/>
      <c r="Q986" s="730"/>
      <c r="R986" s="730"/>
      <c r="S986" s="730"/>
      <c r="T986" s="730"/>
      <c r="U986" s="730"/>
      <c r="V986" s="730"/>
      <c r="W986" s="915"/>
      <c r="X986" s="915"/>
      <c r="Y986" s="1278" t="str">
        <f>+IF(ABS(Y877/Y863*100-Y971)&gt;0.4,Y877/Y863*100,"")</f>
        <v/>
      </c>
      <c r="Z986" s="1279" t="str">
        <f t="shared" ref="Z986:AF986" si="730">+IF(ABS(Z877/Z863*100-Z971)&gt;0.5,Z877/Z863*100,"")</f>
        <v/>
      </c>
      <c r="AA986" s="1278" t="str">
        <f t="shared" si="730"/>
        <v/>
      </c>
      <c r="AB986" s="1278" t="str">
        <f t="shared" si="730"/>
        <v/>
      </c>
      <c r="AC986" s="1280" t="str">
        <f t="shared" si="730"/>
        <v/>
      </c>
      <c r="AD986" s="1280" t="str">
        <f t="shared" si="730"/>
        <v/>
      </c>
      <c r="AE986" s="1280" t="str">
        <f t="shared" si="730"/>
        <v/>
      </c>
      <c r="AF986" s="1280" t="str">
        <f t="shared" si="730"/>
        <v/>
      </c>
      <c r="AG986" s="1280" t="str">
        <f>+IF(ABS(AG877/AG863*100/AG971-1)&gt;0.003,(AG877/AG863*100-AG971)/100,"")</f>
        <v/>
      </c>
      <c r="AH986" s="1280" t="str">
        <f>+IF(ABS(AH877/AH863*100/AH971-1)&gt;0.003,(AH877/AH863*100-AH971)/100,"")</f>
        <v/>
      </c>
      <c r="AI986" s="1280" t="str">
        <f>+IF(ABS(AI877/AI863*100/AI971-1)&gt;0.03,(AI877/AI863*100-AI971)/100,"")</f>
        <v/>
      </c>
      <c r="AJ986" s="1280">
        <f>+IF(ABS(AJ877/AJ863*100/AJ971-1)&gt;0.03,(AJ877/AJ863*100-AJ971)/100,"")</f>
        <v>-3.5970485181813533E-2</v>
      </c>
      <c r="AK986" s="1280">
        <f>+IF(ABS(AK877/AK863*100/AK971-1)&gt;0.03,(AK877/AK863*100-AK971)/100,"")</f>
        <v>-4.3854213373754905E-2</v>
      </c>
      <c r="AL986" s="1280">
        <f>+IF(ABS(AL877/AL863*100/AL971-1)&gt;0.03,(AL877/AL863*100-AL971)/100,"")</f>
        <v>-4.1643985085062951E-2</v>
      </c>
      <c r="AM986" s="1280">
        <f t="shared" ref="AM986:AT986" si="731">+IF(ABS(AM877/AM863*100/AM971-1)&gt;0.03,(AM877/AM863*100-AM971)/100,"")</f>
        <v>-4.7591297831726394E-2</v>
      </c>
      <c r="AN986" s="1280">
        <f t="shared" si="731"/>
        <v>-5.3383976037526398E-2</v>
      </c>
      <c r="AO986" s="1280">
        <f t="shared" si="731"/>
        <v>-5.9841795677770052E-2</v>
      </c>
      <c r="AP986" s="1280">
        <f t="shared" si="731"/>
        <v>-6.031908887367507E-2</v>
      </c>
      <c r="AQ986" s="1280">
        <f t="shared" si="731"/>
        <v>-6.5252255085935934E-2</v>
      </c>
      <c r="AR986" s="1280">
        <f t="shared" si="731"/>
        <v>-6.9813479415223298E-2</v>
      </c>
      <c r="AS986" s="1280">
        <f t="shared" si="731"/>
        <v>-8.3204299416608757E-2</v>
      </c>
      <c r="AT986" s="1280">
        <f t="shared" si="731"/>
        <v>-0.10675451438407776</v>
      </c>
    </row>
    <row r="987" spans="1:49" ht="16.75" thickBot="1">
      <c r="A987" s="295"/>
      <c r="B987" s="1"/>
      <c r="D987" s="2717" t="s">
        <v>1044</v>
      </c>
      <c r="E987" s="3068"/>
      <c r="F987" s="749"/>
      <c r="G987" s="749"/>
      <c r="H987" s="749"/>
      <c r="I987" s="749"/>
      <c r="J987" s="749"/>
      <c r="K987" s="749"/>
      <c r="L987" s="749"/>
      <c r="M987" s="749"/>
      <c r="N987" s="749"/>
      <c r="O987" s="749"/>
      <c r="P987" s="749"/>
      <c r="Q987" s="749"/>
      <c r="R987" s="749"/>
      <c r="S987" s="749"/>
      <c r="T987" s="749"/>
      <c r="U987" s="749"/>
      <c r="V987" s="749"/>
      <c r="W987" s="1287" t="str">
        <f>IF(ABS(W965-W966-W971-W975-W981-W982+W983)&gt;0.1,"check","")</f>
        <v/>
      </c>
      <c r="X987" s="749"/>
      <c r="Y987" s="749"/>
      <c r="Z987" s="749"/>
      <c r="AA987" s="749"/>
      <c r="AB987" s="749"/>
      <c r="AC987" s="749"/>
      <c r="AD987" s="1703"/>
      <c r="AE987" s="1703"/>
      <c r="AF987" s="1703"/>
      <c r="AG987" s="1703"/>
      <c r="AH987" s="1703"/>
      <c r="AI987" s="1703"/>
      <c r="AJ987" s="1703"/>
      <c r="AK987" s="1703"/>
      <c r="AL987" s="1703"/>
      <c r="AM987" s="1703"/>
      <c r="AN987" s="1703"/>
      <c r="AO987" s="1703"/>
      <c r="AP987" s="1703"/>
      <c r="AQ987" s="1703"/>
      <c r="AR987" s="1703"/>
      <c r="AS987" s="1703"/>
      <c r="AT987" s="1703"/>
    </row>
    <row r="988" spans="1:49" ht="16.75" thickTop="1">
      <c r="A988" s="295"/>
      <c r="B988" s="1"/>
      <c r="D988" s="295" t="s">
        <v>1132</v>
      </c>
      <c r="F988" s="1"/>
      <c r="G988" s="1"/>
      <c r="H988" s="1"/>
      <c r="I988" s="1"/>
      <c r="J988" s="1"/>
      <c r="K988" s="1"/>
      <c r="L988" s="1"/>
      <c r="M988" s="1"/>
      <c r="N988" s="1"/>
      <c r="O988" s="1"/>
      <c r="P988" s="1"/>
      <c r="Q988" s="1"/>
      <c r="R988" s="1"/>
      <c r="S988" s="1"/>
      <c r="T988" s="1"/>
      <c r="V988" s="1"/>
      <c r="X988" s="824"/>
      <c r="Y988" s="921"/>
      <c r="Z988" s="921"/>
      <c r="AA988" s="921"/>
      <c r="AB988" s="921"/>
      <c r="AC988" s="418"/>
      <c r="AH988" s="1704"/>
      <c r="AI988" s="1704"/>
      <c r="AJ988" s="1704"/>
      <c r="AK988" s="1704"/>
      <c r="AL988" s="1704"/>
      <c r="AM988" s="1704"/>
      <c r="AN988" s="1704"/>
      <c r="AO988" s="1704"/>
    </row>
    <row r="989" spans="1:49">
      <c r="A989" s="295"/>
      <c r="B989" s="1"/>
      <c r="D989" s="295"/>
      <c r="F989" s="1"/>
      <c r="G989" s="1"/>
      <c r="H989" s="1"/>
      <c r="I989" s="1"/>
      <c r="J989" s="1"/>
      <c r="K989" s="1"/>
      <c r="L989" s="1"/>
      <c r="M989" s="1"/>
      <c r="N989" s="1"/>
      <c r="O989" s="1"/>
      <c r="P989" s="1"/>
      <c r="Q989" s="1"/>
      <c r="R989" s="1"/>
      <c r="S989" s="1"/>
      <c r="T989" s="1"/>
      <c r="V989" s="1"/>
      <c r="X989" s="824"/>
      <c r="Y989" s="921"/>
      <c r="Z989" s="921"/>
      <c r="AA989" s="921"/>
      <c r="AB989" s="921"/>
      <c r="AC989" s="418"/>
    </row>
    <row r="990" spans="1:49" ht="21" customHeight="1">
      <c r="A990" s="295"/>
      <c r="B990" s="1"/>
      <c r="D990" s="376" t="s">
        <v>1148</v>
      </c>
      <c r="F990" s="1"/>
      <c r="G990" s="1"/>
      <c r="H990" s="1"/>
      <c r="I990" s="1"/>
      <c r="J990" s="1"/>
      <c r="K990" s="1"/>
      <c r="L990" s="1"/>
      <c r="M990" s="1"/>
      <c r="N990" s="1"/>
      <c r="O990" s="1"/>
      <c r="P990" s="1"/>
      <c r="Q990" s="1"/>
      <c r="R990" s="1"/>
      <c r="S990" s="1"/>
      <c r="T990" s="1"/>
      <c r="V990" s="1"/>
      <c r="X990" s="824"/>
      <c r="Z990" s="824"/>
    </row>
    <row r="991" spans="1:49">
      <c r="A991" s="295"/>
      <c r="B991" s="1"/>
      <c r="D991" s="397" t="s">
        <v>1147</v>
      </c>
      <c r="F991" s="1"/>
      <c r="G991" s="1"/>
      <c r="H991" s="1"/>
      <c r="I991" s="1"/>
      <c r="J991" s="1"/>
      <c r="K991" s="1"/>
      <c r="L991" s="1"/>
      <c r="M991" s="1"/>
      <c r="N991" s="1"/>
      <c r="O991" s="1"/>
      <c r="P991" s="1"/>
      <c r="Q991" s="1"/>
      <c r="R991" s="1"/>
      <c r="S991" s="1"/>
      <c r="T991" s="1"/>
      <c r="V991" s="1"/>
      <c r="X991" s="824"/>
      <c r="Z991" s="824"/>
    </row>
    <row r="992" spans="1:49">
      <c r="A992" s="295"/>
      <c r="B992" s="1"/>
      <c r="D992" s="400" t="str">
        <f t="shared" ref="D992:D999" si="732">+D833</f>
        <v>Summary GDP_Supply KP (sum of sector forecasts)</v>
      </c>
      <c r="F992" s="1"/>
      <c r="G992" s="1"/>
      <c r="H992" s="1"/>
      <c r="I992" s="1"/>
      <c r="J992" s="1"/>
      <c r="K992" s="1"/>
      <c r="L992" s="1"/>
      <c r="M992" s="1"/>
      <c r="N992" s="1"/>
      <c r="O992" s="1"/>
      <c r="P992" s="1"/>
      <c r="Q992" s="1"/>
      <c r="R992" s="1"/>
      <c r="S992" s="1"/>
      <c r="T992" s="1"/>
      <c r="V992" s="403">
        <f t="shared" ref="V992:AN992" si="733">+V833/V$833</f>
        <v>1</v>
      </c>
      <c r="W992" s="922">
        <f t="shared" si="733"/>
        <v>1</v>
      </c>
      <c r="X992" s="922">
        <f t="shared" si="733"/>
        <v>1</v>
      </c>
      <c r="Y992" s="922">
        <f t="shared" si="733"/>
        <v>1</v>
      </c>
      <c r="Z992" s="922">
        <f t="shared" si="733"/>
        <v>1</v>
      </c>
      <c r="AA992" s="922">
        <f t="shared" si="733"/>
        <v>1</v>
      </c>
      <c r="AB992" s="922">
        <f t="shared" si="733"/>
        <v>1</v>
      </c>
      <c r="AC992" s="403">
        <f t="shared" si="733"/>
        <v>1</v>
      </c>
      <c r="AD992" s="922">
        <f t="shared" si="733"/>
        <v>1</v>
      </c>
      <c r="AE992" s="922">
        <f t="shared" si="733"/>
        <v>1</v>
      </c>
      <c r="AF992" s="922">
        <f t="shared" si="733"/>
        <v>1</v>
      </c>
      <c r="AG992" s="922">
        <f t="shared" si="733"/>
        <v>1</v>
      </c>
      <c r="AH992" s="922">
        <f t="shared" si="733"/>
        <v>1</v>
      </c>
      <c r="AI992" s="922">
        <f t="shared" si="733"/>
        <v>1</v>
      </c>
      <c r="AJ992" s="922">
        <f t="shared" si="733"/>
        <v>1</v>
      </c>
      <c r="AK992" s="922">
        <f t="shared" si="733"/>
        <v>1</v>
      </c>
      <c r="AL992" s="922">
        <f t="shared" si="733"/>
        <v>1</v>
      </c>
      <c r="AM992" s="922">
        <f t="shared" si="733"/>
        <v>1</v>
      </c>
      <c r="AN992" s="922">
        <f t="shared" si="733"/>
        <v>1</v>
      </c>
      <c r="AO992" s="2622">
        <f t="shared" ref="AO992:AT993" si="734">+AO833/AO$833</f>
        <v>1</v>
      </c>
      <c r="AP992" s="2622">
        <f t="shared" si="734"/>
        <v>1</v>
      </c>
      <c r="AQ992" s="2622">
        <f t="shared" si="734"/>
        <v>1</v>
      </c>
      <c r="AR992" s="2622">
        <f t="shared" si="734"/>
        <v>1</v>
      </c>
      <c r="AS992" s="2622">
        <f t="shared" si="734"/>
        <v>1</v>
      </c>
      <c r="AT992" s="2622">
        <f t="shared" si="734"/>
        <v>1</v>
      </c>
    </row>
    <row r="993" spans="1:46">
      <c r="A993" s="295"/>
      <c r="B993" s="1"/>
      <c r="D993" s="399" t="str">
        <f t="shared" si="732"/>
        <v>Exports g&amp;s (domestic VA; assumed share inputs)</v>
      </c>
      <c r="F993" s="1"/>
      <c r="G993" s="1"/>
      <c r="H993" s="1"/>
      <c r="I993" s="1"/>
      <c r="J993" s="1"/>
      <c r="K993" s="1"/>
      <c r="L993" s="1"/>
      <c r="M993" s="1"/>
      <c r="N993" s="1"/>
      <c r="O993" s="1"/>
      <c r="P993" s="1"/>
      <c r="Q993" s="1"/>
      <c r="R993" s="1"/>
      <c r="S993" s="1"/>
      <c r="T993" s="1"/>
      <c r="V993" s="402">
        <f t="shared" ref="V993:AN993" si="735">+V834/V$833</f>
        <v>8.7271771008132479E-2</v>
      </c>
      <c r="W993" s="923">
        <f t="shared" si="735"/>
        <v>8.4574534725065792E-2</v>
      </c>
      <c r="X993" s="923">
        <f t="shared" si="735"/>
        <v>6.4674575665084208E-2</v>
      </c>
      <c r="Y993" s="923">
        <f t="shared" si="735"/>
        <v>9.7575215297621837E-2</v>
      </c>
      <c r="Z993" s="923">
        <f t="shared" si="735"/>
        <v>9.3851415930481158E-2</v>
      </c>
      <c r="AA993" s="923">
        <f t="shared" si="735"/>
        <v>0.10595875167393051</v>
      </c>
      <c r="AB993" s="923">
        <f t="shared" si="735"/>
        <v>0.14175447853558851</v>
      </c>
      <c r="AC993" s="402">
        <f t="shared" si="735"/>
        <v>0.1470468282498289</v>
      </c>
      <c r="AD993" s="923">
        <f t="shared" si="735"/>
        <v>0.15391283675392756</v>
      </c>
      <c r="AE993" s="923">
        <f t="shared" si="735"/>
        <v>0.18007122345364276</v>
      </c>
      <c r="AF993" s="923">
        <f t="shared" si="735"/>
        <v>0.1347587671180418</v>
      </c>
      <c r="AG993" s="923">
        <f t="shared" si="735"/>
        <v>0.15610442345072759</v>
      </c>
      <c r="AH993" s="923">
        <f t="shared" si="735"/>
        <v>0.17781312170706418</v>
      </c>
      <c r="AI993" s="923">
        <f t="shared" si="735"/>
        <v>0.20209485767501476</v>
      </c>
      <c r="AJ993" s="923">
        <f t="shared" si="735"/>
        <v>0.18498727118217984</v>
      </c>
      <c r="AK993" s="923">
        <f t="shared" si="735"/>
        <v>0.18926223761093755</v>
      </c>
      <c r="AL993" s="923">
        <f t="shared" si="735"/>
        <v>0.1864646857841839</v>
      </c>
      <c r="AM993" s="923">
        <f t="shared" si="735"/>
        <v>0.1835643455422846</v>
      </c>
      <c r="AN993" s="923">
        <f t="shared" si="735"/>
        <v>0.1770135103540785</v>
      </c>
      <c r="AO993" s="1915">
        <f t="shared" si="734"/>
        <v>0.17273015847993708</v>
      </c>
      <c r="AP993" s="1915">
        <f t="shared" si="734"/>
        <v>0.17016162848507294</v>
      </c>
      <c r="AQ993" s="1915">
        <f t="shared" si="734"/>
        <v>0.16721271717238209</v>
      </c>
      <c r="AR993" s="1915">
        <f t="shared" si="734"/>
        <v>0.16418892368682264</v>
      </c>
      <c r="AS993" s="1915">
        <f t="shared" si="734"/>
        <v>0.16117133985314036</v>
      </c>
      <c r="AT993" s="1915">
        <f t="shared" si="734"/>
        <v>0.15780845563734117</v>
      </c>
    </row>
    <row r="994" spans="1:46" ht="12" customHeight="1">
      <c r="A994" s="295"/>
      <c r="B994" s="1"/>
      <c r="D994" s="405" t="str">
        <f t="shared" si="732"/>
        <v xml:space="preserve">   1-  share of VA in exports (assumption, high import share for minerals)</v>
      </c>
      <c r="F994" s="1"/>
      <c r="G994" s="1"/>
      <c r="H994" s="1"/>
      <c r="I994" s="1"/>
      <c r="J994" s="1"/>
      <c r="K994" s="1"/>
      <c r="L994" s="1"/>
      <c r="M994" s="1"/>
      <c r="N994" s="1"/>
      <c r="O994" s="1"/>
      <c r="P994" s="1"/>
      <c r="Q994" s="1"/>
      <c r="R994" s="1"/>
      <c r="S994" s="1"/>
      <c r="T994" s="1"/>
      <c r="V994" s="1"/>
      <c r="X994" s="824"/>
      <c r="Z994" s="824"/>
      <c r="AO994" s="2623"/>
      <c r="AP994" s="2623"/>
      <c r="AQ994" s="2623"/>
      <c r="AR994" s="2623"/>
      <c r="AS994" s="2623"/>
      <c r="AT994" s="2623"/>
    </row>
    <row r="995" spans="1:46" ht="15.75" customHeight="1">
      <c r="A995" s="295"/>
      <c r="B995" s="1"/>
      <c r="D995" s="409" t="str">
        <f t="shared" si="732"/>
        <v>Public admin&amp;defence; compulsory soc security</v>
      </c>
      <c r="F995" s="1"/>
      <c r="G995" s="1"/>
      <c r="H995" s="1"/>
      <c r="I995" s="1"/>
      <c r="J995" s="1"/>
      <c r="K995" s="1"/>
      <c r="L995" s="1"/>
      <c r="M995" s="1"/>
      <c r="N995" s="1"/>
      <c r="O995" s="1"/>
      <c r="P995" s="1"/>
      <c r="Q995" s="1"/>
      <c r="R995" s="1"/>
      <c r="S995" s="1"/>
      <c r="T995" s="1"/>
      <c r="V995" s="402">
        <f t="shared" ref="V995:AN995" si="736">+V836/V$833</f>
        <v>3.5168903285515966E-2</v>
      </c>
      <c r="W995" s="923">
        <f t="shared" si="736"/>
        <v>3.5676251331203411E-2</v>
      </c>
      <c r="X995" s="923">
        <f t="shared" si="736"/>
        <v>3.2396432365243887E-2</v>
      </c>
      <c r="Y995" s="923">
        <f t="shared" si="736"/>
        <v>2.0311287708475689E-2</v>
      </c>
      <c r="Z995" s="923">
        <f t="shared" si="736"/>
        <v>2.397709976874576E-2</v>
      </c>
      <c r="AA995" s="923">
        <f t="shared" si="736"/>
        <v>2.4123542237806508E-2</v>
      </c>
      <c r="AB995" s="923">
        <f t="shared" si="736"/>
        <v>2.4043348526602858E-2</v>
      </c>
      <c r="AC995" s="923">
        <f t="shared" si="736"/>
        <v>2.2918505605077209E-2</v>
      </c>
      <c r="AD995" s="923">
        <f t="shared" si="736"/>
        <v>1.9731170312587209E-2</v>
      </c>
      <c r="AE995" s="923">
        <f t="shared" si="736"/>
        <v>1.7567209443846148E-2</v>
      </c>
      <c r="AF995" s="923">
        <f t="shared" si="736"/>
        <v>2.307789517144327E-2</v>
      </c>
      <c r="AG995" s="923">
        <f t="shared" si="736"/>
        <v>2.3634660054643021E-2</v>
      </c>
      <c r="AH995" s="923">
        <f t="shared" si="736"/>
        <v>2.257508763127359E-2</v>
      </c>
      <c r="AI995" s="923">
        <f t="shared" si="736"/>
        <v>2.6613651075037117E-2</v>
      </c>
      <c r="AJ995" s="923">
        <f t="shared" si="736"/>
        <v>3.3655135880661907E-2</v>
      </c>
      <c r="AK995" s="923">
        <f t="shared" si="736"/>
        <v>3.2036162621401007E-2</v>
      </c>
      <c r="AL995" s="923">
        <f t="shared" si="736"/>
        <v>3.0324269710429976E-2</v>
      </c>
      <c r="AM995" s="923">
        <f t="shared" si="736"/>
        <v>2.8829128903684696E-2</v>
      </c>
      <c r="AN995" s="923">
        <f t="shared" si="736"/>
        <v>2.7529747698830428E-2</v>
      </c>
      <c r="AO995" s="1915">
        <f t="shared" ref="AO995:AT999" si="737">+AO836/AO$833</f>
        <v>2.645352144866012E-2</v>
      </c>
      <c r="AP995" s="1915">
        <f t="shared" si="737"/>
        <v>2.5557643748708465E-2</v>
      </c>
      <c r="AQ995" s="1915">
        <f t="shared" si="737"/>
        <v>2.4481116951695751E-2</v>
      </c>
      <c r="AR995" s="1915">
        <f t="shared" si="737"/>
        <v>2.3250732335921662E-2</v>
      </c>
      <c r="AS995" s="1915">
        <f t="shared" si="737"/>
        <v>2.204539687944046E-2</v>
      </c>
      <c r="AT995" s="1915">
        <f t="shared" si="737"/>
        <v>2.0512984580420768E-2</v>
      </c>
    </row>
    <row r="996" spans="1:46" ht="15" customHeight="1">
      <c r="A996" s="295"/>
      <c r="B996" s="1"/>
      <c r="D996" s="409" t="str">
        <f t="shared" si="732"/>
        <v>Public wages and other VA in education (P+S+T)</v>
      </c>
      <c r="F996" s="1"/>
      <c r="G996" s="1"/>
      <c r="H996" s="1"/>
      <c r="I996" s="1"/>
      <c r="J996" s="1"/>
      <c r="K996" s="1"/>
      <c r="L996" s="1"/>
      <c r="M996" s="1"/>
      <c r="N996" s="1"/>
      <c r="O996" s="1"/>
      <c r="P996" s="1"/>
      <c r="Q996" s="1"/>
      <c r="R996" s="1"/>
      <c r="S996" s="1"/>
      <c r="T996" s="1"/>
      <c r="V996" s="402">
        <f t="shared" ref="V996:AN996" si="738">+V837/V$833</f>
        <v>2.5219805645534474E-2</v>
      </c>
      <c r="W996" s="923">
        <f t="shared" si="738"/>
        <v>2.4760383386581469E-2</v>
      </c>
      <c r="X996" s="923">
        <f t="shared" si="738"/>
        <v>1.6309220053789392E-2</v>
      </c>
      <c r="Y996" s="923">
        <f t="shared" si="738"/>
        <v>2.4249422632794459E-2</v>
      </c>
      <c r="Z996" s="923">
        <f t="shared" si="738"/>
        <v>2.2626834010959874E-2</v>
      </c>
      <c r="AA996" s="923">
        <f t="shared" si="738"/>
        <v>2.208465785511126E-2</v>
      </c>
      <c r="AB996" s="923">
        <f t="shared" si="738"/>
        <v>2.1570663897099943E-2</v>
      </c>
      <c r="AC996" s="923">
        <f t="shared" si="738"/>
        <v>2.0699342056627486E-2</v>
      </c>
      <c r="AD996" s="923">
        <f t="shared" si="738"/>
        <v>1.934785549993235E-2</v>
      </c>
      <c r="AE996" s="923">
        <f t="shared" si="738"/>
        <v>1.0185099060552507E-2</v>
      </c>
      <c r="AF996" s="923">
        <f t="shared" si="738"/>
        <v>1.8491752775816699E-2</v>
      </c>
      <c r="AG996" s="923">
        <f t="shared" si="738"/>
        <v>1.7029980714160481E-2</v>
      </c>
      <c r="AH996" s="923">
        <f t="shared" si="738"/>
        <v>1.6046511627906976E-2</v>
      </c>
      <c r="AI996" s="923">
        <f t="shared" si="738"/>
        <v>1.5612793091329014E-2</v>
      </c>
      <c r="AJ996" s="923">
        <f t="shared" si="738"/>
        <v>0</v>
      </c>
      <c r="AK996" s="923">
        <f t="shared" si="738"/>
        <v>0</v>
      </c>
      <c r="AL996" s="923">
        <f t="shared" si="738"/>
        <v>0</v>
      </c>
      <c r="AM996" s="923">
        <f t="shared" si="738"/>
        <v>0</v>
      </c>
      <c r="AN996" s="923">
        <f t="shared" si="738"/>
        <v>0</v>
      </c>
      <c r="AO996" s="1915">
        <f t="shared" si="737"/>
        <v>0</v>
      </c>
      <c r="AP996" s="1915">
        <f t="shared" si="737"/>
        <v>0</v>
      </c>
      <c r="AQ996" s="1915">
        <f t="shared" si="737"/>
        <v>0</v>
      </c>
      <c r="AR996" s="1915">
        <f t="shared" si="737"/>
        <v>0</v>
      </c>
      <c r="AS996" s="1915">
        <f t="shared" si="737"/>
        <v>0</v>
      </c>
      <c r="AT996" s="1915">
        <f t="shared" si="737"/>
        <v>0</v>
      </c>
    </row>
    <row r="997" spans="1:46" ht="15" customHeight="1">
      <c r="A997" s="295"/>
      <c r="B997" s="1"/>
      <c r="D997" s="409" t="str">
        <f t="shared" si="732"/>
        <v>Public wages and other VA in health</v>
      </c>
      <c r="F997" s="1"/>
      <c r="G997" s="1"/>
      <c r="H997" s="1"/>
      <c r="I997" s="1"/>
      <c r="J997" s="1"/>
      <c r="K997" s="1"/>
      <c r="L997" s="1"/>
      <c r="M997" s="1"/>
      <c r="N997" s="1"/>
      <c r="O997" s="1"/>
      <c r="P997" s="1"/>
      <c r="Q997" s="1"/>
      <c r="R997" s="1"/>
      <c r="S997" s="1"/>
      <c r="T997" s="1"/>
      <c r="V997" s="496">
        <f t="shared" ref="V997:AN997" si="739">+V838/V$833</f>
        <v>1.4576584914391484E-3</v>
      </c>
      <c r="W997" s="1270">
        <f t="shared" si="739"/>
        <v>1.6613418530351438E-3</v>
      </c>
      <c r="X997" s="1270">
        <f t="shared" si="739"/>
        <v>1.6964347286394039E-3</v>
      </c>
      <c r="Y997" s="1270">
        <f t="shared" si="739"/>
        <v>1.7321016166281756E-3</v>
      </c>
      <c r="Z997" s="1270">
        <f t="shared" si="739"/>
        <v>1.7367862824818807E-3</v>
      </c>
      <c r="AA997" s="1270">
        <f t="shared" si="739"/>
        <v>1.7567341475656685E-3</v>
      </c>
      <c r="AB997" s="1270">
        <f t="shared" si="739"/>
        <v>1.7496205160981064E-3</v>
      </c>
      <c r="AC997" s="1270">
        <f t="shared" si="739"/>
        <v>1.6189842537147926E-3</v>
      </c>
      <c r="AD997" s="1270">
        <f t="shared" si="739"/>
        <v>1.5322689757813557E-3</v>
      </c>
      <c r="AE997" s="1270">
        <f t="shared" si="739"/>
        <v>1.771928192726258E-3</v>
      </c>
      <c r="AF997" s="1270">
        <f t="shared" si="739"/>
        <v>1.8772864386111289E-3</v>
      </c>
      <c r="AG997" s="1270">
        <f t="shared" si="739"/>
        <v>1.867219917012448E-3</v>
      </c>
      <c r="AH997" s="1270">
        <f t="shared" si="739"/>
        <v>1.7199612403100775E-3</v>
      </c>
      <c r="AI997" s="1270">
        <f t="shared" si="739"/>
        <v>1.8752824220515138E-3</v>
      </c>
      <c r="AJ997" s="1270">
        <f t="shared" si="739"/>
        <v>0</v>
      </c>
      <c r="AK997" s="1270">
        <f t="shared" si="739"/>
        <v>0</v>
      </c>
      <c r="AL997" s="1270">
        <f t="shared" si="739"/>
        <v>0</v>
      </c>
      <c r="AM997" s="1270">
        <f t="shared" si="739"/>
        <v>0</v>
      </c>
      <c r="AN997" s="1270">
        <f t="shared" si="739"/>
        <v>0</v>
      </c>
      <c r="AO997" s="1916">
        <f t="shared" si="737"/>
        <v>0</v>
      </c>
      <c r="AP997" s="1916">
        <f t="shared" si="737"/>
        <v>0</v>
      </c>
      <c r="AQ997" s="1916">
        <f t="shared" si="737"/>
        <v>0</v>
      </c>
      <c r="AR997" s="1916">
        <f t="shared" si="737"/>
        <v>0</v>
      </c>
      <c r="AS997" s="1916">
        <f t="shared" si="737"/>
        <v>0</v>
      </c>
      <c r="AT997" s="1916">
        <f t="shared" si="737"/>
        <v>0</v>
      </c>
    </row>
    <row r="998" spans="1:46">
      <c r="A998" s="295"/>
      <c r="B998" s="1"/>
      <c r="D998" s="399" t="str">
        <f t="shared" si="732"/>
        <v xml:space="preserve"> Total public wage bill</v>
      </c>
      <c r="F998" s="1"/>
      <c r="G998" s="1"/>
      <c r="H998" s="1"/>
      <c r="I998" s="1"/>
      <c r="J998" s="1"/>
      <c r="K998" s="1"/>
      <c r="L998" s="1"/>
      <c r="M998" s="1"/>
      <c r="N998" s="1"/>
      <c r="O998" s="1"/>
      <c r="P998" s="1"/>
      <c r="Q998" s="1"/>
      <c r="R998" s="1"/>
      <c r="S998" s="1"/>
      <c r="T998" s="1"/>
      <c r="V998" s="402">
        <f t="shared" ref="V998:AG998" si="740">+V839/V$833</f>
        <v>6.1846367422489591E-2</v>
      </c>
      <c r="W998" s="923">
        <f t="shared" si="740"/>
        <v>6.2097976570820022E-2</v>
      </c>
      <c r="X998" s="923">
        <f t="shared" si="740"/>
        <v>5.0402087147672685E-2</v>
      </c>
      <c r="Y998" s="923">
        <f t="shared" si="740"/>
        <v>4.6292811957898319E-2</v>
      </c>
      <c r="Z998" s="923">
        <f t="shared" si="740"/>
        <v>4.8340720062187516E-2</v>
      </c>
      <c r="AA998" s="923">
        <f t="shared" si="740"/>
        <v>4.7964934240483439E-2</v>
      </c>
      <c r="AB998" s="923">
        <f t="shared" si="740"/>
        <v>4.7363632939800906E-2</v>
      </c>
      <c r="AC998" s="402">
        <f t="shared" si="740"/>
        <v>4.5236831915419488E-2</v>
      </c>
      <c r="AD998" s="923">
        <f t="shared" si="740"/>
        <v>4.0611294788300917E-2</v>
      </c>
      <c r="AE998" s="923">
        <f t="shared" si="740"/>
        <v>2.9524236697124912E-2</v>
      </c>
      <c r="AF998" s="923">
        <f t="shared" si="740"/>
        <v>4.3446934385871099E-2</v>
      </c>
      <c r="AG998" s="923">
        <f t="shared" si="740"/>
        <v>4.253186068581595E-2</v>
      </c>
      <c r="AH998" s="923">
        <f t="shared" ref="AH998:AN999" si="741">+AH839/AH$833</f>
        <v>4.0341560499490649E-2</v>
      </c>
      <c r="AI998" s="923">
        <f t="shared" si="741"/>
        <v>4.4101726588417649E-2</v>
      </c>
      <c r="AJ998" s="923">
        <f t="shared" si="741"/>
        <v>5.5540057574327471E-2</v>
      </c>
      <c r="AK998" s="923">
        <f t="shared" si="741"/>
        <v>5.4696325071013713E-2</v>
      </c>
      <c r="AL998" s="923">
        <f t="shared" si="741"/>
        <v>5.2619508547403708E-2</v>
      </c>
      <c r="AM998" s="923">
        <f t="shared" si="741"/>
        <v>5.0853608408853723E-2</v>
      </c>
      <c r="AN998" s="923">
        <f t="shared" si="741"/>
        <v>4.863613469080743E-2</v>
      </c>
      <c r="AO998" s="1915">
        <f t="shared" si="737"/>
        <v>4.6462919554326819E-2</v>
      </c>
      <c r="AP998" s="1915">
        <f t="shared" si="737"/>
        <v>4.4685345235187295E-2</v>
      </c>
      <c r="AQ998" s="1915">
        <f t="shared" si="737"/>
        <v>4.2745963655877746E-2</v>
      </c>
      <c r="AR998" s="1915">
        <f t="shared" si="737"/>
        <v>4.0822992469695958E-2</v>
      </c>
      <c r="AS998" s="1915">
        <f t="shared" si="737"/>
        <v>4.0725454963074434E-2</v>
      </c>
      <c r="AT998" s="1915">
        <f t="shared" si="737"/>
        <v>4.3831457110102959E-2</v>
      </c>
    </row>
    <row r="999" spans="1:46">
      <c r="A999" s="295"/>
      <c r="B999" s="1"/>
      <c r="D999" s="399" t="str">
        <f t="shared" si="732"/>
        <v>Taxes less subsidies on products</v>
      </c>
      <c r="F999" s="1"/>
      <c r="G999" s="1"/>
      <c r="H999" s="1"/>
      <c r="I999" s="1"/>
      <c r="J999" s="1"/>
      <c r="K999" s="1"/>
      <c r="L999" s="1"/>
      <c r="M999" s="1"/>
      <c r="N999" s="1"/>
      <c r="O999" s="1"/>
      <c r="P999" s="1"/>
      <c r="Q999" s="1"/>
      <c r="R999" s="1"/>
      <c r="S999" s="1"/>
      <c r="T999" s="1"/>
      <c r="V999" s="402">
        <f t="shared" ref="V999:AG999" si="742">+V840/V$833</f>
        <v>6.2124016658954187E-2</v>
      </c>
      <c r="W999" s="923">
        <f t="shared" si="742"/>
        <v>5.8040468583599576E-2</v>
      </c>
      <c r="X999" s="923">
        <f t="shared" si="742"/>
        <v>5.7237431901248192E-2</v>
      </c>
      <c r="Y999" s="923">
        <f t="shared" si="742"/>
        <v>5.4849884526558888E-2</v>
      </c>
      <c r="Z999" s="923">
        <f t="shared" si="742"/>
        <v>5.7539331801308116E-2</v>
      </c>
      <c r="AA999" s="923">
        <f t="shared" si="742"/>
        <v>5.6801070771289944E-2</v>
      </c>
      <c r="AB999" s="923">
        <f t="shared" si="742"/>
        <v>5.2888072221778382E-2</v>
      </c>
      <c r="AC999" s="402">
        <f t="shared" si="742"/>
        <v>5.3374732017446587E-2</v>
      </c>
      <c r="AD999" s="923">
        <f t="shared" si="742"/>
        <v>5.621702070085239E-2</v>
      </c>
      <c r="AE999" s="923">
        <f t="shared" si="742"/>
        <v>5.6552878801971906E-2</v>
      </c>
      <c r="AF999" s="923">
        <f t="shared" si="742"/>
        <v>5.7955201848405108E-2</v>
      </c>
      <c r="AG999" s="923">
        <f t="shared" si="742"/>
        <v>5.551984103792882E-2</v>
      </c>
      <c r="AH999" s="923">
        <f t="shared" si="741"/>
        <v>4.909560723514212E-2</v>
      </c>
      <c r="AI999" s="923">
        <f t="shared" si="741"/>
        <v>3.6408624602899425E-2</v>
      </c>
      <c r="AJ999" s="923">
        <f t="shared" si="741"/>
        <v>3.7197567882585734E-2</v>
      </c>
      <c r="AK999" s="923">
        <f t="shared" si="741"/>
        <v>3.9722128362431712E-2</v>
      </c>
      <c r="AL999" s="923">
        <f t="shared" si="741"/>
        <v>4.1175810631210848E-2</v>
      </c>
      <c r="AM999" s="923">
        <f t="shared" si="741"/>
        <v>4.0513582137458988E-2</v>
      </c>
      <c r="AN999" s="923">
        <f t="shared" si="741"/>
        <v>4.0166149377543751E-2</v>
      </c>
      <c r="AO999" s="1915">
        <f t="shared" si="737"/>
        <v>4.017792558351245E-2</v>
      </c>
      <c r="AP999" s="1915">
        <f t="shared" si="737"/>
        <v>4.0080812177701437E-2</v>
      </c>
      <c r="AQ999" s="1915">
        <f t="shared" si="737"/>
        <v>3.9882337826553801E-2</v>
      </c>
      <c r="AR999" s="1915">
        <f t="shared" si="737"/>
        <v>3.9546915560007972E-2</v>
      </c>
      <c r="AS999" s="1915">
        <f t="shared" si="737"/>
        <v>3.931104907180398E-2</v>
      </c>
      <c r="AT999" s="1915">
        <f t="shared" si="737"/>
        <v>3.9318071412729118E-2</v>
      </c>
    </row>
    <row r="1000" spans="1:46">
      <c r="A1000" s="295"/>
      <c r="B1000" s="1"/>
      <c r="D1000" s="399" t="str">
        <f>+D844</f>
        <v>GDP excl exports, public wages &amp; indirect taxes</v>
      </c>
      <c r="F1000" s="1"/>
      <c r="G1000" s="1"/>
      <c r="H1000" s="1"/>
      <c r="I1000" s="1"/>
      <c r="J1000" s="1"/>
      <c r="K1000" s="1"/>
      <c r="L1000" s="1"/>
      <c r="M1000" s="1"/>
      <c r="N1000" s="1"/>
      <c r="O1000" s="1"/>
      <c r="P1000" s="1"/>
      <c r="Q1000" s="1"/>
      <c r="R1000" s="1"/>
      <c r="S1000" s="1"/>
      <c r="T1000" s="1"/>
      <c r="V1000" s="402">
        <f t="shared" ref="V1000:AN1000" si="743">+V844/V$833</f>
        <v>0.78875784491042378</v>
      </c>
      <c r="W1000" s="923">
        <f t="shared" si="743"/>
        <v>0.79528702012051466</v>
      </c>
      <c r="X1000" s="923">
        <f t="shared" si="743"/>
        <v>0.82768590528599484</v>
      </c>
      <c r="Y1000" s="923">
        <f t="shared" si="743"/>
        <v>0.80128208821792091</v>
      </c>
      <c r="Z1000" s="923">
        <f t="shared" si="743"/>
        <v>0.80026853220602312</v>
      </c>
      <c r="AA1000" s="923">
        <f t="shared" si="743"/>
        <v>0.78927524331429622</v>
      </c>
      <c r="AB1000" s="923">
        <f t="shared" si="743"/>
        <v>0.75799381630283214</v>
      </c>
      <c r="AC1000" s="402">
        <f t="shared" si="743"/>
        <v>0.75434160781730508</v>
      </c>
      <c r="AD1000" s="923">
        <f t="shared" si="743"/>
        <v>0.7492588477569192</v>
      </c>
      <c r="AE1000" s="923">
        <f t="shared" si="743"/>
        <v>0.73385166104726052</v>
      </c>
      <c r="AF1000" s="923">
        <f t="shared" si="743"/>
        <v>0.76383909664768201</v>
      </c>
      <c r="AG1000" s="923">
        <f t="shared" si="743"/>
        <v>0.74584387482552761</v>
      </c>
      <c r="AH1000" s="923">
        <f t="shared" si="743"/>
        <v>0.73274971055830307</v>
      </c>
      <c r="AI1000" s="923">
        <f t="shared" si="743"/>
        <v>0.71739479113366811</v>
      </c>
      <c r="AJ1000" s="923">
        <f t="shared" si="743"/>
        <v>0.72227510336090694</v>
      </c>
      <c r="AK1000" s="923">
        <f t="shared" si="743"/>
        <v>0.71631930895561702</v>
      </c>
      <c r="AL1000" s="923">
        <f t="shared" si="743"/>
        <v>0.71973999503720143</v>
      </c>
      <c r="AM1000" s="923">
        <f t="shared" si="743"/>
        <v>0.72506846391140267</v>
      </c>
      <c r="AN1000" s="923">
        <f t="shared" si="743"/>
        <v>0.73418420557757047</v>
      </c>
      <c r="AO1000" s="1915">
        <f t="shared" ref="AO1000:AT1000" si="744">+AO844/AO$833</f>
        <v>0.74062899638222357</v>
      </c>
      <c r="AP1000" s="1915">
        <f t="shared" si="744"/>
        <v>0.74507221410203828</v>
      </c>
      <c r="AQ1000" s="1915">
        <f t="shared" si="744"/>
        <v>0.75015898134518633</v>
      </c>
      <c r="AR1000" s="1915">
        <f t="shared" si="744"/>
        <v>0.75544116828347352</v>
      </c>
      <c r="AS1000" s="1915">
        <f t="shared" si="744"/>
        <v>0.75879215611198114</v>
      </c>
      <c r="AT1000" s="1915">
        <f t="shared" si="744"/>
        <v>0.75904201583982678</v>
      </c>
    </row>
    <row r="1001" spans="1:46" ht="12" customHeight="1">
      <c r="A1001" s="295"/>
      <c r="B1001" s="1"/>
      <c r="D1001" s="406" t="str">
        <f>+D987</f>
        <v>check GDP shares</v>
      </c>
      <c r="F1001" s="1"/>
      <c r="G1001" s="1"/>
      <c r="H1001" s="1"/>
      <c r="I1001" s="1"/>
      <c r="J1001" s="1"/>
      <c r="K1001" s="1"/>
      <c r="L1001" s="1"/>
      <c r="M1001" s="1"/>
      <c r="N1001" s="1"/>
      <c r="O1001" s="1"/>
      <c r="P1001" s="1"/>
      <c r="Q1001" s="1"/>
      <c r="R1001" s="1"/>
      <c r="S1001" s="1"/>
      <c r="T1001" s="1"/>
      <c r="V1001" s="341" t="str">
        <f t="shared" ref="V1001:AC1001" si="745">+IF(ABS(V992-V993-V998-V999-V1000)&gt;0.1,"check","")</f>
        <v/>
      </c>
      <c r="W1001" s="341" t="str">
        <f t="shared" si="745"/>
        <v/>
      </c>
      <c r="X1001" s="341" t="str">
        <f t="shared" si="745"/>
        <v/>
      </c>
      <c r="Y1001" s="341" t="str">
        <f t="shared" si="745"/>
        <v/>
      </c>
      <c r="Z1001" s="341" t="str">
        <f t="shared" si="745"/>
        <v/>
      </c>
      <c r="AA1001" s="341" t="str">
        <f t="shared" si="745"/>
        <v/>
      </c>
      <c r="AB1001" s="341" t="str">
        <f>+IF(ABS(AB992-AB993-AB998-AB999-AB1000)&gt;0.1,"check","")</f>
        <v/>
      </c>
      <c r="AC1001" s="341" t="str">
        <f t="shared" si="745"/>
        <v/>
      </c>
      <c r="AD1001" s="341" t="str">
        <f>+IF(ABS(AD992-AD993-AD998-AD999-AD1000)&gt;0.1,"check","")</f>
        <v/>
      </c>
      <c r="AE1001" s="341" t="str">
        <f t="shared" ref="AE1001:AJ1001" si="746">+IF(ABS(AE992-AE993-AE998-AE999-AE1000)&gt;0.1,"check","")</f>
        <v/>
      </c>
      <c r="AF1001" s="341" t="str">
        <f t="shared" si="746"/>
        <v/>
      </c>
      <c r="AG1001" s="341" t="str">
        <f t="shared" si="746"/>
        <v/>
      </c>
      <c r="AH1001" s="341" t="str">
        <f t="shared" si="746"/>
        <v/>
      </c>
      <c r="AI1001" s="341" t="str">
        <f t="shared" si="746"/>
        <v/>
      </c>
      <c r="AJ1001" s="341" t="str">
        <f t="shared" si="746"/>
        <v/>
      </c>
      <c r="AK1001" s="341" t="str">
        <f>+IF(ABS(AK992-AK993-AK998-AK999-AK1000)&gt;0.1,"check","")</f>
        <v/>
      </c>
      <c r="AL1001" s="341" t="str">
        <f>+IF(ABS(AL992-AL993-AL998-AL999-AL1000)&gt;0.1,"check","")</f>
        <v/>
      </c>
      <c r="AM1001" s="341" t="str">
        <f>+IF(ABS(AM992-AM993-AM998-AM999-AM1000)&gt;0.1,"check","")</f>
        <v/>
      </c>
      <c r="AO1001" s="2623"/>
      <c r="AP1001" s="2623"/>
      <c r="AQ1001" s="2623"/>
      <c r="AR1001" s="2623"/>
      <c r="AS1001" s="2623"/>
      <c r="AT1001" s="2623"/>
    </row>
    <row r="1002" spans="1:46">
      <c r="A1002" s="295"/>
      <c r="B1002" s="1"/>
      <c r="D1002" s="400" t="str">
        <f t="shared" ref="D1002:D1014" si="747">+D859</f>
        <v xml:space="preserve">GDP_EXPENDITURE in constant prices (equal to supply) </v>
      </c>
      <c r="F1002" s="1"/>
      <c r="G1002" s="1"/>
      <c r="H1002" s="1"/>
      <c r="I1002" s="1"/>
      <c r="J1002" s="1"/>
      <c r="K1002" s="1"/>
      <c r="L1002" s="1"/>
      <c r="M1002" s="1"/>
      <c r="N1002" s="1"/>
      <c r="O1002" s="1"/>
      <c r="P1002" s="1"/>
      <c r="Q1002" s="1"/>
      <c r="R1002" s="1"/>
      <c r="S1002" s="1"/>
      <c r="T1002" s="1"/>
      <c r="V1002" s="403">
        <f t="shared" ref="V1002:AN1002" si="748">+V859/V$859</f>
        <v>1</v>
      </c>
      <c r="W1002" s="922">
        <f t="shared" si="748"/>
        <v>1</v>
      </c>
      <c r="X1002" s="922">
        <f t="shared" si="748"/>
        <v>1</v>
      </c>
      <c r="Y1002" s="922">
        <f t="shared" si="748"/>
        <v>1</v>
      </c>
      <c r="Z1002" s="922">
        <f t="shared" si="748"/>
        <v>1</v>
      </c>
      <c r="AA1002" s="922">
        <f t="shared" si="748"/>
        <v>1</v>
      </c>
      <c r="AB1002" s="922">
        <f t="shared" si="748"/>
        <v>1</v>
      </c>
      <c r="AC1002" s="403">
        <f t="shared" si="748"/>
        <v>1</v>
      </c>
      <c r="AD1002" s="922">
        <f t="shared" si="748"/>
        <v>1</v>
      </c>
      <c r="AE1002" s="922">
        <f t="shared" si="748"/>
        <v>1</v>
      </c>
      <c r="AF1002" s="922">
        <f t="shared" si="748"/>
        <v>1</v>
      </c>
      <c r="AG1002" s="922">
        <f t="shared" si="748"/>
        <v>1</v>
      </c>
      <c r="AH1002" s="922">
        <f t="shared" si="748"/>
        <v>1</v>
      </c>
      <c r="AI1002" s="922">
        <f t="shared" si="748"/>
        <v>1</v>
      </c>
      <c r="AJ1002" s="922">
        <f t="shared" si="748"/>
        <v>1</v>
      </c>
      <c r="AK1002" s="922">
        <f t="shared" si="748"/>
        <v>1</v>
      </c>
      <c r="AL1002" s="922">
        <f t="shared" si="748"/>
        <v>1</v>
      </c>
      <c r="AM1002" s="922">
        <f t="shared" si="748"/>
        <v>1</v>
      </c>
      <c r="AN1002" s="922">
        <f t="shared" si="748"/>
        <v>1</v>
      </c>
      <c r="AO1002" s="2622">
        <f t="shared" ref="AO1002:AT1009" si="749">+AO859/AO$859</f>
        <v>1</v>
      </c>
      <c r="AP1002" s="2622">
        <f t="shared" si="749"/>
        <v>1</v>
      </c>
      <c r="AQ1002" s="2622">
        <f t="shared" si="749"/>
        <v>1</v>
      </c>
      <c r="AR1002" s="2622">
        <f t="shared" si="749"/>
        <v>1</v>
      </c>
      <c r="AS1002" s="2622">
        <f t="shared" si="749"/>
        <v>1</v>
      </c>
      <c r="AT1002" s="2622">
        <f t="shared" si="749"/>
        <v>1</v>
      </c>
    </row>
    <row r="1003" spans="1:46">
      <c r="A1003" s="295"/>
      <c r="B1003" s="1"/>
      <c r="D1003" s="399" t="str">
        <f t="shared" si="747"/>
        <v xml:space="preserve">    Government</v>
      </c>
      <c r="F1003" s="1"/>
      <c r="G1003" s="1"/>
      <c r="H1003" s="1"/>
      <c r="I1003" s="1"/>
      <c r="J1003" s="1"/>
      <c r="K1003" s="1"/>
      <c r="L1003" s="1"/>
      <c r="M1003" s="1"/>
      <c r="N1003" s="1"/>
      <c r="O1003" s="1"/>
      <c r="P1003" s="1"/>
      <c r="Q1003" s="1"/>
      <c r="R1003" s="1"/>
      <c r="S1003" s="1"/>
      <c r="T1003" s="1"/>
      <c r="V1003" s="402">
        <f t="shared" ref="V1003:AN1003" si="750">+V860/V$859</f>
        <v>0.12459509486348913</v>
      </c>
      <c r="W1003" s="923">
        <f t="shared" si="750"/>
        <v>0.13280085197018104</v>
      </c>
      <c r="X1003" s="923">
        <f t="shared" si="750"/>
        <v>0.12649989831197886</v>
      </c>
      <c r="Y1003" s="923">
        <f t="shared" si="750"/>
        <v>0.1447267128560431</v>
      </c>
      <c r="Z1003" s="923">
        <f t="shared" si="750"/>
        <v>0.13964999116139296</v>
      </c>
      <c r="AA1003" s="923">
        <f t="shared" si="750"/>
        <v>0.14430316212146563</v>
      </c>
      <c r="AB1003" s="923">
        <f t="shared" si="750"/>
        <v>0.14787888471678517</v>
      </c>
      <c r="AC1003" s="402">
        <f t="shared" si="750"/>
        <v>0.14378650107193022</v>
      </c>
      <c r="AD1003" s="923">
        <f t="shared" si="750"/>
        <v>0.15464754431064809</v>
      </c>
      <c r="AE1003" s="923">
        <f t="shared" si="750"/>
        <v>0.16191205121068744</v>
      </c>
      <c r="AF1003" s="923">
        <f t="shared" si="750"/>
        <v>0.17001476156857712</v>
      </c>
      <c r="AG1003" s="923">
        <f t="shared" si="750"/>
        <v>0.17012448132780084</v>
      </c>
      <c r="AH1003" s="923">
        <f t="shared" si="750"/>
        <v>0.15672706143362738</v>
      </c>
      <c r="AI1003" s="923">
        <f t="shared" si="750"/>
        <v>0.16847933557445124</v>
      </c>
      <c r="AJ1003" s="923">
        <f t="shared" si="750"/>
        <v>0.17028990223871698</v>
      </c>
      <c r="AK1003" s="923">
        <f t="shared" si="750"/>
        <v>0.15806132441872953</v>
      </c>
      <c r="AL1003" s="923">
        <f t="shared" si="750"/>
        <v>0.15486800811721074</v>
      </c>
      <c r="AM1003" s="923">
        <f t="shared" si="750"/>
        <v>0.1508137909937674</v>
      </c>
      <c r="AN1003" s="923">
        <f t="shared" si="750"/>
        <v>0.1473342258164084</v>
      </c>
      <c r="AO1003" s="1915">
        <f t="shared" si="749"/>
        <v>0.20776904688770659</v>
      </c>
      <c r="AP1003" s="1915">
        <f t="shared" si="749"/>
        <v>0.20113473481381286</v>
      </c>
      <c r="AQ1003" s="1915">
        <f t="shared" si="749"/>
        <v>0.19982524818474059</v>
      </c>
      <c r="AR1003" s="1915">
        <f t="shared" si="749"/>
        <v>0.20203407416235489</v>
      </c>
      <c r="AS1003" s="1915">
        <f t="shared" si="749"/>
        <v>0.22023191138434714</v>
      </c>
      <c r="AT1003" s="1915">
        <f t="shared" si="749"/>
        <v>0.25571706688970447</v>
      </c>
    </row>
    <row r="1004" spans="1:46">
      <c r="A1004" s="295"/>
      <c r="B1004" s="1"/>
      <c r="D1004" s="399" t="str">
        <f t="shared" si="747"/>
        <v xml:space="preserve">      o/w: Govt wages (not explicit in NA) from BUDGET and Educ, Health wagebills</v>
      </c>
      <c r="F1004" s="1"/>
      <c r="G1004" s="1"/>
      <c r="H1004" s="1"/>
      <c r="I1004" s="1"/>
      <c r="J1004" s="1"/>
      <c r="K1004" s="1"/>
      <c r="L1004" s="1"/>
      <c r="M1004" s="1"/>
      <c r="N1004" s="1"/>
      <c r="O1004" s="1"/>
      <c r="P1004" s="1"/>
      <c r="Q1004" s="1"/>
      <c r="R1004" s="1"/>
      <c r="S1004" s="1"/>
      <c r="T1004" s="1"/>
      <c r="V1004" s="402">
        <f t="shared" ref="V1004:AN1004" si="751">+V861/V$859</f>
        <v>6.1846367422489591E-2</v>
      </c>
      <c r="W1004" s="923">
        <f t="shared" si="751"/>
        <v>6.2097976570820022E-2</v>
      </c>
      <c r="X1004" s="923">
        <f t="shared" si="751"/>
        <v>7.4321808595525896E-2</v>
      </c>
      <c r="Y1004" s="923">
        <f t="shared" si="751"/>
        <v>4.6292811957898319E-2</v>
      </c>
      <c r="Z1004" s="923">
        <f t="shared" si="751"/>
        <v>4.8340720062187516E-2</v>
      </c>
      <c r="AA1004" s="923">
        <f t="shared" si="751"/>
        <v>4.7964934240483439E-2</v>
      </c>
      <c r="AB1004" s="923">
        <f t="shared" si="751"/>
        <v>4.7363632939800906E-2</v>
      </c>
      <c r="AC1004" s="402">
        <f t="shared" si="751"/>
        <v>4.5236831915419488E-2</v>
      </c>
      <c r="AD1004" s="923">
        <f t="shared" si="751"/>
        <v>4.0611294788300917E-2</v>
      </c>
      <c r="AE1004" s="923">
        <f t="shared" si="751"/>
        <v>2.2085657440216389E-2</v>
      </c>
      <c r="AF1004" s="923">
        <f t="shared" si="751"/>
        <v>4.3446934385871099E-2</v>
      </c>
      <c r="AG1004" s="923">
        <f t="shared" si="751"/>
        <v>4.253186068581595E-2</v>
      </c>
      <c r="AH1004" s="923">
        <f t="shared" si="751"/>
        <v>3.9585063009800768E-2</v>
      </c>
      <c r="AI1004" s="923">
        <f t="shared" si="751"/>
        <v>4.3423674533395018E-2</v>
      </c>
      <c r="AJ1004" s="923">
        <f t="shared" si="751"/>
        <v>5.5540057574327471E-2</v>
      </c>
      <c r="AK1004" s="923">
        <f t="shared" si="751"/>
        <v>5.4696325071013713E-2</v>
      </c>
      <c r="AL1004" s="923">
        <f t="shared" si="751"/>
        <v>5.2619508547403708E-2</v>
      </c>
      <c r="AM1004" s="923">
        <f t="shared" si="751"/>
        <v>5.0853608408853723E-2</v>
      </c>
      <c r="AN1004" s="923">
        <f t="shared" si="751"/>
        <v>4.863613469080743E-2</v>
      </c>
      <c r="AO1004" s="1915">
        <f t="shared" si="749"/>
        <v>4.6462919554326819E-2</v>
      </c>
      <c r="AP1004" s="1915">
        <f t="shared" si="749"/>
        <v>4.4685345235187295E-2</v>
      </c>
      <c r="AQ1004" s="1915">
        <f t="shared" si="749"/>
        <v>4.2745963655877746E-2</v>
      </c>
      <c r="AR1004" s="1915">
        <f t="shared" si="749"/>
        <v>4.0822992469695958E-2</v>
      </c>
      <c r="AS1004" s="1915">
        <f t="shared" si="749"/>
        <v>4.0725454963074434E-2</v>
      </c>
      <c r="AT1004" s="1915">
        <f t="shared" si="749"/>
        <v>4.3831457110102959E-2</v>
      </c>
    </row>
    <row r="1005" spans="1:46">
      <c r="A1005" s="295"/>
      <c r="B1005" s="1"/>
      <c r="D1005" s="399" t="str">
        <f t="shared" si="747"/>
        <v xml:space="preserve">                           goods and services from FISCAL</v>
      </c>
      <c r="F1005" s="1"/>
      <c r="G1005" s="1"/>
      <c r="H1005" s="1"/>
      <c r="I1005" s="1"/>
      <c r="J1005" s="1"/>
      <c r="K1005" s="1"/>
      <c r="L1005" s="1"/>
      <c r="M1005" s="1"/>
      <c r="N1005" s="1"/>
      <c r="O1005" s="1"/>
      <c r="P1005" s="1"/>
      <c r="Q1005" s="1"/>
      <c r="R1005" s="1"/>
      <c r="S1005" s="1"/>
      <c r="T1005" s="1"/>
      <c r="V1005" s="402">
        <f t="shared" ref="V1005:AN1005" si="752">+V862/V$859</f>
        <v>6.2748727440999533E-2</v>
      </c>
      <c r="W1005" s="923">
        <f t="shared" si="752"/>
        <v>7.0702875399361015E-2</v>
      </c>
      <c r="X1005" s="923">
        <f t="shared" si="752"/>
        <v>5.2178089716452956E-2</v>
      </c>
      <c r="Y1005" s="923">
        <f t="shared" si="752"/>
        <v>9.8433900898144785E-2</v>
      </c>
      <c r="Z1005" s="923">
        <f t="shared" si="752"/>
        <v>9.1309271099205461E-2</v>
      </c>
      <c r="AA1005" s="923">
        <f t="shared" si="752"/>
        <v>9.6338227880982175E-2</v>
      </c>
      <c r="AB1005" s="923">
        <f t="shared" si="752"/>
        <v>0.10051525177698427</v>
      </c>
      <c r="AC1005" s="402">
        <f t="shared" si="752"/>
        <v>9.8549669156510714E-2</v>
      </c>
      <c r="AD1005" s="923">
        <f t="shared" si="752"/>
        <v>0.11403624952234717</v>
      </c>
      <c r="AE1005" s="923">
        <f t="shared" si="752"/>
        <v>0.13982639377047107</v>
      </c>
      <c r="AF1005" s="923">
        <f t="shared" si="752"/>
        <v>0.12656782718270601</v>
      </c>
      <c r="AG1005" s="923">
        <f t="shared" si="752"/>
        <v>0.12759262064198487</v>
      </c>
      <c r="AH1005" s="923">
        <f t="shared" si="752"/>
        <v>0.11714199842382661</v>
      </c>
      <c r="AI1005" s="923">
        <f t="shared" si="752"/>
        <v>0.12505566104105623</v>
      </c>
      <c r="AJ1005" s="923">
        <f t="shared" si="752"/>
        <v>0.11474984466438952</v>
      </c>
      <c r="AK1005" s="923">
        <f t="shared" si="752"/>
        <v>0.10336499934771581</v>
      </c>
      <c r="AL1005" s="923">
        <f t="shared" si="752"/>
        <v>0.10224849956980703</v>
      </c>
      <c r="AM1005" s="923">
        <f t="shared" si="752"/>
        <v>9.9960182584913682E-2</v>
      </c>
      <c r="AN1005" s="923">
        <f t="shared" si="752"/>
        <v>9.8698091125600976E-2</v>
      </c>
      <c r="AO1005" s="1915">
        <f t="shared" si="749"/>
        <v>0.16130612733337979</v>
      </c>
      <c r="AP1005" s="1915">
        <f t="shared" si="749"/>
        <v>0.15644938957862556</v>
      </c>
      <c r="AQ1005" s="1915">
        <f t="shared" si="749"/>
        <v>0.15707928452886286</v>
      </c>
      <c r="AR1005" s="1915">
        <f t="shared" si="749"/>
        <v>0.16121108169265891</v>
      </c>
      <c r="AS1005" s="1915">
        <f t="shared" si="749"/>
        <v>0.17950645642127272</v>
      </c>
      <c r="AT1005" s="1915">
        <f t="shared" si="749"/>
        <v>0.21188560977960147</v>
      </c>
    </row>
    <row r="1006" spans="1:46">
      <c r="A1006" s="295"/>
      <c r="B1006" s="1"/>
      <c r="D1006" s="399" t="str">
        <f t="shared" si="747"/>
        <v xml:space="preserve">    Households and NGOs (residual)</v>
      </c>
      <c r="F1006" s="1"/>
      <c r="G1006" s="1"/>
      <c r="H1006" s="1"/>
      <c r="I1006" s="1"/>
      <c r="J1006" s="1"/>
      <c r="K1006" s="1"/>
      <c r="L1006" s="1"/>
      <c r="M1006" s="1"/>
      <c r="N1006" s="1"/>
      <c r="O1006" s="1"/>
      <c r="P1006" s="1"/>
      <c r="Q1006" s="1"/>
      <c r="R1006" s="1"/>
      <c r="S1006" s="1"/>
      <c r="T1006" s="1"/>
      <c r="V1006" s="402">
        <f t="shared" ref="V1006:AN1006" si="753">+V863/V$859</f>
        <v>0.86661267931513186</v>
      </c>
      <c r="W1006" s="923">
        <f t="shared" si="753"/>
        <v>0.86815761448349305</v>
      </c>
      <c r="X1006" s="923">
        <f t="shared" si="753"/>
        <v>0.85895871466341267</v>
      </c>
      <c r="Y1006" s="923">
        <f t="shared" si="753"/>
        <v>0.87990762124711319</v>
      </c>
      <c r="Z1006" s="923">
        <f t="shared" si="753"/>
        <v>0.93848329503270289</v>
      </c>
      <c r="AA1006" s="923">
        <f t="shared" si="753"/>
        <v>0.92119792538062573</v>
      </c>
      <c r="AB1006" s="923">
        <f t="shared" si="753"/>
        <v>0.83486458416553488</v>
      </c>
      <c r="AC1006" s="402">
        <f t="shared" si="753"/>
        <v>0.83640127153101207</v>
      </c>
      <c r="AD1006" s="923">
        <f t="shared" si="753"/>
        <v>0.78365579759166559</v>
      </c>
      <c r="AE1006" s="923">
        <f t="shared" si="753"/>
        <v>0.83906206512663517</v>
      </c>
      <c r="AF1006" s="923">
        <f t="shared" si="753"/>
        <v>0.78820358128489831</v>
      </c>
      <c r="AG1006" s="923">
        <f t="shared" si="753"/>
        <v>0.64741978844018466</v>
      </c>
      <c r="AH1006" s="923">
        <f t="shared" si="753"/>
        <v>0.64692831863081712</v>
      </c>
      <c r="AI1006" s="923">
        <f t="shared" si="753"/>
        <v>0.63184694482894999</v>
      </c>
      <c r="AJ1006" s="923">
        <f t="shared" si="753"/>
        <v>0.60772973702350508</v>
      </c>
      <c r="AK1006" s="923">
        <f t="shared" si="753"/>
        <v>0.61896431613001968</v>
      </c>
      <c r="AL1006" s="923">
        <f t="shared" si="753"/>
        <v>0.61572779903954367</v>
      </c>
      <c r="AM1006" s="923">
        <f t="shared" si="753"/>
        <v>0.60959234440926136</v>
      </c>
      <c r="AN1006" s="923">
        <f t="shared" si="753"/>
        <v>0.60246223690452161</v>
      </c>
      <c r="AO1006" s="1915">
        <f t="shared" si="749"/>
        <v>0.55773038235364381</v>
      </c>
      <c r="AP1006" s="1915">
        <f t="shared" si="749"/>
        <v>0.57438334630168464</v>
      </c>
      <c r="AQ1006" s="1915">
        <f t="shared" si="749"/>
        <v>0.580081251602931</v>
      </c>
      <c r="AR1006" s="1915">
        <f t="shared" si="749"/>
        <v>0.57977936722167944</v>
      </c>
      <c r="AS1006" s="1915">
        <f t="shared" si="749"/>
        <v>0.55604563305479859</v>
      </c>
      <c r="AT1006" s="1915">
        <f t="shared" si="749"/>
        <v>0.51097991402025345</v>
      </c>
    </row>
    <row r="1007" spans="1:46">
      <c r="A1007" s="295"/>
      <c r="B1007" s="1"/>
      <c r="D1007" s="399" t="str">
        <f t="shared" si="747"/>
        <v xml:space="preserve">    Gross fixed capital formation </v>
      </c>
      <c r="F1007" s="1"/>
      <c r="G1007" s="1"/>
      <c r="H1007" s="1"/>
      <c r="I1007" s="1"/>
      <c r="J1007" s="1"/>
      <c r="K1007" s="1"/>
      <c r="L1007" s="1"/>
      <c r="M1007" s="1"/>
      <c r="N1007" s="1"/>
      <c r="O1007" s="1"/>
      <c r="P1007" s="1"/>
      <c r="Q1007" s="1"/>
      <c r="R1007" s="1"/>
      <c r="S1007" s="1"/>
      <c r="T1007" s="1"/>
      <c r="V1007" s="402">
        <f t="shared" ref="V1007:AN1007" si="754">+V864/V$859</f>
        <v>0.23819990745025452</v>
      </c>
      <c r="W1007" s="923">
        <f t="shared" si="754"/>
        <v>0.26805111821086264</v>
      </c>
      <c r="X1007" s="923">
        <f t="shared" si="754"/>
        <v>0.27547284929835264</v>
      </c>
      <c r="Y1007" s="923">
        <f t="shared" si="754"/>
        <v>0.27501924557351809</v>
      </c>
      <c r="Z1007" s="923">
        <f t="shared" si="754"/>
        <v>0.29777267102704613</v>
      </c>
      <c r="AA1007" s="923">
        <f t="shared" si="754"/>
        <v>0.30575539568345322</v>
      </c>
      <c r="AB1007" s="923">
        <f t="shared" si="754"/>
        <v>0.28201645761763999</v>
      </c>
      <c r="AC1007" s="402">
        <f t="shared" si="754"/>
        <v>0.27219634804465143</v>
      </c>
      <c r="AD1007" s="923">
        <f t="shared" si="754"/>
        <v>0.32661344878906778</v>
      </c>
      <c r="AE1007" s="923">
        <f t="shared" si="754"/>
        <v>0.29160868355134983</v>
      </c>
      <c r="AF1007" s="923">
        <f t="shared" si="754"/>
        <v>0.31994095372569153</v>
      </c>
      <c r="AG1007" s="923">
        <f t="shared" si="754"/>
        <v>0.33925544971071242</v>
      </c>
      <c r="AH1007" s="923">
        <f t="shared" si="754"/>
        <v>0.38207173419259416</v>
      </c>
      <c r="AI1007" s="923">
        <f t="shared" si="754"/>
        <v>0.34496737195965987</v>
      </c>
      <c r="AJ1007" s="923">
        <f t="shared" si="754"/>
        <v>0.36206988318120154</v>
      </c>
      <c r="AK1007" s="923">
        <f t="shared" si="754"/>
        <v>0.38685789558696232</v>
      </c>
      <c r="AL1007" s="923">
        <f t="shared" si="754"/>
        <v>0.38934541637178638</v>
      </c>
      <c r="AM1007" s="923">
        <f t="shared" si="754"/>
        <v>0.36442776188268367</v>
      </c>
      <c r="AN1007" s="923">
        <f t="shared" si="754"/>
        <v>0.35827718159395833</v>
      </c>
      <c r="AO1007" s="1915">
        <f t="shared" si="749"/>
        <v>0.33546165345663248</v>
      </c>
      <c r="AP1007" s="1915">
        <f t="shared" si="749"/>
        <v>0.31917869420769973</v>
      </c>
      <c r="AQ1007" s="1915">
        <f t="shared" si="749"/>
        <v>0.30605204297415844</v>
      </c>
      <c r="AR1007" s="1915">
        <f t="shared" si="749"/>
        <v>0.29606852580757997</v>
      </c>
      <c r="AS1007" s="1915">
        <f t="shared" si="749"/>
        <v>0.29259660340809135</v>
      </c>
      <c r="AT1007" s="1915">
        <f t="shared" si="749"/>
        <v>0.29430405047959052</v>
      </c>
    </row>
    <row r="1008" spans="1:46">
      <c r="A1008" s="295"/>
      <c r="B1008" s="1"/>
      <c r="D1008" s="399" t="str">
        <f t="shared" si="747"/>
        <v xml:space="preserve">         Government  (from FISCAL)</v>
      </c>
      <c r="F1008" s="1"/>
      <c r="G1008" s="1"/>
      <c r="H1008" s="1"/>
      <c r="I1008" s="1"/>
      <c r="J1008" s="1"/>
      <c r="K1008" s="1"/>
      <c r="L1008" s="1"/>
      <c r="M1008" s="1"/>
      <c r="N1008" s="1"/>
      <c r="O1008" s="1"/>
      <c r="P1008" s="1"/>
      <c r="Q1008" s="1"/>
      <c r="R1008" s="1"/>
      <c r="S1008" s="1"/>
      <c r="T1008" s="1"/>
      <c r="V1008" s="402">
        <f t="shared" ref="V1008:AN1008" si="755">+V865/V$859</f>
        <v>7.2650815194041901E-2</v>
      </c>
      <c r="W1008" s="923">
        <f t="shared" si="755"/>
        <v>8.3673059654940943E-2</v>
      </c>
      <c r="X1008" s="923">
        <f t="shared" si="755"/>
        <v>9.7403090074643914E-2</v>
      </c>
      <c r="Y1008" s="923">
        <f t="shared" si="755"/>
        <v>0.11287590332034449</v>
      </c>
      <c r="Z1008" s="923">
        <f t="shared" si="755"/>
        <v>0.10654777682124422</v>
      </c>
      <c r="AA1008" s="923">
        <f t="shared" si="755"/>
        <v>9.0949420926784055E-2</v>
      </c>
      <c r="AB1008" s="923">
        <f t="shared" si="755"/>
        <v>8.5400866438267747E-2</v>
      </c>
      <c r="AC1008" s="402">
        <f t="shared" si="755"/>
        <v>0.12409830220076563</v>
      </c>
      <c r="AD1008" s="923">
        <f t="shared" si="755"/>
        <v>0.13171902885246539</v>
      </c>
      <c r="AE1008" s="923">
        <f t="shared" si="755"/>
        <v>0.15864959454630032</v>
      </c>
      <c r="AF1008" s="923">
        <f t="shared" si="755"/>
        <v>9.6495147446164831E-2</v>
      </c>
      <c r="AG1008" s="923">
        <f t="shared" si="755"/>
        <v>8.3004647660842201E-2</v>
      </c>
      <c r="AH1008" s="923">
        <f t="shared" si="755"/>
        <v>7.7683345819446872E-2</v>
      </c>
      <c r="AI1008" s="923">
        <f t="shared" si="755"/>
        <v>7.248306752271115E-2</v>
      </c>
      <c r="AJ1008" s="923">
        <f t="shared" si="755"/>
        <v>6.9036888926384904E-2</v>
      </c>
      <c r="AK1008" s="923">
        <f t="shared" si="755"/>
        <v>6.7314222403134477E-2</v>
      </c>
      <c r="AL1008" s="923">
        <f t="shared" si="755"/>
        <v>6.9662442374818237E-2</v>
      </c>
      <c r="AM1008" s="923">
        <f t="shared" si="755"/>
        <v>7.0916318636042683E-2</v>
      </c>
      <c r="AN1008" s="923">
        <f t="shared" si="755"/>
        <v>7.0978445995387621E-2</v>
      </c>
      <c r="AO1008" s="1915">
        <f t="shared" si="749"/>
        <v>6.8008975236264826E-2</v>
      </c>
      <c r="AP1008" s="1915">
        <f t="shared" si="749"/>
        <v>6.6542297068894238E-2</v>
      </c>
      <c r="AQ1008" s="1915">
        <f t="shared" si="749"/>
        <v>6.7141926006355948E-2</v>
      </c>
      <c r="AR1008" s="1915">
        <f t="shared" si="749"/>
        <v>7.0244326330993173E-2</v>
      </c>
      <c r="AS1008" s="1915">
        <f t="shared" si="749"/>
        <v>7.9090452607306086E-2</v>
      </c>
      <c r="AT1008" s="1915">
        <f t="shared" si="749"/>
        <v>9.2858243405083779E-2</v>
      </c>
    </row>
    <row r="1009" spans="1:46">
      <c r="A1009" s="295"/>
      <c r="B1009" s="1"/>
      <c r="D1009" s="399" t="str">
        <f t="shared" si="747"/>
        <v xml:space="preserve">         Private sector (MF proxy); projection: exogenous</v>
      </c>
      <c r="F1009" s="1"/>
      <c r="G1009" s="1"/>
      <c r="H1009" s="1"/>
      <c r="I1009" s="1"/>
      <c r="J1009" s="1"/>
      <c r="K1009" s="1"/>
      <c r="L1009" s="1"/>
      <c r="M1009" s="1"/>
      <c r="N1009" s="1"/>
      <c r="O1009" s="1"/>
      <c r="P1009" s="1"/>
      <c r="Q1009" s="1"/>
      <c r="R1009" s="1"/>
      <c r="S1009" s="1"/>
      <c r="T1009" s="1"/>
      <c r="V1009" s="402">
        <f t="shared" ref="V1009:AN1009" si="756">+V866/V$859</f>
        <v>0.16554909225621262</v>
      </c>
      <c r="W1009" s="923">
        <f t="shared" si="756"/>
        <v>0.18437805855592165</v>
      </c>
      <c r="X1009" s="923">
        <f t="shared" si="756"/>
        <v>0.17806975922370874</v>
      </c>
      <c r="Y1009" s="923">
        <f t="shared" si="756"/>
        <v>0.16214334225317359</v>
      </c>
      <c r="Z1009" s="923">
        <f t="shared" si="756"/>
        <v>0.19122489420580197</v>
      </c>
      <c r="AA1009" s="923">
        <f t="shared" si="756"/>
        <v>0.21480597475666921</v>
      </c>
      <c r="AB1009" s="923">
        <f t="shared" si="756"/>
        <v>0.19661559117937222</v>
      </c>
      <c r="AC1009" s="402">
        <f t="shared" si="756"/>
        <v>0.14809804584388581</v>
      </c>
      <c r="AD1009" s="923">
        <f t="shared" si="756"/>
        <v>0.19489441993660245</v>
      </c>
      <c r="AE1009" s="923">
        <f t="shared" si="756"/>
        <v>0.13295908900504952</v>
      </c>
      <c r="AF1009" s="923">
        <f t="shared" si="756"/>
        <v>0.2234458062795267</v>
      </c>
      <c r="AG1009" s="923">
        <f t="shared" si="756"/>
        <v>0.25625080204987022</v>
      </c>
      <c r="AH1009" s="923">
        <f t="shared" si="756"/>
        <v>0.30438838837314725</v>
      </c>
      <c r="AI1009" s="923">
        <f t="shared" si="756"/>
        <v>0.27248430443694871</v>
      </c>
      <c r="AJ1009" s="923">
        <f t="shared" si="756"/>
        <v>0.2930329942548166</v>
      </c>
      <c r="AK1009" s="923">
        <f t="shared" si="756"/>
        <v>0.31954367318382787</v>
      </c>
      <c r="AL1009" s="923">
        <f t="shared" si="756"/>
        <v>0.31968297399696821</v>
      </c>
      <c r="AM1009" s="923">
        <f t="shared" si="756"/>
        <v>0.29351144324664097</v>
      </c>
      <c r="AN1009" s="923">
        <f t="shared" si="756"/>
        <v>0.28729873559857066</v>
      </c>
      <c r="AO1009" s="1915">
        <f t="shared" si="749"/>
        <v>0.26745267822036761</v>
      </c>
      <c r="AP1009" s="1915">
        <f t="shared" si="749"/>
        <v>0.25263639713880554</v>
      </c>
      <c r="AQ1009" s="1915">
        <f t="shared" si="749"/>
        <v>0.23891011696780245</v>
      </c>
      <c r="AR1009" s="1915">
        <f t="shared" si="749"/>
        <v>0.2258241994765868</v>
      </c>
      <c r="AS1009" s="1915">
        <f t="shared" si="749"/>
        <v>0.21350615080078528</v>
      </c>
      <c r="AT1009" s="1915">
        <f t="shared" si="749"/>
        <v>0.20144580707450674</v>
      </c>
    </row>
    <row r="1010" spans="1:46">
      <c r="A1010" s="295"/>
      <c r="B1010" s="1"/>
      <c r="D1010" s="399" t="str">
        <f t="shared" si="747"/>
        <v xml:space="preserve">      Construction</v>
      </c>
      <c r="F1010" s="1"/>
      <c r="G1010" s="1"/>
      <c r="H1010" s="1"/>
      <c r="I1010" s="1"/>
      <c r="J1010" s="1"/>
      <c r="K1010" s="1"/>
      <c r="L1010" s="1"/>
      <c r="M1010" s="1"/>
      <c r="N1010" s="1"/>
      <c r="O1010" s="1"/>
      <c r="P1010" s="1"/>
      <c r="Q1010" s="1"/>
      <c r="R1010" s="1"/>
      <c r="S1010" s="1"/>
      <c r="T1010" s="1"/>
      <c r="V1010" s="402">
        <f t="shared" ref="V1010:AB1014" si="757">+V867/V$859</f>
        <v>0.1523600185099491</v>
      </c>
      <c r="W1010" s="923">
        <f t="shared" si="757"/>
        <v>0.16176783812566561</v>
      </c>
      <c r="X1010" s="923">
        <f t="shared" si="757"/>
        <v>0.1719544437665243</v>
      </c>
      <c r="Y1010" s="923">
        <f t="shared" si="757"/>
        <v>0.17109314857582755</v>
      </c>
      <c r="Z1010" s="923">
        <f t="shared" si="757"/>
        <v>0.18181014672087678</v>
      </c>
      <c r="AA1010" s="923">
        <f t="shared" si="757"/>
        <v>0.17642630081980926</v>
      </c>
      <c r="AB1010" s="923">
        <f t="shared" si="757"/>
        <v>0.15163377806183589</v>
      </c>
      <c r="AC1010" s="923">
        <f t="shared" ref="AC1010:AG1011" si="758">+AC867/AC$859</f>
        <v>0.14681747615879354</v>
      </c>
      <c r="AD1010" s="923">
        <f t="shared" si="758"/>
        <v>0.17818969016371261</v>
      </c>
      <c r="AE1010" s="923">
        <f t="shared" si="758"/>
        <v>0.17297522961313666</v>
      </c>
      <c r="AF1010" s="923">
        <f t="shared" si="758"/>
        <v>0.18342853475386689</v>
      </c>
      <c r="AG1010" s="923">
        <f t="shared" si="758"/>
        <v>0.22243001577932325</v>
      </c>
      <c r="AH1010" s="923"/>
      <c r="AI1010" s="923"/>
      <c r="AJ1010" s="923"/>
      <c r="AK1010" s="923"/>
      <c r="AL1010" s="923"/>
      <c r="AM1010" s="923"/>
      <c r="AN1010" s="2"/>
      <c r="AO1010" s="1929"/>
      <c r="AP1010" s="1929"/>
      <c r="AQ1010" s="1929"/>
      <c r="AR1010" s="1929"/>
      <c r="AS1010" s="1929"/>
      <c r="AT1010" s="1929"/>
    </row>
    <row r="1011" spans="1:46">
      <c r="A1011" s="295"/>
      <c r="B1011" s="1"/>
      <c r="D1011" s="399" t="str">
        <f t="shared" si="747"/>
        <v xml:space="preserve">      Other</v>
      </c>
      <c r="F1011" s="1"/>
      <c r="G1011" s="1"/>
      <c r="H1011" s="1"/>
      <c r="I1011" s="1"/>
      <c r="J1011" s="1"/>
      <c r="K1011" s="1"/>
      <c r="L1011" s="1"/>
      <c r="M1011" s="1"/>
      <c r="N1011" s="1"/>
      <c r="O1011" s="1"/>
      <c r="P1011" s="1"/>
      <c r="Q1011" s="1"/>
      <c r="R1011" s="1"/>
      <c r="S1011" s="1"/>
      <c r="T1011" s="1"/>
      <c r="V1011" s="402">
        <f t="shared" si="757"/>
        <v>4.9167052290606202E-2</v>
      </c>
      <c r="W1011" s="923">
        <f t="shared" si="757"/>
        <v>6.2087326943556974E-2</v>
      </c>
      <c r="X1011" s="923">
        <f t="shared" si="757"/>
        <v>5.8368924140736224E-2</v>
      </c>
      <c r="Y1011" s="923">
        <f t="shared" si="757"/>
        <v>5.6966897613548881E-2</v>
      </c>
      <c r="Z1011" s="923">
        <f t="shared" si="757"/>
        <v>6.779211596252431E-2</v>
      </c>
      <c r="AA1011" s="923">
        <f t="shared" si="757"/>
        <v>8.0642462773966875E-2</v>
      </c>
      <c r="AB1011" s="923">
        <f t="shared" si="757"/>
        <v>7.7334824638491645E-2</v>
      </c>
      <c r="AC1011" s="923">
        <f t="shared" si="758"/>
        <v>7.5700450949951953E-2</v>
      </c>
      <c r="AD1011" s="923">
        <f t="shared" si="758"/>
        <v>8.9568393992693812E-2</v>
      </c>
      <c r="AE1011" s="923">
        <f t="shared" si="758"/>
        <v>7.709435012524353E-2</v>
      </c>
      <c r="AF1011" s="923">
        <f t="shared" si="758"/>
        <v>0.13631987677299276</v>
      </c>
      <c r="AG1011" s="923">
        <f t="shared" si="758"/>
        <v>0.11688387586932383</v>
      </c>
      <c r="AH1011" s="923"/>
      <c r="AI1011" s="923"/>
      <c r="AJ1011" s="923"/>
      <c r="AK1011" s="923"/>
      <c r="AL1011" s="923"/>
      <c r="AM1011" s="923"/>
      <c r="AN1011" s="2"/>
      <c r="AO1011" s="1929"/>
      <c r="AP1011" s="1929"/>
      <c r="AQ1011" s="1929"/>
      <c r="AR1011" s="1929"/>
      <c r="AS1011" s="1929"/>
      <c r="AT1011" s="1929"/>
    </row>
    <row r="1012" spans="1:46">
      <c r="A1012" s="295"/>
      <c r="B1012" s="1"/>
      <c r="D1012" s="399" t="str">
        <f t="shared" si="747"/>
        <v xml:space="preserve">    Change in inventories; projection: exogenous</v>
      </c>
      <c r="F1012" s="1"/>
      <c r="G1012" s="1"/>
      <c r="H1012" s="1"/>
      <c r="I1012" s="1"/>
      <c r="J1012" s="1"/>
      <c r="K1012" s="1"/>
      <c r="L1012" s="1"/>
      <c r="M1012" s="1"/>
      <c r="N1012" s="1"/>
      <c r="O1012" s="1"/>
      <c r="P1012" s="1"/>
      <c r="Q1012" s="1"/>
      <c r="R1012" s="1"/>
      <c r="S1012" s="1"/>
      <c r="T1012" s="1"/>
      <c r="V1012" s="402">
        <f t="shared" si="757"/>
        <v>0</v>
      </c>
      <c r="W1012" s="923">
        <f t="shared" si="757"/>
        <v>0</v>
      </c>
      <c r="X1012" s="923">
        <f t="shared" si="757"/>
        <v>0</v>
      </c>
      <c r="Y1012" s="923">
        <f t="shared" si="757"/>
        <v>0</v>
      </c>
      <c r="Z1012" s="923">
        <f t="shared" si="757"/>
        <v>0</v>
      </c>
      <c r="AA1012" s="923">
        <f t="shared" si="757"/>
        <v>0</v>
      </c>
      <c r="AB1012" s="923">
        <f t="shared" si="757"/>
        <v>0</v>
      </c>
      <c r="AC1012" s="402">
        <f t="shared" ref="AC1012:AN1012" si="759">+AC869/AC$859</f>
        <v>0</v>
      </c>
      <c r="AD1012" s="923">
        <f t="shared" si="759"/>
        <v>0</v>
      </c>
      <c r="AE1012" s="923">
        <f t="shared" si="759"/>
        <v>0</v>
      </c>
      <c r="AF1012" s="923">
        <f t="shared" si="759"/>
        <v>0</v>
      </c>
      <c r="AG1012" s="923">
        <f t="shared" si="759"/>
        <v>0</v>
      </c>
      <c r="AH1012" s="923">
        <f t="shared" si="759"/>
        <v>0</v>
      </c>
      <c r="AI1012" s="923">
        <f t="shared" si="759"/>
        <v>0</v>
      </c>
      <c r="AJ1012" s="923">
        <f t="shared" si="759"/>
        <v>0</v>
      </c>
      <c r="AK1012" s="923">
        <f t="shared" si="759"/>
        <v>0</v>
      </c>
      <c r="AL1012" s="923">
        <f t="shared" si="759"/>
        <v>0</v>
      </c>
      <c r="AM1012" s="923">
        <f t="shared" si="759"/>
        <v>0</v>
      </c>
      <c r="AN1012" s="923">
        <f t="shared" si="759"/>
        <v>0</v>
      </c>
      <c r="AO1012" s="1915">
        <f t="shared" ref="AO1012:AT1014" si="760">+AO869/AO$859</f>
        <v>0</v>
      </c>
      <c r="AP1012" s="1915">
        <f t="shared" si="760"/>
        <v>0</v>
      </c>
      <c r="AQ1012" s="1915">
        <f t="shared" si="760"/>
        <v>0</v>
      </c>
      <c r="AR1012" s="1915">
        <f t="shared" si="760"/>
        <v>0</v>
      </c>
      <c r="AS1012" s="1915">
        <f t="shared" si="760"/>
        <v>0</v>
      </c>
      <c r="AT1012" s="1915">
        <f t="shared" si="760"/>
        <v>0</v>
      </c>
    </row>
    <row r="1013" spans="1:46">
      <c r="A1013" s="295"/>
      <c r="B1013" s="1"/>
      <c r="D1013" s="399" t="str">
        <f t="shared" si="747"/>
        <v xml:space="preserve">    Exports of goods &amp; services (excl. indirect taxes) (from BOP)</v>
      </c>
      <c r="F1013" s="1"/>
      <c r="G1013" s="1"/>
      <c r="H1013" s="1"/>
      <c r="I1013" s="1"/>
      <c r="J1013" s="1"/>
      <c r="K1013" s="1"/>
      <c r="L1013" s="1"/>
      <c r="M1013" s="1"/>
      <c r="N1013" s="1"/>
      <c r="O1013" s="1"/>
      <c r="P1013" s="1"/>
      <c r="Q1013" s="1"/>
      <c r="R1013" s="1"/>
      <c r="S1013" s="1"/>
      <c r="T1013" s="1"/>
      <c r="V1013" s="402">
        <f t="shared" si="757"/>
        <v>9.6251735307727904E-2</v>
      </c>
      <c r="W1013" s="923">
        <f t="shared" si="757"/>
        <v>9.6485623003194881E-2</v>
      </c>
      <c r="X1013" s="923">
        <f t="shared" si="757"/>
        <v>0.10941631075859264</v>
      </c>
      <c r="Y1013" s="923">
        <f t="shared" si="757"/>
        <v>0.11123941493456505</v>
      </c>
      <c r="Z1013" s="923">
        <f t="shared" si="757"/>
        <v>0.10862648046667846</v>
      </c>
      <c r="AA1013" s="923">
        <f t="shared" si="757"/>
        <v>0.11602810774636105</v>
      </c>
      <c r="AB1013" s="923">
        <f t="shared" si="757"/>
        <v>0.15722617240552847</v>
      </c>
      <c r="AC1013" s="402">
        <f t="shared" ref="AC1013:AN1013" si="761">+AC870/AC$859</f>
        <v>0.16130701559843277</v>
      </c>
      <c r="AD1013" s="923">
        <f t="shared" si="761"/>
        <v>0.17697199296441618</v>
      </c>
      <c r="AE1013" s="923">
        <f t="shared" si="761"/>
        <v>0.16455608126913443</v>
      </c>
      <c r="AF1013" s="923">
        <f t="shared" si="761"/>
        <v>0.15544573519029586</v>
      </c>
      <c r="AG1013" s="923">
        <f t="shared" si="761"/>
        <v>0.22412483197942845</v>
      </c>
      <c r="AH1013" s="923">
        <f t="shared" si="761"/>
        <v>0.25228461254027784</v>
      </c>
      <c r="AI1013" s="923">
        <f t="shared" si="761"/>
        <v>0.27931579988135258</v>
      </c>
      <c r="AJ1013" s="923">
        <f t="shared" si="761"/>
        <v>0.26187045216365745</v>
      </c>
      <c r="AK1013" s="923">
        <f t="shared" si="761"/>
        <v>0.27050909107319249</v>
      </c>
      <c r="AL1013" s="923">
        <f t="shared" si="761"/>
        <v>0.26732528150401358</v>
      </c>
      <c r="AM1013" s="923">
        <f t="shared" si="761"/>
        <v>0.26291823229862837</v>
      </c>
      <c r="AN1013" s="923">
        <f t="shared" si="761"/>
        <v>0.25368499784572424</v>
      </c>
      <c r="AO1013" s="1915">
        <f t="shared" si="760"/>
        <v>0.2479008886987592</v>
      </c>
      <c r="AP1013" s="1915">
        <f t="shared" si="760"/>
        <v>0.24456878856208802</v>
      </c>
      <c r="AQ1013" s="1915">
        <f t="shared" si="760"/>
        <v>0.24070937654179936</v>
      </c>
      <c r="AR1013" s="1915">
        <f t="shared" si="760"/>
        <v>0.23673167125861966</v>
      </c>
      <c r="AS1013" s="1915">
        <f t="shared" si="760"/>
        <v>0.23276339922571229</v>
      </c>
      <c r="AT1013" s="1915">
        <f t="shared" si="760"/>
        <v>0.22828906155797102</v>
      </c>
    </row>
    <row r="1014" spans="1:46">
      <c r="A1014" s="295"/>
      <c r="B1014" s="1"/>
      <c r="D1014" s="399" t="str">
        <f t="shared" si="747"/>
        <v xml:space="preserve">    Imports of goods &amp; services (excl. indirect taxes) (from BOP)</v>
      </c>
      <c r="F1014" s="1"/>
      <c r="G1014" s="1"/>
      <c r="H1014" s="1"/>
      <c r="I1014" s="1"/>
      <c r="J1014" s="1"/>
      <c r="K1014" s="1"/>
      <c r="L1014" s="1"/>
      <c r="M1014" s="1"/>
      <c r="N1014" s="1"/>
      <c r="O1014" s="1"/>
      <c r="P1014" s="1"/>
      <c r="Q1014" s="1"/>
      <c r="R1014" s="1"/>
      <c r="S1014" s="1"/>
      <c r="T1014" s="1"/>
      <c r="V1014" s="402">
        <f t="shared" si="757"/>
        <v>0.29870430356316519</v>
      </c>
      <c r="W1014" s="923">
        <f t="shared" si="757"/>
        <v>0.32641107561235355</v>
      </c>
      <c r="X1014" s="923">
        <f t="shared" si="757"/>
        <v>0.33984136668700426</v>
      </c>
      <c r="Y1014" s="923">
        <f t="shared" si="757"/>
        <v>0.36855273287143958</v>
      </c>
      <c r="Z1014" s="923">
        <f t="shared" si="757"/>
        <v>0.41656354958458547</v>
      </c>
      <c r="AA1014" s="923">
        <f t="shared" si="757"/>
        <v>0.42420946963359546</v>
      </c>
      <c r="AB1014" s="923">
        <f t="shared" si="757"/>
        <v>0.42845729807461852</v>
      </c>
      <c r="AC1014" s="402">
        <f t="shared" ref="AC1014:AN1014" si="762">+AC871/AC$859</f>
        <v>0.42788497079914245</v>
      </c>
      <c r="AD1014" s="923">
        <f t="shared" si="762"/>
        <v>0.46184548775537815</v>
      </c>
      <c r="AE1014" s="923">
        <f t="shared" si="762"/>
        <v>0.45762593932646811</v>
      </c>
      <c r="AF1014" s="923">
        <f t="shared" si="762"/>
        <v>0.43354085103651885</v>
      </c>
      <c r="AG1014" s="923">
        <f t="shared" si="762"/>
        <v>0.38092455145812637</v>
      </c>
      <c r="AH1014" s="923">
        <f t="shared" si="762"/>
        <v>0.43785325656330887</v>
      </c>
      <c r="AI1014" s="923">
        <f t="shared" si="762"/>
        <v>0.42456001581965591</v>
      </c>
      <c r="AJ1014" s="923">
        <f t="shared" si="762"/>
        <v>0.40195997460708116</v>
      </c>
      <c r="AK1014" s="923">
        <f t="shared" si="762"/>
        <v>0.43439262720890404</v>
      </c>
      <c r="AL1014" s="923">
        <f t="shared" si="762"/>
        <v>0.42726650503255437</v>
      </c>
      <c r="AM1014" s="923">
        <f t="shared" si="762"/>
        <v>0.38775212958434085</v>
      </c>
      <c r="AN1014" s="923">
        <f t="shared" si="762"/>
        <v>0.36175864216061254</v>
      </c>
      <c r="AO1014" s="1915">
        <f t="shared" si="760"/>
        <v>0.34886197139674213</v>
      </c>
      <c r="AP1014" s="1915">
        <f t="shared" si="760"/>
        <v>0.33926556388528517</v>
      </c>
      <c r="AQ1014" s="1915">
        <f t="shared" si="760"/>
        <v>0.32666791930362948</v>
      </c>
      <c r="AR1014" s="1915">
        <f t="shared" si="760"/>
        <v>0.31461363845023393</v>
      </c>
      <c r="AS1014" s="1915">
        <f t="shared" si="760"/>
        <v>0.30163754707294943</v>
      </c>
      <c r="AT1014" s="1915">
        <f t="shared" si="760"/>
        <v>0.28929009294751951</v>
      </c>
    </row>
    <row r="1015" spans="1:46" ht="11.25" customHeight="1" thickBot="1">
      <c r="A1015" s="295"/>
      <c r="B1015" s="1"/>
      <c r="D1015" s="401" t="str">
        <f>+D872</f>
        <v>check NA discrepancies</v>
      </c>
      <c r="F1015" s="1"/>
      <c r="G1015" s="1"/>
      <c r="H1015" s="1"/>
      <c r="I1015" s="1"/>
      <c r="J1015" s="1"/>
      <c r="K1015" s="1"/>
      <c r="L1015" s="1"/>
      <c r="M1015" s="1"/>
      <c r="N1015" s="1"/>
      <c r="O1015" s="1"/>
      <c r="P1015" s="1"/>
      <c r="Q1015" s="1"/>
      <c r="R1015" s="1"/>
      <c r="S1015" s="1"/>
      <c r="T1015" s="1"/>
      <c r="V1015" s="1313" t="str">
        <f t="shared" ref="V1015:AK1015" si="763">+IF(ABS(V1002-V1003-V1006-V1007-V1012-V1013+V1014)&gt;1,"CHECK","")</f>
        <v/>
      </c>
      <c r="W1015" s="1314" t="str">
        <f t="shared" si="763"/>
        <v/>
      </c>
      <c r="X1015" s="1314" t="str">
        <f t="shared" si="763"/>
        <v/>
      </c>
      <c r="Y1015" s="1314" t="str">
        <f t="shared" si="763"/>
        <v/>
      </c>
      <c r="Z1015" s="1314" t="str">
        <f t="shared" si="763"/>
        <v/>
      </c>
      <c r="AA1015" s="1314" t="str">
        <f t="shared" si="763"/>
        <v/>
      </c>
      <c r="AB1015" s="1314" t="str">
        <f t="shared" si="763"/>
        <v/>
      </c>
      <c r="AC1015" s="1313" t="str">
        <f t="shared" si="763"/>
        <v/>
      </c>
      <c r="AD1015" s="1314" t="str">
        <f t="shared" si="763"/>
        <v/>
      </c>
      <c r="AE1015" s="1314" t="str">
        <f t="shared" si="763"/>
        <v/>
      </c>
      <c r="AF1015" s="1314" t="str">
        <f t="shared" si="763"/>
        <v/>
      </c>
      <c r="AG1015" s="3239" t="str">
        <f t="shared" si="763"/>
        <v/>
      </c>
      <c r="AH1015" s="3239" t="str">
        <f t="shared" si="763"/>
        <v/>
      </c>
      <c r="AI1015" s="3239" t="str">
        <f t="shared" si="763"/>
        <v/>
      </c>
      <c r="AJ1015" s="3239" t="str">
        <f t="shared" si="763"/>
        <v/>
      </c>
      <c r="AK1015" s="3239" t="str">
        <f t="shared" si="763"/>
        <v/>
      </c>
      <c r="AL1015" s="3239" t="str">
        <f t="shared" ref="AL1015:AT1015" si="764">+IF(ABS(AL1002-AL1003-AL1006-AL1007-AL1012-AL1013+AL1014)&gt;1,"CHECK","")</f>
        <v/>
      </c>
      <c r="AM1015" s="3239" t="str">
        <f t="shared" si="764"/>
        <v/>
      </c>
      <c r="AN1015" s="3239" t="str">
        <f t="shared" si="764"/>
        <v/>
      </c>
      <c r="AO1015" s="2624" t="str">
        <f t="shared" si="764"/>
        <v/>
      </c>
      <c r="AP1015" s="2624" t="str">
        <f t="shared" si="764"/>
        <v/>
      </c>
      <c r="AQ1015" s="2624" t="str">
        <f t="shared" si="764"/>
        <v/>
      </c>
      <c r="AR1015" s="2624" t="str">
        <f t="shared" si="764"/>
        <v/>
      </c>
      <c r="AS1015" s="2624" t="str">
        <f t="shared" si="764"/>
        <v/>
      </c>
      <c r="AT1015" s="2624" t="str">
        <f t="shared" si="764"/>
        <v/>
      </c>
    </row>
    <row r="1016" spans="1:46" customFormat="1" ht="15.5" thickTop="1">
      <c r="A1016" s="415"/>
      <c r="B1016" s="416"/>
      <c r="C1016" s="417"/>
      <c r="D1016" s="417"/>
      <c r="E1016" s="3069"/>
      <c r="F1016" s="417"/>
      <c r="G1016" s="417"/>
      <c r="H1016" s="417"/>
      <c r="I1016" s="417"/>
      <c r="J1016" s="417"/>
      <c r="K1016" s="417"/>
      <c r="L1016" s="417"/>
      <c r="M1016" s="417"/>
      <c r="N1016" s="417"/>
      <c r="O1016" s="417"/>
      <c r="P1016" s="417"/>
      <c r="Q1016" s="417"/>
      <c r="R1016" s="417"/>
      <c r="S1016" s="417"/>
      <c r="T1016" s="417"/>
      <c r="U1016" s="417"/>
      <c r="V1016" s="417"/>
      <c r="W1016" s="924"/>
      <c r="X1016" s="924"/>
      <c r="Y1016" s="924"/>
      <c r="Z1016" s="924"/>
      <c r="AA1016" s="924"/>
      <c r="AB1016" s="924"/>
      <c r="AC1016" s="417"/>
      <c r="AD1016" s="924"/>
      <c r="AE1016" s="924"/>
      <c r="AF1016" s="924"/>
      <c r="AG1016" s="820"/>
      <c r="AH1016" s="820"/>
      <c r="AI1016" s="820"/>
      <c r="AJ1016" s="820"/>
      <c r="AK1016" s="820"/>
      <c r="AL1016" s="820"/>
      <c r="AM1016" s="820"/>
      <c r="AN1016" s="2"/>
      <c r="AO1016" s="2"/>
      <c r="AP1016" s="2"/>
      <c r="AQ1016" s="2"/>
      <c r="AR1016" s="2"/>
      <c r="AS1016" s="2"/>
      <c r="AT1016" s="2"/>
    </row>
    <row r="1017" spans="1:46" customFormat="1" ht="14.75">
      <c r="A1017" s="297"/>
      <c r="B1017" s="295"/>
      <c r="C1017" s="293"/>
      <c r="D1017" s="1525" t="s">
        <v>570</v>
      </c>
      <c r="E1017" s="2968"/>
      <c r="F1017" s="293"/>
      <c r="G1017" s="293"/>
      <c r="H1017" s="293"/>
      <c r="I1017" s="293"/>
      <c r="J1017" s="293"/>
      <c r="K1017" s="293"/>
      <c r="L1017" s="293"/>
      <c r="M1017" s="293"/>
      <c r="N1017" s="293"/>
      <c r="O1017" s="293"/>
      <c r="P1017" s="293"/>
      <c r="Q1017" s="293"/>
      <c r="R1017" s="293"/>
      <c r="S1017" s="293"/>
      <c r="T1017" s="293"/>
      <c r="U1017" s="293"/>
      <c r="V1017" s="822">
        <v>2011</v>
      </c>
      <c r="W1017" s="925">
        <v>2012</v>
      </c>
      <c r="X1017" s="925">
        <v>2013</v>
      </c>
      <c r="Y1017" s="925">
        <v>2014</v>
      </c>
      <c r="Z1017" s="925">
        <v>2015</v>
      </c>
      <c r="AA1017" s="925">
        <v>2016</v>
      </c>
      <c r="AB1017" s="925">
        <v>2017</v>
      </c>
      <c r="AC1017" s="822">
        <v>2018</v>
      </c>
      <c r="AD1017" s="925">
        <v>2019</v>
      </c>
      <c r="AE1017" s="925">
        <v>2020</v>
      </c>
      <c r="AF1017" s="925">
        <v>2021</v>
      </c>
      <c r="AG1017" s="925">
        <v>2022</v>
      </c>
      <c r="AH1017" s="925">
        <v>2023</v>
      </c>
      <c r="AI1017" s="925">
        <v>2024</v>
      </c>
      <c r="AJ1017" s="925">
        <v>2025</v>
      </c>
      <c r="AK1017" s="925">
        <v>2026</v>
      </c>
      <c r="AL1017" s="925">
        <v>2027</v>
      </c>
      <c r="AM1017" s="925">
        <v>2028</v>
      </c>
      <c r="AN1017" s="925">
        <v>2029</v>
      </c>
      <c r="AO1017" s="925">
        <v>2030</v>
      </c>
      <c r="AP1017" s="925">
        <v>2031</v>
      </c>
      <c r="AQ1017" s="925">
        <v>2032</v>
      </c>
      <c r="AR1017" s="925">
        <v>2033</v>
      </c>
      <c r="AS1017" s="925">
        <v>2034</v>
      </c>
      <c r="AT1017" s="925">
        <v>2035</v>
      </c>
    </row>
    <row r="1018" spans="1:46" customFormat="1">
      <c r="A1018" s="297"/>
      <c r="B1018" s="295"/>
      <c r="C1018" s="293"/>
      <c r="D1018" s="2539" t="s">
        <v>600</v>
      </c>
      <c r="E1018" s="3070">
        <f ca="1">NOW()</f>
        <v>46074.610906250004</v>
      </c>
      <c r="F1018" s="751"/>
      <c r="G1018" s="751"/>
      <c r="H1018" s="751"/>
      <c r="I1018" s="752"/>
      <c r="J1018" s="752"/>
      <c r="K1018" s="752"/>
      <c r="L1018" s="752"/>
      <c r="M1018" s="752"/>
      <c r="N1018" s="752"/>
      <c r="O1018" s="752"/>
      <c r="P1018" s="752"/>
      <c r="Q1018" s="752"/>
      <c r="R1018" s="752"/>
      <c r="S1018" s="752"/>
      <c r="T1018" s="752"/>
      <c r="U1018" s="752"/>
      <c r="V1018" s="752"/>
      <c r="W1018" s="926"/>
      <c r="X1018" s="926"/>
      <c r="Y1018" s="926"/>
      <c r="Z1018" s="927"/>
      <c r="AA1018" s="927"/>
      <c r="AB1018" s="926"/>
      <c r="AC1018" s="752"/>
      <c r="AD1018" s="926"/>
      <c r="AE1018" s="926"/>
      <c r="AF1018" s="926"/>
      <c r="AG1018" s="926"/>
      <c r="AH1018" s="926"/>
      <c r="AI1018" s="926"/>
      <c r="AJ1018" s="926"/>
      <c r="AK1018" s="926"/>
      <c r="AL1018" s="926"/>
      <c r="AM1018" s="926"/>
      <c r="AN1018" s="926"/>
      <c r="AO1018" s="926"/>
      <c r="AP1018" s="926"/>
      <c r="AQ1018" s="926"/>
      <c r="AR1018" s="926"/>
      <c r="AS1018" s="926"/>
      <c r="AT1018" s="926"/>
    </row>
    <row r="1019" spans="1:46" customFormat="1">
      <c r="A1019" s="297"/>
      <c r="B1019" s="295"/>
      <c r="C1019" s="293"/>
      <c r="D1019" s="2540"/>
      <c r="E1019" s="3071"/>
      <c r="F1019" s="752"/>
      <c r="G1019" s="752"/>
      <c r="H1019" s="752"/>
      <c r="I1019" s="754">
        <v>1998</v>
      </c>
      <c r="J1019" s="754">
        <v>1999</v>
      </c>
      <c r="K1019" s="754">
        <v>2000</v>
      </c>
      <c r="L1019" s="754">
        <v>2001</v>
      </c>
      <c r="M1019" s="754">
        <v>2002</v>
      </c>
      <c r="N1019" s="754">
        <v>2003</v>
      </c>
      <c r="O1019" s="754">
        <v>2004</v>
      </c>
      <c r="P1019" s="754">
        <v>2005</v>
      </c>
      <c r="Q1019" s="754">
        <v>2006</v>
      </c>
      <c r="R1019" s="754">
        <v>2007</v>
      </c>
      <c r="S1019" s="754">
        <v>2008</v>
      </c>
      <c r="T1019" s="754">
        <v>2009</v>
      </c>
      <c r="U1019" s="754">
        <v>2010</v>
      </c>
      <c r="V1019" s="754">
        <v>2011</v>
      </c>
      <c r="W1019" s="928">
        <v>2012</v>
      </c>
      <c r="X1019" s="928">
        <v>2013</v>
      </c>
      <c r="Y1019" s="928">
        <v>2014</v>
      </c>
      <c r="Z1019" s="928">
        <v>2015</v>
      </c>
      <c r="AA1019" s="928">
        <v>2016</v>
      </c>
      <c r="AB1019" s="928">
        <v>2017</v>
      </c>
      <c r="AC1019" s="754">
        <v>2018</v>
      </c>
      <c r="AD1019" s="928">
        <v>2019</v>
      </c>
      <c r="AE1019" s="928">
        <v>2020</v>
      </c>
      <c r="AF1019" s="928">
        <v>2021</v>
      </c>
      <c r="AG1019" s="928">
        <v>2022</v>
      </c>
      <c r="AH1019" s="928">
        <v>2023</v>
      </c>
      <c r="AI1019" s="928">
        <v>2024</v>
      </c>
      <c r="AJ1019" s="928">
        <v>2025</v>
      </c>
      <c r="AK1019" s="928">
        <v>2026</v>
      </c>
      <c r="AL1019" s="928">
        <v>2027</v>
      </c>
      <c r="AM1019" s="928">
        <v>2028</v>
      </c>
      <c r="AN1019" s="928">
        <v>2029</v>
      </c>
      <c r="AO1019" s="2572">
        <v>2030</v>
      </c>
      <c r="AP1019" s="2572">
        <v>2031</v>
      </c>
      <c r="AQ1019" s="2572">
        <v>2032</v>
      </c>
      <c r="AR1019" s="2572">
        <v>2033</v>
      </c>
      <c r="AS1019" s="2572">
        <v>2034</v>
      </c>
      <c r="AT1019" s="2572">
        <v>2035</v>
      </c>
    </row>
    <row r="1020" spans="1:46" customFormat="1">
      <c r="A1020" s="297"/>
      <c r="B1020" s="295"/>
      <c r="C1020" s="293"/>
      <c r="D1020" s="2541" t="s">
        <v>1583</v>
      </c>
      <c r="E1020" s="3072"/>
      <c r="F1020" s="751"/>
      <c r="G1020" s="751"/>
      <c r="H1020" s="751"/>
      <c r="I1020" s="751"/>
      <c r="J1020" s="751"/>
      <c r="K1020" s="751"/>
      <c r="L1020" s="751"/>
      <c r="M1020" s="751"/>
      <c r="N1020" s="751"/>
      <c r="O1020" s="751"/>
      <c r="P1020" s="751"/>
      <c r="Q1020" s="751"/>
      <c r="R1020" s="751"/>
      <c r="S1020" s="751"/>
      <c r="T1020" s="751"/>
      <c r="U1020" s="751"/>
      <c r="V1020" s="751"/>
      <c r="W1020" s="929"/>
      <c r="X1020" s="929"/>
      <c r="Y1020" s="929"/>
      <c r="Z1020" s="929"/>
      <c r="AA1020" s="929"/>
      <c r="AB1020" s="929"/>
      <c r="AC1020" s="751"/>
      <c r="AD1020" s="929"/>
      <c r="AE1020" s="929"/>
      <c r="AF1020" s="929"/>
      <c r="AG1020" s="929"/>
      <c r="AH1020" s="929"/>
      <c r="AI1020" s="929"/>
      <c r="AJ1020" s="929"/>
      <c r="AK1020" s="929"/>
      <c r="AL1020" s="929"/>
      <c r="AM1020" s="929"/>
      <c r="AN1020" s="929"/>
      <c r="AO1020" s="1922"/>
      <c r="AP1020" s="1922"/>
      <c r="AQ1020" s="1922"/>
      <c r="AR1020" s="1922"/>
      <c r="AS1020" s="1922"/>
      <c r="AT1020" s="1922"/>
    </row>
    <row r="1021" spans="1:46" customFormat="1">
      <c r="A1021" s="297"/>
      <c r="B1021" s="295"/>
      <c r="C1021" s="293"/>
      <c r="D1021" s="2542" t="s">
        <v>16</v>
      </c>
      <c r="E1021" s="3072"/>
      <c r="F1021" s="751"/>
      <c r="G1021" s="751"/>
      <c r="H1021" s="755"/>
      <c r="I1021" s="755"/>
      <c r="J1021" s="755"/>
      <c r="K1021" s="755">
        <f t="shared" ref="K1021:AT1021" si="765">+K546</f>
        <v>8.4000000000000005E-2</v>
      </c>
      <c r="L1021" s="755">
        <f t="shared" si="765"/>
        <v>8.5000000000000006E-2</v>
      </c>
      <c r="M1021" s="755">
        <f t="shared" si="765"/>
        <v>0.13200000000000001</v>
      </c>
      <c r="N1021" s="755">
        <f t="shared" si="765"/>
        <v>2.1999999999999999E-2</v>
      </c>
      <c r="O1021" s="2558">
        <f t="shared" si="765"/>
        <v>7.3999999999999996E-2</v>
      </c>
      <c r="P1021" s="2558">
        <f t="shared" si="765"/>
        <v>9.4E-2</v>
      </c>
      <c r="Q1021" s="2558">
        <f t="shared" si="765"/>
        <v>9.1999999999999998E-2</v>
      </c>
      <c r="R1021" s="2558">
        <f t="shared" si="765"/>
        <v>7.5999999999999998E-2</v>
      </c>
      <c r="S1021" s="2558">
        <f t="shared" si="765"/>
        <v>0.112</v>
      </c>
      <c r="T1021" s="2558">
        <f t="shared" si="765"/>
        <v>6.2E-2</v>
      </c>
      <c r="U1021" s="2558">
        <f t="shared" si="765"/>
        <v>7.2999999999999995E-2</v>
      </c>
      <c r="V1021" s="2558">
        <f t="shared" si="765"/>
        <v>0.08</v>
      </c>
      <c r="W1021" s="2559">
        <f t="shared" si="765"/>
        <v>8.6302637667746485E-2</v>
      </c>
      <c r="X1021" s="2559">
        <f t="shared" si="765"/>
        <v>0.54430244941427053</v>
      </c>
      <c r="Y1021" s="2559">
        <f t="shared" si="765"/>
        <v>-0.28335976829184195</v>
      </c>
      <c r="Z1021" s="2559">
        <f t="shared" si="765"/>
        <v>8.8722093918398803E-2</v>
      </c>
      <c r="AA1021" s="2559">
        <f t="shared" si="765"/>
        <v>5.65670850273996E-2</v>
      </c>
      <c r="AB1021" s="2559">
        <f t="shared" si="765"/>
        <v>4.70972059561654E-2</v>
      </c>
      <c r="AC1021" s="2558">
        <f t="shared" si="765"/>
        <v>8.0690261244707129E-2</v>
      </c>
      <c r="AD1021" s="2559">
        <f t="shared" si="765"/>
        <v>9.2777408146669682E-2</v>
      </c>
      <c r="AE1021" s="2559">
        <f>+AE546</f>
        <v>-0.27269652279799761</v>
      </c>
      <c r="AF1021" s="2559">
        <f t="shared" si="765"/>
        <v>0.44926053390382292</v>
      </c>
      <c r="AG1021" s="2559">
        <f t="shared" si="765"/>
        <v>9.8196521404274373E-2</v>
      </c>
      <c r="AH1021" s="2559">
        <f t="shared" si="765"/>
        <v>8.5617439074279655E-2</v>
      </c>
      <c r="AI1021" s="2559">
        <f t="shared" si="765"/>
        <v>7.2189922480620172E-2</v>
      </c>
      <c r="AJ1021" s="2559">
        <f t="shared" si="765"/>
        <v>7.7782468776579336E-2</v>
      </c>
      <c r="AK1021" s="2559">
        <f t="shared" si="765"/>
        <v>8.3624635479302517E-2</v>
      </c>
      <c r="AL1021" s="2559">
        <f t="shared" si="765"/>
        <v>8.9448074270741265E-2</v>
      </c>
      <c r="AM1021" s="2559">
        <f t="shared" si="765"/>
        <v>8.4872958933530918E-2</v>
      </c>
      <c r="AN1021" s="2559">
        <f t="shared" si="765"/>
        <v>7.9348150624235281E-2</v>
      </c>
      <c r="AO1021" s="1497">
        <f t="shared" si="765"/>
        <v>8.3566922941106181E-2</v>
      </c>
      <c r="AP1021" s="1497">
        <f t="shared" si="765"/>
        <v>8.5986517054702047E-2</v>
      </c>
      <c r="AQ1021" s="1497">
        <f t="shared" si="765"/>
        <v>8.6815805047469774E-2</v>
      </c>
      <c r="AR1021" s="1497">
        <f t="shared" si="765"/>
        <v>8.9285264139473394E-2</v>
      </c>
      <c r="AS1021" s="1497">
        <f t="shared" si="765"/>
        <v>9.1185787998089463E-2</v>
      </c>
      <c r="AT1021" s="1497">
        <f t="shared" si="765"/>
        <v>9.5543951724292031E-2</v>
      </c>
    </row>
    <row r="1022" spans="1:46" customFormat="1">
      <c r="A1022" s="297"/>
      <c r="B1022" s="295"/>
      <c r="C1022" s="293"/>
      <c r="D1022" s="2542" t="s">
        <v>1584</v>
      </c>
      <c r="E1022" s="3072"/>
      <c r="F1022" s="751"/>
      <c r="G1022" s="751"/>
      <c r="H1022" s="755"/>
      <c r="I1022" s="755"/>
      <c r="J1022" s="930"/>
      <c r="K1022" s="930"/>
      <c r="L1022" s="930"/>
      <c r="M1022" s="930"/>
      <c r="N1022" s="930"/>
      <c r="O1022" s="930"/>
      <c r="P1022" s="930"/>
      <c r="Q1022" s="930"/>
      <c r="R1022" s="930"/>
      <c r="S1022" s="930"/>
      <c r="T1022" s="930"/>
      <c r="U1022" s="930"/>
      <c r="V1022" s="930">
        <f t="shared" ref="V1022:AT1022" si="766">+V962</f>
        <v>7.3863636363636465E-2</v>
      </c>
      <c r="W1022" s="930">
        <f t="shared" si="766"/>
        <v>4.7619047619047672E-2</v>
      </c>
      <c r="X1022" s="930">
        <f t="shared" si="766"/>
        <v>2.5252525252525304E-2</v>
      </c>
      <c r="Y1022" s="930">
        <f t="shared" si="766"/>
        <v>5.4187192118226646E-2</v>
      </c>
      <c r="Z1022" s="930">
        <f t="shared" si="766"/>
        <v>4.6728971962617383E-3</v>
      </c>
      <c r="AA1022" s="930">
        <f t="shared" si="766"/>
        <v>5.338776442734483E-2</v>
      </c>
      <c r="AB1022" s="930">
        <f t="shared" si="766"/>
        <v>7.5386575911606357E-2</v>
      </c>
      <c r="AC1022" s="755">
        <f t="shared" si="766"/>
        <v>8.8708167844477881E-3</v>
      </c>
      <c r="AD1022" s="930">
        <f t="shared" si="766"/>
        <v>4.1863130613343236E-2</v>
      </c>
      <c r="AE1022" s="930">
        <f t="shared" si="766"/>
        <v>8.948881887775606E-2</v>
      </c>
      <c r="AF1022" s="930">
        <f t="shared" si="766"/>
        <v>2.4056635695296258E-2</v>
      </c>
      <c r="AG1022" s="930">
        <f t="shared" si="766"/>
        <v>0.15932669108970576</v>
      </c>
      <c r="AH1022" s="930">
        <f t="shared" si="766"/>
        <v>0.11708079766831303</v>
      </c>
      <c r="AI1022" s="930">
        <f t="shared" si="766"/>
        <v>8.1500417452577301E-2</v>
      </c>
      <c r="AJ1022" s="930">
        <f t="shared" si="766"/>
        <v>6.1896921401419558E-2</v>
      </c>
      <c r="AK1022" s="930">
        <f t="shared" si="766"/>
        <v>9.5478318663174466E-2</v>
      </c>
      <c r="AL1022" s="930">
        <f t="shared" si="766"/>
        <v>3.6939514900300452E-2</v>
      </c>
      <c r="AM1022" s="930">
        <f t="shared" si="766"/>
        <v>4.0141046872086417E-2</v>
      </c>
      <c r="AN1022" s="930">
        <f t="shared" si="766"/>
        <v>5.009217676515032E-2</v>
      </c>
      <c r="AO1022" s="1497">
        <f t="shared" si="766"/>
        <v>5.0215879930752383E-2</v>
      </c>
      <c r="AP1022" s="1497">
        <f t="shared" si="766"/>
        <v>4.4714881723883382E-2</v>
      </c>
      <c r="AQ1022" s="1497">
        <f t="shared" si="766"/>
        <v>5.0573138869890677E-2</v>
      </c>
      <c r="AR1022" s="1497">
        <f t="shared" si="766"/>
        <v>5.0402270809649874E-2</v>
      </c>
      <c r="AS1022" s="1497">
        <f t="shared" si="766"/>
        <v>4.8099347739826825E-2</v>
      </c>
      <c r="AT1022" s="1497">
        <f t="shared" si="766"/>
        <v>4.5196913143827455E-2</v>
      </c>
    </row>
    <row r="1023" spans="1:46" customFormat="1">
      <c r="A1023" s="297"/>
      <c r="B1023" s="295"/>
      <c r="C1023" s="293"/>
      <c r="D1023" s="2543" t="s">
        <v>1585</v>
      </c>
      <c r="E1023" s="3073"/>
      <c r="F1023" s="1357"/>
      <c r="G1023" s="1357"/>
      <c r="H1023" s="1358"/>
      <c r="I1023" s="1358"/>
      <c r="J1023" s="1359"/>
      <c r="K1023" s="1359">
        <f t="shared" ref="K1023:U1023" si="767">+(K857/K844)/(J857/J844)-1</f>
        <v>3.4626311466485094E-2</v>
      </c>
      <c r="L1023" s="1359">
        <f t="shared" si="767"/>
        <v>-1.2416910869079922E-2</v>
      </c>
      <c r="M1023" s="1359">
        <f t="shared" si="767"/>
        <v>-6.3041324742635019E-2</v>
      </c>
      <c r="N1023" s="1359">
        <f t="shared" si="767"/>
        <v>0.21038875186120443</v>
      </c>
      <c r="O1023" s="1359">
        <f t="shared" si="767"/>
        <v>0.10604250966107842</v>
      </c>
      <c r="P1023" s="1359">
        <f t="shared" si="767"/>
        <v>9.1364171458211185E-2</v>
      </c>
      <c r="Q1023" s="1359">
        <f t="shared" si="767"/>
        <v>-0.44316754010699544</v>
      </c>
      <c r="R1023" s="1359">
        <f t="shared" si="767"/>
        <v>0.13166119009927901</v>
      </c>
      <c r="S1023" s="1359">
        <f t="shared" si="767"/>
        <v>0.14472212506511761</v>
      </c>
      <c r="T1023" s="1359">
        <f t="shared" si="767"/>
        <v>7.8392738591883893E-2</v>
      </c>
      <c r="U1023" s="1359">
        <f t="shared" si="767"/>
        <v>2.4254392214336118E-2</v>
      </c>
      <c r="V1023" s="1359">
        <f>+(V857/V844)/(U857/U844)-1</f>
        <v>7.0810986034789414E-2</v>
      </c>
      <c r="W1023" s="1359">
        <f>+(W857/W844)/(V857/V844)-1</f>
        <v>7.2092128665369959E-2</v>
      </c>
      <c r="X1023" s="1359">
        <f>+(X857/X844)/(W857/W844)-1</f>
        <v>0.38044110760531091</v>
      </c>
      <c r="Y1023" s="1359">
        <f>+(Y857/Y844)/(X857/X844)-1</f>
        <v>-0.23143397095125962</v>
      </c>
      <c r="Z1023" s="1359">
        <f>+(Z857/Z844)/(Y857/Y844)-1</f>
        <v>-2.3734586644630351E-4</v>
      </c>
      <c r="AA1023" s="1359">
        <f t="shared" ref="AA1023:AT1023" si="768">+AA943</f>
        <v>5.0483628051841478E-2</v>
      </c>
      <c r="AB1023" s="1359">
        <f t="shared" si="768"/>
        <v>5.9087772227374158E-2</v>
      </c>
      <c r="AC1023" s="1359">
        <f t="shared" si="768"/>
        <v>5.0312668396317317E-3</v>
      </c>
      <c r="AD1023" s="1359">
        <f t="shared" si="768"/>
        <v>2.2381709584333942E-2</v>
      </c>
      <c r="AE1023" s="1359">
        <f t="shared" si="768"/>
        <v>9.8665214640857535E-2</v>
      </c>
      <c r="AF1023" s="1359">
        <f t="shared" si="768"/>
        <v>-2.7636071848615273E-2</v>
      </c>
      <c r="AG1023" s="1359">
        <f t="shared" si="768"/>
        <v>0.12661527079621759</v>
      </c>
      <c r="AH1023" s="1359">
        <f t="shared" si="768"/>
        <v>0.15575867828875722</v>
      </c>
      <c r="AI1023" s="1359">
        <f t="shared" si="768"/>
        <v>4.0385209119226495E-2</v>
      </c>
      <c r="AJ1023" s="1359">
        <f t="shared" si="768"/>
        <v>7.6718070271680316E-2</v>
      </c>
      <c r="AK1023" s="1359">
        <f t="shared" si="768"/>
        <v>0.11001482503043514</v>
      </c>
      <c r="AL1023" s="1359">
        <f t="shared" si="768"/>
        <v>2.5973203377287257E-2</v>
      </c>
      <c r="AM1023" s="1359">
        <f t="shared" si="768"/>
        <v>3.5944050665887906E-2</v>
      </c>
      <c r="AN1023" s="1359">
        <f t="shared" si="768"/>
        <v>5.1042324200805345E-2</v>
      </c>
      <c r="AO1023" s="1923">
        <f t="shared" si="768"/>
        <v>5.2949265247091093E-2</v>
      </c>
      <c r="AP1023" s="1923">
        <f t="shared" si="768"/>
        <v>6.7656204678661513E-2</v>
      </c>
      <c r="AQ1023" s="1923">
        <f t="shared" si="768"/>
        <v>5.3442280069558423E-2</v>
      </c>
      <c r="AR1023" s="1923">
        <f t="shared" si="768"/>
        <v>5.366784066572583E-2</v>
      </c>
      <c r="AS1023" s="1923">
        <f t="shared" si="768"/>
        <v>5.2121094324296013E-2</v>
      </c>
      <c r="AT1023" s="1923">
        <f t="shared" si="768"/>
        <v>5.0297992916369161E-2</v>
      </c>
    </row>
    <row r="1024" spans="1:46" customFormat="1">
      <c r="A1024" s="297"/>
      <c r="B1024" s="295"/>
      <c r="C1024" s="293"/>
      <c r="D1024" s="2542" t="s">
        <v>1586</v>
      </c>
      <c r="E1024" s="3072"/>
      <c r="F1024" s="751"/>
      <c r="G1024" s="751"/>
      <c r="H1024" s="755"/>
      <c r="I1024" s="755"/>
      <c r="J1024" s="930">
        <f t="shared" ref="J1024:AT1024" si="769">+J932</f>
        <v>-5.9021725104933316E-2</v>
      </c>
      <c r="K1024" s="930">
        <f t="shared" si="769"/>
        <v>0.14119489507326066</v>
      </c>
      <c r="L1024" s="930">
        <f t="shared" si="769"/>
        <v>-0.10155494511280116</v>
      </c>
      <c r="M1024" s="930">
        <f t="shared" si="769"/>
        <v>0.12488994928949569</v>
      </c>
      <c r="N1024" s="930">
        <f t="shared" si="769"/>
        <v>7.5285504912388612E-2</v>
      </c>
      <c r="O1024" s="930">
        <f t="shared" si="769"/>
        <v>0.10245782930883829</v>
      </c>
      <c r="P1024" s="930">
        <f t="shared" si="769"/>
        <v>5.6075951070651664E-2</v>
      </c>
      <c r="Q1024" s="930">
        <f t="shared" si="769"/>
        <v>0.12138244260886166</v>
      </c>
      <c r="R1024" s="930">
        <f t="shared" si="769"/>
        <v>6.5793237144370575E-2</v>
      </c>
      <c r="S1024" s="930">
        <f t="shared" si="769"/>
        <v>0.22322678116126582</v>
      </c>
      <c r="T1024" s="930">
        <f t="shared" si="769"/>
        <v>5.736903261746007E-2</v>
      </c>
      <c r="U1024" s="930">
        <f t="shared" si="769"/>
        <v>2.2675069879221077E-3</v>
      </c>
      <c r="V1024" s="930">
        <f t="shared" si="769"/>
        <v>8.3355391639918092E-2</v>
      </c>
      <c r="W1024" s="930">
        <f t="shared" si="769"/>
        <v>3.8845157048789547E-2</v>
      </c>
      <c r="X1024" s="930">
        <f t="shared" si="769"/>
        <v>3.6000000000000004E-2</v>
      </c>
      <c r="Y1024" s="930">
        <f t="shared" si="769"/>
        <v>2.1000000000000001E-2</v>
      </c>
      <c r="Z1024" s="930">
        <f t="shared" si="769"/>
        <v>4.4999999999999998E-2</v>
      </c>
      <c r="AA1024" s="930">
        <f t="shared" si="769"/>
        <v>7.2834999999999997E-2</v>
      </c>
      <c r="AB1024" s="930">
        <f t="shared" si="769"/>
        <v>6.6540877038754331E-3</v>
      </c>
      <c r="AC1024" s="755">
        <f t="shared" si="769"/>
        <v>1.0999999999999999E-2</v>
      </c>
      <c r="AD1024" s="930">
        <f t="shared" si="769"/>
        <v>6.7309999999999995E-2</v>
      </c>
      <c r="AE1024" s="930">
        <f t="shared" si="769"/>
        <v>3.74308209199119E-2</v>
      </c>
      <c r="AF1024" s="930">
        <f t="shared" si="769"/>
        <v>1.8628873248091482E-2</v>
      </c>
      <c r="AG1024" s="930">
        <f t="shared" si="769"/>
        <v>0.21631732425985128</v>
      </c>
      <c r="AH1024" s="930">
        <f t="shared" si="769"/>
        <v>6.4478216181379056E-2</v>
      </c>
      <c r="AI1024" s="930">
        <f t="shared" si="769"/>
        <v>6.7787993314077033E-2</v>
      </c>
      <c r="AJ1024" s="930">
        <f t="shared" si="769"/>
        <v>8.8999999999999996E-2</v>
      </c>
      <c r="AK1024" s="930">
        <f t="shared" si="769"/>
        <v>0.08</v>
      </c>
      <c r="AL1024" s="930">
        <f t="shared" si="769"/>
        <v>0.03</v>
      </c>
      <c r="AM1024" s="930">
        <f t="shared" si="769"/>
        <v>0.05</v>
      </c>
      <c r="AN1024" s="930">
        <f t="shared" si="769"/>
        <v>0.05</v>
      </c>
      <c r="AO1024" s="1497">
        <f t="shared" si="769"/>
        <v>0.05</v>
      </c>
      <c r="AP1024" s="1497">
        <f t="shared" si="769"/>
        <v>0.05</v>
      </c>
      <c r="AQ1024" s="1497">
        <f t="shared" si="769"/>
        <v>0.05</v>
      </c>
      <c r="AR1024" s="1497">
        <f t="shared" si="769"/>
        <v>0.05</v>
      </c>
      <c r="AS1024" s="1497">
        <f t="shared" si="769"/>
        <v>0.05</v>
      </c>
      <c r="AT1024" s="1497">
        <f t="shared" si="769"/>
        <v>0.05</v>
      </c>
    </row>
    <row r="1025" spans="1:46" customFormat="1">
      <c r="A1025" s="297"/>
      <c r="B1025" s="295"/>
      <c r="C1025" s="293"/>
      <c r="D1025" s="2542" t="s">
        <v>1587</v>
      </c>
      <c r="E1025" s="3072"/>
      <c r="F1025" s="751"/>
      <c r="G1025" s="751"/>
      <c r="H1025" s="755"/>
      <c r="I1025" s="755"/>
      <c r="J1025" s="930">
        <f t="shared" ref="J1025:AT1025" si="770">+J931</f>
        <v>-0.10228761707806999</v>
      </c>
      <c r="K1025" s="930">
        <f t="shared" si="770"/>
        <v>2.1214788865460354E-2</v>
      </c>
      <c r="L1025" s="930">
        <f t="shared" si="770"/>
        <v>1.1494230477025358E-2</v>
      </c>
      <c r="M1025" s="930">
        <f t="shared" si="770"/>
        <v>-1.2501792998073302E-2</v>
      </c>
      <c r="N1025" s="930">
        <f t="shared" si="770"/>
        <v>0.11744236377675076</v>
      </c>
      <c r="O1025" s="930">
        <f t="shared" si="770"/>
        <v>0.11937808306006037</v>
      </c>
      <c r="P1025" s="930">
        <f t="shared" si="770"/>
        <v>9.132697764056763E-2</v>
      </c>
      <c r="Q1025" s="930">
        <f t="shared" si="770"/>
        <v>8.8313394380501897E-2</v>
      </c>
      <c r="R1025" s="930">
        <f t="shared" si="770"/>
        <v>9.0809741086125495E-2</v>
      </c>
      <c r="S1025" s="930">
        <f t="shared" si="770"/>
        <v>0.15441509649830398</v>
      </c>
      <c r="T1025" s="930">
        <f t="shared" si="770"/>
        <v>0.10340221174350983</v>
      </c>
      <c r="U1025" s="930">
        <f t="shared" si="770"/>
        <v>2.3073277314962892E-2</v>
      </c>
      <c r="V1025" s="930">
        <f t="shared" si="770"/>
        <v>5.6675699845492297E-2</v>
      </c>
      <c r="W1025" s="930">
        <f t="shared" si="770"/>
        <v>6.2863849450282228E-2</v>
      </c>
      <c r="X1025" s="930">
        <f t="shared" si="770"/>
        <v>4.2000000000000003E-2</v>
      </c>
      <c r="Y1025" s="930">
        <f t="shared" si="770"/>
        <v>1.784010267913394E-2</v>
      </c>
      <c r="Z1025" s="930">
        <f t="shared" si="770"/>
        <v>2.5072988767667947E-2</v>
      </c>
      <c r="AA1025" s="930">
        <f t="shared" si="770"/>
        <v>5.7234630000000002E-2</v>
      </c>
      <c r="AB1025" s="930">
        <f t="shared" si="770"/>
        <v>4.8367798851274957E-2</v>
      </c>
      <c r="AC1025" s="755">
        <f t="shared" si="770"/>
        <v>1.4E-2</v>
      </c>
      <c r="AD1025" s="930">
        <f t="shared" si="770"/>
        <v>2.4299999999999999E-2</v>
      </c>
      <c r="AE1025" s="930">
        <f t="shared" si="770"/>
        <v>7.7156235546899099E-2</v>
      </c>
      <c r="AF1025" s="930">
        <f t="shared" si="770"/>
        <v>8.1775706194855413E-3</v>
      </c>
      <c r="AG1025" s="930">
        <f t="shared" si="770"/>
        <v>0.13892335864190652</v>
      </c>
      <c r="AH1025" s="930">
        <f t="shared" si="770"/>
        <v>0.14030353524911621</v>
      </c>
      <c r="AI1025" s="930">
        <f t="shared" si="770"/>
        <v>4.7622148458877703E-2</v>
      </c>
      <c r="AJ1025" s="930">
        <f t="shared" si="770"/>
        <v>7.0000000000000007E-2</v>
      </c>
      <c r="AK1025" s="930">
        <f t="shared" si="770"/>
        <v>9.35E-2</v>
      </c>
      <c r="AL1025" s="930">
        <f t="shared" si="770"/>
        <v>0.03</v>
      </c>
      <c r="AM1025" s="930">
        <f t="shared" si="770"/>
        <v>0.04</v>
      </c>
      <c r="AN1025" s="930">
        <f t="shared" si="770"/>
        <v>0.05</v>
      </c>
      <c r="AO1025" s="1497">
        <f t="shared" si="770"/>
        <v>0.05</v>
      </c>
      <c r="AP1025" s="1497">
        <f t="shared" si="770"/>
        <v>0.05</v>
      </c>
      <c r="AQ1025" s="1497">
        <f t="shared" si="770"/>
        <v>0.05</v>
      </c>
      <c r="AR1025" s="1497">
        <f t="shared" si="770"/>
        <v>0.05</v>
      </c>
      <c r="AS1025" s="1497">
        <f t="shared" si="770"/>
        <v>0.05</v>
      </c>
      <c r="AT1025" s="1497">
        <f t="shared" si="770"/>
        <v>0.05</v>
      </c>
    </row>
    <row r="1026" spans="1:46" customFormat="1">
      <c r="A1026" s="297"/>
      <c r="B1026" s="295"/>
      <c r="C1026" s="293"/>
      <c r="D1026" s="2542" t="s">
        <v>1588</v>
      </c>
      <c r="E1026" s="3072"/>
      <c r="F1026" s="751"/>
      <c r="G1026" s="751"/>
      <c r="H1026" s="755"/>
      <c r="I1026" s="755"/>
      <c r="J1026" s="930">
        <f t="shared" ref="J1026:AT1026" si="771">+(J193/J195)/(I193/I195)-1</f>
        <v>2.4784952129584203E-2</v>
      </c>
      <c r="K1026" s="930">
        <f t="shared" si="771"/>
        <v>0.31291968375692192</v>
      </c>
      <c r="L1026" s="930">
        <f t="shared" si="771"/>
        <v>0.43322706143445999</v>
      </c>
      <c r="M1026" s="930">
        <f t="shared" si="771"/>
        <v>-0.13377956936084023</v>
      </c>
      <c r="N1026" s="930">
        <f t="shared" si="771"/>
        <v>-3.5622058248174771E-3</v>
      </c>
      <c r="O1026" s="930">
        <f t="shared" si="771"/>
        <v>0.18240425129419657</v>
      </c>
      <c r="P1026" s="930">
        <f t="shared" si="771"/>
        <v>9.779012941164833E-2</v>
      </c>
      <c r="Q1026" s="930">
        <f t="shared" si="771"/>
        <v>-0.1591025659835047</v>
      </c>
      <c r="R1026" s="930">
        <f t="shared" si="771"/>
        <v>3.8926087426289557E-2</v>
      </c>
      <c r="S1026" s="930">
        <f t="shared" si="771"/>
        <v>3.2933180038670962E-2</v>
      </c>
      <c r="T1026" s="930">
        <f t="shared" si="771"/>
        <v>2.6311489290333112E-2</v>
      </c>
      <c r="U1026" s="930">
        <f t="shared" si="771"/>
        <v>0.16806314046114501</v>
      </c>
      <c r="V1026" s="930">
        <f t="shared" si="771"/>
        <v>-9.3783492489642795E-2</v>
      </c>
      <c r="W1026" s="930">
        <f t="shared" si="771"/>
        <v>4.8374974681981486E-2</v>
      </c>
      <c r="X1026" s="930">
        <f t="shared" si="771"/>
        <v>-7.0988596635797041E-2</v>
      </c>
      <c r="Y1026" s="930">
        <f t="shared" si="771"/>
        <v>8.9487884857073485E-3</v>
      </c>
      <c r="Z1026" s="930">
        <f t="shared" si="771"/>
        <v>2.5184044456459054E-2</v>
      </c>
      <c r="AA1026" s="930">
        <f t="shared" si="771"/>
        <v>-3.2645740144299107E-2</v>
      </c>
      <c r="AB1026" s="930">
        <f t="shared" si="771"/>
        <v>0.21343453133551105</v>
      </c>
      <c r="AC1026" s="755">
        <f t="shared" si="771"/>
        <v>-2.5720990293040313E-2</v>
      </c>
      <c r="AD1026" s="930">
        <f t="shared" si="771"/>
        <v>-0.11987096089819005</v>
      </c>
      <c r="AE1026" s="930">
        <f t="shared" si="771"/>
        <v>-2.1682535118996871E-2</v>
      </c>
      <c r="AF1026" s="930">
        <f t="shared" si="771"/>
        <v>6.3479066110860183E-2</v>
      </c>
      <c r="AG1026" s="930">
        <f t="shared" si="771"/>
        <v>9.9802635457215683E-3</v>
      </c>
      <c r="AH1026" s="930">
        <f t="shared" si="771"/>
        <v>-7.4385828244732055E-2</v>
      </c>
      <c r="AI1026" s="930">
        <f t="shared" si="771"/>
        <v>3.7704687839724693E-2</v>
      </c>
      <c r="AJ1026" s="930">
        <f t="shared" si="771"/>
        <v>8.114156997305999E-3</v>
      </c>
      <c r="AK1026" s="930">
        <f t="shared" si="771"/>
        <v>3.6506978995197503E-2</v>
      </c>
      <c r="AL1026" s="930">
        <f t="shared" si="771"/>
        <v>1.1990021714298527E-2</v>
      </c>
      <c r="AM1026" s="930">
        <f t="shared" si="771"/>
        <v>-2.2741264297466701E-3</v>
      </c>
      <c r="AN1026" s="930">
        <f t="shared" si="771"/>
        <v>1.8829881012849548E-3</v>
      </c>
      <c r="AO1026" s="1497">
        <f t="shared" si="771"/>
        <v>4.3978492590697194E-3</v>
      </c>
      <c r="AP1026" s="1497">
        <f t="shared" si="771"/>
        <v>4.5566340697247298E-3</v>
      </c>
      <c r="AQ1026" s="1497">
        <f t="shared" si="771"/>
        <v>5.0337227033776522E-3</v>
      </c>
      <c r="AR1026" s="1497">
        <f t="shared" si="771"/>
        <v>5.1410078382903013E-3</v>
      </c>
      <c r="AS1026" s="1497">
        <f t="shared" si="771"/>
        <v>5.4221009780424101E-3</v>
      </c>
      <c r="AT1026" s="1497">
        <f t="shared" si="771"/>
        <v>5.6087120659835676E-3</v>
      </c>
    </row>
    <row r="1027" spans="1:46" customFormat="1">
      <c r="A1027" s="297"/>
      <c r="B1027" s="295"/>
      <c r="C1027" s="293"/>
      <c r="D1027" s="2542" t="s">
        <v>1589</v>
      </c>
      <c r="E1027" s="3072"/>
      <c r="F1027" s="751"/>
      <c r="G1027" s="751"/>
      <c r="H1027" s="756"/>
      <c r="I1027" s="756">
        <v>312.31409166666703</v>
      </c>
      <c r="J1027" s="931">
        <f t="shared" ref="J1027:AT1027" si="772">+J266</f>
        <v>333.94192500000003</v>
      </c>
      <c r="K1027" s="931">
        <f t="shared" si="772"/>
        <v>389.696216666667</v>
      </c>
      <c r="L1027" s="931">
        <f t="shared" si="772"/>
        <v>442.99189166666702</v>
      </c>
      <c r="M1027" s="931">
        <f t="shared" si="772"/>
        <v>475.36524166666698</v>
      </c>
      <c r="N1027" s="931">
        <f t="shared" si="772"/>
        <v>537.65498475000004</v>
      </c>
      <c r="O1027" s="931">
        <f t="shared" si="772"/>
        <v>577.44897458333298</v>
      </c>
      <c r="P1027" s="931">
        <f t="shared" si="772"/>
        <v>557.82264077499997</v>
      </c>
      <c r="Q1027" s="931">
        <f t="shared" si="772"/>
        <v>551.71033333333298</v>
      </c>
      <c r="R1027" s="931">
        <f t="shared" si="772"/>
        <v>546.95500000000004</v>
      </c>
      <c r="S1027" s="931">
        <f t="shared" si="772"/>
        <v>546.84865308253995</v>
      </c>
      <c r="T1027" s="931">
        <f t="shared" si="772"/>
        <v>568.28132683333297</v>
      </c>
      <c r="U1027" s="931">
        <f t="shared" si="772"/>
        <v>583.13090659057195</v>
      </c>
      <c r="V1027" s="931">
        <f t="shared" si="772"/>
        <v>600.29320604267491</v>
      </c>
      <c r="W1027" s="931">
        <f t="shared" si="772"/>
        <v>614.29431630039051</v>
      </c>
      <c r="X1027" s="931">
        <f t="shared" si="772"/>
        <v>646.63949334820143</v>
      </c>
      <c r="Y1027" s="931">
        <f t="shared" si="772"/>
        <v>682.43779531147175</v>
      </c>
      <c r="Z1027" s="931">
        <f t="shared" si="772"/>
        <v>719.54</v>
      </c>
      <c r="AA1027" s="931">
        <f t="shared" si="772"/>
        <v>787.2270116761639</v>
      </c>
      <c r="AB1027" s="931">
        <f t="shared" si="772"/>
        <v>831.42755121763093</v>
      </c>
      <c r="AC1027" s="756">
        <f t="shared" si="772"/>
        <v>861.08210413925633</v>
      </c>
      <c r="AD1027" s="931">
        <f t="shared" si="772"/>
        <v>901.2008004999999</v>
      </c>
      <c r="AE1027" s="931">
        <f t="shared" si="772"/>
        <v>945.1922248333334</v>
      </c>
      <c r="AF1027" s="931">
        <f t="shared" si="772"/>
        <v>990.36278749999985</v>
      </c>
      <c r="AG1027" s="931">
        <f t="shared" si="772"/>
        <v>1032.9918769999999</v>
      </c>
      <c r="AH1027" s="931">
        <f t="shared" si="772"/>
        <v>1168.1139727499999</v>
      </c>
      <c r="AI1027" s="931">
        <f t="shared" si="772"/>
        <v>1322.7254919166669</v>
      </c>
      <c r="AJ1027" s="931">
        <f t="shared" si="772"/>
        <v>1419.0039444429485</v>
      </c>
      <c r="AK1027" s="931">
        <f t="shared" si="772"/>
        <v>1486.3951837247382</v>
      </c>
      <c r="AL1027" s="931">
        <f t="shared" si="772"/>
        <v>1544.8855446604221</v>
      </c>
      <c r="AM1027" s="931">
        <f t="shared" si="772"/>
        <v>1593.8580817454642</v>
      </c>
      <c r="AN1027" s="931">
        <f t="shared" si="772"/>
        <v>1635.9113309178342</v>
      </c>
      <c r="AO1027" s="1498">
        <f t="shared" si="772"/>
        <v>1676.8091141907798</v>
      </c>
      <c r="AP1027" s="1498">
        <f t="shared" si="772"/>
        <v>1718.7293420455494</v>
      </c>
      <c r="AQ1027" s="1498">
        <f t="shared" si="772"/>
        <v>1761.6975755966878</v>
      </c>
      <c r="AR1027" s="1498">
        <f t="shared" si="772"/>
        <v>1805.7400149866048</v>
      </c>
      <c r="AS1027" s="1498">
        <f t="shared" si="772"/>
        <v>1850.8835153612699</v>
      </c>
      <c r="AT1027" s="1498">
        <f t="shared" si="772"/>
        <v>1897.1556032453016</v>
      </c>
    </row>
    <row r="1028" spans="1:46" customFormat="1">
      <c r="A1028" s="297"/>
      <c r="B1028" s="295"/>
      <c r="C1028" s="293"/>
      <c r="D1028" s="2542" t="s">
        <v>401</v>
      </c>
      <c r="E1028" s="3072"/>
      <c r="F1028" s="751"/>
      <c r="G1028" s="751"/>
      <c r="H1028" s="755"/>
      <c r="I1028" s="755"/>
      <c r="J1028" s="755">
        <f t="shared" ref="J1028:AT1028" si="773">+(1+J1025)/((J1027/I1027)*(1+J48))-1</f>
        <v>-0.16042818687656035</v>
      </c>
      <c r="K1028" s="755">
        <f t="shared" si="773"/>
        <v>-8.2841696141868981E-2</v>
      </c>
      <c r="L1028" s="755">
        <f t="shared" si="773"/>
        <v>-8.2473128405566531E-2</v>
      </c>
      <c r="M1028" s="755">
        <f t="shared" si="773"/>
        <v>-0.1250817250699523</v>
      </c>
      <c r="N1028" s="755">
        <f t="shared" si="773"/>
        <v>-0.1406987403353992</v>
      </c>
      <c r="O1028" s="755">
        <f t="shared" si="773"/>
        <v>-4.7479659587408851E-2</v>
      </c>
      <c r="P1028" s="755">
        <f t="shared" si="773"/>
        <v>8.5691890931165471E-2</v>
      </c>
      <c r="Q1028" s="755">
        <f t="shared" si="773"/>
        <v>6.2627955855778961E-2</v>
      </c>
      <c r="R1028" s="755">
        <f t="shared" si="773"/>
        <v>1.6522043373152995E-2</v>
      </c>
      <c r="S1028" s="755">
        <f t="shared" si="773"/>
        <v>7.9970029677706167E-2</v>
      </c>
      <c r="T1028" s="755">
        <f t="shared" si="773"/>
        <v>0.11209378111401325</v>
      </c>
      <c r="U1028" s="755">
        <f t="shared" si="773"/>
        <v>-2.645491303877423E-2</v>
      </c>
      <c r="V1028" s="755">
        <f t="shared" si="773"/>
        <v>-5.3910614574468996E-2</v>
      </c>
      <c r="W1028" s="755">
        <f t="shared" si="773"/>
        <v>6.4509763433985956E-2</v>
      </c>
      <c r="X1028" s="755">
        <f t="shared" si="773"/>
        <v>-3.0943099339128421E-2</v>
      </c>
      <c r="Y1028" s="755">
        <f t="shared" si="773"/>
        <v>-4.5067139825861413E-2</v>
      </c>
      <c r="Z1028" s="755">
        <f t="shared" si="773"/>
        <v>0.10039490010042584</v>
      </c>
      <c r="AA1028" s="755">
        <f t="shared" si="773"/>
        <v>-3.8127516419404595E-2</v>
      </c>
      <c r="AB1028" s="755">
        <f t="shared" si="773"/>
        <v>-3.4892127939755824E-2</v>
      </c>
      <c r="AC1028" s="755">
        <f t="shared" si="773"/>
        <v>-6.6228779004197103E-2</v>
      </c>
      <c r="AD1028" s="930">
        <f t="shared" si="773"/>
        <v>7.3505167324803278E-3</v>
      </c>
      <c r="AE1028" s="930">
        <f t="shared" si="773"/>
        <v>1.1386682001149007E-2</v>
      </c>
      <c r="AF1028" s="930">
        <f t="shared" si="773"/>
        <v>-8.7779251937078806E-2</v>
      </c>
      <c r="AG1028" s="930">
        <f t="shared" si="773"/>
        <v>0.13055911561920697</v>
      </c>
      <c r="AH1028" s="930">
        <f t="shared" si="773"/>
        <v>-4.077560184575979E-2</v>
      </c>
      <c r="AI1028" s="930">
        <f t="shared" si="773"/>
        <v>-8.6117414897061706E-2</v>
      </c>
      <c r="AJ1028" s="930">
        <f t="shared" si="773"/>
        <v>-4.4795392619230046E-2</v>
      </c>
      <c r="AK1028" s="930">
        <f t="shared" si="773"/>
        <v>5.4510685075226384E-4</v>
      </c>
      <c r="AL1028" s="930">
        <f t="shared" si="773"/>
        <v>-2.9638953438540616E-2</v>
      </c>
      <c r="AM1028" s="930">
        <f t="shared" si="773"/>
        <v>-1.2930221737924685E-2</v>
      </c>
      <c r="AN1028" s="930">
        <f t="shared" si="773"/>
        <v>2.2117786540849504E-3</v>
      </c>
      <c r="AO1028" s="1497">
        <f t="shared" si="773"/>
        <v>3.6258614777453513E-3</v>
      </c>
      <c r="AP1028" s="1497">
        <f t="shared" si="773"/>
        <v>2.2428243186431995E-3</v>
      </c>
      <c r="AQ1028" s="1497">
        <f t="shared" si="773"/>
        <v>2.2428243186436436E-3</v>
      </c>
      <c r="AR1028" s="1497">
        <f t="shared" si="773"/>
        <v>2.2428243186434216E-3</v>
      </c>
      <c r="AS1028" s="1497">
        <f t="shared" si="773"/>
        <v>2.2428243186434216E-3</v>
      </c>
      <c r="AT1028" s="1497">
        <f t="shared" si="773"/>
        <v>2.2428243186434216E-3</v>
      </c>
    </row>
    <row r="1029" spans="1:46" customFormat="1">
      <c r="A1029" s="297"/>
      <c r="B1029" s="295"/>
      <c r="C1029" s="293"/>
      <c r="D1029" s="2542"/>
      <c r="E1029" s="3072"/>
      <c r="F1029" s="751"/>
      <c r="G1029" s="751"/>
      <c r="H1029" s="753"/>
      <c r="I1029" s="753"/>
      <c r="J1029" s="753"/>
      <c r="K1029" s="753"/>
      <c r="L1029" s="753"/>
      <c r="M1029" s="753"/>
      <c r="N1029" s="753"/>
      <c r="O1029" s="753"/>
      <c r="P1029" s="753"/>
      <c r="Q1029" s="753"/>
      <c r="R1029" s="753"/>
      <c r="S1029" s="753"/>
      <c r="T1029" s="753"/>
      <c r="U1029" s="753"/>
      <c r="V1029" s="753"/>
      <c r="W1029" s="927"/>
      <c r="X1029" s="927"/>
      <c r="Y1029" s="927"/>
      <c r="Z1029" s="927"/>
      <c r="AA1029" s="927"/>
      <c r="AB1029" s="927"/>
      <c r="AC1029" s="751"/>
      <c r="AD1029" s="929"/>
      <c r="AE1029" s="929"/>
      <c r="AF1029" s="929"/>
      <c r="AG1029" s="929"/>
      <c r="AH1029" s="929"/>
      <c r="AI1029" s="929"/>
      <c r="AJ1029" s="929"/>
      <c r="AK1029" s="929"/>
      <c r="AL1029" s="929"/>
      <c r="AM1029" s="929"/>
      <c r="AN1029" s="929"/>
      <c r="AO1029" s="1922"/>
      <c r="AP1029" s="1922"/>
      <c r="AQ1029" s="1922"/>
      <c r="AR1029" s="1922"/>
      <c r="AS1029" s="1922"/>
      <c r="AT1029" s="1922"/>
    </row>
    <row r="1030" spans="1:46" customFormat="1">
      <c r="A1030" s="297"/>
      <c r="B1030" s="295"/>
      <c r="C1030" s="293"/>
      <c r="D1030" s="2541" t="s">
        <v>1611</v>
      </c>
      <c r="E1030" s="3072"/>
      <c r="F1030" s="751"/>
      <c r="G1030" s="751"/>
      <c r="H1030" s="753"/>
      <c r="I1030" s="753"/>
      <c r="J1030" s="753"/>
      <c r="K1030" s="753"/>
      <c r="L1030" s="753"/>
      <c r="M1030" s="753"/>
      <c r="N1030" s="753"/>
      <c r="O1030" s="753"/>
      <c r="P1030" s="753"/>
      <c r="Q1030" s="753"/>
      <c r="R1030" s="753"/>
      <c r="S1030" s="753"/>
      <c r="T1030" s="753"/>
      <c r="U1030" s="753"/>
      <c r="V1030" s="753"/>
      <c r="W1030" s="927"/>
      <c r="X1030" s="927"/>
      <c r="Y1030" s="927"/>
      <c r="Z1030" s="927"/>
      <c r="AA1030" s="927"/>
      <c r="AB1030" s="927"/>
      <c r="AC1030" s="751"/>
      <c r="AD1030" s="929"/>
      <c r="AE1030" s="929"/>
      <c r="AF1030" s="929"/>
      <c r="AG1030" s="929"/>
      <c r="AH1030" s="929"/>
      <c r="AI1030" s="929"/>
      <c r="AJ1030" s="929"/>
      <c r="AK1030" s="929"/>
      <c r="AL1030" s="929"/>
      <c r="AM1030" s="929"/>
      <c r="AN1030" s="929"/>
      <c r="AO1030" s="1922"/>
      <c r="AP1030" s="1922"/>
      <c r="AQ1030" s="1922"/>
      <c r="AR1030" s="1922"/>
      <c r="AS1030" s="1922"/>
      <c r="AT1030" s="1922"/>
    </row>
    <row r="1031" spans="1:46" customFormat="1">
      <c r="A1031" s="297"/>
      <c r="B1031" s="295"/>
      <c r="C1031" s="293"/>
      <c r="D1031" s="2544" t="s">
        <v>1590</v>
      </c>
      <c r="E1031" s="3074"/>
      <c r="F1031" s="433"/>
      <c r="G1031" s="433"/>
      <c r="H1031" s="434"/>
      <c r="I1031" s="434"/>
      <c r="J1031" s="434"/>
      <c r="K1031" s="434">
        <f t="shared" ref="K1031:AT1031" si="774">+K548</f>
        <v>7.4999999999999997E-2</v>
      </c>
      <c r="L1031" s="434">
        <f t="shared" si="774"/>
        <v>8.7999999999999995E-2</v>
      </c>
      <c r="M1031" s="434">
        <f t="shared" si="774"/>
        <v>0.16900000000000001</v>
      </c>
      <c r="N1031" s="434">
        <f t="shared" si="774"/>
        <v>-3.1E-2</v>
      </c>
      <c r="O1031" s="434">
        <f t="shared" si="774"/>
        <v>1.7999999999999999E-2</v>
      </c>
      <c r="P1031" s="434">
        <f t="shared" si="774"/>
        <v>6.5000000000000002E-2</v>
      </c>
      <c r="Q1031" s="434">
        <f t="shared" si="774"/>
        <v>2.8000000000000001E-2</v>
      </c>
      <c r="R1031" s="434">
        <f t="shared" si="774"/>
        <v>2.5999999999999999E-2</v>
      </c>
      <c r="S1031" s="434">
        <f t="shared" si="774"/>
        <v>6.4000000000000001E-2</v>
      </c>
      <c r="T1031" s="434">
        <f t="shared" si="774"/>
        <v>7.6999999999999999E-2</v>
      </c>
      <c r="U1031" s="434">
        <f t="shared" si="774"/>
        <v>0.05</v>
      </c>
      <c r="V1031" s="434">
        <f t="shared" si="774"/>
        <v>0.04</v>
      </c>
      <c r="W1031" s="932">
        <f t="shared" si="774"/>
        <v>6.7656765676567643E-2</v>
      </c>
      <c r="X1031" s="932">
        <f t="shared" si="774"/>
        <v>0.38446676970633686</v>
      </c>
      <c r="Y1031" s="932">
        <f t="shared" si="774"/>
        <v>-0.21490371197320679</v>
      </c>
      <c r="Z1031" s="932">
        <f t="shared" si="774"/>
        <v>4.5147529328119385E-2</v>
      </c>
      <c r="AA1031" s="932">
        <f t="shared" si="774"/>
        <v>2.7210884353741527E-2</v>
      </c>
      <c r="AB1031" s="932">
        <f t="shared" si="774"/>
        <v>7.8476821192053015E-2</v>
      </c>
      <c r="AC1031" s="434">
        <f t="shared" si="774"/>
        <v>4.4212465459011252E-2</v>
      </c>
      <c r="AD1031" s="932">
        <f t="shared" si="774"/>
        <v>4.322258159364889E-2</v>
      </c>
      <c r="AE1031" s="932">
        <f t="shared" si="774"/>
        <v>-0.21166854565952653</v>
      </c>
      <c r="AF1031" s="932">
        <f t="shared" si="774"/>
        <v>0.36181623167679655</v>
      </c>
      <c r="AG1031" s="932">
        <f t="shared" si="774"/>
        <v>4.4631136781307923E-3</v>
      </c>
      <c r="AH1031" s="932">
        <f t="shared" si="774"/>
        <v>4.8876110820700536E-2</v>
      </c>
      <c r="AI1031" s="932">
        <f t="shared" si="774"/>
        <v>3.2145527037129362E-2</v>
      </c>
      <c r="AJ1031" s="932">
        <f t="shared" si="774"/>
        <v>6.8531117305283287E-2</v>
      </c>
      <c r="AK1031" s="932">
        <f t="shared" si="774"/>
        <v>9.9180326843461328E-2</v>
      </c>
      <c r="AL1031" s="932">
        <f t="shared" si="774"/>
        <v>8.701307473038547E-2</v>
      </c>
      <c r="AM1031" s="932">
        <f t="shared" si="774"/>
        <v>7.4429807203637233E-2</v>
      </c>
      <c r="AN1031" s="932">
        <f t="shared" si="774"/>
        <v>6.8559956828897817E-2</v>
      </c>
      <c r="AO1031" s="1924">
        <f t="shared" si="774"/>
        <v>8.1679384243461384E-2</v>
      </c>
      <c r="AP1031" s="1924">
        <f t="shared" si="774"/>
        <v>6.2195102779641818E-2</v>
      </c>
      <c r="AQ1031" s="1924">
        <f t="shared" si="774"/>
        <v>6.5519827813702997E-2</v>
      </c>
      <c r="AR1031" s="1924">
        <f t="shared" si="774"/>
        <v>6.8333484444108944E-2</v>
      </c>
      <c r="AS1031" s="1924">
        <f t="shared" si="774"/>
        <v>7.1042202333124943E-2</v>
      </c>
      <c r="AT1031" s="1924">
        <f t="shared" si="774"/>
        <v>7.3089129996456434E-2</v>
      </c>
    </row>
    <row r="1032" spans="1:46" customFormat="1">
      <c r="A1032" s="297"/>
      <c r="B1032" s="295"/>
      <c r="C1032" s="293"/>
      <c r="D1032" s="2544" t="s">
        <v>1591</v>
      </c>
      <c r="E1032" s="3074"/>
      <c r="F1032" s="433"/>
      <c r="G1032" s="433"/>
      <c r="H1032" s="434"/>
      <c r="I1032" s="434"/>
      <c r="J1032" s="434"/>
      <c r="K1032" s="434">
        <f t="shared" ref="K1032:AT1032" si="775">+K550</f>
        <v>0.16200000000000001</v>
      </c>
      <c r="L1032" s="434">
        <f t="shared" si="775"/>
        <v>0.13100000000000001</v>
      </c>
      <c r="M1032" s="434">
        <f t="shared" si="775"/>
        <v>5.3999999999999999E-2</v>
      </c>
      <c r="N1032" s="434">
        <f t="shared" si="775"/>
        <v>-0.16400000000000001</v>
      </c>
      <c r="O1032" s="434">
        <f t="shared" si="775"/>
        <v>0.62</v>
      </c>
      <c r="P1032" s="434">
        <f t="shared" si="775"/>
        <v>-0.22500000000000001</v>
      </c>
      <c r="Q1032" s="434">
        <f t="shared" si="775"/>
        <v>0.32800000000000001</v>
      </c>
      <c r="R1032" s="434">
        <f t="shared" si="775"/>
        <v>-0.29199999999999998</v>
      </c>
      <c r="S1032" s="434">
        <f t="shared" si="775"/>
        <v>0.29299999999999998</v>
      </c>
      <c r="T1032" s="434">
        <f t="shared" si="775"/>
        <v>-0.153</v>
      </c>
      <c r="U1032" s="434">
        <f t="shared" si="775"/>
        <v>0.14199999999999999</v>
      </c>
      <c r="V1032" s="434">
        <f t="shared" si="775"/>
        <v>0.03</v>
      </c>
      <c r="W1032" s="932">
        <f t="shared" si="775"/>
        <v>8.6614173228346525E-2</v>
      </c>
      <c r="X1032" s="932">
        <f t="shared" si="775"/>
        <v>0.15579710144927539</v>
      </c>
      <c r="Y1032" s="932">
        <f t="shared" si="775"/>
        <v>-0.19435736677115989</v>
      </c>
      <c r="Z1032" s="932">
        <f t="shared" si="775"/>
        <v>0.14785992217898825</v>
      </c>
      <c r="AA1032" s="932">
        <f t="shared" si="775"/>
        <v>2.3728813559322104E-2</v>
      </c>
      <c r="AB1032" s="932">
        <f t="shared" si="775"/>
        <v>1.3245033112582849E-2</v>
      </c>
      <c r="AC1032" s="434">
        <f t="shared" si="775"/>
        <v>6.8627450980392135E-2</v>
      </c>
      <c r="AD1032" s="932">
        <f t="shared" si="775"/>
        <v>4.587155963302747E-2</v>
      </c>
      <c r="AE1032" s="932">
        <f t="shared" si="775"/>
        <v>-0.26608187134502925</v>
      </c>
      <c r="AF1032" s="932">
        <f t="shared" si="775"/>
        <v>0.43027888446215146</v>
      </c>
      <c r="AG1032" s="932">
        <f t="shared" si="775"/>
        <v>-3.6211699164345412E-2</v>
      </c>
      <c r="AH1032" s="932">
        <f t="shared" si="775"/>
        <v>-2.8901734104046506E-3</v>
      </c>
      <c r="AI1032" s="932">
        <f t="shared" si="775"/>
        <v>2.0289855072463725E-2</v>
      </c>
      <c r="AJ1032" s="932">
        <f t="shared" si="775"/>
        <v>0.26859177379462579</v>
      </c>
      <c r="AK1032" s="932">
        <f t="shared" si="775"/>
        <v>4.1365240647296728E-2</v>
      </c>
      <c r="AL1032" s="932">
        <f t="shared" si="775"/>
        <v>3.9374694750462479E-2</v>
      </c>
      <c r="AM1032" s="932">
        <f t="shared" si="775"/>
        <v>3.8005007473070493E-2</v>
      </c>
      <c r="AN1032" s="932">
        <f t="shared" si="775"/>
        <v>7.0183334785760679E-2</v>
      </c>
      <c r="AO1032" s="1924">
        <f t="shared" si="775"/>
        <v>2.7543358230363059E-2</v>
      </c>
      <c r="AP1032" s="1924">
        <f t="shared" si="775"/>
        <v>3.7043020923625651E-2</v>
      </c>
      <c r="AQ1032" s="1924">
        <f t="shared" si="775"/>
        <v>4.0452521764199459E-2</v>
      </c>
      <c r="AR1032" s="1924">
        <f t="shared" si="775"/>
        <v>4.1970922181932019E-2</v>
      </c>
      <c r="AS1032" s="1924">
        <f t="shared" si="775"/>
        <v>4.2726656568001772E-2</v>
      </c>
      <c r="AT1032" s="1924">
        <f t="shared" si="775"/>
        <v>4.3211257527714549E-2</v>
      </c>
    </row>
    <row r="1033" spans="1:46" customFormat="1">
      <c r="A1033" s="297"/>
      <c r="B1033" s="295"/>
      <c r="C1033" s="293"/>
      <c r="D1033" s="2544" t="s">
        <v>1623</v>
      </c>
      <c r="E1033" s="3074"/>
      <c r="F1033" s="433"/>
      <c r="G1033" s="433"/>
      <c r="H1033" s="434"/>
      <c r="I1033" s="434"/>
      <c r="J1033" s="434"/>
      <c r="K1033" s="434">
        <f t="shared" ref="K1033:AT1035" si="776">+K554</f>
        <v>1.6E-2</v>
      </c>
      <c r="L1033" s="434">
        <f t="shared" si="776"/>
        <v>0.129</v>
      </c>
      <c r="M1033" s="434">
        <f t="shared" si="776"/>
        <v>7.1999999999999995E-2</v>
      </c>
      <c r="N1033" s="434">
        <f t="shared" si="776"/>
        <v>4.7E-2</v>
      </c>
      <c r="O1033" s="434">
        <f t="shared" si="776"/>
        <v>0.155</v>
      </c>
      <c r="P1033" s="434">
        <f t="shared" si="776"/>
        <v>9.2999999999999999E-2</v>
      </c>
      <c r="Q1033" s="434">
        <f t="shared" si="776"/>
        <v>0.11700000000000001</v>
      </c>
      <c r="R1033" s="434">
        <f t="shared" si="776"/>
        <v>0.09</v>
      </c>
      <c r="S1033" s="434">
        <f t="shared" si="776"/>
        <v>0.151</v>
      </c>
      <c r="T1033" s="434">
        <f t="shared" si="776"/>
        <v>1.2999999999999999E-2</v>
      </c>
      <c r="U1033" s="434">
        <f t="shared" si="776"/>
        <v>8.4000000000000005E-2</v>
      </c>
      <c r="V1033" s="434">
        <f t="shared" si="776"/>
        <v>0.18</v>
      </c>
      <c r="W1033" s="932">
        <f t="shared" si="776"/>
        <v>8.3087802003535716E-2</v>
      </c>
      <c r="X1033" s="932">
        <f t="shared" si="776"/>
        <v>0.60174102285092501</v>
      </c>
      <c r="Y1033" s="932">
        <f t="shared" si="776"/>
        <v>-0.29993206521739135</v>
      </c>
      <c r="Z1033" s="932">
        <f t="shared" si="776"/>
        <v>8.9277049975740042E-2</v>
      </c>
      <c r="AA1033" s="932">
        <f t="shared" si="776"/>
        <v>6.6815144766146917E-2</v>
      </c>
      <c r="AB1033" s="932">
        <f t="shared" si="776"/>
        <v>1.5031315240083609E-2</v>
      </c>
      <c r="AC1033" s="434">
        <f t="shared" si="776"/>
        <v>8.6795557383792632E-2</v>
      </c>
      <c r="AD1033" s="932">
        <f t="shared" si="776"/>
        <v>0.1650264950794853</v>
      </c>
      <c r="AE1033" s="932">
        <f t="shared" si="776"/>
        <v>-0.27647823261858351</v>
      </c>
      <c r="AF1033" s="932">
        <f t="shared" si="776"/>
        <v>0.39155814997754823</v>
      </c>
      <c r="AG1033" s="932">
        <f t="shared" si="776"/>
        <v>0.21555340432397552</v>
      </c>
      <c r="AH1033" s="932">
        <f t="shared" si="776"/>
        <v>8.5479161136182702E-2</v>
      </c>
      <c r="AI1033" s="932">
        <f t="shared" si="776"/>
        <v>7.5079481535827775E-2</v>
      </c>
      <c r="AJ1033" s="932">
        <f t="shared" si="776"/>
        <v>8.8979071438280322E-2</v>
      </c>
      <c r="AK1033" s="932">
        <f t="shared" si="776"/>
        <v>7.3783752959577134E-2</v>
      </c>
      <c r="AL1033" s="932">
        <f t="shared" si="776"/>
        <v>7.4894868378878987E-2</v>
      </c>
      <c r="AM1033" s="932">
        <f t="shared" si="776"/>
        <v>7.0652256165630659E-2</v>
      </c>
      <c r="AN1033" s="932">
        <f t="shared" si="776"/>
        <v>6.9242208673604186E-2</v>
      </c>
      <c r="AO1033" s="1924">
        <f t="shared" si="776"/>
        <v>7.6317211523131132E-2</v>
      </c>
      <c r="AP1033" s="1924">
        <f t="shared" si="776"/>
        <v>7.5525831839809543E-2</v>
      </c>
      <c r="AQ1033" s="1924">
        <f t="shared" si="776"/>
        <v>7.533402453053345E-2</v>
      </c>
      <c r="AR1033" s="1924">
        <f t="shared" si="776"/>
        <v>7.6150782462832814E-2</v>
      </c>
      <c r="AS1033" s="1924">
        <f t="shared" si="776"/>
        <v>7.7423753581340751E-2</v>
      </c>
      <c r="AT1033" s="1924">
        <f t="shared" si="776"/>
        <v>7.8216012621735234E-2</v>
      </c>
    </row>
    <row r="1034" spans="1:46" customFormat="1">
      <c r="A1034" s="297"/>
      <c r="B1034" s="295"/>
      <c r="C1034" s="293"/>
      <c r="D1034" s="2544" t="s">
        <v>362</v>
      </c>
      <c r="E1034" s="3074"/>
      <c r="F1034" s="433"/>
      <c r="G1034" s="433"/>
      <c r="H1034" s="434"/>
      <c r="I1034" s="434"/>
      <c r="J1034" s="434"/>
      <c r="K1034" s="434">
        <f t="shared" si="776"/>
        <v>0.40799999999999997</v>
      </c>
      <c r="L1034" s="434">
        <f t="shared" si="776"/>
        <v>1.7230000000000001</v>
      </c>
      <c r="M1034" s="434">
        <f t="shared" si="776"/>
        <v>-0.24199999999999999</v>
      </c>
      <c r="N1034" s="434">
        <f t="shared" si="776"/>
        <v>-0.20499999999999999</v>
      </c>
      <c r="O1034" s="434">
        <f t="shared" si="776"/>
        <v>0.496</v>
      </c>
      <c r="P1034" s="434">
        <f t="shared" si="776"/>
        <v>0.30399999999999999</v>
      </c>
      <c r="Q1034" s="434">
        <f t="shared" si="776"/>
        <v>-0.13800000000000001</v>
      </c>
      <c r="R1034" s="434">
        <f t="shared" si="776"/>
        <v>0.42799999999999999</v>
      </c>
      <c r="S1034" s="434">
        <f t="shared" si="776"/>
        <v>-0.157</v>
      </c>
      <c r="T1034" s="434">
        <f t="shared" si="776"/>
        <v>-0.17899999999999999</v>
      </c>
      <c r="U1034" s="434">
        <f t="shared" si="776"/>
        <v>-0.108</v>
      </c>
      <c r="V1034" s="434">
        <f t="shared" si="776"/>
        <v>0.5</v>
      </c>
      <c r="W1034" s="932">
        <f t="shared" si="776"/>
        <v>-7.1823204419889541E-2</v>
      </c>
      <c r="X1034" s="932">
        <f t="shared" si="776"/>
        <v>0.54166666666666674</v>
      </c>
      <c r="Y1034" s="932">
        <f t="shared" si="776"/>
        <v>-2.7027027027026973E-2</v>
      </c>
      <c r="Z1034" s="932">
        <f t="shared" si="776"/>
        <v>-5.1587301587301626E-2</v>
      </c>
      <c r="AA1034" s="932">
        <f t="shared" si="776"/>
        <v>0.10878661087866104</v>
      </c>
      <c r="AB1034" s="932">
        <f t="shared" si="776"/>
        <v>0.19999999999999996</v>
      </c>
      <c r="AC1034" s="434">
        <f t="shared" si="776"/>
        <v>3.1446540880503138E-2</v>
      </c>
      <c r="AD1034" s="932">
        <f t="shared" si="776"/>
        <v>-9.1463414634146423E-3</v>
      </c>
      <c r="AE1034" s="932">
        <f t="shared" si="776"/>
        <v>-0.48615384615384616</v>
      </c>
      <c r="AF1034" s="932">
        <f t="shared" si="776"/>
        <v>0.4251497005988023</v>
      </c>
      <c r="AG1034" s="932">
        <f t="shared" si="776"/>
        <v>0.28151260504201692</v>
      </c>
      <c r="AH1034" s="932">
        <f t="shared" si="776"/>
        <v>7.2131147540983598E-2</v>
      </c>
      <c r="AI1034" s="932">
        <f t="shared" si="776"/>
        <v>8.256880733944949E-2</v>
      </c>
      <c r="AJ1034" s="932">
        <f t="shared" si="776"/>
        <v>4.2580677243909071E-2</v>
      </c>
      <c r="AK1034" s="932">
        <f t="shared" si="776"/>
        <v>7.7982192090530061E-2</v>
      </c>
      <c r="AL1034" s="932">
        <f t="shared" si="776"/>
        <v>7.7260478268159072E-2</v>
      </c>
      <c r="AM1034" s="932">
        <f t="shared" si="776"/>
        <v>8.8741030087625614E-2</v>
      </c>
      <c r="AN1034" s="932">
        <f t="shared" si="776"/>
        <v>7.7902557556834104E-2</v>
      </c>
      <c r="AO1034" s="1924">
        <f t="shared" si="776"/>
        <v>0.1176498898259947</v>
      </c>
      <c r="AP1034" s="1924">
        <f t="shared" si="776"/>
        <v>0.11794233409267793</v>
      </c>
      <c r="AQ1034" s="1924">
        <f t="shared" si="776"/>
        <v>0.11823699035114957</v>
      </c>
      <c r="AR1034" s="1924">
        <f t="shared" si="776"/>
        <v>0.1185337660767414</v>
      </c>
      <c r="AS1034" s="1924">
        <f t="shared" si="776"/>
        <v>0.11883256510571497</v>
      </c>
      <c r="AT1034" s="1924">
        <f t="shared" si="776"/>
        <v>0.11913328761874134</v>
      </c>
    </row>
    <row r="1035" spans="1:46" customFormat="1">
      <c r="A1035" s="297"/>
      <c r="B1035" s="295"/>
      <c r="C1035" s="293"/>
      <c r="D1035" s="2545" t="s">
        <v>894</v>
      </c>
      <c r="E1035" s="3075"/>
      <c r="F1035" s="433"/>
      <c r="G1035" s="433"/>
      <c r="H1035" s="434"/>
      <c r="I1035" s="434"/>
      <c r="J1035" s="1177"/>
      <c r="K1035" s="1177">
        <f t="shared" si="776"/>
        <v>-2E-3</v>
      </c>
      <c r="L1035" s="1177">
        <f t="shared" si="776"/>
        <v>0.1</v>
      </c>
      <c r="M1035" s="1177">
        <f t="shared" si="776"/>
        <v>0.152</v>
      </c>
      <c r="N1035" s="1177">
        <f t="shared" si="776"/>
        <v>4.4999999999999998E-2</v>
      </c>
      <c r="O1035" s="1177">
        <f t="shared" si="776"/>
        <v>0.123</v>
      </c>
      <c r="P1035" s="1177">
        <f t="shared" si="776"/>
        <v>8.5000000000000006E-2</v>
      </c>
      <c r="Q1035" s="1177">
        <f t="shared" si="776"/>
        <v>0.13400000000000001</v>
      </c>
      <c r="R1035" s="1177">
        <f t="shared" si="776"/>
        <v>5.0000000000000001E-3</v>
      </c>
      <c r="S1035" s="1177">
        <f t="shared" si="776"/>
        <v>5.5E-2</v>
      </c>
      <c r="T1035" s="1177">
        <f t="shared" si="776"/>
        <v>2.9000000000000001E-2</v>
      </c>
      <c r="U1035" s="1177">
        <f t="shared" si="776"/>
        <v>9.2999999999999999E-2</v>
      </c>
      <c r="V1035" s="1177">
        <f t="shared" si="776"/>
        <v>0.08</v>
      </c>
      <c r="W1035" s="1177">
        <f t="shared" si="776"/>
        <v>5.8517555266579979E-2</v>
      </c>
      <c r="X1035" s="1177">
        <f t="shared" si="776"/>
        <v>0.39189189189189189</v>
      </c>
      <c r="Y1035" s="1177">
        <f t="shared" si="776"/>
        <v>-0.34333627537511036</v>
      </c>
      <c r="Z1035" s="1177">
        <f t="shared" si="776"/>
        <v>8.1989247311827995E-2</v>
      </c>
      <c r="AA1035" s="1177">
        <f t="shared" si="776"/>
        <v>6.8322981366459645E-2</v>
      </c>
      <c r="AB1035" s="1177">
        <f t="shared" si="776"/>
        <v>6.3953488372092915E-2</v>
      </c>
      <c r="AC1035" s="1177">
        <f t="shared" si="776"/>
        <v>0.13661202185792343</v>
      </c>
      <c r="AD1035" s="3240">
        <f t="shared" si="776"/>
        <v>0.11153846153846159</v>
      </c>
      <c r="AE1035" s="3240">
        <f t="shared" si="776"/>
        <v>-0.22404844290657444</v>
      </c>
      <c r="AF1035" s="3240">
        <f t="shared" si="776"/>
        <v>0.41806020066889626</v>
      </c>
      <c r="AG1035" s="3240">
        <f t="shared" si="776"/>
        <v>9.2767295597484312E-2</v>
      </c>
      <c r="AH1035" s="3240">
        <f t="shared" si="776"/>
        <v>9.7122302158273444E-2</v>
      </c>
      <c r="AI1035" s="3240">
        <f t="shared" si="776"/>
        <v>6.1639344262295115E-2</v>
      </c>
      <c r="AJ1035" s="3240">
        <f t="shared" si="776"/>
        <v>4.9301575758418946E-2</v>
      </c>
      <c r="AK1035" s="3240">
        <f t="shared" si="776"/>
        <v>8.5944243209049698E-2</v>
      </c>
      <c r="AL1035" s="3240">
        <f t="shared" si="776"/>
        <v>8.3489848474953124E-2</v>
      </c>
      <c r="AM1035" s="3240">
        <f t="shared" si="776"/>
        <v>7.0252890849752336E-2</v>
      </c>
      <c r="AN1035" s="3240">
        <f t="shared" si="776"/>
        <v>6.7879164172297377E-2</v>
      </c>
      <c r="AO1035" s="1925">
        <f t="shared" si="776"/>
        <v>7.7831615238409715E-2</v>
      </c>
      <c r="AP1035" s="1925">
        <f t="shared" si="776"/>
        <v>7.5006699590210238E-2</v>
      </c>
      <c r="AQ1035" s="1925">
        <f t="shared" si="776"/>
        <v>7.3285530478669342E-2</v>
      </c>
      <c r="AR1035" s="1925">
        <f t="shared" si="776"/>
        <v>7.4401409932175366E-2</v>
      </c>
      <c r="AS1035" s="1925">
        <f t="shared" si="776"/>
        <v>7.6867668627440405E-2</v>
      </c>
      <c r="AT1035" s="1925">
        <f t="shared" si="776"/>
        <v>7.7833691478190525E-2</v>
      </c>
    </row>
    <row r="1036" spans="1:46" customFormat="1">
      <c r="A1036" s="297"/>
      <c r="B1036" s="295"/>
      <c r="C1036" s="293"/>
      <c r="D1036" s="2545" t="s">
        <v>893</v>
      </c>
      <c r="E1036" s="3074"/>
      <c r="F1036" s="433"/>
      <c r="G1036" s="433"/>
      <c r="H1036" s="434"/>
      <c r="I1036" s="434"/>
      <c r="J1036" s="1177"/>
      <c r="K1036" s="1177">
        <f t="shared" ref="K1036:AT1038" si="777">+K567</f>
        <v>3.6999999999999998E-2</v>
      </c>
      <c r="L1036" s="1177">
        <f t="shared" si="777"/>
        <v>0.10100000000000001</v>
      </c>
      <c r="M1036" s="1177">
        <f t="shared" si="777"/>
        <v>2.5999999999999999E-2</v>
      </c>
      <c r="N1036" s="1177">
        <f t="shared" si="777"/>
        <v>8.2000000000000003E-2</v>
      </c>
      <c r="O1036" s="1177">
        <f t="shared" si="777"/>
        <v>0.2</v>
      </c>
      <c r="P1036" s="1177">
        <f t="shared" si="777"/>
        <v>9.0999999999999998E-2</v>
      </c>
      <c r="Q1036" s="1177">
        <f t="shared" si="777"/>
        <v>0.13100000000000001</v>
      </c>
      <c r="R1036" s="1177">
        <f t="shared" si="777"/>
        <v>0.14899999999999999</v>
      </c>
      <c r="S1036" s="1177">
        <f t="shared" si="777"/>
        <v>0.28199999999999997</v>
      </c>
      <c r="T1036" s="1177">
        <f t="shared" si="777"/>
        <v>1.2999999999999999E-2</v>
      </c>
      <c r="U1036" s="1177">
        <f t="shared" si="777"/>
        <v>8.7999999999999995E-2</v>
      </c>
      <c r="V1036" s="1177">
        <f t="shared" si="777"/>
        <v>0.24</v>
      </c>
      <c r="W1036" s="1177">
        <f t="shared" si="777"/>
        <v>0.14431486880466471</v>
      </c>
      <c r="X1036" s="1177">
        <f t="shared" si="777"/>
        <v>0.77579617834394909</v>
      </c>
      <c r="Y1036" s="1177">
        <f t="shared" si="777"/>
        <v>-0.31492109038737448</v>
      </c>
      <c r="Z1036" s="1177">
        <f t="shared" si="777"/>
        <v>0.15497382198952869</v>
      </c>
      <c r="AA1036" s="1177">
        <f t="shared" si="777"/>
        <v>4.8050770625566619E-2</v>
      </c>
      <c r="AB1036" s="1177">
        <f t="shared" si="777"/>
        <v>-9.7750865051903113E-2</v>
      </c>
      <c r="AC1036" s="1177">
        <f t="shared" si="777"/>
        <v>4.4103547459252157E-2</v>
      </c>
      <c r="AD1036" s="3240">
        <f t="shared" si="777"/>
        <v>0.32690541781450877</v>
      </c>
      <c r="AE1036" s="3240">
        <f t="shared" si="777"/>
        <v>-0.28927335640138407</v>
      </c>
      <c r="AF1036" s="3240">
        <f t="shared" si="777"/>
        <v>0.38461538461538458</v>
      </c>
      <c r="AG1036" s="3240">
        <f t="shared" si="777"/>
        <v>0.32700421940928259</v>
      </c>
      <c r="AH1036" s="3240">
        <f t="shared" si="777"/>
        <v>8.0551139374668734E-2</v>
      </c>
      <c r="AI1036" s="3240">
        <f t="shared" si="777"/>
        <v>7.846983815595876E-2</v>
      </c>
      <c r="AJ1036" s="3240">
        <f t="shared" si="777"/>
        <v>0.12331632483972341</v>
      </c>
      <c r="AK1036" s="3240">
        <f t="shared" si="777"/>
        <v>6.1431038158014838E-2</v>
      </c>
      <c r="AL1036" s="3240">
        <f t="shared" si="777"/>
        <v>6.3397618027015545E-2</v>
      </c>
      <c r="AM1036" s="3240">
        <f t="shared" si="777"/>
        <v>6.3397618027015545E-2</v>
      </c>
      <c r="AN1036" s="3240">
        <f t="shared" si="777"/>
        <v>6.3397618027015545E-2</v>
      </c>
      <c r="AO1036" s="1925">
        <f t="shared" si="777"/>
        <v>6.3397618027015545E-2</v>
      </c>
      <c r="AP1036" s="1925">
        <f t="shared" si="777"/>
        <v>6.3397618027015545E-2</v>
      </c>
      <c r="AQ1036" s="1925">
        <f t="shared" si="777"/>
        <v>6.3397618027015545E-2</v>
      </c>
      <c r="AR1036" s="1925">
        <f t="shared" si="777"/>
        <v>6.3397618027015545E-2</v>
      </c>
      <c r="AS1036" s="1925">
        <f t="shared" si="777"/>
        <v>6.3397618027015545E-2</v>
      </c>
      <c r="AT1036" s="1925">
        <f t="shared" si="777"/>
        <v>6.3397618027015545E-2</v>
      </c>
    </row>
    <row r="1037" spans="1:46" customFormat="1">
      <c r="A1037" s="297"/>
      <c r="B1037" s="295"/>
      <c r="C1037" s="293"/>
      <c r="D1037" s="2544" t="s">
        <v>1592</v>
      </c>
      <c r="E1037" s="3074"/>
      <c r="F1037" s="433"/>
      <c r="G1037" s="433"/>
      <c r="H1037" s="434"/>
      <c r="I1037" s="434"/>
      <c r="J1037" s="434"/>
      <c r="K1037" s="434">
        <f t="shared" si="777"/>
        <v>0.115</v>
      </c>
      <c r="L1037" s="434">
        <f t="shared" si="777"/>
        <v>6.8000000000000005E-2</v>
      </c>
      <c r="M1037" s="434">
        <f t="shared" si="777"/>
        <v>0.11600000000000001</v>
      </c>
      <c r="N1037" s="434">
        <f t="shared" si="777"/>
        <v>6.9000000000000006E-2</v>
      </c>
      <c r="O1037" s="434">
        <f t="shared" si="777"/>
        <v>0.10199999999999999</v>
      </c>
      <c r="P1037" s="434">
        <f t="shared" si="777"/>
        <v>0.11899999999999999</v>
      </c>
      <c r="Q1037" s="434">
        <f t="shared" si="777"/>
        <v>0.13300000000000001</v>
      </c>
      <c r="R1037" s="434">
        <f t="shared" si="777"/>
        <v>0.122</v>
      </c>
      <c r="S1037" s="434">
        <f t="shared" si="777"/>
        <v>0.13800000000000001</v>
      </c>
      <c r="T1037" s="434">
        <f t="shared" si="777"/>
        <v>6.2E-2</v>
      </c>
      <c r="U1037" s="434">
        <f t="shared" si="777"/>
        <v>9.1999999999999998E-2</v>
      </c>
      <c r="V1037" s="434">
        <f t="shared" si="777"/>
        <v>0.08</v>
      </c>
      <c r="W1037" s="932">
        <f t="shared" si="777"/>
        <v>0.11585365853658547</v>
      </c>
      <c r="X1037" s="932">
        <f t="shared" si="777"/>
        <v>0.62431693989071047</v>
      </c>
      <c r="Y1037" s="932">
        <f t="shared" si="777"/>
        <v>-0.3069806560134567</v>
      </c>
      <c r="Z1037" s="932">
        <f t="shared" si="777"/>
        <v>0.10436893203883502</v>
      </c>
      <c r="AA1037" s="932">
        <f t="shared" si="777"/>
        <v>7.1428571428571397E-2</v>
      </c>
      <c r="AB1037" s="932">
        <f t="shared" si="777"/>
        <v>5.5897435897435788E-2</v>
      </c>
      <c r="AC1037" s="434">
        <f t="shared" si="777"/>
        <v>9.6972640440343261E-2</v>
      </c>
      <c r="AD1037" s="932">
        <f t="shared" si="777"/>
        <v>8.2792207792207861E-2</v>
      </c>
      <c r="AE1037" s="932">
        <f t="shared" si="777"/>
        <v>-0.30298487120076323</v>
      </c>
      <c r="AF1037" s="932">
        <f t="shared" si="777"/>
        <v>0.51896754008603829</v>
      </c>
      <c r="AG1037" s="932">
        <f t="shared" si="777"/>
        <v>0.10285787847579808</v>
      </c>
      <c r="AH1037" s="932">
        <f t="shared" si="777"/>
        <v>0.11614334072604171</v>
      </c>
      <c r="AI1037" s="932">
        <f t="shared" si="777"/>
        <v>8.7115666178623652E-2</v>
      </c>
      <c r="AJ1037" s="932">
        <f t="shared" si="777"/>
        <v>7.6222468274331545E-2</v>
      </c>
      <c r="AK1037" s="932">
        <f t="shared" si="777"/>
        <v>8.2998631380635887E-2</v>
      </c>
      <c r="AL1037" s="932">
        <f t="shared" si="777"/>
        <v>9.7126614130843947E-2</v>
      </c>
      <c r="AM1037" s="932">
        <f t="shared" si="777"/>
        <v>9.5925507779615157E-2</v>
      </c>
      <c r="AN1037" s="932">
        <f t="shared" si="777"/>
        <v>8.883770008383772E-2</v>
      </c>
      <c r="AO1037" s="1924">
        <f t="shared" si="777"/>
        <v>8.8691308395212831E-2</v>
      </c>
      <c r="AP1037" s="1924">
        <f t="shared" si="777"/>
        <v>9.945762325390696E-2</v>
      </c>
      <c r="AQ1037" s="1924">
        <f t="shared" si="777"/>
        <v>9.9634231357998579E-2</v>
      </c>
      <c r="AR1037" s="1924">
        <f t="shared" si="777"/>
        <v>0.10226592799112899</v>
      </c>
      <c r="AS1037" s="1924">
        <f t="shared" si="777"/>
        <v>0.10391509849777095</v>
      </c>
      <c r="AT1037" s="1924">
        <f t="shared" si="777"/>
        <v>0.10981626208929314</v>
      </c>
    </row>
    <row r="1038" spans="1:46" customFormat="1">
      <c r="A1038" s="297"/>
      <c r="B1038" s="295"/>
      <c r="C1038" s="293"/>
      <c r="D1038" s="2545" t="s">
        <v>895</v>
      </c>
      <c r="E1038" s="3074"/>
      <c r="F1038" s="433"/>
      <c r="G1038" s="433"/>
      <c r="H1038" s="434"/>
      <c r="I1038" s="434"/>
      <c r="J1038" s="1178"/>
      <c r="K1038" s="1178">
        <f t="shared" si="777"/>
        <v>0.13800000000000001</v>
      </c>
      <c r="L1038" s="1178">
        <f t="shared" si="777"/>
        <v>8.5000000000000006E-2</v>
      </c>
      <c r="M1038" s="1178">
        <f t="shared" si="777"/>
        <v>0.14799999999999999</v>
      </c>
      <c r="N1038" s="1178">
        <f t="shared" si="777"/>
        <v>0.03</v>
      </c>
      <c r="O1038" s="1178">
        <f t="shared" si="777"/>
        <v>0.14199999999999999</v>
      </c>
      <c r="P1038" s="1178">
        <f t="shared" si="777"/>
        <v>0.14299999999999999</v>
      </c>
      <c r="Q1038" s="1178">
        <f t="shared" si="777"/>
        <v>0.20599999999999999</v>
      </c>
      <c r="R1038" s="1178">
        <f t="shared" si="777"/>
        <v>0.14799999999999999</v>
      </c>
      <c r="S1038" s="1178">
        <f t="shared" si="777"/>
        <v>0.20599999999999999</v>
      </c>
      <c r="T1038" s="1178">
        <f t="shared" si="777"/>
        <v>5.3999999999999999E-2</v>
      </c>
      <c r="U1038" s="1178">
        <f t="shared" si="777"/>
        <v>9.0999999999999998E-2</v>
      </c>
      <c r="V1038" s="1178">
        <f t="shared" si="777"/>
        <v>7.0000000000000007E-2</v>
      </c>
      <c r="W1038" s="1178">
        <f t="shared" si="777"/>
        <v>0.14947552447552437</v>
      </c>
      <c r="X1038" s="1178">
        <f t="shared" si="777"/>
        <v>0.82585551330798479</v>
      </c>
      <c r="Y1038" s="1178">
        <f t="shared" si="777"/>
        <v>-0.38109121199500207</v>
      </c>
      <c r="Z1038" s="1178">
        <f t="shared" si="777"/>
        <v>0.11507402422611035</v>
      </c>
      <c r="AA1038" s="1178">
        <f t="shared" si="777"/>
        <v>6.759203379601697E-2</v>
      </c>
      <c r="AB1038" s="1178">
        <f t="shared" si="777"/>
        <v>6.6139061616732553E-2</v>
      </c>
      <c r="AC1038" s="1178">
        <f t="shared" si="777"/>
        <v>0.1808059384941676</v>
      </c>
      <c r="AD1038" s="3241">
        <f t="shared" si="777"/>
        <v>0.14144589133363272</v>
      </c>
      <c r="AE1038" s="3241">
        <f t="shared" si="777"/>
        <v>-0.34618410700236035</v>
      </c>
      <c r="AF1038" s="3241">
        <f t="shared" si="777"/>
        <v>0.54332129963898912</v>
      </c>
      <c r="AG1038" s="3241">
        <f t="shared" si="777"/>
        <v>0.13255360623781676</v>
      </c>
      <c r="AH1038" s="3241">
        <f t="shared" si="777"/>
        <v>0.13803786574870913</v>
      </c>
      <c r="AI1038" s="3241">
        <f t="shared" si="777"/>
        <v>8.7114337568058087E-2</v>
      </c>
      <c r="AJ1038" s="3241">
        <f t="shared" si="777"/>
        <v>0.1262116286784396</v>
      </c>
      <c r="AK1038" s="3241">
        <f t="shared" si="777"/>
        <v>7.3089498929516938E-2</v>
      </c>
      <c r="AL1038" s="3241">
        <f t="shared" si="777"/>
        <v>8.5889296712833504E-2</v>
      </c>
      <c r="AM1038" s="3241">
        <f t="shared" si="777"/>
        <v>8.8725769134312682E-2</v>
      </c>
      <c r="AN1038" s="3241">
        <f t="shared" si="777"/>
        <v>6.110534752062971E-2</v>
      </c>
      <c r="AO1038" s="1926">
        <f t="shared" si="777"/>
        <v>6.6956728683953554E-2</v>
      </c>
      <c r="AP1038" s="1926">
        <f t="shared" si="777"/>
        <v>7.0195355658969186E-2</v>
      </c>
      <c r="AQ1038" s="1926">
        <f t="shared" si="777"/>
        <v>5.9917275375097744E-2</v>
      </c>
      <c r="AR1038" s="1926">
        <f t="shared" si="777"/>
        <v>6.3038811930285363E-2</v>
      </c>
      <c r="AS1038" s="1926">
        <f t="shared" si="777"/>
        <v>5.9037852080333617E-2</v>
      </c>
      <c r="AT1038" s="1926">
        <f t="shared" si="777"/>
        <v>6.5897930666724849E-2</v>
      </c>
    </row>
    <row r="1039" spans="1:46" customFormat="1">
      <c r="A1039" s="297"/>
      <c r="B1039" s="295"/>
      <c r="C1039" s="293"/>
      <c r="D1039" s="2545" t="s">
        <v>896</v>
      </c>
      <c r="E1039" s="3074"/>
      <c r="F1039" s="433"/>
      <c r="G1039" s="433"/>
      <c r="H1039" s="434"/>
      <c r="I1039" s="434"/>
      <c r="J1039" s="1178"/>
      <c r="K1039" s="1178">
        <f>+SUM(K625:K627)/SUM(J625:J627)-1</f>
        <v>7.6142131979695327E-2</v>
      </c>
      <c r="L1039" s="1178">
        <f>+SUM(L625:L627)/SUM(K625:K627)-1</f>
        <v>6.60377358490567E-2</v>
      </c>
      <c r="M1039" s="1178">
        <f t="shared" ref="M1039:AT1039" si="778">+SUM(M625:M627)/SUM(L625:L627)-1</f>
        <v>0.10619469026548667</v>
      </c>
      <c r="N1039" s="1178">
        <f t="shared" si="778"/>
        <v>5.2000000000000046E-2</v>
      </c>
      <c r="O1039" s="1178">
        <f t="shared" si="778"/>
        <v>6.8441064638783189E-2</v>
      </c>
      <c r="P1039" s="1178">
        <f t="shared" si="778"/>
        <v>6.0498220640569311E-2</v>
      </c>
      <c r="Q1039" s="1178">
        <f t="shared" si="778"/>
        <v>0.62080536912751683</v>
      </c>
      <c r="R1039" s="1178">
        <f t="shared" si="778"/>
        <v>0.11180124223602483</v>
      </c>
      <c r="S1039" s="1178">
        <f t="shared" si="778"/>
        <v>6.1452513966480549E-2</v>
      </c>
      <c r="T1039" s="1178">
        <f t="shared" si="778"/>
        <v>0.12631578947368416</v>
      </c>
      <c r="U1039" s="1178">
        <f t="shared" si="778"/>
        <v>0.11526479750778806</v>
      </c>
      <c r="V1039" s="1178">
        <f t="shared" si="778"/>
        <v>0.15083798882681565</v>
      </c>
      <c r="W1039" s="1178">
        <f t="shared" si="778"/>
        <v>0.1395631067961165</v>
      </c>
      <c r="X1039" s="1178">
        <f t="shared" si="778"/>
        <v>0.30990415335463251</v>
      </c>
      <c r="Y1039" s="1178">
        <f t="shared" si="778"/>
        <v>-0.14065040650406502</v>
      </c>
      <c r="Z1039" s="1178">
        <f t="shared" si="778"/>
        <v>3.8789025543992439E-2</v>
      </c>
      <c r="AA1039" s="1178">
        <f t="shared" si="778"/>
        <v>6.8306010928961713E-2</v>
      </c>
      <c r="AB1039" s="1178">
        <f t="shared" si="778"/>
        <v>2.5575447570332477E-2</v>
      </c>
      <c r="AC1039" s="1178">
        <f t="shared" si="778"/>
        <v>4.6550290939318284E-2</v>
      </c>
      <c r="AD1039" s="3241">
        <f t="shared" si="778"/>
        <v>3.4154090548053961E-2</v>
      </c>
      <c r="AE1039" s="3241">
        <f t="shared" si="778"/>
        <v>-0.39324116743471582</v>
      </c>
      <c r="AF1039" s="3241">
        <f t="shared" si="778"/>
        <v>0.76962025316455707</v>
      </c>
      <c r="AG1039" s="3241">
        <f t="shared" si="778"/>
        <v>7.9399141630901227E-2</v>
      </c>
      <c r="AH1039" s="3241">
        <f t="shared" si="778"/>
        <v>6.6269052352551316E-2</v>
      </c>
      <c r="AI1039" s="3241">
        <f t="shared" si="778"/>
        <v>8.763206960845249E-2</v>
      </c>
      <c r="AJ1039" s="3241">
        <f t="shared" si="778"/>
        <v>2.5484869274927657E-2</v>
      </c>
      <c r="AK1039" s="3241">
        <f t="shared" si="778"/>
        <v>3.3320880856867463E-2</v>
      </c>
      <c r="AL1039" s="3241">
        <f t="shared" si="778"/>
        <v>3.1207132245951508E-2</v>
      </c>
      <c r="AM1039" s="3241">
        <f t="shared" si="778"/>
        <v>3.0901838507122692E-2</v>
      </c>
      <c r="AN1039" s="3241">
        <f t="shared" si="778"/>
        <v>3.0679548812342361E-2</v>
      </c>
      <c r="AO1039" s="1926">
        <f t="shared" si="778"/>
        <v>4.0620786055289404E-2</v>
      </c>
      <c r="AP1039" s="1926">
        <f t="shared" si="778"/>
        <v>4.7985176075730163E-2</v>
      </c>
      <c r="AQ1039" s="1926">
        <f t="shared" si="778"/>
        <v>4.0924170682623773E-2</v>
      </c>
      <c r="AR1039" s="1926">
        <f t="shared" si="778"/>
        <v>3.5120093245103678E-2</v>
      </c>
      <c r="AS1039" s="1926">
        <f t="shared" si="778"/>
        <v>3.5271544750457906E-2</v>
      </c>
      <c r="AT1039" s="1926">
        <f t="shared" si="778"/>
        <v>1.9473445093477038E-2</v>
      </c>
    </row>
    <row r="1040" spans="1:46" customFormat="1">
      <c r="A1040" s="297"/>
      <c r="B1040" s="295"/>
      <c r="C1040" s="293"/>
      <c r="D1040" s="2544" t="s">
        <v>1593</v>
      </c>
      <c r="E1040" s="3074"/>
      <c r="F1040" s="433"/>
      <c r="G1040" s="433"/>
      <c r="H1040" s="434"/>
      <c r="I1040" s="434"/>
      <c r="J1040" s="434">
        <f t="shared" ref="J1040:AG1040" si="779">+J682/J$680</f>
        <v>0.31527777777777777</v>
      </c>
      <c r="K1040" s="434">
        <f t="shared" si="779"/>
        <v>0.31141439205955335</v>
      </c>
      <c r="L1040" s="434">
        <f t="shared" si="779"/>
        <v>0.31802525832376577</v>
      </c>
      <c r="M1040" s="434">
        <f t="shared" si="779"/>
        <v>0.30192719486081371</v>
      </c>
      <c r="N1040" s="434">
        <f t="shared" si="779"/>
        <v>0.3307223672758921</v>
      </c>
      <c r="O1040" s="434">
        <f t="shared" si="779"/>
        <v>0.33892128279883382</v>
      </c>
      <c r="P1040" s="434">
        <f t="shared" si="779"/>
        <v>0.33801955990220051</v>
      </c>
      <c r="Q1040" s="434">
        <f t="shared" si="779"/>
        <v>0.29069767441860467</v>
      </c>
      <c r="R1040" s="434">
        <f t="shared" si="779"/>
        <v>0.25079654073736912</v>
      </c>
      <c r="S1040" s="434">
        <f t="shared" si="779"/>
        <v>0.23937120400142908</v>
      </c>
      <c r="T1040" s="434">
        <f t="shared" si="779"/>
        <v>0.24395604395604395</v>
      </c>
      <c r="U1040" s="434">
        <f t="shared" si="779"/>
        <v>0.23434400680079343</v>
      </c>
      <c r="V1040" s="434">
        <f t="shared" si="779"/>
        <v>0.22918707149853085</v>
      </c>
      <c r="W1040" s="932">
        <f t="shared" si="779"/>
        <v>0.23804394657475225</v>
      </c>
      <c r="X1040" s="932">
        <f t="shared" si="779"/>
        <v>0.23153526970954358</v>
      </c>
      <c r="Y1040" s="932">
        <f t="shared" si="779"/>
        <v>0.23684210526315788</v>
      </c>
      <c r="Z1040" s="932">
        <f t="shared" si="779"/>
        <v>0.23104752507811216</v>
      </c>
      <c r="AA1040" s="932">
        <f t="shared" si="779"/>
        <v>0.24290780141843971</v>
      </c>
      <c r="AB1040" s="932">
        <f t="shared" si="779"/>
        <v>0.25639679832043039</v>
      </c>
      <c r="AC1040" s="434">
        <f t="shared" si="779"/>
        <v>0.23275965820194969</v>
      </c>
      <c r="AD1040" s="932">
        <f t="shared" si="779"/>
        <v>0.21564482029598309</v>
      </c>
      <c r="AE1040" s="932">
        <f t="shared" si="779"/>
        <v>0.24466382070437567</v>
      </c>
      <c r="AF1040" s="932">
        <f t="shared" si="779"/>
        <v>0.2143820224719101</v>
      </c>
      <c r="AG1040" s="932">
        <f t="shared" si="779"/>
        <v>0.21928833662807118</v>
      </c>
      <c r="AH1040" s="932">
        <f>+AH682/AH$680</f>
        <v>0.23135588286662398</v>
      </c>
      <c r="AI1040" s="932">
        <f>+AI682/AI$680</f>
        <v>0.20790239983934131</v>
      </c>
      <c r="AJ1040" s="932">
        <f t="shared" ref="AJ1040:AT1040" si="780">+AJ682/AJ$680</f>
        <v>0.20699455285634955</v>
      </c>
      <c r="AK1040" s="932">
        <f t="shared" si="780"/>
        <v>0.2108836026558111</v>
      </c>
      <c r="AL1040" s="932">
        <f t="shared" si="780"/>
        <v>0.20836016617638956</v>
      </c>
      <c r="AM1040" s="932">
        <f t="shared" si="780"/>
        <v>0.20557868755377334</v>
      </c>
      <c r="AN1040" s="932">
        <f t="shared" si="780"/>
        <v>0.20353241508175313</v>
      </c>
      <c r="AO1040" s="1924">
        <f t="shared" si="780"/>
        <v>0.20342163937858768</v>
      </c>
      <c r="AP1040" s="1924">
        <f t="shared" si="780"/>
        <v>0.19920866470752416</v>
      </c>
      <c r="AQ1040" s="1924">
        <f t="shared" si="780"/>
        <v>0.19573079436238242</v>
      </c>
      <c r="AR1040" s="1924">
        <f t="shared" si="780"/>
        <v>0.19262117295031989</v>
      </c>
      <c r="AS1040" s="1924">
        <f t="shared" si="780"/>
        <v>0.18781186393490665</v>
      </c>
      <c r="AT1040" s="1924">
        <f t="shared" si="780"/>
        <v>0.18037078346877905</v>
      </c>
    </row>
    <row r="1041" spans="1:46" customFormat="1">
      <c r="A1041" s="297"/>
      <c r="B1041" s="295"/>
      <c r="C1041" s="293"/>
      <c r="D1041" s="2544" t="s">
        <v>1591</v>
      </c>
      <c r="E1041" s="3074"/>
      <c r="F1041" s="433"/>
      <c r="G1041" s="433"/>
      <c r="H1041" s="434"/>
      <c r="I1041" s="434"/>
      <c r="J1041" s="434">
        <f t="shared" ref="J1041:AG1041" si="781">+J684/J$680</f>
        <v>8.3333333333333332E-3</v>
      </c>
      <c r="K1041" s="434">
        <f t="shared" si="781"/>
        <v>8.6848635235732014E-3</v>
      </c>
      <c r="L1041" s="434">
        <f t="shared" si="781"/>
        <v>9.1848450057405284E-3</v>
      </c>
      <c r="M1041" s="434">
        <f t="shared" si="781"/>
        <v>7.4946466809421844E-3</v>
      </c>
      <c r="N1041" s="434">
        <f t="shared" si="781"/>
        <v>6.0922541340295913E-3</v>
      </c>
      <c r="O1041" s="434">
        <f t="shared" si="781"/>
        <v>9.4752186588921289E-3</v>
      </c>
      <c r="P1041" s="434">
        <f t="shared" si="781"/>
        <v>1.1002444987775062E-2</v>
      </c>
      <c r="Q1041" s="434">
        <f t="shared" si="781"/>
        <v>3.1561461794019932E-2</v>
      </c>
      <c r="R1041" s="434">
        <f t="shared" si="781"/>
        <v>1.8661811561219845E-2</v>
      </c>
      <c r="S1041" s="434">
        <f t="shared" si="781"/>
        <v>1.9649874955341193E-2</v>
      </c>
      <c r="T1041" s="434">
        <f t="shared" si="781"/>
        <v>1.6326530612244899E-2</v>
      </c>
      <c r="U1041" s="434">
        <f t="shared" si="781"/>
        <v>1.8418815528478322E-2</v>
      </c>
      <c r="V1041" s="434">
        <f t="shared" si="781"/>
        <v>1.6405484818805095E-2</v>
      </c>
      <c r="W1041" s="932">
        <f t="shared" si="781"/>
        <v>1.8526497199482982E-2</v>
      </c>
      <c r="X1041" s="932">
        <f t="shared" si="781"/>
        <v>1.3381742738589211E-2</v>
      </c>
      <c r="Y1041" s="932">
        <f t="shared" si="781"/>
        <v>1.5681326604181686E-2</v>
      </c>
      <c r="Z1041" s="932">
        <f t="shared" si="781"/>
        <v>1.4635750698898208E-2</v>
      </c>
      <c r="AA1041" s="932">
        <f t="shared" si="781"/>
        <v>1.5366430260047281E-2</v>
      </c>
      <c r="AB1041" s="932">
        <f t="shared" si="781"/>
        <v>1.8107859860910642E-2</v>
      </c>
      <c r="AC1041" s="434">
        <f t="shared" si="781"/>
        <v>1.7330605367673606E-2</v>
      </c>
      <c r="AD1041" s="932">
        <f t="shared" si="781"/>
        <v>1.3213530655391121E-2</v>
      </c>
      <c r="AE1041" s="932">
        <f t="shared" si="781"/>
        <v>1.5208110992529349E-2</v>
      </c>
      <c r="AF1041" s="932">
        <f t="shared" si="781"/>
        <v>1.4292134831460674E-2</v>
      </c>
      <c r="AG1041" s="932">
        <f t="shared" si="781"/>
        <v>1.8426998023157299E-2</v>
      </c>
      <c r="AH1041" s="932">
        <f>+AH684/AH$680</f>
        <v>1.5078302381090994E-2</v>
      </c>
      <c r="AI1041" s="932">
        <f>+AI684/AI$680</f>
        <v>1.7672457074003414E-2</v>
      </c>
      <c r="AJ1041" s="932">
        <f t="shared" ref="AJ1041:AT1041" si="782">+AJ684/AJ$680</f>
        <v>2.0863638819152163E-2</v>
      </c>
      <c r="AK1041" s="932">
        <f t="shared" si="782"/>
        <v>1.9626753557092716E-2</v>
      </c>
      <c r="AL1041" s="932">
        <f t="shared" si="782"/>
        <v>1.9012777212630567E-2</v>
      </c>
      <c r="AM1041" s="932">
        <f t="shared" si="782"/>
        <v>1.8220347676635731E-2</v>
      </c>
      <c r="AN1041" s="932">
        <f t="shared" si="782"/>
        <v>1.7861326593602456E-2</v>
      </c>
      <c r="AO1041" s="1924">
        <f t="shared" si="782"/>
        <v>1.6732908763576873E-2</v>
      </c>
      <c r="AP1041" s="1924">
        <f t="shared" si="782"/>
        <v>1.5873311008282709E-2</v>
      </c>
      <c r="AQ1041" s="1924">
        <f t="shared" si="782"/>
        <v>1.5014621430211445E-2</v>
      </c>
      <c r="AR1041" s="1924">
        <f t="shared" si="782"/>
        <v>1.4194544728043079E-2</v>
      </c>
      <c r="AS1041" s="1924">
        <f t="shared" si="782"/>
        <v>1.343722137739344E-2</v>
      </c>
      <c r="AT1041" s="1924">
        <f t="shared" si="782"/>
        <v>1.2712686933307944E-2</v>
      </c>
    </row>
    <row r="1042" spans="1:46" customFormat="1">
      <c r="A1042" s="297"/>
      <c r="B1042" s="295"/>
      <c r="C1042" s="293"/>
      <c r="D1042" s="2544" t="s">
        <v>1594</v>
      </c>
      <c r="E1042" s="3074"/>
      <c r="F1042" s="433"/>
      <c r="G1042" s="433"/>
      <c r="H1042" s="434"/>
      <c r="I1042" s="434"/>
      <c r="J1042" s="434">
        <f t="shared" ref="J1042:AG1043" si="783">+J688/J$680</f>
        <v>0.18333333333333332</v>
      </c>
      <c r="K1042" s="434">
        <f t="shared" si="783"/>
        <v>0.16749379652605459</v>
      </c>
      <c r="L1042" s="434">
        <f t="shared" si="783"/>
        <v>0.16417910447761194</v>
      </c>
      <c r="M1042" s="434">
        <f t="shared" si="783"/>
        <v>0.16381156316916487</v>
      </c>
      <c r="N1042" s="434">
        <f t="shared" si="783"/>
        <v>0.14273281114012185</v>
      </c>
      <c r="O1042" s="434">
        <f t="shared" si="783"/>
        <v>0.1457725947521866</v>
      </c>
      <c r="P1042" s="434">
        <f t="shared" si="783"/>
        <v>0.1491442542787286</v>
      </c>
      <c r="Q1042" s="434">
        <f t="shared" si="783"/>
        <v>0.16057585825027684</v>
      </c>
      <c r="R1042" s="434">
        <f t="shared" si="783"/>
        <v>0.16932180245789713</v>
      </c>
      <c r="S1042" s="434">
        <f t="shared" si="783"/>
        <v>0.16470167917113254</v>
      </c>
      <c r="T1042" s="434">
        <f t="shared" si="783"/>
        <v>0.15886970172684459</v>
      </c>
      <c r="U1042" s="434">
        <f t="shared" si="783"/>
        <v>0.16520260697081326</v>
      </c>
      <c r="V1042" s="434">
        <f t="shared" si="783"/>
        <v>0.18364348677766895</v>
      </c>
      <c r="W1042" s="932">
        <f t="shared" si="783"/>
        <v>0.18461869883670831</v>
      </c>
      <c r="X1042" s="932">
        <f t="shared" si="783"/>
        <v>0.19502074688796681</v>
      </c>
      <c r="Y1042" s="932">
        <f t="shared" si="783"/>
        <v>0.17790194664744052</v>
      </c>
      <c r="Z1042" s="932">
        <f t="shared" si="783"/>
        <v>0.17645124157210984</v>
      </c>
      <c r="AA1042" s="932">
        <f t="shared" si="783"/>
        <v>0.1702127659574468</v>
      </c>
      <c r="AB1042" s="932">
        <f t="shared" si="783"/>
        <v>0.17451777981892141</v>
      </c>
      <c r="AC1042" s="434">
        <f t="shared" si="783"/>
        <v>0.17571308220002407</v>
      </c>
      <c r="AD1042" s="932">
        <f t="shared" si="783"/>
        <v>0.19228329809725159</v>
      </c>
      <c r="AE1042" s="932">
        <f t="shared" si="783"/>
        <v>0.18916755602988261</v>
      </c>
      <c r="AF1042" s="932">
        <f t="shared" si="783"/>
        <v>0.21186516853932585</v>
      </c>
      <c r="AG1042" s="932">
        <f t="shared" si="783"/>
        <v>0.21752329850324767</v>
      </c>
      <c r="AH1042" s="932">
        <f>+AH688/AH$680</f>
        <v>0.21476392850905279</v>
      </c>
      <c r="AI1042" s="932">
        <f>+AI688/AI$680</f>
        <v>0.22065468420524148</v>
      </c>
      <c r="AJ1042" s="932">
        <f t="shared" ref="AJ1042:AT1043" si="784">+AJ688/AJ$680</f>
        <v>0.22394756799895985</v>
      </c>
      <c r="AK1042" s="932">
        <f t="shared" si="784"/>
        <v>0.22303326527144082</v>
      </c>
      <c r="AL1042" s="932">
        <f t="shared" si="784"/>
        <v>0.21779652573446592</v>
      </c>
      <c r="AM1042" s="932">
        <f t="shared" si="784"/>
        <v>0.21411605074415993</v>
      </c>
      <c r="AN1042" s="932">
        <f t="shared" si="784"/>
        <v>0.2121450270279171</v>
      </c>
      <c r="AO1042" s="1924">
        <f t="shared" si="784"/>
        <v>0.21100588796052228</v>
      </c>
      <c r="AP1042" s="1924">
        <f t="shared" si="784"/>
        <v>0.20923171869938351</v>
      </c>
      <c r="AQ1042" s="1924">
        <f t="shared" si="784"/>
        <v>0.2074602551949476</v>
      </c>
      <c r="AR1042" s="1924">
        <f t="shared" si="784"/>
        <v>0.20562737934347561</v>
      </c>
      <c r="AS1042" s="1924">
        <f t="shared" si="784"/>
        <v>0.20167911842931666</v>
      </c>
      <c r="AT1042" s="1924">
        <f t="shared" si="784"/>
        <v>0.19467093043382513</v>
      </c>
    </row>
    <row r="1043" spans="1:46" customFormat="1">
      <c r="A1043" s="297"/>
      <c r="B1043" s="295"/>
      <c r="C1043" s="293"/>
      <c r="D1043" s="2544" t="s">
        <v>362</v>
      </c>
      <c r="E1043" s="3074"/>
      <c r="F1043" s="433"/>
      <c r="G1043" s="433"/>
      <c r="H1043" s="434"/>
      <c r="I1043" s="434"/>
      <c r="J1043" s="434">
        <f t="shared" si="783"/>
        <v>1.3888888888888889E-3</v>
      </c>
      <c r="K1043" s="434">
        <f t="shared" si="783"/>
        <v>1.2406947890818859E-3</v>
      </c>
      <c r="L1043" s="434">
        <f t="shared" si="783"/>
        <v>6.8886337543053958E-3</v>
      </c>
      <c r="M1043" s="434">
        <f t="shared" si="783"/>
        <v>2.1413276231263384E-3</v>
      </c>
      <c r="N1043" s="434">
        <f t="shared" si="783"/>
        <v>2.6109660574412533E-3</v>
      </c>
      <c r="O1043" s="434">
        <f t="shared" si="783"/>
        <v>5.8309037900874635E-3</v>
      </c>
      <c r="P1043" s="434">
        <f t="shared" si="783"/>
        <v>6.1124694376528121E-3</v>
      </c>
      <c r="Q1043" s="434">
        <f t="shared" si="783"/>
        <v>1.0520487264673311E-2</v>
      </c>
      <c r="R1043" s="434">
        <f t="shared" si="783"/>
        <v>1.5475648611743286E-2</v>
      </c>
      <c r="S1043" s="434">
        <f t="shared" si="783"/>
        <v>1.4648088603072526E-2</v>
      </c>
      <c r="T1043" s="434">
        <f t="shared" si="783"/>
        <v>8.4772370486656205E-3</v>
      </c>
      <c r="U1043" s="434">
        <f t="shared" si="783"/>
        <v>1.0201190138849533E-2</v>
      </c>
      <c r="V1043" s="434">
        <f t="shared" si="783"/>
        <v>2.0078354554358472E-2</v>
      </c>
      <c r="W1043" s="932">
        <f t="shared" si="783"/>
        <v>1.6587677725118485E-2</v>
      </c>
      <c r="X1043" s="932">
        <f t="shared" si="783"/>
        <v>1.0684647302904565E-2</v>
      </c>
      <c r="Y1043" s="932">
        <f t="shared" si="783"/>
        <v>2.1449170872386444E-2</v>
      </c>
      <c r="Z1043" s="932">
        <f t="shared" si="783"/>
        <v>1.7266896891958559E-2</v>
      </c>
      <c r="AA1043" s="932">
        <f t="shared" si="783"/>
        <v>1.6400709219858155E-2</v>
      </c>
      <c r="AB1043" s="932">
        <f t="shared" si="783"/>
        <v>2.1781918383414249E-2</v>
      </c>
      <c r="AC1043" s="434">
        <f t="shared" si="783"/>
        <v>2.1302202431098809E-2</v>
      </c>
      <c r="AD1043" s="932">
        <f t="shared" si="783"/>
        <v>1.2896405919661734E-2</v>
      </c>
      <c r="AE1043" s="932">
        <f t="shared" si="783"/>
        <v>1.0272145144076841E-2</v>
      </c>
      <c r="AF1043" s="932">
        <f t="shared" si="783"/>
        <v>2.2921348314606741E-2</v>
      </c>
      <c r="AG1043" s="932">
        <f t="shared" si="783"/>
        <v>2.1815871222818414E-2</v>
      </c>
      <c r="AH1043" s="932">
        <f>+AH689/AH$680</f>
        <v>1.6475519590149618E-2</v>
      </c>
      <c r="AI1043" s="932">
        <f>+AI689/AI$680</f>
        <v>1.7823074605884125E-2</v>
      </c>
      <c r="AJ1043" s="932">
        <f t="shared" si="784"/>
        <v>1.7292728625640671E-2</v>
      </c>
      <c r="AK1043" s="932">
        <f t="shared" si="784"/>
        <v>1.6839548718863569E-2</v>
      </c>
      <c r="AL1043" s="932">
        <f t="shared" si="784"/>
        <v>1.6907372720758693E-2</v>
      </c>
      <c r="AM1043" s="932">
        <f t="shared" si="784"/>
        <v>1.699465562735171E-2</v>
      </c>
      <c r="AN1043" s="932">
        <f t="shared" si="784"/>
        <v>1.6779952962218157E-2</v>
      </c>
      <c r="AO1043" s="1924">
        <f t="shared" si="784"/>
        <v>1.7098345708160774E-2</v>
      </c>
      <c r="AP1043" s="1924">
        <f t="shared" si="784"/>
        <v>1.7485288619856838E-2</v>
      </c>
      <c r="AQ1043" s="1924">
        <f t="shared" si="784"/>
        <v>1.7775885884266322E-2</v>
      </c>
      <c r="AR1043" s="1924">
        <f t="shared" si="784"/>
        <v>1.8039804808220899E-2</v>
      </c>
      <c r="AS1043" s="1924">
        <f t="shared" si="784"/>
        <v>1.8323754359767432E-2</v>
      </c>
      <c r="AT1043" s="1924">
        <f t="shared" si="784"/>
        <v>1.8597385335029339E-2</v>
      </c>
    </row>
    <row r="1044" spans="1:46" customFormat="1">
      <c r="A1044" s="297"/>
      <c r="B1044" s="295"/>
      <c r="C1044" s="293"/>
      <c r="D1044" s="2544" t="s">
        <v>1595</v>
      </c>
      <c r="E1044" s="3074"/>
      <c r="F1044" s="433"/>
      <c r="G1044" s="433"/>
      <c r="H1044" s="434"/>
      <c r="I1044" s="434"/>
      <c r="J1044" s="434">
        <f t="shared" ref="J1044:AG1044" si="785">+J702/J$680</f>
        <v>0.41805555555555557</v>
      </c>
      <c r="K1044" s="434">
        <f t="shared" si="785"/>
        <v>0.44292803970223327</v>
      </c>
      <c r="L1044" s="434">
        <f t="shared" si="785"/>
        <v>0.43398392652123996</v>
      </c>
      <c r="M1044" s="434">
        <f t="shared" si="785"/>
        <v>0.44432548179871523</v>
      </c>
      <c r="N1044" s="434">
        <f t="shared" si="785"/>
        <v>0.43690165361183636</v>
      </c>
      <c r="O1044" s="434">
        <f t="shared" si="785"/>
        <v>0.42419825072886297</v>
      </c>
      <c r="P1044" s="434">
        <f t="shared" si="785"/>
        <v>0.42542787286063571</v>
      </c>
      <c r="Q1044" s="434">
        <f t="shared" si="785"/>
        <v>0.45902547065337762</v>
      </c>
      <c r="R1044" s="434">
        <f t="shared" si="785"/>
        <v>0.48793809740555305</v>
      </c>
      <c r="S1044" s="434">
        <f t="shared" si="785"/>
        <v>0.49910682386566629</v>
      </c>
      <c r="T1044" s="434">
        <f t="shared" si="785"/>
        <v>0.50141287284144431</v>
      </c>
      <c r="U1044" s="434">
        <f t="shared" si="785"/>
        <v>0.50467554548030602</v>
      </c>
      <c r="V1044" s="434">
        <f t="shared" si="785"/>
        <v>0.48481880509304603</v>
      </c>
      <c r="W1044" s="932">
        <f t="shared" si="785"/>
        <v>0.49504523912106851</v>
      </c>
      <c r="X1044" s="932">
        <f t="shared" si="785"/>
        <v>0.49325726141078841</v>
      </c>
      <c r="Y1044" s="932">
        <f t="shared" si="785"/>
        <v>0.4987382840663302</v>
      </c>
      <c r="Z1044" s="932">
        <f t="shared" si="785"/>
        <v>0.50304226278572606</v>
      </c>
      <c r="AA1044" s="932">
        <f t="shared" si="785"/>
        <v>0.49852245862884159</v>
      </c>
      <c r="AB1044" s="932">
        <f t="shared" si="785"/>
        <v>0.48326991208502823</v>
      </c>
      <c r="AC1044" s="434">
        <f t="shared" si="785"/>
        <v>0.50848477554459015</v>
      </c>
      <c r="AD1044" s="932">
        <f t="shared" si="785"/>
        <v>0.50877378435517973</v>
      </c>
      <c r="AE1044" s="932">
        <f t="shared" si="785"/>
        <v>0.48852721451440767</v>
      </c>
      <c r="AF1044" s="932">
        <f t="shared" si="785"/>
        <v>0.5168539325842697</v>
      </c>
      <c r="AG1044" s="932">
        <f t="shared" si="785"/>
        <v>0.5085427845241457</v>
      </c>
      <c r="AH1044" s="932">
        <f>+AH702/AH$680</f>
        <v>0.50334749956336966</v>
      </c>
      <c r="AI1044" s="932">
        <f>+AI702/AI$680</f>
        <v>0.52199015965458384</v>
      </c>
      <c r="AJ1044" s="932">
        <f t="shared" ref="AJ1044:AT1044" si="786">+AJ702/AJ$680</f>
        <v>0.52634267335707174</v>
      </c>
      <c r="AK1044" s="932">
        <f t="shared" si="786"/>
        <v>0.52880952665890524</v>
      </c>
      <c r="AL1044" s="932">
        <f t="shared" si="786"/>
        <v>0.53032419986454671</v>
      </c>
      <c r="AM1044" s="932">
        <f t="shared" si="786"/>
        <v>0.53670926959397169</v>
      </c>
      <c r="AN1044" s="932">
        <f t="shared" si="786"/>
        <v>0.5440489892564363</v>
      </c>
      <c r="AO1044" s="1924">
        <f t="shared" si="786"/>
        <v>0.54979438618604304</v>
      </c>
      <c r="AP1044" s="1924">
        <f t="shared" si="786"/>
        <v>0.55986449086658041</v>
      </c>
      <c r="AQ1044" s="1924">
        <f t="shared" si="786"/>
        <v>0.57004140172742912</v>
      </c>
      <c r="AR1044" s="1924">
        <f t="shared" si="786"/>
        <v>0.58105589652152201</v>
      </c>
      <c r="AS1044" s="1924">
        <f t="shared" si="786"/>
        <v>0.58631937817304225</v>
      </c>
      <c r="AT1044" s="1924">
        <f t="shared" si="786"/>
        <v>0.58262597257286342</v>
      </c>
    </row>
    <row r="1045" spans="1:46" customFormat="1">
      <c r="A1045" s="297"/>
      <c r="B1045" s="295"/>
      <c r="C1045" s="293"/>
      <c r="D1045" s="2544" t="s">
        <v>1596</v>
      </c>
      <c r="E1045" s="3074"/>
      <c r="F1045" s="433"/>
      <c r="G1045" s="433"/>
      <c r="H1045" s="434"/>
      <c r="I1045" s="434"/>
      <c r="J1045" s="434">
        <f t="shared" ref="J1045:AG1045" si="787">+J719/J680</f>
        <v>8.1944444444444445E-2</v>
      </c>
      <c r="K1045" s="434">
        <f t="shared" si="787"/>
        <v>7.6923076923076927E-2</v>
      </c>
      <c r="L1045" s="434">
        <f t="shared" si="787"/>
        <v>8.3811710677382315E-2</v>
      </c>
      <c r="M1045" s="434">
        <f t="shared" si="787"/>
        <v>8.9935760171306209E-2</v>
      </c>
      <c r="N1045" s="434">
        <f t="shared" si="787"/>
        <v>8.964316797214969E-2</v>
      </c>
      <c r="O1045" s="434">
        <f t="shared" si="787"/>
        <v>9.0379008746355682E-2</v>
      </c>
      <c r="P1045" s="434">
        <f t="shared" si="787"/>
        <v>8.7408312958435208E-2</v>
      </c>
      <c r="Q1045" s="434">
        <f t="shared" si="787"/>
        <v>9.0808416389811741E-2</v>
      </c>
      <c r="R1045" s="434">
        <f t="shared" si="787"/>
        <v>9.148839326354119E-2</v>
      </c>
      <c r="S1045" s="434">
        <f t="shared" si="787"/>
        <v>9.7534833869239015E-2</v>
      </c>
      <c r="T1045" s="434">
        <f t="shared" si="787"/>
        <v>9.5761381475667193E-2</v>
      </c>
      <c r="U1045" s="434">
        <f t="shared" si="787"/>
        <v>9.5777840748087276E-2</v>
      </c>
      <c r="V1045" s="434">
        <f t="shared" si="787"/>
        <v>0.10235063663075417</v>
      </c>
      <c r="W1045" s="932">
        <f t="shared" si="787"/>
        <v>8.2722964239551916E-2</v>
      </c>
      <c r="X1045" s="932">
        <f t="shared" si="787"/>
        <v>8.0290456431535276E-2</v>
      </c>
      <c r="Y1045" s="932">
        <f t="shared" si="787"/>
        <v>8.6517664023071372E-2</v>
      </c>
      <c r="Z1045" s="932">
        <f t="shared" si="787"/>
        <v>8.9294523926985697E-2</v>
      </c>
      <c r="AA1045" s="932">
        <f t="shared" si="787"/>
        <v>8.8061465721040191E-2</v>
      </c>
      <c r="AB1045" s="932">
        <f t="shared" si="787"/>
        <v>8.5553077024012603E-2</v>
      </c>
      <c r="AC1045" s="434">
        <f t="shared" si="787"/>
        <v>8.3283186905764833E-2</v>
      </c>
      <c r="AD1045" s="932">
        <f t="shared" si="787"/>
        <v>8.3403805496828756E-2</v>
      </c>
      <c r="AE1045" s="932">
        <f t="shared" si="787"/>
        <v>7.7908217716115266E-2</v>
      </c>
      <c r="AF1045" s="932">
        <f t="shared" si="787"/>
        <v>5.6898876404494383E-2</v>
      </c>
      <c r="AG1045" s="932">
        <f t="shared" si="787"/>
        <v>5.4645580344535441E-2</v>
      </c>
      <c r="AH1045" s="932">
        <f>+AH719/AH680</f>
        <v>5.0532689060953602E-2</v>
      </c>
      <c r="AI1045" s="932">
        <f>+AI719/AI680</f>
        <v>4.9452756300833414E-2</v>
      </c>
      <c r="AJ1045" s="932">
        <f t="shared" ref="AJ1045:AT1045" si="788">+AJ719/AJ680</f>
        <v>5.6151362470309614E-2</v>
      </c>
      <c r="AK1045" s="932">
        <f t="shared" si="788"/>
        <v>5.5182413689821665E-2</v>
      </c>
      <c r="AL1045" s="932">
        <f t="shared" si="788"/>
        <v>5.8350413353548583E-2</v>
      </c>
      <c r="AM1045" s="932">
        <f t="shared" si="788"/>
        <v>6.3990092450171912E-2</v>
      </c>
      <c r="AN1045" s="932">
        <f t="shared" si="788"/>
        <v>6.8295463380032256E-2</v>
      </c>
      <c r="AO1045" s="1924">
        <f t="shared" si="788"/>
        <v>7.029507130524551E-2</v>
      </c>
      <c r="AP1045" s="1924">
        <f t="shared" si="788"/>
        <v>5.8079085522835555E-2</v>
      </c>
      <c r="AQ1045" s="1924">
        <f t="shared" si="788"/>
        <v>5.9349073207863319E-2</v>
      </c>
      <c r="AR1045" s="1924">
        <f t="shared" si="788"/>
        <v>5.9353507848087191E-2</v>
      </c>
      <c r="AS1045" s="1924">
        <f t="shared" si="788"/>
        <v>7.1571484544434016E-2</v>
      </c>
      <c r="AT1045" s="1924">
        <f t="shared" si="788"/>
        <v>9.9048378140633137E-2</v>
      </c>
    </row>
    <row r="1046" spans="1:46" customFormat="1">
      <c r="A1046" s="297"/>
      <c r="B1046" s="295"/>
      <c r="C1046" s="293"/>
      <c r="D1046" s="2546" t="s">
        <v>261</v>
      </c>
      <c r="E1046" s="3074"/>
      <c r="F1046" s="433"/>
      <c r="G1046" s="433"/>
      <c r="H1046" s="433"/>
      <c r="I1046" s="433"/>
      <c r="J1046" s="433"/>
      <c r="K1046" s="433"/>
      <c r="L1046" s="433"/>
      <c r="M1046" s="433"/>
      <c r="N1046" s="433"/>
      <c r="O1046" s="433"/>
      <c r="P1046" s="433"/>
      <c r="Q1046" s="433"/>
      <c r="R1046" s="433"/>
      <c r="S1046" s="433"/>
      <c r="T1046" s="433"/>
      <c r="U1046" s="433"/>
      <c r="V1046" s="433"/>
      <c r="W1046" s="933"/>
      <c r="X1046" s="933"/>
      <c r="Y1046" s="933"/>
      <c r="Z1046" s="933"/>
      <c r="AA1046" s="933"/>
      <c r="AB1046" s="933"/>
      <c r="AC1046" s="433" t="str">
        <f t="shared" ref="AC1046:AH1046" si="789">IF(ABS(AC1040+AC1042+AC1044+AC1045)-1&gt;0.001, "CHECK","")</f>
        <v/>
      </c>
      <c r="AD1046" s="933" t="str">
        <f t="shared" si="789"/>
        <v/>
      </c>
      <c r="AE1046" s="933" t="str">
        <f t="shared" si="789"/>
        <v/>
      </c>
      <c r="AF1046" s="3242" t="str">
        <f t="shared" si="789"/>
        <v/>
      </c>
      <c r="AG1046" s="3242" t="str">
        <f>IF(ABS(AG1040+AG1042+AG1044+AG1045)-1&gt;0.001, "CHECK","")</f>
        <v/>
      </c>
      <c r="AH1046" s="3242" t="str">
        <f t="shared" si="789"/>
        <v/>
      </c>
      <c r="AI1046" s="3243" t="str">
        <f>IF(ABS(AI1040+AI1042+AI1044+AI1045)-1&gt;0.001,AI1040+AI1042+AI1044+AI1045-1,"")</f>
        <v/>
      </c>
      <c r="AJ1046" s="3620">
        <f>IF(ABS(AJ1040+AJ1042+AJ1044+AJ1045)-1&gt;0.001,AJ1040+AJ1042+AJ1044+AJ1045-1,"")</f>
        <v>1.3436156682690825E-2</v>
      </c>
      <c r="AK1046" s="3620">
        <f>IF(ABS(AK1040+AK1042+AK1044+AK1045)-1&gt;0.001,AK1040+AK1042+AK1044+AK1045-1,"")</f>
        <v>1.7908808275978849E-2</v>
      </c>
      <c r="AL1046" s="3620">
        <f t="shared" ref="AL1046:AT1046" si="790">IF(ABS(AL1040+AL1042+AL1044+AL1045)-1&gt;0.001,AL1040+AL1042+AL1044+AL1045-1,"")</f>
        <v>1.4831305128950811E-2</v>
      </c>
      <c r="AM1046" s="3620">
        <f t="shared" si="790"/>
        <v>2.0394100342076893E-2</v>
      </c>
      <c r="AN1046" s="3620">
        <f t="shared" si="790"/>
        <v>2.8021894746138809E-2</v>
      </c>
      <c r="AO1046" s="3620">
        <f t="shared" si="790"/>
        <v>3.4516984830398556E-2</v>
      </c>
      <c r="AP1046" s="3620">
        <f t="shared" si="790"/>
        <v>2.6383959796323575E-2</v>
      </c>
      <c r="AQ1046" s="3620">
        <f t="shared" si="790"/>
        <v>3.2581524492622416E-2</v>
      </c>
      <c r="AR1046" s="3620">
        <f t="shared" si="790"/>
        <v>3.8657956663404658E-2</v>
      </c>
      <c r="AS1046" s="3620">
        <f t="shared" si="790"/>
        <v>4.7381845081699625E-2</v>
      </c>
      <c r="AT1046" s="3620">
        <f t="shared" si="790"/>
        <v>5.6716064616100681E-2</v>
      </c>
    </row>
    <row r="1047" spans="1:46" customFormat="1">
      <c r="A1047" s="297"/>
      <c r="B1047" s="295"/>
      <c r="C1047" s="293"/>
      <c r="D1047" s="2547" t="s">
        <v>1597</v>
      </c>
      <c r="E1047" s="3076"/>
      <c r="F1047" s="761"/>
      <c r="G1047" s="761"/>
      <c r="H1047" s="761"/>
      <c r="I1047" s="761"/>
      <c r="J1047" s="761"/>
      <c r="K1047" s="761"/>
      <c r="L1047" s="761"/>
      <c r="M1047" s="761"/>
      <c r="N1047" s="761"/>
      <c r="O1047" s="761"/>
      <c r="P1047" s="761"/>
      <c r="Q1047" s="761"/>
      <c r="R1047" s="761"/>
      <c r="S1047" s="761"/>
      <c r="T1047" s="761"/>
      <c r="U1047" s="761"/>
      <c r="V1047" s="761"/>
      <c r="W1047" s="934"/>
      <c r="X1047" s="934"/>
      <c r="Y1047" s="934"/>
      <c r="Z1047" s="935"/>
      <c r="AA1047" s="934"/>
      <c r="AB1047" s="934"/>
      <c r="AC1047" s="761"/>
      <c r="AD1047" s="934"/>
      <c r="AE1047" s="934"/>
      <c r="AF1047" s="934"/>
      <c r="AG1047" s="934"/>
      <c r="AH1047" s="934"/>
      <c r="AI1047" s="934"/>
      <c r="AJ1047" s="934"/>
      <c r="AK1047" s="934"/>
      <c r="AL1047" s="934"/>
      <c r="AM1047" s="934"/>
      <c r="AN1047" s="934"/>
      <c r="AO1047" s="1927"/>
      <c r="AP1047" s="1927"/>
      <c r="AQ1047" s="1927"/>
      <c r="AR1047" s="1927"/>
      <c r="AS1047" s="1927"/>
      <c r="AT1047" s="1927"/>
    </row>
    <row r="1048" spans="1:46" customFormat="1">
      <c r="A1048" s="297"/>
      <c r="B1048" s="295"/>
      <c r="C1048" s="293"/>
      <c r="D1048" s="2548" t="s">
        <v>722</v>
      </c>
      <c r="E1048" s="3076"/>
      <c r="F1048" s="761"/>
      <c r="G1048" s="761"/>
      <c r="H1048" s="758"/>
      <c r="I1048" s="758"/>
      <c r="J1048" s="758">
        <f t="shared" ref="J1048:AT1048" si="791">+J874/J$873</f>
        <v>0.16388888888888889</v>
      </c>
      <c r="K1048" s="758">
        <f t="shared" si="791"/>
        <v>0.16129032258064516</v>
      </c>
      <c r="L1048" s="758">
        <f t="shared" si="791"/>
        <v>0.16303099885189437</v>
      </c>
      <c r="M1048" s="758">
        <f t="shared" si="791"/>
        <v>0.17130620985010706</v>
      </c>
      <c r="N1048" s="758">
        <f t="shared" si="791"/>
        <v>0.17058311575282856</v>
      </c>
      <c r="O1048" s="758">
        <f t="shared" si="791"/>
        <v>0.16545189504373178</v>
      </c>
      <c r="P1048" s="758">
        <f t="shared" si="791"/>
        <v>0.16442542787286063</v>
      </c>
      <c r="Q1048" s="758">
        <f t="shared" si="791"/>
        <v>0.16279069767441862</v>
      </c>
      <c r="R1048" s="758">
        <f t="shared" si="791"/>
        <v>0.14337733272644515</v>
      </c>
      <c r="S1048" s="758">
        <f t="shared" si="791"/>
        <v>0.12433011789924973</v>
      </c>
      <c r="T1048" s="758">
        <f t="shared" si="791"/>
        <v>0.12904238618524333</v>
      </c>
      <c r="U1048" s="758">
        <f t="shared" si="791"/>
        <v>0.13261547180504393</v>
      </c>
      <c r="V1048" s="758">
        <f t="shared" si="791"/>
        <v>0.12169441723800196</v>
      </c>
      <c r="W1048" s="936">
        <f t="shared" si="791"/>
        <v>0.13119345109866437</v>
      </c>
      <c r="X1048" s="936">
        <f t="shared" si="791"/>
        <v>0.13031275060144346</v>
      </c>
      <c r="Y1048" s="936">
        <f t="shared" si="791"/>
        <v>0.14473684210526316</v>
      </c>
      <c r="Z1048" s="936">
        <f t="shared" si="791"/>
        <v>0.14010853478046373</v>
      </c>
      <c r="AA1048" s="936">
        <f t="shared" si="791"/>
        <v>0.15233451536643025</v>
      </c>
      <c r="AB1048" s="936">
        <f t="shared" si="791"/>
        <v>0.15168613042907755</v>
      </c>
      <c r="AC1048" s="758">
        <f t="shared" si="791"/>
        <v>0.13924660007221085</v>
      </c>
      <c r="AD1048" s="936">
        <f t="shared" si="791"/>
        <v>0.14714587737843551</v>
      </c>
      <c r="AE1048" s="936">
        <f t="shared" si="791"/>
        <v>0.15023758972803558</v>
      </c>
      <c r="AF1048" s="936">
        <f t="shared" si="791"/>
        <v>0.17644943820224718</v>
      </c>
      <c r="AG1048" s="936">
        <f t="shared" si="791"/>
        <v>0.17269133013273086</v>
      </c>
      <c r="AH1048" s="936">
        <f t="shared" si="791"/>
        <v>0.1678989346218781</v>
      </c>
      <c r="AI1048" s="936">
        <f t="shared" si="791"/>
        <v>0.17351139672657898</v>
      </c>
      <c r="AJ1048" s="936">
        <f t="shared" si="791"/>
        <v>0.1715361683045962</v>
      </c>
      <c r="AK1048" s="936">
        <f t="shared" si="791"/>
        <v>0.15823966997215114</v>
      </c>
      <c r="AL1048" s="936">
        <f t="shared" si="791"/>
        <v>0.15670359450596888</v>
      </c>
      <c r="AM1048" s="936">
        <f t="shared" si="791"/>
        <v>0.15477306432542182</v>
      </c>
      <c r="AN1048" s="936">
        <f t="shared" si="791"/>
        <v>0.15256360816095874</v>
      </c>
      <c r="AO1048" s="1503">
        <f t="shared" si="791"/>
        <v>0.21292280960682719</v>
      </c>
      <c r="AP1048" s="1503">
        <f t="shared" si="791"/>
        <v>0.20770515202474782</v>
      </c>
      <c r="AQ1048" s="1503">
        <f t="shared" si="791"/>
        <v>0.20719915620493332</v>
      </c>
      <c r="AR1048" s="1503">
        <f t="shared" si="791"/>
        <v>0.21007701687802718</v>
      </c>
      <c r="AS1048" s="1503">
        <f t="shared" si="791"/>
        <v>0.22966825471494914</v>
      </c>
      <c r="AT1048" s="1503">
        <f t="shared" si="791"/>
        <v>0.26613832527016618</v>
      </c>
    </row>
    <row r="1049" spans="1:46" customFormat="1">
      <c r="A1049" s="297"/>
      <c r="B1049" s="295"/>
      <c r="C1049" s="293"/>
      <c r="D1049" s="2548" t="s">
        <v>265</v>
      </c>
      <c r="E1049" s="3076"/>
      <c r="F1049" s="761"/>
      <c r="G1049" s="761"/>
      <c r="H1049" s="758"/>
      <c r="I1049" s="758"/>
      <c r="J1049" s="758">
        <f t="shared" ref="J1049:AT1049" si="792">+J877/J$873</f>
        <v>0.88194444444444442</v>
      </c>
      <c r="K1049" s="758">
        <f t="shared" si="792"/>
        <v>0.88337468982630274</v>
      </c>
      <c r="L1049" s="758">
        <f t="shared" si="792"/>
        <v>0.85533869115958672</v>
      </c>
      <c r="M1049" s="758">
        <f t="shared" si="792"/>
        <v>0.854389721627409</v>
      </c>
      <c r="N1049" s="758">
        <f t="shared" si="792"/>
        <v>0.835509138381201</v>
      </c>
      <c r="O1049" s="758">
        <f t="shared" si="792"/>
        <v>0.81705539358600587</v>
      </c>
      <c r="P1049" s="758">
        <f t="shared" si="792"/>
        <v>0.81234718826405872</v>
      </c>
      <c r="Q1049" s="758">
        <f t="shared" si="792"/>
        <v>0.79900332225913617</v>
      </c>
      <c r="R1049" s="758">
        <f t="shared" si="792"/>
        <v>0.77378243058716434</v>
      </c>
      <c r="S1049" s="758">
        <f t="shared" si="792"/>
        <v>0.81171847088245797</v>
      </c>
      <c r="T1049" s="758">
        <f t="shared" si="792"/>
        <v>0.82040816326530608</v>
      </c>
      <c r="U1049" s="758">
        <f t="shared" si="792"/>
        <v>0.81977897421365831</v>
      </c>
      <c r="V1049" s="758">
        <f t="shared" si="792"/>
        <v>0.81292850146914786</v>
      </c>
      <c r="W1049" s="936">
        <f t="shared" si="792"/>
        <v>0.80008616975441615</v>
      </c>
      <c r="X1049" s="936">
        <f t="shared" si="792"/>
        <v>0.78147554129911789</v>
      </c>
      <c r="Y1049" s="936">
        <f t="shared" si="792"/>
        <v>0.78352559480894013</v>
      </c>
      <c r="Z1049" s="936">
        <f t="shared" si="792"/>
        <v>0.80430850189113634</v>
      </c>
      <c r="AA1049" s="936">
        <f t="shared" si="792"/>
        <v>0.77423167848699759</v>
      </c>
      <c r="AB1049" s="936">
        <f t="shared" si="792"/>
        <v>0.73481170450072164</v>
      </c>
      <c r="AC1049" s="758">
        <f t="shared" si="792"/>
        <v>0.72884823685160671</v>
      </c>
      <c r="AD1049" s="936">
        <f t="shared" si="792"/>
        <v>0.68446088794926008</v>
      </c>
      <c r="AE1049" s="936">
        <f t="shared" si="792"/>
        <v>0.7381457891012031</v>
      </c>
      <c r="AF1049" s="936">
        <f t="shared" si="792"/>
        <v>0.74130337078651687</v>
      </c>
      <c r="AG1049" s="936">
        <f t="shared" si="792"/>
        <v>0.62334086416266588</v>
      </c>
      <c r="AH1049" s="936">
        <f t="shared" si="792"/>
        <v>0.6523257844792455</v>
      </c>
      <c r="AI1049" s="936">
        <f t="shared" si="792"/>
        <v>0.65784717341098509</v>
      </c>
      <c r="AJ1049" s="936">
        <f t="shared" si="792"/>
        <v>0.60485195404460479</v>
      </c>
      <c r="AK1049" s="936">
        <f t="shared" si="792"/>
        <v>0.61108477324949351</v>
      </c>
      <c r="AL1049" s="936">
        <f t="shared" si="792"/>
        <v>0.60583388607220434</v>
      </c>
      <c r="AM1049" s="936">
        <f t="shared" si="792"/>
        <v>0.59788328766337084</v>
      </c>
      <c r="AN1049" s="936">
        <f t="shared" si="792"/>
        <v>0.58920583095010493</v>
      </c>
      <c r="AO1049" s="1503">
        <f t="shared" si="792"/>
        <v>0.54363744027432248</v>
      </c>
      <c r="AP1049" s="1503">
        <f t="shared" si="792"/>
        <v>0.56268738735653634</v>
      </c>
      <c r="AQ1049" s="1503">
        <f t="shared" si="792"/>
        <v>0.56715827046440948</v>
      </c>
      <c r="AR1049" s="1503">
        <f t="shared" si="792"/>
        <v>0.56612678518079562</v>
      </c>
      <c r="AS1049" s="1503">
        <f t="shared" si="792"/>
        <v>0.54063305478661938</v>
      </c>
      <c r="AT1049" s="1503">
        <f t="shared" si="792"/>
        <v>0.49342976838949221</v>
      </c>
    </row>
    <row r="1050" spans="1:46" customFormat="1">
      <c r="A1050" s="297"/>
      <c r="B1050" s="295"/>
      <c r="C1050" s="293"/>
      <c r="D1050" s="2549" t="s">
        <v>363</v>
      </c>
      <c r="E1050" s="3076"/>
      <c r="F1050" s="761"/>
      <c r="G1050" s="761"/>
      <c r="H1050" s="758"/>
      <c r="I1050" s="758"/>
      <c r="J1050" s="758">
        <f t="shared" ref="J1050:AT1050" si="793">+J1051+J1052</f>
        <v>0</v>
      </c>
      <c r="K1050" s="758">
        <f t="shared" si="793"/>
        <v>0</v>
      </c>
      <c r="L1050" s="758">
        <f t="shared" si="793"/>
        <v>0</v>
      </c>
      <c r="M1050" s="758">
        <f t="shared" si="793"/>
        <v>0</v>
      </c>
      <c r="N1050" s="758">
        <f t="shared" si="793"/>
        <v>0</v>
      </c>
      <c r="O1050" s="758">
        <f t="shared" si="793"/>
        <v>0</v>
      </c>
      <c r="P1050" s="758">
        <f t="shared" si="793"/>
        <v>0</v>
      </c>
      <c r="Q1050" s="758">
        <f t="shared" si="793"/>
        <v>0.15227021040974531</v>
      </c>
      <c r="R1050" s="758">
        <f t="shared" si="793"/>
        <v>0.16977696859353664</v>
      </c>
      <c r="S1050" s="758">
        <f t="shared" si="793"/>
        <v>0.21614862450875311</v>
      </c>
      <c r="T1050" s="758">
        <f t="shared" si="793"/>
        <v>0.21287284144426999</v>
      </c>
      <c r="U1050" s="758">
        <f t="shared" si="793"/>
        <v>0.20799093227543214</v>
      </c>
      <c r="V1050" s="758">
        <f t="shared" si="793"/>
        <v>0.21131243878550438</v>
      </c>
      <c r="W1050" s="936">
        <f t="shared" si="793"/>
        <v>0.23610512710038778</v>
      </c>
      <c r="X1050" s="936">
        <f t="shared" si="793"/>
        <v>0.24739374498797112</v>
      </c>
      <c r="Y1050" s="936">
        <f t="shared" si="793"/>
        <v>0.23540014419610669</v>
      </c>
      <c r="Z1050" s="936">
        <f t="shared" si="793"/>
        <v>0.24518993586581156</v>
      </c>
      <c r="AA1050" s="936">
        <f t="shared" si="793"/>
        <v>0.26196808510638303</v>
      </c>
      <c r="AB1050" s="936">
        <f t="shared" si="793"/>
        <v>0.24091326597559376</v>
      </c>
      <c r="AC1050" s="758">
        <f t="shared" si="793"/>
        <v>0.17920327355879168</v>
      </c>
      <c r="AD1050" s="936">
        <f t="shared" si="793"/>
        <v>0.21659619450317125</v>
      </c>
      <c r="AE1050" s="936">
        <f t="shared" si="793"/>
        <v>0.18188251946213729</v>
      </c>
      <c r="AF1050" s="936">
        <f t="shared" si="793"/>
        <v>0.3543370786516854</v>
      </c>
      <c r="AG1050" s="936">
        <f t="shared" si="793"/>
        <v>0.37764755718723519</v>
      </c>
      <c r="AH1050" s="936">
        <f t="shared" si="793"/>
        <v>0.40344646911567794</v>
      </c>
      <c r="AI1050" s="936">
        <f t="shared" si="793"/>
        <v>0.3582186966562908</v>
      </c>
      <c r="AJ1050" s="936">
        <f t="shared" si="793"/>
        <v>0.36178006376312966</v>
      </c>
      <c r="AK1050" s="936">
        <f t="shared" si="793"/>
        <v>0.37777239965260201</v>
      </c>
      <c r="AL1050" s="936">
        <f t="shared" si="793"/>
        <v>0.37957104270223702</v>
      </c>
      <c r="AM1050" s="936">
        <f t="shared" si="793"/>
        <v>0.35705659315633265</v>
      </c>
      <c r="AN1050" s="936">
        <f t="shared" si="793"/>
        <v>0.35052827396500091</v>
      </c>
      <c r="AO1050" s="1503">
        <f t="shared" si="793"/>
        <v>0.32689722291242646</v>
      </c>
      <c r="AP1050" s="1503">
        <f t="shared" si="793"/>
        <v>0.30560435299555139</v>
      </c>
      <c r="AQ1050" s="1503">
        <f t="shared" si="793"/>
        <v>0.29166519371628868</v>
      </c>
      <c r="AR1050" s="1503">
        <f t="shared" si="793"/>
        <v>0.2807965183006832</v>
      </c>
      <c r="AS1050" s="1503">
        <f t="shared" si="793"/>
        <v>0.27724323699081721</v>
      </c>
      <c r="AT1050" s="1503">
        <f t="shared" si="793"/>
        <v>0.27992597224605914</v>
      </c>
    </row>
    <row r="1051" spans="1:46" customFormat="1">
      <c r="A1051" s="297"/>
      <c r="B1051" s="295"/>
      <c r="C1051" s="293"/>
      <c r="D1051" s="2548" t="s">
        <v>364</v>
      </c>
      <c r="E1051" s="3076"/>
      <c r="F1051" s="761"/>
      <c r="G1051" s="761"/>
      <c r="H1051" s="758"/>
      <c r="I1051" s="758"/>
      <c r="J1051" s="758">
        <f t="shared" ref="J1051:AT1051" si="794">+J879/J$873</f>
        <v>6.4864512978124997E-2</v>
      </c>
      <c r="K1051" s="758">
        <f t="shared" si="794"/>
        <v>5.7913054028691069E-2</v>
      </c>
      <c r="L1051" s="758">
        <f t="shared" si="794"/>
        <v>4.9810698909299657E-2</v>
      </c>
      <c r="M1051" s="758">
        <f t="shared" si="794"/>
        <v>4.5009696199143467E-2</v>
      </c>
      <c r="N1051" s="758">
        <f t="shared" si="794"/>
        <v>3.9391906005221931E-2</v>
      </c>
      <c r="O1051" s="758">
        <f t="shared" si="794"/>
        <v>4.4339550732507289E-2</v>
      </c>
      <c r="P1051" s="758">
        <f t="shared" si="794"/>
        <v>4.9130887135887834E-2</v>
      </c>
      <c r="Q1051" s="758">
        <f t="shared" si="794"/>
        <v>5.1939741970826417E-2</v>
      </c>
      <c r="R1051" s="758">
        <f t="shared" si="794"/>
        <v>5.4619936276741013E-2</v>
      </c>
      <c r="S1051" s="758">
        <f t="shared" si="794"/>
        <v>6.6304930332261508E-2</v>
      </c>
      <c r="T1051" s="758">
        <f t="shared" si="794"/>
        <v>7.3398744113029837E-2</v>
      </c>
      <c r="U1051" s="758">
        <f t="shared" si="794"/>
        <v>6.2316846014862599E-2</v>
      </c>
      <c r="V1051" s="758">
        <f t="shared" si="794"/>
        <v>6.4450154925497091E-2</v>
      </c>
      <c r="W1051" s="936">
        <f t="shared" si="794"/>
        <v>7.3701010898851657E-2</v>
      </c>
      <c r="X1051" s="936">
        <f t="shared" si="794"/>
        <v>8.7474737667771085E-2</v>
      </c>
      <c r="Y1051" s="936">
        <f t="shared" si="794"/>
        <v>9.661507092881591E-2</v>
      </c>
      <c r="Z1051" s="936">
        <f t="shared" si="794"/>
        <v>8.7732841551039567E-2</v>
      </c>
      <c r="AA1051" s="936">
        <f t="shared" si="794"/>
        <v>7.792453045175618E-2</v>
      </c>
      <c r="AB1051" s="936">
        <f t="shared" si="794"/>
        <v>7.2953904267116246E-2</v>
      </c>
      <c r="AC1051" s="758">
        <f t="shared" si="794"/>
        <v>8.1701397381780144E-2</v>
      </c>
      <c r="AD1051" s="936">
        <f t="shared" si="794"/>
        <v>8.7350476530813168E-2</v>
      </c>
      <c r="AE1051" s="936">
        <f t="shared" si="794"/>
        <v>9.89531162663283E-2</v>
      </c>
      <c r="AF1051" s="936">
        <f t="shared" si="794"/>
        <v>0.10686912147999907</v>
      </c>
      <c r="AG1051" s="936">
        <f t="shared" si="794"/>
        <v>9.2397933330278986E-2</v>
      </c>
      <c r="AH1051" s="936">
        <f t="shared" si="794"/>
        <v>8.2029286061108223E-2</v>
      </c>
      <c r="AI1051" s="936">
        <f t="shared" si="794"/>
        <v>7.5267379144111635E-2</v>
      </c>
      <c r="AJ1051" s="936">
        <f t="shared" si="794"/>
        <v>6.9045646827858034E-2</v>
      </c>
      <c r="AK1051" s="936">
        <f t="shared" si="794"/>
        <v>6.5558392789938275E-2</v>
      </c>
      <c r="AL1051" s="936">
        <f t="shared" si="794"/>
        <v>6.7795327427183347E-2</v>
      </c>
      <c r="AM1051" s="936">
        <f t="shared" si="794"/>
        <v>6.9424710698633499E-2</v>
      </c>
      <c r="AN1051" s="936">
        <f t="shared" si="794"/>
        <v>6.9370704523438284E-2</v>
      </c>
      <c r="AO1051" s="1503">
        <f t="shared" si="794"/>
        <v>6.6161605208789262E-2</v>
      </c>
      <c r="AP1051" s="1503">
        <f t="shared" si="794"/>
        <v>6.3360651436415213E-2</v>
      </c>
      <c r="AQ1051" s="1503">
        <f t="shared" si="794"/>
        <v>6.3590940798719617E-2</v>
      </c>
      <c r="AR1051" s="1503">
        <f t="shared" si="794"/>
        <v>6.616891651041347E-2</v>
      </c>
      <c r="AS1051" s="1503">
        <f t="shared" si="794"/>
        <v>7.4422525788325297E-2</v>
      </c>
      <c r="AT1051" s="1503">
        <f t="shared" si="794"/>
        <v>8.7744132681129641E-2</v>
      </c>
    </row>
    <row r="1052" spans="1:46" customFormat="1">
      <c r="A1052" s="297"/>
      <c r="B1052" s="295"/>
      <c r="C1052" s="293"/>
      <c r="D1052" s="2548" t="s">
        <v>365</v>
      </c>
      <c r="E1052" s="3076"/>
      <c r="F1052" s="761"/>
      <c r="G1052" s="761"/>
      <c r="H1052" s="758"/>
      <c r="I1052" s="758"/>
      <c r="J1052" s="758">
        <f t="shared" ref="J1052:AT1052" si="795">+(J880+J883)/J$873</f>
        <v>-6.4864512978124997E-2</v>
      </c>
      <c r="K1052" s="758">
        <f t="shared" si="795"/>
        <v>-5.7913054028691069E-2</v>
      </c>
      <c r="L1052" s="758">
        <f t="shared" si="795"/>
        <v>-4.9810698909299657E-2</v>
      </c>
      <c r="M1052" s="758">
        <f t="shared" si="795"/>
        <v>-4.5009696199143467E-2</v>
      </c>
      <c r="N1052" s="758">
        <f t="shared" si="795"/>
        <v>-3.9391906005221931E-2</v>
      </c>
      <c r="O1052" s="758">
        <f t="shared" si="795"/>
        <v>-4.4339550732507289E-2</v>
      </c>
      <c r="P1052" s="758">
        <f t="shared" si="795"/>
        <v>-4.9130887135887834E-2</v>
      </c>
      <c r="Q1052" s="758">
        <f t="shared" si="795"/>
        <v>0.10033046843891888</v>
      </c>
      <c r="R1052" s="758">
        <f t="shared" si="795"/>
        <v>0.11515703231679562</v>
      </c>
      <c r="S1052" s="758">
        <f t="shared" si="795"/>
        <v>0.1498436941764916</v>
      </c>
      <c r="T1052" s="758">
        <f t="shared" si="795"/>
        <v>0.13947409733124017</v>
      </c>
      <c r="U1052" s="758">
        <f t="shared" si="795"/>
        <v>0.14567408626056955</v>
      </c>
      <c r="V1052" s="758">
        <f t="shared" si="795"/>
        <v>0.1468622838600073</v>
      </c>
      <c r="W1052" s="936">
        <f t="shared" si="795"/>
        <v>0.16240411620153611</v>
      </c>
      <c r="X1052" s="936">
        <f t="shared" si="795"/>
        <v>0.15991900732020004</v>
      </c>
      <c r="Y1052" s="936">
        <f t="shared" si="795"/>
        <v>0.13878507326729078</v>
      </c>
      <c r="Z1052" s="936">
        <f t="shared" si="795"/>
        <v>0.15745709431477198</v>
      </c>
      <c r="AA1052" s="936">
        <f t="shared" si="795"/>
        <v>0.18404355465462682</v>
      </c>
      <c r="AB1052" s="936">
        <f t="shared" si="795"/>
        <v>0.1679593617084775</v>
      </c>
      <c r="AC1052" s="758">
        <f t="shared" si="795"/>
        <v>9.7501876177011518E-2</v>
      </c>
      <c r="AD1052" s="936">
        <f t="shared" si="795"/>
        <v>0.12924571797235807</v>
      </c>
      <c r="AE1052" s="936">
        <f t="shared" si="795"/>
        <v>8.2929403195809007E-2</v>
      </c>
      <c r="AF1052" s="936">
        <f t="shared" si="795"/>
        <v>0.24746795717168632</v>
      </c>
      <c r="AG1052" s="936">
        <f t="shared" si="795"/>
        <v>0.28524962385695624</v>
      </c>
      <c r="AH1052" s="936">
        <f t="shared" si="795"/>
        <v>0.32141718305456973</v>
      </c>
      <c r="AI1052" s="1503">
        <f t="shared" si="795"/>
        <v>0.28295131751217917</v>
      </c>
      <c r="AJ1052" s="1503">
        <f t="shared" si="795"/>
        <v>0.29273441693527164</v>
      </c>
      <c r="AK1052" s="1503">
        <f t="shared" si="795"/>
        <v>0.31221400686266371</v>
      </c>
      <c r="AL1052" s="936">
        <f t="shared" si="795"/>
        <v>0.31177571527505366</v>
      </c>
      <c r="AM1052" s="936">
        <f t="shared" si="795"/>
        <v>0.28763188245769916</v>
      </c>
      <c r="AN1052" s="936">
        <f t="shared" si="795"/>
        <v>0.28115756944156262</v>
      </c>
      <c r="AO1052" s="1503">
        <f t="shared" si="795"/>
        <v>0.26073561770363718</v>
      </c>
      <c r="AP1052" s="1503">
        <f t="shared" si="795"/>
        <v>0.24224370155913616</v>
      </c>
      <c r="AQ1052" s="1503">
        <f t="shared" si="795"/>
        <v>0.22807425291756905</v>
      </c>
      <c r="AR1052" s="1503">
        <f t="shared" si="795"/>
        <v>0.21462760179026974</v>
      </c>
      <c r="AS1052" s="1503">
        <f t="shared" si="795"/>
        <v>0.20282071120249193</v>
      </c>
      <c r="AT1052" s="1503">
        <f t="shared" si="795"/>
        <v>0.19218183956492949</v>
      </c>
    </row>
    <row r="1053" spans="1:46" customFormat="1">
      <c r="A1053" s="297"/>
      <c r="B1053" s="295"/>
      <c r="C1053" s="293"/>
      <c r="D1053" s="2548"/>
      <c r="E1053" s="3076"/>
      <c r="F1053" s="761"/>
      <c r="G1053" s="761"/>
      <c r="H1053" s="758"/>
      <c r="I1053" s="758"/>
      <c r="J1053" s="758"/>
      <c r="K1053" s="758"/>
      <c r="L1053" s="758"/>
      <c r="M1053" s="758"/>
      <c r="N1053" s="758"/>
      <c r="O1053" s="758"/>
      <c r="P1053" s="758"/>
      <c r="Q1053" s="758"/>
      <c r="R1053" s="758"/>
      <c r="S1053" s="758"/>
      <c r="T1053" s="758"/>
      <c r="U1053" s="758"/>
      <c r="V1053" s="758"/>
      <c r="W1053" s="936"/>
      <c r="X1053" s="936"/>
      <c r="Y1053" s="936"/>
      <c r="Z1053" s="936"/>
      <c r="AA1053" s="936"/>
      <c r="AB1053" s="936"/>
      <c r="AC1053" s="758"/>
      <c r="AD1053" s="936"/>
      <c r="AE1053" s="936"/>
      <c r="AF1053" s="936"/>
      <c r="AG1053" s="936"/>
      <c r="AH1053" s="936"/>
      <c r="AI1053" s="1503"/>
      <c r="AJ1053" s="1503"/>
      <c r="AK1053" s="1503"/>
      <c r="AL1053" s="936"/>
      <c r="AM1053" s="936"/>
      <c r="AN1053" s="936"/>
      <c r="AO1053" s="1503"/>
      <c r="AP1053" s="1503"/>
      <c r="AQ1053" s="1503"/>
      <c r="AR1053" s="1503"/>
      <c r="AS1053" s="1503"/>
      <c r="AT1053" s="1503"/>
    </row>
    <row r="1054" spans="1:46" customFormat="1">
      <c r="A1054" s="297"/>
      <c r="B1054" s="295"/>
      <c r="C1054" s="293"/>
      <c r="D1054" s="2547" t="s">
        <v>1598</v>
      </c>
      <c r="E1054" s="3076"/>
      <c r="F1054" s="761"/>
      <c r="G1054" s="761"/>
      <c r="H1054" s="758"/>
      <c r="I1054" s="758"/>
      <c r="J1054" s="758"/>
      <c r="K1054" s="758"/>
      <c r="L1054" s="758"/>
      <c r="M1054" s="758"/>
      <c r="N1054" s="758"/>
      <c r="O1054" s="758"/>
      <c r="P1054" s="758"/>
      <c r="Q1054" s="758"/>
      <c r="R1054" s="758"/>
      <c r="S1054" s="758"/>
      <c r="T1054" s="758"/>
      <c r="U1054" s="758"/>
      <c r="V1054" s="758"/>
      <c r="W1054" s="936"/>
      <c r="X1054" s="758"/>
      <c r="Y1054" s="758"/>
      <c r="Z1054" s="758"/>
      <c r="AA1054" s="758"/>
      <c r="AB1054" s="758"/>
      <c r="AC1054" s="758"/>
      <c r="AD1054" s="936"/>
      <c r="AE1054" s="936"/>
      <c r="AF1054" s="936"/>
      <c r="AG1054" s="936"/>
      <c r="AH1054" s="936"/>
      <c r="AI1054" s="1503"/>
      <c r="AJ1054" s="1503"/>
      <c r="AK1054" s="1503"/>
      <c r="AL1054" s="936"/>
      <c r="AM1054" s="936"/>
      <c r="AN1054" s="936"/>
      <c r="AO1054" s="1503"/>
      <c r="AP1054" s="1503"/>
      <c r="AQ1054" s="1503"/>
      <c r="AR1054" s="1503"/>
      <c r="AS1054" s="1503"/>
      <c r="AT1054" s="1503"/>
    </row>
    <row r="1055" spans="1:46" customFormat="1">
      <c r="A1055" s="297"/>
      <c r="B1055" s="295"/>
      <c r="C1055" s="293"/>
      <c r="D1055" s="2550" t="s">
        <v>1760</v>
      </c>
      <c r="E1055" s="3076"/>
      <c r="F1055" s="761"/>
      <c r="G1055" s="761"/>
      <c r="H1055" s="758"/>
      <c r="I1055" s="758"/>
      <c r="J1055" s="758">
        <f t="shared" ref="J1055:AT1055" si="796">+J1050-(-J1058)</f>
        <v>-0.16527777777777777</v>
      </c>
      <c r="K1055" s="758">
        <f t="shared" si="796"/>
        <v>-0.16749379652605459</v>
      </c>
      <c r="L1055" s="758">
        <f t="shared" si="796"/>
        <v>-0.14695752009184848</v>
      </c>
      <c r="M1055" s="758">
        <f t="shared" si="796"/>
        <v>-0.15203426124197003</v>
      </c>
      <c r="N1055" s="758">
        <f t="shared" si="796"/>
        <v>-0.13838120104438645</v>
      </c>
      <c r="O1055" s="758">
        <f t="shared" si="796"/>
        <v>-0.12682215743440234</v>
      </c>
      <c r="P1055" s="758">
        <f t="shared" si="796"/>
        <v>-0.12836185819070906</v>
      </c>
      <c r="Q1055" s="758">
        <f t="shared" si="796"/>
        <v>3.8205980066445197E-2</v>
      </c>
      <c r="R1055" s="758">
        <f t="shared" si="796"/>
        <v>8.2840236686390512E-2</v>
      </c>
      <c r="S1055" s="758">
        <f t="shared" si="796"/>
        <v>6.3951411218292259E-2</v>
      </c>
      <c r="T1055" s="758">
        <f t="shared" si="796"/>
        <v>5.0549450549450509E-2</v>
      </c>
      <c r="U1055" s="758">
        <f t="shared" si="796"/>
        <v>4.7605553981297843E-2</v>
      </c>
      <c r="V1055" s="758">
        <f t="shared" si="796"/>
        <v>6.5377081292850137E-2</v>
      </c>
      <c r="W1055" s="936">
        <f t="shared" si="796"/>
        <v>6.8720379146919475E-2</v>
      </c>
      <c r="X1055" s="936">
        <f t="shared" si="796"/>
        <v>8.8211708099438652E-2</v>
      </c>
      <c r="Y1055" s="936">
        <f t="shared" si="796"/>
        <v>7.173756308579668E-2</v>
      </c>
      <c r="Z1055" s="936">
        <f t="shared" si="796"/>
        <v>5.5582963328399931E-2</v>
      </c>
      <c r="AA1055" s="936">
        <f t="shared" si="796"/>
        <v>7.3433806146572161E-2</v>
      </c>
      <c r="AB1055" s="936">
        <f t="shared" si="796"/>
        <v>0.11350216507020075</v>
      </c>
      <c r="AC1055" s="758">
        <f t="shared" si="796"/>
        <v>0.13190516307618247</v>
      </c>
      <c r="AD1055" s="936">
        <f t="shared" si="796"/>
        <v>0.16828752642706132</v>
      </c>
      <c r="AE1055" s="1503">
        <f t="shared" si="796"/>
        <v>0.11171772318269133</v>
      </c>
      <c r="AF1055" s="1503">
        <f t="shared" si="796"/>
        <v>8.2157303370786527E-2</v>
      </c>
      <c r="AG1055" s="1503">
        <f t="shared" si="796"/>
        <v>0.20410900875458907</v>
      </c>
      <c r="AH1055" s="1503">
        <f t="shared" si="796"/>
        <v>0.20795249461489199</v>
      </c>
      <c r="AI1055" s="1503">
        <f t="shared" si="796"/>
        <v>0.2067978712722161</v>
      </c>
      <c r="AJ1055" s="1503">
        <f t="shared" si="796"/>
        <v>0.22361187765079898</v>
      </c>
      <c r="AK1055" s="1503">
        <f t="shared" si="796"/>
        <v>0.23067555677835538</v>
      </c>
      <c r="AL1055" s="1503">
        <f t="shared" si="796"/>
        <v>0.23746251942182683</v>
      </c>
      <c r="AM1055" s="1503">
        <f t="shared" si="796"/>
        <v>0.24734364801120734</v>
      </c>
      <c r="AN1055" s="1503">
        <f t="shared" si="796"/>
        <v>0.25823056088893637</v>
      </c>
      <c r="AO1055" s="1503">
        <f t="shared" si="796"/>
        <v>0.24343975011885047</v>
      </c>
      <c r="AP1055" s="1503">
        <f t="shared" si="796"/>
        <v>0.22960746061871579</v>
      </c>
      <c r="AQ1055" s="1503">
        <f t="shared" si="796"/>
        <v>0.22564257333065721</v>
      </c>
      <c r="AR1055" s="1503">
        <f t="shared" si="796"/>
        <v>0.22379619794117725</v>
      </c>
      <c r="AS1055" s="1503">
        <f t="shared" si="796"/>
        <v>0.22969869049843139</v>
      </c>
      <c r="AT1055" s="1503">
        <f t="shared" si="796"/>
        <v>0.24043190634034153</v>
      </c>
    </row>
    <row r="1056" spans="1:46" customFormat="1">
      <c r="A1056" s="297"/>
      <c r="B1056" s="295"/>
      <c r="C1056" s="293"/>
      <c r="D1056" s="2550" t="s">
        <v>1599</v>
      </c>
      <c r="E1056" s="3076"/>
      <c r="F1056" s="761"/>
      <c r="G1056" s="761"/>
      <c r="H1056" s="758"/>
      <c r="I1056" s="758"/>
      <c r="J1056" s="1564">
        <f t="shared" ref="J1056:AN1056" si="797">+J217/J$873-J1048-(J235+J237+J245-J727)/J$873</f>
        <v>-0.10551039321493055</v>
      </c>
      <c r="K1056" s="1564">
        <f t="shared" si="797"/>
        <v>-0.10249293695083747</v>
      </c>
      <c r="L1056" s="1564">
        <f t="shared" si="797"/>
        <v>-9.8348686854190584E-2</v>
      </c>
      <c r="M1056" s="1564">
        <f t="shared" si="797"/>
        <v>-9.476768602783725E-2</v>
      </c>
      <c r="N1056" s="1564">
        <f t="shared" si="797"/>
        <v>-8.6281201044386441E-2</v>
      </c>
      <c r="O1056" s="1564">
        <f t="shared" si="797"/>
        <v>-8.2199675317055396E-2</v>
      </c>
      <c r="P1056" s="1564">
        <f t="shared" si="797"/>
        <v>-7.9946644530218519E-2</v>
      </c>
      <c r="Q1056" s="1564">
        <f t="shared" si="797"/>
        <v>-8.4755107788725109E-2</v>
      </c>
      <c r="R1056" s="1564">
        <f t="shared" si="797"/>
        <v>-8.2589895311788786E-2</v>
      </c>
      <c r="S1056" s="1564">
        <f t="shared" si="797"/>
        <v>-8.1033404787424074E-2</v>
      </c>
      <c r="T1056" s="1564">
        <f t="shared" si="797"/>
        <v>-8.5251177394034539E-2</v>
      </c>
      <c r="U1056" s="1564">
        <f t="shared" si="797"/>
        <v>-8.641046466178072E-2</v>
      </c>
      <c r="V1056" s="1564">
        <f t="shared" si="797"/>
        <v>-8.9487119617149821E-2</v>
      </c>
      <c r="W1056" s="1564">
        <f t="shared" si="797"/>
        <v>-7.06683284051738E-2</v>
      </c>
      <c r="X1056" s="1564">
        <f t="shared" si="797"/>
        <v>-8.2279263228299718E-2</v>
      </c>
      <c r="Y1056" s="1564">
        <f t="shared" si="797"/>
        <v>-1.8006398339489277E-2</v>
      </c>
      <c r="Z1056" s="1564">
        <f t="shared" si="797"/>
        <v>-1.8112896768992894E-2</v>
      </c>
      <c r="AA1056" s="1564">
        <f t="shared" si="797"/>
        <v>-1.5462470659553022E-2</v>
      </c>
      <c r="AB1056" s="1564">
        <f t="shared" si="797"/>
        <v>-1.6090168048424384E-2</v>
      </c>
      <c r="AC1056" s="1564">
        <f t="shared" si="797"/>
        <v>-1.262119973702424E-2</v>
      </c>
      <c r="AD1056" s="1503">
        <f t="shared" si="797"/>
        <v>-1.7002938386594474E-2</v>
      </c>
      <c r="AE1056" s="1503">
        <f t="shared" si="797"/>
        <v>-7.0689515502739275E-3</v>
      </c>
      <c r="AF1056" s="1503">
        <f t="shared" si="797"/>
        <v>-3.1487667326918892E-2</v>
      </c>
      <c r="AG1056" s="1503">
        <f t="shared" si="797"/>
        <v>-2.6786559887657466E-2</v>
      </c>
      <c r="AH1056" s="1503">
        <f t="shared" si="797"/>
        <v>-1.0489474607022859E-2</v>
      </c>
      <c r="AI1056" s="1503">
        <f t="shared" si="797"/>
        <v>1.6990599976103374E-3</v>
      </c>
      <c r="AJ1056" s="1503">
        <f t="shared" si="797"/>
        <v>-5.0899007049520339E-3</v>
      </c>
      <c r="AK1056" s="1503">
        <f t="shared" si="797"/>
        <v>1.265189961267725E-3</v>
      </c>
      <c r="AL1056" s="1503">
        <f t="shared" si="797"/>
        <v>1.2549416041570609E-2</v>
      </c>
      <c r="AM1056" s="1503">
        <f t="shared" si="797"/>
        <v>2.3961428748010313E-2</v>
      </c>
      <c r="AN1056" s="1503">
        <f t="shared" si="797"/>
        <v>3.0803081990457871E-2</v>
      </c>
      <c r="AO1056" s="1503">
        <f t="shared" ref="AO1056:AT1056" si="798">+AO217/AO$873-AO1048-(AO235+AO238+AO246-AO727)/AO$873</f>
        <v>-3.3871726414818913E-2</v>
      </c>
      <c r="AP1056" s="1503">
        <f t="shared" si="798"/>
        <v>-3.0117358890562586E-2</v>
      </c>
      <c r="AQ1056" s="1503">
        <f t="shared" si="798"/>
        <v>-2.9525645263552273E-2</v>
      </c>
      <c r="AR1056" s="1503">
        <f t="shared" si="798"/>
        <v>-3.4425100833643404E-2</v>
      </c>
      <c r="AS1056" s="1503">
        <f t="shared" si="798"/>
        <v>-3.5823868578051622E-2</v>
      </c>
      <c r="AT1056" s="1503">
        <f t="shared" si="798"/>
        <v>-3.0838234544225088E-2</v>
      </c>
    </row>
    <row r="1057" spans="1:46" customFormat="1">
      <c r="A1057" s="297"/>
      <c r="B1057" s="295"/>
      <c r="C1057" s="293"/>
      <c r="D1057" s="2550" t="s">
        <v>366</v>
      </c>
      <c r="E1057" s="3076"/>
      <c r="F1057" s="761"/>
      <c r="G1057" s="761"/>
      <c r="H1057" s="758"/>
      <c r="I1057" s="758"/>
      <c r="J1057" s="758">
        <f t="shared" ref="J1057:AT1057" si="799">+J1055-J1056</f>
        <v>-5.976738456284722E-2</v>
      </c>
      <c r="K1057" s="758">
        <f t="shared" si="799"/>
        <v>-6.5000859575217118E-2</v>
      </c>
      <c r="L1057" s="758">
        <f t="shared" si="799"/>
        <v>-4.8608833237657897E-2</v>
      </c>
      <c r="M1057" s="758">
        <f t="shared" si="799"/>
        <v>-5.7266575214132781E-2</v>
      </c>
      <c r="N1057" s="758">
        <f t="shared" si="799"/>
        <v>-5.2100000000000007E-2</v>
      </c>
      <c r="O1057" s="758">
        <f t="shared" si="799"/>
        <v>-4.4622482117346943E-2</v>
      </c>
      <c r="P1057" s="758">
        <f t="shared" si="799"/>
        <v>-4.8415213660490536E-2</v>
      </c>
      <c r="Q1057" s="758">
        <f t="shared" si="799"/>
        <v>0.12296108785517031</v>
      </c>
      <c r="R1057" s="758">
        <f t="shared" si="799"/>
        <v>0.1654301319981793</v>
      </c>
      <c r="S1057" s="758">
        <f t="shared" si="799"/>
        <v>0.14498481600571633</v>
      </c>
      <c r="T1057" s="758">
        <f t="shared" si="799"/>
        <v>0.13580062794348505</v>
      </c>
      <c r="U1057" s="758">
        <f t="shared" si="799"/>
        <v>0.13401601864307855</v>
      </c>
      <c r="V1057" s="758">
        <f t="shared" si="799"/>
        <v>0.15486420090999997</v>
      </c>
      <c r="W1057" s="936">
        <f t="shared" si="799"/>
        <v>0.13938870755209326</v>
      </c>
      <c r="X1057" s="936">
        <f t="shared" si="799"/>
        <v>0.17049097132773838</v>
      </c>
      <c r="Y1057" s="936">
        <f t="shared" si="799"/>
        <v>8.9743961425285956E-2</v>
      </c>
      <c r="Z1057" s="936">
        <f t="shared" si="799"/>
        <v>7.3695860097392818E-2</v>
      </c>
      <c r="AA1057" s="936">
        <f t="shared" si="799"/>
        <v>8.8896276806125191E-2</v>
      </c>
      <c r="AB1057" s="936">
        <f t="shared" si="799"/>
        <v>0.12959233311862514</v>
      </c>
      <c r="AC1057" s="758">
        <f t="shared" si="799"/>
        <v>0.14452636281320672</v>
      </c>
      <c r="AD1057" s="936">
        <f t="shared" si="799"/>
        <v>0.1852904648136558</v>
      </c>
      <c r="AE1057" s="1503">
        <f t="shared" si="799"/>
        <v>0.11878667473296525</v>
      </c>
      <c r="AF1057" s="1503">
        <f t="shared" si="799"/>
        <v>0.11364497069770542</v>
      </c>
      <c r="AG1057" s="1503">
        <f t="shared" si="799"/>
        <v>0.23089556864224653</v>
      </c>
      <c r="AH1057" s="1503">
        <f t="shared" si="799"/>
        <v>0.21844196922191483</v>
      </c>
      <c r="AI1057" s="1503">
        <f t="shared" si="799"/>
        <v>0.20509881127460577</v>
      </c>
      <c r="AJ1057" s="1503">
        <f t="shared" si="799"/>
        <v>0.22870177835575101</v>
      </c>
      <c r="AK1057" s="1503">
        <f t="shared" si="799"/>
        <v>0.22941036681708765</v>
      </c>
      <c r="AL1057" s="1503">
        <f t="shared" si="799"/>
        <v>0.22491310338025622</v>
      </c>
      <c r="AM1057" s="1503">
        <f t="shared" si="799"/>
        <v>0.22338221926319701</v>
      </c>
      <c r="AN1057" s="1503">
        <f t="shared" si="799"/>
        <v>0.2274274788984785</v>
      </c>
      <c r="AO1057" s="1503">
        <f t="shared" si="799"/>
        <v>0.27731147653366939</v>
      </c>
      <c r="AP1057" s="1503">
        <f t="shared" si="799"/>
        <v>0.25972481950927839</v>
      </c>
      <c r="AQ1057" s="1503">
        <f t="shared" si="799"/>
        <v>0.25516821859420946</v>
      </c>
      <c r="AR1057" s="1503">
        <f t="shared" si="799"/>
        <v>0.25822129877482064</v>
      </c>
      <c r="AS1057" s="1503">
        <f t="shared" si="799"/>
        <v>0.26552255907648303</v>
      </c>
      <c r="AT1057" s="1503">
        <f t="shared" si="799"/>
        <v>0.27127014088456664</v>
      </c>
    </row>
    <row r="1058" spans="1:46" customFormat="1">
      <c r="A1058" s="297"/>
      <c r="B1058" s="295"/>
      <c r="C1058" s="293"/>
      <c r="D1058" s="2548" t="s">
        <v>367</v>
      </c>
      <c r="E1058" s="3076"/>
      <c r="F1058" s="761"/>
      <c r="G1058" s="761"/>
      <c r="H1058" s="758"/>
      <c r="I1058" s="758"/>
      <c r="J1058" s="758">
        <f t="shared" ref="J1058:AT1058" si="800">+J1059-J1061</f>
        <v>-0.16527777777777777</v>
      </c>
      <c r="K1058" s="758">
        <f t="shared" si="800"/>
        <v>-0.16749379652605459</v>
      </c>
      <c r="L1058" s="758">
        <f t="shared" si="800"/>
        <v>-0.14695752009184848</v>
      </c>
      <c r="M1058" s="758">
        <f t="shared" si="800"/>
        <v>-0.15203426124197003</v>
      </c>
      <c r="N1058" s="758">
        <f t="shared" si="800"/>
        <v>-0.13838120104438645</v>
      </c>
      <c r="O1058" s="758">
        <f t="shared" si="800"/>
        <v>-0.12682215743440234</v>
      </c>
      <c r="P1058" s="758">
        <f t="shared" si="800"/>
        <v>-0.12836185819070906</v>
      </c>
      <c r="Q1058" s="758">
        <f t="shared" si="800"/>
        <v>-0.11406423034330011</v>
      </c>
      <c r="R1058" s="758">
        <f t="shared" si="800"/>
        <v>-8.6936731907146125E-2</v>
      </c>
      <c r="S1058" s="758">
        <f t="shared" si="800"/>
        <v>-0.15219721329046085</v>
      </c>
      <c r="T1058" s="758">
        <f t="shared" si="800"/>
        <v>-0.16232339089481948</v>
      </c>
      <c r="U1058" s="758">
        <f t="shared" si="800"/>
        <v>-0.1603853782941343</v>
      </c>
      <c r="V1058" s="758">
        <f t="shared" si="800"/>
        <v>-0.14593535749265424</v>
      </c>
      <c r="W1058" s="936">
        <f t="shared" si="800"/>
        <v>-0.1673847479534683</v>
      </c>
      <c r="X1058" s="936">
        <f t="shared" si="800"/>
        <v>-0.15918203688853247</v>
      </c>
      <c r="Y1058" s="936">
        <f t="shared" si="800"/>
        <v>-0.16366258111031001</v>
      </c>
      <c r="Z1058" s="936">
        <f t="shared" si="800"/>
        <v>-0.18960697253741163</v>
      </c>
      <c r="AA1058" s="936">
        <f t="shared" si="800"/>
        <v>-0.18853427895981087</v>
      </c>
      <c r="AB1058" s="936">
        <f t="shared" si="800"/>
        <v>-0.12741110090539301</v>
      </c>
      <c r="AC1058" s="758">
        <f t="shared" si="800"/>
        <v>-4.7298110482609207E-2</v>
      </c>
      <c r="AD1058" s="936">
        <f t="shared" si="800"/>
        <v>-4.8308668076109923E-2</v>
      </c>
      <c r="AE1058" s="936">
        <f t="shared" si="800"/>
        <v>-7.0164796279445968E-2</v>
      </c>
      <c r="AF1058" s="936">
        <f t="shared" si="800"/>
        <v>-0.27217977528089887</v>
      </c>
      <c r="AG1058" s="936">
        <f t="shared" si="800"/>
        <v>-0.17353854843264613</v>
      </c>
      <c r="AH1058" s="936">
        <f t="shared" si="800"/>
        <v>-0.19549397450078596</v>
      </c>
      <c r="AI1058" s="936">
        <f t="shared" si="800"/>
        <v>-0.1514208253840747</v>
      </c>
      <c r="AJ1058" s="936">
        <f t="shared" si="800"/>
        <v>-0.13816818611233067</v>
      </c>
      <c r="AK1058" s="936">
        <f t="shared" si="800"/>
        <v>-0.14709684287424662</v>
      </c>
      <c r="AL1058" s="936">
        <f t="shared" si="800"/>
        <v>-0.14210852328041018</v>
      </c>
      <c r="AM1058" s="936">
        <f t="shared" si="800"/>
        <v>-0.10971294514512531</v>
      </c>
      <c r="AN1058" s="936">
        <f t="shared" si="800"/>
        <v>-9.2297713076064547E-2</v>
      </c>
      <c r="AO1058" s="1503">
        <f t="shared" si="800"/>
        <v>-8.3457472793575987E-2</v>
      </c>
      <c r="AP1058" s="1503">
        <f t="shared" si="800"/>
        <v>-7.5996892376835601E-2</v>
      </c>
      <c r="AQ1058" s="1503">
        <f t="shared" si="800"/>
        <v>-6.6022620385631475E-2</v>
      </c>
      <c r="AR1058" s="1503">
        <f t="shared" si="800"/>
        <v>-5.7000320359505946E-2</v>
      </c>
      <c r="AS1058" s="1503">
        <f t="shared" si="800"/>
        <v>-4.754454649238582E-2</v>
      </c>
      <c r="AT1058" s="1503">
        <f t="shared" si="800"/>
        <v>-3.9494065905717607E-2</v>
      </c>
    </row>
    <row r="1059" spans="1:46" customFormat="1">
      <c r="A1059" s="297"/>
      <c r="B1059" s="295"/>
      <c r="C1059" s="293"/>
      <c r="D1059" s="2548" t="s">
        <v>735</v>
      </c>
      <c r="E1059" s="3076"/>
      <c r="F1059" s="761"/>
      <c r="G1059" s="761"/>
      <c r="H1059" s="758"/>
      <c r="I1059" s="758"/>
      <c r="J1059" s="758">
        <f t="shared" ref="J1059:AT1059" si="801">+J884/J$873</f>
        <v>5.4166666666666669E-2</v>
      </c>
      <c r="K1059" s="758">
        <f t="shared" si="801"/>
        <v>5.3349875930521089E-2</v>
      </c>
      <c r="L1059" s="758">
        <f t="shared" si="801"/>
        <v>7.2330654420206655E-2</v>
      </c>
      <c r="M1059" s="758">
        <f t="shared" si="801"/>
        <v>6.2098501070663809E-2</v>
      </c>
      <c r="N1059" s="758">
        <f t="shared" si="801"/>
        <v>7.7458659704090507E-2</v>
      </c>
      <c r="O1059" s="758">
        <f t="shared" si="801"/>
        <v>0.10422740524781342</v>
      </c>
      <c r="P1059" s="758">
        <f t="shared" si="801"/>
        <v>0.1069682151589242</v>
      </c>
      <c r="Q1059" s="758">
        <f t="shared" si="801"/>
        <v>0.11129568106312292</v>
      </c>
      <c r="R1059" s="758">
        <f t="shared" si="801"/>
        <v>0.13882567137005006</v>
      </c>
      <c r="S1059" s="758">
        <f t="shared" si="801"/>
        <v>0.11396927474097893</v>
      </c>
      <c r="T1059" s="758">
        <f t="shared" si="801"/>
        <v>0.10486656200941916</v>
      </c>
      <c r="U1059" s="758">
        <f t="shared" si="801"/>
        <v>0.1085293284216492</v>
      </c>
      <c r="V1059" s="758">
        <f t="shared" si="801"/>
        <v>0.12781586679725759</v>
      </c>
      <c r="W1059" s="936">
        <f t="shared" si="801"/>
        <v>0.12171477811288238</v>
      </c>
      <c r="X1059" s="936">
        <f t="shared" si="801"/>
        <v>0.1367281475541299</v>
      </c>
      <c r="Y1059" s="936">
        <f t="shared" si="801"/>
        <v>0.14059120403749098</v>
      </c>
      <c r="Z1059" s="936">
        <f t="shared" si="801"/>
        <v>0.1338595625719454</v>
      </c>
      <c r="AA1059" s="936">
        <f t="shared" si="801"/>
        <v>0.15617612293144209</v>
      </c>
      <c r="AB1059" s="936">
        <f t="shared" si="801"/>
        <v>0.20732187376984648</v>
      </c>
      <c r="AC1059" s="758">
        <f t="shared" si="801"/>
        <v>0.21627151281742688</v>
      </c>
      <c r="AD1059" s="936">
        <f t="shared" si="801"/>
        <v>0.22029598308668077</v>
      </c>
      <c r="AE1059" s="936">
        <f t="shared" si="801"/>
        <v>0.18673541603477908</v>
      </c>
      <c r="AF1059" s="936">
        <f t="shared" si="801"/>
        <v>0.19280898876404495</v>
      </c>
      <c r="AG1059" s="936">
        <f t="shared" si="801"/>
        <v>0.21801750917819826</v>
      </c>
      <c r="AH1059" s="936">
        <f t="shared" si="801"/>
        <v>0.24911218489841067</v>
      </c>
      <c r="AI1059" s="936">
        <f t="shared" si="801"/>
        <v>0.2907420423737323</v>
      </c>
      <c r="AJ1059" s="936">
        <f>+AJ884/AJ$873</f>
        <v>0.26784768836241835</v>
      </c>
      <c r="AK1059" s="936">
        <f t="shared" si="801"/>
        <v>0.26825278089790794</v>
      </c>
      <c r="AL1059" s="936">
        <f t="shared" si="801"/>
        <v>0.26835416655361738</v>
      </c>
      <c r="AM1059" s="936">
        <f t="shared" si="801"/>
        <v>0.26460047257778779</v>
      </c>
      <c r="AN1059" s="936">
        <f t="shared" si="801"/>
        <v>0.2522720403182504</v>
      </c>
      <c r="AO1059" s="1503">
        <f t="shared" si="801"/>
        <v>0.24318914777488135</v>
      </c>
      <c r="AP1059" s="1503">
        <f t="shared" si="801"/>
        <v>0.23799147202762283</v>
      </c>
      <c r="AQ1059" s="1503">
        <f t="shared" si="801"/>
        <v>0.23107321433080477</v>
      </c>
      <c r="AR1059" s="1503">
        <f t="shared" si="801"/>
        <v>0.22424215968922753</v>
      </c>
      <c r="AS1059" s="1503">
        <f t="shared" si="801"/>
        <v>0.21806072780107855</v>
      </c>
      <c r="AT1059" s="1503">
        <f t="shared" si="801"/>
        <v>0.2121315821377566</v>
      </c>
    </row>
    <row r="1060" spans="1:46" s="1469" customFormat="1">
      <c r="A1060" s="1658"/>
      <c r="B1060" s="1471"/>
      <c r="C1060" s="1652"/>
      <c r="D1060" s="2560" t="str">
        <f>D172</f>
        <v xml:space="preserve">   of which: exports non-monetary gold</v>
      </c>
      <c r="E1060" s="3077"/>
      <c r="F1060" s="2561"/>
      <c r="G1060" s="2561"/>
      <c r="H1060" s="1564"/>
      <c r="I1060" s="1564"/>
      <c r="J1060" s="1564"/>
      <c r="K1060" s="1564"/>
      <c r="L1060" s="1564"/>
      <c r="M1060" s="1564"/>
      <c r="N1060" s="1564"/>
      <c r="O1060" s="1564"/>
      <c r="P1060" s="1564"/>
      <c r="Q1060" s="1564"/>
      <c r="R1060" s="1564"/>
      <c r="S1060" s="1564"/>
      <c r="T1060" s="2562">
        <f>(T172*T266/1000)/T873</f>
        <v>0</v>
      </c>
      <c r="U1060" s="2562">
        <f>(U172*U266/1000)/U873</f>
        <v>0</v>
      </c>
      <c r="V1060" s="2562"/>
      <c r="W1060" s="2562"/>
      <c r="X1060" s="2562"/>
      <c r="Y1060" s="2562"/>
      <c r="Z1060" s="2562"/>
      <c r="AA1060" s="2562"/>
      <c r="AB1060" s="2562"/>
      <c r="AC1060" s="1503">
        <f t="shared" ref="AC1060:AJ1060" si="802">(AC172*AC266/1000)/AC873</f>
        <v>7.6287625589525803E-3</v>
      </c>
      <c r="AD1060" s="1503">
        <f t="shared" si="802"/>
        <v>2.632855404954125E-2</v>
      </c>
      <c r="AE1060" s="1503">
        <f t="shared" si="802"/>
        <v>6.1749782281794806E-2</v>
      </c>
      <c r="AF1060" s="1503">
        <f t="shared" si="802"/>
        <v>3.2331139512630273E-2</v>
      </c>
      <c r="AG1060" s="1503">
        <f t="shared" si="802"/>
        <v>4.0530594236958081E-2</v>
      </c>
      <c r="AH1060" s="1503">
        <f t="shared" si="802"/>
        <v>6.0089348286145851E-2</v>
      </c>
      <c r="AI1060" s="1503">
        <f t="shared" si="802"/>
        <v>0.10021406960857637</v>
      </c>
      <c r="AJ1060" s="1503">
        <f t="shared" si="802"/>
        <v>7.5130966458738263E-2</v>
      </c>
      <c r="AK1060" s="1503">
        <f>(AK172*AK266)/1000/AK873</f>
        <v>8.4701430985283474E-2</v>
      </c>
      <c r="AL1060" s="1503">
        <f>(AL172*AL266)/1000/AL873</f>
        <v>8.5864201055141226E-2</v>
      </c>
      <c r="AM1060" s="1503">
        <f>(AM172*AM266)/1000/AM873</f>
        <v>8.3738814508102069E-2</v>
      </c>
      <c r="AN1060" s="1503">
        <f>(AN172*AN266)/1000/AN873</f>
        <v>7.5831202897156141E-2</v>
      </c>
      <c r="AO1060" s="1503">
        <f t="shared" ref="AO1060:AT1060" si="803">(AO180*AO266/1000)/AO873</f>
        <v>1.5869692303283501E-3</v>
      </c>
      <c r="AP1060" s="1503">
        <f t="shared" si="803"/>
        <v>1.4910887600936521E-3</v>
      </c>
      <c r="AQ1060" s="1503">
        <f t="shared" si="803"/>
        <v>1.392125738673148E-3</v>
      </c>
      <c r="AR1060" s="1503">
        <f t="shared" si="803"/>
        <v>1.2969952551977373E-3</v>
      </c>
      <c r="AS1060" s="1503">
        <f t="shared" si="803"/>
        <v>1.2089113091442267E-3</v>
      </c>
      <c r="AT1060" s="1503">
        <f t="shared" si="803"/>
        <v>1.1254435617319546E-3</v>
      </c>
    </row>
    <row r="1061" spans="1:46" customFormat="1">
      <c r="A1061" s="297"/>
      <c r="B1061" s="295"/>
      <c r="C1061" s="293"/>
      <c r="D1061" s="2548" t="s">
        <v>736</v>
      </c>
      <c r="E1061" s="3076"/>
      <c r="F1061" s="761"/>
      <c r="G1061" s="761"/>
      <c r="H1061" s="758"/>
      <c r="I1061" s="758"/>
      <c r="J1061" s="758">
        <f t="shared" ref="J1061:AT1061" si="804">+J885/J$873</f>
        <v>0.21944444444444444</v>
      </c>
      <c r="K1061" s="758">
        <f t="shared" si="804"/>
        <v>0.22084367245657568</v>
      </c>
      <c r="L1061" s="758">
        <f t="shared" si="804"/>
        <v>0.21928817451205512</v>
      </c>
      <c r="M1061" s="758">
        <f t="shared" si="804"/>
        <v>0.21413276231263384</v>
      </c>
      <c r="N1061" s="758">
        <f t="shared" si="804"/>
        <v>0.21583986074847694</v>
      </c>
      <c r="O1061" s="758">
        <f t="shared" si="804"/>
        <v>0.23104956268221574</v>
      </c>
      <c r="P1061" s="758">
        <f t="shared" si="804"/>
        <v>0.23533007334963324</v>
      </c>
      <c r="Q1061" s="758">
        <f t="shared" si="804"/>
        <v>0.22535991140642303</v>
      </c>
      <c r="R1061" s="758">
        <f t="shared" si="804"/>
        <v>0.22576240327719618</v>
      </c>
      <c r="S1061" s="758">
        <f t="shared" si="804"/>
        <v>0.26616648803143977</v>
      </c>
      <c r="T1061" s="758">
        <f t="shared" si="804"/>
        <v>0.26718995290423864</v>
      </c>
      <c r="U1061" s="758">
        <f t="shared" si="804"/>
        <v>0.26891470671578349</v>
      </c>
      <c r="V1061" s="758">
        <f t="shared" si="804"/>
        <v>0.27375122428991183</v>
      </c>
      <c r="W1061" s="936">
        <f t="shared" si="804"/>
        <v>0.2890995260663507</v>
      </c>
      <c r="X1061" s="936">
        <f t="shared" si="804"/>
        <v>0.29591018444266237</v>
      </c>
      <c r="Y1061" s="936">
        <f t="shared" si="804"/>
        <v>0.30425378514780099</v>
      </c>
      <c r="Z1061" s="936">
        <f t="shared" si="804"/>
        <v>0.32346653510935702</v>
      </c>
      <c r="AA1061" s="936">
        <f t="shared" si="804"/>
        <v>0.34471040189125296</v>
      </c>
      <c r="AB1061" s="936">
        <f t="shared" si="804"/>
        <v>0.33473297467523949</v>
      </c>
      <c r="AC1061" s="758">
        <f t="shared" si="804"/>
        <v>0.26356962330003608</v>
      </c>
      <c r="AD1061" s="936">
        <f t="shared" si="804"/>
        <v>0.2686046511627907</v>
      </c>
      <c r="AE1061" s="936">
        <f t="shared" si="804"/>
        <v>0.25690021231422505</v>
      </c>
      <c r="AF1061" s="936">
        <f t="shared" si="804"/>
        <v>0.46498876404494383</v>
      </c>
      <c r="AG1061" s="936">
        <f t="shared" si="804"/>
        <v>0.39155605761084439</v>
      </c>
      <c r="AH1061" s="936">
        <f t="shared" si="804"/>
        <v>0.44460615939919662</v>
      </c>
      <c r="AI1061" s="936">
        <f t="shared" si="804"/>
        <v>0.442162867757807</v>
      </c>
      <c r="AJ1061" s="936">
        <f t="shared" si="804"/>
        <v>0.40601587447474902</v>
      </c>
      <c r="AK1061" s="936">
        <f t="shared" si="804"/>
        <v>0.41534962377215456</v>
      </c>
      <c r="AL1061" s="936">
        <f t="shared" si="804"/>
        <v>0.41046268983402756</v>
      </c>
      <c r="AM1061" s="936">
        <f t="shared" si="804"/>
        <v>0.3743134177229131</v>
      </c>
      <c r="AN1061" s="936">
        <f t="shared" si="804"/>
        <v>0.34456975339431495</v>
      </c>
      <c r="AO1061" s="1503">
        <f t="shared" si="804"/>
        <v>0.32664662056845734</v>
      </c>
      <c r="AP1061" s="1503">
        <f t="shared" si="804"/>
        <v>0.31398836440445843</v>
      </c>
      <c r="AQ1061" s="1503">
        <f t="shared" si="804"/>
        <v>0.29709583471643625</v>
      </c>
      <c r="AR1061" s="1503">
        <f t="shared" si="804"/>
        <v>0.28124248004873348</v>
      </c>
      <c r="AS1061" s="1503">
        <f t="shared" si="804"/>
        <v>0.26560527429346437</v>
      </c>
      <c r="AT1061" s="1503">
        <f t="shared" si="804"/>
        <v>0.2516256480434742</v>
      </c>
    </row>
    <row r="1062" spans="1:46" s="1469" customFormat="1">
      <c r="A1062" s="1658"/>
      <c r="B1062" s="1471"/>
      <c r="C1062" s="1652"/>
      <c r="D1062" s="2560" t="str">
        <f>D182</f>
        <v xml:space="preserve">     of which: imports non-monetary gold</v>
      </c>
      <c r="E1062" s="3077"/>
      <c r="F1062" s="2561"/>
      <c r="G1062" s="2561"/>
      <c r="H1062" s="1564"/>
      <c r="I1062" s="1564"/>
      <c r="J1062" s="1564"/>
      <c r="K1062" s="1564"/>
      <c r="L1062" s="1564"/>
      <c r="M1062" s="1564"/>
      <c r="N1062" s="1564"/>
      <c r="O1062" s="1564"/>
      <c r="P1062" s="1564"/>
      <c r="Q1062" s="1564"/>
      <c r="R1062" s="1564"/>
      <c r="S1062" s="1564"/>
      <c r="T1062" s="1564"/>
      <c r="U1062" s="1564"/>
      <c r="V1062" s="1564"/>
      <c r="W1062" s="1503"/>
      <c r="X1062" s="1503"/>
      <c r="Y1062" s="1503"/>
      <c r="Z1062" s="1503"/>
      <c r="AA1062" s="1503"/>
      <c r="AB1062" s="1503"/>
      <c r="AC1062" s="1564">
        <f t="shared" ref="AC1062:AT1062" si="805">+(AC182*AC266/1000)/AC873</f>
        <v>0</v>
      </c>
      <c r="AD1062" s="1503">
        <f t="shared" si="805"/>
        <v>2.2801258026055728E-2</v>
      </c>
      <c r="AE1062" s="1503">
        <f t="shared" si="805"/>
        <v>5.9897288815768203E-2</v>
      </c>
      <c r="AF1062" s="1503">
        <f t="shared" si="805"/>
        <v>3.2787050182681916E-2</v>
      </c>
      <c r="AG1062" s="1503">
        <f t="shared" si="805"/>
        <v>3.7192798800681409E-2</v>
      </c>
      <c r="AH1062" s="1503">
        <f t="shared" si="805"/>
        <v>6.3202613435409685E-2</v>
      </c>
      <c r="AI1062" s="1503">
        <f t="shared" si="805"/>
        <v>9.8144491369697315E-2</v>
      </c>
      <c r="AJ1062" s="1503">
        <f t="shared" si="805"/>
        <v>7.1903136657280195E-2</v>
      </c>
      <c r="AK1062" s="1503">
        <f t="shared" si="805"/>
        <v>8.1582362234904796E-2</v>
      </c>
      <c r="AL1062" s="1503">
        <f t="shared" si="805"/>
        <v>8.2913135580328839E-2</v>
      </c>
      <c r="AM1062" s="1503">
        <f t="shared" si="805"/>
        <v>8.1040695726425888E-2</v>
      </c>
      <c r="AN1062" s="1503">
        <f t="shared" si="805"/>
        <v>7.3387872477734942E-2</v>
      </c>
      <c r="AO1062" s="1503">
        <f t="shared" si="805"/>
        <v>7.1292885448334592E-2</v>
      </c>
      <c r="AP1062" s="1503">
        <f t="shared" si="805"/>
        <v>6.9455397176580738E-2</v>
      </c>
      <c r="AQ1062" s="1503">
        <f t="shared" si="805"/>
        <v>6.7225978079542142E-2</v>
      </c>
      <c r="AR1062" s="1503">
        <f t="shared" si="805"/>
        <v>6.4921668291871099E-2</v>
      </c>
      <c r="AS1062" s="1503">
        <f t="shared" si="805"/>
        <v>6.2716166649009933E-2</v>
      </c>
      <c r="AT1062" s="1503">
        <f t="shared" si="805"/>
        <v>6.0504555735595669E-2</v>
      </c>
    </row>
    <row r="1063" spans="1:46" s="1183" customFormat="1">
      <c r="A1063" s="300"/>
      <c r="B1063" s="292"/>
      <c r="C1063" s="291"/>
      <c r="D1063" s="2548" t="s">
        <v>421</v>
      </c>
      <c r="E1063" s="3076"/>
      <c r="F1063" s="761"/>
      <c r="G1063" s="761"/>
      <c r="H1063" s="758"/>
      <c r="I1063" s="758"/>
      <c r="J1063" s="758">
        <f t="shared" ref="J1063:AD1063" si="806">+J1064+J1065</f>
        <v>6.6152031172901971E-2</v>
      </c>
      <c r="K1063" s="758">
        <f t="shared" si="806"/>
        <v>5.5184078642018228E-2</v>
      </c>
      <c r="L1063" s="758">
        <f t="shared" si="806"/>
        <v>4.7658501961682011E-2</v>
      </c>
      <c r="M1063" s="758">
        <f t="shared" si="806"/>
        <v>4.7261687731441862E-2</v>
      </c>
      <c r="N1063" s="758">
        <f t="shared" si="806"/>
        <v>4.9802011026961406E-2</v>
      </c>
      <c r="O1063" s="758">
        <f t="shared" si="806"/>
        <v>4.9323357653273323E-2</v>
      </c>
      <c r="P1063" s="758">
        <f t="shared" si="806"/>
        <v>4.7508630005069552E-2</v>
      </c>
      <c r="Q1063" s="758">
        <f t="shared" si="806"/>
        <v>5.1244518830806524E-2</v>
      </c>
      <c r="R1063" s="758">
        <f t="shared" si="806"/>
        <v>4.6013518128642107E-2</v>
      </c>
      <c r="S1063" s="758">
        <f t="shared" si="806"/>
        <v>2.7703728842110531E-2</v>
      </c>
      <c r="T1063" s="758">
        <f t="shared" si="806"/>
        <v>2.6293855024456914E-2</v>
      </c>
      <c r="U1063" s="758">
        <f t="shared" si="806"/>
        <v>8.95534416963083E-2</v>
      </c>
      <c r="V1063" s="758">
        <f t="shared" si="806"/>
        <v>0.10990368273074076</v>
      </c>
      <c r="W1063" s="936">
        <f t="shared" si="806"/>
        <v>6.7860773168595234E-2</v>
      </c>
      <c r="X1063" s="936">
        <f t="shared" si="806"/>
        <v>7.3834955951866177E-2</v>
      </c>
      <c r="Y1063" s="936">
        <f t="shared" si="806"/>
        <v>4.8641803284095578E-2</v>
      </c>
      <c r="Z1063" s="936">
        <f t="shared" si="806"/>
        <v>4.8829416197560982E-2</v>
      </c>
      <c r="AA1063" s="936">
        <f t="shared" si="806"/>
        <v>2.5873413462841607E-2</v>
      </c>
      <c r="AB1063" s="936">
        <f t="shared" si="806"/>
        <v>3.3410575877484756E-2</v>
      </c>
      <c r="AC1063" s="758">
        <f t="shared" si="806"/>
        <v>3.516743783657373E-2</v>
      </c>
      <c r="AD1063" s="936">
        <f t="shared" si="806"/>
        <v>2.4538223456821016E-2</v>
      </c>
      <c r="AE1063" s="936">
        <f>+AE1064+AE1065</f>
        <v>4.0254933160486006E-2</v>
      </c>
      <c r="AF1063" s="936">
        <f>+AF1064+AF1065</f>
        <v>5.1278278898326875E-2</v>
      </c>
      <c r="AG1063" s="936">
        <f>+AG1064+AG1065</f>
        <v>5.3355945032463173E-2</v>
      </c>
      <c r="AH1063" s="936">
        <f>+AH1064+AH1065</f>
        <v>4.0973565771838846E-2</v>
      </c>
      <c r="AI1063" s="936">
        <f>+AI1064+AI1065</f>
        <v>2.8863302340126677E-2</v>
      </c>
      <c r="AJ1063" s="936">
        <f t="shared" ref="AJ1063:AT1063" si="807">+AJ1064+AJ1065</f>
        <v>2.1029637597612463E-2</v>
      </c>
      <c r="AK1063" s="936">
        <f t="shared" si="807"/>
        <v>1.8160877832566532E-2</v>
      </c>
      <c r="AL1063" s="936">
        <f t="shared" si="807"/>
        <v>1.4649774339060772E-2</v>
      </c>
      <c r="AM1063" s="936">
        <f t="shared" si="807"/>
        <v>1.3194594457111929E-2</v>
      </c>
      <c r="AN1063" s="936">
        <f t="shared" si="807"/>
        <v>1.0562196697811509E-2</v>
      </c>
      <c r="AO1063" s="1503">
        <f t="shared" si="807"/>
        <v>9.143366331645305E-3</v>
      </c>
      <c r="AP1063" s="1503">
        <f t="shared" si="807"/>
        <v>1.4585146337350752E-2</v>
      </c>
      <c r="AQ1063" s="1503">
        <f t="shared" si="807"/>
        <v>1.2902539388136861E-2</v>
      </c>
      <c r="AR1063" s="1503">
        <f t="shared" si="807"/>
        <v>1.1108558631508853E-2</v>
      </c>
      <c r="AS1063" s="1503">
        <f t="shared" si="807"/>
        <v>9.5675095156917168E-3</v>
      </c>
      <c r="AT1063" s="1503">
        <f t="shared" si="807"/>
        <v>7.8066092415390214E-3</v>
      </c>
    </row>
    <row r="1064" spans="1:46" customFormat="1">
      <c r="A1064" s="297"/>
      <c r="B1064" s="295"/>
      <c r="C1064" s="293"/>
      <c r="D1064" s="2551" t="s">
        <v>423</v>
      </c>
      <c r="E1064" s="3078"/>
      <c r="F1064" s="1180"/>
      <c r="G1064" s="1180"/>
      <c r="H1064" s="1179"/>
      <c r="I1064" s="1179"/>
      <c r="J1064" s="1179">
        <f t="shared" ref="J1064:AT1064" si="808">+((J201+J205)*J$266/1000)/J$873</f>
        <v>-6.7484097343750004E-3</v>
      </c>
      <c r="K1064" s="1179">
        <f t="shared" si="808"/>
        <v>-8.8547103126964503E-3</v>
      </c>
      <c r="L1064" s="1179">
        <f t="shared" si="808"/>
        <v>-7.7892317116819839E-3</v>
      </c>
      <c r="M1064" s="1179">
        <f t="shared" si="808"/>
        <v>-7.6903306226802325E-3</v>
      </c>
      <c r="N1064" s="1179">
        <f t="shared" si="808"/>
        <v>-8.0651055310331579E-3</v>
      </c>
      <c r="O1064" s="1179">
        <f t="shared" si="808"/>
        <v>-9.5751730367807548E-3</v>
      </c>
      <c r="P1064" s="1179">
        <f t="shared" si="808"/>
        <v>-6.6506744739394221E-3</v>
      </c>
      <c r="Q1064" s="1179">
        <f t="shared" si="808"/>
        <v>-4.5460808136741134E-3</v>
      </c>
      <c r="R1064" s="1179">
        <f t="shared" si="808"/>
        <v>-2.5045173808992184E-3</v>
      </c>
      <c r="S1064" s="1179">
        <f t="shared" si="808"/>
        <v>-2.1594395125260762E-3</v>
      </c>
      <c r="T1064" s="1179">
        <f t="shared" si="808"/>
        <v>-2.6102230849928323E-3</v>
      </c>
      <c r="U1064" s="1179">
        <f t="shared" si="808"/>
        <v>6.3076351375045137E-2</v>
      </c>
      <c r="V1064" s="1179">
        <f t="shared" si="808"/>
        <v>7.7490458193612805E-2</v>
      </c>
      <c r="W1064" s="1182">
        <f t="shared" si="808"/>
        <v>4.2323754231642779E-2</v>
      </c>
      <c r="X1064" s="1182">
        <f t="shared" si="808"/>
        <v>5.3728316422575681E-2</v>
      </c>
      <c r="Y1064" s="1182">
        <f t="shared" si="808"/>
        <v>2.6556228870607549E-2</v>
      </c>
      <c r="Z1064" s="1182">
        <f t="shared" si="808"/>
        <v>1.8339883940829735E-2</v>
      </c>
      <c r="AA1064" s="1182">
        <f t="shared" si="808"/>
        <v>1.9694709300165338E-2</v>
      </c>
      <c r="AB1064" s="1182">
        <f t="shared" si="808"/>
        <v>1.8428291070629921E-2</v>
      </c>
      <c r="AC1064" s="1179">
        <f t="shared" si="808"/>
        <v>1.318233928157391E-2</v>
      </c>
      <c r="AD1064" s="1182">
        <f t="shared" si="808"/>
        <v>7.034235720579915E-3</v>
      </c>
      <c r="AE1064" s="1182">
        <f t="shared" si="808"/>
        <v>1.1496188200698009E-2</v>
      </c>
      <c r="AF1064" s="1182">
        <f t="shared" si="808"/>
        <v>1.6565919246068421E-2</v>
      </c>
      <c r="AG1064" s="1182">
        <f t="shared" si="808"/>
        <v>2.2852975382131484E-2</v>
      </c>
      <c r="AH1064" s="1182">
        <f t="shared" si="808"/>
        <v>1.4121731465648355E-2</v>
      </c>
      <c r="AI1064" s="1182">
        <f t="shared" si="808"/>
        <v>5.0102603960935866E-3</v>
      </c>
      <c r="AJ1064" s="1182">
        <f t="shared" si="808"/>
        <v>-5.7363067108277353E-3</v>
      </c>
      <c r="AK1064" s="1182">
        <f t="shared" si="808"/>
        <v>-5.2394769117814132E-3</v>
      </c>
      <c r="AL1064" s="1182">
        <f t="shared" si="808"/>
        <v>-5.2741188719501505E-3</v>
      </c>
      <c r="AM1064" s="1182">
        <f t="shared" si="808"/>
        <v>-3.6952171010417346E-3</v>
      </c>
      <c r="AN1064" s="1182">
        <f t="shared" si="808"/>
        <v>-4.0433886558846914E-3</v>
      </c>
      <c r="AO1064" s="1503">
        <f t="shared" si="808"/>
        <v>-3.4165423558063161E-3</v>
      </c>
      <c r="AP1064" s="1503">
        <f t="shared" si="808"/>
        <v>3.6091812351675425E-3</v>
      </c>
      <c r="AQ1064" s="1503">
        <f t="shared" si="808"/>
        <v>3.6303204110701404E-3</v>
      </c>
      <c r="AR1064" s="1503">
        <f t="shared" si="808"/>
        <v>3.4088422934509658E-3</v>
      </c>
      <c r="AS1064" s="1503">
        <f t="shared" si="808"/>
        <v>3.2703517058609941E-3</v>
      </c>
      <c r="AT1064" s="1503">
        <f t="shared" si="808"/>
        <v>2.9210700780871179E-3</v>
      </c>
    </row>
    <row r="1065" spans="1:46" customFormat="1">
      <c r="A1065" s="297"/>
      <c r="B1065" s="295"/>
      <c r="C1065" s="293"/>
      <c r="D1065" s="2548" t="s">
        <v>422</v>
      </c>
      <c r="E1065" s="3079" t="s">
        <v>1613</v>
      </c>
      <c r="F1065" s="761"/>
      <c r="G1065" s="761"/>
      <c r="H1065" s="758"/>
      <c r="I1065" s="758"/>
      <c r="J1065" s="758">
        <f>+((J204+J198-J201)*J266/1000)/J$873</f>
        <v>7.2900440907276973E-2</v>
      </c>
      <c r="K1065" s="758">
        <f t="shared" ref="K1065:AO1065" si="809">+((K204+K198-K201)*K266/1000)/K$873</f>
        <v>6.4038788954714682E-2</v>
      </c>
      <c r="L1065" s="758">
        <f t="shared" si="809"/>
        <v>5.5447733673363996E-2</v>
      </c>
      <c r="M1065" s="758">
        <f t="shared" si="809"/>
        <v>5.4952018354122091E-2</v>
      </c>
      <c r="N1065" s="758">
        <f t="shared" si="809"/>
        <v>5.7867116557994563E-2</v>
      </c>
      <c r="O1065" s="758">
        <f t="shared" si="809"/>
        <v>5.8898530690054081E-2</v>
      </c>
      <c r="P1065" s="758">
        <f t="shared" si="809"/>
        <v>5.4159304479008977E-2</v>
      </c>
      <c r="Q1065" s="758">
        <f t="shared" si="809"/>
        <v>5.5790599644480639E-2</v>
      </c>
      <c r="R1065" s="758">
        <f t="shared" si="809"/>
        <v>4.8518035509541327E-2</v>
      </c>
      <c r="S1065" s="758">
        <f t="shared" si="809"/>
        <v>2.9863168354636607E-2</v>
      </c>
      <c r="T1065" s="758">
        <f t="shared" si="809"/>
        <v>2.8904078109449748E-2</v>
      </c>
      <c r="U1065" s="758">
        <f t="shared" si="809"/>
        <v>2.6477090321263167E-2</v>
      </c>
      <c r="V1065" s="758">
        <f t="shared" si="809"/>
        <v>3.2413224537127958E-2</v>
      </c>
      <c r="W1065" s="758">
        <f t="shared" si="809"/>
        <v>2.5537018936952448E-2</v>
      </c>
      <c r="X1065" s="758">
        <f t="shared" si="809"/>
        <v>2.0106639529290503E-2</v>
      </c>
      <c r="Y1065" s="758">
        <f t="shared" si="809"/>
        <v>2.2085574413488032E-2</v>
      </c>
      <c r="Z1065" s="758">
        <f t="shared" si="809"/>
        <v>3.0489532256731244E-2</v>
      </c>
      <c r="AA1065" s="758">
        <f t="shared" si="809"/>
        <v>6.1787041626762693E-3</v>
      </c>
      <c r="AB1065" s="758">
        <f t="shared" si="809"/>
        <v>1.4982284806854837E-2</v>
      </c>
      <c r="AC1065" s="758">
        <f t="shared" si="809"/>
        <v>2.1985098554999818E-2</v>
      </c>
      <c r="AD1065" s="936">
        <f t="shared" si="809"/>
        <v>1.7503987736241101E-2</v>
      </c>
      <c r="AE1065" s="936">
        <f t="shared" si="809"/>
        <v>2.8758744959787995E-2</v>
      </c>
      <c r="AF1065" s="936">
        <f t="shared" si="809"/>
        <v>3.4712359652258454E-2</v>
      </c>
      <c r="AG1065" s="936">
        <f t="shared" si="809"/>
        <v>3.0502969650331686E-2</v>
      </c>
      <c r="AH1065" s="936">
        <f t="shared" si="809"/>
        <v>2.6851834306190488E-2</v>
      </c>
      <c r="AI1065" s="936">
        <f t="shared" si="809"/>
        <v>2.385304194403309E-2</v>
      </c>
      <c r="AJ1065" s="936">
        <f t="shared" si="809"/>
        <v>2.67659443084402E-2</v>
      </c>
      <c r="AK1065" s="936">
        <f t="shared" si="809"/>
        <v>2.3400354744347946E-2</v>
      </c>
      <c r="AL1065" s="936">
        <f t="shared" si="809"/>
        <v>1.9923893211010922E-2</v>
      </c>
      <c r="AM1065" s="936">
        <f t="shared" si="809"/>
        <v>1.6889811558153663E-2</v>
      </c>
      <c r="AN1065" s="936">
        <f t="shared" si="809"/>
        <v>1.4605585353696202E-2</v>
      </c>
      <c r="AO1065" s="936">
        <f t="shared" si="809"/>
        <v>1.2559908687451622E-2</v>
      </c>
      <c r="AP1065" s="1503">
        <f>+((AP204+AP198-AP201)*AP267/1000)/AP$873</f>
        <v>1.0975965102183209E-2</v>
      </c>
      <c r="AQ1065" s="1503">
        <f>+((AQ204+AQ198-AQ201)*AQ267/1000)/AQ$873</f>
        <v>9.2722189770667197E-3</v>
      </c>
      <c r="AR1065" s="1503">
        <f>+((AR204+AR198-AR201)*AR267/1000)/AR$873</f>
        <v>7.6997163380578869E-3</v>
      </c>
      <c r="AS1065" s="1503">
        <f>+((AS204+AS198-AS201)*AS267/1000)/AS$873</f>
        <v>6.2971578098307236E-3</v>
      </c>
      <c r="AT1065" s="1503">
        <f>+((AT204+AT198-AT201)*AT267/1000)/AT$873</f>
        <v>4.8855391634519034E-3</v>
      </c>
    </row>
    <row r="1066" spans="1:46" customFormat="1">
      <c r="A1066" s="297"/>
      <c r="B1066" s="295"/>
      <c r="C1066" s="293"/>
      <c r="D1066" s="2548" t="s">
        <v>1001</v>
      </c>
      <c r="E1066" s="3076"/>
      <c r="F1066" s="761"/>
      <c r="G1066" s="761"/>
      <c r="H1066" s="758"/>
      <c r="I1066" s="758"/>
      <c r="J1066" s="758">
        <f t="shared" ref="J1066:AT1066" si="810">+J1067+J1068</f>
        <v>-9.9125746604875803E-2</v>
      </c>
      <c r="K1066" s="758">
        <f t="shared" si="810"/>
        <v>-0.11230971788403636</v>
      </c>
      <c r="L1066" s="758">
        <f t="shared" si="810"/>
        <v>-9.9299018130166478E-2</v>
      </c>
      <c r="M1066" s="758">
        <f t="shared" si="810"/>
        <v>-0.10477257351052818</v>
      </c>
      <c r="N1066" s="758">
        <f t="shared" si="810"/>
        <v>-8.8579190017425036E-2</v>
      </c>
      <c r="O1066" s="758">
        <f t="shared" si="810"/>
        <v>-7.7498799781129002E-2</v>
      </c>
      <c r="P1066" s="758">
        <f t="shared" si="810"/>
        <v>-8.0853228185639503E-2</v>
      </c>
      <c r="Q1066" s="758">
        <f t="shared" si="810"/>
        <v>8.9450498897251735E-2</v>
      </c>
      <c r="R1066" s="758">
        <f t="shared" si="810"/>
        <v>0.12885375481503261</v>
      </c>
      <c r="S1066" s="758">
        <f t="shared" si="810"/>
        <v>9.1655140060402776E-2</v>
      </c>
      <c r="T1066" s="758">
        <f t="shared" si="810"/>
        <v>7.6843305573907436E-2</v>
      </c>
      <c r="U1066" s="758">
        <f t="shared" si="810"/>
        <v>0.13715899567760614</v>
      </c>
      <c r="V1066" s="758">
        <f t="shared" si="810"/>
        <v>0.17528076402359094</v>
      </c>
      <c r="W1066" s="936">
        <f t="shared" si="810"/>
        <v>0.13658115231551471</v>
      </c>
      <c r="X1066" s="936">
        <f t="shared" si="810"/>
        <v>0.16204666405130486</v>
      </c>
      <c r="Y1066" s="936">
        <f t="shared" si="810"/>
        <v>0.12037936636989226</v>
      </c>
      <c r="Z1066" s="936">
        <f t="shared" si="810"/>
        <v>0.10441237952596091</v>
      </c>
      <c r="AA1066" s="936">
        <f t="shared" si="810"/>
        <v>9.9307219609413772E-2</v>
      </c>
      <c r="AB1066" s="936">
        <f t="shared" si="810"/>
        <v>0.14691274094768553</v>
      </c>
      <c r="AC1066" s="758">
        <f>+AC1067+AC1068</f>
        <v>0.16707260091275622</v>
      </c>
      <c r="AD1066" s="936">
        <f t="shared" si="810"/>
        <v>0.19282574988388235</v>
      </c>
      <c r="AE1066" s="936">
        <f t="shared" si="810"/>
        <v>0.15197265634317733</v>
      </c>
      <c r="AF1066" s="936">
        <f t="shared" si="810"/>
        <v>0.1334355822691134</v>
      </c>
      <c r="AG1066" s="936">
        <f t="shared" si="810"/>
        <v>0.2574649537870522</v>
      </c>
      <c r="AH1066" s="936">
        <f t="shared" si="810"/>
        <v>0.24892606038673082</v>
      </c>
      <c r="AI1066" s="936">
        <f>+AI1067+AI1068</f>
        <v>0.23566117361234279</v>
      </c>
      <c r="AJ1066" s="936">
        <f t="shared" si="810"/>
        <v>0.24464151524841143</v>
      </c>
      <c r="AK1066" s="936">
        <f t="shared" si="810"/>
        <v>0.24883643461092189</v>
      </c>
      <c r="AL1066" s="936">
        <f t="shared" si="810"/>
        <v>0.25211229376088762</v>
      </c>
      <c r="AM1066" s="936">
        <f t="shared" si="810"/>
        <v>0.26053824246831925</v>
      </c>
      <c r="AN1066" s="936">
        <f t="shared" si="810"/>
        <v>0.26879275758674787</v>
      </c>
      <c r="AO1066" s="1503">
        <f t="shared" si="810"/>
        <v>0.25258311645049575</v>
      </c>
      <c r="AP1066" s="1503">
        <f t="shared" si="810"/>
        <v>0.24419260695606654</v>
      </c>
      <c r="AQ1066" s="1503">
        <f t="shared" si="810"/>
        <v>0.23854511271879403</v>
      </c>
      <c r="AR1066" s="1503">
        <f t="shared" si="810"/>
        <v>0.23490475657268609</v>
      </c>
      <c r="AS1066" s="1503">
        <f t="shared" si="810"/>
        <v>0.2392662000141231</v>
      </c>
      <c r="AT1066" s="1503">
        <f t="shared" si="810"/>
        <v>0.24823851558188059</v>
      </c>
    </row>
    <row r="1067" spans="1:46" customFormat="1">
      <c r="A1067" s="297"/>
      <c r="B1067" s="295"/>
      <c r="C1067" s="293"/>
      <c r="D1067" s="2551" t="s">
        <v>1002</v>
      </c>
      <c r="E1067" s="3078"/>
      <c r="F1067" s="1180"/>
      <c r="G1067" s="1180"/>
      <c r="H1067" s="1179"/>
      <c r="I1067" s="1179"/>
      <c r="J1067" s="1179">
        <f t="shared" ref="J1067:AT1068" si="811">+J1056+J1064</f>
        <v>-0.11225880294930556</v>
      </c>
      <c r="K1067" s="1179">
        <f t="shared" si="811"/>
        <v>-0.11134764726353392</v>
      </c>
      <c r="L1067" s="1179">
        <f t="shared" si="811"/>
        <v>-0.10613791856587257</v>
      </c>
      <c r="M1067" s="1179">
        <f t="shared" si="811"/>
        <v>-0.10245801665051749</v>
      </c>
      <c r="N1067" s="1179">
        <f t="shared" si="811"/>
        <v>-9.4346306575419592E-2</v>
      </c>
      <c r="O1067" s="1179">
        <f t="shared" si="811"/>
        <v>-9.1774848353836147E-2</v>
      </c>
      <c r="P1067" s="1179">
        <f t="shared" si="811"/>
        <v>-8.6597319004157944E-2</v>
      </c>
      <c r="Q1067" s="1179">
        <f t="shared" si="811"/>
        <v>-8.9301188602399217E-2</v>
      </c>
      <c r="R1067" s="1179">
        <f t="shared" si="811"/>
        <v>-8.5094412692687998E-2</v>
      </c>
      <c r="S1067" s="1179">
        <f t="shared" si="811"/>
        <v>-8.319284429995015E-2</v>
      </c>
      <c r="T1067" s="1179">
        <f t="shared" si="811"/>
        <v>-8.7861400479027366E-2</v>
      </c>
      <c r="U1067" s="1179">
        <f t="shared" si="811"/>
        <v>-2.3334113286735583E-2</v>
      </c>
      <c r="V1067" s="1179">
        <f t="shared" si="811"/>
        <v>-1.1996661423537017E-2</v>
      </c>
      <c r="W1067" s="1182">
        <f t="shared" si="811"/>
        <v>-2.834457417353102E-2</v>
      </c>
      <c r="X1067" s="1182">
        <f t="shared" si="811"/>
        <v>-2.8550946805724037E-2</v>
      </c>
      <c r="Y1067" s="1182">
        <f t="shared" si="811"/>
        <v>8.5498305311182722E-3</v>
      </c>
      <c r="Z1067" s="1182">
        <f t="shared" si="811"/>
        <v>2.2698717183684131E-4</v>
      </c>
      <c r="AA1067" s="1182">
        <f t="shared" si="811"/>
        <v>4.2322386406123159E-3</v>
      </c>
      <c r="AB1067" s="1182">
        <f t="shared" si="811"/>
        <v>2.338123022205537E-3</v>
      </c>
      <c r="AC1067" s="1179">
        <f t="shared" si="811"/>
        <v>5.6113954454966967E-4</v>
      </c>
      <c r="AD1067" s="1182">
        <f t="shared" si="811"/>
        <v>-9.9687026660145589E-3</v>
      </c>
      <c r="AE1067" s="1182">
        <f t="shared" si="811"/>
        <v>4.427236650424082E-3</v>
      </c>
      <c r="AF1067" s="1182">
        <f t="shared" si="811"/>
        <v>-1.4921748080850471E-2</v>
      </c>
      <c r="AG1067" s="1182">
        <f t="shared" si="811"/>
        <v>-3.9335845055259826E-3</v>
      </c>
      <c r="AH1067" s="1182">
        <f t="shared" si="811"/>
        <v>3.6322568586254957E-3</v>
      </c>
      <c r="AI1067" s="1182">
        <f t="shared" si="811"/>
        <v>6.709320393703924E-3</v>
      </c>
      <c r="AJ1067" s="1182">
        <f t="shared" si="811"/>
        <v>-1.0826207415779769E-2</v>
      </c>
      <c r="AK1067" s="1182">
        <f t="shared" si="811"/>
        <v>-3.9742869505136882E-3</v>
      </c>
      <c r="AL1067" s="1182">
        <f t="shared" si="811"/>
        <v>7.2752971696204583E-3</v>
      </c>
      <c r="AM1067" s="1182">
        <f t="shared" si="811"/>
        <v>2.0266211646968579E-2</v>
      </c>
      <c r="AN1067" s="1182">
        <f t="shared" si="811"/>
        <v>2.6759693334573179E-2</v>
      </c>
      <c r="AO1067" s="1503">
        <f t="shared" si="811"/>
        <v>-3.728826877062523E-2</v>
      </c>
      <c r="AP1067" s="1503">
        <f t="shared" si="811"/>
        <v>-2.6508177655395045E-2</v>
      </c>
      <c r="AQ1067" s="1503">
        <f t="shared" si="811"/>
        <v>-2.5895324852482134E-2</v>
      </c>
      <c r="AR1067" s="1503">
        <f t="shared" si="811"/>
        <v>-3.1016258540192437E-2</v>
      </c>
      <c r="AS1067" s="1503">
        <f t="shared" si="811"/>
        <v>-3.255351687219063E-2</v>
      </c>
      <c r="AT1067" s="1503">
        <f t="shared" si="811"/>
        <v>-2.791716446613797E-2</v>
      </c>
    </row>
    <row r="1068" spans="1:46" customFormat="1">
      <c r="A1068" s="297"/>
      <c r="B1068" s="295"/>
      <c r="C1068" s="293"/>
      <c r="D1068" s="2548" t="s">
        <v>1048</v>
      </c>
      <c r="E1068" s="3076"/>
      <c r="F1068" s="761"/>
      <c r="G1068" s="761"/>
      <c r="H1068" s="758"/>
      <c r="I1068" s="758"/>
      <c r="J1068" s="758">
        <f t="shared" si="811"/>
        <v>1.3133056344429753E-2</v>
      </c>
      <c r="K1068" s="758">
        <f t="shared" si="811"/>
        <v>-9.6207062050243652E-4</v>
      </c>
      <c r="L1068" s="758">
        <f t="shared" si="811"/>
        <v>6.8389004357060981E-3</v>
      </c>
      <c r="M1068" s="758">
        <f t="shared" si="811"/>
        <v>-2.31455686001069E-3</v>
      </c>
      <c r="N1068" s="758">
        <f t="shared" si="811"/>
        <v>5.767116557994556E-3</v>
      </c>
      <c r="O1068" s="758">
        <f t="shared" si="811"/>
        <v>1.4276048572707138E-2</v>
      </c>
      <c r="P1068" s="758">
        <f t="shared" si="811"/>
        <v>5.7440908185184408E-3</v>
      </c>
      <c r="Q1068" s="758">
        <f t="shared" si="811"/>
        <v>0.17875168749965095</v>
      </c>
      <c r="R1068" s="758">
        <f t="shared" si="811"/>
        <v>0.21394816750772061</v>
      </c>
      <c r="S1068" s="758">
        <f t="shared" si="811"/>
        <v>0.17484798436035293</v>
      </c>
      <c r="T1068" s="758">
        <f t="shared" si="811"/>
        <v>0.1647047060529348</v>
      </c>
      <c r="U1068" s="758">
        <f t="shared" si="811"/>
        <v>0.16049310896434171</v>
      </c>
      <c r="V1068" s="758">
        <f t="shared" si="811"/>
        <v>0.18727742544712794</v>
      </c>
      <c r="W1068" s="936">
        <f t="shared" si="811"/>
        <v>0.16492572648904572</v>
      </c>
      <c r="X1068" s="936">
        <f t="shared" si="811"/>
        <v>0.19059761085702889</v>
      </c>
      <c r="Y1068" s="936">
        <f t="shared" si="811"/>
        <v>0.11182953583877399</v>
      </c>
      <c r="Z1068" s="936">
        <f t="shared" si="811"/>
        <v>0.10418539235412407</v>
      </c>
      <c r="AA1068" s="936">
        <f t="shared" si="811"/>
        <v>9.5074980968801459E-2</v>
      </c>
      <c r="AB1068" s="936">
        <f t="shared" si="811"/>
        <v>0.14457461792547999</v>
      </c>
      <c r="AC1068" s="758">
        <f>+AC1057+AC1065</f>
        <v>0.16651146136820655</v>
      </c>
      <c r="AD1068" s="936">
        <f t="shared" si="811"/>
        <v>0.20279445254989689</v>
      </c>
      <c r="AE1068" s="936">
        <f t="shared" si="811"/>
        <v>0.14754541969275325</v>
      </c>
      <c r="AF1068" s="936">
        <f t="shared" si="811"/>
        <v>0.14835733034996387</v>
      </c>
      <c r="AG1068" s="936">
        <f t="shared" si="811"/>
        <v>0.2613985382925782</v>
      </c>
      <c r="AH1068" s="936">
        <f t="shared" si="811"/>
        <v>0.24529380352810531</v>
      </c>
      <c r="AI1068" s="936">
        <f t="shared" si="811"/>
        <v>0.22895185321863887</v>
      </c>
      <c r="AJ1068" s="936">
        <f t="shared" si="811"/>
        <v>0.25546772266419121</v>
      </c>
      <c r="AK1068" s="936">
        <f t="shared" si="811"/>
        <v>0.25281072156143558</v>
      </c>
      <c r="AL1068" s="936">
        <f t="shared" si="811"/>
        <v>0.24483699659126715</v>
      </c>
      <c r="AM1068" s="936">
        <f t="shared" si="811"/>
        <v>0.24027203082135068</v>
      </c>
      <c r="AN1068" s="936">
        <f t="shared" si="811"/>
        <v>0.24203306425217469</v>
      </c>
      <c r="AO1068" s="1503">
        <f t="shared" si="811"/>
        <v>0.28987138522112099</v>
      </c>
      <c r="AP1068" s="1503">
        <f t="shared" si="811"/>
        <v>0.27070078461146158</v>
      </c>
      <c r="AQ1068" s="1503">
        <f t="shared" si="811"/>
        <v>0.26444043757127617</v>
      </c>
      <c r="AR1068" s="1503">
        <f t="shared" si="811"/>
        <v>0.26592101511287852</v>
      </c>
      <c r="AS1068" s="1503">
        <f t="shared" si="811"/>
        <v>0.27181971688631373</v>
      </c>
      <c r="AT1068" s="1503">
        <f t="shared" si="811"/>
        <v>0.27615568004801855</v>
      </c>
    </row>
    <row r="1069" spans="1:46" customFormat="1">
      <c r="A1069" s="297"/>
      <c r="B1069" s="295"/>
      <c r="C1069" s="293"/>
      <c r="D1069" s="2548" t="s">
        <v>1759</v>
      </c>
      <c r="E1069" s="3076"/>
      <c r="F1069" s="761"/>
      <c r="G1069" s="761"/>
      <c r="H1069" s="758"/>
      <c r="I1069" s="758"/>
      <c r="J1069" s="758">
        <f t="shared" ref="J1069:AT1069" si="812">+J1066-J1050</f>
        <v>-9.9125746604875803E-2</v>
      </c>
      <c r="K1069" s="758">
        <f t="shared" si="812"/>
        <v>-0.11230971788403636</v>
      </c>
      <c r="L1069" s="758">
        <f t="shared" si="812"/>
        <v>-9.9299018130166478E-2</v>
      </c>
      <c r="M1069" s="758">
        <f t="shared" si="812"/>
        <v>-0.10477257351052818</v>
      </c>
      <c r="N1069" s="758">
        <f t="shared" si="812"/>
        <v>-8.8579190017425036E-2</v>
      </c>
      <c r="O1069" s="758">
        <f t="shared" si="812"/>
        <v>-7.7498799781129002E-2</v>
      </c>
      <c r="P1069" s="758">
        <f t="shared" si="812"/>
        <v>-8.0853228185639503E-2</v>
      </c>
      <c r="Q1069" s="758">
        <f t="shared" si="812"/>
        <v>-6.2819711512493576E-2</v>
      </c>
      <c r="R1069" s="758">
        <f t="shared" si="812"/>
        <v>-4.0923213778504025E-2</v>
      </c>
      <c r="S1069" s="758">
        <f t="shared" si="812"/>
        <v>-0.12449348444835033</v>
      </c>
      <c r="T1069" s="758">
        <f t="shared" si="812"/>
        <v>-0.13602953587036254</v>
      </c>
      <c r="U1069" s="758">
        <f t="shared" si="812"/>
        <v>-7.0831936597825995E-2</v>
      </c>
      <c r="V1069" s="758">
        <f t="shared" si="812"/>
        <v>-3.6031674761913435E-2</v>
      </c>
      <c r="W1069" s="936">
        <f t="shared" si="812"/>
        <v>-9.952397478487307E-2</v>
      </c>
      <c r="X1069" s="936">
        <f t="shared" si="812"/>
        <v>-8.5347080936666264E-2</v>
      </c>
      <c r="Y1069" s="936">
        <f t="shared" si="812"/>
        <v>-0.11502077782621443</v>
      </c>
      <c r="Z1069" s="936">
        <f t="shared" si="812"/>
        <v>-0.14077755633985065</v>
      </c>
      <c r="AA1069" s="936">
        <f t="shared" si="812"/>
        <v>-0.16266086549696926</v>
      </c>
      <c r="AB1069" s="936">
        <f t="shared" si="812"/>
        <v>-9.4000525027908233E-2</v>
      </c>
      <c r="AC1069" s="758">
        <f t="shared" si="812"/>
        <v>-1.2130672646035456E-2</v>
      </c>
      <c r="AD1069" s="936">
        <f t="shared" si="812"/>
        <v>-2.37704446192889E-2</v>
      </c>
      <c r="AE1069" s="936">
        <f t="shared" si="812"/>
        <v>-2.9909863118959962E-2</v>
      </c>
      <c r="AF1069" s="936">
        <f t="shared" si="812"/>
        <v>-0.220901496382572</v>
      </c>
      <c r="AG1069" s="936">
        <f t="shared" si="812"/>
        <v>-0.120182603400183</v>
      </c>
      <c r="AH1069" s="936">
        <f>+AH1066-AH1050</f>
        <v>-0.15452040872894712</v>
      </c>
      <c r="AI1069" s="936">
        <f t="shared" si="812"/>
        <v>-0.12255752304394801</v>
      </c>
      <c r="AJ1069" s="936">
        <f t="shared" si="812"/>
        <v>-0.11713854851471822</v>
      </c>
      <c r="AK1069" s="936">
        <f t="shared" si="812"/>
        <v>-0.12893596504168012</v>
      </c>
      <c r="AL1069" s="936">
        <f t="shared" si="812"/>
        <v>-0.1274587489413494</v>
      </c>
      <c r="AM1069" s="936">
        <f t="shared" si="812"/>
        <v>-9.6518350688013399E-2</v>
      </c>
      <c r="AN1069" s="936">
        <f t="shared" si="812"/>
        <v>-8.1735516378253048E-2</v>
      </c>
      <c r="AO1069" s="1503">
        <f t="shared" si="812"/>
        <v>-7.4314106461930707E-2</v>
      </c>
      <c r="AP1069" s="1503">
        <f t="shared" si="812"/>
        <v>-6.1411746039484849E-2</v>
      </c>
      <c r="AQ1069" s="1503">
        <f t="shared" si="812"/>
        <v>-5.3120080997494656E-2</v>
      </c>
      <c r="AR1069" s="1503">
        <f t="shared" si="812"/>
        <v>-4.589176172799711E-2</v>
      </c>
      <c r="AS1069" s="1503">
        <f t="shared" si="812"/>
        <v>-3.7977036976694106E-2</v>
      </c>
      <c r="AT1069" s="1503">
        <f t="shared" si="812"/>
        <v>-3.1687456664178548E-2</v>
      </c>
    </row>
    <row r="1070" spans="1:46" customFormat="1">
      <c r="A1070" s="297"/>
      <c r="B1070" s="295"/>
      <c r="C1070" s="293"/>
      <c r="D1070" s="2552" t="s">
        <v>593</v>
      </c>
      <c r="E1070" s="3079" t="s">
        <v>1614</v>
      </c>
      <c r="F1070" s="761"/>
      <c r="G1070" s="761"/>
      <c r="H1070" s="760"/>
      <c r="I1070" s="760"/>
      <c r="J1070" s="760">
        <f t="shared" ref="J1070:U1070" si="813">+(J173-J188+J198+J204+J205)/J1105</f>
        <v>7.4593061241499362E-4</v>
      </c>
      <c r="K1070" s="760">
        <f t="shared" si="813"/>
        <v>-1.4612039517694976E-2</v>
      </c>
      <c r="L1070" s="760">
        <f t="shared" si="813"/>
        <v>-5.7952468056970234E-2</v>
      </c>
      <c r="M1070" s="760">
        <f t="shared" si="813"/>
        <v>-7.575039921498225E-2</v>
      </c>
      <c r="N1070" s="760">
        <f t="shared" si="813"/>
        <v>-6.3167451239648884E-2</v>
      </c>
      <c r="O1070" s="760">
        <f t="shared" si="813"/>
        <v>-5.4622300605342775E-2</v>
      </c>
      <c r="P1070" s="760">
        <f t="shared" si="813"/>
        <v>-7.6543428709769726E-2</v>
      </c>
      <c r="Q1070" s="760">
        <f t="shared" si="813"/>
        <v>-6.985694986922529E-2</v>
      </c>
      <c r="R1070" s="760">
        <f t="shared" si="813"/>
        <v>-7.8864259131155634E-2</v>
      </c>
      <c r="S1070" s="760">
        <f t="shared" si="813"/>
        <v>-0.12149002559580263</v>
      </c>
      <c r="T1070" s="760">
        <f t="shared" si="813"/>
        <v>-0.13573501243191374</v>
      </c>
      <c r="U1070" s="760">
        <f t="shared" si="813"/>
        <v>-6.6379702717307559E-2</v>
      </c>
      <c r="V1070" s="760">
        <f>+(V173-V188+V198+V204+V205)/V1104</f>
        <v>-7.0114145609075806E-2</v>
      </c>
      <c r="W1070" s="760">
        <f t="shared" ref="W1070:AO1070" si="814">+(W173-W188+W198+W204+W205)/W1104</f>
        <v>-9.8061588309710929E-2</v>
      </c>
      <c r="X1070" s="760">
        <f t="shared" si="814"/>
        <v>-3.9248173625328307E-2</v>
      </c>
      <c r="Y1070" s="760">
        <f t="shared" si="814"/>
        <v>-0.11437114737389659</v>
      </c>
      <c r="Z1070" s="760">
        <f t="shared" si="814"/>
        <v>-0.12744224604483465</v>
      </c>
      <c r="AA1070" s="760">
        <f t="shared" si="814"/>
        <v>-0.15311945129474158</v>
      </c>
      <c r="AB1070" s="760">
        <f t="shared" si="814"/>
        <v>-9.3871620757786933E-2</v>
      </c>
      <c r="AC1070" s="760">
        <f t="shared" si="814"/>
        <v>-9.9360036169971688E-2</v>
      </c>
      <c r="AD1070" s="3244">
        <f t="shared" si="814"/>
        <v>-0.11668955693683832</v>
      </c>
      <c r="AE1070" s="3244">
        <f t="shared" si="814"/>
        <v>-0.15475799718800182</v>
      </c>
      <c r="AF1070" s="3244">
        <f t="shared" si="814"/>
        <v>-0.10745826028775078</v>
      </c>
      <c r="AG1070" s="3244">
        <f t="shared" si="814"/>
        <v>-9.0952922447747261E-2</v>
      </c>
      <c r="AH1070" s="3244">
        <f t="shared" si="814"/>
        <v>-0.1132643883248047</v>
      </c>
      <c r="AI1070" s="3244">
        <f t="shared" si="814"/>
        <v>-0.12084029369181917</v>
      </c>
      <c r="AJ1070" s="3244">
        <f t="shared" si="814"/>
        <v>-0.11563812166767801</v>
      </c>
      <c r="AK1070" s="3244">
        <f t="shared" si="814"/>
        <v>-0.12767200841864443</v>
      </c>
      <c r="AL1070" s="3244">
        <f t="shared" si="814"/>
        <v>-0.12633989805615548</v>
      </c>
      <c r="AM1070" s="3244">
        <f t="shared" si="814"/>
        <v>-9.5526831574954368E-2</v>
      </c>
      <c r="AN1070" s="3244">
        <f t="shared" si="814"/>
        <v>-8.0860709647960979E-2</v>
      </c>
      <c r="AO1070" s="3244">
        <f t="shared" si="814"/>
        <v>-7.3545369442475819E-2</v>
      </c>
      <c r="AP1070" s="1918">
        <f>+(AP173-AP188+AP198+AP204+AP205)/AP1105</f>
        <v>-6.1825040117881092E-2</v>
      </c>
      <c r="AQ1070" s="1918">
        <f>+(AQ173-AQ188+AQ198+AQ204+AQ205)/AQ1105</f>
        <v>-5.3422025272755545E-2</v>
      </c>
      <c r="AR1070" s="1918">
        <f>+(AR173-AR188+AR198+AR204+AR205)/AR1105</f>
        <v>-4.6105837253252069E-2</v>
      </c>
      <c r="AS1070" s="1918">
        <f>+(AS173-AS188+AS198+AS204+AS205)/AS1105</f>
        <v>-3.8102060167475742E-2</v>
      </c>
      <c r="AT1070" s="1918">
        <f>+(AT173-AT188+AT198+AT204+AT205)/AT1105</f>
        <v>-3.17583104299968E-2</v>
      </c>
    </row>
    <row r="1071" spans="1:46" customFormat="1" ht="14.75">
      <c r="A1071" s="297"/>
      <c r="B1071" s="295"/>
      <c r="C1071" s="293"/>
      <c r="D1071" s="2541" t="s">
        <v>1600</v>
      </c>
      <c r="E1071" s="3080" t="s">
        <v>1612</v>
      </c>
      <c r="F1071" s="1315"/>
      <c r="G1071" s="1315"/>
      <c r="H1071" s="1315"/>
      <c r="I1071" s="1315"/>
      <c r="J1071" s="1315" t="str">
        <f>+IF(ABS(J1069-J1070-(J724-J725)/J873)&gt;0.1,"check","")</f>
        <v/>
      </c>
      <c r="K1071" s="1315" t="str">
        <f>+IF(ABS(K1069-K1070-(K724-K725)/K873)&gt;0.1,"check","")</f>
        <v/>
      </c>
      <c r="L1071" s="1315" t="str">
        <f t="shared" ref="L1071:Z1071" si="815">+IF(ABS(L1069-L1070-(L724-L725)/L873)&gt;0.001,"check","")</f>
        <v/>
      </c>
      <c r="M1071" s="1315" t="str">
        <f t="shared" si="815"/>
        <v/>
      </c>
      <c r="N1071" s="1315" t="str">
        <f t="shared" si="815"/>
        <v/>
      </c>
      <c r="O1071" s="1315" t="str">
        <f t="shared" si="815"/>
        <v/>
      </c>
      <c r="P1071" s="1315" t="str">
        <f t="shared" si="815"/>
        <v/>
      </c>
      <c r="Q1071" s="1315" t="str">
        <f t="shared" si="815"/>
        <v/>
      </c>
      <c r="R1071" s="1315" t="str">
        <f t="shared" si="815"/>
        <v/>
      </c>
      <c r="S1071" s="1315" t="str">
        <f t="shared" si="815"/>
        <v/>
      </c>
      <c r="T1071" s="1315" t="str">
        <f t="shared" si="815"/>
        <v/>
      </c>
      <c r="U1071" s="1315" t="str">
        <f t="shared" si="815"/>
        <v/>
      </c>
      <c r="V1071" s="1315" t="str">
        <f t="shared" si="815"/>
        <v/>
      </c>
      <c r="W1071" s="1315" t="str">
        <f t="shared" si="815"/>
        <v/>
      </c>
      <c r="X1071" s="1315" t="str">
        <f t="shared" si="815"/>
        <v>check</v>
      </c>
      <c r="Y1071" s="1315" t="str">
        <f t="shared" si="815"/>
        <v/>
      </c>
      <c r="Z1071" s="1315" t="str">
        <f t="shared" si="815"/>
        <v/>
      </c>
      <c r="AA1071" s="1315" t="str">
        <f>+IF(ABS(AA1069-AA1070-(AA724-AA725)/AA873)&gt;0.001,"check","")</f>
        <v/>
      </c>
      <c r="AB1071" s="1315" t="str">
        <f t="shared" ref="AB1071:AO1071" si="816">+IF(ABS(AB1069-AB1070-(AB724-AB725)/AB873)&gt;0.001,"check","")</f>
        <v/>
      </c>
      <c r="AC1071" s="1315" t="str">
        <f t="shared" si="816"/>
        <v/>
      </c>
      <c r="AD1071" s="1315" t="str">
        <f t="shared" si="816"/>
        <v/>
      </c>
      <c r="AE1071" s="1315" t="str">
        <f t="shared" si="816"/>
        <v>check</v>
      </c>
      <c r="AF1071" s="1315" t="str">
        <f t="shared" si="816"/>
        <v/>
      </c>
      <c r="AG1071" s="1315" t="str">
        <f t="shared" si="816"/>
        <v/>
      </c>
      <c r="AH1071" s="1315" t="str">
        <f t="shared" si="816"/>
        <v/>
      </c>
      <c r="AI1071" s="1315" t="str">
        <f t="shared" si="816"/>
        <v/>
      </c>
      <c r="AJ1071" s="1315" t="str">
        <f t="shared" si="816"/>
        <v/>
      </c>
      <c r="AK1071" s="1315" t="str">
        <f t="shared" si="816"/>
        <v/>
      </c>
      <c r="AL1071" s="1315" t="str">
        <f t="shared" si="816"/>
        <v/>
      </c>
      <c r="AM1071" s="1315" t="str">
        <f t="shared" si="816"/>
        <v/>
      </c>
      <c r="AN1071" s="1315" t="str">
        <f t="shared" si="816"/>
        <v/>
      </c>
      <c r="AO1071" s="1315" t="str">
        <f t="shared" si="816"/>
        <v/>
      </c>
      <c r="AP1071" s="1919"/>
      <c r="AQ1071" s="1919"/>
      <c r="AR1071" s="1919"/>
      <c r="AS1071" s="1919"/>
      <c r="AT1071" s="1919"/>
    </row>
    <row r="1072" spans="1:46" customFormat="1">
      <c r="A1072" s="297"/>
      <c r="B1072" s="295"/>
      <c r="C1072" s="293"/>
      <c r="D1072" s="2542" t="s">
        <v>1571</v>
      </c>
      <c r="E1072" s="3076"/>
      <c r="F1072" s="761"/>
      <c r="G1072" s="761"/>
      <c r="H1072" s="757"/>
      <c r="I1072" s="757"/>
      <c r="J1072" s="757">
        <f t="shared" ref="J1072:AT1072" si="817">J846</f>
        <v>720</v>
      </c>
      <c r="K1072" s="757">
        <f t="shared" si="817"/>
        <v>806</v>
      </c>
      <c r="L1072" s="757">
        <f t="shared" si="817"/>
        <v>871</v>
      </c>
      <c r="M1072" s="757">
        <f t="shared" si="817"/>
        <v>934</v>
      </c>
      <c r="N1072" s="757">
        <f t="shared" si="817"/>
        <v>1149</v>
      </c>
      <c r="O1072" s="757">
        <f t="shared" si="817"/>
        <v>1372</v>
      </c>
      <c r="P1072" s="757">
        <f t="shared" si="817"/>
        <v>1636</v>
      </c>
      <c r="Q1072" s="757">
        <f t="shared" si="817"/>
        <v>1806</v>
      </c>
      <c r="R1072" s="757">
        <f t="shared" si="817"/>
        <v>2197</v>
      </c>
      <c r="S1072" s="757">
        <f t="shared" si="817"/>
        <v>2799</v>
      </c>
      <c r="T1072" s="757">
        <f t="shared" si="817"/>
        <v>3185</v>
      </c>
      <c r="U1072" s="757">
        <f t="shared" si="817"/>
        <v>3529</v>
      </c>
      <c r="V1072" s="757">
        <f t="shared" si="817"/>
        <v>4084</v>
      </c>
      <c r="W1072" s="937">
        <f t="shared" si="817"/>
        <v>4642</v>
      </c>
      <c r="X1072" s="937">
        <f t="shared" si="817"/>
        <v>9640</v>
      </c>
      <c r="Y1072" s="937">
        <f t="shared" si="817"/>
        <v>5548</v>
      </c>
      <c r="Z1072" s="937">
        <f t="shared" si="817"/>
        <v>6081</v>
      </c>
      <c r="AA1072" s="937">
        <f t="shared" si="817"/>
        <v>6768</v>
      </c>
      <c r="AB1072" s="937">
        <f t="shared" si="817"/>
        <v>7621</v>
      </c>
      <c r="AC1072" s="757">
        <f t="shared" si="817"/>
        <v>8309</v>
      </c>
      <c r="AD1072" s="937">
        <f t="shared" si="817"/>
        <v>9460</v>
      </c>
      <c r="AE1072" s="937">
        <f t="shared" si="817"/>
        <v>7496</v>
      </c>
      <c r="AF1072" s="937">
        <f t="shared" si="817"/>
        <v>11125</v>
      </c>
      <c r="AG1072" s="937">
        <f t="shared" si="817"/>
        <v>14164</v>
      </c>
      <c r="AH1072" s="937">
        <f t="shared" si="817"/>
        <v>17177</v>
      </c>
      <c r="AI1072" s="937">
        <f t="shared" si="817"/>
        <v>19918</v>
      </c>
      <c r="AJ1072" s="937">
        <f t="shared" si="817"/>
        <v>22796.029212071611</v>
      </c>
      <c r="AK1072" s="937">
        <f t="shared" si="817"/>
        <v>27060.876625304532</v>
      </c>
      <c r="AL1072" s="937">
        <f t="shared" si="817"/>
        <v>30570.449278210635</v>
      </c>
      <c r="AM1072" s="937">
        <f t="shared" si="817"/>
        <v>34496.333742051029</v>
      </c>
      <c r="AN1072" s="937">
        <f t="shared" si="817"/>
        <v>39098.663797754474</v>
      </c>
      <c r="AO1072" s="1920">
        <f t="shared" si="817"/>
        <v>44493.465736773374</v>
      </c>
      <c r="AP1072" s="1920">
        <f t="shared" si="817"/>
        <v>50479.895845466483</v>
      </c>
      <c r="AQ1072" s="1920">
        <f t="shared" si="817"/>
        <v>57636.909818603453</v>
      </c>
      <c r="AR1072" s="1920">
        <f t="shared" si="817"/>
        <v>65947.444145677087</v>
      </c>
      <c r="AS1072" s="1920">
        <f t="shared" si="817"/>
        <v>75422.186823418087</v>
      </c>
      <c r="AT1072" s="1920">
        <f t="shared" si="817"/>
        <v>86362.865629603548</v>
      </c>
    </row>
    <row r="1073" spans="1:47" customFormat="1">
      <c r="A1073" s="297"/>
      <c r="B1073" s="295"/>
      <c r="C1073" s="293"/>
      <c r="D1073" s="2553" t="s">
        <v>1627</v>
      </c>
      <c r="E1073" s="3076"/>
      <c r="F1073" s="761"/>
      <c r="G1073" s="761"/>
      <c r="H1073" s="758"/>
      <c r="I1073" s="758"/>
      <c r="J1073" s="758"/>
      <c r="K1073" s="758">
        <f t="shared" ref="K1073:AM1073" si="818">K1072/J1072-1</f>
        <v>0.11944444444444446</v>
      </c>
      <c r="L1073" s="758">
        <f t="shared" si="818"/>
        <v>8.0645161290322509E-2</v>
      </c>
      <c r="M1073" s="758">
        <f t="shared" si="818"/>
        <v>7.2330654420206697E-2</v>
      </c>
      <c r="N1073" s="758">
        <f t="shared" si="818"/>
        <v>0.23019271948608133</v>
      </c>
      <c r="O1073" s="758">
        <f t="shared" si="818"/>
        <v>0.19408181026979987</v>
      </c>
      <c r="P1073" s="758">
        <f t="shared" si="818"/>
        <v>0.19241982507288635</v>
      </c>
      <c r="Q1073" s="758">
        <f t="shared" si="818"/>
        <v>0.10391198044009786</v>
      </c>
      <c r="R1073" s="758">
        <f t="shared" si="818"/>
        <v>0.2165005537098561</v>
      </c>
      <c r="S1073" s="758">
        <f t="shared" si="818"/>
        <v>0.27401001365498412</v>
      </c>
      <c r="T1073" s="758">
        <f t="shared" si="818"/>
        <v>0.13790639514112191</v>
      </c>
      <c r="U1073" s="758">
        <f t="shared" si="818"/>
        <v>0.10800627943485086</v>
      </c>
      <c r="V1073" s="758">
        <f t="shared" si="818"/>
        <v>0.1572683479739303</v>
      </c>
      <c r="W1073" s="936">
        <f t="shared" si="818"/>
        <v>0.13663075416258574</v>
      </c>
      <c r="X1073" s="936">
        <f t="shared" si="818"/>
        <v>1.0766910814304178</v>
      </c>
      <c r="Y1073" s="936">
        <f t="shared" si="818"/>
        <v>-0.42448132780082992</v>
      </c>
      <c r="Z1073" s="936">
        <f t="shared" si="818"/>
        <v>9.6070656092285489E-2</v>
      </c>
      <c r="AA1073" s="936">
        <f t="shared" si="818"/>
        <v>0.11297483966452893</v>
      </c>
      <c r="AB1073" s="936">
        <f t="shared" si="818"/>
        <v>0.12603427895981079</v>
      </c>
      <c r="AC1073" s="758">
        <f t="shared" si="818"/>
        <v>9.0276866552945867E-2</v>
      </c>
      <c r="AD1073" s="936">
        <f t="shared" si="818"/>
        <v>0.13852449151522439</v>
      </c>
      <c r="AE1073" s="936">
        <f t="shared" si="818"/>
        <v>-0.20761099365750524</v>
      </c>
      <c r="AF1073" s="936">
        <f t="shared" si="818"/>
        <v>0.48412486659551757</v>
      </c>
      <c r="AG1073" s="936">
        <f t="shared" si="818"/>
        <v>0.27316853932584273</v>
      </c>
      <c r="AH1073" s="936">
        <f t="shared" si="818"/>
        <v>0.21272239480372779</v>
      </c>
      <c r="AI1073" s="936">
        <f t="shared" si="818"/>
        <v>0.15957384875123704</v>
      </c>
      <c r="AJ1073" s="936">
        <f t="shared" si="818"/>
        <v>0.144493885534271</v>
      </c>
      <c r="AK1073" s="936">
        <f t="shared" si="818"/>
        <v>0.18708729373686173</v>
      </c>
      <c r="AL1073" s="936">
        <f t="shared" si="818"/>
        <v>0.12969175764336893</v>
      </c>
      <c r="AM1073" s="936">
        <f t="shared" si="818"/>
        <v>0.12842089522834077</v>
      </c>
      <c r="AN1073" s="936">
        <f t="shared" ref="AN1073:AT1073" si="819">AN1072/AM1072-1</f>
        <v>0.13341504897644252</v>
      </c>
      <c r="AO1073" s="1503">
        <f t="shared" si="819"/>
        <v>0.13797918944045184</v>
      </c>
      <c r="AP1073" s="1503">
        <f t="shared" si="819"/>
        <v>0.13454627571853517</v>
      </c>
      <c r="AQ1073" s="1503">
        <f t="shared" si="819"/>
        <v>0.14177949168212733</v>
      </c>
      <c r="AR1073" s="1503">
        <f t="shared" si="819"/>
        <v>0.14418771501159222</v>
      </c>
      <c r="AS1073" s="1503">
        <f t="shared" si="819"/>
        <v>0.1436711126637662</v>
      </c>
      <c r="AT1073" s="1503">
        <f t="shared" si="819"/>
        <v>0.14505915655562052</v>
      </c>
    </row>
    <row r="1074" spans="1:47" customFormat="1">
      <c r="A1074" s="297"/>
      <c r="B1074" s="295"/>
      <c r="C1074" s="293"/>
      <c r="D1074" s="2542" t="s">
        <v>1628</v>
      </c>
      <c r="E1074" s="3079" t="s">
        <v>1615</v>
      </c>
      <c r="F1074" s="761"/>
      <c r="G1074" s="761"/>
      <c r="H1074" s="757"/>
      <c r="I1074" s="757"/>
      <c r="J1074" s="757">
        <f t="shared" ref="J1074:T1074" si="820">(J1103/J266)*1000</f>
        <v>1078.0317565696489</v>
      </c>
      <c r="K1074" s="757">
        <f t="shared" si="820"/>
        <v>1957.9353541752355</v>
      </c>
      <c r="L1074" s="757">
        <f t="shared" si="820"/>
        <v>1892.8111682706292</v>
      </c>
      <c r="M1074" s="757">
        <f t="shared" si="820"/>
        <v>1898.5401558510375</v>
      </c>
      <c r="N1074" s="757">
        <f t="shared" si="820"/>
        <v>1937.1158634087226</v>
      </c>
      <c r="O1074" s="757">
        <f t="shared" si="820"/>
        <v>2182.8768522959672</v>
      </c>
      <c r="P1074" s="757">
        <f t="shared" si="820"/>
        <v>2696.1974829677893</v>
      </c>
      <c r="Q1074" s="757">
        <f>(Q1103/Q266)*1000</f>
        <v>3119.3905497510486</v>
      </c>
      <c r="R1074" s="757">
        <f t="shared" si="820"/>
        <v>3659.3504035981018</v>
      </c>
      <c r="S1074" s="757">
        <f t="shared" si="820"/>
        <v>4567.9915017052408</v>
      </c>
      <c r="T1074" s="757">
        <f t="shared" si="820"/>
        <v>5264.997913397041</v>
      </c>
      <c r="U1074" s="757">
        <f>(U873/U266)*1000</f>
        <v>6051.8143698354552</v>
      </c>
      <c r="V1074" s="757">
        <f t="shared" ref="V1074:AT1074" si="821">(V873/V266)*1000</f>
        <v>6803.3420316765478</v>
      </c>
      <c r="W1074" s="757">
        <f t="shared" si="821"/>
        <v>7556.6383683258064</v>
      </c>
      <c r="X1074" s="757">
        <f t="shared" si="821"/>
        <v>7713.7261972245014</v>
      </c>
      <c r="Y1074" s="757">
        <f t="shared" si="821"/>
        <v>8129.6786873708161</v>
      </c>
      <c r="Z1074" s="757">
        <f t="shared" si="821"/>
        <v>8451.232732023238</v>
      </c>
      <c r="AA1074" s="757">
        <f t="shared" si="821"/>
        <v>8597.2659723522102</v>
      </c>
      <c r="AB1074" s="757">
        <f t="shared" si="821"/>
        <v>9166.1624501605656</v>
      </c>
      <c r="AC1074" s="757">
        <f t="shared" si="821"/>
        <v>9649.4863382461463</v>
      </c>
      <c r="AD1074" s="937">
        <f t="shared" si="821"/>
        <v>10497.105633673926</v>
      </c>
      <c r="AE1074" s="937">
        <f t="shared" si="821"/>
        <v>10464.538048590157</v>
      </c>
      <c r="AF1074" s="937">
        <f t="shared" si="821"/>
        <v>11233.257287547267</v>
      </c>
      <c r="AG1074" s="937">
        <f t="shared" si="821"/>
        <v>13711.627666555214</v>
      </c>
      <c r="AH1074" s="937">
        <f t="shared" si="821"/>
        <v>14704.900720912981</v>
      </c>
      <c r="AI1074" s="937">
        <f t="shared" si="821"/>
        <v>15058.302060194099</v>
      </c>
      <c r="AJ1074" s="937">
        <f t="shared" si="821"/>
        <v>16064.810320890643</v>
      </c>
      <c r="AK1074" s="937">
        <f t="shared" si="821"/>
        <v>18205.707958157556</v>
      </c>
      <c r="AL1074" s="937">
        <f t="shared" si="821"/>
        <v>19788.164491454452</v>
      </c>
      <c r="AM1074" s="937">
        <f t="shared" si="821"/>
        <v>21643.290665046818</v>
      </c>
      <c r="AN1074" s="937">
        <f t="shared" si="821"/>
        <v>23900.234113433289</v>
      </c>
      <c r="AO1074" s="937">
        <f t="shared" si="821"/>
        <v>26534.603945211566</v>
      </c>
      <c r="AP1074" s="937">
        <f t="shared" si="821"/>
        <v>29370.47422800598</v>
      </c>
      <c r="AQ1074" s="937">
        <f t="shared" si="821"/>
        <v>32716.687936112878</v>
      </c>
      <c r="AR1074" s="937">
        <f t="shared" si="821"/>
        <v>36521.007231578842</v>
      </c>
      <c r="AS1074" s="937">
        <f t="shared" si="821"/>
        <v>40749.288757210954</v>
      </c>
      <c r="AT1074" s="937">
        <f t="shared" si="821"/>
        <v>45522.288989827714</v>
      </c>
      <c r="AU1074" s="757"/>
    </row>
    <row r="1075" spans="1:47" customFormat="1">
      <c r="A1075" s="297"/>
      <c r="B1075" s="295"/>
      <c r="C1075" s="293"/>
      <c r="D1075" s="2553" t="s">
        <v>1602</v>
      </c>
      <c r="E1075" s="3076"/>
      <c r="F1075" s="761"/>
      <c r="G1075" s="761"/>
      <c r="H1075" s="758"/>
      <c r="I1075" s="758"/>
      <c r="J1075" s="758"/>
      <c r="K1075" s="758">
        <f t="shared" ref="K1075:AM1075" si="822">K1074/J1074-1</f>
        <v>0.81621305888565288</v>
      </c>
      <c r="L1075" s="758">
        <f t="shared" si="822"/>
        <v>-3.326166298888833E-2</v>
      </c>
      <c r="M1075" s="758">
        <f t="shared" si="822"/>
        <v>3.0267084622301876E-3</v>
      </c>
      <c r="N1075" s="758">
        <f t="shared" si="822"/>
        <v>2.0318615563015729E-2</v>
      </c>
      <c r="O1075" s="758">
        <f t="shared" si="822"/>
        <v>0.12686953502862841</v>
      </c>
      <c r="P1075" s="758">
        <f t="shared" si="822"/>
        <v>0.23515785149854307</v>
      </c>
      <c r="Q1075" s="758">
        <f t="shared" si="822"/>
        <v>0.15695922478105628</v>
      </c>
      <c r="R1075" s="758">
        <f>R1074/Q1074-1</f>
        <v>0.17309786807238559</v>
      </c>
      <c r="S1075" s="758">
        <f t="shared" si="822"/>
        <v>0.24830666590816408</v>
      </c>
      <c r="T1075" s="758">
        <f t="shared" si="822"/>
        <v>0.15258487486931749</v>
      </c>
      <c r="U1075" s="758">
        <f t="shared" si="822"/>
        <v>0.14944288096227387</v>
      </c>
      <c r="V1075" s="758">
        <f t="shared" si="822"/>
        <v>0.12418220651099143</v>
      </c>
      <c r="W1075" s="936">
        <f t="shared" si="822"/>
        <v>0.11072445470797887</v>
      </c>
      <c r="X1075" s="936">
        <f t="shared" si="822"/>
        <v>2.078805696950381E-2</v>
      </c>
      <c r="Y1075" s="936">
        <f t="shared" si="822"/>
        <v>5.3923678325007218E-2</v>
      </c>
      <c r="Z1075" s="936">
        <f t="shared" si="822"/>
        <v>3.9553106219553991E-2</v>
      </c>
      <c r="AA1075" s="936">
        <f t="shared" si="822"/>
        <v>1.727951944520778E-2</v>
      </c>
      <c r="AB1075" s="936">
        <f t="shared" si="822"/>
        <v>6.6171789919941881E-2</v>
      </c>
      <c r="AC1075" s="758">
        <f t="shared" si="822"/>
        <v>5.2729142726148703E-2</v>
      </c>
      <c r="AD1075" s="936">
        <f t="shared" si="822"/>
        <v>8.7840872116498492E-2</v>
      </c>
      <c r="AE1075" s="936">
        <f t="shared" si="822"/>
        <v>-3.1025299944866802E-3</v>
      </c>
      <c r="AF1075" s="936">
        <f t="shared" si="822"/>
        <v>7.3459452809832904E-2</v>
      </c>
      <c r="AG1075" s="936">
        <f t="shared" si="822"/>
        <v>0.22062793681004411</v>
      </c>
      <c r="AH1075" s="936">
        <f t="shared" si="822"/>
        <v>7.2440200282021472E-2</v>
      </c>
      <c r="AI1075" s="936">
        <f t="shared" si="822"/>
        <v>2.4032895290378775E-2</v>
      </c>
      <c r="AJ1075" s="936">
        <f t="shared" si="822"/>
        <v>6.6840753802993591E-2</v>
      </c>
      <c r="AK1075" s="936">
        <f t="shared" si="822"/>
        <v>0.13326628789901696</v>
      </c>
      <c r="AL1075" s="936">
        <f t="shared" si="822"/>
        <v>8.6920900683119751E-2</v>
      </c>
      <c r="AM1075" s="936">
        <f t="shared" si="822"/>
        <v>9.3749279999845614E-2</v>
      </c>
      <c r="AN1075" s="936">
        <f t="shared" ref="AN1075:AT1075" si="823">AN1074/AM1074-1</f>
        <v>0.10427912665015215</v>
      </c>
      <c r="AO1075" s="1503">
        <f t="shared" si="823"/>
        <v>0.11022359945409943</v>
      </c>
      <c r="AP1075" s="1503">
        <f t="shared" si="823"/>
        <v>0.10687441533515618</v>
      </c>
      <c r="AQ1075" s="1503">
        <f t="shared" si="823"/>
        <v>0.11393121139719775</v>
      </c>
      <c r="AR1075" s="1503">
        <f t="shared" si="823"/>
        <v>0.11628069757228499</v>
      </c>
      <c r="AS1075" s="1503">
        <f t="shared" si="823"/>
        <v>0.11577669528172319</v>
      </c>
      <c r="AT1075" s="1503">
        <f t="shared" si="823"/>
        <v>0.11713088444450781</v>
      </c>
    </row>
    <row r="1076" spans="1:47" customFormat="1">
      <c r="A1076" s="297" t="s">
        <v>1438</v>
      </c>
      <c r="B1076" s="295"/>
      <c r="C1076" s="293"/>
      <c r="D1076" s="2540" t="s">
        <v>1601</v>
      </c>
      <c r="E1076" s="3076"/>
      <c r="F1076" s="761"/>
      <c r="G1076" s="761"/>
      <c r="H1076" s="759"/>
      <c r="I1076" s="759"/>
      <c r="J1076" s="971">
        <v>7.5</v>
      </c>
      <c r="K1076" s="971">
        <v>7.7</v>
      </c>
      <c r="L1076" s="971">
        <v>7.9</v>
      </c>
      <c r="M1076" s="971">
        <v>8.1</v>
      </c>
      <c r="N1076" s="971">
        <v>8.3000000000000007</v>
      </c>
      <c r="O1076" s="971">
        <v>8.6</v>
      </c>
      <c r="P1076" s="971">
        <v>8.8000000000000007</v>
      </c>
      <c r="Q1076" s="971">
        <v>9</v>
      </c>
      <c r="R1076" s="971">
        <v>9.1999999999999993</v>
      </c>
      <c r="S1076" s="971">
        <v>9.5</v>
      </c>
      <c r="T1076" s="971">
        <v>9.6999999999999993</v>
      </c>
      <c r="U1076" s="971">
        <v>10</v>
      </c>
      <c r="V1076" s="971">
        <v>10.199999999999999</v>
      </c>
      <c r="W1076" s="971">
        <v>10.5</v>
      </c>
      <c r="X1076" s="971">
        <v>10.7</v>
      </c>
      <c r="Y1076" s="971">
        <v>11</v>
      </c>
      <c r="Z1076" s="971">
        <v>11.3</v>
      </c>
      <c r="AA1076" s="971">
        <v>11.5</v>
      </c>
      <c r="AB1076" s="971">
        <f>Yprodfunct!AB4</f>
        <v>11.8</v>
      </c>
      <c r="AC1076" s="971">
        <f>Yprodfunct!AC4</f>
        <v>12.1</v>
      </c>
      <c r="AD1076" s="2625">
        <f>Yprodfunct!AD4</f>
        <v>12.4</v>
      </c>
      <c r="AE1076" s="2625">
        <f>Yprodfunct!AE4</f>
        <v>12.7</v>
      </c>
      <c r="AF1076" s="2625">
        <f>Yprodfunct!AF4</f>
        <v>13</v>
      </c>
      <c r="AG1076" s="2625">
        <f>Yprodfunct!AG4</f>
        <v>13.206731</v>
      </c>
      <c r="AH1076" s="2625">
        <f>Yprodfunct!AH4</f>
        <v>13.499656</v>
      </c>
      <c r="AI1076" s="2625">
        <f>Yprodfunct!AI4</f>
        <v>13.798560999999999</v>
      </c>
      <c r="AJ1076" s="2625">
        <f>Yprodfunct!AJ4</f>
        <v>14.104965</v>
      </c>
      <c r="AK1076" s="2625">
        <f>Yprodfunct!AK4</f>
        <v>14.418145000000001</v>
      </c>
      <c r="AL1076" s="2625">
        <f>Yprodfunct!AL4</f>
        <v>14.737803</v>
      </c>
      <c r="AM1076" s="2625">
        <f>Yprodfunct!AM4</f>
        <v>15.063639999999999</v>
      </c>
      <c r="AN1076" s="2625">
        <f>Yprodfunct!AN4</f>
        <v>15.395339</v>
      </c>
      <c r="AO1076" s="2625">
        <f>Yprodfunct!AO4</f>
        <v>15.732628999999999</v>
      </c>
      <c r="AP1076" s="2625">
        <f>Yprodfunct!AP4</f>
        <v>16.075281</v>
      </c>
      <c r="AQ1076" s="2625">
        <f>Yprodfunct!AQ4</f>
        <v>16.423064</v>
      </c>
      <c r="AR1076" s="2625">
        <f>Yprodfunct!AR4</f>
        <v>16.775708000000002</v>
      </c>
      <c r="AS1076" s="2625">
        <f>Yprodfunct!AS4</f>
        <v>17.132898999999998</v>
      </c>
      <c r="AT1076" s="2625">
        <f>Yprodfunct!AT4</f>
        <v>17.494219000000001</v>
      </c>
    </row>
    <row r="1077" spans="1:47" customFormat="1">
      <c r="A1077" s="297"/>
      <c r="B1077" s="295"/>
      <c r="C1077" s="293"/>
      <c r="D1077" s="2554" t="s">
        <v>1602</v>
      </c>
      <c r="E1077" s="3076"/>
      <c r="F1077" s="761"/>
      <c r="G1077" s="761"/>
      <c r="H1077" s="755"/>
      <c r="I1077" s="755"/>
      <c r="J1077" s="1503"/>
      <c r="K1077" s="1503">
        <f t="shared" ref="K1077:Y1077" si="824">K1076/J1076-1</f>
        <v>2.6666666666666616E-2</v>
      </c>
      <c r="L1077" s="1503">
        <f t="shared" si="824"/>
        <v>2.5974025974025983E-2</v>
      </c>
      <c r="M1077" s="1503">
        <f t="shared" si="824"/>
        <v>2.5316455696202445E-2</v>
      </c>
      <c r="N1077" s="1503">
        <f t="shared" si="824"/>
        <v>2.4691358024691468E-2</v>
      </c>
      <c r="O1077" s="1503">
        <f t="shared" si="824"/>
        <v>3.6144578313252795E-2</v>
      </c>
      <c r="P1077" s="1503">
        <f t="shared" si="824"/>
        <v>2.3255813953488413E-2</v>
      </c>
      <c r="Q1077" s="1503">
        <f t="shared" si="824"/>
        <v>2.2727272727272707E-2</v>
      </c>
      <c r="R1077" s="1503">
        <f t="shared" si="824"/>
        <v>2.2222222222222143E-2</v>
      </c>
      <c r="S1077" s="1503">
        <f t="shared" si="824"/>
        <v>3.2608695652174058E-2</v>
      </c>
      <c r="T1077" s="1503">
        <f t="shared" si="824"/>
        <v>2.1052631578947212E-2</v>
      </c>
      <c r="U1077" s="1503">
        <f t="shared" si="824"/>
        <v>3.0927835051546504E-2</v>
      </c>
      <c r="V1077" s="1503">
        <f t="shared" si="824"/>
        <v>2.0000000000000018E-2</v>
      </c>
      <c r="W1077" s="1503">
        <f t="shared" si="824"/>
        <v>2.941176470588247E-2</v>
      </c>
      <c r="X1077" s="1503">
        <f t="shared" si="824"/>
        <v>1.904761904761898E-2</v>
      </c>
      <c r="Y1077" s="1503">
        <f t="shared" si="824"/>
        <v>2.8037383177570208E-2</v>
      </c>
      <c r="Z1077" s="1503">
        <f>Z1076/Y1076-1</f>
        <v>2.7272727272727337E-2</v>
      </c>
      <c r="AA1077" s="1503">
        <f>AA1076/Z1076-1</f>
        <v>1.7699115044247815E-2</v>
      </c>
      <c r="AB1077" s="1503">
        <f>AB1076/AA1076-1</f>
        <v>2.6086956521739202E-2</v>
      </c>
      <c r="AC1077" s="1503">
        <f>AC1076/AB1076-1</f>
        <v>2.5423728813559254E-2</v>
      </c>
      <c r="AD1077" s="1503">
        <f t="shared" ref="AD1077:AT1077" si="825">AD1076/AC1076-1</f>
        <v>2.4793388429752206E-2</v>
      </c>
      <c r="AE1077" s="1503">
        <f t="shared" si="825"/>
        <v>2.4193548387096753E-2</v>
      </c>
      <c r="AF1077" s="1503">
        <f t="shared" si="825"/>
        <v>2.3622047244094446E-2</v>
      </c>
      <c r="AG1077" s="1503">
        <f t="shared" si="825"/>
        <v>1.5902384615384513E-2</v>
      </c>
      <c r="AH1077" s="1503">
        <f t="shared" si="825"/>
        <v>2.2179977770426351E-2</v>
      </c>
      <c r="AI1077" s="1503">
        <f t="shared" si="825"/>
        <v>2.2141675313800624E-2</v>
      </c>
      <c r="AJ1077" s="1503">
        <f t="shared" si="825"/>
        <v>2.2205503892761103E-2</v>
      </c>
      <c r="AK1077" s="1503">
        <f t="shared" si="825"/>
        <v>2.2203529041014969E-2</v>
      </c>
      <c r="AL1077" s="1503">
        <f t="shared" si="825"/>
        <v>2.2170535807484182E-2</v>
      </c>
      <c r="AM1077" s="1503">
        <f t="shared" si="825"/>
        <v>2.21089262761891E-2</v>
      </c>
      <c r="AN1077" s="1503">
        <f t="shared" si="825"/>
        <v>2.201984380933153E-2</v>
      </c>
      <c r="AO1077" s="1503">
        <f t="shared" si="825"/>
        <v>2.1908578953669045E-2</v>
      </c>
      <c r="AP1077" s="1503">
        <f t="shared" si="825"/>
        <v>2.1779703824453156E-2</v>
      </c>
      <c r="AQ1077" s="1503">
        <f t="shared" si="825"/>
        <v>2.1634645142439402E-2</v>
      </c>
      <c r="AR1077" s="1503">
        <f t="shared" si="825"/>
        <v>2.1472485280456866E-2</v>
      </c>
      <c r="AS1077" s="1503">
        <f t="shared" si="825"/>
        <v>2.1292156491994119E-2</v>
      </c>
      <c r="AT1077" s="1503">
        <f t="shared" si="825"/>
        <v>2.108925056991251E-2</v>
      </c>
    </row>
    <row r="1078" spans="1:47" customFormat="1">
      <c r="A1078" s="297"/>
      <c r="B1078" s="295"/>
      <c r="C1078" s="293"/>
      <c r="D1078" s="2555" t="s">
        <v>1618</v>
      </c>
      <c r="E1078" s="3076"/>
      <c r="F1078" s="761"/>
      <c r="G1078" s="761"/>
      <c r="H1078" s="757"/>
      <c r="I1078" s="757"/>
      <c r="J1078" s="757">
        <f t="shared" ref="J1078:AT1078" si="826">+(J680/J266*1000)/J1076</f>
        <v>287.47513508523969</v>
      </c>
      <c r="K1078" s="757">
        <f t="shared" si="826"/>
        <v>268.60749527075961</v>
      </c>
      <c r="L1078" s="757">
        <f t="shared" si="826"/>
        <v>248.88303066260846</v>
      </c>
      <c r="M1078" s="757">
        <f t="shared" si="826"/>
        <v>242.56851756983264</v>
      </c>
      <c r="N1078" s="757">
        <f t="shared" si="826"/>
        <v>257.47689292628473</v>
      </c>
      <c r="O1078" s="757">
        <f t="shared" si="826"/>
        <v>276.27529139876827</v>
      </c>
      <c r="P1078" s="757">
        <f t="shared" si="826"/>
        <v>333.27634505978773</v>
      </c>
      <c r="Q1078" s="757">
        <f t="shared" si="826"/>
        <v>363.71743384662631</v>
      </c>
      <c r="R1078" s="757">
        <f t="shared" si="826"/>
        <v>436.60693809561474</v>
      </c>
      <c r="S1078" s="757">
        <f t="shared" si="826"/>
        <v>538.78084418157562</v>
      </c>
      <c r="T1078" s="757">
        <f t="shared" si="826"/>
        <v>577.79571483301095</v>
      </c>
      <c r="U1078" s="757">
        <f t="shared" si="826"/>
        <v>605.1814369835455</v>
      </c>
      <c r="V1078" s="757">
        <f>+(V680/V266*1000)/V1076</f>
        <v>666.9943168310341</v>
      </c>
      <c r="W1078" s="937">
        <f t="shared" si="826"/>
        <v>719.67984460245771</v>
      </c>
      <c r="X1078" s="937">
        <f t="shared" si="826"/>
        <v>1393.2563487181235</v>
      </c>
      <c r="Y1078" s="937">
        <f t="shared" si="826"/>
        <v>739.0616988518924</v>
      </c>
      <c r="Z1078" s="937">
        <f t="shared" si="826"/>
        <v>747.89670194895905</v>
      </c>
      <c r="AA1078" s="937">
        <f t="shared" si="826"/>
        <v>747.58834542193131</v>
      </c>
      <c r="AB1078" s="937">
        <f t="shared" si="826"/>
        <v>776.79342797970889</v>
      </c>
      <c r="AC1078" s="757">
        <f t="shared" si="826"/>
        <v>797.47820977240883</v>
      </c>
      <c r="AD1078" s="937">
        <f t="shared" si="826"/>
        <v>846.54077690918757</v>
      </c>
      <c r="AE1078" s="937">
        <f t="shared" si="826"/>
        <v>624.4615697896985</v>
      </c>
      <c r="AF1078" s="937">
        <f t="shared" si="826"/>
        <v>864.09671442671288</v>
      </c>
      <c r="AG1078" s="937">
        <f t="shared" si="826"/>
        <v>1038.2302529335393</v>
      </c>
      <c r="AH1078" s="937">
        <f t="shared" si="826"/>
        <v>1089.2796617123415</v>
      </c>
      <c r="AI1078" s="937">
        <f t="shared" si="826"/>
        <v>1091.2951039020736</v>
      </c>
      <c r="AJ1078" s="937">
        <f t="shared" si="826"/>
        <v>1138.9471948984378</v>
      </c>
      <c r="AK1078" s="937">
        <f t="shared" si="826"/>
        <v>1262.6941925024028</v>
      </c>
      <c r="AL1078" s="937">
        <f t="shared" si="826"/>
        <v>1342.6807571966087</v>
      </c>
      <c r="AM1078" s="937">
        <f t="shared" si="826"/>
        <v>1436.7902223530846</v>
      </c>
      <c r="AN1078" s="937">
        <f t="shared" si="826"/>
        <v>1552.4331171553474</v>
      </c>
      <c r="AO1078" s="1920">
        <f t="shared" si="826"/>
        <v>1686.5969409951485</v>
      </c>
      <c r="AP1078" s="1920">
        <f t="shared" si="826"/>
        <v>1827.0582161522386</v>
      </c>
      <c r="AQ1078" s="1920">
        <f t="shared" si="826"/>
        <v>1992.1183974021455</v>
      </c>
      <c r="AR1078" s="1920">
        <f t="shared" si="826"/>
        <v>2177.0173414784545</v>
      </c>
      <c r="AS1078" s="1920">
        <f t="shared" si="826"/>
        <v>2378.4234505328591</v>
      </c>
      <c r="AT1078" s="1920">
        <f t="shared" si="826"/>
        <v>2602.1332526949454</v>
      </c>
    </row>
    <row r="1079" spans="1:47" customFormat="1">
      <c r="A1079" s="297"/>
      <c r="B1079" s="295"/>
      <c r="C1079" s="293"/>
      <c r="D1079" s="2556" t="s">
        <v>1603</v>
      </c>
      <c r="E1079" s="3076"/>
      <c r="F1079" s="761"/>
      <c r="G1079" s="761"/>
      <c r="H1079" s="758"/>
      <c r="I1079" s="758"/>
      <c r="J1079" s="758">
        <f t="shared" ref="J1079:AT1079" si="827">+(1+J1021)/(1+J1077)-1</f>
        <v>0</v>
      </c>
      <c r="K1079" s="758">
        <f t="shared" si="827"/>
        <v>5.5844155844156029E-2</v>
      </c>
      <c r="L1079" s="758">
        <f t="shared" si="827"/>
        <v>5.7531645569620204E-2</v>
      </c>
      <c r="M1079" s="758">
        <f t="shared" si="827"/>
        <v>0.10404938271604958</v>
      </c>
      <c r="N1079" s="758">
        <f t="shared" si="827"/>
        <v>-2.62650602409642E-3</v>
      </c>
      <c r="O1079" s="758">
        <f t="shared" si="827"/>
        <v>3.65348837209305E-2</v>
      </c>
      <c r="P1079" s="758">
        <f t="shared" si="827"/>
        <v>6.9136363636363773E-2</v>
      </c>
      <c r="Q1079" s="758">
        <f t="shared" si="827"/>
        <v>6.7733333333333423E-2</v>
      </c>
      <c r="R1079" s="758">
        <f t="shared" si="827"/>
        <v>5.2608695652174076E-2</v>
      </c>
      <c r="S1079" s="758">
        <f t="shared" si="827"/>
        <v>7.6884210526315666E-2</v>
      </c>
      <c r="T1079" s="758">
        <f t="shared" si="827"/>
        <v>4.0103092783505323E-2</v>
      </c>
      <c r="U1079" s="758">
        <f t="shared" si="827"/>
        <v>4.0809999999999791E-2</v>
      </c>
      <c r="V1079" s="758">
        <f t="shared" si="827"/>
        <v>5.8823529411764719E-2</v>
      </c>
      <c r="W1079" s="936">
        <f t="shared" si="827"/>
        <v>5.5265419448667918E-2</v>
      </c>
      <c r="X1079" s="936">
        <f t="shared" si="827"/>
        <v>0.51543698307007868</v>
      </c>
      <c r="Y1079" s="936">
        <f t="shared" si="827"/>
        <v>-0.30290450188388274</v>
      </c>
      <c r="Z1079" s="936">
        <f t="shared" si="827"/>
        <v>5.9817967531184513E-2</v>
      </c>
      <c r="AA1079" s="936">
        <f t="shared" si="827"/>
        <v>3.8192005287792652E-2</v>
      </c>
      <c r="AB1079" s="936">
        <f t="shared" si="827"/>
        <v>2.0476090550500148E-2</v>
      </c>
      <c r="AC1079" s="758">
        <f t="shared" si="827"/>
        <v>5.3896287825417E-2</v>
      </c>
      <c r="AD1079" s="936">
        <f t="shared" si="827"/>
        <v>6.6339245046346917E-2</v>
      </c>
      <c r="AE1079" s="936">
        <f t="shared" si="827"/>
        <v>-0.2898769198972575</v>
      </c>
      <c r="AF1079" s="936">
        <f t="shared" si="827"/>
        <v>0.415816060044504</v>
      </c>
      <c r="AG1079" s="936">
        <f t="shared" si="827"/>
        <v>8.100594903126046E-2</v>
      </c>
      <c r="AH1079" s="936">
        <f t="shared" si="827"/>
        <v>6.2060950794812886E-2</v>
      </c>
      <c r="AI1079" s="936">
        <f t="shared" si="827"/>
        <v>4.8964099963397567E-2</v>
      </c>
      <c r="AJ1079" s="936">
        <f t="shared" si="827"/>
        <v>5.4369659204700271E-2</v>
      </c>
      <c r="AK1079" s="936">
        <f t="shared" si="827"/>
        <v>6.0086963792729264E-2</v>
      </c>
      <c r="AL1079" s="936">
        <f t="shared" si="827"/>
        <v>6.5818311237185068E-2</v>
      </c>
      <c r="AM1079" s="936">
        <f t="shared" si="827"/>
        <v>6.140640302008471E-2</v>
      </c>
      <c r="AN1079" s="936">
        <f t="shared" si="827"/>
        <v>5.6093144533501782E-2</v>
      </c>
      <c r="AO1079" s="1503">
        <f t="shared" si="827"/>
        <v>6.0336457934983878E-2</v>
      </c>
      <c r="AP1079" s="1503">
        <f t="shared" si="827"/>
        <v>6.2838215507635464E-2</v>
      </c>
      <c r="AQ1079" s="1503">
        <f t="shared" si="827"/>
        <v>6.3800851131024849E-2</v>
      </c>
      <c r="AR1079" s="1503">
        <f t="shared" si="827"/>
        <v>6.6387278988134346E-2</v>
      </c>
      <c r="AS1079" s="1503">
        <f t="shared" si="827"/>
        <v>6.8436471446300828E-2</v>
      </c>
      <c r="AT1079" s="1503">
        <f t="shared" si="827"/>
        <v>7.2916937586820385E-2</v>
      </c>
    </row>
    <row r="1080" spans="1:47" customFormat="1" ht="14.75">
      <c r="A1080" s="297"/>
      <c r="B1080" s="295"/>
      <c r="C1080" s="293"/>
      <c r="D1080" s="2556" t="s">
        <v>1619</v>
      </c>
      <c r="E1080" s="3081"/>
      <c r="F1080" s="969">
        <f t="shared" ref="F1080:AH1080" si="828">F1105</f>
        <v>0</v>
      </c>
      <c r="G1080" s="969">
        <f t="shared" si="828"/>
        <v>0</v>
      </c>
      <c r="H1080" s="969">
        <f t="shared" si="828"/>
        <v>0</v>
      </c>
      <c r="I1080" s="969">
        <f t="shared" si="828"/>
        <v>0</v>
      </c>
      <c r="J1080" s="969">
        <f t="shared" si="828"/>
        <v>2144.6914938712453</v>
      </c>
      <c r="K1080" s="969">
        <f t="shared" si="828"/>
        <v>2048.6737135848493</v>
      </c>
      <c r="L1080" s="969">
        <f t="shared" si="828"/>
        <v>1943.6909422346071</v>
      </c>
      <c r="M1080" s="969">
        <f t="shared" si="828"/>
        <v>1945.7549923156444</v>
      </c>
      <c r="N1080" s="969">
        <f t="shared" si="828"/>
        <v>2106.5256191269441</v>
      </c>
      <c r="O1080" s="969">
        <f t="shared" si="828"/>
        <v>2342.3127341325903</v>
      </c>
      <c r="P1080" s="969">
        <f t="shared" si="828"/>
        <v>2903.6592331324223</v>
      </c>
      <c r="Q1080" s="969">
        <f t="shared" si="828"/>
        <v>3244.0135728033611</v>
      </c>
      <c r="R1080" s="969">
        <f t="shared" si="828"/>
        <v>3999.5656773798996</v>
      </c>
      <c r="S1080" s="969">
        <f t="shared" si="828"/>
        <v>5081.411457407311</v>
      </c>
      <c r="T1080" s="969">
        <f t="shared" si="828"/>
        <v>5567.8254292242309</v>
      </c>
      <c r="U1080" s="969">
        <f t="shared" si="828"/>
        <v>6013.0193628561028</v>
      </c>
      <c r="V1080" s="969">
        <f t="shared" si="828"/>
        <v>6753.2084869666787</v>
      </c>
      <c r="W1080" s="969">
        <f t="shared" si="828"/>
        <v>7437.3513088202735</v>
      </c>
      <c r="X1080" s="969">
        <f t="shared" si="828"/>
        <v>14736.412649290956</v>
      </c>
      <c r="Y1080" s="969">
        <f t="shared" si="828"/>
        <v>7947.0834105439362</v>
      </c>
      <c r="Z1080" s="969">
        <f t="shared" si="828"/>
        <v>8327.5439528179249</v>
      </c>
      <c r="AA1080" s="969">
        <f t="shared" si="828"/>
        <v>8295.4830372087854</v>
      </c>
      <c r="AB1080" s="969">
        <f t="shared" si="828"/>
        <v>8889.9412534425865</v>
      </c>
      <c r="AC1080" s="969">
        <f t="shared" si="828"/>
        <v>9321.30359035119</v>
      </c>
      <c r="AD1080" s="974">
        <f t="shared" si="828"/>
        <v>10173.262070201161</v>
      </c>
      <c r="AE1080" s="974">
        <f t="shared" si="828"/>
        <v>7731.1901171209065</v>
      </c>
      <c r="AF1080" s="974">
        <f t="shared" si="828"/>
        <v>11052.872095610417</v>
      </c>
      <c r="AG1080" s="974">
        <f t="shared" si="828"/>
        <v>13462.295112843392</v>
      </c>
      <c r="AH1080" s="974">
        <f t="shared" si="828"/>
        <v>14409.281201726384</v>
      </c>
      <c r="AI1080" s="974">
        <f>AI1105</f>
        <v>14712.846564146083</v>
      </c>
      <c r="AJ1080" s="974">
        <f t="shared" ref="AJ1080:AT1080" si="829">AJ1105</f>
        <v>15681.397117005421</v>
      </c>
      <c r="AK1080" s="974">
        <f t="shared" si="829"/>
        <v>17778.589801805068</v>
      </c>
      <c r="AL1080" s="974">
        <f t="shared" si="829"/>
        <v>19295.2407022146</v>
      </c>
      <c r="AM1080" s="974">
        <f t="shared" si="829"/>
        <v>21095.701565718999</v>
      </c>
      <c r="AN1080" s="974">
        <f t="shared" si="829"/>
        <v>23321.688964703822</v>
      </c>
      <c r="AO1080" s="1921">
        <f t="shared" si="829"/>
        <v>25932.216337597209</v>
      </c>
      <c r="AP1080" s="1921">
        <f t="shared" si="829"/>
        <v>28915.837611162038</v>
      </c>
      <c r="AQ1080" s="1921">
        <f t="shared" si="829"/>
        <v>32237.589932743012</v>
      </c>
      <c r="AR1080" s="1921">
        <f t="shared" si="829"/>
        <v>36014.983188607323</v>
      </c>
      <c r="AS1080" s="1921">
        <f t="shared" si="829"/>
        <v>40212.70408085177</v>
      </c>
      <c r="AT1080" s="1921">
        <f t="shared" si="829"/>
        <v>44938.435640009942</v>
      </c>
    </row>
    <row r="1081" spans="1:47" customFormat="1">
      <c r="A1081" s="297"/>
      <c r="B1081" s="295"/>
      <c r="C1081" s="293"/>
      <c r="D1081" s="2556" t="s">
        <v>1604</v>
      </c>
      <c r="E1081" s="3076"/>
      <c r="F1081" s="761"/>
      <c r="G1081" s="761"/>
      <c r="H1081" s="758"/>
      <c r="I1081" s="758"/>
      <c r="J1081" s="969" t="e">
        <f t="shared" ref="J1081:U1081" si="830">J1106/J1076</f>
        <v>#DIV/0!</v>
      </c>
      <c r="K1081" s="969">
        <f t="shared" si="830"/>
        <v>325.97067438253208</v>
      </c>
      <c r="L1081" s="969">
        <f t="shared" si="830"/>
        <v>-7397.0092299100024</v>
      </c>
      <c r="M1081" s="969">
        <f t="shared" si="830"/>
        <v>79365.643806004533</v>
      </c>
      <c r="N1081" s="969">
        <f t="shared" si="830"/>
        <v>12490.923241180848</v>
      </c>
      <c r="O1081" s="969">
        <f t="shared" si="830"/>
        <v>2146.7876095542706</v>
      </c>
      <c r="P1081" s="969">
        <f t="shared" si="830"/>
        <v>1403.1480317992487</v>
      </c>
      <c r="Q1081" s="969">
        <f t="shared" si="830"/>
        <v>2296.4305094937608</v>
      </c>
      <c r="R1081" s="969">
        <f t="shared" si="830"/>
        <v>2511.5006011131813</v>
      </c>
      <c r="S1081" s="969">
        <f t="shared" si="830"/>
        <v>2154.1323291216731</v>
      </c>
      <c r="T1081" s="969">
        <f t="shared" si="830"/>
        <v>3761.8579302903868</v>
      </c>
      <c r="U1081" s="969">
        <f t="shared" si="830"/>
        <v>4023.6238247936753</v>
      </c>
      <c r="V1081" s="969">
        <f>V1105/V1076</f>
        <v>662.07926342810583</v>
      </c>
      <c r="W1081" s="969">
        <f t="shared" ref="W1081:AT1081" si="831">W1105/W1076</f>
        <v>708.31917226859753</v>
      </c>
      <c r="X1081" s="969">
        <f t="shared" si="831"/>
        <v>1377.234827036538</v>
      </c>
      <c r="Y1081" s="969">
        <f t="shared" si="831"/>
        <v>722.46212823126689</v>
      </c>
      <c r="Z1081" s="969">
        <f t="shared" si="831"/>
        <v>736.95079228477209</v>
      </c>
      <c r="AA1081" s="969">
        <f t="shared" si="831"/>
        <v>721.34635106163353</v>
      </c>
      <c r="AB1081" s="969">
        <f t="shared" si="831"/>
        <v>753.38485198665978</v>
      </c>
      <c r="AC1081" s="969">
        <f t="shared" si="831"/>
        <v>770.35566862406529</v>
      </c>
      <c r="AD1081" s="974">
        <f t="shared" si="831"/>
        <v>820.4243605000936</v>
      </c>
      <c r="AE1081" s="974">
        <f t="shared" si="831"/>
        <v>608.75512733235485</v>
      </c>
      <c r="AF1081" s="974">
        <f t="shared" si="831"/>
        <v>850.22093043157054</v>
      </c>
      <c r="AG1081" s="974">
        <f t="shared" si="831"/>
        <v>1019.3510500701038</v>
      </c>
      <c r="AH1081" s="974">
        <f t="shared" si="831"/>
        <v>1067.3813615492413</v>
      </c>
      <c r="AI1081" s="974">
        <f t="shared" si="831"/>
        <v>1066.2594863439806</v>
      </c>
      <c r="AJ1081" s="974">
        <f t="shared" si="831"/>
        <v>1111.7643409257253</v>
      </c>
      <c r="AK1081" s="974">
        <f t="shared" si="831"/>
        <v>1233.070537285141</v>
      </c>
      <c r="AL1081" s="974">
        <f t="shared" si="831"/>
        <v>1309.2345380254167</v>
      </c>
      <c r="AM1081" s="974">
        <f t="shared" si="831"/>
        <v>1400.4385105936547</v>
      </c>
      <c r="AN1081" s="974">
        <f t="shared" si="831"/>
        <v>1514.8538765339185</v>
      </c>
      <c r="AO1081" s="2626">
        <f t="shared" si="831"/>
        <v>1648.3078789690655</v>
      </c>
      <c r="AP1081" s="2626">
        <f t="shared" si="831"/>
        <v>1798.776494865753</v>
      </c>
      <c r="AQ1081" s="2626">
        <f t="shared" si="831"/>
        <v>1962.9461306820099</v>
      </c>
      <c r="AR1081" s="2626">
        <f t="shared" si="831"/>
        <v>2146.8532468857538</v>
      </c>
      <c r="AS1081" s="2626">
        <f t="shared" si="831"/>
        <v>2347.1044848190477</v>
      </c>
      <c r="AT1081" s="2626">
        <f t="shared" si="831"/>
        <v>2568.7591792471526</v>
      </c>
    </row>
    <row r="1082" spans="1:47" customFormat="1">
      <c r="A1082" s="297"/>
      <c r="B1082" s="295"/>
      <c r="C1082" s="293"/>
      <c r="D1082" s="2556" t="s">
        <v>1605</v>
      </c>
      <c r="E1082" s="3076"/>
      <c r="F1082" s="761"/>
      <c r="G1082" s="761"/>
      <c r="H1082" s="758"/>
      <c r="I1082" s="758"/>
      <c r="J1082" s="758"/>
      <c r="K1082" s="758">
        <f t="shared" ref="K1082:AT1082" si="832">+K863/J863-1</f>
        <v>0.11864406779661008</v>
      </c>
      <c r="L1082" s="758">
        <f t="shared" si="832"/>
        <v>4.3988269794721369E-2</v>
      </c>
      <c r="M1082" s="758">
        <f t="shared" si="832"/>
        <v>0.1362359550561798</v>
      </c>
      <c r="N1082" s="758">
        <f t="shared" si="832"/>
        <v>-4.4911413267408329E-2</v>
      </c>
      <c r="O1082" s="758">
        <f t="shared" si="832"/>
        <v>6.7299396031061276E-2</v>
      </c>
      <c r="P1082" s="758">
        <f t="shared" si="832"/>
        <v>8.6903799514955526E-2</v>
      </c>
      <c r="Q1082" s="758">
        <f t="shared" si="832"/>
        <v>1.0044626255113425</v>
      </c>
      <c r="R1082" s="758">
        <f t="shared" si="832"/>
        <v>1.8552875695743154E-4</v>
      </c>
      <c r="S1082" s="758">
        <f t="shared" si="832"/>
        <v>7.2157299202374237E-2</v>
      </c>
      <c r="T1082" s="758">
        <f t="shared" si="832"/>
        <v>0.13304498269896192</v>
      </c>
      <c r="U1082" s="758">
        <f t="shared" si="832"/>
        <v>4.4739654909146331E-2</v>
      </c>
      <c r="V1082" s="758">
        <f t="shared" si="832"/>
        <v>9.4855305466237994E-2</v>
      </c>
      <c r="W1082" s="936">
        <f t="shared" si="832"/>
        <v>8.8239220397810625E-2</v>
      </c>
      <c r="X1082" s="936">
        <f t="shared" si="832"/>
        <v>3.6187438665358229E-2</v>
      </c>
      <c r="Y1082" s="936">
        <f t="shared" si="832"/>
        <v>8.2514502190126571E-2</v>
      </c>
      <c r="Z1082" s="936">
        <f t="shared" si="832"/>
        <v>0.16119860017497811</v>
      </c>
      <c r="AA1082" s="936">
        <f t="shared" si="832"/>
        <v>3.7106799773968691E-2</v>
      </c>
      <c r="AB1082" s="936">
        <f t="shared" si="832"/>
        <v>-5.1035234289865561E-2</v>
      </c>
      <c r="AC1082" s="758">
        <f t="shared" si="832"/>
        <v>8.2679425837320464E-2</v>
      </c>
      <c r="AD1082" s="936">
        <f t="shared" si="832"/>
        <v>2.3864238995934262E-2</v>
      </c>
      <c r="AE1082" s="936">
        <f t="shared" si="832"/>
        <v>4.1004834254143585E-2</v>
      </c>
      <c r="AF1082" s="936">
        <f t="shared" si="832"/>
        <v>1.8409486690438737E-2</v>
      </c>
      <c r="AG1082" s="936">
        <f t="shared" si="832"/>
        <v>-9.7956192492468008E-2</v>
      </c>
      <c r="AH1082" s="936">
        <f t="shared" si="832"/>
        <v>0.10552446289944029</v>
      </c>
      <c r="AI1082" s="936">
        <f t="shared" si="832"/>
        <v>4.3602514901608602E-2</v>
      </c>
      <c r="AJ1082" s="936">
        <f t="shared" si="832"/>
        <v>2.0706054963483878E-2</v>
      </c>
      <c r="AK1082" s="936">
        <f t="shared" si="832"/>
        <v>0.10365667595289452</v>
      </c>
      <c r="AL1082" s="936">
        <f t="shared" si="832"/>
        <v>8.3751433576477297E-2</v>
      </c>
      <c r="AM1082" s="1182">
        <f t="shared" si="832"/>
        <v>7.4062680707438933E-2</v>
      </c>
      <c r="AN1082" s="1182">
        <f t="shared" si="832"/>
        <v>6.6723536126409355E-2</v>
      </c>
      <c r="AO1082" s="1503">
        <f t="shared" si="832"/>
        <v>3.1138172955396115E-3</v>
      </c>
      <c r="AP1082" s="1503">
        <f t="shared" si="832"/>
        <v>0.11841238964254885</v>
      </c>
      <c r="AQ1082" s="1503">
        <f t="shared" si="832"/>
        <v>9.7597060418000314E-2</v>
      </c>
      <c r="AR1082" s="1503">
        <f t="shared" si="832"/>
        <v>8.8718381125994838E-2</v>
      </c>
      <c r="AS1082" s="1503">
        <f t="shared" si="832"/>
        <v>4.6517221154932065E-2</v>
      </c>
      <c r="AT1082" s="1503">
        <f t="shared" si="832"/>
        <v>6.7536205294123075E-3</v>
      </c>
    </row>
    <row r="1083" spans="1:47" customFormat="1">
      <c r="A1083" s="297"/>
      <c r="B1083" s="295"/>
      <c r="C1083" s="293"/>
      <c r="D1083" s="2556" t="s">
        <v>1642</v>
      </c>
      <c r="E1083" s="3076"/>
      <c r="F1083" s="761"/>
      <c r="G1083" s="761"/>
      <c r="H1083" s="758"/>
      <c r="I1083" s="758"/>
      <c r="J1083" s="969"/>
      <c r="K1083" s="969"/>
      <c r="L1083" s="969"/>
      <c r="M1083" s="969"/>
      <c r="N1083" s="969"/>
      <c r="O1083" s="969"/>
      <c r="P1083" s="969"/>
      <c r="Q1083" s="969"/>
      <c r="R1083" s="969"/>
      <c r="S1083" s="969"/>
      <c r="T1083" s="969"/>
      <c r="U1083" s="969"/>
      <c r="V1083" s="969"/>
      <c r="W1083" s="969"/>
      <c r="X1083" s="969"/>
      <c r="Y1083" s="969"/>
      <c r="Z1083" s="969">
        <f t="shared" ref="Z1083:AT1083" si="833">Z880</f>
        <v>957.49659052812842</v>
      </c>
      <c r="AA1083" s="969">
        <f t="shared" si="833"/>
        <v>1245.6067779025143</v>
      </c>
      <c r="AB1083" s="969">
        <f t="shared" si="833"/>
        <v>1280.018295580307</v>
      </c>
      <c r="AC1083" s="969">
        <f t="shared" si="833"/>
        <v>810.14308915478875</v>
      </c>
      <c r="AD1083" s="974">
        <f t="shared" si="833"/>
        <v>1222.6644920185074</v>
      </c>
      <c r="AE1083" s="974">
        <f t="shared" si="833"/>
        <v>820.25472700974683</v>
      </c>
      <c r="AF1083" s="974">
        <f t="shared" si="833"/>
        <v>2753.0810235350104</v>
      </c>
      <c r="AG1083" s="974">
        <f t="shared" si="833"/>
        <v>4040.2756723099283</v>
      </c>
      <c r="AH1083" s="974">
        <f t="shared" si="833"/>
        <v>5520.9829533283446</v>
      </c>
      <c r="AI1083" s="974">
        <f t="shared" si="833"/>
        <v>5635.8243422075848</v>
      </c>
      <c r="AJ1083" s="974">
        <f t="shared" si="833"/>
        <v>6673.1823198352022</v>
      </c>
      <c r="AK1083" s="974">
        <f t="shared" si="833"/>
        <v>8448.7847204025256</v>
      </c>
      <c r="AL1083" s="974">
        <f t="shared" si="833"/>
        <v>9531.1236899938685</v>
      </c>
      <c r="AM1083" s="974">
        <f t="shared" si="833"/>
        <v>9922.2454121151823</v>
      </c>
      <c r="AN1083" s="974">
        <f t="shared" si="833"/>
        <v>10992.885281789464</v>
      </c>
      <c r="AO1083" s="1921">
        <f t="shared" si="833"/>
        <v>11601.031272653221</v>
      </c>
      <c r="AP1083" s="1921">
        <f t="shared" si="833"/>
        <v>12228.43682392546</v>
      </c>
      <c r="AQ1083" s="1921">
        <f t="shared" si="833"/>
        <v>13145.495147355283</v>
      </c>
      <c r="AR1083" s="1921">
        <f t="shared" si="833"/>
        <v>14154.141781184437</v>
      </c>
      <c r="AS1083" s="1921">
        <f t="shared" si="833"/>
        <v>15297.181571972873</v>
      </c>
      <c r="AT1083" s="1921">
        <f t="shared" si="833"/>
        <v>16597.374386796033</v>
      </c>
    </row>
    <row r="1084" spans="1:47" customFormat="1">
      <c r="A1084" s="297"/>
      <c r="B1084" s="295"/>
      <c r="C1084" s="293"/>
      <c r="D1084" s="2714" t="s">
        <v>1639</v>
      </c>
      <c r="E1084" s="3076"/>
      <c r="F1084" s="761"/>
      <c r="G1084" s="761"/>
      <c r="H1084" s="758"/>
      <c r="I1084" s="758"/>
      <c r="J1084" s="969"/>
      <c r="K1084" s="969"/>
      <c r="L1084" s="969"/>
      <c r="M1084" s="969"/>
      <c r="N1084" s="969"/>
      <c r="O1084" s="969"/>
      <c r="P1084" s="969"/>
      <c r="Q1084" s="969"/>
      <c r="R1084" s="969"/>
      <c r="S1084" s="969"/>
      <c r="T1084" s="969"/>
      <c r="U1084" s="969"/>
      <c r="V1084" s="969"/>
      <c r="W1084" s="969"/>
      <c r="X1084" s="969"/>
      <c r="Y1084" s="969"/>
      <c r="Z1084" s="969">
        <f t="shared" ref="Z1084:AT1084" si="834">Z745*Z266/1000</f>
        <v>116.62579256029697</v>
      </c>
      <c r="AA1084" s="969">
        <f t="shared" si="834"/>
        <v>220.22465272966625</v>
      </c>
      <c r="AB1084" s="969">
        <f t="shared" si="834"/>
        <v>227.83275838438294</v>
      </c>
      <c r="AC1084" s="969">
        <f t="shared" si="834"/>
        <v>315.32164955573921</v>
      </c>
      <c r="AD1084" s="974">
        <f t="shared" si="834"/>
        <v>237.17111917873035</v>
      </c>
      <c r="AE1084" s="974">
        <f t="shared" si="834"/>
        <v>144.24968052171391</v>
      </c>
      <c r="AF1084" s="974">
        <f>AF745*AF266/1000</f>
        <v>231.135758520774</v>
      </c>
      <c r="AG1084" s="974">
        <f t="shared" si="834"/>
        <v>315.16774652910374</v>
      </c>
      <c r="AH1084" s="974">
        <f t="shared" si="834"/>
        <v>534.58035445751841</v>
      </c>
      <c r="AI1084" s="974">
        <f t="shared" si="834"/>
        <v>757.8281901946259</v>
      </c>
      <c r="AJ1084" s="974">
        <f t="shared" si="834"/>
        <v>898.5582822456297</v>
      </c>
      <c r="AK1084" s="974">
        <f t="shared" si="834"/>
        <v>1390.1543062860658</v>
      </c>
      <c r="AL1084" s="974">
        <f t="shared" si="834"/>
        <v>1643.9078308372907</v>
      </c>
      <c r="AM1084" s="974">
        <f t="shared" si="834"/>
        <v>1277.0252575110467</v>
      </c>
      <c r="AN1084" s="974">
        <f t="shared" si="834"/>
        <v>1172.7633543272882</v>
      </c>
      <c r="AO1084" s="1921">
        <f t="shared" si="834"/>
        <v>1127.0144523820595</v>
      </c>
      <c r="AP1084" s="1921">
        <f t="shared" si="834"/>
        <v>1248.6596550850445</v>
      </c>
      <c r="AQ1084" s="1921">
        <f t="shared" si="834"/>
        <v>1385.1443544269964</v>
      </c>
      <c r="AR1084" s="1921">
        <f t="shared" si="834"/>
        <v>1538.4773876922288</v>
      </c>
      <c r="AS1084" s="1921">
        <f t="shared" si="834"/>
        <v>1710.7959341643323</v>
      </c>
      <c r="AT1084" s="1921">
        <f t="shared" si="834"/>
        <v>1904.0658714294675</v>
      </c>
    </row>
    <row r="1085" spans="1:47" customFormat="1">
      <c r="A1085" s="297"/>
      <c r="B1085" s="295"/>
      <c r="C1085" s="293"/>
      <c r="D1085" s="2714" t="s">
        <v>1643</v>
      </c>
      <c r="E1085" s="3076"/>
      <c r="F1085" s="761"/>
      <c r="G1085" s="761"/>
      <c r="H1085" s="758"/>
      <c r="I1085" s="758"/>
      <c r="J1085" s="969"/>
      <c r="K1085" s="969"/>
      <c r="L1085" s="969"/>
      <c r="M1085" s="969"/>
      <c r="N1085" s="969"/>
      <c r="O1085" s="969"/>
      <c r="P1085" s="969"/>
      <c r="Q1085" s="969"/>
      <c r="R1085" s="969"/>
      <c r="S1085" s="969"/>
      <c r="T1085" s="969"/>
      <c r="U1085" s="969"/>
      <c r="V1085" s="969"/>
      <c r="W1085" s="969"/>
      <c r="X1085" s="969"/>
      <c r="Y1085" s="969"/>
      <c r="Z1085" s="969">
        <f t="shared" ref="Z1085:AI1085" si="835">(Z749+Z750+Z752)*Z740/100+Z747*Z266/1000</f>
        <v>392.48967190335429</v>
      </c>
      <c r="AA1085" s="969">
        <f t="shared" si="835"/>
        <v>671.28835946635945</v>
      </c>
      <c r="AB1085" s="969">
        <f t="shared" si="835"/>
        <v>93.356335413879592</v>
      </c>
      <c r="AC1085" s="969">
        <f t="shared" si="835"/>
        <v>-14.0001610289575</v>
      </c>
      <c r="AD1085" s="974">
        <f t="shared" si="835"/>
        <v>178.99001330510808</v>
      </c>
      <c r="AE1085" s="974">
        <f t="shared" si="835"/>
        <v>189.60659383865925</v>
      </c>
      <c r="AF1085" s="974">
        <f t="shared" si="835"/>
        <v>-151.49844952500348</v>
      </c>
      <c r="AG1085" s="974">
        <f t="shared" si="835"/>
        <v>104.0857423235956</v>
      </c>
      <c r="AH1085" s="974">
        <f t="shared" si="835"/>
        <v>252.33636205040614</v>
      </c>
      <c r="AI1085" s="974">
        <f t="shared" si="835"/>
        <v>127.89748827251611</v>
      </c>
      <c r="AJ1085" s="2882">
        <f>(AJ749+AJ750+AJ752)*AJ740/100+(AJ747+AJ754)*AJ266/1000</f>
        <v>628.71912323005961</v>
      </c>
      <c r="AK1085" s="2882">
        <f t="shared" ref="AK1085:AT1085" si="836">(AK749+AK750+AK752)*AK740/100+(AK747+AK754)*AK266/1000</f>
        <v>1413.172546433656</v>
      </c>
      <c r="AL1085" s="2882">
        <f t="shared" si="836"/>
        <v>1428.5220078089403</v>
      </c>
      <c r="AM1085" s="2882">
        <f t="shared" si="836"/>
        <v>478.30558727500323</v>
      </c>
      <c r="AN1085" s="2882">
        <f t="shared" si="836"/>
        <v>154.59652665314934</v>
      </c>
      <c r="AO1085" s="2882">
        <f t="shared" si="836"/>
        <v>178.29346155944228</v>
      </c>
      <c r="AP1085" s="2882">
        <f t="shared" si="836"/>
        <v>214.382696444391</v>
      </c>
      <c r="AQ1085" s="2882">
        <f t="shared" si="836"/>
        <v>249.8783203525131</v>
      </c>
      <c r="AR1085" s="2882">
        <f t="shared" si="836"/>
        <v>288.49933660355737</v>
      </c>
      <c r="AS1085" s="2882">
        <f t="shared" si="836"/>
        <v>335.65847000544562</v>
      </c>
      <c r="AT1085" s="2882">
        <f t="shared" si="836"/>
        <v>389.97283709224126</v>
      </c>
    </row>
    <row r="1086" spans="1:47" customFormat="1">
      <c r="A1086" s="297"/>
      <c r="B1086" s="295"/>
      <c r="C1086" s="293"/>
      <c r="D1086" s="2556" t="s">
        <v>1620</v>
      </c>
      <c r="E1086" s="3076"/>
      <c r="F1086" s="761"/>
      <c r="G1086" s="761"/>
      <c r="H1086" s="758"/>
      <c r="I1086" s="758"/>
      <c r="J1086" s="969"/>
      <c r="K1086" s="969"/>
      <c r="L1086" s="969"/>
      <c r="M1086" s="969"/>
      <c r="N1086" s="969"/>
      <c r="O1086" s="969"/>
      <c r="P1086" s="969"/>
      <c r="Q1086" s="969"/>
      <c r="R1086" s="969"/>
      <c r="S1086" s="969"/>
      <c r="T1086" s="969"/>
      <c r="U1086" s="969"/>
      <c r="V1086" s="969"/>
      <c r="W1086" s="974"/>
      <c r="X1086" s="974"/>
      <c r="Y1086" s="974"/>
      <c r="Z1086" s="974">
        <f t="shared" ref="Z1086:AJ1086" si="837">Z1083-Z1084-Z1085</f>
        <v>448.38112606447714</v>
      </c>
      <c r="AA1086" s="974">
        <f t="shared" si="837"/>
        <v>354.09376570648851</v>
      </c>
      <c r="AB1086" s="974">
        <f t="shared" si="837"/>
        <v>958.82920178204449</v>
      </c>
      <c r="AC1086" s="974">
        <f t="shared" si="837"/>
        <v>508.82160062800705</v>
      </c>
      <c r="AD1086" s="974">
        <f t="shared" si="837"/>
        <v>806.50335953466902</v>
      </c>
      <c r="AE1086" s="974">
        <f t="shared" si="837"/>
        <v>486.39845264937367</v>
      </c>
      <c r="AF1086" s="974">
        <f>AF1083-AF1084-AF1085</f>
        <v>2673.4437145392403</v>
      </c>
      <c r="AG1086" s="974">
        <f t="shared" si="837"/>
        <v>3621.0221834572289</v>
      </c>
      <c r="AH1086" s="974">
        <f t="shared" si="837"/>
        <v>4734.0662368204203</v>
      </c>
      <c r="AI1086" s="974">
        <f t="shared" si="837"/>
        <v>4750.098663740443</v>
      </c>
      <c r="AJ1086" s="974">
        <f t="shared" si="837"/>
        <v>5145.904914359513</v>
      </c>
      <c r="AK1086" s="974">
        <f t="shared" ref="AK1086:AT1086" si="838">AK1083-AK1084-AK1085</f>
        <v>5645.4578676828041</v>
      </c>
      <c r="AL1086" s="974">
        <f t="shared" si="838"/>
        <v>6458.6938513476371</v>
      </c>
      <c r="AM1086" s="974">
        <f t="shared" si="838"/>
        <v>8166.9145673291332</v>
      </c>
      <c r="AN1086" s="974">
        <f t="shared" si="838"/>
        <v>9665.5254008090269</v>
      </c>
      <c r="AO1086" s="1921">
        <f t="shared" si="838"/>
        <v>10295.723358711719</v>
      </c>
      <c r="AP1086" s="1921">
        <f t="shared" si="838"/>
        <v>10765.394472396025</v>
      </c>
      <c r="AQ1086" s="1921">
        <f t="shared" si="838"/>
        <v>11510.472472575773</v>
      </c>
      <c r="AR1086" s="1921">
        <f t="shared" si="838"/>
        <v>12327.165056888651</v>
      </c>
      <c r="AS1086" s="1921">
        <f t="shared" si="838"/>
        <v>13250.727167803094</v>
      </c>
      <c r="AT1086" s="1921">
        <f t="shared" si="838"/>
        <v>14303.335678274323</v>
      </c>
    </row>
    <row r="1087" spans="1:47" customFormat="1">
      <c r="A1087" s="297"/>
      <c r="B1087" s="295"/>
      <c r="C1087" s="293"/>
      <c r="D1087" s="2557" t="s">
        <v>1606</v>
      </c>
      <c r="E1087" s="3078"/>
      <c r="F1087" s="1180"/>
      <c r="G1087" s="1180"/>
      <c r="H1087" s="1179"/>
      <c r="I1087" s="1179"/>
      <c r="J1087" s="1181">
        <f>+J1200</f>
        <v>-129.72902595625001</v>
      </c>
      <c r="K1087" s="1181">
        <f>+K1200</f>
        <v>-133.36549013464287</v>
      </c>
      <c r="L1087" s="1181">
        <f t="shared" ref="L1087:U1087" si="839">+L1254</f>
        <v>0</v>
      </c>
      <c r="M1087" s="1181">
        <f t="shared" si="839"/>
        <v>3097.5</v>
      </c>
      <c r="N1087" s="1181">
        <f t="shared" si="839"/>
        <v>3033.1836274663392</v>
      </c>
      <c r="O1087" s="1181">
        <f t="shared" si="839"/>
        <v>2968.8672549326784</v>
      </c>
      <c r="P1087" s="1181">
        <f t="shared" si="839"/>
        <v>2904.5508823990176</v>
      </c>
      <c r="Q1087" s="1181">
        <f t="shared" si="839"/>
        <v>2840.2345098653568</v>
      </c>
      <c r="R1087" s="1181">
        <f t="shared" si="839"/>
        <v>2784.7164655479532</v>
      </c>
      <c r="S1087" s="1181">
        <f t="shared" si="839"/>
        <v>2729.1984212305497</v>
      </c>
      <c r="T1087" s="1181">
        <f t="shared" si="839"/>
        <v>2673.6803769131461</v>
      </c>
      <c r="U1087" s="1181">
        <f t="shared" si="839"/>
        <v>2618.1623325957426</v>
      </c>
      <c r="V1087" s="1181">
        <f>+V1199</f>
        <v>7504.0996409344643</v>
      </c>
      <c r="W1087" s="1181">
        <f t="shared" ref="W1087:AT1087" si="840">+W1199</f>
        <v>8935.2456251371896</v>
      </c>
      <c r="X1087" s="1181">
        <f t="shared" si="840"/>
        <v>10328.973812337652</v>
      </c>
      <c r="Y1087" s="1181">
        <f t="shared" si="840"/>
        <v>11600.808472539125</v>
      </c>
      <c r="Z1087" s="1181">
        <f>+Z1199</f>
        <v>13300.294586682005</v>
      </c>
      <c r="AA1087" s="1181">
        <f t="shared" si="840"/>
        <v>15336.073425455948</v>
      </c>
      <c r="AB1087" s="1181">
        <f t="shared" si="840"/>
        <v>17183.667843229912</v>
      </c>
      <c r="AC1087" s="1181">
        <f t="shared" si="840"/>
        <v>18499.643395630959</v>
      </c>
      <c r="AD1087" s="1181">
        <f t="shared" si="840"/>
        <v>20640.586975308579</v>
      </c>
      <c r="AE1087" s="1181">
        <f t="shared" si="840"/>
        <v>21725.851523476806</v>
      </c>
      <c r="AF1087" s="1181">
        <f t="shared" si="840"/>
        <v>24338.326570179037</v>
      </c>
      <c r="AG1087" s="1181">
        <f t="shared" si="840"/>
        <v>27749.500981247205</v>
      </c>
      <c r="AH1087" s="1181">
        <f t="shared" si="840"/>
        <v>32401.897522289364</v>
      </c>
      <c r="AI1087" s="1181">
        <f t="shared" si="840"/>
        <v>36617.634131548388</v>
      </c>
      <c r="AJ1087" s="1181">
        <f t="shared" si="840"/>
        <v>41443.231702515019</v>
      </c>
      <c r="AK1087" s="1181">
        <f t="shared" si="840"/>
        <v>47218.50241130028</v>
      </c>
      <c r="AL1087" s="1181">
        <f t="shared" si="840"/>
        <v>53431.159983328995</v>
      </c>
      <c r="AM1087" s="1181">
        <f t="shared" si="840"/>
        <v>59363.371594647702</v>
      </c>
      <c r="AN1087" s="1181">
        <f t="shared" si="840"/>
        <v>65514.233392149617</v>
      </c>
      <c r="AO1087" s="2715">
        <f t="shared" si="840"/>
        <v>71493.369386465216</v>
      </c>
      <c r="AP1087" s="2715">
        <f t="shared" si="840"/>
        <v>77455.429819067969</v>
      </c>
      <c r="AQ1087" s="2715">
        <f t="shared" si="840"/>
        <v>83423.960496329717</v>
      </c>
      <c r="AR1087" s="2715">
        <f t="shared" si="840"/>
        <v>89422.319851113018</v>
      </c>
      <c r="AS1087" s="2715">
        <f t="shared" si="840"/>
        <v>95476.345794361536</v>
      </c>
      <c r="AT1087" s="2715">
        <f t="shared" si="840"/>
        <v>101612.38596775479</v>
      </c>
    </row>
    <row r="1088" spans="1:47" customFormat="1">
      <c r="A1088" s="297"/>
      <c r="B1088" s="295"/>
      <c r="C1088" s="293"/>
      <c r="D1088" s="2557" t="s">
        <v>1607</v>
      </c>
      <c r="E1088" s="3078"/>
      <c r="F1088" s="1180"/>
      <c r="G1088" s="1180"/>
      <c r="H1088" s="1179"/>
      <c r="I1088" s="1179"/>
      <c r="J1088" s="1181">
        <f t="shared" ref="J1088:U1088" si="841">+J1203</f>
        <v>0</v>
      </c>
      <c r="K1088" s="1181">
        <f t="shared" si="841"/>
        <v>0</v>
      </c>
      <c r="L1088" s="1181">
        <f t="shared" si="841"/>
        <v>1</v>
      </c>
      <c r="M1088" s="1181">
        <f t="shared" si="841"/>
        <v>1</v>
      </c>
      <c r="N1088" s="1181">
        <f t="shared" si="841"/>
        <v>1</v>
      </c>
      <c r="O1088" s="1181">
        <f t="shared" si="841"/>
        <v>1</v>
      </c>
      <c r="P1088" s="1181">
        <f t="shared" si="841"/>
        <v>1</v>
      </c>
      <c r="Q1088" s="1181">
        <f t="shared" si="841"/>
        <v>1</v>
      </c>
      <c r="R1088" s="1181">
        <f t="shared" si="841"/>
        <v>1</v>
      </c>
      <c r="S1088" s="1181">
        <f t="shared" si="841"/>
        <v>1</v>
      </c>
      <c r="T1088" s="1181">
        <f t="shared" si="841"/>
        <v>1</v>
      </c>
      <c r="U1088" s="1181">
        <f t="shared" si="841"/>
        <v>1</v>
      </c>
      <c r="V1088" s="1181">
        <f>+V1202</f>
        <v>3725.4658845167905</v>
      </c>
      <c r="W1088" s="1181">
        <f t="shared" ref="W1088:AT1088" si="842">+W1202</f>
        <v>4418.0192675637663</v>
      </c>
      <c r="X1088" s="1181">
        <f t="shared" si="842"/>
        <v>5265.4307736687206</v>
      </c>
      <c r="Y1088" s="1181">
        <f t="shared" si="842"/>
        <v>6306.8013916320215</v>
      </c>
      <c r="Z1088" s="1181">
        <f t="shared" si="842"/>
        <v>7354.6129037967776</v>
      </c>
      <c r="AA1088" s="1181">
        <f t="shared" si="842"/>
        <v>8257.9569589606344</v>
      </c>
      <c r="AB1088" s="1181">
        <f t="shared" si="842"/>
        <v>9120.4706801944158</v>
      </c>
      <c r="AC1088" s="1181">
        <f t="shared" si="842"/>
        <v>10571.136647059313</v>
      </c>
      <c r="AD1088" s="1181">
        <f t="shared" si="842"/>
        <v>12253.928915379973</v>
      </c>
      <c r="AE1088" s="1181">
        <f t="shared" si="842"/>
        <v>14227.692665314902</v>
      </c>
      <c r="AF1088" s="1181">
        <f t="shared" si="842"/>
        <v>15375.491241040723</v>
      </c>
      <c r="AG1088" s="1181">
        <f t="shared" si="842"/>
        <v>16411.396486139376</v>
      </c>
      <c r="AH1088" s="1181">
        <f t="shared" si="842"/>
        <v>17471.734993693841</v>
      </c>
      <c r="AI1088" s="1181">
        <f t="shared" si="842"/>
        <v>18501.129108700898</v>
      </c>
      <c r="AJ1088" s="1181">
        <f t="shared" si="842"/>
        <v>19520.5600925256</v>
      </c>
      <c r="AK1088" s="1181">
        <f t="shared" si="842"/>
        <v>20598.362144654409</v>
      </c>
      <c r="AL1088" s="1181">
        <f t="shared" si="842"/>
        <v>21848.78690607156</v>
      </c>
      <c r="AM1088" s="1181">
        <f t="shared" si="842"/>
        <v>23252.25699397429</v>
      </c>
      <c r="AN1088" s="1181">
        <f t="shared" si="842"/>
        <v>24777.188194054761</v>
      </c>
      <c r="AO1088" s="1181">
        <f t="shared" si="842"/>
        <v>26344.52719430254</v>
      </c>
      <c r="AP1088" s="1181">
        <f t="shared" si="842"/>
        <v>28009.500497089597</v>
      </c>
      <c r="AQ1088" s="1181">
        <f t="shared" si="842"/>
        <v>29857.329689972747</v>
      </c>
      <c r="AR1088" s="1181">
        <f t="shared" si="842"/>
        <v>32014.717693121333</v>
      </c>
      <c r="AS1088" s="1181">
        <f t="shared" si="842"/>
        <v>34781.992739530513</v>
      </c>
      <c r="AT1088" s="1181">
        <f t="shared" si="842"/>
        <v>38501.332388026545</v>
      </c>
    </row>
    <row r="1089" spans="1:47">
      <c r="D1089" s="1917" t="s">
        <v>571</v>
      </c>
    </row>
    <row r="1090" spans="1:47">
      <c r="AE1090" s="1704"/>
      <c r="AF1090" s="1704"/>
      <c r="AG1090" s="1704"/>
      <c r="AO1090" s="834"/>
      <c r="AP1090" s="834"/>
      <c r="AQ1090" s="834"/>
      <c r="AR1090" s="834"/>
      <c r="AS1090" s="834"/>
    </row>
    <row r="1091" spans="1:47">
      <c r="C1091" s="293"/>
      <c r="D1091" s="2226" t="s">
        <v>664</v>
      </c>
      <c r="E1091" s="3082"/>
      <c r="F1091" s="293"/>
      <c r="G1091" s="293"/>
      <c r="H1091" s="293"/>
      <c r="I1091" s="293"/>
      <c r="J1091" s="293"/>
      <c r="K1091" s="293"/>
      <c r="L1091" s="293"/>
      <c r="M1091" s="293"/>
      <c r="N1091" s="293"/>
      <c r="O1091" s="293"/>
      <c r="P1091" s="293"/>
      <c r="Q1091" s="293"/>
      <c r="R1091" s="293"/>
      <c r="S1091" s="293"/>
      <c r="T1091" s="293"/>
      <c r="U1091" s="293"/>
      <c r="V1091" s="293"/>
      <c r="W1091" s="820"/>
      <c r="X1091" s="820"/>
      <c r="Y1091" s="820"/>
      <c r="Z1091" s="820"/>
      <c r="AA1091" s="820"/>
      <c r="AB1091" s="820"/>
      <c r="AC1091" s="293"/>
      <c r="AD1091" s="820"/>
      <c r="AE1091" s="820"/>
      <c r="AF1091" s="3245"/>
      <c r="AG1091" s="3245"/>
      <c r="AH1091" s="820"/>
      <c r="AI1091" s="820"/>
      <c r="AJ1091" s="820"/>
      <c r="AK1091" s="820"/>
      <c r="AL1091" s="820"/>
      <c r="AM1091" s="2"/>
    </row>
    <row r="1092" spans="1:47">
      <c r="C1092" s="293"/>
      <c r="D1092" s="286" t="s">
        <v>1060</v>
      </c>
      <c r="E1092" s="777"/>
      <c r="F1092" s="2960"/>
      <c r="G1092" s="436"/>
      <c r="H1092" s="436"/>
      <c r="I1092" s="436">
        <v>1998</v>
      </c>
      <c r="J1092" s="436">
        <v>1999</v>
      </c>
      <c r="K1092" s="436">
        <v>2000</v>
      </c>
      <c r="L1092" s="436">
        <v>2001</v>
      </c>
      <c r="M1092" s="436">
        <v>2002</v>
      </c>
      <c r="N1092" s="436">
        <v>2003</v>
      </c>
      <c r="O1092" s="436">
        <v>2004</v>
      </c>
      <c r="P1092" s="436">
        <v>2005</v>
      </c>
      <c r="Q1092" s="436">
        <v>2006</v>
      </c>
      <c r="R1092" s="436">
        <v>2007</v>
      </c>
      <c r="S1092" s="436">
        <v>2008</v>
      </c>
      <c r="T1092" s="436">
        <v>2009</v>
      </c>
      <c r="U1092" s="436">
        <v>2010</v>
      </c>
      <c r="V1092" s="436">
        <v>2011</v>
      </c>
      <c r="W1092" s="201">
        <v>2012</v>
      </c>
      <c r="X1092" s="201">
        <v>2013</v>
      </c>
      <c r="Y1092" s="201">
        <v>2014</v>
      </c>
      <c r="Z1092" s="201">
        <v>2015</v>
      </c>
      <c r="AA1092" s="201">
        <v>2016</v>
      </c>
      <c r="AB1092" s="201">
        <v>2017</v>
      </c>
      <c r="AC1092" s="436">
        <v>2018</v>
      </c>
      <c r="AD1092" s="201">
        <v>2019</v>
      </c>
      <c r="AE1092" s="201">
        <v>2020</v>
      </c>
      <c r="AF1092" s="201">
        <v>2021</v>
      </c>
      <c r="AG1092" s="201">
        <v>2022</v>
      </c>
      <c r="AH1092" s="201">
        <v>2023</v>
      </c>
      <c r="AI1092" s="201">
        <v>2024</v>
      </c>
      <c r="AJ1092" s="201">
        <v>2025</v>
      </c>
      <c r="AK1092" s="201">
        <v>2026</v>
      </c>
      <c r="AL1092" s="201">
        <v>2027</v>
      </c>
      <c r="AM1092" s="201">
        <v>2028</v>
      </c>
      <c r="AN1092" s="201">
        <v>2029</v>
      </c>
      <c r="AO1092" s="1928">
        <v>2030</v>
      </c>
      <c r="AP1092" s="1928">
        <v>2031</v>
      </c>
      <c r="AQ1092" s="1928">
        <v>2032</v>
      </c>
      <c r="AR1092" s="1928">
        <v>2033</v>
      </c>
      <c r="AS1092" s="1928">
        <v>2034</v>
      </c>
      <c r="AT1092" s="1928">
        <v>2035</v>
      </c>
    </row>
    <row r="1093" spans="1:47">
      <c r="A1093" s="304"/>
      <c r="D1093" s="677" t="s">
        <v>1038</v>
      </c>
      <c r="F1093" s="11"/>
      <c r="G1093" s="246"/>
      <c r="H1093" s="246"/>
      <c r="I1093" s="246"/>
      <c r="J1093" s="246"/>
      <c r="K1093" s="246"/>
      <c r="L1093" s="246"/>
      <c r="M1093" s="246"/>
      <c r="N1093" s="246"/>
      <c r="O1093" s="246"/>
      <c r="P1093" s="246"/>
      <c r="Q1093" s="246"/>
      <c r="R1093" s="246"/>
      <c r="S1093" s="246"/>
      <c r="T1093" s="246"/>
      <c r="U1093" s="246"/>
      <c r="V1093" s="446" t="s">
        <v>572</v>
      </c>
      <c r="W1093" s="938"/>
      <c r="X1093" s="938"/>
      <c r="Y1093" s="938"/>
      <c r="Z1093" s="938"/>
      <c r="AA1093" s="938"/>
      <c r="AB1093" s="938"/>
      <c r="AC1093" s="246"/>
      <c r="AD1093" s="3246"/>
      <c r="AE1093" s="3247"/>
      <c r="AF1093" s="3247"/>
      <c r="AG1093" s="3247"/>
      <c r="AH1093" s="3247"/>
      <c r="AI1093" s="3247"/>
      <c r="AJ1093" s="3247"/>
      <c r="AK1093" s="3247"/>
      <c r="AL1093" s="3247"/>
      <c r="AM1093" s="3247"/>
      <c r="AN1093" s="2"/>
      <c r="AO1093" s="1929"/>
      <c r="AP1093" s="1929"/>
      <c r="AQ1093" s="1929"/>
      <c r="AR1093" s="1929"/>
      <c r="AS1093" s="1929"/>
      <c r="AT1093" s="1929"/>
    </row>
    <row r="1094" spans="1:47">
      <c r="A1094" s="304" t="s">
        <v>196</v>
      </c>
      <c r="D1094" s="2481" t="s">
        <v>195</v>
      </c>
      <c r="E1094" s="3054">
        <f ca="1">NOW()</f>
        <v>46074.610906250004</v>
      </c>
      <c r="F1094" s="2961"/>
      <c r="G1094" s="2482"/>
      <c r="H1094" s="2482"/>
      <c r="I1094" s="2482">
        <v>1998</v>
      </c>
      <c r="J1094" s="2482">
        <v>1999</v>
      </c>
      <c r="K1094" s="2482">
        <v>2000</v>
      </c>
      <c r="L1094" s="2482">
        <v>2001</v>
      </c>
      <c r="M1094" s="2482">
        <v>2002</v>
      </c>
      <c r="N1094" s="2482">
        <v>2003</v>
      </c>
      <c r="O1094" s="2482">
        <v>2004</v>
      </c>
      <c r="P1094" s="2483">
        <v>2005</v>
      </c>
      <c r="Q1094" s="2482">
        <v>2006</v>
      </c>
      <c r="R1094" s="2482">
        <v>2007</v>
      </c>
      <c r="S1094" s="2482">
        <v>2008</v>
      </c>
      <c r="T1094" s="2482">
        <v>2009</v>
      </c>
      <c r="U1094" s="2482">
        <v>2010</v>
      </c>
      <c r="V1094" s="2483">
        <v>2011</v>
      </c>
      <c r="W1094" s="2484">
        <v>2012</v>
      </c>
      <c r="X1094" s="2484">
        <v>2013</v>
      </c>
      <c r="Y1094" s="2484">
        <v>2014</v>
      </c>
      <c r="Z1094" s="2484">
        <v>2015</v>
      </c>
      <c r="AA1094" s="2484">
        <v>2016</v>
      </c>
      <c r="AB1094" s="2484">
        <v>2017</v>
      </c>
      <c r="AC1094" s="2484">
        <v>2018</v>
      </c>
      <c r="AD1094" s="2484">
        <v>2019</v>
      </c>
      <c r="AE1094" s="2484">
        <v>2020</v>
      </c>
      <c r="AF1094" s="2484">
        <v>2021</v>
      </c>
      <c r="AG1094" s="2485">
        <f>+AF1094+1</f>
        <v>2022</v>
      </c>
      <c r="AH1094" s="2485">
        <f t="shared" ref="AH1094:AM1094" si="843">+AG1094+1</f>
        <v>2023</v>
      </c>
      <c r="AI1094" s="3248">
        <f t="shared" si="843"/>
        <v>2024</v>
      </c>
      <c r="AJ1094" s="3249">
        <f t="shared" si="843"/>
        <v>2025</v>
      </c>
      <c r="AK1094" s="3249">
        <f t="shared" si="843"/>
        <v>2026</v>
      </c>
      <c r="AL1094" s="3249">
        <f t="shared" si="843"/>
        <v>2027</v>
      </c>
      <c r="AM1094" s="3249">
        <f t="shared" si="843"/>
        <v>2028</v>
      </c>
      <c r="AN1094" s="3249">
        <f t="shared" ref="AN1094:AT1094" si="844">+AM1094+1</f>
        <v>2029</v>
      </c>
      <c r="AO1094" s="1930">
        <f t="shared" si="844"/>
        <v>2030</v>
      </c>
      <c r="AP1094" s="1930">
        <f t="shared" si="844"/>
        <v>2031</v>
      </c>
      <c r="AQ1094" s="1930">
        <f t="shared" si="844"/>
        <v>2032</v>
      </c>
      <c r="AR1094" s="1930">
        <f t="shared" si="844"/>
        <v>2033</v>
      </c>
      <c r="AS1094" s="1930">
        <f t="shared" si="844"/>
        <v>2034</v>
      </c>
      <c r="AT1094" s="1930">
        <f t="shared" si="844"/>
        <v>2035</v>
      </c>
      <c r="AU1094"/>
    </row>
    <row r="1095" spans="1:47">
      <c r="A1095" s="304"/>
      <c r="D1095" s="2486" t="s">
        <v>1566</v>
      </c>
      <c r="E1095" s="2524"/>
      <c r="F1095" s="2962"/>
      <c r="G1095" s="2488"/>
      <c r="H1095" s="2488"/>
      <c r="I1095" s="2489"/>
      <c r="J1095" s="2489"/>
      <c r="K1095" s="2489">
        <f t="shared" ref="K1095:AO1095" si="845">K546</f>
        <v>8.4000000000000005E-2</v>
      </c>
      <c r="L1095" s="2489">
        <f t="shared" si="845"/>
        <v>8.5000000000000006E-2</v>
      </c>
      <c r="M1095" s="2489">
        <f t="shared" si="845"/>
        <v>0.13200000000000001</v>
      </c>
      <c r="N1095" s="2489">
        <f t="shared" si="845"/>
        <v>2.1999999999999999E-2</v>
      </c>
      <c r="O1095" s="2489">
        <f t="shared" si="845"/>
        <v>7.3999999999999996E-2</v>
      </c>
      <c r="P1095" s="2489">
        <f t="shared" si="845"/>
        <v>9.4E-2</v>
      </c>
      <c r="Q1095" s="2489">
        <f t="shared" si="845"/>
        <v>9.1999999999999998E-2</v>
      </c>
      <c r="R1095" s="2489">
        <f t="shared" si="845"/>
        <v>7.5999999999999998E-2</v>
      </c>
      <c r="S1095" s="2489">
        <f t="shared" si="845"/>
        <v>0.112</v>
      </c>
      <c r="T1095" s="2489">
        <f t="shared" si="845"/>
        <v>6.2E-2</v>
      </c>
      <c r="U1095" s="2489">
        <f t="shared" si="845"/>
        <v>7.2999999999999995E-2</v>
      </c>
      <c r="V1095" s="2489">
        <f t="shared" si="845"/>
        <v>0.08</v>
      </c>
      <c r="W1095" s="2489">
        <f t="shared" si="845"/>
        <v>8.6302637667746485E-2</v>
      </c>
      <c r="X1095" s="2490">
        <f t="shared" si="845"/>
        <v>0.54430244941427053</v>
      </c>
      <c r="Y1095" s="2490">
        <f t="shared" si="845"/>
        <v>-0.28335976829184195</v>
      </c>
      <c r="Z1095" s="2490">
        <f t="shared" si="845"/>
        <v>8.8722093918398803E-2</v>
      </c>
      <c r="AA1095" s="2490">
        <f t="shared" si="845"/>
        <v>5.65670850273996E-2</v>
      </c>
      <c r="AB1095" s="2490">
        <f t="shared" si="845"/>
        <v>4.70972059561654E-2</v>
      </c>
      <c r="AC1095" s="2490">
        <f t="shared" si="845"/>
        <v>8.0690261244707129E-2</v>
      </c>
      <c r="AD1095" s="2490">
        <f t="shared" si="845"/>
        <v>9.2777408146669682E-2</v>
      </c>
      <c r="AE1095" s="2490">
        <f t="shared" si="845"/>
        <v>-0.27269652279799761</v>
      </c>
      <c r="AF1095" s="2490">
        <f t="shared" si="845"/>
        <v>0.44926053390382292</v>
      </c>
      <c r="AG1095" s="2490">
        <f t="shared" si="845"/>
        <v>9.8196521404274373E-2</v>
      </c>
      <c r="AH1095" s="2491">
        <f t="shared" si="845"/>
        <v>8.5617439074279655E-2</v>
      </c>
      <c r="AI1095" s="814">
        <f t="shared" si="845"/>
        <v>7.2189922480620172E-2</v>
      </c>
      <c r="AJ1095" s="814">
        <f t="shared" si="845"/>
        <v>7.7782468776579336E-2</v>
      </c>
      <c r="AK1095" s="814">
        <f t="shared" si="845"/>
        <v>8.3624635479302517E-2</v>
      </c>
      <c r="AL1095" s="814">
        <f t="shared" si="845"/>
        <v>8.9448074270741265E-2</v>
      </c>
      <c r="AM1095" s="814">
        <f t="shared" si="845"/>
        <v>8.4872958933530918E-2</v>
      </c>
      <c r="AN1095" s="814">
        <f t="shared" si="845"/>
        <v>7.9348150624235281E-2</v>
      </c>
      <c r="AO1095" s="1931">
        <f t="shared" si="845"/>
        <v>8.3566922941106181E-2</v>
      </c>
      <c r="AP1095" s="1931">
        <f>AP546</f>
        <v>8.5986517054702047E-2</v>
      </c>
      <c r="AQ1095" s="1931">
        <f>AQ546</f>
        <v>8.6815805047469774E-2</v>
      </c>
      <c r="AR1095" s="1931">
        <f>AR546</f>
        <v>8.9285264139473394E-2</v>
      </c>
      <c r="AS1095" s="1931">
        <f>AS546</f>
        <v>9.1185787998089463E-2</v>
      </c>
      <c r="AT1095" s="1931">
        <f>AT546</f>
        <v>9.5543951724292031E-2</v>
      </c>
    </row>
    <row r="1096" spans="1:47">
      <c r="A1096" s="304"/>
      <c r="D1096" s="2486" t="s">
        <v>1567</v>
      </c>
      <c r="E1096" s="2524"/>
      <c r="F1096" s="2962"/>
      <c r="G1096" s="2488"/>
      <c r="H1096" s="2488"/>
      <c r="I1096" s="2489"/>
      <c r="J1096" s="2489"/>
      <c r="K1096" s="2489">
        <f t="shared" ref="K1096:U1096" si="846">+(1+K1095)*(1+K1098)-1</f>
        <v>8.4000000000000075E-2</v>
      </c>
      <c r="L1096" s="2489">
        <f t="shared" si="846"/>
        <v>8.4999999999999964E-2</v>
      </c>
      <c r="M1096" s="2489">
        <f t="shared" si="846"/>
        <v>0.13200000000000012</v>
      </c>
      <c r="N1096" s="2489">
        <f t="shared" si="846"/>
        <v>2.200000000000002E-2</v>
      </c>
      <c r="O1096" s="2489">
        <f t="shared" si="846"/>
        <v>7.4000000000000066E-2</v>
      </c>
      <c r="P1096" s="2489">
        <f t="shared" si="846"/>
        <v>9.4000000000000083E-2</v>
      </c>
      <c r="Q1096" s="2489">
        <f t="shared" si="846"/>
        <v>9.2000000000000082E-2</v>
      </c>
      <c r="R1096" s="2489">
        <f t="shared" si="846"/>
        <v>7.6000000000000068E-2</v>
      </c>
      <c r="S1096" s="2489">
        <f t="shared" si="846"/>
        <v>0.1120000000000001</v>
      </c>
      <c r="T1096" s="2489">
        <f t="shared" si="846"/>
        <v>6.2000000000000055E-2</v>
      </c>
      <c r="U1096" s="2489">
        <f t="shared" si="846"/>
        <v>7.2999999999999954E-2</v>
      </c>
      <c r="V1096" s="2489">
        <f>+(1+V1095)*(1+V1098)-1</f>
        <v>8.0000000000000071E-2</v>
      </c>
      <c r="W1096" s="2489">
        <f t="shared" ref="W1096:AM1096" si="847">+W846/V846-1</f>
        <v>0.13663075416258574</v>
      </c>
      <c r="X1096" s="2490">
        <f t="shared" si="847"/>
        <v>1.0766910814304178</v>
      </c>
      <c r="Y1096" s="2490">
        <f t="shared" si="847"/>
        <v>-0.42448132780082992</v>
      </c>
      <c r="Z1096" s="2490">
        <f t="shared" si="847"/>
        <v>9.6070656092285489E-2</v>
      </c>
      <c r="AA1096" s="2490">
        <f t="shared" si="847"/>
        <v>0.11297483966452893</v>
      </c>
      <c r="AB1096" s="2490">
        <f t="shared" si="847"/>
        <v>0.12603427895981079</v>
      </c>
      <c r="AC1096" s="2490">
        <f t="shared" si="847"/>
        <v>9.0276866552945867E-2</v>
      </c>
      <c r="AD1096" s="2490">
        <f t="shared" si="847"/>
        <v>0.13852449151522439</v>
      </c>
      <c r="AE1096" s="2490">
        <f t="shared" si="847"/>
        <v>-0.20761099365750524</v>
      </c>
      <c r="AF1096" s="2490">
        <f t="shared" si="847"/>
        <v>0.48412486659551757</v>
      </c>
      <c r="AG1096" s="2490">
        <f t="shared" si="847"/>
        <v>0.27316853932584273</v>
      </c>
      <c r="AH1096" s="2491">
        <f t="shared" si="847"/>
        <v>0.21272239480372779</v>
      </c>
      <c r="AI1096" s="814">
        <f t="shared" si="847"/>
        <v>0.15957384875123704</v>
      </c>
      <c r="AJ1096" s="814">
        <f t="shared" si="847"/>
        <v>0.144493885534271</v>
      </c>
      <c r="AK1096" s="814">
        <f t="shared" si="847"/>
        <v>0.18708729373686173</v>
      </c>
      <c r="AL1096" s="814">
        <f t="shared" si="847"/>
        <v>0.12969175764336893</v>
      </c>
      <c r="AM1096" s="814">
        <f t="shared" si="847"/>
        <v>0.12842089522834077</v>
      </c>
      <c r="AN1096" s="814">
        <f t="shared" ref="AN1096:AT1096" si="848">+AN846/AM846-1</f>
        <v>0.13341504897644252</v>
      </c>
      <c r="AO1096" s="1931">
        <f t="shared" si="848"/>
        <v>0.13797918944045184</v>
      </c>
      <c r="AP1096" s="1931">
        <f t="shared" si="848"/>
        <v>0.13454627571853517</v>
      </c>
      <c r="AQ1096" s="1931">
        <f t="shared" si="848"/>
        <v>0.14177949168212733</v>
      </c>
      <c r="AR1096" s="1931">
        <f t="shared" si="848"/>
        <v>0.14418771501159222</v>
      </c>
      <c r="AS1096" s="1931">
        <f t="shared" si="848"/>
        <v>0.1436711126637662</v>
      </c>
      <c r="AT1096" s="1931">
        <f t="shared" si="848"/>
        <v>0.14505915655562052</v>
      </c>
    </row>
    <row r="1097" spans="1:47">
      <c r="A1097" s="304"/>
      <c r="D1097" s="2492" t="s">
        <v>1568</v>
      </c>
      <c r="E1097" s="3083"/>
      <c r="F1097" s="2963"/>
      <c r="G1097" s="2493"/>
      <c r="H1097" s="2493"/>
      <c r="I1097" s="2494"/>
      <c r="J1097" s="2494"/>
      <c r="K1097" s="2494"/>
      <c r="L1097" s="2494"/>
      <c r="M1097" s="2494"/>
      <c r="N1097" s="2494"/>
      <c r="O1097" s="2494"/>
      <c r="P1097" s="2494"/>
      <c r="Q1097" s="2494"/>
      <c r="R1097" s="2494"/>
      <c r="S1097" s="2494"/>
      <c r="T1097" s="2494"/>
      <c r="U1097" s="2494"/>
      <c r="V1097" s="2494"/>
      <c r="W1097" s="2494">
        <f t="shared" ref="W1097:AD1097" si="849">W1104/V1104-1</f>
        <v>0.11072445470797887</v>
      </c>
      <c r="X1097" s="2495">
        <f t="shared" si="849"/>
        <v>0.97281412774378828</v>
      </c>
      <c r="Y1097" s="2495">
        <f t="shared" si="849"/>
        <v>-0.45467102619448796</v>
      </c>
      <c r="Z1097" s="2495">
        <f t="shared" si="849"/>
        <v>3.9553106219553991E-2</v>
      </c>
      <c r="AA1097" s="2495">
        <f t="shared" si="849"/>
        <v>1.727951944520778E-2</v>
      </c>
      <c r="AB1097" s="2495">
        <f t="shared" si="849"/>
        <v>6.6171789919941881E-2</v>
      </c>
      <c r="AC1097" s="2495">
        <f t="shared" si="849"/>
        <v>5.2729142726148703E-2</v>
      </c>
      <c r="AD1097" s="2495">
        <f t="shared" si="849"/>
        <v>8.7840872116498492E-2</v>
      </c>
      <c r="AE1097" s="2495">
        <f t="shared" ref="AE1097:AM1097" si="850">AE1104/AD1104-1</f>
        <v>-0.24449060406821066</v>
      </c>
      <c r="AF1097" s="2495">
        <f t="shared" si="850"/>
        <v>0.41643375770304925</v>
      </c>
      <c r="AG1097" s="2495">
        <f t="shared" si="850"/>
        <v>0.22062793681004411</v>
      </c>
      <c r="AH1097" s="2491">
        <f t="shared" si="850"/>
        <v>7.2440200282021472E-2</v>
      </c>
      <c r="AI1097" s="814">
        <f t="shared" si="850"/>
        <v>2.4032895290378775E-2</v>
      </c>
      <c r="AJ1097" s="814">
        <f t="shared" si="850"/>
        <v>6.6840753802993591E-2</v>
      </c>
      <c r="AK1097" s="814">
        <f t="shared" si="850"/>
        <v>0.13326628789901696</v>
      </c>
      <c r="AL1097" s="814">
        <f t="shared" si="850"/>
        <v>8.6920900683119751E-2</v>
      </c>
      <c r="AM1097" s="814">
        <f t="shared" si="850"/>
        <v>9.3749279999845614E-2</v>
      </c>
      <c r="AN1097" s="814">
        <f t="shared" ref="AN1097:AT1097" si="851">AN1104/AM1104-1</f>
        <v>0.10427912665015215</v>
      </c>
      <c r="AO1097" s="1931">
        <f t="shared" si="851"/>
        <v>0.11022359945409943</v>
      </c>
      <c r="AP1097" s="1931">
        <f t="shared" si="851"/>
        <v>0.10687441533515618</v>
      </c>
      <c r="AQ1097" s="1931">
        <f t="shared" si="851"/>
        <v>0.11393121139719775</v>
      </c>
      <c r="AR1097" s="1931">
        <f t="shared" si="851"/>
        <v>0.11628069757228499</v>
      </c>
      <c r="AS1097" s="1931">
        <f t="shared" si="851"/>
        <v>0.11577669528172319</v>
      </c>
      <c r="AT1097" s="1931">
        <f t="shared" si="851"/>
        <v>0.11713088444450781</v>
      </c>
    </row>
    <row r="1098" spans="1:47">
      <c r="A1098" s="304"/>
      <c r="D1098" s="2486" t="s">
        <v>1569</v>
      </c>
      <c r="E1098" s="2515" t="s">
        <v>368</v>
      </c>
      <c r="F1098" s="2962"/>
      <c r="G1098" s="2488"/>
      <c r="H1098" s="2488"/>
      <c r="I1098" s="2489"/>
      <c r="J1098" s="2489"/>
      <c r="K1098" s="2489"/>
      <c r="L1098" s="2489"/>
      <c r="M1098" s="2489"/>
      <c r="N1098" s="2489"/>
      <c r="O1098" s="2489"/>
      <c r="P1098" s="2489"/>
      <c r="Q1098" s="2489"/>
      <c r="R1098" s="2489"/>
      <c r="S1098" s="2489"/>
      <c r="T1098" s="2489"/>
      <c r="U1098" s="2489"/>
      <c r="V1098" s="2489"/>
      <c r="W1098" s="2489">
        <f t="shared" ref="W1098:AM1098" si="852">+W962</f>
        <v>4.7619047619047672E-2</v>
      </c>
      <c r="X1098" s="2490">
        <f t="shared" si="852"/>
        <v>2.5252525252525304E-2</v>
      </c>
      <c r="Y1098" s="2490">
        <f t="shared" si="852"/>
        <v>5.4187192118226646E-2</v>
      </c>
      <c r="Z1098" s="2490">
        <f t="shared" si="852"/>
        <v>4.6728971962617383E-3</v>
      </c>
      <c r="AA1098" s="2490">
        <f t="shared" si="852"/>
        <v>5.338776442734483E-2</v>
      </c>
      <c r="AB1098" s="2490">
        <f t="shared" si="852"/>
        <v>7.5386575911606357E-2</v>
      </c>
      <c r="AC1098" s="2490">
        <f t="shared" si="852"/>
        <v>8.8708167844477881E-3</v>
      </c>
      <c r="AD1098" s="2490">
        <f t="shared" si="852"/>
        <v>4.1863130613343236E-2</v>
      </c>
      <c r="AE1098" s="2490">
        <f t="shared" si="852"/>
        <v>8.948881887775606E-2</v>
      </c>
      <c r="AF1098" s="2490">
        <f t="shared" si="852"/>
        <v>2.4056635695296258E-2</v>
      </c>
      <c r="AG1098" s="2490">
        <f t="shared" si="852"/>
        <v>0.15932669108970576</v>
      </c>
      <c r="AH1098" s="2491">
        <f t="shared" si="852"/>
        <v>0.11708079766831303</v>
      </c>
      <c r="AI1098" s="814">
        <f t="shared" si="852"/>
        <v>8.1500417452577301E-2</v>
      </c>
      <c r="AJ1098" s="814">
        <f t="shared" si="852"/>
        <v>6.1896921401419558E-2</v>
      </c>
      <c r="AK1098" s="814">
        <f t="shared" si="852"/>
        <v>9.5478318663174466E-2</v>
      </c>
      <c r="AL1098" s="814">
        <f t="shared" si="852"/>
        <v>3.6939514900300452E-2</v>
      </c>
      <c r="AM1098" s="814">
        <f t="shared" si="852"/>
        <v>4.0141046872086417E-2</v>
      </c>
      <c r="AN1098" s="814">
        <f t="shared" ref="AN1098:AT1098" si="853">+AN962</f>
        <v>5.009217676515032E-2</v>
      </c>
      <c r="AO1098" s="1688">
        <f t="shared" si="853"/>
        <v>5.0215879930752383E-2</v>
      </c>
      <c r="AP1098" s="1688">
        <f t="shared" si="853"/>
        <v>4.4714881723883382E-2</v>
      </c>
      <c r="AQ1098" s="1688">
        <f t="shared" si="853"/>
        <v>5.0573138869890677E-2</v>
      </c>
      <c r="AR1098" s="1688">
        <f t="shared" si="853"/>
        <v>5.0402270809649874E-2</v>
      </c>
      <c r="AS1098" s="1688">
        <f t="shared" si="853"/>
        <v>4.8099347739826825E-2</v>
      </c>
      <c r="AT1098" s="1688">
        <f t="shared" si="853"/>
        <v>4.5196913143827455E-2</v>
      </c>
    </row>
    <row r="1099" spans="1:47">
      <c r="A1099" s="304"/>
      <c r="D1099" s="2487" t="s">
        <v>412</v>
      </c>
      <c r="E1099" s="2515"/>
      <c r="F1099" s="2964"/>
      <c r="G1099" s="2496"/>
      <c r="H1099" s="2496"/>
      <c r="I1099" s="2497"/>
      <c r="J1099" s="2497"/>
      <c r="K1099" s="2497"/>
      <c r="L1099" s="2497"/>
      <c r="M1099" s="2497"/>
      <c r="N1099" s="2497"/>
      <c r="O1099" s="2497"/>
      <c r="P1099" s="2497"/>
      <c r="Q1099" s="2497"/>
      <c r="R1099" s="2497"/>
      <c r="S1099" s="2497"/>
      <c r="T1099" s="2497"/>
      <c r="U1099" s="2497"/>
      <c r="V1099" s="2497"/>
      <c r="W1099" s="2498"/>
      <c r="X1099" s="2499"/>
      <c r="Y1099" s="2499"/>
      <c r="Z1099" s="2499">
        <f t="shared" ref="Z1099:AM1099" si="854">+Z937</f>
        <v>4.428214314270762E-2</v>
      </c>
      <c r="AA1099" s="2499">
        <f t="shared" si="854"/>
        <v>4.9757051840270128E-2</v>
      </c>
      <c r="AB1099" s="2499">
        <f t="shared" si="854"/>
        <v>6.108664944551534E-2</v>
      </c>
      <c r="AC1099" s="2499">
        <f t="shared" si="854"/>
        <v>2.6995272829650752E-3</v>
      </c>
      <c r="AD1099" s="2499">
        <f t="shared" si="854"/>
        <v>2.4856566500031096E-2</v>
      </c>
      <c r="AE1099" s="2499">
        <f t="shared" si="854"/>
        <v>9.6348102282450387E-2</v>
      </c>
      <c r="AF1099" s="2499">
        <f t="shared" si="854"/>
        <v>-2.5710924548053682E-2</v>
      </c>
      <c r="AG1099" s="2499">
        <f t="shared" si="854"/>
        <v>0.13707710032566878</v>
      </c>
      <c r="AH1099" s="2500">
        <f t="shared" si="854"/>
        <v>0.16011109983097449</v>
      </c>
      <c r="AI1099" s="785">
        <f t="shared" si="854"/>
        <v>3.5523145304627191E-2</v>
      </c>
      <c r="AJ1099" s="815">
        <f t="shared" si="854"/>
        <v>6.6537008736573755E-2</v>
      </c>
      <c r="AK1099" s="815">
        <f t="shared" si="854"/>
        <v>0.10339798970193637</v>
      </c>
      <c r="AL1099" s="815">
        <f t="shared" si="854"/>
        <v>2.4071370698910188E-2</v>
      </c>
      <c r="AM1099" s="815">
        <f t="shared" si="854"/>
        <v>3.5670879794682975E-2</v>
      </c>
      <c r="AN1099" s="815">
        <f t="shared" ref="AN1099:AT1099" si="855">+AN937</f>
        <v>5.129052308393045E-2</v>
      </c>
      <c r="AO1099" s="1932">
        <f t="shared" si="855"/>
        <v>5.2830892902575144E-2</v>
      </c>
      <c r="AP1099" s="1932">
        <f t="shared" si="855"/>
        <v>4.6743248033085383E-2</v>
      </c>
      <c r="AQ1099" s="1932">
        <f t="shared" si="855"/>
        <v>5.4188339555752973E-2</v>
      </c>
      <c r="AR1099" s="1932">
        <f t="shared" si="855"/>
        <v>5.536829431513457E-2</v>
      </c>
      <c r="AS1099" s="1932">
        <f t="shared" si="855"/>
        <v>4.1393017631810025E-2</v>
      </c>
      <c r="AT1099" s="1932">
        <f t="shared" si="855"/>
        <v>2.3667156727388505E-2</v>
      </c>
    </row>
    <row r="1100" spans="1:47">
      <c r="A1100" s="304"/>
      <c r="D1100" s="2487" t="s">
        <v>1570</v>
      </c>
      <c r="E1100" s="2515"/>
      <c r="F1100" s="2964"/>
      <c r="G1100" s="2496"/>
      <c r="H1100" s="2496"/>
      <c r="I1100" s="2501"/>
      <c r="J1100" s="2501">
        <f t="shared" ref="J1100:AM1100" si="856">J682-J684</f>
        <v>221</v>
      </c>
      <c r="K1100" s="2501">
        <f t="shared" si="856"/>
        <v>244</v>
      </c>
      <c r="L1100" s="2501">
        <f t="shared" si="856"/>
        <v>269</v>
      </c>
      <c r="M1100" s="2501">
        <f t="shared" si="856"/>
        <v>275</v>
      </c>
      <c r="N1100" s="2501">
        <f t="shared" si="856"/>
        <v>373</v>
      </c>
      <c r="O1100" s="2501">
        <f t="shared" si="856"/>
        <v>452</v>
      </c>
      <c r="P1100" s="2501">
        <f t="shared" si="856"/>
        <v>535</v>
      </c>
      <c r="Q1100" s="2501">
        <f t="shared" si="856"/>
        <v>468</v>
      </c>
      <c r="R1100" s="2501">
        <f t="shared" si="856"/>
        <v>510</v>
      </c>
      <c r="S1100" s="2501">
        <f t="shared" si="856"/>
        <v>615</v>
      </c>
      <c r="T1100" s="2501">
        <f t="shared" si="856"/>
        <v>725</v>
      </c>
      <c r="U1100" s="2501">
        <f t="shared" si="856"/>
        <v>762</v>
      </c>
      <c r="V1100" s="2501">
        <f t="shared" si="856"/>
        <v>869</v>
      </c>
      <c r="W1100" s="2501">
        <f t="shared" si="856"/>
        <v>1019</v>
      </c>
      <c r="X1100" s="2501">
        <f t="shared" si="856"/>
        <v>2103</v>
      </c>
      <c r="Y1100" s="2501">
        <f t="shared" si="856"/>
        <v>1227</v>
      </c>
      <c r="Z1100" s="2501">
        <f t="shared" si="856"/>
        <v>1316</v>
      </c>
      <c r="AA1100" s="2501">
        <f t="shared" si="856"/>
        <v>1540</v>
      </c>
      <c r="AB1100" s="2501">
        <f t="shared" si="856"/>
        <v>1816</v>
      </c>
      <c r="AC1100" s="2501">
        <f t="shared" si="856"/>
        <v>1790</v>
      </c>
      <c r="AD1100" s="2501">
        <f t="shared" si="856"/>
        <v>1915</v>
      </c>
      <c r="AE1100" s="2501">
        <f t="shared" si="856"/>
        <v>1720</v>
      </c>
      <c r="AF1100" s="2501">
        <f t="shared" si="856"/>
        <v>2226</v>
      </c>
      <c r="AG1100" s="2502">
        <f t="shared" si="856"/>
        <v>2845</v>
      </c>
      <c r="AH1100" s="2502">
        <f t="shared" si="856"/>
        <v>3715</v>
      </c>
      <c r="AI1100" s="786">
        <f t="shared" si="856"/>
        <v>3789</v>
      </c>
      <c r="AJ1100" s="816">
        <f t="shared" si="856"/>
        <v>4243.0457536615413</v>
      </c>
      <c r="AK1100" s="816">
        <f t="shared" si="856"/>
        <v>5175.577997204904</v>
      </c>
      <c r="AL1100" s="816">
        <f t="shared" si="856"/>
        <v>5788.4347502782139</v>
      </c>
      <c r="AM1100" s="816">
        <f t="shared" si="856"/>
        <v>6463.1758217583665</v>
      </c>
      <c r="AN1100" s="816">
        <f t="shared" ref="AN1100:AT1100" si="857">AN682-AN684</f>
        <v>7259.4914657613244</v>
      </c>
      <c r="AO1100" s="1933">
        <f t="shared" si="857"/>
        <v>8306.4286390606958</v>
      </c>
      <c r="AP1100" s="1933">
        <f t="shared" si="857"/>
        <v>9254.749559529464</v>
      </c>
      <c r="AQ1100" s="1933">
        <f t="shared" si="857"/>
        <v>10415.921762054682</v>
      </c>
      <c r="AR1100" s="1933">
        <f t="shared" si="857"/>
        <v>11766.78009879009</v>
      </c>
      <c r="AS1100" s="1933">
        <f t="shared" si="857"/>
        <v>13151.716868239517</v>
      </c>
      <c r="AT1100" s="1933">
        <f t="shared" si="857"/>
        <v>14479.433662807995</v>
      </c>
    </row>
    <row r="1101" spans="1:47">
      <c r="A1101" s="304"/>
      <c r="D1101" s="2487" t="s">
        <v>1616</v>
      </c>
      <c r="E1101" s="2515"/>
      <c r="F1101" s="2964"/>
      <c r="G1101" s="2496"/>
      <c r="H1101" s="2496"/>
      <c r="I1101" s="2501"/>
      <c r="J1101" s="2501">
        <f t="shared" ref="J1101:AM1101" si="858">+J857-J1100</f>
        <v>350.35</v>
      </c>
      <c r="K1101" s="2501">
        <f t="shared" si="858"/>
        <v>400.70000000000005</v>
      </c>
      <c r="L1101" s="2501">
        <f t="shared" si="858"/>
        <v>410.54999999999995</v>
      </c>
      <c r="M1101" s="2501">
        <f t="shared" si="858"/>
        <v>457</v>
      </c>
      <c r="N1101" s="2501">
        <f t="shared" si="858"/>
        <v>522.20000000000005</v>
      </c>
      <c r="O1101" s="2501">
        <f t="shared" si="858"/>
        <v>596.25</v>
      </c>
      <c r="P1101" s="2501">
        <f t="shared" si="858"/>
        <v>722.75</v>
      </c>
      <c r="Q1101" s="2501">
        <f t="shared" si="858"/>
        <v>901.45</v>
      </c>
      <c r="R1101" s="2501">
        <f t="shared" si="858"/>
        <v>1115.8</v>
      </c>
      <c r="S1101" s="2501">
        <f t="shared" si="858"/>
        <v>1506.8000000000002</v>
      </c>
      <c r="T1101" s="2501">
        <f t="shared" si="858"/>
        <v>1710.9</v>
      </c>
      <c r="U1101" s="2501">
        <f t="shared" si="858"/>
        <v>1910.35</v>
      </c>
      <c r="V1101" s="2501">
        <f t="shared" si="858"/>
        <v>2127.15</v>
      </c>
      <c r="W1101" s="2503">
        <f t="shared" si="858"/>
        <v>2499.25</v>
      </c>
      <c r="X1101" s="2504">
        <f t="shared" si="858"/>
        <v>5702.8213121428362</v>
      </c>
      <c r="Y1101" s="2504">
        <f t="shared" si="858"/>
        <v>2935.1799275014337</v>
      </c>
      <c r="Z1101" s="2504">
        <f t="shared" si="858"/>
        <v>3208.6511626038209</v>
      </c>
      <c r="AA1101" s="2504">
        <f>+AA857-AA1100</f>
        <v>3407.2159224306561</v>
      </c>
      <c r="AB1101" s="2504">
        <f t="shared" si="858"/>
        <v>3503.090137960432</v>
      </c>
      <c r="AC1101" s="2504">
        <f t="shared" si="858"/>
        <v>4003.533545428274</v>
      </c>
      <c r="AD1101" s="2504">
        <f t="shared" si="858"/>
        <v>4749.043657881175</v>
      </c>
      <c r="AE1101" s="2504">
        <f t="shared" si="858"/>
        <v>3506.9052652475821</v>
      </c>
      <c r="AF1101" s="2504">
        <f t="shared" si="858"/>
        <v>6129.2326704636253</v>
      </c>
      <c r="AG1101" s="2504">
        <f t="shared" si="858"/>
        <v>7723.5010170686401</v>
      </c>
      <c r="AH1101" s="2502">
        <f t="shared" si="858"/>
        <v>8814.4700101101589</v>
      </c>
      <c r="AI1101" s="786">
        <f t="shared" si="858"/>
        <v>10157.154629769255</v>
      </c>
      <c r="AJ1101" s="816">
        <f t="shared" si="858"/>
        <v>11566.875614764745</v>
      </c>
      <c r="AK1101" s="816">
        <f t="shared" si="858"/>
        <v>13452.864175076347</v>
      </c>
      <c r="AL1101" s="816">
        <f t="shared" si="858"/>
        <v>15095.541438127741</v>
      </c>
      <c r="AM1101" s="816">
        <f t="shared" si="858"/>
        <v>17085.802833741498</v>
      </c>
      <c r="AN1101" s="816">
        <f t="shared" ref="AN1101:AT1101" si="859">+AN857-AN1100</f>
        <v>19726.194867008016</v>
      </c>
      <c r="AO1101" s="1933">
        <f t="shared" si="859"/>
        <v>22661.768502388899</v>
      </c>
      <c r="AP1101" s="1933">
        <f t="shared" si="859"/>
        <v>26006.566347201162</v>
      </c>
      <c r="AQ1101" s="1933">
        <f t="shared" si="859"/>
        <v>30161.973865350679</v>
      </c>
      <c r="AR1101" s="1933">
        <f t="shared" si="859"/>
        <v>35115.300176575547</v>
      </c>
      <c r="AS1101" s="1933">
        <f t="shared" si="859"/>
        <v>39868.166347238395</v>
      </c>
      <c r="AT1101" s="1933">
        <f t="shared" si="859"/>
        <v>44037.064928950873</v>
      </c>
    </row>
    <row r="1102" spans="1:47">
      <c r="A1102" s="304"/>
      <c r="B1102" s="355">
        <f>(Z1102+AA1102)/2</f>
        <v>6424.5</v>
      </c>
      <c r="D1102" s="2486" t="s">
        <v>1571</v>
      </c>
      <c r="E1102" s="2515"/>
      <c r="F1102" s="2962"/>
      <c r="G1102" s="2488"/>
      <c r="H1102" s="2488"/>
      <c r="I1102" s="2505"/>
      <c r="J1102" s="2505">
        <f t="shared" ref="J1102:AM1102" si="860">+J846</f>
        <v>720</v>
      </c>
      <c r="K1102" s="2505">
        <f t="shared" si="860"/>
        <v>806</v>
      </c>
      <c r="L1102" s="2505">
        <f t="shared" si="860"/>
        <v>871</v>
      </c>
      <c r="M1102" s="2505">
        <f t="shared" si="860"/>
        <v>934</v>
      </c>
      <c r="N1102" s="2505">
        <f t="shared" si="860"/>
        <v>1149</v>
      </c>
      <c r="O1102" s="2505">
        <f t="shared" si="860"/>
        <v>1372</v>
      </c>
      <c r="P1102" s="2505">
        <f t="shared" si="860"/>
        <v>1636</v>
      </c>
      <c r="Q1102" s="2505">
        <f t="shared" si="860"/>
        <v>1806</v>
      </c>
      <c r="R1102" s="2505">
        <f t="shared" si="860"/>
        <v>2197</v>
      </c>
      <c r="S1102" s="2505">
        <f t="shared" si="860"/>
        <v>2799</v>
      </c>
      <c r="T1102" s="2505">
        <f t="shared" si="860"/>
        <v>3185</v>
      </c>
      <c r="U1102" s="2505">
        <f t="shared" si="860"/>
        <v>3529</v>
      </c>
      <c r="V1102" s="2506">
        <f t="shared" si="860"/>
        <v>4084</v>
      </c>
      <c r="W1102" s="2507">
        <f t="shared" si="860"/>
        <v>4642</v>
      </c>
      <c r="X1102" s="2508">
        <f t="shared" si="860"/>
        <v>9640</v>
      </c>
      <c r="Y1102" s="2508">
        <f t="shared" si="860"/>
        <v>5548</v>
      </c>
      <c r="Z1102" s="2508">
        <f t="shared" si="860"/>
        <v>6081</v>
      </c>
      <c r="AA1102" s="2508">
        <f t="shared" si="860"/>
        <v>6768</v>
      </c>
      <c r="AB1102" s="2508">
        <f t="shared" si="860"/>
        <v>7621</v>
      </c>
      <c r="AC1102" s="2508">
        <f t="shared" si="860"/>
        <v>8309</v>
      </c>
      <c r="AD1102" s="2508">
        <f t="shared" si="860"/>
        <v>9460</v>
      </c>
      <c r="AE1102" s="2508">
        <f t="shared" si="860"/>
        <v>7496</v>
      </c>
      <c r="AF1102" s="2508">
        <f t="shared" si="860"/>
        <v>11125</v>
      </c>
      <c r="AG1102" s="2509">
        <f t="shared" si="860"/>
        <v>14164</v>
      </c>
      <c r="AH1102" s="2509">
        <f t="shared" si="860"/>
        <v>17177</v>
      </c>
      <c r="AI1102" s="1463">
        <f t="shared" si="860"/>
        <v>19918</v>
      </c>
      <c r="AJ1102" s="1463">
        <f t="shared" si="860"/>
        <v>22796.029212071611</v>
      </c>
      <c r="AK1102" s="1463">
        <f t="shared" si="860"/>
        <v>27060.876625304532</v>
      </c>
      <c r="AL1102" s="1463">
        <f t="shared" si="860"/>
        <v>30570.449278210635</v>
      </c>
      <c r="AM1102" s="1463">
        <f t="shared" si="860"/>
        <v>34496.333742051029</v>
      </c>
      <c r="AN1102" s="1463">
        <f t="shared" ref="AN1102:AT1102" si="861">+AN846</f>
        <v>39098.663797754474</v>
      </c>
      <c r="AO1102" s="1934">
        <f t="shared" si="861"/>
        <v>44493.465736773374</v>
      </c>
      <c r="AP1102" s="1934">
        <f t="shared" si="861"/>
        <v>50479.895845466483</v>
      </c>
      <c r="AQ1102" s="1934">
        <f t="shared" si="861"/>
        <v>57636.909818603453</v>
      </c>
      <c r="AR1102" s="1934">
        <f t="shared" si="861"/>
        <v>65947.444145677087</v>
      </c>
      <c r="AS1102" s="1934">
        <f t="shared" si="861"/>
        <v>75422.186823418087</v>
      </c>
      <c r="AT1102" s="1934">
        <f t="shared" si="861"/>
        <v>86362.865629603548</v>
      </c>
    </row>
    <row r="1103" spans="1:47">
      <c r="A1103" s="304"/>
      <c r="B1103" s="355"/>
      <c r="D1103" s="2486" t="s">
        <v>1572</v>
      </c>
      <c r="E1103" s="2515"/>
      <c r="F1103" s="2962"/>
      <c r="G1103" s="2488"/>
      <c r="H1103" s="2488"/>
      <c r="I1103" s="2505"/>
      <c r="J1103" s="2505">
        <f>J1144</f>
        <v>360</v>
      </c>
      <c r="K1103" s="2505">
        <f t="shared" ref="K1103:AD1103" si="862">K1144</f>
        <v>763</v>
      </c>
      <c r="L1103" s="2505">
        <f t="shared" si="862"/>
        <v>838.5</v>
      </c>
      <c r="M1103" s="2505">
        <f t="shared" si="862"/>
        <v>902.5</v>
      </c>
      <c r="N1103" s="2505">
        <f t="shared" si="862"/>
        <v>1041.5</v>
      </c>
      <c r="O1103" s="2505">
        <f t="shared" si="862"/>
        <v>1260.5</v>
      </c>
      <c r="P1103" s="2505">
        <f t="shared" si="862"/>
        <v>1504</v>
      </c>
      <c r="Q1103" s="2505">
        <f t="shared" si="862"/>
        <v>1721</v>
      </c>
      <c r="R1103" s="2505">
        <f t="shared" si="862"/>
        <v>2001.5</v>
      </c>
      <c r="S1103" s="2505">
        <f t="shared" si="862"/>
        <v>2498</v>
      </c>
      <c r="T1103" s="2505">
        <f t="shared" si="862"/>
        <v>2992</v>
      </c>
      <c r="U1103" s="2505">
        <f t="shared" si="862"/>
        <v>3357</v>
      </c>
      <c r="V1103" s="2505">
        <f t="shared" si="862"/>
        <v>3806.5</v>
      </c>
      <c r="W1103" s="2505">
        <f t="shared" si="862"/>
        <v>4363</v>
      </c>
      <c r="X1103" s="2505">
        <f t="shared" si="862"/>
        <v>7141</v>
      </c>
      <c r="Y1103" s="2505">
        <f t="shared" si="862"/>
        <v>7594</v>
      </c>
      <c r="Z1103" s="2505">
        <f t="shared" si="862"/>
        <v>5814.5</v>
      </c>
      <c r="AA1103" s="2505">
        <f t="shared" si="862"/>
        <v>6424.5</v>
      </c>
      <c r="AB1103" s="2505">
        <f t="shared" si="862"/>
        <v>7194.5</v>
      </c>
      <c r="AC1103" s="2505">
        <f t="shared" si="862"/>
        <v>7965</v>
      </c>
      <c r="AD1103" s="2505">
        <f t="shared" si="862"/>
        <v>8884.5</v>
      </c>
      <c r="AE1103" s="2505">
        <f>AE1144</f>
        <v>8478</v>
      </c>
      <c r="AF1103" s="2505">
        <f>AF1144</f>
        <v>9310.5</v>
      </c>
      <c r="AG1103" s="2509">
        <f>AG1144</f>
        <v>12644.5</v>
      </c>
      <c r="AH1103" s="2509">
        <f>AH1144</f>
        <v>15670.5</v>
      </c>
      <c r="AI1103" s="1463">
        <f>AI1144</f>
        <v>18547.5</v>
      </c>
      <c r="AJ1103" s="1463">
        <f t="shared" ref="AJ1103:AO1103" si="863">AJ1144</f>
        <v>21357.014606035806</v>
      </c>
      <c r="AK1103" s="1463">
        <f t="shared" si="863"/>
        <v>24928.452918688072</v>
      </c>
      <c r="AL1103" s="1463">
        <f t="shared" si="863"/>
        <v>28815.662951757586</v>
      </c>
      <c r="AM1103" s="1463">
        <f t="shared" si="863"/>
        <v>32533.39151013083</v>
      </c>
      <c r="AN1103" s="1463">
        <f t="shared" si="863"/>
        <v>36797.498769902755</v>
      </c>
      <c r="AO1103" s="1935">
        <f t="shared" si="863"/>
        <v>41796.064767263924</v>
      </c>
      <c r="AP1103" s="1935">
        <f>AP1144</f>
        <v>47486.680791119928</v>
      </c>
      <c r="AQ1103" s="1935">
        <f>AQ1144</f>
        <v>54058.402832034968</v>
      </c>
      <c r="AR1103" s="1935">
        <f>AR1144</f>
        <v>61792.17698214027</v>
      </c>
      <c r="AS1103" s="1935">
        <f>AS1144</f>
        <v>70684.81548454758</v>
      </c>
      <c r="AT1103" s="1935">
        <f>AT1144</f>
        <v>80892.526226510818</v>
      </c>
    </row>
    <row r="1104" spans="1:47">
      <c r="A1104" s="304"/>
      <c r="D1104" s="2492" t="s">
        <v>1617</v>
      </c>
      <c r="E1104" s="3084"/>
      <c r="F1104" s="2963"/>
      <c r="G1104" s="2493"/>
      <c r="H1104" s="2493"/>
      <c r="I1104" s="2510"/>
      <c r="J1104" s="2510">
        <f t="shared" ref="J1104:AT1104" si="864">(J1102/J266)*1000</f>
        <v>2156.0635131392978</v>
      </c>
      <c r="K1104" s="2510">
        <f t="shared" si="864"/>
        <v>2068.2777135848492</v>
      </c>
      <c r="L1104" s="2510">
        <f t="shared" si="864"/>
        <v>1966.175942234607</v>
      </c>
      <c r="M1104" s="2510">
        <f t="shared" si="864"/>
        <v>1964.8049923156443</v>
      </c>
      <c r="N1104" s="2510">
        <f t="shared" si="864"/>
        <v>2137.0582112881634</v>
      </c>
      <c r="O1104" s="2510">
        <f t="shared" si="864"/>
        <v>2375.9675060294071</v>
      </c>
      <c r="P1104" s="2510">
        <f t="shared" si="864"/>
        <v>2932.8318365261321</v>
      </c>
      <c r="Q1104" s="2510">
        <f t="shared" si="864"/>
        <v>3273.4569046196366</v>
      </c>
      <c r="R1104" s="2510">
        <f t="shared" si="864"/>
        <v>4016.7838304796551</v>
      </c>
      <c r="S1104" s="2510">
        <f t="shared" si="864"/>
        <v>5118.418019724968</v>
      </c>
      <c r="T1104" s="2510">
        <f t="shared" si="864"/>
        <v>5604.6184338802059</v>
      </c>
      <c r="U1104" s="2510">
        <f t="shared" si="864"/>
        <v>6051.8143698354552</v>
      </c>
      <c r="V1104" s="2511">
        <f t="shared" si="864"/>
        <v>6803.3420316765478</v>
      </c>
      <c r="W1104" s="2512">
        <f t="shared" si="864"/>
        <v>7556.6383683258064</v>
      </c>
      <c r="X1104" s="2513">
        <f t="shared" si="864"/>
        <v>14907.84293128392</v>
      </c>
      <c r="Y1104" s="2513">
        <f t="shared" si="864"/>
        <v>8129.6786873708161</v>
      </c>
      <c r="Z1104" s="2513">
        <f t="shared" si="864"/>
        <v>8451.232732023238</v>
      </c>
      <c r="AA1104" s="2513">
        <f>(AA1102/AA266)*1000</f>
        <v>8597.2659723522102</v>
      </c>
      <c r="AB1104" s="2513">
        <f t="shared" si="864"/>
        <v>9166.1624501605656</v>
      </c>
      <c r="AC1104" s="2513">
        <f t="shared" si="864"/>
        <v>9649.4863382461463</v>
      </c>
      <c r="AD1104" s="2513">
        <f t="shared" si="864"/>
        <v>10497.105633673926</v>
      </c>
      <c r="AE1104" s="2513">
        <f t="shared" si="864"/>
        <v>7930.6619363291702</v>
      </c>
      <c r="AF1104" s="2513">
        <f t="shared" si="864"/>
        <v>11233.257287547267</v>
      </c>
      <c r="AG1104" s="2509">
        <f t="shared" si="864"/>
        <v>13711.627666555214</v>
      </c>
      <c r="AH1104" s="2509">
        <f t="shared" si="864"/>
        <v>14704.900720912981</v>
      </c>
      <c r="AI1104" s="1463">
        <f t="shared" si="864"/>
        <v>15058.302060194099</v>
      </c>
      <c r="AJ1104" s="1463">
        <f t="shared" si="864"/>
        <v>16064.810320890643</v>
      </c>
      <c r="AK1104" s="1463">
        <f t="shared" si="864"/>
        <v>18205.707958157556</v>
      </c>
      <c r="AL1104" s="1463">
        <f t="shared" si="864"/>
        <v>19788.164491454452</v>
      </c>
      <c r="AM1104" s="1463">
        <f t="shared" si="864"/>
        <v>21643.290665046818</v>
      </c>
      <c r="AN1104" s="1463">
        <f t="shared" si="864"/>
        <v>23900.234113433289</v>
      </c>
      <c r="AO1104" s="1936">
        <f t="shared" si="864"/>
        <v>26534.603945211566</v>
      </c>
      <c r="AP1104" s="1936">
        <f t="shared" si="864"/>
        <v>29370.47422800598</v>
      </c>
      <c r="AQ1104" s="1936">
        <f t="shared" si="864"/>
        <v>32716.687936112878</v>
      </c>
      <c r="AR1104" s="1936">
        <f t="shared" si="864"/>
        <v>36521.007231578842</v>
      </c>
      <c r="AS1104" s="1936">
        <f t="shared" si="864"/>
        <v>40749.288757210954</v>
      </c>
      <c r="AT1104" s="1936">
        <f t="shared" si="864"/>
        <v>45522.288989827714</v>
      </c>
    </row>
    <row r="1105" spans="1:49">
      <c r="A1105" s="304"/>
      <c r="D1105" s="2492" t="s">
        <v>1648</v>
      </c>
      <c r="E1105" s="3084"/>
      <c r="F1105" s="2963"/>
      <c r="G1105" s="2493"/>
      <c r="H1105" s="2493"/>
      <c r="I1105" s="2510"/>
      <c r="J1105" s="2514">
        <f t="shared" ref="J1105:AT1105" si="865">J1104+J198</f>
        <v>2144.6914938712453</v>
      </c>
      <c r="K1105" s="2514">
        <f t="shared" si="865"/>
        <v>2048.6737135848493</v>
      </c>
      <c r="L1105" s="2514">
        <f t="shared" si="865"/>
        <v>1943.6909422346071</v>
      </c>
      <c r="M1105" s="2514">
        <f t="shared" si="865"/>
        <v>1945.7549923156444</v>
      </c>
      <c r="N1105" s="2514">
        <f t="shared" si="865"/>
        <v>2106.5256191269441</v>
      </c>
      <c r="O1105" s="2514">
        <f t="shared" si="865"/>
        <v>2342.3127341325903</v>
      </c>
      <c r="P1105" s="2514">
        <f t="shared" si="865"/>
        <v>2903.6592331324223</v>
      </c>
      <c r="Q1105" s="2514">
        <f t="shared" si="865"/>
        <v>3244.0135728033611</v>
      </c>
      <c r="R1105" s="2514">
        <f t="shared" si="865"/>
        <v>3999.5656773798996</v>
      </c>
      <c r="S1105" s="2514">
        <f t="shared" si="865"/>
        <v>5081.411457407311</v>
      </c>
      <c r="T1105" s="2514">
        <f t="shared" si="865"/>
        <v>5567.8254292242309</v>
      </c>
      <c r="U1105" s="2514">
        <f t="shared" si="865"/>
        <v>6013.0193628561028</v>
      </c>
      <c r="V1105" s="2514">
        <f t="shared" si="865"/>
        <v>6753.2084869666787</v>
      </c>
      <c r="W1105" s="2514">
        <f t="shared" si="865"/>
        <v>7437.3513088202735</v>
      </c>
      <c r="X1105" s="2514">
        <f t="shared" si="865"/>
        <v>14736.412649290956</v>
      </c>
      <c r="Y1105" s="2514">
        <f t="shared" si="865"/>
        <v>7947.0834105439362</v>
      </c>
      <c r="Z1105" s="2514">
        <f t="shared" si="865"/>
        <v>8327.5439528179249</v>
      </c>
      <c r="AA1105" s="2514">
        <f>AA1104+AA198</f>
        <v>8295.4830372087854</v>
      </c>
      <c r="AB1105" s="2505">
        <f t="shared" si="865"/>
        <v>8889.9412534425865</v>
      </c>
      <c r="AC1105" s="2505">
        <f t="shared" si="865"/>
        <v>9321.30359035119</v>
      </c>
      <c r="AD1105" s="2505">
        <f t="shared" si="865"/>
        <v>10173.262070201161</v>
      </c>
      <c r="AE1105" s="2505">
        <f t="shared" si="865"/>
        <v>7731.1901171209065</v>
      </c>
      <c r="AF1105" s="2505">
        <f t="shared" si="865"/>
        <v>11052.872095610417</v>
      </c>
      <c r="AG1105" s="2509">
        <f t="shared" si="865"/>
        <v>13462.295112843392</v>
      </c>
      <c r="AH1105" s="2509">
        <f t="shared" si="865"/>
        <v>14409.281201726384</v>
      </c>
      <c r="AI1105" s="1463">
        <f t="shared" si="865"/>
        <v>14712.846564146083</v>
      </c>
      <c r="AJ1105" s="1463">
        <f t="shared" si="865"/>
        <v>15681.397117005421</v>
      </c>
      <c r="AK1105" s="1463">
        <f t="shared" si="865"/>
        <v>17778.589801805068</v>
      </c>
      <c r="AL1105" s="1463">
        <f t="shared" si="865"/>
        <v>19295.2407022146</v>
      </c>
      <c r="AM1105" s="1463">
        <f t="shared" si="865"/>
        <v>21095.701565718999</v>
      </c>
      <c r="AN1105" s="1463">
        <f t="shared" si="865"/>
        <v>23321.688964703822</v>
      </c>
      <c r="AO1105" s="1935">
        <f t="shared" si="865"/>
        <v>25932.216337597209</v>
      </c>
      <c r="AP1105" s="1935">
        <f t="shared" si="865"/>
        <v>28915.837611162038</v>
      </c>
      <c r="AQ1105" s="1935">
        <f t="shared" si="865"/>
        <v>32237.589932743012</v>
      </c>
      <c r="AR1105" s="1935">
        <f t="shared" si="865"/>
        <v>36014.983188607323</v>
      </c>
      <c r="AS1105" s="1935">
        <f t="shared" si="865"/>
        <v>40212.70408085177</v>
      </c>
      <c r="AT1105" s="1935">
        <f t="shared" si="865"/>
        <v>44938.435640009942</v>
      </c>
      <c r="AU1105" s="701"/>
      <c r="AV1105" s="701"/>
      <c r="AW1105" s="701"/>
    </row>
    <row r="1106" spans="1:49">
      <c r="A1106" s="304"/>
      <c r="D1106" s="2492" t="s">
        <v>764</v>
      </c>
      <c r="E1106" s="3084"/>
      <c r="F1106" s="2963"/>
      <c r="G1106" s="2493"/>
      <c r="H1106" s="2493"/>
      <c r="I1106" s="2510"/>
      <c r="J1106" s="2514" t="e">
        <f t="shared" ref="J1106:U1106" si="866">J1105/J1075</f>
        <v>#DIV/0!</v>
      </c>
      <c r="K1106" s="2514">
        <f t="shared" si="866"/>
        <v>2509.974192745497</v>
      </c>
      <c r="L1106" s="2514">
        <f t="shared" si="866"/>
        <v>-58436.372916289023</v>
      </c>
      <c r="M1106" s="2514">
        <f t="shared" si="866"/>
        <v>642861.71482863673</v>
      </c>
      <c r="N1106" s="2514">
        <f t="shared" si="866"/>
        <v>103674.66290180104</v>
      </c>
      <c r="O1106" s="2514">
        <f t="shared" si="866"/>
        <v>18462.373442166725</v>
      </c>
      <c r="P1106" s="2514">
        <f t="shared" si="866"/>
        <v>12347.702679833388</v>
      </c>
      <c r="Q1106" s="2514">
        <f t="shared" si="866"/>
        <v>20667.874585443846</v>
      </c>
      <c r="R1106" s="2514">
        <f>R1105/R1075</f>
        <v>23105.805530241265</v>
      </c>
      <c r="S1106" s="2514">
        <f t="shared" si="866"/>
        <v>20464.257126655895</v>
      </c>
      <c r="T1106" s="2514">
        <f t="shared" si="866"/>
        <v>36490.021923816748</v>
      </c>
      <c r="U1106" s="2514">
        <f t="shared" si="866"/>
        <v>40236.238247936752</v>
      </c>
      <c r="V1106" s="2514">
        <f>V1105/V1076</f>
        <v>662.07926342810583</v>
      </c>
      <c r="W1106" s="2514">
        <f t="shared" ref="W1106:AG1106" si="867">W1105/W1076</f>
        <v>708.31917226859753</v>
      </c>
      <c r="X1106" s="2514">
        <f t="shared" si="867"/>
        <v>1377.234827036538</v>
      </c>
      <c r="Y1106" s="2514">
        <f t="shared" si="867"/>
        <v>722.46212823126689</v>
      </c>
      <c r="Z1106" s="2514">
        <f t="shared" si="867"/>
        <v>736.95079228477209</v>
      </c>
      <c r="AA1106" s="2514">
        <f>AA1105/AA1076</f>
        <v>721.34635106163353</v>
      </c>
      <c r="AB1106" s="2514">
        <f t="shared" si="867"/>
        <v>753.38485198665978</v>
      </c>
      <c r="AC1106" s="2514">
        <f t="shared" si="867"/>
        <v>770.35566862406529</v>
      </c>
      <c r="AD1106" s="2514">
        <f t="shared" si="867"/>
        <v>820.4243605000936</v>
      </c>
      <c r="AE1106" s="2514">
        <f t="shared" si="867"/>
        <v>608.75512733235485</v>
      </c>
      <c r="AF1106" s="2514">
        <f t="shared" si="867"/>
        <v>850.22093043157054</v>
      </c>
      <c r="AG1106" s="2514">
        <f t="shared" si="867"/>
        <v>1019.3510500701038</v>
      </c>
      <c r="AH1106" s="2514">
        <f t="shared" ref="AH1106:AT1106" si="868">AH1105/AH1076</f>
        <v>1067.3813615492413</v>
      </c>
      <c r="AI1106" s="1463">
        <f t="shared" si="868"/>
        <v>1066.2594863439806</v>
      </c>
      <c r="AJ1106" s="1463">
        <f t="shared" si="868"/>
        <v>1111.7643409257253</v>
      </c>
      <c r="AK1106" s="1463">
        <f t="shared" si="868"/>
        <v>1233.070537285141</v>
      </c>
      <c r="AL1106" s="1463">
        <f t="shared" si="868"/>
        <v>1309.2345380254167</v>
      </c>
      <c r="AM1106" s="1463">
        <f t="shared" si="868"/>
        <v>1400.4385105936547</v>
      </c>
      <c r="AN1106" s="1463">
        <f t="shared" si="868"/>
        <v>1514.8538765339185</v>
      </c>
      <c r="AO1106" s="1463">
        <f t="shared" si="868"/>
        <v>1648.3078789690655</v>
      </c>
      <c r="AP1106" s="1463">
        <f t="shared" si="868"/>
        <v>1798.776494865753</v>
      </c>
      <c r="AQ1106" s="1463">
        <f t="shared" si="868"/>
        <v>1962.9461306820099</v>
      </c>
      <c r="AR1106" s="1463">
        <f t="shared" si="868"/>
        <v>2146.8532468857538</v>
      </c>
      <c r="AS1106" s="1463">
        <f t="shared" si="868"/>
        <v>2347.1044848190477</v>
      </c>
      <c r="AT1106" s="1463">
        <f t="shared" si="868"/>
        <v>2568.7591792471526</v>
      </c>
    </row>
    <row r="1107" spans="1:49">
      <c r="A1107" s="304"/>
      <c r="B1107" s="294"/>
      <c r="D1107" s="2486" t="s">
        <v>1573</v>
      </c>
      <c r="E1107" s="2515" t="str">
        <f>+E1098</f>
        <v>new deflator</v>
      </c>
      <c r="F1107" s="2965"/>
      <c r="G1107" s="2516"/>
      <c r="H1107" s="2516"/>
      <c r="I1107" s="2517"/>
      <c r="J1107" s="2517">
        <f t="shared" ref="J1107:AM1107" si="869">+J932</f>
        <v>-5.9021725104933316E-2</v>
      </c>
      <c r="K1107" s="2517">
        <f t="shared" si="869"/>
        <v>0.14119489507326066</v>
      </c>
      <c r="L1107" s="2517">
        <f t="shared" si="869"/>
        <v>-0.10155494511280116</v>
      </c>
      <c r="M1107" s="2517">
        <f t="shared" si="869"/>
        <v>0.12488994928949569</v>
      </c>
      <c r="N1107" s="2517">
        <f t="shared" si="869"/>
        <v>7.5285504912388612E-2</v>
      </c>
      <c r="O1107" s="2517">
        <f t="shared" si="869"/>
        <v>0.10245782930883829</v>
      </c>
      <c r="P1107" s="2517">
        <f t="shared" si="869"/>
        <v>5.6075951070651664E-2</v>
      </c>
      <c r="Q1107" s="2517">
        <f t="shared" si="869"/>
        <v>0.12138244260886166</v>
      </c>
      <c r="R1107" s="2517">
        <f t="shared" si="869"/>
        <v>6.5793237144370575E-2</v>
      </c>
      <c r="S1107" s="2517">
        <f t="shared" si="869"/>
        <v>0.22322678116126582</v>
      </c>
      <c r="T1107" s="2517">
        <f t="shared" si="869"/>
        <v>5.736903261746007E-2</v>
      </c>
      <c r="U1107" s="2517">
        <f t="shared" si="869"/>
        <v>2.2675069879221077E-3</v>
      </c>
      <c r="V1107" s="2517">
        <f t="shared" si="869"/>
        <v>8.3355391639918092E-2</v>
      </c>
      <c r="W1107" s="2489">
        <f t="shared" si="869"/>
        <v>3.8845157048789547E-2</v>
      </c>
      <c r="X1107" s="2490">
        <f t="shared" si="869"/>
        <v>3.6000000000000004E-2</v>
      </c>
      <c r="Y1107" s="2490">
        <f t="shared" si="869"/>
        <v>2.1000000000000001E-2</v>
      </c>
      <c r="Z1107" s="2490">
        <f t="shared" si="869"/>
        <v>4.4999999999999998E-2</v>
      </c>
      <c r="AA1107" s="2490">
        <f t="shared" si="869"/>
        <v>7.2834999999999997E-2</v>
      </c>
      <c r="AB1107" s="2490">
        <f t="shared" si="869"/>
        <v>6.6540877038754331E-3</v>
      </c>
      <c r="AC1107" s="2490">
        <f t="shared" si="869"/>
        <v>1.0999999999999999E-2</v>
      </c>
      <c r="AD1107" s="2490">
        <f t="shared" si="869"/>
        <v>6.7309999999999995E-2</v>
      </c>
      <c r="AE1107" s="2490">
        <f t="shared" si="869"/>
        <v>3.74308209199119E-2</v>
      </c>
      <c r="AF1107" s="2490">
        <f t="shared" si="869"/>
        <v>1.8628873248091482E-2</v>
      </c>
      <c r="AG1107" s="2490">
        <f t="shared" si="869"/>
        <v>0.21631732425985128</v>
      </c>
      <c r="AH1107" s="2491">
        <f t="shared" si="869"/>
        <v>6.4478216181379056E-2</v>
      </c>
      <c r="AI1107" s="784">
        <f t="shared" si="869"/>
        <v>6.7787993314077033E-2</v>
      </c>
      <c r="AJ1107" s="814">
        <f t="shared" si="869"/>
        <v>8.8999999999999996E-2</v>
      </c>
      <c r="AK1107" s="814">
        <f t="shared" si="869"/>
        <v>0.08</v>
      </c>
      <c r="AL1107" s="814">
        <f t="shared" si="869"/>
        <v>0.03</v>
      </c>
      <c r="AM1107" s="814">
        <f t="shared" si="869"/>
        <v>0.05</v>
      </c>
      <c r="AN1107" s="814">
        <f t="shared" ref="AN1107:AT1107" si="870">+AN932</f>
        <v>0.05</v>
      </c>
      <c r="AO1107" s="1931">
        <f t="shared" si="870"/>
        <v>0.05</v>
      </c>
      <c r="AP1107" s="1931">
        <f t="shared" si="870"/>
        <v>0.05</v>
      </c>
      <c r="AQ1107" s="1931">
        <f t="shared" si="870"/>
        <v>0.05</v>
      </c>
      <c r="AR1107" s="1931">
        <f t="shared" si="870"/>
        <v>0.05</v>
      </c>
      <c r="AS1107" s="1931">
        <f t="shared" si="870"/>
        <v>0.05</v>
      </c>
      <c r="AT1107" s="1931">
        <f t="shared" si="870"/>
        <v>0.05</v>
      </c>
    </row>
    <row r="1108" spans="1:49">
      <c r="A1108" s="304"/>
      <c r="B1108" s="298"/>
      <c r="C1108" s="295" t="s">
        <v>30</v>
      </c>
      <c r="D1108" s="2486" t="s">
        <v>1574</v>
      </c>
      <c r="E1108" s="2515" t="str">
        <f>+E1098</f>
        <v>new deflator</v>
      </c>
      <c r="F1108" s="2965"/>
      <c r="G1108" s="2516"/>
      <c r="H1108" s="2516"/>
      <c r="I1108" s="2518"/>
      <c r="J1108" s="2518">
        <f t="shared" ref="J1108:AM1108" si="871">+J931</f>
        <v>-0.10228761707806999</v>
      </c>
      <c r="K1108" s="2518">
        <f t="shared" si="871"/>
        <v>2.1214788865460354E-2</v>
      </c>
      <c r="L1108" s="2518">
        <f t="shared" si="871"/>
        <v>1.1494230477025358E-2</v>
      </c>
      <c r="M1108" s="2518">
        <f t="shared" si="871"/>
        <v>-1.2501792998073302E-2</v>
      </c>
      <c r="N1108" s="2518">
        <f t="shared" si="871"/>
        <v>0.11744236377675076</v>
      </c>
      <c r="O1108" s="2518">
        <f t="shared" si="871"/>
        <v>0.11937808306006037</v>
      </c>
      <c r="P1108" s="2518">
        <f t="shared" si="871"/>
        <v>9.132697764056763E-2</v>
      </c>
      <c r="Q1108" s="2518">
        <f t="shared" si="871"/>
        <v>8.8313394380501897E-2</v>
      </c>
      <c r="R1108" s="2518">
        <f t="shared" si="871"/>
        <v>9.0809741086125495E-2</v>
      </c>
      <c r="S1108" s="2518">
        <f t="shared" si="871"/>
        <v>0.15441509649830398</v>
      </c>
      <c r="T1108" s="2518">
        <f t="shared" si="871"/>
        <v>0.10340221174350983</v>
      </c>
      <c r="U1108" s="2518">
        <f t="shared" si="871"/>
        <v>2.3073277314962892E-2</v>
      </c>
      <c r="V1108" s="2518">
        <f t="shared" si="871"/>
        <v>5.6675699845492297E-2</v>
      </c>
      <c r="W1108" s="2489">
        <f t="shared" si="871"/>
        <v>6.2863849450282228E-2</v>
      </c>
      <c r="X1108" s="2490">
        <f t="shared" si="871"/>
        <v>4.2000000000000003E-2</v>
      </c>
      <c r="Y1108" s="2490">
        <f t="shared" si="871"/>
        <v>1.784010267913394E-2</v>
      </c>
      <c r="Z1108" s="2490">
        <f t="shared" si="871"/>
        <v>2.5072988767667947E-2</v>
      </c>
      <c r="AA1108" s="2490">
        <f t="shared" si="871"/>
        <v>5.7234630000000002E-2</v>
      </c>
      <c r="AB1108" s="2490">
        <f t="shared" si="871"/>
        <v>4.8367798851274957E-2</v>
      </c>
      <c r="AC1108" s="2490">
        <f t="shared" si="871"/>
        <v>1.4E-2</v>
      </c>
      <c r="AD1108" s="2490">
        <f t="shared" si="871"/>
        <v>2.4299999999999999E-2</v>
      </c>
      <c r="AE1108" s="2490">
        <f t="shared" si="871"/>
        <v>7.7156235546899099E-2</v>
      </c>
      <c r="AF1108" s="2490">
        <f t="shared" si="871"/>
        <v>8.1775706194855413E-3</v>
      </c>
      <c r="AG1108" s="2490">
        <f t="shared" si="871"/>
        <v>0.13892335864190652</v>
      </c>
      <c r="AH1108" s="2491">
        <f t="shared" si="871"/>
        <v>0.14030353524911621</v>
      </c>
      <c r="AI1108" s="784">
        <f t="shared" si="871"/>
        <v>4.7622148458877703E-2</v>
      </c>
      <c r="AJ1108" s="814">
        <f t="shared" si="871"/>
        <v>7.0000000000000007E-2</v>
      </c>
      <c r="AK1108" s="814">
        <f t="shared" si="871"/>
        <v>9.35E-2</v>
      </c>
      <c r="AL1108" s="814">
        <f t="shared" si="871"/>
        <v>0.03</v>
      </c>
      <c r="AM1108" s="814">
        <f t="shared" si="871"/>
        <v>0.04</v>
      </c>
      <c r="AN1108" s="814">
        <f t="shared" ref="AN1108:AT1108" si="872">+AN931</f>
        <v>0.05</v>
      </c>
      <c r="AO1108" s="1931">
        <f t="shared" si="872"/>
        <v>0.05</v>
      </c>
      <c r="AP1108" s="1931">
        <f t="shared" si="872"/>
        <v>0.05</v>
      </c>
      <c r="AQ1108" s="1931">
        <f t="shared" si="872"/>
        <v>0.05</v>
      </c>
      <c r="AR1108" s="1931">
        <f t="shared" si="872"/>
        <v>0.05</v>
      </c>
      <c r="AS1108" s="1931">
        <f t="shared" si="872"/>
        <v>0.05</v>
      </c>
      <c r="AT1108" s="1931">
        <f t="shared" si="872"/>
        <v>0.05</v>
      </c>
    </row>
    <row r="1109" spans="1:49">
      <c r="A1109" s="304"/>
      <c r="B1109" s="298"/>
      <c r="D1109" s="812" t="s">
        <v>1721</v>
      </c>
      <c r="E1109" s="3085"/>
      <c r="F1109" s="2962"/>
      <c r="G1109" s="2488"/>
      <c r="H1109" s="2488"/>
      <c r="I1109" s="2519"/>
      <c r="J1109" s="2519">
        <f t="shared" ref="J1109:Y1109" si="873">+J791</f>
        <v>36</v>
      </c>
      <c r="K1109" s="2519">
        <f t="shared" si="873"/>
        <v>35</v>
      </c>
      <c r="L1109" s="2519">
        <f t="shared" si="873"/>
        <v>40</v>
      </c>
      <c r="M1109" s="2519">
        <f t="shared" si="873"/>
        <v>39</v>
      </c>
      <c r="N1109" s="2519">
        <f t="shared" si="873"/>
        <v>45</v>
      </c>
      <c r="O1109" s="2519">
        <f t="shared" si="873"/>
        <v>53</v>
      </c>
      <c r="P1109" s="2519">
        <f t="shared" si="873"/>
        <v>57</v>
      </c>
      <c r="Q1109" s="2519">
        <f t="shared" si="873"/>
        <v>26.85546875</v>
      </c>
      <c r="R1109" s="2519">
        <f t="shared" si="873"/>
        <v>28.736517719568567</v>
      </c>
      <c r="S1109" s="2519">
        <f t="shared" si="873"/>
        <v>35.359438924605499</v>
      </c>
      <c r="T1109" s="2519">
        <f t="shared" si="873"/>
        <v>38.56655290102389</v>
      </c>
      <c r="U1109" s="2519">
        <f t="shared" si="873"/>
        <v>38.938992042440319</v>
      </c>
      <c r="V1109" s="2519">
        <f t="shared" si="873"/>
        <v>41.913550267119959</v>
      </c>
      <c r="W1109" s="2520">
        <f t="shared" si="873"/>
        <v>43.543901470003973</v>
      </c>
      <c r="X1109" s="2520">
        <f t="shared" si="873"/>
        <v>45.551864156515322</v>
      </c>
      <c r="Y1109" s="2520">
        <f t="shared" si="873"/>
        <v>45.696291112666202</v>
      </c>
      <c r="Z1109" s="2520">
        <f t="shared" ref="Z1109:AM1109" si="874">+Z975</f>
        <v>44.256455921638462</v>
      </c>
      <c r="AA1109" s="2520">
        <f t="shared" si="874"/>
        <v>48.508891928864564</v>
      </c>
      <c r="AB1109" s="2520">
        <f t="shared" si="874"/>
        <v>52.011331444759215</v>
      </c>
      <c r="AC1109" s="2520">
        <f t="shared" si="874"/>
        <v>40.439978272677891</v>
      </c>
      <c r="AD1109" s="2520">
        <f t="shared" si="874"/>
        <v>42.439933719966859</v>
      </c>
      <c r="AE1109" s="2520">
        <f t="shared" si="874"/>
        <v>42.925316153662614</v>
      </c>
      <c r="AF1109" s="2520">
        <f t="shared" si="874"/>
        <v>79.07723169508526</v>
      </c>
      <c r="AG1109" s="2521">
        <f t="shared" si="874"/>
        <v>92.144702842377257</v>
      </c>
      <c r="AH1109" s="2521">
        <f t="shared" si="874"/>
        <v>95.810866860223982</v>
      </c>
      <c r="AI1109" s="3250">
        <f t="shared" si="874"/>
        <v>102.24992834623102</v>
      </c>
      <c r="AJ1109" s="3251">
        <f t="shared" si="874"/>
        <v>106.16972770411735</v>
      </c>
      <c r="AK1109" s="3251">
        <f t="shared" si="874"/>
        <v>113.4164867701038</v>
      </c>
      <c r="AL1109" s="3251">
        <f t="shared" si="874"/>
        <v>117.47794111029964</v>
      </c>
      <c r="AM1109" s="3251">
        <f t="shared" si="874"/>
        <v>122.87486437880443</v>
      </c>
      <c r="AN1109" s="3251">
        <f t="shared" ref="AN1109:AT1109" si="875">+AN975</f>
        <v>128.82828126673488</v>
      </c>
      <c r="AO1109" s="1936">
        <f t="shared" si="875"/>
        <v>134.70717136248754</v>
      </c>
      <c r="AP1109" s="1936">
        <f t="shared" si="875"/>
        <v>137.95849756304915</v>
      </c>
      <c r="AQ1109" s="1936">
        <f t="shared" si="875"/>
        <v>144.20629714417768</v>
      </c>
      <c r="AR1109" s="1936">
        <f t="shared" si="875"/>
        <v>150.70221805413783</v>
      </c>
      <c r="AS1109" s="1936">
        <f t="shared" si="875"/>
        <v>157.81183857411909</v>
      </c>
      <c r="AT1109" s="1936">
        <f t="shared" si="875"/>
        <v>165.64036378076938</v>
      </c>
    </row>
    <row r="1110" spans="1:49">
      <c r="A1110" s="304"/>
      <c r="B1110" s="298"/>
      <c r="D1110" s="812" t="s">
        <v>1722</v>
      </c>
      <c r="E1110" s="3085"/>
      <c r="F1110" s="2962"/>
      <c r="G1110" s="2488"/>
      <c r="H1110" s="2488"/>
      <c r="I1110" s="2519"/>
      <c r="J1110" s="2519">
        <f t="shared" ref="J1110:U1110" si="876">+J1109</f>
        <v>36</v>
      </c>
      <c r="K1110" s="2519">
        <f t="shared" si="876"/>
        <v>35</v>
      </c>
      <c r="L1110" s="2519">
        <f t="shared" si="876"/>
        <v>40</v>
      </c>
      <c r="M1110" s="2519">
        <f t="shared" si="876"/>
        <v>39</v>
      </c>
      <c r="N1110" s="2519">
        <f t="shared" si="876"/>
        <v>45</v>
      </c>
      <c r="O1110" s="2519">
        <f t="shared" si="876"/>
        <v>53</v>
      </c>
      <c r="P1110" s="2519">
        <f t="shared" si="876"/>
        <v>57</v>
      </c>
      <c r="Q1110" s="2519">
        <f t="shared" si="876"/>
        <v>26.85546875</v>
      </c>
      <c r="R1110" s="2519">
        <f t="shared" si="876"/>
        <v>28.736517719568567</v>
      </c>
      <c r="S1110" s="2519">
        <f t="shared" si="876"/>
        <v>35.359438924605499</v>
      </c>
      <c r="T1110" s="2519">
        <f t="shared" si="876"/>
        <v>38.56655290102389</v>
      </c>
      <c r="U1110" s="2519">
        <f t="shared" si="876"/>
        <v>38.938992042440319</v>
      </c>
      <c r="V1110" s="2519">
        <f>+V1109</f>
        <v>41.913550267119959</v>
      </c>
      <c r="W1110" s="2520">
        <f>+W1109</f>
        <v>43.543901470003973</v>
      </c>
      <c r="X1110" s="2520">
        <f>+X1109</f>
        <v>45.551864156515322</v>
      </c>
      <c r="Y1110" s="2520">
        <f>+Y1109</f>
        <v>45.696291112666202</v>
      </c>
      <c r="Z1110" s="2520">
        <f t="shared" ref="Z1110:AM1110" si="877">+Z978</f>
        <v>45.450234298377424</v>
      </c>
      <c r="AA1110" s="2520">
        <f t="shared" si="877"/>
        <v>48.895633788084467</v>
      </c>
      <c r="AB1110" s="2520">
        <f t="shared" si="877"/>
        <v>51.490565439891014</v>
      </c>
      <c r="AC1110" s="2520">
        <f t="shared" si="877"/>
        <v>46.312240092538133</v>
      </c>
      <c r="AD1110" s="2520">
        <f t="shared" si="877"/>
        <v>47.426047625211986</v>
      </c>
      <c r="AE1110" s="2520">
        <f t="shared" si="877"/>
        <v>51.125110024049285</v>
      </c>
      <c r="AF1110" s="2520">
        <f t="shared" si="877"/>
        <v>73.804262136495609</v>
      </c>
      <c r="AG1110" s="2521">
        <f t="shared" si="877"/>
        <v>84.015125531920319</v>
      </c>
      <c r="AH1110" s="2521">
        <f t="shared" si="877"/>
        <v>92.16010016340266</v>
      </c>
      <c r="AI1110" s="3250">
        <f t="shared" si="877"/>
        <v>100.29727710539916</v>
      </c>
      <c r="AJ1110" s="3251">
        <f t="shared" si="877"/>
        <v>106.20849546974104</v>
      </c>
      <c r="AK1110" s="3251">
        <f t="shared" si="877"/>
        <v>113.29987159149724</v>
      </c>
      <c r="AL1110" s="3251">
        <f t="shared" si="877"/>
        <v>117.39847169568912</v>
      </c>
      <c r="AM1110" s="3251">
        <f t="shared" si="877"/>
        <v>122.83482421963672</v>
      </c>
      <c r="AN1110" s="3251">
        <f t="shared" ref="AN1110:AT1110" si="878">+AN978</f>
        <v>128.77473184753515</v>
      </c>
      <c r="AO1110" s="1936">
        <f t="shared" si="878"/>
        <v>134.61684848438156</v>
      </c>
      <c r="AP1110" s="1936">
        <f t="shared" si="878"/>
        <v>137.65095937254728</v>
      </c>
      <c r="AQ1110" s="1936">
        <f t="shared" si="878"/>
        <v>143.84181200819404</v>
      </c>
      <c r="AR1110" s="1936">
        <f t="shared" si="878"/>
        <v>150.27340035707044</v>
      </c>
      <c r="AS1110" s="1936">
        <f t="shared" si="878"/>
        <v>157.33383809977329</v>
      </c>
      <c r="AT1110" s="1936">
        <f t="shared" si="878"/>
        <v>165.13439242864285</v>
      </c>
    </row>
    <row r="1111" spans="1:49">
      <c r="A1111" s="304" t="s">
        <v>304</v>
      </c>
      <c r="B1111" s="669"/>
      <c r="D1111" s="2486" t="s">
        <v>1723</v>
      </c>
      <c r="E1111" s="2524" t="s">
        <v>369</v>
      </c>
      <c r="F1111" s="2962"/>
      <c r="G1111" s="2488"/>
      <c r="H1111" s="2488"/>
      <c r="I1111" s="2522"/>
      <c r="J1111" s="2522">
        <f t="shared" ref="J1111:Y1111" si="879">J764</f>
        <v>2095</v>
      </c>
      <c r="K1111" s="2522">
        <f t="shared" si="879"/>
        <v>2323</v>
      </c>
      <c r="L1111" s="2522">
        <f t="shared" si="879"/>
        <v>2439</v>
      </c>
      <c r="M1111" s="2522">
        <f t="shared" si="879"/>
        <v>2772</v>
      </c>
      <c r="N1111" s="2522">
        <f t="shared" si="879"/>
        <v>2704</v>
      </c>
      <c r="O1111" s="2522">
        <f t="shared" si="879"/>
        <v>2897</v>
      </c>
      <c r="P1111" s="2522">
        <f t="shared" si="879"/>
        <v>3152</v>
      </c>
      <c r="Q1111" s="2522">
        <f t="shared" si="879"/>
        <v>6207</v>
      </c>
      <c r="R1111" s="2522">
        <f t="shared" si="879"/>
        <v>6216</v>
      </c>
      <c r="S1111" s="2522">
        <f t="shared" si="879"/>
        <v>6622</v>
      </c>
      <c r="T1111" s="2522">
        <f t="shared" si="879"/>
        <v>7490</v>
      </c>
      <c r="U1111" s="2522">
        <f t="shared" si="879"/>
        <v>7881</v>
      </c>
      <c r="V1111" s="2522">
        <f t="shared" si="879"/>
        <v>8568</v>
      </c>
      <c r="W1111" s="2522">
        <f t="shared" si="879"/>
        <v>9399</v>
      </c>
      <c r="X1111" s="2522">
        <f t="shared" si="879"/>
        <v>9692</v>
      </c>
      <c r="Y1111" s="2522">
        <f t="shared" si="879"/>
        <v>10647</v>
      </c>
      <c r="Z1111" s="2522">
        <f>+Z1112+Z1113</f>
        <v>12198</v>
      </c>
      <c r="AA1111" s="2522">
        <f>+AA1112+AA1113</f>
        <v>12737</v>
      </c>
      <c r="AB1111" s="2522">
        <f>+AB1112+AB1113</f>
        <v>12301</v>
      </c>
      <c r="AC1111" s="2522">
        <f>+AC1112+AC1113</f>
        <v>13259</v>
      </c>
      <c r="AD1111" s="2522">
        <f>+AD1112+AD1113</f>
        <v>13870</v>
      </c>
      <c r="AE1111" s="2522">
        <f t="shared" ref="AE1111:AI1111" si="880">+AE1112+AE1113</f>
        <v>14386</v>
      </c>
      <c r="AF1111" s="2522">
        <f t="shared" si="880"/>
        <v>14930</v>
      </c>
      <c r="AG1111" s="2523">
        <f>+AG1112+AG1113</f>
        <v>13989</v>
      </c>
      <c r="AH1111" s="2523">
        <f t="shared" si="880"/>
        <v>15214</v>
      </c>
      <c r="AI1111" s="788">
        <f t="shared" si="880"/>
        <v>16189</v>
      </c>
      <c r="AJ1111" s="688">
        <f>+AJ1112+AJ1113</f>
        <v>16701.12006922649</v>
      </c>
      <c r="AK1111" s="688">
        <f t="shared" ref="AK1111:AT1111" si="881">+AK1112+AK1113</f>
        <v>18074.62344878271</v>
      </c>
      <c r="AL1111" s="688">
        <f t="shared" si="881"/>
        <v>19528.41903773068</v>
      </c>
      <c r="AM1111" s="688">
        <f t="shared" si="881"/>
        <v>20905.710907906909</v>
      </c>
      <c r="AN1111" s="688">
        <f t="shared" si="881"/>
        <v>22249.705508130479</v>
      </c>
      <c r="AO1111" s="1937">
        <f t="shared" si="881"/>
        <v>24613.959993086668</v>
      </c>
      <c r="AP1111" s="1937">
        <f>+AP1112+AP1113</f>
        <v>27080.269388067405</v>
      </c>
      <c r="AQ1111" s="1937">
        <f t="shared" si="881"/>
        <v>29597.807265403855</v>
      </c>
      <c r="AR1111" s="1937">
        <f t="shared" si="881"/>
        <v>32319.286120435485</v>
      </c>
      <c r="AS1111" s="1937">
        <f t="shared" si="881"/>
        <v>35016.630293965776</v>
      </c>
      <c r="AT1111" s="1937">
        <f t="shared" si="881"/>
        <v>37888.803094392242</v>
      </c>
    </row>
    <row r="1112" spans="1:49">
      <c r="A1112" s="304"/>
      <c r="B1112" s="294"/>
      <c r="D1112" s="2486" t="s">
        <v>198</v>
      </c>
      <c r="E1112" s="2524"/>
      <c r="F1112" s="2962"/>
      <c r="G1112" s="2488"/>
      <c r="H1112" s="2488"/>
      <c r="I1112" s="2522"/>
      <c r="J1112" s="2522">
        <f t="shared" ref="J1112:Y1112" si="882">J765</f>
        <v>266</v>
      </c>
      <c r="K1112" s="2522">
        <f t="shared" si="882"/>
        <v>277</v>
      </c>
      <c r="L1112" s="2522">
        <f t="shared" si="882"/>
        <v>303</v>
      </c>
      <c r="M1112" s="2522">
        <f t="shared" si="882"/>
        <v>345</v>
      </c>
      <c r="N1112" s="2522">
        <f t="shared" si="882"/>
        <v>386</v>
      </c>
      <c r="O1112" s="2522">
        <f t="shared" si="882"/>
        <v>423</v>
      </c>
      <c r="P1112" s="2522">
        <f t="shared" si="882"/>
        <v>463</v>
      </c>
      <c r="Q1112" s="2522">
        <f t="shared" si="882"/>
        <v>816</v>
      </c>
      <c r="R1112" s="2522">
        <f t="shared" si="882"/>
        <v>824</v>
      </c>
      <c r="S1112" s="2522">
        <f t="shared" si="882"/>
        <v>841</v>
      </c>
      <c r="T1112" s="2522">
        <f t="shared" si="882"/>
        <v>941</v>
      </c>
      <c r="U1112" s="2522">
        <f t="shared" si="882"/>
        <v>1039</v>
      </c>
      <c r="V1112" s="2522">
        <f t="shared" si="882"/>
        <v>1077</v>
      </c>
      <c r="W1112" s="2522">
        <f t="shared" si="882"/>
        <v>1247</v>
      </c>
      <c r="X1112" s="2522">
        <f t="shared" si="882"/>
        <v>1244</v>
      </c>
      <c r="Y1112" s="2522">
        <f t="shared" si="882"/>
        <v>1504</v>
      </c>
      <c r="Z1112" s="2522">
        <f t="shared" ref="Z1112:AM1112" si="883">+Z860</f>
        <v>1580</v>
      </c>
      <c r="AA1112" s="2522">
        <f t="shared" si="883"/>
        <v>1725</v>
      </c>
      <c r="AB1112" s="2522">
        <f t="shared" si="883"/>
        <v>1851</v>
      </c>
      <c r="AC1112" s="2522">
        <f t="shared" si="883"/>
        <v>1945</v>
      </c>
      <c r="AD1112" s="2522">
        <f t="shared" si="883"/>
        <v>2286</v>
      </c>
      <c r="AE1112" s="2522">
        <f t="shared" si="883"/>
        <v>2327</v>
      </c>
      <c r="AF1112" s="2522">
        <f t="shared" si="883"/>
        <v>2649</v>
      </c>
      <c r="AG1112" s="2523">
        <f t="shared" si="883"/>
        <v>2911</v>
      </c>
      <c r="AH1112" s="2523">
        <f t="shared" si="883"/>
        <v>2967</v>
      </c>
      <c r="AI1112" s="788">
        <f t="shared" si="883"/>
        <v>3408</v>
      </c>
      <c r="AJ1112" s="688">
        <f t="shared" si="883"/>
        <v>3655.4759807382015</v>
      </c>
      <c r="AK1112" s="688">
        <f t="shared" si="883"/>
        <v>3676.7112584171959</v>
      </c>
      <c r="AL1112" s="688">
        <f t="shared" si="883"/>
        <v>3924.6610609138183</v>
      </c>
      <c r="AM1112" s="688">
        <f t="shared" si="883"/>
        <v>4146.2967862169062</v>
      </c>
      <c r="AN1112" s="688">
        <f t="shared" ref="AN1112:AT1112" si="884">+AN860</f>
        <v>4372.044012834438</v>
      </c>
      <c r="AO1112" s="1937">
        <f t="shared" si="884"/>
        <v>6680.6307262227692</v>
      </c>
      <c r="AP1112" s="1937">
        <f t="shared" si="884"/>
        <v>7023.4117484674935</v>
      </c>
      <c r="AQ1112" s="1937">
        <f t="shared" si="884"/>
        <v>7583.4592789566796</v>
      </c>
      <c r="AR1112" s="1937">
        <f t="shared" si="884"/>
        <v>8351.8608190864143</v>
      </c>
      <c r="AS1112" s="1937">
        <f t="shared" si="884"/>
        <v>9934.3069693595426</v>
      </c>
      <c r="AT1112" s="1937">
        <f t="shared" si="884"/>
        <v>12637.083276055591</v>
      </c>
    </row>
    <row r="1113" spans="1:49">
      <c r="A1113" s="304"/>
      <c r="B1113" s="294"/>
      <c r="D1113" s="2486" t="s">
        <v>628</v>
      </c>
      <c r="E1113" s="2524"/>
      <c r="F1113" s="2965"/>
      <c r="G1113" s="2516"/>
      <c r="H1113" s="2516"/>
      <c r="I1113" s="2522"/>
      <c r="J1113" s="2522">
        <f t="shared" ref="J1113:Y1113" si="885">J766</f>
        <v>1829</v>
      </c>
      <c r="K1113" s="2522">
        <f t="shared" si="885"/>
        <v>2046</v>
      </c>
      <c r="L1113" s="2522">
        <f t="shared" si="885"/>
        <v>2136</v>
      </c>
      <c r="M1113" s="2522">
        <f t="shared" si="885"/>
        <v>2427</v>
      </c>
      <c r="N1113" s="2522">
        <f t="shared" si="885"/>
        <v>2318</v>
      </c>
      <c r="O1113" s="2522">
        <f t="shared" si="885"/>
        <v>2474</v>
      </c>
      <c r="P1113" s="2522">
        <f t="shared" si="885"/>
        <v>2689</v>
      </c>
      <c r="Q1113" s="2522">
        <f t="shared" si="885"/>
        <v>5390</v>
      </c>
      <c r="R1113" s="2522">
        <f t="shared" si="885"/>
        <v>5391</v>
      </c>
      <c r="S1113" s="2522">
        <f t="shared" si="885"/>
        <v>5780</v>
      </c>
      <c r="T1113" s="2522">
        <f t="shared" si="885"/>
        <v>6549</v>
      </c>
      <c r="U1113" s="2522">
        <f t="shared" si="885"/>
        <v>6842</v>
      </c>
      <c r="V1113" s="2522">
        <f t="shared" si="885"/>
        <v>7491</v>
      </c>
      <c r="W1113" s="2522">
        <f t="shared" si="885"/>
        <v>8152</v>
      </c>
      <c r="X1113" s="2522">
        <f t="shared" si="885"/>
        <v>8447</v>
      </c>
      <c r="Y1113" s="2522">
        <f t="shared" si="885"/>
        <v>9144</v>
      </c>
      <c r="Z1113" s="2522">
        <f t="shared" ref="Z1113:AM1113" si="886">+Z863</f>
        <v>10618</v>
      </c>
      <c r="AA1113" s="2522">
        <f t="shared" si="886"/>
        <v>11012</v>
      </c>
      <c r="AB1113" s="2522">
        <f t="shared" si="886"/>
        <v>10450</v>
      </c>
      <c r="AC1113" s="2522">
        <f t="shared" si="886"/>
        <v>11314</v>
      </c>
      <c r="AD1113" s="2522">
        <f t="shared" si="886"/>
        <v>11584</v>
      </c>
      <c r="AE1113" s="2522">
        <f t="shared" si="886"/>
        <v>12059</v>
      </c>
      <c r="AF1113" s="2522">
        <f t="shared" si="886"/>
        <v>12281</v>
      </c>
      <c r="AG1113" s="2523">
        <f t="shared" si="886"/>
        <v>11078</v>
      </c>
      <c r="AH1113" s="2523">
        <f t="shared" si="886"/>
        <v>12247</v>
      </c>
      <c r="AI1113" s="788">
        <f t="shared" si="886"/>
        <v>12781</v>
      </c>
      <c r="AJ1113" s="688">
        <f t="shared" si="886"/>
        <v>13045.644088488287</v>
      </c>
      <c r="AK1113" s="688">
        <f t="shared" si="886"/>
        <v>14397.912190365512</v>
      </c>
      <c r="AL1113" s="688">
        <f t="shared" si="886"/>
        <v>15603.757976816863</v>
      </c>
      <c r="AM1113" s="688">
        <f t="shared" si="886"/>
        <v>16759.414121690003</v>
      </c>
      <c r="AN1113" s="688">
        <f t="shared" ref="AN1113:AT1114" si="887">+AN863</f>
        <v>17877.661495296041</v>
      </c>
      <c r="AO1113" s="1937">
        <f t="shared" si="887"/>
        <v>17933.329266863897</v>
      </c>
      <c r="AP1113" s="1937">
        <f t="shared" si="887"/>
        <v>20056.857639599912</v>
      </c>
      <c r="AQ1113" s="1937">
        <f t="shared" si="887"/>
        <v>22014.347986447174</v>
      </c>
      <c r="AR1113" s="1937">
        <f t="shared" si="887"/>
        <v>23967.425301349071</v>
      </c>
      <c r="AS1113" s="1937">
        <f t="shared" si="887"/>
        <v>25082.323324606237</v>
      </c>
      <c r="AT1113" s="1937">
        <f t="shared" si="887"/>
        <v>25251.719818336653</v>
      </c>
    </row>
    <row r="1114" spans="1:49">
      <c r="A1114" s="304" t="str">
        <f>+A1111</f>
        <v>NA NISR</v>
      </c>
      <c r="B1114" s="667"/>
      <c r="C1114" s="667"/>
      <c r="D1114" s="812" t="s">
        <v>1720</v>
      </c>
      <c r="E1114" s="2524"/>
      <c r="F1114" s="2962"/>
      <c r="G1114" s="2488"/>
      <c r="H1114" s="2488"/>
      <c r="I1114" s="2525"/>
      <c r="J1114" s="2525">
        <f t="shared" ref="J1114:Y1114" si="888">+J864</f>
        <v>241</v>
      </c>
      <c r="K1114" s="2525">
        <f t="shared" si="888"/>
        <v>282</v>
      </c>
      <c r="L1114" s="2525">
        <f t="shared" si="888"/>
        <v>282</v>
      </c>
      <c r="M1114" s="2525">
        <f t="shared" si="888"/>
        <v>304</v>
      </c>
      <c r="N1114" s="2525">
        <f t="shared" si="888"/>
        <v>334</v>
      </c>
      <c r="O1114" s="2525">
        <f t="shared" si="888"/>
        <v>373</v>
      </c>
      <c r="P1114" s="2525">
        <f t="shared" si="888"/>
        <v>433</v>
      </c>
      <c r="Q1114" s="2525">
        <f t="shared" si="888"/>
        <v>1024</v>
      </c>
      <c r="R1114" s="2525">
        <f t="shared" si="888"/>
        <v>1298</v>
      </c>
      <c r="S1114" s="2525">
        <f t="shared" si="888"/>
        <v>1711</v>
      </c>
      <c r="T1114" s="2525">
        <f t="shared" si="888"/>
        <v>1758</v>
      </c>
      <c r="U1114" s="2525">
        <f t="shared" si="888"/>
        <v>1885</v>
      </c>
      <c r="V1114" s="2525">
        <f t="shared" si="888"/>
        <v>2059</v>
      </c>
      <c r="W1114" s="2525">
        <f t="shared" si="888"/>
        <v>2517</v>
      </c>
      <c r="X1114" s="2525">
        <f t="shared" si="888"/>
        <v>2709</v>
      </c>
      <c r="Y1114" s="2525">
        <f t="shared" si="888"/>
        <v>2858</v>
      </c>
      <c r="Z1114" s="2525">
        <f t="shared" ref="Z1114:AM1114" si="889">+Z864</f>
        <v>3369</v>
      </c>
      <c r="AA1114" s="2525">
        <f t="shared" si="889"/>
        <v>3655</v>
      </c>
      <c r="AB1114" s="2525">
        <f t="shared" si="889"/>
        <v>3530</v>
      </c>
      <c r="AC1114" s="2525">
        <f t="shared" si="889"/>
        <v>3682</v>
      </c>
      <c r="AD1114" s="2525">
        <f t="shared" si="889"/>
        <v>4828</v>
      </c>
      <c r="AE1114" s="2525">
        <f t="shared" si="889"/>
        <v>4191</v>
      </c>
      <c r="AF1114" s="2525">
        <f t="shared" si="889"/>
        <v>4985</v>
      </c>
      <c r="AG1114" s="2525">
        <f t="shared" si="889"/>
        <v>5805</v>
      </c>
      <c r="AH1114" s="2523">
        <f t="shared" si="889"/>
        <v>7233</v>
      </c>
      <c r="AI1114" s="688">
        <f t="shared" si="889"/>
        <v>6978</v>
      </c>
      <c r="AJ1114" s="688">
        <f t="shared" si="889"/>
        <v>7772.2621477707926</v>
      </c>
      <c r="AK1114" s="688">
        <f t="shared" si="889"/>
        <v>8998.8160313278058</v>
      </c>
      <c r="AL1114" s="688">
        <f t="shared" si="889"/>
        <v>9866.7814835142381</v>
      </c>
      <c r="AM1114" s="688">
        <f t="shared" si="889"/>
        <v>10019.147771206392</v>
      </c>
      <c r="AN1114" s="688">
        <f t="shared" si="887"/>
        <v>10631.634286217657</v>
      </c>
      <c r="AO1114" s="1938">
        <f t="shared" si="887"/>
        <v>10786.474035100731</v>
      </c>
      <c r="AP1114" s="1938">
        <f t="shared" si="887"/>
        <v>11145.381690705977</v>
      </c>
      <c r="AQ1114" s="1938">
        <f t="shared" si="887"/>
        <v>11614.814575334856</v>
      </c>
      <c r="AR1114" s="1938">
        <f t="shared" si="887"/>
        <v>12239.139020034403</v>
      </c>
      <c r="AS1114" s="1938">
        <f t="shared" si="887"/>
        <v>13198.561726030261</v>
      </c>
      <c r="AT1114" s="1938">
        <f t="shared" si="887"/>
        <v>14543.98347215202</v>
      </c>
    </row>
    <row r="1115" spans="1:49">
      <c r="A1115" s="304"/>
      <c r="B1115" s="667"/>
      <c r="D1115" s="2526" t="s">
        <v>420</v>
      </c>
      <c r="E1115" s="2524"/>
      <c r="F1115" s="2962"/>
      <c r="G1115" s="2488"/>
      <c r="H1115" s="2488"/>
      <c r="I1115" s="2527"/>
      <c r="J1115" s="2527">
        <f t="shared" ref="J1115:Y1115" si="890">+J743</f>
        <v>-129.72902595625001</v>
      </c>
      <c r="K1115" s="2527">
        <f t="shared" si="890"/>
        <v>-133.36549013464287</v>
      </c>
      <c r="L1115" s="2527">
        <f t="shared" si="890"/>
        <v>-108.462796875</v>
      </c>
      <c r="M1115" s="2527">
        <f t="shared" si="890"/>
        <v>-107.79245192307694</v>
      </c>
      <c r="N1115" s="2527">
        <f t="shared" si="890"/>
        <v>-100.58066666666667</v>
      </c>
      <c r="O1115" s="2527">
        <f t="shared" si="890"/>
        <v>-114.78087472641509</v>
      </c>
      <c r="P1115" s="2527">
        <f t="shared" si="890"/>
        <v>-141.0142655338816</v>
      </c>
      <c r="Q1115" s="2527">
        <f t="shared" si="890"/>
        <v>674.71109027165096</v>
      </c>
      <c r="R1115" s="2527">
        <f t="shared" si="890"/>
        <v>880.41286863270773</v>
      </c>
      <c r="S1115" s="2527">
        <f t="shared" si="890"/>
        <v>1186.1401446280991</v>
      </c>
      <c r="T1115" s="2527">
        <f t="shared" si="890"/>
        <v>1151.8400442477875</v>
      </c>
      <c r="U1115" s="2527">
        <f t="shared" si="890"/>
        <v>1320.2289618931084</v>
      </c>
      <c r="V1115" s="2527">
        <f t="shared" si="890"/>
        <v>1431.0063534627018</v>
      </c>
      <c r="W1115" s="2527">
        <f t="shared" si="890"/>
        <v>1731.3099698401043</v>
      </c>
      <c r="X1115" s="2527">
        <f t="shared" si="890"/>
        <v>1751.1380122059518</v>
      </c>
      <c r="Y1115" s="2527">
        <f t="shared" si="890"/>
        <v>1684.9936126949799</v>
      </c>
      <c r="Z1115" s="2527">
        <f t="shared" ref="Z1115:AM1115" si="891">+Z866</f>
        <v>2163.5184530444435</v>
      </c>
      <c r="AA1115" s="2527">
        <f t="shared" si="891"/>
        <v>2567.7906222412239</v>
      </c>
      <c r="AB1115" s="2527">
        <f t="shared" si="891"/>
        <v>2461.0373547922022</v>
      </c>
      <c r="AC1115" s="2527">
        <f t="shared" si="891"/>
        <v>2003.3222661302432</v>
      </c>
      <c r="AD1115" s="2527">
        <f t="shared" si="891"/>
        <v>2880.9293155028572</v>
      </c>
      <c r="AE1115" s="2527">
        <f t="shared" si="891"/>
        <v>1910.8880271805717</v>
      </c>
      <c r="AF1115" s="2527">
        <f t="shared" si="891"/>
        <v>3481.5091076413055</v>
      </c>
      <c r="AG1115" s="2528">
        <f t="shared" si="891"/>
        <v>4384.707473875329</v>
      </c>
      <c r="AH1115" s="2528">
        <f t="shared" si="891"/>
        <v>5762.3765802920507</v>
      </c>
      <c r="AI1115" s="788">
        <f t="shared" si="891"/>
        <v>5511.8125101505984</v>
      </c>
      <c r="AJ1115" s="688">
        <f t="shared" si="891"/>
        <v>6290.3029362285697</v>
      </c>
      <c r="AK1115" s="688">
        <f t="shared" si="891"/>
        <v>7432.9999768858597</v>
      </c>
      <c r="AL1115" s="688">
        <f t="shared" si="891"/>
        <v>8101.3976684807303</v>
      </c>
      <c r="AM1115" s="688">
        <f t="shared" si="891"/>
        <v>8069.4580106518706</v>
      </c>
      <c r="AN1115" s="688">
        <f t="shared" ref="AN1115:AT1115" si="892">+AN866</f>
        <v>8525.3966612878285</v>
      </c>
      <c r="AO1115" s="1937">
        <f t="shared" si="892"/>
        <v>8599.7053300015832</v>
      </c>
      <c r="AP1115" s="1937">
        <f t="shared" si="892"/>
        <v>8821.7952080613577</v>
      </c>
      <c r="AQ1115" s="1937">
        <f t="shared" si="892"/>
        <v>9066.7478700244665</v>
      </c>
      <c r="AR1115" s="1937">
        <f t="shared" si="892"/>
        <v>9335.3177746364981</v>
      </c>
      <c r="AS1115" s="1937">
        <f t="shared" si="892"/>
        <v>9630.9187372930464</v>
      </c>
      <c r="AT1115" s="1937">
        <f t="shared" si="892"/>
        <v>9955.0940051677226</v>
      </c>
    </row>
    <row r="1116" spans="1:49">
      <c r="A1116" s="304"/>
      <c r="B1116" s="667"/>
      <c r="D1116" s="2486" t="s">
        <v>1645</v>
      </c>
      <c r="E1116" s="3086" t="s">
        <v>1644</v>
      </c>
      <c r="F1116" s="2962"/>
      <c r="G1116" s="2486"/>
      <c r="H1116" s="2486"/>
      <c r="I1116" s="2522"/>
      <c r="J1116" s="2522">
        <f t="shared" ref="J1116:AM1116" si="893">J737+J743</f>
        <v>0</v>
      </c>
      <c r="K1116" s="2522">
        <f t="shared" si="893"/>
        <v>0</v>
      </c>
      <c r="L1116" s="2522">
        <f t="shared" si="893"/>
        <v>0</v>
      </c>
      <c r="M1116" s="2522">
        <f t="shared" si="893"/>
        <v>0</v>
      </c>
      <c r="N1116" s="2522">
        <f t="shared" si="893"/>
        <v>0</v>
      </c>
      <c r="O1116" s="2522">
        <f t="shared" si="893"/>
        <v>0</v>
      </c>
      <c r="P1116" s="2522">
        <f t="shared" si="893"/>
        <v>0</v>
      </c>
      <c r="Q1116" s="2522">
        <f t="shared" si="893"/>
        <v>1024</v>
      </c>
      <c r="R1116" s="2522">
        <f t="shared" si="893"/>
        <v>1298</v>
      </c>
      <c r="S1116" s="2522">
        <f t="shared" si="893"/>
        <v>1710.9999999999998</v>
      </c>
      <c r="T1116" s="2522">
        <f t="shared" si="893"/>
        <v>1758</v>
      </c>
      <c r="U1116" s="2522">
        <f t="shared" si="893"/>
        <v>1885</v>
      </c>
      <c r="V1116" s="2522">
        <f t="shared" si="893"/>
        <v>2059</v>
      </c>
      <c r="W1116" s="2522">
        <f t="shared" si="893"/>
        <v>2517</v>
      </c>
      <c r="X1116" s="2522">
        <f t="shared" si="893"/>
        <v>2709</v>
      </c>
      <c r="Y1116" s="2522">
        <f t="shared" si="893"/>
        <v>2858</v>
      </c>
      <c r="Z1116" s="2522">
        <f t="shared" si="893"/>
        <v>3234.8601459411025</v>
      </c>
      <c r="AA1116" s="2522">
        <f t="shared" si="893"/>
        <v>3376.2961673259947</v>
      </c>
      <c r="AB1116" s="2522">
        <f t="shared" si="893"/>
        <v>3515.1749999999997</v>
      </c>
      <c r="AC1116" s="2522">
        <f t="shared" si="893"/>
        <v>3619.8440460000002</v>
      </c>
      <c r="AD1116" s="2522">
        <f t="shared" si="893"/>
        <v>4802.4650000000001</v>
      </c>
      <c r="AE1116" s="2522">
        <f t="shared" si="893"/>
        <v>4113.8279999999995</v>
      </c>
      <c r="AF1116" s="2522">
        <f t="shared" si="893"/>
        <v>4883.7489999999998</v>
      </c>
      <c r="AG1116" s="2523">
        <f t="shared" si="893"/>
        <v>5712.3220000000001</v>
      </c>
      <c r="AH1116" s="2523">
        <f t="shared" si="893"/>
        <v>6985.893</v>
      </c>
      <c r="AI1116" s="788">
        <f t="shared" si="893"/>
        <v>6870.1718716082523</v>
      </c>
      <c r="AJ1116" s="787">
        <f t="shared" si="893"/>
        <v>7359.1367580214592</v>
      </c>
      <c r="AK1116" s="787">
        <f t="shared" si="893"/>
        <v>8055.5283632342471</v>
      </c>
      <c r="AL1116" s="787">
        <f t="shared" si="893"/>
        <v>8905.2725829230567</v>
      </c>
      <c r="AM1116" s="787">
        <f t="shared" si="893"/>
        <v>9775.5376799803998</v>
      </c>
      <c r="AN1116" s="787">
        <f t="shared" ref="AN1116:AT1116" si="894">AN737+AN743</f>
        <v>10626.269528130462</v>
      </c>
      <c r="AO1116" s="1939">
        <f t="shared" si="894"/>
        <v>10786.474035100731</v>
      </c>
      <c r="AP1116" s="1939">
        <f t="shared" si="894"/>
        <v>11145.381690705977</v>
      </c>
      <c r="AQ1116" s="1939">
        <f t="shared" si="894"/>
        <v>11614.814575334856</v>
      </c>
      <c r="AR1116" s="1939">
        <f t="shared" si="894"/>
        <v>12239.139020034403</v>
      </c>
      <c r="AS1116" s="1939">
        <f t="shared" si="894"/>
        <v>13198.561726030261</v>
      </c>
      <c r="AT1116" s="1939">
        <f t="shared" si="894"/>
        <v>14543.98347215202</v>
      </c>
    </row>
    <row r="1117" spans="1:49">
      <c r="A1117" s="304"/>
      <c r="B1117" s="667"/>
      <c r="D1117" s="2486" t="s">
        <v>1646</v>
      </c>
      <c r="E1117" s="2524"/>
      <c r="F1117" s="2962"/>
      <c r="G1117" s="2488"/>
      <c r="H1117" s="2488"/>
      <c r="I1117" s="2523"/>
      <c r="J1117" s="2523">
        <f t="shared" ref="J1117:U1117" si="895">J1118+J1119</f>
        <v>0</v>
      </c>
      <c r="K1117" s="2523">
        <f t="shared" si="895"/>
        <v>0</v>
      </c>
      <c r="L1117" s="2523">
        <f t="shared" si="895"/>
        <v>0</v>
      </c>
      <c r="M1117" s="2523">
        <f t="shared" si="895"/>
        <v>0</v>
      </c>
      <c r="N1117" s="2523">
        <f t="shared" si="895"/>
        <v>0</v>
      </c>
      <c r="O1117" s="2523">
        <f t="shared" si="895"/>
        <v>0</v>
      </c>
      <c r="P1117" s="2523">
        <f t="shared" si="895"/>
        <v>0</v>
      </c>
      <c r="Q1117" s="2523">
        <f t="shared" si="895"/>
        <v>498.44997163366554</v>
      </c>
      <c r="R1117" s="2523">
        <f t="shared" si="895"/>
        <v>681.95738223437024</v>
      </c>
      <c r="S1117" s="2523">
        <f t="shared" si="895"/>
        <v>1106.3390146243678</v>
      </c>
      <c r="T1117" s="2523">
        <f t="shared" si="895"/>
        <v>1193.0710512310141</v>
      </c>
      <c r="U1117" s="2523">
        <f t="shared" si="895"/>
        <v>1258.7225127399331</v>
      </c>
      <c r="V1117" s="2523">
        <f>V1118+V1119</f>
        <v>1437.6307966054997</v>
      </c>
      <c r="W1117" s="2523">
        <f t="shared" ref="W1117:AD1117" si="896">W1118+W1119</f>
        <v>1784.1610624052316</v>
      </c>
      <c r="X1117" s="2523">
        <f t="shared" si="896"/>
        <v>1908.3276117431906</v>
      </c>
      <c r="Y1117" s="2523">
        <f t="shared" si="896"/>
        <v>1913.7275352751058</v>
      </c>
      <c r="Z1117" s="2523">
        <f t="shared" si="896"/>
        <v>1989.6523537469407</v>
      </c>
      <c r="AA1117" s="2523">
        <f t="shared" si="896"/>
        <v>2080.4721315638685</v>
      </c>
      <c r="AB1117" s="2523">
        <f>AB1118+AB1119</f>
        <v>2198.9761073418522</v>
      </c>
      <c r="AC1117" s="2523">
        <f t="shared" si="896"/>
        <v>1700.028532320403</v>
      </c>
      <c r="AD1117" s="2523">
        <f t="shared" si="896"/>
        <v>2261.6080254187555</v>
      </c>
      <c r="AE1117" s="2523">
        <f>AE1118+AE1119</f>
        <v>1868.2693621705084</v>
      </c>
      <c r="AF1117" s="2523">
        <f>AF1118+AF1119</f>
        <v>3899.5139567846591</v>
      </c>
      <c r="AG1117" s="2523">
        <f>AG1118+AG1119</f>
        <v>5095.4922778155997</v>
      </c>
      <c r="AH1117" s="2523">
        <f>AH1118+AH1119</f>
        <v>5729.9585463140384</v>
      </c>
      <c r="AI1117" s="788">
        <f>AI1118+AI1119</f>
        <v>5310.8115470000512</v>
      </c>
      <c r="AJ1117" s="688">
        <f t="shared" ref="AJ1117:AO1117" si="897">AJ1118+AJ1119</f>
        <v>5503.0694918627778</v>
      </c>
      <c r="AK1117" s="688">
        <f t="shared" si="897"/>
        <v>6156.2740415210646</v>
      </c>
      <c r="AL1117" s="688">
        <f t="shared" si="897"/>
        <v>6778.7949589864011</v>
      </c>
      <c r="AM1117" s="688">
        <f t="shared" si="897"/>
        <v>7539.9430909091079</v>
      </c>
      <c r="AN1117" s="688">
        <f t="shared" si="897"/>
        <v>8373.4792999542751</v>
      </c>
      <c r="AO1117" s="1937">
        <f t="shared" si="897"/>
        <v>8674.0883407707734</v>
      </c>
      <c r="AP1117" s="1937">
        <f>AP1118+AP1119</f>
        <v>8975.7447736222839</v>
      </c>
      <c r="AQ1117" s="1937">
        <f>AQ1118+AQ1119</f>
        <v>9542.3191246417264</v>
      </c>
      <c r="AR1117" s="1937">
        <f>AR1118+AR1119</f>
        <v>10254.971675461413</v>
      </c>
      <c r="AS1117" s="1937">
        <f>AS1118+AS1119</f>
        <v>11297.464720122684</v>
      </c>
      <c r="AT1117" s="1937">
        <f>AT1118+AT1119</f>
        <v>12742.871004343597</v>
      </c>
    </row>
    <row r="1118" spans="1:49">
      <c r="A1118" s="304"/>
      <c r="B1118" s="667"/>
      <c r="D1118" s="2486" t="s">
        <v>1575</v>
      </c>
      <c r="E1118" s="2524"/>
      <c r="F1118" s="2962"/>
      <c r="G1118" s="2488"/>
      <c r="H1118" s="2488"/>
      <c r="I1118" s="2523"/>
      <c r="J1118" s="2523">
        <f t="shared" ref="J1118:AT1118" si="898">J736/J266*1000</f>
        <v>139.85200972968576</v>
      </c>
      <c r="K1118" s="2523">
        <f t="shared" si="898"/>
        <v>119.780278973177</v>
      </c>
      <c r="L1118" s="2523">
        <f t="shared" si="898"/>
        <v>97.936597861356574</v>
      </c>
      <c r="M1118" s="2523">
        <f t="shared" si="898"/>
        <v>88.43527579468757</v>
      </c>
      <c r="N1118" s="2523">
        <f t="shared" si="898"/>
        <v>84.182796186751048</v>
      </c>
      <c r="O1118" s="2523">
        <f t="shared" si="898"/>
        <v>105.3493317723797</v>
      </c>
      <c r="P1118" s="2523">
        <f t="shared" si="898"/>
        <v>144.09262994890403</v>
      </c>
      <c r="Q1118" s="2523">
        <f t="shared" si="898"/>
        <v>170.02250697856405</v>
      </c>
      <c r="R1118" s="2523">
        <f t="shared" si="898"/>
        <v>219.39647685824244</v>
      </c>
      <c r="S1118" s="2523">
        <f t="shared" si="898"/>
        <v>339.37635020925592</v>
      </c>
      <c r="T1118" s="2523">
        <f t="shared" si="898"/>
        <v>411.37195427954327</v>
      </c>
      <c r="U1118" s="2523">
        <f t="shared" si="898"/>
        <v>377.1299841955688</v>
      </c>
      <c r="V1118" s="2523">
        <f t="shared" si="898"/>
        <v>438.47644795269963</v>
      </c>
      <c r="W1118" s="2523">
        <f t="shared" si="898"/>
        <v>556.93188674266094</v>
      </c>
      <c r="X1118" s="2523">
        <f t="shared" si="898"/>
        <v>674.75617554322673</v>
      </c>
      <c r="Y1118" s="2523">
        <f t="shared" si="898"/>
        <v>785.44948300881458</v>
      </c>
      <c r="Z1118" s="2523">
        <f t="shared" si="898"/>
        <v>741.4506621895539</v>
      </c>
      <c r="AA1118" s="2523">
        <f t="shared" si="898"/>
        <v>669.9379140644071</v>
      </c>
      <c r="AB1118" s="2523">
        <f t="shared" si="898"/>
        <v>668.70733788584971</v>
      </c>
      <c r="AC1118" s="2523">
        <f t="shared" si="898"/>
        <v>788.37651785110711</v>
      </c>
      <c r="AD1118" s="2523">
        <f t="shared" si="898"/>
        <v>916.92717929570085</v>
      </c>
      <c r="AE1118" s="2523">
        <f t="shared" si="898"/>
        <v>1035.4986501955582</v>
      </c>
      <c r="AF1118" s="2523">
        <f t="shared" si="898"/>
        <v>1200.4883376789737</v>
      </c>
      <c r="AG1118" s="2523">
        <f t="shared" si="898"/>
        <v>1266.9260589839776</v>
      </c>
      <c r="AH1118" s="2523">
        <f t="shared" si="898"/>
        <v>1206.2325077359674</v>
      </c>
      <c r="AI1118" s="788">
        <f t="shared" si="898"/>
        <v>1133.398930431187</v>
      </c>
      <c r="AJ1118" s="688">
        <f>AJ736/AJ266*1000</f>
        <v>1109.2052197727439</v>
      </c>
      <c r="AK1118" s="688">
        <f t="shared" si="898"/>
        <v>1193.5369533397984</v>
      </c>
      <c r="AL1118" s="688">
        <f t="shared" si="898"/>
        <v>1341.5450908811174</v>
      </c>
      <c r="AM1118" s="688">
        <f t="shared" si="898"/>
        <v>1502.5791929873101</v>
      </c>
      <c r="AN1118" s="688">
        <f t="shared" si="898"/>
        <v>1657.9760787239807</v>
      </c>
      <c r="AO1118" s="1937">
        <f t="shared" si="898"/>
        <v>1755.5719905946696</v>
      </c>
      <c r="AP1118" s="1937">
        <f t="shared" si="898"/>
        <v>1860.9323800829031</v>
      </c>
      <c r="AQ1118" s="1937">
        <f t="shared" si="898"/>
        <v>2080.4849656755382</v>
      </c>
      <c r="AR1118" s="1937">
        <f t="shared" si="898"/>
        <v>2416.5554783825473</v>
      </c>
      <c r="AS1118" s="1937">
        <f t="shared" si="898"/>
        <v>3032.6649933894469</v>
      </c>
      <c r="AT1118" s="1937">
        <f t="shared" si="898"/>
        <v>3994.3137650721701</v>
      </c>
    </row>
    <row r="1119" spans="1:49">
      <c r="A1119" s="304"/>
      <c r="B1119" s="667"/>
      <c r="D1119" s="2486" t="s">
        <v>1576</v>
      </c>
      <c r="E1119" s="2524"/>
      <c r="F1119" s="2962"/>
      <c r="G1119" s="2486"/>
      <c r="H1119" s="2486"/>
      <c r="I1119" s="2523"/>
      <c r="J1119" s="2523">
        <f t="shared" ref="J1119:AT1119" si="899">(J743*J740/100)/J266*1000</f>
        <v>-139.85200972968579</v>
      </c>
      <c r="K1119" s="2523">
        <f t="shared" si="899"/>
        <v>-119.78027897317702</v>
      </c>
      <c r="L1119" s="2523">
        <f t="shared" si="899"/>
        <v>-97.936597861356574</v>
      </c>
      <c r="M1119" s="2523">
        <f t="shared" si="899"/>
        <v>-88.43527579468757</v>
      </c>
      <c r="N1119" s="2523">
        <f t="shared" si="899"/>
        <v>-84.182796186751048</v>
      </c>
      <c r="O1119" s="2523">
        <f t="shared" si="899"/>
        <v>-105.3493317723797</v>
      </c>
      <c r="P1119" s="2523">
        <f t="shared" si="899"/>
        <v>-144.09262994890406</v>
      </c>
      <c r="Q1119" s="2523">
        <f t="shared" si="899"/>
        <v>328.42746465510152</v>
      </c>
      <c r="R1119" s="2523">
        <f t="shared" si="899"/>
        <v>462.56090537612783</v>
      </c>
      <c r="S1119" s="2523">
        <f t="shared" si="899"/>
        <v>766.96266441511182</v>
      </c>
      <c r="T1119" s="2523">
        <f t="shared" si="899"/>
        <v>781.69909695147078</v>
      </c>
      <c r="U1119" s="2523">
        <f t="shared" si="899"/>
        <v>881.59252854436431</v>
      </c>
      <c r="V1119" s="2523">
        <f t="shared" si="899"/>
        <v>999.15434865279997</v>
      </c>
      <c r="W1119" s="2523">
        <f t="shared" si="899"/>
        <v>1227.2291756625707</v>
      </c>
      <c r="X1119" s="2523">
        <f t="shared" si="899"/>
        <v>1233.571436199964</v>
      </c>
      <c r="Y1119" s="2523">
        <f t="shared" si="899"/>
        <v>1128.2780522662913</v>
      </c>
      <c r="Z1119" s="2523">
        <f t="shared" si="899"/>
        <v>1248.2016915573868</v>
      </c>
      <c r="AA1119" s="2523">
        <f t="shared" si="899"/>
        <v>1410.5342174994614</v>
      </c>
      <c r="AB1119" s="2523">
        <f t="shared" si="899"/>
        <v>1530.2687694560025</v>
      </c>
      <c r="AC1119" s="2523">
        <f t="shared" si="899"/>
        <v>911.65201446929575</v>
      </c>
      <c r="AD1119" s="2523">
        <f t="shared" si="899"/>
        <v>1344.6808461230546</v>
      </c>
      <c r="AE1119" s="2523">
        <f t="shared" si="899"/>
        <v>832.77071197495025</v>
      </c>
      <c r="AF1119" s="2523">
        <f t="shared" si="899"/>
        <v>2699.0256191056856</v>
      </c>
      <c r="AG1119" s="2523">
        <f t="shared" si="899"/>
        <v>3828.5662188316219</v>
      </c>
      <c r="AH1119" s="2523">
        <f t="shared" si="899"/>
        <v>4523.726038578071</v>
      </c>
      <c r="AI1119" s="788">
        <f t="shared" si="899"/>
        <v>4177.412616568864</v>
      </c>
      <c r="AJ1119" s="688">
        <f t="shared" si="899"/>
        <v>4393.8642720900343</v>
      </c>
      <c r="AK1119" s="688">
        <f t="shared" si="899"/>
        <v>4962.7370881812658</v>
      </c>
      <c r="AL1119" s="688">
        <f t="shared" si="899"/>
        <v>5437.2498681052839</v>
      </c>
      <c r="AM1119" s="688">
        <f t="shared" si="899"/>
        <v>6037.3638979217976</v>
      </c>
      <c r="AN1119" s="688">
        <f t="shared" si="899"/>
        <v>6715.5032212302949</v>
      </c>
      <c r="AO1119" s="1937">
        <f t="shared" si="899"/>
        <v>6918.5163501761044</v>
      </c>
      <c r="AP1119" s="1937">
        <f t="shared" si="899"/>
        <v>7114.8123935393805</v>
      </c>
      <c r="AQ1119" s="1937">
        <f t="shared" si="899"/>
        <v>7461.8341589661877</v>
      </c>
      <c r="AR1119" s="1937">
        <f t="shared" si="899"/>
        <v>7838.4161970788655</v>
      </c>
      <c r="AS1119" s="1937">
        <f t="shared" si="899"/>
        <v>8264.7997267332357</v>
      </c>
      <c r="AT1119" s="1937">
        <f t="shared" si="899"/>
        <v>8748.5572392714257</v>
      </c>
    </row>
    <row r="1120" spans="1:49">
      <c r="A1120" s="304"/>
      <c r="B1120" s="294"/>
      <c r="D1120" s="2486" t="s">
        <v>1577</v>
      </c>
      <c r="E1120" s="2524"/>
      <c r="F1120" s="2962"/>
      <c r="G1120" s="2488"/>
      <c r="H1120" s="2488"/>
      <c r="I1120" s="2522"/>
      <c r="J1120" s="2522">
        <f t="shared" ref="J1120:Y1120" si="900">+J819</f>
        <v>39</v>
      </c>
      <c r="K1120" s="2522">
        <f t="shared" si="900"/>
        <v>43</v>
      </c>
      <c r="L1120" s="2522">
        <f t="shared" si="900"/>
        <v>63</v>
      </c>
      <c r="M1120" s="2522">
        <f t="shared" si="900"/>
        <v>58</v>
      </c>
      <c r="N1120" s="2522">
        <f t="shared" si="900"/>
        <v>89</v>
      </c>
      <c r="O1120" s="2522">
        <f t="shared" si="900"/>
        <v>143</v>
      </c>
      <c r="P1120" s="2522">
        <f t="shared" si="900"/>
        <v>175</v>
      </c>
      <c r="Q1120" s="2522">
        <f t="shared" si="900"/>
        <v>201</v>
      </c>
      <c r="R1120" s="2522">
        <f t="shared" si="900"/>
        <v>305</v>
      </c>
      <c r="S1120" s="2522">
        <f t="shared" si="900"/>
        <v>319</v>
      </c>
      <c r="T1120" s="2522">
        <f t="shared" si="900"/>
        <v>334</v>
      </c>
      <c r="U1120" s="2522">
        <f t="shared" si="900"/>
        <v>383</v>
      </c>
      <c r="V1120" s="2522">
        <f t="shared" si="900"/>
        <v>522</v>
      </c>
      <c r="W1120" s="2522">
        <f t="shared" si="900"/>
        <v>565</v>
      </c>
      <c r="X1120" s="2522">
        <f t="shared" si="900"/>
        <v>682</v>
      </c>
      <c r="Y1120" s="2522">
        <f t="shared" si="900"/>
        <v>780</v>
      </c>
      <c r="Z1120" s="2522">
        <f t="shared" ref="Z1120:AM1120" si="901">+Z884</f>
        <v>814</v>
      </c>
      <c r="AA1120" s="2522">
        <f>+AA884</f>
        <v>1057</v>
      </c>
      <c r="AB1120" s="2522">
        <f t="shared" si="901"/>
        <v>1580</v>
      </c>
      <c r="AC1120" s="2522">
        <f t="shared" si="901"/>
        <v>1797</v>
      </c>
      <c r="AD1120" s="2522">
        <f t="shared" si="901"/>
        <v>2084</v>
      </c>
      <c r="AE1120" s="2522">
        <f t="shared" si="901"/>
        <v>1847</v>
      </c>
      <c r="AF1120" s="2522">
        <f t="shared" si="901"/>
        <v>2145</v>
      </c>
      <c r="AG1120" s="2522">
        <f t="shared" si="901"/>
        <v>3088</v>
      </c>
      <c r="AH1120" s="2522">
        <f t="shared" si="901"/>
        <v>4279</v>
      </c>
      <c r="AI1120" s="788">
        <f t="shared" si="901"/>
        <v>5791</v>
      </c>
      <c r="AJ1120" s="688">
        <f t="shared" si="901"/>
        <v>6105.8637282955424</v>
      </c>
      <c r="AK1120" s="688">
        <f t="shared" si="901"/>
        <v>7259.1554082731354</v>
      </c>
      <c r="AL1120" s="688">
        <f t="shared" si="901"/>
        <v>8203.7074372238494</v>
      </c>
      <c r="AM1120" s="688">
        <f t="shared" si="901"/>
        <v>9127.7462103477883</v>
      </c>
      <c r="AN1120" s="688">
        <f t="shared" ref="AN1120:AT1121" si="902">+AN884</f>
        <v>9863.4996899768339</v>
      </c>
      <c r="AO1120" s="1937">
        <f t="shared" si="902"/>
        <v>10820.3280140768</v>
      </c>
      <c r="AP1120" s="1937">
        <f t="shared" si="902"/>
        <v>12013.78472006365</v>
      </c>
      <c r="AQ1120" s="1937">
        <f t="shared" si="902"/>
        <v>13318.346015879422</v>
      </c>
      <c r="AR1120" s="1937">
        <f t="shared" si="902"/>
        <v>14788.197301211334</v>
      </c>
      <c r="AS1120" s="1937">
        <f t="shared" si="902"/>
        <v>16446.616951063465</v>
      </c>
      <c r="AT1120" s="1937">
        <f t="shared" si="902"/>
        <v>18320.291323958281</v>
      </c>
    </row>
    <row r="1121" spans="1:46">
      <c r="A1121" s="304"/>
      <c r="B1121" s="294"/>
      <c r="D1121" s="2486" t="s">
        <v>1578</v>
      </c>
      <c r="E1121" s="2524"/>
      <c r="F1121" s="2962"/>
      <c r="G1121" s="2488"/>
      <c r="H1121" s="2488"/>
      <c r="I1121" s="2522"/>
      <c r="J1121" s="2522">
        <f t="shared" ref="J1121:Y1121" si="903">+J822</f>
        <v>158</v>
      </c>
      <c r="K1121" s="2522">
        <f t="shared" si="903"/>
        <v>178</v>
      </c>
      <c r="L1121" s="2522">
        <f t="shared" si="903"/>
        <v>191</v>
      </c>
      <c r="M1121" s="2522">
        <f t="shared" si="903"/>
        <v>200</v>
      </c>
      <c r="N1121" s="2522">
        <f t="shared" si="903"/>
        <v>248</v>
      </c>
      <c r="O1121" s="2522">
        <f t="shared" si="903"/>
        <v>317</v>
      </c>
      <c r="P1121" s="2522">
        <f t="shared" si="903"/>
        <v>385</v>
      </c>
      <c r="Q1121" s="2522">
        <f t="shared" si="903"/>
        <v>407</v>
      </c>
      <c r="R1121" s="2522">
        <f t="shared" si="903"/>
        <v>496</v>
      </c>
      <c r="S1121" s="2522">
        <f t="shared" si="903"/>
        <v>745</v>
      </c>
      <c r="T1121" s="2522">
        <f t="shared" si="903"/>
        <v>851</v>
      </c>
      <c r="U1121" s="2522">
        <f t="shared" si="903"/>
        <v>949</v>
      </c>
      <c r="V1121" s="2522">
        <f t="shared" si="903"/>
        <v>1118</v>
      </c>
      <c r="W1121" s="2522">
        <f t="shared" si="903"/>
        <v>1342</v>
      </c>
      <c r="X1121" s="2522">
        <f t="shared" si="903"/>
        <v>1476</v>
      </c>
      <c r="Y1121" s="2522">
        <f t="shared" si="903"/>
        <v>1688</v>
      </c>
      <c r="Z1121" s="2522">
        <f t="shared" ref="Z1121:AM1121" si="904">+Z885</f>
        <v>1967</v>
      </c>
      <c r="AA1121" s="2522">
        <f>+AA885</f>
        <v>2333</v>
      </c>
      <c r="AB1121" s="2522">
        <f t="shared" si="904"/>
        <v>2551</v>
      </c>
      <c r="AC1121" s="2522">
        <f t="shared" si="904"/>
        <v>2190</v>
      </c>
      <c r="AD1121" s="2522">
        <f t="shared" si="904"/>
        <v>2541</v>
      </c>
      <c r="AE1121" s="2522">
        <f t="shared" si="904"/>
        <v>2541</v>
      </c>
      <c r="AF1121" s="2522">
        <f t="shared" si="904"/>
        <v>5173</v>
      </c>
      <c r="AG1121" s="2522">
        <f t="shared" si="904"/>
        <v>5546</v>
      </c>
      <c r="AH1121" s="2522">
        <f t="shared" si="904"/>
        <v>7637</v>
      </c>
      <c r="AI1121" s="688">
        <f t="shared" si="904"/>
        <v>8807</v>
      </c>
      <c r="AJ1121" s="688">
        <f t="shared" si="904"/>
        <v>9255.5497350911792</v>
      </c>
      <c r="AK1121" s="688">
        <f t="shared" si="904"/>
        <v>11239.724925264929</v>
      </c>
      <c r="AL1121" s="688">
        <f t="shared" si="904"/>
        <v>12548.028840169043</v>
      </c>
      <c r="AM1121" s="688">
        <f t="shared" si="904"/>
        <v>12912.440581897368</v>
      </c>
      <c r="AN1121" s="688">
        <f t="shared" si="902"/>
        <v>13472.216942839488</v>
      </c>
      <c r="AO1121" s="1937">
        <f t="shared" si="902"/>
        <v>14533.640220295469</v>
      </c>
      <c r="AP1121" s="1937">
        <f t="shared" si="902"/>
        <v>15850.099931825436</v>
      </c>
      <c r="AQ1121" s="1937">
        <f t="shared" si="902"/>
        <v>17123.685833033953</v>
      </c>
      <c r="AR1121" s="1937">
        <f t="shared" si="902"/>
        <v>18547.222744405553</v>
      </c>
      <c r="AS1121" s="1937">
        <f t="shared" si="902"/>
        <v>20032.530619046876</v>
      </c>
      <c r="AT1121" s="1937">
        <f t="shared" si="902"/>
        <v>21731.11203094048</v>
      </c>
    </row>
    <row r="1122" spans="1:46">
      <c r="D1122" s="2486" t="s">
        <v>314</v>
      </c>
      <c r="E1122" s="2524"/>
      <c r="F1122" s="2962"/>
      <c r="G1122" s="2488"/>
      <c r="H1122" s="2488"/>
      <c r="I1122" s="2529"/>
      <c r="J1122" s="2529"/>
      <c r="K1122" s="2529"/>
      <c r="L1122" s="2529"/>
      <c r="M1122" s="2529"/>
      <c r="N1122" s="2529"/>
      <c r="O1122" s="2529"/>
      <c r="P1122" s="2529"/>
      <c r="Q1122" s="2529"/>
      <c r="R1122" s="2529"/>
      <c r="S1122" s="2529"/>
      <c r="T1122" s="2529"/>
      <c r="U1122" s="2529"/>
      <c r="V1122" s="2529">
        <f t="shared" ref="V1122:AM1122" si="905">+V894</f>
        <v>0.25</v>
      </c>
      <c r="W1122" s="2498">
        <f t="shared" si="905"/>
        <v>0.25</v>
      </c>
      <c r="X1122" s="2498">
        <f t="shared" si="905"/>
        <v>0.25</v>
      </c>
      <c r="Y1122" s="2498">
        <f t="shared" si="905"/>
        <v>0.25</v>
      </c>
      <c r="Z1122" s="2498">
        <f t="shared" si="905"/>
        <v>0.255</v>
      </c>
      <c r="AA1122" s="2498">
        <f>+AA894</f>
        <v>0.26</v>
      </c>
      <c r="AB1122" s="2498">
        <f t="shared" si="905"/>
        <v>0.26500000000000001</v>
      </c>
      <c r="AC1122" s="2498">
        <f t="shared" si="905"/>
        <v>0.27</v>
      </c>
      <c r="AD1122" s="2498">
        <f t="shared" si="905"/>
        <v>0.27500000000000002</v>
      </c>
      <c r="AE1122" s="2498">
        <f t="shared" si="905"/>
        <v>0.28000000000000003</v>
      </c>
      <c r="AF1122" s="2498">
        <f t="shared" si="905"/>
        <v>0.28500000000000003</v>
      </c>
      <c r="AG1122" s="2498">
        <f t="shared" si="905"/>
        <v>0.29000000000000004</v>
      </c>
      <c r="AH1122" s="2500">
        <f t="shared" si="905"/>
        <v>0.29500000000000004</v>
      </c>
      <c r="AI1122" s="815">
        <f t="shared" si="905"/>
        <v>0.29500000000000004</v>
      </c>
      <c r="AJ1122" s="815">
        <f t="shared" si="905"/>
        <v>0.29500000000000004</v>
      </c>
      <c r="AK1122" s="815">
        <f t="shared" si="905"/>
        <v>0.29500000000000004</v>
      </c>
      <c r="AL1122" s="815">
        <f t="shared" si="905"/>
        <v>0.29500000000000004</v>
      </c>
      <c r="AM1122" s="815">
        <f t="shared" si="905"/>
        <v>0.29500000000000004</v>
      </c>
      <c r="AN1122" s="815">
        <f t="shared" ref="AN1122:AT1122" si="906">+AN894</f>
        <v>0.29500000000000004</v>
      </c>
      <c r="AO1122" s="1932">
        <f t="shared" si="906"/>
        <v>0.29500000000000004</v>
      </c>
      <c r="AP1122" s="1932">
        <f t="shared" si="906"/>
        <v>0.29500000000000004</v>
      </c>
      <c r="AQ1122" s="1932">
        <f t="shared" si="906"/>
        <v>0.29500000000000004</v>
      </c>
      <c r="AR1122" s="1932">
        <f t="shared" si="906"/>
        <v>0.29500000000000004</v>
      </c>
      <c r="AS1122" s="1932">
        <f t="shared" si="906"/>
        <v>0.29500000000000004</v>
      </c>
      <c r="AT1122" s="1932">
        <f t="shared" si="906"/>
        <v>0.29500000000000004</v>
      </c>
    </row>
    <row r="1123" spans="1:46">
      <c r="D1123" s="2486" t="s">
        <v>1579</v>
      </c>
      <c r="E1123" s="2524"/>
      <c r="F1123" s="2962"/>
      <c r="G1123" s="2488"/>
      <c r="H1123" s="2488"/>
      <c r="I1123" s="2529"/>
      <c r="J1123" s="2529"/>
      <c r="K1123" s="2529"/>
      <c r="L1123" s="2529"/>
      <c r="M1123" s="2529"/>
      <c r="N1123" s="2529"/>
      <c r="O1123" s="2529"/>
      <c r="P1123" s="2529"/>
      <c r="Q1123" s="2529"/>
      <c r="R1123" s="2529"/>
      <c r="S1123" s="2529"/>
      <c r="T1123" s="2529"/>
      <c r="U1123" s="2529"/>
      <c r="V1123" s="2529">
        <f>+V895</f>
        <v>9.8748474945741543E-2</v>
      </c>
      <c r="W1123" s="2497">
        <f>+W895</f>
        <v>9.206925549751846E-2</v>
      </c>
      <c r="X1123" s="2497">
        <f>+X895</f>
        <v>0.10825020283195834</v>
      </c>
      <c r="Y1123" s="2497">
        <f t="shared" ref="Y1123:AM1123" si="907">+Y909</f>
        <v>8.6788698314849574E-2</v>
      </c>
      <c r="Z1123" s="2497">
        <f t="shared" si="907"/>
        <v>0.10642483432457703</v>
      </c>
      <c r="AA1123" s="2497">
        <f>+AA909</f>
        <v>0.11956089786952122</v>
      </c>
      <c r="AB1123" s="2497">
        <f t="shared" si="907"/>
        <v>0.10269839131750017</v>
      </c>
      <c r="AC1123" s="2497">
        <f t="shared" si="907"/>
        <v>0.10254667363595005</v>
      </c>
      <c r="AD1123" s="2497">
        <f t="shared" si="907"/>
        <v>0.10254667363595005</v>
      </c>
      <c r="AE1123" s="2500">
        <f t="shared" si="907"/>
        <v>0.10254667363595005</v>
      </c>
      <c r="AF1123" s="2500">
        <f t="shared" si="907"/>
        <v>0.10254667363595005</v>
      </c>
      <c r="AG1123" s="2500">
        <f t="shared" si="907"/>
        <v>0.10254667363595005</v>
      </c>
      <c r="AH1123" s="2500">
        <f t="shared" si="907"/>
        <v>0.10254667363595005</v>
      </c>
      <c r="AI1123" s="815">
        <f t="shared" si="907"/>
        <v>0.10254667363595005</v>
      </c>
      <c r="AJ1123" s="815">
        <f t="shared" si="907"/>
        <v>0.10254667363595005</v>
      </c>
      <c r="AK1123" s="815">
        <f t="shared" si="907"/>
        <v>0.10254667363595005</v>
      </c>
      <c r="AL1123" s="815">
        <f t="shared" si="907"/>
        <v>0.10254667363595005</v>
      </c>
      <c r="AM1123" s="815">
        <f t="shared" si="907"/>
        <v>0.10254667363595005</v>
      </c>
      <c r="AN1123" s="815">
        <f t="shared" ref="AN1123:AT1123" si="908">+AN909</f>
        <v>0.10254667363595005</v>
      </c>
      <c r="AO1123" s="1932">
        <f t="shared" si="908"/>
        <v>0.10254667363595005</v>
      </c>
      <c r="AP1123" s="1932">
        <f t="shared" si="908"/>
        <v>0.10254667363595005</v>
      </c>
      <c r="AQ1123" s="1932">
        <f t="shared" si="908"/>
        <v>0.10254667363595005</v>
      </c>
      <c r="AR1123" s="1932">
        <f t="shared" si="908"/>
        <v>0.10254667363595005</v>
      </c>
      <c r="AS1123" s="1932">
        <f t="shared" si="908"/>
        <v>0.10254667363595005</v>
      </c>
      <c r="AT1123" s="1932">
        <f t="shared" si="908"/>
        <v>0.10254667363595005</v>
      </c>
    </row>
    <row r="1124" spans="1:46">
      <c r="D1124" s="2486" t="s">
        <v>1580</v>
      </c>
      <c r="E1124" s="2524"/>
      <c r="F1124" s="2962"/>
      <c r="G1124" s="2488"/>
      <c r="H1124" s="2488"/>
      <c r="I1124" s="2529"/>
      <c r="J1124" s="2529"/>
      <c r="K1124" s="2529"/>
      <c r="L1124" s="2529"/>
      <c r="M1124" s="2529"/>
      <c r="N1124" s="2529"/>
      <c r="O1124" s="2529"/>
      <c r="P1124" s="2529"/>
      <c r="Q1124" s="2529"/>
      <c r="R1124" s="2529"/>
      <c r="S1124" s="2529"/>
      <c r="T1124" s="2529"/>
      <c r="U1124" s="2529"/>
      <c r="V1124" s="2529">
        <f>+V897</f>
        <v>0.37290184888555228</v>
      </c>
      <c r="W1124" s="2497">
        <f>+W897</f>
        <v>0.35654913832351276</v>
      </c>
      <c r="X1124" s="2497">
        <f>+X897</f>
        <v>0.34113492554979469</v>
      </c>
      <c r="Y1124" s="2497">
        <f t="shared" ref="Y1124:AM1124" si="909">+Y915*$Y$911/$Y$910</f>
        <v>0.48351094038799447</v>
      </c>
      <c r="Z1124" s="2497">
        <f t="shared" si="909"/>
        <v>0.48351094038799447</v>
      </c>
      <c r="AA1124" s="2497">
        <f t="shared" si="909"/>
        <v>0.48351094038799447</v>
      </c>
      <c r="AB1124" s="2497">
        <f t="shared" si="909"/>
        <v>0.48351094038799447</v>
      </c>
      <c r="AC1124" s="2497">
        <f t="shared" si="909"/>
        <v>0.48351094038799447</v>
      </c>
      <c r="AD1124" s="2497">
        <f t="shared" si="909"/>
        <v>0.48351094038799447</v>
      </c>
      <c r="AE1124" s="2500">
        <f t="shared" si="909"/>
        <v>0.48351094038799447</v>
      </c>
      <c r="AF1124" s="2500">
        <f t="shared" si="909"/>
        <v>0.48351094038799447</v>
      </c>
      <c r="AG1124" s="2500">
        <f t="shared" si="909"/>
        <v>0.48351094038799447</v>
      </c>
      <c r="AH1124" s="2500">
        <f t="shared" si="909"/>
        <v>0.48351094038799447</v>
      </c>
      <c r="AI1124" s="815">
        <f t="shared" si="909"/>
        <v>0.48351094038799447</v>
      </c>
      <c r="AJ1124" s="815">
        <f t="shared" si="909"/>
        <v>0.48351094038799447</v>
      </c>
      <c r="AK1124" s="815">
        <f t="shared" si="909"/>
        <v>0.48351094038799447</v>
      </c>
      <c r="AL1124" s="815">
        <f t="shared" si="909"/>
        <v>0.48351094038799447</v>
      </c>
      <c r="AM1124" s="815">
        <f t="shared" si="909"/>
        <v>0.48351094038799447</v>
      </c>
      <c r="AN1124" s="815">
        <f t="shared" ref="AN1124:AT1125" si="910">+AN915*$Y$911/$Y$910</f>
        <v>0.48351094038799447</v>
      </c>
      <c r="AO1124" s="1932">
        <f t="shared" si="910"/>
        <v>0.48351094038799447</v>
      </c>
      <c r="AP1124" s="1932">
        <f t="shared" si="910"/>
        <v>0.48351094038799447</v>
      </c>
      <c r="AQ1124" s="1932">
        <f t="shared" si="910"/>
        <v>0.48351094038799447</v>
      </c>
      <c r="AR1124" s="1932">
        <f t="shared" si="910"/>
        <v>0.48351094038799447</v>
      </c>
      <c r="AS1124" s="1932">
        <f t="shared" si="910"/>
        <v>0.48351094038799447</v>
      </c>
      <c r="AT1124" s="1932">
        <f t="shared" si="910"/>
        <v>0.48351094038799447</v>
      </c>
    </row>
    <row r="1125" spans="1:46">
      <c r="D1125" s="2486" t="s">
        <v>1581</v>
      </c>
      <c r="E1125" s="2524"/>
      <c r="F1125" s="2962"/>
      <c r="G1125" s="2488"/>
      <c r="H1125" s="2488"/>
      <c r="I1125" s="2530"/>
      <c r="J1125" s="2530"/>
      <c r="K1125" s="2530"/>
      <c r="L1125" s="2530"/>
      <c r="M1125" s="2530"/>
      <c r="N1125" s="2530"/>
      <c r="O1125" s="2530"/>
      <c r="P1125" s="2530"/>
      <c r="Q1125" s="2530"/>
      <c r="R1125" s="2530"/>
      <c r="S1125" s="2530"/>
      <c r="T1125" s="2530"/>
      <c r="U1125" s="2530"/>
      <c r="V1125" s="2530">
        <f>+V897</f>
        <v>0.37290184888555228</v>
      </c>
      <c r="W1125" s="2497">
        <f>+W897</f>
        <v>0.35654913832351276</v>
      </c>
      <c r="X1125" s="2497">
        <f>+X897</f>
        <v>0.34113492554979469</v>
      </c>
      <c r="Y1125" s="2497">
        <f t="shared" ref="Y1125:AM1125" si="911">+Y916*$Y$911/$Y$910</f>
        <v>0.43076429234566782</v>
      </c>
      <c r="Z1125" s="2497">
        <f t="shared" si="911"/>
        <v>0.43076429234566782</v>
      </c>
      <c r="AA1125" s="2497">
        <f t="shared" si="911"/>
        <v>0.43076429234566782</v>
      </c>
      <c r="AB1125" s="2497">
        <f t="shared" si="911"/>
        <v>0.43076429234566782</v>
      </c>
      <c r="AC1125" s="2497">
        <f t="shared" si="911"/>
        <v>0.43076429234566782</v>
      </c>
      <c r="AD1125" s="2497">
        <f t="shared" si="911"/>
        <v>0.43076429234566782</v>
      </c>
      <c r="AE1125" s="2500">
        <f t="shared" si="911"/>
        <v>0.43076429234566782</v>
      </c>
      <c r="AF1125" s="2500">
        <f t="shared" si="911"/>
        <v>0.43076429234566782</v>
      </c>
      <c r="AG1125" s="2500">
        <f t="shared" si="911"/>
        <v>0.43076429234566782</v>
      </c>
      <c r="AH1125" s="2500">
        <f t="shared" si="911"/>
        <v>0.43076429234566782</v>
      </c>
      <c r="AI1125" s="815">
        <f t="shared" si="911"/>
        <v>0.43076429234566782</v>
      </c>
      <c r="AJ1125" s="815">
        <f t="shared" si="911"/>
        <v>0.43076429234566782</v>
      </c>
      <c r="AK1125" s="815">
        <f t="shared" si="911"/>
        <v>0.43076429234566782</v>
      </c>
      <c r="AL1125" s="815">
        <f t="shared" si="911"/>
        <v>0.43076429234566782</v>
      </c>
      <c r="AM1125" s="815">
        <f t="shared" si="911"/>
        <v>0.43076429234566782</v>
      </c>
      <c r="AN1125" s="815">
        <f t="shared" si="910"/>
        <v>0.43076429234566782</v>
      </c>
      <c r="AO1125" s="1932">
        <f t="shared" si="910"/>
        <v>0.43076429234566782</v>
      </c>
      <c r="AP1125" s="1932">
        <f t="shared" si="910"/>
        <v>0.43076429234566782</v>
      </c>
      <c r="AQ1125" s="1932">
        <f t="shared" si="910"/>
        <v>0.43076429234566782</v>
      </c>
      <c r="AR1125" s="1932">
        <f t="shared" si="910"/>
        <v>0.43076429234566782</v>
      </c>
      <c r="AS1125" s="1932">
        <f t="shared" si="910"/>
        <v>0.43076429234566782</v>
      </c>
      <c r="AT1125" s="1932">
        <f t="shared" si="910"/>
        <v>0.43076429234566782</v>
      </c>
    </row>
    <row r="1126" spans="1:46">
      <c r="D1126" s="2486" t="s">
        <v>1582</v>
      </c>
      <c r="E1126" s="2524"/>
      <c r="F1126" s="2962"/>
      <c r="G1126" s="2488"/>
      <c r="H1126" s="2488"/>
      <c r="I1126" s="2530"/>
      <c r="J1126" s="2530"/>
      <c r="K1126" s="2530"/>
      <c r="L1126" s="2530"/>
      <c r="M1126" s="2530"/>
      <c r="N1126" s="2530"/>
      <c r="O1126" s="2530"/>
      <c r="P1126" s="2530"/>
      <c r="Q1126" s="2530"/>
      <c r="R1126" s="2530"/>
      <c r="S1126" s="2530"/>
      <c r="T1126" s="2530"/>
      <c r="U1126" s="2530"/>
      <c r="V1126" s="2530">
        <f t="shared" ref="V1126:AM1126" si="912">+V899</f>
        <v>0.25</v>
      </c>
      <c r="W1126" s="2497">
        <f t="shared" si="912"/>
        <v>0.25</v>
      </c>
      <c r="X1126" s="2498">
        <f t="shared" si="912"/>
        <v>0.25</v>
      </c>
      <c r="Y1126" s="2498">
        <f t="shared" si="912"/>
        <v>0.25</v>
      </c>
      <c r="Z1126" s="2498">
        <f t="shared" si="912"/>
        <v>0.25</v>
      </c>
      <c r="AA1126" s="2498">
        <f t="shared" si="912"/>
        <v>0.25</v>
      </c>
      <c r="AB1126" s="2498">
        <f t="shared" si="912"/>
        <v>0.25</v>
      </c>
      <c r="AC1126" s="2498">
        <f t="shared" si="912"/>
        <v>0.25</v>
      </c>
      <c r="AD1126" s="2498">
        <f t="shared" si="912"/>
        <v>0.25</v>
      </c>
      <c r="AE1126" s="2498">
        <f t="shared" si="912"/>
        <v>0.25</v>
      </c>
      <c r="AF1126" s="2498">
        <f t="shared" si="912"/>
        <v>0.25</v>
      </c>
      <c r="AG1126" s="2498">
        <f t="shared" si="912"/>
        <v>0.28999999999999998</v>
      </c>
      <c r="AH1126" s="2498">
        <f t="shared" si="912"/>
        <v>0.28999999999999998</v>
      </c>
      <c r="AI1126" s="815">
        <f t="shared" si="912"/>
        <v>0.28999999999999998</v>
      </c>
      <c r="AJ1126" s="815">
        <f t="shared" si="912"/>
        <v>0.28999999999999998</v>
      </c>
      <c r="AK1126" s="815">
        <f t="shared" si="912"/>
        <v>0.28999999999999998</v>
      </c>
      <c r="AL1126" s="815">
        <f t="shared" si="912"/>
        <v>0.28999999999999998</v>
      </c>
      <c r="AM1126" s="815">
        <f t="shared" si="912"/>
        <v>0.28999999999999998</v>
      </c>
      <c r="AN1126" s="815">
        <f t="shared" ref="AN1126:AT1126" si="913">+AN899</f>
        <v>0.28999999999999998</v>
      </c>
      <c r="AO1126" s="1932">
        <f t="shared" si="913"/>
        <v>0.28999999999999998</v>
      </c>
      <c r="AP1126" s="1932">
        <f t="shared" si="913"/>
        <v>0.28999999999999998</v>
      </c>
      <c r="AQ1126" s="1932">
        <f t="shared" si="913"/>
        <v>0.28999999999999998</v>
      </c>
      <c r="AR1126" s="1932">
        <f t="shared" si="913"/>
        <v>0.28999999999999998</v>
      </c>
      <c r="AS1126" s="1932">
        <f t="shared" si="913"/>
        <v>0.28999999999999998</v>
      </c>
      <c r="AT1126" s="1932">
        <f t="shared" si="913"/>
        <v>0.28999999999999998</v>
      </c>
    </row>
    <row r="1127" spans="1:46">
      <c r="D1127" s="2486" t="s">
        <v>316</v>
      </c>
      <c r="E1127" s="2524"/>
      <c r="F1127" s="2962"/>
      <c r="G1127" s="2488"/>
      <c r="H1127" s="2488"/>
      <c r="I1127" s="2530"/>
      <c r="J1127" s="2530"/>
      <c r="K1127" s="2530"/>
      <c r="L1127" s="2530"/>
      <c r="M1127" s="2530"/>
      <c r="N1127" s="2530"/>
      <c r="O1127" s="2530"/>
      <c r="P1127" s="2530"/>
      <c r="Q1127" s="2530"/>
      <c r="R1127" s="2530"/>
      <c r="S1127" s="2530"/>
      <c r="T1127" s="2530"/>
      <c r="U1127" s="2530"/>
      <c r="V1127" s="2530">
        <f t="shared" ref="V1127:AM1127" si="914">+V901</f>
        <v>5.0793980348045609E-2</v>
      </c>
      <c r="W1127" s="2497">
        <f t="shared" si="914"/>
        <v>4.7845676497678617E-2</v>
      </c>
      <c r="X1127" s="2498">
        <f t="shared" si="914"/>
        <v>4.9858907853838987E-2</v>
      </c>
      <c r="Y1127" s="2498">
        <f t="shared" si="914"/>
        <v>4.5327271390820163E-2</v>
      </c>
      <c r="Z1127" s="2498">
        <f t="shared" si="914"/>
        <v>3.3377324944305814E-2</v>
      </c>
      <c r="AA1127" s="2498">
        <f t="shared" si="914"/>
        <v>2.6333557033018838E-2</v>
      </c>
      <c r="AB1127" s="2498">
        <f t="shared" si="914"/>
        <v>5.3144799547423682E-2</v>
      </c>
      <c r="AC1127" s="2498">
        <f t="shared" si="914"/>
        <v>5.8269235088859207E-2</v>
      </c>
      <c r="AD1127" s="2498">
        <f t="shared" si="914"/>
        <v>4.9679732327264046E-2</v>
      </c>
      <c r="AE1127" s="2498">
        <f t="shared" si="914"/>
        <v>3.332606707240976E-2</v>
      </c>
      <c r="AF1127" s="2498">
        <f t="shared" si="914"/>
        <v>3.5364765175265003E-2</v>
      </c>
      <c r="AG1127" s="2498">
        <f t="shared" si="914"/>
        <v>5.565048539630172E-2</v>
      </c>
      <c r="AH1127" s="2498">
        <f t="shared" si="914"/>
        <v>4.624101353918468E-2</v>
      </c>
      <c r="AI1127" s="815">
        <f t="shared" si="914"/>
        <v>4.624101353918468E-2</v>
      </c>
      <c r="AJ1127" s="815">
        <f t="shared" si="914"/>
        <v>4.624101353918468E-2</v>
      </c>
      <c r="AK1127" s="815">
        <f t="shared" si="914"/>
        <v>4.624101353918468E-2</v>
      </c>
      <c r="AL1127" s="815">
        <f t="shared" si="914"/>
        <v>4.624101353918468E-2</v>
      </c>
      <c r="AM1127" s="815">
        <f t="shared" si="914"/>
        <v>4.624101353918468E-2</v>
      </c>
      <c r="AN1127" s="815">
        <f t="shared" ref="AN1127:AT1127" si="915">+AN901</f>
        <v>4.624101353918468E-2</v>
      </c>
      <c r="AO1127" s="1932">
        <f t="shared" si="915"/>
        <v>4.624101353918468E-2</v>
      </c>
      <c r="AP1127" s="1932">
        <f t="shared" si="915"/>
        <v>4.624101353918468E-2</v>
      </c>
      <c r="AQ1127" s="1932">
        <f t="shared" si="915"/>
        <v>4.624101353918468E-2</v>
      </c>
      <c r="AR1127" s="1932">
        <f t="shared" si="915"/>
        <v>4.624101353918468E-2</v>
      </c>
      <c r="AS1127" s="1932">
        <f t="shared" si="915"/>
        <v>4.624101353918468E-2</v>
      </c>
      <c r="AT1127" s="1932">
        <f t="shared" si="915"/>
        <v>4.624101353918468E-2</v>
      </c>
    </row>
    <row r="1128" spans="1:46">
      <c r="D1128" s="2531" t="s">
        <v>354</v>
      </c>
      <c r="E1128" s="3087"/>
      <c r="F1128" s="2966"/>
      <c r="G1128" s="2532"/>
      <c r="H1128" s="2532"/>
      <c r="I1128" s="2533"/>
      <c r="J1128" s="2533"/>
      <c r="K1128" s="2533"/>
      <c r="L1128" s="2533"/>
      <c r="M1128" s="2533"/>
      <c r="N1128" s="2533"/>
      <c r="O1128" s="2533"/>
      <c r="P1128" s="2533"/>
      <c r="Q1128" s="2533"/>
      <c r="R1128" s="2533"/>
      <c r="S1128" s="2533"/>
      <c r="T1128" s="2533"/>
      <c r="U1128" s="2533"/>
      <c r="V1128" s="2533">
        <f t="shared" ref="V1128:AM1128" si="916">+V900-V901</f>
        <v>6.4931627639497752E-2</v>
      </c>
      <c r="W1128" s="2534">
        <f t="shared" si="916"/>
        <v>6.2286189212040009E-2</v>
      </c>
      <c r="X1128" s="2535">
        <f t="shared" si="916"/>
        <v>5.9958071896641728E-2</v>
      </c>
      <c r="Y1128" s="2535">
        <f t="shared" si="916"/>
        <v>6.8371377824857693E-2</v>
      </c>
      <c r="Z1128" s="2535">
        <f t="shared" si="916"/>
        <v>7.8272753404453194E-2</v>
      </c>
      <c r="AA1128" s="2535">
        <f t="shared" si="916"/>
        <v>6.1283354835673716E-2</v>
      </c>
      <c r="AB1128" s="2535">
        <f t="shared" si="916"/>
        <v>5.416923867239401E-2</v>
      </c>
      <c r="AC1128" s="2535">
        <f t="shared" si="916"/>
        <v>5.511002308843032E-2</v>
      </c>
      <c r="AD1128" s="2535">
        <f t="shared" si="916"/>
        <v>6.2878672159447369E-2</v>
      </c>
      <c r="AE1128" s="2535">
        <f t="shared" si="916"/>
        <v>6.9377524536062496E-2</v>
      </c>
      <c r="AF1128" s="2535">
        <f t="shared" si="916"/>
        <v>6.935931123479086E-2</v>
      </c>
      <c r="AG1128" s="2535">
        <f t="shared" si="916"/>
        <v>6.2577940356438183E-2</v>
      </c>
      <c r="AH1128" s="2535">
        <f t="shared" si="916"/>
        <v>5.7395772343786414E-2</v>
      </c>
      <c r="AI1128" s="3252">
        <f t="shared" si="916"/>
        <v>5.7395772343786414E-2</v>
      </c>
      <c r="AJ1128" s="3252">
        <f t="shared" si="916"/>
        <v>5.7395772343786414E-2</v>
      </c>
      <c r="AK1128" s="3252">
        <f t="shared" si="916"/>
        <v>5.7395772343786414E-2</v>
      </c>
      <c r="AL1128" s="3252">
        <f t="shared" si="916"/>
        <v>5.7395772343786414E-2</v>
      </c>
      <c r="AM1128" s="3252">
        <f t="shared" si="916"/>
        <v>5.7395772343786414E-2</v>
      </c>
      <c r="AN1128" s="3252">
        <f t="shared" ref="AN1128:AT1128" si="917">+AN900-AN901</f>
        <v>5.7395772343786414E-2</v>
      </c>
      <c r="AO1128" s="1940">
        <f t="shared" si="917"/>
        <v>5.7395772343786414E-2</v>
      </c>
      <c r="AP1128" s="1940">
        <f t="shared" si="917"/>
        <v>5.7395772343786414E-2</v>
      </c>
      <c r="AQ1128" s="1940">
        <f t="shared" si="917"/>
        <v>5.7395772343786414E-2</v>
      </c>
      <c r="AR1128" s="1940">
        <f t="shared" si="917"/>
        <v>5.7395772343786414E-2</v>
      </c>
      <c r="AS1128" s="1940">
        <f t="shared" si="917"/>
        <v>5.7395772343786414E-2</v>
      </c>
      <c r="AT1128" s="1940">
        <f t="shared" si="917"/>
        <v>5.7395772343786414E-2</v>
      </c>
    </row>
    <row r="1129" spans="1:46">
      <c r="D1129" s="292" t="s">
        <v>663</v>
      </c>
      <c r="F1129" s="1"/>
      <c r="G1129" s="1"/>
      <c r="H1129" s="1"/>
      <c r="I1129" s="1"/>
      <c r="J1129" s="1"/>
      <c r="K1129" s="1"/>
      <c r="L1129" s="1"/>
      <c r="M1129" s="1"/>
      <c r="AD1129" s="2883"/>
      <c r="AE1129" s="2883"/>
      <c r="AF1129" s="2883"/>
      <c r="AG1129" s="2883"/>
      <c r="AH1129" s="2883"/>
      <c r="AI1129" s="2883"/>
      <c r="AJ1129" s="2883"/>
      <c r="AK1129" s="2883"/>
      <c r="AL1129" s="2883"/>
      <c r="AM1129" s="2883"/>
      <c r="AN1129" s="2883"/>
      <c r="AO1129" s="2883"/>
      <c r="AP1129" s="2883"/>
      <c r="AQ1129" s="2883"/>
      <c r="AR1129" s="2883"/>
      <c r="AS1129" s="2883"/>
      <c r="AT1129" s="2883"/>
    </row>
    <row r="1132" spans="1:46" ht="16.75" thickBot="1">
      <c r="D1132" s="689" t="s">
        <v>1039</v>
      </c>
      <c r="E1132" s="3088"/>
      <c r="F1132" s="690"/>
      <c r="G1132" s="690"/>
      <c r="H1132" s="690"/>
      <c r="I1132" s="690"/>
      <c r="J1132" s="690"/>
      <c r="K1132" s="690"/>
      <c r="L1132" s="690"/>
      <c r="M1132" s="690"/>
      <c r="N1132" s="690"/>
      <c r="O1132" s="690"/>
      <c r="P1132" s="690"/>
      <c r="Q1132" s="690"/>
      <c r="R1132" s="690"/>
      <c r="S1132" s="690"/>
      <c r="T1132" s="690"/>
      <c r="U1132" s="691"/>
      <c r="V1132" s="690"/>
      <c r="W1132" s="939"/>
      <c r="X1132" s="940"/>
      <c r="Y1132" s="939"/>
      <c r="Z1132" s="940"/>
      <c r="AA1132" s="939"/>
      <c r="AB1132" s="939"/>
      <c r="AC1132" s="691"/>
      <c r="AD1132" s="939"/>
      <c r="AE1132" s="939"/>
      <c r="AF1132" s="939"/>
      <c r="AG1132" s="939"/>
      <c r="AH1132" s="939"/>
      <c r="AI1132" s="939"/>
      <c r="AJ1132" s="939"/>
      <c r="AK1132" s="939"/>
      <c r="AL1132" s="939"/>
      <c r="AM1132" s="939"/>
      <c r="AN1132" s="939"/>
      <c r="AO1132" s="1941"/>
      <c r="AP1132" s="1941"/>
      <c r="AQ1132" s="1941"/>
      <c r="AR1132" s="1941"/>
      <c r="AS1132" s="1941"/>
      <c r="AT1132" s="1941"/>
    </row>
    <row r="1133" spans="1:46">
      <c r="D1133" s="2110"/>
      <c r="E1133" s="3089"/>
      <c r="F1133" s="941"/>
      <c r="G1133" s="941"/>
      <c r="H1133" s="941"/>
      <c r="I1133" s="941">
        <v>1998</v>
      </c>
      <c r="J1133" s="941">
        <v>1999</v>
      </c>
      <c r="K1133" s="941">
        <v>2000</v>
      </c>
      <c r="L1133" s="941">
        <v>2001</v>
      </c>
      <c r="M1133" s="941">
        <v>2002</v>
      </c>
      <c r="N1133" s="941">
        <v>2003</v>
      </c>
      <c r="O1133" s="941">
        <v>2004</v>
      </c>
      <c r="P1133" s="941">
        <v>2005</v>
      </c>
      <c r="Q1133" s="941">
        <v>2006</v>
      </c>
      <c r="R1133" s="941">
        <v>2007</v>
      </c>
      <c r="S1133" s="941">
        <v>2008</v>
      </c>
      <c r="T1133" s="941">
        <v>2009</v>
      </c>
      <c r="U1133" s="941">
        <v>2010</v>
      </c>
      <c r="V1133" s="941">
        <v>2011</v>
      </c>
      <c r="W1133" s="941">
        <v>2012</v>
      </c>
      <c r="X1133" s="941">
        <v>2013</v>
      </c>
      <c r="Y1133" s="941">
        <v>2014</v>
      </c>
      <c r="Z1133" s="941">
        <v>2015</v>
      </c>
      <c r="AA1133" s="941">
        <v>2016</v>
      </c>
      <c r="AB1133" s="941">
        <v>2017</v>
      </c>
      <c r="AC1133" s="699">
        <v>2018</v>
      </c>
      <c r="AD1133" s="941">
        <v>2019</v>
      </c>
      <c r="AE1133" s="941">
        <v>2020</v>
      </c>
      <c r="AF1133" s="941">
        <v>2021</v>
      </c>
      <c r="AG1133" s="941">
        <v>2022</v>
      </c>
      <c r="AH1133" s="941">
        <v>2023</v>
      </c>
      <c r="AI1133" s="941">
        <v>2024</v>
      </c>
      <c r="AJ1133" s="941">
        <v>2025</v>
      </c>
      <c r="AK1133" s="941">
        <v>2026</v>
      </c>
      <c r="AL1133" s="941">
        <v>2027</v>
      </c>
      <c r="AM1133" s="941">
        <v>2028</v>
      </c>
      <c r="AN1133" s="941">
        <v>2029</v>
      </c>
      <c r="AO1133" s="1942">
        <v>2030</v>
      </c>
      <c r="AP1133" s="1942">
        <v>2031</v>
      </c>
      <c r="AQ1133" s="1942">
        <v>2032</v>
      </c>
      <c r="AR1133" s="1942">
        <v>2033</v>
      </c>
      <c r="AS1133" s="1942">
        <v>2034</v>
      </c>
      <c r="AT1133" s="1942">
        <v>2035</v>
      </c>
    </row>
    <row r="1134" spans="1:46" ht="16.75" thickBot="1">
      <c r="D1134" s="2111"/>
      <c r="E1134" s="3090"/>
      <c r="F1134" s="692"/>
      <c r="G1134" s="692"/>
      <c r="H1134" s="692"/>
      <c r="I1134" s="692"/>
      <c r="J1134" s="692"/>
      <c r="K1134" s="692"/>
      <c r="L1134" s="692"/>
      <c r="M1134" s="692"/>
      <c r="N1134" s="692"/>
      <c r="O1134" s="692"/>
      <c r="P1134" s="692"/>
      <c r="Q1134" s="692"/>
      <c r="R1134" s="692"/>
      <c r="S1134" s="692"/>
      <c r="T1134" s="692"/>
      <c r="U1134" s="692"/>
      <c r="V1134" s="692"/>
      <c r="W1134" s="692"/>
      <c r="X1134" s="692"/>
      <c r="Y1134" s="692"/>
      <c r="Z1134" s="692"/>
      <c r="AA1134" s="692"/>
      <c r="AB1134" s="692"/>
      <c r="AC1134" s="692"/>
      <c r="AD1134" s="692"/>
      <c r="AE1134" s="692"/>
      <c r="AF1134" s="692"/>
      <c r="AG1134" s="692"/>
      <c r="AH1134" s="692"/>
      <c r="AI1134" s="692"/>
      <c r="AJ1134" s="692"/>
      <c r="AK1134" s="692"/>
      <c r="AL1134" s="692"/>
      <c r="AM1134" s="692"/>
      <c r="AN1134" s="692"/>
      <c r="AO1134" s="1943"/>
      <c r="AP1134" s="1943"/>
      <c r="AQ1134" s="1943"/>
      <c r="AR1134" s="1943"/>
      <c r="AS1134" s="1943"/>
      <c r="AT1134" s="1943"/>
    </row>
    <row r="1135" spans="1:46">
      <c r="D1135" s="2112" t="s">
        <v>611</v>
      </c>
      <c r="E1135" s="3091"/>
      <c r="F1135" s="942"/>
      <c r="G1135" s="942"/>
      <c r="H1135" s="942"/>
      <c r="I1135" s="942"/>
      <c r="J1135" s="942"/>
      <c r="K1135" s="942"/>
      <c r="L1135" s="942"/>
      <c r="M1135" s="942"/>
      <c r="N1135" s="942"/>
      <c r="O1135" s="942"/>
      <c r="P1135" s="942"/>
      <c r="Q1135" s="942"/>
      <c r="R1135" s="942"/>
      <c r="S1135" s="942"/>
      <c r="T1135" s="942"/>
      <c r="U1135" s="942"/>
      <c r="V1135" s="942"/>
      <c r="W1135" s="942"/>
      <c r="X1135" s="942"/>
      <c r="Y1135" s="942"/>
      <c r="Z1135" s="943"/>
      <c r="AA1135" s="943"/>
      <c r="AB1135" s="943"/>
      <c r="AC1135" s="693"/>
      <c r="AD1135" s="943"/>
      <c r="AE1135" s="943"/>
      <c r="AF1135" s="943"/>
      <c r="AG1135" s="943"/>
      <c r="AH1135" s="943"/>
      <c r="AI1135" s="943"/>
      <c r="AJ1135" s="943"/>
      <c r="AK1135" s="943"/>
      <c r="AL1135" s="943"/>
      <c r="AM1135" s="943"/>
      <c r="AN1135" s="943"/>
      <c r="AO1135" s="1944"/>
      <c r="AP1135" s="1944"/>
      <c r="AQ1135" s="1944"/>
      <c r="AR1135" s="1944"/>
      <c r="AS1135" s="1944"/>
      <c r="AT1135" s="1944"/>
    </row>
    <row r="1136" spans="1:46">
      <c r="D1136" s="694" t="s">
        <v>612</v>
      </c>
      <c r="E1136" s="3092"/>
      <c r="F1136" s="943"/>
      <c r="G1136" s="943"/>
      <c r="H1136" s="943"/>
      <c r="I1136" s="943"/>
      <c r="J1136" s="943">
        <f t="shared" ref="J1136:O1136" si="918">J1095*100</f>
        <v>0</v>
      </c>
      <c r="K1136" s="943">
        <f t="shared" si="918"/>
        <v>8.4</v>
      </c>
      <c r="L1136" s="943">
        <f t="shared" si="918"/>
        <v>8.5</v>
      </c>
      <c r="M1136" s="943">
        <f t="shared" si="918"/>
        <v>13.200000000000001</v>
      </c>
      <c r="N1136" s="943">
        <f t="shared" si="918"/>
        <v>2.1999999999999997</v>
      </c>
      <c r="O1136" s="943">
        <f t="shared" si="918"/>
        <v>7.3999999999999995</v>
      </c>
      <c r="P1136" s="943">
        <f t="shared" ref="P1136:Q1136" si="919">P1095*100</f>
        <v>9.4</v>
      </c>
      <c r="Q1136" s="943">
        <f t="shared" si="919"/>
        <v>9.1999999999999993</v>
      </c>
      <c r="R1136" s="943">
        <f t="shared" ref="R1136:AO1136" si="920">R1095*100</f>
        <v>7.6</v>
      </c>
      <c r="S1136" s="943">
        <f t="shared" si="920"/>
        <v>11.200000000000001</v>
      </c>
      <c r="T1136" s="943">
        <f t="shared" si="920"/>
        <v>6.2</v>
      </c>
      <c r="U1136" s="943">
        <f t="shared" si="920"/>
        <v>7.3</v>
      </c>
      <c r="V1136" s="943">
        <f t="shared" si="920"/>
        <v>8</v>
      </c>
      <c r="W1136" s="943">
        <f t="shared" si="920"/>
        <v>8.6302637667746485</v>
      </c>
      <c r="X1136" s="943">
        <f t="shared" si="920"/>
        <v>54.430244941427055</v>
      </c>
      <c r="Y1136" s="943">
        <f t="shared" si="920"/>
        <v>-28.335976829184194</v>
      </c>
      <c r="Z1136" s="943">
        <f t="shared" si="920"/>
        <v>8.8722093918398812</v>
      </c>
      <c r="AA1136" s="943">
        <f t="shared" si="920"/>
        <v>5.65670850273996</v>
      </c>
      <c r="AB1136" s="943">
        <f t="shared" si="920"/>
        <v>4.70972059561654</v>
      </c>
      <c r="AC1136" s="693">
        <f t="shared" si="920"/>
        <v>8.0690261244707138</v>
      </c>
      <c r="AD1136" s="943">
        <f t="shared" si="920"/>
        <v>9.2777408146669682</v>
      </c>
      <c r="AE1136" s="943">
        <f t="shared" si="920"/>
        <v>-27.269652279799761</v>
      </c>
      <c r="AF1136" s="943">
        <f t="shared" si="920"/>
        <v>44.926053390382293</v>
      </c>
      <c r="AG1136" s="943">
        <f t="shared" si="920"/>
        <v>9.8196521404274364</v>
      </c>
      <c r="AH1136" s="943">
        <f t="shared" si="920"/>
        <v>8.5617439074279655</v>
      </c>
      <c r="AI1136" s="943">
        <f t="shared" si="920"/>
        <v>7.2189922480620172</v>
      </c>
      <c r="AJ1136" s="943">
        <f t="shared" si="920"/>
        <v>7.7782468776579332</v>
      </c>
      <c r="AK1136" s="943">
        <f t="shared" si="920"/>
        <v>8.3624635479302523</v>
      </c>
      <c r="AL1136" s="943">
        <f t="shared" si="920"/>
        <v>8.9448074270741262</v>
      </c>
      <c r="AM1136" s="943">
        <f t="shared" si="920"/>
        <v>8.4872958933530924</v>
      </c>
      <c r="AN1136" s="943">
        <f t="shared" si="920"/>
        <v>7.9348150624235281</v>
      </c>
      <c r="AO1136" s="1944">
        <f t="shared" si="920"/>
        <v>8.3566922941106174</v>
      </c>
      <c r="AP1136" s="1944">
        <f t="shared" ref="AP1136:AT1137" si="921">AP1095*100</f>
        <v>8.5986517054702052</v>
      </c>
      <c r="AQ1136" s="1944">
        <f t="shared" si="921"/>
        <v>8.681580504746977</v>
      </c>
      <c r="AR1136" s="1944">
        <f t="shared" si="921"/>
        <v>8.9285264139473401</v>
      </c>
      <c r="AS1136" s="1944">
        <f t="shared" si="921"/>
        <v>9.1185787998089456</v>
      </c>
      <c r="AT1136" s="1944">
        <f t="shared" si="921"/>
        <v>9.5543951724292029</v>
      </c>
    </row>
    <row r="1137" spans="1:46">
      <c r="D1137" s="694" t="s">
        <v>613</v>
      </c>
      <c r="E1137" s="3092"/>
      <c r="F1137" s="943"/>
      <c r="G1137" s="943"/>
      <c r="H1137" s="943"/>
      <c r="I1137" s="943"/>
      <c r="J1137" s="943">
        <f t="shared" ref="J1137:O1137" si="922">J1096*100</f>
        <v>0</v>
      </c>
      <c r="K1137" s="943">
        <f t="shared" si="922"/>
        <v>8.4000000000000075</v>
      </c>
      <c r="L1137" s="943">
        <f t="shared" si="922"/>
        <v>8.4999999999999964</v>
      </c>
      <c r="M1137" s="943">
        <f t="shared" si="922"/>
        <v>13.200000000000012</v>
      </c>
      <c r="N1137" s="943">
        <f t="shared" si="922"/>
        <v>2.200000000000002</v>
      </c>
      <c r="O1137" s="943">
        <f t="shared" si="922"/>
        <v>7.4000000000000066</v>
      </c>
      <c r="P1137" s="943">
        <f t="shared" ref="P1137:Q1137" si="923">P1096*100</f>
        <v>9.4000000000000092</v>
      </c>
      <c r="Q1137" s="943">
        <f t="shared" si="923"/>
        <v>9.2000000000000082</v>
      </c>
      <c r="R1137" s="943">
        <f t="shared" ref="R1137:AO1137" si="924">R1096*100</f>
        <v>7.6000000000000068</v>
      </c>
      <c r="S1137" s="943">
        <f t="shared" si="924"/>
        <v>11.20000000000001</v>
      </c>
      <c r="T1137" s="943">
        <f t="shared" si="924"/>
        <v>6.2000000000000055</v>
      </c>
      <c r="U1137" s="943">
        <f t="shared" si="924"/>
        <v>7.2999999999999954</v>
      </c>
      <c r="V1137" s="943">
        <f t="shared" si="924"/>
        <v>8.0000000000000071</v>
      </c>
      <c r="W1137" s="943">
        <f t="shared" si="924"/>
        <v>13.663075416258575</v>
      </c>
      <c r="X1137" s="943">
        <f t="shared" si="924"/>
        <v>107.66910814304178</v>
      </c>
      <c r="Y1137" s="943">
        <f t="shared" si="924"/>
        <v>-42.448132780082993</v>
      </c>
      <c r="Z1137" s="943">
        <f t="shared" si="924"/>
        <v>9.6070656092285489</v>
      </c>
      <c r="AA1137" s="943">
        <f t="shared" si="924"/>
        <v>11.297483966452893</v>
      </c>
      <c r="AB1137" s="943">
        <f t="shared" si="924"/>
        <v>12.603427895981078</v>
      </c>
      <c r="AC1137" s="693">
        <f t="shared" si="924"/>
        <v>9.0276866552945876</v>
      </c>
      <c r="AD1137" s="943">
        <f t="shared" si="924"/>
        <v>13.852449151522439</v>
      </c>
      <c r="AE1137" s="943">
        <f t="shared" si="924"/>
        <v>-20.761099365750525</v>
      </c>
      <c r="AF1137" s="943">
        <f t="shared" si="924"/>
        <v>48.41248665955176</v>
      </c>
      <c r="AG1137" s="943">
        <f t="shared" si="924"/>
        <v>27.316853932584273</v>
      </c>
      <c r="AH1137" s="943">
        <f t="shared" si="924"/>
        <v>21.272239480372779</v>
      </c>
      <c r="AI1137" s="943">
        <f t="shared" si="924"/>
        <v>15.957384875123704</v>
      </c>
      <c r="AJ1137" s="943">
        <f t="shared" si="924"/>
        <v>14.4493885534271</v>
      </c>
      <c r="AK1137" s="943">
        <f t="shared" si="924"/>
        <v>18.708729373686172</v>
      </c>
      <c r="AL1137" s="943">
        <f t="shared" si="924"/>
        <v>12.969175764336892</v>
      </c>
      <c r="AM1137" s="943">
        <f t="shared" si="924"/>
        <v>12.842089522834076</v>
      </c>
      <c r="AN1137" s="943">
        <f t="shared" si="924"/>
        <v>13.341504897644253</v>
      </c>
      <c r="AO1137" s="1944">
        <f t="shared" si="924"/>
        <v>13.797918944045184</v>
      </c>
      <c r="AP1137" s="1944">
        <f t="shared" si="921"/>
        <v>13.454627571853518</v>
      </c>
      <c r="AQ1137" s="1944">
        <f t="shared" si="921"/>
        <v>14.177949168212734</v>
      </c>
      <c r="AR1137" s="1944">
        <f t="shared" si="921"/>
        <v>14.418771501159222</v>
      </c>
      <c r="AS1137" s="1944">
        <f t="shared" si="921"/>
        <v>14.36711126637662</v>
      </c>
      <c r="AT1137" s="1944">
        <f t="shared" si="921"/>
        <v>14.505915655562053</v>
      </c>
    </row>
    <row r="1138" spans="1:46">
      <c r="D1138" s="694" t="s">
        <v>614</v>
      </c>
      <c r="E1138" s="3093"/>
      <c r="F1138" s="695"/>
      <c r="G1138" s="695"/>
      <c r="H1138" s="695"/>
      <c r="I1138" s="695"/>
      <c r="J1138" s="695">
        <f t="shared" ref="J1138:O1138" si="925">J1098*100</f>
        <v>0</v>
      </c>
      <c r="K1138" s="695">
        <f t="shared" si="925"/>
        <v>0</v>
      </c>
      <c r="L1138" s="695">
        <f t="shared" si="925"/>
        <v>0</v>
      </c>
      <c r="M1138" s="695">
        <f t="shared" si="925"/>
        <v>0</v>
      </c>
      <c r="N1138" s="695">
        <f t="shared" si="925"/>
        <v>0</v>
      </c>
      <c r="O1138" s="695">
        <f t="shared" si="925"/>
        <v>0</v>
      </c>
      <c r="P1138" s="695">
        <f t="shared" ref="P1138:Q1138" si="926">P1098*100</f>
        <v>0</v>
      </c>
      <c r="Q1138" s="695">
        <f t="shared" si="926"/>
        <v>0</v>
      </c>
      <c r="R1138" s="695">
        <f t="shared" ref="R1138:AJ1138" si="927">R1098*100</f>
        <v>0</v>
      </c>
      <c r="S1138" s="695">
        <f t="shared" si="927"/>
        <v>0</v>
      </c>
      <c r="T1138" s="695">
        <f t="shared" si="927"/>
        <v>0</v>
      </c>
      <c r="U1138" s="695">
        <f t="shared" si="927"/>
        <v>0</v>
      </c>
      <c r="V1138" s="695">
        <f t="shared" si="927"/>
        <v>0</v>
      </c>
      <c r="W1138" s="695">
        <f t="shared" si="927"/>
        <v>4.7619047619047672</v>
      </c>
      <c r="X1138" s="695">
        <f t="shared" si="927"/>
        <v>2.5252525252525304</v>
      </c>
      <c r="Y1138" s="695">
        <f t="shared" si="927"/>
        <v>5.4187192118226646</v>
      </c>
      <c r="Z1138" s="695">
        <f t="shared" si="927"/>
        <v>0.46728971962617383</v>
      </c>
      <c r="AA1138" s="695">
        <f t="shared" si="927"/>
        <v>5.338776442734483</v>
      </c>
      <c r="AB1138" s="695">
        <f t="shared" si="927"/>
        <v>7.5386575911606357</v>
      </c>
      <c r="AC1138" s="695">
        <f t="shared" si="927"/>
        <v>0.88708167844477881</v>
      </c>
      <c r="AD1138" s="695">
        <f t="shared" si="927"/>
        <v>4.1863130613343236</v>
      </c>
      <c r="AE1138" s="695">
        <f t="shared" si="927"/>
        <v>8.948881887775606</v>
      </c>
      <c r="AF1138" s="695">
        <f t="shared" si="927"/>
        <v>2.4056635695296258</v>
      </c>
      <c r="AG1138" s="695">
        <f t="shared" si="927"/>
        <v>15.932669108970575</v>
      </c>
      <c r="AH1138" s="695">
        <f t="shared" si="927"/>
        <v>11.708079766831304</v>
      </c>
      <c r="AI1138" s="695">
        <f t="shared" si="927"/>
        <v>8.150041745257731</v>
      </c>
      <c r="AJ1138" s="695">
        <f t="shared" si="927"/>
        <v>6.1896921401419558</v>
      </c>
      <c r="AK1138" s="695">
        <f t="shared" ref="AK1138:AT1138" si="928">AK1098*100</f>
        <v>9.5478318663174466</v>
      </c>
      <c r="AL1138" s="695">
        <f t="shared" si="928"/>
        <v>3.6939514900300452</v>
      </c>
      <c r="AM1138" s="695">
        <f t="shared" si="928"/>
        <v>4.0141046872086417</v>
      </c>
      <c r="AN1138" s="695">
        <f t="shared" si="928"/>
        <v>5.009217676515032</v>
      </c>
      <c r="AO1138" s="1945">
        <f t="shared" si="928"/>
        <v>5.0215879930752383</v>
      </c>
      <c r="AP1138" s="1945">
        <f t="shared" si="928"/>
        <v>4.4714881723883382</v>
      </c>
      <c r="AQ1138" s="1945">
        <f t="shared" si="928"/>
        <v>5.0573138869890677</v>
      </c>
      <c r="AR1138" s="1945">
        <f t="shared" si="928"/>
        <v>5.0402270809649874</v>
      </c>
      <c r="AS1138" s="1945">
        <f t="shared" si="928"/>
        <v>4.8099347739826825</v>
      </c>
      <c r="AT1138" s="1945">
        <f t="shared" si="928"/>
        <v>4.5196913143827455</v>
      </c>
    </row>
    <row r="1139" spans="1:46">
      <c r="D1139" s="694" t="s">
        <v>615</v>
      </c>
      <c r="E1139" s="3093"/>
      <c r="F1139" s="695"/>
      <c r="G1139" s="695"/>
      <c r="H1139" s="695"/>
      <c r="I1139" s="695"/>
      <c r="J1139" s="695">
        <f t="shared" ref="J1139:O1139" si="929">J1108*100</f>
        <v>-10.228761707806999</v>
      </c>
      <c r="K1139" s="695">
        <f t="shared" si="929"/>
        <v>2.1214788865460354</v>
      </c>
      <c r="L1139" s="695">
        <f t="shared" si="929"/>
        <v>1.1494230477025358</v>
      </c>
      <c r="M1139" s="695">
        <f t="shared" si="929"/>
        <v>-1.2501792998073302</v>
      </c>
      <c r="N1139" s="695">
        <f t="shared" si="929"/>
        <v>11.744236377675076</v>
      </c>
      <c r="O1139" s="695">
        <f t="shared" si="929"/>
        <v>11.937808306006037</v>
      </c>
      <c r="P1139" s="695">
        <f t="shared" ref="P1139:Q1139" si="930">P1108*100</f>
        <v>9.132697764056763</v>
      </c>
      <c r="Q1139" s="695">
        <f t="shared" si="930"/>
        <v>8.8313394380501897</v>
      </c>
      <c r="R1139" s="695">
        <f t="shared" ref="R1139:AO1139" si="931">R1108*100</f>
        <v>9.0809741086125495</v>
      </c>
      <c r="S1139" s="695">
        <f t="shared" si="931"/>
        <v>15.441509649830397</v>
      </c>
      <c r="T1139" s="695">
        <f t="shared" si="931"/>
        <v>10.340221174350983</v>
      </c>
      <c r="U1139" s="695">
        <f t="shared" si="931"/>
        <v>2.3073277314962892</v>
      </c>
      <c r="V1139" s="695">
        <f t="shared" si="931"/>
        <v>5.66756998454923</v>
      </c>
      <c r="W1139" s="695">
        <f t="shared" si="931"/>
        <v>6.2863849450282228</v>
      </c>
      <c r="X1139" s="695">
        <f t="shared" si="931"/>
        <v>4.2</v>
      </c>
      <c r="Y1139" s="695">
        <f t="shared" si="931"/>
        <v>1.784010267913394</v>
      </c>
      <c r="Z1139" s="695">
        <f t="shared" si="931"/>
        <v>2.5072988767667947</v>
      </c>
      <c r="AA1139" s="695">
        <f t="shared" si="931"/>
        <v>5.7234629999999997</v>
      </c>
      <c r="AB1139" s="695">
        <f t="shared" si="931"/>
        <v>4.8367798851274957</v>
      </c>
      <c r="AC1139" s="696">
        <f t="shared" si="931"/>
        <v>1.4000000000000001</v>
      </c>
      <c r="AD1139" s="695">
        <f t="shared" si="931"/>
        <v>2.4299999999999997</v>
      </c>
      <c r="AE1139" s="695">
        <f t="shared" si="931"/>
        <v>7.7156235546899099</v>
      </c>
      <c r="AF1139" s="695">
        <f t="shared" si="931"/>
        <v>0.81775706194855413</v>
      </c>
      <c r="AG1139" s="695">
        <f t="shared" si="931"/>
        <v>13.892335864190652</v>
      </c>
      <c r="AH1139" s="695">
        <f t="shared" si="931"/>
        <v>14.030353524911622</v>
      </c>
      <c r="AI1139" s="695">
        <f t="shared" si="931"/>
        <v>4.7622148458877707</v>
      </c>
      <c r="AJ1139" s="695">
        <f>AJ1108*100</f>
        <v>7.0000000000000009</v>
      </c>
      <c r="AK1139" s="695">
        <f t="shared" si="931"/>
        <v>9.35</v>
      </c>
      <c r="AL1139" s="695">
        <f t="shared" si="931"/>
        <v>3</v>
      </c>
      <c r="AM1139" s="695">
        <f t="shared" si="931"/>
        <v>4</v>
      </c>
      <c r="AN1139" s="695">
        <f t="shared" si="931"/>
        <v>5</v>
      </c>
      <c r="AO1139" s="1945">
        <f t="shared" si="931"/>
        <v>5</v>
      </c>
      <c r="AP1139" s="1945">
        <f>AP1108*100</f>
        <v>5</v>
      </c>
      <c r="AQ1139" s="1945">
        <f>AQ1108*100</f>
        <v>5</v>
      </c>
      <c r="AR1139" s="1945">
        <f>AR1108*100</f>
        <v>5</v>
      </c>
      <c r="AS1139" s="1945">
        <f>AS1108*100</f>
        <v>5</v>
      </c>
      <c r="AT1139" s="1945">
        <f>AT1108*100</f>
        <v>5</v>
      </c>
    </row>
    <row r="1140" spans="1:46">
      <c r="D1140" s="694" t="s">
        <v>616</v>
      </c>
      <c r="E1140" s="3093"/>
      <c r="F1140" s="695"/>
      <c r="G1140" s="695"/>
      <c r="H1140" s="695"/>
      <c r="I1140" s="695"/>
      <c r="J1140" s="695">
        <f t="shared" ref="J1140:O1140" si="932">J1107*100</f>
        <v>-5.9021725104933314</v>
      </c>
      <c r="K1140" s="695">
        <f t="shared" si="932"/>
        <v>14.119489507326065</v>
      </c>
      <c r="L1140" s="695">
        <f t="shared" si="932"/>
        <v>-10.155494511280116</v>
      </c>
      <c r="M1140" s="695">
        <f t="shared" si="932"/>
        <v>12.48899492894957</v>
      </c>
      <c r="N1140" s="695">
        <f t="shared" si="932"/>
        <v>7.5285504912388612</v>
      </c>
      <c r="O1140" s="695">
        <f t="shared" si="932"/>
        <v>10.245782930883829</v>
      </c>
      <c r="P1140" s="695">
        <f t="shared" ref="P1140:Q1140" si="933">P1107*100</f>
        <v>5.6075951070651664</v>
      </c>
      <c r="Q1140" s="695">
        <f t="shared" si="933"/>
        <v>12.138244260886166</v>
      </c>
      <c r="R1140" s="695">
        <f t="shared" ref="R1140:AO1140" si="934">R1107*100</f>
        <v>6.5793237144370575</v>
      </c>
      <c r="S1140" s="695">
        <f t="shared" si="934"/>
        <v>22.322678116126582</v>
      </c>
      <c r="T1140" s="695">
        <f t="shared" si="934"/>
        <v>5.736903261746007</v>
      </c>
      <c r="U1140" s="695">
        <f t="shared" si="934"/>
        <v>0.22675069879221077</v>
      </c>
      <c r="V1140" s="695">
        <f t="shared" si="934"/>
        <v>8.3355391639918093</v>
      </c>
      <c r="W1140" s="695">
        <f t="shared" si="934"/>
        <v>3.8845157048789547</v>
      </c>
      <c r="X1140" s="695">
        <f t="shared" si="934"/>
        <v>3.6000000000000005</v>
      </c>
      <c r="Y1140" s="695">
        <f t="shared" si="934"/>
        <v>2.1</v>
      </c>
      <c r="Z1140" s="695">
        <f t="shared" si="934"/>
        <v>4.5</v>
      </c>
      <c r="AA1140" s="695">
        <f t="shared" si="934"/>
        <v>7.2835000000000001</v>
      </c>
      <c r="AB1140" s="695">
        <f t="shared" si="934"/>
        <v>0.66540877038754331</v>
      </c>
      <c r="AC1140" s="696">
        <f t="shared" si="934"/>
        <v>1.0999999999999999</v>
      </c>
      <c r="AD1140" s="695">
        <f t="shared" si="934"/>
        <v>6.7309999999999999</v>
      </c>
      <c r="AE1140" s="695">
        <f t="shared" si="934"/>
        <v>3.74308209199119</v>
      </c>
      <c r="AF1140" s="695">
        <f t="shared" si="934"/>
        <v>1.8628873248091482</v>
      </c>
      <c r="AG1140" s="695">
        <f t="shared" si="934"/>
        <v>21.631732425985128</v>
      </c>
      <c r="AH1140" s="695">
        <f t="shared" si="934"/>
        <v>6.4478216181379056</v>
      </c>
      <c r="AI1140" s="695">
        <f t="shared" si="934"/>
        <v>6.7787993314077033</v>
      </c>
      <c r="AJ1140" s="695">
        <f t="shared" si="934"/>
        <v>8.9</v>
      </c>
      <c r="AK1140" s="695">
        <f t="shared" si="934"/>
        <v>8</v>
      </c>
      <c r="AL1140" s="695">
        <f t="shared" si="934"/>
        <v>3</v>
      </c>
      <c r="AM1140" s="695">
        <f t="shared" si="934"/>
        <v>5</v>
      </c>
      <c r="AN1140" s="695">
        <f t="shared" si="934"/>
        <v>5</v>
      </c>
      <c r="AO1140" s="1945">
        <f t="shared" si="934"/>
        <v>5</v>
      </c>
      <c r="AP1140" s="1945">
        <f>AP1107*100</f>
        <v>5</v>
      </c>
      <c r="AQ1140" s="1945">
        <f>AQ1107*100</f>
        <v>5</v>
      </c>
      <c r="AR1140" s="1945">
        <f>AR1107*100</f>
        <v>5</v>
      </c>
      <c r="AS1140" s="1945">
        <f>AS1107*100</f>
        <v>5</v>
      </c>
      <c r="AT1140" s="1945">
        <f>AT1107*100</f>
        <v>5</v>
      </c>
    </row>
    <row r="1141" spans="1:46" ht="16.75" thickBot="1">
      <c r="D1141" s="694" t="s">
        <v>54</v>
      </c>
      <c r="E1141" s="3094"/>
      <c r="F1141" s="697"/>
      <c r="G1141" s="697"/>
      <c r="H1141" s="697"/>
      <c r="I1141" s="697"/>
      <c r="J1141" s="697">
        <f t="shared" ref="J1141:N1141" si="935">J1102</f>
        <v>720</v>
      </c>
      <c r="K1141" s="697">
        <f t="shared" si="935"/>
        <v>806</v>
      </c>
      <c r="L1141" s="697">
        <f t="shared" si="935"/>
        <v>871</v>
      </c>
      <c r="M1141" s="697">
        <f t="shared" si="935"/>
        <v>934</v>
      </c>
      <c r="N1141" s="697">
        <f t="shared" si="935"/>
        <v>1149</v>
      </c>
      <c r="O1141" s="697">
        <f t="shared" ref="O1141:Q1141" si="936">O1102</f>
        <v>1372</v>
      </c>
      <c r="P1141" s="697">
        <f t="shared" si="936"/>
        <v>1636</v>
      </c>
      <c r="Q1141" s="697">
        <f t="shared" si="936"/>
        <v>1806</v>
      </c>
      <c r="R1141" s="697">
        <f t="shared" ref="R1141:AO1141" si="937">R1102</f>
        <v>2197</v>
      </c>
      <c r="S1141" s="697">
        <f t="shared" si="937"/>
        <v>2799</v>
      </c>
      <c r="T1141" s="697">
        <f t="shared" si="937"/>
        <v>3185</v>
      </c>
      <c r="U1141" s="697">
        <f t="shared" si="937"/>
        <v>3529</v>
      </c>
      <c r="V1141" s="697">
        <f t="shared" si="937"/>
        <v>4084</v>
      </c>
      <c r="W1141" s="697">
        <f t="shared" si="937"/>
        <v>4642</v>
      </c>
      <c r="X1141" s="697">
        <f t="shared" si="937"/>
        <v>9640</v>
      </c>
      <c r="Y1141" s="697">
        <f t="shared" si="937"/>
        <v>5548</v>
      </c>
      <c r="Z1141" s="697">
        <f t="shared" si="937"/>
        <v>6081</v>
      </c>
      <c r="AA1141" s="697">
        <f t="shared" si="937"/>
        <v>6768</v>
      </c>
      <c r="AB1141" s="697">
        <f t="shared" si="937"/>
        <v>7621</v>
      </c>
      <c r="AC1141" s="697">
        <f t="shared" si="937"/>
        <v>8309</v>
      </c>
      <c r="AD1141" s="697">
        <f t="shared" si="937"/>
        <v>9460</v>
      </c>
      <c r="AE1141" s="697">
        <f t="shared" si="937"/>
        <v>7496</v>
      </c>
      <c r="AF1141" s="697">
        <f t="shared" si="937"/>
        <v>11125</v>
      </c>
      <c r="AG1141" s="697">
        <f t="shared" si="937"/>
        <v>14164</v>
      </c>
      <c r="AH1141" s="697">
        <f t="shared" si="937"/>
        <v>17177</v>
      </c>
      <c r="AI1141" s="697">
        <f>AI1102</f>
        <v>19918</v>
      </c>
      <c r="AJ1141" s="697">
        <f t="shared" si="937"/>
        <v>22796.029212071611</v>
      </c>
      <c r="AK1141" s="697">
        <f t="shared" si="937"/>
        <v>27060.876625304532</v>
      </c>
      <c r="AL1141" s="697">
        <f t="shared" si="937"/>
        <v>30570.449278210635</v>
      </c>
      <c r="AM1141" s="697">
        <f t="shared" si="937"/>
        <v>34496.333742051029</v>
      </c>
      <c r="AN1141" s="697">
        <f t="shared" si="937"/>
        <v>39098.663797754474</v>
      </c>
      <c r="AO1141" s="1468">
        <f t="shared" si="937"/>
        <v>44493.465736773374</v>
      </c>
      <c r="AP1141" s="1468">
        <f>AP1102</f>
        <v>50479.895845466483</v>
      </c>
      <c r="AQ1141" s="1468">
        <f>AQ1102</f>
        <v>57636.909818603453</v>
      </c>
      <c r="AR1141" s="1468">
        <f>AR1102</f>
        <v>65947.444145677087</v>
      </c>
      <c r="AS1141" s="1468">
        <f>AS1102</f>
        <v>75422.186823418087</v>
      </c>
      <c r="AT1141" s="1468">
        <f>AT1102</f>
        <v>86362.865629603548</v>
      </c>
    </row>
    <row r="1142" spans="1:46" ht="16.75" thickTop="1">
      <c r="D1142" s="690"/>
      <c r="E1142" s="3095"/>
      <c r="F1142" s="700"/>
      <c r="G1142" s="700"/>
      <c r="H1142" s="700"/>
      <c r="I1142" s="700"/>
      <c r="J1142" s="700"/>
      <c r="K1142" s="700"/>
      <c r="L1142" s="700"/>
      <c r="M1142" s="700"/>
      <c r="N1142" s="700"/>
      <c r="O1142" s="700"/>
      <c r="P1142" s="700"/>
      <c r="Q1142" s="700"/>
      <c r="R1142" s="700"/>
      <c r="S1142" s="700"/>
      <c r="T1142" s="700"/>
      <c r="U1142" s="700"/>
      <c r="V1142" s="817" t="s">
        <v>1624</v>
      </c>
      <c r="W1142" s="817" t="s">
        <v>1625</v>
      </c>
      <c r="X1142" s="817" t="s">
        <v>1626</v>
      </c>
      <c r="Y1142" s="817" t="s">
        <v>618</v>
      </c>
      <c r="Z1142" s="817" t="s">
        <v>619</v>
      </c>
      <c r="AA1142" s="817" t="s">
        <v>620</v>
      </c>
      <c r="AB1142" s="817" t="s">
        <v>621</v>
      </c>
      <c r="AC1142" s="817" t="s">
        <v>622</v>
      </c>
      <c r="AD1142" s="817" t="s">
        <v>623</v>
      </c>
      <c r="AE1142" s="817" t="s">
        <v>702</v>
      </c>
      <c r="AF1142" s="817" t="s">
        <v>703</v>
      </c>
      <c r="AG1142" s="817" t="s">
        <v>901</v>
      </c>
      <c r="AH1142" s="817" t="s">
        <v>902</v>
      </c>
      <c r="AI1142" s="817" t="s">
        <v>903</v>
      </c>
      <c r="AJ1142" s="817" t="s">
        <v>904</v>
      </c>
      <c r="AK1142" s="817" t="s">
        <v>934</v>
      </c>
      <c r="AL1142" s="817" t="s">
        <v>951</v>
      </c>
      <c r="AM1142" s="817" t="s">
        <v>956</v>
      </c>
      <c r="AN1142" s="817" t="s">
        <v>1174</v>
      </c>
      <c r="AO1142" s="2662" t="s">
        <v>1175</v>
      </c>
      <c r="AP1142" s="2662" t="s">
        <v>1425</v>
      </c>
      <c r="AQ1142" s="2662" t="s">
        <v>1426</v>
      </c>
      <c r="AR1142" s="2662" t="s">
        <v>1427</v>
      </c>
      <c r="AS1142" s="2662" t="s">
        <v>1428</v>
      </c>
      <c r="AT1142" s="2662" t="s">
        <v>1429</v>
      </c>
    </row>
    <row r="1143" spans="1:46">
      <c r="D1143" s="2113" t="s">
        <v>624</v>
      </c>
      <c r="E1143" s="3096"/>
      <c r="F1143" s="1108"/>
      <c r="G1143" s="1108"/>
      <c r="H1143" s="1108"/>
      <c r="I1143" s="1108"/>
      <c r="J1143" s="943">
        <f t="shared" ref="J1143" si="938">(I1136+J1136)/2</f>
        <v>0</v>
      </c>
      <c r="K1143" s="943">
        <f t="shared" ref="K1143" si="939">(J1136+K1136)/2</f>
        <v>4.2</v>
      </c>
      <c r="L1143" s="943">
        <f t="shared" ref="L1143" si="940">(K1136+L1136)/2</f>
        <v>8.4499999999999993</v>
      </c>
      <c r="M1143" s="943">
        <f t="shared" ref="M1143" si="941">(L1136+M1136)/2</f>
        <v>10.850000000000001</v>
      </c>
      <c r="N1143" s="943">
        <f t="shared" ref="N1143" si="942">(M1136+N1136)/2</f>
        <v>7.7</v>
      </c>
      <c r="O1143" s="943">
        <f t="shared" ref="O1143" si="943">(N1136+O1136)/2</f>
        <v>4.8</v>
      </c>
      <c r="P1143" s="943">
        <f t="shared" ref="P1143" si="944">(O1136+P1136)/2</f>
        <v>8.4</v>
      </c>
      <c r="Q1143" s="943">
        <f t="shared" ref="Q1143" si="945">(P1136+Q1136)/2</f>
        <v>9.3000000000000007</v>
      </c>
      <c r="R1143" s="943">
        <f t="shared" ref="R1143" si="946">(Q1136+R1136)/2</f>
        <v>8.3999999999999986</v>
      </c>
      <c r="S1143" s="943">
        <f t="shared" ref="S1143" si="947">(R1136+S1136)/2</f>
        <v>9.4</v>
      </c>
      <c r="T1143" s="943">
        <f t="shared" ref="T1143" si="948">(S1136+T1136)/2</f>
        <v>8.7000000000000011</v>
      </c>
      <c r="U1143" s="943">
        <f t="shared" ref="U1143" si="949">(T1136+U1136)/2</f>
        <v>6.75</v>
      </c>
      <c r="V1143" s="943">
        <f t="shared" ref="V1143" si="950">(U1136+V1136)/2</f>
        <v>7.65</v>
      </c>
      <c r="W1143" s="943">
        <f t="shared" ref="W1143" si="951">(V1136+W1136)/2</f>
        <v>8.3151318833873233</v>
      </c>
      <c r="X1143" s="943">
        <f t="shared" ref="X1143" si="952">(W1136+X1136)/2</f>
        <v>31.530254354100851</v>
      </c>
      <c r="Y1143" s="943">
        <f t="shared" ref="Y1143" si="953">(X1136+Y1136)/2</f>
        <v>13.047134056121431</v>
      </c>
      <c r="Z1143" s="943">
        <f t="shared" ref="Z1143" si="954">(Y1136+Z1136)/2</f>
        <v>-9.7318837186721563</v>
      </c>
      <c r="AA1143" s="943">
        <f t="shared" ref="AA1143" si="955">(Z1136+AA1136)/2</f>
        <v>7.2644589472899206</v>
      </c>
      <c r="AB1143" s="943">
        <f t="shared" ref="AB1143" si="956">(AA1136+AB1136)/2</f>
        <v>5.18321454917825</v>
      </c>
      <c r="AC1143" s="943">
        <f t="shared" ref="AC1143" si="957">(AB1136+AC1136)/2</f>
        <v>6.3893733600436269</v>
      </c>
      <c r="AD1143" s="943">
        <f t="shared" ref="AD1143" si="958">(AC1136+AD1136)/2</f>
        <v>8.6733834695688401</v>
      </c>
      <c r="AE1143" s="943">
        <f t="shared" ref="AE1143" si="959">(AD1136+AE1136)/2</f>
        <v>-8.9959557325663972</v>
      </c>
      <c r="AF1143" s="943">
        <f t="shared" ref="AF1143" si="960">(AE1136+AF1136)/2</f>
        <v>8.8282005552912661</v>
      </c>
      <c r="AG1143" s="943">
        <f t="shared" ref="AG1143" si="961">(AF1136+AG1136)/2</f>
        <v>27.372852765404865</v>
      </c>
      <c r="AH1143" s="943">
        <f t="shared" ref="AH1143" si="962">(AG1136+AH1136)/2</f>
        <v>9.1906980239277019</v>
      </c>
      <c r="AI1143" s="943">
        <f t="shared" ref="AI1143" si="963">(AH1136+AI1136)/2</f>
        <v>7.8903680777449914</v>
      </c>
      <c r="AJ1143" s="943">
        <f t="shared" ref="AJ1143" si="964">(AI1136+AJ1136)/2</f>
        <v>7.4986195628599752</v>
      </c>
      <c r="AK1143" s="943">
        <f t="shared" ref="AK1143" si="965">(AJ1136+AK1136)/2</f>
        <v>8.0703552127940927</v>
      </c>
      <c r="AL1143" s="943">
        <f t="shared" ref="AL1143" si="966">(AK1136+AL1136)/2</f>
        <v>8.6536354875021892</v>
      </c>
      <c r="AM1143" s="943">
        <f t="shared" ref="AM1143" si="967">(AL1136+AM1136)/2</f>
        <v>8.7160516602136084</v>
      </c>
      <c r="AN1143" s="943">
        <f t="shared" ref="AN1143:AT1143" si="968">(AM1136+AN1136)/2</f>
        <v>8.2110554778883103</v>
      </c>
      <c r="AO1143" s="1944">
        <f t="shared" si="968"/>
        <v>8.1457536782670736</v>
      </c>
      <c r="AP1143" s="1944">
        <f t="shared" si="968"/>
        <v>8.4776719997904113</v>
      </c>
      <c r="AQ1143" s="1944">
        <f t="shared" si="968"/>
        <v>8.6401161051085911</v>
      </c>
      <c r="AR1143" s="1944">
        <f t="shared" si="968"/>
        <v>8.8050534593471586</v>
      </c>
      <c r="AS1143" s="1944">
        <f t="shared" si="968"/>
        <v>9.0235526068781429</v>
      </c>
      <c r="AT1143" s="1944">
        <f t="shared" si="968"/>
        <v>9.3364869861190734</v>
      </c>
    </row>
    <row r="1144" spans="1:46" s="2661" customFormat="1" ht="16.75" thickBot="1">
      <c r="A1144" s="297"/>
      <c r="B1144" s="295"/>
      <c r="C1144" s="295"/>
      <c r="D1144" s="2114" t="s">
        <v>617</v>
      </c>
      <c r="E1144" s="3097"/>
      <c r="F1144" s="944"/>
      <c r="G1144" s="944"/>
      <c r="H1144" s="944"/>
      <c r="I1144" s="944"/>
      <c r="J1144" s="3253">
        <f t="shared" ref="J1144" si="969">(I1141+J1141)/2</f>
        <v>360</v>
      </c>
      <c r="K1144" s="3253">
        <f t="shared" ref="K1144" si="970">(J1141+K1141)/2</f>
        <v>763</v>
      </c>
      <c r="L1144" s="3253">
        <f t="shared" ref="L1144" si="971">(K1141+L1141)/2</f>
        <v>838.5</v>
      </c>
      <c r="M1144" s="3253">
        <f t="shared" ref="M1144" si="972">(L1141+M1141)/2</f>
        <v>902.5</v>
      </c>
      <c r="N1144" s="3253">
        <f t="shared" ref="N1144" si="973">(M1141+N1141)/2</f>
        <v>1041.5</v>
      </c>
      <c r="O1144" s="3253">
        <f t="shared" ref="O1144" si="974">(N1141+O1141)/2</f>
        <v>1260.5</v>
      </c>
      <c r="P1144" s="3253">
        <f t="shared" ref="P1144" si="975">(O1141+P1141)/2</f>
        <v>1504</v>
      </c>
      <c r="Q1144" s="3253">
        <f t="shared" ref="Q1144" si="976">(P1141+Q1141)/2</f>
        <v>1721</v>
      </c>
      <c r="R1144" s="3253">
        <f t="shared" ref="R1144" si="977">(Q1141+R1141)/2</f>
        <v>2001.5</v>
      </c>
      <c r="S1144" s="3253">
        <f t="shared" ref="S1144" si="978">(R1141+S1141)/2</f>
        <v>2498</v>
      </c>
      <c r="T1144" s="3253">
        <f t="shared" ref="T1144" si="979">(S1141+T1141)/2</f>
        <v>2992</v>
      </c>
      <c r="U1144" s="3253">
        <f t="shared" ref="U1144" si="980">(T1141+U1141)/2</f>
        <v>3357</v>
      </c>
      <c r="V1144" s="3253">
        <f t="shared" ref="V1144" si="981">(U1141+V1141)/2</f>
        <v>3806.5</v>
      </c>
      <c r="W1144" s="3253">
        <f t="shared" ref="W1144" si="982">(V1141+W1141)/2</f>
        <v>4363</v>
      </c>
      <c r="X1144" s="3253">
        <f t="shared" ref="X1144" si="983">(W1141+X1141)/2</f>
        <v>7141</v>
      </c>
      <c r="Y1144" s="3253">
        <f t="shared" ref="Y1144" si="984">(X1141+Y1141)/2</f>
        <v>7594</v>
      </c>
      <c r="Z1144" s="3253">
        <f t="shared" ref="Z1144" si="985">(Y1141+Z1141)/2</f>
        <v>5814.5</v>
      </c>
      <c r="AA1144" s="3253">
        <f t="shared" ref="AA1144" si="986">(Z1141+AA1141)/2</f>
        <v>6424.5</v>
      </c>
      <c r="AB1144" s="3253">
        <f t="shared" ref="AB1144" si="987">(AA1141+AB1141)/2</f>
        <v>7194.5</v>
      </c>
      <c r="AC1144" s="3253">
        <f t="shared" ref="AC1144" si="988">(AB1141+AC1141)/2</f>
        <v>7965</v>
      </c>
      <c r="AD1144" s="3253">
        <f t="shared" ref="AD1144" si="989">(AC1141+AD1141)/2</f>
        <v>8884.5</v>
      </c>
      <c r="AE1144" s="3253">
        <f t="shared" ref="AE1144" si="990">(AD1141+AE1141)/2</f>
        <v>8478</v>
      </c>
      <c r="AF1144" s="3253">
        <f t="shared" ref="AF1144" si="991">(AE1141+AF1141)/2</f>
        <v>9310.5</v>
      </c>
      <c r="AG1144" s="3253">
        <f t="shared" ref="AG1144" si="992">(AF1141+AG1141)/2</f>
        <v>12644.5</v>
      </c>
      <c r="AH1144" s="3253">
        <f t="shared" ref="AH1144" si="993">(AG1141+AH1141)/2</f>
        <v>15670.5</v>
      </c>
      <c r="AI1144" s="3253">
        <f t="shared" ref="AI1144" si="994">(AH1141+AI1141)/2</f>
        <v>18547.5</v>
      </c>
      <c r="AJ1144" s="3253">
        <f t="shared" ref="AJ1144" si="995">(AI1141+AJ1141)/2</f>
        <v>21357.014606035806</v>
      </c>
      <c r="AK1144" s="3253">
        <f t="shared" ref="AK1144:AT1144" si="996">(AJ1141+AK1141)/2</f>
        <v>24928.452918688072</v>
      </c>
      <c r="AL1144" s="3253">
        <f t="shared" si="996"/>
        <v>28815.662951757586</v>
      </c>
      <c r="AM1144" s="3253">
        <f t="shared" si="996"/>
        <v>32533.39151013083</v>
      </c>
      <c r="AN1144" s="3253">
        <f t="shared" si="996"/>
        <v>36797.498769902755</v>
      </c>
      <c r="AO1144" s="2660">
        <f t="shared" si="996"/>
        <v>41796.064767263924</v>
      </c>
      <c r="AP1144" s="2660">
        <f t="shared" si="996"/>
        <v>47486.680791119928</v>
      </c>
      <c r="AQ1144" s="2660">
        <f t="shared" si="996"/>
        <v>54058.402832034968</v>
      </c>
      <c r="AR1144" s="2660">
        <f t="shared" si="996"/>
        <v>61792.17698214027</v>
      </c>
      <c r="AS1144" s="2660">
        <f t="shared" si="996"/>
        <v>70684.81548454758</v>
      </c>
      <c r="AT1144" s="2660">
        <f t="shared" si="996"/>
        <v>80892.526226510818</v>
      </c>
    </row>
    <row r="1145" spans="1:46">
      <c r="D1145" s="698" t="s">
        <v>625</v>
      </c>
      <c r="E1145" s="3098"/>
      <c r="F1145" s="693"/>
      <c r="G1145" s="690"/>
      <c r="H1145" s="690"/>
      <c r="I1145" s="690"/>
      <c r="J1145" s="690"/>
      <c r="K1145" s="690"/>
      <c r="L1145" s="690"/>
      <c r="M1145" s="690"/>
      <c r="N1145" s="690"/>
      <c r="O1145" s="690"/>
      <c r="P1145" s="690"/>
      <c r="Q1145" s="690"/>
      <c r="R1145" s="690"/>
      <c r="S1145" s="690"/>
      <c r="T1145" s="690"/>
      <c r="U1145" s="691"/>
      <c r="V1145" s="690"/>
      <c r="W1145" s="939"/>
      <c r="X1145" s="940"/>
      <c r="Y1145" s="939"/>
      <c r="Z1145" s="940"/>
      <c r="AA1145" s="939"/>
      <c r="AB1145" s="939"/>
      <c r="AC1145" s="691"/>
      <c r="AD1145" s="939"/>
      <c r="AE1145" s="939"/>
      <c r="AF1145" s="939"/>
      <c r="AG1145" s="939"/>
      <c r="AH1145" s="939"/>
      <c r="AI1145" s="3732">
        <f>(AH1141+AI1141)/2</f>
        <v>18547.5</v>
      </c>
      <c r="AJ1145" s="3732">
        <f t="shared" ref="AJ1145:AO1145" si="997">(AI1141+AJ1141)/2</f>
        <v>21357.014606035806</v>
      </c>
      <c r="AK1145" s="3732">
        <f t="shared" si="997"/>
        <v>24928.452918688072</v>
      </c>
      <c r="AL1145" s="3732">
        <f t="shared" si="997"/>
        <v>28815.662951757586</v>
      </c>
      <c r="AM1145" s="3732">
        <f t="shared" si="997"/>
        <v>32533.39151013083</v>
      </c>
      <c r="AN1145" s="3732">
        <f t="shared" si="997"/>
        <v>36797.498769902755</v>
      </c>
      <c r="AO1145" s="3732">
        <f t="shared" si="997"/>
        <v>41796.064767263924</v>
      </c>
      <c r="AP1145" s="1941"/>
      <c r="AQ1145" s="1941"/>
      <c r="AR1145" s="1941"/>
      <c r="AS1145" s="1941"/>
      <c r="AT1145" s="1941"/>
    </row>
    <row r="1146" spans="1:46">
      <c r="W1146" s="1"/>
      <c r="X1146" s="1"/>
      <c r="Y1146" s="1"/>
      <c r="Z1146" s="1"/>
      <c r="AA1146" s="1"/>
      <c r="AB1146" s="1"/>
      <c r="AF1146" s="3254" t="s">
        <v>1697</v>
      </c>
      <c r="AG1146" s="3255">
        <f t="shared" ref="AG1146:AO1146" si="998">AG1144/AF1144-1</f>
        <v>0.35809032812416097</v>
      </c>
      <c r="AH1146" s="3255">
        <f t="shared" si="998"/>
        <v>0.23931353552928147</v>
      </c>
      <c r="AI1146" s="3255">
        <f t="shared" si="998"/>
        <v>0.18359337608882931</v>
      </c>
      <c r="AJ1146" s="3255">
        <f t="shared" si="998"/>
        <v>0.1514767276471658</v>
      </c>
      <c r="AK1146" s="3255">
        <f t="shared" si="998"/>
        <v>0.16722554057920269</v>
      </c>
      <c r="AL1146" s="3255">
        <f t="shared" si="998"/>
        <v>0.15593466813800538</v>
      </c>
      <c r="AM1146" s="3255">
        <f t="shared" si="998"/>
        <v>0.12901763060587457</v>
      </c>
      <c r="AN1146" s="3255">
        <f t="shared" si="998"/>
        <v>0.13106863630999221</v>
      </c>
      <c r="AO1146" s="2891">
        <f t="shared" si="998"/>
        <v>0.13583983054439486</v>
      </c>
    </row>
    <row r="1147" spans="1:46">
      <c r="R1147" s="1"/>
      <c r="S1147" s="1"/>
      <c r="T1147" s="1"/>
      <c r="V1147" s="1"/>
      <c r="W1147" s="1"/>
      <c r="X1147" s="1"/>
      <c r="Y1147" s="1"/>
      <c r="Z1147" s="1"/>
      <c r="AA1147" s="1"/>
      <c r="AB1147" s="1"/>
      <c r="AF1147" s="3256" t="s">
        <v>1698</v>
      </c>
      <c r="AG1147" s="3255">
        <v>0.16814331613280098</v>
      </c>
      <c r="AH1147" s="3255">
        <v>0.27446241040173369</v>
      </c>
      <c r="AI1147" s="3255">
        <v>0.1606173566150022</v>
      </c>
      <c r="AJ1147" s="3255">
        <v>0.12887215558718035</v>
      </c>
      <c r="AK1147" s="3255">
        <v>0.13095761373454473</v>
      </c>
      <c r="AL1147" s="3255">
        <v>0.12858789749249677</v>
      </c>
      <c r="AM1147" s="3255">
        <v>0.12532581306060875</v>
      </c>
      <c r="AN1147" s="3255">
        <v>0.12360386139577884</v>
      </c>
      <c r="AO1147" s="2891">
        <v>0.12337840952984735</v>
      </c>
    </row>
    <row r="1148" spans="1:46">
      <c r="Y1148" s="2"/>
      <c r="AA1148" s="2"/>
      <c r="AB1148" s="2"/>
      <c r="AF1148" s="3256"/>
      <c r="AG1148" s="3257">
        <f t="shared" ref="AG1148:AO1148" si="999">AG1146-AG1147</f>
        <v>0.18994701199135999</v>
      </c>
      <c r="AH1148" s="3257">
        <f t="shared" si="999"/>
        <v>-3.5148874872452218E-2</v>
      </c>
      <c r="AI1148" s="3257">
        <f t="shared" si="999"/>
        <v>2.2976019473827103E-2</v>
      </c>
      <c r="AJ1148" s="3257">
        <f t="shared" si="999"/>
        <v>2.260457205998545E-2</v>
      </c>
      <c r="AK1148" s="3257">
        <f t="shared" si="999"/>
        <v>3.6267926844657961E-2</v>
      </c>
      <c r="AL1148" s="3257">
        <f t="shared" si="999"/>
        <v>2.7346770645508611E-2</v>
      </c>
      <c r="AM1148" s="3257">
        <f t="shared" si="999"/>
        <v>3.6918175452658186E-3</v>
      </c>
      <c r="AN1148" s="3257">
        <f t="shared" si="999"/>
        <v>7.464774914213379E-3</v>
      </c>
      <c r="AO1148" s="2892">
        <f t="shared" si="999"/>
        <v>1.2461421014547502E-2</v>
      </c>
    </row>
    <row r="1149" spans="1:46">
      <c r="D1149" s="11"/>
      <c r="F1149" s="1"/>
      <c r="G1149" s="1"/>
      <c r="H1149" s="1"/>
      <c r="I1149" s="1"/>
      <c r="J1149" s="1"/>
      <c r="K1149" s="1"/>
      <c r="L1149" s="1"/>
      <c r="M1149" s="1"/>
      <c r="AG1149" s="1704"/>
      <c r="AH1149" s="1704"/>
      <c r="AI1149" s="1704"/>
      <c r="AJ1149" s="1704"/>
      <c r="AK1149" s="3730"/>
      <c r="AL1149" s="1704"/>
      <c r="AM1149" s="1704"/>
      <c r="AN1149" s="1704"/>
      <c r="AO1149" s="1704"/>
    </row>
    <row r="1150" spans="1:46" ht="16.75" thickBot="1">
      <c r="D1150" s="2225" t="s">
        <v>1499</v>
      </c>
      <c r="E1150" s="3099"/>
      <c r="F1150" s="2967"/>
      <c r="G1150" s="419"/>
      <c r="H1150" s="419"/>
      <c r="I1150" s="419">
        <v>1998</v>
      </c>
      <c r="J1150" s="419">
        <v>1999</v>
      </c>
      <c r="K1150" s="419">
        <v>2000</v>
      </c>
      <c r="L1150" s="419">
        <v>2001</v>
      </c>
      <c r="M1150" s="419">
        <v>2002</v>
      </c>
      <c r="N1150" s="419">
        <v>2003</v>
      </c>
      <c r="O1150" s="419">
        <v>2004</v>
      </c>
      <c r="P1150" s="419">
        <v>2005</v>
      </c>
      <c r="Q1150" s="419">
        <v>2006</v>
      </c>
      <c r="R1150" s="419">
        <v>2007</v>
      </c>
      <c r="S1150" s="419">
        <v>2008</v>
      </c>
      <c r="U1150"/>
      <c r="V1150" s="295">
        <v>2011</v>
      </c>
      <c r="W1150" s="820">
        <v>2012</v>
      </c>
      <c r="X1150" s="820">
        <v>2013</v>
      </c>
      <c r="Y1150" s="820">
        <v>2014</v>
      </c>
      <c r="Z1150" s="820">
        <v>2015</v>
      </c>
      <c r="AA1150" s="820">
        <v>2016</v>
      </c>
      <c r="AB1150" s="820">
        <v>2017</v>
      </c>
      <c r="AC1150" s="820">
        <v>2018</v>
      </c>
      <c r="AD1150" s="820">
        <v>2019</v>
      </c>
      <c r="AE1150" s="820">
        <v>2020</v>
      </c>
      <c r="AF1150" s="820">
        <v>2021</v>
      </c>
      <c r="AG1150" s="820">
        <v>2022</v>
      </c>
      <c r="AH1150" s="820">
        <v>2023</v>
      </c>
      <c r="AI1150" s="820">
        <v>2024</v>
      </c>
      <c r="AJ1150" s="820">
        <v>2025</v>
      </c>
      <c r="AK1150" s="820">
        <v>2026</v>
      </c>
      <c r="AL1150" s="820">
        <v>2027</v>
      </c>
      <c r="AM1150" s="820">
        <v>2028</v>
      </c>
      <c r="AN1150" s="820">
        <v>2029</v>
      </c>
      <c r="AO1150" s="1756">
        <v>2030</v>
      </c>
      <c r="AP1150" s="1756">
        <v>2030</v>
      </c>
      <c r="AQ1150" s="1756">
        <v>2030</v>
      </c>
      <c r="AR1150" s="1756">
        <v>2030</v>
      </c>
      <c r="AS1150" s="1756">
        <v>2030</v>
      </c>
      <c r="AT1150" s="1756">
        <v>2030</v>
      </c>
    </row>
    <row r="1151" spans="1:46">
      <c r="D1151" s="309" t="str">
        <f t="shared" ref="D1151:D1159" si="1000">+D415</f>
        <v>Calculated ratios, parameters</v>
      </c>
      <c r="E1151" s="2987"/>
      <c r="F1151" s="310"/>
      <c r="G1151" s="310"/>
      <c r="H1151" s="310"/>
      <c r="I1151" s="310"/>
      <c r="J1151" s="310"/>
      <c r="K1151" s="310"/>
      <c r="L1151" s="310"/>
      <c r="M1151" s="310"/>
      <c r="N1151" s="311"/>
      <c r="O1151" s="311"/>
      <c r="P1151" s="311"/>
      <c r="Q1151" s="311"/>
      <c r="R1151" s="311"/>
      <c r="S1151" s="311"/>
      <c r="T1151" s="311"/>
      <c r="U1151" s="310"/>
      <c r="V1151" s="414">
        <v>2011</v>
      </c>
      <c r="W1151" s="868">
        <v>2012</v>
      </c>
      <c r="X1151" s="868">
        <v>2013</v>
      </c>
      <c r="Y1151" s="868">
        <v>2014</v>
      </c>
      <c r="Z1151" s="868">
        <v>2015</v>
      </c>
      <c r="AA1151" s="868">
        <v>2016</v>
      </c>
      <c r="AB1151" s="868">
        <v>2017</v>
      </c>
      <c r="AC1151" s="868">
        <v>2018</v>
      </c>
      <c r="AD1151" s="868">
        <v>2019</v>
      </c>
      <c r="AE1151" s="868">
        <v>2020</v>
      </c>
      <c r="AF1151" s="868">
        <v>2021</v>
      </c>
      <c r="AG1151" s="868">
        <v>2022</v>
      </c>
      <c r="AH1151" s="868">
        <v>2023</v>
      </c>
      <c r="AI1151" s="868">
        <v>2024</v>
      </c>
      <c r="AJ1151" s="868">
        <v>2025</v>
      </c>
      <c r="AK1151" s="868">
        <v>2026</v>
      </c>
      <c r="AL1151" s="868">
        <v>2027</v>
      </c>
      <c r="AM1151" s="868">
        <v>2028</v>
      </c>
      <c r="AN1151" s="868">
        <v>2029</v>
      </c>
      <c r="AO1151" s="1764">
        <v>2030</v>
      </c>
      <c r="AP1151" s="1764">
        <v>2030</v>
      </c>
      <c r="AQ1151" s="1764">
        <v>2030</v>
      </c>
      <c r="AR1151" s="1764">
        <v>2030</v>
      </c>
      <c r="AS1151" s="1764">
        <v>2030</v>
      </c>
      <c r="AT1151" s="1764">
        <v>2030</v>
      </c>
    </row>
    <row r="1152" spans="1:46">
      <c r="D1152" s="368" t="str">
        <f t="shared" si="1000"/>
        <v>domestic indirect tax rate (excl. excise fuel) on domestic VA excl govt, exports</v>
      </c>
      <c r="F1152" s="1"/>
      <c r="G1152" s="1"/>
      <c r="H1152" s="1"/>
      <c r="I1152" s="1"/>
      <c r="J1152" s="1"/>
      <c r="K1152" s="1"/>
      <c r="L1152" s="1"/>
      <c r="M1152" s="1"/>
      <c r="V1152" s="87">
        <f t="shared" ref="V1152:AO1152" si="1001">+V416</f>
        <v>4.7082892199823128E-3</v>
      </c>
      <c r="W1152" s="834">
        <f t="shared" si="1001"/>
        <v>8.6795934349747778E-3</v>
      </c>
      <c r="X1152" s="834">
        <f t="shared" si="1001"/>
        <v>5.2437762063263834E-3</v>
      </c>
      <c r="Y1152" s="834">
        <f t="shared" si="1001"/>
        <v>6.2925737034024404E-2</v>
      </c>
      <c r="Z1152" s="834">
        <f t="shared" si="1001"/>
        <v>6.9951068138458208E-2</v>
      </c>
      <c r="AA1152" s="834">
        <f t="shared" si="1001"/>
        <v>7.2196612862234763E-2</v>
      </c>
      <c r="AB1152" s="834">
        <f t="shared" si="1001"/>
        <v>7.3162373765933986E-2</v>
      </c>
      <c r="AC1152" s="834">
        <f t="shared" si="1001"/>
        <v>7.671477159403578E-2</v>
      </c>
      <c r="AD1152" s="834">
        <f t="shared" si="1001"/>
        <v>7.3200823239850346E-2</v>
      </c>
      <c r="AE1152" s="834">
        <f t="shared" si="1001"/>
        <v>0.10157090491585354</v>
      </c>
      <c r="AF1152" s="834">
        <f t="shared" si="1001"/>
        <v>6.8583786820675466E-2</v>
      </c>
      <c r="AG1152" s="834">
        <f t="shared" si="1001"/>
        <v>5.6827171959436658E-2</v>
      </c>
      <c r="AH1152" s="834">
        <f t="shared" si="1001"/>
        <v>5.2963690940623587E-2</v>
      </c>
      <c r="AI1152" s="834">
        <f t="shared" si="1001"/>
        <v>6.1686983380532863E-2</v>
      </c>
      <c r="AJ1152" s="834">
        <f t="shared" si="1001"/>
        <v>7.5775815897761223E-2</v>
      </c>
      <c r="AK1152" s="834">
        <f t="shared" si="1001"/>
        <v>8.1546691212806818E-2</v>
      </c>
      <c r="AL1152" s="834">
        <f t="shared" si="1001"/>
        <v>8.4749784894096514E-2</v>
      </c>
      <c r="AM1152" s="834">
        <f t="shared" si="1001"/>
        <v>8.4542955360556143E-2</v>
      </c>
      <c r="AN1152" s="834">
        <f t="shared" si="1001"/>
        <v>8.2425236934056081E-2</v>
      </c>
      <c r="AO1152" s="1946">
        <f t="shared" si="1001"/>
        <v>8.0732618578366971E-2</v>
      </c>
      <c r="AP1152" s="1946">
        <f t="shared" ref="AP1152:AT1159" si="1002">+AP416</f>
        <v>0.10518933914475675</v>
      </c>
      <c r="AQ1152" s="1946">
        <f t="shared" si="1002"/>
        <v>0.10204628727777498</v>
      </c>
      <c r="AR1152" s="1946">
        <f t="shared" si="1002"/>
        <v>9.75382219164386E-2</v>
      </c>
      <c r="AS1152" s="1946">
        <f t="shared" si="1002"/>
        <v>0.1101621955871224</v>
      </c>
      <c r="AT1152" s="1946">
        <f t="shared" si="1002"/>
        <v>0.14615164371175779</v>
      </c>
    </row>
    <row r="1153" spans="1:46">
      <c r="D1153" s="368" t="str">
        <f t="shared" si="1000"/>
        <v xml:space="preserve">  domestic indirect tax rate (excl. excise fuel) on domestic VA excl govt</v>
      </c>
      <c r="F1153" s="1"/>
      <c r="G1153" s="1"/>
      <c r="H1153" s="1"/>
      <c r="I1153" s="1"/>
      <c r="J1153" s="1"/>
      <c r="K1153" s="1"/>
      <c r="L1153" s="1"/>
      <c r="M1153" s="1"/>
      <c r="V1153" s="87">
        <f t="shared" ref="V1153:AO1153" si="1003">+V417</f>
        <v>4.1641671207031444E-3</v>
      </c>
      <c r="W1153" s="834">
        <f t="shared" si="1003"/>
        <v>7.7465701680872684E-3</v>
      </c>
      <c r="X1153" s="834">
        <f t="shared" si="1003"/>
        <v>4.9212935909655831E-3</v>
      </c>
      <c r="Y1153" s="834">
        <f t="shared" si="1003"/>
        <v>5.5171331949935003E-2</v>
      </c>
      <c r="Z1153" s="834">
        <f t="shared" si="1003"/>
        <v>6.1634832501711201E-2</v>
      </c>
      <c r="AA1153" s="834">
        <f t="shared" si="1003"/>
        <v>6.2225497071655256E-2</v>
      </c>
      <c r="AB1153" s="834">
        <f t="shared" si="1003"/>
        <v>5.9832697965989043E-2</v>
      </c>
      <c r="AC1153" s="834">
        <f t="shared" si="1003"/>
        <v>6.223665533410213E-2</v>
      </c>
      <c r="AD1153" s="834">
        <f t="shared" si="1003"/>
        <v>5.9293897315823782E-2</v>
      </c>
      <c r="AE1153" s="834">
        <f t="shared" si="1003"/>
        <v>8.0291747002822017E-2</v>
      </c>
      <c r="AF1153" s="834">
        <f t="shared" si="1003"/>
        <v>5.7510487047199667E-2</v>
      </c>
      <c r="AG1153" s="834">
        <f t="shared" si="1003"/>
        <v>4.7063624955411248E-2</v>
      </c>
      <c r="AH1153" s="834">
        <f t="shared" si="1003"/>
        <v>4.2627552219764366E-2</v>
      </c>
      <c r="AI1153" s="834">
        <f t="shared" si="1003"/>
        <v>4.7641345787100914E-2</v>
      </c>
      <c r="AJ1153" s="834">
        <f t="shared" si="1003"/>
        <v>5.9469082102997076E-2</v>
      </c>
      <c r="AK1153" s="834">
        <f t="shared" si="1003"/>
        <v>6.3874340107087133E-2</v>
      </c>
      <c r="AL1153" s="834">
        <f t="shared" si="1003"/>
        <v>6.6267491687785687E-2</v>
      </c>
      <c r="AM1153" s="834">
        <f t="shared" si="1003"/>
        <v>6.6297754522719687E-2</v>
      </c>
      <c r="AN1153" s="834">
        <f t="shared" si="1003"/>
        <v>6.5442248042283532E-2</v>
      </c>
      <c r="AO1153" s="1946">
        <f t="shared" si="1003"/>
        <v>6.4685715235336116E-2</v>
      </c>
      <c r="AP1153" s="1946">
        <f t="shared" si="1002"/>
        <v>8.4700184708590961E-2</v>
      </c>
      <c r="AQ1153" s="1946">
        <f t="shared" si="1002"/>
        <v>8.2760325132282625E-2</v>
      </c>
      <c r="AR1153" s="1946">
        <f t="shared" si="1002"/>
        <v>7.9690819916034425E-2</v>
      </c>
      <c r="AS1153" s="1946">
        <f t="shared" si="1002"/>
        <v>9.0279123258532143E-2</v>
      </c>
      <c r="AT1153" s="1946">
        <f t="shared" si="1002"/>
        <v>0.11957236397837408</v>
      </c>
    </row>
    <row r="1154" spans="1:46">
      <c r="D1154" s="320" t="str">
        <f t="shared" si="1000"/>
        <v>Effective import tax rate (incl. VAT and fuel excise) on imported goods cif</v>
      </c>
      <c r="F1154" s="1"/>
      <c r="G1154" s="1"/>
      <c r="H1154" s="1"/>
      <c r="I1154" s="1"/>
      <c r="J1154" s="1"/>
      <c r="K1154" s="1"/>
      <c r="L1154" s="1"/>
      <c r="M1154" s="1"/>
      <c r="V1154" s="87">
        <f t="shared" ref="V1154:AO1154" si="1004">+V418</f>
        <v>8.1022905058313305E-2</v>
      </c>
      <c r="W1154" s="834">
        <f t="shared" si="1004"/>
        <v>7.1064382391547526E-2</v>
      </c>
      <c r="X1154" s="834">
        <f t="shared" si="1004"/>
        <v>8.6510216053104133E-2</v>
      </c>
      <c r="Y1154" s="834">
        <f t="shared" si="1004"/>
        <v>9.9573011422281033E-2</v>
      </c>
      <c r="Z1154" s="834">
        <f t="shared" si="1004"/>
        <v>0.10798860501221753</v>
      </c>
      <c r="AA1154" s="834">
        <f t="shared" si="1004"/>
        <v>0.11184603502839222</v>
      </c>
      <c r="AB1154" s="834">
        <f t="shared" si="1004"/>
        <v>0.1131853373125371</v>
      </c>
      <c r="AC1154" s="834">
        <f t="shared" si="1004"/>
        <v>0.11026431814228878</v>
      </c>
      <c r="AD1154" s="834">
        <f t="shared" si="1004"/>
        <v>0.1062500586504293</v>
      </c>
      <c r="AE1154" s="834">
        <f t="shared" si="1004"/>
        <v>0.11005090544603011</v>
      </c>
      <c r="AF1154" s="834">
        <f t="shared" si="1004"/>
        <v>0.10608878526649726</v>
      </c>
      <c r="AG1154" s="834">
        <f t="shared" si="1004"/>
        <v>0.1151426986825267</v>
      </c>
      <c r="AH1154" s="834">
        <f t="shared" si="1004"/>
        <v>0.12021557020294711</v>
      </c>
      <c r="AI1154" s="834">
        <f t="shared" si="1004"/>
        <v>9.9717232152605251E-2</v>
      </c>
      <c r="AJ1154" s="834">
        <f t="shared" si="1004"/>
        <v>9.2726092858711584E-2</v>
      </c>
      <c r="AK1154" s="834">
        <f t="shared" si="1004"/>
        <v>9.728815276357633E-2</v>
      </c>
      <c r="AL1154" s="834">
        <f t="shared" si="1004"/>
        <v>0.10261079901264508</v>
      </c>
      <c r="AM1154" s="834">
        <f t="shared" si="1004"/>
        <v>0.11067202090347875</v>
      </c>
      <c r="AN1154" s="834">
        <f t="shared" si="1004"/>
        <v>0.12130457820373144</v>
      </c>
      <c r="AO1154" s="1946">
        <f t="shared" si="1004"/>
        <v>0.13209187371760647</v>
      </c>
      <c r="AP1154" s="1946">
        <f t="shared" si="1002"/>
        <v>6.676771815060184E-2</v>
      </c>
      <c r="AQ1154" s="1946">
        <f t="shared" si="1002"/>
        <v>7.3806715715526758E-2</v>
      </c>
      <c r="AR1154" s="1946">
        <f t="shared" si="1002"/>
        <v>7.9896666208528463E-2</v>
      </c>
      <c r="AS1154" s="1946">
        <f t="shared" si="1002"/>
        <v>9.444787545714306E-2</v>
      </c>
      <c r="AT1154" s="1946">
        <f t="shared" si="1002"/>
        <v>0.1188662593289409</v>
      </c>
    </row>
    <row r="1155" spans="1:46">
      <c r="D1155" s="320" t="str">
        <f t="shared" si="1000"/>
        <v>Effective import tax rate (incl. tariff, VAT) on non fuel goods imports cif</v>
      </c>
      <c r="F1155" s="1"/>
      <c r="G1155" s="1"/>
      <c r="H1155" s="1"/>
      <c r="I1155" s="1"/>
      <c r="J1155" s="1"/>
      <c r="K1155" s="1"/>
      <c r="L1155" s="1"/>
      <c r="M1155" s="1"/>
      <c r="V1155" s="87">
        <f t="shared" ref="V1155:AO1155" si="1005">+V419</f>
        <v>9.9145082538590973E-2</v>
      </c>
      <c r="W1155" s="834">
        <f t="shared" si="1005"/>
        <v>8.5040272137804421E-2</v>
      </c>
      <c r="X1155" s="834">
        <f t="shared" si="1005"/>
        <v>0.10437120244062663</v>
      </c>
      <c r="Y1155" s="834">
        <f t="shared" si="1005"/>
        <v>0.11775172361485951</v>
      </c>
      <c r="Z1155" s="834">
        <f t="shared" si="1005"/>
        <v>0.12300039332639771</v>
      </c>
      <c r="AA1155" s="834">
        <f t="shared" si="1005"/>
        <v>0.12452647548749225</v>
      </c>
      <c r="AB1155" s="834">
        <f t="shared" si="1005"/>
        <v>0.14515414187525363</v>
      </c>
      <c r="AC1155" s="834">
        <f t="shared" si="1005"/>
        <v>0.14282629370841157</v>
      </c>
      <c r="AD1155" s="834">
        <f t="shared" si="1005"/>
        <v>0.13216880679612633</v>
      </c>
      <c r="AE1155" s="834">
        <f t="shared" si="1005"/>
        <v>0.12755227719374709</v>
      </c>
      <c r="AF1155" s="834">
        <f t="shared" si="1005"/>
        <v>0.12296155143193223</v>
      </c>
      <c r="AG1155" s="834">
        <f t="shared" si="1005"/>
        <v>0.13638162053568184</v>
      </c>
      <c r="AH1155" s="834">
        <f t="shared" si="1005"/>
        <v>0.12689834388034094</v>
      </c>
      <c r="AI1155" s="834">
        <f t="shared" si="1005"/>
        <v>0.10981223005227694</v>
      </c>
      <c r="AJ1155" s="834">
        <f t="shared" si="1005"/>
        <v>0.10702024519458259</v>
      </c>
      <c r="AK1155" s="834">
        <f t="shared" si="1005"/>
        <v>0.11248672269131296</v>
      </c>
      <c r="AL1155" s="834">
        <f t="shared" si="1005"/>
        <v>0.11925705106433492</v>
      </c>
      <c r="AM1155" s="834">
        <f t="shared" si="1005"/>
        <v>0.12960397680316627</v>
      </c>
      <c r="AN1155" s="834">
        <f t="shared" si="1005"/>
        <v>0.1432830249490685</v>
      </c>
      <c r="AO1155" s="1946">
        <f t="shared" si="1005"/>
        <v>0.15745896744021254</v>
      </c>
      <c r="AP1155" s="1946">
        <f t="shared" si="1002"/>
        <v>8.2547005681068528E-2</v>
      </c>
      <c r="AQ1155" s="1946">
        <f t="shared" si="1002"/>
        <v>9.2199864075777904E-2</v>
      </c>
      <c r="AR1155" s="1946">
        <f t="shared" si="1002"/>
        <v>0.10089718016957309</v>
      </c>
      <c r="AS1155" s="1946">
        <f t="shared" si="1002"/>
        <v>0.12092518828743021</v>
      </c>
      <c r="AT1155" s="1946">
        <f t="shared" si="1002"/>
        <v>0.15419325485405694</v>
      </c>
    </row>
    <row r="1156" spans="1:46">
      <c r="D1156" s="320" t="str">
        <f t="shared" si="1000"/>
        <v>Effective excise tax rate (incl. VAT) on energy goods imports cif</v>
      </c>
      <c r="F1156" s="1"/>
      <c r="G1156" s="1"/>
      <c r="H1156" s="1"/>
      <c r="I1156" s="1"/>
      <c r="J1156" s="1"/>
      <c r="K1156" s="1"/>
      <c r="L1156" s="1"/>
      <c r="M1156" s="1"/>
      <c r="V1156" s="87">
        <f t="shared" ref="V1156:AO1156" si="1006">+V420</f>
        <v>0</v>
      </c>
      <c r="W1156" s="834">
        <f t="shared" si="1006"/>
        <v>0</v>
      </c>
      <c r="X1156" s="834">
        <f t="shared" si="1006"/>
        <v>0</v>
      </c>
      <c r="Y1156" s="834">
        <f t="shared" si="1006"/>
        <v>0</v>
      </c>
      <c r="Z1156" s="834">
        <f t="shared" si="1006"/>
        <v>0</v>
      </c>
      <c r="AA1156" s="834">
        <f t="shared" si="1006"/>
        <v>0</v>
      </c>
      <c r="AB1156" s="834">
        <f t="shared" si="1006"/>
        <v>0</v>
      </c>
      <c r="AC1156" s="834">
        <f t="shared" si="1006"/>
        <v>0</v>
      </c>
      <c r="AD1156" s="834">
        <f t="shared" si="1006"/>
        <v>0</v>
      </c>
      <c r="AE1156" s="834">
        <f t="shared" si="1006"/>
        <v>0</v>
      </c>
      <c r="AF1156" s="834">
        <f t="shared" si="1006"/>
        <v>0</v>
      </c>
      <c r="AG1156" s="834">
        <f t="shared" si="1006"/>
        <v>3.5824390986191577E-2</v>
      </c>
      <c r="AH1156" s="834">
        <f t="shared" si="1006"/>
        <v>8.8988460497587921E-2</v>
      </c>
      <c r="AI1156" s="834">
        <f t="shared" si="1006"/>
        <v>5.3860600649779336E-2</v>
      </c>
      <c r="AJ1156" s="834">
        <f t="shared" si="1006"/>
        <v>2.1689401817395881E-2</v>
      </c>
      <c r="AK1156" s="834">
        <f t="shared" si="1006"/>
        <v>2.1563327957807982E-2</v>
      </c>
      <c r="AL1156" s="834">
        <f t="shared" si="1006"/>
        <v>2.0956714424463233E-2</v>
      </c>
      <c r="AM1156" s="834">
        <f t="shared" si="1006"/>
        <v>2.0894248347632222E-2</v>
      </c>
      <c r="AN1156" s="834">
        <f t="shared" si="1006"/>
        <v>2.109286735064788E-2</v>
      </c>
      <c r="AO1156" s="1946">
        <f t="shared" si="1006"/>
        <v>2.1652768732599883E-2</v>
      </c>
      <c r="AP1156" s="1946">
        <f t="shared" si="1002"/>
        <v>0</v>
      </c>
      <c r="AQ1156" s="1946">
        <f t="shared" si="1002"/>
        <v>0</v>
      </c>
      <c r="AR1156" s="1946">
        <f t="shared" si="1002"/>
        <v>0</v>
      </c>
      <c r="AS1156" s="1946">
        <f t="shared" si="1002"/>
        <v>0</v>
      </c>
      <c r="AT1156" s="1946">
        <f t="shared" si="1002"/>
        <v>0</v>
      </c>
    </row>
    <row r="1157" spans="1:46">
      <c r="D1157" s="320" t="str">
        <f t="shared" si="1000"/>
        <v>Effective import tax rate (incl. VAT and fuel excise) on imported goods &amp; services</v>
      </c>
      <c r="F1157" s="1"/>
      <c r="G1157" s="1"/>
      <c r="H1157" s="1"/>
      <c r="I1157" s="1"/>
      <c r="J1157" s="1"/>
      <c r="K1157" s="1"/>
      <c r="L1157" s="1"/>
      <c r="M1157" s="1"/>
      <c r="V1157" s="87">
        <f t="shared" ref="V1157:AO1157" si="1007">+V421</f>
        <v>7.0330405769461521E-2</v>
      </c>
      <c r="W1157" s="834">
        <f t="shared" si="1007"/>
        <v>6.5849412779480809E-2</v>
      </c>
      <c r="X1157" s="834">
        <f t="shared" si="1007"/>
        <v>7.9244122746903456E-2</v>
      </c>
      <c r="Y1157" s="834">
        <f t="shared" si="1007"/>
        <v>8.9568706263369768E-2</v>
      </c>
      <c r="Z1157" s="834">
        <f t="shared" si="1007"/>
        <v>8.4930311600239949E-2</v>
      </c>
      <c r="AA1157" s="834">
        <f t="shared" si="1007"/>
        <v>8.1383475941315828E-2</v>
      </c>
      <c r="AB1157" s="834">
        <f t="shared" si="1007"/>
        <v>8.1530356162495862E-2</v>
      </c>
      <c r="AC1157" s="834">
        <f t="shared" si="1007"/>
        <v>8.1386128255921411E-2</v>
      </c>
      <c r="AD1157" s="834">
        <f t="shared" si="1007"/>
        <v>7.5605173074864737E-2</v>
      </c>
      <c r="AE1157" s="834">
        <f t="shared" si="1007"/>
        <v>7.8185968523780375E-2</v>
      </c>
      <c r="AF1157" s="834">
        <f t="shared" si="1007"/>
        <v>7.8948745094097217E-2</v>
      </c>
      <c r="AG1157" s="834">
        <f t="shared" si="1007"/>
        <v>8.363613991602771E-2</v>
      </c>
      <c r="AH1157" s="834">
        <f t="shared" si="1007"/>
        <v>8.0247410233357713E-2</v>
      </c>
      <c r="AI1157" s="834">
        <f t="shared" si="1007"/>
        <v>6.2582654957726067E-2</v>
      </c>
      <c r="AJ1157" s="834">
        <f t="shared" si="1007"/>
        <v>5.9571998089402216E-2</v>
      </c>
      <c r="AK1157" s="834">
        <f t="shared" si="1007"/>
        <v>5.5295237984036474E-2</v>
      </c>
      <c r="AL1157" s="834">
        <f t="shared" si="1007"/>
        <v>5.7547518831025143E-2</v>
      </c>
      <c r="AM1157" s="834">
        <f t="shared" si="1007"/>
        <v>6.5196670810073631E-2</v>
      </c>
      <c r="AN1157" s="834">
        <f t="shared" si="1007"/>
        <v>7.3086110138748189E-2</v>
      </c>
      <c r="AO1157" s="1946">
        <f t="shared" si="1007"/>
        <v>7.8351172943251599E-2</v>
      </c>
      <c r="AP1157" s="1946">
        <f t="shared" si="1002"/>
        <v>3.9328053172862712E-2</v>
      </c>
      <c r="AQ1157" s="1946">
        <f t="shared" si="1002"/>
        <v>4.2831404798504946E-2</v>
      </c>
      <c r="AR1157" s="1946">
        <f t="shared" si="1002"/>
        <v>4.5669812215201444E-2</v>
      </c>
      <c r="AS1157" s="1946">
        <f t="shared" si="1002"/>
        <v>5.2989626646174778E-2</v>
      </c>
      <c r="AT1157" s="1946">
        <f t="shared" si="1002"/>
        <v>6.5609480641903833E-2</v>
      </c>
    </row>
    <row r="1158" spans="1:46">
      <c r="D1158" s="320" t="str">
        <f t="shared" si="1000"/>
        <v xml:space="preserve">     Effective import tax rate (incl. VAT) on consumption goods&amp; services imports</v>
      </c>
      <c r="F1158" s="1"/>
      <c r="G1158" s="1"/>
      <c r="H1158" s="1"/>
      <c r="I1158" s="1"/>
      <c r="J1158" s="1"/>
      <c r="K1158" s="1"/>
      <c r="L1158" s="1"/>
      <c r="M1158" s="1"/>
      <c r="V1158" s="87">
        <f t="shared" ref="V1158:AO1158" si="1008">+V422</f>
        <v>-7.3587115758196227E-5</v>
      </c>
      <c r="W1158" s="834">
        <f t="shared" si="1008"/>
        <v>-6.3575503475660672E-5</v>
      </c>
      <c r="X1158" s="834">
        <f t="shared" si="1008"/>
        <v>3.1713272168525584E-5</v>
      </c>
      <c r="Y1158" s="834">
        <f t="shared" si="1008"/>
        <v>1.0130130493330645E-4</v>
      </c>
      <c r="Z1158" s="834">
        <f t="shared" si="1008"/>
        <v>8.7654964939646305E-5</v>
      </c>
      <c r="AA1158" s="834">
        <f t="shared" si="1008"/>
        <v>7.2097830916272986E-5</v>
      </c>
      <c r="AB1158" s="834">
        <f t="shared" si="1008"/>
        <v>7.1751666404413272E-5</v>
      </c>
      <c r="AC1158" s="834">
        <f t="shared" si="1008"/>
        <v>7.0635449294588923E-5</v>
      </c>
      <c r="AD1158" s="834">
        <f t="shared" si="1008"/>
        <v>6.0000465141139867E-5</v>
      </c>
      <c r="AE1158" s="834">
        <f t="shared" si="1008"/>
        <v>5.5115668927727476E-5</v>
      </c>
      <c r="AF1158" s="834">
        <f t="shared" si="1008"/>
        <v>4.6488865956791821E-5</v>
      </c>
      <c r="AG1158" s="834">
        <f t="shared" si="1008"/>
        <v>2.9386034441871463E-5</v>
      </c>
      <c r="AH1158" s="834">
        <f t="shared" si="1008"/>
        <v>1.9039963622785687E-5</v>
      </c>
      <c r="AI1158" s="834">
        <f t="shared" si="1008"/>
        <v>1.6837368027139974E-5</v>
      </c>
      <c r="AJ1158" s="834">
        <f t="shared" si="1008"/>
        <v>1.9062377700811475E-5</v>
      </c>
      <c r="AK1158" s="834">
        <f t="shared" si="1008"/>
        <v>1.7074997599581694E-5</v>
      </c>
      <c r="AL1158" s="834">
        <f t="shared" si="1008"/>
        <v>1.59236649669727E-5</v>
      </c>
      <c r="AM1158" s="834">
        <f t="shared" si="1008"/>
        <v>1.5601842413426087E-5</v>
      </c>
      <c r="AN1158" s="834">
        <f t="shared" si="1008"/>
        <v>1.49083661421586E-5</v>
      </c>
      <c r="AO1158" s="1946">
        <f t="shared" si="1008"/>
        <v>1.3898163035557637E-5</v>
      </c>
      <c r="AP1158" s="1946">
        <f t="shared" si="1002"/>
        <v>1.7267685111773759E-5</v>
      </c>
      <c r="AQ1158" s="1946">
        <f t="shared" si="1002"/>
        <v>1.6072806303268179E-5</v>
      </c>
      <c r="AR1158" s="1946">
        <f t="shared" si="1002"/>
        <v>1.4733032950356823E-5</v>
      </c>
      <c r="AS1158" s="1946">
        <f t="shared" si="1002"/>
        <v>1.5727339601853908E-5</v>
      </c>
      <c r="AT1158" s="1946">
        <f t="shared" si="1002"/>
        <v>1.9602006035505927E-5</v>
      </c>
    </row>
    <row r="1159" spans="1:46" ht="16.75" thickBot="1">
      <c r="D1159" s="352" t="str">
        <f t="shared" si="1000"/>
        <v>Top-up factor imports g&amp;s over imports goods CIF</v>
      </c>
      <c r="E1159" s="2988"/>
      <c r="F1159" s="312"/>
      <c r="G1159" s="312"/>
      <c r="H1159" s="312"/>
      <c r="I1159" s="312"/>
      <c r="J1159" s="312"/>
      <c r="K1159" s="312"/>
      <c r="L1159" s="312"/>
      <c r="M1159" s="312"/>
      <c r="N1159" s="312"/>
      <c r="O1159" s="312"/>
      <c r="P1159" s="312"/>
      <c r="Q1159" s="312"/>
      <c r="R1159" s="312"/>
      <c r="S1159" s="312"/>
      <c r="T1159" s="312"/>
      <c r="U1159" s="312"/>
      <c r="V1159" s="369">
        <f t="shared" ref="V1159:AO1159" si="1009">+V423</f>
        <v>1.1520323844554674</v>
      </c>
      <c r="W1159" s="869">
        <f t="shared" si="1009"/>
        <v>1.0791953852273644</v>
      </c>
      <c r="X1159" s="869">
        <f t="shared" si="1009"/>
        <v>1.0916925199539118</v>
      </c>
      <c r="Y1159" s="869">
        <f t="shared" si="1009"/>
        <v>1.1116942018733014</v>
      </c>
      <c r="Z1159" s="869">
        <f t="shared" si="1009"/>
        <v>1.2714966303257085</v>
      </c>
      <c r="AA1159" s="869">
        <f t="shared" si="1009"/>
        <v>1.3743088966738459</v>
      </c>
      <c r="AB1159" s="869">
        <f t="shared" si="1009"/>
        <v>1.3882600621411563</v>
      </c>
      <c r="AC1159" s="869">
        <f t="shared" si="1009"/>
        <v>1.3548293856117462</v>
      </c>
      <c r="AD1159" s="869">
        <f t="shared" si="1009"/>
        <v>1.4053278939685752</v>
      </c>
      <c r="AE1159" s="869">
        <f t="shared" si="1009"/>
        <v>1.4075531393149905</v>
      </c>
      <c r="AF1159" s="869">
        <f t="shared" si="1009"/>
        <v>1.3437678476086281</v>
      </c>
      <c r="AG1159" s="869">
        <f t="shared" si="1009"/>
        <v>1.3767098624844738</v>
      </c>
      <c r="AH1159" s="869">
        <f t="shared" si="1009"/>
        <v>1.4980616801634201</v>
      </c>
      <c r="AI1159" s="869">
        <f t="shared" si="1009"/>
        <v>1.5933685175223586</v>
      </c>
      <c r="AJ1159" s="869">
        <f t="shared" si="1009"/>
        <v>1.5565382366318081</v>
      </c>
      <c r="AK1159" s="869">
        <f t="shared" si="1009"/>
        <v>1.7594309439750135</v>
      </c>
      <c r="AL1159" s="869">
        <f t="shared" si="1009"/>
        <v>1.7830620867241513</v>
      </c>
      <c r="AM1159" s="869">
        <f t="shared" si="1009"/>
        <v>1.6975103103942333</v>
      </c>
      <c r="AN1159" s="869">
        <f t="shared" si="1009"/>
        <v>1.6597487261730623</v>
      </c>
      <c r="AO1159" s="1947">
        <f t="shared" si="1009"/>
        <v>1.685895293657931</v>
      </c>
      <c r="AP1159" s="1947">
        <f t="shared" si="1002"/>
        <v>1.6977122629775416</v>
      </c>
      <c r="AQ1159" s="1947">
        <f t="shared" si="1002"/>
        <v>1.7231915708284922</v>
      </c>
      <c r="AR1159" s="1947">
        <f t="shared" si="1002"/>
        <v>1.749441531137595</v>
      </c>
      <c r="AS1159" s="1947">
        <f t="shared" si="1002"/>
        <v>1.7823842407457509</v>
      </c>
      <c r="AT1159" s="1947">
        <f t="shared" si="1002"/>
        <v>1.811723826587079</v>
      </c>
    </row>
    <row r="1160" spans="1:46">
      <c r="D1160" s="292" t="s">
        <v>626</v>
      </c>
      <c r="F1160" s="1"/>
      <c r="G1160" s="1"/>
      <c r="H1160" s="1"/>
      <c r="I1160" s="1"/>
      <c r="J1160" s="1"/>
      <c r="K1160" s="1"/>
      <c r="L1160" s="1"/>
      <c r="M1160" s="1"/>
    </row>
    <row r="1161" spans="1:46">
      <c r="D1161" s="295"/>
      <c r="F1161" s="1"/>
      <c r="G1161" s="1"/>
      <c r="H1161" s="1"/>
      <c r="I1161" s="1"/>
      <c r="J1161" s="1"/>
      <c r="K1161" s="1"/>
      <c r="L1161" s="1"/>
      <c r="M1161" s="1"/>
    </row>
    <row r="1164" spans="1:46">
      <c r="D1164" s="1726" t="s">
        <v>627</v>
      </c>
      <c r="E1164" s="3100"/>
      <c r="F1164" s="1090"/>
      <c r="G1164" s="1090"/>
      <c r="H1164" s="1090"/>
      <c r="I1164" s="1090"/>
      <c r="J1164" s="1090"/>
      <c r="K1164" s="1090"/>
      <c r="L1164" s="1090"/>
      <c r="M1164" s="1090"/>
      <c r="N1164" s="1090"/>
      <c r="O1164" s="1090"/>
      <c r="P1164" s="1090"/>
      <c r="Q1164" s="1090"/>
      <c r="R1164" s="1090"/>
      <c r="S1164" s="1090"/>
      <c r="T1164" s="1090"/>
      <c r="U1164" s="1091"/>
      <c r="V1164" s="1090"/>
      <c r="W1164" s="1092"/>
      <c r="X1164" s="1093"/>
      <c r="Y1164" s="1092"/>
      <c r="Z1164" s="1093"/>
      <c r="AA1164" s="1092"/>
      <c r="AB1164" s="1092"/>
      <c r="AC1164" s="1091"/>
      <c r="AD1164" s="1092"/>
      <c r="AE1164" s="1092"/>
      <c r="AF1164" s="1092"/>
      <c r="AG1164" s="1092"/>
      <c r="AH1164" s="1092"/>
      <c r="AI1164" s="1092"/>
      <c r="AJ1164" s="1092"/>
      <c r="AK1164" s="1092"/>
      <c r="AL1164" s="1092"/>
    </row>
    <row r="1165" spans="1:46">
      <c r="D1165" s="2115" t="s">
        <v>1040</v>
      </c>
      <c r="E1165" s="3054">
        <f ca="1">NOW()</f>
        <v>46074.610906250004</v>
      </c>
      <c r="F1165" s="1094"/>
      <c r="G1165" s="1094"/>
      <c r="H1165" s="1094"/>
      <c r="I1165" s="1094"/>
      <c r="J1165" s="1094"/>
      <c r="K1165" s="1094"/>
      <c r="L1165" s="1094"/>
      <c r="M1165" s="1094"/>
      <c r="N1165" s="1094"/>
      <c r="O1165" s="1094"/>
      <c r="P1165" s="1094"/>
      <c r="Q1165" s="1094"/>
      <c r="R1165" s="1094"/>
      <c r="S1165" s="1094"/>
      <c r="T1165" s="1094"/>
      <c r="U1165" s="1095"/>
      <c r="V1165" s="1096">
        <v>2011</v>
      </c>
      <c r="W1165" s="1097">
        <v>2012</v>
      </c>
      <c r="X1165" s="1097">
        <v>2013</v>
      </c>
      <c r="Y1165" s="1097">
        <v>2014</v>
      </c>
      <c r="Z1165" s="1097">
        <v>2015</v>
      </c>
      <c r="AA1165" s="1097">
        <v>2016</v>
      </c>
      <c r="AB1165" s="1097">
        <v>2017</v>
      </c>
      <c r="AC1165" s="1096">
        <v>2018</v>
      </c>
      <c r="AD1165" s="1097">
        <v>2019</v>
      </c>
      <c r="AE1165" s="1097">
        <v>2020</v>
      </c>
      <c r="AF1165" s="1097">
        <v>2021</v>
      </c>
      <c r="AG1165" s="1097">
        <v>2022</v>
      </c>
      <c r="AH1165" s="1097">
        <v>2023</v>
      </c>
      <c r="AI1165" s="1097">
        <v>2024</v>
      </c>
      <c r="AJ1165" s="1097">
        <v>2025</v>
      </c>
      <c r="AK1165" s="1097">
        <v>2026</v>
      </c>
      <c r="AL1165" s="1097">
        <v>2027</v>
      </c>
      <c r="AM1165" s="1097">
        <v>2028</v>
      </c>
      <c r="AN1165" s="1097">
        <v>2029</v>
      </c>
      <c r="AO1165" s="1964">
        <v>2030</v>
      </c>
      <c r="AP1165" s="1964">
        <v>2031</v>
      </c>
      <c r="AQ1165" s="1964">
        <v>2032</v>
      </c>
      <c r="AR1165" s="1964">
        <v>2033</v>
      </c>
      <c r="AS1165" s="1964">
        <v>2034</v>
      </c>
      <c r="AT1165" s="1964">
        <v>2035</v>
      </c>
    </row>
    <row r="1166" spans="1:46">
      <c r="D1166" s="2116"/>
      <c r="E1166" s="3101"/>
      <c r="F1166" s="1106"/>
      <c r="G1166" s="1094"/>
      <c r="H1166" s="1094"/>
      <c r="I1166" s="1094"/>
      <c r="J1166" s="1094"/>
      <c r="K1166" s="1094"/>
      <c r="L1166" s="1094"/>
      <c r="M1166" s="1094"/>
      <c r="N1166" s="1094"/>
      <c r="O1166" s="1094"/>
      <c r="P1166" s="1094"/>
      <c r="Q1166" s="1094"/>
      <c r="R1166" s="1094"/>
      <c r="S1166" s="1094"/>
      <c r="T1166" s="1094"/>
      <c r="U1166" s="1095"/>
      <c r="V1166" s="1096"/>
      <c r="W1166" s="1097"/>
      <c r="X1166" s="1097"/>
      <c r="Y1166" s="1097"/>
      <c r="Z1166" s="1098" t="s">
        <v>629</v>
      </c>
      <c r="AA1166" s="1097"/>
      <c r="AB1166" s="1099"/>
      <c r="AC1166" s="1096"/>
      <c r="AD1166" s="1097"/>
      <c r="AE1166" s="1097"/>
      <c r="AF1166" s="1097"/>
      <c r="AG1166" s="1097"/>
      <c r="AH1166" s="1097"/>
      <c r="AI1166" s="1097"/>
      <c r="AJ1166" s="1097"/>
      <c r="AK1166" s="1097"/>
      <c r="AL1166" s="1097"/>
      <c r="AM1166" s="1097"/>
      <c r="AN1166" s="1097"/>
      <c r="AO1166" s="1964"/>
      <c r="AP1166" s="1964"/>
      <c r="AQ1166" s="1964"/>
      <c r="AR1166" s="1964"/>
      <c r="AS1166" s="1964"/>
      <c r="AT1166" s="1964"/>
    </row>
    <row r="1167" spans="1:46" s="1892" customFormat="1">
      <c r="A1167" s="1893"/>
      <c r="B1167" s="2573"/>
      <c r="C1167" s="2573"/>
      <c r="D1167" s="2563" t="s">
        <v>851</v>
      </c>
      <c r="E1167" s="3129"/>
      <c r="F1167" s="2563">
        <f t="shared" ref="F1167:AN1167" si="1010">F591</f>
        <v>6803.5</v>
      </c>
      <c r="G1167" s="2563">
        <f t="shared" si="1010"/>
        <v>0</v>
      </c>
      <c r="H1167" s="2563">
        <f t="shared" si="1010"/>
        <v>0</v>
      </c>
      <c r="I1167" s="2563">
        <f t="shared" si="1010"/>
        <v>0</v>
      </c>
      <c r="J1167" s="2563">
        <f t="shared" si="1010"/>
        <v>2065</v>
      </c>
      <c r="K1167" s="2563">
        <f t="shared" si="1010"/>
        <v>2238</v>
      </c>
      <c r="L1167" s="2563">
        <f t="shared" si="1010"/>
        <v>2428</v>
      </c>
      <c r="M1167" s="2563">
        <f t="shared" si="1010"/>
        <v>2748</v>
      </c>
      <c r="N1167" s="2563">
        <f t="shared" si="1010"/>
        <v>2809</v>
      </c>
      <c r="O1167" s="2563">
        <f t="shared" si="1010"/>
        <v>3018</v>
      </c>
      <c r="P1167" s="2563">
        <f t="shared" si="1010"/>
        <v>3301</v>
      </c>
      <c r="Q1167" s="2563">
        <f t="shared" si="1010"/>
        <v>5869</v>
      </c>
      <c r="R1167" s="2563">
        <f t="shared" si="1010"/>
        <v>6316</v>
      </c>
      <c r="S1167" s="2563">
        <f t="shared" si="1010"/>
        <v>7021</v>
      </c>
      <c r="T1167" s="2563">
        <f t="shared" si="1010"/>
        <v>7460</v>
      </c>
      <c r="U1167" s="2563">
        <f t="shared" si="1010"/>
        <v>8006</v>
      </c>
      <c r="V1167" s="2563">
        <f t="shared" si="1010"/>
        <v>8644</v>
      </c>
      <c r="W1167" s="2563">
        <f t="shared" si="1010"/>
        <v>9390</v>
      </c>
      <c r="X1167" s="2563">
        <f t="shared" si="1010"/>
        <v>14501</v>
      </c>
      <c r="Y1167" s="2563">
        <f t="shared" si="1010"/>
        <v>10392</v>
      </c>
      <c r="Z1167" s="2563">
        <f t="shared" si="1010"/>
        <v>11314</v>
      </c>
      <c r="AA1167" s="2563">
        <f t="shared" si="1010"/>
        <v>11954</v>
      </c>
      <c r="AB1167" s="2563">
        <f t="shared" si="1010"/>
        <v>12517</v>
      </c>
      <c r="AC1167" s="2563">
        <f>AC591</f>
        <v>13527</v>
      </c>
      <c r="AD1167" s="2565">
        <f t="shared" si="1010"/>
        <v>14782</v>
      </c>
      <c r="AE1167" s="2565">
        <f t="shared" si="1010"/>
        <v>10751</v>
      </c>
      <c r="AF1167" s="2565">
        <f t="shared" si="1010"/>
        <v>15581</v>
      </c>
      <c r="AG1167" s="2565">
        <f t="shared" si="1010"/>
        <v>17111</v>
      </c>
      <c r="AH1167" s="2565">
        <f t="shared" si="1010"/>
        <v>18576</v>
      </c>
      <c r="AI1167" s="2565">
        <f t="shared" si="1010"/>
        <v>19917</v>
      </c>
      <c r="AJ1167" s="2866">
        <f t="shared" si="1010"/>
        <v>21466.193430623131</v>
      </c>
      <c r="AK1167" s="2866">
        <f t="shared" si="1010"/>
        <v>23261.296031387188</v>
      </c>
      <c r="AL1167" s="2866">
        <f t="shared" si="1010"/>
        <v>25341.974166436408</v>
      </c>
      <c r="AM1167" s="2866">
        <f t="shared" si="1010"/>
        <v>27492.822499158967</v>
      </c>
      <c r="AN1167" s="2866">
        <f t="shared" si="1010"/>
        <v>29674.327119907597</v>
      </c>
      <c r="AO1167" s="2866">
        <f t="shared" ref="AO1167:AT1167" si="1011">AO591</f>
        <v>32154.119327666092</v>
      </c>
      <c r="AP1167" s="2564">
        <f t="shared" si="1011"/>
        <v>34918.940057613378</v>
      </c>
      <c r="AQ1167" s="2564">
        <f t="shared" si="1011"/>
        <v>37950.455950119424</v>
      </c>
      <c r="AR1167" s="2564">
        <f t="shared" si="1011"/>
        <v>41338.872433839286</v>
      </c>
      <c r="AS1167" s="2564">
        <f t="shared" si="1011"/>
        <v>45108.390091671419</v>
      </c>
      <c r="AT1167" s="2564">
        <f t="shared" si="1011"/>
        <v>49418.223936950606</v>
      </c>
    </row>
    <row r="1168" spans="1:46">
      <c r="D1168" s="1094" t="s">
        <v>1683</v>
      </c>
      <c r="E1168" s="3101"/>
      <c r="F1168" s="1100">
        <f t="shared" ref="F1168:AN1168" si="1012">F1021</f>
        <v>0</v>
      </c>
      <c r="G1168" s="1100">
        <f t="shared" si="1012"/>
        <v>0</v>
      </c>
      <c r="H1168" s="1100">
        <f t="shared" si="1012"/>
        <v>0</v>
      </c>
      <c r="I1168" s="1100">
        <f t="shared" si="1012"/>
        <v>0</v>
      </c>
      <c r="J1168" s="1100">
        <f t="shared" si="1012"/>
        <v>0</v>
      </c>
      <c r="K1168" s="1100">
        <f t="shared" si="1012"/>
        <v>8.4000000000000005E-2</v>
      </c>
      <c r="L1168" s="1100">
        <f t="shared" si="1012"/>
        <v>8.5000000000000006E-2</v>
      </c>
      <c r="M1168" s="1100">
        <f t="shared" si="1012"/>
        <v>0.13200000000000001</v>
      </c>
      <c r="N1168" s="1100">
        <f t="shared" si="1012"/>
        <v>2.1999999999999999E-2</v>
      </c>
      <c r="O1168" s="1100">
        <f t="shared" si="1012"/>
        <v>7.3999999999999996E-2</v>
      </c>
      <c r="P1168" s="1100">
        <f t="shared" si="1012"/>
        <v>9.4E-2</v>
      </c>
      <c r="Q1168" s="1100">
        <f t="shared" si="1012"/>
        <v>9.1999999999999998E-2</v>
      </c>
      <c r="R1168" s="1100">
        <f t="shared" si="1012"/>
        <v>7.5999999999999998E-2</v>
      </c>
      <c r="S1168" s="1100">
        <f t="shared" si="1012"/>
        <v>0.112</v>
      </c>
      <c r="T1168" s="1100">
        <f t="shared" si="1012"/>
        <v>6.2E-2</v>
      </c>
      <c r="U1168" s="1100">
        <f t="shared" si="1012"/>
        <v>7.2999999999999995E-2</v>
      </c>
      <c r="V1168" s="1100">
        <f t="shared" si="1012"/>
        <v>0.08</v>
      </c>
      <c r="W1168" s="1100">
        <f t="shared" si="1012"/>
        <v>8.6302637667746485E-2</v>
      </c>
      <c r="X1168" s="1100">
        <f t="shared" si="1012"/>
        <v>0.54430244941427053</v>
      </c>
      <c r="Y1168" s="1100">
        <f t="shared" si="1012"/>
        <v>-0.28335976829184195</v>
      </c>
      <c r="Z1168" s="1100">
        <f t="shared" si="1012"/>
        <v>8.8722093918398803E-2</v>
      </c>
      <c r="AA1168" s="1100">
        <f t="shared" si="1012"/>
        <v>5.65670850273996E-2</v>
      </c>
      <c r="AB1168" s="1100">
        <f t="shared" si="1012"/>
        <v>4.70972059561654E-2</v>
      </c>
      <c r="AC1168" s="1100">
        <f t="shared" si="1012"/>
        <v>8.0690261244707129E-2</v>
      </c>
      <c r="AD1168" s="1100">
        <f t="shared" si="1012"/>
        <v>9.2777408146669682E-2</v>
      </c>
      <c r="AE1168" s="1100">
        <f t="shared" si="1012"/>
        <v>-0.27269652279799761</v>
      </c>
      <c r="AF1168" s="1100">
        <f t="shared" si="1012"/>
        <v>0.44926053390382292</v>
      </c>
      <c r="AG1168" s="1100">
        <f t="shared" si="1012"/>
        <v>9.8196521404274373E-2</v>
      </c>
      <c r="AH1168" s="1100">
        <f t="shared" si="1012"/>
        <v>8.5617439074279655E-2</v>
      </c>
      <c r="AI1168" s="1100">
        <f t="shared" si="1012"/>
        <v>7.2189922480620172E-2</v>
      </c>
      <c r="AJ1168" s="2865">
        <f t="shared" si="1012"/>
        <v>7.7782468776579336E-2</v>
      </c>
      <c r="AK1168" s="2865">
        <f>AK1021</f>
        <v>8.3624635479302517E-2</v>
      </c>
      <c r="AL1168" s="2865">
        <f t="shared" si="1012"/>
        <v>8.9448074270741265E-2</v>
      </c>
      <c r="AM1168" s="2865">
        <f t="shared" si="1012"/>
        <v>8.4872958933530918E-2</v>
      </c>
      <c r="AN1168" s="2865">
        <f t="shared" si="1012"/>
        <v>7.9348150624235281E-2</v>
      </c>
      <c r="AO1168" s="2865">
        <f t="shared" ref="AO1168:AT1168" si="1013">AO1021</f>
        <v>8.3566922941106181E-2</v>
      </c>
      <c r="AP1168" s="1965">
        <f t="shared" si="1013"/>
        <v>8.5986517054702047E-2</v>
      </c>
      <c r="AQ1168" s="1965">
        <f t="shared" si="1013"/>
        <v>8.6815805047469774E-2</v>
      </c>
      <c r="AR1168" s="1965">
        <f t="shared" si="1013"/>
        <v>8.9285264139473394E-2</v>
      </c>
      <c r="AS1168" s="1965">
        <f t="shared" si="1013"/>
        <v>9.1185787998089463E-2</v>
      </c>
      <c r="AT1168" s="1965">
        <f t="shared" si="1013"/>
        <v>9.5543951724292031E-2</v>
      </c>
    </row>
    <row r="1169" spans="4:46">
      <c r="D1169" s="1094" t="s">
        <v>1682</v>
      </c>
      <c r="E1169" s="3101"/>
      <c r="F1169" s="1099">
        <f t="shared" ref="F1169:U1169" si="1014">F1068</f>
        <v>0</v>
      </c>
      <c r="G1169" s="1099">
        <f t="shared" si="1014"/>
        <v>0</v>
      </c>
      <c r="H1169" s="1099">
        <f t="shared" si="1014"/>
        <v>0</v>
      </c>
      <c r="I1169" s="1099">
        <f t="shared" si="1014"/>
        <v>0</v>
      </c>
      <c r="J1169" s="1099">
        <f t="shared" si="1014"/>
        <v>1.3133056344429753E-2</v>
      </c>
      <c r="K1169" s="1099">
        <f t="shared" si="1014"/>
        <v>-9.6207062050243652E-4</v>
      </c>
      <c r="L1169" s="1099">
        <f t="shared" si="1014"/>
        <v>6.8389004357060981E-3</v>
      </c>
      <c r="M1169" s="1099">
        <f t="shared" si="1014"/>
        <v>-2.31455686001069E-3</v>
      </c>
      <c r="N1169" s="1099">
        <f t="shared" si="1014"/>
        <v>5.767116557994556E-3</v>
      </c>
      <c r="O1169" s="1099">
        <f t="shared" si="1014"/>
        <v>1.4276048572707138E-2</v>
      </c>
      <c r="P1169" s="1099">
        <f t="shared" si="1014"/>
        <v>5.7440908185184408E-3</v>
      </c>
      <c r="Q1169" s="1099">
        <f t="shared" si="1014"/>
        <v>0.17875168749965095</v>
      </c>
      <c r="R1169" s="1099">
        <f t="shared" si="1014"/>
        <v>0.21394816750772061</v>
      </c>
      <c r="S1169" s="1099">
        <f t="shared" si="1014"/>
        <v>0.17484798436035293</v>
      </c>
      <c r="T1169" s="1099">
        <f t="shared" si="1014"/>
        <v>0.1647047060529348</v>
      </c>
      <c r="U1169" s="1099">
        <f t="shared" si="1014"/>
        <v>0.16049310896434171</v>
      </c>
      <c r="V1169" s="2565">
        <f t="shared" ref="V1169:AB1169" si="1015">V1102</f>
        <v>4084</v>
      </c>
      <c r="W1169" s="2565">
        <f t="shared" si="1015"/>
        <v>4642</v>
      </c>
      <c r="X1169" s="2565">
        <f t="shared" si="1015"/>
        <v>9640</v>
      </c>
      <c r="Y1169" s="2565">
        <f t="shared" si="1015"/>
        <v>5548</v>
      </c>
      <c r="Z1169" s="2565">
        <f t="shared" si="1015"/>
        <v>6081</v>
      </c>
      <c r="AA1169" s="2565">
        <f t="shared" si="1015"/>
        <v>6768</v>
      </c>
      <c r="AB1169" s="2565">
        <f t="shared" si="1015"/>
        <v>7621</v>
      </c>
      <c r="AC1169" s="2565">
        <f>AC1102</f>
        <v>8309</v>
      </c>
      <c r="AD1169" s="2565">
        <f t="shared" ref="AD1169:AN1169" si="1016">AD1102</f>
        <v>9460</v>
      </c>
      <c r="AE1169" s="2565">
        <f t="shared" si="1016"/>
        <v>7496</v>
      </c>
      <c r="AF1169" s="2565">
        <f t="shared" si="1016"/>
        <v>11125</v>
      </c>
      <c r="AG1169" s="2565">
        <f t="shared" si="1016"/>
        <v>14164</v>
      </c>
      <c r="AH1169" s="2565">
        <f t="shared" si="1016"/>
        <v>17177</v>
      </c>
      <c r="AI1169" s="2565">
        <f t="shared" si="1016"/>
        <v>19918</v>
      </c>
      <c r="AJ1169" s="2866">
        <f t="shared" si="1016"/>
        <v>22796.029212071611</v>
      </c>
      <c r="AK1169" s="2866">
        <f t="shared" si="1016"/>
        <v>27060.876625304532</v>
      </c>
      <c r="AL1169" s="2866">
        <f t="shared" si="1016"/>
        <v>30570.449278210635</v>
      </c>
      <c r="AM1169" s="2866">
        <f t="shared" si="1016"/>
        <v>34496.333742051029</v>
      </c>
      <c r="AN1169" s="2866">
        <f t="shared" si="1016"/>
        <v>39098.663797754474</v>
      </c>
      <c r="AO1169" s="2866">
        <f t="shared" ref="AO1169:AT1169" si="1017">AO1102</f>
        <v>44493.465736773374</v>
      </c>
      <c r="AP1169" s="2564">
        <f t="shared" si="1017"/>
        <v>50479.895845466483</v>
      </c>
      <c r="AQ1169" s="2564">
        <f t="shared" si="1017"/>
        <v>57636.909818603453</v>
      </c>
      <c r="AR1169" s="2564">
        <f t="shared" si="1017"/>
        <v>65947.444145677087</v>
      </c>
      <c r="AS1169" s="2564">
        <f t="shared" si="1017"/>
        <v>75422.186823418087</v>
      </c>
      <c r="AT1169" s="2564">
        <f t="shared" si="1017"/>
        <v>86362.865629603548</v>
      </c>
    </row>
    <row r="1170" spans="4:46">
      <c r="D1170" s="1094" t="s">
        <v>1681</v>
      </c>
      <c r="E1170" s="3101"/>
      <c r="F1170" s="1100">
        <f t="shared" ref="F1170:U1170" si="1018">F1069</f>
        <v>0</v>
      </c>
      <c r="G1170" s="1100">
        <f t="shared" si="1018"/>
        <v>0</v>
      </c>
      <c r="H1170" s="1100">
        <f t="shared" si="1018"/>
        <v>0</v>
      </c>
      <c r="I1170" s="1100">
        <f t="shared" si="1018"/>
        <v>0</v>
      </c>
      <c r="J1170" s="1100">
        <f t="shared" si="1018"/>
        <v>-9.9125746604875803E-2</v>
      </c>
      <c r="K1170" s="1100">
        <f t="shared" si="1018"/>
        <v>-0.11230971788403636</v>
      </c>
      <c r="L1170" s="1100">
        <f t="shared" si="1018"/>
        <v>-9.9299018130166478E-2</v>
      </c>
      <c r="M1170" s="1100">
        <f t="shared" si="1018"/>
        <v>-0.10477257351052818</v>
      </c>
      <c r="N1170" s="1100">
        <f t="shared" si="1018"/>
        <v>-8.8579190017425036E-2</v>
      </c>
      <c r="O1170" s="1100">
        <f t="shared" si="1018"/>
        <v>-7.7498799781129002E-2</v>
      </c>
      <c r="P1170" s="1100">
        <f t="shared" si="1018"/>
        <v>-8.0853228185639503E-2</v>
      </c>
      <c r="Q1170" s="1100">
        <f t="shared" si="1018"/>
        <v>-6.2819711512493576E-2</v>
      </c>
      <c r="R1170" s="1100">
        <f t="shared" si="1018"/>
        <v>-4.0923213778504025E-2</v>
      </c>
      <c r="S1170" s="1100">
        <f t="shared" si="1018"/>
        <v>-0.12449348444835033</v>
      </c>
      <c r="T1170" s="1100">
        <f t="shared" si="1018"/>
        <v>-0.13602953587036254</v>
      </c>
      <c r="U1170" s="1100">
        <f t="shared" si="1018"/>
        <v>-7.0831936597825995E-2</v>
      </c>
      <c r="V1170" s="1100">
        <f>V1096</f>
        <v>8.0000000000000071E-2</v>
      </c>
      <c r="W1170" s="1100">
        <f>W1169/V1169-1</f>
        <v>0.13663075416258574</v>
      </c>
      <c r="X1170" s="1100">
        <f t="shared" ref="X1170:AN1170" si="1019">X1169/W1169-1</f>
        <v>1.0766910814304178</v>
      </c>
      <c r="Y1170" s="1100">
        <f t="shared" si="1019"/>
        <v>-0.42448132780082992</v>
      </c>
      <c r="Z1170" s="1100">
        <f t="shared" si="1019"/>
        <v>9.6070656092285489E-2</v>
      </c>
      <c r="AA1170" s="1100">
        <f t="shared" si="1019"/>
        <v>0.11297483966452893</v>
      </c>
      <c r="AB1170" s="1100">
        <f t="shared" si="1019"/>
        <v>0.12603427895981079</v>
      </c>
      <c r="AC1170" s="1100">
        <f t="shared" si="1019"/>
        <v>9.0276866552945867E-2</v>
      </c>
      <c r="AD1170" s="1100">
        <f t="shared" si="1019"/>
        <v>0.13852449151522439</v>
      </c>
      <c r="AE1170" s="1100">
        <f t="shared" si="1019"/>
        <v>-0.20761099365750524</v>
      </c>
      <c r="AF1170" s="1100">
        <f t="shared" si="1019"/>
        <v>0.48412486659551757</v>
      </c>
      <c r="AG1170" s="1100">
        <f t="shared" si="1019"/>
        <v>0.27316853932584273</v>
      </c>
      <c r="AH1170" s="1100">
        <f t="shared" si="1019"/>
        <v>0.21272239480372779</v>
      </c>
      <c r="AI1170" s="1100">
        <f t="shared" si="1019"/>
        <v>0.15957384875123704</v>
      </c>
      <c r="AJ1170" s="2865">
        <f t="shared" si="1019"/>
        <v>0.144493885534271</v>
      </c>
      <c r="AK1170" s="2865">
        <f t="shared" si="1019"/>
        <v>0.18708729373686173</v>
      </c>
      <c r="AL1170" s="2865">
        <f t="shared" si="1019"/>
        <v>0.12969175764336893</v>
      </c>
      <c r="AM1170" s="2865">
        <f t="shared" si="1019"/>
        <v>0.12842089522834077</v>
      </c>
      <c r="AN1170" s="2865">
        <f t="shared" si="1019"/>
        <v>0.13341504897644252</v>
      </c>
      <c r="AO1170" s="2865">
        <f t="shared" ref="AO1170:AT1170" si="1020">AO1169/AN1169-1</f>
        <v>0.13797918944045184</v>
      </c>
      <c r="AP1170" s="1965">
        <f t="shared" si="1020"/>
        <v>0.13454627571853517</v>
      </c>
      <c r="AQ1170" s="1965">
        <f t="shared" si="1020"/>
        <v>0.14177949168212733</v>
      </c>
      <c r="AR1170" s="1965">
        <f t="shared" si="1020"/>
        <v>0.14418771501159222</v>
      </c>
      <c r="AS1170" s="1965">
        <f t="shared" si="1020"/>
        <v>0.1436711126637662</v>
      </c>
      <c r="AT1170" s="1965">
        <f t="shared" si="1020"/>
        <v>0.14505915655562052</v>
      </c>
    </row>
    <row r="1171" spans="4:46">
      <c r="D1171" s="1094" t="s">
        <v>1621</v>
      </c>
      <c r="E1171" s="3102"/>
      <c r="F1171" s="1099">
        <f t="shared" ref="F1171:AL1171" si="1021">F874</f>
        <v>0</v>
      </c>
      <c r="G1171" s="1099">
        <f t="shared" si="1021"/>
        <v>0</v>
      </c>
      <c r="H1171" s="1099">
        <f t="shared" si="1021"/>
        <v>0</v>
      </c>
      <c r="I1171" s="1099">
        <f t="shared" si="1021"/>
        <v>0</v>
      </c>
      <c r="J1171" s="1099">
        <f t="shared" si="1021"/>
        <v>118</v>
      </c>
      <c r="K1171" s="1099">
        <f t="shared" si="1021"/>
        <v>130</v>
      </c>
      <c r="L1171" s="1099">
        <f t="shared" si="1021"/>
        <v>142</v>
      </c>
      <c r="M1171" s="1099">
        <f t="shared" si="1021"/>
        <v>160</v>
      </c>
      <c r="N1171" s="1099">
        <f t="shared" si="1021"/>
        <v>196</v>
      </c>
      <c r="O1171" s="1099">
        <f t="shared" si="1021"/>
        <v>227</v>
      </c>
      <c r="P1171" s="1099">
        <f t="shared" si="1021"/>
        <v>269</v>
      </c>
      <c r="Q1171" s="1099">
        <f t="shared" si="1021"/>
        <v>294</v>
      </c>
      <c r="R1171" s="1099">
        <f t="shared" si="1021"/>
        <v>315</v>
      </c>
      <c r="S1171" s="1099">
        <f t="shared" si="1021"/>
        <v>348</v>
      </c>
      <c r="T1171" s="1099">
        <f t="shared" si="1021"/>
        <v>411</v>
      </c>
      <c r="U1171" s="1099">
        <f t="shared" si="1021"/>
        <v>468</v>
      </c>
      <c r="V1171" s="1099">
        <f>V874</f>
        <v>497</v>
      </c>
      <c r="W1171" s="1099">
        <f t="shared" si="1021"/>
        <v>609</v>
      </c>
      <c r="X1171" s="1099">
        <f t="shared" si="1021"/>
        <v>650</v>
      </c>
      <c r="Y1171" s="1099">
        <f t="shared" si="1021"/>
        <v>803</v>
      </c>
      <c r="Z1171" s="1099">
        <f t="shared" si="1021"/>
        <v>852</v>
      </c>
      <c r="AA1171" s="1099">
        <f t="shared" si="1021"/>
        <v>1031</v>
      </c>
      <c r="AB1171" s="2565">
        <f t="shared" si="1021"/>
        <v>1156</v>
      </c>
      <c r="AC1171" s="2565">
        <f t="shared" si="1021"/>
        <v>1157</v>
      </c>
      <c r="AD1171" s="2565">
        <f t="shared" si="1021"/>
        <v>1392</v>
      </c>
      <c r="AE1171" s="2565">
        <f t="shared" si="1021"/>
        <v>1486</v>
      </c>
      <c r="AF1171" s="2565">
        <f t="shared" si="1021"/>
        <v>1963</v>
      </c>
      <c r="AG1171" s="2565">
        <f t="shared" si="1021"/>
        <v>2446</v>
      </c>
      <c r="AH1171" s="2565">
        <f t="shared" si="1021"/>
        <v>2884</v>
      </c>
      <c r="AI1171" s="2565">
        <f t="shared" si="1021"/>
        <v>3456</v>
      </c>
      <c r="AJ1171" s="2866">
        <f t="shared" si="1021"/>
        <v>3910.3435035984076</v>
      </c>
      <c r="AK1171" s="2866">
        <f t="shared" si="1021"/>
        <v>4282.1041863452883</v>
      </c>
      <c r="AL1171" s="2866">
        <f t="shared" si="1021"/>
        <v>4790.4992875580083</v>
      </c>
      <c r="AM1171" s="2866">
        <v>3757.7376589735914</v>
      </c>
      <c r="AN1171" s="2866">
        <v>3757.7376589735914</v>
      </c>
      <c r="AO1171" s="2866">
        <v>3758.73765897359</v>
      </c>
      <c r="AP1171" s="2564">
        <v>3759.73765897359</v>
      </c>
      <c r="AQ1171" s="2564">
        <v>3760.73765897359</v>
      </c>
      <c r="AR1171" s="2564">
        <v>3761.73765897359</v>
      </c>
      <c r="AS1171" s="2564">
        <v>3762.73765897359</v>
      </c>
      <c r="AT1171" s="2564">
        <v>3763.73765897359</v>
      </c>
    </row>
    <row r="1172" spans="4:46">
      <c r="D1172" s="1094" t="s">
        <v>1622</v>
      </c>
      <c r="E1172" s="3102"/>
      <c r="F1172" s="1099">
        <f t="shared" ref="F1172:AN1172" si="1022">F877</f>
        <v>0</v>
      </c>
      <c r="G1172" s="1099">
        <f t="shared" si="1022"/>
        <v>0</v>
      </c>
      <c r="H1172" s="1099">
        <f t="shared" si="1022"/>
        <v>0</v>
      </c>
      <c r="I1172" s="1099">
        <f t="shared" si="1022"/>
        <v>0</v>
      </c>
      <c r="J1172" s="1099">
        <f t="shared" si="1022"/>
        <v>635</v>
      </c>
      <c r="K1172" s="1099">
        <f t="shared" si="1022"/>
        <v>712</v>
      </c>
      <c r="L1172" s="1099">
        <f t="shared" si="1022"/>
        <v>745</v>
      </c>
      <c r="M1172" s="1099">
        <f t="shared" si="1022"/>
        <v>798</v>
      </c>
      <c r="N1172" s="1099">
        <f t="shared" si="1022"/>
        <v>960</v>
      </c>
      <c r="O1172" s="1099">
        <f t="shared" si="1022"/>
        <v>1121</v>
      </c>
      <c r="P1172" s="1099">
        <f t="shared" si="1022"/>
        <v>1329</v>
      </c>
      <c r="Q1172" s="1099">
        <f t="shared" si="1022"/>
        <v>1443</v>
      </c>
      <c r="R1172" s="1099">
        <f t="shared" si="1022"/>
        <v>1700</v>
      </c>
      <c r="S1172" s="1099">
        <f t="shared" si="1022"/>
        <v>2272</v>
      </c>
      <c r="T1172" s="1099">
        <f t="shared" si="1022"/>
        <v>2613</v>
      </c>
      <c r="U1172" s="1099">
        <f t="shared" si="1022"/>
        <v>2893</v>
      </c>
      <c r="V1172" s="2565">
        <f>V877</f>
        <v>3320</v>
      </c>
      <c r="W1172" s="2565">
        <f t="shared" si="1022"/>
        <v>3714</v>
      </c>
      <c r="X1172" s="2565">
        <f t="shared" si="1022"/>
        <v>3898</v>
      </c>
      <c r="Y1172" s="2565">
        <f t="shared" si="1022"/>
        <v>4347</v>
      </c>
      <c r="Z1172" s="2565">
        <f t="shared" si="1022"/>
        <v>4891</v>
      </c>
      <c r="AA1172" s="2565">
        <f t="shared" si="1022"/>
        <v>5240</v>
      </c>
      <c r="AB1172" s="2565">
        <f t="shared" si="1022"/>
        <v>5600</v>
      </c>
      <c r="AC1172" s="2565">
        <f t="shared" si="1022"/>
        <v>6056</v>
      </c>
      <c r="AD1172" s="2565">
        <f t="shared" si="1022"/>
        <v>6475</v>
      </c>
      <c r="AE1172" s="2565">
        <f t="shared" si="1022"/>
        <v>7301</v>
      </c>
      <c r="AF1172" s="2565">
        <f t="shared" si="1022"/>
        <v>8247</v>
      </c>
      <c r="AG1172" s="2565">
        <f t="shared" si="1022"/>
        <v>8829</v>
      </c>
      <c r="AH1172" s="2565">
        <f t="shared" si="1022"/>
        <v>11205</v>
      </c>
      <c r="AI1172" s="2565">
        <f t="shared" si="1022"/>
        <v>13103</v>
      </c>
      <c r="AJ1172" s="2866">
        <f t="shared" si="1022"/>
        <v>13788.222813379407</v>
      </c>
      <c r="AK1172" s="2866">
        <f t="shared" si="1022"/>
        <v>16536.489656506739</v>
      </c>
      <c r="AL1172" s="2866">
        <f t="shared" si="1022"/>
        <v>18520.614085191562</v>
      </c>
      <c r="AM1172" s="2866">
        <f t="shared" si="1022"/>
        <v>20624.78143003034</v>
      </c>
      <c r="AN1172" s="2866">
        <f t="shared" si="1022"/>
        <v>23037.160691994708</v>
      </c>
      <c r="AO1172" s="2866">
        <f t="shared" ref="AO1172:AT1172" si="1023">AO877</f>
        <v>24188.313822072749</v>
      </c>
      <c r="AP1172" s="2564">
        <f t="shared" si="1023"/>
        <v>28404.40070731561</v>
      </c>
      <c r="AQ1172" s="2564">
        <f t="shared" si="1023"/>
        <v>32689.250087632277</v>
      </c>
      <c r="AR1172" s="2564">
        <f t="shared" si="1023"/>
        <v>37334.614545082251</v>
      </c>
      <c r="AS1172" s="2564">
        <f t="shared" si="1023"/>
        <v>40775.727261031636</v>
      </c>
      <c r="AT1172" s="2564">
        <f t="shared" si="1023"/>
        <v>42614.008785068116</v>
      </c>
    </row>
    <row r="1173" spans="4:46">
      <c r="D1173" s="1094" t="s">
        <v>852</v>
      </c>
      <c r="E1173" s="3101"/>
      <c r="F1173" s="1100">
        <f t="shared" ref="F1173:U1173" si="1024">F1076</f>
        <v>0</v>
      </c>
      <c r="G1173" s="1100">
        <f t="shared" si="1024"/>
        <v>0</v>
      </c>
      <c r="H1173" s="1100">
        <f t="shared" si="1024"/>
        <v>0</v>
      </c>
      <c r="I1173" s="1100">
        <f t="shared" si="1024"/>
        <v>0</v>
      </c>
      <c r="J1173" s="1100">
        <f t="shared" si="1024"/>
        <v>7.5</v>
      </c>
      <c r="K1173" s="1100">
        <f t="shared" si="1024"/>
        <v>7.7</v>
      </c>
      <c r="L1173" s="1100">
        <f t="shared" si="1024"/>
        <v>7.9</v>
      </c>
      <c r="M1173" s="1100">
        <f t="shared" si="1024"/>
        <v>8.1</v>
      </c>
      <c r="N1173" s="1100">
        <f t="shared" si="1024"/>
        <v>8.3000000000000007</v>
      </c>
      <c r="O1173" s="1100">
        <f t="shared" si="1024"/>
        <v>8.6</v>
      </c>
      <c r="P1173" s="1100">
        <f t="shared" si="1024"/>
        <v>8.8000000000000007</v>
      </c>
      <c r="Q1173" s="1100">
        <f t="shared" si="1024"/>
        <v>9</v>
      </c>
      <c r="R1173" s="1100">
        <f t="shared" si="1024"/>
        <v>9.1999999999999993</v>
      </c>
      <c r="S1173" s="1100">
        <f t="shared" si="1024"/>
        <v>9.5</v>
      </c>
      <c r="T1173" s="1100">
        <f t="shared" si="1024"/>
        <v>9.6999999999999993</v>
      </c>
      <c r="U1173" s="1100">
        <f t="shared" si="1024"/>
        <v>10</v>
      </c>
      <c r="V1173" s="1100">
        <f t="shared" ref="V1173:AA1173" si="1025">V1077</f>
        <v>2.0000000000000018E-2</v>
      </c>
      <c r="W1173" s="1100">
        <f t="shared" si="1025"/>
        <v>2.941176470588247E-2</v>
      </c>
      <c r="X1173" s="1100">
        <f t="shared" si="1025"/>
        <v>1.904761904761898E-2</v>
      </c>
      <c r="Y1173" s="1100">
        <f t="shared" si="1025"/>
        <v>2.8037383177570208E-2</v>
      </c>
      <c r="Z1173" s="1100">
        <f t="shared" si="1025"/>
        <v>2.7272727272727337E-2</v>
      </c>
      <c r="AA1173" s="1100">
        <f t="shared" si="1025"/>
        <v>1.7699115044247815E-2</v>
      </c>
      <c r="AB1173" s="1100">
        <f t="shared" ref="AB1173:AN1173" si="1026">AB1077</f>
        <v>2.6086956521739202E-2</v>
      </c>
      <c r="AC1173" s="1100">
        <f t="shared" si="1026"/>
        <v>2.5423728813559254E-2</v>
      </c>
      <c r="AD1173" s="1100">
        <f t="shared" si="1026"/>
        <v>2.4793388429752206E-2</v>
      </c>
      <c r="AE1173" s="1100">
        <f t="shared" si="1026"/>
        <v>2.4193548387096753E-2</v>
      </c>
      <c r="AF1173" s="1100">
        <f t="shared" si="1026"/>
        <v>2.3622047244094446E-2</v>
      </c>
      <c r="AG1173" s="1100">
        <f t="shared" si="1026"/>
        <v>1.5902384615384513E-2</v>
      </c>
      <c r="AH1173" s="1100">
        <f t="shared" si="1026"/>
        <v>2.2179977770426351E-2</v>
      </c>
      <c r="AI1173" s="1100">
        <f t="shared" si="1026"/>
        <v>2.2141675313800624E-2</v>
      </c>
      <c r="AJ1173" s="2865">
        <f t="shared" si="1026"/>
        <v>2.2205503892761103E-2</v>
      </c>
      <c r="AK1173" s="2865">
        <f t="shared" si="1026"/>
        <v>2.2203529041014969E-2</v>
      </c>
      <c r="AL1173" s="2865">
        <f t="shared" si="1026"/>
        <v>2.2170535807484182E-2</v>
      </c>
      <c r="AM1173" s="2865">
        <f t="shared" si="1026"/>
        <v>2.21089262761891E-2</v>
      </c>
      <c r="AN1173" s="2865">
        <f t="shared" si="1026"/>
        <v>2.201984380933153E-2</v>
      </c>
      <c r="AO1173" s="2865">
        <f t="shared" ref="AO1173:AT1173" si="1027">AO1077</f>
        <v>2.1908578953669045E-2</v>
      </c>
      <c r="AP1173" s="1965">
        <f t="shared" si="1027"/>
        <v>2.1779703824453156E-2</v>
      </c>
      <c r="AQ1173" s="1965">
        <f t="shared" si="1027"/>
        <v>2.1634645142439402E-2</v>
      </c>
      <c r="AR1173" s="1965">
        <f t="shared" si="1027"/>
        <v>2.1472485280456866E-2</v>
      </c>
      <c r="AS1173" s="1965">
        <f t="shared" si="1027"/>
        <v>2.1292156491994119E-2</v>
      </c>
      <c r="AT1173" s="1965">
        <f t="shared" si="1027"/>
        <v>2.108925056991251E-2</v>
      </c>
    </row>
    <row r="1174" spans="4:46">
      <c r="D1174" s="1094"/>
      <c r="E1174" s="3101"/>
      <c r="F1174" s="1100"/>
      <c r="G1174" s="1100"/>
      <c r="H1174" s="1100"/>
      <c r="I1174" s="1100"/>
      <c r="J1174" s="1100"/>
      <c r="K1174" s="1100"/>
      <c r="L1174" s="1100"/>
      <c r="M1174" s="1100"/>
      <c r="N1174" s="1100"/>
      <c r="O1174" s="1100"/>
      <c r="P1174" s="1100"/>
      <c r="Q1174" s="1100"/>
      <c r="R1174" s="1100"/>
      <c r="S1174" s="1100"/>
      <c r="T1174" s="1100"/>
      <c r="U1174" s="1100"/>
      <c r="V1174" s="1100"/>
      <c r="W1174" s="1100"/>
      <c r="X1174" s="1100"/>
      <c r="Y1174" s="1100"/>
      <c r="Z1174" s="1100"/>
      <c r="AA1174" s="1100"/>
      <c r="AB1174" s="1100"/>
      <c r="AC1174" s="1100"/>
      <c r="AD1174" s="1100"/>
      <c r="AE1174" s="1100"/>
      <c r="AF1174" s="1100"/>
      <c r="AG1174" s="1100"/>
      <c r="AH1174" s="1100"/>
      <c r="AI1174" s="1100"/>
      <c r="AJ1174" s="1100"/>
      <c r="AK1174" s="1100"/>
      <c r="AL1174" s="1100"/>
      <c r="AM1174" s="1100"/>
      <c r="AN1174" s="1100"/>
      <c r="AO1174" s="1965"/>
      <c r="AP1174" s="1965"/>
      <c r="AQ1174" s="1965"/>
      <c r="AR1174" s="1965"/>
      <c r="AS1174" s="1965"/>
      <c r="AT1174" s="1965"/>
    </row>
    <row r="1175" spans="4:46" ht="12.75" customHeight="1">
      <c r="D1175" s="1094"/>
      <c r="E1175" s="3101"/>
      <c r="F1175" s="1094"/>
      <c r="G1175" s="1094"/>
      <c r="H1175" s="1094"/>
      <c r="I1175" s="1094"/>
      <c r="J1175" s="1094"/>
      <c r="K1175" s="1094"/>
      <c r="L1175" s="1094"/>
      <c r="M1175" s="1094"/>
      <c r="N1175" s="1094"/>
      <c r="O1175" s="1094"/>
      <c r="P1175" s="1094"/>
      <c r="Q1175" s="1094"/>
      <c r="R1175" s="1094"/>
      <c r="S1175" s="1094"/>
      <c r="T1175" s="1094"/>
      <c r="U1175" s="1095"/>
      <c r="V1175" s="1101"/>
      <c r="W1175" s="1099"/>
      <c r="X1175" s="1099"/>
      <c r="Y1175" s="1099"/>
      <c r="Z1175" s="1099"/>
      <c r="AA1175" s="1099"/>
      <c r="AB1175" s="1099"/>
      <c r="AC1175" s="1101"/>
      <c r="AD1175" s="1099"/>
      <c r="AE1175" s="1099"/>
      <c r="AF1175" s="1099"/>
      <c r="AG1175" s="1099"/>
      <c r="AH1175" s="1099"/>
      <c r="AI1175" s="1099"/>
      <c r="AJ1175" s="1099"/>
      <c r="AK1175" s="1099"/>
      <c r="AL1175" s="1099"/>
      <c r="AM1175" s="1099"/>
      <c r="AN1175" s="1099"/>
      <c r="AO1175" s="1966"/>
      <c r="AP1175" s="1966"/>
      <c r="AQ1175" s="1966"/>
      <c r="AR1175" s="1966"/>
      <c r="AS1175" s="1966"/>
      <c r="AT1175" s="1966"/>
    </row>
    <row r="1176" spans="4:46" hidden="1">
      <c r="D1176" s="1089" t="s">
        <v>630</v>
      </c>
      <c r="E1176" s="3100"/>
      <c r="F1176" s="1089"/>
      <c r="G1176" s="1089"/>
      <c r="H1176" s="1089"/>
      <c r="I1176" s="1089"/>
      <c r="J1176" s="1089"/>
      <c r="K1176" s="1089"/>
      <c r="L1176" s="1089"/>
      <c r="M1176" s="1089"/>
      <c r="N1176" s="1089"/>
      <c r="O1176" s="1089"/>
      <c r="P1176" s="1089"/>
      <c r="Q1176" s="1089"/>
      <c r="R1176" s="1089"/>
      <c r="S1176" s="1089"/>
      <c r="T1176" s="1089"/>
      <c r="U1176" s="1089"/>
      <c r="V1176" s="1089"/>
      <c r="W1176" s="1102"/>
      <c r="X1176" s="1102"/>
      <c r="Y1176" s="1102"/>
      <c r="Z1176" s="1102"/>
      <c r="AA1176" s="1102"/>
      <c r="AB1176" s="1102"/>
      <c r="AC1176" s="1089"/>
      <c r="AD1176" s="1102"/>
      <c r="AE1176" s="1102"/>
      <c r="AF1176" s="1102"/>
      <c r="AG1176" s="1092"/>
      <c r="AH1176" s="1092"/>
      <c r="AI1176" s="1092"/>
      <c r="AJ1176" s="1092"/>
      <c r="AK1176" s="1092"/>
      <c r="AL1176" s="1092"/>
    </row>
    <row r="1177" spans="4:46">
      <c r="D1177"/>
      <c r="V1177" s="1103"/>
      <c r="W1177" s="230"/>
      <c r="X1177" s="230"/>
      <c r="Y1177" s="230"/>
      <c r="Z1177" s="230"/>
      <c r="AA1177" s="230"/>
      <c r="AB1177" s="230"/>
      <c r="AC1177" s="1103"/>
      <c r="AD1177" s="230"/>
      <c r="AE1177" s="230"/>
      <c r="AF1177" s="230"/>
      <c r="AG1177" s="230"/>
      <c r="AH1177" s="230"/>
      <c r="AI1177" s="230"/>
      <c r="AJ1177" s="230"/>
      <c r="AK1177" s="230"/>
      <c r="AL1177" s="230"/>
    </row>
    <row r="1178" spans="4:46" hidden="1">
      <c r="D1178"/>
      <c r="V1178" s="1103"/>
      <c r="W1178" s="230"/>
      <c r="X1178" s="230"/>
      <c r="Y1178" s="230"/>
      <c r="Z1178" s="230"/>
      <c r="AA1178" s="230"/>
      <c r="AB1178" s="230"/>
      <c r="AC1178" s="1103"/>
      <c r="AD1178" s="230"/>
      <c r="AE1178" s="230"/>
      <c r="AF1178" s="230"/>
      <c r="AG1178" s="230"/>
      <c r="AH1178" s="230"/>
      <c r="AI1178" s="230"/>
      <c r="AJ1178" s="230"/>
      <c r="AK1178" s="230"/>
      <c r="AL1178" s="230"/>
    </row>
    <row r="1179" spans="4:46" hidden="1">
      <c r="D1179"/>
      <c r="V1179" s="1103"/>
      <c r="W1179" s="230"/>
      <c r="X1179" s="230"/>
      <c r="Y1179" s="230"/>
      <c r="Z1179" s="230"/>
      <c r="AA1179" s="230"/>
      <c r="AB1179" s="230"/>
      <c r="AC1179" s="1103"/>
      <c r="AD1179" s="230"/>
      <c r="AE1179" s="230"/>
      <c r="AF1179" s="230"/>
      <c r="AG1179" s="230"/>
      <c r="AH1179" s="230"/>
      <c r="AI1179" s="230"/>
      <c r="AJ1179" s="230"/>
      <c r="AK1179" s="230"/>
      <c r="AL1179" s="230"/>
    </row>
    <row r="1180" spans="4:46" hidden="1">
      <c r="D1180"/>
      <c r="V1180" s="1103"/>
      <c r="W1180" s="230"/>
      <c r="X1180" s="230"/>
      <c r="Y1180" s="230"/>
      <c r="Z1180" s="230"/>
      <c r="AA1180" s="230"/>
      <c r="AB1180" s="230"/>
      <c r="AC1180" s="1103"/>
      <c r="AD1180" s="230"/>
      <c r="AE1180" s="230"/>
      <c r="AF1180" s="230"/>
      <c r="AG1180" s="230"/>
      <c r="AH1180" s="230"/>
      <c r="AI1180" s="230"/>
      <c r="AJ1180" s="230"/>
      <c r="AK1180" s="230"/>
      <c r="AL1180" s="230"/>
    </row>
    <row r="1181" spans="4:46" ht="9.75" hidden="1" customHeight="1">
      <c r="D1181" s="1104"/>
      <c r="V1181" s="1103"/>
      <c r="W1181" s="230"/>
      <c r="X1181" s="230"/>
      <c r="Y1181" s="230"/>
      <c r="Z1181" s="230"/>
      <c r="AA1181" s="230"/>
      <c r="AB1181" s="230"/>
      <c r="AC1181" s="1103"/>
      <c r="AD1181" s="230"/>
      <c r="AE1181" s="230"/>
      <c r="AF1181" s="230"/>
      <c r="AG1181" s="230"/>
      <c r="AH1181" s="230"/>
      <c r="AI1181" s="230"/>
      <c r="AJ1181" s="230"/>
      <c r="AK1181" s="230"/>
      <c r="AL1181" s="230"/>
    </row>
    <row r="1182" spans="4:46" hidden="1">
      <c r="D1182"/>
      <c r="W1182" s="834"/>
      <c r="X1182" s="834"/>
      <c r="Y1182" s="834"/>
      <c r="Z1182" s="834"/>
      <c r="AA1182" s="834"/>
      <c r="AB1182" s="834"/>
      <c r="AC1182" s="87"/>
      <c r="AD1182" s="834"/>
      <c r="AE1182" s="834"/>
      <c r="AF1182" s="834"/>
      <c r="AG1182" s="834"/>
      <c r="AH1182" s="834"/>
      <c r="AI1182" s="834"/>
      <c r="AJ1182" s="834"/>
      <c r="AK1182" s="834"/>
      <c r="AL1182" s="834"/>
    </row>
    <row r="1183" spans="4:46" hidden="1">
      <c r="D1183"/>
      <c r="W1183" s="834"/>
      <c r="X1183" s="834"/>
      <c r="Y1183" s="834"/>
      <c r="Z1183" s="834"/>
      <c r="AA1183" s="834"/>
      <c r="AB1183" s="834"/>
      <c r="AC1183" s="87"/>
      <c r="AD1183" s="834"/>
      <c r="AE1183" s="834"/>
      <c r="AF1183" s="834"/>
      <c r="AG1183" s="834"/>
      <c r="AH1183" s="834"/>
      <c r="AI1183" s="834"/>
      <c r="AJ1183" s="834"/>
      <c r="AK1183" s="834"/>
      <c r="AL1183" s="834"/>
    </row>
    <row r="1184" spans="4:46" hidden="1">
      <c r="D1184"/>
      <c r="V1184" s="1103"/>
      <c r="W1184" s="230"/>
      <c r="X1184" s="230"/>
      <c r="Y1184" s="230"/>
      <c r="Z1184" s="230"/>
      <c r="AA1184" s="230"/>
      <c r="AB1184" s="230"/>
      <c r="AC1184" s="1103"/>
      <c r="AD1184" s="230"/>
      <c r="AE1184" s="230"/>
      <c r="AF1184" s="230"/>
      <c r="AG1184" s="230"/>
      <c r="AH1184" s="230"/>
      <c r="AI1184" s="230"/>
      <c r="AJ1184" s="230"/>
      <c r="AK1184" s="230"/>
      <c r="AL1184" s="230"/>
    </row>
    <row r="1185" spans="4:46" hidden="1">
      <c r="D1185"/>
      <c r="V1185" s="1103"/>
      <c r="W1185" s="230"/>
      <c r="X1185" s="230"/>
      <c r="Y1185" s="230"/>
      <c r="Z1185" s="230"/>
      <c r="AA1185" s="230"/>
      <c r="AB1185" s="230"/>
      <c r="AC1185" s="1103"/>
      <c r="AD1185" s="230"/>
      <c r="AE1185" s="230"/>
      <c r="AF1185" s="230"/>
      <c r="AG1185" s="230"/>
      <c r="AH1185" s="230"/>
      <c r="AI1185" s="230"/>
      <c r="AJ1185" s="230"/>
      <c r="AK1185" s="230"/>
      <c r="AL1185" s="230"/>
    </row>
    <row r="1186" spans="4:46" hidden="1">
      <c r="D1186"/>
      <c r="V1186" s="1103"/>
      <c r="W1186" s="230"/>
      <c r="X1186" s="230"/>
      <c r="Y1186" s="230"/>
      <c r="Z1186" s="230"/>
      <c r="AA1186" s="230"/>
      <c r="AB1186" s="230"/>
      <c r="AC1186" s="1103"/>
      <c r="AD1186" s="230"/>
      <c r="AE1186" s="230"/>
      <c r="AF1186" s="230"/>
      <c r="AG1186" s="230"/>
      <c r="AH1186" s="230"/>
      <c r="AI1186" s="230"/>
      <c r="AJ1186" s="230"/>
      <c r="AK1186" s="230"/>
      <c r="AL1186" s="230"/>
    </row>
    <row r="1187" spans="4:46" hidden="1">
      <c r="D1187"/>
      <c r="V1187" s="1103"/>
      <c r="W1187" s="230"/>
      <c r="X1187" s="230"/>
      <c r="Y1187" s="230"/>
      <c r="Z1187" s="230"/>
      <c r="AA1187" s="230"/>
      <c r="AB1187" s="230"/>
      <c r="AC1187" s="1103"/>
      <c r="AD1187" s="230"/>
      <c r="AE1187" s="230"/>
      <c r="AF1187" s="230"/>
      <c r="AG1187" s="230"/>
      <c r="AH1187" s="230"/>
      <c r="AI1187" s="230"/>
      <c r="AJ1187" s="230"/>
      <c r="AK1187" s="230"/>
      <c r="AL1187" s="230"/>
    </row>
    <row r="1188" spans="4:46" hidden="1">
      <c r="D1188"/>
      <c r="V1188" s="1103"/>
      <c r="W1188" s="230"/>
      <c r="X1188" s="230"/>
      <c r="Y1188" s="230"/>
      <c r="Z1188" s="230"/>
      <c r="AA1188" s="230"/>
      <c r="AB1188" s="230"/>
      <c r="AC1188" s="1103"/>
      <c r="AD1188" s="230"/>
      <c r="AE1188" s="230"/>
      <c r="AF1188" s="230"/>
      <c r="AG1188" s="230"/>
      <c r="AH1188" s="230"/>
      <c r="AI1188" s="230"/>
      <c r="AJ1188" s="230"/>
      <c r="AK1188" s="230"/>
      <c r="AL1188" s="230"/>
    </row>
    <row r="1189" spans="4:46" hidden="1">
      <c r="D1189"/>
      <c r="V1189" s="1103"/>
      <c r="W1189" s="230"/>
      <c r="X1189" s="230"/>
      <c r="Y1189" s="230"/>
      <c r="Z1189" s="230"/>
      <c r="AA1189" s="230"/>
      <c r="AB1189" s="230"/>
      <c r="AC1189" s="1103"/>
      <c r="AD1189" s="230"/>
      <c r="AE1189" s="230"/>
      <c r="AF1189" s="230"/>
      <c r="AG1189" s="230"/>
      <c r="AH1189" s="230"/>
      <c r="AI1189" s="230"/>
      <c r="AJ1189" s="230"/>
      <c r="AK1189" s="230"/>
      <c r="AL1189" s="230"/>
    </row>
    <row r="1190" spans="4:46" hidden="1"/>
    <row r="1191" spans="4:46" hidden="1">
      <c r="D1191" s="295"/>
      <c r="F1191" s="295"/>
      <c r="G1191" s="295"/>
      <c r="H1191" s="295"/>
      <c r="I1191" s="295"/>
      <c r="J1191" s="295"/>
      <c r="K1191" s="295"/>
      <c r="L1191" s="295"/>
      <c r="M1191" s="295"/>
      <c r="N1191" s="295"/>
      <c r="O1191" s="295"/>
      <c r="P1191" s="295"/>
      <c r="Q1191" s="295"/>
      <c r="R1191" s="295"/>
      <c r="S1191" s="295"/>
      <c r="T1191" s="295"/>
      <c r="U1191" s="295"/>
      <c r="V1191" s="295"/>
      <c r="W1191" s="820"/>
      <c r="X1191" s="820"/>
      <c r="Y1191" s="820"/>
      <c r="Z1191" s="820"/>
      <c r="AA1191" s="820"/>
      <c r="AB1191" s="820"/>
      <c r="AC1191" s="295"/>
      <c r="AD1191" s="820"/>
      <c r="AE1191" s="820"/>
      <c r="AF1191" s="820"/>
    </row>
    <row r="1192" spans="4:46">
      <c r="D1192" s="295"/>
      <c r="F1192" s="295"/>
      <c r="G1192" s="295"/>
      <c r="H1192" s="295"/>
      <c r="I1192" s="295"/>
      <c r="J1192" s="295"/>
      <c r="K1192" s="295"/>
      <c r="L1192" s="295"/>
      <c r="M1192" s="295"/>
      <c r="N1192" s="295"/>
      <c r="O1192" s="295"/>
      <c r="P1192" s="295"/>
      <c r="Q1192" s="295"/>
      <c r="R1192" s="295"/>
      <c r="S1192" s="295"/>
      <c r="T1192" s="295"/>
      <c r="U1192" s="295"/>
      <c r="V1192" s="295"/>
      <c r="W1192" s="820"/>
      <c r="X1192" s="820"/>
      <c r="Y1192" s="820"/>
      <c r="Z1192" s="820"/>
      <c r="AA1192" s="820"/>
      <c r="AB1192" s="820"/>
      <c r="AC1192" s="295"/>
      <c r="AD1192" s="820"/>
      <c r="AE1192" s="820"/>
      <c r="AF1192" s="820"/>
    </row>
    <row r="1193" spans="4:46">
      <c r="D1193" s="295"/>
      <c r="F1193" s="295"/>
      <c r="G1193" s="295"/>
      <c r="H1193" s="295"/>
      <c r="I1193" s="295"/>
      <c r="J1193" s="295"/>
      <c r="K1193" s="295"/>
      <c r="L1193" s="295"/>
      <c r="M1193" s="295"/>
      <c r="N1193" s="295"/>
      <c r="O1193" s="295"/>
      <c r="P1193" s="295"/>
      <c r="Q1193" s="295"/>
      <c r="R1193" s="295"/>
      <c r="S1193" s="295"/>
      <c r="T1193" s="295"/>
      <c r="U1193" s="295"/>
      <c r="V1193" s="295"/>
      <c r="W1193" s="820"/>
      <c r="X1193" s="820"/>
      <c r="Y1193" s="820"/>
      <c r="Z1193" s="820"/>
      <c r="AA1193" s="820"/>
      <c r="AB1193" s="820"/>
      <c r="AC1193" s="295"/>
      <c r="AD1193" s="820"/>
      <c r="AE1193" s="820"/>
      <c r="AF1193" s="820"/>
    </row>
    <row r="1194" spans="4:46">
      <c r="D1194" s="1471" t="s">
        <v>723</v>
      </c>
      <c r="E1194" s="764"/>
      <c r="U1194"/>
      <c r="V1194" s="295">
        <v>2011</v>
      </c>
      <c r="W1194" s="820">
        <v>2012</v>
      </c>
      <c r="X1194" s="820">
        <v>2013</v>
      </c>
      <c r="Y1194" s="820">
        <v>2014</v>
      </c>
      <c r="Z1194" s="820">
        <v>2015</v>
      </c>
      <c r="AA1194" s="820">
        <v>2016</v>
      </c>
      <c r="AB1194" s="820">
        <v>2017</v>
      </c>
      <c r="AC1194" s="295">
        <v>2018</v>
      </c>
      <c r="AD1194" s="820">
        <v>2019</v>
      </c>
      <c r="AE1194" s="820">
        <v>2020</v>
      </c>
      <c r="AF1194" s="820">
        <v>2021</v>
      </c>
      <c r="AG1194" s="820">
        <v>2022</v>
      </c>
      <c r="AH1194" s="820">
        <v>2023</v>
      </c>
      <c r="AI1194" s="820">
        <v>2024</v>
      </c>
      <c r="AJ1194" s="820">
        <v>2025</v>
      </c>
      <c r="AK1194" s="820">
        <v>2026</v>
      </c>
      <c r="AL1194" s="820">
        <v>2027</v>
      </c>
      <c r="AM1194" s="820">
        <v>2028</v>
      </c>
      <c r="AN1194" s="820">
        <v>2029</v>
      </c>
      <c r="AO1194" s="1756">
        <v>2030</v>
      </c>
      <c r="AP1194" s="1756">
        <f>+AO1194+1</f>
        <v>2031</v>
      </c>
      <c r="AQ1194" s="1756">
        <f>+AP1194+1</f>
        <v>2032</v>
      </c>
      <c r="AR1194" s="1756">
        <f>+AQ1194+1</f>
        <v>2033</v>
      </c>
      <c r="AS1194" s="1756">
        <f>+AR1194+1</f>
        <v>2034</v>
      </c>
      <c r="AT1194" s="1756">
        <f>+AS1194+1</f>
        <v>2035</v>
      </c>
    </row>
    <row r="1195" spans="4:46">
      <c r="D1195" s="949" t="s">
        <v>1041</v>
      </c>
      <c r="E1195" s="3054">
        <f ca="1">NOW()</f>
        <v>46074.610906250004</v>
      </c>
      <c r="F1195" s="950"/>
      <c r="G1195" s="950"/>
      <c r="H1195" s="950"/>
      <c r="I1195" s="950"/>
      <c r="J1195" s="949">
        <v>1999</v>
      </c>
      <c r="K1195" s="949">
        <f>+J1195+1</f>
        <v>2000</v>
      </c>
      <c r="L1195" s="949">
        <f t="shared" ref="L1195:U1195" si="1028">+K1195+1</f>
        <v>2001</v>
      </c>
      <c r="M1195" s="949">
        <f t="shared" si="1028"/>
        <v>2002</v>
      </c>
      <c r="N1195" s="949">
        <f t="shared" si="1028"/>
        <v>2003</v>
      </c>
      <c r="O1195" s="949">
        <f t="shared" si="1028"/>
        <v>2004</v>
      </c>
      <c r="P1195" s="949">
        <f t="shared" si="1028"/>
        <v>2005</v>
      </c>
      <c r="Q1195" s="949">
        <f t="shared" si="1028"/>
        <v>2006</v>
      </c>
      <c r="R1195" s="949">
        <f t="shared" si="1028"/>
        <v>2007</v>
      </c>
      <c r="S1195" s="949">
        <f t="shared" si="1028"/>
        <v>2008</v>
      </c>
      <c r="T1195" s="949">
        <f t="shared" si="1028"/>
        <v>2009</v>
      </c>
      <c r="U1195" s="949">
        <f t="shared" si="1028"/>
        <v>2010</v>
      </c>
      <c r="V1195" s="949">
        <v>2011</v>
      </c>
      <c r="W1195" s="951">
        <v>2012</v>
      </c>
      <c r="X1195" s="951">
        <v>2013</v>
      </c>
      <c r="Y1195" s="951">
        <v>2014</v>
      </c>
      <c r="Z1195" s="951">
        <v>2015</v>
      </c>
      <c r="AA1195" s="951">
        <v>2016</v>
      </c>
      <c r="AB1195" s="951">
        <v>2017</v>
      </c>
      <c r="AC1195" s="949">
        <v>2018</v>
      </c>
      <c r="AD1195" s="951">
        <v>2019</v>
      </c>
      <c r="AE1195" s="951">
        <v>2020</v>
      </c>
      <c r="AF1195" s="951">
        <v>2021</v>
      </c>
      <c r="AG1195" s="951">
        <v>2022</v>
      </c>
      <c r="AH1195" s="951">
        <v>2023</v>
      </c>
      <c r="AI1195" s="951">
        <v>2024</v>
      </c>
      <c r="AJ1195" s="951">
        <v>2025</v>
      </c>
      <c r="AK1195" s="951">
        <v>2026</v>
      </c>
      <c r="AL1195" s="951">
        <v>2027</v>
      </c>
      <c r="AM1195" s="951">
        <v>2028</v>
      </c>
      <c r="AN1195" s="951">
        <v>2029</v>
      </c>
      <c r="AO1195" s="1960">
        <v>2030</v>
      </c>
      <c r="AP1195" s="1960">
        <f>+AP1194</f>
        <v>2031</v>
      </c>
      <c r="AQ1195" s="1960">
        <f>+AQ1194</f>
        <v>2032</v>
      </c>
      <c r="AR1195" s="1960">
        <f>+AR1194</f>
        <v>2033</v>
      </c>
      <c r="AS1195" s="1960">
        <f>+AS1194</f>
        <v>2034</v>
      </c>
      <c r="AT1195" s="1960">
        <f>+AT1194</f>
        <v>2035</v>
      </c>
    </row>
    <row r="1196" spans="4:46">
      <c r="D1196" s="949" t="s">
        <v>1653</v>
      </c>
      <c r="E1196" s="3103"/>
      <c r="F1196" s="950"/>
      <c r="G1196" s="950"/>
      <c r="H1196" s="950"/>
      <c r="I1196" s="950"/>
      <c r="J1196" s="950"/>
      <c r="K1196" s="950"/>
      <c r="L1196" s="950"/>
      <c r="M1196" s="950"/>
      <c r="N1196" s="950"/>
      <c r="O1196" s="950"/>
      <c r="P1196" s="950"/>
      <c r="Q1196" s="950"/>
      <c r="R1196" s="950"/>
      <c r="S1196" s="950"/>
      <c r="T1196" s="950"/>
      <c r="U1196" s="950"/>
      <c r="V1196" s="949"/>
      <c r="W1196" s="951"/>
      <c r="X1196" s="951"/>
      <c r="Y1196" s="952">
        <f>+Z1196/(1+Z943)</f>
        <v>0.85644849064216888</v>
      </c>
      <c r="Z1196" s="952">
        <f>+AA1196/(1+AA943)</f>
        <v>0.89883248055494525</v>
      </c>
      <c r="AA1196" s="952">
        <f>+AB1196/(1+AB943)</f>
        <v>0.94420880518419514</v>
      </c>
      <c r="AB1196" s="952">
        <v>1</v>
      </c>
      <c r="AC1196" s="953">
        <f t="shared" ref="AC1196:AM1196" si="1029">+AB1196*(1+AC943)</f>
        <v>1.0050312668396317</v>
      </c>
      <c r="AD1196" s="952">
        <f t="shared" si="1029"/>
        <v>1.0275255847772116</v>
      </c>
      <c r="AE1196" s="952">
        <f t="shared" si="1029"/>
        <v>1.1289066171482278</v>
      </c>
      <c r="AF1196" s="952">
        <f t="shared" si="1029"/>
        <v>1.0977080727663422</v>
      </c>
      <c r="AG1196" s="952">
        <f t="shared" si="1029"/>
        <v>1.2366946776548466</v>
      </c>
      <c r="AH1196" s="952">
        <f t="shared" si="1029"/>
        <v>1.4293206060931063</v>
      </c>
      <c r="AI1196" s="952">
        <f t="shared" si="1029"/>
        <v>1.487044017668596</v>
      </c>
      <c r="AJ1196" s="952">
        <f t="shared" si="1029"/>
        <v>1.6011271651131771</v>
      </c>
      <c r="AK1196" s="952">
        <f t="shared" si="1029"/>
        <v>1.7772748900345798</v>
      </c>
      <c r="AL1196" s="952">
        <f t="shared" si="1029"/>
        <v>1.8234364122107938</v>
      </c>
      <c r="AM1196" s="952">
        <f t="shared" si="1029"/>
        <v>1.8889781029973234</v>
      </c>
      <c r="AN1196" s="952">
        <f t="shared" ref="AN1196:AT1196" si="1030">+AM1196*(1+AN943)</f>
        <v>1.985395935738735</v>
      </c>
      <c r="AO1196" s="1961">
        <f t="shared" si="1030"/>
        <v>2.0905211917606619</v>
      </c>
      <c r="AP1196" s="1961">
        <f t="shared" si="1030"/>
        <v>2.2319579213955008</v>
      </c>
      <c r="AQ1196" s="1961">
        <f t="shared" si="1030"/>
        <v>2.3512388417341885</v>
      </c>
      <c r="AR1196" s="1961">
        <f t="shared" si="1030"/>
        <v>2.4774247532594447</v>
      </c>
      <c r="AS1196" s="1961">
        <f t="shared" si="1030"/>
        <v>2.6065508425054258</v>
      </c>
      <c r="AT1196" s="1961">
        <f t="shared" si="1030"/>
        <v>2.7376551183179196</v>
      </c>
    </row>
    <row r="1197" spans="4:46">
      <c r="D1197" s="950" t="s">
        <v>759</v>
      </c>
      <c r="E1197" s="3104" t="s">
        <v>1355</v>
      </c>
      <c r="F1197" s="950"/>
      <c r="G1197" s="950"/>
      <c r="H1197" s="950"/>
      <c r="I1197" s="950"/>
      <c r="J1197" s="954"/>
      <c r="K1197" s="950"/>
      <c r="L1197" s="950"/>
      <c r="M1197" s="950"/>
      <c r="N1197" s="950"/>
      <c r="O1197" s="950"/>
      <c r="P1197" s="950"/>
      <c r="Q1197" s="950"/>
      <c r="R1197" s="950"/>
      <c r="S1197" s="950"/>
      <c r="T1197" s="950"/>
      <c r="U1197" s="950"/>
      <c r="V1197" s="950"/>
      <c r="W1197" s="955"/>
      <c r="X1197" s="955"/>
      <c r="Y1197" s="952">
        <f>+Z1197/(1+Z937)</f>
        <v>0.85969123161269523</v>
      </c>
      <c r="Z1197" s="952">
        <f>+AA1197/(1+AA937)</f>
        <v>0.89776020178949922</v>
      </c>
      <c r="AA1197" s="952">
        <f>+AB1197/(1+AB937)</f>
        <v>0.94243010269007066</v>
      </c>
      <c r="AB1197" s="952">
        <v>1</v>
      </c>
      <c r="AC1197" s="953">
        <f t="shared" ref="AC1197:AM1197" si="1031">+AB1197*(1+AC937)</f>
        <v>1.0026995272829651</v>
      </c>
      <c r="AD1197" s="952">
        <f t="shared" si="1031"/>
        <v>1.0276231947624239</v>
      </c>
      <c r="AE1197" s="952">
        <f t="shared" si="1031"/>
        <v>1.1266327394392124</v>
      </c>
      <c r="AF1197" s="952">
        <f t="shared" si="1031"/>
        <v>1.0976659700821239</v>
      </c>
      <c r="AG1197" s="952">
        <f t="shared" si="1031"/>
        <v>1.2481308383871437</v>
      </c>
      <c r="AH1197" s="952">
        <f t="shared" si="1031"/>
        <v>1.4479704396542654</v>
      </c>
      <c r="AI1197" s="952">
        <f t="shared" si="1031"/>
        <v>1.4994069039789089</v>
      </c>
      <c r="AJ1197" s="952">
        <f t="shared" si="1031"/>
        <v>1.5991729542486326</v>
      </c>
      <c r="AK1197" s="952">
        <f t="shared" si="1031"/>
        <v>1.764524222903648</v>
      </c>
      <c r="AL1197" s="952">
        <f t="shared" si="1031"/>
        <v>1.8069987395803682</v>
      </c>
      <c r="AM1197" s="952">
        <f t="shared" si="1031"/>
        <v>1.8714559744090831</v>
      </c>
      <c r="AN1197" s="952">
        <f t="shared" ref="AN1197:AT1197" si="1032">+AM1197*(1+AN937)</f>
        <v>1.9674439302650717</v>
      </c>
      <c r="AO1197" s="1961">
        <f t="shared" si="1032"/>
        <v>2.0713857498367272</v>
      </c>
      <c r="AP1197" s="1961">
        <f t="shared" si="1032"/>
        <v>2.1682090477135438</v>
      </c>
      <c r="AQ1197" s="1961">
        <f t="shared" si="1032"/>
        <v>2.285700695818901</v>
      </c>
      <c r="AR1197" s="1961">
        <f t="shared" si="1032"/>
        <v>2.4122560446613099</v>
      </c>
      <c r="AS1197" s="1961">
        <f t="shared" si="1032"/>
        <v>2.5121066016504159</v>
      </c>
      <c r="AT1197" s="1961">
        <f t="shared" si="1032"/>
        <v>2.5715610223075838</v>
      </c>
    </row>
    <row r="1198" spans="4:46">
      <c r="D1198" s="950" t="s">
        <v>760</v>
      </c>
      <c r="E1198" s="2146">
        <v>1.5</v>
      </c>
      <c r="F1198" s="950"/>
      <c r="G1198" s="950"/>
      <c r="H1198" s="950"/>
      <c r="I1198" s="950"/>
      <c r="J1198" s="956">
        <f>+J1199/J$762</f>
        <v>1.5</v>
      </c>
      <c r="K1198" s="957">
        <f t="shared" ref="K1198:AT1198" si="1033">+K1199/K762</f>
        <v>1.2690949552570852</v>
      </c>
      <c r="L1198" s="957">
        <f t="shared" si="1033"/>
        <v>1.0783205653194985</v>
      </c>
      <c r="M1198" s="957">
        <f t="shared" si="1033"/>
        <v>0.87541607982854286</v>
      </c>
      <c r="N1198" s="957">
        <f t="shared" si="1033"/>
        <v>0.7863428213625544</v>
      </c>
      <c r="O1198" s="957">
        <f t="shared" si="1033"/>
        <v>0.66458006331103492</v>
      </c>
      <c r="P1198" s="957">
        <f t="shared" si="1033"/>
        <v>0.5405817207803435</v>
      </c>
      <c r="Q1198" s="957">
        <f t="shared" si="1033"/>
        <v>0.40684834557091976</v>
      </c>
      <c r="R1198" s="957">
        <f t="shared" si="1033"/>
        <v>0.50232648688761983</v>
      </c>
      <c r="S1198" s="957">
        <f t="shared" si="1033"/>
        <v>0.60275266659493187</v>
      </c>
      <c r="T1198" s="957">
        <f t="shared" si="1033"/>
        <v>0.6989932248692069</v>
      </c>
      <c r="U1198" s="957">
        <f t="shared" si="1033"/>
        <v>0.79017472409648015</v>
      </c>
      <c r="V1198" s="957">
        <f t="shared" si="1033"/>
        <v>0.86812813985822124</v>
      </c>
      <c r="W1198" s="957">
        <f t="shared" si="1033"/>
        <v>0.95157035411471669</v>
      </c>
      <c r="X1198" s="957">
        <f t="shared" si="1033"/>
        <v>1.0503329074982359</v>
      </c>
      <c r="Y1198" s="957">
        <f t="shared" si="1033"/>
        <v>1.1163210616377142</v>
      </c>
      <c r="Z1198" s="957">
        <f t="shared" si="1033"/>
        <v>1.175560773084851</v>
      </c>
      <c r="AA1198" s="957">
        <f t="shared" si="1033"/>
        <v>1.2829239940987074</v>
      </c>
      <c r="AB1198" s="957">
        <f t="shared" si="1033"/>
        <v>1.3728263835767287</v>
      </c>
      <c r="AC1198" s="957">
        <f t="shared" si="1033"/>
        <v>1.3676087377564101</v>
      </c>
      <c r="AD1198" s="1705">
        <f t="shared" si="1033"/>
        <v>1.3963324973148816</v>
      </c>
      <c r="AE1198" s="1705">
        <f t="shared" si="1033"/>
        <v>1.5116790650902314</v>
      </c>
      <c r="AF1198" s="1705">
        <f t="shared" si="1033"/>
        <v>1.5620516379037954</v>
      </c>
      <c r="AG1198" s="1705">
        <f t="shared" si="1033"/>
        <v>1.6217346140638891</v>
      </c>
      <c r="AH1198" s="1705">
        <f t="shared" si="1033"/>
        <v>1.7115787608837021</v>
      </c>
      <c r="AI1198" s="1705">
        <f t="shared" si="1033"/>
        <v>1.810244914551532</v>
      </c>
      <c r="AJ1198" s="1705">
        <f t="shared" si="1033"/>
        <v>1.9306278887524209</v>
      </c>
      <c r="AK1198" s="1705">
        <f t="shared" si="1033"/>
        <v>2.02991709264982</v>
      </c>
      <c r="AL1198" s="1705">
        <f t="shared" si="1033"/>
        <v>2.1084055895729961</v>
      </c>
      <c r="AM1198" s="1705">
        <f t="shared" si="1033"/>
        <v>2.1592316175053941</v>
      </c>
      <c r="AN1198" s="1705">
        <f t="shared" si="1033"/>
        <v>2.2077748596428366</v>
      </c>
      <c r="AO1198" s="1705">
        <f t="shared" si="1033"/>
        <v>2.2234591051278083</v>
      </c>
      <c r="AP1198" s="1705">
        <f t="shared" si="1033"/>
        <v>2.2181495111613607</v>
      </c>
      <c r="AQ1198" s="1705">
        <f t="shared" si="1033"/>
        <v>2.1982334179589005</v>
      </c>
      <c r="AR1198" s="1705">
        <f t="shared" si="1033"/>
        <v>2.1631533369524965</v>
      </c>
      <c r="AS1198" s="1705">
        <f t="shared" si="1033"/>
        <v>2.1165983889101332</v>
      </c>
      <c r="AT1198" s="1705">
        <f t="shared" si="1033"/>
        <v>2.056172356525706</v>
      </c>
    </row>
    <row r="1199" spans="4:46">
      <c r="D1199" s="950" t="s">
        <v>1091</v>
      </c>
      <c r="E1199" s="3105">
        <v>0.04</v>
      </c>
      <c r="F1199" s="950"/>
      <c r="G1199" s="950"/>
      <c r="H1199" s="950"/>
      <c r="I1199" s="967">
        <v>1999</v>
      </c>
      <c r="J1199" s="958">
        <f>+J$762*$E1198</f>
        <v>3097.5</v>
      </c>
      <c r="K1199" s="958">
        <f>+J1199*(1-$E1199)+K1200</f>
        <v>2840.2345098653568</v>
      </c>
      <c r="L1199" s="958">
        <f t="shared" ref="L1199:AD1199" si="1034">+K1199*(1-$E1199)+L1200</f>
        <v>2618.1623325957426</v>
      </c>
      <c r="M1199" s="958">
        <f t="shared" si="1034"/>
        <v>2405.6433873688356</v>
      </c>
      <c r="N1199" s="958">
        <f t="shared" si="1034"/>
        <v>2208.8369852074152</v>
      </c>
      <c r="O1199" s="958">
        <f t="shared" si="1034"/>
        <v>2005.7026310727035</v>
      </c>
      <c r="P1199" s="958">
        <f t="shared" si="1034"/>
        <v>1784.4602602959137</v>
      </c>
      <c r="Q1199" s="958">
        <f t="shared" si="1034"/>
        <v>2387.792940155728</v>
      </c>
      <c r="R1199" s="958">
        <f t="shared" si="1034"/>
        <v>3172.6940911822066</v>
      </c>
      <c r="S1199" s="958">
        <f t="shared" si="1034"/>
        <v>4231.926472163017</v>
      </c>
      <c r="T1199" s="958">
        <f t="shared" si="1034"/>
        <v>5214.4894575242834</v>
      </c>
      <c r="U1199" s="958">
        <f t="shared" si="1034"/>
        <v>6326.1388411164198</v>
      </c>
      <c r="V1199" s="959">
        <f t="shared" si="1034"/>
        <v>7504.0996409344643</v>
      </c>
      <c r="W1199" s="959">
        <f t="shared" si="1034"/>
        <v>8935.2456251371896</v>
      </c>
      <c r="X1199" s="959">
        <f t="shared" si="1034"/>
        <v>10328.973812337652</v>
      </c>
      <c r="Y1199" s="959">
        <f t="shared" si="1034"/>
        <v>11600.808472539125</v>
      </c>
      <c r="Z1199" s="959">
        <f t="shared" si="1034"/>
        <v>13300.294586682005</v>
      </c>
      <c r="AA1199" s="959">
        <f t="shared" si="1034"/>
        <v>15336.073425455948</v>
      </c>
      <c r="AB1199" s="959">
        <f>+AA1199*(1-$E1199)+AB1200</f>
        <v>17183.667843229912</v>
      </c>
      <c r="AC1199" s="960">
        <f t="shared" si="1034"/>
        <v>18499.643395630959</v>
      </c>
      <c r="AD1199" s="960">
        <f t="shared" si="1034"/>
        <v>20640.586975308579</v>
      </c>
      <c r="AE1199" s="960">
        <f t="shared" ref="AE1199:AM1199" si="1035">+AD1199*(1-$E1199)+AE1200</f>
        <v>21725.851523476806</v>
      </c>
      <c r="AF1199" s="960">
        <f t="shared" si="1035"/>
        <v>24338.326570179037</v>
      </c>
      <c r="AG1199" s="960">
        <f t="shared" si="1035"/>
        <v>27749.500981247205</v>
      </c>
      <c r="AH1199" s="960">
        <f t="shared" si="1035"/>
        <v>32401.897522289364</v>
      </c>
      <c r="AI1199" s="960">
        <f t="shared" si="1035"/>
        <v>36617.634131548388</v>
      </c>
      <c r="AJ1199" s="960">
        <f t="shared" si="1035"/>
        <v>41443.231702515019</v>
      </c>
      <c r="AK1199" s="960">
        <f t="shared" si="1035"/>
        <v>47218.50241130028</v>
      </c>
      <c r="AL1199" s="960">
        <f t="shared" si="1035"/>
        <v>53431.159983328995</v>
      </c>
      <c r="AM1199" s="960">
        <f t="shared" si="1035"/>
        <v>59363.371594647702</v>
      </c>
      <c r="AN1199" s="960">
        <f t="shared" ref="AN1199:AT1199" si="1036">+AM1199*(1-$E1199)+AN1200</f>
        <v>65514.233392149617</v>
      </c>
      <c r="AO1199" s="959">
        <f t="shared" si="1036"/>
        <v>71493.369386465216</v>
      </c>
      <c r="AP1199" s="959">
        <f t="shared" si="1036"/>
        <v>77455.429819067969</v>
      </c>
      <c r="AQ1199" s="959">
        <f t="shared" si="1036"/>
        <v>83423.960496329717</v>
      </c>
      <c r="AR1199" s="959">
        <f t="shared" si="1036"/>
        <v>89422.319851113018</v>
      </c>
      <c r="AS1199" s="959">
        <f t="shared" si="1036"/>
        <v>95476.345794361536</v>
      </c>
      <c r="AT1199" s="959">
        <f t="shared" si="1036"/>
        <v>101612.38596775479</v>
      </c>
    </row>
    <row r="1200" spans="4:46">
      <c r="D1200" s="950" t="s">
        <v>1045</v>
      </c>
      <c r="E1200" s="3106" t="s">
        <v>761</v>
      </c>
      <c r="F1200" s="961">
        <v>0</v>
      </c>
      <c r="G1200" s="950"/>
      <c r="H1200" s="950"/>
      <c r="I1200" s="966">
        <f>J1200/($F$1200+$E$1199)</f>
        <v>-3243.2256489062502</v>
      </c>
      <c r="J1200" s="962">
        <f t="shared" ref="J1200:AM1200" si="1037">+J866</f>
        <v>-129.72902595625001</v>
      </c>
      <c r="K1200" s="962">
        <f t="shared" si="1037"/>
        <v>-133.36549013464287</v>
      </c>
      <c r="L1200" s="962">
        <f t="shared" si="1037"/>
        <v>-108.462796875</v>
      </c>
      <c r="M1200" s="962">
        <f t="shared" si="1037"/>
        <v>-107.79245192307694</v>
      </c>
      <c r="N1200" s="962">
        <f t="shared" si="1037"/>
        <v>-100.58066666666667</v>
      </c>
      <c r="O1200" s="962">
        <f t="shared" si="1037"/>
        <v>-114.78087472641509</v>
      </c>
      <c r="P1200" s="962">
        <f t="shared" si="1037"/>
        <v>-141.0142655338816</v>
      </c>
      <c r="Q1200" s="962">
        <f t="shared" si="1037"/>
        <v>674.71109027165096</v>
      </c>
      <c r="R1200" s="962">
        <f t="shared" si="1037"/>
        <v>880.41286863270773</v>
      </c>
      <c r="S1200" s="962">
        <f t="shared" si="1037"/>
        <v>1186.1401446280991</v>
      </c>
      <c r="T1200" s="962">
        <f t="shared" si="1037"/>
        <v>1151.8400442477875</v>
      </c>
      <c r="U1200" s="962">
        <f t="shared" si="1037"/>
        <v>1320.2289618931084</v>
      </c>
      <c r="V1200" s="962">
        <f t="shared" si="1037"/>
        <v>1431.0063534627018</v>
      </c>
      <c r="W1200" s="963">
        <f t="shared" si="1037"/>
        <v>1731.3099698401043</v>
      </c>
      <c r="X1200" s="963">
        <f t="shared" si="1037"/>
        <v>1751.1380122059518</v>
      </c>
      <c r="Y1200" s="963">
        <f t="shared" si="1037"/>
        <v>1684.9936126949799</v>
      </c>
      <c r="Z1200" s="963">
        <f t="shared" si="1037"/>
        <v>2163.5184530444435</v>
      </c>
      <c r="AA1200" s="963">
        <f t="shared" si="1037"/>
        <v>2567.7906222412239</v>
      </c>
      <c r="AB1200" s="963">
        <f t="shared" si="1037"/>
        <v>2461.0373547922022</v>
      </c>
      <c r="AC1200" s="963">
        <f t="shared" si="1037"/>
        <v>2003.3222661302432</v>
      </c>
      <c r="AD1200" s="963">
        <f t="shared" si="1037"/>
        <v>2880.9293155028572</v>
      </c>
      <c r="AE1200" s="963">
        <f t="shared" si="1037"/>
        <v>1910.8880271805717</v>
      </c>
      <c r="AF1200" s="963">
        <f t="shared" si="1037"/>
        <v>3481.5091076413055</v>
      </c>
      <c r="AG1200" s="963">
        <f t="shared" si="1037"/>
        <v>4384.707473875329</v>
      </c>
      <c r="AH1200" s="963">
        <f t="shared" si="1037"/>
        <v>5762.3765802920507</v>
      </c>
      <c r="AI1200" s="963">
        <f t="shared" si="1037"/>
        <v>5511.8125101505984</v>
      </c>
      <c r="AJ1200" s="963">
        <f t="shared" si="1037"/>
        <v>6290.3029362285697</v>
      </c>
      <c r="AK1200" s="963">
        <f t="shared" si="1037"/>
        <v>7432.9999768858597</v>
      </c>
      <c r="AL1200" s="963">
        <f t="shared" si="1037"/>
        <v>8101.3976684807303</v>
      </c>
      <c r="AM1200" s="963">
        <f t="shared" si="1037"/>
        <v>8069.4580106518706</v>
      </c>
      <c r="AN1200" s="963">
        <f t="shared" ref="AN1200:AT1200" si="1038">+AN866</f>
        <v>8525.3966612878285</v>
      </c>
      <c r="AO1200" s="1962">
        <f t="shared" si="1038"/>
        <v>8599.7053300015832</v>
      </c>
      <c r="AP1200" s="1962">
        <f t="shared" si="1038"/>
        <v>8821.7952080613577</v>
      </c>
      <c r="AQ1200" s="1962">
        <f t="shared" si="1038"/>
        <v>9066.7478700244665</v>
      </c>
      <c r="AR1200" s="1962">
        <f t="shared" si="1038"/>
        <v>9335.3177746364981</v>
      </c>
      <c r="AS1200" s="1962">
        <f t="shared" si="1038"/>
        <v>9630.9187372930464</v>
      </c>
      <c r="AT1200" s="1962">
        <f t="shared" si="1038"/>
        <v>9955.0940051677226</v>
      </c>
    </row>
    <row r="1201" spans="4:46">
      <c r="D1201" s="950" t="s">
        <v>1092</v>
      </c>
      <c r="E1201" s="2146">
        <v>0.15</v>
      </c>
      <c r="F1201" s="950"/>
      <c r="G1201" s="950"/>
      <c r="H1201" s="950"/>
      <c r="I1201" s="950"/>
      <c r="J1201" s="956">
        <f>+J1202/J$762</f>
        <v>0.15</v>
      </c>
      <c r="K1201" s="957">
        <f t="shared" ref="K1201:AD1201" si="1039">+K1202/K$762</f>
        <v>0.19453607691449634</v>
      </c>
      <c r="L1201" s="957">
        <f t="shared" si="1039"/>
        <v>0.21950174773734629</v>
      </c>
      <c r="M1201" s="957">
        <f t="shared" si="1039"/>
        <v>0.22831839131793913</v>
      </c>
      <c r="N1201" s="957">
        <f t="shared" si="1039"/>
        <v>0.25358281684756884</v>
      </c>
      <c r="O1201" s="957">
        <f t="shared" si="1039"/>
        <v>0.26815346386286132</v>
      </c>
      <c r="P1201" s="957">
        <f t="shared" si="1039"/>
        <v>0.28175378389080402</v>
      </c>
      <c r="Q1201" s="957">
        <f t="shared" si="1039"/>
        <v>0.2140239255982799</v>
      </c>
      <c r="R1201" s="957">
        <f t="shared" si="1039"/>
        <v>0.26002072359407685</v>
      </c>
      <c r="S1201" s="957">
        <f t="shared" si="1039"/>
        <v>0.3028191815035729</v>
      </c>
      <c r="T1201" s="957">
        <f t="shared" si="1039"/>
        <v>0.35912883274200846</v>
      </c>
      <c r="U1201" s="957">
        <f t="shared" si="1039"/>
        <v>0.39681421472094552</v>
      </c>
      <c r="V1201" s="1663">
        <f t="shared" si="1039"/>
        <v>0.43098864929625064</v>
      </c>
      <c r="W1201" s="1663">
        <f t="shared" si="1039"/>
        <v>0.47050258440508691</v>
      </c>
      <c r="X1201" s="1663">
        <f t="shared" si="1039"/>
        <v>0.53543123588252195</v>
      </c>
      <c r="Y1201" s="1663">
        <f t="shared" si="1039"/>
        <v>0.6068900492332584</v>
      </c>
      <c r="Z1201" s="1663">
        <f t="shared" si="1039"/>
        <v>0.65004533355106753</v>
      </c>
      <c r="AA1201" s="1663">
        <f t="shared" si="1039"/>
        <v>0.69081118947303288</v>
      </c>
      <c r="AB1201" s="1663">
        <f t="shared" si="1039"/>
        <v>0.72864669491047507</v>
      </c>
      <c r="AC1201" s="1663">
        <f t="shared" si="1039"/>
        <v>0.78148419066011032</v>
      </c>
      <c r="AD1201" s="2884">
        <f t="shared" si="1039"/>
        <v>0.82897638447977084</v>
      </c>
      <c r="AE1201" s="2884">
        <f>+AE1202/AE$762</f>
        <v>0.98995913340626929</v>
      </c>
      <c r="AF1201" s="2884">
        <f>+AF1202/AF$762</f>
        <v>0.98681029722358793</v>
      </c>
      <c r="AG1201" s="2884">
        <f>+AG1202/AG$762</f>
        <v>0.95911381486408598</v>
      </c>
      <c r="AH1201" s="2884">
        <f>+AH1202/AH$762</f>
        <v>0.92291664432379905</v>
      </c>
      <c r="AI1201" s="2884">
        <f>+AI1202/AI$762</f>
        <v>0.91462967711592336</v>
      </c>
      <c r="AJ1201" s="2884">
        <f t="shared" ref="AJ1201:AT1201" si="1040">+AJ1202/AJ$762</f>
        <v>0.90936290850142354</v>
      </c>
      <c r="AK1201" s="2884">
        <f t="shared" si="1040"/>
        <v>0.88552082897102558</v>
      </c>
      <c r="AL1201" s="2884">
        <f t="shared" si="1040"/>
        <v>0.86215804509061023</v>
      </c>
      <c r="AM1201" s="2884">
        <f t="shared" si="1040"/>
        <v>0.84575736065969942</v>
      </c>
      <c r="AN1201" s="2884">
        <f t="shared" si="1040"/>
        <v>0.83497051488094243</v>
      </c>
      <c r="AO1201" s="2884">
        <f t="shared" si="1040"/>
        <v>0.81932043996724069</v>
      </c>
      <c r="AP1201" s="2884">
        <f t="shared" si="1040"/>
        <v>0.80212917261738836</v>
      </c>
      <c r="AQ1201" s="2884">
        <f t="shared" si="1040"/>
        <v>0.78674495318886384</v>
      </c>
      <c r="AR1201" s="2884">
        <f t="shared" si="1040"/>
        <v>0.77444583773684739</v>
      </c>
      <c r="AS1201" s="2884">
        <f t="shared" si="1040"/>
        <v>0.77107590558751693</v>
      </c>
      <c r="AT1201" s="2884">
        <f t="shared" si="1040"/>
        <v>0.77909178681022229</v>
      </c>
    </row>
    <row r="1202" spans="4:46">
      <c r="D1202" s="950" t="s">
        <v>872</v>
      </c>
      <c r="E1202" s="3107">
        <v>2.5000000000000001E-2</v>
      </c>
      <c r="F1202" s="950"/>
      <c r="G1202" s="950"/>
      <c r="H1202" s="950"/>
      <c r="I1202" s="950"/>
      <c r="J1202" s="958">
        <f>+J$762*$E1201</f>
        <v>309.75</v>
      </c>
      <c r="K1202" s="958">
        <f>+J1202*(1-$E1202)+K1204</f>
        <v>435.37174013464283</v>
      </c>
      <c r="L1202" s="958">
        <f>+K1202*(1-$E1202)+L1204*L1203</f>
        <v>532.95024350627682</v>
      </c>
      <c r="M1202" s="958">
        <f>+L1202*(1-$E1202)+M1204*M1203</f>
        <v>627.41893934169673</v>
      </c>
      <c r="N1202" s="958">
        <f t="shared" ref="N1202:AM1202" si="1041">+M1202*(1-$E1202)+N1204*N1203</f>
        <v>712.31413252482093</v>
      </c>
      <c r="O1202" s="958">
        <f t="shared" si="1041"/>
        <v>809.28715393811547</v>
      </c>
      <c r="P1202" s="958">
        <f t="shared" si="1041"/>
        <v>930.06924062354415</v>
      </c>
      <c r="Q1202" s="958">
        <f t="shared" si="1041"/>
        <v>1256.1064193363047</v>
      </c>
      <c r="R1202" s="958">
        <f t="shared" si="1041"/>
        <v>1642.2908902201893</v>
      </c>
      <c r="S1202" s="958">
        <f t="shared" si="1041"/>
        <v>2126.0934733365852</v>
      </c>
      <c r="T1202" s="958">
        <f t="shared" si="1041"/>
        <v>2679.1010922553833</v>
      </c>
      <c r="U1202" s="958">
        <f t="shared" si="1041"/>
        <v>3176.89460305589</v>
      </c>
      <c r="V1202" s="958">
        <f t="shared" si="1041"/>
        <v>3725.4658845167905</v>
      </c>
      <c r="W1202" s="958">
        <f t="shared" si="1041"/>
        <v>4418.0192675637663</v>
      </c>
      <c r="X1202" s="958">
        <f t="shared" si="1041"/>
        <v>5265.4307736687206</v>
      </c>
      <c r="Y1202" s="958">
        <f t="shared" si="1041"/>
        <v>6306.8013916320215</v>
      </c>
      <c r="Z1202" s="958">
        <f t="shared" si="1041"/>
        <v>7354.6129037967776</v>
      </c>
      <c r="AA1202" s="958">
        <f t="shared" si="1041"/>
        <v>8257.9569589606344</v>
      </c>
      <c r="AB1202" s="958">
        <f t="shared" si="1041"/>
        <v>9120.4706801944158</v>
      </c>
      <c r="AC1202" s="958">
        <f t="shared" si="1041"/>
        <v>10571.136647059313</v>
      </c>
      <c r="AD1202" s="959">
        <f t="shared" si="1041"/>
        <v>12253.928915379973</v>
      </c>
      <c r="AE1202" s="959">
        <f t="shared" si="1041"/>
        <v>14227.692665314902</v>
      </c>
      <c r="AF1202" s="959">
        <f t="shared" si="1041"/>
        <v>15375.491241040723</v>
      </c>
      <c r="AG1202" s="959">
        <f t="shared" si="1041"/>
        <v>16411.396486139376</v>
      </c>
      <c r="AH1202" s="959">
        <f t="shared" si="1041"/>
        <v>17471.734993693841</v>
      </c>
      <c r="AI1202" s="959">
        <f t="shared" si="1041"/>
        <v>18501.129108700898</v>
      </c>
      <c r="AJ1202" s="959">
        <f t="shared" si="1041"/>
        <v>19520.5600925256</v>
      </c>
      <c r="AK1202" s="959">
        <f t="shared" si="1041"/>
        <v>20598.362144654409</v>
      </c>
      <c r="AL1202" s="959">
        <f t="shared" si="1041"/>
        <v>21848.78690607156</v>
      </c>
      <c r="AM1202" s="959">
        <f t="shared" si="1041"/>
        <v>23252.25699397429</v>
      </c>
      <c r="AN1202" s="959">
        <f t="shared" ref="AN1202:AT1202" si="1042">+AM1202*(1-$E1202)+AN1204*AN1203</f>
        <v>24777.188194054761</v>
      </c>
      <c r="AO1202" s="959">
        <f t="shared" si="1042"/>
        <v>26344.52719430254</v>
      </c>
      <c r="AP1202" s="959">
        <f t="shared" si="1042"/>
        <v>28009.500497089597</v>
      </c>
      <c r="AQ1202" s="959">
        <f t="shared" si="1042"/>
        <v>29857.329689972747</v>
      </c>
      <c r="AR1202" s="959">
        <f t="shared" si="1042"/>
        <v>32014.717693121333</v>
      </c>
      <c r="AS1202" s="959">
        <f t="shared" si="1042"/>
        <v>34781.992739530513</v>
      </c>
      <c r="AT1202" s="959">
        <f t="shared" si="1042"/>
        <v>38501.332388026545</v>
      </c>
    </row>
    <row r="1203" spans="4:46">
      <c r="D1203" s="950" t="s">
        <v>763</v>
      </c>
      <c r="E1203" s="3108"/>
      <c r="F1203" s="950">
        <v>0.7</v>
      </c>
      <c r="G1203" s="950"/>
      <c r="H1203" s="950"/>
      <c r="I1203" s="950"/>
      <c r="J1203" s="957"/>
      <c r="K1203" s="958"/>
      <c r="L1203" s="957">
        <v>1</v>
      </c>
      <c r="M1203" s="957">
        <v>1</v>
      </c>
      <c r="N1203" s="957">
        <v>1</v>
      </c>
      <c r="O1203" s="957">
        <v>1</v>
      </c>
      <c r="P1203" s="957">
        <v>1</v>
      </c>
      <c r="Q1203" s="957">
        <v>1</v>
      </c>
      <c r="R1203" s="957">
        <v>1</v>
      </c>
      <c r="S1203" s="957">
        <v>1</v>
      </c>
      <c r="T1203" s="957">
        <v>1</v>
      </c>
      <c r="U1203" s="957">
        <v>1</v>
      </c>
      <c r="V1203" s="957">
        <v>1</v>
      </c>
      <c r="W1203" s="957">
        <f t="shared" ref="W1203:AM1203" si="1043">+V1203</f>
        <v>1</v>
      </c>
      <c r="X1203" s="957">
        <f t="shared" si="1043"/>
        <v>1</v>
      </c>
      <c r="Y1203" s="957">
        <f t="shared" si="1043"/>
        <v>1</v>
      </c>
      <c r="Z1203" s="957">
        <f t="shared" si="1043"/>
        <v>1</v>
      </c>
      <c r="AA1203" s="957">
        <f t="shared" si="1043"/>
        <v>1</v>
      </c>
      <c r="AB1203" s="957">
        <f t="shared" si="1043"/>
        <v>1</v>
      </c>
      <c r="AC1203" s="957">
        <f t="shared" si="1043"/>
        <v>1</v>
      </c>
      <c r="AD1203" s="1705">
        <f t="shared" si="1043"/>
        <v>1</v>
      </c>
      <c r="AE1203" s="1705">
        <f t="shared" si="1043"/>
        <v>1</v>
      </c>
      <c r="AF1203" s="1705">
        <f t="shared" si="1043"/>
        <v>1</v>
      </c>
      <c r="AG1203" s="1705">
        <f t="shared" si="1043"/>
        <v>1</v>
      </c>
      <c r="AH1203" s="1705">
        <f t="shared" si="1043"/>
        <v>1</v>
      </c>
      <c r="AI1203" s="1705">
        <f t="shared" si="1043"/>
        <v>1</v>
      </c>
      <c r="AJ1203" s="1705">
        <f t="shared" si="1043"/>
        <v>1</v>
      </c>
      <c r="AK1203" s="1705">
        <f t="shared" si="1043"/>
        <v>1</v>
      </c>
      <c r="AL1203" s="1705">
        <f t="shared" si="1043"/>
        <v>1</v>
      </c>
      <c r="AM1203" s="1705">
        <f t="shared" si="1043"/>
        <v>1</v>
      </c>
      <c r="AN1203" s="1705">
        <f t="shared" ref="AN1203:AT1203" si="1044">+AM1203</f>
        <v>1</v>
      </c>
      <c r="AO1203" s="1705">
        <f t="shared" si="1044"/>
        <v>1</v>
      </c>
      <c r="AP1203" s="1705">
        <f t="shared" si="1044"/>
        <v>1</v>
      </c>
      <c r="AQ1203" s="1705">
        <f t="shared" si="1044"/>
        <v>1</v>
      </c>
      <c r="AR1203" s="1705">
        <f t="shared" si="1044"/>
        <v>1</v>
      </c>
      <c r="AS1203" s="1705">
        <f t="shared" si="1044"/>
        <v>1</v>
      </c>
      <c r="AT1203" s="1705">
        <f t="shared" si="1044"/>
        <v>1</v>
      </c>
    </row>
    <row r="1204" spans="4:46">
      <c r="D1204" s="950" t="s">
        <v>1046</v>
      </c>
      <c r="E1204" s="3109"/>
      <c r="F1204" s="950"/>
      <c r="G1204" s="950"/>
      <c r="H1204" s="950"/>
      <c r="I1204" s="950"/>
      <c r="J1204" s="964">
        <f t="shared" ref="J1204:AM1204" si="1045">+J865</f>
        <v>129.72902595625001</v>
      </c>
      <c r="K1204" s="964">
        <f t="shared" si="1045"/>
        <v>133.36549013464287</v>
      </c>
      <c r="L1204" s="964">
        <f t="shared" si="1045"/>
        <v>108.462796875</v>
      </c>
      <c r="M1204" s="964">
        <f t="shared" si="1045"/>
        <v>107.79245192307694</v>
      </c>
      <c r="N1204" s="964">
        <f t="shared" si="1045"/>
        <v>100.58066666666667</v>
      </c>
      <c r="O1204" s="964">
        <f t="shared" si="1045"/>
        <v>114.78087472641509</v>
      </c>
      <c r="P1204" s="964">
        <f t="shared" si="1045"/>
        <v>141.0142655338816</v>
      </c>
      <c r="Q1204" s="964">
        <f t="shared" si="1045"/>
        <v>349.2889097283491</v>
      </c>
      <c r="R1204" s="964">
        <f t="shared" si="1045"/>
        <v>417.58713136729222</v>
      </c>
      <c r="S1204" s="964">
        <f t="shared" si="1045"/>
        <v>524.85985537190072</v>
      </c>
      <c r="T1204" s="964">
        <f t="shared" si="1045"/>
        <v>606.15995575221245</v>
      </c>
      <c r="U1204" s="964">
        <f t="shared" si="1045"/>
        <v>564.77103810689164</v>
      </c>
      <c r="V1204" s="964">
        <f t="shared" si="1045"/>
        <v>627.99364653729822</v>
      </c>
      <c r="W1204" s="960">
        <f t="shared" si="1045"/>
        <v>785.69003015989551</v>
      </c>
      <c r="X1204" s="960">
        <f t="shared" si="1045"/>
        <v>957.86198779404822</v>
      </c>
      <c r="Y1204" s="960">
        <f t="shared" si="1045"/>
        <v>1173.0063873050199</v>
      </c>
      <c r="Z1204" s="960">
        <f t="shared" si="1045"/>
        <v>1205.4815469555572</v>
      </c>
      <c r="AA1204" s="960">
        <f t="shared" si="1045"/>
        <v>1087.2093777587766</v>
      </c>
      <c r="AB1204" s="960">
        <f t="shared" si="1045"/>
        <v>1068.9626452077973</v>
      </c>
      <c r="AC1204" s="960">
        <f t="shared" si="1045"/>
        <v>1678.6777338697568</v>
      </c>
      <c r="AD1204" s="960">
        <f t="shared" si="1045"/>
        <v>1947.0706844971432</v>
      </c>
      <c r="AE1204" s="960">
        <f t="shared" si="1045"/>
        <v>2280.111972819428</v>
      </c>
      <c r="AF1204" s="960">
        <f t="shared" si="1045"/>
        <v>1503.4908923586943</v>
      </c>
      <c r="AG1204" s="960">
        <f t="shared" si="1045"/>
        <v>1420.292526124671</v>
      </c>
      <c r="AH1204" s="960">
        <f t="shared" si="1045"/>
        <v>1470.6234197079489</v>
      </c>
      <c r="AI1204" s="960">
        <f t="shared" si="1045"/>
        <v>1466.1874898494011</v>
      </c>
      <c r="AJ1204" s="960">
        <f t="shared" si="1045"/>
        <v>1481.9592115422224</v>
      </c>
      <c r="AK1204" s="960">
        <f t="shared" si="1045"/>
        <v>1565.8160544419466</v>
      </c>
      <c r="AL1204" s="960">
        <f t="shared" si="1045"/>
        <v>1765.3838150335087</v>
      </c>
      <c r="AM1204" s="960">
        <f t="shared" si="1045"/>
        <v>1949.6897605545207</v>
      </c>
      <c r="AN1204" s="960">
        <f t="shared" ref="AN1204:AT1204" si="1046">+AN865</f>
        <v>2106.2376249298277</v>
      </c>
      <c r="AO1204" s="959">
        <f t="shared" si="1046"/>
        <v>2186.7687050991476</v>
      </c>
      <c r="AP1204" s="959">
        <f t="shared" si="1046"/>
        <v>2323.5864826446204</v>
      </c>
      <c r="AQ1204" s="959">
        <f t="shared" si="1046"/>
        <v>2548.0667053103894</v>
      </c>
      <c r="AR1204" s="959">
        <f t="shared" si="1046"/>
        <v>2903.8212453979049</v>
      </c>
      <c r="AS1204" s="959">
        <f t="shared" si="1046"/>
        <v>3567.6429887372137</v>
      </c>
      <c r="AT1204" s="959">
        <f t="shared" si="1046"/>
        <v>4588.8894669842966</v>
      </c>
    </row>
    <row r="1205" spans="4:46">
      <c r="D1205" s="950" t="s">
        <v>1047</v>
      </c>
      <c r="E1205" s="3110"/>
      <c r="F1205" s="950"/>
      <c r="G1205" s="950"/>
      <c r="H1205" s="950"/>
      <c r="I1205" s="950"/>
      <c r="J1205" s="962">
        <f t="shared" ref="J1205:AM1205" si="1047">+J864</f>
        <v>241</v>
      </c>
      <c r="K1205" s="962">
        <f t="shared" si="1047"/>
        <v>282</v>
      </c>
      <c r="L1205" s="962">
        <f t="shared" si="1047"/>
        <v>282</v>
      </c>
      <c r="M1205" s="962">
        <f t="shared" si="1047"/>
        <v>304</v>
      </c>
      <c r="N1205" s="962">
        <f t="shared" si="1047"/>
        <v>334</v>
      </c>
      <c r="O1205" s="962">
        <f t="shared" si="1047"/>
        <v>373</v>
      </c>
      <c r="P1205" s="962">
        <f t="shared" si="1047"/>
        <v>433</v>
      </c>
      <c r="Q1205" s="962">
        <f t="shared" si="1047"/>
        <v>1024</v>
      </c>
      <c r="R1205" s="962">
        <f t="shared" si="1047"/>
        <v>1298</v>
      </c>
      <c r="S1205" s="962">
        <f t="shared" si="1047"/>
        <v>1711</v>
      </c>
      <c r="T1205" s="962">
        <f t="shared" si="1047"/>
        <v>1758</v>
      </c>
      <c r="U1205" s="962">
        <f t="shared" si="1047"/>
        <v>1885</v>
      </c>
      <c r="V1205" s="962">
        <f t="shared" si="1047"/>
        <v>2059</v>
      </c>
      <c r="W1205" s="962">
        <f t="shared" si="1047"/>
        <v>2517</v>
      </c>
      <c r="X1205" s="962">
        <f t="shared" si="1047"/>
        <v>2709</v>
      </c>
      <c r="Y1205" s="962">
        <f t="shared" si="1047"/>
        <v>2858</v>
      </c>
      <c r="Z1205" s="962">
        <f t="shared" si="1047"/>
        <v>3369</v>
      </c>
      <c r="AA1205" s="962">
        <f t="shared" si="1047"/>
        <v>3655</v>
      </c>
      <c r="AB1205" s="962">
        <f t="shared" si="1047"/>
        <v>3530</v>
      </c>
      <c r="AC1205" s="962">
        <f t="shared" si="1047"/>
        <v>3682</v>
      </c>
      <c r="AD1205" s="963">
        <f t="shared" si="1047"/>
        <v>4828</v>
      </c>
      <c r="AE1205" s="963">
        <f t="shared" si="1047"/>
        <v>4191</v>
      </c>
      <c r="AF1205" s="963">
        <f t="shared" si="1047"/>
        <v>4985</v>
      </c>
      <c r="AG1205" s="963">
        <f t="shared" si="1047"/>
        <v>5805</v>
      </c>
      <c r="AH1205" s="963">
        <f t="shared" si="1047"/>
        <v>7233</v>
      </c>
      <c r="AI1205" s="963">
        <f t="shared" si="1047"/>
        <v>6978</v>
      </c>
      <c r="AJ1205" s="963">
        <f t="shared" si="1047"/>
        <v>7772.2621477707926</v>
      </c>
      <c r="AK1205" s="963">
        <f t="shared" si="1047"/>
        <v>8998.8160313278058</v>
      </c>
      <c r="AL1205" s="963">
        <f t="shared" si="1047"/>
        <v>9866.7814835142381</v>
      </c>
      <c r="AM1205" s="963">
        <f t="shared" si="1047"/>
        <v>10019.147771206392</v>
      </c>
      <c r="AN1205" s="963">
        <f t="shared" ref="AN1205:AT1205" si="1048">+AN864</f>
        <v>10631.634286217657</v>
      </c>
      <c r="AO1205" s="1962">
        <f t="shared" si="1048"/>
        <v>10786.474035100731</v>
      </c>
      <c r="AP1205" s="1962">
        <f t="shared" si="1048"/>
        <v>11145.381690705977</v>
      </c>
      <c r="AQ1205" s="1962">
        <f t="shared" si="1048"/>
        <v>11614.814575334856</v>
      </c>
      <c r="AR1205" s="1962">
        <f t="shared" si="1048"/>
        <v>12239.139020034403</v>
      </c>
      <c r="AS1205" s="1962">
        <f t="shared" si="1048"/>
        <v>13198.561726030261</v>
      </c>
      <c r="AT1205" s="1962">
        <f t="shared" si="1048"/>
        <v>14543.98347215202</v>
      </c>
    </row>
    <row r="1206" spans="4:46">
      <c r="D1206" s="950"/>
      <c r="E1206" s="3110"/>
      <c r="F1206" s="950"/>
      <c r="G1206" s="950"/>
      <c r="H1206" s="950"/>
      <c r="I1206" s="950" t="s">
        <v>762</v>
      </c>
      <c r="J1206" s="950"/>
      <c r="K1206" s="950"/>
      <c r="L1206" s="954">
        <f>+(L1199+L1202)/$Y266</f>
        <v>4.6174356076861462</v>
      </c>
      <c r="M1206" s="950"/>
      <c r="N1206" s="950"/>
      <c r="O1206" s="950"/>
      <c r="P1206" s="950"/>
      <c r="Q1206" s="950"/>
      <c r="R1206" s="950"/>
      <c r="S1206" s="950"/>
      <c r="T1206" s="950"/>
      <c r="U1206" s="950"/>
      <c r="V1206" s="962"/>
      <c r="W1206" s="963"/>
      <c r="X1206" s="963"/>
      <c r="Y1206" s="963"/>
      <c r="Z1206" s="963"/>
      <c r="AA1206" s="963"/>
      <c r="AB1206" s="963"/>
      <c r="AC1206" s="963"/>
      <c r="AD1206" s="963"/>
      <c r="AE1206" s="963"/>
      <c r="AF1206" s="963"/>
      <c r="AG1206" s="963"/>
      <c r="AH1206" s="963"/>
      <c r="AI1206" s="963"/>
      <c r="AJ1206" s="963"/>
      <c r="AK1206" s="963"/>
      <c r="AL1206" s="963"/>
      <c r="AM1206" s="963"/>
      <c r="AN1206" s="963"/>
      <c r="AO1206" s="1962"/>
      <c r="AP1206" s="1962"/>
      <c r="AQ1206" s="1962"/>
      <c r="AR1206" s="1962"/>
      <c r="AS1206" s="1962"/>
      <c r="AT1206" s="1962"/>
    </row>
    <row r="1207" spans="4:46">
      <c r="D1207" s="950" t="s">
        <v>724</v>
      </c>
      <c r="E1207" s="3111" t="s">
        <v>741</v>
      </c>
      <c r="F1207" s="950"/>
      <c r="G1207" s="950"/>
      <c r="H1207" s="950"/>
      <c r="I1207" s="950"/>
      <c r="J1207" s="950"/>
      <c r="K1207" s="950"/>
      <c r="L1207" s="950"/>
      <c r="M1207" s="950"/>
      <c r="N1207" s="950"/>
      <c r="O1207" s="950"/>
      <c r="P1207" s="950"/>
      <c r="Q1207" s="950"/>
      <c r="R1207" s="950"/>
      <c r="S1207" s="950"/>
      <c r="T1207" s="950"/>
      <c r="U1207" s="950"/>
      <c r="V1207" s="962"/>
      <c r="W1207" s="963"/>
      <c r="X1207" s="965">
        <f t="shared" ref="X1207:AM1207" si="1049">+X906</f>
        <v>0.20858898225465944</v>
      </c>
      <c r="Y1207" s="965">
        <f t="shared" si="1049"/>
        <v>0.21818976611733953</v>
      </c>
      <c r="Z1207" s="965">
        <f t="shared" si="1049"/>
        <v>0.21314463920849794</v>
      </c>
      <c r="AA1207" s="965">
        <f t="shared" si="1049"/>
        <v>0.21201582869535246</v>
      </c>
      <c r="AB1207" s="965">
        <f t="shared" si="1049"/>
        <v>0.2118373505923547</v>
      </c>
      <c r="AC1207" s="965">
        <f t="shared" si="1049"/>
        <v>0.21036724041946381</v>
      </c>
      <c r="AD1207" s="965">
        <f t="shared" si="1049"/>
        <v>0.20923431475457571</v>
      </c>
      <c r="AE1207" s="965">
        <f t="shared" si="1049"/>
        <v>0.21142163307649514</v>
      </c>
      <c r="AF1207" s="965">
        <f t="shared" si="1049"/>
        <v>0.21236527605781647</v>
      </c>
      <c r="AG1207" s="965">
        <f t="shared" si="1049"/>
        <v>0.21236527605781647</v>
      </c>
      <c r="AH1207" s="965">
        <f t="shared" si="1049"/>
        <v>0.21236527605781647</v>
      </c>
      <c r="AI1207" s="965">
        <f t="shared" si="1049"/>
        <v>0.21236527605781647</v>
      </c>
      <c r="AJ1207" s="965">
        <f t="shared" si="1049"/>
        <v>0.21236527605781647</v>
      </c>
      <c r="AK1207" s="965">
        <f t="shared" si="1049"/>
        <v>0.21236527605781647</v>
      </c>
      <c r="AL1207" s="965">
        <f t="shared" si="1049"/>
        <v>0.21236527605781647</v>
      </c>
      <c r="AM1207" s="965">
        <f t="shared" si="1049"/>
        <v>0.21236527605781647</v>
      </c>
      <c r="AN1207" s="965">
        <f t="shared" ref="AN1207:AT1207" si="1050">+AN906</f>
        <v>0.21236527605781647</v>
      </c>
      <c r="AO1207" s="1963">
        <f t="shared" si="1050"/>
        <v>0.21236527605781647</v>
      </c>
      <c r="AP1207" s="1963">
        <f t="shared" si="1050"/>
        <v>0.21236527605781647</v>
      </c>
      <c r="AQ1207" s="1963">
        <f t="shared" si="1050"/>
        <v>0.21236527605781647</v>
      </c>
      <c r="AR1207" s="1963">
        <f t="shared" si="1050"/>
        <v>0.21236527605781647</v>
      </c>
      <c r="AS1207" s="1963">
        <f t="shared" si="1050"/>
        <v>0.21236527605781647</v>
      </c>
      <c r="AT1207" s="1963">
        <f t="shared" si="1050"/>
        <v>0.21236527605781647</v>
      </c>
    </row>
    <row r="1208" spans="4:46">
      <c r="D1208" s="950" t="s">
        <v>725</v>
      </c>
      <c r="E1208" s="3110"/>
      <c r="F1208" s="950"/>
      <c r="G1208" s="950"/>
      <c r="H1208" s="950"/>
      <c r="I1208" s="950"/>
      <c r="J1208" s="950"/>
      <c r="K1208" s="950"/>
      <c r="L1208" s="950"/>
      <c r="M1208" s="950"/>
      <c r="N1208" s="950"/>
      <c r="O1208" s="950"/>
      <c r="P1208" s="950"/>
      <c r="Q1208" s="950"/>
      <c r="R1208" s="950"/>
      <c r="S1208" s="950"/>
      <c r="T1208" s="950"/>
      <c r="U1208" s="950"/>
      <c r="V1208" s="962"/>
      <c r="W1208" s="963"/>
      <c r="X1208" s="965">
        <f t="shared" ref="X1208:AM1208" si="1051">+X894</f>
        <v>0.25</v>
      </c>
      <c r="Y1208" s="965">
        <f t="shared" si="1051"/>
        <v>0.25</v>
      </c>
      <c r="Z1208" s="965">
        <f t="shared" si="1051"/>
        <v>0.255</v>
      </c>
      <c r="AA1208" s="965">
        <f t="shared" si="1051"/>
        <v>0.26</v>
      </c>
      <c r="AB1208" s="965">
        <f t="shared" si="1051"/>
        <v>0.26500000000000001</v>
      </c>
      <c r="AC1208" s="965">
        <f t="shared" si="1051"/>
        <v>0.27</v>
      </c>
      <c r="AD1208" s="965">
        <f t="shared" si="1051"/>
        <v>0.27500000000000002</v>
      </c>
      <c r="AE1208" s="965">
        <f t="shared" si="1051"/>
        <v>0.28000000000000003</v>
      </c>
      <c r="AF1208" s="965">
        <f t="shared" si="1051"/>
        <v>0.28500000000000003</v>
      </c>
      <c r="AG1208" s="965">
        <f t="shared" si="1051"/>
        <v>0.29000000000000004</v>
      </c>
      <c r="AH1208" s="965">
        <f t="shared" si="1051"/>
        <v>0.29500000000000004</v>
      </c>
      <c r="AI1208" s="965">
        <f t="shared" si="1051"/>
        <v>0.29500000000000004</v>
      </c>
      <c r="AJ1208" s="965">
        <f t="shared" si="1051"/>
        <v>0.29500000000000004</v>
      </c>
      <c r="AK1208" s="965">
        <f t="shared" si="1051"/>
        <v>0.29500000000000004</v>
      </c>
      <c r="AL1208" s="965">
        <f t="shared" si="1051"/>
        <v>0.29500000000000004</v>
      </c>
      <c r="AM1208" s="965">
        <f t="shared" si="1051"/>
        <v>0.29500000000000004</v>
      </c>
      <c r="AN1208" s="965">
        <f t="shared" ref="AN1208:AT1208" si="1052">+AN894</f>
        <v>0.29500000000000004</v>
      </c>
      <c r="AO1208" s="1963">
        <f t="shared" si="1052"/>
        <v>0.29500000000000004</v>
      </c>
      <c r="AP1208" s="1963">
        <f t="shared" si="1052"/>
        <v>0.29500000000000004</v>
      </c>
      <c r="AQ1208" s="1963">
        <f t="shared" si="1052"/>
        <v>0.29500000000000004</v>
      </c>
      <c r="AR1208" s="1963">
        <f t="shared" si="1052"/>
        <v>0.29500000000000004</v>
      </c>
      <c r="AS1208" s="1963">
        <f t="shared" si="1052"/>
        <v>0.29500000000000004</v>
      </c>
      <c r="AT1208" s="1963">
        <f t="shared" si="1052"/>
        <v>0.29500000000000004</v>
      </c>
    </row>
    <row r="1209" spans="4:46">
      <c r="D1209" s="950" t="s">
        <v>726</v>
      </c>
      <c r="E1209" s="3110"/>
      <c r="F1209" s="950"/>
      <c r="G1209" s="950"/>
      <c r="H1209" s="950"/>
      <c r="I1209" s="950"/>
      <c r="J1209" s="950"/>
      <c r="K1209" s="950"/>
      <c r="L1209" s="950"/>
      <c r="M1209" s="950"/>
      <c r="N1209" s="950"/>
      <c r="O1209" s="950"/>
      <c r="P1209" s="950"/>
      <c r="Q1209" s="950"/>
      <c r="R1209" s="950"/>
      <c r="S1209" s="950"/>
      <c r="T1209" s="950"/>
      <c r="U1209" s="950"/>
      <c r="V1209" s="962"/>
      <c r="W1209" s="963"/>
      <c r="X1209" s="965">
        <f t="shared" ref="X1209:AM1209" si="1053">+X916</f>
        <v>0.49</v>
      </c>
      <c r="Y1209" s="965">
        <f t="shared" si="1053"/>
        <v>0.49</v>
      </c>
      <c r="Z1209" s="965">
        <f t="shared" si="1053"/>
        <v>0.49</v>
      </c>
      <c r="AA1209" s="965">
        <f t="shared" si="1053"/>
        <v>0.49</v>
      </c>
      <c r="AB1209" s="965">
        <f t="shared" si="1053"/>
        <v>0.49</v>
      </c>
      <c r="AC1209" s="965">
        <f t="shared" si="1053"/>
        <v>0.49</v>
      </c>
      <c r="AD1209" s="965">
        <f t="shared" si="1053"/>
        <v>0.49</v>
      </c>
      <c r="AE1209" s="965">
        <f t="shared" si="1053"/>
        <v>0.49</v>
      </c>
      <c r="AF1209" s="965">
        <f t="shared" si="1053"/>
        <v>0.49</v>
      </c>
      <c r="AG1209" s="965">
        <f t="shared" si="1053"/>
        <v>0.49</v>
      </c>
      <c r="AH1209" s="965">
        <f t="shared" si="1053"/>
        <v>0.49</v>
      </c>
      <c r="AI1209" s="965">
        <f t="shared" si="1053"/>
        <v>0.49</v>
      </c>
      <c r="AJ1209" s="965">
        <f t="shared" si="1053"/>
        <v>0.49</v>
      </c>
      <c r="AK1209" s="965">
        <f t="shared" si="1053"/>
        <v>0.49</v>
      </c>
      <c r="AL1209" s="965">
        <f t="shared" si="1053"/>
        <v>0.49</v>
      </c>
      <c r="AM1209" s="965">
        <f t="shared" si="1053"/>
        <v>0.49</v>
      </c>
      <c r="AN1209" s="965">
        <f t="shared" ref="AN1209:AT1209" si="1054">+AN916</f>
        <v>0.49</v>
      </c>
      <c r="AO1209" s="1963">
        <f t="shared" si="1054"/>
        <v>0.49</v>
      </c>
      <c r="AP1209" s="1963">
        <f t="shared" si="1054"/>
        <v>0.49</v>
      </c>
      <c r="AQ1209" s="1963">
        <f t="shared" si="1054"/>
        <v>0.49</v>
      </c>
      <c r="AR1209" s="1963">
        <f t="shared" si="1054"/>
        <v>0.49</v>
      </c>
      <c r="AS1209" s="1963">
        <f t="shared" si="1054"/>
        <v>0.49</v>
      </c>
      <c r="AT1209" s="1963">
        <f t="shared" si="1054"/>
        <v>0.49</v>
      </c>
    </row>
    <row r="1210" spans="4:46">
      <c r="D1210" s="950" t="s">
        <v>727</v>
      </c>
      <c r="E1210" s="3110"/>
      <c r="F1210" s="950"/>
      <c r="G1210" s="950"/>
      <c r="H1210" s="950"/>
      <c r="I1210" s="950"/>
      <c r="J1210" s="950"/>
      <c r="K1210" s="950"/>
      <c r="L1210" s="950"/>
      <c r="M1210" s="950"/>
      <c r="N1210" s="950"/>
      <c r="O1210" s="950"/>
      <c r="P1210" s="950"/>
      <c r="Q1210" s="950"/>
      <c r="R1210" s="950"/>
      <c r="S1210" s="950"/>
      <c r="T1210" s="950"/>
      <c r="U1210" s="950"/>
      <c r="V1210" s="962"/>
      <c r="W1210" s="963"/>
      <c r="X1210" s="965">
        <f t="shared" ref="X1210:AM1210" si="1055">+X915</f>
        <v>0.55000000000000004</v>
      </c>
      <c r="Y1210" s="965">
        <f t="shared" si="1055"/>
        <v>0.55000000000000004</v>
      </c>
      <c r="Z1210" s="965">
        <f t="shared" si="1055"/>
        <v>0.55000000000000004</v>
      </c>
      <c r="AA1210" s="965">
        <f t="shared" si="1055"/>
        <v>0.55000000000000004</v>
      </c>
      <c r="AB1210" s="965">
        <f t="shared" si="1055"/>
        <v>0.55000000000000004</v>
      </c>
      <c r="AC1210" s="965">
        <f t="shared" si="1055"/>
        <v>0.55000000000000004</v>
      </c>
      <c r="AD1210" s="965">
        <f t="shared" si="1055"/>
        <v>0.55000000000000004</v>
      </c>
      <c r="AE1210" s="965">
        <f t="shared" si="1055"/>
        <v>0.55000000000000004</v>
      </c>
      <c r="AF1210" s="965">
        <f t="shared" si="1055"/>
        <v>0.55000000000000004</v>
      </c>
      <c r="AG1210" s="965">
        <f t="shared" si="1055"/>
        <v>0.55000000000000004</v>
      </c>
      <c r="AH1210" s="965">
        <f t="shared" si="1055"/>
        <v>0.55000000000000004</v>
      </c>
      <c r="AI1210" s="965">
        <f t="shared" si="1055"/>
        <v>0.55000000000000004</v>
      </c>
      <c r="AJ1210" s="965">
        <f t="shared" si="1055"/>
        <v>0.55000000000000004</v>
      </c>
      <c r="AK1210" s="965">
        <f t="shared" si="1055"/>
        <v>0.55000000000000004</v>
      </c>
      <c r="AL1210" s="965">
        <f t="shared" si="1055"/>
        <v>0.55000000000000004</v>
      </c>
      <c r="AM1210" s="965">
        <f t="shared" si="1055"/>
        <v>0.55000000000000004</v>
      </c>
      <c r="AN1210" s="965">
        <f t="shared" ref="AN1210:AT1210" si="1056">+AN915</f>
        <v>0.55000000000000004</v>
      </c>
      <c r="AO1210" s="1963">
        <f t="shared" si="1056"/>
        <v>0.55000000000000004</v>
      </c>
      <c r="AP1210" s="1963">
        <f t="shared" si="1056"/>
        <v>0.55000000000000004</v>
      </c>
      <c r="AQ1210" s="1963">
        <f t="shared" si="1056"/>
        <v>0.55000000000000004</v>
      </c>
      <c r="AR1210" s="1963">
        <f t="shared" si="1056"/>
        <v>0.55000000000000004</v>
      </c>
      <c r="AS1210" s="1963">
        <f t="shared" si="1056"/>
        <v>0.55000000000000004</v>
      </c>
      <c r="AT1210" s="1963">
        <f t="shared" si="1056"/>
        <v>0.55000000000000004</v>
      </c>
    </row>
    <row r="1211" spans="4:46">
      <c r="D1211" s="1574" t="s">
        <v>742</v>
      </c>
      <c r="E1211" s="3110"/>
      <c r="F1211" s="950"/>
      <c r="G1211" s="950"/>
      <c r="H1211" s="950"/>
      <c r="I1211" s="950"/>
      <c r="J1211" s="950"/>
      <c r="K1211" s="950"/>
      <c r="L1211" s="950"/>
      <c r="M1211" s="950"/>
      <c r="N1211" s="950"/>
      <c r="O1211" s="950"/>
      <c r="P1211" s="950"/>
      <c r="Q1211" s="950"/>
      <c r="R1211" s="950"/>
      <c r="S1211" s="950"/>
      <c r="T1211" s="950"/>
      <c r="U1211" s="950"/>
      <c r="V1211" s="962"/>
      <c r="W1211" s="963"/>
      <c r="X1211" s="965">
        <v>0.38</v>
      </c>
      <c r="Y1211" s="965">
        <f>+X1211+0.001</f>
        <v>0.38100000000000001</v>
      </c>
      <c r="Z1211" s="965">
        <f>+Y1211+0.001</f>
        <v>0.38200000000000001</v>
      </c>
      <c r="AA1211" s="965">
        <f>+Z1211+0.015</f>
        <v>0.39700000000000002</v>
      </c>
      <c r="AB1211" s="965">
        <f>+AA1211+0.02</f>
        <v>0.41700000000000004</v>
      </c>
      <c r="AC1211" s="965">
        <f>+AB1211+0.004</f>
        <v>0.42100000000000004</v>
      </c>
      <c r="AD1211" s="965">
        <f>+AC1211</f>
        <v>0.42100000000000004</v>
      </c>
      <c r="AE1211" s="965">
        <f>+AD1211</f>
        <v>0.42100000000000004</v>
      </c>
      <c r="AF1211" s="965">
        <f>+AE1211</f>
        <v>0.42100000000000004</v>
      </c>
      <c r="AG1211" s="965">
        <f>+AF1211+0.01</f>
        <v>0.43100000000000005</v>
      </c>
      <c r="AH1211" s="965">
        <f>+AG1211+0.02</f>
        <v>0.45100000000000007</v>
      </c>
      <c r="AI1211" s="965">
        <f>+AH1211+0.02</f>
        <v>0.47100000000000009</v>
      </c>
      <c r="AJ1211" s="965">
        <f>+AI1211+0.02</f>
        <v>0.4910000000000001</v>
      </c>
      <c r="AK1211" s="965">
        <f>+AJ1211+0.01</f>
        <v>0.50100000000000011</v>
      </c>
      <c r="AL1211" s="965">
        <f>+AK1211+0.001</f>
        <v>0.50200000000000011</v>
      </c>
      <c r="AM1211" s="965">
        <f>+AL1211+0.001</f>
        <v>0.50300000000000011</v>
      </c>
      <c r="AN1211" s="965">
        <f>+AM1211</f>
        <v>0.50300000000000011</v>
      </c>
      <c r="AO1211" s="1963">
        <f t="shared" ref="AO1211:AT1211" si="1057">+AN1211+0.02</f>
        <v>0.52300000000000013</v>
      </c>
      <c r="AP1211" s="1963">
        <f t="shared" si="1057"/>
        <v>0.54300000000000015</v>
      </c>
      <c r="AQ1211" s="1963">
        <f t="shared" si="1057"/>
        <v>0.56300000000000017</v>
      </c>
      <c r="AR1211" s="1963">
        <f t="shared" si="1057"/>
        <v>0.58300000000000018</v>
      </c>
      <c r="AS1211" s="1963">
        <f t="shared" si="1057"/>
        <v>0.6030000000000002</v>
      </c>
      <c r="AT1211" s="1963">
        <f t="shared" si="1057"/>
        <v>0.62300000000000022</v>
      </c>
    </row>
    <row r="1212" spans="4:46">
      <c r="D1212" s="1574" t="s">
        <v>728</v>
      </c>
      <c r="E1212" s="3110"/>
      <c r="F1212" s="950"/>
      <c r="G1212" s="950"/>
      <c r="H1212" s="950"/>
      <c r="I1212" s="950"/>
      <c r="J1212" s="950"/>
      <c r="K1212" s="950"/>
      <c r="L1212" s="950"/>
      <c r="M1212" s="950"/>
      <c r="N1212" s="950"/>
      <c r="O1212" s="950"/>
      <c r="P1212" s="950"/>
      <c r="Q1212" s="950"/>
      <c r="R1212" s="950"/>
      <c r="S1212" s="950"/>
      <c r="T1212" s="950"/>
      <c r="U1212" s="950"/>
      <c r="V1212" s="962"/>
      <c r="W1212" s="963"/>
      <c r="X1212" s="1682">
        <f>+X1057*(1-X848)</f>
        <v>0.12786822849580379</v>
      </c>
      <c r="Y1212" s="1682">
        <f t="shared" ref="Y1212:AH1212" si="1058">+Y1057*(1-Y848)</f>
        <v>6.7307971068964467E-2</v>
      </c>
      <c r="Z1212" s="1682">
        <f t="shared" si="1058"/>
        <v>5.5271895073044613E-2</v>
      </c>
      <c r="AA1212" s="1682">
        <f t="shared" si="1058"/>
        <v>6.6672207604593886E-2</v>
      </c>
      <c r="AB1212" s="1682">
        <f t="shared" si="1058"/>
        <v>9.7194249838968849E-2</v>
      </c>
      <c r="AC1212" s="1682">
        <f t="shared" si="1058"/>
        <v>0.10839477210990503</v>
      </c>
      <c r="AD1212" s="1682">
        <f t="shared" si="1058"/>
        <v>0.13896784861024186</v>
      </c>
      <c r="AE1212" s="1682">
        <f t="shared" si="1058"/>
        <v>8.9090006049723947E-2</v>
      </c>
      <c r="AF1212" s="1682">
        <f t="shared" si="1058"/>
        <v>8.5233728023279068E-2</v>
      </c>
      <c r="AG1212" s="1682">
        <f t="shared" si="1058"/>
        <v>0.16393585373599504</v>
      </c>
      <c r="AH1212" s="1682">
        <f t="shared" si="1058"/>
        <v>0.15509379814755953</v>
      </c>
      <c r="AI1212" s="1682">
        <f>+AI1059*(1-AI848)</f>
        <v>0.20642685008534992</v>
      </c>
      <c r="AJ1212" s="1682">
        <f t="shared" ref="AJ1212:AT1212" si="1059">+AJ1059*(1-AJ848)</f>
        <v>0.19017185873731701</v>
      </c>
      <c r="AK1212" s="1682">
        <f t="shared" si="1059"/>
        <v>0.19045947443751463</v>
      </c>
      <c r="AL1212" s="1682">
        <f t="shared" si="1059"/>
        <v>0.19053145825306833</v>
      </c>
      <c r="AM1212" s="1682">
        <f t="shared" si="1059"/>
        <v>0.18786633553022933</v>
      </c>
      <c r="AN1212" s="1682">
        <f t="shared" si="1059"/>
        <v>0.17911314862595779</v>
      </c>
      <c r="AO1212" s="1682">
        <f t="shared" si="1059"/>
        <v>0.17266429492016575</v>
      </c>
      <c r="AP1212" s="1682">
        <f t="shared" si="1059"/>
        <v>0.1689739451396122</v>
      </c>
      <c r="AQ1212" s="1682">
        <f t="shared" si="1059"/>
        <v>0.16406198217487139</v>
      </c>
      <c r="AR1212" s="1682">
        <f t="shared" si="1059"/>
        <v>0.15921193337935155</v>
      </c>
      <c r="AS1212" s="1682">
        <f t="shared" si="1059"/>
        <v>0.15482311673876575</v>
      </c>
      <c r="AT1212" s="1682">
        <f t="shared" si="1059"/>
        <v>0.15061342331780717</v>
      </c>
    </row>
    <row r="1213" spans="4:46">
      <c r="D1213" s="1574" t="s">
        <v>729</v>
      </c>
      <c r="E1213" s="3110"/>
      <c r="F1213" s="950"/>
      <c r="G1213" s="950"/>
      <c r="H1213" s="950"/>
      <c r="I1213" s="950"/>
      <c r="J1213" s="950"/>
      <c r="K1213" s="950"/>
      <c r="L1213" s="950"/>
      <c r="M1213" s="950"/>
      <c r="N1213" s="950"/>
      <c r="O1213" s="950"/>
      <c r="P1213" s="950"/>
      <c r="Q1213" s="950"/>
      <c r="R1213" s="950"/>
      <c r="S1213" s="950"/>
      <c r="T1213" s="950"/>
      <c r="U1213" s="950"/>
      <c r="V1213" s="962"/>
      <c r="W1213" s="963"/>
      <c r="X1213" s="965">
        <v>0.3</v>
      </c>
      <c r="Y1213" s="965">
        <f>+X1213</f>
        <v>0.3</v>
      </c>
      <c r="Z1213" s="965">
        <f t="shared" ref="Z1213:AO1213" si="1060">+Y1213</f>
        <v>0.3</v>
      </c>
      <c r="AA1213" s="965">
        <f t="shared" si="1060"/>
        <v>0.3</v>
      </c>
      <c r="AB1213" s="965">
        <f t="shared" si="1060"/>
        <v>0.3</v>
      </c>
      <c r="AC1213" s="965">
        <f t="shared" si="1060"/>
        <v>0.3</v>
      </c>
      <c r="AD1213" s="965">
        <f t="shared" si="1060"/>
        <v>0.3</v>
      </c>
      <c r="AE1213" s="965">
        <f t="shared" si="1060"/>
        <v>0.3</v>
      </c>
      <c r="AF1213" s="965">
        <f>+AE1213</f>
        <v>0.3</v>
      </c>
      <c r="AG1213" s="965">
        <f t="shared" si="1060"/>
        <v>0.3</v>
      </c>
      <c r="AH1213" s="965">
        <f t="shared" si="1060"/>
        <v>0.3</v>
      </c>
      <c r="AI1213" s="965">
        <f t="shared" si="1060"/>
        <v>0.3</v>
      </c>
      <c r="AJ1213" s="965">
        <f t="shared" si="1060"/>
        <v>0.3</v>
      </c>
      <c r="AK1213" s="965">
        <f t="shared" si="1060"/>
        <v>0.3</v>
      </c>
      <c r="AL1213" s="965">
        <f t="shared" si="1060"/>
        <v>0.3</v>
      </c>
      <c r="AM1213" s="965">
        <f t="shared" si="1060"/>
        <v>0.3</v>
      </c>
      <c r="AN1213" s="965">
        <f t="shared" si="1060"/>
        <v>0.3</v>
      </c>
      <c r="AO1213" s="1963">
        <f t="shared" si="1060"/>
        <v>0.3</v>
      </c>
      <c r="AP1213" s="1963">
        <f t="shared" ref="AP1213:AT1216" si="1061">+AO1213</f>
        <v>0.3</v>
      </c>
      <c r="AQ1213" s="1963">
        <f t="shared" si="1061"/>
        <v>0.3</v>
      </c>
      <c r="AR1213" s="1963">
        <f t="shared" si="1061"/>
        <v>0.3</v>
      </c>
      <c r="AS1213" s="1963">
        <f t="shared" si="1061"/>
        <v>0.3</v>
      </c>
      <c r="AT1213" s="1963">
        <f t="shared" si="1061"/>
        <v>0.3</v>
      </c>
    </row>
    <row r="1214" spans="4:46">
      <c r="D1214" s="950" t="s">
        <v>730</v>
      </c>
      <c r="E1214" s="3110"/>
      <c r="F1214" s="950"/>
      <c r="G1214" s="950"/>
      <c r="H1214" s="950"/>
      <c r="I1214" s="950"/>
      <c r="J1214" s="950"/>
      <c r="K1214" s="950"/>
      <c r="L1214" s="950"/>
      <c r="M1214" s="950"/>
      <c r="N1214" s="950"/>
      <c r="O1214" s="950"/>
      <c r="P1214" s="950"/>
      <c r="Q1214" s="950"/>
      <c r="R1214" s="950"/>
      <c r="S1214" s="950"/>
      <c r="T1214" s="950"/>
      <c r="U1214" s="950"/>
      <c r="V1214" s="962"/>
      <c r="W1214" s="963"/>
      <c r="X1214" s="965">
        <v>0.2</v>
      </c>
      <c r="Y1214" s="965">
        <f>+X1214</f>
        <v>0.2</v>
      </c>
      <c r="Z1214" s="965">
        <f t="shared" ref="Z1214:AO1214" si="1062">+Y1214</f>
        <v>0.2</v>
      </c>
      <c r="AA1214" s="965">
        <f t="shared" si="1062"/>
        <v>0.2</v>
      </c>
      <c r="AB1214" s="965">
        <f t="shared" si="1062"/>
        <v>0.2</v>
      </c>
      <c r="AC1214" s="965">
        <f t="shared" si="1062"/>
        <v>0.2</v>
      </c>
      <c r="AD1214" s="965">
        <f t="shared" si="1062"/>
        <v>0.2</v>
      </c>
      <c r="AE1214" s="965">
        <f t="shared" si="1062"/>
        <v>0.2</v>
      </c>
      <c r="AF1214" s="965">
        <f t="shared" si="1062"/>
        <v>0.2</v>
      </c>
      <c r="AG1214" s="965">
        <f t="shared" si="1062"/>
        <v>0.2</v>
      </c>
      <c r="AH1214" s="965">
        <f t="shared" si="1062"/>
        <v>0.2</v>
      </c>
      <c r="AI1214" s="965">
        <f t="shared" si="1062"/>
        <v>0.2</v>
      </c>
      <c r="AJ1214" s="965">
        <f t="shared" si="1062"/>
        <v>0.2</v>
      </c>
      <c r="AK1214" s="965">
        <f t="shared" si="1062"/>
        <v>0.2</v>
      </c>
      <c r="AL1214" s="965">
        <f t="shared" si="1062"/>
        <v>0.2</v>
      </c>
      <c r="AM1214" s="965">
        <f t="shared" si="1062"/>
        <v>0.2</v>
      </c>
      <c r="AN1214" s="965">
        <f t="shared" si="1062"/>
        <v>0.2</v>
      </c>
      <c r="AO1214" s="1963">
        <f t="shared" si="1062"/>
        <v>0.2</v>
      </c>
      <c r="AP1214" s="1963">
        <f t="shared" si="1061"/>
        <v>0.2</v>
      </c>
      <c r="AQ1214" s="1963">
        <f t="shared" si="1061"/>
        <v>0.2</v>
      </c>
      <c r="AR1214" s="1963">
        <f t="shared" si="1061"/>
        <v>0.2</v>
      </c>
      <c r="AS1214" s="1963">
        <f t="shared" si="1061"/>
        <v>0.2</v>
      </c>
      <c r="AT1214" s="1963">
        <f t="shared" si="1061"/>
        <v>0.2</v>
      </c>
    </row>
    <row r="1215" spans="4:46">
      <c r="D1215" s="950" t="s">
        <v>731</v>
      </c>
      <c r="E1215" s="3112"/>
      <c r="F1215" s="950"/>
      <c r="G1215" s="950"/>
      <c r="H1215" s="950"/>
      <c r="I1215" s="950"/>
      <c r="J1215" s="950"/>
      <c r="K1215" s="950"/>
      <c r="L1215" s="950"/>
      <c r="M1215" s="950"/>
      <c r="N1215" s="950"/>
      <c r="O1215" s="950"/>
      <c r="P1215" s="950"/>
      <c r="Q1215" s="950"/>
      <c r="R1215" s="950"/>
      <c r="S1215" s="950"/>
      <c r="T1215" s="950"/>
      <c r="U1215" s="950"/>
      <c r="V1215" s="962"/>
      <c r="W1215" s="963"/>
      <c r="X1215" s="965">
        <v>0.05</v>
      </c>
      <c r="Y1215" s="965">
        <f>+X1215</f>
        <v>0.05</v>
      </c>
      <c r="Z1215" s="965">
        <f t="shared" ref="Z1215:AO1215" si="1063">+Y1215</f>
        <v>0.05</v>
      </c>
      <c r="AA1215" s="965">
        <f t="shared" si="1063"/>
        <v>0.05</v>
      </c>
      <c r="AB1215" s="965">
        <f t="shared" si="1063"/>
        <v>0.05</v>
      </c>
      <c r="AC1215" s="965">
        <f t="shared" si="1063"/>
        <v>0.05</v>
      </c>
      <c r="AD1215" s="965">
        <f t="shared" si="1063"/>
        <v>0.05</v>
      </c>
      <c r="AE1215" s="965">
        <f t="shared" si="1063"/>
        <v>0.05</v>
      </c>
      <c r="AF1215" s="965">
        <f t="shared" si="1063"/>
        <v>0.05</v>
      </c>
      <c r="AG1215" s="965">
        <f t="shared" si="1063"/>
        <v>0.05</v>
      </c>
      <c r="AH1215" s="965">
        <f t="shared" si="1063"/>
        <v>0.05</v>
      </c>
      <c r="AI1215" s="965">
        <f t="shared" si="1063"/>
        <v>0.05</v>
      </c>
      <c r="AJ1215" s="965">
        <f t="shared" si="1063"/>
        <v>0.05</v>
      </c>
      <c r="AK1215" s="965">
        <f t="shared" si="1063"/>
        <v>0.05</v>
      </c>
      <c r="AL1215" s="965">
        <f t="shared" si="1063"/>
        <v>0.05</v>
      </c>
      <c r="AM1215" s="965">
        <f t="shared" si="1063"/>
        <v>0.05</v>
      </c>
      <c r="AN1215" s="965">
        <f t="shared" si="1063"/>
        <v>0.05</v>
      </c>
      <c r="AO1215" s="1963">
        <f t="shared" si="1063"/>
        <v>0.05</v>
      </c>
      <c r="AP1215" s="1963">
        <f t="shared" si="1061"/>
        <v>0.05</v>
      </c>
      <c r="AQ1215" s="1963">
        <f t="shared" si="1061"/>
        <v>0.05</v>
      </c>
      <c r="AR1215" s="1963">
        <f t="shared" si="1061"/>
        <v>0.05</v>
      </c>
      <c r="AS1215" s="1963">
        <f t="shared" si="1061"/>
        <v>0.05</v>
      </c>
      <c r="AT1215" s="1963">
        <f t="shared" si="1061"/>
        <v>0.05</v>
      </c>
    </row>
    <row r="1216" spans="4:46">
      <c r="D1216" s="950" t="s">
        <v>732</v>
      </c>
      <c r="E1216" s="3110"/>
      <c r="F1216" s="950"/>
      <c r="G1216" s="950"/>
      <c r="H1216" s="950"/>
      <c r="I1216" s="950"/>
      <c r="J1216" s="950"/>
      <c r="K1216" s="950"/>
      <c r="L1216" s="950"/>
      <c r="M1216" s="950"/>
      <c r="N1216" s="950"/>
      <c r="O1216" s="950"/>
      <c r="P1216" s="950"/>
      <c r="Q1216" s="950"/>
      <c r="R1216" s="950"/>
      <c r="S1216" s="950"/>
      <c r="T1216" s="950"/>
      <c r="U1216" s="950"/>
      <c r="V1216" s="962"/>
      <c r="W1216" s="963"/>
      <c r="X1216" s="965">
        <v>0.05</v>
      </c>
      <c r="Y1216" s="965">
        <f>+X1216</f>
        <v>0.05</v>
      </c>
      <c r="Z1216" s="965">
        <f t="shared" ref="Z1216:AO1216" si="1064">+Y1216</f>
        <v>0.05</v>
      </c>
      <c r="AA1216" s="965">
        <f t="shared" si="1064"/>
        <v>0.05</v>
      </c>
      <c r="AB1216" s="965">
        <f t="shared" si="1064"/>
        <v>0.05</v>
      </c>
      <c r="AC1216" s="965">
        <f t="shared" si="1064"/>
        <v>0.05</v>
      </c>
      <c r="AD1216" s="965">
        <f t="shared" si="1064"/>
        <v>0.05</v>
      </c>
      <c r="AE1216" s="965">
        <f t="shared" si="1064"/>
        <v>0.05</v>
      </c>
      <c r="AF1216" s="965">
        <f t="shared" si="1064"/>
        <v>0.05</v>
      </c>
      <c r="AG1216" s="965">
        <f t="shared" si="1064"/>
        <v>0.05</v>
      </c>
      <c r="AH1216" s="965">
        <f t="shared" si="1064"/>
        <v>0.05</v>
      </c>
      <c r="AI1216" s="965">
        <f t="shared" si="1064"/>
        <v>0.05</v>
      </c>
      <c r="AJ1216" s="965">
        <f t="shared" si="1064"/>
        <v>0.05</v>
      </c>
      <c r="AK1216" s="965">
        <f t="shared" si="1064"/>
        <v>0.05</v>
      </c>
      <c r="AL1216" s="965">
        <f t="shared" si="1064"/>
        <v>0.05</v>
      </c>
      <c r="AM1216" s="965">
        <f t="shared" si="1064"/>
        <v>0.05</v>
      </c>
      <c r="AN1216" s="965">
        <f t="shared" si="1064"/>
        <v>0.05</v>
      </c>
      <c r="AO1216" s="1963">
        <f t="shared" si="1064"/>
        <v>0.05</v>
      </c>
      <c r="AP1216" s="1963">
        <f t="shared" si="1061"/>
        <v>0.05</v>
      </c>
      <c r="AQ1216" s="1963">
        <f t="shared" si="1061"/>
        <v>0.05</v>
      </c>
      <c r="AR1216" s="1963">
        <f t="shared" si="1061"/>
        <v>0.05</v>
      </c>
      <c r="AS1216" s="1963">
        <f t="shared" si="1061"/>
        <v>0.05</v>
      </c>
      <c r="AT1216" s="1963">
        <f t="shared" si="1061"/>
        <v>0.05</v>
      </c>
    </row>
    <row r="1217" spans="4:46">
      <c r="D1217" s="950" t="s">
        <v>1476</v>
      </c>
      <c r="E1217" s="3110"/>
      <c r="F1217" s="950"/>
      <c r="G1217" s="950"/>
      <c r="H1217" s="950"/>
      <c r="I1217" s="950"/>
      <c r="J1217" s="950"/>
      <c r="K1217" s="950"/>
      <c r="L1217" s="950"/>
      <c r="M1217" s="950"/>
      <c r="N1217" s="950"/>
      <c r="O1217" s="950"/>
      <c r="P1217" s="950"/>
      <c r="Q1217" s="950"/>
      <c r="R1217" s="950"/>
      <c r="S1217" s="950"/>
      <c r="T1217" s="950"/>
      <c r="U1217" s="950"/>
      <c r="V1217" s="950"/>
      <c r="W1217" s="955"/>
      <c r="X1217" s="965">
        <f>+IF(ABS(X1213*X1049+X1214*X1048+X1215*X1052+X1216*X1051-(X1211-X1212))&gt;0.001,X1213*X1049+X1214*X1048+X1215*X1052+X1216*X1051 -(X1211-X1212),"")</f>
        <v>2.0743128255226451E-2</v>
      </c>
      <c r="Y1217" s="965">
        <f t="shared" ref="Y1217:AM1217" si="1065">+IF(ABS(Y1213*Y1049+Y1214*Y1048+Y1215*Y1052+Y1216*Y1051-(Y1211-Y1212))&gt;0.001,Y1213*Y1049+Y1214*Y1048+Y1215*Y1052+Y1216*Y1051-(Y1211-Y1212),"")</f>
        <v>-3.7916974857495511E-2</v>
      </c>
      <c r="Z1217" s="965">
        <f t="shared" si="1065"/>
        <v>-4.5154350610231153E-2</v>
      </c>
      <c r="AA1217" s="965">
        <f t="shared" si="1065"/>
        <v>-5.4492981520701644E-2</v>
      </c>
      <c r="AB1217" s="965">
        <f t="shared" si="1065"/>
        <v>-5.6979349426219517E-2</v>
      </c>
      <c r="AC1217" s="965">
        <f t="shared" si="1065"/>
        <v>-5.7141273142231275E-2</v>
      </c>
      <c r="AD1217" s="965">
        <f t="shared" si="1065"/>
        <v>-3.6434899804134502E-2</v>
      </c>
      <c r="AE1217" s="965">
        <f t="shared" si="1065"/>
        <v>-7.1324613301201212E-2</v>
      </c>
      <c r="AF1217" s="965">
        <f t="shared" si="1065"/>
        <v>-6.0368519167732226E-2</v>
      </c>
      <c r="AG1217" s="965">
        <f t="shared" si="1065"/>
        <v>-2.6641243129297304E-2</v>
      </c>
      <c r="AH1217" s="965">
        <f t="shared" si="1065"/>
        <v>-4.6456356128507376E-2</v>
      </c>
      <c r="AI1217" s="965">
        <f t="shared" si="1065"/>
        <v>-1.4605783713224352E-2</v>
      </c>
      <c r="AJ1217" s="965">
        <f t="shared" si="1065"/>
        <v>-6.6976318200225898E-2</v>
      </c>
      <c r="AK1217" s="965">
        <f t="shared" si="1065"/>
        <v>-7.6678539610577079E-2</v>
      </c>
      <c r="AL1217" s="965">
        <f t="shared" si="1065"/>
        <v>-7.9399104888964872E-2</v>
      </c>
      <c r="AM1217" s="965">
        <f t="shared" si="1065"/>
        <v>-8.6961235647858542E-2</v>
      </c>
      <c r="AN1217" s="965">
        <f t="shared" ref="AN1217:AT1217" si="1066">+IF(ABS(AN1213*AN1049+AN1214*AN1048+AN1215*AN1052+AN1216*AN1051-(AN1211-AN1212))&gt;0.001,AN1213*AN1049+AN1214*AN1048+AN1215*AN1052+AN1216*AN1051-(AN1211-AN1212),"")</f>
        <v>-9.9085966758569066E-2</v>
      </c>
      <c r="AO1217" s="1963">
        <f t="shared" si="1066"/>
        <v>-0.12831504993055085</v>
      </c>
      <c r="AP1217" s="1963">
        <f t="shared" si="1066"/>
        <v>-0.14839859059869995</v>
      </c>
      <c r="AQ1217" s="1963">
        <f t="shared" si="1066"/>
        <v>-0.17276744575900485</v>
      </c>
      <c r="AR1217" s="1963">
        <f t="shared" si="1066"/>
        <v>-0.19789480177577032</v>
      </c>
      <c r="AS1217" s="1963">
        <f t="shared" si="1066"/>
        <v>-0.22619115403271794</v>
      </c>
      <c r="AT1217" s="1963">
        <f t="shared" si="1066"/>
        <v>-0.25713368249900925</v>
      </c>
    </row>
    <row r="1218" spans="4:46">
      <c r="D1218" s="950" t="s">
        <v>853</v>
      </c>
      <c r="E1218" s="3110"/>
      <c r="F1218" s="950"/>
      <c r="G1218" s="950"/>
      <c r="H1218" s="950"/>
      <c r="I1218" s="950"/>
      <c r="J1218" s="950"/>
      <c r="K1218" s="950"/>
      <c r="L1218" s="950"/>
      <c r="M1218" s="950"/>
      <c r="N1218" s="950"/>
      <c r="O1218" s="950"/>
      <c r="P1218" s="950"/>
      <c r="Q1218" s="950"/>
      <c r="R1218" s="950"/>
      <c r="S1218" s="950"/>
      <c r="T1218" s="950"/>
      <c r="U1218" s="950"/>
      <c r="V1218" s="950"/>
      <c r="W1218" s="955"/>
      <c r="X1218" s="960">
        <f>+X724</f>
        <v>-157.87605776245391</v>
      </c>
      <c r="Y1218" s="960">
        <f t="shared" ref="Y1218:AI1218" si="1067">+Y724</f>
        <v>-126.4668703390422</v>
      </c>
      <c r="Z1218" s="960">
        <f t="shared" si="1067"/>
        <v>-228.63157096976306</v>
      </c>
      <c r="AA1218" s="960">
        <f t="shared" si="1067"/>
        <v>-136.94463445350561</v>
      </c>
      <c r="AB1218" s="960">
        <f t="shared" si="1067"/>
        <v>-2.9576080699064278</v>
      </c>
      <c r="AC1218" s="960">
        <f t="shared" si="1067"/>
        <v>37.588433070050542</v>
      </c>
      <c r="AD1218" s="960">
        <f t="shared" si="1067"/>
        <v>52.085257365560437</v>
      </c>
      <c r="AE1218" s="960">
        <f t="shared" si="1067"/>
        <v>23.760188006847784</v>
      </c>
      <c r="AF1218" s="960">
        <f t="shared" si="1067"/>
        <v>58.129583298966736</v>
      </c>
      <c r="AG1218" s="960">
        <f t="shared" si="1067"/>
        <v>-5.8202817203177801</v>
      </c>
      <c r="AH1218" s="960">
        <f t="shared" si="1067"/>
        <v>178.40319086769887</v>
      </c>
      <c r="AI1218" s="960">
        <f t="shared" si="1067"/>
        <v>127.07069449804567</v>
      </c>
      <c r="AJ1218" s="965"/>
      <c r="AK1218" s="965"/>
      <c r="AL1218" s="965"/>
      <c r="AM1218" s="965"/>
      <c r="AN1218" s="965"/>
      <c r="AO1218" s="1963"/>
      <c r="AP1218" s="1963"/>
      <c r="AQ1218" s="1963"/>
      <c r="AR1218" s="1963"/>
      <c r="AS1218" s="1963"/>
      <c r="AT1218" s="1963"/>
    </row>
    <row r="1219" spans="4:46">
      <c r="D1219" s="950" t="s">
        <v>863</v>
      </c>
      <c r="E1219" s="3110"/>
      <c r="F1219" s="950"/>
      <c r="G1219" s="950"/>
      <c r="H1219" s="950"/>
      <c r="I1219" s="950"/>
      <c r="J1219" s="950"/>
      <c r="K1219" s="950"/>
      <c r="L1219" s="950"/>
      <c r="M1219" s="950"/>
      <c r="N1219" s="950"/>
      <c r="O1219" s="950"/>
      <c r="P1219" s="950"/>
      <c r="Q1219" s="950"/>
      <c r="R1219" s="950"/>
      <c r="S1219" s="950"/>
      <c r="T1219" s="950"/>
      <c r="U1219" s="950"/>
      <c r="V1219" s="950"/>
      <c r="W1219" s="955"/>
      <c r="X1219" s="1105">
        <f t="shared" ref="X1219:AI1219" si="1068">-X1218/(X173*X$266/1000)</f>
        <v>0.18797542363936123</v>
      </c>
      <c r="Y1219" s="1105">
        <f t="shared" si="1068"/>
        <v>0.13951626306181528</v>
      </c>
      <c r="Z1219" s="1105">
        <f t="shared" si="1068"/>
        <v>0.2192831843343381</v>
      </c>
      <c r="AA1219" s="1105">
        <f t="shared" si="1068"/>
        <v>0.11469931728969003</v>
      </c>
      <c r="AB1219" s="1105">
        <f t="shared" si="1068"/>
        <v>1.8684063646610392E-3</v>
      </c>
      <c r="AC1219" s="1105">
        <f t="shared" si="1068"/>
        <v>-2.1364207088645972E-2</v>
      </c>
      <c r="AD1219" s="1105">
        <f t="shared" si="1068"/>
        <v>-2.5633584063684833E-2</v>
      </c>
      <c r="AE1219" s="1105">
        <f t="shared" si="1068"/>
        <v>-1.3031850144207482E-2</v>
      </c>
      <c r="AF1219" s="1105">
        <f t="shared" si="1068"/>
        <v>-2.7854907920377325E-2</v>
      </c>
      <c r="AG1219" s="1105">
        <f t="shared" si="1068"/>
        <v>1.8812604451223696E-3</v>
      </c>
      <c r="AH1219" s="1105">
        <f t="shared" si="1068"/>
        <v>-4.3506640416434782E-2</v>
      </c>
      <c r="AI1219" s="1105">
        <f t="shared" si="1068"/>
        <v>-2.2435077778002788E-2</v>
      </c>
      <c r="AJ1219" s="965"/>
      <c r="AK1219" s="965"/>
      <c r="AL1219" s="965"/>
      <c r="AM1219" s="965"/>
      <c r="AN1219" s="965"/>
      <c r="AO1219" s="1963"/>
      <c r="AP1219" s="1963"/>
      <c r="AQ1219" s="1963"/>
      <c r="AR1219" s="1963"/>
      <c r="AS1219" s="1963"/>
      <c r="AT1219" s="1963"/>
    </row>
    <row r="1220" spans="4:46">
      <c r="D1220" s="950" t="s">
        <v>854</v>
      </c>
      <c r="E1220" s="3110"/>
      <c r="F1220" s="950"/>
      <c r="G1220" s="950"/>
      <c r="H1220" s="950"/>
      <c r="I1220" s="950"/>
      <c r="J1220" s="950"/>
      <c r="K1220" s="950"/>
      <c r="L1220" s="950"/>
      <c r="M1220" s="950"/>
      <c r="N1220" s="950"/>
      <c r="O1220" s="950"/>
      <c r="P1220" s="950"/>
      <c r="Q1220" s="950"/>
      <c r="R1220" s="950"/>
      <c r="S1220" s="950"/>
      <c r="T1220" s="950"/>
      <c r="U1220" s="950"/>
      <c r="V1220" s="950"/>
      <c r="W1220" s="955"/>
      <c r="X1220" s="960">
        <f>+X725</f>
        <v>-110.51721179852734</v>
      </c>
      <c r="Y1220" s="960">
        <f t="shared" ref="Y1220:AI1220" si="1069">+Y725</f>
        <v>-122.86272058958275</v>
      </c>
      <c r="Z1220" s="960">
        <f t="shared" si="1069"/>
        <v>-147.53954906577064</v>
      </c>
      <c r="AA1220" s="960">
        <f t="shared" si="1069"/>
        <v>-72.368343132828159</v>
      </c>
      <c r="AB1220" s="960">
        <f t="shared" si="1069"/>
        <v>-1.9752286273119353</v>
      </c>
      <c r="AC1220" s="960">
        <f t="shared" si="1069"/>
        <v>-687.20034845033524</v>
      </c>
      <c r="AD1220" s="960">
        <f t="shared" si="1069"/>
        <v>-826.92954515845713</v>
      </c>
      <c r="AE1220" s="960">
        <f t="shared" si="1069"/>
        <v>-840.4673028047805</v>
      </c>
      <c r="AF1220" s="960">
        <f t="shared" si="1069"/>
        <v>1320.185584853853</v>
      </c>
      <c r="AG1220" s="960">
        <f t="shared" si="1069"/>
        <v>408.18891928998164</v>
      </c>
      <c r="AH1220" s="960">
        <f t="shared" si="1069"/>
        <v>887.05785334965185</v>
      </c>
      <c r="AI1220" s="960">
        <f t="shared" si="1069"/>
        <v>161.27446873374902</v>
      </c>
      <c r="AJ1220" s="965"/>
      <c r="AK1220" s="965"/>
      <c r="AL1220" s="965"/>
      <c r="AM1220" s="965"/>
      <c r="AN1220" s="965"/>
      <c r="AO1220" s="1963"/>
      <c r="AP1220" s="1963"/>
      <c r="AQ1220" s="1963"/>
      <c r="AR1220" s="1963"/>
      <c r="AS1220" s="1963"/>
      <c r="AT1220" s="1963"/>
    </row>
    <row r="1221" spans="4:46">
      <c r="D1221" s="950" t="s">
        <v>864</v>
      </c>
      <c r="E1221" s="3110"/>
      <c r="F1221" s="950"/>
      <c r="G1221" s="950"/>
      <c r="H1221" s="950"/>
      <c r="I1221" s="950"/>
      <c r="J1221" s="950"/>
      <c r="K1221" s="950"/>
      <c r="L1221" s="950"/>
      <c r="M1221" s="950"/>
      <c r="N1221" s="950"/>
      <c r="O1221" s="950"/>
      <c r="P1221" s="950"/>
      <c r="Q1221" s="950"/>
      <c r="R1221" s="950"/>
      <c r="S1221" s="950"/>
      <c r="T1221" s="950"/>
      <c r="U1221" s="950"/>
      <c r="V1221" s="950"/>
      <c r="W1221" s="955"/>
      <c r="X1221" s="1105">
        <f t="shared" ref="X1221:AI1221" si="1070">-X1220/(X188*X$266/1000)</f>
        <v>6.9660266511222688E-2</v>
      </c>
      <c r="Y1221" s="1105">
        <f t="shared" si="1070"/>
        <v>6.7847617156523585E-2</v>
      </c>
      <c r="Z1221" s="1105">
        <f t="shared" si="1070"/>
        <v>6.9773842315200688E-2</v>
      </c>
      <c r="AA1221" s="1105">
        <f t="shared" si="1070"/>
        <v>3.0086179249608536E-2</v>
      </c>
      <c r="AB1221" s="1105">
        <f t="shared" si="1070"/>
        <v>7.7369674611922482E-4</v>
      </c>
      <c r="AC1221" s="1105">
        <f t="shared" si="1070"/>
        <v>0.23884341207606988</v>
      </c>
      <c r="AD1221" s="1105">
        <f t="shared" si="1070"/>
        <v>0.24553053562156718</v>
      </c>
      <c r="AE1221" s="1105">
        <f t="shared" si="1070"/>
        <v>0.2485510660143451</v>
      </c>
      <c r="AF1221" s="1105">
        <f t="shared" si="1070"/>
        <v>-0.34265486021438046</v>
      </c>
      <c r="AG1221" s="1105">
        <f t="shared" si="1070"/>
        <v>-7.9448020349080661E-2</v>
      </c>
      <c r="AH1221" s="1105">
        <f t="shared" si="1070"/>
        <v>-0.13141710463249726</v>
      </c>
      <c r="AI1221" s="1105">
        <f t="shared" si="1070"/>
        <v>-1.8653665114688044E-2</v>
      </c>
      <c r="AJ1221" s="965"/>
      <c r="AK1221" s="965"/>
      <c r="AL1221" s="965"/>
      <c r="AM1221" s="965"/>
      <c r="AN1221" s="965"/>
      <c r="AO1221" s="1963"/>
      <c r="AP1221" s="1963"/>
      <c r="AQ1221" s="1963"/>
      <c r="AR1221" s="1963"/>
      <c r="AS1221" s="1963"/>
      <c r="AT1221" s="1963"/>
    </row>
    <row r="1222" spans="4:46">
      <c r="D1222" s="295" t="s">
        <v>733</v>
      </c>
      <c r="E1222" s="764"/>
      <c r="U1222"/>
      <c r="W1222" s="2"/>
      <c r="Y1222" s="2"/>
      <c r="AA1222" s="2"/>
      <c r="AB1222" s="2"/>
      <c r="AC1222"/>
      <c r="AD1222" s="2"/>
      <c r="AE1222" s="2"/>
      <c r="AF1222" s="2"/>
      <c r="AG1222" s="2"/>
      <c r="AH1222" s="2"/>
      <c r="AI1222" s="2"/>
      <c r="AJ1222" s="2"/>
      <c r="AK1222" s="2"/>
    </row>
    <row r="1223" spans="4:46">
      <c r="D1223"/>
      <c r="E1223" s="764"/>
      <c r="U1223"/>
      <c r="W1223" s="2"/>
      <c r="Y1223" s="2"/>
      <c r="AA1223" s="2"/>
      <c r="AB1223" s="2"/>
      <c r="AC1223"/>
      <c r="AD1223" s="2"/>
      <c r="AE1223" s="2"/>
      <c r="AF1223" s="2"/>
      <c r="AG1223" s="2"/>
      <c r="AH1223" s="2"/>
      <c r="AI1223" s="2"/>
      <c r="AJ1223" s="2"/>
      <c r="AK1223" s="2"/>
    </row>
    <row r="1224" spans="4:46">
      <c r="D1224" s="295" t="s">
        <v>1133</v>
      </c>
      <c r="E1224" s="763"/>
      <c r="F1224" s="2"/>
      <c r="G1224" s="2"/>
      <c r="H1224" s="2"/>
      <c r="I1224" s="2"/>
      <c r="J1224" s="1136" t="s">
        <v>870</v>
      </c>
      <c r="K1224" s="1118">
        <f t="shared" ref="K1224:AD1224" si="1071">+K1195</f>
        <v>2000</v>
      </c>
      <c r="L1224" s="1118">
        <f t="shared" si="1071"/>
        <v>2001</v>
      </c>
      <c r="M1224" s="1118">
        <f t="shared" si="1071"/>
        <v>2002</v>
      </c>
      <c r="N1224" s="1118">
        <f t="shared" si="1071"/>
        <v>2003</v>
      </c>
      <c r="O1224" s="1118">
        <f t="shared" si="1071"/>
        <v>2004</v>
      </c>
      <c r="P1224" s="1118">
        <f t="shared" si="1071"/>
        <v>2005</v>
      </c>
      <c r="Q1224" s="1118">
        <f t="shared" si="1071"/>
        <v>2006</v>
      </c>
      <c r="R1224" s="1118">
        <f t="shared" si="1071"/>
        <v>2007</v>
      </c>
      <c r="S1224" s="1118">
        <f t="shared" si="1071"/>
        <v>2008</v>
      </c>
      <c r="T1224" s="1118">
        <f t="shared" si="1071"/>
        <v>2009</v>
      </c>
      <c r="U1224" s="1118">
        <f t="shared" si="1071"/>
        <v>2010</v>
      </c>
      <c r="V1224" s="1118">
        <f t="shared" si="1071"/>
        <v>2011</v>
      </c>
      <c r="W1224" s="1118">
        <f t="shared" si="1071"/>
        <v>2012</v>
      </c>
      <c r="X1224" s="1118">
        <f t="shared" si="1071"/>
        <v>2013</v>
      </c>
      <c r="Y1224" s="1118">
        <f t="shared" si="1071"/>
        <v>2014</v>
      </c>
      <c r="Z1224" s="1118">
        <f t="shared" si="1071"/>
        <v>2015</v>
      </c>
      <c r="AA1224" s="1118">
        <f t="shared" si="1071"/>
        <v>2016</v>
      </c>
      <c r="AB1224" s="1118">
        <f t="shared" si="1071"/>
        <v>2017</v>
      </c>
      <c r="AC1224" s="1118">
        <f t="shared" si="1071"/>
        <v>2018</v>
      </c>
      <c r="AD1224" s="1118">
        <f t="shared" si="1071"/>
        <v>2019</v>
      </c>
      <c r="AE1224" s="1118">
        <f t="shared" ref="AE1224:AO1224" si="1072">+AE1195</f>
        <v>2020</v>
      </c>
      <c r="AF1224" s="1118">
        <f t="shared" si="1072"/>
        <v>2021</v>
      </c>
      <c r="AG1224" s="1118">
        <f>+AG1195</f>
        <v>2022</v>
      </c>
      <c r="AH1224" s="1118">
        <f t="shared" si="1072"/>
        <v>2023</v>
      </c>
      <c r="AI1224" s="1118">
        <f t="shared" si="1072"/>
        <v>2024</v>
      </c>
      <c r="AJ1224" s="1118">
        <f t="shared" si="1072"/>
        <v>2025</v>
      </c>
      <c r="AK1224" s="1118">
        <f t="shared" si="1072"/>
        <v>2026</v>
      </c>
      <c r="AL1224" s="1118">
        <f t="shared" si="1072"/>
        <v>2027</v>
      </c>
      <c r="AM1224" s="1118">
        <f t="shared" si="1072"/>
        <v>2028</v>
      </c>
      <c r="AN1224" s="1118">
        <f t="shared" si="1072"/>
        <v>2029</v>
      </c>
      <c r="AO1224" s="1948">
        <f t="shared" si="1072"/>
        <v>2030</v>
      </c>
      <c r="AP1224" s="1948">
        <f>+AP1195</f>
        <v>2031</v>
      </c>
      <c r="AQ1224" s="1948">
        <f>+AQ1195</f>
        <v>2032</v>
      </c>
      <c r="AR1224" s="1948">
        <f>+AR1195</f>
        <v>2033</v>
      </c>
      <c r="AS1224" s="1948">
        <f>+AS1195</f>
        <v>2034</v>
      </c>
      <c r="AT1224" s="1948">
        <f>+AT1195</f>
        <v>2035</v>
      </c>
    </row>
    <row r="1225" spans="4:46">
      <c r="D1225" s="1119" t="s">
        <v>1042</v>
      </c>
      <c r="E1225" s="3054">
        <f ca="1">NOW()</f>
        <v>46074.610906250004</v>
      </c>
      <c r="F1225" s="1120"/>
      <c r="G1225" s="1120"/>
      <c r="H1225" s="1120"/>
      <c r="I1225" s="1120"/>
      <c r="J1225" s="1121"/>
      <c r="K1225" s="1121"/>
      <c r="L1225" s="1121"/>
      <c r="M1225" s="1121"/>
      <c r="N1225" s="1121"/>
      <c r="O1225" s="1121"/>
      <c r="P1225" s="1121"/>
      <c r="Q1225" s="1121"/>
      <c r="R1225" s="1121"/>
      <c r="S1225" s="1121"/>
      <c r="T1225" s="1121"/>
      <c r="U1225" s="1121"/>
      <c r="V1225" s="1121"/>
      <c r="W1225" s="1121"/>
      <c r="X1225" s="1121"/>
      <c r="Y1225" s="1121"/>
      <c r="Z1225" s="1121"/>
      <c r="AA1225" s="1121"/>
      <c r="AB1225" s="1121"/>
      <c r="AC1225" s="1121"/>
      <c r="AD1225" s="1121"/>
      <c r="AE1225" s="1121"/>
      <c r="AF1225" s="1121"/>
      <c r="AG1225" s="1121"/>
      <c r="AH1225" s="1121"/>
      <c r="AI1225" s="1121"/>
      <c r="AJ1225" s="1121"/>
      <c r="AK1225" s="1121"/>
      <c r="AL1225" s="1121"/>
      <c r="AM1225" s="1121"/>
      <c r="AN1225" s="1121"/>
      <c r="AO1225" s="1949"/>
      <c r="AP1225" s="1949"/>
      <c r="AQ1225" s="1949"/>
      <c r="AR1225" s="1949"/>
      <c r="AS1225" s="1949"/>
      <c r="AT1225" s="1949"/>
    </row>
    <row r="1226" spans="4:46">
      <c r="D1226" s="1122" t="str">
        <f>+D1199</f>
        <v>Private capital stock (perpetual inventory) end-year 2017 prices (depr rate)</v>
      </c>
      <c r="E1226" s="3113"/>
      <c r="F1226" s="1123"/>
      <c r="G1226" s="1123"/>
      <c r="H1226" s="1123"/>
      <c r="I1226" s="1123"/>
      <c r="J1226" s="1124">
        <f>+J1199</f>
        <v>3097.5</v>
      </c>
      <c r="K1226" s="1124">
        <f t="shared" ref="K1226:AD1226" si="1073">+K1199</f>
        <v>2840.2345098653568</v>
      </c>
      <c r="L1226" s="1124">
        <f t="shared" si="1073"/>
        <v>2618.1623325957426</v>
      </c>
      <c r="M1226" s="1124">
        <f t="shared" si="1073"/>
        <v>2405.6433873688356</v>
      </c>
      <c r="N1226" s="1124">
        <f t="shared" si="1073"/>
        <v>2208.8369852074152</v>
      </c>
      <c r="O1226" s="1124">
        <f t="shared" si="1073"/>
        <v>2005.7026310727035</v>
      </c>
      <c r="P1226" s="1124">
        <f t="shared" si="1073"/>
        <v>1784.4602602959137</v>
      </c>
      <c r="Q1226" s="1124">
        <f t="shared" si="1073"/>
        <v>2387.792940155728</v>
      </c>
      <c r="R1226" s="1124">
        <f t="shared" si="1073"/>
        <v>3172.6940911822066</v>
      </c>
      <c r="S1226" s="1124">
        <f t="shared" si="1073"/>
        <v>4231.926472163017</v>
      </c>
      <c r="T1226" s="1124">
        <f t="shared" si="1073"/>
        <v>5214.4894575242834</v>
      </c>
      <c r="U1226" s="1124">
        <f t="shared" si="1073"/>
        <v>6326.1388411164198</v>
      </c>
      <c r="V1226" s="1124">
        <f t="shared" si="1073"/>
        <v>7504.0996409344643</v>
      </c>
      <c r="W1226" s="1124">
        <f t="shared" si="1073"/>
        <v>8935.2456251371896</v>
      </c>
      <c r="X1226" s="1124">
        <f t="shared" si="1073"/>
        <v>10328.973812337652</v>
      </c>
      <c r="Y1226" s="1124">
        <f t="shared" si="1073"/>
        <v>11600.808472539125</v>
      </c>
      <c r="Z1226" s="1124">
        <f t="shared" si="1073"/>
        <v>13300.294586682005</v>
      </c>
      <c r="AA1226" s="1124">
        <f t="shared" si="1073"/>
        <v>15336.073425455948</v>
      </c>
      <c r="AB1226" s="1124">
        <f t="shared" si="1073"/>
        <v>17183.667843229912</v>
      </c>
      <c r="AC1226" s="1124">
        <f t="shared" si="1073"/>
        <v>18499.643395630959</v>
      </c>
      <c r="AD1226" s="3258">
        <f t="shared" si="1073"/>
        <v>20640.586975308579</v>
      </c>
      <c r="AE1226" s="3258">
        <f t="shared" ref="AE1226:AL1226" si="1074">+AE1199</f>
        <v>21725.851523476806</v>
      </c>
      <c r="AF1226" s="3258">
        <f t="shared" si="1074"/>
        <v>24338.326570179037</v>
      </c>
      <c r="AG1226" s="3258">
        <f t="shared" ref="AG1226:AM1226" si="1075">+AG1199</f>
        <v>27749.500981247205</v>
      </c>
      <c r="AH1226" s="3258">
        <f t="shared" si="1074"/>
        <v>32401.897522289364</v>
      </c>
      <c r="AI1226" s="3258">
        <f t="shared" si="1075"/>
        <v>36617.634131548388</v>
      </c>
      <c r="AJ1226" s="3258">
        <f t="shared" si="1074"/>
        <v>41443.231702515019</v>
      </c>
      <c r="AK1226" s="3258">
        <f t="shared" si="1075"/>
        <v>47218.50241130028</v>
      </c>
      <c r="AL1226" s="3258">
        <f t="shared" si="1074"/>
        <v>53431.159983328995</v>
      </c>
      <c r="AM1226" s="3258">
        <f t="shared" si="1075"/>
        <v>59363.371594647702</v>
      </c>
      <c r="AN1226" s="3258">
        <f t="shared" ref="AN1226:AT1226" si="1076">+AN1199</f>
        <v>65514.233392149617</v>
      </c>
      <c r="AO1226" s="1950">
        <f t="shared" si="1076"/>
        <v>71493.369386465216</v>
      </c>
      <c r="AP1226" s="1950">
        <f t="shared" si="1076"/>
        <v>77455.429819067969</v>
      </c>
      <c r="AQ1226" s="1950">
        <f t="shared" si="1076"/>
        <v>83423.960496329717</v>
      </c>
      <c r="AR1226" s="1950">
        <f t="shared" si="1076"/>
        <v>89422.319851113018</v>
      </c>
      <c r="AS1226" s="1950">
        <f t="shared" si="1076"/>
        <v>95476.345794361536</v>
      </c>
      <c r="AT1226" s="1950">
        <f t="shared" si="1076"/>
        <v>101612.38596775479</v>
      </c>
    </row>
    <row r="1227" spans="4:46">
      <c r="D1227" s="1122" t="s">
        <v>865</v>
      </c>
      <c r="E1227" s="3113"/>
      <c r="F1227" s="1123"/>
      <c r="G1227" s="1123"/>
      <c r="H1227" s="1123"/>
      <c r="I1227" s="1123"/>
      <c r="J1227" s="1125">
        <f>+$E$1199</f>
        <v>0.04</v>
      </c>
      <c r="K1227" s="1125">
        <f t="shared" ref="K1227:AT1227" si="1077">+$E$1199</f>
        <v>0.04</v>
      </c>
      <c r="L1227" s="1125">
        <f t="shared" si="1077"/>
        <v>0.04</v>
      </c>
      <c r="M1227" s="1125">
        <f t="shared" si="1077"/>
        <v>0.04</v>
      </c>
      <c r="N1227" s="1125">
        <f t="shared" si="1077"/>
        <v>0.04</v>
      </c>
      <c r="O1227" s="1125">
        <f t="shared" si="1077"/>
        <v>0.04</v>
      </c>
      <c r="P1227" s="1125">
        <f t="shared" si="1077"/>
        <v>0.04</v>
      </c>
      <c r="Q1227" s="1125">
        <f t="shared" si="1077"/>
        <v>0.04</v>
      </c>
      <c r="R1227" s="1125">
        <f t="shared" si="1077"/>
        <v>0.04</v>
      </c>
      <c r="S1227" s="1125">
        <f t="shared" si="1077"/>
        <v>0.04</v>
      </c>
      <c r="T1227" s="1125">
        <f t="shared" si="1077"/>
        <v>0.04</v>
      </c>
      <c r="U1227" s="1125">
        <f t="shared" si="1077"/>
        <v>0.04</v>
      </c>
      <c r="V1227" s="1125">
        <f t="shared" si="1077"/>
        <v>0.04</v>
      </c>
      <c r="W1227" s="1125">
        <f t="shared" si="1077"/>
        <v>0.04</v>
      </c>
      <c r="X1227" s="1125">
        <f t="shared" si="1077"/>
        <v>0.04</v>
      </c>
      <c r="Y1227" s="1125">
        <f t="shared" si="1077"/>
        <v>0.04</v>
      </c>
      <c r="Z1227" s="1125">
        <f t="shared" si="1077"/>
        <v>0.04</v>
      </c>
      <c r="AA1227" s="1125">
        <f t="shared" si="1077"/>
        <v>0.04</v>
      </c>
      <c r="AB1227" s="1125">
        <f t="shared" si="1077"/>
        <v>0.04</v>
      </c>
      <c r="AC1227" s="1125">
        <f t="shared" si="1077"/>
        <v>0.04</v>
      </c>
      <c r="AD1227" s="3259">
        <f t="shared" si="1077"/>
        <v>0.04</v>
      </c>
      <c r="AE1227" s="3259">
        <f t="shared" si="1077"/>
        <v>0.04</v>
      </c>
      <c r="AF1227" s="3259">
        <f t="shared" si="1077"/>
        <v>0.04</v>
      </c>
      <c r="AG1227" s="3259">
        <f t="shared" si="1077"/>
        <v>0.04</v>
      </c>
      <c r="AH1227" s="3259">
        <f t="shared" si="1077"/>
        <v>0.04</v>
      </c>
      <c r="AI1227" s="3259">
        <f t="shared" si="1077"/>
        <v>0.04</v>
      </c>
      <c r="AJ1227" s="3259">
        <f t="shared" si="1077"/>
        <v>0.04</v>
      </c>
      <c r="AK1227" s="3259">
        <f t="shared" si="1077"/>
        <v>0.04</v>
      </c>
      <c r="AL1227" s="3259">
        <f t="shared" si="1077"/>
        <v>0.04</v>
      </c>
      <c r="AM1227" s="3259">
        <f t="shared" si="1077"/>
        <v>0.04</v>
      </c>
      <c r="AN1227" s="3259">
        <f t="shared" si="1077"/>
        <v>0.04</v>
      </c>
      <c r="AO1227" s="1951">
        <f t="shared" si="1077"/>
        <v>0.04</v>
      </c>
      <c r="AP1227" s="1951">
        <f t="shared" si="1077"/>
        <v>0.04</v>
      </c>
      <c r="AQ1227" s="1951">
        <f t="shared" si="1077"/>
        <v>0.04</v>
      </c>
      <c r="AR1227" s="1951">
        <f t="shared" si="1077"/>
        <v>0.04</v>
      </c>
      <c r="AS1227" s="1951">
        <f t="shared" si="1077"/>
        <v>0.04</v>
      </c>
      <c r="AT1227" s="1951">
        <f t="shared" si="1077"/>
        <v>0.04</v>
      </c>
    </row>
    <row r="1228" spans="4:46">
      <c r="D1228" s="1122" t="str">
        <f>+D1202</f>
        <v>Public capital stock (perpetual inventory) end-year 2014 prices (depr rate)</v>
      </c>
      <c r="E1228" s="3113" t="s">
        <v>866</v>
      </c>
      <c r="F1228" s="1123"/>
      <c r="G1228" s="1123"/>
      <c r="H1228" s="1123"/>
      <c r="I1228" s="1123"/>
      <c r="J1228" s="1124">
        <f>+J1202</f>
        <v>309.75</v>
      </c>
      <c r="K1228" s="1124">
        <f t="shared" ref="K1228:AD1228" si="1078">+K1202</f>
        <v>435.37174013464283</v>
      </c>
      <c r="L1228" s="1124">
        <f t="shared" si="1078"/>
        <v>532.95024350627682</v>
      </c>
      <c r="M1228" s="1124">
        <f t="shared" si="1078"/>
        <v>627.41893934169673</v>
      </c>
      <c r="N1228" s="1124">
        <f t="shared" si="1078"/>
        <v>712.31413252482093</v>
      </c>
      <c r="O1228" s="1124">
        <f t="shared" si="1078"/>
        <v>809.28715393811547</v>
      </c>
      <c r="P1228" s="1124">
        <f t="shared" si="1078"/>
        <v>930.06924062354415</v>
      </c>
      <c r="Q1228" s="1124">
        <f t="shared" si="1078"/>
        <v>1256.1064193363047</v>
      </c>
      <c r="R1228" s="1124">
        <f t="shared" si="1078"/>
        <v>1642.2908902201893</v>
      </c>
      <c r="S1228" s="1124">
        <f t="shared" si="1078"/>
        <v>2126.0934733365852</v>
      </c>
      <c r="T1228" s="1124">
        <f t="shared" si="1078"/>
        <v>2679.1010922553833</v>
      </c>
      <c r="U1228" s="1124">
        <f t="shared" si="1078"/>
        <v>3176.89460305589</v>
      </c>
      <c r="V1228" s="1124">
        <f t="shared" si="1078"/>
        <v>3725.4658845167905</v>
      </c>
      <c r="W1228" s="1124">
        <f t="shared" si="1078"/>
        <v>4418.0192675637663</v>
      </c>
      <c r="X1228" s="1124">
        <f t="shared" si="1078"/>
        <v>5265.4307736687206</v>
      </c>
      <c r="Y1228" s="1124">
        <f t="shared" si="1078"/>
        <v>6306.8013916320215</v>
      </c>
      <c r="Z1228" s="1124">
        <f t="shared" si="1078"/>
        <v>7354.6129037967776</v>
      </c>
      <c r="AA1228" s="1124">
        <f t="shared" si="1078"/>
        <v>8257.9569589606344</v>
      </c>
      <c r="AB1228" s="1124">
        <f t="shared" si="1078"/>
        <v>9120.4706801944158</v>
      </c>
      <c r="AC1228" s="1124">
        <f t="shared" si="1078"/>
        <v>10571.136647059313</v>
      </c>
      <c r="AD1228" s="3258">
        <f t="shared" si="1078"/>
        <v>12253.928915379973</v>
      </c>
      <c r="AE1228" s="3258">
        <f>+AE1202</f>
        <v>14227.692665314902</v>
      </c>
      <c r="AF1228" s="3258">
        <f>+AF1202</f>
        <v>15375.491241040723</v>
      </c>
      <c r="AG1228" s="3258">
        <f t="shared" ref="AG1228:AM1228" si="1079">+AG1202</f>
        <v>16411.396486139376</v>
      </c>
      <c r="AH1228" s="3258">
        <f t="shared" si="1079"/>
        <v>17471.734993693841</v>
      </c>
      <c r="AI1228" s="3258">
        <f t="shared" si="1079"/>
        <v>18501.129108700898</v>
      </c>
      <c r="AJ1228" s="3258">
        <f t="shared" si="1079"/>
        <v>19520.5600925256</v>
      </c>
      <c r="AK1228" s="3258">
        <f t="shared" si="1079"/>
        <v>20598.362144654409</v>
      </c>
      <c r="AL1228" s="3258">
        <f t="shared" si="1079"/>
        <v>21848.78690607156</v>
      </c>
      <c r="AM1228" s="3258">
        <f t="shared" si="1079"/>
        <v>23252.25699397429</v>
      </c>
      <c r="AN1228" s="3258">
        <f t="shared" ref="AN1228:AT1228" si="1080">+AN1202</f>
        <v>24777.188194054761</v>
      </c>
      <c r="AO1228" s="1950">
        <f t="shared" si="1080"/>
        <v>26344.52719430254</v>
      </c>
      <c r="AP1228" s="1950">
        <f t="shared" si="1080"/>
        <v>28009.500497089597</v>
      </c>
      <c r="AQ1228" s="1950">
        <f t="shared" si="1080"/>
        <v>29857.329689972747</v>
      </c>
      <c r="AR1228" s="1950">
        <f t="shared" si="1080"/>
        <v>32014.717693121333</v>
      </c>
      <c r="AS1228" s="1950">
        <f t="shared" si="1080"/>
        <v>34781.992739530513</v>
      </c>
      <c r="AT1228" s="1950">
        <f t="shared" si="1080"/>
        <v>38501.332388026545</v>
      </c>
    </row>
    <row r="1229" spans="4:46">
      <c r="D1229" s="1122" t="str">
        <f>+D1227</f>
        <v>depreciation rate</v>
      </c>
      <c r="E1229" s="3113"/>
      <c r="F1229" s="1123"/>
      <c r="G1229" s="1123"/>
      <c r="H1229" s="1123"/>
      <c r="I1229" s="1123"/>
      <c r="J1229" s="1126">
        <f>+$E$1202</f>
        <v>2.5000000000000001E-2</v>
      </c>
      <c r="K1229" s="1126">
        <f t="shared" ref="K1229:AT1229" si="1081">+$E$1202</f>
        <v>2.5000000000000001E-2</v>
      </c>
      <c r="L1229" s="1126">
        <f t="shared" si="1081"/>
        <v>2.5000000000000001E-2</v>
      </c>
      <c r="M1229" s="1126">
        <f t="shared" si="1081"/>
        <v>2.5000000000000001E-2</v>
      </c>
      <c r="N1229" s="1126">
        <f t="shared" si="1081"/>
        <v>2.5000000000000001E-2</v>
      </c>
      <c r="O1229" s="1126">
        <f t="shared" si="1081"/>
        <v>2.5000000000000001E-2</v>
      </c>
      <c r="P1229" s="1126">
        <f t="shared" si="1081"/>
        <v>2.5000000000000001E-2</v>
      </c>
      <c r="Q1229" s="1126">
        <f t="shared" si="1081"/>
        <v>2.5000000000000001E-2</v>
      </c>
      <c r="R1229" s="1126">
        <f t="shared" si="1081"/>
        <v>2.5000000000000001E-2</v>
      </c>
      <c r="S1229" s="1126">
        <f t="shared" si="1081"/>
        <v>2.5000000000000001E-2</v>
      </c>
      <c r="T1229" s="1126">
        <f t="shared" si="1081"/>
        <v>2.5000000000000001E-2</v>
      </c>
      <c r="U1229" s="1126">
        <f t="shared" si="1081"/>
        <v>2.5000000000000001E-2</v>
      </c>
      <c r="V1229" s="1126">
        <f t="shared" si="1081"/>
        <v>2.5000000000000001E-2</v>
      </c>
      <c r="W1229" s="1126">
        <f t="shared" si="1081"/>
        <v>2.5000000000000001E-2</v>
      </c>
      <c r="X1229" s="1126">
        <f t="shared" si="1081"/>
        <v>2.5000000000000001E-2</v>
      </c>
      <c r="Y1229" s="1126">
        <f t="shared" si="1081"/>
        <v>2.5000000000000001E-2</v>
      </c>
      <c r="Z1229" s="1126">
        <f t="shared" si="1081"/>
        <v>2.5000000000000001E-2</v>
      </c>
      <c r="AA1229" s="1126">
        <f t="shared" si="1081"/>
        <v>2.5000000000000001E-2</v>
      </c>
      <c r="AB1229" s="1126">
        <f t="shared" si="1081"/>
        <v>2.5000000000000001E-2</v>
      </c>
      <c r="AC1229" s="1126">
        <f t="shared" si="1081"/>
        <v>2.5000000000000001E-2</v>
      </c>
      <c r="AD1229" s="3260">
        <f t="shared" si="1081"/>
        <v>2.5000000000000001E-2</v>
      </c>
      <c r="AE1229" s="3260">
        <f t="shared" si="1081"/>
        <v>2.5000000000000001E-2</v>
      </c>
      <c r="AF1229" s="3260">
        <f t="shared" si="1081"/>
        <v>2.5000000000000001E-2</v>
      </c>
      <c r="AG1229" s="3260">
        <f t="shared" si="1081"/>
        <v>2.5000000000000001E-2</v>
      </c>
      <c r="AH1229" s="3260">
        <f t="shared" si="1081"/>
        <v>2.5000000000000001E-2</v>
      </c>
      <c r="AI1229" s="3260">
        <f t="shared" si="1081"/>
        <v>2.5000000000000001E-2</v>
      </c>
      <c r="AJ1229" s="3260">
        <f t="shared" si="1081"/>
        <v>2.5000000000000001E-2</v>
      </c>
      <c r="AK1229" s="3260">
        <f t="shared" si="1081"/>
        <v>2.5000000000000001E-2</v>
      </c>
      <c r="AL1229" s="3260">
        <f t="shared" si="1081"/>
        <v>2.5000000000000001E-2</v>
      </c>
      <c r="AM1229" s="3260">
        <f t="shared" si="1081"/>
        <v>2.5000000000000001E-2</v>
      </c>
      <c r="AN1229" s="3260">
        <f t="shared" si="1081"/>
        <v>2.5000000000000001E-2</v>
      </c>
      <c r="AO1229" s="1952">
        <f t="shared" si="1081"/>
        <v>2.5000000000000001E-2</v>
      </c>
      <c r="AP1229" s="1952">
        <f t="shared" si="1081"/>
        <v>2.5000000000000001E-2</v>
      </c>
      <c r="AQ1229" s="1952">
        <f t="shared" si="1081"/>
        <v>2.5000000000000001E-2</v>
      </c>
      <c r="AR1229" s="1952">
        <f t="shared" si="1081"/>
        <v>2.5000000000000001E-2</v>
      </c>
      <c r="AS1229" s="1952">
        <f t="shared" si="1081"/>
        <v>2.5000000000000001E-2</v>
      </c>
      <c r="AT1229" s="1952">
        <f t="shared" si="1081"/>
        <v>2.5000000000000001E-2</v>
      </c>
    </row>
    <row r="1230" spans="4:46">
      <c r="D1230" s="1119" t="s">
        <v>883</v>
      </c>
      <c r="E1230" s="3113" t="s">
        <v>868</v>
      </c>
      <c r="F1230" s="1123"/>
      <c r="G1230" s="1123"/>
      <c r="H1230" s="1123"/>
      <c r="I1230" s="1123"/>
      <c r="J1230" s="1123"/>
      <c r="K1230" s="1123"/>
      <c r="L1230" s="1123"/>
      <c r="M1230" s="1123"/>
      <c r="N1230" s="1123"/>
      <c r="O1230" s="1123"/>
      <c r="P1230" s="1123"/>
      <c r="Q1230" s="1123"/>
      <c r="R1230" s="1123"/>
      <c r="S1230" s="1123"/>
      <c r="T1230" s="1123"/>
      <c r="U1230" s="1123"/>
      <c r="V1230" s="1123"/>
      <c r="W1230" s="1127"/>
      <c r="X1230" s="1127"/>
      <c r="Y1230" s="1127"/>
      <c r="Z1230" s="1127"/>
      <c r="AA1230" s="1127"/>
      <c r="AB1230" s="1127"/>
      <c r="AC1230" s="1123"/>
      <c r="AD1230" s="1127"/>
      <c r="AE1230" s="1127"/>
      <c r="AF1230" s="1127"/>
      <c r="AG1230" s="1127"/>
      <c r="AH1230" s="1127"/>
      <c r="AI1230" s="1127"/>
      <c r="AJ1230" s="1127"/>
      <c r="AK1230" s="1127"/>
      <c r="AL1230" s="1127"/>
      <c r="AM1230" s="1127"/>
      <c r="AN1230" s="1127"/>
      <c r="AO1230" s="1953"/>
      <c r="AP1230" s="1953"/>
      <c r="AQ1230" s="1953"/>
      <c r="AR1230" s="1953"/>
      <c r="AS1230" s="1953"/>
      <c r="AT1230" s="1953"/>
    </row>
    <row r="1231" spans="4:46">
      <c r="D1231" s="1128" t="str">
        <f>+D1025</f>
        <v>CPI (Period Average, pa)</v>
      </c>
      <c r="E1231" s="3113"/>
      <c r="F1231" s="1123"/>
      <c r="G1231" s="1123"/>
      <c r="H1231" s="1123"/>
      <c r="I1231" s="1123"/>
      <c r="J1231" s="1129">
        <f t="shared" ref="J1231:AM1231" si="1082">+J1025</f>
        <v>-0.10228761707806999</v>
      </c>
      <c r="K1231" s="1129">
        <f t="shared" si="1082"/>
        <v>2.1214788865460354E-2</v>
      </c>
      <c r="L1231" s="1129">
        <f t="shared" si="1082"/>
        <v>1.1494230477025358E-2</v>
      </c>
      <c r="M1231" s="1129">
        <f t="shared" si="1082"/>
        <v>-1.2501792998073302E-2</v>
      </c>
      <c r="N1231" s="1129">
        <f t="shared" si="1082"/>
        <v>0.11744236377675076</v>
      </c>
      <c r="O1231" s="1129">
        <f t="shared" si="1082"/>
        <v>0.11937808306006037</v>
      </c>
      <c r="P1231" s="1129">
        <f t="shared" si="1082"/>
        <v>9.132697764056763E-2</v>
      </c>
      <c r="Q1231" s="1129">
        <f t="shared" si="1082"/>
        <v>8.8313394380501897E-2</v>
      </c>
      <c r="R1231" s="1129">
        <f t="shared" si="1082"/>
        <v>9.0809741086125495E-2</v>
      </c>
      <c r="S1231" s="1129">
        <f t="shared" si="1082"/>
        <v>0.15441509649830398</v>
      </c>
      <c r="T1231" s="1129">
        <f t="shared" si="1082"/>
        <v>0.10340221174350983</v>
      </c>
      <c r="U1231" s="1129">
        <f t="shared" si="1082"/>
        <v>2.3073277314962892E-2</v>
      </c>
      <c r="V1231" s="1129">
        <f t="shared" si="1082"/>
        <v>5.6675699845492297E-2</v>
      </c>
      <c r="W1231" s="1129">
        <f t="shared" si="1082"/>
        <v>6.2863849450282228E-2</v>
      </c>
      <c r="X1231" s="1129">
        <f t="shared" si="1082"/>
        <v>4.2000000000000003E-2</v>
      </c>
      <c r="Y1231" s="1129">
        <f t="shared" si="1082"/>
        <v>1.784010267913394E-2</v>
      </c>
      <c r="Z1231" s="1129">
        <f t="shared" si="1082"/>
        <v>2.5072988767667947E-2</v>
      </c>
      <c r="AA1231" s="1129">
        <f t="shared" si="1082"/>
        <v>5.7234630000000002E-2</v>
      </c>
      <c r="AB1231" s="1129">
        <f t="shared" si="1082"/>
        <v>4.8367798851274957E-2</v>
      </c>
      <c r="AC1231" s="1129">
        <f t="shared" si="1082"/>
        <v>1.4E-2</v>
      </c>
      <c r="AD1231" s="3261">
        <f t="shared" si="1082"/>
        <v>2.4299999999999999E-2</v>
      </c>
      <c r="AE1231" s="3261">
        <f t="shared" si="1082"/>
        <v>7.7156235546899099E-2</v>
      </c>
      <c r="AF1231" s="3261">
        <f t="shared" si="1082"/>
        <v>8.1775706194855413E-3</v>
      </c>
      <c r="AG1231" s="3261">
        <f t="shared" si="1082"/>
        <v>0.13892335864190652</v>
      </c>
      <c r="AH1231" s="3261">
        <f t="shared" si="1082"/>
        <v>0.14030353524911621</v>
      </c>
      <c r="AI1231" s="3261">
        <f t="shared" si="1082"/>
        <v>4.7622148458877703E-2</v>
      </c>
      <c r="AJ1231" s="3261">
        <f t="shared" si="1082"/>
        <v>7.0000000000000007E-2</v>
      </c>
      <c r="AK1231" s="3261">
        <f t="shared" si="1082"/>
        <v>9.35E-2</v>
      </c>
      <c r="AL1231" s="3261">
        <f t="shared" si="1082"/>
        <v>0.03</v>
      </c>
      <c r="AM1231" s="3261">
        <f t="shared" si="1082"/>
        <v>0.04</v>
      </c>
      <c r="AN1231" s="3261">
        <f t="shared" ref="AN1231:AT1231" si="1083">+AN1025</f>
        <v>0.05</v>
      </c>
      <c r="AO1231" s="1954">
        <f t="shared" si="1083"/>
        <v>0.05</v>
      </c>
      <c r="AP1231" s="1954">
        <f t="shared" si="1083"/>
        <v>0.05</v>
      </c>
      <c r="AQ1231" s="1954">
        <f t="shared" si="1083"/>
        <v>0.05</v>
      </c>
      <c r="AR1231" s="1954">
        <f t="shared" si="1083"/>
        <v>0.05</v>
      </c>
      <c r="AS1231" s="1954">
        <f t="shared" si="1083"/>
        <v>0.05</v>
      </c>
      <c r="AT1231" s="1954">
        <f t="shared" si="1083"/>
        <v>0.05</v>
      </c>
    </row>
    <row r="1232" spans="4:46">
      <c r="D1232" s="1128" t="str">
        <f>+D1027</f>
        <v xml:space="preserve">Exchange rate RWF/US$ (Period Average) </v>
      </c>
      <c r="E1232" s="3113"/>
      <c r="F1232" s="1123"/>
      <c r="G1232" s="1123"/>
      <c r="H1232" s="1123"/>
      <c r="I1232" s="1123"/>
      <c r="J1232" s="1124">
        <f t="shared" ref="J1232:AM1232" si="1084">+J1027</f>
        <v>333.94192500000003</v>
      </c>
      <c r="K1232" s="1124">
        <f t="shared" si="1084"/>
        <v>389.696216666667</v>
      </c>
      <c r="L1232" s="1124">
        <f t="shared" si="1084"/>
        <v>442.99189166666702</v>
      </c>
      <c r="M1232" s="1124">
        <f t="shared" si="1084"/>
        <v>475.36524166666698</v>
      </c>
      <c r="N1232" s="1124">
        <f t="shared" si="1084"/>
        <v>537.65498475000004</v>
      </c>
      <c r="O1232" s="1124">
        <f t="shared" si="1084"/>
        <v>577.44897458333298</v>
      </c>
      <c r="P1232" s="1124">
        <f t="shared" si="1084"/>
        <v>557.82264077499997</v>
      </c>
      <c r="Q1232" s="1124">
        <f t="shared" si="1084"/>
        <v>551.71033333333298</v>
      </c>
      <c r="R1232" s="1124">
        <f t="shared" si="1084"/>
        <v>546.95500000000004</v>
      </c>
      <c r="S1232" s="1124">
        <f t="shared" si="1084"/>
        <v>546.84865308253995</v>
      </c>
      <c r="T1232" s="1124">
        <f t="shared" si="1084"/>
        <v>568.28132683333297</v>
      </c>
      <c r="U1232" s="1124">
        <f t="shared" si="1084"/>
        <v>583.13090659057195</v>
      </c>
      <c r="V1232" s="1124">
        <f t="shared" si="1084"/>
        <v>600.29320604267491</v>
      </c>
      <c r="W1232" s="1124">
        <f t="shared" si="1084"/>
        <v>614.29431630039051</v>
      </c>
      <c r="X1232" s="1124">
        <f t="shared" si="1084"/>
        <v>646.63949334820143</v>
      </c>
      <c r="Y1232" s="1124">
        <f t="shared" si="1084"/>
        <v>682.43779531147175</v>
      </c>
      <c r="Z1232" s="1124">
        <f t="shared" si="1084"/>
        <v>719.54</v>
      </c>
      <c r="AA1232" s="1124">
        <f t="shared" si="1084"/>
        <v>787.2270116761639</v>
      </c>
      <c r="AB1232" s="1124">
        <f t="shared" si="1084"/>
        <v>831.42755121763093</v>
      </c>
      <c r="AC1232" s="1124">
        <f t="shared" si="1084"/>
        <v>861.08210413925633</v>
      </c>
      <c r="AD1232" s="3258">
        <f t="shared" si="1084"/>
        <v>901.2008004999999</v>
      </c>
      <c r="AE1232" s="3258">
        <f t="shared" si="1084"/>
        <v>945.1922248333334</v>
      </c>
      <c r="AF1232" s="3258">
        <f t="shared" si="1084"/>
        <v>990.36278749999985</v>
      </c>
      <c r="AG1232" s="3258">
        <f t="shared" si="1084"/>
        <v>1032.9918769999999</v>
      </c>
      <c r="AH1232" s="3258">
        <f t="shared" si="1084"/>
        <v>1168.1139727499999</v>
      </c>
      <c r="AI1232" s="3258">
        <f t="shared" si="1084"/>
        <v>1322.7254919166669</v>
      </c>
      <c r="AJ1232" s="3258">
        <f t="shared" si="1084"/>
        <v>1419.0039444429485</v>
      </c>
      <c r="AK1232" s="3258">
        <f t="shared" si="1084"/>
        <v>1486.3951837247382</v>
      </c>
      <c r="AL1232" s="3258">
        <f t="shared" si="1084"/>
        <v>1544.8855446604221</v>
      </c>
      <c r="AM1232" s="3258">
        <f t="shared" si="1084"/>
        <v>1593.8580817454642</v>
      </c>
      <c r="AN1232" s="3258">
        <f t="shared" ref="AN1232:AT1232" si="1085">+AN1027</f>
        <v>1635.9113309178342</v>
      </c>
      <c r="AO1232" s="1950">
        <f t="shared" si="1085"/>
        <v>1676.8091141907798</v>
      </c>
      <c r="AP1232" s="1950">
        <f t="shared" si="1085"/>
        <v>1718.7293420455494</v>
      </c>
      <c r="AQ1232" s="1950">
        <f t="shared" si="1085"/>
        <v>1761.6975755966878</v>
      </c>
      <c r="AR1232" s="1950">
        <f t="shared" si="1085"/>
        <v>1805.7400149866048</v>
      </c>
      <c r="AS1232" s="1950">
        <f t="shared" si="1085"/>
        <v>1850.8835153612699</v>
      </c>
      <c r="AT1232" s="1950">
        <f t="shared" si="1085"/>
        <v>1897.1556032453016</v>
      </c>
    </row>
    <row r="1233" spans="4:46">
      <c r="D1233" s="1128" t="str">
        <f>+D48</f>
        <v>CPI of advanced economy trading partners, in US dollars (for RER calc)</v>
      </c>
      <c r="E1233" s="3113" t="s">
        <v>867</v>
      </c>
      <c r="F1233" s="1123"/>
      <c r="G1233" s="1123"/>
      <c r="H1233" s="1123"/>
      <c r="I1233" s="1123"/>
      <c r="J1233" s="1129">
        <f t="shared" ref="J1233:AT1233" si="1086">+J48</f>
        <v>0</v>
      </c>
      <c r="K1233" s="1129">
        <f t="shared" si="1086"/>
        <v>-4.5848033265797998E-2</v>
      </c>
      <c r="L1233" s="1129">
        <f t="shared" si="1086"/>
        <v>-3.0215965718750799E-2</v>
      </c>
      <c r="M1233" s="1129">
        <f t="shared" si="1086"/>
        <v>5.1809724197484301E-2</v>
      </c>
      <c r="N1233" s="1129">
        <f t="shared" si="1086"/>
        <v>0.149750031811167</v>
      </c>
      <c r="O1233" s="1129">
        <f t="shared" si="1086"/>
        <v>9.4189651393374194E-2</v>
      </c>
      <c r="P1233" s="1129">
        <f t="shared" si="1086"/>
        <v>4.0556758101233402E-2</v>
      </c>
      <c r="Q1233" s="1129">
        <f t="shared" si="1086"/>
        <v>3.55182472205594E-2</v>
      </c>
      <c r="R1233" s="1129">
        <f t="shared" si="1086"/>
        <v>8.2409831317219892E-2</v>
      </c>
      <c r="S1233" s="1129">
        <f t="shared" si="1086"/>
        <v>6.9140408096673295E-2</v>
      </c>
      <c r="T1233" s="1129">
        <f t="shared" si="1086"/>
        <v>-4.5235640155203594E-2</v>
      </c>
      <c r="U1233" s="1129">
        <f t="shared" si="1086"/>
        <v>2.4113278729445499E-2</v>
      </c>
      <c r="V1233" s="1129">
        <f t="shared" si="1086"/>
        <v>8.4956140556022602E-2</v>
      </c>
      <c r="W1233" s="1129">
        <f t="shared" si="1086"/>
        <v>-2.4303116158361001E-2</v>
      </c>
      <c r="X1233" s="1129">
        <f t="shared" si="1086"/>
        <v>2.1486689692428999E-2</v>
      </c>
      <c r="Y1233" s="1129">
        <f t="shared" si="1086"/>
        <v>9.9639544907830103E-3</v>
      </c>
      <c r="Z1233" s="1129">
        <f t="shared" si="1086"/>
        <v>-0.11648413933565599</v>
      </c>
      <c r="AA1233" s="1129">
        <f t="shared" si="1086"/>
        <v>4.63622447018547E-3</v>
      </c>
      <c r="AB1233" s="1129">
        <f t="shared" si="1086"/>
        <v>2.8521537883216701E-2</v>
      </c>
      <c r="AC1233" s="1129">
        <f t="shared" si="1086"/>
        <v>4.8521447969015002E-2</v>
      </c>
      <c r="AD1233" s="3261">
        <f t="shared" si="1086"/>
        <v>-2.8440162118538E-2</v>
      </c>
      <c r="AE1233" s="3261">
        <f t="shared" si="1086"/>
        <v>1.54601798914625E-2</v>
      </c>
      <c r="AF1233" s="3261">
        <f t="shared" si="1086"/>
        <v>5.4782491685913606E-2</v>
      </c>
      <c r="AG1233" s="3261">
        <f t="shared" si="1086"/>
        <v>-3.4174580817133898E-2</v>
      </c>
      <c r="AH1233" s="3261">
        <f t="shared" si="1086"/>
        <v>5.1264361067087504E-2</v>
      </c>
      <c r="AI1233" s="3261">
        <f t="shared" si="1086"/>
        <v>1.2347851461259799E-2</v>
      </c>
      <c r="AJ1233" s="3261">
        <f t="shared" si="1086"/>
        <v>4.4175478248360295E-2</v>
      </c>
      <c r="AK1233" s="3261">
        <f t="shared" si="1086"/>
        <v>4.3353382199611198E-2</v>
      </c>
      <c r="AL1233" s="3261">
        <f t="shared" si="1086"/>
        <v>2.12730000371406E-2</v>
      </c>
      <c r="AM1233" s="3261">
        <f t="shared" si="1086"/>
        <v>2.1250177226456401E-2</v>
      </c>
      <c r="AN1233" s="3261">
        <f t="shared" si="1086"/>
        <v>2.07506964534829E-2</v>
      </c>
      <c r="AO1233" s="1954">
        <f t="shared" si="1086"/>
        <v>2.0689365650781701E-2</v>
      </c>
      <c r="AP1233" s="1954">
        <f t="shared" si="1086"/>
        <v>2.209785797054948E-2</v>
      </c>
      <c r="AQ1233" s="1954">
        <f t="shared" si="1086"/>
        <v>2.209785797054948E-2</v>
      </c>
      <c r="AR1233" s="1954">
        <f t="shared" si="1086"/>
        <v>2.209785797054948E-2</v>
      </c>
      <c r="AS1233" s="1954">
        <f t="shared" si="1086"/>
        <v>2.209785797054948E-2</v>
      </c>
      <c r="AT1233" s="1954">
        <f t="shared" si="1086"/>
        <v>2.209785797054948E-2</v>
      </c>
    </row>
    <row r="1234" spans="4:46">
      <c r="D1234" s="1128" t="str">
        <f>+D193</f>
        <v>Export price index in Frw goods fob (2017=100)</v>
      </c>
      <c r="E1234" s="3113" t="s">
        <v>879</v>
      </c>
      <c r="F1234" s="1123"/>
      <c r="G1234" s="1123"/>
      <c r="H1234" s="1123"/>
      <c r="I1234" s="1123"/>
      <c r="J1234" s="1130">
        <f t="shared" ref="J1234:AT1234" si="1087">+J193</f>
        <v>22.96364893283538</v>
      </c>
      <c r="K1234" s="1130">
        <f t="shared" si="1087"/>
        <v>29.581404949973685</v>
      </c>
      <c r="L1234" s="1130">
        <f t="shared" si="1087"/>
        <v>33.725788353088909</v>
      </c>
      <c r="M1234" s="1130">
        <f t="shared" si="1087"/>
        <v>27.97061935522132</v>
      </c>
      <c r="N1234" s="1130">
        <f t="shared" si="1087"/>
        <v>33.700165112673915</v>
      </c>
      <c r="O1234" s="1130">
        <f t="shared" si="1087"/>
        <v>44.505790917094778</v>
      </c>
      <c r="P1234" s="1130">
        <f t="shared" si="1087"/>
        <v>48.692392195282423</v>
      </c>
      <c r="Q1234" s="1130">
        <f t="shared" si="1087"/>
        <v>39.796363593336949</v>
      </c>
      <c r="R1234" s="1130">
        <f t="shared" si="1087"/>
        <v>41.300915964393155</v>
      </c>
      <c r="S1234" s="1130">
        <f t="shared" si="1087"/>
        <v>54.306577165298656</v>
      </c>
      <c r="T1234" s="1130">
        <f t="shared" si="1087"/>
        <v>52.481466813637077</v>
      </c>
      <c r="U1234" s="1130">
        <f t="shared" si="1087"/>
        <v>67.479302025750044</v>
      </c>
      <c r="V1234" s="1130">
        <f t="shared" si="1087"/>
        <v>74.081207463814678</v>
      </c>
      <c r="W1234" s="1130">
        <f t="shared" si="1087"/>
        <v>76.349186858561438</v>
      </c>
      <c r="X1234" s="1130">
        <f t="shared" si="1087"/>
        <v>76.892496704292199</v>
      </c>
      <c r="Y1234" s="1130">
        <f t="shared" si="1087"/>
        <v>83.224789312089356</v>
      </c>
      <c r="Z1234" s="1130">
        <f t="shared" si="1087"/>
        <v>77.500966268338757</v>
      </c>
      <c r="AA1234" s="1130">
        <f t="shared" si="1087"/>
        <v>83.323924197989683</v>
      </c>
      <c r="AB1234" s="1130">
        <f t="shared" si="1087"/>
        <v>100</v>
      </c>
      <c r="AC1234" s="1130">
        <f t="shared" si="1087"/>
        <v>101.21507362428216</v>
      </c>
      <c r="AD1234" s="3262">
        <f t="shared" si="1087"/>
        <v>91.530873631304331</v>
      </c>
      <c r="AE1234" s="3262">
        <f t="shared" si="1087"/>
        <v>88.955318359529727</v>
      </c>
      <c r="AF1234" s="3262">
        <f t="shared" si="1087"/>
        <v>108.49206218850759</v>
      </c>
      <c r="AG1234" s="3262">
        <f t="shared" si="1087"/>
        <v>129.86241864783088</v>
      </c>
      <c r="AH1234" s="3262">
        <f t="shared" si="1087"/>
        <v>128.94954164846857</v>
      </c>
      <c r="AI1234" s="3262">
        <f t="shared" si="1087"/>
        <v>143.0957885931019</v>
      </c>
      <c r="AJ1234" s="3262">
        <f t="shared" si="1087"/>
        <v>149.60155068850142</v>
      </c>
      <c r="AK1234" s="3262">
        <f t="shared" si="1087"/>
        <v>160.11627594173112</v>
      </c>
      <c r="AL1234" s="3262">
        <f t="shared" si="1087"/>
        <v>168.72250323301466</v>
      </c>
      <c r="AM1234" s="3262">
        <f t="shared" si="1087"/>
        <v>176.2076007230522</v>
      </c>
      <c r="AN1234" s="3262">
        <f t="shared" si="1087"/>
        <v>182.83211741154929</v>
      </c>
      <c r="AO1234" s="1955">
        <f t="shared" si="1087"/>
        <v>189.32519157268263</v>
      </c>
      <c r="AP1234" s="1955">
        <f t="shared" si="1087"/>
        <v>196.13687121283292</v>
      </c>
      <c r="AQ1234" s="1955">
        <f t="shared" si="1087"/>
        <v>203.21754870083365</v>
      </c>
      <c r="AR1234" s="1955">
        <f t="shared" si="1087"/>
        <v>210.58357454375715</v>
      </c>
      <c r="AS1234" s="1955">
        <f t="shared" si="1087"/>
        <v>218.25234073532394</v>
      </c>
      <c r="AT1234" s="1955">
        <f t="shared" si="1087"/>
        <v>226.24233585368151</v>
      </c>
    </row>
    <row r="1235" spans="4:46">
      <c r="D1235" s="1128" t="str">
        <f>+D194</f>
        <v xml:space="preserve">   idem of goods and services</v>
      </c>
      <c r="E1235" s="3113"/>
      <c r="F1235" s="1123"/>
      <c r="G1235" s="1123"/>
      <c r="H1235" s="1123"/>
      <c r="I1235" s="1123"/>
      <c r="J1235" s="1137">
        <f t="shared" ref="J1235:AT1235" si="1088">+J194</f>
        <v>0</v>
      </c>
      <c r="K1235" s="1137">
        <f t="shared" si="1088"/>
        <v>0</v>
      </c>
      <c r="L1235" s="1137">
        <f t="shared" si="1088"/>
        <v>0</v>
      </c>
      <c r="M1235" s="1137">
        <f t="shared" si="1088"/>
        <v>0</v>
      </c>
      <c r="N1235" s="1137">
        <f t="shared" si="1088"/>
        <v>0</v>
      </c>
      <c r="O1235" s="1137">
        <f t="shared" si="1088"/>
        <v>0</v>
      </c>
      <c r="P1235" s="1130">
        <f t="shared" si="1088"/>
        <v>23.423562367931893</v>
      </c>
      <c r="Q1235" s="1130">
        <f t="shared" si="1088"/>
        <v>21.451921473470556</v>
      </c>
      <c r="R1235" s="1130">
        <f t="shared" si="1088"/>
        <v>22.100625145325651</v>
      </c>
      <c r="S1235" s="1130">
        <f t="shared" si="1088"/>
        <v>25.742197608460451</v>
      </c>
      <c r="T1235" s="1130">
        <f t="shared" si="1088"/>
        <v>25.752432659448964</v>
      </c>
      <c r="U1235" s="1130">
        <f t="shared" si="1088"/>
        <v>29.049106265291787</v>
      </c>
      <c r="V1235" s="1130">
        <f t="shared" si="1088"/>
        <v>31.536404161451944</v>
      </c>
      <c r="W1235" s="1130">
        <f t="shared" si="1088"/>
        <v>32.785565963317659</v>
      </c>
      <c r="X1235" s="1130">
        <f t="shared" si="1088"/>
        <v>33.272262981884808</v>
      </c>
      <c r="Y1235" s="1130">
        <f t="shared" si="1088"/>
        <v>35.457106059667666</v>
      </c>
      <c r="Z1235" s="1130">
        <f t="shared" si="1088"/>
        <v>34.808805209539358</v>
      </c>
      <c r="AA1235" s="1130">
        <f t="shared" si="1088"/>
        <v>36.701781546269181</v>
      </c>
      <c r="AB1235" s="1130">
        <f t="shared" si="1088"/>
        <v>41.246218457112491</v>
      </c>
      <c r="AC1235" s="1130">
        <f t="shared" si="1088"/>
        <v>42.638217708256128</v>
      </c>
      <c r="AD1235" s="3262">
        <f t="shared" si="1088"/>
        <v>41.714448467306738</v>
      </c>
      <c r="AE1235" s="3262">
        <f t="shared" si="1088"/>
        <v>41.283375232495558</v>
      </c>
      <c r="AF1235" s="3262">
        <f t="shared" si="1088"/>
        <v>48.801507120196355</v>
      </c>
      <c r="AG1235" s="3262">
        <f t="shared" si="1088"/>
        <v>57.53446171196601</v>
      </c>
      <c r="AH1235" s="3262">
        <f t="shared" si="1088"/>
        <v>59.824266014006348</v>
      </c>
      <c r="AI1235" s="3262">
        <f t="shared" si="1088"/>
        <v>67.276011988111591</v>
      </c>
      <c r="AJ1235" s="3262">
        <f t="shared" si="1088"/>
        <v>71.29218817919589</v>
      </c>
      <c r="AK1235" s="3262">
        <f t="shared" si="1088"/>
        <v>75.719318163065822</v>
      </c>
      <c r="AL1235" s="3262">
        <f t="shared" si="1088"/>
        <v>79.481501207565003</v>
      </c>
      <c r="AM1235" s="3262">
        <f t="shared" si="1088"/>
        <v>82.881938178346573</v>
      </c>
      <c r="AN1235" s="3262">
        <f t="shared" si="1088"/>
        <v>85.998671851679589</v>
      </c>
      <c r="AO1235" s="1955">
        <f t="shared" si="1088"/>
        <v>89.096798218669932</v>
      </c>
      <c r="AP1235" s="1955">
        <f t="shared" si="1088"/>
        <v>92.33240214605776</v>
      </c>
      <c r="AQ1235" s="1955">
        <f t="shared" si="1088"/>
        <v>95.692226969399258</v>
      </c>
      <c r="AR1235" s="1955">
        <f t="shared" si="1088"/>
        <v>99.1828582062181</v>
      </c>
      <c r="AS1235" s="1955">
        <f t="shared" si="1088"/>
        <v>102.81131952636069</v>
      </c>
      <c r="AT1235" s="1955">
        <f t="shared" si="1088"/>
        <v>106.58510403426328</v>
      </c>
    </row>
    <row r="1236" spans="4:46">
      <c r="D1236" s="1128" t="str">
        <f>+D195</f>
        <v>Import price index in Frw goods fob</v>
      </c>
      <c r="E1236" s="3113"/>
      <c r="F1236" s="1123"/>
      <c r="G1236" s="1123"/>
      <c r="H1236" s="1123"/>
      <c r="I1236" s="1123"/>
      <c r="J1236" s="1130">
        <f t="shared" ref="J1236:AT1236" si="1089">+J195</f>
        <v>18.277352054937303</v>
      </c>
      <c r="K1236" s="1130">
        <f t="shared" si="1089"/>
        <v>17.933002773930962</v>
      </c>
      <c r="L1236" s="1130">
        <f t="shared" si="1089"/>
        <v>14.265313802916161</v>
      </c>
      <c r="M1236" s="1130">
        <f t="shared" si="1089"/>
        <v>13.658181498653452</v>
      </c>
      <c r="N1236" s="1130">
        <f t="shared" si="1089"/>
        <v>16.514773949524432</v>
      </c>
      <c r="O1236" s="1130">
        <f t="shared" si="1089"/>
        <v>18.445530306400467</v>
      </c>
      <c r="P1236" s="1130">
        <f t="shared" si="1089"/>
        <v>18.383001055681891</v>
      </c>
      <c r="Q1236" s="1130">
        <f t="shared" si="1089"/>
        <v>17.867165638271853</v>
      </c>
      <c r="R1236" s="1130">
        <f t="shared" si="1089"/>
        <v>17.84790745697843</v>
      </c>
      <c r="S1236" s="1130">
        <f t="shared" si="1089"/>
        <v>22.719973724364383</v>
      </c>
      <c r="T1236" s="1130">
        <f t="shared" si="1089"/>
        <v>21.393516076634093</v>
      </c>
      <c r="U1236" s="1130">
        <f t="shared" si="1089"/>
        <v>23.549433559216105</v>
      </c>
      <c r="V1236" s="1130">
        <f t="shared" si="1089"/>
        <v>28.528961767941674</v>
      </c>
      <c r="W1236" s="1130">
        <f t="shared" si="1089"/>
        <v>28.045661317427854</v>
      </c>
      <c r="X1236" s="1130">
        <f t="shared" si="1089"/>
        <v>30.403542366495572</v>
      </c>
      <c r="Y1236" s="1130">
        <f t="shared" si="1089"/>
        <v>32.615482330634009</v>
      </c>
      <c r="Z1236" s="1130">
        <f t="shared" si="1089"/>
        <v>29.626229303200642</v>
      </c>
      <c r="AA1236" s="1130">
        <f t="shared" si="1089"/>
        <v>32.927095960258562</v>
      </c>
      <c r="AB1236" s="1130">
        <f t="shared" si="1089"/>
        <v>32.566220903436154</v>
      </c>
      <c r="AC1236" s="1130">
        <f t="shared" si="1089"/>
        <v>33.832120096658393</v>
      </c>
      <c r="AD1236" s="3262">
        <f t="shared" si="1089"/>
        <v>34.762041652581225</v>
      </c>
      <c r="AE1236" s="3262">
        <f t="shared" si="1089"/>
        <v>34.532639885618877</v>
      </c>
      <c r="AF1236" s="3262">
        <f t="shared" si="1089"/>
        <v>39.60289005977301</v>
      </c>
      <c r="AG1236" s="3262">
        <f t="shared" si="1089"/>
        <v>46.935291124351544</v>
      </c>
      <c r="AH1236" s="3262">
        <f t="shared" si="1089"/>
        <v>50.35073750883889</v>
      </c>
      <c r="AI1236" s="3262">
        <f t="shared" si="1089"/>
        <v>53.84422212052732</v>
      </c>
      <c r="AJ1236" s="3262">
        <f t="shared" si="1089"/>
        <v>55.839129131363173</v>
      </c>
      <c r="AK1236" s="3262">
        <f t="shared" si="1089"/>
        <v>57.65882542676971</v>
      </c>
      <c r="AL1236" s="3262">
        <f t="shared" si="1089"/>
        <v>60.038120804330134</v>
      </c>
      <c r="AM1236" s="3262">
        <f t="shared" si="1089"/>
        <v>62.844530098791971</v>
      </c>
      <c r="AN1236" s="3262">
        <f t="shared" si="1089"/>
        <v>65.084613779684418</v>
      </c>
      <c r="AO1236" s="1955">
        <f t="shared" si="1089"/>
        <v>67.100919889388805</v>
      </c>
      <c r="AP1236" s="1955">
        <f t="shared" si="1089"/>
        <v>69.199807458811918</v>
      </c>
      <c r="AQ1236" s="1955">
        <f t="shared" si="1089"/>
        <v>71.338868562699616</v>
      </c>
      <c r="AR1236" s="1955">
        <f t="shared" si="1089"/>
        <v>73.546584736514419</v>
      </c>
      <c r="AS1236" s="1955">
        <f t="shared" si="1089"/>
        <v>75.813840908825526</v>
      </c>
      <c r="AT1236" s="1955">
        <f t="shared" si="1089"/>
        <v>78.15098178060434</v>
      </c>
    </row>
    <row r="1237" spans="4:46">
      <c r="D1237" s="1128" t="str">
        <f>+D196</f>
        <v xml:space="preserve">   idem of goods and services</v>
      </c>
      <c r="E1237" s="3113"/>
      <c r="F1237" s="1123"/>
      <c r="G1237" s="1123"/>
      <c r="H1237" s="1123"/>
      <c r="I1237" s="1123"/>
      <c r="J1237" s="1137">
        <f t="shared" ref="J1237:AT1237" si="1090">+J196</f>
        <v>0</v>
      </c>
      <c r="K1237" s="1137">
        <f t="shared" si="1090"/>
        <v>0</v>
      </c>
      <c r="L1237" s="1137">
        <f t="shared" si="1090"/>
        <v>0</v>
      </c>
      <c r="M1237" s="1137">
        <f t="shared" si="1090"/>
        <v>0</v>
      </c>
      <c r="N1237" s="1137">
        <f t="shared" si="1090"/>
        <v>0</v>
      </c>
      <c r="O1237" s="1137">
        <f t="shared" si="1090"/>
        <v>0</v>
      </c>
      <c r="P1237" s="1130">
        <f t="shared" si="1090"/>
        <v>23.43810393328463</v>
      </c>
      <c r="Q1237" s="1130">
        <f t="shared" si="1090"/>
        <v>23.159102670319861</v>
      </c>
      <c r="R1237" s="1130">
        <f t="shared" si="1090"/>
        <v>23.351516321563931</v>
      </c>
      <c r="S1237" s="1130">
        <f t="shared" si="1090"/>
        <v>27.724282998403538</v>
      </c>
      <c r="T1237" s="1130">
        <f t="shared" si="1090"/>
        <v>26.856396991004242</v>
      </c>
      <c r="U1237" s="1130">
        <f t="shared" si="1090"/>
        <v>29.045445022431501</v>
      </c>
      <c r="V1237" s="1130">
        <f t="shared" si="1090"/>
        <v>33.90665542728707</v>
      </c>
      <c r="W1237" s="1130">
        <f t="shared" si="1090"/>
        <v>33.802451172914743</v>
      </c>
      <c r="X1237" s="1130">
        <f t="shared" si="1090"/>
        <v>36.099426311196005</v>
      </c>
      <c r="Y1237" s="1130">
        <f t="shared" si="1090"/>
        <v>38.507333868976083</v>
      </c>
      <c r="Z1237" s="1130">
        <f t="shared" si="1090"/>
        <v>36.419388455711278</v>
      </c>
      <c r="AA1237" s="1130">
        <f t="shared" si="1090"/>
        <v>39.467862327122766</v>
      </c>
      <c r="AB1237" s="1130">
        <f t="shared" si="1090"/>
        <v>39.967605678056678</v>
      </c>
      <c r="AC1237" s="1130">
        <f t="shared" si="1090"/>
        <v>41.756449171942577</v>
      </c>
      <c r="AD1237" s="3262">
        <f t="shared" si="1090"/>
        <v>43.202355232464619</v>
      </c>
      <c r="AE1237" s="3262">
        <f t="shared" si="1090"/>
        <v>43.09496318236387</v>
      </c>
      <c r="AF1237" s="3262">
        <f t="shared" si="1090"/>
        <v>49.145925841848602</v>
      </c>
      <c r="AG1237" s="3262">
        <f t="shared" si="1090"/>
        <v>57.87504425217567</v>
      </c>
      <c r="AH1237" s="3262">
        <f t="shared" si="1090"/>
        <v>62.553039995530476</v>
      </c>
      <c r="AI1237" s="3262">
        <f t="shared" si="1090"/>
        <v>67.872241847089882</v>
      </c>
      <c r="AJ1237" s="3262">
        <f t="shared" si="1090"/>
        <v>71.028509164486834</v>
      </c>
      <c r="AK1237" s="3262">
        <f t="shared" si="1090"/>
        <v>73.655919892537014</v>
      </c>
      <c r="AL1237" s="3262">
        <f t="shared" si="1090"/>
        <v>76.736952013852104</v>
      </c>
      <c r="AM1237" s="3262">
        <f t="shared" si="1090"/>
        <v>80.205314327654847</v>
      </c>
      <c r="AN1237" s="3262">
        <f t="shared" si="1090"/>
        <v>83.101258679100155</v>
      </c>
      <c r="AO1237" s="1955">
        <f t="shared" si="1090"/>
        <v>85.793124408462276</v>
      </c>
      <c r="AP1237" s="1955">
        <f t="shared" si="1090"/>
        <v>88.593018907825495</v>
      </c>
      <c r="AQ1237" s="1955">
        <f t="shared" si="1090"/>
        <v>91.462295262253164</v>
      </c>
      <c r="AR1237" s="1955">
        <f t="shared" si="1090"/>
        <v>94.430229416143888</v>
      </c>
      <c r="AS1237" s="1955">
        <f t="shared" si="1090"/>
        <v>97.490302115367854</v>
      </c>
      <c r="AT1237" s="1955">
        <f t="shared" si="1090"/>
        <v>100.65366328208096</v>
      </c>
    </row>
    <row r="1238" spans="4:46">
      <c r="D1238" s="1128" t="str">
        <f>+D1026</f>
        <v>Terms of trade (goods,fob)</v>
      </c>
      <c r="E1238" s="3113"/>
      <c r="F1238" s="1123"/>
      <c r="G1238" s="1123"/>
      <c r="H1238" s="1123"/>
      <c r="I1238" s="1123"/>
      <c r="J1238" s="1131">
        <f t="shared" ref="J1238:AM1238" si="1091">+J1026</f>
        <v>2.4784952129584203E-2</v>
      </c>
      <c r="K1238" s="1131">
        <f t="shared" si="1091"/>
        <v>0.31291968375692192</v>
      </c>
      <c r="L1238" s="1131">
        <f t="shared" si="1091"/>
        <v>0.43322706143445999</v>
      </c>
      <c r="M1238" s="1131">
        <f t="shared" si="1091"/>
        <v>-0.13377956936084023</v>
      </c>
      <c r="N1238" s="1131">
        <f t="shared" si="1091"/>
        <v>-3.5622058248174771E-3</v>
      </c>
      <c r="O1238" s="1131">
        <f t="shared" si="1091"/>
        <v>0.18240425129419657</v>
      </c>
      <c r="P1238" s="1131">
        <f t="shared" si="1091"/>
        <v>9.779012941164833E-2</v>
      </c>
      <c r="Q1238" s="1131">
        <f t="shared" si="1091"/>
        <v>-0.1591025659835047</v>
      </c>
      <c r="R1238" s="1131">
        <f t="shared" si="1091"/>
        <v>3.8926087426289557E-2</v>
      </c>
      <c r="S1238" s="1131">
        <f t="shared" si="1091"/>
        <v>3.2933180038670962E-2</v>
      </c>
      <c r="T1238" s="1131">
        <f t="shared" si="1091"/>
        <v>2.6311489290333112E-2</v>
      </c>
      <c r="U1238" s="1131">
        <f t="shared" si="1091"/>
        <v>0.16806314046114501</v>
      </c>
      <c r="V1238" s="1131">
        <f t="shared" si="1091"/>
        <v>-9.3783492489642795E-2</v>
      </c>
      <c r="W1238" s="1131">
        <f t="shared" si="1091"/>
        <v>4.8374974681981486E-2</v>
      </c>
      <c r="X1238" s="1131">
        <f t="shared" si="1091"/>
        <v>-7.0988596635797041E-2</v>
      </c>
      <c r="Y1238" s="1131">
        <f t="shared" si="1091"/>
        <v>8.9487884857073485E-3</v>
      </c>
      <c r="Z1238" s="1131">
        <f t="shared" si="1091"/>
        <v>2.5184044456459054E-2</v>
      </c>
      <c r="AA1238" s="1131">
        <f t="shared" si="1091"/>
        <v>-3.2645740144299107E-2</v>
      </c>
      <c r="AB1238" s="1131">
        <f t="shared" si="1091"/>
        <v>0.21343453133551105</v>
      </c>
      <c r="AC1238" s="1131">
        <f t="shared" si="1091"/>
        <v>-2.5720990293040313E-2</v>
      </c>
      <c r="AD1238" s="3263">
        <f t="shared" si="1091"/>
        <v>-0.11987096089819005</v>
      </c>
      <c r="AE1238" s="3263">
        <f t="shared" si="1091"/>
        <v>-2.1682535118996871E-2</v>
      </c>
      <c r="AF1238" s="3263">
        <f t="shared" si="1091"/>
        <v>6.3479066110860183E-2</v>
      </c>
      <c r="AG1238" s="3263">
        <f t="shared" si="1091"/>
        <v>9.9802635457215683E-3</v>
      </c>
      <c r="AH1238" s="3263">
        <f t="shared" si="1091"/>
        <v>-7.4385828244732055E-2</v>
      </c>
      <c r="AI1238" s="3263">
        <f t="shared" si="1091"/>
        <v>3.7704687839724693E-2</v>
      </c>
      <c r="AJ1238" s="3263">
        <f t="shared" si="1091"/>
        <v>8.114156997305999E-3</v>
      </c>
      <c r="AK1238" s="3263">
        <f t="shared" si="1091"/>
        <v>3.6506978995197503E-2</v>
      </c>
      <c r="AL1238" s="3263">
        <f t="shared" si="1091"/>
        <v>1.1990021714298527E-2</v>
      </c>
      <c r="AM1238" s="3263">
        <f t="shared" si="1091"/>
        <v>-2.2741264297466701E-3</v>
      </c>
      <c r="AN1238" s="3263">
        <f t="shared" ref="AN1238:AT1238" si="1092">+AN1026</f>
        <v>1.8829881012849548E-3</v>
      </c>
      <c r="AO1238" s="1956">
        <f t="shared" si="1092"/>
        <v>4.3978492590697194E-3</v>
      </c>
      <c r="AP1238" s="1956">
        <f t="shared" si="1092"/>
        <v>4.5566340697247298E-3</v>
      </c>
      <c r="AQ1238" s="1956">
        <f t="shared" si="1092"/>
        <v>5.0337227033776522E-3</v>
      </c>
      <c r="AR1238" s="1956">
        <f t="shared" si="1092"/>
        <v>5.1410078382903013E-3</v>
      </c>
      <c r="AS1238" s="1956">
        <f t="shared" si="1092"/>
        <v>5.4221009780424101E-3</v>
      </c>
      <c r="AT1238" s="1956">
        <f t="shared" si="1092"/>
        <v>5.6087120659835676E-3</v>
      </c>
    </row>
    <row r="1239" spans="4:46">
      <c r="D1239" s="1132" t="s">
        <v>869</v>
      </c>
      <c r="E1239" s="3113" t="str">
        <f>+E1230</f>
        <v>fr REAL OUTPUT</v>
      </c>
      <c r="F1239" s="1123"/>
      <c r="G1239" s="1123"/>
      <c r="H1239" s="1123"/>
      <c r="I1239" s="1123"/>
      <c r="J1239" s="1123"/>
      <c r="K1239" s="1123"/>
      <c r="L1239" s="1123"/>
      <c r="M1239" s="1123"/>
      <c r="N1239" s="1123"/>
      <c r="O1239" s="1123"/>
      <c r="P1239" s="1123"/>
      <c r="Q1239" s="1123"/>
      <c r="R1239" s="1123"/>
      <c r="S1239" s="1123"/>
      <c r="T1239" s="1123"/>
      <c r="U1239" s="1123"/>
      <c r="V1239" s="1123"/>
      <c r="W1239" s="1123"/>
      <c r="X1239" s="1123"/>
      <c r="Y1239" s="1123"/>
      <c r="Z1239" s="1123"/>
      <c r="AA1239" s="1123"/>
      <c r="AB1239" s="1123"/>
      <c r="AC1239" s="1123"/>
      <c r="AD1239" s="1127"/>
      <c r="AE1239" s="1127"/>
      <c r="AF1239" s="1127"/>
      <c r="AG1239" s="1127"/>
      <c r="AH1239" s="1127"/>
      <c r="AI1239" s="1127"/>
      <c r="AJ1239" s="1127"/>
      <c r="AK1239" s="1127"/>
      <c r="AL1239" s="1127"/>
      <c r="AM1239" s="1127"/>
      <c r="AN1239" s="1127"/>
      <c r="AO1239" s="1953"/>
      <c r="AP1239" s="1953"/>
      <c r="AQ1239" s="1953"/>
      <c r="AR1239" s="1953"/>
      <c r="AS1239" s="1953"/>
      <c r="AT1239" s="1953"/>
    </row>
    <row r="1240" spans="4:46">
      <c r="D1240" s="1128" t="s">
        <v>1654</v>
      </c>
      <c r="E1240" s="3113"/>
      <c r="F1240" s="1123"/>
      <c r="G1240" s="1123"/>
      <c r="H1240" s="1123"/>
      <c r="I1240" s="1123"/>
      <c r="J1240" s="1133">
        <f t="shared" ref="J1240:AM1240" si="1093">+J833</f>
        <v>2065</v>
      </c>
      <c r="K1240" s="1133">
        <f t="shared" si="1093"/>
        <v>2238</v>
      </c>
      <c r="L1240" s="1133">
        <f t="shared" si="1093"/>
        <v>2428</v>
      </c>
      <c r="M1240" s="1133">
        <f t="shared" si="1093"/>
        <v>2748</v>
      </c>
      <c r="N1240" s="1133">
        <f t="shared" si="1093"/>
        <v>2809</v>
      </c>
      <c r="O1240" s="1133">
        <f t="shared" si="1093"/>
        <v>3018</v>
      </c>
      <c r="P1240" s="1133">
        <f t="shared" si="1093"/>
        <v>3301</v>
      </c>
      <c r="Q1240" s="1133">
        <f t="shared" si="1093"/>
        <v>5869</v>
      </c>
      <c r="R1240" s="1133">
        <f t="shared" si="1093"/>
        <v>6316</v>
      </c>
      <c r="S1240" s="1133">
        <f t="shared" si="1093"/>
        <v>7021</v>
      </c>
      <c r="T1240" s="1133">
        <f t="shared" si="1093"/>
        <v>7460</v>
      </c>
      <c r="U1240" s="1133">
        <f t="shared" si="1093"/>
        <v>8006</v>
      </c>
      <c r="V1240" s="1133">
        <f t="shared" si="1093"/>
        <v>8644</v>
      </c>
      <c r="W1240" s="1133">
        <f t="shared" si="1093"/>
        <v>9390</v>
      </c>
      <c r="X1240" s="1133">
        <f t="shared" si="1093"/>
        <v>14501</v>
      </c>
      <c r="Y1240" s="1133">
        <f t="shared" si="1093"/>
        <v>10392</v>
      </c>
      <c r="Z1240" s="1133">
        <f t="shared" si="1093"/>
        <v>11314</v>
      </c>
      <c r="AA1240" s="1133">
        <f t="shared" si="1093"/>
        <v>11954</v>
      </c>
      <c r="AB1240" s="1133">
        <f t="shared" si="1093"/>
        <v>12517</v>
      </c>
      <c r="AC1240" s="1133">
        <f t="shared" si="1093"/>
        <v>13527</v>
      </c>
      <c r="AD1240" s="3264">
        <f t="shared" si="1093"/>
        <v>14782</v>
      </c>
      <c r="AE1240" s="3264">
        <f t="shared" si="1093"/>
        <v>10751</v>
      </c>
      <c r="AF1240" s="3264">
        <f t="shared" si="1093"/>
        <v>15581</v>
      </c>
      <c r="AG1240" s="3264">
        <f t="shared" si="1093"/>
        <v>17111</v>
      </c>
      <c r="AH1240" s="3264">
        <f t="shared" si="1093"/>
        <v>18576</v>
      </c>
      <c r="AI1240" s="3264">
        <f t="shared" si="1093"/>
        <v>19917</v>
      </c>
      <c r="AJ1240" s="3264">
        <f t="shared" si="1093"/>
        <v>21466.193430623131</v>
      </c>
      <c r="AK1240" s="3264">
        <f t="shared" si="1093"/>
        <v>23261.296031387188</v>
      </c>
      <c r="AL1240" s="3264">
        <f t="shared" si="1093"/>
        <v>25341.974166436408</v>
      </c>
      <c r="AM1240" s="3264">
        <f t="shared" si="1093"/>
        <v>27492.822499158967</v>
      </c>
      <c r="AN1240" s="3264">
        <f t="shared" ref="AN1240:AT1240" si="1094">+AN833</f>
        <v>29674.327119907597</v>
      </c>
      <c r="AO1240" s="1957">
        <f t="shared" si="1094"/>
        <v>32154.119327666092</v>
      </c>
      <c r="AP1240" s="1957">
        <f t="shared" si="1094"/>
        <v>34918.940057613378</v>
      </c>
      <c r="AQ1240" s="1957">
        <f t="shared" si="1094"/>
        <v>37950.455950119424</v>
      </c>
      <c r="AR1240" s="1957">
        <f t="shared" si="1094"/>
        <v>41338.872433839286</v>
      </c>
      <c r="AS1240" s="1957">
        <f t="shared" si="1094"/>
        <v>45108.390091671419</v>
      </c>
      <c r="AT1240" s="1957">
        <f t="shared" si="1094"/>
        <v>49418.223936950606</v>
      </c>
    </row>
    <row r="1241" spans="4:46">
      <c r="D1241" s="1128" t="str">
        <f>+D1077</f>
        <v>Growth rate (YOY % change)</v>
      </c>
      <c r="E1241" s="3114"/>
      <c r="F1241" s="1131">
        <f t="shared" ref="F1241:U1241" si="1095">+F1021</f>
        <v>0</v>
      </c>
      <c r="G1241" s="1131">
        <f t="shared" si="1095"/>
        <v>0</v>
      </c>
      <c r="H1241" s="1131">
        <f t="shared" si="1095"/>
        <v>0</v>
      </c>
      <c r="I1241" s="1131">
        <f t="shared" si="1095"/>
        <v>0</v>
      </c>
      <c r="J1241" s="1131">
        <f t="shared" si="1095"/>
        <v>0</v>
      </c>
      <c r="K1241" s="1131">
        <f t="shared" si="1095"/>
        <v>8.4000000000000005E-2</v>
      </c>
      <c r="L1241" s="1131">
        <f t="shared" si="1095"/>
        <v>8.5000000000000006E-2</v>
      </c>
      <c r="M1241" s="1131">
        <f t="shared" si="1095"/>
        <v>0.13200000000000001</v>
      </c>
      <c r="N1241" s="1131">
        <f t="shared" si="1095"/>
        <v>2.1999999999999999E-2</v>
      </c>
      <c r="O1241" s="1131">
        <f t="shared" si="1095"/>
        <v>7.3999999999999996E-2</v>
      </c>
      <c r="P1241" s="1131">
        <f t="shared" si="1095"/>
        <v>9.4E-2</v>
      </c>
      <c r="Q1241" s="1131">
        <f t="shared" si="1095"/>
        <v>9.1999999999999998E-2</v>
      </c>
      <c r="R1241" s="1131">
        <f t="shared" si="1095"/>
        <v>7.5999999999999998E-2</v>
      </c>
      <c r="S1241" s="1131">
        <f t="shared" si="1095"/>
        <v>0.112</v>
      </c>
      <c r="T1241" s="1131">
        <f t="shared" si="1095"/>
        <v>6.2E-2</v>
      </c>
      <c r="U1241" s="1131">
        <f t="shared" si="1095"/>
        <v>7.2999999999999995E-2</v>
      </c>
      <c r="V1241" s="1131">
        <f>+V1021</f>
        <v>0.08</v>
      </c>
      <c r="W1241" s="1131">
        <f t="shared" ref="W1241:AT1241" si="1096">+W1021</f>
        <v>8.6302637667746485E-2</v>
      </c>
      <c r="X1241" s="1131">
        <f t="shared" si="1096"/>
        <v>0.54430244941427053</v>
      </c>
      <c r="Y1241" s="1131">
        <f t="shared" si="1096"/>
        <v>-0.28335976829184195</v>
      </c>
      <c r="Z1241" s="1131">
        <f t="shared" si="1096"/>
        <v>8.8722093918398803E-2</v>
      </c>
      <c r="AA1241" s="1131">
        <f t="shared" si="1096"/>
        <v>5.65670850273996E-2</v>
      </c>
      <c r="AB1241" s="1131">
        <f t="shared" si="1096"/>
        <v>4.70972059561654E-2</v>
      </c>
      <c r="AC1241" s="1131">
        <f t="shared" si="1096"/>
        <v>8.0690261244707129E-2</v>
      </c>
      <c r="AD1241" s="3263">
        <f t="shared" si="1096"/>
        <v>9.2777408146669682E-2</v>
      </c>
      <c r="AE1241" s="3263">
        <f t="shared" si="1096"/>
        <v>-0.27269652279799761</v>
      </c>
      <c r="AF1241" s="3263">
        <f t="shared" si="1096"/>
        <v>0.44926053390382292</v>
      </c>
      <c r="AG1241" s="3263">
        <f t="shared" si="1096"/>
        <v>9.8196521404274373E-2</v>
      </c>
      <c r="AH1241" s="3263">
        <f t="shared" si="1096"/>
        <v>8.5617439074279655E-2</v>
      </c>
      <c r="AI1241" s="3263">
        <f t="shared" si="1096"/>
        <v>7.2189922480620172E-2</v>
      </c>
      <c r="AJ1241" s="3263">
        <f t="shared" si="1096"/>
        <v>7.7782468776579336E-2</v>
      </c>
      <c r="AK1241" s="3263">
        <f t="shared" si="1096"/>
        <v>8.3624635479302517E-2</v>
      </c>
      <c r="AL1241" s="3263">
        <f t="shared" si="1096"/>
        <v>8.9448074270741265E-2</v>
      </c>
      <c r="AM1241" s="3263">
        <f t="shared" si="1096"/>
        <v>8.4872958933530918E-2</v>
      </c>
      <c r="AN1241" s="3263">
        <f t="shared" si="1096"/>
        <v>7.9348150624235281E-2</v>
      </c>
      <c r="AO1241" s="1956">
        <f t="shared" si="1096"/>
        <v>8.3566922941106181E-2</v>
      </c>
      <c r="AP1241" s="1956">
        <f t="shared" si="1096"/>
        <v>8.5986517054702047E-2</v>
      </c>
      <c r="AQ1241" s="1956">
        <f t="shared" si="1096"/>
        <v>8.6815805047469774E-2</v>
      </c>
      <c r="AR1241" s="1956">
        <f t="shared" si="1096"/>
        <v>8.9285264139473394E-2</v>
      </c>
      <c r="AS1241" s="1956">
        <f t="shared" si="1096"/>
        <v>9.1185787998089463E-2</v>
      </c>
      <c r="AT1241" s="1956">
        <f t="shared" si="1096"/>
        <v>9.5543951724292031E-2</v>
      </c>
    </row>
    <row r="1242" spans="4:46">
      <c r="D1242" s="1131" t="str">
        <f>+D1079</f>
        <v>Real per capita GDP (YOY % change)</v>
      </c>
      <c r="E1242" s="3114"/>
      <c r="F1242" s="1131">
        <f t="shared" ref="F1242:U1242" si="1097">+F1079</f>
        <v>0</v>
      </c>
      <c r="G1242" s="1131">
        <f t="shared" si="1097"/>
        <v>0</v>
      </c>
      <c r="H1242" s="1131">
        <f t="shared" si="1097"/>
        <v>0</v>
      </c>
      <c r="I1242" s="1131">
        <f t="shared" si="1097"/>
        <v>0</v>
      </c>
      <c r="J1242" s="1131">
        <f t="shared" si="1097"/>
        <v>0</v>
      </c>
      <c r="K1242" s="1131">
        <f t="shared" si="1097"/>
        <v>5.5844155844156029E-2</v>
      </c>
      <c r="L1242" s="1131">
        <f t="shared" si="1097"/>
        <v>5.7531645569620204E-2</v>
      </c>
      <c r="M1242" s="1131">
        <f t="shared" si="1097"/>
        <v>0.10404938271604958</v>
      </c>
      <c r="N1242" s="1131">
        <f t="shared" si="1097"/>
        <v>-2.62650602409642E-3</v>
      </c>
      <c r="O1242" s="1131">
        <f t="shared" si="1097"/>
        <v>3.65348837209305E-2</v>
      </c>
      <c r="P1242" s="1131">
        <f t="shared" si="1097"/>
        <v>6.9136363636363773E-2</v>
      </c>
      <c r="Q1242" s="1131">
        <f t="shared" si="1097"/>
        <v>6.7733333333333423E-2</v>
      </c>
      <c r="R1242" s="1131">
        <f t="shared" si="1097"/>
        <v>5.2608695652174076E-2</v>
      </c>
      <c r="S1242" s="1131">
        <f t="shared" si="1097"/>
        <v>7.6884210526315666E-2</v>
      </c>
      <c r="T1242" s="1131">
        <f t="shared" si="1097"/>
        <v>4.0103092783505323E-2</v>
      </c>
      <c r="U1242" s="1131">
        <f t="shared" si="1097"/>
        <v>4.0809999999999791E-2</v>
      </c>
      <c r="V1242" s="1131">
        <f>+V1079</f>
        <v>5.8823529411764719E-2</v>
      </c>
      <c r="W1242" s="1131">
        <f t="shared" ref="W1242:AT1242" si="1098">+W1079</f>
        <v>5.5265419448667918E-2</v>
      </c>
      <c r="X1242" s="1131">
        <f t="shared" si="1098"/>
        <v>0.51543698307007868</v>
      </c>
      <c r="Y1242" s="1131">
        <f t="shared" si="1098"/>
        <v>-0.30290450188388274</v>
      </c>
      <c r="Z1242" s="1131">
        <f t="shared" si="1098"/>
        <v>5.9817967531184513E-2</v>
      </c>
      <c r="AA1242" s="1131">
        <f t="shared" si="1098"/>
        <v>3.8192005287792652E-2</v>
      </c>
      <c r="AB1242" s="1131">
        <f t="shared" si="1098"/>
        <v>2.0476090550500148E-2</v>
      </c>
      <c r="AC1242" s="1131">
        <f t="shared" si="1098"/>
        <v>5.3896287825417E-2</v>
      </c>
      <c r="AD1242" s="3263">
        <f t="shared" si="1098"/>
        <v>6.6339245046346917E-2</v>
      </c>
      <c r="AE1242" s="3263">
        <f t="shared" si="1098"/>
        <v>-0.2898769198972575</v>
      </c>
      <c r="AF1242" s="3263">
        <f t="shared" si="1098"/>
        <v>0.415816060044504</v>
      </c>
      <c r="AG1242" s="3263">
        <f t="shared" si="1098"/>
        <v>8.100594903126046E-2</v>
      </c>
      <c r="AH1242" s="3263">
        <f t="shared" si="1098"/>
        <v>6.2060950794812886E-2</v>
      </c>
      <c r="AI1242" s="3263">
        <f t="shared" si="1098"/>
        <v>4.8964099963397567E-2</v>
      </c>
      <c r="AJ1242" s="3263">
        <f t="shared" si="1098"/>
        <v>5.4369659204700271E-2</v>
      </c>
      <c r="AK1242" s="3263">
        <f t="shared" si="1098"/>
        <v>6.0086963792729264E-2</v>
      </c>
      <c r="AL1242" s="3263">
        <f t="shared" si="1098"/>
        <v>6.5818311237185068E-2</v>
      </c>
      <c r="AM1242" s="3263">
        <f t="shared" si="1098"/>
        <v>6.140640302008471E-2</v>
      </c>
      <c r="AN1242" s="3263">
        <f t="shared" si="1098"/>
        <v>5.6093144533501782E-2</v>
      </c>
      <c r="AO1242" s="1956">
        <f t="shared" si="1098"/>
        <v>6.0336457934983878E-2</v>
      </c>
      <c r="AP1242" s="1956">
        <f t="shared" si="1098"/>
        <v>6.2838215507635464E-2</v>
      </c>
      <c r="AQ1242" s="1956">
        <f t="shared" si="1098"/>
        <v>6.3800851131024849E-2</v>
      </c>
      <c r="AR1242" s="1956">
        <f t="shared" si="1098"/>
        <v>6.6387278988134346E-2</v>
      </c>
      <c r="AS1242" s="1956">
        <f t="shared" si="1098"/>
        <v>6.8436471446300828E-2</v>
      </c>
      <c r="AT1242" s="1956">
        <f t="shared" si="1098"/>
        <v>7.2916937586820385E-2</v>
      </c>
    </row>
    <row r="1243" spans="4:46">
      <c r="D1243" s="1131" t="str">
        <f>+D1080</f>
        <v>Gross National Income (GNI), (Million USD, current prices)</v>
      </c>
      <c r="E1243" s="3113"/>
      <c r="F1243" s="1123"/>
      <c r="G1243" s="1123"/>
      <c r="H1243" s="1123"/>
      <c r="I1243" s="1123"/>
      <c r="J1243" s="1134">
        <f t="shared" ref="J1243:AM1243" si="1099">+J1080</f>
        <v>2144.6914938712453</v>
      </c>
      <c r="K1243" s="1134">
        <f t="shared" si="1099"/>
        <v>2048.6737135848493</v>
      </c>
      <c r="L1243" s="1134">
        <f t="shared" si="1099"/>
        <v>1943.6909422346071</v>
      </c>
      <c r="M1243" s="1134">
        <f t="shared" si="1099"/>
        <v>1945.7549923156444</v>
      </c>
      <c r="N1243" s="1134">
        <f t="shared" si="1099"/>
        <v>2106.5256191269441</v>
      </c>
      <c r="O1243" s="1134">
        <f t="shared" si="1099"/>
        <v>2342.3127341325903</v>
      </c>
      <c r="P1243" s="1134">
        <f t="shared" si="1099"/>
        <v>2903.6592331324223</v>
      </c>
      <c r="Q1243" s="1134">
        <f t="shared" si="1099"/>
        <v>3244.0135728033611</v>
      </c>
      <c r="R1243" s="1134">
        <f t="shared" si="1099"/>
        <v>3999.5656773798996</v>
      </c>
      <c r="S1243" s="1134">
        <f t="shared" si="1099"/>
        <v>5081.411457407311</v>
      </c>
      <c r="T1243" s="1134">
        <f t="shared" si="1099"/>
        <v>5567.8254292242309</v>
      </c>
      <c r="U1243" s="1134">
        <f t="shared" si="1099"/>
        <v>6013.0193628561028</v>
      </c>
      <c r="V1243" s="1134">
        <f t="shared" si="1099"/>
        <v>6753.2084869666787</v>
      </c>
      <c r="W1243" s="1134">
        <f t="shared" si="1099"/>
        <v>7437.3513088202735</v>
      </c>
      <c r="X1243" s="1134">
        <f t="shared" si="1099"/>
        <v>14736.412649290956</v>
      </c>
      <c r="Y1243" s="1134">
        <f t="shared" si="1099"/>
        <v>7947.0834105439362</v>
      </c>
      <c r="Z1243" s="1134">
        <f t="shared" si="1099"/>
        <v>8327.5439528179249</v>
      </c>
      <c r="AA1243" s="1134">
        <f t="shared" si="1099"/>
        <v>8295.4830372087854</v>
      </c>
      <c r="AB1243" s="1134">
        <f t="shared" si="1099"/>
        <v>8889.9412534425865</v>
      </c>
      <c r="AC1243" s="1134">
        <f t="shared" si="1099"/>
        <v>9321.30359035119</v>
      </c>
      <c r="AD1243" s="3265">
        <f t="shared" si="1099"/>
        <v>10173.262070201161</v>
      </c>
      <c r="AE1243" s="3265">
        <f t="shared" si="1099"/>
        <v>7731.1901171209065</v>
      </c>
      <c r="AF1243" s="3265">
        <f t="shared" si="1099"/>
        <v>11052.872095610417</v>
      </c>
      <c r="AG1243" s="3265">
        <f t="shared" si="1099"/>
        <v>13462.295112843392</v>
      </c>
      <c r="AH1243" s="3265">
        <f t="shared" si="1099"/>
        <v>14409.281201726384</v>
      </c>
      <c r="AI1243" s="3265">
        <f t="shared" si="1099"/>
        <v>14712.846564146083</v>
      </c>
      <c r="AJ1243" s="3265">
        <f t="shared" si="1099"/>
        <v>15681.397117005421</v>
      </c>
      <c r="AK1243" s="3265">
        <f t="shared" si="1099"/>
        <v>17778.589801805068</v>
      </c>
      <c r="AL1243" s="3265">
        <f t="shared" si="1099"/>
        <v>19295.2407022146</v>
      </c>
      <c r="AM1243" s="3265">
        <f t="shared" si="1099"/>
        <v>21095.701565718999</v>
      </c>
      <c r="AN1243" s="3265">
        <f t="shared" ref="AN1243:AT1243" si="1100">+AN1080</f>
        <v>23321.688964703822</v>
      </c>
      <c r="AO1243" s="1958">
        <f t="shared" si="1100"/>
        <v>25932.216337597209</v>
      </c>
      <c r="AP1243" s="1958">
        <f t="shared" si="1100"/>
        <v>28915.837611162038</v>
      </c>
      <c r="AQ1243" s="1958">
        <f t="shared" si="1100"/>
        <v>32237.589932743012</v>
      </c>
      <c r="AR1243" s="1958">
        <f t="shared" si="1100"/>
        <v>36014.983188607323</v>
      </c>
      <c r="AS1243" s="1958">
        <f t="shared" si="1100"/>
        <v>40212.70408085177</v>
      </c>
      <c r="AT1243" s="1958">
        <f t="shared" si="1100"/>
        <v>44938.435640009942</v>
      </c>
    </row>
    <row r="1244" spans="4:46">
      <c r="D1244" s="1131" t="s">
        <v>899</v>
      </c>
      <c r="E1244" s="3113"/>
      <c r="F1244" s="1123"/>
      <c r="G1244" s="1123"/>
      <c r="H1244" s="1123"/>
      <c r="I1244" s="1123"/>
      <c r="J1244" s="1134">
        <f t="shared" ref="J1244:AC1244" si="1101">+J198*J266/1000/(J784/100)</f>
        <v>-10.85026858717309</v>
      </c>
      <c r="K1244" s="1134">
        <f t="shared" si="1101"/>
        <v>-21.221123976481508</v>
      </c>
      <c r="L1244" s="1134">
        <f t="shared" si="1101"/>
        <v>-27.668535233680583</v>
      </c>
      <c r="M1244" s="1134">
        <f t="shared" si="1101"/>
        <v>-26.634434863970604</v>
      </c>
      <c r="N1244" s="1134">
        <f t="shared" si="1101"/>
        <v>-40.03902529955721</v>
      </c>
      <c r="O1244" s="1134">
        <f t="shared" si="1101"/>
        <v>-43.186474492561679</v>
      </c>
      <c r="P1244" s="1134">
        <f t="shared" si="1101"/>
        <v>-32.546277326721629</v>
      </c>
      <c r="Q1244" s="1134">
        <f t="shared" si="1101"/>
        <v>-53.259640691151709</v>
      </c>
      <c r="R1244" s="1134">
        <f t="shared" si="1101"/>
        <v>-27.100877492595234</v>
      </c>
      <c r="S1244" s="1134">
        <f t="shared" si="1101"/>
        <v>-50.592471896564213</v>
      </c>
      <c r="T1244" s="1134">
        <f t="shared" si="1101"/>
        <v>-48.909421062181345</v>
      </c>
      <c r="U1244" s="1134">
        <f t="shared" si="1101"/>
        <v>-51.414926343311805</v>
      </c>
      <c r="V1244" s="1134">
        <f t="shared" si="1101"/>
        <v>-63.692754040573448</v>
      </c>
      <c r="W1244" s="1134">
        <f t="shared" si="1101"/>
        <v>-148.03507608572738</v>
      </c>
      <c r="X1244" s="1134">
        <f t="shared" si="1101"/>
        <v>-218.43072057629345</v>
      </c>
      <c r="Y1244" s="1134">
        <f t="shared" si="1101"/>
        <v>-232.9157348635961</v>
      </c>
      <c r="Z1244" s="1134">
        <f t="shared" si="1101"/>
        <v>-165.57957988723822</v>
      </c>
      <c r="AA1244" s="1134">
        <f t="shared" si="1101"/>
        <v>-418.62850785518981</v>
      </c>
      <c r="AB1244" s="1134">
        <f t="shared" si="1101"/>
        <v>-376.48838226497185</v>
      </c>
      <c r="AC1244" s="1134">
        <f t="shared" si="1101"/>
        <v>-459.49966032454074</v>
      </c>
      <c r="AD1244" s="3265">
        <f t="shared" ref="AD1244:AT1244" si="1102">+AD198*AD266/1000/(AD965/100)</f>
        <v>-456.01262287254337</v>
      </c>
      <c r="AE1244" s="3265">
        <f t="shared" si="1102"/>
        <v>-274.23885467492556</v>
      </c>
      <c r="AF1244" s="3265">
        <f t="shared" si="1102"/>
        <v>-249.85563847594463</v>
      </c>
      <c r="AG1244" s="3265">
        <f t="shared" si="1102"/>
        <v>-311.24894580782797</v>
      </c>
      <c r="AH1244" s="3265">
        <f t="shared" si="1102"/>
        <v>-380.57877601053355</v>
      </c>
      <c r="AI1244" s="3265">
        <f t="shared" si="1102"/>
        <v>-464.05456246832739</v>
      </c>
      <c r="AJ1244" s="3265">
        <f t="shared" si="1102"/>
        <v>-483.22883300793137</v>
      </c>
      <c r="AK1244" s="3265">
        <f t="shared" si="1102"/>
        <v>-513.81279526295009</v>
      </c>
      <c r="AL1244" s="3265">
        <f t="shared" si="1102"/>
        <v>-595.43687834986724</v>
      </c>
      <c r="AM1244" s="3265">
        <f t="shared" si="1102"/>
        <v>-654.40172894557293</v>
      </c>
      <c r="AN1244" s="3265">
        <f t="shared" si="1102"/>
        <v>-673.97821414282851</v>
      </c>
      <c r="AO1244" s="1958">
        <f t="shared" si="1102"/>
        <v>-683.21979141455188</v>
      </c>
      <c r="AP1244" s="1958">
        <f t="shared" si="1102"/>
        <v>-506.15670687667279</v>
      </c>
      <c r="AQ1244" s="1958">
        <f t="shared" si="1102"/>
        <v>-519.23414158286391</v>
      </c>
      <c r="AR1244" s="1958">
        <f t="shared" si="1102"/>
        <v>-533.9013319808945</v>
      </c>
      <c r="AS1244" s="1958">
        <f t="shared" si="1102"/>
        <v>-550.75093974596905</v>
      </c>
      <c r="AT1244" s="1958">
        <f t="shared" si="1102"/>
        <v>-583.7161863065453</v>
      </c>
    </row>
    <row r="1245" spans="4:46">
      <c r="D1245" s="1131" t="s">
        <v>900</v>
      </c>
      <c r="E1245" s="3113"/>
      <c r="F1245" s="1123"/>
      <c r="G1245" s="1123"/>
      <c r="H1245" s="1123"/>
      <c r="I1245" s="1123"/>
      <c r="J1245" s="1134">
        <f t="shared" ref="J1245:AC1245" si="1103">+(J204+J205+J206)*J266/1000/(J784/100)</f>
        <v>214.39071585000002</v>
      </c>
      <c r="K1245" s="1134">
        <f t="shared" si="1103"/>
        <v>212.61176087638913</v>
      </c>
      <c r="L1245" s="1134">
        <f t="shared" si="1103"/>
        <v>202.84106506203719</v>
      </c>
      <c r="M1245" s="1134">
        <f t="shared" si="1103"/>
        <v>214.76721991887266</v>
      </c>
      <c r="N1245" s="1134">
        <f t="shared" si="1103"/>
        <v>233.48313937028601</v>
      </c>
      <c r="O1245" s="1134">
        <f t="shared" si="1103"/>
        <v>271.28095205016024</v>
      </c>
      <c r="P1245" s="1134">
        <f t="shared" si="1103"/>
        <v>292.27661610894023</v>
      </c>
      <c r="Q1245" s="1134">
        <f t="shared" si="1103"/>
        <v>670.49177531716089</v>
      </c>
      <c r="R1245" s="1134">
        <f t="shared" si="1103"/>
        <v>462.87320760506304</v>
      </c>
      <c r="S1245" s="1134">
        <f t="shared" si="1103"/>
        <v>531.62688463552843</v>
      </c>
      <c r="T1245" s="1134">
        <f t="shared" si="1103"/>
        <v>510.6689383009226</v>
      </c>
      <c r="U1245" s="1134">
        <f t="shared" si="1103"/>
        <v>1148.2261009520462</v>
      </c>
      <c r="V1245" s="1134">
        <f t="shared" si="1103"/>
        <v>1263.4877293051684</v>
      </c>
      <c r="W1245" s="1134">
        <f t="shared" si="1103"/>
        <v>996.90831519108792</v>
      </c>
      <c r="X1245" s="1134">
        <f t="shared" si="1103"/>
        <v>1242.9369492469359</v>
      </c>
      <c r="Y1245" s="1134">
        <f t="shared" si="1103"/>
        <v>1167.2721378116355</v>
      </c>
      <c r="Z1245" s="1134">
        <f t="shared" si="1103"/>
        <v>1119.4804652776909</v>
      </c>
      <c r="AA1245" s="1134">
        <f t="shared" si="1103"/>
        <v>990.75959954679001</v>
      </c>
      <c r="AB1245" s="1134">
        <f t="shared" si="1103"/>
        <v>1052.4706941497502</v>
      </c>
      <c r="AC1245" s="1134">
        <f t="shared" si="1103"/>
        <v>1276.9735030052384</v>
      </c>
      <c r="AD1245" s="3265">
        <f t="shared" ref="AD1245:AT1245" si="1104">+(AD204+AD205+AD206)*AD266/1000/(AD965/100)</f>
        <v>1185.1491166102646</v>
      </c>
      <c r="AE1245" s="3265">
        <f t="shared" si="1104"/>
        <v>1283.033284829706</v>
      </c>
      <c r="AF1245" s="3265">
        <f t="shared" si="1104"/>
        <v>1632.1889935101146</v>
      </c>
      <c r="AG1245" s="3265">
        <f t="shared" si="1104"/>
        <v>1626.2391578922786</v>
      </c>
      <c r="AH1245" s="3265">
        <f t="shared" si="1104"/>
        <v>1668.11717811533</v>
      </c>
      <c r="AI1245" s="3265">
        <f t="shared" si="1104"/>
        <v>1562.4564470887203</v>
      </c>
      <c r="AJ1245" s="3265">
        <f t="shared" si="1104"/>
        <v>1278.9604508627879</v>
      </c>
      <c r="AK1245" s="3265">
        <f t="shared" si="1104"/>
        <v>1264.6621421149468</v>
      </c>
      <c r="AL1245" s="3265">
        <f t="shared" si="1104"/>
        <v>1300.1910131078182</v>
      </c>
      <c r="AM1245" s="3265">
        <f t="shared" si="1104"/>
        <v>1346.4642082379723</v>
      </c>
      <c r="AN1245" s="3265">
        <f t="shared" si="1104"/>
        <v>1310.0047773841814</v>
      </c>
      <c r="AO1245" s="1958">
        <f t="shared" si="1104"/>
        <v>1291.306937897602</v>
      </c>
      <c r="AP1245" s="1958">
        <f t="shared" si="1104"/>
        <v>1305.48776998012</v>
      </c>
      <c r="AQ1245" s="1958">
        <f t="shared" si="1104"/>
        <v>1290.8351567043189</v>
      </c>
      <c r="AR1245" s="1958">
        <f t="shared" si="1104"/>
        <v>1268.0280679412774</v>
      </c>
      <c r="AS1245" s="1958">
        <f t="shared" si="1104"/>
        <v>1248.9787970210698</v>
      </c>
      <c r="AT1245" s="1958">
        <f t="shared" si="1104"/>
        <v>1229.7552445642345</v>
      </c>
    </row>
    <row r="1246" spans="4:46">
      <c r="D1246" s="2716" t="s">
        <v>1647</v>
      </c>
      <c r="E1246" s="3115"/>
      <c r="F1246" s="1135"/>
      <c r="G1246" s="1135"/>
      <c r="H1246" s="1135"/>
      <c r="I1246" s="1135"/>
      <c r="J1246" s="1135">
        <f t="shared" ref="J1246:AG1246" si="1105">+(J1080+J204+J205+J206)*J266/1000</f>
        <v>791.23915654198925</v>
      </c>
      <c r="K1246" s="1135">
        <f t="shared" si="1105"/>
        <v>874.90062928396696</v>
      </c>
      <c r="L1246" s="1135">
        <f t="shared" si="1105"/>
        <v>934.06211073820839</v>
      </c>
      <c r="M1246" s="1135">
        <f t="shared" si="1105"/>
        <v>997.96514691866673</v>
      </c>
      <c r="N1246" s="1135">
        <f t="shared" si="1105"/>
        <v>1228.3120867689988</v>
      </c>
      <c r="O1246" s="1135">
        <f t="shared" si="1105"/>
        <v>1474.6425149009194</v>
      </c>
      <c r="P1246" s="1135">
        <f t="shared" si="1105"/>
        <v>1765.8651693911092</v>
      </c>
      <c r="Q1246" s="1135">
        <f t="shared" si="1105"/>
        <v>1994.255801060933</v>
      </c>
      <c r="R1246" s="1135">
        <f t="shared" si="1105"/>
        <v>2348.4308847140828</v>
      </c>
      <c r="S1246" s="1135">
        <f t="shared" si="1105"/>
        <v>2991.4137650955854</v>
      </c>
      <c r="T1246" s="1135">
        <f t="shared" si="1105"/>
        <v>3382.4021936195618</v>
      </c>
      <c r="U1246" s="1135">
        <f t="shared" si="1105"/>
        <v>4011.596916827843</v>
      </c>
      <c r="V1246" s="1135">
        <f>+(V1080+V204+V205+V206)*V266/1000</f>
        <v>4650.9031258125215</v>
      </c>
      <c r="W1246" s="1135">
        <f>+(W1080+W204+W205+W206)*W266/1000</f>
        <v>5062.1922533571533</v>
      </c>
      <c r="X1246" s="1135">
        <f t="shared" si="1105"/>
        <v>10159.936911050352</v>
      </c>
      <c r="Y1246" s="1135">
        <f t="shared" si="1105"/>
        <v>6047.8806755772002</v>
      </c>
      <c r="Z1246" s="1135">
        <f t="shared" si="1105"/>
        <v>6593.7217258973678</v>
      </c>
      <c r="AA1246" s="1135">
        <f t="shared" si="1105"/>
        <v>7092.6843945349838</v>
      </c>
      <c r="AB1246" s="1135">
        <f t="shared" si="1105"/>
        <v>8033.3492102497148</v>
      </c>
      <c r="AC1246" s="1135">
        <f t="shared" si="1105"/>
        <v>8811.7464132486311</v>
      </c>
      <c r="AD1246" s="3266">
        <f t="shared" si="1105"/>
        <v>9926.6473559921415</v>
      </c>
      <c r="AE1246" s="3266">
        <f t="shared" si="1105"/>
        <v>8189.5461707314125</v>
      </c>
      <c r="AF1246" s="3266">
        <f t="shared" si="1105"/>
        <v>12113.368348849428</v>
      </c>
      <c r="AG1246" s="3266">
        <f t="shared" si="1105"/>
        <v>15252.154400499881</v>
      </c>
      <c r="AH1246" s="3266">
        <f>+(AH1080+AH204+AH205+AH206)*AH266/1000</f>
        <v>18345.245054828276</v>
      </c>
      <c r="AI1246" s="3266">
        <f t="shared" ref="AI1246:AT1246" si="1106">+(AI1080+AI204+AI205+AI206)*AI266/1000</f>
        <v>20999.568555362319</v>
      </c>
      <c r="AJ1246" s="3266">
        <f t="shared" si="1106"/>
        <v>23691.939333061364</v>
      </c>
      <c r="AK1246" s="3266">
        <f t="shared" si="1106"/>
        <v>27988.625027078087</v>
      </c>
      <c r="AL1246" s="3266">
        <f t="shared" si="1106"/>
        <v>31471.767168119186</v>
      </c>
      <c r="AM1246" s="3266">
        <f t="shared" si="1106"/>
        <v>35419.341410632653</v>
      </c>
      <c r="AN1246" s="3266">
        <f t="shared" si="1106"/>
        <v>39991.817930893361</v>
      </c>
      <c r="AO1246" s="2885">
        <f t="shared" si="1106"/>
        <v>45392.476807741739</v>
      </c>
      <c r="AP1246" s="2885">
        <f t="shared" si="1106"/>
        <v>51713.891405940623</v>
      </c>
      <c r="AQ1246" s="2885">
        <f t="shared" si="1106"/>
        <v>58891.16316016265</v>
      </c>
      <c r="AR1246" s="2885">
        <f t="shared" si="1106"/>
        <v>67203.868686933274</v>
      </c>
      <c r="AS1246" s="2885">
        <f t="shared" si="1106"/>
        <v>76681.284082630489</v>
      </c>
      <c r="AT1246" s="2885">
        <f t="shared" si="1106"/>
        <v>87588.790252936422</v>
      </c>
    </row>
    <row r="1247" spans="4:46">
      <c r="D1247" s="2716" t="s">
        <v>1650</v>
      </c>
      <c r="E1247" s="3116"/>
      <c r="F1247" s="1134"/>
      <c r="G1247" s="1134"/>
      <c r="H1247" s="1134"/>
      <c r="I1247" s="1134"/>
      <c r="J1247" s="1134">
        <f t="shared" ref="J1247:Y1247" si="1107">+J1246/(J784/100)</f>
        <v>2260.6833044056839</v>
      </c>
      <c r="K1247" s="1134">
        <f t="shared" si="1107"/>
        <v>2430.2795257887974</v>
      </c>
      <c r="L1247" s="1134">
        <f t="shared" si="1107"/>
        <v>2594.6169742728011</v>
      </c>
      <c r="M1247" s="1134">
        <f t="shared" si="1107"/>
        <v>2935.1916085843136</v>
      </c>
      <c r="N1247" s="1134">
        <f t="shared" si="1107"/>
        <v>2995.883138460973</v>
      </c>
      <c r="O1247" s="1134">
        <f t="shared" si="1107"/>
        <v>3276.9833664464877</v>
      </c>
      <c r="P1247" s="1134">
        <f t="shared" si="1107"/>
        <v>3531.7303387822185</v>
      </c>
      <c r="Q1247" s="1134">
        <f t="shared" si="1107"/>
        <v>6538.5436100358456</v>
      </c>
      <c r="R1247" s="1134">
        <f t="shared" si="1107"/>
        <v>6758.0744883858506</v>
      </c>
      <c r="S1247" s="1134">
        <f t="shared" si="1107"/>
        <v>7478.5344127389635</v>
      </c>
      <c r="T1247" s="1134">
        <f t="shared" si="1107"/>
        <v>7912.05191489956</v>
      </c>
      <c r="U1247" s="1134">
        <f t="shared" si="1107"/>
        <v>9117.2657200632802</v>
      </c>
      <c r="V1247" s="1134">
        <f t="shared" si="1107"/>
        <v>9843.1812186508396</v>
      </c>
      <c r="W1247" s="1134">
        <f t="shared" si="1107"/>
        <v>10226.651016883137</v>
      </c>
      <c r="X1247" s="1134">
        <f t="shared" si="1107"/>
        <v>20019.580120296261</v>
      </c>
      <c r="Y1247" s="1134">
        <f t="shared" si="1107"/>
        <v>11304.449860891962</v>
      </c>
      <c r="Z1247" s="1134">
        <f t="shared" ref="Z1247:AG1247" si="1108">+Z1246/(Z965/100)</f>
        <v>12267.389257483475</v>
      </c>
      <c r="AA1247" s="1134">
        <f t="shared" si="1108"/>
        <v>12498.122281118915</v>
      </c>
      <c r="AB1247" s="1134">
        <f t="shared" si="1108"/>
        <v>13169.424934835599</v>
      </c>
      <c r="AC1247" s="1134">
        <f t="shared" si="1108"/>
        <v>14328.042948371758</v>
      </c>
      <c r="AD1247" s="3265">
        <f t="shared" si="1108"/>
        <v>15510.38649373772</v>
      </c>
      <c r="AE1247" s="3265">
        <f t="shared" si="1108"/>
        <v>11912.067157427509</v>
      </c>
      <c r="AF1247" s="3265">
        <f t="shared" si="1108"/>
        <v>16941.773914474725</v>
      </c>
      <c r="AG1247" s="3265">
        <f t="shared" si="1108"/>
        <v>18431.606526283846</v>
      </c>
      <c r="AH1247" s="3265">
        <f t="shared" ref="AH1247:AM1247" si="1109">+AH1246/(AH965/100)</f>
        <v>20218.538402104798</v>
      </c>
      <c r="AI1247" s="3265">
        <f t="shared" si="1109"/>
        <v>21326.401884620391</v>
      </c>
      <c r="AJ1247" s="3265">
        <f t="shared" si="1109"/>
        <v>21042.763971444994</v>
      </c>
      <c r="AK1247" s="3265">
        <f t="shared" si="1109"/>
        <v>22651.874991854049</v>
      </c>
      <c r="AL1247" s="3265">
        <f t="shared" si="1109"/>
        <v>24608.252302771885</v>
      </c>
      <c r="AM1247" s="3265">
        <f t="shared" si="1109"/>
        <v>26557.089465155037</v>
      </c>
      <c r="AN1247" s="3265">
        <f t="shared" ref="AN1247:AT1247" si="1110">+AN1246/(AN965/100)</f>
        <v>28478.688697289705</v>
      </c>
      <c r="AO1247" s="1958">
        <f t="shared" si="1110"/>
        <v>30703.27227904513</v>
      </c>
      <c r="AP1247" s="1958">
        <f t="shared" si="1110"/>
        <v>33498.110624355984</v>
      </c>
      <c r="AQ1247" s="1958">
        <f t="shared" si="1110"/>
        <v>36229.109200200553</v>
      </c>
      <c r="AR1247" s="1958">
        <f t="shared" si="1110"/>
        <v>39267.106891848292</v>
      </c>
      <c r="AS1247" s="1958">
        <f t="shared" si="1110"/>
        <v>42523.330335585109</v>
      </c>
      <c r="AT1247" s="1958">
        <f t="shared" si="1110"/>
        <v>46157.63358688388</v>
      </c>
    </row>
    <row r="1248" spans="4:46">
      <c r="D1248" s="2716" t="s">
        <v>1651</v>
      </c>
      <c r="E1248" s="3116"/>
      <c r="F1248" s="1134"/>
      <c r="G1248" s="1134"/>
      <c r="H1248" s="1134"/>
      <c r="I1248" s="1134"/>
      <c r="J1248" s="1134">
        <f t="shared" ref="J1248:Y1248" si="1111">+J1247-J217/(J784/100)</f>
        <v>2260.6833044056839</v>
      </c>
      <c r="K1248" s="1134">
        <f t="shared" si="1111"/>
        <v>2430.2795257887974</v>
      </c>
      <c r="L1248" s="1134">
        <f t="shared" si="1111"/>
        <v>2594.6169742728011</v>
      </c>
      <c r="M1248" s="1134">
        <f t="shared" si="1111"/>
        <v>2935.1916085843136</v>
      </c>
      <c r="N1248" s="1134">
        <f t="shared" si="1111"/>
        <v>2995.883138460973</v>
      </c>
      <c r="O1248" s="1134">
        <f t="shared" si="1111"/>
        <v>3276.9833664464877</v>
      </c>
      <c r="P1248" s="1134">
        <f t="shared" si="1111"/>
        <v>3531.7303387822185</v>
      </c>
      <c r="Q1248" s="1134">
        <f t="shared" si="1111"/>
        <v>6538.5436100358456</v>
      </c>
      <c r="R1248" s="1134">
        <f t="shared" si="1111"/>
        <v>6758.0744883858506</v>
      </c>
      <c r="S1248" s="1134">
        <f t="shared" si="1111"/>
        <v>7478.5344127389635</v>
      </c>
      <c r="T1248" s="1134">
        <f t="shared" si="1111"/>
        <v>7912.05191489956</v>
      </c>
      <c r="U1248" s="1134">
        <f t="shared" si="1111"/>
        <v>8888.2626146757793</v>
      </c>
      <c r="V1248" s="1134">
        <f t="shared" si="1111"/>
        <v>9351.4111310942262</v>
      </c>
      <c r="W1248" s="1134">
        <f t="shared" si="1111"/>
        <v>9590.5520738124305</v>
      </c>
      <c r="X1248" s="1134">
        <f t="shared" si="1111"/>
        <v>18806.760627486732</v>
      </c>
      <c r="Y1248" s="1134">
        <f t="shared" si="1111"/>
        <v>9559.35348225489</v>
      </c>
      <c r="Z1248" s="1134">
        <f>+Z1247-Z217/(Z965/100)</f>
        <v>10248.093637732389</v>
      </c>
      <c r="AA1248" s="1134">
        <f>+AA1247-AA217/(AA965/100)</f>
        <v>10354.041257596968</v>
      </c>
      <c r="AB1248" s="1134">
        <f>+AB1247-AB217/(AB965/100)</f>
        <v>10965.973754656336</v>
      </c>
      <c r="AC1248" s="1134">
        <f>+AC1247-AC217/(AC965/100)</f>
        <v>11813.474420440669</v>
      </c>
      <c r="AD1248" s="3265">
        <f>+AD1247-AD217/(AD965/100)</f>
        <v>12826.160668033259</v>
      </c>
      <c r="AE1248" s="3265">
        <f t="shared" ref="AE1248:AT1248" si="1112">+AE1247-AE217/(AE965/100)</f>
        <v>9168.3327773495512</v>
      </c>
      <c r="AF1248" s="3265">
        <f t="shared" si="1112"/>
        <v>13945.199316434984</v>
      </c>
      <c r="AG1248" s="3265">
        <f t="shared" si="1112"/>
        <v>15430.846052796711</v>
      </c>
      <c r="AH1248" s="3265">
        <f t="shared" si="1112"/>
        <v>17054.593280087989</v>
      </c>
      <c r="AI1248" s="3265">
        <f t="shared" si="1112"/>
        <v>17968.58457827062</v>
      </c>
      <c r="AJ1248" s="3265">
        <f t="shared" si="1112"/>
        <v>17551.028379267304</v>
      </c>
      <c r="AK1248" s="3265">
        <f t="shared" si="1112"/>
        <v>18850.43674989021</v>
      </c>
      <c r="AL1248" s="3265">
        <f t="shared" si="1112"/>
        <v>20330.311558879475</v>
      </c>
      <c r="AM1248" s="3265">
        <f t="shared" si="1112"/>
        <v>21878.396099007801</v>
      </c>
      <c r="AN1248" s="3265">
        <f t="shared" si="1112"/>
        <v>23434.188274029915</v>
      </c>
      <c r="AO1248" s="1958">
        <f t="shared" si="1112"/>
        <v>25243.40541038724</v>
      </c>
      <c r="AP1248" s="1958">
        <f t="shared" si="1112"/>
        <v>27522.482185193847</v>
      </c>
      <c r="AQ1248" s="1958">
        <f t="shared" si="1112"/>
        <v>29749.365947612361</v>
      </c>
      <c r="AR1248" s="1958">
        <f t="shared" si="1112"/>
        <v>32295.00487394377</v>
      </c>
      <c r="AS1248" s="1958">
        <f t="shared" si="1112"/>
        <v>34120.116500270109</v>
      </c>
      <c r="AT1248" s="1958">
        <f t="shared" si="1112"/>
        <v>34891.192830384236</v>
      </c>
    </row>
    <row r="1249" spans="4:110">
      <c r="D1249" s="295" t="s">
        <v>1649</v>
      </c>
      <c r="F1249" s="295"/>
      <c r="G1249" s="295"/>
      <c r="H1249" s="295"/>
      <c r="I1249" s="295"/>
      <c r="J1249" s="1184">
        <f t="shared" ref="J1249:U1249" si="1113">+J1240+J1244+J1245</f>
        <v>2268.540447262827</v>
      </c>
      <c r="K1249" s="1184">
        <f t="shared" si="1113"/>
        <v>2429.3906368999078</v>
      </c>
      <c r="L1249" s="1184">
        <f t="shared" si="1113"/>
        <v>2603.1725298283568</v>
      </c>
      <c r="M1249" s="1184">
        <f t="shared" si="1113"/>
        <v>2936.1327850549023</v>
      </c>
      <c r="N1249" s="1184">
        <f t="shared" si="1113"/>
        <v>3002.444114070729</v>
      </c>
      <c r="O1249" s="1184">
        <f t="shared" si="1113"/>
        <v>3246.0944775575986</v>
      </c>
      <c r="P1249" s="1184">
        <f t="shared" si="1113"/>
        <v>3560.7303387822185</v>
      </c>
      <c r="Q1249" s="1184">
        <f t="shared" si="1113"/>
        <v>6486.2321346260096</v>
      </c>
      <c r="R1249" s="1184">
        <f t="shared" si="1113"/>
        <v>6751.7723301124679</v>
      </c>
      <c r="S1249" s="1184">
        <f t="shared" si="1113"/>
        <v>7502.0344127389644</v>
      </c>
      <c r="T1249" s="1184">
        <f t="shared" si="1113"/>
        <v>7921.759517238741</v>
      </c>
      <c r="U1249" s="1184">
        <f t="shared" si="1113"/>
        <v>9102.8111746087343</v>
      </c>
      <c r="V1249" s="1184">
        <f>+V1240+V1244+V1245</f>
        <v>9843.7949752645945</v>
      </c>
      <c r="W1249" s="1184">
        <f>+W1240+W1244+W1245</f>
        <v>10238.87323910536</v>
      </c>
      <c r="X1249" s="1184">
        <f t="shared" ref="X1249:AD1249" si="1114">+X1240+X1244+X1245</f>
        <v>15525.506228670642</v>
      </c>
      <c r="Y1249" s="1184">
        <f t="shared" si="1114"/>
        <v>11326.356402948039</v>
      </c>
      <c r="Z1249" s="1184">
        <f t="shared" si="1114"/>
        <v>12267.900885390452</v>
      </c>
      <c r="AA1249" s="1184">
        <f t="shared" si="1114"/>
        <v>12526.131091691601</v>
      </c>
      <c r="AB1249" s="1184">
        <f t="shared" si="1114"/>
        <v>13192.982311884778</v>
      </c>
      <c r="AC1249" s="1184">
        <f t="shared" si="1114"/>
        <v>14344.473842680698</v>
      </c>
      <c r="AD1249" s="3267">
        <f t="shared" si="1114"/>
        <v>15511.13649373772</v>
      </c>
      <c r="AE1249" s="3267">
        <f>+AE1240+AE1244+AE1245</f>
        <v>11759.79443015478</v>
      </c>
      <c r="AF1249" s="3267">
        <f>+AF1240+AF1244+AF1245</f>
        <v>16963.33335503417</v>
      </c>
      <c r="AG1249" s="3267">
        <f t="shared" ref="AG1249:AM1249" si="1115">+AG1240+AG1244+AG1245</f>
        <v>18425.990212084453</v>
      </c>
      <c r="AH1249" s="3267">
        <f t="shared" si="1115"/>
        <v>19863.538402104798</v>
      </c>
      <c r="AI1249" s="3267">
        <f t="shared" si="1115"/>
        <v>21015.401884620391</v>
      </c>
      <c r="AJ1249" s="3267">
        <f t="shared" si="1115"/>
        <v>22261.925048477988</v>
      </c>
      <c r="AK1249" s="3267">
        <f t="shared" si="1115"/>
        <v>24012.145378239184</v>
      </c>
      <c r="AL1249" s="3267">
        <f t="shared" si="1115"/>
        <v>26046.728301194358</v>
      </c>
      <c r="AM1249" s="3267">
        <f t="shared" si="1115"/>
        <v>28184.884978451366</v>
      </c>
      <c r="AN1249" s="3267">
        <f t="shared" ref="AN1249:AT1249" si="1116">+AN1240+AN1244+AN1245</f>
        <v>30310.353683148947</v>
      </c>
      <c r="AO1249" s="1959">
        <f t="shared" si="1116"/>
        <v>32762.206474149145</v>
      </c>
      <c r="AP1249" s="1959">
        <f t="shared" si="1116"/>
        <v>35718.271120716825</v>
      </c>
      <c r="AQ1249" s="1959">
        <f t="shared" si="1116"/>
        <v>38722.056965240881</v>
      </c>
      <c r="AR1249" s="1959">
        <f t="shared" si="1116"/>
        <v>42072.999169799667</v>
      </c>
      <c r="AS1249" s="1959">
        <f t="shared" si="1116"/>
        <v>45806.617948946514</v>
      </c>
      <c r="AT1249" s="1959">
        <f t="shared" si="1116"/>
        <v>50064.262995208293</v>
      </c>
    </row>
    <row r="1250" spans="4:110">
      <c r="D1250" s="295"/>
      <c r="F1250" s="295"/>
      <c r="G1250" s="295"/>
      <c r="H1250" s="295"/>
      <c r="I1250" s="295"/>
      <c r="J1250" s="295"/>
      <c r="K1250" s="295"/>
      <c r="L1250" s="295"/>
      <c r="M1250" s="295"/>
      <c r="O1250" s="295"/>
      <c r="P1250" s="295"/>
      <c r="Q1250" s="295"/>
      <c r="R1250" s="295"/>
      <c r="S1250" s="295"/>
      <c r="T1250" s="295"/>
      <c r="U1250" s="295"/>
      <c r="W1250" s="820"/>
      <c r="X1250" s="820"/>
      <c r="Y1250" s="820"/>
      <c r="Z1250" s="820"/>
      <c r="AA1250" s="820"/>
      <c r="AB1250" s="820"/>
      <c r="AC1250" s="295"/>
      <c r="AD1250" s="820"/>
      <c r="AE1250" s="820"/>
      <c r="AF1250" s="820"/>
    </row>
    <row r="1251" spans="4:110">
      <c r="D1251" s="295" t="s">
        <v>1134</v>
      </c>
      <c r="F1251" s="295"/>
      <c r="G1251" s="295"/>
      <c r="H1251" s="295"/>
      <c r="I1251" s="295"/>
      <c r="J1251" s="1165" t="s">
        <v>871</v>
      </c>
      <c r="K1251" s="295"/>
      <c r="L1251" s="295"/>
      <c r="M1251" s="295"/>
      <c r="N1251" s="1151" t="s">
        <v>881</v>
      </c>
      <c r="O1251" s="295"/>
      <c r="P1251" s="295"/>
      <c r="Q1251" s="295"/>
      <c r="R1251" s="295"/>
      <c r="S1251" s="295"/>
      <c r="T1251" s="295"/>
      <c r="U1251" s="295"/>
      <c r="W1251" s="820"/>
      <c r="X1251" s="820"/>
      <c r="Y1251" s="820"/>
      <c r="Z1251" s="820"/>
      <c r="AA1251" s="820"/>
      <c r="AB1251" s="820"/>
      <c r="AC1251" s="295"/>
      <c r="AD1251" s="820"/>
      <c r="AE1251" s="820"/>
      <c r="AF1251" s="820"/>
      <c r="AH1251" s="3268" t="str">
        <f>+N1251</f>
        <v>intrapolation (italic)</v>
      </c>
      <c r="BC1251" s="1151" t="str">
        <f>+AH1251</f>
        <v>intrapolation (italic)</v>
      </c>
      <c r="BW1251" s="1151" t="str">
        <f>+BC1251</f>
        <v>intrapolation (italic)</v>
      </c>
      <c r="CQ1251" s="1151" t="str">
        <f>+BW1251</f>
        <v>intrapolation (italic)</v>
      </c>
      <c r="CU1251"/>
      <c r="CV1251"/>
      <c r="CW1251"/>
      <c r="CX1251"/>
    </row>
    <row r="1252" spans="4:110">
      <c r="D1252" s="1127" t="s">
        <v>938</v>
      </c>
      <c r="E1252" s="3054">
        <f ca="1">NOW()</f>
        <v>46074.610906250004</v>
      </c>
      <c r="F1252" s="1164"/>
      <c r="G1252" s="1164"/>
      <c r="H1252" s="1164"/>
      <c r="I1252" s="1164"/>
      <c r="J1252" s="1166">
        <v>1999</v>
      </c>
      <c r="K1252" s="1167" t="s">
        <v>875</v>
      </c>
      <c r="L1252" s="1167" t="s">
        <v>874</v>
      </c>
      <c r="M1252" s="1167" t="s">
        <v>873</v>
      </c>
      <c r="N1252" s="1166">
        <f>+J1252+1</f>
        <v>2000</v>
      </c>
      <c r="O1252" s="1167" t="s">
        <v>875</v>
      </c>
      <c r="P1252" s="1167" t="s">
        <v>874</v>
      </c>
      <c r="Q1252" s="1167" t="s">
        <v>873</v>
      </c>
      <c r="R1252" s="1166">
        <f>+N1252+1</f>
        <v>2001</v>
      </c>
      <c r="S1252" s="1167" t="s">
        <v>875</v>
      </c>
      <c r="T1252" s="1167" t="s">
        <v>874</v>
      </c>
      <c r="U1252" s="1167" t="s">
        <v>873</v>
      </c>
      <c r="V1252" s="1166">
        <f>+R1252+1</f>
        <v>2002</v>
      </c>
      <c r="W1252" s="1167" t="s">
        <v>875</v>
      </c>
      <c r="X1252" s="1167" t="s">
        <v>874</v>
      </c>
      <c r="Y1252" s="1167" t="s">
        <v>873</v>
      </c>
      <c r="Z1252" s="1166">
        <f>+V1252+1</f>
        <v>2003</v>
      </c>
      <c r="AA1252" s="1167" t="s">
        <v>875</v>
      </c>
      <c r="AB1252" s="1167" t="s">
        <v>874</v>
      </c>
      <c r="AC1252" s="1167" t="s">
        <v>873</v>
      </c>
      <c r="AD1252" s="1121">
        <f>+Z1252+1</f>
        <v>2004</v>
      </c>
      <c r="AE1252" s="1121" t="s">
        <v>875</v>
      </c>
      <c r="AF1252" s="1121" t="s">
        <v>874</v>
      </c>
      <c r="AG1252" s="1121" t="s">
        <v>873</v>
      </c>
      <c r="AH1252" s="1121">
        <f>+AD1252+1</f>
        <v>2005</v>
      </c>
      <c r="AI1252" s="1121" t="s">
        <v>875</v>
      </c>
      <c r="AJ1252" s="1121" t="s">
        <v>874</v>
      </c>
      <c r="AK1252" s="1121" t="s">
        <v>873</v>
      </c>
      <c r="AL1252" s="1121">
        <f>+AH1252+1</f>
        <v>2006</v>
      </c>
      <c r="AM1252" s="1121" t="s">
        <v>875</v>
      </c>
      <c r="AN1252" s="1121" t="s">
        <v>874</v>
      </c>
      <c r="AO1252" s="1121" t="s">
        <v>873</v>
      </c>
      <c r="AP1252" s="1121">
        <f>+AL1252+1</f>
        <v>2007</v>
      </c>
      <c r="AQ1252" s="1121" t="s">
        <v>875</v>
      </c>
      <c r="AR1252" s="1121" t="s">
        <v>874</v>
      </c>
      <c r="AS1252" s="1121" t="s">
        <v>873</v>
      </c>
      <c r="AT1252" s="1121">
        <f>+AP1252+1</f>
        <v>2008</v>
      </c>
      <c r="AU1252" s="1166"/>
      <c r="AV1252" s="1167" t="s">
        <v>875</v>
      </c>
      <c r="AW1252" s="1167" t="s">
        <v>874</v>
      </c>
      <c r="AX1252" s="1167" t="s">
        <v>873</v>
      </c>
      <c r="AY1252" s="1166">
        <f>+AT1252+1</f>
        <v>2009</v>
      </c>
      <c r="AZ1252" s="1167" t="s">
        <v>875</v>
      </c>
      <c r="BA1252" s="1167" t="s">
        <v>874</v>
      </c>
      <c r="BB1252" s="1167" t="s">
        <v>873</v>
      </c>
      <c r="BC1252" s="1166">
        <f>+AY1252+1</f>
        <v>2010</v>
      </c>
      <c r="BD1252" s="1167" t="s">
        <v>875</v>
      </c>
      <c r="BE1252" s="1167" t="s">
        <v>874</v>
      </c>
      <c r="BF1252" s="1167" t="s">
        <v>873</v>
      </c>
      <c r="BG1252" s="1166">
        <f>+BC1252+1</f>
        <v>2011</v>
      </c>
      <c r="BH1252" s="1167" t="s">
        <v>875</v>
      </c>
      <c r="BI1252" s="1167" t="s">
        <v>874</v>
      </c>
      <c r="BJ1252" s="1167" t="s">
        <v>873</v>
      </c>
      <c r="BK1252" s="1166">
        <f>+BG1252+1</f>
        <v>2012</v>
      </c>
      <c r="BL1252" s="1167" t="s">
        <v>875</v>
      </c>
      <c r="BM1252" s="1167" t="s">
        <v>874</v>
      </c>
      <c r="BN1252" s="1167" t="s">
        <v>873</v>
      </c>
      <c r="BO1252" s="1166">
        <f>+BK1252+1</f>
        <v>2013</v>
      </c>
      <c r="BP1252" s="1167" t="s">
        <v>875</v>
      </c>
      <c r="BQ1252" s="1167" t="s">
        <v>874</v>
      </c>
      <c r="BR1252" s="1167" t="s">
        <v>873</v>
      </c>
      <c r="BS1252" s="1166">
        <f>+BO1252+1</f>
        <v>2014</v>
      </c>
      <c r="BT1252" s="1167" t="s">
        <v>875</v>
      </c>
      <c r="BU1252" s="1167" t="s">
        <v>874</v>
      </c>
      <c r="BV1252" s="1167" t="s">
        <v>873</v>
      </c>
      <c r="BW1252" s="1166">
        <f>+BS1252+1</f>
        <v>2015</v>
      </c>
      <c r="BX1252" s="1167" t="s">
        <v>875</v>
      </c>
      <c r="BY1252" s="1167" t="s">
        <v>874</v>
      </c>
      <c r="BZ1252" s="1167" t="s">
        <v>873</v>
      </c>
      <c r="CA1252" s="1166">
        <f>+BW1252+1</f>
        <v>2016</v>
      </c>
      <c r="CB1252" s="1167" t="s">
        <v>875</v>
      </c>
      <c r="CC1252" s="1167" t="s">
        <v>874</v>
      </c>
      <c r="CD1252" s="1167" t="s">
        <v>873</v>
      </c>
      <c r="CE1252" s="1166">
        <f>+CA1252+1</f>
        <v>2017</v>
      </c>
      <c r="CF1252" s="1167" t="s">
        <v>875</v>
      </c>
      <c r="CG1252" s="1167" t="s">
        <v>874</v>
      </c>
      <c r="CH1252" s="1167" t="s">
        <v>873</v>
      </c>
      <c r="CI1252" s="1166">
        <f>+CE1252+1</f>
        <v>2018</v>
      </c>
      <c r="CJ1252" s="1167" t="s">
        <v>875</v>
      </c>
      <c r="CK1252" s="1167" t="s">
        <v>874</v>
      </c>
      <c r="CL1252" s="1167" t="s">
        <v>873</v>
      </c>
      <c r="CM1252" s="1166">
        <f>+CI1252+1</f>
        <v>2019</v>
      </c>
      <c r="CN1252" s="1167" t="s">
        <v>875</v>
      </c>
      <c r="CO1252" s="1167" t="s">
        <v>874</v>
      </c>
      <c r="CP1252" s="1167" t="s">
        <v>873</v>
      </c>
      <c r="CQ1252" s="1166">
        <f>+CM1252+1</f>
        <v>2020</v>
      </c>
      <c r="CR1252" s="1167" t="s">
        <v>875</v>
      </c>
      <c r="CS1252" s="1167" t="s">
        <v>874</v>
      </c>
      <c r="CT1252" s="1167" t="s">
        <v>873</v>
      </c>
      <c r="CU1252" s="1166">
        <v>2021</v>
      </c>
      <c r="CV1252" s="1167" t="s">
        <v>875</v>
      </c>
      <c r="CW1252" s="1167" t="s">
        <v>874</v>
      </c>
      <c r="CX1252" s="1167" t="s">
        <v>873</v>
      </c>
      <c r="CY1252" s="1166">
        <v>2022</v>
      </c>
      <c r="CZ1252" s="1167" t="s">
        <v>875</v>
      </c>
      <c r="DA1252" s="1167" t="s">
        <v>874</v>
      </c>
      <c r="DB1252" s="1167" t="s">
        <v>873</v>
      </c>
      <c r="DC1252" s="1166">
        <v>2023</v>
      </c>
      <c r="DD1252" s="1167" t="s">
        <v>875</v>
      </c>
      <c r="DE1252" s="1167" t="s">
        <v>874</v>
      </c>
      <c r="DF1252" s="1167" t="s">
        <v>873</v>
      </c>
    </row>
    <row r="1253" spans="4:110">
      <c r="D1253" s="1119" t="s">
        <v>1087</v>
      </c>
      <c r="E1253" s="3117"/>
      <c r="F1253" s="1120"/>
      <c r="G1253" s="1120"/>
      <c r="H1253" s="1120"/>
      <c r="I1253" s="1120"/>
      <c r="J1253" s="1127"/>
      <c r="K1253" s="1127"/>
      <c r="L1253" s="1127"/>
      <c r="M1253" s="1141"/>
      <c r="N1253" s="1127"/>
      <c r="O1253" s="1127"/>
      <c r="P1253" s="1127"/>
      <c r="Q1253" s="1141"/>
      <c r="R1253" s="1127"/>
      <c r="S1253" s="1127"/>
      <c r="T1253" s="1127"/>
      <c r="U1253" s="1141"/>
      <c r="V1253" s="1127"/>
      <c r="W1253" s="1127"/>
      <c r="X1253" s="1127"/>
      <c r="Y1253" s="1141"/>
      <c r="Z1253" s="1127"/>
      <c r="AA1253" s="1127"/>
      <c r="AB1253" s="1127"/>
      <c r="AC1253" s="1141"/>
      <c r="AD1253" s="1127"/>
      <c r="AE1253" s="1127"/>
      <c r="AF1253" s="1127"/>
      <c r="AG1253" s="1706"/>
      <c r="AH1253" s="1127"/>
      <c r="AI1253" s="1127"/>
      <c r="AJ1253" s="1127"/>
      <c r="AK1253" s="1127"/>
      <c r="AL1253" s="1127"/>
      <c r="AM1253" s="1127"/>
      <c r="AN1253" s="1127"/>
      <c r="AO1253" s="1706"/>
      <c r="AP1253" s="1127"/>
      <c r="AQ1253" s="1127"/>
      <c r="AR1253" s="1127"/>
      <c r="AS1253" s="1706"/>
      <c r="AT1253" s="1127"/>
      <c r="AU1253" s="1127"/>
      <c r="AV1253" s="1127"/>
      <c r="AW1253" s="1127"/>
      <c r="AX1253" s="1141"/>
      <c r="AY1253" s="1127"/>
      <c r="AZ1253" s="1127"/>
      <c r="BA1253" s="1127"/>
      <c r="BB1253" s="1141"/>
      <c r="BC1253" s="1127"/>
      <c r="BD1253" s="1127"/>
      <c r="BE1253" s="1127"/>
      <c r="BF1253" s="1141"/>
      <c r="BG1253" s="1127"/>
      <c r="BH1253" s="1127"/>
      <c r="BI1253" s="1127"/>
      <c r="BJ1253" s="1141"/>
      <c r="BK1253" s="1127"/>
      <c r="BL1253" s="1127"/>
      <c r="BM1253" s="1127"/>
      <c r="BN1253" s="1141"/>
      <c r="BO1253" s="1127"/>
      <c r="BP1253" s="1127"/>
      <c r="BQ1253" s="1127"/>
      <c r="BR1253" s="1141"/>
      <c r="BS1253" s="1127"/>
      <c r="BT1253" s="1127"/>
      <c r="BU1253" s="1127"/>
      <c r="BV1253" s="1141"/>
      <c r="BW1253" s="1127"/>
      <c r="BX1253" s="1127"/>
      <c r="BY1253" s="1127"/>
      <c r="BZ1253" s="1141"/>
      <c r="CA1253" s="1127"/>
      <c r="CB1253" s="1127"/>
      <c r="CC1253" s="1127"/>
      <c r="CD1253" s="1141"/>
      <c r="CE1253" s="1127"/>
      <c r="CF1253" s="1127"/>
      <c r="CG1253" s="1127"/>
      <c r="CH1253" s="1141"/>
      <c r="CI1253" s="1127"/>
      <c r="CJ1253" s="1127"/>
      <c r="CK1253" s="1127"/>
      <c r="CL1253" s="1141"/>
      <c r="CM1253" s="1127"/>
      <c r="CN1253" s="1127"/>
      <c r="CO1253" s="1127"/>
      <c r="CP1253" s="1141"/>
      <c r="CQ1253" s="1127"/>
      <c r="CR1253" s="1127"/>
      <c r="CS1253" s="1127"/>
      <c r="CT1253" s="1141"/>
      <c r="CU1253" s="1127"/>
      <c r="CV1253" s="1127"/>
      <c r="CW1253" s="1127"/>
      <c r="CX1253" s="1141"/>
      <c r="CY1253" s="1127"/>
      <c r="CZ1253" s="1127"/>
      <c r="DA1253" s="1127"/>
      <c r="DB1253" s="1141"/>
      <c r="DC1253" s="1141"/>
      <c r="DD1253" s="1141"/>
      <c r="DE1253" s="1141"/>
      <c r="DF1253" s="1141"/>
    </row>
    <row r="1254" spans="4:110">
      <c r="D1254" s="1122" t="str">
        <f t="shared" ref="D1254:D1273" si="1117">+D1226</f>
        <v>Private capital stock (perpetual inventory) end-year 2017 prices (depr rate)</v>
      </c>
      <c r="E1254" s="3118"/>
      <c r="F1254" s="1123"/>
      <c r="G1254" s="1123"/>
      <c r="H1254" s="1123"/>
      <c r="I1254" s="1123"/>
      <c r="J1254" s="1124"/>
      <c r="K1254" s="1124"/>
      <c r="L1254" s="1124"/>
      <c r="M1254" s="1138">
        <f>+J1226</f>
        <v>3097.5</v>
      </c>
      <c r="N1254" s="1152">
        <f>+$M1254*0.75+$Q1254*0.25</f>
        <v>3033.1836274663392</v>
      </c>
      <c r="O1254" s="1152">
        <f>+$M1254*0.5+$Q1254*0.5</f>
        <v>2968.8672549326784</v>
      </c>
      <c r="P1254" s="1152">
        <f>+$M1254*0.25+$Q1254*0.75</f>
        <v>2904.5508823990176</v>
      </c>
      <c r="Q1254" s="1138">
        <f>+K1226</f>
        <v>2840.2345098653568</v>
      </c>
      <c r="R1254" s="1152">
        <f>+$Q1254*0.75+$U1254*0.25</f>
        <v>2784.7164655479532</v>
      </c>
      <c r="S1254" s="1152">
        <f>+$Q1254*0.5+$U1254*0.5</f>
        <v>2729.1984212305497</v>
      </c>
      <c r="T1254" s="1152">
        <f>+$Q1254*0.25+$U1254*0.75</f>
        <v>2673.6803769131461</v>
      </c>
      <c r="U1254" s="1138">
        <f>+L1226</f>
        <v>2618.1623325957426</v>
      </c>
      <c r="V1254" s="1152">
        <f>+$U1254*0.75+$Y1254*0.25</f>
        <v>2565.0325962890156</v>
      </c>
      <c r="W1254" s="1152">
        <f>+$U1254*0.5+$Y1254*0.5</f>
        <v>2511.9028599822891</v>
      </c>
      <c r="X1254" s="1152">
        <f>+$U1254*0.25+$Y1254*0.75</f>
        <v>2458.7731236755626</v>
      </c>
      <c r="Y1254" s="1138">
        <f>+M1226</f>
        <v>2405.6433873688356</v>
      </c>
      <c r="Z1254" s="1152">
        <f>+$Y1254*0.75+$AC1254*0.25</f>
        <v>2356.4417868284804</v>
      </c>
      <c r="AA1254" s="1152">
        <f>+$Y1254*0.5+$AC1254*0.5</f>
        <v>2307.2401862881252</v>
      </c>
      <c r="AB1254" s="1152">
        <f>+$Y1254*0.25+$AC1254*0.75</f>
        <v>2258.0385857477704</v>
      </c>
      <c r="AC1254" s="1138">
        <f>+N1226</f>
        <v>2208.8369852074152</v>
      </c>
      <c r="AD1254" s="2627">
        <f>+$AC1254*0.75+$AG1254*0.25</f>
        <v>2158.0533966737371</v>
      </c>
      <c r="AE1254" s="2627">
        <f>+$AC1254*0.5+$AG1254*0.5</f>
        <v>2107.2698081400595</v>
      </c>
      <c r="AF1254" s="2627">
        <f>+$AC1254*0.25+$AG1254*0.75</f>
        <v>2056.4862196063814</v>
      </c>
      <c r="AG1254" s="1707">
        <f>+O1226</f>
        <v>2005.7026310727035</v>
      </c>
      <c r="AH1254" s="2627">
        <f>+$AG1254*0.75+$AK1254*0.25</f>
        <v>1950.3920383785062</v>
      </c>
      <c r="AI1254" s="2627">
        <f>+$AG1254*0.5+$AK1254*0.5</f>
        <v>1895.0814456843086</v>
      </c>
      <c r="AJ1254" s="2627">
        <f>+$AG1254*0.25+$AK1254*0.75</f>
        <v>1839.7708529901111</v>
      </c>
      <c r="AK1254" s="2627">
        <f>+P1226</f>
        <v>1784.4602602959137</v>
      </c>
      <c r="AL1254" s="2627">
        <f>+$AK1254*0.75+$AO1254*0.25</f>
        <v>1935.2934302608674</v>
      </c>
      <c r="AM1254" s="2627">
        <f>+$AK1254*0.5+$AO1254*0.5</f>
        <v>2086.1266002258208</v>
      </c>
      <c r="AN1254" s="2627">
        <f>+$AK1254*0.25+$AO1254*0.75</f>
        <v>2236.9597701907742</v>
      </c>
      <c r="AO1254" s="2627">
        <f>+Q1226</f>
        <v>2387.792940155728</v>
      </c>
      <c r="AP1254" s="2627">
        <f>+$AO1254*0.75+$AS1254*0.25</f>
        <v>2584.0182279123474</v>
      </c>
      <c r="AQ1254" s="2627">
        <f>+$AO1254*0.5+$AS1254*0.5</f>
        <v>2780.2435156689671</v>
      </c>
      <c r="AR1254" s="2627">
        <f>+$AO1254*0.25+$AS1254*0.75</f>
        <v>2976.4688034255873</v>
      </c>
      <c r="AS1254" s="2627">
        <f>+R1226</f>
        <v>3172.6940911822066</v>
      </c>
      <c r="AT1254" s="2627">
        <f>+$AS1254*0.75+$AX1254*0.25</f>
        <v>3437.5021864274095</v>
      </c>
      <c r="AU1254" s="1152"/>
      <c r="AV1254" s="1152">
        <f>+$AS1254*0.5+$AX1254*0.5</f>
        <v>3702.3102816726118</v>
      </c>
      <c r="AW1254" s="1152">
        <f>+$AS1254*0.25+$AX1254*0.75</f>
        <v>3967.1183769178142</v>
      </c>
      <c r="AX1254" s="1152">
        <f>+S1226</f>
        <v>4231.926472163017</v>
      </c>
      <c r="AY1254" s="1152">
        <f>+$AX1254*0.75+$BB1254*0.25</f>
        <v>4477.5672185033336</v>
      </c>
      <c r="AZ1254" s="1152">
        <f>+$AX1254*0.5+$BB1254*0.5</f>
        <v>4723.2079648436502</v>
      </c>
      <c r="BA1254" s="1152">
        <f>+$AX1254*0.25+$BB1254*0.75</f>
        <v>4968.8487111839668</v>
      </c>
      <c r="BB1254" s="1138">
        <f>+T1226</f>
        <v>5214.4894575242834</v>
      </c>
      <c r="BC1254" s="1152">
        <f>+$BB1254*0.75+$BF1254*0.25</f>
        <v>5492.4018034223172</v>
      </c>
      <c r="BD1254" s="1152">
        <f>+$BB1254*0.5+$BF1254*0.5</f>
        <v>5770.3141493203511</v>
      </c>
      <c r="BE1254" s="1152">
        <f>+$BB1254*0.25+$BF1254*0.75</f>
        <v>6048.2264952183859</v>
      </c>
      <c r="BF1254" s="1138">
        <f>+U1226</f>
        <v>6326.1388411164198</v>
      </c>
      <c r="BG1254" s="1152">
        <f>+$BF1254*0.75+$BJ1254*0.25</f>
        <v>6620.6290410709316</v>
      </c>
      <c r="BH1254" s="1152">
        <f>+$BF1254*0.5+$BJ1254*0.5</f>
        <v>6915.1192410254425</v>
      </c>
      <c r="BI1254" s="1152">
        <f>+$BF1254*0.25+$BJ1254*0.75</f>
        <v>7209.6094409799525</v>
      </c>
      <c r="BJ1254" s="1138">
        <f>+V1226</f>
        <v>7504.0996409344643</v>
      </c>
      <c r="BK1254" s="1152">
        <f>+$BJ1254*0.75+$BN1254*0.25</f>
        <v>7861.8861369851456</v>
      </c>
      <c r="BL1254" s="1152">
        <f>+$BJ1254*0.5+$BN1254*0.5</f>
        <v>8219.6726330358269</v>
      </c>
      <c r="BM1254" s="1152">
        <f>+$BJ1254*0.25+$BN1254*0.75</f>
        <v>8577.4591290865083</v>
      </c>
      <c r="BN1254" s="1138">
        <f>+W1226</f>
        <v>8935.2456251371896</v>
      </c>
      <c r="BO1254" s="1152">
        <f>+$BN1254*0.75+$BR1254*0.25</f>
        <v>9283.6776719373047</v>
      </c>
      <c r="BP1254" s="1152">
        <f>+$BN1254*0.5+$BR1254*0.5</f>
        <v>9632.1097187374216</v>
      </c>
      <c r="BQ1254" s="1152">
        <f>+$BN1254*0.25+$BR1254*0.75</f>
        <v>9980.5417655375368</v>
      </c>
      <c r="BR1254" s="1138">
        <f>+X1226</f>
        <v>10328.973812337652</v>
      </c>
      <c r="BS1254" s="1152">
        <f>+$BR1254*0.75+$BV1254*0.25</f>
        <v>10646.93247738802</v>
      </c>
      <c r="BT1254" s="1152">
        <f>+$BR1254*0.5+$BV1254*0.5</f>
        <v>10964.891142438388</v>
      </c>
      <c r="BU1254" s="1152">
        <f>+$BR1254*0.25+$BV1254*0.75</f>
        <v>11282.849807488758</v>
      </c>
      <c r="BV1254" s="1138">
        <f>+Y1226</f>
        <v>11600.808472539125</v>
      </c>
      <c r="BW1254" s="1152">
        <f>+$BV1254*0.75+$BZ1254*0.25</f>
        <v>12025.680001074845</v>
      </c>
      <c r="BX1254" s="1152">
        <f>+$BV1254*0.5+$BZ1254*0.5</f>
        <v>12450.551529610566</v>
      </c>
      <c r="BY1254" s="1152">
        <f>+$BV1254*0.25+$BZ1254*0.75</f>
        <v>12875.423058146283</v>
      </c>
      <c r="BZ1254" s="1138">
        <f>+Z1226</f>
        <v>13300.294586682005</v>
      </c>
      <c r="CA1254" s="1152">
        <f>+$BZ1254*0.75+$CD1254*0.25</f>
        <v>13809.23929637549</v>
      </c>
      <c r="CB1254" s="1152">
        <f>+$BZ1254*0.5+$CD1254*0.5</f>
        <v>14318.184006068976</v>
      </c>
      <c r="CC1254" s="1152">
        <f>+$BZ1254*0.25+$CD1254*0.75</f>
        <v>14827.128715762461</v>
      </c>
      <c r="CD1254" s="1138">
        <f>+AA1226</f>
        <v>15336.073425455948</v>
      </c>
      <c r="CE1254" s="1152">
        <f>+$CD1254*0.75+$CH1254*0.25</f>
        <v>15797.97202989944</v>
      </c>
      <c r="CF1254" s="1152">
        <f>+$CD1254*0.5+$CH1254*0.5</f>
        <v>16259.870634342929</v>
      </c>
      <c r="CG1254" s="1152">
        <f>+$CD1254*0.25+$CH1254*0.75</f>
        <v>16721.769238786423</v>
      </c>
      <c r="CH1254" s="1138">
        <f>+AB1226</f>
        <v>17183.667843229912</v>
      </c>
      <c r="CI1254" s="1152">
        <f>+$CH1254*0.75+$CL1254*0.25</f>
        <v>17512.661731330176</v>
      </c>
      <c r="CJ1254" s="1152">
        <f>+$CH1254*0.5+$CL1254*0.5</f>
        <v>17841.655619430436</v>
      </c>
      <c r="CK1254" s="1152">
        <f>+$CH1254*0.25+$CL1254*0.75</f>
        <v>18170.649507530696</v>
      </c>
      <c r="CL1254" s="1138">
        <f>+AC1226</f>
        <v>18499.643395630959</v>
      </c>
      <c r="CM1254" s="1152">
        <f>+$CL1254*0.75+$CP1254*0.25</f>
        <v>19034.879290550365</v>
      </c>
      <c r="CN1254" s="1152">
        <f>+$CL1254*0.5+$CP1254*0.5</f>
        <v>19570.115185469767</v>
      </c>
      <c r="CO1254" s="1152">
        <f>+$CL1254*0.25+$CP1254*0.75</f>
        <v>20105.351080389173</v>
      </c>
      <c r="CP1254" s="1138">
        <f>+AD1226</f>
        <v>20640.586975308579</v>
      </c>
      <c r="CQ1254" s="1152">
        <f>+$CP1254*0.75+$CT1254*0.25</f>
        <v>20911.903112350636</v>
      </c>
      <c r="CR1254" s="1152">
        <f>+$CP1254*0.5+$CT1254*0.5</f>
        <v>21183.219249392692</v>
      </c>
      <c r="CS1254" s="1152">
        <f>+$CP1254*0.25+$CT1254*0.75</f>
        <v>21454.535386434749</v>
      </c>
      <c r="CT1254" s="1138">
        <f>+AE1226</f>
        <v>21725.851523476806</v>
      </c>
      <c r="CU1254" s="1152">
        <f>+$CP1254*0.75+$CT1254*0.25</f>
        <v>20911.903112350636</v>
      </c>
      <c r="CV1254" s="1152">
        <f>+$CP1254*0.5+$CT1254*0.5</f>
        <v>21183.219249392692</v>
      </c>
      <c r="CW1254" s="1152">
        <f>+$CP1254*0.25+$CT1254*0.75</f>
        <v>21454.535386434749</v>
      </c>
      <c r="CX1254" s="1138">
        <f>+AF1226</f>
        <v>24338.326570179037</v>
      </c>
      <c r="CY1254" s="1152">
        <f>+$CP1254*0.75+$CT1254*0.25</f>
        <v>20911.903112350636</v>
      </c>
      <c r="CZ1254" s="1152">
        <f>+$CP1254*0.5+$CT1254*0.5</f>
        <v>21183.219249392692</v>
      </c>
      <c r="DA1254" s="1152">
        <f>+$CP1254*0.25+$CT1254*0.75</f>
        <v>21454.535386434749</v>
      </c>
      <c r="DB1254" s="1138">
        <f>+AJ1226</f>
        <v>41443.231702515019</v>
      </c>
      <c r="DC1254" s="1152">
        <f>+$CP1254*0.75+$CT1254*0.25</f>
        <v>20911.903112350636</v>
      </c>
      <c r="DD1254" s="1152">
        <f>+$CP1254*0.5+$CT1254*0.5</f>
        <v>21183.219249392692</v>
      </c>
      <c r="DE1254" s="1152">
        <f>+$CP1254*0.25+$CT1254*0.75</f>
        <v>21454.535386434749</v>
      </c>
      <c r="DF1254" s="1138">
        <f>+AN1226</f>
        <v>65514.233392149617</v>
      </c>
    </row>
    <row r="1255" spans="4:110">
      <c r="D1255" s="1122" t="str">
        <f t="shared" si="1117"/>
        <v>depreciation rate</v>
      </c>
      <c r="E1255" s="3113"/>
      <c r="F1255" s="1123"/>
      <c r="G1255" s="1123"/>
      <c r="H1255" s="1123"/>
      <c r="I1255" s="1123"/>
      <c r="J1255" s="1125"/>
      <c r="K1255" s="1125"/>
      <c r="L1255" s="1125"/>
      <c r="M1255" s="1139">
        <f>+J1227</f>
        <v>0.04</v>
      </c>
      <c r="N1255" s="1152"/>
      <c r="O1255" s="1152"/>
      <c r="P1255" s="1152"/>
      <c r="Q1255" s="1139">
        <f>+K1227</f>
        <v>0.04</v>
      </c>
      <c r="R1255" s="1152"/>
      <c r="S1255" s="1152"/>
      <c r="T1255" s="1152"/>
      <c r="U1255" s="1139">
        <f>+L1227</f>
        <v>0.04</v>
      </c>
      <c r="V1255" s="1152"/>
      <c r="W1255" s="1152"/>
      <c r="X1255" s="1152"/>
      <c r="Y1255" s="1139">
        <f>+M1227</f>
        <v>0.04</v>
      </c>
      <c r="Z1255" s="1152"/>
      <c r="AA1255" s="1152"/>
      <c r="AB1255" s="1152"/>
      <c r="AC1255" s="1139">
        <f>+N1227</f>
        <v>0.04</v>
      </c>
      <c r="AD1255" s="2627"/>
      <c r="AE1255" s="2627"/>
      <c r="AF1255" s="2627"/>
      <c r="AG1255" s="3269">
        <f>+O1227</f>
        <v>0.04</v>
      </c>
      <c r="AH1255" s="2627"/>
      <c r="AI1255" s="2627"/>
      <c r="AJ1255" s="2627"/>
      <c r="AK1255" s="2627">
        <f>+P1227</f>
        <v>0.04</v>
      </c>
      <c r="AL1255" s="2627"/>
      <c r="AM1255" s="2627"/>
      <c r="AN1255" s="2627"/>
      <c r="AO1255" s="2627">
        <f>+Q1227</f>
        <v>0.04</v>
      </c>
      <c r="AP1255" s="2627"/>
      <c r="AQ1255" s="2627"/>
      <c r="AR1255" s="2627"/>
      <c r="AS1255" s="2627">
        <f>+R1227</f>
        <v>0.04</v>
      </c>
      <c r="AT1255" s="2627"/>
      <c r="AU1255" s="1152"/>
      <c r="AV1255" s="1152"/>
      <c r="AW1255" s="1152"/>
      <c r="AX1255" s="1152">
        <f>+S1227</f>
        <v>0.04</v>
      </c>
      <c r="AY1255" s="1152"/>
      <c r="AZ1255" s="1152"/>
      <c r="BA1255" s="1152"/>
      <c r="BB1255" s="1139">
        <f>+T1227</f>
        <v>0.04</v>
      </c>
      <c r="BC1255" s="1152"/>
      <c r="BD1255" s="1152"/>
      <c r="BE1255" s="1152"/>
      <c r="BF1255" s="1139">
        <f>+U1227</f>
        <v>0.04</v>
      </c>
      <c r="BG1255" s="1152"/>
      <c r="BH1255" s="1152"/>
      <c r="BI1255" s="1152"/>
      <c r="BJ1255" s="1139">
        <f>+V1227</f>
        <v>0.04</v>
      </c>
      <c r="BK1255" s="1152"/>
      <c r="BL1255" s="1152"/>
      <c r="BM1255" s="1152"/>
      <c r="BN1255" s="1139">
        <f>+W1227</f>
        <v>0.04</v>
      </c>
      <c r="BO1255" s="1152"/>
      <c r="BP1255" s="1152"/>
      <c r="BQ1255" s="1152"/>
      <c r="BR1255" s="1139">
        <f>+X1227</f>
        <v>0.04</v>
      </c>
      <c r="BS1255" s="1152"/>
      <c r="BT1255" s="1152"/>
      <c r="BU1255" s="1152"/>
      <c r="BV1255" s="1139">
        <f>+Y1227</f>
        <v>0.04</v>
      </c>
      <c r="BW1255" s="1152"/>
      <c r="BX1255" s="1152"/>
      <c r="BY1255" s="1152"/>
      <c r="BZ1255" s="1139">
        <f>+Z1227</f>
        <v>0.04</v>
      </c>
      <c r="CA1255" s="1152"/>
      <c r="CB1255" s="1152"/>
      <c r="CC1255" s="1152"/>
      <c r="CD1255" s="1139">
        <f>+AA1227</f>
        <v>0.04</v>
      </c>
      <c r="CE1255" s="1152"/>
      <c r="CF1255" s="1152"/>
      <c r="CG1255" s="1152"/>
      <c r="CH1255" s="1139">
        <f>+AB1227</f>
        <v>0.04</v>
      </c>
      <c r="CI1255" s="1152"/>
      <c r="CJ1255" s="1152"/>
      <c r="CK1255" s="1152"/>
      <c r="CL1255" s="1139">
        <f>+AC1227</f>
        <v>0.04</v>
      </c>
      <c r="CM1255" s="1152"/>
      <c r="CN1255" s="1152"/>
      <c r="CO1255" s="1152"/>
      <c r="CP1255" s="1139">
        <f>+AD1227</f>
        <v>0.04</v>
      </c>
      <c r="CQ1255" s="1152"/>
      <c r="CR1255" s="1152"/>
      <c r="CS1255" s="1152"/>
      <c r="CT1255" s="1139">
        <f>+AE1227</f>
        <v>0.04</v>
      </c>
      <c r="CU1255" s="1152"/>
      <c r="CV1255" s="1152"/>
      <c r="CW1255" s="1152"/>
      <c r="CX1255" s="1139">
        <f>+AF1227</f>
        <v>0.04</v>
      </c>
      <c r="CY1255" s="1152"/>
      <c r="CZ1255" s="1152"/>
      <c r="DA1255" s="1152"/>
      <c r="DB1255" s="1139">
        <f>+AJ1227</f>
        <v>0.04</v>
      </c>
      <c r="DC1255" s="1152"/>
      <c r="DD1255" s="1152"/>
      <c r="DE1255" s="1152"/>
      <c r="DF1255" s="1139">
        <f>+AN1227</f>
        <v>0.04</v>
      </c>
    </row>
    <row r="1256" spans="4:110">
      <c r="D1256" s="1122" t="str">
        <f t="shared" si="1117"/>
        <v>Public capital stock (perpetual inventory) end-year 2014 prices (depr rate)</v>
      </c>
      <c r="E1256" s="3118" t="str">
        <f>+E1228</f>
        <v>fraction 0.8 of Budget</v>
      </c>
      <c r="F1256" s="1123"/>
      <c r="G1256" s="1123"/>
      <c r="H1256" s="1123"/>
      <c r="I1256" s="1123"/>
      <c r="J1256" s="1124"/>
      <c r="K1256" s="1124"/>
      <c r="L1256" s="1124"/>
      <c r="M1256" s="1138">
        <f>+J1228</f>
        <v>309.75</v>
      </c>
      <c r="N1256" s="1152">
        <f>+$M1256*0.75+$Q1256*0.25</f>
        <v>341.15543503366069</v>
      </c>
      <c r="O1256" s="1152">
        <f>+$M1256*0.5+$Q1256*0.5</f>
        <v>372.56087006732139</v>
      </c>
      <c r="P1256" s="1152">
        <f>+$M1256*0.25+$Q1256*0.75</f>
        <v>403.96630510098214</v>
      </c>
      <c r="Q1256" s="1138">
        <f>+K1228</f>
        <v>435.37174013464283</v>
      </c>
      <c r="R1256" s="1152">
        <f>+$Q1256*0.75+$U1256*0.25</f>
        <v>459.76636597755135</v>
      </c>
      <c r="S1256" s="1152">
        <f>+$Q1256*0.5+$U1256*0.5</f>
        <v>484.1609918204598</v>
      </c>
      <c r="T1256" s="1152">
        <f>+$Q1256*0.25+$U1256*0.75</f>
        <v>508.55561766336831</v>
      </c>
      <c r="U1256" s="1138">
        <f>+L1228</f>
        <v>532.95024350627682</v>
      </c>
      <c r="V1256" s="1152">
        <f>+$U1256*0.75+$Y1256*0.25</f>
        <v>556.56741746513183</v>
      </c>
      <c r="W1256" s="1152">
        <f>+$U1256*0.5+$Y1256*0.5</f>
        <v>580.18459142398683</v>
      </c>
      <c r="X1256" s="1152">
        <f>+$U1256*0.25+$Y1256*0.75</f>
        <v>603.80176538284172</v>
      </c>
      <c r="Y1256" s="1138">
        <f>+M1228</f>
        <v>627.41893934169673</v>
      </c>
      <c r="Z1256" s="1152">
        <f>+$Y1256*0.75+$AC1256*0.25</f>
        <v>648.64273763747769</v>
      </c>
      <c r="AA1256" s="1152">
        <f>+$Y1256*0.5+$AC1256*0.5</f>
        <v>669.86653593325877</v>
      </c>
      <c r="AB1256" s="1152">
        <f>+$Y1256*0.25+$AC1256*0.75</f>
        <v>691.09033422903997</v>
      </c>
      <c r="AC1256" s="1138">
        <f>+N1228</f>
        <v>712.31413252482093</v>
      </c>
      <c r="AD1256" s="2627">
        <f>+$AC1256*0.75+$AG1256*0.25</f>
        <v>736.5573878781446</v>
      </c>
      <c r="AE1256" s="2627">
        <f>+$AC1256*0.5+$AG1256*0.5</f>
        <v>760.80064323146826</v>
      </c>
      <c r="AF1256" s="2627">
        <f>+$AC1256*0.25+$AG1256*0.75</f>
        <v>785.0438985847918</v>
      </c>
      <c r="AG1256" s="1707">
        <f>+O1228</f>
        <v>809.28715393811547</v>
      </c>
      <c r="AH1256" s="2627">
        <f>+$AG1256*0.75+$AK1256*0.25</f>
        <v>839.48267560947261</v>
      </c>
      <c r="AI1256" s="2627">
        <f>+$AG1256*0.5+$AK1256*0.5</f>
        <v>869.67819728082986</v>
      </c>
      <c r="AJ1256" s="2627">
        <f>+$AG1256*0.25+$AK1256*0.75</f>
        <v>899.87371895218701</v>
      </c>
      <c r="AK1256" s="2627">
        <f>+P1228</f>
        <v>930.06924062354415</v>
      </c>
      <c r="AL1256" s="2627">
        <f>+$AK1256*0.75+$AO1256*0.25</f>
        <v>1011.5785353017343</v>
      </c>
      <c r="AM1256" s="2627">
        <f>+$AK1256*0.5+$AO1256*0.5</f>
        <v>1093.0878299799244</v>
      </c>
      <c r="AN1256" s="2627">
        <f>+$AK1256*0.25+$AO1256*0.75</f>
        <v>1174.5971246581146</v>
      </c>
      <c r="AO1256" s="1707">
        <f>+Q1228</f>
        <v>1256.1064193363047</v>
      </c>
      <c r="AP1256" s="2627">
        <f>+$AO1256*0.75+$AS1256*0.25</f>
        <v>1352.6525370572758</v>
      </c>
      <c r="AQ1256" s="2627">
        <f>+$AO1256*0.5+$AS1256*0.5</f>
        <v>1449.1986547782471</v>
      </c>
      <c r="AR1256" s="2627">
        <f>+$AO1256*0.25+$AS1256*0.75</f>
        <v>1545.7447724992182</v>
      </c>
      <c r="AS1256" s="1707">
        <f>+R1228</f>
        <v>1642.2908902201893</v>
      </c>
      <c r="AT1256" s="2627">
        <f>+$AS1256*0.75+$AX1256*0.25</f>
        <v>1763.2415359992883</v>
      </c>
      <c r="AU1256" s="1152"/>
      <c r="AV1256" s="1152">
        <f>+$AS1256*0.5+$AX1256*0.5</f>
        <v>1884.1921817783873</v>
      </c>
      <c r="AW1256" s="1152">
        <f>+$AS1256*0.25+$AX1256*0.75</f>
        <v>2005.1428275574863</v>
      </c>
      <c r="AX1256" s="1138">
        <f>+S1228</f>
        <v>2126.0934733365852</v>
      </c>
      <c r="AY1256" s="1152">
        <f>+$AX1256*0.75+$BB1256*0.25</f>
        <v>2264.3453780662849</v>
      </c>
      <c r="AZ1256" s="1152">
        <f>+$AX1256*0.5+$BB1256*0.5</f>
        <v>2402.597282795984</v>
      </c>
      <c r="BA1256" s="1152">
        <f>+$AX1256*0.25+$BB1256*0.75</f>
        <v>2540.8491875256836</v>
      </c>
      <c r="BB1256" s="1138">
        <f>+T1228</f>
        <v>2679.1010922553833</v>
      </c>
      <c r="BC1256" s="1152">
        <f>+$BB1256*0.75+$BF1256*0.25</f>
        <v>2803.5494699555102</v>
      </c>
      <c r="BD1256" s="1152">
        <f>+$BB1256*0.5+$BF1256*0.5</f>
        <v>2927.9978476556366</v>
      </c>
      <c r="BE1256" s="1152">
        <f>+$BB1256*0.25+$BF1256*0.75</f>
        <v>3052.4462253557631</v>
      </c>
      <c r="BF1256" s="1138">
        <f>+U1228</f>
        <v>3176.89460305589</v>
      </c>
      <c r="BG1256" s="1152">
        <f>+$BF1256*0.75+$BJ1256*0.25</f>
        <v>3314.0374234211149</v>
      </c>
      <c r="BH1256" s="1152">
        <f>+$BF1256*0.5+$BJ1256*0.5</f>
        <v>3451.1802437863403</v>
      </c>
      <c r="BI1256" s="1152">
        <f>+$BF1256*0.25+$BJ1256*0.75</f>
        <v>3588.3230641515656</v>
      </c>
      <c r="BJ1256" s="1138">
        <f>+V1228</f>
        <v>3725.4658845167905</v>
      </c>
      <c r="BK1256" s="1152">
        <f>+$BJ1256*0.75+$BN1256*0.25</f>
        <v>3898.6042302785345</v>
      </c>
      <c r="BL1256" s="1152">
        <f>+$BJ1256*0.5+$BN1256*0.5</f>
        <v>4071.7425760402784</v>
      </c>
      <c r="BM1256" s="1152">
        <f>+$BJ1256*0.25+$BN1256*0.75</f>
        <v>4244.8809218020224</v>
      </c>
      <c r="BN1256" s="1138">
        <f>+W1228</f>
        <v>4418.0192675637663</v>
      </c>
      <c r="BO1256" s="1152">
        <f>+$BN1256*0.75+$BR1256*0.25</f>
        <v>4629.8721440900044</v>
      </c>
      <c r="BP1256" s="1152">
        <f>+$BN1256*0.5+$BR1256*0.5</f>
        <v>4841.7250206162435</v>
      </c>
      <c r="BQ1256" s="1152">
        <f>+$BN1256*0.25+$BR1256*0.75</f>
        <v>5053.5778971424825</v>
      </c>
      <c r="BR1256" s="1138">
        <f>+X1228</f>
        <v>5265.4307736687206</v>
      </c>
      <c r="BS1256" s="1152">
        <f>+$BR1256*0.75+$BV1256*0.25</f>
        <v>5525.7734281595458</v>
      </c>
      <c r="BT1256" s="1152">
        <f>+$BR1256*0.5+$BV1256*0.5</f>
        <v>5786.116082650371</v>
      </c>
      <c r="BU1256" s="1152">
        <f>+$BR1256*0.25+$BV1256*0.75</f>
        <v>6046.4587371411963</v>
      </c>
      <c r="BV1256" s="1138">
        <f>+Y1228</f>
        <v>6306.8013916320215</v>
      </c>
      <c r="BW1256" s="1152">
        <f>+$BV1256*0.75+$BZ1256*0.25</f>
        <v>6568.7542696732107</v>
      </c>
      <c r="BX1256" s="1152">
        <f>+$BV1256*0.5+$BZ1256*0.5</f>
        <v>6830.7071477144</v>
      </c>
      <c r="BY1256" s="1152">
        <f>+$BV1256*0.25+$BZ1256*0.75</f>
        <v>7092.6600257555892</v>
      </c>
      <c r="BZ1256" s="1138">
        <f>+Z1228</f>
        <v>7354.6129037967776</v>
      </c>
      <c r="CA1256" s="1152">
        <f>+$BZ1256*0.75+$CD1256*0.25</f>
        <v>7580.4489175877425</v>
      </c>
      <c r="CB1256" s="1152">
        <f>+$BZ1256*0.5+$CD1256*0.5</f>
        <v>7806.2849313787065</v>
      </c>
      <c r="CC1256" s="1152">
        <f>+$BZ1256*0.25+$CD1256*0.75</f>
        <v>8032.1209451696704</v>
      </c>
      <c r="CD1256" s="1138">
        <f>+AA1228</f>
        <v>8257.9569589606344</v>
      </c>
      <c r="CE1256" s="1152">
        <f>+$CD1256*0.75+$CH1256*0.25</f>
        <v>8473.5853892690793</v>
      </c>
      <c r="CF1256" s="1152">
        <f>+$CD1256*0.5+$CH1256*0.5</f>
        <v>8689.213819577526</v>
      </c>
      <c r="CG1256" s="1152">
        <f>+$CD1256*0.25+$CH1256*0.75</f>
        <v>8904.8422498859709</v>
      </c>
      <c r="CH1256" s="1138">
        <f>+AB1228</f>
        <v>9120.4706801944158</v>
      </c>
      <c r="CI1256" s="1152">
        <f>+$CH1256*0.75+$CL1256*0.25</f>
        <v>9483.1371719106392</v>
      </c>
      <c r="CJ1256" s="1152">
        <f>+$CH1256*0.5+$CL1256*0.5</f>
        <v>9845.8036636268644</v>
      </c>
      <c r="CK1256" s="1152">
        <f>+$CH1256*0.25+$CL1256*0.75</f>
        <v>10208.47015534309</v>
      </c>
      <c r="CL1256" s="1138">
        <f>+AC1228</f>
        <v>10571.136647059313</v>
      </c>
      <c r="CM1256" s="1152">
        <f>+$CL1256*0.75+$CP1256*0.25</f>
        <v>10991.834714139477</v>
      </c>
      <c r="CN1256" s="1152">
        <f>+$CL1256*0.5+$CP1256*0.5</f>
        <v>11412.532781219643</v>
      </c>
      <c r="CO1256" s="1152">
        <f>+$CL1256*0.25+$CP1256*0.75</f>
        <v>11833.230848299807</v>
      </c>
      <c r="CP1256" s="1138">
        <f>+AD1228</f>
        <v>12253.928915379973</v>
      </c>
      <c r="CQ1256" s="1152">
        <f>+$CP1256*0.75+$CT1256*0.25</f>
        <v>12747.369852863703</v>
      </c>
      <c r="CR1256" s="1152">
        <f>+$CP1256*0.5+$CT1256*0.5</f>
        <v>13240.810790347437</v>
      </c>
      <c r="CS1256" s="1152">
        <f>+$CP1256*0.25+$CT1256*0.75</f>
        <v>13734.251727831172</v>
      </c>
      <c r="CT1256" s="1138">
        <f>+AE1228</f>
        <v>14227.692665314902</v>
      </c>
      <c r="CU1256" s="1152">
        <f>+$CP1256*0.75+$CT1256*0.25</f>
        <v>12747.369852863703</v>
      </c>
      <c r="CV1256" s="1152">
        <f>+$CP1256*0.5+$CT1256*0.5</f>
        <v>13240.810790347437</v>
      </c>
      <c r="CW1256" s="1152">
        <f>+$CP1256*0.25+$CT1256*0.75</f>
        <v>13734.251727831172</v>
      </c>
      <c r="CX1256" s="1138">
        <f>+AF1228</f>
        <v>15375.491241040723</v>
      </c>
      <c r="CY1256" s="1152">
        <f>+$CP1256*0.75+$CT1256*0.25</f>
        <v>12747.369852863703</v>
      </c>
      <c r="CZ1256" s="1152">
        <f>+$CP1256*0.5+$CT1256*0.5</f>
        <v>13240.810790347437</v>
      </c>
      <c r="DA1256" s="1152">
        <f>+$CP1256*0.25+$CT1256*0.75</f>
        <v>13734.251727831172</v>
      </c>
      <c r="DB1256" s="1138">
        <f>+AJ1228</f>
        <v>19520.5600925256</v>
      </c>
      <c r="DC1256" s="1152">
        <f>+$CP1256*0.75+$CT1256*0.25</f>
        <v>12747.369852863703</v>
      </c>
      <c r="DD1256" s="1152">
        <f>+$CP1256*0.5+$CT1256*0.5</f>
        <v>13240.810790347437</v>
      </c>
      <c r="DE1256" s="1152">
        <f>+$CP1256*0.25+$CT1256*0.75</f>
        <v>13734.251727831172</v>
      </c>
      <c r="DF1256" s="1138">
        <f>+AN1228</f>
        <v>24777.188194054761</v>
      </c>
    </row>
    <row r="1257" spans="4:110">
      <c r="D1257" s="1122" t="str">
        <f t="shared" si="1117"/>
        <v>depreciation rate</v>
      </c>
      <c r="E1257" s="3113"/>
      <c r="F1257" s="1123"/>
      <c r="G1257" s="1123"/>
      <c r="H1257" s="1123"/>
      <c r="I1257" s="1123"/>
      <c r="J1257" s="1126"/>
      <c r="K1257" s="1126"/>
      <c r="L1257" s="1126"/>
      <c r="M1257" s="1140">
        <f>+J1229</f>
        <v>2.5000000000000001E-2</v>
      </c>
      <c r="N1257" s="1152"/>
      <c r="O1257" s="1152"/>
      <c r="P1257" s="1152"/>
      <c r="Q1257" s="1140">
        <f>+K1229</f>
        <v>2.5000000000000001E-2</v>
      </c>
      <c r="R1257" s="1152"/>
      <c r="S1257" s="1152"/>
      <c r="T1257" s="1152"/>
      <c r="U1257" s="1140">
        <f>+L1229</f>
        <v>2.5000000000000001E-2</v>
      </c>
      <c r="V1257" s="1152"/>
      <c r="W1257" s="1152"/>
      <c r="X1257" s="1152"/>
      <c r="Y1257" s="1140">
        <f>+M1229</f>
        <v>2.5000000000000001E-2</v>
      </c>
      <c r="Z1257" s="1152"/>
      <c r="AA1257" s="1152"/>
      <c r="AB1257" s="1152"/>
      <c r="AC1257" s="1140">
        <f>+N1229</f>
        <v>2.5000000000000001E-2</v>
      </c>
      <c r="AD1257" s="2627"/>
      <c r="AE1257" s="2627"/>
      <c r="AF1257" s="2627"/>
      <c r="AG1257" s="1708">
        <f>+O1229</f>
        <v>2.5000000000000001E-2</v>
      </c>
      <c r="AH1257" s="2627"/>
      <c r="AI1257" s="2627"/>
      <c r="AJ1257" s="2627"/>
      <c r="AK1257" s="2627">
        <f>+P1229</f>
        <v>2.5000000000000001E-2</v>
      </c>
      <c r="AL1257" s="2627"/>
      <c r="AM1257" s="2627"/>
      <c r="AN1257" s="2627"/>
      <c r="AO1257" s="1708">
        <f>+Q1229</f>
        <v>2.5000000000000001E-2</v>
      </c>
      <c r="AP1257" s="2627"/>
      <c r="AQ1257" s="2627"/>
      <c r="AR1257" s="2627"/>
      <c r="AS1257" s="1708">
        <f>+R1229</f>
        <v>2.5000000000000001E-2</v>
      </c>
      <c r="AT1257" s="2627"/>
      <c r="AU1257" s="1152"/>
      <c r="AV1257" s="1152"/>
      <c r="AW1257" s="1152"/>
      <c r="AX1257" s="1140">
        <f>+S1229</f>
        <v>2.5000000000000001E-2</v>
      </c>
      <c r="AY1257" s="1152"/>
      <c r="AZ1257" s="1152"/>
      <c r="BA1257" s="1152"/>
      <c r="BB1257" s="1140">
        <f>+T1229</f>
        <v>2.5000000000000001E-2</v>
      </c>
      <c r="BC1257" s="1152"/>
      <c r="BD1257" s="1152"/>
      <c r="BE1257" s="1152"/>
      <c r="BF1257" s="1140">
        <f>+U1229</f>
        <v>2.5000000000000001E-2</v>
      </c>
      <c r="BG1257" s="1152"/>
      <c r="BH1257" s="1152"/>
      <c r="BI1257" s="1152"/>
      <c r="BJ1257" s="1140">
        <f>+V1229</f>
        <v>2.5000000000000001E-2</v>
      </c>
      <c r="BK1257" s="1152"/>
      <c r="BL1257" s="1152"/>
      <c r="BM1257" s="1152"/>
      <c r="BN1257" s="1140">
        <f>+W1229</f>
        <v>2.5000000000000001E-2</v>
      </c>
      <c r="BO1257" s="1152"/>
      <c r="BP1257" s="1152"/>
      <c r="BQ1257" s="1152"/>
      <c r="BR1257" s="1140">
        <f>+X1229</f>
        <v>2.5000000000000001E-2</v>
      </c>
      <c r="BS1257" s="1152"/>
      <c r="BT1257" s="1152"/>
      <c r="BU1257" s="1152"/>
      <c r="BV1257" s="1140">
        <f>+Y1229</f>
        <v>2.5000000000000001E-2</v>
      </c>
      <c r="BW1257" s="1152"/>
      <c r="BX1257" s="1152"/>
      <c r="BY1257" s="1152"/>
      <c r="BZ1257" s="1140">
        <f>+Z1229</f>
        <v>2.5000000000000001E-2</v>
      </c>
      <c r="CA1257" s="1152"/>
      <c r="CB1257" s="1152"/>
      <c r="CC1257" s="1152"/>
      <c r="CD1257" s="1140">
        <f>+AA1229</f>
        <v>2.5000000000000001E-2</v>
      </c>
      <c r="CE1257" s="1152"/>
      <c r="CF1257" s="1152"/>
      <c r="CG1257" s="1152"/>
      <c r="CH1257" s="1140">
        <f>+AB1229</f>
        <v>2.5000000000000001E-2</v>
      </c>
      <c r="CI1257" s="1152"/>
      <c r="CJ1257" s="1152"/>
      <c r="CK1257" s="1152"/>
      <c r="CL1257" s="1140">
        <f>+AC1229</f>
        <v>2.5000000000000001E-2</v>
      </c>
      <c r="CM1257" s="1152"/>
      <c r="CN1257" s="1152"/>
      <c r="CO1257" s="1152"/>
      <c r="CP1257" s="1140">
        <f>+AD1229</f>
        <v>2.5000000000000001E-2</v>
      </c>
      <c r="CQ1257" s="1152"/>
      <c r="CR1257" s="1152"/>
      <c r="CS1257" s="1152"/>
      <c r="CT1257" s="1140">
        <f>+AE1229</f>
        <v>2.5000000000000001E-2</v>
      </c>
      <c r="CU1257" s="1152"/>
      <c r="CV1257" s="1152"/>
      <c r="CW1257" s="1152"/>
      <c r="CX1257" s="1140">
        <f>+AF1229</f>
        <v>2.5000000000000001E-2</v>
      </c>
      <c r="CY1257" s="1152"/>
      <c r="CZ1257" s="1152"/>
      <c r="DA1257" s="1152"/>
      <c r="DB1257" s="1140">
        <f>+AJ1229</f>
        <v>2.5000000000000001E-2</v>
      </c>
      <c r="DC1257" s="1152"/>
      <c r="DD1257" s="1152"/>
      <c r="DE1257" s="1152"/>
      <c r="DF1257" s="1140">
        <f>+AN1229</f>
        <v>2.5000000000000001E-2</v>
      </c>
    </row>
    <row r="1258" spans="4:110">
      <c r="D1258" s="1119" t="str">
        <f t="shared" si="1117"/>
        <v>Real exchange rate components</v>
      </c>
      <c r="E1258" s="3119" t="str">
        <f>+E1230</f>
        <v>fr REAL OUTPUT</v>
      </c>
      <c r="F1258" s="1123"/>
      <c r="G1258" s="1123"/>
      <c r="H1258" s="1123"/>
      <c r="I1258" s="1123"/>
      <c r="J1258" s="1123"/>
      <c r="K1258" s="1123"/>
      <c r="L1258" s="1123"/>
      <c r="M1258" s="1141"/>
      <c r="N1258" s="1153"/>
      <c r="O1258" s="1153"/>
      <c r="P1258" s="1153"/>
      <c r="Q1258" s="1141"/>
      <c r="R1258" s="1153"/>
      <c r="S1258" s="1153"/>
      <c r="T1258" s="1153"/>
      <c r="U1258" s="1141"/>
      <c r="V1258" s="1153"/>
      <c r="W1258" s="1153"/>
      <c r="X1258" s="1153"/>
      <c r="Y1258" s="1141"/>
      <c r="Z1258" s="1153"/>
      <c r="AA1258" s="1153"/>
      <c r="AB1258" s="1153"/>
      <c r="AC1258" s="1141"/>
      <c r="AD1258" s="2628"/>
      <c r="AE1258" s="2628"/>
      <c r="AF1258" s="2628"/>
      <c r="AG1258" s="1706"/>
      <c r="AH1258" s="2628"/>
      <c r="AI1258" s="2628"/>
      <c r="AJ1258" s="2628"/>
      <c r="AK1258" s="2628"/>
      <c r="AL1258" s="2628"/>
      <c r="AM1258" s="2628"/>
      <c r="AN1258" s="2628"/>
      <c r="AO1258" s="1706"/>
      <c r="AP1258" s="2628"/>
      <c r="AQ1258" s="2628"/>
      <c r="AR1258" s="2628"/>
      <c r="AS1258" s="1706"/>
      <c r="AT1258" s="2628"/>
      <c r="AU1258" s="1153"/>
      <c r="AV1258" s="1153"/>
      <c r="AW1258" s="1153"/>
      <c r="AX1258" s="1141"/>
      <c r="AY1258" s="1153"/>
      <c r="AZ1258" s="1153"/>
      <c r="BA1258" s="1153"/>
      <c r="BB1258" s="1141"/>
      <c r="BC1258" s="1153"/>
      <c r="BD1258" s="1153"/>
      <c r="BE1258" s="1153"/>
      <c r="BF1258" s="1141"/>
      <c r="BG1258" s="1153"/>
      <c r="BH1258" s="1153"/>
      <c r="BI1258" s="1153"/>
      <c r="BJ1258" s="1141"/>
      <c r="BK1258" s="1153"/>
      <c r="BL1258" s="1153"/>
      <c r="BM1258" s="1153"/>
      <c r="BN1258" s="1141"/>
      <c r="BO1258" s="1153"/>
      <c r="BP1258" s="1153"/>
      <c r="BQ1258" s="1153"/>
      <c r="BR1258" s="1141"/>
      <c r="BS1258" s="1153"/>
      <c r="BT1258" s="1153"/>
      <c r="BU1258" s="1153"/>
      <c r="BV1258" s="1141"/>
      <c r="BW1258" s="1153"/>
      <c r="BX1258" s="1153"/>
      <c r="BY1258" s="1153"/>
      <c r="BZ1258" s="1141"/>
      <c r="CA1258" s="1153"/>
      <c r="CB1258" s="1153"/>
      <c r="CC1258" s="1153"/>
      <c r="CD1258" s="1141"/>
      <c r="CE1258" s="1153"/>
      <c r="CF1258" s="1153"/>
      <c r="CG1258" s="1153"/>
      <c r="CH1258" s="1141"/>
      <c r="CI1258" s="1153"/>
      <c r="CJ1258" s="1153"/>
      <c r="CK1258" s="1153"/>
      <c r="CL1258" s="1141"/>
      <c r="CM1258" s="1153"/>
      <c r="CN1258" s="1153"/>
      <c r="CO1258" s="1153"/>
      <c r="CP1258" s="1141"/>
      <c r="CQ1258" s="1153"/>
      <c r="CR1258" s="1153"/>
      <c r="CS1258" s="1153"/>
      <c r="CT1258" s="1141"/>
      <c r="CU1258" s="1153"/>
      <c r="CV1258" s="1153"/>
      <c r="CW1258" s="1153"/>
      <c r="CX1258" s="1141"/>
      <c r="CY1258" s="1153"/>
      <c r="CZ1258" s="1153"/>
      <c r="DA1258" s="1153"/>
      <c r="DB1258" s="1141"/>
      <c r="DC1258" s="1153"/>
      <c r="DD1258" s="1153"/>
      <c r="DE1258" s="1153"/>
      <c r="DF1258" s="1141"/>
    </row>
    <row r="1259" spans="4:110">
      <c r="D1259" s="1128" t="str">
        <f t="shared" si="1117"/>
        <v>CPI (Period Average, pa)</v>
      </c>
      <c r="E1259" s="3113"/>
      <c r="F1259" s="1123"/>
      <c r="G1259" s="1123"/>
      <c r="H1259" s="1123"/>
      <c r="I1259" s="1123"/>
      <c r="J1259" s="1129"/>
      <c r="K1259" s="1129"/>
      <c r="L1259" s="1129"/>
      <c r="M1259" s="1142">
        <f>+J1231/4</f>
        <v>-2.5571904269517498E-2</v>
      </c>
      <c r="N1259" s="1154">
        <f>+Q1259</f>
        <v>5.3036972163650886E-3</v>
      </c>
      <c r="O1259" s="1154">
        <f>+Q1259</f>
        <v>5.3036972163650886E-3</v>
      </c>
      <c r="P1259" s="1154">
        <f>+Q1259</f>
        <v>5.3036972163650886E-3</v>
      </c>
      <c r="Q1259" s="1142">
        <f>+K1231/4</f>
        <v>5.3036972163650886E-3</v>
      </c>
      <c r="R1259" s="1154">
        <f>+U1259</f>
        <v>2.8735576192563395E-3</v>
      </c>
      <c r="S1259" s="1154">
        <f>+U1259</f>
        <v>2.8735576192563395E-3</v>
      </c>
      <c r="T1259" s="1154">
        <f>+U1259</f>
        <v>2.8735576192563395E-3</v>
      </c>
      <c r="U1259" s="1142">
        <f>+L1231/4</f>
        <v>2.8735576192563395E-3</v>
      </c>
      <c r="V1259" s="1154">
        <f>+Y1259</f>
        <v>-3.1254482495183256E-3</v>
      </c>
      <c r="W1259" s="1154">
        <f>+Y1259</f>
        <v>-3.1254482495183256E-3</v>
      </c>
      <c r="X1259" s="1154">
        <f>+Y1259</f>
        <v>-3.1254482495183256E-3</v>
      </c>
      <c r="Y1259" s="1142">
        <f>+M1231/4</f>
        <v>-3.1254482495183256E-3</v>
      </c>
      <c r="Z1259" s="1154">
        <f>+AC1259</f>
        <v>2.9360590944187689E-2</v>
      </c>
      <c r="AA1259" s="1154">
        <f>+AC1259</f>
        <v>2.9360590944187689E-2</v>
      </c>
      <c r="AB1259" s="1154">
        <f>+AC1259</f>
        <v>2.9360590944187689E-2</v>
      </c>
      <c r="AC1259" s="1142">
        <f>+N1231/4</f>
        <v>2.9360590944187689E-2</v>
      </c>
      <c r="AD1259" s="2629">
        <f>+AG1259</f>
        <v>2.9844520765015092E-2</v>
      </c>
      <c r="AE1259" s="2629">
        <f>+AG1259</f>
        <v>2.9844520765015092E-2</v>
      </c>
      <c r="AF1259" s="2629">
        <f>+AG1259</f>
        <v>2.9844520765015092E-2</v>
      </c>
      <c r="AG1259" s="1709">
        <f>+O1231/4</f>
        <v>2.9844520765015092E-2</v>
      </c>
      <c r="AH1259" s="2629">
        <f>+AK1259</f>
        <v>2.2831744410141908E-2</v>
      </c>
      <c r="AI1259" s="2629">
        <f>+AK1259</f>
        <v>2.2831744410141908E-2</v>
      </c>
      <c r="AJ1259" s="2629">
        <f>+AK1259</f>
        <v>2.2831744410141908E-2</v>
      </c>
      <c r="AK1259" s="2629">
        <f>+P1231/4</f>
        <v>2.2831744410141908E-2</v>
      </c>
      <c r="AL1259" s="2629">
        <f>+AO1259</f>
        <v>2.2078348595125474E-2</v>
      </c>
      <c r="AM1259" s="2629">
        <f>+AO1259</f>
        <v>2.2078348595125474E-2</v>
      </c>
      <c r="AN1259" s="2629">
        <f>+AO1259</f>
        <v>2.2078348595125474E-2</v>
      </c>
      <c r="AO1259" s="1709">
        <f>+Q1231/4</f>
        <v>2.2078348595125474E-2</v>
      </c>
      <c r="AP1259" s="2629">
        <f>+AS1259</f>
        <v>2.2702435271531374E-2</v>
      </c>
      <c r="AQ1259" s="2629">
        <f>+AS1259</f>
        <v>2.2702435271531374E-2</v>
      </c>
      <c r="AR1259" s="2629">
        <f>+AS1259</f>
        <v>2.2702435271531374E-2</v>
      </c>
      <c r="AS1259" s="1709">
        <f>+R1231/4</f>
        <v>2.2702435271531374E-2</v>
      </c>
      <c r="AT1259" s="2629">
        <f>+AX1259</f>
        <v>3.8603774124575996E-2</v>
      </c>
      <c r="AU1259" s="1154"/>
      <c r="AV1259" s="1154">
        <f>+AX1259</f>
        <v>3.8603774124575996E-2</v>
      </c>
      <c r="AW1259" s="1154">
        <f>+AX1259</f>
        <v>3.8603774124575996E-2</v>
      </c>
      <c r="AX1259" s="1158">
        <f>+S1231/4</f>
        <v>3.8603774124575996E-2</v>
      </c>
      <c r="AY1259" s="1154">
        <f>+BB1259</f>
        <v>2.5850552935877458E-2</v>
      </c>
      <c r="AZ1259" s="1154">
        <f>+BB1259</f>
        <v>2.5850552935877458E-2</v>
      </c>
      <c r="BA1259" s="1154">
        <f>+BB1259</f>
        <v>2.5850552935877458E-2</v>
      </c>
      <c r="BB1259" s="1158">
        <f>+T1231/4</f>
        <v>2.5850552935877458E-2</v>
      </c>
      <c r="BC1259" s="1154">
        <f>+BF1259</f>
        <v>5.7683193287407231E-3</v>
      </c>
      <c r="BD1259" s="1154">
        <f>+BF1259</f>
        <v>5.7683193287407231E-3</v>
      </c>
      <c r="BE1259" s="1154">
        <f>+BF1259</f>
        <v>5.7683193287407231E-3</v>
      </c>
      <c r="BF1259" s="1158">
        <f>+U1231/4</f>
        <v>5.7683193287407231E-3</v>
      </c>
      <c r="BG1259" s="1154">
        <f>+BJ1259</f>
        <v>1.4168924961373074E-2</v>
      </c>
      <c r="BH1259" s="1154">
        <f>+BJ1259</f>
        <v>1.4168924961373074E-2</v>
      </c>
      <c r="BI1259" s="1154">
        <f>+BJ1259</f>
        <v>1.4168924961373074E-2</v>
      </c>
      <c r="BJ1259" s="1158">
        <f>+V1231/4</f>
        <v>1.4168924961373074E-2</v>
      </c>
      <c r="BK1259" s="1154">
        <f>+BN1259</f>
        <v>1.5715962362570557E-2</v>
      </c>
      <c r="BL1259" s="1154">
        <f>+BN1259</f>
        <v>1.5715962362570557E-2</v>
      </c>
      <c r="BM1259" s="1154">
        <f>+BN1259</f>
        <v>1.5715962362570557E-2</v>
      </c>
      <c r="BN1259" s="1158">
        <f>+W1231/4</f>
        <v>1.5715962362570557E-2</v>
      </c>
      <c r="BO1259" s="1154">
        <f>+BR1259</f>
        <v>1.0500000000000001E-2</v>
      </c>
      <c r="BP1259" s="1154">
        <f>+BR1259</f>
        <v>1.0500000000000001E-2</v>
      </c>
      <c r="BQ1259" s="1154">
        <f>+BR1259</f>
        <v>1.0500000000000001E-2</v>
      </c>
      <c r="BR1259" s="1158">
        <f>+X1231/4</f>
        <v>1.0500000000000001E-2</v>
      </c>
      <c r="BS1259" s="1154">
        <f>+BV1259</f>
        <v>4.460025669783485E-3</v>
      </c>
      <c r="BT1259" s="1154">
        <f>+BV1259</f>
        <v>4.460025669783485E-3</v>
      </c>
      <c r="BU1259" s="1154">
        <f>+BV1259</f>
        <v>4.460025669783485E-3</v>
      </c>
      <c r="BV1259" s="1158">
        <f>+Y1231/4</f>
        <v>4.460025669783485E-3</v>
      </c>
      <c r="BW1259" s="1154">
        <f>+BZ1259</f>
        <v>6.2682471919169869E-3</v>
      </c>
      <c r="BX1259" s="1154">
        <f>+BZ1259</f>
        <v>6.2682471919169869E-3</v>
      </c>
      <c r="BY1259" s="1154">
        <f>+BZ1259</f>
        <v>6.2682471919169869E-3</v>
      </c>
      <c r="BZ1259" s="1158">
        <f>+Z1231/4</f>
        <v>6.2682471919169869E-3</v>
      </c>
      <c r="CA1259" s="1154">
        <f>+CD1259</f>
        <v>1.43086575E-2</v>
      </c>
      <c r="CB1259" s="1154">
        <f>+CD1259</f>
        <v>1.43086575E-2</v>
      </c>
      <c r="CC1259" s="1154">
        <f>+CD1259</f>
        <v>1.43086575E-2</v>
      </c>
      <c r="CD1259" s="1158">
        <f>+AA1231/4</f>
        <v>1.43086575E-2</v>
      </c>
      <c r="CE1259" s="1154">
        <f>+CH1259</f>
        <v>1.2091949712818739E-2</v>
      </c>
      <c r="CF1259" s="1154">
        <f>+CH1259</f>
        <v>1.2091949712818739E-2</v>
      </c>
      <c r="CG1259" s="1154">
        <f>+CH1259</f>
        <v>1.2091949712818739E-2</v>
      </c>
      <c r="CH1259" s="1158">
        <f>+AB1231/4</f>
        <v>1.2091949712818739E-2</v>
      </c>
      <c r="CI1259" s="1154">
        <f>+CL1259</f>
        <v>3.5000000000000001E-3</v>
      </c>
      <c r="CJ1259" s="1154">
        <f>+CL1259</f>
        <v>3.5000000000000001E-3</v>
      </c>
      <c r="CK1259" s="1154">
        <f>+CL1259</f>
        <v>3.5000000000000001E-3</v>
      </c>
      <c r="CL1259" s="1158">
        <f>+AC1231/4</f>
        <v>3.5000000000000001E-3</v>
      </c>
      <c r="CM1259" s="1154">
        <f>+CP1259</f>
        <v>6.0749999999999997E-3</v>
      </c>
      <c r="CN1259" s="1154">
        <f>+CP1259</f>
        <v>6.0749999999999997E-3</v>
      </c>
      <c r="CO1259" s="1154">
        <f>+CP1259</f>
        <v>6.0749999999999997E-3</v>
      </c>
      <c r="CP1259" s="1158">
        <f>+AD1231/4</f>
        <v>6.0749999999999997E-3</v>
      </c>
      <c r="CQ1259" s="1154">
        <f>+CT1259</f>
        <v>1.9289058886724775E-2</v>
      </c>
      <c r="CR1259" s="1154">
        <f>+CT1259</f>
        <v>1.9289058886724775E-2</v>
      </c>
      <c r="CS1259" s="1154">
        <f>+CT1259</f>
        <v>1.9289058886724775E-2</v>
      </c>
      <c r="CT1259" s="1158">
        <f>+AE1231/4</f>
        <v>1.9289058886724775E-2</v>
      </c>
      <c r="CU1259" s="1154">
        <f>+CX1259</f>
        <v>2.0443926548713853E-3</v>
      </c>
      <c r="CV1259" s="1154">
        <f>+CX1259</f>
        <v>2.0443926548713853E-3</v>
      </c>
      <c r="CW1259" s="1154">
        <f>+CX1259</f>
        <v>2.0443926548713853E-3</v>
      </c>
      <c r="CX1259" s="1158">
        <f>+AF1231/4</f>
        <v>2.0443926548713853E-3</v>
      </c>
      <c r="CY1259" s="1154">
        <f>+DB1259</f>
        <v>1.7500000000000002E-2</v>
      </c>
      <c r="CZ1259" s="1154">
        <f>+DB1259</f>
        <v>1.7500000000000002E-2</v>
      </c>
      <c r="DA1259" s="1154">
        <f>+DB1259</f>
        <v>1.7500000000000002E-2</v>
      </c>
      <c r="DB1259" s="1158">
        <f>+AJ1231/4</f>
        <v>1.7500000000000002E-2</v>
      </c>
      <c r="DC1259" s="1154">
        <f>+DF1259</f>
        <v>1.2500000000000001E-2</v>
      </c>
      <c r="DD1259" s="1154">
        <f>+DF1259</f>
        <v>1.2500000000000001E-2</v>
      </c>
      <c r="DE1259" s="1154">
        <f>+DF1259</f>
        <v>1.2500000000000001E-2</v>
      </c>
      <c r="DF1259" s="1158">
        <f>+AN1231/4</f>
        <v>1.2500000000000001E-2</v>
      </c>
    </row>
    <row r="1260" spans="4:110">
      <c r="D1260" s="1128" t="str">
        <f t="shared" si="1117"/>
        <v xml:space="preserve">Exchange rate RWF/US$ (Period Average) </v>
      </c>
      <c r="E1260" s="3113"/>
      <c r="F1260" s="1123"/>
      <c r="G1260" s="1123"/>
      <c r="H1260" s="1123"/>
      <c r="I1260" s="1123"/>
      <c r="J1260" s="1124"/>
      <c r="K1260" s="1124"/>
      <c r="L1260" s="1124"/>
      <c r="M1260" s="1138">
        <f>+J1232</f>
        <v>333.94192500000003</v>
      </c>
      <c r="N1260" s="1152">
        <f>+$M1260*0.75+$Q1260*0.25</f>
        <v>347.88049791666674</v>
      </c>
      <c r="O1260" s="1152">
        <f>+$M1260*0.5+$Q1260*0.5</f>
        <v>361.81907083333351</v>
      </c>
      <c r="P1260" s="1152">
        <f>+$M1260*0.25+$Q1260*0.75</f>
        <v>375.75764375000028</v>
      </c>
      <c r="Q1260" s="1138">
        <f>+K1232</f>
        <v>389.696216666667</v>
      </c>
      <c r="R1260" s="1152">
        <f>+$Q1260*0.75+$U1260*0.25</f>
        <v>403.02013541666702</v>
      </c>
      <c r="S1260" s="1152">
        <f>+$Q1260*0.5+$U1260*0.5</f>
        <v>416.34405416666698</v>
      </c>
      <c r="T1260" s="1152">
        <f>+$Q1260*0.25+$U1260*0.75</f>
        <v>429.667972916667</v>
      </c>
      <c r="U1260" s="1138">
        <f>+L1232</f>
        <v>442.99189166666702</v>
      </c>
      <c r="V1260" s="1152">
        <f>+$U1260*0.75+$Y1260*0.25</f>
        <v>451.08522916666698</v>
      </c>
      <c r="W1260" s="1152">
        <f>+$U1260*0.5+$Y1260*0.5</f>
        <v>459.178566666667</v>
      </c>
      <c r="X1260" s="1152">
        <f>+$U1260*0.25+$Y1260*0.75</f>
        <v>467.27190416666701</v>
      </c>
      <c r="Y1260" s="1138">
        <f>+M1232</f>
        <v>475.36524166666698</v>
      </c>
      <c r="Z1260" s="1152">
        <f>+$Y1260*0.75+$AC1260*0.25</f>
        <v>490.93767743750027</v>
      </c>
      <c r="AA1260" s="1152">
        <f>+$Y1260*0.5+$AC1260*0.5</f>
        <v>506.51011320833351</v>
      </c>
      <c r="AB1260" s="1152">
        <f>+$Y1260*0.25+$AC1260*0.75</f>
        <v>522.08254897916675</v>
      </c>
      <c r="AC1260" s="1138">
        <f>+N1232</f>
        <v>537.65498475000004</v>
      </c>
      <c r="AD1260" s="2627">
        <f>+$AC1260*0.75+$AG1260*0.25</f>
        <v>547.60348220833328</v>
      </c>
      <c r="AE1260" s="2627">
        <f>+$AC1260*0.5+$AG1260*0.5</f>
        <v>557.55197966666651</v>
      </c>
      <c r="AF1260" s="2627">
        <f>+$AC1260*0.25+$AG1260*0.75</f>
        <v>567.50047712499975</v>
      </c>
      <c r="AG1260" s="1707">
        <f>+O1232</f>
        <v>577.44897458333298</v>
      </c>
      <c r="AH1260" s="2627">
        <f>+$AG1260*0.75+$AK1260*0.25</f>
        <v>572.5423911312497</v>
      </c>
      <c r="AI1260" s="2627">
        <f>+$AG1260*0.5+$AK1260*0.5</f>
        <v>567.63580767916642</v>
      </c>
      <c r="AJ1260" s="2627">
        <f>+$AG1260*0.25+$AK1260*0.75</f>
        <v>562.72922422708325</v>
      </c>
      <c r="AK1260" s="2627">
        <f>+P1232</f>
        <v>557.82264077499997</v>
      </c>
      <c r="AL1260" s="2627">
        <f>+$AK1260*0.75+$AO1260*0.25</f>
        <v>556.29456391458325</v>
      </c>
      <c r="AM1260" s="2627">
        <f>+$AK1260*0.5+$AO1260*0.5</f>
        <v>554.76648705416642</v>
      </c>
      <c r="AN1260" s="2627">
        <f>+$AK1260*0.25+$AO1260*0.75</f>
        <v>553.2384101937497</v>
      </c>
      <c r="AO1260" s="1707">
        <f>+Q1232</f>
        <v>551.71033333333298</v>
      </c>
      <c r="AP1260" s="2627">
        <f>+$AO1260*0.75+$AS1260*0.25</f>
        <v>550.52149999999972</v>
      </c>
      <c r="AQ1260" s="2627">
        <f>+$AO1260*0.5+$AS1260*0.5</f>
        <v>549.33266666666646</v>
      </c>
      <c r="AR1260" s="2627">
        <f>+$AO1260*0.25+$AS1260*0.75</f>
        <v>548.1438333333333</v>
      </c>
      <c r="AS1260" s="1707">
        <f>+R1232</f>
        <v>546.95500000000004</v>
      </c>
      <c r="AT1260" s="2627">
        <f>+$AS1260*0.75+$AX1260*0.25</f>
        <v>546.92841327063502</v>
      </c>
      <c r="AU1260" s="1152"/>
      <c r="AV1260" s="1152">
        <f>+$AO1260*0.5+$AS1260*0.5</f>
        <v>549.33266666666646</v>
      </c>
      <c r="AW1260" s="1152">
        <f>+$AO1260*0.25+$AS1260*0.75</f>
        <v>548.1438333333333</v>
      </c>
      <c r="AX1260" s="1138">
        <f>+S1232</f>
        <v>546.84865308253995</v>
      </c>
      <c r="AY1260" s="1152">
        <f>+$AX1260*0.75+$BB1260*0.25</f>
        <v>552.20682152023824</v>
      </c>
      <c r="AZ1260" s="1152">
        <f>+$AX1260*0.5+$BB1260*0.5</f>
        <v>557.5649899579364</v>
      </c>
      <c r="BA1260" s="1152">
        <f>+$AX1260*0.25+$BB1260*0.75</f>
        <v>562.92315839563469</v>
      </c>
      <c r="BB1260" s="1138">
        <f>+T1232</f>
        <v>568.28132683333297</v>
      </c>
      <c r="BC1260" s="1152">
        <f>+$BB1260*0.75+$BF1260*0.25</f>
        <v>571.99372177264274</v>
      </c>
      <c r="BD1260" s="1152">
        <f>+$BB1260*0.5+$BF1260*0.5</f>
        <v>575.70611671195252</v>
      </c>
      <c r="BE1260" s="1152">
        <f>+$BB1260*0.25+$BF1260*0.75</f>
        <v>579.41851165126218</v>
      </c>
      <c r="BF1260" s="1138">
        <f>+U1232</f>
        <v>583.13090659057195</v>
      </c>
      <c r="BG1260" s="1152">
        <f>+$BF1260*0.75+$BJ1260*0.25</f>
        <v>587.42148145359761</v>
      </c>
      <c r="BH1260" s="1152">
        <f>+$BF1260*0.5+$BJ1260*0.5</f>
        <v>591.71205631662338</v>
      </c>
      <c r="BI1260" s="1152">
        <f>+$BF1260*0.25+$BJ1260*0.75</f>
        <v>596.00263117964914</v>
      </c>
      <c r="BJ1260" s="1138">
        <f>+V1232</f>
        <v>600.29320604267491</v>
      </c>
      <c r="BK1260" s="1152">
        <f>+$BJ1260*0.75+$BN1260*0.25</f>
        <v>603.79348360710378</v>
      </c>
      <c r="BL1260" s="1152">
        <f>+$BJ1260*0.5+$BN1260*0.5</f>
        <v>607.29376117153265</v>
      </c>
      <c r="BM1260" s="1152">
        <f>+$BJ1260*0.25+$BN1260*0.75</f>
        <v>610.79403873596152</v>
      </c>
      <c r="BN1260" s="1138">
        <f>+W1232</f>
        <v>614.29431630039051</v>
      </c>
      <c r="BO1260" s="1152">
        <f>+$BN1260*0.75+$BR1260*0.25</f>
        <v>622.38061056234324</v>
      </c>
      <c r="BP1260" s="1152">
        <f>+$BN1260*0.5+$BR1260*0.5</f>
        <v>630.46690482429597</v>
      </c>
      <c r="BQ1260" s="1152">
        <f>+$BN1260*0.25+$BR1260*0.75</f>
        <v>638.5531990862487</v>
      </c>
      <c r="BR1260" s="1138">
        <f>+X1232</f>
        <v>646.63949334820143</v>
      </c>
      <c r="BS1260" s="1152">
        <f>+$BR1260*0.75+$BV1260*0.25</f>
        <v>655.58906883901898</v>
      </c>
      <c r="BT1260" s="1152">
        <f>+$BR1260*0.5+$BV1260*0.5</f>
        <v>664.53864432983664</v>
      </c>
      <c r="BU1260" s="1152">
        <f>+$BR1260*0.25+$BV1260*0.75</f>
        <v>673.48821982065419</v>
      </c>
      <c r="BV1260" s="1138">
        <f>+Y1232</f>
        <v>682.43779531147175</v>
      </c>
      <c r="BW1260" s="1152">
        <f>+$BV1260*0.75+$BZ1260*0.25</f>
        <v>691.7133464836038</v>
      </c>
      <c r="BX1260" s="1152">
        <f>+$BV1260*0.5+$BZ1260*0.5</f>
        <v>700.98889765573585</v>
      </c>
      <c r="BY1260" s="1152">
        <f>+$BV1260*0.25+$BZ1260*0.75</f>
        <v>710.26444882786791</v>
      </c>
      <c r="BZ1260" s="1138">
        <f>+Z1232</f>
        <v>719.54</v>
      </c>
      <c r="CA1260" s="1152">
        <f>+$BZ1260*0.75+$CD1260*0.25</f>
        <v>736.46175291904092</v>
      </c>
      <c r="CB1260" s="1152">
        <f>+$BZ1260*0.5+$CD1260*0.5</f>
        <v>753.38350583808187</v>
      </c>
      <c r="CC1260" s="1152">
        <f>+$BZ1260*0.25+$CD1260*0.75</f>
        <v>770.30525875712294</v>
      </c>
      <c r="CD1260" s="1138">
        <f>+AA1232</f>
        <v>787.2270116761639</v>
      </c>
      <c r="CE1260" s="1152">
        <f>+$CD1260*0.75+$CH1260*0.25</f>
        <v>798.27714656153069</v>
      </c>
      <c r="CF1260" s="1152">
        <f>+$CD1260*0.5+$CH1260*0.5</f>
        <v>809.32728144689736</v>
      </c>
      <c r="CG1260" s="1152">
        <f>+$CD1260*0.25+$CH1260*0.75</f>
        <v>820.37741633226415</v>
      </c>
      <c r="CH1260" s="1138">
        <f>+AB1232</f>
        <v>831.42755121763093</v>
      </c>
      <c r="CI1260" s="1152">
        <f>+$CH1260*0.75+$CL1260*0.25</f>
        <v>838.84118944803731</v>
      </c>
      <c r="CJ1260" s="1152">
        <f>+$CH1260*0.5+$CL1260*0.5</f>
        <v>846.25482767844369</v>
      </c>
      <c r="CK1260" s="1152">
        <f>+$CH1260*0.25+$CL1260*0.75</f>
        <v>853.66846590884995</v>
      </c>
      <c r="CL1260" s="1138">
        <f>+AC1232</f>
        <v>861.08210413925633</v>
      </c>
      <c r="CM1260" s="1152">
        <f>+$CL1260*0.75+$CP1260*0.25</f>
        <v>871.11177822944217</v>
      </c>
      <c r="CN1260" s="1152">
        <f>+$CL1260*0.5+$CP1260*0.5</f>
        <v>881.14145231962812</v>
      </c>
      <c r="CO1260" s="1152">
        <f>+$CL1260*0.25+$CP1260*0.75</f>
        <v>891.17112640981406</v>
      </c>
      <c r="CP1260" s="1138">
        <f>+AD1232</f>
        <v>901.2008004999999</v>
      </c>
      <c r="CQ1260" s="1152">
        <f>+$CP1260*0.75+$CT1260*0.25</f>
        <v>912.19865658333333</v>
      </c>
      <c r="CR1260" s="1152">
        <f>+$CP1260*0.5+$CT1260*0.5</f>
        <v>923.19651266666665</v>
      </c>
      <c r="CS1260" s="1152">
        <f>+$CP1260*0.25+$CT1260*0.75</f>
        <v>934.19436874999997</v>
      </c>
      <c r="CT1260" s="1138">
        <f>+AE1232</f>
        <v>945.1922248333334</v>
      </c>
      <c r="CU1260" s="1152">
        <f>+$CP1260*0.75+$CT1260*0.25</f>
        <v>912.19865658333333</v>
      </c>
      <c r="CV1260" s="1152">
        <f>+$CP1260*0.5+$CT1260*0.5</f>
        <v>923.19651266666665</v>
      </c>
      <c r="CW1260" s="1152">
        <f>+$CP1260*0.25+$CT1260*0.75</f>
        <v>934.19436874999997</v>
      </c>
      <c r="CX1260" s="1138">
        <f>+AF1232</f>
        <v>990.36278749999985</v>
      </c>
      <c r="CY1260" s="1152">
        <f>+$CP1260*0.75+$CT1260*0.25</f>
        <v>912.19865658333333</v>
      </c>
      <c r="CZ1260" s="1152">
        <f>+$CP1260*0.5+$CT1260*0.5</f>
        <v>923.19651266666665</v>
      </c>
      <c r="DA1260" s="1152">
        <f>+$CP1260*0.25+$CT1260*0.75</f>
        <v>934.19436874999997</v>
      </c>
      <c r="DB1260" s="1138">
        <f>+AJ1232</f>
        <v>1419.0039444429485</v>
      </c>
      <c r="DC1260" s="1152">
        <f>+$CP1260*0.75+$CT1260*0.25</f>
        <v>912.19865658333333</v>
      </c>
      <c r="DD1260" s="1152">
        <f>+$CP1260*0.5+$CT1260*0.5</f>
        <v>923.19651266666665</v>
      </c>
      <c r="DE1260" s="1152">
        <f>+$CP1260*0.25+$CT1260*0.75</f>
        <v>934.19436874999997</v>
      </c>
      <c r="DF1260" s="1138">
        <f>+AN1232</f>
        <v>1635.9113309178342</v>
      </c>
    </row>
    <row r="1261" spans="4:110">
      <c r="D1261" s="1128" t="str">
        <f t="shared" si="1117"/>
        <v>CPI of advanced economy trading partners, in US dollars (for RER calc)</v>
      </c>
      <c r="E1261" s="3120" t="str">
        <f>+E1233</f>
        <v>WEOGEE</v>
      </c>
      <c r="F1261" s="1123"/>
      <c r="G1261" s="1123"/>
      <c r="H1261" s="1123"/>
      <c r="I1261" s="1123"/>
      <c r="J1261" s="1129"/>
      <c r="K1261" s="1129"/>
      <c r="L1261" s="1129"/>
      <c r="M1261" s="1143">
        <f>+J1233/4</f>
        <v>0</v>
      </c>
      <c r="N1261" s="1154">
        <f>+Q1261</f>
        <v>-1.14620083164495E-2</v>
      </c>
      <c r="O1261" s="1154">
        <f>+Q1261</f>
        <v>-1.14620083164495E-2</v>
      </c>
      <c r="P1261" s="1154">
        <f>+Q1261</f>
        <v>-1.14620083164495E-2</v>
      </c>
      <c r="Q1261" s="1142">
        <f>+K1233/4</f>
        <v>-1.14620083164495E-2</v>
      </c>
      <c r="R1261" s="1154">
        <f>+U1261</f>
        <v>-7.5539914296876998E-3</v>
      </c>
      <c r="S1261" s="1154">
        <f>+U1261</f>
        <v>-7.5539914296876998E-3</v>
      </c>
      <c r="T1261" s="1154">
        <f>+U1261</f>
        <v>-7.5539914296876998E-3</v>
      </c>
      <c r="U1261" s="1142">
        <f>+L1233/4</f>
        <v>-7.5539914296876998E-3</v>
      </c>
      <c r="V1261" s="1154">
        <f>+Y1261</f>
        <v>1.2952431049371075E-2</v>
      </c>
      <c r="W1261" s="1154">
        <f>+Y1261</f>
        <v>1.2952431049371075E-2</v>
      </c>
      <c r="X1261" s="1154">
        <f>+Y1261</f>
        <v>1.2952431049371075E-2</v>
      </c>
      <c r="Y1261" s="1142">
        <f>+M1233/4</f>
        <v>1.2952431049371075E-2</v>
      </c>
      <c r="Z1261" s="1154">
        <f>+AC1261</f>
        <v>3.743750795279175E-2</v>
      </c>
      <c r="AA1261" s="1154">
        <f>+AC1261</f>
        <v>3.743750795279175E-2</v>
      </c>
      <c r="AB1261" s="1154">
        <f>+AC1261</f>
        <v>3.743750795279175E-2</v>
      </c>
      <c r="AC1261" s="1158">
        <f>+N1233/4</f>
        <v>3.743750795279175E-2</v>
      </c>
      <c r="AD1261" s="2629">
        <f>+AG1261</f>
        <v>2.3547412848343548E-2</v>
      </c>
      <c r="AE1261" s="2629">
        <f>+AG1261</f>
        <v>2.3547412848343548E-2</v>
      </c>
      <c r="AF1261" s="2629">
        <f>+AG1261</f>
        <v>2.3547412848343548E-2</v>
      </c>
      <c r="AG1261" s="1709">
        <f>+O1233/4</f>
        <v>2.3547412848343548E-2</v>
      </c>
      <c r="AH1261" s="2629">
        <f>+AK1261</f>
        <v>1.013918952530835E-2</v>
      </c>
      <c r="AI1261" s="2629">
        <f>+AK1261</f>
        <v>1.013918952530835E-2</v>
      </c>
      <c r="AJ1261" s="2629">
        <f>+AK1261</f>
        <v>1.013918952530835E-2</v>
      </c>
      <c r="AK1261" s="2629">
        <f>+P1233/4</f>
        <v>1.013918952530835E-2</v>
      </c>
      <c r="AL1261" s="2629">
        <f>+AO1261</f>
        <v>8.87956180513985E-3</v>
      </c>
      <c r="AM1261" s="2629">
        <f>+AO1261</f>
        <v>8.87956180513985E-3</v>
      </c>
      <c r="AN1261" s="2629">
        <f>+AO1261</f>
        <v>8.87956180513985E-3</v>
      </c>
      <c r="AO1261" s="1709">
        <f>+Q1233/4</f>
        <v>8.87956180513985E-3</v>
      </c>
      <c r="AP1261" s="2629">
        <f>+AS1261</f>
        <v>2.0602457829304973E-2</v>
      </c>
      <c r="AQ1261" s="2629">
        <f>+AS1261</f>
        <v>2.0602457829304973E-2</v>
      </c>
      <c r="AR1261" s="2629">
        <f>+AS1261</f>
        <v>2.0602457829304973E-2</v>
      </c>
      <c r="AS1261" s="1709">
        <f>+R1233/4</f>
        <v>2.0602457829304973E-2</v>
      </c>
      <c r="AT1261" s="2629">
        <f>+AX1261</f>
        <v>1.7285102024168324E-2</v>
      </c>
      <c r="AU1261" s="1154"/>
      <c r="AV1261" s="1154">
        <f>+AX1261</f>
        <v>1.7285102024168324E-2</v>
      </c>
      <c r="AW1261" s="1154">
        <f>+AX1261</f>
        <v>1.7285102024168324E-2</v>
      </c>
      <c r="AX1261" s="1158">
        <f>+S1233/4</f>
        <v>1.7285102024168324E-2</v>
      </c>
      <c r="AY1261" s="1154">
        <f>+BB1261</f>
        <v>-1.1308910038800898E-2</v>
      </c>
      <c r="AZ1261" s="1154">
        <f>+BB1261</f>
        <v>-1.1308910038800898E-2</v>
      </c>
      <c r="BA1261" s="1154">
        <f>+BB1261</f>
        <v>-1.1308910038800898E-2</v>
      </c>
      <c r="BB1261" s="1142">
        <f>+T1233/4</f>
        <v>-1.1308910038800898E-2</v>
      </c>
      <c r="BC1261" s="1154">
        <f>+BF1261</f>
        <v>6.0283196823613747E-3</v>
      </c>
      <c r="BD1261" s="1154">
        <f>+BF1261</f>
        <v>6.0283196823613747E-3</v>
      </c>
      <c r="BE1261" s="1154">
        <f>+BF1261</f>
        <v>6.0283196823613747E-3</v>
      </c>
      <c r="BF1261" s="1158">
        <f>+U1233/4</f>
        <v>6.0283196823613747E-3</v>
      </c>
      <c r="BG1261" s="1154">
        <f>+BJ1261</f>
        <v>2.1239035139005651E-2</v>
      </c>
      <c r="BH1261" s="1154">
        <f>+BJ1261</f>
        <v>2.1239035139005651E-2</v>
      </c>
      <c r="BI1261" s="1154">
        <f>+BJ1261</f>
        <v>2.1239035139005651E-2</v>
      </c>
      <c r="BJ1261" s="1158">
        <f>+V1233/4</f>
        <v>2.1239035139005651E-2</v>
      </c>
      <c r="BK1261" s="1154">
        <f>+BN1261</f>
        <v>-6.0757790395902503E-3</v>
      </c>
      <c r="BL1261" s="1154">
        <f>+BN1261</f>
        <v>-6.0757790395902503E-3</v>
      </c>
      <c r="BM1261" s="1154">
        <f>+BN1261</f>
        <v>-6.0757790395902503E-3</v>
      </c>
      <c r="BN1261" s="1158">
        <f>+W1233/4</f>
        <v>-6.0757790395902503E-3</v>
      </c>
      <c r="BO1261" s="1154">
        <f>+BR1261</f>
        <v>5.3716724231072498E-3</v>
      </c>
      <c r="BP1261" s="1154">
        <f>+BR1261</f>
        <v>5.3716724231072498E-3</v>
      </c>
      <c r="BQ1261" s="1154">
        <f>+BR1261</f>
        <v>5.3716724231072498E-3</v>
      </c>
      <c r="BR1261" s="1158">
        <f>+X1233/4</f>
        <v>5.3716724231072498E-3</v>
      </c>
      <c r="BS1261" s="1154">
        <f>+BV1261</f>
        <v>2.4909886226957526E-3</v>
      </c>
      <c r="BT1261" s="1154">
        <f>+BV1261</f>
        <v>2.4909886226957526E-3</v>
      </c>
      <c r="BU1261" s="1154">
        <f>+BV1261</f>
        <v>2.4909886226957526E-3</v>
      </c>
      <c r="BV1261" s="1158">
        <f>+Y1233/4</f>
        <v>2.4909886226957526E-3</v>
      </c>
      <c r="BW1261" s="1154">
        <f>+BZ1261</f>
        <v>-2.9121034833913997E-2</v>
      </c>
      <c r="BX1261" s="1154">
        <f>+BZ1261</f>
        <v>-2.9121034833913997E-2</v>
      </c>
      <c r="BY1261" s="1154">
        <f>+BZ1261</f>
        <v>-2.9121034833913997E-2</v>
      </c>
      <c r="BZ1261" s="1158">
        <f>+Z1233/4</f>
        <v>-2.9121034833913997E-2</v>
      </c>
      <c r="CA1261" s="1154">
        <f>+CD1261</f>
        <v>1.1590561175463675E-3</v>
      </c>
      <c r="CB1261" s="1154">
        <f>+CD1261</f>
        <v>1.1590561175463675E-3</v>
      </c>
      <c r="CC1261" s="1154">
        <f>+CD1261</f>
        <v>1.1590561175463675E-3</v>
      </c>
      <c r="CD1261" s="1158">
        <f>+AA1233/4</f>
        <v>1.1590561175463675E-3</v>
      </c>
      <c r="CE1261" s="1154">
        <f>+CH1261</f>
        <v>7.1303844708041752E-3</v>
      </c>
      <c r="CF1261" s="1154">
        <f>+CH1261</f>
        <v>7.1303844708041752E-3</v>
      </c>
      <c r="CG1261" s="1154">
        <f>+CH1261</f>
        <v>7.1303844708041752E-3</v>
      </c>
      <c r="CH1261" s="1158">
        <f>+AB1233/4</f>
        <v>7.1303844708041752E-3</v>
      </c>
      <c r="CI1261" s="1154">
        <f>+CL1261</f>
        <v>1.2130361992253751E-2</v>
      </c>
      <c r="CJ1261" s="1154">
        <f>+CL1261</f>
        <v>1.2130361992253751E-2</v>
      </c>
      <c r="CK1261" s="1154">
        <f>+CL1261</f>
        <v>1.2130361992253751E-2</v>
      </c>
      <c r="CL1261" s="1158">
        <f>+AC1233/4</f>
        <v>1.2130361992253751E-2</v>
      </c>
      <c r="CM1261" s="1154">
        <f>+CP1261</f>
        <v>-7.1100405296345001E-3</v>
      </c>
      <c r="CN1261" s="1154">
        <f>+CP1261</f>
        <v>-7.1100405296345001E-3</v>
      </c>
      <c r="CO1261" s="1154">
        <f>+CP1261</f>
        <v>-7.1100405296345001E-3</v>
      </c>
      <c r="CP1261" s="1158">
        <f>+AD1233/4</f>
        <v>-7.1100405296345001E-3</v>
      </c>
      <c r="CQ1261" s="1154">
        <f>+CT1261</f>
        <v>3.8650449728656251E-3</v>
      </c>
      <c r="CR1261" s="1154">
        <f>+CT1261</f>
        <v>3.8650449728656251E-3</v>
      </c>
      <c r="CS1261" s="1154">
        <f>+CT1261</f>
        <v>3.8650449728656251E-3</v>
      </c>
      <c r="CT1261" s="1158">
        <f>+AE1233/4</f>
        <v>3.8650449728656251E-3</v>
      </c>
      <c r="CU1261" s="1154">
        <f>+CX1261</f>
        <v>1.3695622921478402E-2</v>
      </c>
      <c r="CV1261" s="1154">
        <f>+CX1261</f>
        <v>1.3695622921478402E-2</v>
      </c>
      <c r="CW1261" s="1154">
        <f>+CX1261</f>
        <v>1.3695622921478402E-2</v>
      </c>
      <c r="CX1261" s="1158">
        <f>+AF1233/4</f>
        <v>1.3695622921478402E-2</v>
      </c>
      <c r="CY1261" s="1154">
        <f>+DB1261</f>
        <v>1.1043869562090074E-2</v>
      </c>
      <c r="CZ1261" s="1154">
        <f>+DB1261</f>
        <v>1.1043869562090074E-2</v>
      </c>
      <c r="DA1261" s="1154">
        <f>+DB1261</f>
        <v>1.1043869562090074E-2</v>
      </c>
      <c r="DB1261" s="1158">
        <f>+AJ1233/4</f>
        <v>1.1043869562090074E-2</v>
      </c>
      <c r="DC1261" s="1154">
        <f>+DF1261</f>
        <v>5.1876741133707249E-3</v>
      </c>
      <c r="DD1261" s="1154">
        <f>+DF1261</f>
        <v>5.1876741133707249E-3</v>
      </c>
      <c r="DE1261" s="1154">
        <f>+DF1261</f>
        <v>5.1876741133707249E-3</v>
      </c>
      <c r="DF1261" s="1158">
        <f>+AN1233/4</f>
        <v>5.1876741133707249E-3</v>
      </c>
    </row>
    <row r="1262" spans="4:110">
      <c r="D1262" s="1128" t="str">
        <f t="shared" si="1117"/>
        <v>Export price index in Frw goods fob (2017=100)</v>
      </c>
      <c r="E1262" s="3113" t="s">
        <v>879</v>
      </c>
      <c r="F1262" s="1123"/>
      <c r="G1262" s="1123"/>
      <c r="H1262" s="1123"/>
      <c r="I1262" s="1123"/>
      <c r="J1262" s="1130"/>
      <c r="K1262" s="1130"/>
      <c r="L1262" s="1130"/>
      <c r="M1262" s="1144">
        <f>+J1234</f>
        <v>22.96364893283538</v>
      </c>
      <c r="N1262" s="1152">
        <f>+$M1262*0.75+$Q1262*0.25</f>
        <v>24.618087937119956</v>
      </c>
      <c r="O1262" s="1152">
        <f>+$M1262*0.5+$Q1262*0.5</f>
        <v>26.272526941404532</v>
      </c>
      <c r="P1262" s="1152">
        <f>+$M1262*0.25+$Q1262*0.75</f>
        <v>27.926965945689108</v>
      </c>
      <c r="Q1262" s="1144">
        <f>+K1234</f>
        <v>29.581404949973685</v>
      </c>
      <c r="R1262" s="1152">
        <f>+$Q1262*0.75+$U1262*0.25</f>
        <v>30.617500800752488</v>
      </c>
      <c r="S1262" s="1152">
        <f>+$Q1262*0.5+$U1262*0.5</f>
        <v>31.653596651531295</v>
      </c>
      <c r="T1262" s="1152">
        <f>+$Q1262*0.25+$U1262*0.75</f>
        <v>32.689692502310102</v>
      </c>
      <c r="U1262" s="1144">
        <f>+L1234</f>
        <v>33.725788353088909</v>
      </c>
      <c r="V1262" s="1152">
        <f>+$U1262*0.75+$Y1262*0.25</f>
        <v>32.286996103622009</v>
      </c>
      <c r="W1262" s="1152">
        <f>+$U1262*0.5+$Y1262*0.5</f>
        <v>30.848203854155116</v>
      </c>
      <c r="X1262" s="1152">
        <f>+$U1262*0.25+$Y1262*0.75</f>
        <v>29.409411604688216</v>
      </c>
      <c r="Y1262" s="1144">
        <f>+M1234</f>
        <v>27.97061935522132</v>
      </c>
      <c r="Z1262" s="1152">
        <f>+$Y1262*0.75+$AC1262*0.25</f>
        <v>29.40300579458447</v>
      </c>
      <c r="AA1262" s="1152">
        <f>+$Y1262*0.5+$AC1262*0.5</f>
        <v>30.835392233947616</v>
      </c>
      <c r="AB1262" s="1152">
        <f>+$Y1262*0.25+$AC1262*0.75</f>
        <v>32.267778673310765</v>
      </c>
      <c r="AC1262" s="1144">
        <f>+N1234</f>
        <v>33.700165112673915</v>
      </c>
      <c r="AD1262" s="2627">
        <f>+$AC1262*0.75+$AG1262*0.25</f>
        <v>36.401571563779129</v>
      </c>
      <c r="AE1262" s="2627">
        <f>+$AC1262*0.5+$AG1262*0.5</f>
        <v>39.102978014884343</v>
      </c>
      <c r="AF1262" s="2627">
        <f>+$AC1262*0.25+$AG1262*0.75</f>
        <v>41.804384465989564</v>
      </c>
      <c r="AG1262" s="1710">
        <f>+O1234</f>
        <v>44.505790917094778</v>
      </c>
      <c r="AH1262" s="2627">
        <f>+$AG1262*0.75+$AK1262*0.25</f>
        <v>45.552441236641691</v>
      </c>
      <c r="AI1262" s="2627">
        <f>+$AG1262*0.5+$AK1262*0.5</f>
        <v>46.599091556188597</v>
      </c>
      <c r="AJ1262" s="2627">
        <f>+$AG1262*0.25+$AK1262*0.75</f>
        <v>47.64574187573551</v>
      </c>
      <c r="AK1262" s="2627">
        <f>+P1234</f>
        <v>48.692392195282423</v>
      </c>
      <c r="AL1262" s="2627">
        <f>+$AK1262*0.75+$AO1262*0.25</f>
        <v>46.468385044796051</v>
      </c>
      <c r="AM1262" s="2627">
        <f>+$AK1262*0.5+$AO1262*0.5</f>
        <v>44.244377894309686</v>
      </c>
      <c r="AN1262" s="2627">
        <f>+$AK1262*0.25+$AO1262*0.75</f>
        <v>42.020370743823321</v>
      </c>
      <c r="AO1262" s="1710">
        <f>+Q1234</f>
        <v>39.796363593336949</v>
      </c>
      <c r="AP1262" s="2627">
        <f>+$AO1262*0.75+$AS1262*0.25</f>
        <v>40.172501686101</v>
      </c>
      <c r="AQ1262" s="2627">
        <f>+$AO1262*0.5+$AS1262*0.5</f>
        <v>40.548639778865052</v>
      </c>
      <c r="AR1262" s="2627">
        <f>+$AO1262*0.25+$AS1262*0.75</f>
        <v>40.924777871629104</v>
      </c>
      <c r="AS1262" s="1710">
        <f>+R1234</f>
        <v>41.300915964393155</v>
      </c>
      <c r="AT1262" s="2627">
        <f>+$AS1262*0.75+$AX1262*0.25</f>
        <v>44.552331264619532</v>
      </c>
      <c r="AU1262" s="1152"/>
      <c r="AV1262" s="1152">
        <f>+$AS1262*0.5+$AX1262*0.5</f>
        <v>47.803746564845909</v>
      </c>
      <c r="AW1262" s="1152">
        <f>+$AS1262*0.25+$AX1262*0.75</f>
        <v>51.055161865072279</v>
      </c>
      <c r="AX1262" s="1144">
        <f>+S1234</f>
        <v>54.306577165298656</v>
      </c>
      <c r="AY1262" s="1152">
        <f>+$AX1262*0.75+$BB1262*0.25</f>
        <v>53.850299577383261</v>
      </c>
      <c r="AZ1262" s="1152">
        <f>+$AX1262*0.5+$BB1262*0.5</f>
        <v>53.394021989467866</v>
      </c>
      <c r="BA1262" s="1152">
        <f>+$AX1262*0.25+$BB1262*0.75</f>
        <v>52.937744401552472</v>
      </c>
      <c r="BB1262" s="1144">
        <f>+T1234</f>
        <v>52.481466813637077</v>
      </c>
      <c r="BC1262" s="1152">
        <f>+$BB1262*0.75+$BF1262*0.25</f>
        <v>56.230925616665317</v>
      </c>
      <c r="BD1262" s="1152">
        <f>+$BB1262*0.5+$BF1262*0.5</f>
        <v>59.980384419693564</v>
      </c>
      <c r="BE1262" s="1152">
        <f>+$BB1262*0.25+$BF1262*0.75</f>
        <v>63.729843222721804</v>
      </c>
      <c r="BF1262" s="1144">
        <f>+U1234</f>
        <v>67.479302025750044</v>
      </c>
      <c r="BG1262" s="1152">
        <f>+$BF1262*0.75+$BJ1262*0.25</f>
        <v>69.129778385266206</v>
      </c>
      <c r="BH1262" s="1152">
        <f>+$BF1262*0.5+$BJ1262*0.5</f>
        <v>70.780254744782354</v>
      </c>
      <c r="BI1262" s="1152">
        <f>+$BF1262*0.25+$BJ1262*0.75</f>
        <v>72.430731104298516</v>
      </c>
      <c r="BJ1262" s="1148">
        <f>+V1234</f>
        <v>74.081207463814678</v>
      </c>
      <c r="BK1262" s="1152">
        <f>+$BJ1262*0.75+$BN1262*0.25</f>
        <v>74.648202312501368</v>
      </c>
      <c r="BL1262" s="1152">
        <f>+$BJ1262*0.5+$BN1262*0.5</f>
        <v>75.215197161188058</v>
      </c>
      <c r="BM1262" s="1152">
        <f>+$BJ1262*0.25+$BN1262*0.75</f>
        <v>75.782192009874748</v>
      </c>
      <c r="BN1262" s="1144">
        <f>+W1234</f>
        <v>76.349186858561438</v>
      </c>
      <c r="BO1262" s="1152">
        <f>+$BN1262*0.75+$BR1262*0.25</f>
        <v>76.485014319994121</v>
      </c>
      <c r="BP1262" s="1152">
        <f>+$BN1262*0.5+$BR1262*0.5</f>
        <v>76.620841781426819</v>
      </c>
      <c r="BQ1262" s="1152">
        <f>+$BN1262*0.25+$BR1262*0.75</f>
        <v>76.756669242859516</v>
      </c>
      <c r="BR1262" s="1144">
        <f>+X1234</f>
        <v>76.892496704292199</v>
      </c>
      <c r="BS1262" s="1152">
        <f>+$BR1262*0.75+$BV1262*0.25</f>
        <v>78.475569856241492</v>
      </c>
      <c r="BT1262" s="1152">
        <f>+$BR1262*0.5+$BV1262*0.5</f>
        <v>80.058643008190785</v>
      </c>
      <c r="BU1262" s="1152">
        <f>+$BR1262*0.25+$BV1262*0.75</f>
        <v>81.641716160140078</v>
      </c>
      <c r="BV1262" s="1144">
        <f>+Y1234</f>
        <v>83.224789312089356</v>
      </c>
      <c r="BW1262" s="1152">
        <f>+$BV1262*0.75+$BZ1262*0.25</f>
        <v>81.793833551151707</v>
      </c>
      <c r="BX1262" s="1152">
        <f>+$BV1262*0.5+$BZ1262*0.5</f>
        <v>80.362877790214057</v>
      </c>
      <c r="BY1262" s="1152">
        <f>+$BV1262*0.25+$BZ1262*0.75</f>
        <v>78.931922029276407</v>
      </c>
      <c r="BZ1262" s="1144">
        <f>+Z1234</f>
        <v>77.500966268338757</v>
      </c>
      <c r="CA1262" s="1152">
        <f>+$BZ1262*0.75+$CD1262*0.25</f>
        <v>78.956705750751496</v>
      </c>
      <c r="CB1262" s="1152">
        <f>+$BZ1262*0.5+$CD1262*0.5</f>
        <v>80.41244523316422</v>
      </c>
      <c r="CC1262" s="1152">
        <f>+$BZ1262*0.25+$CD1262*0.75</f>
        <v>81.868184715576945</v>
      </c>
      <c r="CD1262" s="1144">
        <f>+AA1234</f>
        <v>83.323924197989683</v>
      </c>
      <c r="CE1262" s="1152">
        <f>+$CD1262*0.75+$CH1262*0.25</f>
        <v>87.492943148492259</v>
      </c>
      <c r="CF1262" s="1152">
        <f>+$CD1262*0.5+$CH1262*0.5</f>
        <v>91.661962098994849</v>
      </c>
      <c r="CG1262" s="1152">
        <f>+$CD1262*0.25+$CH1262*0.75</f>
        <v>95.830981049497424</v>
      </c>
      <c r="CH1262" s="1144">
        <f>+AB1234</f>
        <v>100</v>
      </c>
      <c r="CI1262" s="1152">
        <f>+$CH1262*0.75+$CL1262*0.25</f>
        <v>100.30376840607053</v>
      </c>
      <c r="CJ1262" s="1152">
        <f>+$CH1262*0.5+$CL1262*0.5</f>
        <v>100.60753681214108</v>
      </c>
      <c r="CK1262" s="1152">
        <f>+$CH1262*0.25+$CL1262*0.75</f>
        <v>100.91130521821162</v>
      </c>
      <c r="CL1262" s="1144">
        <f>+AC1234</f>
        <v>101.21507362428216</v>
      </c>
      <c r="CM1262" s="1152">
        <f>+$CL1262*0.75+$CP1262*0.25</f>
        <v>98.794023626037699</v>
      </c>
      <c r="CN1262" s="1152">
        <f>+$CL1262*0.5+$CP1262*0.5</f>
        <v>96.372973627793243</v>
      </c>
      <c r="CO1262" s="1152">
        <f>+$CL1262*0.25+$CP1262*0.75</f>
        <v>93.951923629548787</v>
      </c>
      <c r="CP1262" s="1144">
        <f>+AD1234</f>
        <v>91.530873631304331</v>
      </c>
      <c r="CQ1262" s="1152">
        <f>+$CP1262*0.75+$CT1262*0.25</f>
        <v>90.886984813360684</v>
      </c>
      <c r="CR1262" s="1152">
        <f>+$CP1262*0.5+$CT1262*0.5</f>
        <v>90.243095995417036</v>
      </c>
      <c r="CS1262" s="1152">
        <f>+$CP1262*0.25+$CT1262*0.75</f>
        <v>89.599207177473374</v>
      </c>
      <c r="CT1262" s="1144">
        <f>+AE1234</f>
        <v>88.955318359529727</v>
      </c>
      <c r="CU1262" s="1152">
        <f>+$CP1262*0.75+$CT1262*0.25</f>
        <v>90.886984813360684</v>
      </c>
      <c r="CV1262" s="1152">
        <f>+$CP1262*0.5+$CT1262*0.5</f>
        <v>90.243095995417036</v>
      </c>
      <c r="CW1262" s="1152">
        <f>+$CP1262*0.25+$CT1262*0.75</f>
        <v>89.599207177473374</v>
      </c>
      <c r="CX1262" s="1144">
        <f>+AF1234</f>
        <v>108.49206218850759</v>
      </c>
      <c r="CY1262" s="1152">
        <f>+$CP1262*0.75+$CT1262*0.25</f>
        <v>90.886984813360684</v>
      </c>
      <c r="CZ1262" s="1152">
        <f>+$CP1262*0.5+$CT1262*0.5</f>
        <v>90.243095995417036</v>
      </c>
      <c r="DA1262" s="1152">
        <f>+$CP1262*0.25+$CT1262*0.75</f>
        <v>89.599207177473374</v>
      </c>
      <c r="DB1262" s="1144">
        <f>+AJ1234</f>
        <v>149.60155068850142</v>
      </c>
      <c r="DC1262" s="1152">
        <f>+$CP1262*0.75+$CT1262*0.25</f>
        <v>90.886984813360684</v>
      </c>
      <c r="DD1262" s="1152">
        <f>+$CP1262*0.5+$CT1262*0.5</f>
        <v>90.243095995417036</v>
      </c>
      <c r="DE1262" s="1152">
        <f>+$CP1262*0.25+$CT1262*0.75</f>
        <v>89.599207177473374</v>
      </c>
      <c r="DF1262" s="1144">
        <f>+AN1234</f>
        <v>182.83211741154929</v>
      </c>
    </row>
    <row r="1263" spans="4:110">
      <c r="D1263" s="1128" t="str">
        <f t="shared" si="1117"/>
        <v xml:space="preserve">   idem of goods and services</v>
      </c>
      <c r="E1263" s="3113"/>
      <c r="F1263" s="1123"/>
      <c r="G1263" s="1123"/>
      <c r="H1263" s="1123"/>
      <c r="I1263" s="1123"/>
      <c r="J1263" s="1130"/>
      <c r="K1263" s="1130"/>
      <c r="L1263" s="1130"/>
      <c r="M1263" s="1163">
        <f>+J1235</f>
        <v>0</v>
      </c>
      <c r="N1263" s="1155">
        <f>+$M1263*0.75+$Q1263*0.25</f>
        <v>0</v>
      </c>
      <c r="O1263" s="1155">
        <f>+$M1263*0.5+$Q1263*0.5</f>
        <v>0</v>
      </c>
      <c r="P1263" s="1155">
        <f>+$M1263*0.25+$Q1263*0.75</f>
        <v>0</v>
      </c>
      <c r="Q1263" s="1163">
        <f>+K1235</f>
        <v>0</v>
      </c>
      <c r="R1263" s="1155">
        <f>+$Q1263*0.75+$U1263*0.25</f>
        <v>0</v>
      </c>
      <c r="S1263" s="1155">
        <f>+$Q1263*0.5+$U1263*0.5</f>
        <v>0</v>
      </c>
      <c r="T1263" s="1155">
        <f>+$Q1263*0.25+$U1263*0.75</f>
        <v>0</v>
      </c>
      <c r="U1263" s="1163">
        <f>+L1235</f>
        <v>0</v>
      </c>
      <c r="V1263" s="1155">
        <f>+$U1263*0.75+$Y1263*0.25</f>
        <v>0</v>
      </c>
      <c r="W1263" s="1155">
        <f>+$U1263*0.5+$Y1263*0.5</f>
        <v>0</v>
      </c>
      <c r="X1263" s="1155">
        <f>+$U1263*0.25+$Y1263*0.75</f>
        <v>0</v>
      </c>
      <c r="Y1263" s="1163">
        <f>+M1235</f>
        <v>0</v>
      </c>
      <c r="Z1263" s="1155">
        <f>+$Y1263*0.75+$AC1263*0.25</f>
        <v>0</v>
      </c>
      <c r="AA1263" s="1155">
        <f>+$Y1263*0.5+$AC1263*0.5</f>
        <v>0</v>
      </c>
      <c r="AB1263" s="1155">
        <f>+$Y1263*0.25+$AC1263*0.75</f>
        <v>0</v>
      </c>
      <c r="AC1263" s="1145">
        <f>+N1235</f>
        <v>0</v>
      </c>
      <c r="AD1263" s="3270">
        <f>+$AC1263*0.75+$AG1263*0.25</f>
        <v>0</v>
      </c>
      <c r="AE1263" s="3270">
        <f>+$AC1263*0.5+$AG1263*0.5</f>
        <v>0</v>
      </c>
      <c r="AF1263" s="3270">
        <f>+$AC1263*0.25+$AG1263*0.75</f>
        <v>0</v>
      </c>
      <c r="AG1263" s="3271">
        <f>+O1235</f>
        <v>0</v>
      </c>
      <c r="AH1263" s="2627">
        <f>+$AG1263*0.75+$AK1263*0.25</f>
        <v>5.8558905919829733</v>
      </c>
      <c r="AI1263" s="2627">
        <f>+$AG1263*0.5+$AK1263*0.5</f>
        <v>11.711781183965947</v>
      </c>
      <c r="AJ1263" s="2627">
        <f>+$AG1263*0.25+$AK1263*0.75</f>
        <v>17.56767177594892</v>
      </c>
      <c r="AK1263" s="2627">
        <f>+P1235</f>
        <v>23.423562367931893</v>
      </c>
      <c r="AL1263" s="2627">
        <f>+$AK1263*0.75+$AO1263*0.25</f>
        <v>22.930652144316561</v>
      </c>
      <c r="AM1263" s="2627">
        <f>+$AK1263*0.5+$AO1263*0.5</f>
        <v>22.437741920701225</v>
      </c>
      <c r="AN1263" s="2627">
        <f>+$AK1263*0.25+$AO1263*0.75</f>
        <v>21.944831697085892</v>
      </c>
      <c r="AO1263" s="1710">
        <f>+Q1235</f>
        <v>21.451921473470556</v>
      </c>
      <c r="AP1263" s="2627">
        <f>+$AO1263*0.75+$AS1263*0.25</f>
        <v>21.614097391434331</v>
      </c>
      <c r="AQ1263" s="2627">
        <f>+$AO1263*0.5+$AS1263*0.5</f>
        <v>21.776273309398103</v>
      </c>
      <c r="AR1263" s="2627">
        <f>+$AO1263*0.25+$AS1263*0.75</f>
        <v>21.938449227361879</v>
      </c>
      <c r="AS1263" s="1710">
        <f>+R1235</f>
        <v>22.100625145325651</v>
      </c>
      <c r="AT1263" s="2627">
        <f>+$AS1263*0.75+$AX1263*0.25</f>
        <v>23.011018261109349</v>
      </c>
      <c r="AU1263" s="1152"/>
      <c r="AV1263" s="1152">
        <f>+$AS1263*0.5+$AX1263*0.5</f>
        <v>23.921411376893051</v>
      </c>
      <c r="AW1263" s="1152">
        <f>+$AS1263*0.25+$AX1263*0.75</f>
        <v>24.831804492676749</v>
      </c>
      <c r="AX1263" s="1144">
        <f>+S1235</f>
        <v>25.742197608460451</v>
      </c>
      <c r="AY1263" s="1152">
        <f>+$AX1263*0.75+$BB1263*0.25</f>
        <v>25.744756371207579</v>
      </c>
      <c r="AZ1263" s="1152">
        <f>+$AX1263*0.5+$BB1263*0.5</f>
        <v>25.747315133954707</v>
      </c>
      <c r="BA1263" s="1152">
        <f>+$AX1263*0.25+$BB1263*0.75</f>
        <v>25.749873896701835</v>
      </c>
      <c r="BB1263" s="1144">
        <f>+T1235</f>
        <v>25.752432659448964</v>
      </c>
      <c r="BC1263" s="1152">
        <f>+$BB1263*0.75+$BF1263*0.25</f>
        <v>26.576601060909667</v>
      </c>
      <c r="BD1263" s="1152">
        <f>+$BB1263*0.5+$BF1263*0.5</f>
        <v>27.400769462370377</v>
      </c>
      <c r="BE1263" s="1152">
        <f>+$BB1263*0.25+$BF1263*0.75</f>
        <v>28.22493786383108</v>
      </c>
      <c r="BF1263" s="1144">
        <f>+U1235</f>
        <v>29.049106265291787</v>
      </c>
      <c r="BG1263" s="1152">
        <f>+$BF1263*0.75+$BJ1263*0.25</f>
        <v>29.670930739331826</v>
      </c>
      <c r="BH1263" s="1152">
        <f>+$BF1263*0.5+$BJ1263*0.5</f>
        <v>30.292755213371866</v>
      </c>
      <c r="BI1263" s="1152">
        <f>+$BF1263*0.25+$BJ1263*0.75</f>
        <v>30.914579687411905</v>
      </c>
      <c r="BJ1263" s="1148">
        <f>+V1235</f>
        <v>31.536404161451944</v>
      </c>
      <c r="BK1263" s="1152">
        <f>+$BJ1263*0.75+$BN1263*0.25</f>
        <v>31.848694611918376</v>
      </c>
      <c r="BL1263" s="1152">
        <f>+$BJ1263*0.5+$BN1263*0.5</f>
        <v>32.160985062384803</v>
      </c>
      <c r="BM1263" s="1152">
        <f>+$BJ1263*0.25+$BN1263*0.75</f>
        <v>32.473275512851231</v>
      </c>
      <c r="BN1263" s="1144">
        <f>+W1235</f>
        <v>32.785565963317659</v>
      </c>
      <c r="BO1263" s="1152">
        <f>+$BN1263*0.75+$BR1263*0.25</f>
        <v>32.907240217959448</v>
      </c>
      <c r="BP1263" s="1152">
        <f>+$BN1263*0.5+$BR1263*0.5</f>
        <v>33.02891447260123</v>
      </c>
      <c r="BQ1263" s="1152">
        <f>+$BN1263*0.25+$BR1263*0.75</f>
        <v>33.150588727243019</v>
      </c>
      <c r="BR1263" s="1144">
        <f>+X1235</f>
        <v>33.272262981884808</v>
      </c>
      <c r="BS1263" s="1152">
        <f>+$BR1263*0.75+$BV1263*0.25</f>
        <v>33.818473751330522</v>
      </c>
      <c r="BT1263" s="1152">
        <f>+$BR1263*0.5+$BV1263*0.5</f>
        <v>34.364684520776237</v>
      </c>
      <c r="BU1263" s="1152">
        <f>+$BR1263*0.25+$BV1263*0.75</f>
        <v>34.910895290221951</v>
      </c>
      <c r="BV1263" s="1144">
        <f>+Y1235</f>
        <v>35.457106059667666</v>
      </c>
      <c r="BW1263" s="1152">
        <f>+$BV1263*0.75+$BZ1263*0.25</f>
        <v>35.295030847135592</v>
      </c>
      <c r="BX1263" s="1152">
        <f>+$BV1263*0.5+$BZ1263*0.5</f>
        <v>35.132955634603512</v>
      </c>
      <c r="BY1263" s="1152">
        <f>+$BV1263*0.25+$BZ1263*0.75</f>
        <v>34.970880422071431</v>
      </c>
      <c r="BZ1263" s="1144">
        <f>+Z1235</f>
        <v>34.808805209539358</v>
      </c>
      <c r="CA1263" s="1152">
        <f>+$BZ1263*0.75+$CD1263*0.25</f>
        <v>35.282049293721812</v>
      </c>
      <c r="CB1263" s="1152">
        <f>+$BZ1263*0.5+$CD1263*0.5</f>
        <v>35.755293377904266</v>
      </c>
      <c r="CC1263" s="1152">
        <f>+$BZ1263*0.25+$CD1263*0.75</f>
        <v>36.22853746208672</v>
      </c>
      <c r="CD1263" s="1144">
        <f>+AA1235</f>
        <v>36.701781546269181</v>
      </c>
      <c r="CE1263" s="1152">
        <f>+$CD1263*0.75+$CH1263*0.25</f>
        <v>37.837890773980007</v>
      </c>
      <c r="CF1263" s="1152">
        <f>+$CD1263*0.5+$CH1263*0.5</f>
        <v>38.97400000169084</v>
      </c>
      <c r="CG1263" s="1152">
        <f>+$CD1263*0.25+$CH1263*0.75</f>
        <v>40.110109229401665</v>
      </c>
      <c r="CH1263" s="1144">
        <f>+AB1235</f>
        <v>41.246218457112491</v>
      </c>
      <c r="CI1263" s="1152">
        <f>+$CH1263*0.75+$CL1263*0.25</f>
        <v>41.594218269898398</v>
      </c>
      <c r="CJ1263" s="1152">
        <f>+$CH1263*0.5+$CL1263*0.5</f>
        <v>41.942218082684306</v>
      </c>
      <c r="CK1263" s="1152">
        <f>+$CH1263*0.25+$CL1263*0.75</f>
        <v>42.290217895470221</v>
      </c>
      <c r="CL1263" s="1144">
        <f>+AC1235</f>
        <v>42.638217708256128</v>
      </c>
      <c r="CM1263" s="1152">
        <f>+$CL1263*0.75+$CP1263*0.25</f>
        <v>42.407275398018783</v>
      </c>
      <c r="CN1263" s="1152">
        <f>+$CL1263*0.5+$CP1263*0.5</f>
        <v>42.17633308778143</v>
      </c>
      <c r="CO1263" s="1152">
        <f>+$CL1263*0.25+$CP1263*0.75</f>
        <v>41.945390777544084</v>
      </c>
      <c r="CP1263" s="1144">
        <f>+AD1235</f>
        <v>41.714448467306738</v>
      </c>
      <c r="CQ1263" s="1152">
        <f>+$CP1263*0.75+$CT1263*0.25</f>
        <v>41.606680158603943</v>
      </c>
      <c r="CR1263" s="1152">
        <f>+$CP1263*0.5+$CT1263*0.5</f>
        <v>41.498911849901148</v>
      </c>
      <c r="CS1263" s="1152">
        <f>+$CP1263*0.25+$CT1263*0.75</f>
        <v>41.391143541198353</v>
      </c>
      <c r="CT1263" s="1144">
        <f>+AE1235</f>
        <v>41.283375232495558</v>
      </c>
      <c r="CU1263" s="1152">
        <f>+$CP1263*0.75+$CT1263*0.25</f>
        <v>41.606680158603943</v>
      </c>
      <c r="CV1263" s="1152">
        <f>+$CP1263*0.5+$CT1263*0.5</f>
        <v>41.498911849901148</v>
      </c>
      <c r="CW1263" s="1152">
        <f>+$CP1263*0.25+$CT1263*0.75</f>
        <v>41.391143541198353</v>
      </c>
      <c r="CX1263" s="1144">
        <f>+AF1235</f>
        <v>48.801507120196355</v>
      </c>
      <c r="CY1263" s="1152">
        <f>+$CP1263*0.75+$CT1263*0.25</f>
        <v>41.606680158603943</v>
      </c>
      <c r="CZ1263" s="1152">
        <f>+$CP1263*0.5+$CT1263*0.5</f>
        <v>41.498911849901148</v>
      </c>
      <c r="DA1263" s="1152">
        <f>+$CP1263*0.25+$CT1263*0.75</f>
        <v>41.391143541198353</v>
      </c>
      <c r="DB1263" s="1144">
        <f>+AJ1235</f>
        <v>71.29218817919589</v>
      </c>
      <c r="DC1263" s="1152">
        <f>+$CP1263*0.75+$CT1263*0.25</f>
        <v>41.606680158603943</v>
      </c>
      <c r="DD1263" s="1152">
        <f>+$CP1263*0.5+$CT1263*0.5</f>
        <v>41.498911849901148</v>
      </c>
      <c r="DE1263" s="1152">
        <f>+$CP1263*0.25+$CT1263*0.75</f>
        <v>41.391143541198353</v>
      </c>
      <c r="DF1263" s="1144">
        <f>+AN1235</f>
        <v>85.998671851679589</v>
      </c>
    </row>
    <row r="1264" spans="4:110">
      <c r="D1264" s="1128" t="str">
        <f t="shared" si="1117"/>
        <v>Import price index in Frw goods fob</v>
      </c>
      <c r="E1264" s="3113"/>
      <c r="F1264" s="1123"/>
      <c r="G1264" s="1123"/>
      <c r="H1264" s="1123"/>
      <c r="I1264" s="1123"/>
      <c r="J1264" s="1130"/>
      <c r="K1264" s="1130"/>
      <c r="L1264" s="1130"/>
      <c r="M1264" s="1144">
        <f>+J1236</f>
        <v>18.277352054937303</v>
      </c>
      <c r="N1264" s="1152">
        <f>+$M1264*0.75+$Q1264*0.25</f>
        <v>18.191264734685717</v>
      </c>
      <c r="O1264" s="1152">
        <f>+$M1264*0.5+$Q1264*0.5</f>
        <v>18.105177414434131</v>
      </c>
      <c r="P1264" s="1152">
        <f>+$M1264*0.25+$Q1264*0.75</f>
        <v>18.019090094182545</v>
      </c>
      <c r="Q1264" s="1144">
        <f>+K1236</f>
        <v>17.933002773930962</v>
      </c>
      <c r="R1264" s="1152">
        <f>+$Q1264*0.75+$U1264*0.25</f>
        <v>17.016080531177259</v>
      </c>
      <c r="S1264" s="1152">
        <f>+$Q1264*0.5+$U1264*0.5</f>
        <v>16.09915828842356</v>
      </c>
      <c r="T1264" s="1152">
        <f>+$Q1264*0.25+$U1264*0.75</f>
        <v>15.18223604566986</v>
      </c>
      <c r="U1264" s="1144">
        <f>+L1236</f>
        <v>14.265313802916161</v>
      </c>
      <c r="V1264" s="1152">
        <f>+$U1264*0.75+$Y1264*0.25</f>
        <v>14.113530726850485</v>
      </c>
      <c r="W1264" s="1152">
        <f>+$U1264*0.5+$Y1264*0.5</f>
        <v>13.961747650784806</v>
      </c>
      <c r="X1264" s="1152">
        <f>+$U1264*0.25+$Y1264*0.75</f>
        <v>13.80996457471913</v>
      </c>
      <c r="Y1264" s="1144">
        <f>+M1236</f>
        <v>13.658181498653452</v>
      </c>
      <c r="Z1264" s="1152">
        <f>+$Y1264*0.75+$AC1264*0.25</f>
        <v>14.372329611371198</v>
      </c>
      <c r="AA1264" s="1152">
        <f>+$Y1264*0.5+$AC1264*0.5</f>
        <v>15.086477724088942</v>
      </c>
      <c r="AB1264" s="1152">
        <f>+$Y1264*0.25+$AC1264*0.75</f>
        <v>15.800625836806688</v>
      </c>
      <c r="AC1264" s="1148">
        <f>+N1236</f>
        <v>16.514773949524432</v>
      </c>
      <c r="AD1264" s="2627">
        <f>+$AC1264*0.75+$AG1264*0.25</f>
        <v>16.99746303874344</v>
      </c>
      <c r="AE1264" s="2627">
        <f>+$AC1264*0.5+$AG1264*0.5</f>
        <v>17.480152127962448</v>
      </c>
      <c r="AF1264" s="2627">
        <f>+$AC1264*0.25+$AG1264*0.75</f>
        <v>17.962841217181456</v>
      </c>
      <c r="AG1264" s="1710">
        <f>+O1236</f>
        <v>18.445530306400467</v>
      </c>
      <c r="AH1264" s="2627">
        <f>+$AG1264*0.75+$AK1264*0.25</f>
        <v>18.429897993720822</v>
      </c>
      <c r="AI1264" s="2627">
        <f>+$AG1264*0.5+$AK1264*0.5</f>
        <v>18.414265681041179</v>
      </c>
      <c r="AJ1264" s="2627">
        <f>+$AG1264*0.25+$AK1264*0.75</f>
        <v>18.398633368361537</v>
      </c>
      <c r="AK1264" s="2627">
        <f>+P1236</f>
        <v>18.383001055681891</v>
      </c>
      <c r="AL1264" s="2627">
        <f>+$AK1264*0.75+$AO1264*0.25</f>
        <v>18.254042201329383</v>
      </c>
      <c r="AM1264" s="2627">
        <f>+$AK1264*0.5+$AO1264*0.5</f>
        <v>18.125083346976872</v>
      </c>
      <c r="AN1264" s="2627">
        <f>+$AK1264*0.25+$AO1264*0.75</f>
        <v>17.996124492624361</v>
      </c>
      <c r="AO1264" s="1710">
        <f>+Q1236</f>
        <v>17.867165638271853</v>
      </c>
      <c r="AP1264" s="2627">
        <f>+$AO1264*0.75+$AS1264*0.25</f>
        <v>17.862351092948497</v>
      </c>
      <c r="AQ1264" s="2627">
        <f>+$AO1264*0.5+$AS1264*0.5</f>
        <v>17.857536547625141</v>
      </c>
      <c r="AR1264" s="2627">
        <f>+$AO1264*0.25+$AS1264*0.75</f>
        <v>17.852722002301785</v>
      </c>
      <c r="AS1264" s="1710">
        <f>+R1236</f>
        <v>17.84790745697843</v>
      </c>
      <c r="AT1264" s="2627">
        <f>+$AS1264*0.75+$AX1264*0.25</f>
        <v>19.065924023824916</v>
      </c>
      <c r="AU1264" s="1152"/>
      <c r="AV1264" s="1152">
        <f>+$AS1264*0.5+$AX1264*0.5</f>
        <v>20.283940590671406</v>
      </c>
      <c r="AW1264" s="1152">
        <f>+$AS1264*0.25+$AX1264*0.75</f>
        <v>21.501957157517896</v>
      </c>
      <c r="AX1264" s="1144">
        <f>+S1236</f>
        <v>22.719973724364383</v>
      </c>
      <c r="AY1264" s="1152">
        <f>+$AX1264*0.75+$BB1264*0.25</f>
        <v>22.38835931243181</v>
      </c>
      <c r="AZ1264" s="1152">
        <f>+$AX1264*0.5+$BB1264*0.5</f>
        <v>22.05674490049924</v>
      </c>
      <c r="BA1264" s="1152">
        <f>+$AX1264*0.25+$BB1264*0.75</f>
        <v>21.725130488566666</v>
      </c>
      <c r="BB1264" s="1144">
        <f>+T1236</f>
        <v>21.393516076634093</v>
      </c>
      <c r="BC1264" s="1152">
        <f>+$BB1264*0.75+$BF1264*0.25</f>
        <v>21.932495447279599</v>
      </c>
      <c r="BD1264" s="1152">
        <f>+$BB1264*0.5+$BF1264*0.5</f>
        <v>22.471474817925099</v>
      </c>
      <c r="BE1264" s="1152">
        <f>+$BB1264*0.25+$BF1264*0.75</f>
        <v>23.010454188570598</v>
      </c>
      <c r="BF1264" s="1144">
        <f>+U1236</f>
        <v>23.549433559216105</v>
      </c>
      <c r="BG1264" s="1152">
        <f>+$BF1264*0.75+$BJ1264*0.25</f>
        <v>24.794315611397494</v>
      </c>
      <c r="BH1264" s="1152">
        <f>+$BF1264*0.5+$BJ1264*0.5</f>
        <v>26.039197663578889</v>
      </c>
      <c r="BI1264" s="1152">
        <f>+$BF1264*0.25+$BJ1264*0.75</f>
        <v>27.284079715760285</v>
      </c>
      <c r="BJ1264" s="1148">
        <f>+V1236</f>
        <v>28.528961767941674</v>
      </c>
      <c r="BK1264" s="1152">
        <f>+$BJ1264*0.75+$BN1264*0.25</f>
        <v>28.408136655313221</v>
      </c>
      <c r="BL1264" s="1152">
        <f>+$BJ1264*0.5+$BN1264*0.5</f>
        <v>28.287311542684762</v>
      </c>
      <c r="BM1264" s="1152">
        <f>+$BJ1264*0.25+$BN1264*0.75</f>
        <v>28.16648643005631</v>
      </c>
      <c r="BN1264" s="1144">
        <f>+W1236</f>
        <v>28.045661317427854</v>
      </c>
      <c r="BO1264" s="1152">
        <f>+$BN1264*0.75+$BR1264*0.25</f>
        <v>28.635131579694782</v>
      </c>
      <c r="BP1264" s="1152">
        <f>+$BN1264*0.5+$BR1264*0.5</f>
        <v>29.224601841961714</v>
      </c>
      <c r="BQ1264" s="1152">
        <f>+$BN1264*0.25+$BR1264*0.75</f>
        <v>29.814072104228643</v>
      </c>
      <c r="BR1264" s="1144">
        <f>+X1236</f>
        <v>30.403542366495572</v>
      </c>
      <c r="BS1264" s="1152">
        <f>+$BR1264*0.75+$BV1264*0.25</f>
        <v>30.956527357530181</v>
      </c>
      <c r="BT1264" s="1152">
        <f>+$BR1264*0.5+$BV1264*0.5</f>
        <v>31.50951234856479</v>
      </c>
      <c r="BU1264" s="1152">
        <f>+$BR1264*0.25+$BV1264*0.75</f>
        <v>32.062497339599403</v>
      </c>
      <c r="BV1264" s="1144">
        <f>+Y1236</f>
        <v>32.615482330634009</v>
      </c>
      <c r="BW1264" s="1152">
        <f>+$BV1264*0.75+$BZ1264*0.25</f>
        <v>31.868169073775668</v>
      </c>
      <c r="BX1264" s="1152">
        <f>+$BV1264*0.5+$BZ1264*0.5</f>
        <v>31.120855816917327</v>
      </c>
      <c r="BY1264" s="1152">
        <f>+$BV1264*0.25+$BZ1264*0.75</f>
        <v>30.373542560058983</v>
      </c>
      <c r="BZ1264" s="1144">
        <f>+Z1236</f>
        <v>29.626229303200642</v>
      </c>
      <c r="CA1264" s="1152">
        <f>+$BZ1264*0.75+$CD1264*0.25</f>
        <v>30.451445967465119</v>
      </c>
      <c r="CB1264" s="1152">
        <f>+$BZ1264*0.5+$CD1264*0.5</f>
        <v>31.2766626317296</v>
      </c>
      <c r="CC1264" s="1152">
        <f>+$BZ1264*0.25+$CD1264*0.75</f>
        <v>32.101879295994081</v>
      </c>
      <c r="CD1264" s="1144">
        <f>+AA1236</f>
        <v>32.927095960258562</v>
      </c>
      <c r="CE1264" s="1152">
        <f>+$CD1264*0.75+$CH1264*0.25</f>
        <v>32.83687719605296</v>
      </c>
      <c r="CF1264" s="1152">
        <f>+$CD1264*0.5+$CH1264*0.5</f>
        <v>32.746658431847358</v>
      </c>
      <c r="CG1264" s="1152">
        <f>+$CD1264*0.25+$CH1264*0.75</f>
        <v>32.656439667641756</v>
      </c>
      <c r="CH1264" s="1144">
        <f>+AB1236</f>
        <v>32.566220903436154</v>
      </c>
      <c r="CI1264" s="1152">
        <f>+$CH1264*0.75+$CL1264*0.25</f>
        <v>32.882695701741717</v>
      </c>
      <c r="CJ1264" s="1152">
        <f>+$CH1264*0.5+$CL1264*0.5</f>
        <v>33.199170500047273</v>
      </c>
      <c r="CK1264" s="1152">
        <f>+$CH1264*0.25+$CL1264*0.75</f>
        <v>33.51564529835283</v>
      </c>
      <c r="CL1264" s="1144">
        <f>+AC1236</f>
        <v>33.832120096658393</v>
      </c>
      <c r="CM1264" s="1152">
        <f>+$CL1264*0.75+$CP1264*0.25</f>
        <v>34.064600485639097</v>
      </c>
      <c r="CN1264" s="1152">
        <f>+$CL1264*0.5+$CP1264*0.5</f>
        <v>34.297080874619809</v>
      </c>
      <c r="CO1264" s="1152">
        <f>+$CL1264*0.25+$CP1264*0.75</f>
        <v>34.52956126360052</v>
      </c>
      <c r="CP1264" s="1144">
        <f>+AD1236</f>
        <v>34.762041652581225</v>
      </c>
      <c r="CQ1264" s="1152">
        <f>+$CP1264*0.75+$CT1264*0.25</f>
        <v>34.704691210840636</v>
      </c>
      <c r="CR1264" s="1152">
        <f>+$CP1264*0.5+$CT1264*0.5</f>
        <v>34.647340769100055</v>
      </c>
      <c r="CS1264" s="1152">
        <f>+$CP1264*0.25+$CT1264*0.75</f>
        <v>34.589990327359466</v>
      </c>
      <c r="CT1264" s="1144">
        <f>+AE1236</f>
        <v>34.532639885618877</v>
      </c>
      <c r="CU1264" s="1152">
        <f>+$CP1264*0.75+$CT1264*0.25</f>
        <v>34.704691210840636</v>
      </c>
      <c r="CV1264" s="1152">
        <f>+$CP1264*0.5+$CT1264*0.5</f>
        <v>34.647340769100055</v>
      </c>
      <c r="CW1264" s="1152">
        <f>+$CP1264*0.25+$CT1264*0.75</f>
        <v>34.589990327359466</v>
      </c>
      <c r="CX1264" s="1144">
        <f>+AF1236</f>
        <v>39.60289005977301</v>
      </c>
      <c r="CY1264" s="1152">
        <f>+$CP1264*0.75+$CT1264*0.25</f>
        <v>34.704691210840636</v>
      </c>
      <c r="CZ1264" s="1152">
        <f>+$CP1264*0.5+$CT1264*0.5</f>
        <v>34.647340769100055</v>
      </c>
      <c r="DA1264" s="1152">
        <f>+$CP1264*0.25+$CT1264*0.75</f>
        <v>34.589990327359466</v>
      </c>
      <c r="DB1264" s="1144">
        <f>+AJ1236</f>
        <v>55.839129131363173</v>
      </c>
      <c r="DC1264" s="1152">
        <f>+$CP1264*0.75+$CT1264*0.25</f>
        <v>34.704691210840636</v>
      </c>
      <c r="DD1264" s="1152">
        <f>+$CP1264*0.5+$CT1264*0.5</f>
        <v>34.647340769100055</v>
      </c>
      <c r="DE1264" s="1152">
        <f>+$CP1264*0.25+$CT1264*0.75</f>
        <v>34.589990327359466</v>
      </c>
      <c r="DF1264" s="1144">
        <f>+AN1236</f>
        <v>65.084613779684418</v>
      </c>
    </row>
    <row r="1265" spans="4:110">
      <c r="D1265" s="1128" t="str">
        <f t="shared" si="1117"/>
        <v xml:space="preserve">   idem of goods and services</v>
      </c>
      <c r="E1265" s="3113"/>
      <c r="F1265" s="1123"/>
      <c r="G1265" s="1123"/>
      <c r="H1265" s="1123"/>
      <c r="I1265" s="1123"/>
      <c r="J1265" s="1130"/>
      <c r="K1265" s="1130"/>
      <c r="L1265" s="1130"/>
      <c r="M1265" s="1163">
        <f>+J1237</f>
        <v>0</v>
      </c>
      <c r="N1265" s="1155">
        <f>+$M1265*0.75+$Q1265*0.25</f>
        <v>0</v>
      </c>
      <c r="O1265" s="1155">
        <f>+$M1265*0.5+$Q1265*0.5</f>
        <v>0</v>
      </c>
      <c r="P1265" s="1155">
        <f>+$M1265*0.25+$Q1265*0.75</f>
        <v>0</v>
      </c>
      <c r="Q1265" s="1163">
        <f>+K1237</f>
        <v>0</v>
      </c>
      <c r="R1265" s="1155">
        <f>+$Q1265*0.75+$U1265*0.25</f>
        <v>0</v>
      </c>
      <c r="S1265" s="1155">
        <f>+$Q1265*0.5+$U1265*0.5</f>
        <v>0</v>
      </c>
      <c r="T1265" s="1155">
        <f>+$Q1265*0.25+$U1265*0.75</f>
        <v>0</v>
      </c>
      <c r="U1265" s="1163">
        <f>+L1237</f>
        <v>0</v>
      </c>
      <c r="V1265" s="1155">
        <f>+$U1265*0.75+$Y1265*0.25</f>
        <v>0</v>
      </c>
      <c r="W1265" s="1155">
        <f>+$U1265*0.5+$Y1265*0.5</f>
        <v>0</v>
      </c>
      <c r="X1265" s="1155">
        <f>+$U1265*0.25+$Y1265*0.75</f>
        <v>0</v>
      </c>
      <c r="Y1265" s="1163">
        <f>+M1237</f>
        <v>0</v>
      </c>
      <c r="Z1265" s="1155">
        <f>+$Y1265*0.75+$AC1265*0.25</f>
        <v>0</v>
      </c>
      <c r="AA1265" s="1155">
        <f>+$Y1265*0.5+$AC1265*0.5</f>
        <v>0</v>
      </c>
      <c r="AB1265" s="1155">
        <f>+$Y1265*0.25+$AC1265*0.75</f>
        <v>0</v>
      </c>
      <c r="AC1265" s="1163">
        <f>+N1237</f>
        <v>0</v>
      </c>
      <c r="AD1265" s="3270">
        <f>+$AC1265*0.75+$AG1265*0.25</f>
        <v>0</v>
      </c>
      <c r="AE1265" s="3270">
        <f>+$AC1265*0.5+$AG1265*0.5</f>
        <v>0</v>
      </c>
      <c r="AF1265" s="3270">
        <f>+$AC1265*0.25+$AG1265*0.75</f>
        <v>0</v>
      </c>
      <c r="AG1265" s="3271">
        <f>+O1237</f>
        <v>0</v>
      </c>
      <c r="AH1265" s="2627">
        <f>+$AG1265*0.75+$AK1265*0.25</f>
        <v>5.8595259833211575</v>
      </c>
      <c r="AI1265" s="2627">
        <f>+$AG1265*0.5+$AK1265*0.5</f>
        <v>11.719051966642315</v>
      </c>
      <c r="AJ1265" s="2627">
        <f>+$AG1265*0.25+$AK1265*0.75</f>
        <v>17.578577949963474</v>
      </c>
      <c r="AK1265" s="2627">
        <f>+P1237</f>
        <v>23.43810393328463</v>
      </c>
      <c r="AL1265" s="2627">
        <f>+$AK1265*0.75+$AO1265*0.25</f>
        <v>23.368353617543441</v>
      </c>
      <c r="AM1265" s="2627">
        <f>+$AK1265*0.5+$AO1265*0.5</f>
        <v>23.298603301802245</v>
      </c>
      <c r="AN1265" s="2627">
        <f>+$AK1265*0.25+$AO1265*0.75</f>
        <v>23.22885298606105</v>
      </c>
      <c r="AO1265" s="1710">
        <f>+Q1237</f>
        <v>23.159102670319861</v>
      </c>
      <c r="AP1265" s="2627">
        <f>+$AO1265*0.75+$AS1265*0.25</f>
        <v>23.207206083130878</v>
      </c>
      <c r="AQ1265" s="2627">
        <f>+$AO1265*0.5+$AS1265*0.5</f>
        <v>23.255309495941894</v>
      </c>
      <c r="AR1265" s="2627">
        <f>+$AO1265*0.25+$AS1265*0.75</f>
        <v>23.303412908752911</v>
      </c>
      <c r="AS1265" s="1710">
        <f>+R1237</f>
        <v>23.351516321563931</v>
      </c>
      <c r="AT1265" s="2627">
        <f>+$AS1265*0.75+$AX1265*0.25</f>
        <v>24.444707990773832</v>
      </c>
      <c r="AU1265" s="1152"/>
      <c r="AV1265" s="1152">
        <f>+$AS1265*0.5+$AX1265*0.5</f>
        <v>25.537899659983736</v>
      </c>
      <c r="AW1265" s="1152">
        <f>+$AS1265*0.25+$AX1265*0.75</f>
        <v>26.631091329193637</v>
      </c>
      <c r="AX1265" s="1144">
        <f>+S1237</f>
        <v>27.724282998403538</v>
      </c>
      <c r="AY1265" s="1152">
        <f>+$AX1265*0.75+$BB1265*0.25</f>
        <v>27.507311496553715</v>
      </c>
      <c r="AZ1265" s="1152">
        <f>+$AX1265*0.5+$BB1265*0.5</f>
        <v>27.290339994703892</v>
      </c>
      <c r="BA1265" s="1152">
        <f>+$AX1265*0.25+$BB1265*0.75</f>
        <v>27.073368492854065</v>
      </c>
      <c r="BB1265" s="1144">
        <f>+T1237</f>
        <v>26.856396991004242</v>
      </c>
      <c r="BC1265" s="1152">
        <f>+$BB1265*0.75+$BF1265*0.25</f>
        <v>27.403658998861054</v>
      </c>
      <c r="BD1265" s="1152">
        <f>+$BB1265*0.5+$BF1265*0.5</f>
        <v>27.95092100671787</v>
      </c>
      <c r="BE1265" s="1152">
        <f>+$BB1265*0.25+$BF1265*0.75</f>
        <v>28.498183014574689</v>
      </c>
      <c r="BF1265" s="1144">
        <f>+U1237</f>
        <v>29.045445022431501</v>
      </c>
      <c r="BG1265" s="1152">
        <f>+$BF1265*0.75+$BJ1265*0.25</f>
        <v>30.260747623645393</v>
      </c>
      <c r="BH1265" s="1152">
        <f>+$BF1265*0.5+$BJ1265*0.5</f>
        <v>31.476050224859286</v>
      </c>
      <c r="BI1265" s="1152">
        <f>+$BF1265*0.25+$BJ1265*0.75</f>
        <v>32.691352826073178</v>
      </c>
      <c r="BJ1265" s="1148">
        <f>+V1237</f>
        <v>33.90665542728707</v>
      </c>
      <c r="BK1265" s="1152">
        <f>+$BJ1265*0.75+$BN1265*0.25</f>
        <v>33.88060436369399</v>
      </c>
      <c r="BL1265" s="1152">
        <f>+$BJ1265*0.5+$BN1265*0.5</f>
        <v>33.854553300100903</v>
      </c>
      <c r="BM1265" s="1152">
        <f>+$BJ1265*0.25+$BN1265*0.75</f>
        <v>33.828502236507823</v>
      </c>
      <c r="BN1265" s="1144">
        <f>+W1237</f>
        <v>33.802451172914743</v>
      </c>
      <c r="BO1265" s="1152">
        <f>+$BN1265*0.75+$BR1265*0.25</f>
        <v>34.376694957485057</v>
      </c>
      <c r="BP1265" s="1152">
        <f>+$BN1265*0.5+$BR1265*0.5</f>
        <v>34.950938742055371</v>
      </c>
      <c r="BQ1265" s="1152">
        <f>+$BN1265*0.25+$BR1265*0.75</f>
        <v>35.525182526625692</v>
      </c>
      <c r="BR1265" s="1144">
        <f>+X1237</f>
        <v>36.099426311196005</v>
      </c>
      <c r="BS1265" s="1152">
        <f>+$BR1265*0.75+$BV1265*0.25</f>
        <v>36.701403200641025</v>
      </c>
      <c r="BT1265" s="1152">
        <f>+$BR1265*0.5+$BV1265*0.5</f>
        <v>37.303380090086044</v>
      </c>
      <c r="BU1265" s="1152">
        <f>+$BR1265*0.25+$BV1265*0.75</f>
        <v>37.905356979531064</v>
      </c>
      <c r="BV1265" s="1144">
        <f>+Y1237</f>
        <v>38.507333868976083</v>
      </c>
      <c r="BW1265" s="1152">
        <f>+$BV1265*0.75+$BZ1265*0.25</f>
        <v>37.985347515659882</v>
      </c>
      <c r="BX1265" s="1152">
        <f>+$BV1265*0.5+$BZ1265*0.5</f>
        <v>37.463361162343681</v>
      </c>
      <c r="BY1265" s="1152">
        <f>+$BV1265*0.25+$BZ1265*0.75</f>
        <v>36.941374809027479</v>
      </c>
      <c r="BZ1265" s="1144">
        <f>+Z1237</f>
        <v>36.419388455711278</v>
      </c>
      <c r="CA1265" s="1152">
        <f>+$BZ1265*0.75+$CD1265*0.25</f>
        <v>37.18150692356415</v>
      </c>
      <c r="CB1265" s="1152">
        <f>+$BZ1265*0.5+$CD1265*0.5</f>
        <v>37.943625391417022</v>
      </c>
      <c r="CC1265" s="1152">
        <f>+$BZ1265*0.25+$CD1265*0.75</f>
        <v>38.705743859269894</v>
      </c>
      <c r="CD1265" s="1144">
        <f>+AA1237</f>
        <v>39.467862327122766</v>
      </c>
      <c r="CE1265" s="1152">
        <f>+$CD1265*0.75+$CH1265*0.25</f>
        <v>39.592798164856248</v>
      </c>
      <c r="CF1265" s="1152">
        <f>+$CD1265*0.5+$CH1265*0.5</f>
        <v>39.717734002589722</v>
      </c>
      <c r="CG1265" s="1152">
        <f>+$CD1265*0.25+$CH1265*0.75</f>
        <v>39.842669840323197</v>
      </c>
      <c r="CH1265" s="1144">
        <f>+AB1237</f>
        <v>39.967605678056678</v>
      </c>
      <c r="CI1265" s="1152">
        <f>+$CH1265*0.75+$CL1265*0.25</f>
        <v>40.414816551528148</v>
      </c>
      <c r="CJ1265" s="1152">
        <f>+$CH1265*0.5+$CL1265*0.5</f>
        <v>40.862027424999624</v>
      </c>
      <c r="CK1265" s="1152">
        <f>+$CH1265*0.25+$CL1265*0.75</f>
        <v>41.309238298471101</v>
      </c>
      <c r="CL1265" s="1144">
        <f>+AC1237</f>
        <v>41.756449171942577</v>
      </c>
      <c r="CM1265" s="1152">
        <f>+$CL1265*0.75+$CP1265*0.25</f>
        <v>42.11792568707309</v>
      </c>
      <c r="CN1265" s="1152">
        <f>+$CL1265*0.5+$CP1265*0.5</f>
        <v>42.479402202203602</v>
      </c>
      <c r="CO1265" s="1152">
        <f>+$CL1265*0.25+$CP1265*0.75</f>
        <v>42.840878717334107</v>
      </c>
      <c r="CP1265" s="1144">
        <f>+AD1237</f>
        <v>43.202355232464619</v>
      </c>
      <c r="CQ1265" s="1152">
        <f>+$CP1265*0.75+$CT1265*0.25</f>
        <v>43.175507219939433</v>
      </c>
      <c r="CR1265" s="1152">
        <f>+$CP1265*0.5+$CT1265*0.5</f>
        <v>43.148659207414241</v>
      </c>
      <c r="CS1265" s="1152">
        <f>+$CP1265*0.25+$CT1265*0.75</f>
        <v>43.121811194889055</v>
      </c>
      <c r="CT1265" s="1144">
        <f>+AE1237</f>
        <v>43.09496318236387</v>
      </c>
      <c r="CU1265" s="1152">
        <f>+$CP1265*0.75+$CT1265*0.25</f>
        <v>43.175507219939433</v>
      </c>
      <c r="CV1265" s="1152">
        <f>+$CP1265*0.5+$CT1265*0.5</f>
        <v>43.148659207414241</v>
      </c>
      <c r="CW1265" s="1152">
        <f>+$CP1265*0.25+$CT1265*0.75</f>
        <v>43.121811194889055</v>
      </c>
      <c r="CX1265" s="1144">
        <f>+AF1237</f>
        <v>49.145925841848602</v>
      </c>
      <c r="CY1265" s="1152">
        <f>+$CP1265*0.75+$CT1265*0.25</f>
        <v>43.175507219939433</v>
      </c>
      <c r="CZ1265" s="1152">
        <f>+$CP1265*0.5+$CT1265*0.5</f>
        <v>43.148659207414241</v>
      </c>
      <c r="DA1265" s="1152">
        <f>+$CP1265*0.25+$CT1265*0.75</f>
        <v>43.121811194889055</v>
      </c>
      <c r="DB1265" s="1144">
        <f>+AJ1237</f>
        <v>71.028509164486834</v>
      </c>
      <c r="DC1265" s="1152">
        <f>+$CP1265*0.75+$CT1265*0.25</f>
        <v>43.175507219939433</v>
      </c>
      <c r="DD1265" s="1152">
        <f>+$CP1265*0.5+$CT1265*0.5</f>
        <v>43.148659207414241</v>
      </c>
      <c r="DE1265" s="1152">
        <f>+$CP1265*0.25+$CT1265*0.75</f>
        <v>43.121811194889055</v>
      </c>
      <c r="DF1265" s="1144">
        <f>+AN1237</f>
        <v>83.101258679100155</v>
      </c>
    </row>
    <row r="1266" spans="4:110">
      <c r="D1266" s="1128" t="str">
        <f t="shared" si="1117"/>
        <v>Terms of trade (goods,fob)</v>
      </c>
      <c r="E1266" s="3113"/>
      <c r="F1266" s="1123"/>
      <c r="G1266" s="1123"/>
      <c r="H1266" s="1123"/>
      <c r="I1266" s="1123"/>
      <c r="J1266" s="1131"/>
      <c r="K1266" s="1131"/>
      <c r="L1266" s="1131"/>
      <c r="M1266" s="1146">
        <f>+J1238/4</f>
        <v>6.1962380323960509E-3</v>
      </c>
      <c r="N1266" s="1156">
        <f>+Q1266</f>
        <v>7.822992093923048E-2</v>
      </c>
      <c r="O1266" s="1156">
        <f>+Q1266</f>
        <v>7.822992093923048E-2</v>
      </c>
      <c r="P1266" s="1156">
        <f>+Q1266</f>
        <v>7.822992093923048E-2</v>
      </c>
      <c r="Q1266" s="1157">
        <f>+K1238/4</f>
        <v>7.822992093923048E-2</v>
      </c>
      <c r="R1266" s="1156">
        <f>+U1266</f>
        <v>0.108306765358615</v>
      </c>
      <c r="S1266" s="1156">
        <f>+U1266</f>
        <v>0.108306765358615</v>
      </c>
      <c r="T1266" s="1156">
        <f>+U1266</f>
        <v>0.108306765358615</v>
      </c>
      <c r="U1266" s="1157">
        <f>+L1238/4</f>
        <v>0.108306765358615</v>
      </c>
      <c r="V1266" s="1156">
        <f>+Y1266</f>
        <v>-3.3444892340210058E-2</v>
      </c>
      <c r="W1266" s="1156">
        <f>+Y1266</f>
        <v>-3.3444892340210058E-2</v>
      </c>
      <c r="X1266" s="1156">
        <f>+Y1266</f>
        <v>-3.3444892340210058E-2</v>
      </c>
      <c r="Y1266" s="1157">
        <f>+M1238/4</f>
        <v>-3.3444892340210058E-2</v>
      </c>
      <c r="Z1266" s="1156">
        <f>+AC1266</f>
        <v>-8.9055145620436926E-4</v>
      </c>
      <c r="AA1266" s="1156">
        <f>+AC1266</f>
        <v>-8.9055145620436926E-4</v>
      </c>
      <c r="AB1266" s="1156">
        <f>+AC1266</f>
        <v>-8.9055145620436926E-4</v>
      </c>
      <c r="AC1266" s="1157">
        <f>+N1238/4</f>
        <v>-8.9055145620436926E-4</v>
      </c>
      <c r="AD1266" s="2630">
        <f>+AG1266</f>
        <v>4.5601062823549143E-2</v>
      </c>
      <c r="AE1266" s="2630">
        <f>+AG1266</f>
        <v>4.5601062823549143E-2</v>
      </c>
      <c r="AF1266" s="2630">
        <f>+AG1266</f>
        <v>4.5601062823549143E-2</v>
      </c>
      <c r="AG1266" s="1711">
        <f>+O1238/4</f>
        <v>4.5601062823549143E-2</v>
      </c>
      <c r="AH1266" s="2630">
        <f>+AK1266</f>
        <v>2.4447532352912082E-2</v>
      </c>
      <c r="AI1266" s="2630">
        <f>+AK1266</f>
        <v>2.4447532352912082E-2</v>
      </c>
      <c r="AJ1266" s="2630">
        <f>+AK1266</f>
        <v>2.4447532352912082E-2</v>
      </c>
      <c r="AK1266" s="2630">
        <f>+P1238/4</f>
        <v>2.4447532352912082E-2</v>
      </c>
      <c r="AL1266" s="2630">
        <f>+AO1266</f>
        <v>-3.9775641495876174E-2</v>
      </c>
      <c r="AM1266" s="2630">
        <f>+AO1266</f>
        <v>-3.9775641495876174E-2</v>
      </c>
      <c r="AN1266" s="2630">
        <f>+AO1266</f>
        <v>-3.9775641495876174E-2</v>
      </c>
      <c r="AO1266" s="1711">
        <f>+Q1238/4</f>
        <v>-3.9775641495876174E-2</v>
      </c>
      <c r="AP1266" s="2630">
        <f>+AS1266</f>
        <v>9.7315218565723893E-3</v>
      </c>
      <c r="AQ1266" s="2630">
        <f>+AS1266</f>
        <v>9.7315218565723893E-3</v>
      </c>
      <c r="AR1266" s="2630">
        <f>+AS1266</f>
        <v>9.7315218565723893E-3</v>
      </c>
      <c r="AS1266" s="1711">
        <f>+R1238/4</f>
        <v>9.7315218565723893E-3</v>
      </c>
      <c r="AT1266" s="2630">
        <f>+AX1266</f>
        <v>8.2332950096677404E-3</v>
      </c>
      <c r="AU1266" s="1156"/>
      <c r="AV1266" s="1156">
        <f>+AX1266</f>
        <v>8.2332950096677404E-3</v>
      </c>
      <c r="AW1266" s="1156">
        <f>+AX1266</f>
        <v>8.2332950096677404E-3</v>
      </c>
      <c r="AX1266" s="1157">
        <f>+S1238/4</f>
        <v>8.2332950096677404E-3</v>
      </c>
      <c r="AY1266" s="1156">
        <f>+BB1266</f>
        <v>6.577872322583278E-3</v>
      </c>
      <c r="AZ1266" s="1156">
        <f>+BB1266</f>
        <v>6.577872322583278E-3</v>
      </c>
      <c r="BA1266" s="1156">
        <f>+BB1266</f>
        <v>6.577872322583278E-3</v>
      </c>
      <c r="BB1266" s="1157">
        <f>+T1238/4</f>
        <v>6.577872322583278E-3</v>
      </c>
      <c r="BC1266" s="1156">
        <f>+BF1266</f>
        <v>4.2015785115286253E-2</v>
      </c>
      <c r="BD1266" s="1156">
        <f>+BF1266</f>
        <v>4.2015785115286253E-2</v>
      </c>
      <c r="BE1266" s="1156">
        <f>+BF1266</f>
        <v>4.2015785115286253E-2</v>
      </c>
      <c r="BF1266" s="1157">
        <f>+U1238/4</f>
        <v>4.2015785115286253E-2</v>
      </c>
      <c r="BG1266" s="1156">
        <f>+BJ1266</f>
        <v>-2.3445873122410699E-2</v>
      </c>
      <c r="BH1266" s="1156">
        <f>+BJ1266</f>
        <v>-2.3445873122410699E-2</v>
      </c>
      <c r="BI1266" s="1156">
        <f>+BJ1266</f>
        <v>-2.3445873122410699E-2</v>
      </c>
      <c r="BJ1266" s="1157">
        <f>+V1238/4</f>
        <v>-2.3445873122410699E-2</v>
      </c>
      <c r="BK1266" s="1156">
        <f>+BN1266</f>
        <v>1.2093743670495372E-2</v>
      </c>
      <c r="BL1266" s="1156">
        <f>+BN1266</f>
        <v>1.2093743670495372E-2</v>
      </c>
      <c r="BM1266" s="1156">
        <f>+BN1266</f>
        <v>1.2093743670495372E-2</v>
      </c>
      <c r="BN1266" s="1157">
        <f>+W1238/4</f>
        <v>1.2093743670495372E-2</v>
      </c>
      <c r="BO1266" s="1156">
        <f>+BR1266</f>
        <v>-1.774714915894926E-2</v>
      </c>
      <c r="BP1266" s="1156">
        <f>+BR1266</f>
        <v>-1.774714915894926E-2</v>
      </c>
      <c r="BQ1266" s="1156">
        <f>+BR1266</f>
        <v>-1.774714915894926E-2</v>
      </c>
      <c r="BR1266" s="1157">
        <f>+X1238/4</f>
        <v>-1.774714915894926E-2</v>
      </c>
      <c r="BS1266" s="1156">
        <f>+BV1266</f>
        <v>2.2371971214268371E-3</v>
      </c>
      <c r="BT1266" s="1156">
        <f>+BV1266</f>
        <v>2.2371971214268371E-3</v>
      </c>
      <c r="BU1266" s="1156">
        <f>+BV1266</f>
        <v>2.2371971214268371E-3</v>
      </c>
      <c r="BV1266" s="1157">
        <f>+Y1238/4</f>
        <v>2.2371971214268371E-3</v>
      </c>
      <c r="BW1266" s="1156">
        <f>+BZ1266</f>
        <v>6.2960111141147634E-3</v>
      </c>
      <c r="BX1266" s="1156">
        <f>+BZ1266</f>
        <v>6.2960111141147634E-3</v>
      </c>
      <c r="BY1266" s="1156">
        <f>+BZ1266</f>
        <v>6.2960111141147634E-3</v>
      </c>
      <c r="BZ1266" s="1157">
        <f>+Z1238/4</f>
        <v>6.2960111141147634E-3</v>
      </c>
      <c r="CA1266" s="1156">
        <f>+CD1266</f>
        <v>-8.1614350360747767E-3</v>
      </c>
      <c r="CB1266" s="1156">
        <f>+CD1266</f>
        <v>-8.1614350360747767E-3</v>
      </c>
      <c r="CC1266" s="1156">
        <f>+CD1266</f>
        <v>-8.1614350360747767E-3</v>
      </c>
      <c r="CD1266" s="1157">
        <f>+AA1238/4</f>
        <v>-8.1614350360747767E-3</v>
      </c>
      <c r="CE1266" s="1156">
        <f>+CH1266</f>
        <v>5.3358632833877762E-2</v>
      </c>
      <c r="CF1266" s="1156">
        <f>+CH1266</f>
        <v>5.3358632833877762E-2</v>
      </c>
      <c r="CG1266" s="1156">
        <f>+CH1266</f>
        <v>5.3358632833877762E-2</v>
      </c>
      <c r="CH1266" s="1157">
        <f>+AB1238/4</f>
        <v>5.3358632833877762E-2</v>
      </c>
      <c r="CI1266" s="1156">
        <f>+CL1266</f>
        <v>-6.4302475732600783E-3</v>
      </c>
      <c r="CJ1266" s="1156">
        <f>+CL1266</f>
        <v>-6.4302475732600783E-3</v>
      </c>
      <c r="CK1266" s="1156">
        <f>+CL1266</f>
        <v>-6.4302475732600783E-3</v>
      </c>
      <c r="CL1266" s="1157">
        <f>+AC1238/4</f>
        <v>-6.4302475732600783E-3</v>
      </c>
      <c r="CM1266" s="1156">
        <f>+CP1266</f>
        <v>-2.9967740224547512E-2</v>
      </c>
      <c r="CN1266" s="1156">
        <f>+CP1266</f>
        <v>-2.9967740224547512E-2</v>
      </c>
      <c r="CO1266" s="1156">
        <f>+CP1266</f>
        <v>-2.9967740224547512E-2</v>
      </c>
      <c r="CP1266" s="1157">
        <f>+AD1238/4</f>
        <v>-2.9967740224547512E-2</v>
      </c>
      <c r="CQ1266" s="1156">
        <f>+CT1266</f>
        <v>-5.4206337797492177E-3</v>
      </c>
      <c r="CR1266" s="1156">
        <f>+CT1266</f>
        <v>-5.4206337797492177E-3</v>
      </c>
      <c r="CS1266" s="1156">
        <f>+CT1266</f>
        <v>-5.4206337797492177E-3</v>
      </c>
      <c r="CT1266" s="1157">
        <f>+AE1238/4</f>
        <v>-5.4206337797492177E-3</v>
      </c>
      <c r="CU1266" s="1156">
        <f>+CX1266</f>
        <v>1.5869766527715046E-2</v>
      </c>
      <c r="CV1266" s="1156">
        <f>+CX1266</f>
        <v>1.5869766527715046E-2</v>
      </c>
      <c r="CW1266" s="1156">
        <f>+CX1266</f>
        <v>1.5869766527715046E-2</v>
      </c>
      <c r="CX1266" s="1157">
        <f>+AF1238/4</f>
        <v>1.5869766527715046E-2</v>
      </c>
      <c r="CY1266" s="1156">
        <f>+DB1266</f>
        <v>2.0285392493264998E-3</v>
      </c>
      <c r="CZ1266" s="1156">
        <f>+DB1266</f>
        <v>2.0285392493264998E-3</v>
      </c>
      <c r="DA1266" s="1156">
        <f>+DB1266</f>
        <v>2.0285392493264998E-3</v>
      </c>
      <c r="DB1266" s="1157">
        <f>+AJ1238/4</f>
        <v>2.0285392493264998E-3</v>
      </c>
      <c r="DC1266" s="1156">
        <f>+DF1266</f>
        <v>4.7074702532123869E-4</v>
      </c>
      <c r="DD1266" s="1156">
        <f>+DF1266</f>
        <v>4.7074702532123869E-4</v>
      </c>
      <c r="DE1266" s="1156">
        <f>+DF1266</f>
        <v>4.7074702532123869E-4</v>
      </c>
      <c r="DF1266" s="1157">
        <f>+AN1238/4</f>
        <v>4.7074702532123869E-4</v>
      </c>
    </row>
    <row r="1267" spans="4:110">
      <c r="D1267" s="1132" t="str">
        <f t="shared" si="1117"/>
        <v>National accounts</v>
      </c>
      <c r="E1267" s="3121" t="str">
        <f>+E1239</f>
        <v>fr REAL OUTPUT</v>
      </c>
      <c r="F1267" s="1123"/>
      <c r="G1267" s="1123"/>
      <c r="H1267" s="1123"/>
      <c r="I1267" s="1123"/>
      <c r="J1267" s="1123"/>
      <c r="K1267" s="1123"/>
      <c r="L1267" s="1123"/>
      <c r="M1267" s="1141"/>
      <c r="N1267" s="1153"/>
      <c r="O1267" s="1153"/>
      <c r="P1267" s="1153"/>
      <c r="Q1267" s="1141"/>
      <c r="R1267" s="1153"/>
      <c r="S1267" s="1153"/>
      <c r="T1267" s="1153"/>
      <c r="U1267" s="1141"/>
      <c r="V1267" s="1153"/>
      <c r="W1267" s="1153"/>
      <c r="X1267" s="1153"/>
      <c r="Y1267" s="1141"/>
      <c r="Z1267" s="1153"/>
      <c r="AA1267" s="1153"/>
      <c r="AB1267" s="1153"/>
      <c r="AC1267" s="1141"/>
      <c r="AD1267" s="2628"/>
      <c r="AE1267" s="2628"/>
      <c r="AF1267" s="2628"/>
      <c r="AG1267" s="1706"/>
      <c r="AH1267" s="2628"/>
      <c r="AI1267" s="2628"/>
      <c r="AJ1267" s="2628"/>
      <c r="AK1267" s="2628"/>
      <c r="AL1267" s="2628"/>
      <c r="AM1267" s="2628"/>
      <c r="AN1267" s="2628"/>
      <c r="AO1267" s="1706"/>
      <c r="AP1267" s="2628"/>
      <c r="AQ1267" s="2628"/>
      <c r="AR1267" s="2628"/>
      <c r="AS1267" s="1706"/>
      <c r="AT1267" s="2628"/>
      <c r="AU1267" s="1153"/>
      <c r="AV1267" s="1153"/>
      <c r="AW1267" s="1153"/>
      <c r="AX1267" s="1141"/>
      <c r="AY1267" s="1153"/>
      <c r="AZ1267" s="1153"/>
      <c r="BA1267" s="1153"/>
      <c r="BB1267" s="1141"/>
      <c r="BC1267" s="1153"/>
      <c r="BD1267" s="1153"/>
      <c r="BE1267" s="1153"/>
      <c r="BF1267" s="1141"/>
      <c r="BG1267" s="1153"/>
      <c r="BH1267" s="1153"/>
      <c r="BI1267" s="1153"/>
      <c r="BJ1267" s="1141"/>
      <c r="BK1267" s="1153"/>
      <c r="BL1267" s="1153"/>
      <c r="BM1267" s="1153"/>
      <c r="BN1267" s="1141"/>
      <c r="BO1267" s="1153"/>
      <c r="BP1267" s="1153"/>
      <c r="BQ1267" s="1153"/>
      <c r="BR1267" s="1141"/>
      <c r="BS1267" s="1153"/>
      <c r="BT1267" s="1153"/>
      <c r="BU1267" s="1153"/>
      <c r="BV1267" s="1141"/>
      <c r="BW1267" s="1153"/>
      <c r="BX1267" s="1153"/>
      <c r="BY1267" s="1153"/>
      <c r="BZ1267" s="1141"/>
      <c r="CA1267" s="1153"/>
      <c r="CB1267" s="1153"/>
      <c r="CC1267" s="1153"/>
      <c r="CD1267" s="1141"/>
      <c r="CE1267" s="1153"/>
      <c r="CF1267" s="1153"/>
      <c r="CG1267" s="1153"/>
      <c r="CH1267" s="1141"/>
      <c r="CI1267" s="1153"/>
      <c r="CJ1267" s="1153"/>
      <c r="CK1267" s="1153"/>
      <c r="CL1267" s="1141"/>
      <c r="CM1267" s="1153"/>
      <c r="CN1267" s="1153"/>
      <c r="CO1267" s="1153"/>
      <c r="CP1267" s="1141"/>
      <c r="CQ1267" s="1153"/>
      <c r="CR1267" s="1153"/>
      <c r="CS1267" s="1153"/>
      <c r="CT1267" s="1141"/>
      <c r="CU1267" s="1153"/>
      <c r="CV1267" s="1153"/>
      <c r="CW1267" s="1153"/>
      <c r="CX1267" s="1141"/>
      <c r="CY1267" s="1153"/>
      <c r="CZ1267" s="1153"/>
      <c r="DA1267" s="1153"/>
      <c r="DB1267" s="1141"/>
      <c r="DC1267" s="1153"/>
      <c r="DD1267" s="1153"/>
      <c r="DE1267" s="1153"/>
      <c r="DF1267" s="1141"/>
    </row>
    <row r="1268" spans="4:110">
      <c r="D1268" s="1128" t="str">
        <f t="shared" si="1117"/>
        <v>GDP RWF bln in constant 2017 prices</v>
      </c>
      <c r="E1268" s="3122" t="s">
        <v>880</v>
      </c>
      <c r="F1268" s="1123"/>
      <c r="G1268" s="1123"/>
      <c r="H1268" s="1123"/>
      <c r="I1268" s="1123"/>
      <c r="J1268" s="1133"/>
      <c r="K1268" s="1133"/>
      <c r="L1268" s="1133"/>
      <c r="M1268" s="1147">
        <f t="shared" ref="M1268:M1276" si="1118">+J1240/4</f>
        <v>516.25</v>
      </c>
      <c r="N1268" s="1152">
        <f t="shared" ref="N1268:N1276" si="1119">+$M1268*0.75+$Q1268*0.25</f>
        <v>527.0625</v>
      </c>
      <c r="O1268" s="1152">
        <f t="shared" ref="O1268:O1276" si="1120">+$M1268*0.5+$Q1268*0.5</f>
        <v>537.875</v>
      </c>
      <c r="P1268" s="1152">
        <f t="shared" ref="P1268:P1276" si="1121">+$M1268*0.25+$Q1268*0.75</f>
        <v>548.6875</v>
      </c>
      <c r="Q1268" s="1147">
        <f t="shared" ref="Q1268:Q1276" si="1122">+K1240/4</f>
        <v>559.5</v>
      </c>
      <c r="R1268" s="1152">
        <f t="shared" ref="R1268:R1276" si="1123">+$Q1268*0.75+$U1268*0.25</f>
        <v>571.375</v>
      </c>
      <c r="S1268" s="1152">
        <f t="shared" ref="S1268:S1276" si="1124">+$Q1268*0.5+$U1268*0.5</f>
        <v>583.25</v>
      </c>
      <c r="T1268" s="1152">
        <f t="shared" ref="T1268:T1276" si="1125">+$Q1268*0.25+$U1268*0.75</f>
        <v>595.125</v>
      </c>
      <c r="U1268" s="1138">
        <f t="shared" ref="U1268:U1276" si="1126">+L1240/4</f>
        <v>607</v>
      </c>
      <c r="V1268" s="1152">
        <f t="shared" ref="V1268:V1276" si="1127">+$U1268*0.75+$Y1268*0.25</f>
        <v>627</v>
      </c>
      <c r="W1268" s="1152">
        <f t="shared" ref="W1268:W1276" si="1128">+$U1268*0.5+$Y1268*0.5</f>
        <v>647</v>
      </c>
      <c r="X1268" s="1152">
        <f t="shared" ref="X1268:X1276" si="1129">+$U1268*0.25+$Y1268*0.75</f>
        <v>667</v>
      </c>
      <c r="Y1268" s="1138">
        <f t="shared" ref="Y1268:Y1276" si="1130">+M1240/4</f>
        <v>687</v>
      </c>
      <c r="Z1268" s="1152">
        <f t="shared" ref="Z1268:Z1276" si="1131">+$Y1268*0.75+$AC1268*0.25</f>
        <v>690.8125</v>
      </c>
      <c r="AA1268" s="1152">
        <f t="shared" ref="AA1268:AA1276" si="1132">+$Y1268*0.5+$AC1268*0.5</f>
        <v>694.625</v>
      </c>
      <c r="AB1268" s="1152">
        <f t="shared" ref="AB1268:AB1276" si="1133">+$Y1268*0.25+$AC1268*0.75</f>
        <v>698.4375</v>
      </c>
      <c r="AC1268" s="1138">
        <f t="shared" ref="AC1268:AC1276" si="1134">+N1240/4</f>
        <v>702.25</v>
      </c>
      <c r="AD1268" s="2627">
        <f t="shared" ref="AD1268:AD1276" si="1135">+$AC1268*0.75+$AG1268*0.25</f>
        <v>715.3125</v>
      </c>
      <c r="AE1268" s="2627">
        <f t="shared" ref="AE1268:AE1276" si="1136">+$AC1268*0.5+$AG1268*0.5</f>
        <v>728.375</v>
      </c>
      <c r="AF1268" s="2627">
        <f t="shared" ref="AF1268:AF1276" si="1137">+$AC1268*0.25+$AG1268*0.75</f>
        <v>741.4375</v>
      </c>
      <c r="AG1268" s="1707">
        <f t="shared" ref="AG1268:AG1276" si="1138">+O1240/4</f>
        <v>754.5</v>
      </c>
      <c r="AH1268" s="2627">
        <f t="shared" ref="AH1268:AH1276" si="1139">+$AG1268*0.75+$AK1268*0.25</f>
        <v>772.1875</v>
      </c>
      <c r="AI1268" s="2627">
        <f t="shared" ref="AI1268:AI1276" si="1140">+$AG1268*0.5+$AK1268*0.5</f>
        <v>789.875</v>
      </c>
      <c r="AJ1268" s="2627">
        <f t="shared" ref="AJ1268:AJ1276" si="1141">+$AG1268*0.25+$AK1268*0.75</f>
        <v>807.5625</v>
      </c>
      <c r="AK1268" s="2627">
        <f t="shared" ref="AK1268:AK1276" si="1142">+P1240/4</f>
        <v>825.25</v>
      </c>
      <c r="AL1268" s="2627">
        <f t="shared" ref="AL1268:AL1276" si="1143">+$AK1268*0.75+$AO1268*0.25</f>
        <v>985.75</v>
      </c>
      <c r="AM1268" s="2627">
        <f t="shared" ref="AM1268:AM1276" si="1144">+$AK1268*0.5+$AO1268*0.5</f>
        <v>1146.25</v>
      </c>
      <c r="AN1268" s="2627">
        <f t="shared" ref="AN1268:AN1276" si="1145">+$AK1268*0.25+$AO1268*0.75</f>
        <v>1306.75</v>
      </c>
      <c r="AO1268" s="1707">
        <f t="shared" ref="AO1268:AO1276" si="1146">+Q1240/4</f>
        <v>1467.25</v>
      </c>
      <c r="AP1268" s="2627">
        <f t="shared" ref="AP1268:AP1276" si="1147">+$AO1268*0.75+$AS1268*0.25</f>
        <v>1495.1875</v>
      </c>
      <c r="AQ1268" s="2627">
        <f t="shared" ref="AQ1268:AQ1276" si="1148">+$AO1268*0.5+$AS1268*0.5</f>
        <v>1523.125</v>
      </c>
      <c r="AR1268" s="2627">
        <f t="shared" ref="AR1268:AR1276" si="1149">+$AO1268*0.25+$AS1268*0.75</f>
        <v>1551.0625</v>
      </c>
      <c r="AS1268" s="1707">
        <f t="shared" ref="AS1268:AS1276" si="1150">+R1240/4</f>
        <v>1579</v>
      </c>
      <c r="AT1268" s="2627">
        <f t="shared" ref="AT1268:AT1276" si="1151">+$AS1268*0.75+$AX1268*0.25</f>
        <v>1623.0625</v>
      </c>
      <c r="AU1268" s="1152"/>
      <c r="AV1268" s="1152">
        <f t="shared" ref="AV1268:AV1276" si="1152">+$AS1268*0.5+$AX1268*0.5</f>
        <v>1667.125</v>
      </c>
      <c r="AW1268" s="1152">
        <f t="shared" ref="AW1268:AW1276" si="1153">+$AS1268*0.25+$AX1268*0.75</f>
        <v>1711.1875</v>
      </c>
      <c r="AX1268" s="1138">
        <f t="shared" ref="AX1268:AX1276" si="1154">+S1240/4</f>
        <v>1755.25</v>
      </c>
      <c r="AY1268" s="1152">
        <f t="shared" ref="AY1268:AY1276" si="1155">+$AX1268*0.75+$BB1268*0.25</f>
        <v>1782.6875</v>
      </c>
      <c r="AZ1268" s="1152">
        <f t="shared" ref="AZ1268:AZ1276" si="1156">+$AX1268*0.5+$BB1268*0.5</f>
        <v>1810.125</v>
      </c>
      <c r="BA1268" s="1152">
        <f t="shared" ref="BA1268:BA1276" si="1157">+$AX1268*0.25+$BB1268*0.75</f>
        <v>1837.5625</v>
      </c>
      <c r="BB1268" s="1138">
        <f t="shared" ref="BB1268:BB1276" si="1158">+T1240/4</f>
        <v>1865</v>
      </c>
      <c r="BC1268" s="1152">
        <f t="shared" ref="BC1268:BC1276" si="1159">+$BB1268*0.75+$BF1268*0.25</f>
        <v>1899.125</v>
      </c>
      <c r="BD1268" s="1152">
        <f t="shared" ref="BD1268:BD1276" si="1160">+$BB1268*0.5+$BF1268*0.5</f>
        <v>1933.25</v>
      </c>
      <c r="BE1268" s="1152">
        <f t="shared" ref="BE1268:BE1276" si="1161">+$BB1268*0.25+$BF1268*0.75</f>
        <v>1967.375</v>
      </c>
      <c r="BF1268" s="1138">
        <f t="shared" ref="BF1268:BF1276" si="1162">+U1240/4</f>
        <v>2001.5</v>
      </c>
      <c r="BG1268" s="1152">
        <f t="shared" ref="BG1268:BG1276" si="1163">+$BF1268*0.75+$BJ1268*0.25</f>
        <v>2041.375</v>
      </c>
      <c r="BH1268" s="1152">
        <f t="shared" ref="BH1268:BH1276" si="1164">+$BF1268*0.5+$BJ1268*0.5</f>
        <v>2081.25</v>
      </c>
      <c r="BI1268" s="1152">
        <f t="shared" ref="BI1268:BI1276" si="1165">+$BF1268*0.25+$BJ1268*0.75</f>
        <v>2121.125</v>
      </c>
      <c r="BJ1268" s="1138">
        <f t="shared" ref="BJ1268:BJ1276" si="1166">+V1240/4</f>
        <v>2161</v>
      </c>
      <c r="BK1268" s="1152">
        <f t="shared" ref="BK1268:BK1276" si="1167">+$BJ1268*0.75+$BN1268*0.25</f>
        <v>2207.625</v>
      </c>
      <c r="BL1268" s="1152">
        <f t="shared" ref="BL1268:BL1276" si="1168">+$BJ1268*0.5+$BN1268*0.5</f>
        <v>2254.25</v>
      </c>
      <c r="BM1268" s="1152">
        <f t="shared" ref="BM1268:BM1276" si="1169">+$BJ1268*0.25+$BN1268*0.75</f>
        <v>2300.875</v>
      </c>
      <c r="BN1268" s="1138">
        <f t="shared" ref="BN1268:BN1276" si="1170">+W1240/4</f>
        <v>2347.5</v>
      </c>
      <c r="BO1268" s="1152">
        <f t="shared" ref="BO1268:BO1276" si="1171">+$BN1268*0.75+$BR1268*0.25</f>
        <v>2666.9375</v>
      </c>
      <c r="BP1268" s="1152">
        <f t="shared" ref="BP1268:BP1276" si="1172">+$BN1268*0.5+$BR1268*0.5</f>
        <v>2986.375</v>
      </c>
      <c r="BQ1268" s="1152">
        <f t="shared" ref="BQ1268:BQ1276" si="1173">+$BN1268*0.25+$BR1268*0.75</f>
        <v>3305.8125</v>
      </c>
      <c r="BR1268" s="1138">
        <f t="shared" ref="BR1268:BR1276" si="1174">+X1240/4</f>
        <v>3625.25</v>
      </c>
      <c r="BS1268" s="1152">
        <f t="shared" ref="BS1268:BS1276" si="1175">+$BR1268*0.75+$BV1268*0.25</f>
        <v>3368.4375</v>
      </c>
      <c r="BT1268" s="1152">
        <f t="shared" ref="BT1268:BT1276" si="1176">+$BR1268*0.5+$BV1268*0.5</f>
        <v>3111.625</v>
      </c>
      <c r="BU1268" s="1152">
        <f t="shared" ref="BU1268:BU1276" si="1177">+$BR1268*0.25+$BV1268*0.75</f>
        <v>2854.8125</v>
      </c>
      <c r="BV1268" s="1138">
        <f t="shared" ref="BV1268:BV1276" si="1178">+Y1240/4</f>
        <v>2598</v>
      </c>
      <c r="BW1268" s="1152">
        <f t="shared" ref="BW1268:BW1276" si="1179">+$BV1268*0.75+$BZ1268*0.25</f>
        <v>2655.625</v>
      </c>
      <c r="BX1268" s="1152">
        <f t="shared" ref="BX1268:BX1276" si="1180">+$BV1268*0.5+$BZ1268*0.5</f>
        <v>2713.25</v>
      </c>
      <c r="BY1268" s="1152">
        <f t="shared" ref="BY1268:BY1276" si="1181">+$BV1268*0.25+$BZ1268*0.75</f>
        <v>2770.875</v>
      </c>
      <c r="BZ1268" s="1138">
        <f t="shared" ref="BZ1268:BZ1276" si="1182">+Z1240/4</f>
        <v>2828.5</v>
      </c>
      <c r="CA1268" s="1152">
        <f t="shared" ref="CA1268:CA1276" si="1183">+$BZ1268*0.75+$CD1268*0.25</f>
        <v>2868.5</v>
      </c>
      <c r="CB1268" s="1152">
        <f t="shared" ref="CB1268:CB1276" si="1184">+$BZ1268*0.5+$CD1268*0.5</f>
        <v>2908.5</v>
      </c>
      <c r="CC1268" s="1152">
        <f t="shared" ref="CC1268:CC1276" si="1185">+$BZ1268*0.25+$CD1268*0.75</f>
        <v>2948.5</v>
      </c>
      <c r="CD1268" s="1138">
        <f t="shared" ref="CD1268:CD1276" si="1186">+AA1240/4</f>
        <v>2988.5</v>
      </c>
      <c r="CE1268" s="1152">
        <f t="shared" ref="CE1268:CE1276" si="1187">+$CD1268*0.75+$CH1268*0.25</f>
        <v>3023.6875</v>
      </c>
      <c r="CF1268" s="1152">
        <f t="shared" ref="CF1268:CF1276" si="1188">+$CD1268*0.5+$CH1268*0.5</f>
        <v>3058.875</v>
      </c>
      <c r="CG1268" s="1152">
        <f t="shared" ref="CG1268:CG1276" si="1189">+$CD1268*0.25+$CH1268*0.75</f>
        <v>3094.0625</v>
      </c>
      <c r="CH1268" s="1138">
        <f t="shared" ref="CH1268:CH1276" si="1190">+AB1240/4</f>
        <v>3129.25</v>
      </c>
      <c r="CI1268" s="1152">
        <f t="shared" ref="CI1268:CI1276" si="1191">+$CH1268*0.75+$CL1268*0.25</f>
        <v>3192.375</v>
      </c>
      <c r="CJ1268" s="1152">
        <f t="shared" ref="CJ1268:CJ1276" si="1192">+$CH1268*0.5+$CL1268*0.5</f>
        <v>3255.5</v>
      </c>
      <c r="CK1268" s="1152">
        <f t="shared" ref="CK1268:CK1276" si="1193">+$CH1268*0.25+$CL1268*0.75</f>
        <v>3318.625</v>
      </c>
      <c r="CL1268" s="1138">
        <f t="shared" ref="CL1268:CL1276" si="1194">+AC1240/4</f>
        <v>3381.75</v>
      </c>
      <c r="CM1268" s="1152">
        <f t="shared" ref="CM1268:CM1276" si="1195">+$CL1268*0.75+$CP1268*0.25</f>
        <v>3460.1875</v>
      </c>
      <c r="CN1268" s="1152">
        <f t="shared" ref="CN1268:CN1276" si="1196">+$CL1268*0.5+$CP1268*0.5</f>
        <v>3538.625</v>
      </c>
      <c r="CO1268" s="1152">
        <f t="shared" ref="CO1268:CO1276" si="1197">+$CL1268*0.25+$CP1268*0.75</f>
        <v>3617.0625</v>
      </c>
      <c r="CP1268" s="1138">
        <f t="shared" ref="CP1268:CP1276" si="1198">+AD1240/4</f>
        <v>3695.5</v>
      </c>
      <c r="CQ1268" s="1152">
        <f t="shared" ref="CQ1268:CQ1273" si="1199">+$CP1268*0.75+$CT1268*0.25</f>
        <v>3443.5625</v>
      </c>
      <c r="CR1268" s="1152">
        <f t="shared" ref="CR1268:CR1276" si="1200">+$CP1268*0.5+$CT1268*0.5</f>
        <v>3191.625</v>
      </c>
      <c r="CS1268" s="1152">
        <f t="shared" ref="CS1268:CS1276" si="1201">+$CP1268*0.25+$CT1268*0.75</f>
        <v>2939.6875</v>
      </c>
      <c r="CT1268" s="1138">
        <f t="shared" ref="CT1268:CT1276" si="1202">+AE1240/4</f>
        <v>2687.75</v>
      </c>
      <c r="CU1268" s="1152">
        <f t="shared" ref="CU1268:CU1276" si="1203">+$CP1268*0.75+$CT1268*0.25</f>
        <v>3443.5625</v>
      </c>
      <c r="CV1268" s="1152">
        <f t="shared" ref="CV1268:CV1276" si="1204">+$CP1268*0.5+$CT1268*0.5</f>
        <v>3191.625</v>
      </c>
      <c r="CW1268" s="1152">
        <f t="shared" ref="CW1268:CW1276" si="1205">+$CP1268*0.25+$CT1268*0.75</f>
        <v>2939.6875</v>
      </c>
      <c r="CX1268" s="1138">
        <f t="shared" ref="CX1268:CX1276" si="1206">+AF1240/4</f>
        <v>3895.25</v>
      </c>
      <c r="CY1268" s="1152">
        <f t="shared" ref="CY1268:CY1276" si="1207">+$CP1268*0.75+$CT1268*0.25</f>
        <v>3443.5625</v>
      </c>
      <c r="CZ1268" s="1152">
        <f t="shared" ref="CZ1268:CZ1276" si="1208">+$CP1268*0.5+$CT1268*0.5</f>
        <v>3191.625</v>
      </c>
      <c r="DA1268" s="1152">
        <f t="shared" ref="DA1268:DA1276" si="1209">+$CP1268*0.25+$CT1268*0.75</f>
        <v>2939.6875</v>
      </c>
      <c r="DB1268" s="1138">
        <f t="shared" ref="DB1268:DB1276" si="1210">+AJ1240/4</f>
        <v>5366.5483576557826</v>
      </c>
      <c r="DC1268" s="1152">
        <f t="shared" ref="DC1268:DC1276" si="1211">+$CP1268*0.75+$CT1268*0.25</f>
        <v>3443.5625</v>
      </c>
      <c r="DD1268" s="1152">
        <f t="shared" ref="DD1268:DD1276" si="1212">+$CP1268*0.5+$CT1268*0.5</f>
        <v>3191.625</v>
      </c>
      <c r="DE1268" s="1152">
        <f t="shared" ref="DE1268:DE1276" si="1213">+$CP1268*0.25+$CT1268*0.75</f>
        <v>2939.6875</v>
      </c>
      <c r="DF1268" s="1138">
        <f t="shared" ref="DF1268:DF1276" si="1214">+AN1240/4</f>
        <v>7418.5817799768993</v>
      </c>
    </row>
    <row r="1269" spans="4:110">
      <c r="D1269" s="1128" t="s">
        <v>1655</v>
      </c>
      <c r="E1269" s="3113"/>
      <c r="F1269" s="1123"/>
      <c r="G1269" s="1123"/>
      <c r="H1269" s="1123"/>
      <c r="I1269" s="1123"/>
      <c r="J1269" s="1134"/>
      <c r="K1269" s="1134"/>
      <c r="L1269" s="1134"/>
      <c r="M1269" s="1146">
        <f t="shared" si="1118"/>
        <v>0</v>
      </c>
      <c r="N1269" s="1154">
        <f t="shared" si="1119"/>
        <v>5.2500000000000003E-3</v>
      </c>
      <c r="O1269" s="1154">
        <f t="shared" si="1120"/>
        <v>1.0500000000000001E-2</v>
      </c>
      <c r="P1269" s="1154">
        <f t="shared" si="1121"/>
        <v>1.575E-2</v>
      </c>
      <c r="Q1269" s="1146">
        <f t="shared" si="1122"/>
        <v>2.1000000000000001E-2</v>
      </c>
      <c r="R1269" s="1154">
        <f t="shared" si="1123"/>
        <v>2.1062500000000001E-2</v>
      </c>
      <c r="S1269" s="1154">
        <f t="shared" si="1124"/>
        <v>2.1125000000000001E-2</v>
      </c>
      <c r="T1269" s="1154">
        <f t="shared" si="1125"/>
        <v>2.1187500000000001E-2</v>
      </c>
      <c r="U1269" s="1142">
        <f t="shared" si="1126"/>
        <v>2.1250000000000002E-2</v>
      </c>
      <c r="V1269" s="1154">
        <f t="shared" si="1127"/>
        <v>2.4187500000000001E-2</v>
      </c>
      <c r="W1269" s="1154">
        <f t="shared" si="1128"/>
        <v>2.7125000000000003E-2</v>
      </c>
      <c r="X1269" s="1154">
        <f t="shared" si="1129"/>
        <v>3.0062500000000002E-2</v>
      </c>
      <c r="Y1269" s="1142">
        <f t="shared" si="1130"/>
        <v>3.3000000000000002E-2</v>
      </c>
      <c r="Z1269" s="1154">
        <f t="shared" si="1131"/>
        <v>2.6125000000000002E-2</v>
      </c>
      <c r="AA1269" s="1154">
        <f t="shared" si="1132"/>
        <v>1.925E-2</v>
      </c>
      <c r="AB1269" s="1154">
        <f t="shared" si="1133"/>
        <v>1.2375000000000001E-2</v>
      </c>
      <c r="AC1269" s="1142">
        <f t="shared" si="1134"/>
        <v>5.4999999999999997E-3</v>
      </c>
      <c r="AD1269" s="2629">
        <f t="shared" si="1135"/>
        <v>8.7500000000000008E-3</v>
      </c>
      <c r="AE1269" s="2629">
        <f t="shared" si="1136"/>
        <v>1.2E-2</v>
      </c>
      <c r="AF1269" s="2629">
        <f t="shared" si="1137"/>
        <v>1.5249999999999998E-2</v>
      </c>
      <c r="AG1269" s="2718">
        <f t="shared" si="1138"/>
        <v>1.8499999999999999E-2</v>
      </c>
      <c r="AH1269" s="2629">
        <f t="shared" si="1139"/>
        <v>1.9749999999999997E-2</v>
      </c>
      <c r="AI1269" s="2629">
        <f t="shared" si="1140"/>
        <v>2.0999999999999998E-2</v>
      </c>
      <c r="AJ1269" s="2629">
        <f t="shared" si="1141"/>
        <v>2.2250000000000002E-2</v>
      </c>
      <c r="AK1269" s="2629">
        <f t="shared" si="1142"/>
        <v>2.35E-2</v>
      </c>
      <c r="AL1269" s="2629">
        <f t="shared" si="1143"/>
        <v>2.3375E-2</v>
      </c>
      <c r="AM1269" s="2629">
        <f t="shared" si="1144"/>
        <v>2.325E-2</v>
      </c>
      <c r="AN1269" s="2629">
        <f t="shared" si="1145"/>
        <v>2.3125E-2</v>
      </c>
      <c r="AO1269" s="2718">
        <f t="shared" si="1146"/>
        <v>2.3E-2</v>
      </c>
      <c r="AP1269" s="2629">
        <f t="shared" si="1147"/>
        <v>2.2000000000000002E-2</v>
      </c>
      <c r="AQ1269" s="2629">
        <f t="shared" si="1148"/>
        <v>2.0999999999999998E-2</v>
      </c>
      <c r="AR1269" s="2629">
        <f t="shared" si="1149"/>
        <v>1.9999999999999997E-2</v>
      </c>
      <c r="AS1269" s="2718">
        <f t="shared" si="1150"/>
        <v>1.9E-2</v>
      </c>
      <c r="AT1269" s="2629">
        <f t="shared" si="1151"/>
        <v>2.1249999999999998E-2</v>
      </c>
      <c r="AU1269" s="1154"/>
      <c r="AV1269" s="1154">
        <f t="shared" si="1152"/>
        <v>2.35E-2</v>
      </c>
      <c r="AW1269" s="1154">
        <f t="shared" si="1153"/>
        <v>2.5750000000000002E-2</v>
      </c>
      <c r="AX1269" s="1142">
        <f t="shared" si="1154"/>
        <v>2.8000000000000001E-2</v>
      </c>
      <c r="AY1269" s="1154">
        <f t="shared" si="1155"/>
        <v>2.4875000000000001E-2</v>
      </c>
      <c r="AZ1269" s="1154">
        <f t="shared" si="1156"/>
        <v>2.1749999999999999E-2</v>
      </c>
      <c r="BA1269" s="1154">
        <f t="shared" si="1157"/>
        <v>1.8624999999999999E-2</v>
      </c>
      <c r="BB1269" s="1142">
        <f t="shared" si="1158"/>
        <v>1.55E-2</v>
      </c>
      <c r="BC1269" s="1154">
        <f t="shared" si="1159"/>
        <v>1.61875E-2</v>
      </c>
      <c r="BD1269" s="1154">
        <f t="shared" si="1160"/>
        <v>1.6875000000000001E-2</v>
      </c>
      <c r="BE1269" s="1154">
        <f t="shared" si="1161"/>
        <v>1.7562499999999998E-2</v>
      </c>
      <c r="BF1269" s="1142">
        <f t="shared" si="1162"/>
        <v>1.8249999999999999E-2</v>
      </c>
      <c r="BG1269" s="1154">
        <f t="shared" si="1163"/>
        <v>1.8687499999999999E-2</v>
      </c>
      <c r="BH1269" s="1154">
        <f t="shared" si="1164"/>
        <v>1.9125E-2</v>
      </c>
      <c r="BI1269" s="1154">
        <f t="shared" si="1165"/>
        <v>1.95625E-2</v>
      </c>
      <c r="BJ1269" s="1142">
        <f t="shared" si="1166"/>
        <v>0.02</v>
      </c>
      <c r="BK1269" s="1154">
        <f t="shared" si="1167"/>
        <v>2.0393914854234155E-2</v>
      </c>
      <c r="BL1269" s="1154">
        <f t="shared" si="1168"/>
        <v>2.0787829708468313E-2</v>
      </c>
      <c r="BM1269" s="1154">
        <f t="shared" si="1169"/>
        <v>2.1181744562702467E-2</v>
      </c>
      <c r="BN1269" s="1142">
        <f t="shared" si="1170"/>
        <v>2.1575659416936621E-2</v>
      </c>
      <c r="BO1269" s="1154">
        <f t="shared" si="1171"/>
        <v>5.0200647651094374E-2</v>
      </c>
      <c r="BP1269" s="1154">
        <f t="shared" si="1172"/>
        <v>7.8825635885252127E-2</v>
      </c>
      <c r="BQ1269" s="1154">
        <f t="shared" si="1173"/>
        <v>0.10745062411940988</v>
      </c>
      <c r="BR1269" s="1142">
        <f t="shared" si="1174"/>
        <v>0.13607561235356763</v>
      </c>
      <c r="BS1269" s="1154">
        <f t="shared" si="1175"/>
        <v>8.4346723746935609E-2</v>
      </c>
      <c r="BT1269" s="1154">
        <f t="shared" si="1176"/>
        <v>3.2617835140303572E-2</v>
      </c>
      <c r="BU1269" s="1154">
        <f t="shared" si="1177"/>
        <v>-1.9111053466328458E-2</v>
      </c>
      <c r="BV1269" s="1142">
        <f t="shared" si="1178"/>
        <v>-7.0839942072960488E-2</v>
      </c>
      <c r="BW1269" s="1154">
        <f t="shared" si="1179"/>
        <v>-4.7584825684820441E-2</v>
      </c>
      <c r="BX1269" s="1154">
        <f t="shared" si="1180"/>
        <v>-2.4329709296680394E-2</v>
      </c>
      <c r="BY1269" s="1154">
        <f t="shared" si="1181"/>
        <v>-1.0745929085403463E-3</v>
      </c>
      <c r="BZ1269" s="1142">
        <f t="shared" si="1182"/>
        <v>2.2180523479599701E-2</v>
      </c>
      <c r="CA1269" s="1154">
        <f t="shared" si="1183"/>
        <v>2.0170835423912251E-2</v>
      </c>
      <c r="CB1269" s="1154">
        <f t="shared" si="1184"/>
        <v>1.81611473682248E-2</v>
      </c>
      <c r="CC1269" s="1154">
        <f t="shared" si="1185"/>
        <v>1.615145931253735E-2</v>
      </c>
      <c r="CD1269" s="1142">
        <f t="shared" si="1186"/>
        <v>1.41417712568499E-2</v>
      </c>
      <c r="CE1269" s="1154">
        <f t="shared" si="1187"/>
        <v>1.3549903814897762E-2</v>
      </c>
      <c r="CF1269" s="1154">
        <f t="shared" si="1188"/>
        <v>1.2958036372945625E-2</v>
      </c>
      <c r="CG1269" s="1154">
        <f t="shared" si="1189"/>
        <v>1.2366168930993487E-2</v>
      </c>
      <c r="CH1269" s="1142">
        <f t="shared" si="1190"/>
        <v>1.177430148904135E-2</v>
      </c>
      <c r="CI1269" s="1154">
        <f t="shared" si="1191"/>
        <v>1.3873867444575208E-2</v>
      </c>
      <c r="CJ1269" s="1154">
        <f t="shared" si="1192"/>
        <v>1.5973433400109066E-2</v>
      </c>
      <c r="CK1269" s="1154">
        <f t="shared" si="1193"/>
        <v>1.8072999355642924E-2</v>
      </c>
      <c r="CL1269" s="1142">
        <f t="shared" si="1194"/>
        <v>2.0172565311176782E-2</v>
      </c>
      <c r="CM1269" s="1154">
        <f t="shared" si="1195"/>
        <v>2.0928011992549442E-2</v>
      </c>
      <c r="CN1269" s="1154">
        <f t="shared" si="1196"/>
        <v>2.1683458673922101E-2</v>
      </c>
      <c r="CO1269" s="1154">
        <f t="shared" si="1197"/>
        <v>2.2438905355294761E-2</v>
      </c>
      <c r="CP1269" s="1142">
        <f t="shared" si="1198"/>
        <v>2.3194352036667421E-2</v>
      </c>
      <c r="CQ1269" s="1154">
        <f t="shared" si="1199"/>
        <v>3.5223135262571481E-4</v>
      </c>
      <c r="CR1269" s="1154">
        <f t="shared" si="1200"/>
        <v>-2.2489889331415991E-2</v>
      </c>
      <c r="CS1269" s="1154">
        <f t="shared" si="1201"/>
        <v>-4.5332010015457697E-2</v>
      </c>
      <c r="CT1269" s="1142">
        <f t="shared" si="1202"/>
        <v>-6.8174130699499402E-2</v>
      </c>
      <c r="CU1269" s="1154">
        <f t="shared" si="1203"/>
        <v>3.5223135262571481E-4</v>
      </c>
      <c r="CV1269" s="1154">
        <f t="shared" si="1204"/>
        <v>-2.2489889331415991E-2</v>
      </c>
      <c r="CW1269" s="1154">
        <f t="shared" si="1205"/>
        <v>-4.5332010015457697E-2</v>
      </c>
      <c r="CX1269" s="1142">
        <f t="shared" si="1206"/>
        <v>0.11231513347595573</v>
      </c>
      <c r="CY1269" s="1154">
        <f t="shared" si="1207"/>
        <v>3.5223135262571481E-4</v>
      </c>
      <c r="CZ1269" s="1154">
        <f t="shared" si="1208"/>
        <v>-2.2489889331415991E-2</v>
      </c>
      <c r="DA1269" s="1154">
        <f t="shared" si="1209"/>
        <v>-4.5332010015457697E-2</v>
      </c>
      <c r="DB1269" s="1142">
        <f t="shared" si="1210"/>
        <v>1.9445617194144834E-2</v>
      </c>
      <c r="DC1269" s="1154">
        <f t="shared" si="1211"/>
        <v>3.5223135262571481E-4</v>
      </c>
      <c r="DD1269" s="1154">
        <f t="shared" si="1212"/>
        <v>-2.2489889331415991E-2</v>
      </c>
      <c r="DE1269" s="1154">
        <f t="shared" si="1213"/>
        <v>-4.5332010015457697E-2</v>
      </c>
      <c r="DF1269" s="1142">
        <f t="shared" si="1214"/>
        <v>1.983703765605882E-2</v>
      </c>
    </row>
    <row r="1270" spans="4:110">
      <c r="D1270" s="1131" t="s">
        <v>1656</v>
      </c>
      <c r="E1270" s="3123">
        <f>+E1242</f>
        <v>0</v>
      </c>
      <c r="F1270" s="1123"/>
      <c r="G1270" s="1123"/>
      <c r="H1270" s="1123"/>
      <c r="I1270" s="1123"/>
      <c r="J1270" s="1134"/>
      <c r="K1270" s="1134"/>
      <c r="L1270" s="1134"/>
      <c r="M1270" s="1146">
        <f t="shared" si="1118"/>
        <v>0</v>
      </c>
      <c r="N1270" s="1154">
        <f t="shared" si="1119"/>
        <v>3.4902597402597518E-3</v>
      </c>
      <c r="O1270" s="1154">
        <f t="shared" si="1120"/>
        <v>6.9805194805195037E-3</v>
      </c>
      <c r="P1270" s="1154">
        <f t="shared" si="1121"/>
        <v>1.0470779220779255E-2</v>
      </c>
      <c r="Q1270" s="1146">
        <f t="shared" si="1122"/>
        <v>1.3961038961039007E-2</v>
      </c>
      <c r="R1270" s="1154">
        <f t="shared" si="1123"/>
        <v>1.4066507068880518E-2</v>
      </c>
      <c r="S1270" s="1154">
        <f t="shared" si="1124"/>
        <v>1.4171975176722029E-2</v>
      </c>
      <c r="T1270" s="1154">
        <f t="shared" si="1125"/>
        <v>1.427744328456354E-2</v>
      </c>
      <c r="U1270" s="1142">
        <f t="shared" si="1126"/>
        <v>1.4382911392405051E-2</v>
      </c>
      <c r="V1270" s="1154">
        <f t="shared" si="1127"/>
        <v>1.7290269964056887E-2</v>
      </c>
      <c r="W1270" s="1154">
        <f t="shared" si="1128"/>
        <v>2.0197628535708723E-2</v>
      </c>
      <c r="X1270" s="1154">
        <f t="shared" si="1129"/>
        <v>2.3104987107360558E-2</v>
      </c>
      <c r="Y1270" s="1142">
        <f t="shared" si="1130"/>
        <v>2.6012345679012394E-2</v>
      </c>
      <c r="Z1270" s="1154">
        <f t="shared" si="1131"/>
        <v>1.9345102632753269E-2</v>
      </c>
      <c r="AA1270" s="1154">
        <f t="shared" si="1132"/>
        <v>1.2677859586494145E-2</v>
      </c>
      <c r="AB1270" s="1154">
        <f t="shared" si="1133"/>
        <v>6.0106165402350198E-3</v>
      </c>
      <c r="AC1270" s="1142">
        <f t="shared" si="1134"/>
        <v>-6.5662650602410499E-4</v>
      </c>
      <c r="AD1270" s="2629">
        <f t="shared" si="1135"/>
        <v>1.7909603530400775E-3</v>
      </c>
      <c r="AE1270" s="2629">
        <f t="shared" si="1136"/>
        <v>4.23854721210426E-3</v>
      </c>
      <c r="AF1270" s="2629">
        <f t="shared" si="1137"/>
        <v>6.6861340711684425E-3</v>
      </c>
      <c r="AG1270" s="2718">
        <f t="shared" si="1138"/>
        <v>9.133720930232625E-3</v>
      </c>
      <c r="AH1270" s="2629">
        <f t="shared" si="1139"/>
        <v>1.1171313424947205E-2</v>
      </c>
      <c r="AI1270" s="2629">
        <f t="shared" si="1140"/>
        <v>1.3208905919661784E-2</v>
      </c>
      <c r="AJ1270" s="2629">
        <f t="shared" si="1141"/>
        <v>1.5246498414376364E-2</v>
      </c>
      <c r="AK1270" s="2629">
        <f t="shared" si="1142"/>
        <v>1.7284090909090943E-2</v>
      </c>
      <c r="AL1270" s="2629">
        <f t="shared" si="1143"/>
        <v>1.7196401515151546E-2</v>
      </c>
      <c r="AM1270" s="2629">
        <f t="shared" si="1144"/>
        <v>1.710871212121215E-2</v>
      </c>
      <c r="AN1270" s="2629">
        <f t="shared" si="1145"/>
        <v>1.7021022727272753E-2</v>
      </c>
      <c r="AO1270" s="2718">
        <f t="shared" si="1146"/>
        <v>1.6933333333333356E-2</v>
      </c>
      <c r="AP1270" s="2629">
        <f t="shared" si="1147"/>
        <v>1.5988043478260897E-2</v>
      </c>
      <c r="AQ1270" s="2629">
        <f t="shared" si="1148"/>
        <v>1.5042753623188437E-2</v>
      </c>
      <c r="AR1270" s="2629">
        <f t="shared" si="1149"/>
        <v>1.4097463768115978E-2</v>
      </c>
      <c r="AS1270" s="2718">
        <f t="shared" si="1150"/>
        <v>1.3152173913043519E-2</v>
      </c>
      <c r="AT1270" s="2629">
        <f t="shared" si="1151"/>
        <v>1.4669393592677368E-2</v>
      </c>
      <c r="AU1270" s="1154"/>
      <c r="AV1270" s="1154">
        <f t="shared" si="1152"/>
        <v>1.6186613272311218E-2</v>
      </c>
      <c r="AW1270" s="1154">
        <f t="shared" si="1153"/>
        <v>1.7703832951945067E-2</v>
      </c>
      <c r="AX1270" s="1142">
        <f t="shared" si="1154"/>
        <v>1.9221052631578917E-2</v>
      </c>
      <c r="AY1270" s="1154">
        <f t="shared" si="1155"/>
        <v>1.692223277265327E-2</v>
      </c>
      <c r="AZ1270" s="1154">
        <f t="shared" si="1156"/>
        <v>1.4623412913727624E-2</v>
      </c>
      <c r="BA1270" s="1154">
        <f t="shared" si="1157"/>
        <v>1.2324593054801977E-2</v>
      </c>
      <c r="BB1270" s="1142">
        <f t="shared" si="1158"/>
        <v>1.0025773195876331E-2</v>
      </c>
      <c r="BC1270" s="1154">
        <f t="shared" si="1159"/>
        <v>1.0069954896907235E-2</v>
      </c>
      <c r="BD1270" s="1154">
        <f t="shared" si="1160"/>
        <v>1.0114136597938139E-2</v>
      </c>
      <c r="BE1270" s="1154">
        <f t="shared" si="1161"/>
        <v>1.0158318298969043E-2</v>
      </c>
      <c r="BF1270" s="1142">
        <f t="shared" si="1162"/>
        <v>1.0202499999999948E-2</v>
      </c>
      <c r="BG1270" s="1154">
        <f t="shared" si="1163"/>
        <v>1.1328345588235256E-2</v>
      </c>
      <c r="BH1270" s="1154">
        <f t="shared" si="1164"/>
        <v>1.2454191176470564E-2</v>
      </c>
      <c r="BI1270" s="1154">
        <f t="shared" si="1165"/>
        <v>1.3580036764705872E-2</v>
      </c>
      <c r="BJ1270" s="1142">
        <f t="shared" si="1166"/>
        <v>1.470588235294118E-2</v>
      </c>
      <c r="BK1270" s="1154">
        <f t="shared" si="1167"/>
        <v>1.448350048024763E-2</v>
      </c>
      <c r="BL1270" s="1154">
        <f t="shared" si="1168"/>
        <v>1.426111860755408E-2</v>
      </c>
      <c r="BM1270" s="1154">
        <f t="shared" si="1169"/>
        <v>1.403873673486053E-2</v>
      </c>
      <c r="BN1270" s="1142">
        <f t="shared" si="1170"/>
        <v>1.381635486216698E-2</v>
      </c>
      <c r="BO1270" s="1154">
        <f t="shared" si="1171"/>
        <v>4.2577077588505152E-2</v>
      </c>
      <c r="BP1270" s="1154">
        <f t="shared" si="1172"/>
        <v>7.1337800314843325E-2</v>
      </c>
      <c r="BQ1270" s="1154">
        <f t="shared" si="1173"/>
        <v>0.1000985230411815</v>
      </c>
      <c r="BR1270" s="1142">
        <f t="shared" si="1174"/>
        <v>0.12885924576751967</v>
      </c>
      <c r="BS1270" s="1154">
        <f t="shared" si="1175"/>
        <v>7.7712902957897081E-2</v>
      </c>
      <c r="BT1270" s="1154">
        <f t="shared" si="1176"/>
        <v>2.6566560148274493E-2</v>
      </c>
      <c r="BU1270" s="1154">
        <f t="shared" si="1177"/>
        <v>-2.4579782661348096E-2</v>
      </c>
      <c r="BV1270" s="1142">
        <f t="shared" si="1178"/>
        <v>-7.5726125470970684E-2</v>
      </c>
      <c r="BW1270" s="1154">
        <f t="shared" si="1179"/>
        <v>-5.3055971132528981E-2</v>
      </c>
      <c r="BX1270" s="1154">
        <f t="shared" si="1180"/>
        <v>-3.0385816794087278E-2</v>
      </c>
      <c r="BY1270" s="1154">
        <f t="shared" si="1181"/>
        <v>-7.715662455645575E-3</v>
      </c>
      <c r="BZ1270" s="1142">
        <f t="shared" si="1182"/>
        <v>1.4954491882796128E-2</v>
      </c>
      <c r="CA1270" s="1154">
        <f t="shared" si="1183"/>
        <v>1.3602869242584137E-2</v>
      </c>
      <c r="CB1270" s="1154">
        <f t="shared" si="1184"/>
        <v>1.2251246602372146E-2</v>
      </c>
      <c r="CC1270" s="1154">
        <f t="shared" si="1185"/>
        <v>1.0899623962160154E-2</v>
      </c>
      <c r="CD1270" s="1142">
        <f t="shared" si="1186"/>
        <v>9.548001321948163E-3</v>
      </c>
      <c r="CE1270" s="1154">
        <f t="shared" si="1187"/>
        <v>8.4407566508673815E-3</v>
      </c>
      <c r="CF1270" s="1154">
        <f t="shared" si="1188"/>
        <v>7.3335119797866E-3</v>
      </c>
      <c r="CG1270" s="1154">
        <f t="shared" si="1189"/>
        <v>6.2262673087058185E-3</v>
      </c>
      <c r="CH1270" s="1142">
        <f t="shared" si="1190"/>
        <v>5.119022637625037E-3</v>
      </c>
      <c r="CI1270" s="1154">
        <f t="shared" si="1191"/>
        <v>7.2077849673073402E-3</v>
      </c>
      <c r="CJ1270" s="1154">
        <f t="shared" si="1192"/>
        <v>9.2965472969896434E-3</v>
      </c>
      <c r="CK1270" s="1154">
        <f t="shared" si="1193"/>
        <v>1.1385309626671947E-2</v>
      </c>
      <c r="CL1270" s="1142">
        <f t="shared" si="1194"/>
        <v>1.347407195635425E-2</v>
      </c>
      <c r="CM1270" s="1154">
        <f t="shared" si="1195"/>
        <v>1.425175678266237E-2</v>
      </c>
      <c r="CN1270" s="1154">
        <f t="shared" si="1196"/>
        <v>1.502944160897049E-2</v>
      </c>
      <c r="CO1270" s="1154">
        <f t="shared" si="1197"/>
        <v>1.5807126435278609E-2</v>
      </c>
      <c r="CP1270" s="1142">
        <f t="shared" si="1198"/>
        <v>1.6584811261586729E-2</v>
      </c>
      <c r="CQ1270" s="1154">
        <f t="shared" si="1199"/>
        <v>-5.6786990473885468E-3</v>
      </c>
      <c r="CR1270" s="1154">
        <f t="shared" si="1200"/>
        <v>-2.7942209356363823E-2</v>
      </c>
      <c r="CS1270" s="1154">
        <f t="shared" si="1201"/>
        <v>-5.0205719665339099E-2</v>
      </c>
      <c r="CT1270" s="1142">
        <f t="shared" si="1202"/>
        <v>-7.2469229974314375E-2</v>
      </c>
      <c r="CU1270" s="1154">
        <f t="shared" si="1203"/>
        <v>-5.6786990473885468E-3</v>
      </c>
      <c r="CV1270" s="1154">
        <f t="shared" si="1204"/>
        <v>-2.7942209356363823E-2</v>
      </c>
      <c r="CW1270" s="1154">
        <f t="shared" si="1205"/>
        <v>-5.0205719665339099E-2</v>
      </c>
      <c r="CX1270" s="1142">
        <f t="shared" si="1206"/>
        <v>0.103954015011126</v>
      </c>
      <c r="CY1270" s="1154">
        <f t="shared" si="1207"/>
        <v>-5.6786990473885468E-3</v>
      </c>
      <c r="CZ1270" s="1154">
        <f t="shared" si="1208"/>
        <v>-2.7942209356363823E-2</v>
      </c>
      <c r="DA1270" s="1154">
        <f t="shared" si="1209"/>
        <v>-5.0205719665339099E-2</v>
      </c>
      <c r="DB1270" s="1142">
        <f t="shared" si="1210"/>
        <v>1.3592414801175068E-2</v>
      </c>
      <c r="DC1270" s="1154">
        <f t="shared" si="1211"/>
        <v>-5.6786990473885468E-3</v>
      </c>
      <c r="DD1270" s="1154">
        <f t="shared" si="1212"/>
        <v>-2.7942209356363823E-2</v>
      </c>
      <c r="DE1270" s="1154">
        <f t="shared" si="1213"/>
        <v>-5.0205719665339099E-2</v>
      </c>
      <c r="DF1270" s="1142">
        <f t="shared" si="1214"/>
        <v>1.4023286133375445E-2</v>
      </c>
    </row>
    <row r="1271" spans="4:110">
      <c r="D1271" s="1131" t="str">
        <f t="shared" si="1117"/>
        <v>Gross National Income (GNI), (Million USD, current prices)</v>
      </c>
      <c r="E1271" s="3113"/>
      <c r="F1271" s="1123"/>
      <c r="G1271" s="1123"/>
      <c r="H1271" s="1123"/>
      <c r="I1271" s="1123"/>
      <c r="J1271" s="1134"/>
      <c r="K1271" s="1134"/>
      <c r="L1271" s="1134"/>
      <c r="M1271" s="1148">
        <f t="shared" si="1118"/>
        <v>536.17287346781131</v>
      </c>
      <c r="N1271" s="1152">
        <f t="shared" si="1119"/>
        <v>530.17176219991154</v>
      </c>
      <c r="O1271" s="1152">
        <f t="shared" si="1120"/>
        <v>524.17065093201177</v>
      </c>
      <c r="P1271" s="1152">
        <f t="shared" si="1121"/>
        <v>518.16953966411211</v>
      </c>
      <c r="Q1271" s="1148">
        <f t="shared" si="1122"/>
        <v>512.16842839621233</v>
      </c>
      <c r="R1271" s="1152">
        <f t="shared" si="1123"/>
        <v>505.60700518682222</v>
      </c>
      <c r="S1271" s="1152">
        <f t="shared" si="1124"/>
        <v>499.04558197743205</v>
      </c>
      <c r="T1271" s="1152">
        <f t="shared" si="1125"/>
        <v>492.48415876804188</v>
      </c>
      <c r="U1271" s="1138">
        <f t="shared" si="1126"/>
        <v>485.92273555865177</v>
      </c>
      <c r="V1271" s="1152">
        <f t="shared" si="1127"/>
        <v>486.05173868871657</v>
      </c>
      <c r="W1271" s="1152">
        <f t="shared" si="1128"/>
        <v>486.18074181878143</v>
      </c>
      <c r="X1271" s="1152">
        <f t="shared" si="1129"/>
        <v>486.30974494884629</v>
      </c>
      <c r="Y1271" s="1138">
        <f t="shared" si="1130"/>
        <v>486.43874807891109</v>
      </c>
      <c r="Z1271" s="1152">
        <f t="shared" si="1131"/>
        <v>496.48691225461732</v>
      </c>
      <c r="AA1271" s="1152">
        <f t="shared" si="1132"/>
        <v>506.53507643032356</v>
      </c>
      <c r="AB1271" s="1152">
        <f t="shared" si="1133"/>
        <v>516.58324060602979</v>
      </c>
      <c r="AC1271" s="1138">
        <f t="shared" si="1134"/>
        <v>526.63140478173602</v>
      </c>
      <c r="AD1271" s="2627">
        <f t="shared" si="1135"/>
        <v>541.36809946958897</v>
      </c>
      <c r="AE1271" s="2627">
        <f t="shared" si="1136"/>
        <v>556.1047941574418</v>
      </c>
      <c r="AF1271" s="2627">
        <f t="shared" si="1137"/>
        <v>570.84148884529463</v>
      </c>
      <c r="AG1271" s="1707">
        <f t="shared" si="1138"/>
        <v>585.57818353314758</v>
      </c>
      <c r="AH1271" s="2627">
        <f t="shared" si="1139"/>
        <v>620.66233972063708</v>
      </c>
      <c r="AI1271" s="2627">
        <f t="shared" si="1140"/>
        <v>655.74649590812658</v>
      </c>
      <c r="AJ1271" s="2627">
        <f t="shared" si="1141"/>
        <v>690.83065209561607</v>
      </c>
      <c r="AK1271" s="2627">
        <f t="shared" si="1142"/>
        <v>725.91480828310557</v>
      </c>
      <c r="AL1271" s="2627">
        <f t="shared" si="1143"/>
        <v>747.18695451253916</v>
      </c>
      <c r="AM1271" s="2627">
        <f t="shared" si="1144"/>
        <v>768.45910074197286</v>
      </c>
      <c r="AN1271" s="2627">
        <f t="shared" si="1145"/>
        <v>789.73124697140668</v>
      </c>
      <c r="AO1271" s="1707">
        <f t="shared" si="1146"/>
        <v>811.00339320084026</v>
      </c>
      <c r="AP1271" s="2627">
        <f t="shared" si="1147"/>
        <v>858.22539973687401</v>
      </c>
      <c r="AQ1271" s="2627">
        <f t="shared" si="1148"/>
        <v>905.44740627290753</v>
      </c>
      <c r="AR1271" s="2627">
        <f t="shared" si="1149"/>
        <v>952.66941280894116</v>
      </c>
      <c r="AS1271" s="1707">
        <f t="shared" si="1150"/>
        <v>999.89141934497491</v>
      </c>
      <c r="AT1271" s="2627">
        <f t="shared" si="1151"/>
        <v>1067.506780596688</v>
      </c>
      <c r="AU1271" s="1152"/>
      <c r="AV1271" s="1152">
        <f t="shared" si="1152"/>
        <v>1135.1221418484013</v>
      </c>
      <c r="AW1271" s="1152">
        <f t="shared" si="1153"/>
        <v>1202.7375031001145</v>
      </c>
      <c r="AX1271" s="1138">
        <f t="shared" si="1154"/>
        <v>1270.3528643518277</v>
      </c>
      <c r="AY1271" s="1152">
        <f t="shared" si="1155"/>
        <v>1300.7537375903853</v>
      </c>
      <c r="AZ1271" s="1152">
        <f t="shared" si="1156"/>
        <v>1331.1546108289426</v>
      </c>
      <c r="BA1271" s="1152">
        <f t="shared" si="1157"/>
        <v>1361.5554840675002</v>
      </c>
      <c r="BB1271" s="1138">
        <f t="shared" si="1158"/>
        <v>1391.9563573060577</v>
      </c>
      <c r="BC1271" s="1152">
        <f t="shared" si="1159"/>
        <v>1419.7809781580497</v>
      </c>
      <c r="BD1271" s="1152">
        <f t="shared" si="1160"/>
        <v>1447.6055990100417</v>
      </c>
      <c r="BE1271" s="1152">
        <f t="shared" si="1161"/>
        <v>1475.4302198620337</v>
      </c>
      <c r="BF1271" s="1138">
        <f t="shared" si="1162"/>
        <v>1503.2548407140257</v>
      </c>
      <c r="BG1271" s="1152">
        <f t="shared" si="1163"/>
        <v>1549.5166609709368</v>
      </c>
      <c r="BH1271" s="1152">
        <f t="shared" si="1164"/>
        <v>1595.7784812278478</v>
      </c>
      <c r="BI1271" s="1152">
        <f t="shared" si="1165"/>
        <v>1642.0403014847586</v>
      </c>
      <c r="BJ1271" s="1138">
        <f t="shared" si="1166"/>
        <v>1688.3021217416697</v>
      </c>
      <c r="BK1271" s="1152">
        <f t="shared" si="1167"/>
        <v>1731.0610481075194</v>
      </c>
      <c r="BL1271" s="1152">
        <f t="shared" si="1168"/>
        <v>1773.819974473369</v>
      </c>
      <c r="BM1271" s="1152">
        <f t="shared" si="1169"/>
        <v>1816.5789008392187</v>
      </c>
      <c r="BN1271" s="1138">
        <f t="shared" si="1170"/>
        <v>1859.3378272050684</v>
      </c>
      <c r="BO1271" s="1152">
        <f t="shared" si="1171"/>
        <v>2315.5291609844862</v>
      </c>
      <c r="BP1271" s="1152">
        <f t="shared" si="1172"/>
        <v>2771.7204947639038</v>
      </c>
      <c r="BQ1271" s="1152">
        <f t="shared" si="1173"/>
        <v>3227.9118285433215</v>
      </c>
      <c r="BR1271" s="1138">
        <f t="shared" si="1174"/>
        <v>3684.1031623227391</v>
      </c>
      <c r="BS1271" s="1152">
        <f t="shared" si="1175"/>
        <v>3259.7700849010503</v>
      </c>
      <c r="BT1271" s="1152">
        <f t="shared" si="1176"/>
        <v>2835.4370074793615</v>
      </c>
      <c r="BU1271" s="1152">
        <f t="shared" si="1177"/>
        <v>2411.1039300576731</v>
      </c>
      <c r="BV1271" s="1138">
        <f t="shared" si="1178"/>
        <v>1986.7708526359841</v>
      </c>
      <c r="BW1271" s="1152">
        <f t="shared" si="1179"/>
        <v>2010.5496365281083</v>
      </c>
      <c r="BX1271" s="1152">
        <f t="shared" si="1180"/>
        <v>2034.3284204202328</v>
      </c>
      <c r="BY1271" s="1152">
        <f t="shared" si="1181"/>
        <v>2058.1072043123568</v>
      </c>
      <c r="BZ1271" s="1138">
        <f t="shared" si="1182"/>
        <v>2081.8859882044812</v>
      </c>
      <c r="CA1271" s="1152">
        <f t="shared" si="1183"/>
        <v>2079.8821809789097</v>
      </c>
      <c r="CB1271" s="1152">
        <f t="shared" si="1184"/>
        <v>2077.8783737533386</v>
      </c>
      <c r="CC1271" s="1152">
        <f t="shared" si="1185"/>
        <v>2075.8745665277675</v>
      </c>
      <c r="CD1271" s="1138">
        <f t="shared" si="1186"/>
        <v>2073.8707593021963</v>
      </c>
      <c r="CE1271" s="1152">
        <f t="shared" si="1187"/>
        <v>2111.0243978168091</v>
      </c>
      <c r="CF1271" s="1152">
        <f t="shared" si="1188"/>
        <v>2148.1780363314215</v>
      </c>
      <c r="CG1271" s="1152">
        <f t="shared" si="1189"/>
        <v>2185.3316748460338</v>
      </c>
      <c r="CH1271" s="1138">
        <f t="shared" si="1190"/>
        <v>2222.4853133606466</v>
      </c>
      <c r="CI1271" s="1152">
        <f t="shared" si="1191"/>
        <v>2249.4454594174344</v>
      </c>
      <c r="CJ1271" s="1152">
        <f t="shared" si="1192"/>
        <v>2276.4056054742223</v>
      </c>
      <c r="CK1271" s="1152">
        <f t="shared" si="1193"/>
        <v>2303.3657515310097</v>
      </c>
      <c r="CL1271" s="1138">
        <f t="shared" si="1194"/>
        <v>2330.3258975877975</v>
      </c>
      <c r="CM1271" s="1152">
        <f t="shared" si="1195"/>
        <v>2383.5733025784207</v>
      </c>
      <c r="CN1271" s="1152">
        <f t="shared" si="1196"/>
        <v>2436.8207075690439</v>
      </c>
      <c r="CO1271" s="1152">
        <f t="shared" si="1197"/>
        <v>2490.068112559667</v>
      </c>
      <c r="CP1271" s="1138">
        <f t="shared" si="1198"/>
        <v>2543.3155175502902</v>
      </c>
      <c r="CQ1271" s="1152">
        <f t="shared" si="1199"/>
        <v>2390.6860204827744</v>
      </c>
      <c r="CR1271" s="1152">
        <f t="shared" si="1200"/>
        <v>2238.0565234152582</v>
      </c>
      <c r="CS1271" s="1152">
        <f t="shared" si="1201"/>
        <v>2085.4270263477424</v>
      </c>
      <c r="CT1271" s="1138">
        <f t="shared" si="1202"/>
        <v>1932.7975292802266</v>
      </c>
      <c r="CU1271" s="1152">
        <f t="shared" si="1203"/>
        <v>2390.6860204827744</v>
      </c>
      <c r="CV1271" s="1152">
        <f t="shared" si="1204"/>
        <v>2238.0565234152582</v>
      </c>
      <c r="CW1271" s="1152">
        <f t="shared" si="1205"/>
        <v>2085.4270263477424</v>
      </c>
      <c r="CX1271" s="1138">
        <f t="shared" si="1206"/>
        <v>2763.2180239026043</v>
      </c>
      <c r="CY1271" s="1152">
        <f t="shared" si="1207"/>
        <v>2390.6860204827744</v>
      </c>
      <c r="CZ1271" s="1152">
        <f t="shared" si="1208"/>
        <v>2238.0565234152582</v>
      </c>
      <c r="DA1271" s="1152">
        <f t="shared" si="1209"/>
        <v>2085.4270263477424</v>
      </c>
      <c r="DB1271" s="1138">
        <f t="shared" si="1210"/>
        <v>3920.3492792513553</v>
      </c>
      <c r="DC1271" s="1152">
        <f t="shared" si="1211"/>
        <v>2390.6860204827744</v>
      </c>
      <c r="DD1271" s="1152">
        <f t="shared" si="1212"/>
        <v>2238.0565234152582</v>
      </c>
      <c r="DE1271" s="1152">
        <f t="shared" si="1213"/>
        <v>2085.4270263477424</v>
      </c>
      <c r="DF1271" s="1138">
        <f t="shared" si="1214"/>
        <v>5830.4222411759556</v>
      </c>
    </row>
    <row r="1272" spans="4:110">
      <c r="D1272" s="1122" t="str">
        <f t="shared" si="1117"/>
        <v>Net primary income in constant RWF bln ($ at current ER, divided by Pgdp)</v>
      </c>
      <c r="E1272" s="3113"/>
      <c r="F1272" s="1123"/>
      <c r="G1272" s="1123"/>
      <c r="H1272" s="1123"/>
      <c r="I1272" s="1123"/>
      <c r="J1272" s="1134"/>
      <c r="K1272" s="1134"/>
      <c r="L1272" s="1134"/>
      <c r="M1272" s="1148">
        <f t="shared" si="1118"/>
        <v>-2.7125671467932726</v>
      </c>
      <c r="N1272" s="1152">
        <f t="shared" si="1119"/>
        <v>-3.3607456086250487</v>
      </c>
      <c r="O1272" s="1152">
        <f t="shared" si="1120"/>
        <v>-4.0089240704568248</v>
      </c>
      <c r="P1272" s="1152">
        <f t="shared" si="1121"/>
        <v>-4.6571025322886008</v>
      </c>
      <c r="Q1272" s="1148">
        <f t="shared" si="1122"/>
        <v>-5.3052809941203769</v>
      </c>
      <c r="R1272" s="1152">
        <f t="shared" si="1123"/>
        <v>-5.7082441976953193</v>
      </c>
      <c r="S1272" s="1152">
        <f t="shared" si="1124"/>
        <v>-6.1112074012702617</v>
      </c>
      <c r="T1272" s="1152">
        <f t="shared" si="1125"/>
        <v>-6.5141706048452033</v>
      </c>
      <c r="U1272" s="1138">
        <f t="shared" si="1126"/>
        <v>-6.9171338084201457</v>
      </c>
      <c r="V1272" s="1152">
        <f t="shared" si="1127"/>
        <v>-6.8525025353132722</v>
      </c>
      <c r="W1272" s="1152">
        <f t="shared" si="1128"/>
        <v>-6.7878712622063979</v>
      </c>
      <c r="X1272" s="1152">
        <f t="shared" si="1129"/>
        <v>-6.7232399890995254</v>
      </c>
      <c r="Y1272" s="1138">
        <f t="shared" si="1130"/>
        <v>-6.658608715992651</v>
      </c>
      <c r="Z1272" s="1152">
        <f t="shared" si="1131"/>
        <v>-7.4963956182168143</v>
      </c>
      <c r="AA1272" s="1152">
        <f t="shared" si="1132"/>
        <v>-8.3341825204409758</v>
      </c>
      <c r="AB1272" s="1152">
        <f t="shared" si="1133"/>
        <v>-9.1719694226651391</v>
      </c>
      <c r="AC1272" s="1138">
        <f t="shared" si="1134"/>
        <v>-10.009756324889302</v>
      </c>
      <c r="AD1272" s="2627">
        <f t="shared" si="1135"/>
        <v>-10.206471899452081</v>
      </c>
      <c r="AE1272" s="2627">
        <f t="shared" si="1136"/>
        <v>-10.40318747401486</v>
      </c>
      <c r="AF1272" s="2627">
        <f t="shared" si="1137"/>
        <v>-10.599903048577641</v>
      </c>
      <c r="AG1272" s="1707">
        <f t="shared" si="1138"/>
        <v>-10.79661862314042</v>
      </c>
      <c r="AH1272" s="2627">
        <f t="shared" si="1139"/>
        <v>-10.131606300275417</v>
      </c>
      <c r="AI1272" s="2627">
        <f t="shared" si="1140"/>
        <v>-9.4665939774104135</v>
      </c>
      <c r="AJ1272" s="2627">
        <f t="shared" si="1141"/>
        <v>-8.8015816545454104</v>
      </c>
      <c r="AK1272" s="2627">
        <f t="shared" si="1142"/>
        <v>-8.1365693316804073</v>
      </c>
      <c r="AL1272" s="2627">
        <f t="shared" si="1143"/>
        <v>-9.4311545419572873</v>
      </c>
      <c r="AM1272" s="2627">
        <f t="shared" si="1144"/>
        <v>-10.725739752234167</v>
      </c>
      <c r="AN1272" s="2627">
        <f t="shared" si="1145"/>
        <v>-12.020324962511047</v>
      </c>
      <c r="AO1272" s="1707">
        <f t="shared" si="1146"/>
        <v>-13.314910172787927</v>
      </c>
      <c r="AP1272" s="2627">
        <f t="shared" si="1147"/>
        <v>-11.679987472878148</v>
      </c>
      <c r="AQ1272" s="2627">
        <f t="shared" si="1148"/>
        <v>-10.045064772968368</v>
      </c>
      <c r="AR1272" s="2627">
        <f t="shared" si="1149"/>
        <v>-8.410142073058589</v>
      </c>
      <c r="AS1272" s="1707">
        <f t="shared" si="1150"/>
        <v>-6.7752193731488086</v>
      </c>
      <c r="AT1272" s="2627">
        <f t="shared" si="1151"/>
        <v>-8.2434440233968704</v>
      </c>
      <c r="AU1272" s="1152"/>
      <c r="AV1272" s="1152">
        <f t="shared" si="1152"/>
        <v>-9.7116686736449314</v>
      </c>
      <c r="AW1272" s="1152">
        <f t="shared" si="1153"/>
        <v>-11.179893323892992</v>
      </c>
      <c r="AX1272" s="1138">
        <f t="shared" si="1154"/>
        <v>-12.648117974141053</v>
      </c>
      <c r="AY1272" s="1152">
        <f t="shared" si="1155"/>
        <v>-12.542927296992124</v>
      </c>
      <c r="AZ1272" s="1152">
        <f t="shared" si="1156"/>
        <v>-12.437736619843195</v>
      </c>
      <c r="BA1272" s="1152">
        <f t="shared" si="1157"/>
        <v>-12.332545942694265</v>
      </c>
      <c r="BB1272" s="1138">
        <f t="shared" si="1158"/>
        <v>-12.227355265545336</v>
      </c>
      <c r="BC1272" s="1152">
        <f t="shared" si="1159"/>
        <v>-12.38394934561599</v>
      </c>
      <c r="BD1272" s="1152">
        <f t="shared" si="1160"/>
        <v>-12.540543425686643</v>
      </c>
      <c r="BE1272" s="1152">
        <f t="shared" si="1161"/>
        <v>-12.697137505757297</v>
      </c>
      <c r="BF1272" s="1138">
        <f t="shared" si="1162"/>
        <v>-12.853731585827951</v>
      </c>
      <c r="BG1272" s="1152">
        <f t="shared" si="1163"/>
        <v>-13.621095816906804</v>
      </c>
      <c r="BH1272" s="1152">
        <f t="shared" si="1164"/>
        <v>-14.388460047985657</v>
      </c>
      <c r="BI1272" s="1152">
        <f t="shared" si="1165"/>
        <v>-15.155824279064509</v>
      </c>
      <c r="BJ1272" s="1138">
        <f t="shared" si="1166"/>
        <v>-15.923188510143362</v>
      </c>
      <c r="BK1272" s="1152">
        <f t="shared" si="1167"/>
        <v>-21.194583637965483</v>
      </c>
      <c r="BL1272" s="1152">
        <f t="shared" si="1168"/>
        <v>-26.465978765787604</v>
      </c>
      <c r="BM1272" s="1152">
        <f t="shared" si="1169"/>
        <v>-31.737373893609725</v>
      </c>
      <c r="BN1272" s="1138">
        <f t="shared" si="1170"/>
        <v>-37.008769021431846</v>
      </c>
      <c r="BO1272" s="1152">
        <f t="shared" si="1171"/>
        <v>-41.408496802092223</v>
      </c>
      <c r="BP1272" s="1152">
        <f t="shared" si="1172"/>
        <v>-45.808224582752601</v>
      </c>
      <c r="BQ1272" s="1152">
        <f t="shared" si="1173"/>
        <v>-50.207952363412986</v>
      </c>
      <c r="BR1272" s="1138">
        <f t="shared" si="1174"/>
        <v>-54.607680144073363</v>
      </c>
      <c r="BS1272" s="1152">
        <f t="shared" si="1175"/>
        <v>-55.512993537029779</v>
      </c>
      <c r="BT1272" s="1152">
        <f t="shared" si="1176"/>
        <v>-56.418306929986194</v>
      </c>
      <c r="BU1272" s="1152">
        <f t="shared" si="1177"/>
        <v>-57.32362032294261</v>
      </c>
      <c r="BV1272" s="1138">
        <f t="shared" si="1178"/>
        <v>-58.228933715899025</v>
      </c>
      <c r="BW1272" s="1152">
        <f t="shared" si="1179"/>
        <v>-54.020424029876658</v>
      </c>
      <c r="BX1272" s="1152">
        <f t="shared" si="1180"/>
        <v>-49.811914343854291</v>
      </c>
      <c r="BY1272" s="1152">
        <f t="shared" si="1181"/>
        <v>-45.603404657831923</v>
      </c>
      <c r="BZ1272" s="1138">
        <f t="shared" si="1182"/>
        <v>-41.394894971809556</v>
      </c>
      <c r="CA1272" s="1152">
        <f t="shared" si="1183"/>
        <v>-57.210452969806532</v>
      </c>
      <c r="CB1272" s="1152">
        <f t="shared" si="1184"/>
        <v>-73.026010967803501</v>
      </c>
      <c r="CC1272" s="1152">
        <f t="shared" si="1185"/>
        <v>-88.841568965800477</v>
      </c>
      <c r="CD1272" s="1138">
        <f t="shared" si="1186"/>
        <v>-104.65712696379745</v>
      </c>
      <c r="CE1272" s="1152">
        <f t="shared" si="1187"/>
        <v>-102.02336911440884</v>
      </c>
      <c r="CF1272" s="1152">
        <f t="shared" si="1188"/>
        <v>-99.389611265020207</v>
      </c>
      <c r="CG1272" s="1152">
        <f t="shared" si="1189"/>
        <v>-96.755853415631591</v>
      </c>
      <c r="CH1272" s="1138">
        <f t="shared" si="1190"/>
        <v>-94.122095566242962</v>
      </c>
      <c r="CI1272" s="1152">
        <f t="shared" si="1191"/>
        <v>-99.310300444966032</v>
      </c>
      <c r="CJ1272" s="1152">
        <f t="shared" si="1192"/>
        <v>-104.49850532368907</v>
      </c>
      <c r="CK1272" s="1152">
        <f t="shared" si="1193"/>
        <v>-109.68671020241212</v>
      </c>
      <c r="CL1272" s="1138">
        <f t="shared" si="1194"/>
        <v>-114.87491508113519</v>
      </c>
      <c r="CM1272" s="1152">
        <f t="shared" si="1195"/>
        <v>-114.65697524038535</v>
      </c>
      <c r="CN1272" s="1152">
        <f t="shared" si="1196"/>
        <v>-114.43903539963551</v>
      </c>
      <c r="CO1272" s="1152">
        <f t="shared" si="1197"/>
        <v>-114.22109555888568</v>
      </c>
      <c r="CP1272" s="1138">
        <f t="shared" si="1198"/>
        <v>-114.00315571813584</v>
      </c>
      <c r="CQ1272" s="1152">
        <f t="shared" si="1199"/>
        <v>-102.64229520578472</v>
      </c>
      <c r="CR1272" s="1152">
        <f t="shared" si="1200"/>
        <v>-91.281434693433624</v>
      </c>
      <c r="CS1272" s="1152">
        <f t="shared" si="1201"/>
        <v>-79.920574181082515</v>
      </c>
      <c r="CT1272" s="1138">
        <f t="shared" si="1202"/>
        <v>-68.559713668731391</v>
      </c>
      <c r="CU1272" s="1152">
        <f t="shared" si="1203"/>
        <v>-102.64229520578472</v>
      </c>
      <c r="CV1272" s="1152">
        <f t="shared" si="1204"/>
        <v>-91.281434693433624</v>
      </c>
      <c r="CW1272" s="1152">
        <f t="shared" si="1205"/>
        <v>-79.920574181082515</v>
      </c>
      <c r="CX1272" s="1138">
        <f t="shared" si="1206"/>
        <v>-62.463909618986158</v>
      </c>
      <c r="CY1272" s="1152">
        <f t="shared" si="1207"/>
        <v>-102.64229520578472</v>
      </c>
      <c r="CZ1272" s="1152">
        <f t="shared" si="1208"/>
        <v>-91.281434693433624</v>
      </c>
      <c r="DA1272" s="1152">
        <f t="shared" si="1209"/>
        <v>-79.920574181082515</v>
      </c>
      <c r="DB1272" s="1138">
        <f t="shared" si="1210"/>
        <v>-120.80720825198284</v>
      </c>
      <c r="DC1272" s="1152">
        <f t="shared" si="1211"/>
        <v>-102.64229520578472</v>
      </c>
      <c r="DD1272" s="1152">
        <f t="shared" si="1212"/>
        <v>-91.281434693433624</v>
      </c>
      <c r="DE1272" s="1152">
        <f t="shared" si="1213"/>
        <v>-79.920574181082515</v>
      </c>
      <c r="DF1272" s="1138">
        <f t="shared" si="1214"/>
        <v>-168.49455353570713</v>
      </c>
    </row>
    <row r="1273" spans="4:110">
      <c r="D1273" s="1122" t="str">
        <f t="shared" si="1117"/>
        <v>Net secondary income in constant RWF bln ($ at current ER, divided by Pgdp)</v>
      </c>
      <c r="E1273" s="3113"/>
      <c r="F1273" s="1123"/>
      <c r="G1273" s="1123"/>
      <c r="H1273" s="1123"/>
      <c r="I1273" s="1123"/>
      <c r="J1273" s="1134"/>
      <c r="K1273" s="1134"/>
      <c r="L1273" s="1134"/>
      <c r="M1273" s="1148">
        <f t="shared" si="1118"/>
        <v>53.597678962500005</v>
      </c>
      <c r="N1273" s="1152">
        <f t="shared" si="1119"/>
        <v>53.486494276649324</v>
      </c>
      <c r="O1273" s="1152">
        <f t="shared" si="1120"/>
        <v>53.375309590798643</v>
      </c>
      <c r="P1273" s="1152">
        <f t="shared" si="1121"/>
        <v>53.264124904947963</v>
      </c>
      <c r="Q1273" s="1148">
        <f t="shared" si="1122"/>
        <v>53.152940219097282</v>
      </c>
      <c r="R1273" s="1152">
        <f t="shared" si="1123"/>
        <v>52.542271730700286</v>
      </c>
      <c r="S1273" s="1152">
        <f t="shared" si="1124"/>
        <v>51.931603242303289</v>
      </c>
      <c r="T1273" s="1152">
        <f t="shared" si="1125"/>
        <v>51.320934753906293</v>
      </c>
      <c r="U1273" s="1138">
        <f t="shared" si="1126"/>
        <v>50.710266265509297</v>
      </c>
      <c r="V1273" s="1152">
        <f t="shared" si="1127"/>
        <v>51.455650944061517</v>
      </c>
      <c r="W1273" s="1152">
        <f t="shared" si="1128"/>
        <v>52.20103562261373</v>
      </c>
      <c r="X1273" s="1152">
        <f t="shared" si="1129"/>
        <v>52.946420301165944</v>
      </c>
      <c r="Y1273" s="1138">
        <f t="shared" si="1130"/>
        <v>53.691804979718164</v>
      </c>
      <c r="Z1273" s="1152">
        <f t="shared" si="1131"/>
        <v>54.861549945431499</v>
      </c>
      <c r="AA1273" s="1152">
        <f t="shared" si="1132"/>
        <v>56.031294911144833</v>
      </c>
      <c r="AB1273" s="1152">
        <f t="shared" si="1133"/>
        <v>57.201039876858168</v>
      </c>
      <c r="AC1273" s="1138">
        <f t="shared" si="1134"/>
        <v>58.370784842571503</v>
      </c>
      <c r="AD1273" s="2627">
        <f t="shared" si="1135"/>
        <v>60.733148135063644</v>
      </c>
      <c r="AE1273" s="2627">
        <f t="shared" si="1136"/>
        <v>63.095511427555778</v>
      </c>
      <c r="AF1273" s="2627">
        <f t="shared" si="1137"/>
        <v>65.457874720047911</v>
      </c>
      <c r="AG1273" s="1707">
        <f t="shared" si="1138"/>
        <v>67.820238012540059</v>
      </c>
      <c r="AH1273" s="2627">
        <f t="shared" si="1139"/>
        <v>69.132467016213809</v>
      </c>
      <c r="AI1273" s="2627">
        <f t="shared" si="1140"/>
        <v>70.444696019887559</v>
      </c>
      <c r="AJ1273" s="2627">
        <f t="shared" si="1141"/>
        <v>71.756925023561308</v>
      </c>
      <c r="AK1273" s="2627">
        <f t="shared" si="1142"/>
        <v>73.069154027235058</v>
      </c>
      <c r="AL1273" s="2627">
        <f t="shared" si="1143"/>
        <v>96.707601477748852</v>
      </c>
      <c r="AM1273" s="2627">
        <f t="shared" si="1144"/>
        <v>120.34604892826263</v>
      </c>
      <c r="AN1273" s="2627">
        <f t="shared" si="1145"/>
        <v>143.98449637877644</v>
      </c>
      <c r="AO1273" s="1707">
        <f t="shared" si="1146"/>
        <v>167.62294382929022</v>
      </c>
      <c r="AP1273" s="2627">
        <f t="shared" si="1147"/>
        <v>154.6467833472841</v>
      </c>
      <c r="AQ1273" s="2627">
        <f t="shared" si="1148"/>
        <v>141.67062286527801</v>
      </c>
      <c r="AR1273" s="2627">
        <f t="shared" si="1149"/>
        <v>128.69446238327188</v>
      </c>
      <c r="AS1273" s="1707">
        <f t="shared" si="1150"/>
        <v>115.71830190126576</v>
      </c>
      <c r="AT1273" s="2627">
        <f t="shared" si="1151"/>
        <v>120.01540671566985</v>
      </c>
      <c r="AU1273" s="1152"/>
      <c r="AV1273" s="1152">
        <f t="shared" si="1152"/>
        <v>124.31251153007393</v>
      </c>
      <c r="AW1273" s="1152">
        <f t="shared" si="1153"/>
        <v>128.60961634447801</v>
      </c>
      <c r="AX1273" s="1138">
        <f t="shared" si="1154"/>
        <v>132.90672115888211</v>
      </c>
      <c r="AY1273" s="1152">
        <f t="shared" si="1155"/>
        <v>131.59684951296924</v>
      </c>
      <c r="AZ1273" s="1152">
        <f t="shared" si="1156"/>
        <v>130.28697786705638</v>
      </c>
      <c r="BA1273" s="1152">
        <f t="shared" si="1157"/>
        <v>128.97710622114352</v>
      </c>
      <c r="BB1273" s="1138">
        <f t="shared" si="1158"/>
        <v>127.66723457523065</v>
      </c>
      <c r="BC1273" s="1152">
        <f t="shared" si="1159"/>
        <v>167.51455724092588</v>
      </c>
      <c r="BD1273" s="1152">
        <f t="shared" si="1160"/>
        <v>207.36187990662108</v>
      </c>
      <c r="BE1273" s="1152">
        <f t="shared" si="1161"/>
        <v>247.20920257231631</v>
      </c>
      <c r="BF1273" s="1138">
        <f t="shared" si="1162"/>
        <v>287.05652523801155</v>
      </c>
      <c r="BG1273" s="1152">
        <f t="shared" si="1163"/>
        <v>294.2603770100817</v>
      </c>
      <c r="BH1273" s="1152">
        <f t="shared" si="1164"/>
        <v>301.46422878215185</v>
      </c>
      <c r="BI1273" s="1152">
        <f t="shared" si="1165"/>
        <v>308.66808055422194</v>
      </c>
      <c r="BJ1273" s="1138">
        <f t="shared" si="1166"/>
        <v>315.8719323262921</v>
      </c>
      <c r="BK1273" s="1152">
        <f t="shared" si="1167"/>
        <v>299.21071894416207</v>
      </c>
      <c r="BL1273" s="1152">
        <f t="shared" si="1168"/>
        <v>282.54950556203204</v>
      </c>
      <c r="BM1273" s="1152">
        <f t="shared" si="1169"/>
        <v>265.88829217990201</v>
      </c>
      <c r="BN1273" s="1138">
        <f t="shared" si="1170"/>
        <v>249.22707879777198</v>
      </c>
      <c r="BO1273" s="1152">
        <f t="shared" si="1171"/>
        <v>264.60386842626247</v>
      </c>
      <c r="BP1273" s="1152">
        <f t="shared" si="1172"/>
        <v>279.98065805475301</v>
      </c>
      <c r="BQ1273" s="1152">
        <f t="shared" si="1173"/>
        <v>295.35744768324349</v>
      </c>
      <c r="BR1273" s="1138">
        <f t="shared" si="1174"/>
        <v>310.73423731173398</v>
      </c>
      <c r="BS1273" s="1152">
        <f t="shared" si="1175"/>
        <v>306.00518659702772</v>
      </c>
      <c r="BT1273" s="1152">
        <f t="shared" si="1176"/>
        <v>301.27613588232146</v>
      </c>
      <c r="BU1273" s="1152">
        <f t="shared" si="1177"/>
        <v>296.54708516761514</v>
      </c>
      <c r="BV1273" s="1138">
        <f t="shared" si="1178"/>
        <v>291.81803445290888</v>
      </c>
      <c r="BW1273" s="1152">
        <f t="shared" si="1179"/>
        <v>288.83105491953734</v>
      </c>
      <c r="BX1273" s="1152">
        <f t="shared" si="1180"/>
        <v>285.8440753861658</v>
      </c>
      <c r="BY1273" s="1152">
        <f t="shared" si="1181"/>
        <v>282.85709585279426</v>
      </c>
      <c r="BZ1273" s="1138">
        <f t="shared" si="1182"/>
        <v>279.87011631942272</v>
      </c>
      <c r="CA1273" s="1152">
        <f t="shared" si="1183"/>
        <v>271.8250622112414</v>
      </c>
      <c r="CB1273" s="1152">
        <f t="shared" si="1184"/>
        <v>263.78000810306014</v>
      </c>
      <c r="CC1273" s="1152">
        <f t="shared" si="1185"/>
        <v>255.73495399487882</v>
      </c>
      <c r="CD1273" s="1138">
        <f t="shared" si="1186"/>
        <v>247.6898998866975</v>
      </c>
      <c r="CE1273" s="1152">
        <f t="shared" si="1187"/>
        <v>251.54684329938252</v>
      </c>
      <c r="CF1273" s="1152">
        <f t="shared" si="1188"/>
        <v>255.40378671206753</v>
      </c>
      <c r="CG1273" s="1152">
        <f t="shared" si="1189"/>
        <v>259.26073012475251</v>
      </c>
      <c r="CH1273" s="1138">
        <f t="shared" si="1190"/>
        <v>263.11767353743755</v>
      </c>
      <c r="CI1273" s="1152">
        <f t="shared" si="1191"/>
        <v>277.14909909090557</v>
      </c>
      <c r="CJ1273" s="1152">
        <f t="shared" si="1192"/>
        <v>291.18052464437358</v>
      </c>
      <c r="CK1273" s="1152">
        <f t="shared" si="1193"/>
        <v>305.21195019784159</v>
      </c>
      <c r="CL1273" s="1138">
        <f t="shared" si="1194"/>
        <v>319.2433757513096</v>
      </c>
      <c r="CM1273" s="1152">
        <f t="shared" si="1195"/>
        <v>313.50435160162374</v>
      </c>
      <c r="CN1273" s="1152">
        <f t="shared" si="1196"/>
        <v>307.76532745193788</v>
      </c>
      <c r="CO1273" s="1152">
        <f t="shared" si="1197"/>
        <v>302.02630330225202</v>
      </c>
      <c r="CP1273" s="1138">
        <f t="shared" si="1198"/>
        <v>296.28727915256616</v>
      </c>
      <c r="CQ1273" s="1152">
        <f t="shared" si="1199"/>
        <v>302.40503966628125</v>
      </c>
      <c r="CR1273" s="1152">
        <f t="shared" si="1200"/>
        <v>308.52280017999635</v>
      </c>
      <c r="CS1273" s="1152">
        <f t="shared" si="1201"/>
        <v>314.64056069371145</v>
      </c>
      <c r="CT1273" s="1138">
        <f t="shared" si="1202"/>
        <v>320.75832120742649</v>
      </c>
      <c r="CU1273" s="1152">
        <f t="shared" si="1203"/>
        <v>302.40503966628125</v>
      </c>
      <c r="CV1273" s="1152">
        <f t="shared" si="1204"/>
        <v>308.52280017999635</v>
      </c>
      <c r="CW1273" s="1152">
        <f t="shared" si="1205"/>
        <v>314.64056069371145</v>
      </c>
      <c r="CX1273" s="1138">
        <f t="shared" si="1206"/>
        <v>408.04724837752866</v>
      </c>
      <c r="CY1273" s="1152">
        <f t="shared" si="1207"/>
        <v>302.40503966628125</v>
      </c>
      <c r="CZ1273" s="1152">
        <f t="shared" si="1208"/>
        <v>308.52280017999635</v>
      </c>
      <c r="DA1273" s="1152">
        <f t="shared" si="1209"/>
        <v>314.64056069371145</v>
      </c>
      <c r="DB1273" s="1138">
        <f t="shared" si="1210"/>
        <v>319.74011271569697</v>
      </c>
      <c r="DC1273" s="1152">
        <f t="shared" si="1211"/>
        <v>302.40503966628125</v>
      </c>
      <c r="DD1273" s="1152">
        <f t="shared" si="1212"/>
        <v>308.52280017999635</v>
      </c>
      <c r="DE1273" s="1152">
        <f t="shared" si="1213"/>
        <v>314.64056069371145</v>
      </c>
      <c r="DF1273" s="1138">
        <f t="shared" si="1214"/>
        <v>327.50119434604534</v>
      </c>
    </row>
    <row r="1274" spans="4:110">
      <c r="D1274" s="1122" t="str">
        <f>+D1246</f>
        <v>Gross National Disposable Income (incl. prim+sec; cap transfers) RWF bln current prices</v>
      </c>
      <c r="E1274" s="3118">
        <f>+E1246</f>
        <v>0</v>
      </c>
      <c r="F1274" s="1122"/>
      <c r="G1274" s="1122"/>
      <c r="H1274" s="1122"/>
      <c r="I1274" s="1122"/>
      <c r="J1274" s="1135"/>
      <c r="K1274" s="1135"/>
      <c r="L1274" s="1135"/>
      <c r="M1274" s="1149">
        <f t="shared" si="1118"/>
        <v>197.80978913549731</v>
      </c>
      <c r="N1274" s="1152">
        <f t="shared" si="1119"/>
        <v>203.03863118187093</v>
      </c>
      <c r="O1274" s="1152">
        <f t="shared" si="1120"/>
        <v>208.26747322824451</v>
      </c>
      <c r="P1274" s="1152">
        <f t="shared" si="1121"/>
        <v>213.49631527461815</v>
      </c>
      <c r="Q1274" s="1149">
        <f t="shared" si="1122"/>
        <v>218.72515732099174</v>
      </c>
      <c r="R1274" s="1152">
        <f t="shared" si="1123"/>
        <v>222.42274991188185</v>
      </c>
      <c r="S1274" s="1152">
        <f t="shared" si="1124"/>
        <v>226.1203425027719</v>
      </c>
      <c r="T1274" s="1152">
        <f t="shared" si="1125"/>
        <v>229.81793509366202</v>
      </c>
      <c r="U1274" s="1150">
        <f t="shared" si="1126"/>
        <v>233.5155276845521</v>
      </c>
      <c r="V1274" s="1152">
        <f t="shared" si="1127"/>
        <v>237.50946744583075</v>
      </c>
      <c r="W1274" s="1152">
        <f t="shared" si="1128"/>
        <v>241.50340720710938</v>
      </c>
      <c r="X1274" s="1152">
        <f t="shared" si="1129"/>
        <v>245.49734696838806</v>
      </c>
      <c r="Y1274" s="1150">
        <f t="shared" si="1130"/>
        <v>249.49128672966668</v>
      </c>
      <c r="Z1274" s="1152">
        <f t="shared" si="1131"/>
        <v>263.88797047031244</v>
      </c>
      <c r="AA1274" s="1152">
        <f t="shared" si="1132"/>
        <v>278.28465421095819</v>
      </c>
      <c r="AB1274" s="1152">
        <f t="shared" si="1133"/>
        <v>292.68133795160395</v>
      </c>
      <c r="AC1274" s="1150">
        <f t="shared" si="1134"/>
        <v>307.07802169224971</v>
      </c>
      <c r="AD1274" s="2627">
        <f t="shared" si="1135"/>
        <v>322.47367345049474</v>
      </c>
      <c r="AE1274" s="2627">
        <f t="shared" si="1136"/>
        <v>337.86932520873978</v>
      </c>
      <c r="AF1274" s="2627">
        <f t="shared" si="1137"/>
        <v>353.26497696698482</v>
      </c>
      <c r="AG1274" s="1712">
        <f t="shared" si="1138"/>
        <v>368.66062872522986</v>
      </c>
      <c r="AH1274" s="2627">
        <f t="shared" si="1139"/>
        <v>386.86204463086676</v>
      </c>
      <c r="AI1274" s="2627">
        <f t="shared" si="1140"/>
        <v>405.06346053650361</v>
      </c>
      <c r="AJ1274" s="2627">
        <f t="shared" si="1141"/>
        <v>423.26487644214046</v>
      </c>
      <c r="AK1274" s="2627">
        <f t="shared" si="1142"/>
        <v>441.46629234777731</v>
      </c>
      <c r="AL1274" s="2627">
        <f t="shared" si="1143"/>
        <v>455.74070682714131</v>
      </c>
      <c r="AM1274" s="2627">
        <f t="shared" si="1144"/>
        <v>470.01512130650531</v>
      </c>
      <c r="AN1274" s="2627">
        <f t="shared" si="1145"/>
        <v>484.28953578586925</v>
      </c>
      <c r="AO1274" s="1712">
        <f t="shared" si="1146"/>
        <v>498.56395026523325</v>
      </c>
      <c r="AP1274" s="2627">
        <f t="shared" si="1147"/>
        <v>520.69989299355507</v>
      </c>
      <c r="AQ1274" s="2627">
        <f t="shared" si="1148"/>
        <v>542.83583572187695</v>
      </c>
      <c r="AR1274" s="2627">
        <f t="shared" si="1149"/>
        <v>564.97177845019883</v>
      </c>
      <c r="AS1274" s="1712">
        <f t="shared" si="1150"/>
        <v>587.10772117852071</v>
      </c>
      <c r="AT1274" s="2627">
        <f t="shared" si="1151"/>
        <v>627.29415120236467</v>
      </c>
      <c r="AU1274" s="1152"/>
      <c r="AV1274" s="1152">
        <f t="shared" si="1152"/>
        <v>667.48058122620853</v>
      </c>
      <c r="AW1274" s="1152">
        <f t="shared" si="1153"/>
        <v>707.66701125005238</v>
      </c>
      <c r="AX1274" s="1150">
        <f t="shared" si="1154"/>
        <v>747.85344127389635</v>
      </c>
      <c r="AY1274" s="1152">
        <f t="shared" si="1155"/>
        <v>772.2902180566449</v>
      </c>
      <c r="AZ1274" s="1152">
        <f t="shared" si="1156"/>
        <v>796.72699483939346</v>
      </c>
      <c r="BA1274" s="1152">
        <f t="shared" si="1157"/>
        <v>821.16377162214189</v>
      </c>
      <c r="BB1274" s="1150">
        <f t="shared" si="1158"/>
        <v>845.60054840489045</v>
      </c>
      <c r="BC1274" s="1152">
        <f t="shared" si="1159"/>
        <v>884.92521860540796</v>
      </c>
      <c r="BD1274" s="1152">
        <f t="shared" si="1160"/>
        <v>924.24988880592559</v>
      </c>
      <c r="BE1274" s="1152">
        <f t="shared" si="1161"/>
        <v>963.57455900644322</v>
      </c>
      <c r="BF1274" s="1150">
        <f t="shared" si="1162"/>
        <v>1002.8992292069607</v>
      </c>
      <c r="BG1274" s="1152">
        <f t="shared" si="1163"/>
        <v>1042.8558672685031</v>
      </c>
      <c r="BH1274" s="1152">
        <f t="shared" si="1164"/>
        <v>1082.8125053300455</v>
      </c>
      <c r="BI1274" s="1152">
        <f t="shared" si="1165"/>
        <v>1122.7691433915879</v>
      </c>
      <c r="BJ1274" s="1150">
        <f t="shared" si="1166"/>
        <v>1162.7257814531304</v>
      </c>
      <c r="BK1274" s="1152">
        <f t="shared" si="1167"/>
        <v>1188.4313519246698</v>
      </c>
      <c r="BL1274" s="1152">
        <f t="shared" si="1168"/>
        <v>1214.1369223962092</v>
      </c>
      <c r="BM1274" s="1152">
        <f t="shared" si="1169"/>
        <v>1239.8424928677489</v>
      </c>
      <c r="BN1274" s="1150">
        <f t="shared" si="1170"/>
        <v>1265.5480633392883</v>
      </c>
      <c r="BO1274" s="1152">
        <f t="shared" si="1171"/>
        <v>1584.1571044451134</v>
      </c>
      <c r="BP1274" s="1152">
        <f t="shared" si="1172"/>
        <v>1902.7661455509383</v>
      </c>
      <c r="BQ1274" s="1152">
        <f t="shared" si="1173"/>
        <v>2221.3751866567632</v>
      </c>
      <c r="BR1274" s="1150">
        <f t="shared" si="1174"/>
        <v>2539.984227762588</v>
      </c>
      <c r="BS1274" s="1152">
        <f t="shared" si="1175"/>
        <v>2282.980713045516</v>
      </c>
      <c r="BT1274" s="1152">
        <f t="shared" si="1176"/>
        <v>2025.977198328444</v>
      </c>
      <c r="BU1274" s="1152">
        <f t="shared" si="1177"/>
        <v>1768.9736836113721</v>
      </c>
      <c r="BV1274" s="1150">
        <f t="shared" si="1178"/>
        <v>1511.9701688943001</v>
      </c>
      <c r="BW1274" s="1152">
        <f t="shared" si="1179"/>
        <v>1546.0852345393105</v>
      </c>
      <c r="BX1274" s="1152">
        <f t="shared" si="1180"/>
        <v>1580.2003001843209</v>
      </c>
      <c r="BY1274" s="1152">
        <f t="shared" si="1181"/>
        <v>1614.3153658293313</v>
      </c>
      <c r="BZ1274" s="1150">
        <f t="shared" si="1182"/>
        <v>1648.430431474342</v>
      </c>
      <c r="CA1274" s="1152">
        <f t="shared" si="1183"/>
        <v>1679.6155982641928</v>
      </c>
      <c r="CB1274" s="1152">
        <f t="shared" si="1184"/>
        <v>1710.8007650540439</v>
      </c>
      <c r="CC1274" s="1152">
        <f t="shared" si="1185"/>
        <v>1741.9859318438951</v>
      </c>
      <c r="CD1274" s="1150">
        <f t="shared" si="1186"/>
        <v>1773.1710986337459</v>
      </c>
      <c r="CE1274" s="1152">
        <f t="shared" si="1187"/>
        <v>1831.9626496159167</v>
      </c>
      <c r="CF1274" s="1152">
        <f t="shared" si="1188"/>
        <v>1890.7542005980872</v>
      </c>
      <c r="CG1274" s="1152">
        <f t="shared" si="1189"/>
        <v>1949.545751580258</v>
      </c>
      <c r="CH1274" s="1150">
        <f t="shared" si="1190"/>
        <v>2008.3373025624287</v>
      </c>
      <c r="CI1274" s="1152">
        <f t="shared" si="1191"/>
        <v>2056.987127749861</v>
      </c>
      <c r="CJ1274" s="1152">
        <f t="shared" si="1192"/>
        <v>2105.6369529372932</v>
      </c>
      <c r="CK1274" s="1152">
        <f t="shared" si="1193"/>
        <v>2154.2867781247255</v>
      </c>
      <c r="CL1274" s="1150">
        <f t="shared" si="1194"/>
        <v>2202.9366033121578</v>
      </c>
      <c r="CM1274" s="1152">
        <f t="shared" si="1195"/>
        <v>2272.6179122336271</v>
      </c>
      <c r="CN1274" s="1152">
        <f t="shared" si="1196"/>
        <v>2342.2992211550963</v>
      </c>
      <c r="CO1274" s="1152">
        <f t="shared" si="1197"/>
        <v>2411.9805300765656</v>
      </c>
      <c r="CP1274" s="1150">
        <f t="shared" si="1198"/>
        <v>2481.6618389980354</v>
      </c>
      <c r="CQ1274" s="1152">
        <f>+$CP1274*0.75+$CT1274*0.25</f>
        <v>2373.0930149192395</v>
      </c>
      <c r="CR1274" s="1152">
        <f t="shared" si="1200"/>
        <v>2264.5241908404441</v>
      </c>
      <c r="CS1274" s="1152">
        <f t="shared" si="1201"/>
        <v>2155.9553667616487</v>
      </c>
      <c r="CT1274" s="1150">
        <f t="shared" si="1202"/>
        <v>2047.3865426828531</v>
      </c>
      <c r="CU1274" s="1152">
        <f t="shared" si="1203"/>
        <v>2373.0930149192395</v>
      </c>
      <c r="CV1274" s="1152">
        <f t="shared" si="1204"/>
        <v>2264.5241908404441</v>
      </c>
      <c r="CW1274" s="1152">
        <f t="shared" si="1205"/>
        <v>2155.9553667616487</v>
      </c>
      <c r="CX1274" s="1150">
        <f t="shared" si="1206"/>
        <v>3028.342087212357</v>
      </c>
      <c r="CY1274" s="1152">
        <f t="shared" si="1207"/>
        <v>2373.0930149192395</v>
      </c>
      <c r="CZ1274" s="1152">
        <f t="shared" si="1208"/>
        <v>2264.5241908404441</v>
      </c>
      <c r="DA1274" s="1152">
        <f t="shared" si="1209"/>
        <v>2155.9553667616487</v>
      </c>
      <c r="DB1274" s="1150">
        <f t="shared" si="1210"/>
        <v>5922.984833265341</v>
      </c>
      <c r="DC1274" s="1152">
        <f t="shared" si="1211"/>
        <v>2373.0930149192395</v>
      </c>
      <c r="DD1274" s="1152">
        <f t="shared" si="1212"/>
        <v>2264.5241908404441</v>
      </c>
      <c r="DE1274" s="1152">
        <f t="shared" si="1213"/>
        <v>2155.9553667616487</v>
      </c>
      <c r="DF1274" s="1150">
        <f t="shared" si="1214"/>
        <v>9997.9544827233403</v>
      </c>
    </row>
    <row r="1275" spans="4:110">
      <c r="D1275" s="1122" t="str">
        <f>+D1247</f>
        <v>Gross National Disposable Income RWF bln in constant 2017 prices</v>
      </c>
      <c r="E1275" s="3113"/>
      <c r="F1275" s="1123"/>
      <c r="G1275" s="1123"/>
      <c r="H1275" s="1123"/>
      <c r="I1275" s="1123"/>
      <c r="J1275" s="1134"/>
      <c r="K1275" s="1134"/>
      <c r="L1275" s="1134"/>
      <c r="M1275" s="1149">
        <f t="shared" si="1118"/>
        <v>565.17082610142097</v>
      </c>
      <c r="N1275" s="1152">
        <f t="shared" si="1119"/>
        <v>575.77058993786557</v>
      </c>
      <c r="O1275" s="1152">
        <f t="shared" si="1120"/>
        <v>586.37035377431016</v>
      </c>
      <c r="P1275" s="1152">
        <f t="shared" si="1121"/>
        <v>596.97011761075476</v>
      </c>
      <c r="Q1275" s="1149">
        <f t="shared" si="1122"/>
        <v>607.56988144719935</v>
      </c>
      <c r="R1275" s="1152">
        <f t="shared" si="1123"/>
        <v>617.84097197744961</v>
      </c>
      <c r="S1275" s="1152">
        <f t="shared" si="1124"/>
        <v>628.11206250769987</v>
      </c>
      <c r="T1275" s="1152">
        <f t="shared" si="1125"/>
        <v>638.38315303795002</v>
      </c>
      <c r="U1275" s="1150">
        <f t="shared" si="1126"/>
        <v>648.65424356820029</v>
      </c>
      <c r="V1275" s="1152">
        <f t="shared" si="1127"/>
        <v>669.94015821266976</v>
      </c>
      <c r="W1275" s="1152">
        <f t="shared" si="1128"/>
        <v>691.22607285713934</v>
      </c>
      <c r="X1275" s="1152">
        <f t="shared" si="1129"/>
        <v>712.51198750160893</v>
      </c>
      <c r="Y1275" s="1150">
        <f t="shared" si="1130"/>
        <v>733.7979021460784</v>
      </c>
      <c r="Z1275" s="1152">
        <f t="shared" si="1131"/>
        <v>737.59112276336964</v>
      </c>
      <c r="AA1275" s="1152">
        <f t="shared" si="1132"/>
        <v>741.38434338066077</v>
      </c>
      <c r="AB1275" s="1152">
        <f t="shared" si="1133"/>
        <v>745.17756399795201</v>
      </c>
      <c r="AC1275" s="1150">
        <f t="shared" si="1134"/>
        <v>748.97078461524325</v>
      </c>
      <c r="AD1275" s="2627">
        <f t="shared" si="1135"/>
        <v>766.53954886433792</v>
      </c>
      <c r="AE1275" s="2627">
        <f t="shared" si="1136"/>
        <v>784.10831311343259</v>
      </c>
      <c r="AF1275" s="2627">
        <f t="shared" si="1137"/>
        <v>801.67707736252726</v>
      </c>
      <c r="AG1275" s="1712">
        <f t="shared" si="1138"/>
        <v>819.24584161162193</v>
      </c>
      <c r="AH1275" s="2627">
        <f t="shared" si="1139"/>
        <v>835.16752738260516</v>
      </c>
      <c r="AI1275" s="2627">
        <f t="shared" si="1140"/>
        <v>851.08921315358828</v>
      </c>
      <c r="AJ1275" s="2627">
        <f t="shared" si="1141"/>
        <v>867.01089892457151</v>
      </c>
      <c r="AK1275" s="2627">
        <f t="shared" si="1142"/>
        <v>882.93258469555462</v>
      </c>
      <c r="AL1275" s="2627">
        <f t="shared" si="1143"/>
        <v>1070.8584141489064</v>
      </c>
      <c r="AM1275" s="2627">
        <f t="shared" si="1144"/>
        <v>1258.7842436022579</v>
      </c>
      <c r="AN1275" s="2627">
        <f t="shared" si="1145"/>
        <v>1446.7100730556097</v>
      </c>
      <c r="AO1275" s="1712">
        <f t="shared" si="1146"/>
        <v>1634.6359025089614</v>
      </c>
      <c r="AP1275" s="2627">
        <f t="shared" si="1147"/>
        <v>1648.3565824058367</v>
      </c>
      <c r="AQ1275" s="2627">
        <f t="shared" si="1148"/>
        <v>1662.0772623027119</v>
      </c>
      <c r="AR1275" s="2627">
        <f t="shared" si="1149"/>
        <v>1675.7979421995874</v>
      </c>
      <c r="AS1275" s="1712">
        <f t="shared" si="1150"/>
        <v>1689.5186220964627</v>
      </c>
      <c r="AT1275" s="2627">
        <f t="shared" si="1151"/>
        <v>1734.5473673685324</v>
      </c>
      <c r="AU1275" s="1152"/>
      <c r="AV1275" s="1152">
        <f t="shared" si="1152"/>
        <v>1779.5761126406019</v>
      </c>
      <c r="AW1275" s="1152">
        <f t="shared" si="1153"/>
        <v>1824.6048579126714</v>
      </c>
      <c r="AX1275" s="1150">
        <f t="shared" si="1154"/>
        <v>1869.6336031847409</v>
      </c>
      <c r="AY1275" s="1152">
        <f t="shared" si="1155"/>
        <v>1896.7284470697782</v>
      </c>
      <c r="AZ1275" s="1152">
        <f t="shared" si="1156"/>
        <v>1923.8232909548155</v>
      </c>
      <c r="BA1275" s="1152">
        <f t="shared" si="1157"/>
        <v>1950.9181348398529</v>
      </c>
      <c r="BB1275" s="1150">
        <f t="shared" si="1158"/>
        <v>1978.01297872489</v>
      </c>
      <c r="BC1275" s="1152">
        <f t="shared" si="1159"/>
        <v>2053.3388415476225</v>
      </c>
      <c r="BD1275" s="1152">
        <f t="shared" si="1160"/>
        <v>2128.6647043703551</v>
      </c>
      <c r="BE1275" s="1152">
        <f t="shared" si="1161"/>
        <v>2203.9905671930874</v>
      </c>
      <c r="BF1275" s="1150">
        <f t="shared" si="1162"/>
        <v>2279.3164300158201</v>
      </c>
      <c r="BG1275" s="1152">
        <f t="shared" si="1163"/>
        <v>2324.6861486775424</v>
      </c>
      <c r="BH1275" s="1152">
        <f t="shared" si="1164"/>
        <v>2370.0558673392652</v>
      </c>
      <c r="BI1275" s="1152">
        <f t="shared" si="1165"/>
        <v>2415.4255860009876</v>
      </c>
      <c r="BJ1275" s="1150">
        <f t="shared" si="1166"/>
        <v>2460.7953046627099</v>
      </c>
      <c r="BK1275" s="1152">
        <f t="shared" si="1167"/>
        <v>2484.7621670522285</v>
      </c>
      <c r="BL1275" s="1152">
        <f t="shared" si="1168"/>
        <v>2508.7290294417471</v>
      </c>
      <c r="BM1275" s="1152">
        <f t="shared" si="1169"/>
        <v>2532.6958918312657</v>
      </c>
      <c r="BN1275" s="1150">
        <f t="shared" si="1170"/>
        <v>2556.6627542207843</v>
      </c>
      <c r="BO1275" s="1152">
        <f t="shared" si="1171"/>
        <v>3168.7208231841046</v>
      </c>
      <c r="BP1275" s="1152">
        <f t="shared" si="1172"/>
        <v>3780.7788921474248</v>
      </c>
      <c r="BQ1275" s="1152">
        <f t="shared" si="1173"/>
        <v>4392.8369611107446</v>
      </c>
      <c r="BR1275" s="1150">
        <f t="shared" si="1174"/>
        <v>5004.8950300740653</v>
      </c>
      <c r="BS1275" s="1152">
        <f t="shared" si="1175"/>
        <v>4460.1993888612969</v>
      </c>
      <c r="BT1275" s="1152">
        <f t="shared" si="1176"/>
        <v>3915.5037476485277</v>
      </c>
      <c r="BU1275" s="1152">
        <f t="shared" si="1177"/>
        <v>3370.8081064357593</v>
      </c>
      <c r="BV1275" s="1150">
        <f t="shared" si="1178"/>
        <v>2826.1124652229905</v>
      </c>
      <c r="BW1275" s="1152">
        <f t="shared" si="1179"/>
        <v>2886.2961775099602</v>
      </c>
      <c r="BX1275" s="1152">
        <f t="shared" si="1180"/>
        <v>2946.4798897969295</v>
      </c>
      <c r="BY1275" s="1152">
        <f t="shared" si="1181"/>
        <v>3006.6636020838991</v>
      </c>
      <c r="BZ1275" s="1150">
        <f t="shared" si="1182"/>
        <v>3066.8473143708688</v>
      </c>
      <c r="CA1275" s="1152">
        <f t="shared" si="1183"/>
        <v>3081.2681283480838</v>
      </c>
      <c r="CB1275" s="1152">
        <f t="shared" si="1184"/>
        <v>3095.6889423252987</v>
      </c>
      <c r="CC1275" s="1152">
        <f t="shared" si="1185"/>
        <v>3110.1097563025137</v>
      </c>
      <c r="CD1275" s="1150">
        <f t="shared" si="1186"/>
        <v>3124.5305702797286</v>
      </c>
      <c r="CE1275" s="1152">
        <f t="shared" si="1187"/>
        <v>3166.4869861370216</v>
      </c>
      <c r="CF1275" s="1152">
        <f t="shared" si="1188"/>
        <v>3208.4434019943142</v>
      </c>
      <c r="CG1275" s="1152">
        <f t="shared" si="1189"/>
        <v>3250.3998178516072</v>
      </c>
      <c r="CH1275" s="1150">
        <f t="shared" si="1190"/>
        <v>3292.3562337088997</v>
      </c>
      <c r="CI1275" s="1152">
        <f t="shared" si="1191"/>
        <v>3364.76985955491</v>
      </c>
      <c r="CJ1275" s="1152">
        <f t="shared" si="1192"/>
        <v>3437.1834854009194</v>
      </c>
      <c r="CK1275" s="1152">
        <f t="shared" si="1193"/>
        <v>3509.5971112469297</v>
      </c>
      <c r="CL1275" s="1150">
        <f t="shared" si="1194"/>
        <v>3582.0107370929395</v>
      </c>
      <c r="CM1275" s="1152">
        <f t="shared" si="1195"/>
        <v>3655.9072086783121</v>
      </c>
      <c r="CN1275" s="1152">
        <f t="shared" si="1196"/>
        <v>3729.8036802636848</v>
      </c>
      <c r="CO1275" s="1152">
        <f t="shared" si="1197"/>
        <v>3803.7001518490574</v>
      </c>
      <c r="CP1275" s="1150">
        <f t="shared" si="1198"/>
        <v>3877.5966234344301</v>
      </c>
      <c r="CQ1275" s="1152">
        <f>+$CP1275*0.75+$CT1275*0.25</f>
        <v>3652.7016649150419</v>
      </c>
      <c r="CR1275" s="1152">
        <f t="shared" si="1200"/>
        <v>3427.8067063956537</v>
      </c>
      <c r="CS1275" s="1152">
        <f t="shared" si="1201"/>
        <v>3202.9117478762655</v>
      </c>
      <c r="CT1275" s="1150">
        <f t="shared" si="1202"/>
        <v>2978.0167893568773</v>
      </c>
      <c r="CU1275" s="1152">
        <f t="shared" si="1203"/>
        <v>3652.7016649150419</v>
      </c>
      <c r="CV1275" s="1152">
        <f t="shared" si="1204"/>
        <v>3427.8067063956537</v>
      </c>
      <c r="CW1275" s="1152">
        <f t="shared" si="1205"/>
        <v>3202.9117478762655</v>
      </c>
      <c r="CX1275" s="1150">
        <f t="shared" si="1206"/>
        <v>4235.4434786186812</v>
      </c>
      <c r="CY1275" s="1152">
        <f t="shared" si="1207"/>
        <v>3652.7016649150419</v>
      </c>
      <c r="CZ1275" s="1152">
        <f t="shared" si="1208"/>
        <v>3427.8067063956537</v>
      </c>
      <c r="DA1275" s="1152">
        <f t="shared" si="1209"/>
        <v>3202.9117478762655</v>
      </c>
      <c r="DB1275" s="1150">
        <f t="shared" si="1210"/>
        <v>5260.6909928612486</v>
      </c>
      <c r="DC1275" s="1152">
        <f t="shared" si="1211"/>
        <v>3652.7016649150419</v>
      </c>
      <c r="DD1275" s="1152">
        <f t="shared" si="1212"/>
        <v>3427.8067063956537</v>
      </c>
      <c r="DE1275" s="1152">
        <f t="shared" si="1213"/>
        <v>3202.9117478762655</v>
      </c>
      <c r="DF1275" s="1150">
        <f t="shared" si="1214"/>
        <v>7119.6721743224261</v>
      </c>
    </row>
    <row r="1276" spans="4:110">
      <c r="D1276" s="1122" t="str">
        <f>+D1248</f>
        <v>Gross National Disposable Income, after taxes, RWF bln in constant 2017 prices</v>
      </c>
      <c r="E1276" s="3113"/>
      <c r="F1276" s="1123"/>
      <c r="G1276" s="1123"/>
      <c r="H1276" s="1123"/>
      <c r="I1276" s="1123"/>
      <c r="J1276" s="1134"/>
      <c r="K1276" s="1134"/>
      <c r="L1276" s="1134"/>
      <c r="M1276" s="1149">
        <f t="shared" si="1118"/>
        <v>565.17082610142097</v>
      </c>
      <c r="N1276" s="1152">
        <f t="shared" si="1119"/>
        <v>575.77058993786557</v>
      </c>
      <c r="O1276" s="1152">
        <f t="shared" si="1120"/>
        <v>586.37035377431016</v>
      </c>
      <c r="P1276" s="1152">
        <f t="shared" si="1121"/>
        <v>596.97011761075476</v>
      </c>
      <c r="Q1276" s="1149">
        <f t="shared" si="1122"/>
        <v>607.56988144719935</v>
      </c>
      <c r="R1276" s="1152">
        <f t="shared" si="1123"/>
        <v>617.84097197744961</v>
      </c>
      <c r="S1276" s="1152">
        <f t="shared" si="1124"/>
        <v>628.11206250769987</v>
      </c>
      <c r="T1276" s="1152">
        <f t="shared" si="1125"/>
        <v>638.38315303795002</v>
      </c>
      <c r="U1276" s="1150">
        <f t="shared" si="1126"/>
        <v>648.65424356820029</v>
      </c>
      <c r="V1276" s="1152">
        <f t="shared" si="1127"/>
        <v>669.94015821266976</v>
      </c>
      <c r="W1276" s="1152">
        <f t="shared" si="1128"/>
        <v>691.22607285713934</v>
      </c>
      <c r="X1276" s="1152">
        <f t="shared" si="1129"/>
        <v>712.51198750160893</v>
      </c>
      <c r="Y1276" s="1150">
        <f t="shared" si="1130"/>
        <v>733.7979021460784</v>
      </c>
      <c r="Z1276" s="1152">
        <f t="shared" si="1131"/>
        <v>737.59112276336964</v>
      </c>
      <c r="AA1276" s="1152">
        <f t="shared" si="1132"/>
        <v>741.38434338066077</v>
      </c>
      <c r="AB1276" s="1152">
        <f t="shared" si="1133"/>
        <v>745.17756399795201</v>
      </c>
      <c r="AC1276" s="1150">
        <f t="shared" si="1134"/>
        <v>748.97078461524325</v>
      </c>
      <c r="AD1276" s="2627">
        <f t="shared" si="1135"/>
        <v>766.53954886433792</v>
      </c>
      <c r="AE1276" s="2627">
        <f t="shared" si="1136"/>
        <v>784.10831311343259</v>
      </c>
      <c r="AF1276" s="2627">
        <f t="shared" si="1137"/>
        <v>801.67707736252726</v>
      </c>
      <c r="AG1276" s="1712">
        <f t="shared" si="1138"/>
        <v>819.24584161162193</v>
      </c>
      <c r="AH1276" s="2627">
        <f t="shared" si="1139"/>
        <v>835.16752738260516</v>
      </c>
      <c r="AI1276" s="2627">
        <f t="shared" si="1140"/>
        <v>851.08921315358828</v>
      </c>
      <c r="AJ1276" s="2627">
        <f t="shared" si="1141"/>
        <v>867.01089892457151</v>
      </c>
      <c r="AK1276" s="2627">
        <f t="shared" si="1142"/>
        <v>882.93258469555462</v>
      </c>
      <c r="AL1276" s="2627">
        <f t="shared" si="1143"/>
        <v>1070.8584141489064</v>
      </c>
      <c r="AM1276" s="2627">
        <f t="shared" si="1144"/>
        <v>1258.7842436022579</v>
      </c>
      <c r="AN1276" s="2627">
        <f t="shared" si="1145"/>
        <v>1446.7100730556097</v>
      </c>
      <c r="AO1276" s="1712">
        <f t="shared" si="1146"/>
        <v>1634.6359025089614</v>
      </c>
      <c r="AP1276" s="2627">
        <f t="shared" si="1147"/>
        <v>1648.3565824058367</v>
      </c>
      <c r="AQ1276" s="2627">
        <f t="shared" si="1148"/>
        <v>1662.0772623027119</v>
      </c>
      <c r="AR1276" s="2627">
        <f t="shared" si="1149"/>
        <v>1675.7979421995874</v>
      </c>
      <c r="AS1276" s="1712">
        <f t="shared" si="1150"/>
        <v>1689.5186220964627</v>
      </c>
      <c r="AT1276" s="2627">
        <f t="shared" si="1151"/>
        <v>1734.5473673685324</v>
      </c>
      <c r="AU1276" s="1152"/>
      <c r="AV1276" s="1152">
        <f t="shared" si="1152"/>
        <v>1779.5761126406019</v>
      </c>
      <c r="AW1276" s="1152">
        <f t="shared" si="1153"/>
        <v>1824.6048579126714</v>
      </c>
      <c r="AX1276" s="1150">
        <f t="shared" si="1154"/>
        <v>1869.6336031847409</v>
      </c>
      <c r="AY1276" s="1152">
        <f t="shared" si="1155"/>
        <v>1896.7284470697782</v>
      </c>
      <c r="AZ1276" s="1152">
        <f t="shared" si="1156"/>
        <v>1923.8232909548155</v>
      </c>
      <c r="BA1276" s="1152">
        <f t="shared" si="1157"/>
        <v>1950.9181348398529</v>
      </c>
      <c r="BB1276" s="1150">
        <f t="shared" si="1158"/>
        <v>1978.01297872489</v>
      </c>
      <c r="BC1276" s="1152">
        <f t="shared" si="1159"/>
        <v>2039.0261474609038</v>
      </c>
      <c r="BD1276" s="1152">
        <f t="shared" si="1160"/>
        <v>2100.0393161969173</v>
      </c>
      <c r="BE1276" s="1152">
        <f t="shared" si="1161"/>
        <v>2161.0524849329313</v>
      </c>
      <c r="BF1276" s="1150">
        <f t="shared" si="1162"/>
        <v>2222.0656536689448</v>
      </c>
      <c r="BG1276" s="1152">
        <f t="shared" si="1163"/>
        <v>2251.0124359450979</v>
      </c>
      <c r="BH1276" s="1152">
        <f t="shared" si="1164"/>
        <v>2279.9592182212509</v>
      </c>
      <c r="BI1276" s="1152">
        <f t="shared" si="1165"/>
        <v>2308.9060004974035</v>
      </c>
      <c r="BJ1276" s="1150">
        <f t="shared" si="1166"/>
        <v>2337.8527827735566</v>
      </c>
      <c r="BK1276" s="1152">
        <f t="shared" si="1167"/>
        <v>2352.7990916934446</v>
      </c>
      <c r="BL1276" s="1152">
        <f t="shared" si="1168"/>
        <v>2367.7454006133321</v>
      </c>
      <c r="BM1276" s="1152">
        <f t="shared" si="1169"/>
        <v>2382.6917095332196</v>
      </c>
      <c r="BN1276" s="1150">
        <f t="shared" si="1170"/>
        <v>2397.6380184531076</v>
      </c>
      <c r="BO1276" s="1152">
        <f t="shared" si="1171"/>
        <v>2973.6510530577516</v>
      </c>
      <c r="BP1276" s="1152">
        <f t="shared" si="1172"/>
        <v>3549.6640876623951</v>
      </c>
      <c r="BQ1276" s="1152">
        <f t="shared" si="1173"/>
        <v>4125.6771222670395</v>
      </c>
      <c r="BR1276" s="1150">
        <f t="shared" si="1174"/>
        <v>4701.690156871683</v>
      </c>
      <c r="BS1276" s="1152">
        <f t="shared" si="1175"/>
        <v>4123.7272102946936</v>
      </c>
      <c r="BT1276" s="1152">
        <f t="shared" si="1176"/>
        <v>3545.7642637177028</v>
      </c>
      <c r="BU1276" s="1152">
        <f t="shared" si="1177"/>
        <v>2967.8013171407129</v>
      </c>
      <c r="BV1276" s="1150">
        <f t="shared" si="1178"/>
        <v>2389.8383705637225</v>
      </c>
      <c r="BW1276" s="1152">
        <f t="shared" si="1179"/>
        <v>2432.8846302810662</v>
      </c>
      <c r="BX1276" s="1152">
        <f t="shared" si="1180"/>
        <v>2475.9308899984098</v>
      </c>
      <c r="BY1276" s="1152">
        <f t="shared" si="1181"/>
        <v>2518.9771497157535</v>
      </c>
      <c r="BZ1276" s="1150">
        <f t="shared" si="1182"/>
        <v>2562.0234094330972</v>
      </c>
      <c r="CA1276" s="1152">
        <f t="shared" si="1183"/>
        <v>2568.6451356746334</v>
      </c>
      <c r="CB1276" s="1152">
        <f t="shared" si="1184"/>
        <v>2575.2668619161695</v>
      </c>
      <c r="CC1276" s="1152">
        <f t="shared" si="1185"/>
        <v>2581.8885881577057</v>
      </c>
      <c r="CD1276" s="1150">
        <f t="shared" si="1186"/>
        <v>2588.5103143992419</v>
      </c>
      <c r="CE1276" s="1152">
        <f t="shared" si="1187"/>
        <v>2626.7560954654523</v>
      </c>
      <c r="CF1276" s="1152">
        <f t="shared" si="1188"/>
        <v>2665.0018765316627</v>
      </c>
      <c r="CG1276" s="1152">
        <f t="shared" si="1189"/>
        <v>2703.2476575978735</v>
      </c>
      <c r="CH1276" s="1150">
        <f t="shared" si="1190"/>
        <v>2741.4934386640839</v>
      </c>
      <c r="CI1276" s="1152">
        <f t="shared" si="1191"/>
        <v>2794.4622302756047</v>
      </c>
      <c r="CJ1276" s="1152">
        <f t="shared" si="1192"/>
        <v>2847.4310218871256</v>
      </c>
      <c r="CK1276" s="1152">
        <f t="shared" si="1193"/>
        <v>2900.3998134986464</v>
      </c>
      <c r="CL1276" s="1150">
        <f t="shared" si="1194"/>
        <v>2953.3686051101672</v>
      </c>
      <c r="CM1276" s="1152">
        <f t="shared" si="1195"/>
        <v>3016.6614955847044</v>
      </c>
      <c r="CN1276" s="1152">
        <f t="shared" si="1196"/>
        <v>3079.9543860592412</v>
      </c>
      <c r="CO1276" s="1152">
        <f t="shared" si="1197"/>
        <v>3143.2472765337775</v>
      </c>
      <c r="CP1276" s="1150">
        <f t="shared" si="1198"/>
        <v>3206.5401670083147</v>
      </c>
      <c r="CQ1276" s="1152">
        <f>+$CP1276*0.75+$CT1276*0.25</f>
        <v>2977.925923840583</v>
      </c>
      <c r="CR1276" s="1152">
        <f t="shared" si="1200"/>
        <v>2749.3116806728513</v>
      </c>
      <c r="CS1276" s="1152">
        <f t="shared" si="1201"/>
        <v>2520.6974375051195</v>
      </c>
      <c r="CT1276" s="1150">
        <f t="shared" si="1202"/>
        <v>2292.0831943373878</v>
      </c>
      <c r="CU1276" s="1152">
        <f t="shared" si="1203"/>
        <v>2977.925923840583</v>
      </c>
      <c r="CV1276" s="1152">
        <f t="shared" si="1204"/>
        <v>2749.3116806728513</v>
      </c>
      <c r="CW1276" s="1152">
        <f t="shared" si="1205"/>
        <v>2520.6974375051195</v>
      </c>
      <c r="CX1276" s="1150">
        <f t="shared" si="1206"/>
        <v>3486.2998291087461</v>
      </c>
      <c r="CY1276" s="1152">
        <f t="shared" si="1207"/>
        <v>2977.925923840583</v>
      </c>
      <c r="CZ1276" s="1152">
        <f t="shared" si="1208"/>
        <v>2749.3116806728513</v>
      </c>
      <c r="DA1276" s="1152">
        <f t="shared" si="1209"/>
        <v>2520.6974375051195</v>
      </c>
      <c r="DB1276" s="1150">
        <f t="shared" si="1210"/>
        <v>4387.7570948168259</v>
      </c>
      <c r="DC1276" s="1152">
        <f t="shared" si="1211"/>
        <v>2977.925923840583</v>
      </c>
      <c r="DD1276" s="1152">
        <f t="shared" si="1212"/>
        <v>2749.3116806728513</v>
      </c>
      <c r="DE1276" s="1152">
        <f t="shared" si="1213"/>
        <v>2520.6974375051195</v>
      </c>
      <c r="DF1276" s="1150">
        <f t="shared" si="1214"/>
        <v>5858.5470685074788</v>
      </c>
    </row>
    <row r="1277" spans="4:110">
      <c r="D1277" s="295" t="s">
        <v>882</v>
      </c>
      <c r="F1277" s="295"/>
      <c r="G1277" s="295"/>
      <c r="H1277" s="295"/>
      <c r="I1277" s="295"/>
      <c r="J1277" s="295"/>
      <c r="K1277" s="295"/>
      <c r="L1277" s="295"/>
      <c r="M1277" s="295"/>
      <c r="N1277" s="295"/>
      <c r="O1277" s="295"/>
      <c r="P1277" s="295"/>
      <c r="Q1277" s="295"/>
      <c r="R1277" s="295"/>
      <c r="S1277" s="295"/>
      <c r="T1277" s="295"/>
      <c r="U1277" s="295"/>
      <c r="V1277" s="295"/>
      <c r="W1277" s="295"/>
      <c r="X1277" s="295"/>
      <c r="Y1277" s="295"/>
      <c r="Z1277" s="295"/>
      <c r="AA1277" s="295"/>
      <c r="AB1277" s="295"/>
      <c r="AC1277" s="295"/>
      <c r="AD1277" s="820"/>
    </row>
    <row r="1279" spans="4:110">
      <c r="D1279" s="295" t="s">
        <v>891</v>
      </c>
    </row>
    <row r="1280" spans="4:110">
      <c r="D1280" s="1170" t="s">
        <v>884</v>
      </c>
      <c r="E1280" s="3054">
        <f ca="1">NOW()</f>
        <v>46074.610906250004</v>
      </c>
      <c r="F1280" s="1171"/>
      <c r="G1280" s="1171"/>
      <c r="H1280" s="1171"/>
      <c r="I1280" s="1171"/>
      <c r="J1280" s="1173">
        <f t="shared" ref="J1280:V1280" si="1215">+J1252</f>
        <v>1999</v>
      </c>
      <c r="K1280" s="1174" t="str">
        <f t="shared" si="1215"/>
        <v>II</v>
      </c>
      <c r="L1280" s="1174" t="str">
        <f t="shared" si="1215"/>
        <v>III</v>
      </c>
      <c r="M1280" s="1174" t="str">
        <f t="shared" si="1215"/>
        <v>IV</v>
      </c>
      <c r="N1280" s="1173">
        <f t="shared" si="1215"/>
        <v>2000</v>
      </c>
      <c r="O1280" s="1174" t="str">
        <f t="shared" si="1215"/>
        <v>II</v>
      </c>
      <c r="P1280" s="1174" t="str">
        <f t="shared" si="1215"/>
        <v>III</v>
      </c>
      <c r="Q1280" s="1174" t="str">
        <f t="shared" si="1215"/>
        <v>IV</v>
      </c>
      <c r="R1280" s="1173">
        <f t="shared" si="1215"/>
        <v>2001</v>
      </c>
      <c r="S1280" s="1174" t="str">
        <f t="shared" si="1215"/>
        <v>II</v>
      </c>
      <c r="T1280" s="1174" t="str">
        <f t="shared" si="1215"/>
        <v>III</v>
      </c>
      <c r="U1280" s="1174" t="str">
        <f t="shared" si="1215"/>
        <v>IV</v>
      </c>
      <c r="V1280" s="1173">
        <f t="shared" si="1215"/>
        <v>2002</v>
      </c>
      <c r="W1280" s="1174" t="str">
        <f t="shared" ref="W1280:CJ1280" si="1216">+W1252</f>
        <v>II</v>
      </c>
      <c r="X1280" s="1174" t="str">
        <f t="shared" si="1216"/>
        <v>III</v>
      </c>
      <c r="Y1280" s="1174" t="str">
        <f t="shared" si="1216"/>
        <v>IV</v>
      </c>
      <c r="Z1280" s="1173">
        <f>+Z1252</f>
        <v>2003</v>
      </c>
      <c r="AA1280" s="1174" t="str">
        <f t="shared" si="1216"/>
        <v>II</v>
      </c>
      <c r="AB1280" s="1174" t="str">
        <f t="shared" si="1216"/>
        <v>III</v>
      </c>
      <c r="AC1280" s="1174" t="str">
        <f t="shared" si="1216"/>
        <v>IV</v>
      </c>
      <c r="AD1280" s="1174">
        <f>+AD1252</f>
        <v>2004</v>
      </c>
      <c r="AE1280" s="1174" t="str">
        <f t="shared" si="1216"/>
        <v>II</v>
      </c>
      <c r="AF1280" s="1174" t="str">
        <f t="shared" si="1216"/>
        <v>III</v>
      </c>
      <c r="AG1280" s="1174" t="str">
        <f t="shared" si="1216"/>
        <v>IV</v>
      </c>
      <c r="AH1280" s="1174">
        <f>+AH1252</f>
        <v>2005</v>
      </c>
      <c r="AI1280" s="1174" t="str">
        <f t="shared" si="1216"/>
        <v>II</v>
      </c>
      <c r="AJ1280" s="1174" t="str">
        <f t="shared" si="1216"/>
        <v>III</v>
      </c>
      <c r="AK1280" s="1174" t="str">
        <f t="shared" si="1216"/>
        <v>IV</v>
      </c>
      <c r="AL1280" s="1174">
        <f t="shared" ref="AL1280:AT1280" si="1217">+AL1252</f>
        <v>2006</v>
      </c>
      <c r="AM1280" s="1174" t="str">
        <f t="shared" si="1217"/>
        <v>II</v>
      </c>
      <c r="AN1280" s="1174" t="str">
        <f t="shared" si="1217"/>
        <v>III</v>
      </c>
      <c r="AO1280" s="1174" t="str">
        <f t="shared" si="1217"/>
        <v>IV</v>
      </c>
      <c r="AP1280" s="1174">
        <f t="shared" si="1217"/>
        <v>2007</v>
      </c>
      <c r="AQ1280" s="1174" t="str">
        <f t="shared" si="1217"/>
        <v>II</v>
      </c>
      <c r="AR1280" s="1174" t="str">
        <f t="shared" si="1217"/>
        <v>III</v>
      </c>
      <c r="AS1280" s="1174" t="str">
        <f t="shared" si="1217"/>
        <v>IV</v>
      </c>
      <c r="AT1280" s="1174">
        <f t="shared" si="1217"/>
        <v>2008</v>
      </c>
      <c r="AU1280" s="1173"/>
      <c r="AV1280" s="1174" t="str">
        <f t="shared" si="1216"/>
        <v>II</v>
      </c>
      <c r="AW1280" s="1174" t="str">
        <f t="shared" si="1216"/>
        <v>III</v>
      </c>
      <c r="AX1280" s="1174" t="str">
        <f t="shared" si="1216"/>
        <v>IV</v>
      </c>
      <c r="AY1280" s="1173">
        <f>+AY1252</f>
        <v>2009</v>
      </c>
      <c r="AZ1280" s="1174" t="str">
        <f t="shared" si="1216"/>
        <v>II</v>
      </c>
      <c r="BA1280" s="1174" t="str">
        <f t="shared" si="1216"/>
        <v>III</v>
      </c>
      <c r="BB1280" s="1174" t="str">
        <f t="shared" si="1216"/>
        <v>IV</v>
      </c>
      <c r="BC1280" s="1173">
        <f>+BC1252</f>
        <v>2010</v>
      </c>
      <c r="BD1280" s="1174" t="str">
        <f t="shared" si="1216"/>
        <v>II</v>
      </c>
      <c r="BE1280" s="1174" t="str">
        <f t="shared" si="1216"/>
        <v>III</v>
      </c>
      <c r="BF1280" s="1174" t="str">
        <f t="shared" si="1216"/>
        <v>IV</v>
      </c>
      <c r="BG1280" s="1173">
        <f>+BG1252</f>
        <v>2011</v>
      </c>
      <c r="BH1280" s="1174" t="str">
        <f t="shared" si="1216"/>
        <v>II</v>
      </c>
      <c r="BI1280" s="1174" t="str">
        <f t="shared" si="1216"/>
        <v>III</v>
      </c>
      <c r="BJ1280" s="1174" t="str">
        <f t="shared" si="1216"/>
        <v>IV</v>
      </c>
      <c r="BK1280" s="1173">
        <f>+BK1252</f>
        <v>2012</v>
      </c>
      <c r="BL1280" s="1174" t="str">
        <f t="shared" si="1216"/>
        <v>II</v>
      </c>
      <c r="BM1280" s="1174" t="str">
        <f t="shared" si="1216"/>
        <v>III</v>
      </c>
      <c r="BN1280" s="1174" t="str">
        <f t="shared" si="1216"/>
        <v>IV</v>
      </c>
      <c r="BO1280" s="1173">
        <f>+BO1252</f>
        <v>2013</v>
      </c>
      <c r="BP1280" s="1174" t="str">
        <f t="shared" si="1216"/>
        <v>II</v>
      </c>
      <c r="BQ1280" s="1174" t="str">
        <f t="shared" si="1216"/>
        <v>III</v>
      </c>
      <c r="BR1280" s="1174" t="str">
        <f t="shared" si="1216"/>
        <v>IV</v>
      </c>
      <c r="BS1280" s="1173">
        <f>+BS1252</f>
        <v>2014</v>
      </c>
      <c r="BT1280" s="1174" t="str">
        <f t="shared" si="1216"/>
        <v>II</v>
      </c>
      <c r="BU1280" s="1174" t="str">
        <f t="shared" si="1216"/>
        <v>III</v>
      </c>
      <c r="BV1280" s="1174" t="str">
        <f t="shared" si="1216"/>
        <v>IV</v>
      </c>
      <c r="BW1280" s="1173">
        <f>+BW1252</f>
        <v>2015</v>
      </c>
      <c r="BX1280" s="1174" t="str">
        <f t="shared" si="1216"/>
        <v>II</v>
      </c>
      <c r="BY1280" s="1174" t="str">
        <f t="shared" si="1216"/>
        <v>III</v>
      </c>
      <c r="BZ1280" s="1174" t="str">
        <f t="shared" si="1216"/>
        <v>IV</v>
      </c>
      <c r="CA1280" s="1173">
        <f>+CA1252</f>
        <v>2016</v>
      </c>
      <c r="CB1280" s="1174" t="str">
        <f t="shared" si="1216"/>
        <v>II</v>
      </c>
      <c r="CC1280" s="1174" t="str">
        <f t="shared" si="1216"/>
        <v>III</v>
      </c>
      <c r="CD1280" s="1174" t="str">
        <f t="shared" si="1216"/>
        <v>IV</v>
      </c>
      <c r="CE1280" s="1173">
        <f>+CE1252</f>
        <v>2017</v>
      </c>
      <c r="CF1280" s="1174" t="str">
        <f t="shared" si="1216"/>
        <v>II</v>
      </c>
      <c r="CG1280" s="1174" t="str">
        <f t="shared" si="1216"/>
        <v>III</v>
      </c>
      <c r="CH1280" s="1174" t="str">
        <f t="shared" si="1216"/>
        <v>IV</v>
      </c>
      <c r="CI1280" s="1173">
        <f>+CI1252</f>
        <v>2018</v>
      </c>
      <c r="CJ1280" s="1174" t="str">
        <f t="shared" si="1216"/>
        <v>II</v>
      </c>
      <c r="CK1280" s="1174" t="str">
        <f t="shared" ref="CK1280:CP1280" si="1218">+CK1252</f>
        <v>III</v>
      </c>
      <c r="CL1280" s="1174" t="str">
        <f t="shared" si="1218"/>
        <v>IV</v>
      </c>
      <c r="CM1280" s="1173">
        <f>+CM1252</f>
        <v>2019</v>
      </c>
      <c r="CN1280" s="1174" t="str">
        <f t="shared" si="1218"/>
        <v>II</v>
      </c>
      <c r="CO1280" s="1174" t="str">
        <f t="shared" si="1218"/>
        <v>III</v>
      </c>
      <c r="CP1280" s="1174" t="str">
        <f t="shared" si="1218"/>
        <v>IV</v>
      </c>
      <c r="CQ1280" s="1173">
        <f>+CQ1252</f>
        <v>2020</v>
      </c>
      <c r="CR1280" s="1174" t="str">
        <f t="shared" ref="CR1280:CX1280" si="1219">+CR1252</f>
        <v>II</v>
      </c>
      <c r="CS1280" s="1174" t="str">
        <f t="shared" si="1219"/>
        <v>III</v>
      </c>
      <c r="CT1280" s="1174" t="str">
        <f t="shared" si="1219"/>
        <v>IV</v>
      </c>
      <c r="CU1280" s="1173">
        <f>+CU1252</f>
        <v>2021</v>
      </c>
      <c r="CV1280" s="1174" t="str">
        <f t="shared" si="1219"/>
        <v>II</v>
      </c>
      <c r="CW1280" s="1174" t="str">
        <f t="shared" si="1219"/>
        <v>III</v>
      </c>
      <c r="CX1280" s="1174" t="str">
        <f t="shared" si="1219"/>
        <v>IV</v>
      </c>
    </row>
    <row r="1281" spans="4:98">
      <c r="D1281" s="1168" t="s">
        <v>885</v>
      </c>
      <c r="E1281" s="3124"/>
      <c r="F1281" s="1171"/>
      <c r="G1281" s="1171"/>
      <c r="H1281" s="1171"/>
      <c r="I1281" s="1171"/>
      <c r="J1281" s="1171"/>
      <c r="K1281" s="1171"/>
      <c r="L1281" s="1171"/>
      <c r="M1281" s="1171"/>
      <c r="N1281" s="1171"/>
      <c r="O1281" s="1171"/>
      <c r="P1281" s="1171"/>
      <c r="Q1281" s="1171"/>
      <c r="R1281" s="1171"/>
      <c r="S1281" s="1171"/>
      <c r="T1281" s="1171"/>
      <c r="U1281" s="1172"/>
      <c r="V1281" s="1171"/>
      <c r="W1281" s="1175"/>
      <c r="X1281" s="1176"/>
      <c r="Y1281" s="1175"/>
      <c r="Z1281" s="1176"/>
      <c r="AA1281" s="1175"/>
      <c r="AB1281" s="1175"/>
      <c r="AC1281" s="1172"/>
      <c r="AD1281" s="1175"/>
      <c r="AE1281" s="1175"/>
      <c r="AF1281" s="1175"/>
      <c r="AG1281" s="1175"/>
      <c r="AH1281" s="1175"/>
      <c r="AI1281" s="1175"/>
      <c r="AJ1281" s="1175"/>
      <c r="AK1281" s="1175"/>
      <c r="AL1281" s="1175"/>
      <c r="AM1281" s="1175"/>
      <c r="AN1281" s="1175"/>
      <c r="AO1281" s="1175"/>
      <c r="AP1281" s="1175"/>
      <c r="AQ1281" s="1175"/>
      <c r="AR1281" s="1175"/>
      <c r="AS1281" s="1175"/>
      <c r="AT1281" s="1175"/>
      <c r="AU1281" s="1172"/>
      <c r="AV1281" s="1172"/>
      <c r="AW1281" s="1172"/>
      <c r="AX1281" s="1172"/>
      <c r="AY1281" s="1172"/>
      <c r="AZ1281" s="1172"/>
      <c r="BA1281" s="1172"/>
      <c r="BB1281" s="1172"/>
      <c r="BC1281" s="1172"/>
      <c r="BD1281" s="1172"/>
      <c r="BE1281" s="1172"/>
      <c r="BF1281" s="1172"/>
      <c r="BG1281" s="1172"/>
      <c r="BH1281" s="1172"/>
      <c r="BI1281" s="1172"/>
      <c r="BJ1281" s="1172"/>
      <c r="BK1281" s="1172"/>
      <c r="BL1281" s="1172"/>
      <c r="BM1281" s="1172"/>
      <c r="BN1281" s="1172"/>
      <c r="BO1281" s="1172"/>
      <c r="BP1281" s="1172"/>
      <c r="BQ1281" s="1172"/>
      <c r="BR1281" s="1172"/>
      <c r="BS1281" s="1172"/>
      <c r="BT1281" s="1172"/>
      <c r="BU1281" s="1172"/>
      <c r="BV1281" s="1172"/>
      <c r="BW1281" s="1172"/>
      <c r="BX1281" s="1172"/>
      <c r="BY1281" s="1172"/>
      <c r="BZ1281" s="1172"/>
      <c r="CA1281" s="1172"/>
      <c r="CB1281" s="1172"/>
      <c r="CC1281" s="1172"/>
      <c r="CD1281" s="1172"/>
      <c r="CE1281" s="1172"/>
      <c r="CF1281" s="1172"/>
      <c r="CG1281" s="1172"/>
      <c r="CH1281" s="1172"/>
      <c r="CI1281" s="1172"/>
      <c r="CJ1281" s="1172"/>
      <c r="CK1281" s="1172"/>
      <c r="CL1281" s="1172"/>
      <c r="CM1281" s="1172"/>
      <c r="CN1281" s="1172"/>
      <c r="CO1281" s="1172"/>
      <c r="CP1281" s="1172"/>
      <c r="CQ1281" s="1172"/>
      <c r="CR1281" s="1172"/>
      <c r="CS1281" s="1172"/>
      <c r="CT1281" s="1172"/>
    </row>
    <row r="1282" spans="4:98">
      <c r="D1282" s="1169" t="s">
        <v>886</v>
      </c>
      <c r="E1282" s="3124"/>
      <c r="F1282" s="1171"/>
      <c r="G1282" s="1171"/>
      <c r="H1282" s="1171"/>
      <c r="I1282" s="1171"/>
      <c r="J1282" s="1171"/>
      <c r="K1282" s="1171"/>
      <c r="L1282" s="1171"/>
      <c r="M1282" s="1171"/>
      <c r="N1282" s="1171"/>
      <c r="O1282" s="1171"/>
      <c r="P1282" s="1171"/>
      <c r="Q1282" s="1171"/>
      <c r="R1282" s="1171"/>
      <c r="S1282" s="1171"/>
      <c r="T1282" s="1171"/>
      <c r="U1282" s="1172"/>
      <c r="V1282" s="1171"/>
      <c r="W1282" s="1175"/>
      <c r="X1282" s="1176"/>
      <c r="Y1282" s="1175"/>
      <c r="Z1282" s="1176"/>
      <c r="AA1282" s="1175"/>
      <c r="AB1282" s="1175"/>
      <c r="AC1282" s="1172"/>
      <c r="AD1282" s="1175"/>
      <c r="AE1282" s="1175"/>
      <c r="AF1282" s="1175"/>
      <c r="AG1282" s="1175"/>
      <c r="AH1282" s="1175"/>
      <c r="AI1282" s="1175"/>
      <c r="AJ1282" s="1175"/>
      <c r="AK1282" s="1175"/>
      <c r="AL1282" s="1175"/>
      <c r="AM1282" s="1175"/>
      <c r="AN1282" s="1175"/>
      <c r="AO1282" s="1175"/>
      <c r="AP1282" s="1175"/>
      <c r="AQ1282" s="1175"/>
      <c r="AR1282" s="1175"/>
      <c r="AS1282" s="1175"/>
      <c r="AT1282" s="1175"/>
      <c r="AU1282" s="1172"/>
      <c r="AV1282" s="1172"/>
      <c r="AW1282" s="1172"/>
      <c r="AX1282" s="1172"/>
      <c r="AY1282" s="1172"/>
      <c r="AZ1282" s="1172"/>
      <c r="BA1282" s="1172"/>
      <c r="BB1282" s="1172"/>
      <c r="BC1282" s="1172"/>
      <c r="BD1282" s="1172"/>
      <c r="BE1282" s="1172"/>
      <c r="BF1282" s="1172"/>
      <c r="BG1282" s="1172"/>
      <c r="BH1282" s="1172"/>
      <c r="BI1282" s="1172"/>
      <c r="BJ1282" s="1172"/>
      <c r="BK1282" s="1172"/>
      <c r="BL1282" s="1172"/>
      <c r="BM1282" s="1172"/>
      <c r="BN1282" s="1172"/>
      <c r="BO1282" s="1172"/>
      <c r="BP1282" s="1172"/>
      <c r="BQ1282" s="1172"/>
      <c r="BR1282" s="1172"/>
      <c r="BS1282" s="1172"/>
      <c r="BT1282" s="1172"/>
      <c r="BU1282" s="1172"/>
      <c r="BV1282" s="1172"/>
      <c r="BW1282" s="1172"/>
      <c r="BX1282" s="1172"/>
      <c r="BY1282" s="1172"/>
      <c r="BZ1282" s="1172"/>
      <c r="CA1282" s="1172"/>
      <c r="CB1282" s="1172"/>
      <c r="CC1282" s="1172"/>
      <c r="CD1282" s="1172"/>
      <c r="CE1282" s="1172"/>
      <c r="CF1282" s="1172"/>
      <c r="CG1282" s="1172"/>
      <c r="CH1282" s="1172"/>
      <c r="CI1282" s="1172"/>
      <c r="CJ1282" s="1172"/>
      <c r="CK1282" s="1172"/>
      <c r="CL1282" s="1172"/>
      <c r="CM1282" s="1172"/>
      <c r="CN1282" s="1172"/>
      <c r="CO1282" s="1172"/>
      <c r="CP1282" s="1172"/>
      <c r="CQ1282" s="1172"/>
      <c r="CR1282" s="1172"/>
      <c r="CS1282" s="1172"/>
      <c r="CT1282" s="1172"/>
    </row>
    <row r="1283" spans="4:98">
      <c r="D1283" s="1169" t="s">
        <v>887</v>
      </c>
      <c r="E1283" s="3124"/>
      <c r="F1283" s="1171"/>
      <c r="G1283" s="1171"/>
      <c r="H1283" s="1171"/>
      <c r="I1283" s="1171"/>
      <c r="J1283" s="1171"/>
      <c r="K1283" s="1171"/>
      <c r="L1283" s="1171"/>
      <c r="M1283" s="1171"/>
      <c r="N1283" s="1171"/>
      <c r="O1283" s="1171"/>
      <c r="P1283" s="1171"/>
      <c r="Q1283" s="1171"/>
      <c r="R1283" s="1171"/>
      <c r="S1283" s="1171"/>
      <c r="T1283" s="1171"/>
      <c r="U1283" s="1172"/>
      <c r="V1283" s="1171"/>
      <c r="W1283" s="1175"/>
      <c r="X1283" s="1176"/>
      <c r="Y1283" s="1175"/>
      <c r="Z1283" s="1176"/>
      <c r="AA1283" s="1175"/>
      <c r="AB1283" s="1175"/>
      <c r="AC1283" s="1172"/>
      <c r="AD1283" s="1175"/>
      <c r="AE1283" s="1175"/>
      <c r="AF1283" s="1175"/>
      <c r="AG1283" s="1175"/>
      <c r="AH1283" s="1175"/>
      <c r="AI1283" s="1175"/>
      <c r="AJ1283" s="1175"/>
      <c r="AK1283" s="1175"/>
      <c r="AL1283" s="1175"/>
      <c r="AM1283" s="1175"/>
      <c r="AN1283" s="1175"/>
      <c r="AO1283" s="1175"/>
      <c r="AP1283" s="1175"/>
      <c r="AQ1283" s="1175"/>
      <c r="AR1283" s="1175"/>
      <c r="AS1283" s="1175"/>
      <c r="AT1283" s="1175"/>
      <c r="AU1283" s="1172"/>
      <c r="AV1283" s="1172"/>
      <c r="AW1283" s="1172"/>
      <c r="AX1283" s="1172"/>
      <c r="AY1283" s="1172"/>
      <c r="AZ1283" s="1172"/>
      <c r="BA1283" s="1172"/>
      <c r="BB1283" s="1172"/>
      <c r="BC1283" s="1172"/>
      <c r="BD1283" s="1172"/>
      <c r="BE1283" s="1172"/>
      <c r="BF1283" s="1172"/>
      <c r="BG1283" s="1172"/>
      <c r="BH1283" s="1172"/>
      <c r="BI1283" s="1172"/>
      <c r="BJ1283" s="1172"/>
      <c r="BK1283" s="1172"/>
      <c r="BL1283" s="1172"/>
      <c r="BM1283" s="1172"/>
      <c r="BN1283" s="1172"/>
      <c r="BO1283" s="1172"/>
      <c r="BP1283" s="1172"/>
      <c r="BQ1283" s="1172"/>
      <c r="BR1283" s="1172"/>
      <c r="BS1283" s="1172"/>
      <c r="BT1283" s="1172"/>
      <c r="BU1283" s="1172"/>
      <c r="BV1283" s="1172"/>
      <c r="BW1283" s="1172"/>
      <c r="BX1283" s="1172"/>
      <c r="BY1283" s="1172"/>
      <c r="BZ1283" s="1172"/>
      <c r="CA1283" s="1172"/>
      <c r="CB1283" s="1172"/>
      <c r="CC1283" s="1172"/>
      <c r="CD1283" s="1172"/>
      <c r="CE1283" s="1172"/>
      <c r="CF1283" s="1172"/>
      <c r="CG1283" s="1172"/>
      <c r="CH1283" s="1172"/>
      <c r="CI1283" s="1172"/>
      <c r="CJ1283" s="1172"/>
      <c r="CK1283" s="1172"/>
      <c r="CL1283" s="1172"/>
      <c r="CM1283" s="1172"/>
      <c r="CN1283" s="1172"/>
      <c r="CO1283" s="1172"/>
      <c r="CP1283" s="1172"/>
      <c r="CQ1283" s="1172"/>
      <c r="CR1283" s="1172"/>
      <c r="CS1283" s="1172"/>
      <c r="CT1283" s="1172"/>
    </row>
    <row r="1284" spans="4:98">
      <c r="D1284" s="1169" t="s">
        <v>888</v>
      </c>
      <c r="E1284" s="3124"/>
      <c r="F1284" s="1171"/>
      <c r="G1284" s="1171"/>
      <c r="H1284" s="1171"/>
      <c r="I1284" s="1171"/>
      <c r="J1284" s="1171"/>
      <c r="K1284" s="1171"/>
      <c r="L1284" s="1171"/>
      <c r="M1284" s="1171"/>
      <c r="N1284" s="1171"/>
      <c r="O1284" s="1171"/>
      <c r="P1284" s="1171"/>
      <c r="Q1284" s="1171"/>
      <c r="R1284" s="1171"/>
      <c r="S1284" s="1171"/>
      <c r="T1284" s="1171"/>
      <c r="U1284" s="1172"/>
      <c r="V1284" s="1171"/>
      <c r="W1284" s="1175"/>
      <c r="X1284" s="1176"/>
      <c r="Y1284" s="1175"/>
      <c r="Z1284" s="1176"/>
      <c r="AA1284" s="1175"/>
      <c r="AB1284" s="1175"/>
      <c r="AC1284" s="1172"/>
      <c r="AD1284" s="1175"/>
      <c r="AE1284" s="1175"/>
      <c r="AF1284" s="1175"/>
      <c r="AG1284" s="1175"/>
      <c r="AH1284" s="1175"/>
      <c r="AI1284" s="1175"/>
      <c r="AJ1284" s="1175"/>
      <c r="AK1284" s="1175"/>
      <c r="AL1284" s="1175"/>
      <c r="AM1284" s="1175"/>
      <c r="AN1284" s="1175"/>
      <c r="AO1284" s="1175"/>
      <c r="AP1284" s="1175"/>
      <c r="AQ1284" s="1175"/>
      <c r="AR1284" s="1175"/>
      <c r="AS1284" s="1175"/>
      <c r="AT1284" s="1175"/>
      <c r="AU1284" s="1172"/>
      <c r="AV1284" s="1172"/>
      <c r="AW1284" s="1172"/>
      <c r="AX1284" s="1172"/>
      <c r="AY1284" s="1172"/>
      <c r="AZ1284" s="1172"/>
      <c r="BA1284" s="1172"/>
      <c r="BB1284" s="1172"/>
      <c r="BC1284" s="1172"/>
      <c r="BD1284" s="1172"/>
      <c r="BE1284" s="1172"/>
      <c r="BF1284" s="1172"/>
      <c r="BG1284" s="1172"/>
      <c r="BH1284" s="1172"/>
      <c r="BI1284" s="1172"/>
      <c r="BJ1284" s="1172"/>
      <c r="BK1284" s="1172"/>
      <c r="BL1284" s="1172"/>
      <c r="BM1284" s="1172"/>
      <c r="BN1284" s="1172"/>
      <c r="BO1284" s="1172"/>
      <c r="BP1284" s="1172"/>
      <c r="BQ1284" s="1172"/>
      <c r="BR1284" s="1172"/>
      <c r="BS1284" s="1172"/>
      <c r="BT1284" s="1172"/>
      <c r="BU1284" s="1172"/>
      <c r="BV1284" s="1172"/>
      <c r="BW1284" s="1172"/>
      <c r="BX1284" s="1172"/>
      <c r="BY1284" s="1172"/>
      <c r="BZ1284" s="1172"/>
      <c r="CA1284" s="1172"/>
      <c r="CB1284" s="1172"/>
      <c r="CC1284" s="1172"/>
      <c r="CD1284" s="1172"/>
      <c r="CE1284" s="1172"/>
      <c r="CF1284" s="1172"/>
      <c r="CG1284" s="1172"/>
      <c r="CH1284" s="1172"/>
      <c r="CI1284" s="1172"/>
      <c r="CJ1284" s="1172"/>
      <c r="CK1284" s="1172"/>
      <c r="CL1284" s="1172"/>
      <c r="CM1284" s="1172"/>
      <c r="CN1284" s="1172"/>
      <c r="CO1284" s="1172"/>
      <c r="CP1284" s="1172"/>
      <c r="CQ1284" s="1172"/>
      <c r="CR1284" s="1172"/>
      <c r="CS1284" s="1172"/>
      <c r="CT1284" s="1172"/>
    </row>
    <row r="1285" spans="4:98">
      <c r="D1285" s="1169" t="s">
        <v>889</v>
      </c>
      <c r="E1285" s="3124"/>
      <c r="F1285" s="1171"/>
      <c r="G1285" s="1171"/>
      <c r="H1285" s="1171"/>
      <c r="I1285" s="1171"/>
      <c r="J1285" s="1171"/>
      <c r="K1285" s="1171"/>
      <c r="L1285" s="1171"/>
      <c r="M1285" s="1171"/>
      <c r="N1285" s="1171"/>
      <c r="O1285" s="1171"/>
      <c r="P1285" s="1171"/>
      <c r="Q1285" s="1171"/>
      <c r="R1285" s="1171"/>
      <c r="S1285" s="1171"/>
      <c r="T1285" s="1171"/>
      <c r="U1285" s="1172"/>
      <c r="V1285" s="1171"/>
      <c r="W1285" s="1175"/>
      <c r="X1285" s="1176"/>
      <c r="Y1285" s="1175"/>
      <c r="Z1285" s="1176"/>
      <c r="AA1285" s="1175"/>
      <c r="AB1285" s="1175"/>
      <c r="AC1285" s="1172"/>
      <c r="AD1285" s="1175"/>
      <c r="AE1285" s="1175"/>
      <c r="AF1285" s="1175"/>
      <c r="AG1285" s="1175"/>
      <c r="AH1285" s="1175"/>
      <c r="AI1285" s="1175"/>
      <c r="AJ1285" s="1175"/>
      <c r="AK1285" s="1175"/>
      <c r="AL1285" s="1175"/>
      <c r="AM1285" s="1175"/>
      <c r="AN1285" s="1175"/>
      <c r="AO1285" s="1175"/>
      <c r="AP1285" s="1175"/>
      <c r="AQ1285" s="1175"/>
      <c r="AR1285" s="1175"/>
      <c r="AS1285" s="1175"/>
      <c r="AT1285" s="1175"/>
      <c r="AU1285" s="1172"/>
      <c r="AV1285" s="1172"/>
      <c r="AW1285" s="1172"/>
      <c r="AX1285" s="1172"/>
      <c r="AY1285" s="1172"/>
      <c r="AZ1285" s="1172"/>
      <c r="BA1285" s="1172"/>
      <c r="BB1285" s="1172"/>
      <c r="BC1285" s="1172"/>
      <c r="BD1285" s="1172"/>
      <c r="BE1285" s="1172"/>
      <c r="BF1285" s="1172"/>
      <c r="BG1285" s="1172"/>
      <c r="BH1285" s="1172"/>
      <c r="BI1285" s="1172"/>
      <c r="BJ1285" s="1172"/>
      <c r="BK1285" s="1172"/>
      <c r="BL1285" s="1172"/>
      <c r="BM1285" s="1172"/>
      <c r="BN1285" s="1172"/>
      <c r="BO1285" s="1172"/>
      <c r="BP1285" s="1172"/>
      <c r="BQ1285" s="1172"/>
      <c r="BR1285" s="1172"/>
      <c r="BS1285" s="1172"/>
      <c r="BT1285" s="1172"/>
      <c r="BU1285" s="1172"/>
      <c r="BV1285" s="1172"/>
      <c r="BW1285" s="1172"/>
      <c r="BX1285" s="1172"/>
      <c r="BY1285" s="1172"/>
      <c r="BZ1285" s="1172"/>
      <c r="CA1285" s="1172"/>
      <c r="CB1285" s="1172"/>
      <c r="CC1285" s="1172"/>
      <c r="CD1285" s="1172"/>
      <c r="CE1285" s="1172"/>
      <c r="CF1285" s="1172"/>
      <c r="CG1285" s="1172"/>
      <c r="CH1285" s="1172"/>
      <c r="CI1285" s="1172"/>
      <c r="CJ1285" s="1172"/>
      <c r="CK1285" s="1172"/>
      <c r="CL1285" s="1172"/>
      <c r="CM1285" s="1172"/>
      <c r="CN1285" s="1172"/>
      <c r="CO1285" s="1172"/>
      <c r="CP1285" s="1172"/>
      <c r="CQ1285" s="1172"/>
      <c r="CR1285" s="1172"/>
      <c r="CS1285" s="1172"/>
      <c r="CT1285" s="1172"/>
    </row>
    <row r="1286" spans="4:98">
      <c r="D1286" s="1168" t="s">
        <v>890</v>
      </c>
      <c r="E1286" s="3124"/>
      <c r="F1286" s="1171"/>
      <c r="G1286" s="1171"/>
      <c r="H1286" s="1171"/>
      <c r="I1286" s="1171"/>
      <c r="J1286" s="1171"/>
      <c r="K1286" s="1171"/>
      <c r="L1286" s="1171"/>
      <c r="M1286" s="1171"/>
      <c r="N1286" s="1171"/>
      <c r="O1286" s="1171"/>
      <c r="P1286" s="1171"/>
      <c r="Q1286" s="1171"/>
      <c r="R1286" s="1171"/>
      <c r="S1286" s="1171"/>
      <c r="T1286" s="1171"/>
      <c r="U1286" s="1172"/>
      <c r="V1286" s="1171"/>
      <c r="W1286" s="1175"/>
      <c r="X1286" s="1176"/>
      <c r="Y1286" s="1175"/>
      <c r="Z1286" s="1176"/>
      <c r="AA1286" s="1175"/>
      <c r="AB1286" s="1175"/>
      <c r="AC1286" s="1172"/>
      <c r="AD1286" s="1175"/>
      <c r="AE1286" s="1175"/>
      <c r="AF1286" s="1175"/>
      <c r="AG1286" s="1175"/>
      <c r="AH1286" s="1175"/>
      <c r="AI1286" s="1175"/>
      <c r="AJ1286" s="1175"/>
      <c r="AK1286" s="1175"/>
      <c r="AL1286" s="1175"/>
      <c r="AM1286" s="1175"/>
      <c r="AN1286" s="1175"/>
      <c r="AO1286" s="1175"/>
      <c r="AP1286" s="1175"/>
      <c r="AQ1286" s="1175"/>
      <c r="AR1286" s="1175"/>
      <c r="AS1286" s="1175"/>
      <c r="AT1286" s="1175"/>
      <c r="AU1286" s="1172"/>
      <c r="AV1286" s="1172"/>
      <c r="AW1286" s="1172"/>
      <c r="AX1286" s="1172"/>
      <c r="AY1286" s="1172"/>
      <c r="AZ1286" s="1172"/>
      <c r="BA1286" s="1172"/>
      <c r="BB1286" s="1172"/>
      <c r="BC1286" s="1172"/>
      <c r="BD1286" s="1172"/>
      <c r="BE1286" s="1172"/>
      <c r="BF1286" s="1172"/>
      <c r="BG1286" s="1172"/>
      <c r="BH1286" s="1172"/>
      <c r="BI1286" s="1172"/>
      <c r="BJ1286" s="1172"/>
      <c r="BK1286" s="1172"/>
      <c r="BL1286" s="1172"/>
      <c r="BM1286" s="1172"/>
      <c r="BN1286" s="1172"/>
      <c r="BO1286" s="1172"/>
      <c r="BP1286" s="1172"/>
      <c r="BQ1286" s="1172"/>
      <c r="BR1286" s="1172"/>
      <c r="BS1286" s="1172"/>
      <c r="BT1286" s="1172"/>
      <c r="BU1286" s="1172"/>
      <c r="BV1286" s="1172"/>
      <c r="BW1286" s="1172"/>
      <c r="BX1286" s="1172"/>
      <c r="BY1286" s="1172"/>
      <c r="BZ1286" s="1172"/>
      <c r="CA1286" s="1172"/>
      <c r="CB1286" s="1172"/>
      <c r="CC1286" s="1172"/>
      <c r="CD1286" s="1172"/>
      <c r="CE1286" s="1172"/>
      <c r="CF1286" s="1172"/>
      <c r="CG1286" s="1172"/>
      <c r="CH1286" s="1172"/>
      <c r="CI1286" s="1172"/>
      <c r="CJ1286" s="1172"/>
      <c r="CK1286" s="1172"/>
      <c r="CL1286" s="1172"/>
      <c r="CM1286" s="1172"/>
      <c r="CN1286" s="1172"/>
      <c r="CO1286" s="1172"/>
      <c r="CP1286" s="1172"/>
      <c r="CQ1286" s="1172"/>
      <c r="CR1286" s="1172"/>
      <c r="CS1286" s="1172"/>
      <c r="CT1286" s="1172"/>
    </row>
    <row r="1287" spans="4:98">
      <c r="D1287" s="1169" t="str">
        <f>+D1282</f>
        <v>Wage bill formal sector (RSSB enrolled)</v>
      </c>
      <c r="E1287" s="3124"/>
      <c r="F1287" s="1171"/>
      <c r="G1287" s="1171"/>
      <c r="H1287" s="1171"/>
      <c r="I1287" s="1171"/>
      <c r="J1287" s="1171"/>
      <c r="K1287" s="1171"/>
      <c r="L1287" s="1171"/>
      <c r="M1287" s="1171"/>
      <c r="N1287" s="1171"/>
      <c r="O1287" s="1171"/>
      <c r="P1287" s="1171"/>
      <c r="Q1287" s="1171"/>
      <c r="R1287" s="1171"/>
      <c r="S1287" s="1171"/>
      <c r="T1287" s="1171"/>
      <c r="U1287" s="1172"/>
      <c r="V1287" s="1171"/>
      <c r="W1287" s="1175"/>
      <c r="X1287" s="1176"/>
      <c r="Y1287" s="1175"/>
      <c r="Z1287" s="1176"/>
      <c r="AA1287" s="1175"/>
      <c r="AB1287" s="1175"/>
      <c r="AC1287" s="1172"/>
      <c r="AD1287" s="1175"/>
      <c r="AE1287" s="1175"/>
      <c r="AF1287" s="1175"/>
      <c r="AG1287" s="1175"/>
      <c r="AH1287" s="1175"/>
      <c r="AI1287" s="1175"/>
      <c r="AJ1287" s="1175"/>
      <c r="AK1287" s="1175"/>
      <c r="AL1287" s="1175"/>
      <c r="AM1287" s="1175"/>
      <c r="AN1287" s="1175"/>
      <c r="AO1287" s="1175"/>
      <c r="AP1287" s="1175"/>
      <c r="AQ1287" s="1175"/>
      <c r="AR1287" s="1175"/>
      <c r="AS1287" s="1175"/>
      <c r="AT1287" s="1175"/>
      <c r="AU1287" s="1172"/>
      <c r="AV1287" s="1172"/>
      <c r="AW1287" s="1172"/>
      <c r="AX1287" s="1172"/>
      <c r="AY1287" s="1172"/>
      <c r="AZ1287" s="1172"/>
      <c r="BA1287" s="1172"/>
      <c r="BB1287" s="1172"/>
      <c r="BC1287" s="1172"/>
      <c r="BD1287" s="1172"/>
      <c r="BE1287" s="1172"/>
      <c r="BF1287" s="1172"/>
      <c r="BG1287" s="1172"/>
      <c r="BH1287" s="1172"/>
      <c r="BI1287" s="1172"/>
      <c r="BJ1287" s="1172"/>
      <c r="BK1287" s="1172"/>
      <c r="BL1287" s="1172"/>
      <c r="BM1287" s="1172"/>
      <c r="BN1287" s="1172"/>
      <c r="BO1287" s="1172"/>
      <c r="BP1287" s="1172"/>
      <c r="BQ1287" s="1172"/>
      <c r="BR1287" s="1172"/>
      <c r="BS1287" s="1172"/>
      <c r="BT1287" s="1172"/>
      <c r="BU1287" s="1172"/>
      <c r="BV1287" s="1172"/>
      <c r="BW1287" s="1172"/>
      <c r="BX1287" s="1172"/>
      <c r="BY1287" s="1172"/>
      <c r="BZ1287" s="1172"/>
      <c r="CA1287" s="1172"/>
      <c r="CB1287" s="1172"/>
      <c r="CC1287" s="1172"/>
      <c r="CD1287" s="1172"/>
      <c r="CE1287" s="1172"/>
      <c r="CF1287" s="1172"/>
      <c r="CG1287" s="1172"/>
      <c r="CH1287" s="1172"/>
      <c r="CI1287" s="1172"/>
      <c r="CJ1287" s="1172"/>
      <c r="CK1287" s="1172"/>
      <c r="CL1287" s="1172"/>
      <c r="CM1287" s="1172"/>
      <c r="CN1287" s="1172"/>
      <c r="CO1287" s="1172"/>
      <c r="CP1287" s="1172"/>
      <c r="CQ1287" s="1172"/>
      <c r="CR1287" s="1172"/>
      <c r="CS1287" s="1172"/>
      <c r="CT1287" s="1172"/>
    </row>
    <row r="1288" spans="4:98">
      <c r="D1288" s="1169" t="str">
        <f>+D1283</f>
        <v>Employment formal sector (end-year)</v>
      </c>
      <c r="E1288" s="3124"/>
      <c r="F1288" s="1171"/>
      <c r="G1288" s="1171"/>
      <c r="H1288" s="1171"/>
      <c r="I1288" s="1171"/>
      <c r="J1288" s="1171"/>
      <c r="K1288" s="1171"/>
      <c r="L1288" s="1171"/>
      <c r="M1288" s="1171"/>
      <c r="N1288" s="1171"/>
      <c r="O1288" s="1171"/>
      <c r="P1288" s="1171"/>
      <c r="Q1288" s="1171"/>
      <c r="R1288" s="1171"/>
      <c r="S1288" s="1171"/>
      <c r="T1288" s="1171"/>
      <c r="U1288" s="1172"/>
      <c r="V1288" s="1171"/>
      <c r="W1288" s="1175"/>
      <c r="X1288" s="1176"/>
      <c r="Y1288" s="1175"/>
      <c r="Z1288" s="1176"/>
      <c r="AA1288" s="1175"/>
      <c r="AB1288" s="1175"/>
      <c r="AC1288" s="1172"/>
      <c r="AD1288" s="1175"/>
      <c r="AE1288" s="1175"/>
      <c r="AF1288" s="1175"/>
      <c r="AG1288" s="1175"/>
      <c r="AH1288" s="1175"/>
      <c r="AI1288" s="1175"/>
      <c r="AJ1288" s="1175"/>
      <c r="AK1288" s="1175"/>
      <c r="AL1288" s="1175"/>
      <c r="AM1288" s="1175"/>
      <c r="AN1288" s="1175"/>
      <c r="AO1288" s="1175"/>
      <c r="AP1288" s="1175"/>
      <c r="AQ1288" s="1175"/>
      <c r="AR1288" s="1175"/>
      <c r="AS1288" s="1175"/>
      <c r="AT1288" s="1175"/>
      <c r="AU1288" s="1172"/>
      <c r="AV1288" s="1172"/>
      <c r="AW1288" s="1172"/>
      <c r="AX1288" s="1172"/>
      <c r="AY1288" s="1172"/>
      <c r="AZ1288" s="1172"/>
      <c r="BA1288" s="1172"/>
      <c r="BB1288" s="1172"/>
      <c r="BC1288" s="1172"/>
      <c r="BD1288" s="1172"/>
      <c r="BE1288" s="1172"/>
      <c r="BF1288" s="1172"/>
      <c r="BG1288" s="1172"/>
      <c r="BH1288" s="1172"/>
      <c r="BI1288" s="1172"/>
      <c r="BJ1288" s="1172"/>
      <c r="BK1288" s="1172"/>
      <c r="BL1288" s="1172"/>
      <c r="BM1288" s="1172"/>
      <c r="BN1288" s="1172"/>
      <c r="BO1288" s="1172"/>
      <c r="BP1288" s="1172"/>
      <c r="BQ1288" s="1172"/>
      <c r="BR1288" s="1172"/>
      <c r="BS1288" s="1172"/>
      <c r="BT1288" s="1172"/>
      <c r="BU1288" s="1172"/>
      <c r="BV1288" s="1172"/>
      <c r="BW1288" s="1172"/>
      <c r="BX1288" s="1172"/>
      <c r="BY1288" s="1172"/>
      <c r="BZ1288" s="1172"/>
      <c r="CA1288" s="1172"/>
      <c r="CB1288" s="1172"/>
      <c r="CC1288" s="1172"/>
      <c r="CD1288" s="1172"/>
      <c r="CE1288" s="1172"/>
      <c r="CF1288" s="1172"/>
      <c r="CG1288" s="1172"/>
      <c r="CH1288" s="1172"/>
      <c r="CI1288" s="1172"/>
      <c r="CJ1288" s="1172"/>
      <c r="CK1288" s="1172"/>
      <c r="CL1288" s="1172"/>
      <c r="CM1288" s="1172"/>
      <c r="CN1288" s="1172"/>
      <c r="CO1288" s="1172"/>
      <c r="CP1288" s="1172"/>
      <c r="CQ1288" s="1172"/>
      <c r="CR1288" s="1172"/>
      <c r="CS1288" s="1172"/>
      <c r="CT1288" s="1172"/>
    </row>
    <row r="1289" spans="4:98">
      <c r="D1289" s="1169" t="str">
        <f>+D1284</f>
        <v>Average gross wage (incl. employer/ee contributions)</v>
      </c>
      <c r="E1289" s="3124"/>
      <c r="F1289" s="1171"/>
      <c r="G1289" s="1171"/>
      <c r="H1289" s="1171"/>
      <c r="I1289" s="1171"/>
      <c r="J1289" s="1171"/>
      <c r="K1289" s="1171"/>
      <c r="L1289" s="1171"/>
      <c r="M1289" s="1171"/>
      <c r="N1289" s="1171"/>
      <c r="O1289" s="1171"/>
      <c r="P1289" s="1171"/>
      <c r="Q1289" s="1171"/>
      <c r="R1289" s="1171"/>
      <c r="S1289" s="1171"/>
      <c r="T1289" s="1171"/>
      <c r="U1289" s="1172"/>
      <c r="V1289" s="1171"/>
      <c r="W1289" s="1175"/>
      <c r="X1289" s="1176"/>
      <c r="Y1289" s="1175"/>
      <c r="Z1289" s="1176"/>
      <c r="AA1289" s="1175"/>
      <c r="AB1289" s="1175"/>
      <c r="AC1289" s="1172"/>
      <c r="AD1289" s="1175"/>
      <c r="AE1289" s="1175"/>
      <c r="AF1289" s="1175"/>
      <c r="AG1289" s="1175"/>
      <c r="AH1289" s="1175"/>
      <c r="AI1289" s="1175"/>
      <c r="AJ1289" s="1175"/>
      <c r="AK1289" s="1175"/>
      <c r="AL1289" s="1175"/>
      <c r="AM1289" s="1175"/>
      <c r="AN1289" s="1175"/>
      <c r="AO1289" s="1175"/>
      <c r="AP1289" s="1175"/>
      <c r="AQ1289" s="1175"/>
      <c r="AR1289" s="1175"/>
      <c r="AS1289" s="1175"/>
      <c r="AT1289" s="1175"/>
      <c r="AU1289" s="1172"/>
      <c r="AV1289" s="1172"/>
      <c r="AW1289" s="1172"/>
      <c r="AX1289" s="1172"/>
      <c r="AY1289" s="1172"/>
      <c r="AZ1289" s="1172"/>
      <c r="BA1289" s="1172"/>
      <c r="BB1289" s="1172"/>
      <c r="BC1289" s="1172"/>
      <c r="BD1289" s="1172"/>
      <c r="BE1289" s="1172"/>
      <c r="BF1289" s="1172"/>
      <c r="BG1289" s="1172"/>
      <c r="BH1289" s="1172"/>
      <c r="BI1289" s="1172"/>
      <c r="BJ1289" s="1172"/>
      <c r="BK1289" s="1172"/>
      <c r="BL1289" s="1172"/>
      <c r="BM1289" s="1172"/>
      <c r="BN1289" s="1172"/>
      <c r="BO1289" s="1172"/>
      <c r="BP1289" s="1172"/>
      <c r="BQ1289" s="1172"/>
      <c r="BR1289" s="1172"/>
      <c r="BS1289" s="1172"/>
      <c r="BT1289" s="1172"/>
      <c r="BU1289" s="1172"/>
      <c r="BV1289" s="1172"/>
      <c r="BW1289" s="1172"/>
      <c r="BX1289" s="1172"/>
      <c r="BY1289" s="1172"/>
      <c r="BZ1289" s="1172"/>
      <c r="CA1289" s="1172"/>
      <c r="CB1289" s="1172"/>
      <c r="CC1289" s="1172"/>
      <c r="CD1289" s="1172"/>
      <c r="CE1289" s="1172"/>
      <c r="CF1289" s="1172"/>
      <c r="CG1289" s="1172"/>
      <c r="CH1289" s="1172"/>
      <c r="CI1289" s="1172"/>
      <c r="CJ1289" s="1172"/>
      <c r="CK1289" s="1172"/>
      <c r="CL1289" s="1172"/>
      <c r="CM1289" s="1172"/>
      <c r="CN1289" s="1172"/>
      <c r="CO1289" s="1172"/>
      <c r="CP1289" s="1172"/>
      <c r="CQ1289" s="1172"/>
      <c r="CR1289" s="1172"/>
      <c r="CS1289" s="1172"/>
      <c r="CT1289" s="1172"/>
    </row>
    <row r="1290" spans="4:98">
      <c r="D1290" s="1169" t="str">
        <f>+D1285</f>
        <v>Average net wage (excl. SS contributions, excl. income tax withheld)</v>
      </c>
      <c r="E1290" s="3124"/>
      <c r="F1290" s="1171"/>
      <c r="G1290" s="1171"/>
      <c r="H1290" s="1171"/>
      <c r="I1290" s="1171"/>
      <c r="J1290" s="1171"/>
      <c r="K1290" s="1171"/>
      <c r="L1290" s="1171"/>
      <c r="M1290" s="1171"/>
      <c r="N1290" s="1171"/>
      <c r="O1290" s="1171"/>
      <c r="P1290" s="1171"/>
      <c r="Q1290" s="1171"/>
      <c r="R1290" s="1171"/>
      <c r="S1290" s="1171"/>
      <c r="T1290" s="1171"/>
      <c r="U1290" s="1172"/>
      <c r="V1290" s="1171"/>
      <c r="W1290" s="1175"/>
      <c r="X1290" s="1176"/>
      <c r="Y1290" s="1175"/>
      <c r="Z1290" s="1176"/>
      <c r="AA1290" s="1175"/>
      <c r="AB1290" s="1175"/>
      <c r="AC1290" s="1172"/>
      <c r="AD1290" s="1175"/>
      <c r="AE1290" s="1175"/>
      <c r="AF1290" s="1175"/>
      <c r="AG1290" s="1175"/>
      <c r="AH1290" s="1175"/>
      <c r="AI1290" s="1175"/>
      <c r="AJ1290" s="1175"/>
      <c r="AK1290" s="1175"/>
      <c r="AL1290" s="1175"/>
      <c r="AM1290" s="1175"/>
      <c r="AN1290" s="1175"/>
      <c r="AO1290" s="1175"/>
      <c r="AP1290" s="1175"/>
      <c r="AQ1290" s="1175"/>
      <c r="AR1290" s="1175"/>
      <c r="AS1290" s="1175"/>
      <c r="AT1290" s="1175"/>
      <c r="AU1290" s="1172"/>
      <c r="AV1290" s="1172"/>
      <c r="AW1290" s="1172"/>
      <c r="AX1290" s="1172"/>
      <c r="AY1290" s="1172"/>
      <c r="AZ1290" s="1172"/>
      <c r="BA1290" s="1172"/>
      <c r="BB1290" s="1172"/>
      <c r="BC1290" s="1172"/>
      <c r="BD1290" s="1172"/>
      <c r="BE1290" s="1172"/>
      <c r="BF1290" s="1172"/>
      <c r="BG1290" s="1172"/>
      <c r="BH1290" s="1172"/>
      <c r="BI1290" s="1172"/>
      <c r="BJ1290" s="1172"/>
      <c r="BK1290" s="1172"/>
      <c r="BL1290" s="1172"/>
      <c r="BM1290" s="1172"/>
      <c r="BN1290" s="1172"/>
      <c r="BO1290" s="1172"/>
      <c r="BP1290" s="1172"/>
      <c r="BQ1290" s="1172"/>
      <c r="BR1290" s="1172"/>
      <c r="BS1290" s="1172"/>
      <c r="BT1290" s="1172"/>
      <c r="BU1290" s="1172"/>
      <c r="BV1290" s="1172"/>
      <c r="BW1290" s="1172"/>
      <c r="BX1290" s="1172"/>
      <c r="BY1290" s="1172"/>
      <c r="BZ1290" s="1172"/>
      <c r="CA1290" s="1172"/>
      <c r="CB1290" s="1172"/>
      <c r="CC1290" s="1172"/>
      <c r="CD1290" s="1172"/>
      <c r="CE1290" s="1172"/>
      <c r="CF1290" s="1172"/>
      <c r="CG1290" s="1172"/>
      <c r="CH1290" s="1172"/>
      <c r="CI1290" s="1172"/>
      <c r="CJ1290" s="1172"/>
      <c r="CK1290" s="1172"/>
      <c r="CL1290" s="1172"/>
      <c r="CM1290" s="1172"/>
      <c r="CN1290" s="1172"/>
      <c r="CO1290" s="1172"/>
      <c r="CP1290" s="1172"/>
      <c r="CQ1290" s="1172"/>
      <c r="CR1290" s="1172"/>
      <c r="CS1290" s="1172"/>
      <c r="CT1290" s="1172"/>
    </row>
    <row r="1291" spans="4:98">
      <c r="D1291" s="295" t="s">
        <v>892</v>
      </c>
    </row>
    <row r="1293" spans="4:98">
      <c r="D1293" s="1089" t="s">
        <v>928</v>
      </c>
    </row>
    <row r="1294" spans="4:98">
      <c r="D1294" s="397" t="s">
        <v>1086</v>
      </c>
      <c r="Y1294" s="1212"/>
      <c r="Z1294" s="1212"/>
      <c r="AA1294" s="1212"/>
      <c r="AB1294" s="1212"/>
      <c r="AC1294" s="1212">
        <f t="shared" ref="AC1294:AT1294" si="1220">+AC590</f>
        <v>2018</v>
      </c>
      <c r="AD1294" s="1317">
        <f t="shared" si="1220"/>
        <v>2019</v>
      </c>
      <c r="AE1294" s="1317">
        <f t="shared" si="1220"/>
        <v>2020</v>
      </c>
      <c r="AF1294" s="1317">
        <f t="shared" si="1220"/>
        <v>2021</v>
      </c>
      <c r="AG1294" s="1317">
        <f t="shared" si="1220"/>
        <v>2022</v>
      </c>
      <c r="AH1294" s="1317">
        <f t="shared" si="1220"/>
        <v>2023</v>
      </c>
      <c r="AI1294" s="1317">
        <f t="shared" si="1220"/>
        <v>2024</v>
      </c>
      <c r="AJ1294" s="1317">
        <f t="shared" si="1220"/>
        <v>2025</v>
      </c>
      <c r="AK1294" s="1317">
        <f t="shared" si="1220"/>
        <v>2026</v>
      </c>
      <c r="AL1294" s="1317">
        <f t="shared" si="1220"/>
        <v>2027</v>
      </c>
      <c r="AM1294" s="1317">
        <f t="shared" si="1220"/>
        <v>2028</v>
      </c>
      <c r="AN1294" s="1317">
        <f t="shared" si="1220"/>
        <v>2029</v>
      </c>
      <c r="AO1294" s="1317">
        <f t="shared" si="1220"/>
        <v>2030</v>
      </c>
      <c r="AP1294" s="1317">
        <f t="shared" si="1220"/>
        <v>2031</v>
      </c>
      <c r="AQ1294" s="1317">
        <f t="shared" si="1220"/>
        <v>2032</v>
      </c>
      <c r="AR1294" s="1317">
        <f t="shared" si="1220"/>
        <v>2033</v>
      </c>
      <c r="AS1294" s="1317">
        <f t="shared" si="1220"/>
        <v>2034</v>
      </c>
      <c r="AT1294" s="1317">
        <f t="shared" si="1220"/>
        <v>2035</v>
      </c>
    </row>
    <row r="1295" spans="4:98">
      <c r="D1295" s="397" t="s">
        <v>913</v>
      </c>
      <c r="Y1295" s="1211"/>
      <c r="Z1295" s="1211"/>
      <c r="AA1295" s="1211"/>
      <c r="AB1295" s="1211"/>
      <c r="AC1295" s="1211"/>
      <c r="AD1295" s="1713"/>
      <c r="AE1295" s="1713"/>
      <c r="AF1295" s="1713"/>
      <c r="AG1295" s="1713"/>
      <c r="AH1295" s="1713"/>
      <c r="AI1295" s="1713"/>
      <c r="AJ1295" s="1713"/>
      <c r="AK1295" s="1713"/>
    </row>
    <row r="1296" spans="4:98">
      <c r="D1296" s="1" t="s">
        <v>16</v>
      </c>
      <c r="Y1296" s="1211"/>
      <c r="Z1296" s="1211"/>
      <c r="AA1296" s="1211"/>
      <c r="AB1296" s="1211"/>
      <c r="AC1296" s="1211">
        <f t="shared" ref="AC1296:AO1296" si="1221">+AC591</f>
        <v>13527</v>
      </c>
      <c r="AD1296" s="1713">
        <f t="shared" si="1221"/>
        <v>14782</v>
      </c>
      <c r="AE1296" s="1713">
        <f t="shared" si="1221"/>
        <v>10751</v>
      </c>
      <c r="AF1296" s="1713">
        <f t="shared" si="1221"/>
        <v>15581</v>
      </c>
      <c r="AG1296" s="1713">
        <f t="shared" si="1221"/>
        <v>17111</v>
      </c>
      <c r="AH1296" s="1713">
        <f t="shared" si="1221"/>
        <v>18576</v>
      </c>
      <c r="AI1296" s="1713">
        <f t="shared" si="1221"/>
        <v>19917</v>
      </c>
      <c r="AJ1296" s="1713">
        <f t="shared" si="1221"/>
        <v>21466.193430623131</v>
      </c>
      <c r="AK1296" s="1713">
        <f t="shared" si="1221"/>
        <v>23261.296031387188</v>
      </c>
      <c r="AL1296" s="1713">
        <f t="shared" si="1221"/>
        <v>25341.974166436408</v>
      </c>
      <c r="AM1296" s="1713">
        <f t="shared" si="1221"/>
        <v>27492.822499158967</v>
      </c>
      <c r="AN1296" s="1713">
        <f t="shared" si="1221"/>
        <v>29674.327119907597</v>
      </c>
      <c r="AO1296" s="1713">
        <f t="shared" si="1221"/>
        <v>32154.119327666092</v>
      </c>
      <c r="AP1296" s="1713">
        <f>+AP591</f>
        <v>34918.940057613378</v>
      </c>
      <c r="AQ1296" s="1713">
        <f>+AQ591</f>
        <v>37950.455950119424</v>
      </c>
      <c r="AR1296" s="1713">
        <f>+AR591</f>
        <v>41338.872433839286</v>
      </c>
      <c r="AS1296" s="1713">
        <f>+AS591</f>
        <v>45108.390091671419</v>
      </c>
      <c r="AT1296" s="1713">
        <f>+AT591</f>
        <v>49418.223936950606</v>
      </c>
    </row>
    <row r="1297" spans="4:46">
      <c r="D1297" s="1" t="s">
        <v>914</v>
      </c>
      <c r="Y1297" s="1211"/>
      <c r="Z1297" s="1211"/>
      <c r="AA1297" s="1211"/>
      <c r="AB1297" s="1211"/>
      <c r="AC1297" s="1211">
        <f t="shared" ref="AC1297:AK1297" si="1222">+AC600</f>
        <v>328</v>
      </c>
      <c r="AD1297" s="1713">
        <f t="shared" si="1222"/>
        <v>325</v>
      </c>
      <c r="AE1297" s="1713">
        <f t="shared" si="1222"/>
        <v>167</v>
      </c>
      <c r="AF1297" s="1713">
        <f t="shared" si="1222"/>
        <v>238</v>
      </c>
      <c r="AG1297" s="1713">
        <f t="shared" si="1222"/>
        <v>305</v>
      </c>
      <c r="AH1297" s="1713">
        <f t="shared" si="1222"/>
        <v>327</v>
      </c>
      <c r="AI1297" s="1713">
        <f t="shared" si="1222"/>
        <v>354</v>
      </c>
      <c r="AJ1297" s="1713">
        <f t="shared" si="1222"/>
        <v>369.07355974434381</v>
      </c>
      <c r="AK1297" s="1713">
        <f t="shared" si="1222"/>
        <v>397.85472497586301</v>
      </c>
      <c r="AL1297" s="1713">
        <f t="shared" ref="AL1297:AO1298" si="1223">+AL600</f>
        <v>428.59317130874513</v>
      </c>
      <c r="AM1297" s="1713">
        <f t="shared" si="1223"/>
        <v>466.62697081920538</v>
      </c>
      <c r="AN1297" s="1713">
        <f t="shared" si="1223"/>
        <v>502.97840527101971</v>
      </c>
      <c r="AO1297" s="1713">
        <f t="shared" si="1223"/>
        <v>562.15375923600971</v>
      </c>
      <c r="AP1297" s="1713">
        <f t="shared" ref="AP1297:AT1298" si="1224">+AP600</f>
        <v>628.45548571927804</v>
      </c>
      <c r="AQ1297" s="1713">
        <f t="shared" si="1224"/>
        <v>702.76217092039531</v>
      </c>
      <c r="AR1297" s="1713">
        <f t="shared" si="1224"/>
        <v>786.06321769585634</v>
      </c>
      <c r="AS1297" s="1713">
        <f t="shared" si="1224"/>
        <v>879.47312618990691</v>
      </c>
      <c r="AT1297" s="1713">
        <f t="shared" si="1224"/>
        <v>984.24765108524275</v>
      </c>
    </row>
    <row r="1298" spans="4:46">
      <c r="D1298" s="1" t="s">
        <v>915</v>
      </c>
      <c r="Y1298" s="1211"/>
      <c r="Z1298" s="1211"/>
      <c r="AA1298" s="1211"/>
      <c r="AB1298" s="1211"/>
      <c r="AC1298" s="1211">
        <f t="shared" ref="AC1298:AK1298" si="1225">+AC601</f>
        <v>1040</v>
      </c>
      <c r="AD1298" s="1713">
        <f t="shared" si="1225"/>
        <v>1156</v>
      </c>
      <c r="AE1298" s="1713">
        <f t="shared" si="1225"/>
        <v>897</v>
      </c>
      <c r="AF1298" s="1713">
        <f t="shared" si="1225"/>
        <v>1272</v>
      </c>
      <c r="AG1298" s="1713">
        <f t="shared" si="1225"/>
        <v>1390</v>
      </c>
      <c r="AH1298" s="1713">
        <f t="shared" si="1225"/>
        <v>1525</v>
      </c>
      <c r="AI1298" s="1713">
        <f t="shared" si="1225"/>
        <v>1619</v>
      </c>
      <c r="AJ1298" s="1713">
        <f t="shared" si="1225"/>
        <v>1698.8192511528803</v>
      </c>
      <c r="AK1298" s="1713">
        <f t="shared" si="1225"/>
        <v>1844.8229860421791</v>
      </c>
      <c r="AL1298" s="1713">
        <f t="shared" si="1223"/>
        <v>1998.8469776099512</v>
      </c>
      <c r="AM1298" s="1713">
        <f t="shared" si="1223"/>
        <v>2139.2717561533404</v>
      </c>
      <c r="AN1298" s="1713">
        <f t="shared" si="1223"/>
        <v>2284.483734898432</v>
      </c>
      <c r="AO1298" s="1713">
        <f t="shared" si="1223"/>
        <v>2462.2887939714519</v>
      </c>
      <c r="AP1298" s="1713">
        <f t="shared" si="1224"/>
        <v>2646.9769498452097</v>
      </c>
      <c r="AQ1298" s="1713">
        <f t="shared" si="1224"/>
        <v>2840.962059779426</v>
      </c>
      <c r="AR1298" s="1713">
        <f t="shared" si="1224"/>
        <v>3052.3336425908324</v>
      </c>
      <c r="AS1298" s="1713">
        <f t="shared" si="1224"/>
        <v>3286.9594135698926</v>
      </c>
      <c r="AT1298" s="1713">
        <f t="shared" si="1224"/>
        <v>3542.7955984670257</v>
      </c>
    </row>
    <row r="1299" spans="4:46">
      <c r="D1299" s="1" t="s">
        <v>916</v>
      </c>
      <c r="Y1299" s="1211"/>
      <c r="Z1299" s="1211"/>
      <c r="AA1299" s="1211"/>
      <c r="AB1299" s="1211"/>
      <c r="AC1299" s="1211">
        <f t="shared" ref="AC1299:AK1299" si="1226">+(AC602+AC603)</f>
        <v>635</v>
      </c>
      <c r="AD1299" s="1713">
        <f t="shared" si="1226"/>
        <v>691</v>
      </c>
      <c r="AE1299" s="1713">
        <f t="shared" si="1226"/>
        <v>539</v>
      </c>
      <c r="AF1299" s="1713">
        <f t="shared" si="1226"/>
        <v>704</v>
      </c>
      <c r="AG1299" s="1713">
        <f t="shared" si="1226"/>
        <v>795</v>
      </c>
      <c r="AH1299" s="1713">
        <f t="shared" si="1226"/>
        <v>836</v>
      </c>
      <c r="AI1299" s="1713">
        <f t="shared" si="1226"/>
        <v>869</v>
      </c>
      <c r="AJ1299" s="1713">
        <f t="shared" si="1226"/>
        <v>912.36156891703729</v>
      </c>
      <c r="AK1299" s="1713">
        <f t="shared" si="1226"/>
        <v>968.21824142353626</v>
      </c>
      <c r="AL1299" s="1713">
        <f t="shared" ref="AL1299:AT1299" si="1227">+(AL602+AL603)</f>
        <v>1028.5593678431017</v>
      </c>
      <c r="AM1299" s="1713">
        <f t="shared" si="1227"/>
        <v>1078.6707113556843</v>
      </c>
      <c r="AN1299" s="1713">
        <f t="shared" si="1227"/>
        <v>1131.088109839297</v>
      </c>
      <c r="AO1299" s="1713">
        <f t="shared" si="1227"/>
        <v>1190.9337239875977</v>
      </c>
      <c r="AP1299" s="1713">
        <f t="shared" si="1227"/>
        <v>1246.1295453289945</v>
      </c>
      <c r="AQ1299" s="1713">
        <f t="shared" si="1227"/>
        <v>1303.4699194819286</v>
      </c>
      <c r="AR1299" s="1713">
        <f t="shared" si="1227"/>
        <v>1362.861542141387</v>
      </c>
      <c r="AS1299" s="1713">
        <f t="shared" si="1227"/>
        <v>1426.2228755353694</v>
      </c>
      <c r="AT1299" s="1713">
        <f t="shared" si="1227"/>
        <v>1492.6986152951108</v>
      </c>
    </row>
    <row r="1300" spans="4:46">
      <c r="D1300" s="1" t="s">
        <v>917</v>
      </c>
      <c r="Y1300" s="1211"/>
      <c r="Z1300" s="1211"/>
      <c r="AA1300" s="1211"/>
      <c r="AB1300" s="1211"/>
      <c r="AC1300" s="1211">
        <f>+AC1298-AC1299</f>
        <v>405</v>
      </c>
      <c r="AD1300" s="1713">
        <f t="shared" ref="AD1300:AJ1300" si="1228">+AD1298-AD1299</f>
        <v>465</v>
      </c>
      <c r="AE1300" s="1713">
        <f t="shared" si="1228"/>
        <v>358</v>
      </c>
      <c r="AF1300" s="1713">
        <f t="shared" si="1228"/>
        <v>568</v>
      </c>
      <c r="AG1300" s="1713">
        <f t="shared" si="1228"/>
        <v>595</v>
      </c>
      <c r="AH1300" s="1713">
        <f t="shared" si="1228"/>
        <v>689</v>
      </c>
      <c r="AI1300" s="1713">
        <f t="shared" si="1228"/>
        <v>750</v>
      </c>
      <c r="AJ1300" s="1713">
        <f t="shared" si="1228"/>
        <v>786.45768223584298</v>
      </c>
      <c r="AK1300" s="1713">
        <f t="shared" ref="AK1300:AT1300" si="1229">+AK1298-AK1299</f>
        <v>876.60474461864283</v>
      </c>
      <c r="AL1300" s="1713">
        <f t="shared" si="1229"/>
        <v>970.28760976684953</v>
      </c>
      <c r="AM1300" s="1713">
        <f t="shared" si="1229"/>
        <v>1060.6010447976562</v>
      </c>
      <c r="AN1300" s="1713">
        <f t="shared" si="1229"/>
        <v>1153.395625059135</v>
      </c>
      <c r="AO1300" s="1713">
        <f t="shared" si="1229"/>
        <v>1271.3550699838543</v>
      </c>
      <c r="AP1300" s="1713">
        <f t="shared" si="1229"/>
        <v>1400.8474045162152</v>
      </c>
      <c r="AQ1300" s="1713">
        <f t="shared" si="1229"/>
        <v>1537.4921402974974</v>
      </c>
      <c r="AR1300" s="1713">
        <f t="shared" si="1229"/>
        <v>1689.4721004494454</v>
      </c>
      <c r="AS1300" s="1713">
        <f t="shared" si="1229"/>
        <v>1860.7365380345232</v>
      </c>
      <c r="AT1300" s="1713">
        <f t="shared" si="1229"/>
        <v>2050.0969831719149</v>
      </c>
    </row>
    <row r="1301" spans="4:46">
      <c r="D1301" s="1" t="s">
        <v>35</v>
      </c>
      <c r="Y1301" s="1211"/>
      <c r="Z1301" s="1211"/>
      <c r="AA1301" s="1211"/>
      <c r="AB1301" s="1211"/>
      <c r="AC1301" s="1211">
        <f t="shared" ref="AC1301:AK1301" si="1230">+AC612</f>
        <v>1089</v>
      </c>
      <c r="AD1301" s="1713">
        <f t="shared" si="1230"/>
        <v>1445</v>
      </c>
      <c r="AE1301" s="1713">
        <f t="shared" si="1230"/>
        <v>1027</v>
      </c>
      <c r="AF1301" s="1713">
        <f t="shared" si="1230"/>
        <v>1422</v>
      </c>
      <c r="AG1301" s="1713">
        <f t="shared" si="1230"/>
        <v>1887</v>
      </c>
      <c r="AH1301" s="1713">
        <f t="shared" si="1230"/>
        <v>2039</v>
      </c>
      <c r="AI1301" s="1713">
        <f t="shared" si="1230"/>
        <v>2199</v>
      </c>
      <c r="AJ1301" s="1713">
        <f t="shared" si="1230"/>
        <v>2470.1725983225515</v>
      </c>
      <c r="AK1301" s="1713">
        <f t="shared" si="1230"/>
        <v>2621.9178654669868</v>
      </c>
      <c r="AL1301" s="1713">
        <f t="shared" ref="AL1301:AT1301" si="1231">+AL612</f>
        <v>2788.1412128000707</v>
      </c>
      <c r="AM1301" s="1713">
        <f t="shared" si="1231"/>
        <v>2964.9027244145491</v>
      </c>
      <c r="AN1301" s="1713">
        <f t="shared" si="1231"/>
        <v>3152.8704948242403</v>
      </c>
      <c r="AO1301" s="1713">
        <f t="shared" si="1231"/>
        <v>3352.7549741437547</v>
      </c>
      <c r="AP1301" s="1713">
        <f t="shared" si="1231"/>
        <v>3565.3116533326966</v>
      </c>
      <c r="AQ1301" s="1713">
        <f t="shared" si="1231"/>
        <v>3791.34391967795</v>
      </c>
      <c r="AR1301" s="1713">
        <f t="shared" si="1231"/>
        <v>4031.7060933067405</v>
      </c>
      <c r="AS1301" s="1713">
        <f t="shared" si="1231"/>
        <v>4287.3066562073918</v>
      </c>
      <c r="AT1301" s="1713">
        <f t="shared" si="1231"/>
        <v>4559.1116859623089</v>
      </c>
    </row>
    <row r="1302" spans="4:46">
      <c r="D1302" s="1" t="s">
        <v>36</v>
      </c>
      <c r="Y1302" s="1211"/>
      <c r="Z1302" s="1211"/>
      <c r="AA1302" s="1211"/>
      <c r="AB1302" s="1211"/>
      <c r="AC1302" s="1211">
        <f t="shared" ref="AC1302:AK1302" si="1232">+AC616</f>
        <v>1086</v>
      </c>
      <c r="AD1302" s="1713">
        <f t="shared" si="1232"/>
        <v>1257</v>
      </c>
      <c r="AE1302" s="1713">
        <f t="shared" si="1232"/>
        <v>901</v>
      </c>
      <c r="AF1302" s="1713">
        <f t="shared" si="1232"/>
        <v>1336</v>
      </c>
      <c r="AG1302" s="1713">
        <f t="shared" si="1232"/>
        <v>1447</v>
      </c>
      <c r="AH1302" s="1713">
        <f t="shared" si="1232"/>
        <v>1643</v>
      </c>
      <c r="AI1302" s="1713">
        <f t="shared" si="1232"/>
        <v>1822</v>
      </c>
      <c r="AJ1302" s="1713">
        <f t="shared" si="1232"/>
        <v>2026.8144505616224</v>
      </c>
      <c r="AK1302" s="1713">
        <f t="shared" si="1232"/>
        <v>2218.2016535666862</v>
      </c>
      <c r="AL1302" s="1713">
        <f t="shared" ref="AL1302:AT1302" si="1233">+AL616</f>
        <v>2473.4331993000387</v>
      </c>
      <c r="AM1302" s="1713">
        <f t="shared" si="1233"/>
        <v>2685.0882348034429</v>
      </c>
      <c r="AN1302" s="1713">
        <f t="shared" si="1233"/>
        <v>2863.2767675427908</v>
      </c>
      <c r="AO1302" s="1713">
        <f t="shared" si="1233"/>
        <v>3093.1020566851148</v>
      </c>
      <c r="AP1302" s="1713">
        <f t="shared" si="1233"/>
        <v>3305.6121957820969</v>
      </c>
      <c r="AQ1302" s="1713">
        <f t="shared" si="1233"/>
        <v>3502.3721700397746</v>
      </c>
      <c r="AR1302" s="1713">
        <f t="shared" si="1233"/>
        <v>3717.8888209122042</v>
      </c>
      <c r="AS1302" s="1713">
        <f t="shared" si="1233"/>
        <v>3931.5743771062025</v>
      </c>
      <c r="AT1302" s="1713">
        <f t="shared" si="1233"/>
        <v>4177.1671587798419</v>
      </c>
    </row>
    <row r="1303" spans="4:46">
      <c r="D1303" s="1" t="s">
        <v>120</v>
      </c>
      <c r="Y1303" s="1211"/>
      <c r="Z1303" s="1211"/>
      <c r="AA1303" s="1211"/>
      <c r="AB1303" s="1211"/>
      <c r="AC1303" s="1211">
        <f t="shared" ref="AC1303:AK1303" si="1234">+AC619</f>
        <v>553</v>
      </c>
      <c r="AD1303" s="1713">
        <f t="shared" si="1234"/>
        <v>606</v>
      </c>
      <c r="AE1303" s="1713">
        <f t="shared" si="1234"/>
        <v>216</v>
      </c>
      <c r="AF1303" s="1713">
        <f t="shared" si="1234"/>
        <v>437</v>
      </c>
      <c r="AG1303" s="1713">
        <f t="shared" si="1234"/>
        <v>534</v>
      </c>
      <c r="AH1303" s="1713">
        <f t="shared" si="1234"/>
        <v>612</v>
      </c>
      <c r="AI1303" s="1713">
        <f t="shared" si="1234"/>
        <v>681</v>
      </c>
      <c r="AJ1303" s="1713">
        <f t="shared" si="1234"/>
        <v>791.2770815126222</v>
      </c>
      <c r="AK1303" s="1713">
        <f t="shared" si="1234"/>
        <v>818.79198608358593</v>
      </c>
      <c r="AL1303" s="1713">
        <f t="shared" ref="AL1303:AT1303" si="1235">+AL619</f>
        <v>905.7990823936949</v>
      </c>
      <c r="AM1303" s="1713">
        <f t="shared" si="1235"/>
        <v>983.53529242215291</v>
      </c>
      <c r="AN1303" s="1713">
        <f t="shared" si="1235"/>
        <v>1046.6556170726308</v>
      </c>
      <c r="AO1303" s="1713">
        <f t="shared" si="1235"/>
        <v>1064.8424218880357</v>
      </c>
      <c r="AP1303" s="1713">
        <f t="shared" si="1235"/>
        <v>1136.5683018160767</v>
      </c>
      <c r="AQ1303" s="1713">
        <f t="shared" si="1235"/>
        <v>1204.5579405091244</v>
      </c>
      <c r="AR1303" s="1713">
        <f t="shared" si="1235"/>
        <v>1275.1874073563588</v>
      </c>
      <c r="AS1303" s="1713">
        <f t="shared" si="1235"/>
        <v>1368.0744029845259</v>
      </c>
      <c r="AT1303" s="1713">
        <f t="shared" si="1235"/>
        <v>1493.142684797017</v>
      </c>
    </row>
    <row r="1304" spans="4:46">
      <c r="D1304" s="1" t="s">
        <v>918</v>
      </c>
      <c r="Y1304" s="1211"/>
      <c r="Z1304" s="1211"/>
      <c r="AA1304" s="1211"/>
      <c r="AB1304" s="1211"/>
      <c r="AC1304" s="1211">
        <f t="shared" ref="AC1304:AK1304" si="1236">+AC617</f>
        <v>1172</v>
      </c>
      <c r="AD1304" s="1713">
        <f t="shared" si="1236"/>
        <v>1316</v>
      </c>
      <c r="AE1304" s="1713">
        <f t="shared" si="1236"/>
        <v>707</v>
      </c>
      <c r="AF1304" s="1713">
        <f t="shared" si="1236"/>
        <v>1143</v>
      </c>
      <c r="AG1304" s="1713">
        <f t="shared" si="1236"/>
        <v>1358</v>
      </c>
      <c r="AH1304" s="1713">
        <f t="shared" si="1236"/>
        <v>1550</v>
      </c>
      <c r="AI1304" s="1713">
        <f t="shared" si="1236"/>
        <v>1644</v>
      </c>
      <c r="AJ1304" s="1713">
        <f t="shared" si="1236"/>
        <v>1860.9710771586617</v>
      </c>
      <c r="AK1304" s="1713">
        <f t="shared" si="1236"/>
        <v>1939.0511833191163</v>
      </c>
      <c r="AL1304" s="1713">
        <f t="shared" ref="AL1304:AT1304" si="1237">+AL617</f>
        <v>2024.3586846947435</v>
      </c>
      <c r="AM1304" s="1713">
        <f t="shared" si="1237"/>
        <v>2191.8038653180538</v>
      </c>
      <c r="AN1304" s="1713">
        <f t="shared" si="1237"/>
        <v>2278.4458585498724</v>
      </c>
      <c r="AO1304" s="1713">
        <f t="shared" si="1237"/>
        <v>2359.0062476710427</v>
      </c>
      <c r="AP1304" s="1713">
        <f t="shared" si="1237"/>
        <v>2489.3686958155768</v>
      </c>
      <c r="AQ1304" s="1713">
        <f t="shared" si="1237"/>
        <v>2587.7992093501616</v>
      </c>
      <c r="AR1304" s="1713">
        <f t="shared" si="1237"/>
        <v>2696.0535376796274</v>
      </c>
      <c r="AS1304" s="1713">
        <f t="shared" si="1237"/>
        <v>2788.629664180176</v>
      </c>
      <c r="AT1304" s="1713">
        <f t="shared" si="1237"/>
        <v>2904.6879217891596</v>
      </c>
    </row>
    <row r="1305" spans="4:46" ht="14.5" customHeight="1">
      <c r="D1305" s="1" t="s">
        <v>919</v>
      </c>
      <c r="Y1305" s="1211"/>
      <c r="Z1305" s="1211"/>
      <c r="AA1305" s="1211"/>
      <c r="AB1305" s="1211"/>
      <c r="AC1305" s="1211">
        <f t="shared" ref="AC1305:AK1305" si="1238">+AC621+AC622+AC623+AC628</f>
        <v>2253</v>
      </c>
      <c r="AD1305" s="1713">
        <f t="shared" si="1238"/>
        <v>2397</v>
      </c>
      <c r="AE1305" s="1713">
        <f t="shared" si="1238"/>
        <v>1801</v>
      </c>
      <c r="AF1305" s="1713">
        <f t="shared" si="1238"/>
        <v>2565</v>
      </c>
      <c r="AG1305" s="1713">
        <f t="shared" si="1238"/>
        <v>2694</v>
      </c>
      <c r="AH1305" s="1713">
        <f t="shared" si="1238"/>
        <v>2944</v>
      </c>
      <c r="AI1305" s="1713">
        <f t="shared" si="1238"/>
        <v>3098</v>
      </c>
      <c r="AJ1305" s="1713">
        <f t="shared" si="1238"/>
        <v>3208.4459658122278</v>
      </c>
      <c r="AK1305" s="1713">
        <f t="shared" si="1238"/>
        <v>3507.4369787028036</v>
      </c>
      <c r="AL1305" s="1713">
        <f t="shared" ref="AL1305:AT1305" si="1239">+AL621+AL622+AL623+AL628</f>
        <v>3868.6937686465672</v>
      </c>
      <c r="AM1305" s="1713">
        <f t="shared" si="1239"/>
        <v>4279.6993938326395</v>
      </c>
      <c r="AN1305" s="1713">
        <f t="shared" si="1239"/>
        <v>4801.7851737774927</v>
      </c>
      <c r="AO1305" s="1713">
        <f t="shared" si="1239"/>
        <v>5349.8245526412629</v>
      </c>
      <c r="AP1305" s="1713">
        <f t="shared" si="1239"/>
        <v>5996.7903620029256</v>
      </c>
      <c r="AQ1305" s="1713">
        <f t="shared" si="1239"/>
        <v>6788.5769702824819</v>
      </c>
      <c r="AR1305" s="1713">
        <f t="shared" si="1239"/>
        <v>7676.5645068570102</v>
      </c>
      <c r="AS1305" s="1713">
        <f t="shared" si="1239"/>
        <v>8700.4351308761907</v>
      </c>
      <c r="AT1305" s="1713">
        <f t="shared" si="1239"/>
        <v>9905.4789597640502</v>
      </c>
    </row>
    <row r="1306" spans="4:46">
      <c r="D1306" s="397" t="s">
        <v>920</v>
      </c>
      <c r="E1306" s="766" t="s">
        <v>921</v>
      </c>
      <c r="Y1306" s="1213"/>
      <c r="Z1306" s="1213"/>
      <c r="AA1306" s="1213"/>
      <c r="AB1306" s="1213"/>
      <c r="AC1306" s="1213">
        <f>+(AC1297+SUM(AC1299:AC1305))/AC$591</f>
        <v>0.55599911288534043</v>
      </c>
      <c r="AD1306" s="1714">
        <f t="shared" ref="AD1306:AJ1306" si="1240">+(AD1297+SUM(AD1299:AD1305))/AD$591</f>
        <v>0.5751589771343526</v>
      </c>
      <c r="AE1306" s="1714">
        <f t="shared" si="1240"/>
        <v>0.53167147242117008</v>
      </c>
      <c r="AF1306" s="1714">
        <f t="shared" si="1240"/>
        <v>0.53995250625762148</v>
      </c>
      <c r="AG1306" s="1714">
        <f t="shared" si="1240"/>
        <v>0.56191923324177429</v>
      </c>
      <c r="AH1306" s="1714">
        <f t="shared" si="1240"/>
        <v>0.57278208440999134</v>
      </c>
      <c r="AI1306" s="1714">
        <f t="shared" si="1240"/>
        <v>0.57322889993472914</v>
      </c>
      <c r="AJ1306" s="1714">
        <f t="shared" si="1240"/>
        <v>0.57884384692718271</v>
      </c>
      <c r="AK1306" s="1714">
        <f t="shared" ref="AK1306:AT1306" si="1241">+(AK1297+SUM(AK1299:AK1305))/AK$591</f>
        <v>0.57383205820287253</v>
      </c>
      <c r="AL1306" s="1714">
        <f t="shared" si="1241"/>
        <v>0.57169445448894551</v>
      </c>
      <c r="AM1306" s="1714">
        <f t="shared" si="1241"/>
        <v>0.57145563131046284</v>
      </c>
      <c r="AN1306" s="1714">
        <f t="shared" si="1241"/>
        <v>0.57054355381080668</v>
      </c>
      <c r="AO1306" s="1714">
        <f t="shared" si="1241"/>
        <v>0.56739146298244802</v>
      </c>
      <c r="AP1306" s="1714">
        <f t="shared" si="1241"/>
        <v>0.56614214554326381</v>
      </c>
      <c r="AQ1306" s="1714">
        <f t="shared" si="1241"/>
        <v>0.56437726252118758</v>
      </c>
      <c r="AR1306" s="1714">
        <f t="shared" si="1241"/>
        <v>0.5620810597479724</v>
      </c>
      <c r="AS1306" s="1714">
        <f t="shared" si="1241"/>
        <v>0.55959551471057545</v>
      </c>
      <c r="AT1306" s="1714">
        <f t="shared" si="1241"/>
        <v>0.55782319688006321</v>
      </c>
    </row>
    <row r="1307" spans="4:46">
      <c r="D1307" s="1" t="s">
        <v>265</v>
      </c>
      <c r="E1307" s="3125"/>
      <c r="Y1307" s="1211"/>
      <c r="Z1307" s="1211"/>
      <c r="AA1307" s="1211"/>
      <c r="AB1307" s="1211"/>
      <c r="AC1307" s="1211">
        <f t="shared" ref="AC1307:AK1307" si="1242">+AC863</f>
        <v>11314</v>
      </c>
      <c r="AD1307" s="1713">
        <f t="shared" si="1242"/>
        <v>11584</v>
      </c>
      <c r="AE1307" s="1713">
        <f t="shared" si="1242"/>
        <v>12059</v>
      </c>
      <c r="AF1307" s="1713">
        <f t="shared" si="1242"/>
        <v>12281</v>
      </c>
      <c r="AG1307" s="1713">
        <f t="shared" si="1242"/>
        <v>11078</v>
      </c>
      <c r="AH1307" s="1713">
        <f t="shared" si="1242"/>
        <v>12247</v>
      </c>
      <c r="AI1307" s="1713">
        <f t="shared" si="1242"/>
        <v>12781</v>
      </c>
      <c r="AJ1307" s="1713">
        <f t="shared" si="1242"/>
        <v>13045.644088488287</v>
      </c>
      <c r="AK1307" s="1713">
        <f t="shared" si="1242"/>
        <v>14397.912190365512</v>
      </c>
      <c r="AL1307" s="1713">
        <f t="shared" ref="AL1307:AT1307" si="1243">+AL863</f>
        <v>15603.757976816863</v>
      </c>
      <c r="AM1307" s="1713">
        <f t="shared" si="1243"/>
        <v>16759.414121690003</v>
      </c>
      <c r="AN1307" s="1713">
        <f t="shared" si="1243"/>
        <v>17877.661495296041</v>
      </c>
      <c r="AO1307" s="1713">
        <f t="shared" si="1243"/>
        <v>17933.329266863897</v>
      </c>
      <c r="AP1307" s="1713">
        <f t="shared" si="1243"/>
        <v>20056.857639599912</v>
      </c>
      <c r="AQ1307" s="1713">
        <f t="shared" si="1243"/>
        <v>22014.347986447174</v>
      </c>
      <c r="AR1307" s="1713">
        <f t="shared" si="1243"/>
        <v>23967.425301349071</v>
      </c>
      <c r="AS1307" s="1713">
        <f t="shared" si="1243"/>
        <v>25082.323324606237</v>
      </c>
      <c r="AT1307" s="1713">
        <f t="shared" si="1243"/>
        <v>25251.719818336653</v>
      </c>
    </row>
    <row r="1308" spans="4:46">
      <c r="D1308" s="1" t="s">
        <v>922</v>
      </c>
      <c r="E1308" s="3125"/>
      <c r="Y1308" s="1211"/>
      <c r="Z1308" s="1211"/>
      <c r="AA1308" s="1211"/>
      <c r="AB1308" s="1211"/>
      <c r="AC1308" s="1211">
        <f t="shared" ref="AC1308:AK1308" si="1244">+AC860</f>
        <v>1945</v>
      </c>
      <c r="AD1308" s="1713">
        <f t="shared" si="1244"/>
        <v>2286</v>
      </c>
      <c r="AE1308" s="1713">
        <f t="shared" si="1244"/>
        <v>2327</v>
      </c>
      <c r="AF1308" s="1713">
        <f t="shared" si="1244"/>
        <v>2649</v>
      </c>
      <c r="AG1308" s="1713">
        <f t="shared" si="1244"/>
        <v>2911</v>
      </c>
      <c r="AH1308" s="1713">
        <f t="shared" si="1244"/>
        <v>2967</v>
      </c>
      <c r="AI1308" s="1713">
        <f t="shared" si="1244"/>
        <v>3408</v>
      </c>
      <c r="AJ1308" s="1713">
        <f t="shared" si="1244"/>
        <v>3655.4759807382015</v>
      </c>
      <c r="AK1308" s="1713">
        <f t="shared" si="1244"/>
        <v>3676.7112584171959</v>
      </c>
      <c r="AL1308" s="1713">
        <f t="shared" ref="AL1308:AT1308" si="1245">+AL860</f>
        <v>3924.6610609138183</v>
      </c>
      <c r="AM1308" s="1713">
        <f t="shared" si="1245"/>
        <v>4146.2967862169062</v>
      </c>
      <c r="AN1308" s="1713">
        <f t="shared" si="1245"/>
        <v>4372.044012834438</v>
      </c>
      <c r="AO1308" s="1713">
        <f t="shared" si="1245"/>
        <v>6680.6307262227692</v>
      </c>
      <c r="AP1308" s="1713">
        <f t="shared" si="1245"/>
        <v>7023.4117484674935</v>
      </c>
      <c r="AQ1308" s="1713">
        <f t="shared" si="1245"/>
        <v>7583.4592789566796</v>
      </c>
      <c r="AR1308" s="1713">
        <f t="shared" si="1245"/>
        <v>8351.8608190864143</v>
      </c>
      <c r="AS1308" s="1713">
        <f t="shared" si="1245"/>
        <v>9934.3069693595426</v>
      </c>
      <c r="AT1308" s="1713">
        <f t="shared" si="1245"/>
        <v>12637.083276055591</v>
      </c>
    </row>
    <row r="1309" spans="4:46">
      <c r="D1309" s="1" t="s">
        <v>923</v>
      </c>
      <c r="Y1309" s="1211"/>
      <c r="Z1309" s="1211"/>
      <c r="AA1309" s="1211"/>
      <c r="AB1309" s="1211"/>
      <c r="AC1309" s="1211">
        <f t="shared" ref="AC1309:AK1309" si="1246">+AC866+AC869</f>
        <v>2003.3222661302432</v>
      </c>
      <c r="AD1309" s="1713">
        <f t="shared" si="1246"/>
        <v>2880.9293155028572</v>
      </c>
      <c r="AE1309" s="1713">
        <f t="shared" si="1246"/>
        <v>1910.8880271805717</v>
      </c>
      <c r="AF1309" s="1713">
        <f t="shared" si="1246"/>
        <v>3481.5091076413055</v>
      </c>
      <c r="AG1309" s="1713">
        <f t="shared" si="1246"/>
        <v>4384.707473875329</v>
      </c>
      <c r="AH1309" s="1713">
        <f t="shared" si="1246"/>
        <v>5762.3765802920507</v>
      </c>
      <c r="AI1309" s="1713">
        <f t="shared" si="1246"/>
        <v>5511.8125101505984</v>
      </c>
      <c r="AJ1309" s="1713">
        <f t="shared" si="1246"/>
        <v>6290.3029362285697</v>
      </c>
      <c r="AK1309" s="1713">
        <f t="shared" si="1246"/>
        <v>7432.9999768858597</v>
      </c>
      <c r="AL1309" s="1713">
        <f t="shared" ref="AL1309:AT1309" si="1247">+AL866+AL869</f>
        <v>8101.3976684807303</v>
      </c>
      <c r="AM1309" s="1713">
        <f t="shared" si="1247"/>
        <v>8069.4580106518706</v>
      </c>
      <c r="AN1309" s="1713">
        <f t="shared" si="1247"/>
        <v>8525.3966612878285</v>
      </c>
      <c r="AO1309" s="1713">
        <f t="shared" si="1247"/>
        <v>8599.7053300015832</v>
      </c>
      <c r="AP1309" s="1713">
        <f t="shared" si="1247"/>
        <v>8821.7952080613577</v>
      </c>
      <c r="AQ1309" s="1713">
        <f t="shared" si="1247"/>
        <v>9066.7478700244665</v>
      </c>
      <c r="AR1309" s="1713">
        <f t="shared" si="1247"/>
        <v>9335.3177746364981</v>
      </c>
      <c r="AS1309" s="1713">
        <f t="shared" si="1247"/>
        <v>9630.9187372930464</v>
      </c>
      <c r="AT1309" s="1713">
        <f t="shared" si="1247"/>
        <v>9955.0940051677226</v>
      </c>
    </row>
    <row r="1310" spans="4:46">
      <c r="D1310" s="1" t="s">
        <v>924</v>
      </c>
      <c r="Y1310" s="1211"/>
      <c r="Z1310" s="1211"/>
      <c r="AA1310" s="1211"/>
      <c r="AB1310" s="1211"/>
      <c r="AC1310" s="1214">
        <f t="shared" ref="AC1310:AK1310" si="1248">+AC865</f>
        <v>1678.6777338697568</v>
      </c>
      <c r="AD1310" s="3272">
        <f t="shared" si="1248"/>
        <v>1947.0706844971432</v>
      </c>
      <c r="AE1310" s="3272">
        <f t="shared" si="1248"/>
        <v>2280.111972819428</v>
      </c>
      <c r="AF1310" s="1713">
        <f t="shared" si="1248"/>
        <v>1503.4908923586943</v>
      </c>
      <c r="AG1310" s="1713">
        <f t="shared" si="1248"/>
        <v>1420.292526124671</v>
      </c>
      <c r="AH1310" s="1713">
        <f t="shared" si="1248"/>
        <v>1470.6234197079489</v>
      </c>
      <c r="AI1310" s="1713">
        <f t="shared" si="1248"/>
        <v>1466.1874898494011</v>
      </c>
      <c r="AJ1310" s="1713">
        <f t="shared" si="1248"/>
        <v>1481.9592115422224</v>
      </c>
      <c r="AK1310" s="1713">
        <f t="shared" si="1248"/>
        <v>1565.8160544419466</v>
      </c>
      <c r="AL1310" s="1713">
        <f t="shared" ref="AL1310:AT1310" si="1249">+AL865</f>
        <v>1765.3838150335087</v>
      </c>
      <c r="AM1310" s="1713">
        <f t="shared" si="1249"/>
        <v>1949.6897605545207</v>
      </c>
      <c r="AN1310" s="1713">
        <f t="shared" si="1249"/>
        <v>2106.2376249298277</v>
      </c>
      <c r="AO1310" s="1713">
        <f t="shared" si="1249"/>
        <v>2186.7687050991476</v>
      </c>
      <c r="AP1310" s="1713">
        <f t="shared" si="1249"/>
        <v>2323.5864826446204</v>
      </c>
      <c r="AQ1310" s="1713">
        <f t="shared" si="1249"/>
        <v>2548.0667053103894</v>
      </c>
      <c r="AR1310" s="1713">
        <f t="shared" si="1249"/>
        <v>2903.8212453979049</v>
      </c>
      <c r="AS1310" s="1713">
        <f t="shared" si="1249"/>
        <v>3567.6429887372137</v>
      </c>
      <c r="AT1310" s="1713">
        <f t="shared" si="1249"/>
        <v>4588.8894669842966</v>
      </c>
    </row>
    <row r="1311" spans="4:46">
      <c r="D1311" s="1" t="s">
        <v>925</v>
      </c>
      <c r="Y1311" s="1211"/>
      <c r="Z1311" s="1211"/>
      <c r="AA1311" s="1211"/>
      <c r="AB1311" s="1211"/>
      <c r="AC1311" s="1211">
        <f t="shared" ref="AC1311:AK1311" si="1250">+AC870</f>
        <v>2182</v>
      </c>
      <c r="AD1311" s="1713">
        <f t="shared" si="1250"/>
        <v>2616</v>
      </c>
      <c r="AE1311" s="1713">
        <f t="shared" si="1250"/>
        <v>2365</v>
      </c>
      <c r="AF1311" s="1713">
        <f t="shared" si="1250"/>
        <v>2422</v>
      </c>
      <c r="AG1311" s="1713">
        <f t="shared" si="1250"/>
        <v>3835</v>
      </c>
      <c r="AH1311" s="1713">
        <f t="shared" si="1250"/>
        <v>4776</v>
      </c>
      <c r="AI1311" s="1713">
        <f t="shared" si="1250"/>
        <v>5650</v>
      </c>
      <c r="AJ1311" s="1713">
        <f t="shared" si="1250"/>
        <v>5621.3617799098129</v>
      </c>
      <c r="AK1311" s="1713">
        <f t="shared" si="1250"/>
        <v>6292.3920466350082</v>
      </c>
      <c r="AL1311" s="1713">
        <f t="shared" ref="AL1311:AO1312" si="1251">+AL870</f>
        <v>6774.5503779100527</v>
      </c>
      <c r="AM1311" s="1713">
        <f t="shared" si="1251"/>
        <v>7228.3642923788339</v>
      </c>
      <c r="AN1311" s="1713">
        <f t="shared" si="1251"/>
        <v>7527.9316114870753</v>
      </c>
      <c r="AO1311" s="1713">
        <f t="shared" si="1251"/>
        <v>7971.0347566543742</v>
      </c>
      <c r="AP1311" s="1713">
        <f t="shared" ref="AP1311:AT1312" si="1252">+AP870</f>
        <v>8540.0828677626723</v>
      </c>
      <c r="AQ1311" s="1713">
        <f t="shared" si="1252"/>
        <v>9135.0305912302665</v>
      </c>
      <c r="AR1311" s="1713">
        <f t="shared" si="1252"/>
        <v>9786.2203592096557</v>
      </c>
      <c r="AS1311" s="1713">
        <f t="shared" si="1252"/>
        <v>10499.582211336879</v>
      </c>
      <c r="AT1311" s="1713">
        <f t="shared" si="1252"/>
        <v>11281.639966428114</v>
      </c>
    </row>
    <row r="1312" spans="4:46">
      <c r="D1312" s="1" t="s">
        <v>926</v>
      </c>
      <c r="Y1312" s="1211"/>
      <c r="Z1312" s="1211"/>
      <c r="AA1312" s="1211"/>
      <c r="AB1312" s="1211"/>
      <c r="AC1312" s="1211">
        <f t="shared" ref="AC1312:AK1312" si="1253">+AC871</f>
        <v>5788</v>
      </c>
      <c r="AD1312" s="1713">
        <f t="shared" si="1253"/>
        <v>6827</v>
      </c>
      <c r="AE1312" s="1713">
        <f t="shared" si="1253"/>
        <v>6577</v>
      </c>
      <c r="AF1312" s="1713">
        <f t="shared" si="1253"/>
        <v>6755</v>
      </c>
      <c r="AG1312" s="1713">
        <f t="shared" si="1253"/>
        <v>6518</v>
      </c>
      <c r="AH1312" s="1713">
        <f t="shared" si="1253"/>
        <v>8289</v>
      </c>
      <c r="AI1312" s="1713">
        <f t="shared" si="1253"/>
        <v>8588</v>
      </c>
      <c r="AJ1312" s="1713">
        <f t="shared" si="1253"/>
        <v>8628.550566283966</v>
      </c>
      <c r="AK1312" s="1713">
        <f t="shared" si="1253"/>
        <v>10104.535495358334</v>
      </c>
      <c r="AL1312" s="1713">
        <f t="shared" si="1251"/>
        <v>10827.776732718565</v>
      </c>
      <c r="AM1312" s="1713">
        <f t="shared" si="1251"/>
        <v>10660.400472333169</v>
      </c>
      <c r="AN1312" s="1713">
        <f t="shared" si="1251"/>
        <v>10734.944285927613</v>
      </c>
      <c r="AO1312" s="1713">
        <f t="shared" si="1251"/>
        <v>11217.349457175682</v>
      </c>
      <c r="AP1312" s="1713">
        <f t="shared" si="1252"/>
        <v>11846.793888922675</v>
      </c>
      <c r="AQ1312" s="1713">
        <f t="shared" si="1252"/>
        <v>12397.196481849556</v>
      </c>
      <c r="AR1312" s="1713">
        <f t="shared" si="1252"/>
        <v>13005.773065840254</v>
      </c>
      <c r="AS1312" s="1713">
        <f t="shared" si="1252"/>
        <v>13606.384139661503</v>
      </c>
      <c r="AT1312" s="1713">
        <f t="shared" si="1252"/>
        <v>14296.202596021774</v>
      </c>
    </row>
    <row r="1313" spans="4:46">
      <c r="E1313" s="3126" t="s">
        <v>927</v>
      </c>
      <c r="AC1313" s="1213">
        <f>+(AC1309+AC1311)/AC$591</f>
        <v>0.30940506144231855</v>
      </c>
      <c r="AD1313" s="1714">
        <f t="shared" ref="AD1313:AJ1313" si="1254">+(AD1309+AD1311)/AD$591</f>
        <v>0.37186641290101863</v>
      </c>
      <c r="AE1313" s="1714">
        <f t="shared" si="1254"/>
        <v>0.39772002857227906</v>
      </c>
      <c r="AF1313" s="1714">
        <f t="shared" si="1254"/>
        <v>0.37889154146982257</v>
      </c>
      <c r="AG1313" s="1714">
        <f t="shared" si="1254"/>
        <v>0.48037563402929861</v>
      </c>
      <c r="AH1313" s="1714">
        <f t="shared" si="1254"/>
        <v>0.56731140074784936</v>
      </c>
      <c r="AI1313" s="1714">
        <f t="shared" si="1254"/>
        <v>0.56041635337403206</v>
      </c>
      <c r="AJ1313" s="1714">
        <f t="shared" si="1254"/>
        <v>0.55490344641847411</v>
      </c>
      <c r="AK1313" s="1714">
        <f t="shared" ref="AK1313:AT1313" si="1255">+(AK1309+AK1311)/AK$591</f>
        <v>0.59005276425702036</v>
      </c>
      <c r="AL1313" s="1714">
        <f t="shared" si="1255"/>
        <v>0.58700825550098179</v>
      </c>
      <c r="AM1313" s="1714">
        <f t="shared" si="1255"/>
        <v>0.55642967554526934</v>
      </c>
      <c r="AN1313" s="1714">
        <f t="shared" si="1255"/>
        <v>0.54098373344429496</v>
      </c>
      <c r="AO1313" s="1714">
        <f t="shared" si="1255"/>
        <v>0.51535356691912693</v>
      </c>
      <c r="AP1313" s="1714">
        <f t="shared" si="1255"/>
        <v>0.49720518570089361</v>
      </c>
      <c r="AQ1313" s="1714">
        <f t="shared" si="1255"/>
        <v>0.47961949350960181</v>
      </c>
      <c r="AR1313" s="1714">
        <f t="shared" si="1255"/>
        <v>0.46255587073520643</v>
      </c>
      <c r="AS1313" s="1714">
        <f t="shared" si="1255"/>
        <v>0.44626955002649754</v>
      </c>
      <c r="AT1313" s="1714">
        <f t="shared" si="1255"/>
        <v>0.42973486863247778</v>
      </c>
    </row>
    <row r="1314" spans="4:46">
      <c r="D1314" s="1089" t="s">
        <v>929</v>
      </c>
    </row>
    <row r="1315" spans="4:46">
      <c r="AG1315" s="3273"/>
      <c r="AH1315" s="3273"/>
      <c r="AI1315" s="3273"/>
      <c r="AJ1315" s="3273"/>
      <c r="AK1315" s="3273"/>
    </row>
    <row r="1316" spans="4:46">
      <c r="AG1316" s="1713"/>
      <c r="AH1316" s="1713"/>
      <c r="AI1316" s="1713"/>
      <c r="AJ1316" s="1713"/>
      <c r="AK1316" s="1713"/>
    </row>
    <row r="1317" spans="4:46">
      <c r="D1317" s="295" t="s">
        <v>1093</v>
      </c>
    </row>
    <row r="1318" spans="4:46">
      <c r="D1318" s="1244"/>
      <c r="E1318" s="3054">
        <f ca="1">NOW()</f>
        <v>46074.610906250004</v>
      </c>
      <c r="F1318" s="1244"/>
      <c r="G1318" s="1244"/>
      <c r="H1318" s="1244"/>
      <c r="I1318" s="1244"/>
      <c r="J1318" s="1244"/>
      <c r="K1318" s="1244"/>
      <c r="L1318" s="1244"/>
      <c r="M1318" s="1244"/>
      <c r="N1318" s="1244"/>
      <c r="O1318" s="1244"/>
      <c r="P1318" s="1244"/>
      <c r="Q1318" s="1244"/>
      <c r="R1318" s="1244"/>
      <c r="S1318" s="1244"/>
      <c r="T1318" s="1244"/>
      <c r="U1318" s="1244"/>
      <c r="V1318" s="1244"/>
      <c r="W1318" s="1244"/>
      <c r="X1318" s="1244"/>
      <c r="Y1318" s="1244"/>
      <c r="Z1318" s="1244"/>
      <c r="AA1318" s="1244"/>
      <c r="AB1318" s="1244"/>
      <c r="AC1318" s="1244"/>
      <c r="AD1318" s="1247">
        <v>2019</v>
      </c>
      <c r="AE1318" s="1247">
        <v>2020</v>
      </c>
      <c r="AF1318" s="1247">
        <v>2021</v>
      </c>
      <c r="AG1318" s="1247">
        <v>2022</v>
      </c>
      <c r="AH1318" s="1247">
        <v>2023</v>
      </c>
      <c r="AI1318" s="1247">
        <v>2024</v>
      </c>
      <c r="AJ1318" s="1247">
        <v>2025</v>
      </c>
      <c r="AK1318" s="1247">
        <v>2026</v>
      </c>
      <c r="AL1318" s="1247">
        <v>2027</v>
      </c>
      <c r="AM1318" s="1247">
        <v>2028</v>
      </c>
      <c r="AN1318" s="1247">
        <v>2029</v>
      </c>
      <c r="AO1318" s="1247">
        <v>2030</v>
      </c>
      <c r="AP1318" s="1247">
        <v>2031</v>
      </c>
      <c r="AQ1318" s="1247">
        <v>2032</v>
      </c>
      <c r="AR1318" s="1247">
        <v>2033</v>
      </c>
      <c r="AS1318" s="1247">
        <v>2034</v>
      </c>
      <c r="AT1318" s="1247">
        <v>2035</v>
      </c>
    </row>
    <row r="1319" spans="4:46">
      <c r="D1319" s="1241" t="s">
        <v>958</v>
      </c>
      <c r="E1319" s="3127"/>
      <c r="F1319" s="1242"/>
      <c r="G1319" s="1242"/>
      <c r="H1319" s="1242"/>
      <c r="I1319" s="1242"/>
      <c r="J1319" s="1242"/>
      <c r="K1319" s="1242"/>
      <c r="L1319" s="1242"/>
      <c r="M1319" s="1242"/>
      <c r="N1319" s="1242"/>
      <c r="O1319" s="1242"/>
      <c r="P1319" s="1242"/>
      <c r="Q1319" s="1242"/>
      <c r="R1319" s="1242"/>
      <c r="S1319" s="1242"/>
      <c r="T1319" s="1242"/>
      <c r="U1319" s="1242"/>
      <c r="V1319" s="1242"/>
      <c r="W1319" s="1242"/>
      <c r="X1319" s="1242"/>
      <c r="Y1319" s="1242"/>
      <c r="Z1319" s="1242"/>
      <c r="AA1319" s="1242"/>
      <c r="AB1319" s="1242"/>
      <c r="AC1319" s="1243" t="s">
        <v>959</v>
      </c>
      <c r="AD1319" s="1715"/>
      <c r="AE1319" s="1715"/>
      <c r="AF1319" s="1715"/>
      <c r="AG1319" s="1715"/>
      <c r="AH1319" s="1715"/>
      <c r="AI1319" s="1715"/>
      <c r="AJ1319" s="1715"/>
      <c r="AK1319" s="1715"/>
      <c r="AL1319" s="1715"/>
      <c r="AM1319" s="1715"/>
      <c r="AN1319" s="1715"/>
      <c r="AO1319" s="1715"/>
      <c r="AP1319" s="1715"/>
      <c r="AQ1319" s="1715"/>
      <c r="AR1319" s="1715"/>
      <c r="AS1319" s="1715"/>
      <c r="AT1319" s="1715"/>
    </row>
    <row r="1320" spans="4:46">
      <c r="D1320" s="1245" t="s">
        <v>960</v>
      </c>
      <c r="E1320" s="3127"/>
      <c r="F1320" s="1242"/>
      <c r="G1320" s="1242"/>
      <c r="H1320" s="1242"/>
      <c r="I1320" s="1242"/>
      <c r="J1320" s="1242"/>
      <c r="K1320" s="1242"/>
      <c r="L1320" s="1242"/>
      <c r="M1320" s="1242"/>
      <c r="N1320" s="1242"/>
      <c r="O1320" s="1242"/>
      <c r="P1320" s="1242"/>
      <c r="Q1320" s="1242"/>
      <c r="R1320" s="1242"/>
      <c r="S1320" s="1242"/>
      <c r="T1320" s="1242"/>
      <c r="U1320" s="1242"/>
      <c r="V1320" s="1242"/>
      <c r="W1320" s="1242"/>
      <c r="X1320" s="1242"/>
      <c r="Y1320" s="1242"/>
      <c r="Z1320" s="1242"/>
      <c r="AA1320" s="1242"/>
      <c r="AB1320" s="1242"/>
      <c r="AC1320" s="1246">
        <f>+($AD863)/$AD$859</f>
        <v>0.78365579759166559</v>
      </c>
      <c r="AD1320" s="1716">
        <f>+AD863/AC863-1</f>
        <v>2.3864238995934262E-2</v>
      </c>
      <c r="AE1320" s="1716">
        <f t="shared" ref="AE1320:AL1320" si="1256">+AE863/AD863-1</f>
        <v>4.1004834254143585E-2</v>
      </c>
      <c r="AF1320" s="1716">
        <f t="shared" si="1256"/>
        <v>1.8409486690438737E-2</v>
      </c>
      <c r="AG1320" s="3274">
        <f t="shared" si="1256"/>
        <v>-9.7956192492468008E-2</v>
      </c>
      <c r="AH1320" s="1716">
        <f t="shared" si="1256"/>
        <v>0.10552446289944029</v>
      </c>
      <c r="AI1320" s="1716">
        <f t="shared" si="1256"/>
        <v>4.3602514901608602E-2</v>
      </c>
      <c r="AJ1320" s="1716">
        <f t="shared" si="1256"/>
        <v>2.0706054963483878E-2</v>
      </c>
      <c r="AK1320" s="1716">
        <f t="shared" si="1256"/>
        <v>0.10365667595289452</v>
      </c>
      <c r="AL1320" s="1716">
        <f t="shared" si="1256"/>
        <v>8.3751433576477297E-2</v>
      </c>
      <c r="AM1320" s="1716">
        <f t="shared" ref="AM1320:AT1320" si="1257">+AM863/AL863-1</f>
        <v>7.4062680707438933E-2</v>
      </c>
      <c r="AN1320" s="1716">
        <f t="shared" si="1257"/>
        <v>6.6723536126409355E-2</v>
      </c>
      <c r="AO1320" s="1716">
        <f t="shared" si="1257"/>
        <v>3.1138172955396115E-3</v>
      </c>
      <c r="AP1320" s="1716">
        <f t="shared" si="1257"/>
        <v>0.11841238964254885</v>
      </c>
      <c r="AQ1320" s="1716">
        <f t="shared" si="1257"/>
        <v>9.7597060418000314E-2</v>
      </c>
      <c r="AR1320" s="1716">
        <f t="shared" si="1257"/>
        <v>8.8718381125994838E-2</v>
      </c>
      <c r="AS1320" s="1716">
        <f t="shared" si="1257"/>
        <v>4.6517221154932065E-2</v>
      </c>
      <c r="AT1320" s="1716">
        <f t="shared" si="1257"/>
        <v>6.7536205294123075E-3</v>
      </c>
    </row>
    <row r="1321" spans="4:46">
      <c r="D1321" s="1245" t="s">
        <v>961</v>
      </c>
      <c r="E1321" s="3127"/>
      <c r="F1321" s="1242"/>
      <c r="G1321" s="1242"/>
      <c r="H1321" s="1242"/>
      <c r="I1321" s="1242"/>
      <c r="J1321" s="1242"/>
      <c r="K1321" s="1242"/>
      <c r="L1321" s="1242"/>
      <c r="M1321" s="1242"/>
      <c r="N1321" s="1242"/>
      <c r="O1321" s="1242"/>
      <c r="P1321" s="1242"/>
      <c r="Q1321" s="1242"/>
      <c r="R1321" s="1242"/>
      <c r="S1321" s="1242"/>
      <c r="T1321" s="1242"/>
      <c r="U1321" s="1242"/>
      <c r="V1321" s="1242"/>
      <c r="W1321" s="1242"/>
      <c r="X1321" s="1242"/>
      <c r="Y1321" s="1242"/>
      <c r="Z1321" s="1242"/>
      <c r="AA1321" s="1242"/>
      <c r="AB1321" s="1242"/>
      <c r="AC1321" s="1246">
        <f>+($AD860+$AD865)/$AD$859</f>
        <v>0.28636657316311342</v>
      </c>
      <c r="AD1321" s="1716">
        <f t="shared" ref="AD1321:AL1321" si="1258">+(AD860+AD865)/(AC860+AC865)-1</f>
        <v>0.16816974228461823</v>
      </c>
      <c r="AE1321" s="1716">
        <f t="shared" si="1258"/>
        <v>8.8361692067213449E-2</v>
      </c>
      <c r="AF1321" s="1716">
        <f t="shared" si="1258"/>
        <v>-9.8678105316923226E-2</v>
      </c>
      <c r="AG1321" s="1716">
        <f t="shared" si="1258"/>
        <v>4.3058886437295385E-2</v>
      </c>
      <c r="AH1321" s="1716">
        <f t="shared" si="1258"/>
        <v>2.4549460222769826E-2</v>
      </c>
      <c r="AI1321" s="1716">
        <f t="shared" si="1258"/>
        <v>9.8377899350951203E-2</v>
      </c>
      <c r="AJ1321" s="1716">
        <f t="shared" si="1258"/>
        <v>5.400853023796115E-2</v>
      </c>
      <c r="AK1321" s="1716">
        <f t="shared" si="1258"/>
        <v>2.0456145264203363E-2</v>
      </c>
      <c r="AL1321" s="1716">
        <f t="shared" si="1258"/>
        <v>8.5362943554054604E-2</v>
      </c>
      <c r="AM1321" s="1716">
        <f t="shared" ref="AM1321:AT1321" si="1259">+(AM860+AM865)/(AL860+AL865)-1</f>
        <v>7.1342437480603316E-2</v>
      </c>
      <c r="AN1321" s="1716">
        <f t="shared" si="1259"/>
        <v>6.2712587709910617E-2</v>
      </c>
      <c r="AO1321" s="1716">
        <f t="shared" si="1259"/>
        <v>0.36878881270468589</v>
      </c>
      <c r="AP1321" s="1716">
        <f t="shared" si="1259"/>
        <v>5.4085620423969027E-2</v>
      </c>
      <c r="AQ1321" s="1716">
        <f t="shared" si="1259"/>
        <v>8.3933658031901892E-2</v>
      </c>
      <c r="AR1321" s="1716">
        <f t="shared" si="1259"/>
        <v>0.1109562450871584</v>
      </c>
      <c r="AS1321" s="1716">
        <f t="shared" si="1259"/>
        <v>0.19956746119368551</v>
      </c>
      <c r="AT1321" s="1716">
        <f t="shared" si="1259"/>
        <v>0.27581370072475608</v>
      </c>
    </row>
    <row r="1322" spans="4:46">
      <c r="D1322" s="1245" t="s">
        <v>962</v>
      </c>
      <c r="E1322" s="3127"/>
      <c r="F1322" s="1242"/>
      <c r="G1322" s="1242"/>
      <c r="H1322" s="1242"/>
      <c r="I1322" s="1242"/>
      <c r="J1322" s="1242"/>
      <c r="K1322" s="1242"/>
      <c r="L1322" s="1242"/>
      <c r="M1322" s="1242"/>
      <c r="N1322" s="1242"/>
      <c r="O1322" s="1242"/>
      <c r="P1322" s="1242"/>
      <c r="Q1322" s="1242"/>
      <c r="R1322" s="1242"/>
      <c r="S1322" s="1242"/>
      <c r="T1322" s="1242"/>
      <c r="U1322" s="1242"/>
      <c r="V1322" s="1242"/>
      <c r="W1322" s="1242"/>
      <c r="X1322" s="1242"/>
      <c r="Y1322" s="1242"/>
      <c r="Z1322" s="1242"/>
      <c r="AA1322" s="1242"/>
      <c r="AB1322" s="1242"/>
      <c r="AC1322" s="1246">
        <f>+($AD866+$AD869)/$AD$859</f>
        <v>0.19489441993660245</v>
      </c>
      <c r="AD1322" s="1716">
        <f t="shared" ref="AD1322:AL1322" si="1260">+(AD866+AD869)/(AC866+AC869)-1</f>
        <v>0.43807582245260068</v>
      </c>
      <c r="AE1322" s="1716">
        <f t="shared" si="1260"/>
        <v>-0.33671124213367509</v>
      </c>
      <c r="AF1322" s="1716">
        <f t="shared" si="1260"/>
        <v>0.82193255602637993</v>
      </c>
      <c r="AG1322" s="3274">
        <f t="shared" si="1260"/>
        <v>0.25942725936050559</v>
      </c>
      <c r="AH1322" s="1716">
        <f t="shared" si="1260"/>
        <v>0.31419863574139395</v>
      </c>
      <c r="AI1322" s="1716">
        <f t="shared" si="1260"/>
        <v>-4.3482765600292184E-2</v>
      </c>
      <c r="AJ1322" s="1716">
        <f t="shared" si="1260"/>
        <v>0.14124036778179527</v>
      </c>
      <c r="AK1322" s="1716">
        <f t="shared" si="1260"/>
        <v>0.18166009685733964</v>
      </c>
      <c r="AL1322" s="1716">
        <f t="shared" si="1260"/>
        <v>8.9923004664787198E-2</v>
      </c>
      <c r="AM1322" s="1716">
        <f t="shared" ref="AM1322:AT1322" si="1261">+(AM866+AM869)/(AL866+AL869)-1</f>
        <v>-3.9424873504387836E-3</v>
      </c>
      <c r="AN1322" s="1716">
        <f t="shared" si="1261"/>
        <v>5.6501768772339922E-2</v>
      </c>
      <c r="AO1322" s="1716">
        <f t="shared" si="1261"/>
        <v>8.7161538243933911E-3</v>
      </c>
      <c r="AP1322" s="1716">
        <f t="shared" si="1261"/>
        <v>2.5825289302061849E-2</v>
      </c>
      <c r="AQ1322" s="1716">
        <f t="shared" si="1261"/>
        <v>2.7766759053675427E-2</v>
      </c>
      <c r="AR1322" s="1716">
        <f t="shared" si="1261"/>
        <v>2.962141535885765E-2</v>
      </c>
      <c r="AS1322" s="1716">
        <f t="shared" si="1261"/>
        <v>3.1664799184413228E-2</v>
      </c>
      <c r="AT1322" s="1716">
        <f t="shared" si="1261"/>
        <v>3.3659848734824971E-2</v>
      </c>
    </row>
    <row r="1323" spans="4:46">
      <c r="D1323" s="1245" t="s">
        <v>963</v>
      </c>
      <c r="E1323" s="3127"/>
      <c r="F1323" s="1242"/>
      <c r="G1323" s="1242"/>
      <c r="H1323" s="1242"/>
      <c r="I1323" s="1242"/>
      <c r="J1323" s="1242"/>
      <c r="K1323" s="1242"/>
      <c r="L1323" s="1242"/>
      <c r="M1323" s="1242"/>
      <c r="N1323" s="1242"/>
      <c r="O1323" s="1242"/>
      <c r="P1323" s="1242"/>
      <c r="Q1323" s="1242"/>
      <c r="R1323" s="1242"/>
      <c r="S1323" s="1242"/>
      <c r="T1323" s="1242"/>
      <c r="U1323" s="1242"/>
      <c r="V1323" s="1242"/>
      <c r="W1323" s="1242"/>
      <c r="X1323" s="1242"/>
      <c r="Y1323" s="1242"/>
      <c r="Z1323" s="1242"/>
      <c r="AA1323" s="1242"/>
      <c r="AB1323" s="1242"/>
      <c r="AC1323" s="1246">
        <f>+($AD870)/$AD$859</f>
        <v>0.17697199296441618</v>
      </c>
      <c r="AD1323" s="1716">
        <f t="shared" ref="AD1323:AL1323" si="1262">+AD870/AC870-1</f>
        <v>0.19890009165902844</v>
      </c>
      <c r="AE1323" s="1716">
        <f t="shared" si="1262"/>
        <v>-9.5948012232415891E-2</v>
      </c>
      <c r="AF1323" s="1716">
        <f t="shared" si="1262"/>
        <v>2.4101479915433321E-2</v>
      </c>
      <c r="AG1323" s="1716">
        <f t="shared" si="1262"/>
        <v>0.58340214698596204</v>
      </c>
      <c r="AH1323" s="1716">
        <f t="shared" si="1262"/>
        <v>0.24537157757496741</v>
      </c>
      <c r="AI1323" s="1716">
        <f t="shared" si="1262"/>
        <v>0.18299832495812396</v>
      </c>
      <c r="AJ1323" s="1716">
        <f t="shared" si="1262"/>
        <v>-5.0687115203871258E-3</v>
      </c>
      <c r="AK1323" s="1716">
        <f t="shared" si="1262"/>
        <v>0.11937147847758012</v>
      </c>
      <c r="AL1323" s="1716">
        <f t="shared" si="1262"/>
        <v>7.6625602426169337E-2</v>
      </c>
      <c r="AM1323" s="1716">
        <f t="shared" ref="AM1323:AO1324" si="1263">+AM870/AL870-1</f>
        <v>6.6988049265755523E-2</v>
      </c>
      <c r="AN1323" s="1716">
        <f t="shared" si="1263"/>
        <v>4.1443306810655223E-2</v>
      </c>
      <c r="AO1323" s="1716">
        <f t="shared" si="1263"/>
        <v>5.8861207571433871E-2</v>
      </c>
      <c r="AP1323" s="1716">
        <f t="shared" ref="AP1323:AT1324" si="1264">+AP870/AO870-1</f>
        <v>7.1389490634606201E-2</v>
      </c>
      <c r="AQ1323" s="1716">
        <f t="shared" si="1264"/>
        <v>6.9665333777195304E-2</v>
      </c>
      <c r="AR1323" s="1716">
        <f t="shared" si="1264"/>
        <v>7.1284902822825735E-2</v>
      </c>
      <c r="AS1323" s="1716">
        <f t="shared" si="1264"/>
        <v>7.2894521678728674E-2</v>
      </c>
      <c r="AT1323" s="1716">
        <f t="shared" si="1264"/>
        <v>7.448465466052645E-2</v>
      </c>
    </row>
    <row r="1324" spans="4:46">
      <c r="D1324" s="1245" t="s">
        <v>964</v>
      </c>
      <c r="E1324" s="3127"/>
      <c r="F1324" s="1242"/>
      <c r="G1324" s="1242"/>
      <c r="H1324" s="1242"/>
      <c r="I1324" s="1242"/>
      <c r="J1324" s="1242"/>
      <c r="K1324" s="1242"/>
      <c r="L1324" s="1242"/>
      <c r="M1324" s="1242"/>
      <c r="N1324" s="1242"/>
      <c r="O1324" s="1242"/>
      <c r="P1324" s="1242"/>
      <c r="Q1324" s="1242"/>
      <c r="R1324" s="1242"/>
      <c r="S1324" s="1242"/>
      <c r="T1324" s="1242"/>
      <c r="U1324" s="1242"/>
      <c r="V1324" s="1242"/>
      <c r="W1324" s="1242"/>
      <c r="X1324" s="1242"/>
      <c r="Y1324" s="1242"/>
      <c r="Z1324" s="1242"/>
      <c r="AA1324" s="1242"/>
      <c r="AB1324" s="1242"/>
      <c r="AC1324" s="1246">
        <f>+($AD871)/$AD$859</f>
        <v>0.46184548775537815</v>
      </c>
      <c r="AD1324" s="1716">
        <f t="shared" ref="AD1324:AL1324" si="1265">+AD871/AC871-1</f>
        <v>0.17950932964754673</v>
      </c>
      <c r="AE1324" s="1716">
        <f t="shared" si="1265"/>
        <v>-3.6619305697964011E-2</v>
      </c>
      <c r="AF1324" s="1716">
        <f t="shared" si="1265"/>
        <v>2.7064010947240424E-2</v>
      </c>
      <c r="AG1324" s="3274">
        <f t="shared" si="1265"/>
        <v>-3.5085122131754298E-2</v>
      </c>
      <c r="AH1324" s="1716">
        <f t="shared" si="1265"/>
        <v>0.27170911322491564</v>
      </c>
      <c r="AI1324" s="1716">
        <f t="shared" si="1265"/>
        <v>3.6071902521414012E-2</v>
      </c>
      <c r="AJ1324" s="1716">
        <f t="shared" si="1265"/>
        <v>4.7217706432192141E-3</v>
      </c>
      <c r="AK1324" s="1716">
        <f t="shared" si="1265"/>
        <v>0.17105826960576365</v>
      </c>
      <c r="AL1324" s="1716">
        <f t="shared" si="1265"/>
        <v>7.1575901504078221E-2</v>
      </c>
      <c r="AM1324" s="1716">
        <f t="shared" si="1263"/>
        <v>-1.5458045037041734E-2</v>
      </c>
      <c r="AN1324" s="1716">
        <f t="shared" si="1263"/>
        <v>6.9925903616760987E-3</v>
      </c>
      <c r="AO1324" s="1716">
        <f t="shared" si="1263"/>
        <v>4.49378365084252E-2</v>
      </c>
      <c r="AP1324" s="1716">
        <f t="shared" si="1264"/>
        <v>5.6113472630055394E-2</v>
      </c>
      <c r="AQ1324" s="1716">
        <f t="shared" si="1264"/>
        <v>4.646004632878209E-2</v>
      </c>
      <c r="AR1324" s="1716">
        <f t="shared" si="1264"/>
        <v>4.9089855507388425E-2</v>
      </c>
      <c r="AS1324" s="1716">
        <f t="shared" si="1264"/>
        <v>4.6180343973458715E-2</v>
      </c>
      <c r="AT1324" s="1716">
        <f t="shared" si="1264"/>
        <v>5.0698146493564522E-2</v>
      </c>
    </row>
    <row r="1325" spans="4:46">
      <c r="D1325" s="295" t="s">
        <v>965</v>
      </c>
    </row>
  </sheetData>
  <mergeCells count="7">
    <mergeCell ref="AV455:AZ455"/>
    <mergeCell ref="E938:E942"/>
    <mergeCell ref="AU490:AY490"/>
    <mergeCell ref="B590:B591"/>
    <mergeCell ref="E891:E892"/>
    <mergeCell ref="E895:E896"/>
    <mergeCell ref="E927:E928"/>
  </mergeCells>
  <phoneticPr fontId="32" type="noConversion"/>
  <pageMargins left="0.25" right="0.2" top="0" bottom="0" header="0.3" footer="0.3"/>
  <pageSetup scale="91" orientation="landscape" verticalDpi="300" r:id="rId1"/>
  <ignoredErrors>
    <ignoredError sqref="AH441:AO441 AH446:AO446" formulaRange="1"/>
    <ignoredError sqref="AP472:AT472" formula="1"/>
  </ignoredErrors>
  <drawing r:id="rId2"/>
  <legacyDrawing r:id="rId3"/>
  <controls>
    <mc:AlternateContent xmlns:mc="http://schemas.openxmlformats.org/markup-compatibility/2006">
      <mc:Choice Requires="x14">
        <control shapeId="1187" r:id="rId4" name="CommandButton1">
          <controlPr autoFill="0" autoLine="0" r:id="rId5">
            <anchor moveWithCells="1">
              <from>
                <xdr:col>3</xdr:col>
                <xdr:colOff>57150</xdr:colOff>
                <xdr:row>0</xdr:row>
                <xdr:rowOff>0</xdr:rowOff>
              </from>
              <to>
                <xdr:col>3</xdr:col>
                <xdr:colOff>1485900</xdr:colOff>
                <xdr:row>1</xdr:row>
                <xdr:rowOff>104775</xdr:rowOff>
              </to>
            </anchor>
          </controlPr>
        </control>
      </mc:Choice>
      <mc:Fallback>
        <control shapeId="1187" r:id="rId4" name="CommandButton1"/>
      </mc:Fallback>
    </mc:AlternateContent>
    <mc:AlternateContent xmlns:mc="http://schemas.openxmlformats.org/markup-compatibility/2006">
      <mc:Choice Requires="x14">
        <control shapeId="1188" r:id="rId6" name="CommandButton2">
          <controlPr autoFill="0" autoLine="0" r:id="rId7">
            <anchor moveWithCells="1">
              <from>
                <xdr:col>3</xdr:col>
                <xdr:colOff>1860550</xdr:colOff>
                <xdr:row>0</xdr:row>
                <xdr:rowOff>12700</xdr:rowOff>
              </from>
              <to>
                <xdr:col>4</xdr:col>
                <xdr:colOff>409575</xdr:colOff>
                <xdr:row>1</xdr:row>
                <xdr:rowOff>104775</xdr:rowOff>
              </to>
            </anchor>
          </controlPr>
        </control>
      </mc:Choice>
      <mc:Fallback>
        <control shapeId="1188" r:id="rId6" name="CommandButton2"/>
      </mc:Fallback>
    </mc:AlternateContent>
    <mc:AlternateContent xmlns:mc="http://schemas.openxmlformats.org/markup-compatibility/2006">
      <mc:Choice Requires="x14">
        <control shapeId="1189" r:id="rId8" name="CommandButton3">
          <controlPr autoFill="0" autoLine="0" r:id="rId9">
            <anchor moveWithCells="1">
              <from>
                <xdr:col>38</xdr:col>
                <xdr:colOff>107950</xdr:colOff>
                <xdr:row>0</xdr:row>
                <xdr:rowOff>0</xdr:rowOff>
              </from>
              <to>
                <xdr:col>39</xdr:col>
                <xdr:colOff>180975</xdr:colOff>
                <xdr:row>1</xdr:row>
                <xdr:rowOff>95250</xdr:rowOff>
              </to>
            </anchor>
          </controlPr>
        </control>
      </mc:Choice>
      <mc:Fallback>
        <control shapeId="1189" r:id="rId8" name="CommandButton3"/>
      </mc:Fallback>
    </mc:AlternateContent>
    <mc:AlternateContent xmlns:mc="http://schemas.openxmlformats.org/markup-compatibility/2006">
      <mc:Choice Requires="x14">
        <control shapeId="1190" r:id="rId10" name="CommandButton4">
          <controlPr autoFill="0" autoLine="0" r:id="rId11">
            <anchor moveWithCells="1">
              <from>
                <xdr:col>33</xdr:col>
                <xdr:colOff>412750</xdr:colOff>
                <xdr:row>0</xdr:row>
                <xdr:rowOff>0</xdr:rowOff>
              </from>
              <to>
                <xdr:col>35</xdr:col>
                <xdr:colOff>314325</xdr:colOff>
                <xdr:row>1</xdr:row>
                <xdr:rowOff>104775</xdr:rowOff>
              </to>
            </anchor>
          </controlPr>
        </control>
      </mc:Choice>
      <mc:Fallback>
        <control shapeId="1190" r:id="rId10" name="CommandButton4"/>
      </mc:Fallback>
    </mc:AlternateContent>
    <mc:AlternateContent xmlns:mc="http://schemas.openxmlformats.org/markup-compatibility/2006">
      <mc:Choice Requires="x14">
        <control shapeId="1191" r:id="rId12" name="CommandButton5">
          <controlPr autoFill="0" autoLine="0" r:id="rId13">
            <anchor moveWithCells="1">
              <from>
                <xdr:col>36</xdr:col>
                <xdr:colOff>0</xdr:colOff>
                <xdr:row>0</xdr:row>
                <xdr:rowOff>44450</xdr:rowOff>
              </from>
              <to>
                <xdr:col>37</xdr:col>
                <xdr:colOff>590550</xdr:colOff>
                <xdr:row>1</xdr:row>
                <xdr:rowOff>152400</xdr:rowOff>
              </to>
            </anchor>
          </controlPr>
        </control>
      </mc:Choice>
      <mc:Fallback>
        <control shapeId="1191" r:id="rId12" name="CommandButton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XFD235"/>
  <sheetViews>
    <sheetView topLeftCell="A40" zoomScale="94" zoomScaleNormal="94" workbookViewId="0">
      <pane xSplit="6420" ySplit="5160" topLeftCell="A82" activePane="topRight"/>
      <selection activeCell="A63" sqref="A63"/>
      <selection pane="topRight" activeCell="D48" sqref="D48"/>
      <selection pane="bottomLeft" activeCell="C87" sqref="A87:XFD87"/>
      <selection pane="bottomRight" activeCell="A96" sqref="A96"/>
    </sheetView>
  </sheetViews>
  <sheetFormatPr defaultColWidth="0" defaultRowHeight="14.75"/>
  <cols>
    <col min="1" max="1" width="18.7265625" style="295" customWidth="1"/>
    <col min="2" max="2" width="14.08984375" style="295" customWidth="1"/>
    <col min="3" max="3" width="12.08984375" style="295" customWidth="1"/>
    <col min="4" max="4" width="46.04296875" customWidth="1"/>
    <col min="5" max="5" width="10.453125" customWidth="1"/>
    <col min="6" max="6" width="12.26953125" customWidth="1"/>
    <col min="7" max="7" width="15.08984375" customWidth="1"/>
    <col min="8" max="8" width="13.90625" customWidth="1"/>
    <col min="9" max="9" width="13.7265625" customWidth="1"/>
    <col min="10" max="10" width="18.08984375" customWidth="1"/>
    <col min="11" max="11" width="16.453125" customWidth="1"/>
    <col min="12" max="12" width="15.453125" customWidth="1"/>
    <col min="13" max="13" width="15.08984375" customWidth="1"/>
    <col min="14" max="14" width="15.36328125" customWidth="1"/>
    <col min="15" max="15" width="14" customWidth="1"/>
    <col min="16" max="16" width="17.08984375" customWidth="1"/>
    <col min="17" max="17" width="12.7265625" customWidth="1"/>
    <col min="18" max="18" width="16" customWidth="1"/>
    <col min="19" max="19" width="9.453125" style="50" customWidth="1"/>
    <col min="20" max="20" width="12.7265625" customWidth="1"/>
    <col min="21" max="21" width="19.453125" customWidth="1"/>
    <col min="22" max="22" width="11.453125" customWidth="1"/>
    <col min="16384" max="16384" width="25.26953125" customWidth="1"/>
  </cols>
  <sheetData>
    <row r="1" spans="1:21" ht="16">
      <c r="A1" s="500" t="s">
        <v>11</v>
      </c>
      <c r="B1" s="501" t="s">
        <v>29</v>
      </c>
      <c r="C1" s="502" t="s">
        <v>137</v>
      </c>
      <c r="D1" s="1"/>
      <c r="E1" s="1"/>
      <c r="F1" s="1"/>
      <c r="G1" s="1"/>
      <c r="H1" s="1"/>
      <c r="I1" s="1"/>
      <c r="J1" s="1"/>
      <c r="K1" s="1"/>
      <c r="L1" s="1"/>
      <c r="M1" s="1"/>
      <c r="N1" s="1"/>
      <c r="O1" s="1"/>
      <c r="P1" s="1"/>
      <c r="Q1" s="1"/>
      <c r="R1" s="1"/>
      <c r="S1" s="1"/>
      <c r="U1" s="1"/>
    </row>
    <row r="3" spans="1:21">
      <c r="A3" s="293"/>
      <c r="B3" s="293"/>
      <c r="D3" s="56" t="s">
        <v>1765</v>
      </c>
      <c r="E3" s="1365"/>
      <c r="F3" s="55" t="s">
        <v>1674</v>
      </c>
      <c r="G3" s="493"/>
      <c r="S3"/>
    </row>
    <row r="4" spans="1:21">
      <c r="A4" s="293"/>
      <c r="B4" s="293"/>
      <c r="D4" s="57" t="s">
        <v>33</v>
      </c>
      <c r="E4" s="1338"/>
      <c r="F4" s="53"/>
      <c r="S4"/>
    </row>
    <row r="5" spans="1:21">
      <c r="A5" s="293"/>
      <c r="B5" s="293"/>
      <c r="D5" s="58" t="s">
        <v>526</v>
      </c>
      <c r="E5" s="679"/>
      <c r="F5" s="497"/>
      <c r="S5"/>
    </row>
    <row r="6" spans="1:21">
      <c r="A6" s="293"/>
      <c r="B6" s="293"/>
      <c r="D6" s="682" t="s">
        <v>645</v>
      </c>
      <c r="E6" s="682"/>
      <c r="F6" s="703">
        <v>0</v>
      </c>
      <c r="S6"/>
    </row>
    <row r="7" spans="1:21">
      <c r="A7" s="293"/>
      <c r="B7" s="293"/>
      <c r="D7" s="682" t="s">
        <v>598</v>
      </c>
      <c r="E7" s="682"/>
      <c r="F7" s="1465">
        <v>0</v>
      </c>
      <c r="S7"/>
    </row>
    <row r="8" spans="1:21">
      <c r="A8" s="293"/>
      <c r="B8" s="293"/>
      <c r="D8" s="333" t="s">
        <v>939</v>
      </c>
      <c r="E8" s="665"/>
      <c r="F8" s="498">
        <v>7.3341054266399655E-2</v>
      </c>
      <c r="S8"/>
    </row>
    <row r="9" spans="1:21">
      <c r="A9" s="293"/>
      <c r="B9" s="293"/>
      <c r="D9" s="333" t="s">
        <v>706</v>
      </c>
      <c r="E9" s="665"/>
      <c r="F9" s="498">
        <v>6.0742829158975657E-2</v>
      </c>
      <c r="S9"/>
    </row>
    <row r="10" spans="1:21">
      <c r="A10" s="293"/>
      <c r="B10" s="293"/>
      <c r="D10" s="3904" t="s">
        <v>1276</v>
      </c>
      <c r="E10" s="665"/>
      <c r="F10" s="498">
        <v>0.24693759082115435</v>
      </c>
      <c r="S10"/>
    </row>
    <row r="11" spans="1:21">
      <c r="A11" s="3855" t="s">
        <v>1484</v>
      </c>
      <c r="B11" s="295" t="s">
        <v>1273</v>
      </c>
      <c r="C11" s="295" t="s">
        <v>30</v>
      </c>
      <c r="D11" s="333" t="s">
        <v>1739</v>
      </c>
      <c r="E11" s="665"/>
      <c r="F11" s="498">
        <v>9.9056603773584939E-2</v>
      </c>
      <c r="S11"/>
    </row>
    <row r="12" spans="1:21">
      <c r="A12" s="3855"/>
      <c r="D12" s="682" t="s">
        <v>855</v>
      </c>
      <c r="E12" s="682"/>
      <c r="F12" s="2886">
        <v>0</v>
      </c>
      <c r="S12"/>
    </row>
    <row r="13" spans="1:21">
      <c r="A13" s="3855"/>
      <c r="B13" s="295" t="s">
        <v>1273</v>
      </c>
      <c r="C13" s="295" t="s">
        <v>30</v>
      </c>
      <c r="D13" s="333" t="s">
        <v>1740</v>
      </c>
      <c r="E13" s="665"/>
      <c r="F13" s="498">
        <v>5.6603773584905648E-2</v>
      </c>
      <c r="S13"/>
    </row>
    <row r="14" spans="1:21">
      <c r="A14" s="3855"/>
      <c r="D14" s="682" t="s">
        <v>646</v>
      </c>
      <c r="E14" s="682"/>
      <c r="F14" s="703">
        <v>0</v>
      </c>
      <c r="G14" s="87">
        <v>0</v>
      </c>
      <c r="S14"/>
    </row>
    <row r="15" spans="1:21">
      <c r="A15" s="3855"/>
      <c r="B15" s="295" t="s">
        <v>1273</v>
      </c>
      <c r="C15" s="295" t="s">
        <v>30</v>
      </c>
      <c r="D15" s="333" t="s">
        <v>1738</v>
      </c>
      <c r="E15" s="665"/>
      <c r="F15" s="498">
        <v>0.28205128205128216</v>
      </c>
      <c r="G15" s="2860">
        <v>0</v>
      </c>
      <c r="S15"/>
    </row>
    <row r="16" spans="1:21">
      <c r="A16" s="3855"/>
      <c r="B16" s="293"/>
      <c r="D16" s="58" t="s">
        <v>1679</v>
      </c>
      <c r="E16" s="679"/>
      <c r="F16" s="497"/>
      <c r="S16"/>
    </row>
    <row r="17" spans="1:30" s="1" customFormat="1" ht="16">
      <c r="A17" s="3855"/>
      <c r="B17" s="295"/>
      <c r="C17" s="1226"/>
      <c r="D17" s="333" t="s">
        <v>386</v>
      </c>
      <c r="E17" s="665"/>
      <c r="F17" s="497">
        <f>GDP!AI322</f>
        <v>0.44727248579539791</v>
      </c>
      <c r="G17"/>
      <c r="H17"/>
      <c r="I17"/>
      <c r="J17"/>
      <c r="K17"/>
      <c r="L17"/>
      <c r="M17"/>
      <c r="N17"/>
      <c r="O17"/>
      <c r="P17"/>
      <c r="Q17"/>
      <c r="R17"/>
      <c r="S17"/>
      <c r="T17"/>
      <c r="U17" s="50"/>
      <c r="V17" s="50"/>
      <c r="W17" s="50"/>
      <c r="X17" s="50"/>
      <c r="Y17" s="402"/>
      <c r="Z17" s="402"/>
      <c r="AA17" s="402"/>
      <c r="AB17" s="402"/>
      <c r="AC17" s="50"/>
      <c r="AD17" s="50"/>
    </row>
    <row r="18" spans="1:30" s="1" customFormat="1" ht="16">
      <c r="A18" s="297"/>
      <c r="B18" s="295"/>
      <c r="C18" s="293"/>
      <c r="D18" s="682" t="s">
        <v>860</v>
      </c>
      <c r="E18" s="682"/>
      <c r="F18" s="1465">
        <v>0</v>
      </c>
      <c r="G18"/>
      <c r="H18"/>
      <c r="I18"/>
      <c r="J18"/>
      <c r="K18"/>
      <c r="L18"/>
      <c r="M18"/>
      <c r="N18"/>
      <c r="O18"/>
      <c r="P18"/>
      <c r="Q18"/>
      <c r="R18"/>
      <c r="S18"/>
      <c r="T18"/>
      <c r="U18" s="50"/>
      <c r="V18" s="50"/>
      <c r="W18" s="50"/>
      <c r="X18" s="50"/>
      <c r="Y18" s="402"/>
      <c r="Z18" s="402"/>
      <c r="AA18" s="402"/>
      <c r="AB18" s="402"/>
      <c r="AC18" s="50"/>
      <c r="AD18" s="50"/>
    </row>
    <row r="19" spans="1:30" s="1" customFormat="1" ht="16">
      <c r="A19" s="297"/>
      <c r="B19" s="295"/>
      <c r="C19" s="293"/>
      <c r="D19" s="682" t="s">
        <v>1684</v>
      </c>
      <c r="E19" s="682"/>
      <c r="F19" s="1465">
        <v>0</v>
      </c>
      <c r="G19"/>
      <c r="H19"/>
      <c r="I19"/>
      <c r="J19"/>
      <c r="K19"/>
      <c r="L19"/>
      <c r="M19"/>
      <c r="N19"/>
      <c r="O19"/>
      <c r="P19"/>
      <c r="Q19"/>
      <c r="R19"/>
      <c r="S19"/>
      <c r="T19"/>
      <c r="U19" s="50"/>
      <c r="V19" s="50"/>
      <c r="W19" s="50"/>
      <c r="X19" s="50"/>
      <c r="Y19" s="496"/>
      <c r="Z19" s="496"/>
      <c r="AA19" s="496"/>
      <c r="AB19" s="496"/>
      <c r="AC19" s="50"/>
      <c r="AD19" s="50"/>
    </row>
    <row r="20" spans="1:30" s="1" customFormat="1" ht="16">
      <c r="A20" s="297" t="s">
        <v>93</v>
      </c>
      <c r="B20" s="295" t="s">
        <v>634</v>
      </c>
      <c r="C20" s="293" t="s">
        <v>30</v>
      </c>
      <c r="D20" s="333" t="s">
        <v>1741</v>
      </c>
      <c r="E20" s="665"/>
      <c r="F20" s="2166">
        <f>GDP!AI323</f>
        <v>4.2319085907744913E-3</v>
      </c>
      <c r="G20" s="264"/>
      <c r="H20"/>
      <c r="I20"/>
      <c r="J20"/>
      <c r="K20"/>
      <c r="L20"/>
      <c r="M20"/>
      <c r="N20"/>
      <c r="O20"/>
      <c r="P20"/>
      <c r="Q20"/>
      <c r="R20"/>
      <c r="S20"/>
      <c r="T20"/>
      <c r="U20" s="50"/>
      <c r="V20" s="50"/>
      <c r="W20" s="50"/>
      <c r="X20" s="50"/>
      <c r="Y20" s="496"/>
      <c r="Z20" s="496"/>
      <c r="AA20" s="496"/>
      <c r="AB20" s="496"/>
      <c r="AC20" s="50"/>
      <c r="AD20" s="50"/>
    </row>
    <row r="21" spans="1:30">
      <c r="A21" s="297" t="s">
        <v>38</v>
      </c>
      <c r="C21" s="293"/>
      <c r="D21" s="333" t="s">
        <v>388</v>
      </c>
      <c r="E21" s="665"/>
      <c r="F21" s="497">
        <f>GDP!AI330</f>
        <v>0.29983635979999124</v>
      </c>
    </row>
    <row r="22" spans="1:30">
      <c r="A22" s="297" t="s">
        <v>38</v>
      </c>
      <c r="B22" s="295" t="s">
        <v>486</v>
      </c>
      <c r="C22" s="293" t="s">
        <v>30</v>
      </c>
      <c r="D22" s="333" t="s">
        <v>1737</v>
      </c>
      <c r="E22" s="665"/>
      <c r="F22" s="2166">
        <v>0.32239253967498088</v>
      </c>
    </row>
    <row r="23" spans="1:30">
      <c r="A23" s="297"/>
      <c r="C23" s="293" t="s">
        <v>30</v>
      </c>
      <c r="D23" s="333" t="s">
        <v>508</v>
      </c>
      <c r="E23" s="665"/>
      <c r="F23" s="2167">
        <f>M104/M87</f>
        <v>0.1477861995248935</v>
      </c>
    </row>
    <row r="24" spans="1:30">
      <c r="A24" s="297"/>
      <c r="C24" s="293"/>
      <c r="D24" s="333" t="s">
        <v>1735</v>
      </c>
      <c r="E24" s="665"/>
      <c r="F24" s="2166">
        <f>M104/J104-1</f>
        <v>-0.12148490802368006</v>
      </c>
    </row>
    <row r="25" spans="1:30">
      <c r="A25" s="297"/>
      <c r="C25" s="293"/>
      <c r="D25" s="333" t="s">
        <v>1736</v>
      </c>
      <c r="E25" s="665"/>
      <c r="F25" s="2166">
        <f>M92/J92-1</f>
        <v>-0.23850671363253295</v>
      </c>
    </row>
    <row r="26" spans="1:30">
      <c r="A26" s="297"/>
      <c r="C26" s="293"/>
      <c r="D26" s="682" t="s">
        <v>857</v>
      </c>
      <c r="E26" s="682"/>
      <c r="F26" s="2859">
        <v>0</v>
      </c>
      <c r="U26" s="87"/>
    </row>
    <row r="27" spans="1:30">
      <c r="A27" s="297"/>
      <c r="B27" s="295" t="s">
        <v>512</v>
      </c>
      <c r="C27" s="293" t="s">
        <v>30</v>
      </c>
      <c r="D27" s="333" t="s">
        <v>511</v>
      </c>
      <c r="E27" s="665"/>
      <c r="F27" s="643">
        <v>0</v>
      </c>
    </row>
    <row r="28" spans="1:30">
      <c r="A28" s="295" t="s">
        <v>38</v>
      </c>
      <c r="B28" s="295" t="s">
        <v>635</v>
      </c>
      <c r="D28" s="333" t="s">
        <v>487</v>
      </c>
      <c r="E28" s="665"/>
      <c r="F28" s="497">
        <v>0.51983578198846392</v>
      </c>
      <c r="G28" s="3856" t="s">
        <v>795</v>
      </c>
    </row>
    <row r="29" spans="1:30">
      <c r="A29" s="295" t="s">
        <v>38</v>
      </c>
      <c r="D29" s="333" t="s">
        <v>1287</v>
      </c>
      <c r="E29" s="665"/>
      <c r="F29" s="498">
        <v>0.18</v>
      </c>
      <c r="G29" s="3856"/>
    </row>
    <row r="30" spans="1:30">
      <c r="A30" s="295" t="s">
        <v>38</v>
      </c>
      <c r="B30" s="295" t="s">
        <v>1273</v>
      </c>
      <c r="C30" s="295" t="s">
        <v>30</v>
      </c>
      <c r="D30" s="333" t="s">
        <v>1664</v>
      </c>
      <c r="E30" s="665"/>
      <c r="F30" s="643">
        <v>-5.8823529411764719E-2</v>
      </c>
    </row>
    <row r="31" spans="1:30">
      <c r="D31" s="682" t="s">
        <v>1685</v>
      </c>
      <c r="E31" s="682"/>
      <c r="F31" s="1465">
        <v>0</v>
      </c>
    </row>
    <row r="32" spans="1:30">
      <c r="A32" s="295" t="s">
        <v>38</v>
      </c>
      <c r="C32" s="1225"/>
      <c r="D32" s="333" t="s">
        <v>1277</v>
      </c>
      <c r="E32" s="665"/>
      <c r="F32" s="497">
        <v>0.25567051175533917</v>
      </c>
    </row>
    <row r="33" spans="1:14">
      <c r="A33" s="295" t="s">
        <v>38</v>
      </c>
      <c r="B33" s="295" t="s">
        <v>1274</v>
      </c>
      <c r="C33" s="1225" t="s">
        <v>30</v>
      </c>
      <c r="D33" s="333" t="s">
        <v>1742</v>
      </c>
      <c r="E33" s="665"/>
      <c r="F33" s="498">
        <v>0.2</v>
      </c>
    </row>
    <row r="34" spans="1:14">
      <c r="D34" s="682" t="s">
        <v>856</v>
      </c>
      <c r="E34" s="682"/>
      <c r="F34" s="717">
        <v>0</v>
      </c>
    </row>
    <row r="35" spans="1:14">
      <c r="A35" s="295" t="s">
        <v>38</v>
      </c>
      <c r="C35" s="1225"/>
      <c r="D35" s="333" t="s">
        <v>1278</v>
      </c>
      <c r="E35" s="665"/>
      <c r="F35" s="497">
        <f>GDP!AI334</f>
        <v>0.38648772500946732</v>
      </c>
    </row>
    <row r="36" spans="1:14">
      <c r="A36" s="295" t="s">
        <v>38</v>
      </c>
      <c r="C36" s="1225"/>
      <c r="D36" s="333" t="s">
        <v>1744</v>
      </c>
      <c r="E36" s="665"/>
      <c r="F36" s="497">
        <v>0.18</v>
      </c>
    </row>
    <row r="37" spans="1:14">
      <c r="A37" s="295" t="s">
        <v>1484</v>
      </c>
      <c r="B37" s="295" t="s">
        <v>1273</v>
      </c>
      <c r="C37" s="1225"/>
      <c r="D37" s="665" t="s">
        <v>1743</v>
      </c>
      <c r="E37" s="665"/>
      <c r="F37" s="806">
        <v>0.22999999999999998</v>
      </c>
    </row>
    <row r="38" spans="1:14">
      <c r="D38" s="685" t="s">
        <v>1686</v>
      </c>
      <c r="E38" s="682"/>
      <c r="F38" s="1465">
        <v>0</v>
      </c>
    </row>
    <row r="39" spans="1:14">
      <c r="A39" s="295" t="s">
        <v>1488</v>
      </c>
      <c r="B39" s="295" t="s">
        <v>1273</v>
      </c>
      <c r="C39" s="295" t="s">
        <v>30</v>
      </c>
      <c r="D39" s="665" t="s">
        <v>1687</v>
      </c>
      <c r="E39" s="665"/>
      <c r="F39" s="661">
        <v>0.34117647058823541</v>
      </c>
      <c r="G39" s="2869">
        <v>0</v>
      </c>
    </row>
    <row r="40" spans="1:14">
      <c r="A40" s="295" t="s">
        <v>1488</v>
      </c>
      <c r="B40" s="295" t="s">
        <v>1273</v>
      </c>
      <c r="C40" s="295" t="s">
        <v>30</v>
      </c>
      <c r="D40" s="665" t="s">
        <v>1688</v>
      </c>
      <c r="E40" s="665"/>
      <c r="F40" s="661">
        <v>0.2068965517241379</v>
      </c>
      <c r="G40" s="2869">
        <v>0</v>
      </c>
    </row>
    <row r="41" spans="1:14">
      <c r="A41" s="295" t="s">
        <v>1488</v>
      </c>
      <c r="B41" s="295" t="s">
        <v>1273</v>
      </c>
      <c r="C41" s="295" t="s">
        <v>30</v>
      </c>
      <c r="D41" s="665" t="s">
        <v>1288</v>
      </c>
      <c r="E41" s="665"/>
      <c r="F41" s="806">
        <v>4.9382716049382713E-2</v>
      </c>
      <c r="G41" s="2869">
        <v>0</v>
      </c>
    </row>
    <row r="42" spans="1:14">
      <c r="D42" s="682" t="s">
        <v>813</v>
      </c>
      <c r="E42" s="682"/>
      <c r="F42" s="718">
        <v>0</v>
      </c>
    </row>
    <row r="43" spans="1:14">
      <c r="C43" s="1225"/>
      <c r="D43" s="641" t="s">
        <v>35</v>
      </c>
      <c r="E43" s="671"/>
      <c r="F43" s="498"/>
    </row>
    <row r="44" spans="1:14">
      <c r="A44" s="295" t="s">
        <v>1484</v>
      </c>
      <c r="C44" s="1225"/>
      <c r="D44" s="665" t="s">
        <v>1279</v>
      </c>
      <c r="E44" s="665"/>
      <c r="F44" s="2782">
        <v>0.14000000000000001</v>
      </c>
    </row>
    <row r="45" spans="1:14">
      <c r="A45" s="295" t="s">
        <v>1484</v>
      </c>
      <c r="C45" s="1225"/>
      <c r="D45" s="665" t="s">
        <v>1485</v>
      </c>
      <c r="E45" s="665"/>
      <c r="F45" s="661">
        <f>GDP!AI347</f>
        <v>0.38180879547539476</v>
      </c>
    </row>
    <row r="46" spans="1:14">
      <c r="A46" s="295" t="s">
        <v>1484</v>
      </c>
      <c r="C46" s="1225"/>
      <c r="D46" s="665" t="s">
        <v>1280</v>
      </c>
      <c r="E46" s="665"/>
      <c r="F46" s="661">
        <f>GDP!AI345</f>
        <v>0.32</v>
      </c>
    </row>
    <row r="47" spans="1:14">
      <c r="A47" s="295" t="s">
        <v>1484</v>
      </c>
      <c r="B47" s="295" t="s">
        <v>1273</v>
      </c>
      <c r="C47" s="1225"/>
      <c r="D47" s="665" t="s">
        <v>1745</v>
      </c>
      <c r="E47" s="665"/>
      <c r="F47" s="661">
        <v>0.11</v>
      </c>
    </row>
    <row r="48" spans="1:14">
      <c r="A48" s="295" t="s">
        <v>1484</v>
      </c>
      <c r="C48" s="1225" t="s">
        <v>30</v>
      </c>
      <c r="D48" s="665" t="s">
        <v>1281</v>
      </c>
      <c r="E48" s="665"/>
      <c r="F48" s="661">
        <f>GDP!AI347</f>
        <v>0.38180879547539476</v>
      </c>
      <c r="N48" s="1382"/>
    </row>
    <row r="49" spans="1:19">
      <c r="B49" s="292"/>
      <c r="C49" s="1225"/>
      <c r="D49" s="665" t="s">
        <v>1746</v>
      </c>
      <c r="E49" s="665"/>
      <c r="F49" s="661">
        <v>0.02</v>
      </c>
      <c r="N49" s="1382"/>
    </row>
    <row r="50" spans="1:19">
      <c r="B50" s="292"/>
      <c r="D50" s="682" t="s">
        <v>650</v>
      </c>
      <c r="E50" s="682"/>
      <c r="F50" s="2804">
        <v>0</v>
      </c>
      <c r="N50" s="1382"/>
    </row>
    <row r="51" spans="1:19">
      <c r="A51" s="293"/>
      <c r="B51" s="291"/>
      <c r="D51" s="641" t="s">
        <v>516</v>
      </c>
      <c r="E51" s="679"/>
      <c r="F51" s="54"/>
      <c r="N51" s="1382"/>
      <c r="S51"/>
    </row>
    <row r="52" spans="1:19">
      <c r="A52" s="293" t="s">
        <v>1487</v>
      </c>
      <c r="B52" s="292" t="s">
        <v>1486</v>
      </c>
      <c r="C52" s="295" t="s">
        <v>30</v>
      </c>
      <c r="D52" s="665" t="s">
        <v>1673</v>
      </c>
      <c r="E52" s="665"/>
      <c r="F52" s="804">
        <v>0.32608695652173902</v>
      </c>
      <c r="G52" s="1055">
        <v>0</v>
      </c>
      <c r="N52" s="1382"/>
      <c r="S52"/>
    </row>
    <row r="53" spans="1:19">
      <c r="A53" s="295" t="s">
        <v>1271</v>
      </c>
      <c r="B53" s="292" t="s">
        <v>1270</v>
      </c>
      <c r="C53" s="295" t="s">
        <v>30</v>
      </c>
      <c r="D53" s="665" t="s">
        <v>1285</v>
      </c>
      <c r="E53" s="665"/>
      <c r="F53" s="702">
        <v>0.19069010744239145</v>
      </c>
    </row>
    <row r="54" spans="1:19">
      <c r="B54" s="292"/>
      <c r="D54" s="682" t="s">
        <v>647</v>
      </c>
      <c r="E54" s="682"/>
      <c r="F54" s="2867">
        <v>0</v>
      </c>
    </row>
    <row r="55" spans="1:19">
      <c r="A55" s="295" t="s">
        <v>1271</v>
      </c>
      <c r="B55" s="292" t="s">
        <v>1270</v>
      </c>
      <c r="C55" s="295" t="s">
        <v>30</v>
      </c>
      <c r="D55" s="665" t="s">
        <v>1668</v>
      </c>
      <c r="E55" s="665"/>
      <c r="F55" s="2782">
        <v>0.23258312889433563</v>
      </c>
      <c r="M55" s="2783"/>
    </row>
    <row r="56" spans="1:19">
      <c r="B56" s="292"/>
      <c r="D56" s="682" t="s">
        <v>954</v>
      </c>
      <c r="E56" s="682"/>
      <c r="F56" s="718">
        <v>0</v>
      </c>
    </row>
    <row r="57" spans="1:19">
      <c r="A57" s="295" t="s">
        <v>1271</v>
      </c>
      <c r="B57" s="292" t="s">
        <v>1270</v>
      </c>
      <c r="C57" s="295" t="s">
        <v>30</v>
      </c>
      <c r="D57" s="665" t="s">
        <v>1489</v>
      </c>
      <c r="E57" s="665"/>
      <c r="F57" s="643">
        <v>0.19161071200255253</v>
      </c>
      <c r="G57" s="1022"/>
    </row>
    <row r="58" spans="1:19">
      <c r="A58" s="295" t="s">
        <v>38</v>
      </c>
      <c r="B58" s="292"/>
      <c r="D58" s="665" t="s">
        <v>398</v>
      </c>
      <c r="E58" s="665"/>
      <c r="F58" s="498">
        <f>GDP!AI366</f>
        <v>0.53930551363589441</v>
      </c>
    </row>
    <row r="59" spans="1:19">
      <c r="A59" s="295" t="s">
        <v>38</v>
      </c>
      <c r="B59" s="292"/>
      <c r="D59" s="665" t="s">
        <v>1284</v>
      </c>
      <c r="E59" s="665"/>
      <c r="F59" s="498">
        <v>0.28000000000000003</v>
      </c>
      <c r="G59" s="1055"/>
    </row>
    <row r="60" spans="1:19" ht="14.95" customHeight="1">
      <c r="B60" s="292"/>
      <c r="D60" s="682" t="s">
        <v>815</v>
      </c>
      <c r="E60" s="682"/>
      <c r="F60" s="718">
        <v>0</v>
      </c>
    </row>
    <row r="61" spans="1:19">
      <c r="A61" s="295" t="s">
        <v>1272</v>
      </c>
      <c r="B61" s="292" t="s">
        <v>1270</v>
      </c>
      <c r="C61" s="295" t="s">
        <v>30</v>
      </c>
      <c r="D61" s="665" t="s">
        <v>1283</v>
      </c>
      <c r="E61" s="665"/>
      <c r="F61" s="643">
        <v>9.2173820147204211E-2</v>
      </c>
      <c r="G61" s="1022"/>
    </row>
    <row r="62" spans="1:19">
      <c r="B62" s="292"/>
      <c r="D62" s="682" t="s">
        <v>574</v>
      </c>
      <c r="E62" s="682"/>
      <c r="F62" s="718">
        <v>0</v>
      </c>
    </row>
    <row r="63" spans="1:19">
      <c r="A63" s="295" t="s">
        <v>1271</v>
      </c>
      <c r="B63" s="292" t="s">
        <v>1270</v>
      </c>
      <c r="C63" s="295" t="s">
        <v>30</v>
      </c>
      <c r="D63" s="665" t="s">
        <v>1282</v>
      </c>
      <c r="E63" s="665"/>
      <c r="F63" s="643">
        <v>0.22291782692445761</v>
      </c>
      <c r="G63" s="87"/>
    </row>
    <row r="64" spans="1:19">
      <c r="B64" s="292"/>
      <c r="D64" s="682" t="s">
        <v>701</v>
      </c>
      <c r="E64" s="682"/>
      <c r="F64" s="703">
        <v>0</v>
      </c>
    </row>
    <row r="65" spans="1:16">
      <c r="A65" s="295" t="s">
        <v>1271</v>
      </c>
      <c r="B65" s="292" t="s">
        <v>1270</v>
      </c>
      <c r="C65" s="295" t="s">
        <v>30</v>
      </c>
      <c r="D65" s="665" t="s">
        <v>1286</v>
      </c>
      <c r="E65" s="665"/>
      <c r="F65" s="643">
        <v>0.33922672194539549</v>
      </c>
    </row>
    <row r="66" spans="1:16">
      <c r="B66" s="292"/>
      <c r="D66" s="682" t="s">
        <v>805</v>
      </c>
      <c r="E66" s="682"/>
      <c r="F66" s="703">
        <v>0</v>
      </c>
    </row>
    <row r="67" spans="1:16">
      <c r="A67" s="295" t="s">
        <v>1271</v>
      </c>
      <c r="B67" s="292" t="s">
        <v>1270</v>
      </c>
      <c r="C67" s="295" t="s">
        <v>30</v>
      </c>
      <c r="D67" s="665" t="s">
        <v>1669</v>
      </c>
      <c r="E67" s="665"/>
      <c r="F67" s="643">
        <v>-0.12870105385069064</v>
      </c>
      <c r="G67" s="1223"/>
    </row>
    <row r="68" spans="1:16">
      <c r="B68" s="292"/>
      <c r="D68" s="682" t="s">
        <v>648</v>
      </c>
      <c r="E68" s="682"/>
      <c r="F68" s="1465">
        <v>0</v>
      </c>
    </row>
    <row r="69" spans="1:16">
      <c r="A69" s="295" t="s">
        <v>38</v>
      </c>
      <c r="B69" s="292" t="s">
        <v>1273</v>
      </c>
      <c r="C69" s="295" t="s">
        <v>30</v>
      </c>
      <c r="D69" s="665" t="s">
        <v>1289</v>
      </c>
      <c r="E69" s="665"/>
      <c r="F69" s="498">
        <v>5.9105431309904199E-2</v>
      </c>
    </row>
    <row r="70" spans="1:16">
      <c r="B70" s="292"/>
      <c r="D70" s="682" t="s">
        <v>806</v>
      </c>
      <c r="E70" s="682"/>
      <c r="F70" s="703">
        <v>0</v>
      </c>
    </row>
    <row r="71" spans="1:16">
      <c r="A71" s="295" t="s">
        <v>38</v>
      </c>
      <c r="B71" s="292" t="s">
        <v>1273</v>
      </c>
      <c r="D71" s="665" t="s">
        <v>1291</v>
      </c>
      <c r="E71" s="665"/>
      <c r="F71" s="643">
        <v>0.12478632478632479</v>
      </c>
    </row>
    <row r="72" spans="1:16">
      <c r="B72" s="292"/>
      <c r="D72" s="682" t="s">
        <v>811</v>
      </c>
      <c r="E72" s="682"/>
      <c r="F72" s="2800">
        <v>0</v>
      </c>
    </row>
    <row r="73" spans="1:16">
      <c r="B73" s="292"/>
      <c r="D73" s="682" t="s">
        <v>858</v>
      </c>
      <c r="E73" s="682"/>
      <c r="F73" s="2800">
        <v>0</v>
      </c>
      <c r="G73" s="819"/>
      <c r="H73" s="819"/>
    </row>
    <row r="74" spans="1:16">
      <c r="A74" s="295" t="s">
        <v>38</v>
      </c>
      <c r="B74" s="292" t="s">
        <v>1273</v>
      </c>
      <c r="D74" s="665" t="s">
        <v>1290</v>
      </c>
      <c r="E74" s="665"/>
      <c r="F74" s="498">
        <v>-1.1363636363636354E-2</v>
      </c>
    </row>
    <row r="75" spans="1:16">
      <c r="B75" s="292"/>
      <c r="D75" s="682" t="s">
        <v>812</v>
      </c>
      <c r="E75" s="682"/>
      <c r="F75" s="703">
        <v>0</v>
      </c>
      <c r="G75" s="1055"/>
    </row>
    <row r="76" spans="1:16">
      <c r="A76" s="293" t="s">
        <v>527</v>
      </c>
      <c r="B76" s="292" t="s">
        <v>1273</v>
      </c>
      <c r="C76" s="295" t="s">
        <v>30</v>
      </c>
      <c r="D76" s="665" t="s">
        <v>1747</v>
      </c>
      <c r="E76" s="665"/>
      <c r="F76" s="643">
        <v>0.1487068965517242</v>
      </c>
    </row>
    <row r="77" spans="1:16">
      <c r="A77" s="293"/>
      <c r="D77" s="682" t="s">
        <v>1680</v>
      </c>
      <c r="E77" s="682"/>
      <c r="F77" s="1465">
        <v>0</v>
      </c>
      <c r="G77" s="1055"/>
    </row>
    <row r="78" spans="1:16">
      <c r="D78" s="285"/>
      <c r="E78" s="1366"/>
      <c r="F78" s="652"/>
    </row>
    <row r="80" spans="1:16">
      <c r="P80" s="1382"/>
    </row>
    <row r="81" spans="1:24 16384:16384">
      <c r="A81" s="293"/>
      <c r="B81" s="293"/>
      <c r="D81" s="27" t="s">
        <v>1665</v>
      </c>
      <c r="E81" s="27"/>
      <c r="F81" s="26"/>
      <c r="G81" s="26"/>
      <c r="H81" s="26"/>
      <c r="I81" s="26"/>
      <c r="J81" s="26"/>
      <c r="K81" s="26"/>
      <c r="L81" s="26"/>
      <c r="M81" s="26"/>
      <c r="N81" s="26"/>
      <c r="O81" s="26"/>
      <c r="P81" s="26"/>
      <c r="Q81" s="26"/>
      <c r="R81" s="26"/>
      <c r="S81" s="49"/>
      <c r="T81" s="26"/>
      <c r="U81" s="49"/>
      <c r="V81" s="26"/>
    </row>
    <row r="82" spans="1:24 16384:16384" ht="15.5" thickBot="1">
      <c r="A82" s="293"/>
      <c r="B82" s="293"/>
      <c r="D82" s="21"/>
      <c r="E82" s="21"/>
      <c r="F82" s="26"/>
      <c r="G82" s="26"/>
      <c r="H82" s="26"/>
      <c r="I82" s="26"/>
      <c r="J82" s="26"/>
      <c r="K82" s="26"/>
      <c r="L82" s="26"/>
      <c r="M82" s="26"/>
      <c r="N82" s="26"/>
      <c r="O82" s="26"/>
      <c r="P82" s="26"/>
      <c r="Q82" s="26"/>
      <c r="R82" s="26"/>
      <c r="S82" s="49"/>
      <c r="T82" s="26"/>
      <c r="U82" s="49"/>
      <c r="V82" s="26"/>
    </row>
    <row r="83" spans="1:24 16384:16384" ht="33.75" customHeight="1" thickBot="1">
      <c r="A83" s="293"/>
      <c r="B83" s="293"/>
      <c r="D83" s="19"/>
      <c r="E83" s="3857" t="s">
        <v>1168</v>
      </c>
      <c r="F83" s="3857" t="s">
        <v>906</v>
      </c>
      <c r="G83" s="3298" t="s">
        <v>1676</v>
      </c>
      <c r="H83" s="3862">
        <v>2023</v>
      </c>
      <c r="I83" s="3863"/>
      <c r="J83" s="3864"/>
      <c r="K83" s="3872" t="s">
        <v>1501</v>
      </c>
      <c r="L83" s="3863"/>
      <c r="M83" s="3864"/>
      <c r="N83" s="3859" t="s">
        <v>1502</v>
      </c>
      <c r="O83" s="3860"/>
      <c r="P83" s="3861"/>
      <c r="Q83" s="3873" t="s">
        <v>1266</v>
      </c>
      <c r="R83" s="3865" t="s">
        <v>1756</v>
      </c>
      <c r="S83" s="3869" t="s">
        <v>1657</v>
      </c>
      <c r="T83" s="3870"/>
      <c r="U83" s="3871"/>
      <c r="V83" s="3867" t="s">
        <v>1500</v>
      </c>
    </row>
    <row r="84" spans="1:24 16384:16384" ht="25" customHeight="1" thickBot="1">
      <c r="A84" s="293"/>
      <c r="B84" s="293"/>
      <c r="D84" s="19"/>
      <c r="E84" s="3858"/>
      <c r="F84" s="3858"/>
      <c r="G84" s="3298" t="s">
        <v>1667</v>
      </c>
      <c r="H84" s="3299" t="s">
        <v>1267</v>
      </c>
      <c r="I84" s="3300" t="s">
        <v>1268</v>
      </c>
      <c r="J84" s="3301" t="s">
        <v>482</v>
      </c>
      <c r="K84" s="3302" t="s">
        <v>1267</v>
      </c>
      <c r="L84" s="3303" t="s">
        <v>1268</v>
      </c>
      <c r="M84" s="3301" t="s">
        <v>482</v>
      </c>
      <c r="N84" s="3304" t="s">
        <v>1267</v>
      </c>
      <c r="O84" s="3305" t="s">
        <v>1268</v>
      </c>
      <c r="P84" s="3306" t="s">
        <v>482</v>
      </c>
      <c r="Q84" s="3874"/>
      <c r="R84" s="3866"/>
      <c r="S84" s="603" t="s">
        <v>484</v>
      </c>
      <c r="T84" s="524" t="s">
        <v>485</v>
      </c>
      <c r="U84" s="604" t="s">
        <v>482</v>
      </c>
      <c r="V84" s="3868"/>
    </row>
    <row r="85" spans="1:24 16384:16384" ht="15.5" thickBot="1">
      <c r="A85" s="293"/>
      <c r="B85" s="293"/>
      <c r="D85" s="2741" t="s">
        <v>59</v>
      </c>
      <c r="E85" s="48"/>
      <c r="F85" s="525"/>
      <c r="G85" s="93"/>
      <c r="H85" s="215"/>
      <c r="I85" s="215"/>
      <c r="J85" s="544"/>
      <c r="K85" s="93"/>
      <c r="L85" s="94"/>
      <c r="M85" s="565"/>
      <c r="N85" s="2807" t="s">
        <v>1675</v>
      </c>
      <c r="O85" s="94"/>
      <c r="P85" s="565"/>
      <c r="Q85" s="531">
        <f>GDP!AI591</f>
        <v>19917</v>
      </c>
      <c r="R85" s="2234">
        <f>I193</f>
        <v>6.978353886191821E-2</v>
      </c>
      <c r="S85" s="1581"/>
      <c r="T85" s="1582"/>
      <c r="U85" s="2169">
        <f>(V85-Q85)/Q85</f>
        <v>7.7782468776579336E-2</v>
      </c>
      <c r="V85" s="531">
        <f>V86+V138+V163+V183</f>
        <v>21466.193430623131</v>
      </c>
      <c r="X85" s="819"/>
    </row>
    <row r="86" spans="1:24 16384:16384" ht="15.5" thickBot="1">
      <c r="A86" s="293"/>
      <c r="B86" s="293" t="s">
        <v>463</v>
      </c>
      <c r="D86" s="2742" t="s">
        <v>1748</v>
      </c>
      <c r="E86" s="22"/>
      <c r="F86" s="1587">
        <f>GDP!E429</f>
        <v>1000000</v>
      </c>
      <c r="G86" s="492"/>
      <c r="H86" s="216" t="s">
        <v>30</v>
      </c>
      <c r="I86" s="216"/>
      <c r="J86" s="545"/>
      <c r="K86" s="41"/>
      <c r="L86" s="43"/>
      <c r="M86" s="566"/>
      <c r="N86" s="41"/>
      <c r="O86" s="43"/>
      <c r="P86" s="566"/>
      <c r="Q86" s="531">
        <f>GDP!AI593</f>
        <v>4142</v>
      </c>
      <c r="R86" s="2234">
        <f>I195</f>
        <v>4.6830242778839466E-2</v>
      </c>
      <c r="S86" s="1583"/>
      <c r="T86" s="1582"/>
      <c r="U86" s="635">
        <f>(V86-Q86)/Q86</f>
        <v>6.8531117305283287E-2</v>
      </c>
      <c r="V86" s="531">
        <f>V87+V112+V123+V132+V137</f>
        <v>4425.8558878784834</v>
      </c>
    </row>
    <row r="87" spans="1:24 16384:16384" ht="15.5" thickBot="1">
      <c r="A87" s="293" t="s">
        <v>462</v>
      </c>
      <c r="B87" s="293" t="s">
        <v>565</v>
      </c>
      <c r="D87" s="2743" t="s">
        <v>1734</v>
      </c>
      <c r="E87" s="1596">
        <v>0.52576303895457943</v>
      </c>
      <c r="F87" s="1597" t="s">
        <v>1218</v>
      </c>
      <c r="G87" s="1592">
        <f t="shared" ref="G87:G111" si="0">K87/M87</f>
        <v>0.55690044474746458</v>
      </c>
      <c r="H87" s="2719">
        <f>H88+H94+H99+H104+H108+H109</f>
        <v>1673.8005880433184</v>
      </c>
      <c r="I87" s="2719">
        <f>I88+I94+I99+I104+I108+I109</f>
        <v>1456.0686051051268</v>
      </c>
      <c r="J87" s="2720">
        <f>J88+J94+J99+J104+J108+J109</f>
        <v>3129.869193148445</v>
      </c>
      <c r="K87" s="2719">
        <f t="shared" ref="K87:P87" si="1">(K88+K94+K99+K104+K108+K109)</f>
        <v>1326.5904425799167</v>
      </c>
      <c r="L87" s="2719">
        <f t="shared" si="1"/>
        <v>1046.3285393358176</v>
      </c>
      <c r="M87" s="2720">
        <f>(M88+M94+M99+M104+M108+M109)</f>
        <v>2382.0962168228834</v>
      </c>
      <c r="N87" s="2720">
        <f t="shared" si="1"/>
        <v>1359.5087334026784</v>
      </c>
      <c r="O87" s="2734">
        <f t="shared" si="1"/>
        <v>1094.9712885188978</v>
      </c>
      <c r="P87" s="2734">
        <f t="shared" si="1"/>
        <v>2454.8643114092047</v>
      </c>
      <c r="Q87" s="531">
        <f>GDP!AI594</f>
        <v>2373</v>
      </c>
      <c r="R87" s="2234">
        <f>I196</f>
        <v>3.2877984951996377E-2</v>
      </c>
      <c r="S87" s="1598"/>
      <c r="T87" s="1598"/>
      <c r="U87" s="581">
        <f>((P87-M87)/M87)+F6</f>
        <v>3.054792416545439E-2</v>
      </c>
      <c r="V87" s="531">
        <f>Q87*(1+U87)</f>
        <v>2445.4902240446236</v>
      </c>
      <c r="XFD87" s="50"/>
    </row>
    <row r="88" spans="1:24 16384:16384">
      <c r="A88" s="293"/>
      <c r="B88" s="293" t="s">
        <v>481</v>
      </c>
      <c r="D88" s="2744" t="s">
        <v>40</v>
      </c>
      <c r="E88" s="1367">
        <v>0.58088562191693083</v>
      </c>
      <c r="F88" s="1405" t="s">
        <v>1210</v>
      </c>
      <c r="G88" s="1592">
        <f t="shared" si="0"/>
        <v>0.49887003990701739</v>
      </c>
      <c r="H88" s="2719">
        <f t="shared" ref="H88:P88" si="2">SUM(H89:H93)</f>
        <v>167.49558303434546</v>
      </c>
      <c r="I88" s="2719">
        <f t="shared" si="2"/>
        <v>235.78323313067801</v>
      </c>
      <c r="J88" s="2720">
        <f t="shared" si="2"/>
        <v>403.2788161650235</v>
      </c>
      <c r="K88" s="2719">
        <f t="shared" si="2"/>
        <v>157.4351534854346</v>
      </c>
      <c r="L88" s="2719">
        <f t="shared" si="2"/>
        <v>158.14834700855857</v>
      </c>
      <c r="M88" s="2720">
        <f>SUM(M89:M93)</f>
        <v>315.58350049399314</v>
      </c>
      <c r="N88" s="2720">
        <f t="shared" si="2"/>
        <v>141.04617128195059</v>
      </c>
      <c r="O88" s="2734">
        <f t="shared" si="2"/>
        <v>151.71550716321747</v>
      </c>
      <c r="P88" s="2734">
        <f t="shared" si="2"/>
        <v>292.761678445168</v>
      </c>
      <c r="Q88" s="583"/>
      <c r="R88" s="2235"/>
      <c r="S88" s="135"/>
      <c r="T88" s="449"/>
      <c r="U88" s="639"/>
      <c r="V88" s="166"/>
      <c r="XFD88" s="50"/>
    </row>
    <row r="89" spans="1:24 16384:16384">
      <c r="A89" s="293"/>
      <c r="B89" s="293"/>
      <c r="D89" s="2745" t="s">
        <v>457</v>
      </c>
      <c r="E89" s="1368">
        <v>0.24515302208250533</v>
      </c>
      <c r="F89" s="1584">
        <f>GDP!E432</f>
        <v>549</v>
      </c>
      <c r="G89" s="1592">
        <f>K89/M89</f>
        <v>0.77491459587077616</v>
      </c>
      <c r="H89" s="1025">
        <v>11.149105271229111</v>
      </c>
      <c r="I89" s="1025">
        <v>3.3359350003024328</v>
      </c>
      <c r="J89" s="2721">
        <f t="shared" ref="J89:J90" si="3">H89+I89</f>
        <v>14.485040271531544</v>
      </c>
      <c r="K89" s="1025">
        <v>7.9870791508160606</v>
      </c>
      <c r="L89" s="1025">
        <v>2.319965255594858</v>
      </c>
      <c r="M89" s="2721">
        <f t="shared" ref="M89:M93" si="4">K89+L89</f>
        <v>10.307044406410919</v>
      </c>
      <c r="N89" s="1025">
        <v>4.5110639729577979</v>
      </c>
      <c r="O89" s="2735">
        <f>P89*(1-G89)</f>
        <v>1.3103052424312713</v>
      </c>
      <c r="P89" s="2735">
        <f>N89/G89</f>
        <v>5.821369215389069</v>
      </c>
      <c r="Q89" s="583"/>
      <c r="R89" s="2236"/>
      <c r="S89" s="469"/>
      <c r="T89" s="505"/>
      <c r="U89" s="1227"/>
      <c r="V89" s="166"/>
      <c r="XFD89" s="50"/>
    </row>
    <row r="90" spans="1:24 16384:16384">
      <c r="A90" s="293"/>
      <c r="B90" s="293"/>
      <c r="D90" s="2745" t="s">
        <v>41</v>
      </c>
      <c r="E90" s="1368">
        <v>0.77740708304062156</v>
      </c>
      <c r="F90" s="1584">
        <f>GDP!E433</f>
        <v>350</v>
      </c>
      <c r="G90" s="1592">
        <f t="shared" si="0"/>
        <v>0.39719339413769095</v>
      </c>
      <c r="H90" s="1025">
        <v>81.908839668298242</v>
      </c>
      <c r="I90" s="1025">
        <v>150.44030766207075</v>
      </c>
      <c r="J90" s="2721">
        <f t="shared" si="3"/>
        <v>232.34914733036899</v>
      </c>
      <c r="K90" s="1025">
        <v>68.063654161545173</v>
      </c>
      <c r="L90" s="1025">
        <v>103.29784168939096</v>
      </c>
      <c r="M90" s="2721">
        <f t="shared" si="4"/>
        <v>171.36149585093614</v>
      </c>
      <c r="N90" s="1025">
        <v>65.519000325054819</v>
      </c>
      <c r="O90" s="2735">
        <f>P90*(1-G90)</f>
        <v>99.435909026589698</v>
      </c>
      <c r="P90" s="2735">
        <f>N90/G90</f>
        <v>164.95490935164452</v>
      </c>
      <c r="Q90" s="583"/>
      <c r="R90" s="2236"/>
      <c r="S90" s="470"/>
      <c r="T90" s="506"/>
      <c r="U90" s="616"/>
      <c r="V90" s="166"/>
      <c r="XFD90" s="50"/>
    </row>
    <row r="91" spans="1:24 16384:16384">
      <c r="A91" s="293"/>
      <c r="B91" s="293"/>
      <c r="D91" s="2745" t="s">
        <v>1232</v>
      </c>
      <c r="E91" s="1368">
        <v>0.36028021879709837</v>
      </c>
      <c r="F91" s="1584">
        <f>GDP!E434</f>
        <v>729</v>
      </c>
      <c r="G91" s="1592">
        <f>K91/M91</f>
        <v>0.49098005353846957</v>
      </c>
      <c r="H91" s="1025">
        <v>29.323393212693208</v>
      </c>
      <c r="I91" s="1025">
        <v>32.202359239287425</v>
      </c>
      <c r="J91" s="2721">
        <f>H91+I91</f>
        <v>61.525752451980637</v>
      </c>
      <c r="K91" s="1025">
        <v>30.975465254665167</v>
      </c>
      <c r="L91" s="1025">
        <v>32.113584965250048</v>
      </c>
      <c r="M91" s="2721">
        <f t="shared" si="4"/>
        <v>63.089050219915215</v>
      </c>
      <c r="N91" s="1025">
        <v>31.456024955717801</v>
      </c>
      <c r="O91" s="2735">
        <f>P91*(1-G91)</f>
        <v>32.611801688187064</v>
      </c>
      <c r="P91" s="2735">
        <f>N91/G91</f>
        <v>64.067826643904866</v>
      </c>
      <c r="Q91" s="583"/>
      <c r="R91" s="2236"/>
      <c r="S91" s="164"/>
      <c r="T91" s="507"/>
      <c r="U91" s="1228"/>
      <c r="V91" s="166"/>
      <c r="XFD91" s="50"/>
    </row>
    <row r="92" spans="1:24 16384:16384">
      <c r="A92" s="293"/>
      <c r="B92" s="293"/>
      <c r="D92" s="2745" t="s">
        <v>458</v>
      </c>
      <c r="E92" s="1368">
        <v>0.48331659635065094</v>
      </c>
      <c r="F92" s="1584">
        <f>GDP!E435</f>
        <v>447</v>
      </c>
      <c r="G92" s="1592">
        <f t="shared" si="0"/>
        <v>0.74459570713770173</v>
      </c>
      <c r="H92" s="1025">
        <v>41.086766706991682</v>
      </c>
      <c r="I92" s="1025">
        <v>43.933456590053027</v>
      </c>
      <c r="J92" s="2721">
        <f>H92+I92</f>
        <v>85.020223297044708</v>
      </c>
      <c r="K92" s="1025">
        <v>48.206860426788239</v>
      </c>
      <c r="L92" s="1025">
        <v>16.535468819374223</v>
      </c>
      <c r="M92" s="2721">
        <f t="shared" si="4"/>
        <v>64.742329246162456</v>
      </c>
      <c r="N92" s="1025">
        <v>36.187384219245857</v>
      </c>
      <c r="O92" s="2735">
        <f>P92*(1-G92)</f>
        <v>12.412659901816403</v>
      </c>
      <c r="P92" s="2735">
        <f>N92/G92</f>
        <v>48.600044121062261</v>
      </c>
      <c r="Q92" s="583"/>
      <c r="R92" s="2236"/>
      <c r="S92" s="471"/>
      <c r="T92" s="508"/>
      <c r="U92" s="1229"/>
      <c r="V92" s="166"/>
      <c r="XFD92" s="50"/>
    </row>
    <row r="93" spans="1:24 16384:16384">
      <c r="A93" s="293"/>
      <c r="B93" s="293"/>
      <c r="D93" s="2745" t="s">
        <v>953</v>
      </c>
      <c r="E93" s="1368">
        <v>0.80664751180980732</v>
      </c>
      <c r="F93" s="1584"/>
      <c r="G93" s="1592">
        <f t="shared" si="0"/>
        <v>0.36197341247993242</v>
      </c>
      <c r="H93" s="2722">
        <v>4.0274781751332087</v>
      </c>
      <c r="I93" s="2722">
        <v>5.8711746389643658</v>
      </c>
      <c r="J93" s="2721">
        <f>H93+I93</f>
        <v>9.8986528140975736</v>
      </c>
      <c r="K93" s="2722">
        <v>2.2020944916199632</v>
      </c>
      <c r="L93" s="2722">
        <v>3.8814862789484996</v>
      </c>
      <c r="M93" s="2721">
        <f t="shared" si="4"/>
        <v>6.0835807705684628</v>
      </c>
      <c r="N93" s="2722">
        <v>3.3726978089742961</v>
      </c>
      <c r="O93" s="2736">
        <f>P93*(1-G93)</f>
        <v>5.9448313041930323</v>
      </c>
      <c r="P93" s="2736">
        <f>N93/G93</f>
        <v>9.3175291131673283</v>
      </c>
      <c r="Q93" s="583"/>
      <c r="R93" s="2236"/>
      <c r="S93" s="471"/>
      <c r="T93" s="1237"/>
      <c r="U93" s="1229"/>
      <c r="V93" s="166"/>
      <c r="XFD93" s="50"/>
    </row>
    <row r="94" spans="1:24 16384:16384">
      <c r="A94" s="293"/>
      <c r="B94" s="293" t="s">
        <v>481</v>
      </c>
      <c r="D94" s="2744" t="s">
        <v>43</v>
      </c>
      <c r="E94" s="1367">
        <v>0.48720186273929983</v>
      </c>
      <c r="F94" s="1585" t="str">
        <f>GDP!E436</f>
        <v>Price/kg or in 1000 frw/MT</v>
      </c>
      <c r="G94" s="1592">
        <f t="shared" si="0"/>
        <v>0.57656277128032107</v>
      </c>
      <c r="H94" s="2719">
        <f t="shared" ref="H94:N94" si="5">SUM(H95:H98)</f>
        <v>713.52729957091901</v>
      </c>
      <c r="I94" s="2719">
        <f t="shared" si="5"/>
        <v>520.31680670890239</v>
      </c>
      <c r="J94" s="2720">
        <f t="shared" si="5"/>
        <v>1233.8441062798213</v>
      </c>
      <c r="K94" s="2719">
        <f t="shared" si="5"/>
        <v>565.17157287097689</v>
      </c>
      <c r="L94" s="2719">
        <f t="shared" si="5"/>
        <v>415.07134433290565</v>
      </c>
      <c r="M94" s="2720">
        <f t="shared" si="5"/>
        <v>980.2429172038826</v>
      </c>
      <c r="N94" s="2720">
        <f t="shared" si="5"/>
        <v>573.05472190751277</v>
      </c>
      <c r="O94" s="2734">
        <f>SUM(O95:O98)</f>
        <v>433.10404540007437</v>
      </c>
      <c r="P94" s="2734">
        <f>N94+O94</f>
        <v>1006.1587673075871</v>
      </c>
      <c r="Q94" s="583"/>
      <c r="R94" s="2237"/>
      <c r="S94" s="135"/>
      <c r="T94" s="449"/>
      <c r="U94" s="639"/>
      <c r="V94" s="166"/>
      <c r="XFD94" s="50"/>
    </row>
    <row r="95" spans="1:24 16384:16384">
      <c r="A95" s="293"/>
      <c r="B95" s="293"/>
      <c r="D95" s="2745" t="s">
        <v>44</v>
      </c>
      <c r="E95" s="1368">
        <v>0.48925608468092269</v>
      </c>
      <c r="F95" s="1584">
        <f>GDP!E437</f>
        <v>226</v>
      </c>
      <c r="G95" s="1592">
        <f t="shared" si="0"/>
        <v>0.38936351808523806</v>
      </c>
      <c r="H95" s="1025">
        <v>186.36799595065492</v>
      </c>
      <c r="I95" s="1025">
        <v>254.51237508755739</v>
      </c>
      <c r="J95" s="2721">
        <f>H95+I95</f>
        <v>440.88037103821227</v>
      </c>
      <c r="K95" s="1025">
        <v>130.3457824869717</v>
      </c>
      <c r="L95" s="1025">
        <v>204.42051284539392</v>
      </c>
      <c r="M95" s="2721">
        <f>K95+L95</f>
        <v>334.76629533236564</v>
      </c>
      <c r="N95" s="3130">
        <v>140.29809410233625</v>
      </c>
      <c r="O95" s="2735">
        <f>P95*(1-G95)</f>
        <v>220.02866376207848</v>
      </c>
      <c r="P95" s="2735">
        <f>N95/G95</f>
        <v>360.32675786441473</v>
      </c>
      <c r="Q95" s="583"/>
      <c r="R95" s="2237"/>
      <c r="S95" s="164"/>
      <c r="T95" s="507"/>
      <c r="U95" s="1228"/>
      <c r="V95" s="166"/>
      <c r="XFD95" s="50"/>
    </row>
    <row r="96" spans="1:24 16384:16384">
      <c r="A96" s="293"/>
      <c r="B96" s="293"/>
      <c r="D96" s="2745" t="s">
        <v>45</v>
      </c>
      <c r="E96" s="1368">
        <v>0.52246120055806344</v>
      </c>
      <c r="F96" s="1584">
        <f>GDP!E438</f>
        <v>228</v>
      </c>
      <c r="G96" s="1592">
        <f t="shared" si="0"/>
        <v>0.71629562079864462</v>
      </c>
      <c r="H96" s="1025">
        <v>292.69189050019577</v>
      </c>
      <c r="I96" s="1025">
        <v>125.47880059687562</v>
      </c>
      <c r="J96" s="2721">
        <f>H96+I96</f>
        <v>418.17069109707137</v>
      </c>
      <c r="K96" s="1025">
        <v>244.81855209744526</v>
      </c>
      <c r="L96" s="1025">
        <v>96.965684729915395</v>
      </c>
      <c r="M96" s="2721">
        <f t="shared" ref="M96:M107" si="6">K96+L96</f>
        <v>341.78423682736064</v>
      </c>
      <c r="N96" s="3130">
        <v>230.3990454197363</v>
      </c>
      <c r="O96" s="2735">
        <f>P96*(1-G96)</f>
        <v>91.254527113416145</v>
      </c>
      <c r="P96" s="2735">
        <f>N96/G96</f>
        <v>321.65357253315244</v>
      </c>
      <c r="Q96" s="583"/>
      <c r="R96" s="2237"/>
      <c r="S96" s="472"/>
      <c r="T96" s="509"/>
      <c r="U96" s="639"/>
      <c r="V96" s="166"/>
      <c r="XFD96" s="50"/>
    </row>
    <row r="97" spans="1:22 16384:16384">
      <c r="A97" s="293"/>
      <c r="B97" s="293"/>
      <c r="D97" s="2745" t="s">
        <v>46</v>
      </c>
      <c r="E97" s="1368">
        <v>0.4463040420084648</v>
      </c>
      <c r="F97" s="1584">
        <f>GDP!E439</f>
        <v>286</v>
      </c>
      <c r="G97" s="1592">
        <f t="shared" si="0"/>
        <v>0.60229722198986435</v>
      </c>
      <c r="H97" s="1025">
        <v>177.02893548291192</v>
      </c>
      <c r="I97" s="1025">
        <v>113.56414261136165</v>
      </c>
      <c r="J97" s="2721">
        <f>H97+I97</f>
        <v>290.59307809427355</v>
      </c>
      <c r="K97" s="1025">
        <v>142.17650120279211</v>
      </c>
      <c r="L97" s="1025">
        <v>93.880541751964699</v>
      </c>
      <c r="M97" s="2721">
        <f t="shared" si="6"/>
        <v>236.05704295475681</v>
      </c>
      <c r="N97" s="3130">
        <v>154.4482845613044</v>
      </c>
      <c r="O97" s="2735">
        <f>P97*(1-G97)</f>
        <v>101.98372097084714</v>
      </c>
      <c r="P97" s="2735">
        <f>N97/G97</f>
        <v>256.43200553215155</v>
      </c>
      <c r="Q97" s="583"/>
      <c r="R97" s="2237"/>
      <c r="S97" s="473"/>
      <c r="T97" s="462"/>
      <c r="U97" s="639"/>
      <c r="V97" s="166"/>
      <c r="XFD97" s="50"/>
    </row>
    <row r="98" spans="1:22 16384:16384">
      <c r="A98" s="293"/>
      <c r="B98" s="293"/>
      <c r="D98" s="2745" t="s">
        <v>460</v>
      </c>
      <c r="E98" s="1368">
        <v>0.45966446658795324</v>
      </c>
      <c r="F98" s="1584">
        <f>GDP!E440</f>
        <v>126</v>
      </c>
      <c r="G98" s="1592">
        <f t="shared" si="0"/>
        <v>0.70718555722754861</v>
      </c>
      <c r="H98" s="1025">
        <v>57.43847763715641</v>
      </c>
      <c r="I98" s="1025">
        <v>26.76148841310766</v>
      </c>
      <c r="J98" s="2721">
        <f>H98+I98</f>
        <v>84.199966050264067</v>
      </c>
      <c r="K98" s="1025">
        <v>47.830737083767829</v>
      </c>
      <c r="L98" s="1025">
        <v>19.804605005631633</v>
      </c>
      <c r="M98" s="2721">
        <f t="shared" si="6"/>
        <v>67.635342089399458</v>
      </c>
      <c r="N98" s="3130">
        <v>47.90929782413577</v>
      </c>
      <c r="O98" s="2735">
        <f>P98*(1-G98)</f>
        <v>19.837133553732663</v>
      </c>
      <c r="P98" s="2735">
        <f>N98/G98</f>
        <v>67.746431377868433</v>
      </c>
      <c r="Q98" s="583"/>
      <c r="R98" s="2237"/>
      <c r="S98" s="164"/>
      <c r="T98" s="507"/>
      <c r="U98" s="1228"/>
      <c r="V98" s="166"/>
      <c r="XFD98" s="50"/>
    </row>
    <row r="99" spans="1:22 16384:16384">
      <c r="A99" s="293"/>
      <c r="B99" s="293" t="s">
        <v>481</v>
      </c>
      <c r="D99" s="2744" t="s">
        <v>464</v>
      </c>
      <c r="E99" s="1367">
        <v>0.48430082373166666</v>
      </c>
      <c r="F99" s="1586" t="str">
        <f>GDP!E441</f>
        <v>Price/kg or in 1000 frw/MT</v>
      </c>
      <c r="G99" s="1592">
        <f t="shared" si="0"/>
        <v>0.53322882356772594</v>
      </c>
      <c r="H99" s="2719">
        <f t="shared" ref="H99:M99" si="7">SUM(H100:H103)</f>
        <v>445.72613814980082</v>
      </c>
      <c r="I99" s="2719">
        <f t="shared" si="7"/>
        <v>455.41163485387909</v>
      </c>
      <c r="J99" s="2720">
        <f t="shared" si="7"/>
        <v>901.13777300367997</v>
      </c>
      <c r="K99" s="2719">
        <f t="shared" si="7"/>
        <v>311.96628740943584</v>
      </c>
      <c r="L99" s="2719">
        <f t="shared" si="7"/>
        <v>258.22043826985202</v>
      </c>
      <c r="M99" s="2720">
        <f t="shared" si="7"/>
        <v>585.05143312046164</v>
      </c>
      <c r="N99" s="2720">
        <f>SUM(N100:N103)</f>
        <v>305.70435473863347</v>
      </c>
      <c r="O99" s="2734">
        <f>SUM(O100:O103)</f>
        <v>267.16931650764366</v>
      </c>
      <c r="P99" s="2734">
        <f>N99+O99</f>
        <v>572.87367124627713</v>
      </c>
      <c r="Q99" s="583"/>
      <c r="R99" s="2237"/>
      <c r="S99" s="135"/>
      <c r="T99" s="449"/>
      <c r="U99" s="639"/>
      <c r="V99" s="166"/>
      <c r="XFD99" s="50"/>
    </row>
    <row r="100" spans="1:22 16384:16384">
      <c r="A100" s="293"/>
      <c r="B100" s="293"/>
      <c r="D100" s="2745" t="s">
        <v>465</v>
      </c>
      <c r="E100" s="1368">
        <v>0.51661790960683696</v>
      </c>
      <c r="F100" s="1584">
        <f>GDP!E442</f>
        <v>464</v>
      </c>
      <c r="G100" s="1592">
        <f t="shared" si="0"/>
        <v>0.6232458674989334</v>
      </c>
      <c r="H100" s="1025">
        <v>223.46224339259089</v>
      </c>
      <c r="I100" s="1025">
        <v>140.27805809454884</v>
      </c>
      <c r="J100" s="2721">
        <f>H100+I100</f>
        <v>363.74030148713973</v>
      </c>
      <c r="K100" s="1025">
        <v>149.67052181463066</v>
      </c>
      <c r="L100" s="1025">
        <v>90.47631207494473</v>
      </c>
      <c r="M100" s="2721">
        <f t="shared" si="6"/>
        <v>240.14683388957539</v>
      </c>
      <c r="N100" s="1025">
        <v>148.99975042435398</v>
      </c>
      <c r="O100" s="2735">
        <f>P100*(1-G100)</f>
        <v>90.070828610987917</v>
      </c>
      <c r="P100" s="2735">
        <f>N100/G100</f>
        <v>239.07057903534189</v>
      </c>
      <c r="Q100" s="583"/>
      <c r="R100" s="2237"/>
      <c r="S100" s="474"/>
      <c r="T100" s="510"/>
      <c r="U100" s="1230"/>
      <c r="V100" s="166"/>
      <c r="XFD100" s="50"/>
    </row>
    <row r="101" spans="1:22 16384:16384">
      <c r="A101" s="293"/>
      <c r="B101" s="293"/>
      <c r="D101" s="2746" t="s">
        <v>467</v>
      </c>
      <c r="E101" s="1369">
        <v>0.57484432970278954</v>
      </c>
      <c r="F101" s="1584">
        <f>GDP!E443</f>
        <v>1074</v>
      </c>
      <c r="G101" s="1592">
        <f t="shared" si="0"/>
        <v>0.54540810842166365</v>
      </c>
      <c r="H101" s="1025">
        <v>44.951117040076284</v>
      </c>
      <c r="I101" s="1025">
        <v>41.945390230491171</v>
      </c>
      <c r="J101" s="2721">
        <f>H101+I101</f>
        <v>86.896507270567454</v>
      </c>
      <c r="K101" s="1025">
        <v>28.897553627352277</v>
      </c>
      <c r="L101" s="1025">
        <v>24.085805404433732</v>
      </c>
      <c r="M101" s="2721">
        <f t="shared" si="6"/>
        <v>52.983359031786009</v>
      </c>
      <c r="N101" s="1025">
        <v>24.811206818405264</v>
      </c>
      <c r="O101" s="2735">
        <f>P101*(1-G101)</f>
        <v>20.67987854555366</v>
      </c>
      <c r="P101" s="2735">
        <f>N101/G101</f>
        <v>45.491085363958923</v>
      </c>
      <c r="Q101" s="583"/>
      <c r="R101" s="2237"/>
      <c r="S101" s="475"/>
      <c r="T101" s="511"/>
      <c r="U101" s="611"/>
      <c r="V101" s="166"/>
      <c r="XFD101" s="50"/>
    </row>
    <row r="102" spans="1:22 16384:16384">
      <c r="A102" s="293"/>
      <c r="B102" s="293"/>
      <c r="D102" s="2746" t="s">
        <v>1733</v>
      </c>
      <c r="E102" s="1369"/>
      <c r="F102" s="1584"/>
      <c r="G102" s="1592">
        <f t="shared" si="0"/>
        <v>0.23612401777553335</v>
      </c>
      <c r="H102" s="1025">
        <v>13.732857111047926</v>
      </c>
      <c r="I102" s="1025">
        <v>25.336273797685678</v>
      </c>
      <c r="J102" s="2721">
        <v>39.069130908733605</v>
      </c>
      <c r="K102" s="1025">
        <v>10.244916991210289</v>
      </c>
      <c r="L102" s="1025">
        <v>18.278240502852725</v>
      </c>
      <c r="M102" s="2721">
        <v>43.387864935236777</v>
      </c>
      <c r="N102" s="1025">
        <v>9.9867302102347573</v>
      </c>
      <c r="O102" s="2735">
        <f>P102*(1-G102)</f>
        <v>32.307697541407371</v>
      </c>
      <c r="P102" s="2735">
        <f>N102/G102</f>
        <v>42.294427751642132</v>
      </c>
      <c r="Q102" s="583"/>
      <c r="R102" s="2237"/>
      <c r="S102" s="475"/>
      <c r="T102" s="511"/>
      <c r="U102" s="611"/>
      <c r="V102" s="166"/>
      <c r="XFD102" s="50"/>
    </row>
    <row r="103" spans="1:22 16384:16384">
      <c r="A103" s="293"/>
      <c r="B103" s="293"/>
      <c r="D103" s="2746" t="s">
        <v>1219</v>
      </c>
      <c r="E103" s="1369">
        <v>0.4272163093693091</v>
      </c>
      <c r="F103" s="1584">
        <f>GDP!E444</f>
        <v>173.6</v>
      </c>
      <c r="G103" s="1592">
        <f t="shared" si="0"/>
        <v>0.49552014833216251</v>
      </c>
      <c r="H103" s="1025">
        <v>163.57992060608572</v>
      </c>
      <c r="I103" s="1025">
        <v>247.85191273115339</v>
      </c>
      <c r="J103" s="2721">
        <f>H103+I103</f>
        <v>411.43183333723914</v>
      </c>
      <c r="K103" s="1025">
        <v>123.15329497624262</v>
      </c>
      <c r="L103" s="1025">
        <v>125.38008028762081</v>
      </c>
      <c r="M103" s="2721">
        <f t="shared" si="6"/>
        <v>248.53337526386343</v>
      </c>
      <c r="N103" s="1025">
        <v>121.90666728563951</v>
      </c>
      <c r="O103" s="2735">
        <f>P103*(1-G103)</f>
        <v>124.11091180969467</v>
      </c>
      <c r="P103" s="2735">
        <f>N103/G103</f>
        <v>246.01757909533418</v>
      </c>
      <c r="Q103" s="583"/>
      <c r="R103" s="2237"/>
      <c r="S103" s="476"/>
      <c r="T103" s="512"/>
      <c r="U103" s="1229"/>
      <c r="V103" s="166"/>
      <c r="XFD103" s="50"/>
    </row>
    <row r="104" spans="1:22 16384:16384">
      <c r="A104" s="293"/>
      <c r="B104" s="293" t="s">
        <v>481</v>
      </c>
      <c r="D104" s="2744" t="s">
        <v>47</v>
      </c>
      <c r="E104" s="1367">
        <v>0.54596380529777966</v>
      </c>
      <c r="F104" s="1584"/>
      <c r="G104" s="1592">
        <f t="shared" si="0"/>
        <v>0.57648691527861373</v>
      </c>
      <c r="H104" s="2719">
        <f t="shared" ref="H104:M104" si="8">SUM(H105:H107)</f>
        <v>226.92437562880588</v>
      </c>
      <c r="I104" s="2719">
        <f t="shared" si="8"/>
        <v>173.79833249784036</v>
      </c>
      <c r="J104" s="2720">
        <f t="shared" si="8"/>
        <v>400.72270812664624</v>
      </c>
      <c r="K104" s="2719">
        <f t="shared" si="8"/>
        <v>202.94699946493142</v>
      </c>
      <c r="L104" s="2719">
        <f t="shared" si="8"/>
        <v>149.0939473219492</v>
      </c>
      <c r="M104" s="2719">
        <f t="shared" si="8"/>
        <v>352.04094678688062</v>
      </c>
      <c r="N104" s="2720">
        <f>SUM(N105:N107)</f>
        <v>204.61687446222356</v>
      </c>
      <c r="O104" s="2734">
        <f>SUM(O105:O107)</f>
        <v>150.55356446954548</v>
      </c>
      <c r="P104" s="2734">
        <f>N104+O104</f>
        <v>355.17043893176901</v>
      </c>
      <c r="Q104" s="583"/>
      <c r="R104" s="2238"/>
      <c r="S104" s="475"/>
      <c r="T104" s="453"/>
      <c r="U104" s="633"/>
      <c r="V104" s="166"/>
      <c r="XFD104" s="50"/>
    </row>
    <row r="105" spans="1:22 16384:16384">
      <c r="A105" s="293"/>
      <c r="B105" s="293"/>
      <c r="D105" s="2745" t="s">
        <v>766</v>
      </c>
      <c r="E105" s="1368">
        <v>0.55990219412648679</v>
      </c>
      <c r="F105" s="1584">
        <f>GDP!E447</f>
        <v>254</v>
      </c>
      <c r="G105" s="1592">
        <f t="shared" si="0"/>
        <v>0.61458295605152435</v>
      </c>
      <c r="H105" s="1025">
        <v>52.276509778509443</v>
      </c>
      <c r="I105" s="1025">
        <v>34.787203099316812</v>
      </c>
      <c r="J105" s="2721">
        <f>H105+I105</f>
        <v>87.063712877826248</v>
      </c>
      <c r="K105" s="1025">
        <v>47.441182119099039</v>
      </c>
      <c r="L105" s="1025">
        <v>29.751297190596858</v>
      </c>
      <c r="M105" s="2721">
        <f t="shared" si="6"/>
        <v>77.192479309695898</v>
      </c>
      <c r="N105" s="1025">
        <v>47.786214678942436</v>
      </c>
      <c r="O105" s="2735">
        <f t="shared" ref="O105:O111" si="9">P105*(1-G105)</f>
        <v>29.967673886324281</v>
      </c>
      <c r="P105" s="2735">
        <f>N105/G105</f>
        <v>77.75388856526672</v>
      </c>
      <c r="Q105" s="583"/>
      <c r="R105" s="2238"/>
      <c r="S105" s="475"/>
      <c r="T105" s="976"/>
      <c r="U105" s="633"/>
      <c r="V105" s="166"/>
      <c r="XFD105" s="50"/>
    </row>
    <row r="106" spans="1:22 16384:16384">
      <c r="A106" s="293"/>
      <c r="B106" s="293"/>
      <c r="D106" s="2745" t="s">
        <v>767</v>
      </c>
      <c r="E106" s="1368">
        <v>0.55032345223738954</v>
      </c>
      <c r="F106" s="1584">
        <f>GDP!E448</f>
        <v>581</v>
      </c>
      <c r="G106" s="1592">
        <f t="shared" si="0"/>
        <v>0.54831166093027806</v>
      </c>
      <c r="H106" s="1025">
        <v>136.80384850720293</v>
      </c>
      <c r="I106" s="1025">
        <v>116.5867878560064</v>
      </c>
      <c r="J106" s="2721">
        <f>H106+I106</f>
        <v>253.39063636320932</v>
      </c>
      <c r="K106" s="1025">
        <v>122.38071049363147</v>
      </c>
      <c r="L106" s="1025">
        <v>100.81481718491102</v>
      </c>
      <c r="M106" s="2721">
        <f t="shared" si="6"/>
        <v>223.19552767854248</v>
      </c>
      <c r="N106" s="1025">
        <v>124.27980373337053</v>
      </c>
      <c r="O106" s="2735">
        <f t="shared" si="9"/>
        <v>102.37925276474331</v>
      </c>
      <c r="P106" s="2735">
        <f>N106/G106</f>
        <v>226.65905649811384</v>
      </c>
      <c r="Q106" s="583"/>
      <c r="R106" s="2238"/>
      <c r="S106" s="475"/>
      <c r="T106" s="976"/>
      <c r="U106" s="633"/>
      <c r="V106" s="166"/>
      <c r="XFD106" s="50"/>
    </row>
    <row r="107" spans="1:22 16384:16384">
      <c r="A107" s="293"/>
      <c r="B107" s="293"/>
      <c r="D107" s="2745" t="s">
        <v>768</v>
      </c>
      <c r="E107" s="1368">
        <v>0.47808958278355823</v>
      </c>
      <c r="F107" s="1584">
        <f>GDP!E449</f>
        <v>150</v>
      </c>
      <c r="G107" s="1592">
        <f t="shared" si="0"/>
        <v>0.64130148218730543</v>
      </c>
      <c r="H107" s="1025">
        <v>37.844017343093483</v>
      </c>
      <c r="I107" s="1025">
        <v>22.424341542517151</v>
      </c>
      <c r="J107" s="2721">
        <f>H107+I107</f>
        <v>60.268358885610638</v>
      </c>
      <c r="K107" s="1025">
        <v>33.125106852200922</v>
      </c>
      <c r="L107" s="1025">
        <v>18.527832946441315</v>
      </c>
      <c r="M107" s="2721">
        <f t="shared" si="6"/>
        <v>51.652939798642237</v>
      </c>
      <c r="N107" s="1025">
        <v>32.550856049910593</v>
      </c>
      <c r="O107" s="2735">
        <f t="shared" si="9"/>
        <v>18.206637818477876</v>
      </c>
      <c r="P107" s="2735">
        <f>N107/G107</f>
        <v>50.757493868388472</v>
      </c>
      <c r="Q107" s="583"/>
      <c r="R107" s="2238"/>
      <c r="S107" s="475"/>
      <c r="T107" s="976"/>
      <c r="U107" s="633"/>
      <c r="V107" s="166"/>
      <c r="XFD107" s="50"/>
    </row>
    <row r="108" spans="1:22 16384:16384">
      <c r="A108" s="293"/>
      <c r="B108" s="293" t="s">
        <v>481</v>
      </c>
      <c r="D108" s="2747" t="s">
        <v>461</v>
      </c>
      <c r="E108" s="1370">
        <v>0.58721804087339446</v>
      </c>
      <c r="F108" s="1584">
        <f>GDP!E450</f>
        <v>286.8</v>
      </c>
      <c r="G108" s="1592">
        <f t="shared" si="0"/>
        <v>0.5917100393872422</v>
      </c>
      <c r="H108" s="2719">
        <v>82.935206903171292</v>
      </c>
      <c r="I108" s="2719">
        <v>41.700517163059516</v>
      </c>
      <c r="J108" s="2720">
        <f>H108+I108</f>
        <v>124.63572406623081</v>
      </c>
      <c r="K108" s="2719">
        <v>63.376481928902109</v>
      </c>
      <c r="L108" s="2719">
        <v>49.41831971945183</v>
      </c>
      <c r="M108" s="2720">
        <v>107.1073291143293</v>
      </c>
      <c r="N108" s="2720">
        <v>115.56382500289506</v>
      </c>
      <c r="O108" s="2734">
        <f t="shared" si="9"/>
        <v>79.740998830362216</v>
      </c>
      <c r="P108" s="2734">
        <f>N108/G108</f>
        <v>195.30482383325727</v>
      </c>
      <c r="Q108" s="583"/>
      <c r="R108" s="2237"/>
      <c r="S108" s="476"/>
      <c r="T108" s="451"/>
      <c r="U108" s="1231"/>
      <c r="V108" s="166"/>
      <c r="XFD108" s="50"/>
    </row>
    <row r="109" spans="1:22 16384:16384">
      <c r="A109" s="293"/>
      <c r="B109" s="293" t="s">
        <v>481</v>
      </c>
      <c r="D109" s="2747" t="s">
        <v>468</v>
      </c>
      <c r="E109" s="1370">
        <v>0.46473925052788673</v>
      </c>
      <c r="F109" s="1584" t="str">
        <f>GDP!E452</f>
        <v>Price/kg or in 1000 frw/MT</v>
      </c>
      <c r="G109" s="1592">
        <f t="shared" si="0"/>
        <v>0.61074144022805765</v>
      </c>
      <c r="H109" s="2719">
        <v>37.191984756275758</v>
      </c>
      <c r="I109" s="2719">
        <v>29.058080750767335</v>
      </c>
      <c r="J109" s="2720">
        <f>J110+J111</f>
        <v>66.250065507043089</v>
      </c>
      <c r="K109" s="2719">
        <f>K110+K111</f>
        <v>25.693947420235723</v>
      </c>
      <c r="L109" s="2719">
        <f>L110+L111</f>
        <v>16.376142683100504</v>
      </c>
      <c r="M109" s="2720">
        <f>K109+L109</f>
        <v>42.070090103336227</v>
      </c>
      <c r="N109" s="2720">
        <f>N110+N111</f>
        <v>19.522786009462806</v>
      </c>
      <c r="O109" s="2734">
        <f t="shared" si="9"/>
        <v>12.687856148054562</v>
      </c>
      <c r="P109" s="2734">
        <f>SUM(P110:P111)</f>
        <v>32.594931645146318</v>
      </c>
      <c r="Q109" s="583"/>
      <c r="R109" s="2237"/>
      <c r="S109" s="135"/>
      <c r="T109" s="438"/>
      <c r="U109" s="1232"/>
      <c r="V109" s="166"/>
      <c r="XFD109" s="50"/>
    </row>
    <row r="110" spans="1:22 16384:16384">
      <c r="A110" s="293"/>
      <c r="B110" s="293"/>
      <c r="D110" s="2745" t="s">
        <v>466</v>
      </c>
      <c r="E110" s="1368">
        <v>0.4478894297297949</v>
      </c>
      <c r="F110" s="1584">
        <f>GDP!E453</f>
        <v>487</v>
      </c>
      <c r="G110" s="1592">
        <f t="shared" si="0"/>
        <v>0.53087104050872591</v>
      </c>
      <c r="H110" s="1025">
        <v>11.773966931934135</v>
      </c>
      <c r="I110" s="1025">
        <v>13.449752214343523</v>
      </c>
      <c r="J110" s="2721">
        <f>H110+I110</f>
        <v>25.223719146277659</v>
      </c>
      <c r="K110" s="1025">
        <v>8.246026096036319</v>
      </c>
      <c r="L110" s="1025">
        <v>7.2869856277417844</v>
      </c>
      <c r="M110" s="2721">
        <f>K110+L110</f>
        <v>15.533011723778102</v>
      </c>
      <c r="N110" s="1025">
        <v>8</v>
      </c>
      <c r="O110" s="2735">
        <f t="shared" si="9"/>
        <v>7.0695731911345501</v>
      </c>
      <c r="P110" s="2735">
        <f>N110/G110</f>
        <v>15.06957319113455</v>
      </c>
      <c r="Q110" s="583"/>
      <c r="R110" s="2237">
        <f>K111+K109</f>
        <v>43.141868744435129</v>
      </c>
      <c r="S110" s="2237">
        <f>L111+L109</f>
        <v>25.465299738459223</v>
      </c>
      <c r="T110" s="452"/>
      <c r="U110" s="1233"/>
      <c r="V110" s="166"/>
      <c r="XFD110" s="50"/>
    </row>
    <row r="111" spans="1:22 16384:16384" ht="15.5" thickBot="1">
      <c r="A111" s="293"/>
      <c r="B111" s="293" t="s">
        <v>30</v>
      </c>
      <c r="D111" s="2745" t="s">
        <v>1677</v>
      </c>
      <c r="E111" s="1368">
        <v>0.49813561057321715</v>
      </c>
      <c r="F111" s="1584">
        <f>GDP!E454</f>
        <v>1085</v>
      </c>
      <c r="G111" s="1592">
        <f t="shared" si="0"/>
        <v>0.6574921728248645</v>
      </c>
      <c r="H111" s="2723">
        <v>25.418017824341621</v>
      </c>
      <c r="I111" s="2723">
        <v>15.60832853642381</v>
      </c>
      <c r="J111" s="2724">
        <f>H111+I111</f>
        <v>41.02634636076543</v>
      </c>
      <c r="K111" s="2723">
        <v>17.447921324199406</v>
      </c>
      <c r="L111" s="2723">
        <v>9.0891570553587204</v>
      </c>
      <c r="M111" s="2724">
        <f>K111+L111</f>
        <v>26.537078379558125</v>
      </c>
      <c r="N111" s="2723">
        <v>11.522786009462806</v>
      </c>
      <c r="O111" s="2737">
        <f t="shared" si="9"/>
        <v>6.0025724445489628</v>
      </c>
      <c r="P111" s="2737">
        <f>N111/G111</f>
        <v>17.525358454011769</v>
      </c>
      <c r="Q111" s="583"/>
      <c r="R111" s="2239"/>
      <c r="S111" s="477"/>
      <c r="T111" s="452"/>
      <c r="U111" s="1233"/>
      <c r="V111" s="2733"/>
      <c r="XFD111" s="50"/>
    </row>
    <row r="112" spans="1:22 16384:16384" ht="15.5" thickBot="1">
      <c r="A112" s="293" t="s">
        <v>522</v>
      </c>
      <c r="B112" s="293" t="s">
        <v>478</v>
      </c>
      <c r="D112" s="2748" t="s">
        <v>1220</v>
      </c>
      <c r="E112" s="24"/>
      <c r="F112" s="1599">
        <f>AVERAGE(F113:F114)</f>
        <v>248</v>
      </c>
      <c r="G112" s="556"/>
      <c r="H112" s="42"/>
      <c r="I112" s="42"/>
      <c r="J112" s="596">
        <f>(J113*$F$113+J114*$F$114)/$F$112</f>
        <v>53952.43963064516</v>
      </c>
      <c r="K112" s="47">
        <v>3.4438672042301759</v>
      </c>
      <c r="L112" s="42">
        <v>5.8715730605115626</v>
      </c>
      <c r="M112" s="60">
        <f>(M113*$F$113+M114*$F$114)/$F$112</f>
        <v>52874.635325846772</v>
      </c>
      <c r="N112" s="2290"/>
      <c r="O112" s="2291"/>
      <c r="P112" s="60">
        <f>(P113*$F$113+P114*$F$114)/$F$112</f>
        <v>61413.74531245968</v>
      </c>
      <c r="Q112" s="531">
        <f>GDP!AI595</f>
        <v>352</v>
      </c>
      <c r="R112" s="2240">
        <f>I197</f>
        <v>6.5521043462685849E-2</v>
      </c>
      <c r="S112" s="44"/>
      <c r="T112" s="44"/>
      <c r="U112" s="587">
        <f>((P112/M112-1))*(F8+F9)+F10+F7</f>
        <v>0.26859177379462579</v>
      </c>
      <c r="V112" s="596">
        <f>Q112*(1+U112)</f>
        <v>446.54430437570824</v>
      </c>
    </row>
    <row r="113" spans="1:22">
      <c r="A113" s="293"/>
      <c r="B113" s="722"/>
      <c r="D113" s="2749" t="s">
        <v>50</v>
      </c>
      <c r="E113" s="235"/>
      <c r="F113" s="1589">
        <f>GDP!E457</f>
        <v>269</v>
      </c>
      <c r="G113" s="164"/>
      <c r="I113" s="468"/>
      <c r="J113" s="550">
        <f>GDP!AH174</f>
        <v>17536.038</v>
      </c>
      <c r="K113" s="6"/>
      <c r="L113" s="453"/>
      <c r="M113" s="3818">
        <v>17244.656999999999</v>
      </c>
      <c r="N113" s="3819"/>
      <c r="O113" s="3820"/>
      <c r="P113" s="3818">
        <v>23255.1374</v>
      </c>
      <c r="Q113" s="585"/>
      <c r="R113" s="2241"/>
      <c r="S113" s="615"/>
      <c r="T113" s="439"/>
      <c r="U113" s="632"/>
      <c r="V113" s="598"/>
    </row>
    <row r="114" spans="1:22">
      <c r="A114" s="722"/>
      <c r="B114" s="722"/>
      <c r="D114" s="2749" t="s">
        <v>51</v>
      </c>
      <c r="E114" s="235"/>
      <c r="F114" s="1589">
        <f>GDP!E458</f>
        <v>227</v>
      </c>
      <c r="G114" s="164"/>
      <c r="I114" s="468"/>
      <c r="J114" s="550">
        <f>GDP!AH175</f>
        <v>38163.0432</v>
      </c>
      <c r="K114" s="6"/>
      <c r="L114" s="453"/>
      <c r="M114" s="3818">
        <v>37330.82303</v>
      </c>
      <c r="N114" s="3819"/>
      <c r="O114" s="3820"/>
      <c r="P114" s="3818">
        <v>39537.343070000003</v>
      </c>
      <c r="Q114" s="585"/>
      <c r="R114" s="2241"/>
      <c r="S114" s="615"/>
      <c r="T114" s="439"/>
      <c r="U114" s="632"/>
      <c r="V114" s="598"/>
    </row>
    <row r="115" spans="1:22">
      <c r="A115" s="722"/>
      <c r="B115" s="722"/>
      <c r="D115" s="2749" t="s">
        <v>179</v>
      </c>
      <c r="E115" s="129"/>
      <c r="F115" s="1541"/>
      <c r="G115" s="164"/>
      <c r="I115" s="1009"/>
      <c r="J115" s="550"/>
      <c r="K115" s="6"/>
      <c r="L115" s="976"/>
      <c r="M115" s="550"/>
      <c r="N115" s="6"/>
      <c r="O115" s="976"/>
      <c r="P115" s="550"/>
      <c r="Q115" s="585"/>
      <c r="R115" s="2241"/>
      <c r="S115" s="649"/>
      <c r="T115" s="987"/>
      <c r="U115" s="632"/>
      <c r="V115" s="598"/>
    </row>
    <row r="116" spans="1:22">
      <c r="A116" s="722"/>
      <c r="B116" s="722"/>
      <c r="D116" s="2749" t="s">
        <v>180</v>
      </c>
      <c r="E116" s="129"/>
      <c r="F116" s="1541"/>
      <c r="G116" s="164"/>
      <c r="I116" s="1009"/>
      <c r="J116" s="550"/>
      <c r="K116" s="6"/>
      <c r="L116" s="976"/>
      <c r="M116" s="550"/>
      <c r="N116" s="6"/>
      <c r="O116" s="976"/>
      <c r="P116" s="550"/>
      <c r="Q116" s="585"/>
      <c r="R116" s="2241"/>
      <c r="S116" s="649"/>
      <c r="T116" s="987"/>
      <c r="U116" s="632"/>
      <c r="V116" s="598"/>
    </row>
    <row r="117" spans="1:22">
      <c r="A117" s="722"/>
      <c r="B117" s="722"/>
      <c r="D117" s="2749" t="s">
        <v>181</v>
      </c>
      <c r="E117" s="129"/>
      <c r="F117" s="1541"/>
      <c r="G117" s="164"/>
      <c r="I117" s="1009"/>
      <c r="J117" s="550"/>
      <c r="K117" s="6"/>
      <c r="L117" s="976"/>
      <c r="M117" s="550"/>
      <c r="N117" s="6"/>
      <c r="O117" s="976"/>
      <c r="P117" s="550"/>
      <c r="Q117" s="585"/>
      <c r="R117" s="2241"/>
      <c r="S117" s="649"/>
      <c r="T117" s="987"/>
      <c r="U117" s="632"/>
      <c r="V117" s="598"/>
    </row>
    <row r="118" spans="1:22">
      <c r="A118" s="722"/>
      <c r="B118" s="722"/>
      <c r="D118" s="2749" t="s">
        <v>182</v>
      </c>
      <c r="E118" s="129"/>
      <c r="F118" s="1541"/>
      <c r="G118" s="164"/>
      <c r="I118" s="1009"/>
      <c r="J118" s="550"/>
      <c r="K118" s="6"/>
      <c r="L118" s="976"/>
      <c r="M118" s="550"/>
      <c r="N118" s="6"/>
      <c r="O118" s="976"/>
      <c r="P118" s="550"/>
      <c r="Q118" s="585"/>
      <c r="R118" s="2241"/>
      <c r="S118" s="649"/>
      <c r="T118" s="987"/>
      <c r="U118" s="632"/>
      <c r="V118" s="598"/>
    </row>
    <row r="119" spans="1:22">
      <c r="A119" s="722"/>
      <c r="B119" s="722"/>
      <c r="D119" s="2749" t="s">
        <v>183</v>
      </c>
      <c r="E119" s="129"/>
      <c r="F119" s="1541"/>
      <c r="G119" s="164"/>
      <c r="I119" s="1009"/>
      <c r="J119" s="550"/>
      <c r="K119" s="6"/>
      <c r="L119" s="976"/>
      <c r="M119" s="550"/>
      <c r="N119" s="6"/>
      <c r="O119" s="976"/>
      <c r="P119" s="550"/>
      <c r="Q119" s="585"/>
      <c r="R119" s="2241"/>
      <c r="S119" s="649"/>
      <c r="T119" s="987"/>
      <c r="U119" s="632"/>
      <c r="V119" s="598"/>
    </row>
    <row r="120" spans="1:22">
      <c r="A120" s="722"/>
      <c r="B120" s="722"/>
      <c r="D120" s="2749" t="s">
        <v>184</v>
      </c>
      <c r="E120" s="129"/>
      <c r="F120" s="1541"/>
      <c r="G120" s="164"/>
      <c r="I120" s="1009"/>
      <c r="J120" s="550"/>
      <c r="K120" s="6"/>
      <c r="L120" s="976"/>
      <c r="M120" s="550"/>
      <c r="N120" s="6"/>
      <c r="O120" s="976"/>
      <c r="P120" s="550"/>
      <c r="Q120" s="585"/>
      <c r="R120" s="2241"/>
      <c r="S120" s="649"/>
      <c r="T120" s="987"/>
      <c r="U120" s="632"/>
      <c r="V120" s="598"/>
    </row>
    <row r="121" spans="1:22">
      <c r="A121" s="722"/>
      <c r="B121" s="722"/>
      <c r="D121" s="2749" t="s">
        <v>185</v>
      </c>
      <c r="E121" s="129"/>
      <c r="F121" s="1541"/>
      <c r="G121" s="164"/>
      <c r="I121" s="1009"/>
      <c r="J121" s="550"/>
      <c r="K121" s="6"/>
      <c r="L121" s="976"/>
      <c r="M121" s="550"/>
      <c r="N121" s="6"/>
      <c r="O121" s="976"/>
      <c r="P121" s="550"/>
      <c r="Q121" s="585"/>
      <c r="R121" s="2241"/>
      <c r="S121" s="649"/>
      <c r="T121" s="987"/>
      <c r="U121" s="632"/>
      <c r="V121" s="598"/>
    </row>
    <row r="122" spans="1:22" ht="15.5" thickBot="1">
      <c r="A122" s="722"/>
      <c r="B122" s="722"/>
      <c r="D122" s="2749" t="s">
        <v>186</v>
      </c>
      <c r="E122" s="129"/>
      <c r="F122" s="1541"/>
      <c r="G122" s="164"/>
      <c r="I122" s="1009"/>
      <c r="J122" s="550"/>
      <c r="K122" s="6"/>
      <c r="L122" s="976"/>
      <c r="M122" s="550"/>
      <c r="N122" s="6"/>
      <c r="O122" s="976"/>
      <c r="P122" s="550"/>
      <c r="Q122" s="585"/>
      <c r="R122" s="2241"/>
      <c r="S122" s="649"/>
      <c r="T122" s="987"/>
      <c r="U122" s="632"/>
      <c r="V122" s="598"/>
    </row>
    <row r="123" spans="1:22" s="11" customFormat="1" ht="15.5" thickBot="1">
      <c r="A123" s="1406" t="s">
        <v>527</v>
      </c>
      <c r="B123" s="1406" t="s">
        <v>699</v>
      </c>
      <c r="C123" s="1165"/>
      <c r="D123" s="2748" t="s">
        <v>55</v>
      </c>
      <c r="E123" s="24"/>
      <c r="F123" s="1600"/>
      <c r="G123" s="556"/>
      <c r="H123" s="1601"/>
      <c r="I123" s="1601"/>
      <c r="J123" s="1602">
        <f>F124*J124+F125*J125+F126*J126+F127*J127</f>
        <v>93491927.989500001</v>
      </c>
      <c r="K123" s="47"/>
      <c r="L123" s="42"/>
      <c r="M123" s="60">
        <f>F124*M124+F125*M125+F126*M126+F127*M127</f>
        <v>81487642.130553856</v>
      </c>
      <c r="N123" s="2290"/>
      <c r="O123" s="2291"/>
      <c r="P123" s="2292"/>
      <c r="Q123" s="531">
        <f>GDP!AI596</f>
        <v>581</v>
      </c>
      <c r="R123" s="2240">
        <f>I198</f>
        <v>7.7999999999999986E-2</v>
      </c>
      <c r="S123" s="44"/>
      <c r="T123" s="44"/>
      <c r="U123" s="626">
        <f>F11+F12</f>
        <v>9.9056603773584939E-2</v>
      </c>
      <c r="V123" s="596">
        <f>Q123*(1+U123)</f>
        <v>638.55188679245282</v>
      </c>
    </row>
    <row r="124" spans="1:22">
      <c r="A124" s="293"/>
      <c r="B124" s="293"/>
      <c r="D124" s="2750" t="s">
        <v>773</v>
      </c>
      <c r="E124" s="981"/>
      <c r="F124" s="2727">
        <f>GDP!E473</f>
        <v>561</v>
      </c>
      <c r="G124" s="164"/>
      <c r="H124" s="164"/>
      <c r="I124" s="164"/>
      <c r="J124" s="1371">
        <v>23275.47</v>
      </c>
      <c r="K124" s="164"/>
      <c r="L124" s="164"/>
      <c r="M124" s="1371">
        <v>11556.501749999999</v>
      </c>
      <c r="N124" s="164"/>
      <c r="O124" s="164"/>
      <c r="P124" s="2768"/>
      <c r="Q124" s="164"/>
      <c r="R124" s="2242"/>
      <c r="S124" s="164"/>
      <c r="T124" s="164"/>
      <c r="U124" s="1234"/>
      <c r="V124" s="164"/>
    </row>
    <row r="125" spans="1:22">
      <c r="A125" s="293"/>
      <c r="B125" s="293"/>
      <c r="D125" s="2750" t="s">
        <v>774</v>
      </c>
      <c r="E125" s="981"/>
      <c r="F125" s="2727">
        <f>GDP!E474</f>
        <v>2220</v>
      </c>
      <c r="G125" s="164"/>
      <c r="H125" s="164"/>
      <c r="I125" s="164"/>
      <c r="J125" s="1371">
        <v>25930.475999999999</v>
      </c>
      <c r="K125" s="164"/>
      <c r="L125" s="164"/>
      <c r="M125" s="1371">
        <v>28023.240464285849</v>
      </c>
      <c r="N125" s="164"/>
      <c r="O125" s="164"/>
      <c r="P125" s="2768"/>
      <c r="Q125" s="164"/>
      <c r="R125" s="2242"/>
      <c r="S125" s="164"/>
      <c r="T125" s="164"/>
      <c r="U125" s="1234"/>
      <c r="V125" s="164"/>
    </row>
    <row r="126" spans="1:22">
      <c r="A126" s="293"/>
      <c r="B126" s="293"/>
      <c r="D126" s="2750" t="s">
        <v>775</v>
      </c>
      <c r="E126" s="981"/>
      <c r="F126" s="2727">
        <f>GDP!E475</f>
        <v>1992</v>
      </c>
      <c r="G126" s="164"/>
      <c r="H126" s="164"/>
      <c r="I126" s="164"/>
      <c r="J126" s="1371">
        <v>128.28299999999999</v>
      </c>
      <c r="K126" s="164"/>
      <c r="L126" s="164"/>
      <c r="M126" s="1371">
        <v>68.067464285712688</v>
      </c>
      <c r="N126" s="164"/>
      <c r="O126" s="164"/>
      <c r="P126" s="2768"/>
      <c r="Q126" s="164"/>
      <c r="R126" s="2242"/>
      <c r="S126" s="164"/>
      <c r="T126" s="164"/>
      <c r="U126" s="1234"/>
      <c r="V126" s="164"/>
    </row>
    <row r="127" spans="1:22" s="11" customFormat="1">
      <c r="A127" s="1406"/>
      <c r="B127" s="1406"/>
      <c r="C127" s="1165"/>
      <c r="D127" s="2751" t="s">
        <v>776</v>
      </c>
      <c r="E127" s="1240"/>
      <c r="F127" s="2727">
        <f>AVERAGE(F128:F131)</f>
        <v>2300.75</v>
      </c>
      <c r="G127" s="617"/>
      <c r="H127" s="617"/>
      <c r="I127" s="617"/>
      <c r="J127" s="1371">
        <v>9828.6180000000004</v>
      </c>
      <c r="K127" s="164"/>
      <c r="L127" s="164"/>
      <c r="M127" s="1371">
        <v>5501.3627857142837</v>
      </c>
      <c r="N127" s="164"/>
      <c r="O127" s="164"/>
      <c r="P127" s="2768"/>
      <c r="Q127" s="617"/>
      <c r="R127" s="2243"/>
      <c r="S127" s="617"/>
      <c r="T127" s="617"/>
      <c r="U127" s="1590"/>
      <c r="V127" s="617"/>
    </row>
    <row r="128" spans="1:22">
      <c r="A128" s="293"/>
      <c r="B128" s="293"/>
      <c r="D128" s="2752" t="s">
        <v>777</v>
      </c>
      <c r="E128" s="981"/>
      <c r="F128" s="2728">
        <f>GDP!E477</f>
        <v>2679</v>
      </c>
      <c r="G128" s="164"/>
      <c r="H128" s="164"/>
      <c r="I128" s="164"/>
      <c r="J128" s="164"/>
      <c r="K128" s="164"/>
      <c r="L128" s="164"/>
      <c r="M128" s="164"/>
      <c r="N128" s="164"/>
      <c r="O128" s="164"/>
      <c r="P128" s="164"/>
      <c r="Q128" s="164"/>
      <c r="R128" s="2242"/>
      <c r="S128" s="164"/>
      <c r="T128" s="164"/>
      <c r="U128" s="1234"/>
      <c r="V128" s="164"/>
    </row>
    <row r="129" spans="1:25">
      <c r="A129" s="293"/>
      <c r="B129" s="293"/>
      <c r="D129" s="2752" t="s">
        <v>778</v>
      </c>
      <c r="E129" s="981"/>
      <c r="F129" s="2728">
        <f>GDP!E478</f>
        <v>2293</v>
      </c>
      <c r="G129" s="164"/>
      <c r="H129" s="164"/>
      <c r="I129" s="164"/>
      <c r="J129" s="164"/>
      <c r="K129" s="164"/>
      <c r="L129" s="164"/>
      <c r="M129" s="164"/>
      <c r="N129" s="164"/>
      <c r="O129" s="164"/>
      <c r="P129" s="164"/>
      <c r="Q129" s="164"/>
      <c r="R129" s="2242"/>
      <c r="S129" s="164"/>
      <c r="T129" s="164"/>
      <c r="U129" s="1234"/>
      <c r="V129" s="164"/>
    </row>
    <row r="130" spans="1:25">
      <c r="A130" s="293"/>
      <c r="B130" s="293"/>
      <c r="D130" s="2752" t="s">
        <v>779</v>
      </c>
      <c r="E130" s="981"/>
      <c r="F130" s="2728">
        <f>GDP!E479</f>
        <v>2020</v>
      </c>
      <c r="G130" s="164"/>
      <c r="H130" s="164"/>
      <c r="I130" s="164"/>
      <c r="J130" s="164"/>
      <c r="K130" s="164"/>
      <c r="L130" s="164"/>
      <c r="M130" s="164"/>
      <c r="N130" s="164"/>
      <c r="O130" s="164"/>
      <c r="P130" s="164"/>
      <c r="Q130" s="164"/>
      <c r="R130" s="2242"/>
      <c r="S130" s="164"/>
      <c r="T130" s="164"/>
      <c r="U130" s="1234"/>
      <c r="V130" s="164"/>
    </row>
    <row r="131" spans="1:25" ht="15.5" thickBot="1">
      <c r="A131" s="293"/>
      <c r="B131" s="293"/>
      <c r="D131" s="2752" t="s">
        <v>780</v>
      </c>
      <c r="E131" s="981"/>
      <c r="F131" s="2728">
        <f>GDP!E480</f>
        <v>2211</v>
      </c>
      <c r="G131" s="164"/>
      <c r="H131" s="164"/>
      <c r="I131" s="164"/>
      <c r="J131" s="164"/>
      <c r="K131" s="164"/>
      <c r="L131" s="164"/>
      <c r="M131" s="164"/>
      <c r="N131" s="164"/>
      <c r="O131" s="164"/>
      <c r="P131" s="164"/>
      <c r="Q131" s="164"/>
      <c r="R131" s="2242"/>
      <c r="S131" s="164"/>
      <c r="T131" s="164"/>
      <c r="U131" s="1234"/>
      <c r="V131" s="164"/>
    </row>
    <row r="132" spans="1:25" ht="15.5" thickBot="1">
      <c r="A132" s="293" t="s">
        <v>527</v>
      </c>
      <c r="B132" s="293" t="s">
        <v>699</v>
      </c>
      <c r="D132" s="2748" t="s">
        <v>56</v>
      </c>
      <c r="E132" s="24"/>
      <c r="F132" s="1603" t="str">
        <f>GDP!E483</f>
        <v>2024 base yr Prices Rwf/Tone from RFA)</v>
      </c>
      <c r="G132" s="1604"/>
      <c r="H132" s="1605"/>
      <c r="I132" s="1606"/>
      <c r="J132" s="1607"/>
      <c r="K132" s="1604"/>
      <c r="L132" s="1606"/>
      <c r="M132" s="1607"/>
      <c r="N132" s="2293"/>
      <c r="O132" s="2294"/>
      <c r="P132" s="2295"/>
      <c r="Q132" s="531">
        <f>GDP!AI597</f>
        <v>783</v>
      </c>
      <c r="R132" s="2240">
        <f>I199</f>
        <v>5.5E-2</v>
      </c>
      <c r="S132" s="44"/>
      <c r="T132" s="44"/>
      <c r="U132" s="626">
        <f>F13+F14</f>
        <v>5.6603773584905648E-2</v>
      </c>
      <c r="V132" s="596">
        <f>Q132*(1+U132)</f>
        <v>827.32075471698113</v>
      </c>
    </row>
    <row r="133" spans="1:25">
      <c r="A133" s="293"/>
      <c r="B133" s="293"/>
      <c r="D133" s="2750"/>
      <c r="E133" s="981"/>
      <c r="F133" s="1588">
        <f>GDP!E484</f>
        <v>120000</v>
      </c>
      <c r="G133" s="164"/>
      <c r="H133" s="164"/>
      <c r="I133" s="164"/>
      <c r="J133" s="164"/>
      <c r="K133" s="164"/>
      <c r="L133" s="164"/>
      <c r="M133" s="164"/>
      <c r="N133" s="164"/>
      <c r="O133" s="164"/>
      <c r="P133" s="164"/>
      <c r="Q133" s="164"/>
      <c r="R133" s="2242"/>
      <c r="S133" s="164"/>
      <c r="T133" s="164"/>
      <c r="U133" s="1234"/>
      <c r="V133" s="164"/>
      <c r="Y133">
        <v>173.94092265305699</v>
      </c>
    </row>
    <row r="134" spans="1:25">
      <c r="A134" s="293"/>
      <c r="B134" s="293"/>
      <c r="D134" s="2750"/>
      <c r="E134" s="981"/>
      <c r="F134" s="1588">
        <f>GDP!E485</f>
        <v>120000</v>
      </c>
      <c r="G134" s="164"/>
      <c r="H134" s="164"/>
      <c r="I134" s="164"/>
      <c r="J134" s="164"/>
      <c r="K134" s="164"/>
      <c r="L134" s="164"/>
      <c r="M134" s="164"/>
      <c r="N134" s="164"/>
      <c r="O134" s="164"/>
      <c r="P134" s="164"/>
      <c r="Q134" s="164"/>
      <c r="R134" s="2242"/>
      <c r="S134" s="164"/>
      <c r="T134" s="164"/>
      <c r="U134" s="1234"/>
      <c r="V134" s="164"/>
      <c r="Y134">
        <v>171.63553857303401</v>
      </c>
    </row>
    <row r="135" spans="1:25">
      <c r="A135" s="293"/>
      <c r="B135" s="293"/>
      <c r="D135" s="2750"/>
      <c r="E135" s="981"/>
      <c r="F135" s="1588">
        <f>GDP!E486</f>
        <v>1000000</v>
      </c>
      <c r="G135" s="164"/>
      <c r="H135" s="164"/>
      <c r="I135" s="164"/>
      <c r="J135" s="164"/>
      <c r="K135" s="164"/>
      <c r="L135" s="164"/>
      <c r="M135" s="164"/>
      <c r="N135" s="164"/>
      <c r="O135" s="164"/>
      <c r="P135" s="164"/>
      <c r="Q135" s="164"/>
      <c r="R135" s="2242"/>
      <c r="S135" s="164"/>
      <c r="T135" s="164"/>
      <c r="U135" s="1234"/>
      <c r="V135" s="164"/>
    </row>
    <row r="136" spans="1:25" ht="15.5" thickBot="1">
      <c r="A136" s="293"/>
      <c r="B136" s="293"/>
      <c r="D136" s="2750"/>
      <c r="E136" s="981"/>
      <c r="F136" s="1588">
        <f>GDP!E487</f>
        <v>1000000</v>
      </c>
      <c r="G136" s="164"/>
      <c r="H136" s="164"/>
      <c r="I136" s="164"/>
      <c r="J136" s="164"/>
      <c r="K136" s="164"/>
      <c r="L136" s="164"/>
      <c r="M136" s="164"/>
      <c r="N136" s="164"/>
      <c r="O136" s="164"/>
      <c r="P136" s="164"/>
      <c r="Q136" s="164"/>
      <c r="R136" s="2242"/>
      <c r="S136" s="164"/>
      <c r="T136" s="164"/>
      <c r="U136" s="1234"/>
      <c r="V136" s="164"/>
    </row>
    <row r="137" spans="1:25" ht="15.5" thickBot="1">
      <c r="A137" s="293" t="s">
        <v>527</v>
      </c>
      <c r="B137" s="293" t="s">
        <v>699</v>
      </c>
      <c r="D137" s="2753" t="s">
        <v>57</v>
      </c>
      <c r="E137" s="20"/>
      <c r="F137" s="1608"/>
      <c r="G137" s="1609"/>
      <c r="H137" s="1610"/>
      <c r="I137" s="1611"/>
      <c r="J137" s="1612"/>
      <c r="K137" s="1613"/>
      <c r="L137" s="1614"/>
      <c r="M137" s="1615"/>
      <c r="N137" s="2296"/>
      <c r="O137" s="2297"/>
      <c r="P137" s="2298"/>
      <c r="Q137" s="1616">
        <f>GDP!AI598</f>
        <v>53</v>
      </c>
      <c r="R137" s="2240">
        <f>I200</f>
        <v>8.5000000000000006E-2</v>
      </c>
      <c r="S137" s="1617"/>
      <c r="T137" s="44"/>
      <c r="U137" s="2864">
        <f>F15</f>
        <v>0.28205128205128216</v>
      </c>
      <c r="V137" s="599">
        <f>Q137*(1+U137)</f>
        <v>67.948717948717956</v>
      </c>
    </row>
    <row r="138" spans="1:25" ht="15.5" thickBot="1">
      <c r="A138" s="293"/>
      <c r="B138" s="293" t="s">
        <v>119</v>
      </c>
      <c r="D138" s="2754" t="s">
        <v>1749</v>
      </c>
      <c r="E138" s="24"/>
      <c r="F138" s="531"/>
      <c r="G138" s="556"/>
      <c r="H138" s="59"/>
      <c r="I138" s="42"/>
      <c r="J138" s="60"/>
      <c r="K138" s="47"/>
      <c r="L138" s="42"/>
      <c r="M138" s="60"/>
      <c r="N138" s="2290"/>
      <c r="O138" s="2291"/>
      <c r="P138" s="2292"/>
      <c r="Q138" s="531">
        <f>GDP!AI599</f>
        <v>4396</v>
      </c>
      <c r="R138" s="2240">
        <f>I201</f>
        <v>9.8267152432604643E-2</v>
      </c>
      <c r="S138" s="515"/>
      <c r="T138" s="515"/>
      <c r="U138" s="2801">
        <f>V138/Q138-1</f>
        <v>8.8979071438280322E-2</v>
      </c>
      <c r="V138" s="596">
        <f>V139+V143+V152+V153+V154</f>
        <v>4787.1519980426801</v>
      </c>
    </row>
    <row r="139" spans="1:25" ht="15.5" thickBot="1">
      <c r="A139" s="293" t="s">
        <v>528</v>
      </c>
      <c r="B139" s="293" t="s">
        <v>797</v>
      </c>
      <c r="D139" s="2755" t="s">
        <v>1757</v>
      </c>
      <c r="E139" s="1619"/>
      <c r="F139" s="1620">
        <f>SUM(F140:F142)</f>
        <v>47497.073206672991</v>
      </c>
      <c r="G139" s="1621"/>
      <c r="H139" s="1622"/>
      <c r="I139" s="92"/>
      <c r="J139" s="60">
        <f>(J140*$F$140+J141*$F$141+J142*$F$142)/$F$139</f>
        <v>2582.1215227965545</v>
      </c>
      <c r="K139" s="1623"/>
      <c r="L139" s="92"/>
      <c r="M139" s="1624">
        <f>(M140*$F$140+M141*$F$141+M142*$F$142)/$F$139</f>
        <v>2875.7362647371124</v>
      </c>
      <c r="N139" s="2299"/>
      <c r="O139" s="2300"/>
      <c r="P139" s="2766">
        <f>(P140*$F$140+P141*$F$141+P142*$F$142)/$F$139</f>
        <v>2998.187062464488</v>
      </c>
      <c r="Q139" s="595">
        <f>GDP!AI600</f>
        <v>354</v>
      </c>
      <c r="R139" s="2240">
        <f>I202</f>
        <v>5.7823394869002391E-2</v>
      </c>
      <c r="S139" s="2767">
        <f>(P139-M139)/M139</f>
        <v>4.2580677243909071E-2</v>
      </c>
      <c r="T139" s="523"/>
      <c r="U139" s="61">
        <f>((S139)+F18)</f>
        <v>4.2580677243909071E-2</v>
      </c>
      <c r="V139" s="596">
        <f>Q139*(1+U139)</f>
        <v>369.07355974434381</v>
      </c>
    </row>
    <row r="140" spans="1:25">
      <c r="A140" s="293"/>
      <c r="B140" s="293"/>
      <c r="D140" s="2756" t="s">
        <v>94</v>
      </c>
      <c r="E140" s="127"/>
      <c r="F140" s="1591">
        <v>8246.5717283023732</v>
      </c>
      <c r="G140" s="164"/>
      <c r="I140" s="438"/>
      <c r="J140" s="467">
        <f>GDP!AH176</f>
        <v>4588.48632</v>
      </c>
      <c r="K140" s="6"/>
      <c r="L140" s="438"/>
      <c r="M140" s="3822">
        <f>GDP!AI176</f>
        <v>4861.4944700000005</v>
      </c>
      <c r="N140" s="3822"/>
      <c r="O140" s="3823"/>
      <c r="P140" s="3824">
        <f>GDP!AJ176</f>
        <v>5153.1841382000011</v>
      </c>
      <c r="Q140" s="588"/>
      <c r="R140" s="2245"/>
      <c r="S140" s="617"/>
      <c r="T140" s="516"/>
      <c r="U140" s="1235"/>
      <c r="V140" s="600"/>
      <c r="W140" s="1209"/>
    </row>
    <row r="141" spans="1:25">
      <c r="A141" s="293"/>
      <c r="B141" s="293"/>
      <c r="D141" s="2756" t="s">
        <v>95</v>
      </c>
      <c r="E141" s="127"/>
      <c r="F141" s="1591">
        <v>31055.579501226439</v>
      </c>
      <c r="G141" s="164"/>
      <c r="I141" s="438"/>
      <c r="J141" s="467">
        <f>GDP!AH177</f>
        <v>2070.37077</v>
      </c>
      <c r="K141" s="6"/>
      <c r="L141" s="705"/>
      <c r="M141" s="3822">
        <f>GDP!AI177</f>
        <v>2383.9123799999998</v>
      </c>
      <c r="N141" s="3822"/>
      <c r="O141" s="3825"/>
      <c r="P141" s="3824">
        <f>GDP!AJ177</f>
        <v>2479.268</v>
      </c>
      <c r="Q141" s="588"/>
      <c r="R141" s="2245"/>
      <c r="S141" s="617"/>
      <c r="T141" s="516"/>
      <c r="U141" s="1235"/>
      <c r="V141" s="600"/>
      <c r="W141" s="1209"/>
    </row>
    <row r="142" spans="1:25" ht="15.5" thickBot="1">
      <c r="A142" s="293"/>
      <c r="B142" s="293"/>
      <c r="D142" s="2756" t="s">
        <v>96</v>
      </c>
      <c r="E142" s="127"/>
      <c r="F142" s="1591">
        <v>8194.9219771441785</v>
      </c>
      <c r="G142" s="164"/>
      <c r="I142" s="438"/>
      <c r="J142" s="467">
        <f>GDP!AH178</f>
        <v>2502.4484000000002</v>
      </c>
      <c r="K142" s="6"/>
      <c r="L142" s="705"/>
      <c r="M142" s="3822">
        <f>GDP!AI178</f>
        <v>2741.2845000000002</v>
      </c>
      <c r="N142" s="3822"/>
      <c r="O142" s="3825"/>
      <c r="P142" s="3824">
        <f>GDP!AJ178</f>
        <v>2796.11</v>
      </c>
      <c r="Q142" s="588"/>
      <c r="R142" s="2245"/>
      <c r="S142" s="617"/>
      <c r="T142" s="516"/>
      <c r="U142" s="1235"/>
      <c r="V142" s="600"/>
      <c r="W142" s="1209"/>
    </row>
    <row r="143" spans="1:25" ht="15.5" thickBot="1">
      <c r="A143" s="293" t="s">
        <v>935</v>
      </c>
      <c r="B143" s="293" t="s">
        <v>936</v>
      </c>
      <c r="D143" s="2755" t="s">
        <v>1663</v>
      </c>
      <c r="E143" s="1618"/>
      <c r="F143" s="1625"/>
      <c r="G143" s="596"/>
      <c r="H143" s="596">
        <v>173.08210726272497</v>
      </c>
      <c r="I143" s="596">
        <v>186.34019992558405</v>
      </c>
      <c r="J143" s="596">
        <f t="shared" ref="J143:J153" si="10">AVERAGE(H143:I143)</f>
        <v>179.7111535941545</v>
      </c>
      <c r="K143" s="596">
        <v>208.72988324883164</v>
      </c>
      <c r="L143" s="596">
        <v>196.57620713504687</v>
      </c>
      <c r="M143" s="596">
        <f>AVERAGE(K143:L143)</f>
        <v>202.65304519193927</v>
      </c>
      <c r="N143" s="2301">
        <v>214.97835392012422</v>
      </c>
      <c r="O143" s="2301">
        <v>214.196233644589</v>
      </c>
      <c r="P143" s="2301">
        <f>AVERAGE(N143:O143)</f>
        <v>214.5872937823566</v>
      </c>
      <c r="Q143" s="596">
        <f>GDP!AI601</f>
        <v>1619</v>
      </c>
      <c r="R143" s="2240">
        <f t="shared" ref="R143:R154" si="11">I203</f>
        <v>7.5998318415705576E-2</v>
      </c>
      <c r="S143" s="1626">
        <f t="shared" ref="S143:S153" si="12">P143/M143-1</f>
        <v>5.8890053091055217E-2</v>
      </c>
      <c r="T143" s="1626"/>
      <c r="U143" s="587">
        <f>((V143-Q143)/Q143)</f>
        <v>4.9301575758418946E-2</v>
      </c>
      <c r="V143" s="596">
        <f>V144+V145++V146+V147+V148+V149+V150+V151</f>
        <v>1698.8192511528803</v>
      </c>
    </row>
    <row r="144" spans="1:25">
      <c r="A144" s="293" t="s">
        <v>935</v>
      </c>
      <c r="B144" s="293" t="s">
        <v>936</v>
      </c>
      <c r="D144" s="2756" t="s">
        <v>68</v>
      </c>
      <c r="E144" s="127"/>
      <c r="F144" s="275"/>
      <c r="G144" s="547"/>
      <c r="H144" s="1216">
        <v>130.82946056324627</v>
      </c>
      <c r="I144" s="1217">
        <v>142.87921820079396</v>
      </c>
      <c r="J144" s="1215">
        <f t="shared" si="10"/>
        <v>136.8543393820201</v>
      </c>
      <c r="K144" s="1218">
        <v>96.823158328198275</v>
      </c>
      <c r="L144" s="1217">
        <v>103.17684167180165</v>
      </c>
      <c r="M144" s="583">
        <f>AVERAGE(K144:L144)</f>
        <v>99.999999999999972</v>
      </c>
      <c r="N144" s="2739">
        <v>107.0097443600614</v>
      </c>
      <c r="O144" s="1593">
        <v>105.83912149360047</v>
      </c>
      <c r="P144" s="2739">
        <f>AVERAGE(N144:O144)</f>
        <v>106.42443292683095</v>
      </c>
      <c r="Q144" s="583">
        <f>GDP!AI602</f>
        <v>383</v>
      </c>
      <c r="R144" s="2246">
        <f t="shared" si="11"/>
        <v>5.9005692244037705E-2</v>
      </c>
      <c r="S144" s="616">
        <f>P144/M144-1</f>
        <v>6.4244329268309697E-2</v>
      </c>
      <c r="T144" s="514"/>
      <c r="U144" s="616">
        <f>(S144+F19)</f>
        <v>6.4244329268309697E-2</v>
      </c>
      <c r="V144" s="166">
        <f>Q144*(1+U144)</f>
        <v>407.60557810976263</v>
      </c>
    </row>
    <row r="145" spans="1:25">
      <c r="A145" s="293" t="s">
        <v>935</v>
      </c>
      <c r="B145" s="293" t="s">
        <v>936</v>
      </c>
      <c r="D145" s="2756" t="s">
        <v>69</v>
      </c>
      <c r="E145" s="127"/>
      <c r="F145" s="275"/>
      <c r="G145" s="164"/>
      <c r="H145" s="1216">
        <v>146.76073228405787</v>
      </c>
      <c r="I145" s="1217">
        <v>159.66822308160124</v>
      </c>
      <c r="J145" s="1215">
        <f t="shared" si="10"/>
        <v>153.21447768282957</v>
      </c>
      <c r="K145" s="1218">
        <v>93.471789039331526</v>
      </c>
      <c r="L145" s="1217">
        <v>106.52821096066847</v>
      </c>
      <c r="M145" s="583">
        <f t="shared" ref="M145:M153" si="13">AVERAGE(K145:L145)</f>
        <v>100</v>
      </c>
      <c r="N145" s="2739">
        <v>96.865568932790367</v>
      </c>
      <c r="O145" s="1593">
        <v>110.85294580271358</v>
      </c>
      <c r="P145" s="2739">
        <f t="shared" ref="P145:P152" si="14">AVERAGE(N145:O145)</f>
        <v>103.85925736775198</v>
      </c>
      <c r="Q145" s="583">
        <f>GDP!AI603</f>
        <v>486</v>
      </c>
      <c r="R145" s="2246">
        <f t="shared" si="11"/>
        <v>3.2986455639210953E-2</v>
      </c>
      <c r="S145" s="1028">
        <f t="shared" si="12"/>
        <v>3.8592573677519892E-2</v>
      </c>
      <c r="T145" s="514"/>
      <c r="U145" s="1028">
        <f>(S145+F26)</f>
        <v>3.8592573677519892E-2</v>
      </c>
      <c r="V145" s="166">
        <f>Q145*(1+U145)</f>
        <v>504.75599080727466</v>
      </c>
      <c r="X145" s="87"/>
    </row>
    <row r="146" spans="1:25">
      <c r="A146" s="293" t="s">
        <v>935</v>
      </c>
      <c r="B146" s="293" t="s">
        <v>936</v>
      </c>
      <c r="D146" s="2756" t="s">
        <v>70</v>
      </c>
      <c r="E146" s="127"/>
      <c r="F146" s="533"/>
      <c r="G146" s="547"/>
      <c r="H146" s="1219">
        <v>389.76139338469778</v>
      </c>
      <c r="I146" s="1220">
        <v>378.63497389468159</v>
      </c>
      <c r="J146" s="1215">
        <f t="shared" si="10"/>
        <v>384.19818363968966</v>
      </c>
      <c r="K146" s="1221">
        <v>110.65322658658577</v>
      </c>
      <c r="L146" s="2738">
        <v>89.34677341341424</v>
      </c>
      <c r="M146" s="583">
        <f t="shared" si="13"/>
        <v>100</v>
      </c>
      <c r="N146" s="2740">
        <v>103.7631627846215</v>
      </c>
      <c r="O146" s="1594">
        <v>88.7130194274377</v>
      </c>
      <c r="P146" s="2740">
        <f t="shared" si="14"/>
        <v>96.2380911060296</v>
      </c>
      <c r="Q146" s="583">
        <f>GDP!AI604</f>
        <v>136</v>
      </c>
      <c r="R146" s="2246">
        <f t="shared" si="11"/>
        <v>2.7410568017370851E-2</v>
      </c>
      <c r="S146" s="616">
        <f t="shared" si="12"/>
        <v>-3.7619088939704004E-2</v>
      </c>
      <c r="T146" s="514"/>
      <c r="U146" s="616">
        <f>(S146+F31)</f>
        <v>-3.7619088939704004E-2</v>
      </c>
      <c r="V146" s="166">
        <f>Q146*(1+U146)</f>
        <v>130.88380390420025</v>
      </c>
      <c r="X146" s="87"/>
    </row>
    <row r="147" spans="1:25">
      <c r="A147" s="293" t="s">
        <v>935</v>
      </c>
      <c r="B147" s="293" t="s">
        <v>936</v>
      </c>
      <c r="D147" s="2756" t="s">
        <v>71</v>
      </c>
      <c r="E147" s="127"/>
      <c r="F147" s="533"/>
      <c r="G147" s="164"/>
      <c r="H147" s="1216">
        <v>288.23394735312468</v>
      </c>
      <c r="I147" s="1217">
        <v>280.15709447416907</v>
      </c>
      <c r="J147" s="1215">
        <f t="shared" si="10"/>
        <v>284.19552091364687</v>
      </c>
      <c r="K147" s="1218">
        <v>111.68889572598758</v>
      </c>
      <c r="L147" s="1217">
        <v>88.31110427401245</v>
      </c>
      <c r="M147" s="583">
        <f t="shared" si="13"/>
        <v>100.00000000000001</v>
      </c>
      <c r="N147" s="2739">
        <v>112.07057396583727</v>
      </c>
      <c r="O147" s="1593">
        <v>93.500139021168309</v>
      </c>
      <c r="P147" s="2739">
        <f t="shared" si="14"/>
        <v>102.78535649350279</v>
      </c>
      <c r="Q147" s="583">
        <f>GDP!AI605</f>
        <v>78</v>
      </c>
      <c r="R147" s="2246">
        <f t="shared" si="11"/>
        <v>0.14166018514138323</v>
      </c>
      <c r="S147" s="616">
        <f t="shared" si="12"/>
        <v>2.7853564935027775E-2</v>
      </c>
      <c r="T147" s="514"/>
      <c r="U147" s="616">
        <f>(S147+F34)</f>
        <v>2.7853564935027775E-2</v>
      </c>
      <c r="V147" s="166">
        <f>Q147*(1+U147)</f>
        <v>80.172578064932168</v>
      </c>
      <c r="X147" s="87"/>
      <c r="Y147" s="86"/>
    </row>
    <row r="148" spans="1:25">
      <c r="A148" s="293" t="s">
        <v>935</v>
      </c>
      <c r="B148" s="293" t="s">
        <v>936</v>
      </c>
      <c r="D148" s="2756" t="s">
        <v>72</v>
      </c>
      <c r="E148" s="127"/>
      <c r="F148" s="533"/>
      <c r="G148" s="164"/>
      <c r="H148" s="1216">
        <v>201.12082730694749</v>
      </c>
      <c r="I148" s="1217">
        <v>261.87808470200156</v>
      </c>
      <c r="J148" s="1215">
        <f t="shared" si="10"/>
        <v>231.49945600447452</v>
      </c>
      <c r="K148" s="1218">
        <v>102.98372816968507</v>
      </c>
      <c r="L148" s="1217">
        <v>97.016271830314963</v>
      </c>
      <c r="M148" s="583">
        <f t="shared" si="13"/>
        <v>100.00000000000001</v>
      </c>
      <c r="N148" s="2739">
        <v>100.83095167580476</v>
      </c>
      <c r="O148" s="1593">
        <v>100.59754625574746</v>
      </c>
      <c r="P148" s="2739">
        <f t="shared" si="14"/>
        <v>100.71424896577611</v>
      </c>
      <c r="Q148" s="583">
        <f>GDP!AI606</f>
        <v>187</v>
      </c>
      <c r="R148" s="2246">
        <f t="shared" si="11"/>
        <v>0.14207140914116329</v>
      </c>
      <c r="S148" s="616">
        <f t="shared" si="12"/>
        <v>7.1424896577609864E-3</v>
      </c>
      <c r="T148" s="514"/>
      <c r="U148" s="616">
        <f>(S148+F38)</f>
        <v>7.1424896577609864E-3</v>
      </c>
      <c r="V148" s="166">
        <f>Q148*(1+U148)</f>
        <v>188.33564556600132</v>
      </c>
      <c r="X148" s="87"/>
    </row>
    <row r="149" spans="1:25">
      <c r="A149" s="293" t="s">
        <v>935</v>
      </c>
      <c r="B149" s="293" t="s">
        <v>936</v>
      </c>
      <c r="D149" s="2756" t="s">
        <v>73</v>
      </c>
      <c r="E149" s="127"/>
      <c r="F149" s="534"/>
      <c r="G149" s="164"/>
      <c r="H149" s="1216">
        <v>163.39174383251398</v>
      </c>
      <c r="I149" s="1217">
        <v>207.18425896699802</v>
      </c>
      <c r="J149" s="1215">
        <f t="shared" si="10"/>
        <v>185.28800139975601</v>
      </c>
      <c r="K149" s="1218">
        <v>106.80625372676033</v>
      </c>
      <c r="L149" s="1217">
        <v>93.193746273239668</v>
      </c>
      <c r="M149" s="583">
        <f t="shared" si="13"/>
        <v>100</v>
      </c>
      <c r="N149" s="2739">
        <v>112.72280379944061</v>
      </c>
      <c r="O149" s="1593">
        <v>107.21462372385747</v>
      </c>
      <c r="P149" s="2739">
        <f t="shared" si="14"/>
        <v>109.96871376164904</v>
      </c>
      <c r="Q149" s="583">
        <f>GDP!AI607</f>
        <v>122</v>
      </c>
      <c r="R149" s="2246">
        <f t="shared" si="11"/>
        <v>0.12386094936038836</v>
      </c>
      <c r="S149" s="616">
        <f t="shared" si="12"/>
        <v>9.9687137616490507E-2</v>
      </c>
      <c r="T149" s="514"/>
      <c r="U149" s="616">
        <f>(S149+G39)</f>
        <v>9.9687137616490507E-2</v>
      </c>
      <c r="V149" s="166">
        <f t="shared" ref="V149:V154" si="15">Q149*(1+U149)</f>
        <v>134.16183078921185</v>
      </c>
      <c r="X149" s="87"/>
    </row>
    <row r="150" spans="1:25">
      <c r="A150" s="293" t="s">
        <v>935</v>
      </c>
      <c r="B150" s="293" t="s">
        <v>936</v>
      </c>
      <c r="D150" s="2756" t="s">
        <v>74</v>
      </c>
      <c r="E150" s="127"/>
      <c r="F150" s="528"/>
      <c r="G150" s="164"/>
      <c r="H150" s="1216">
        <v>201.56938752136412</v>
      </c>
      <c r="I150" s="1217">
        <v>212.67870650922961</v>
      </c>
      <c r="J150" s="1215">
        <f t="shared" si="10"/>
        <v>207.12404701529687</v>
      </c>
      <c r="K150" s="1218">
        <v>100.88773377646527</v>
      </c>
      <c r="L150" s="1217">
        <v>99.112266223534689</v>
      </c>
      <c r="M150" s="583">
        <f t="shared" si="13"/>
        <v>99.999999999999972</v>
      </c>
      <c r="N150" s="2739">
        <v>105.52586686705286</v>
      </c>
      <c r="O150" s="1593">
        <v>105.90557286558553</v>
      </c>
      <c r="P150" s="2739">
        <f t="shared" si="14"/>
        <v>105.71571986631919</v>
      </c>
      <c r="Q150" s="583">
        <f>GDP!AI608</f>
        <v>118</v>
      </c>
      <c r="R150" s="2246">
        <f t="shared" si="11"/>
        <v>0.14453355018770428</v>
      </c>
      <c r="S150" s="616">
        <f t="shared" si="12"/>
        <v>5.7157198663192244E-2</v>
      </c>
      <c r="T150" s="514"/>
      <c r="U150" s="616">
        <f>(S150+G40)</f>
        <v>5.7157198663192244E-2</v>
      </c>
      <c r="V150" s="166">
        <f t="shared" si="15"/>
        <v>124.74454944225668</v>
      </c>
      <c r="X150" s="87"/>
    </row>
    <row r="151" spans="1:25" ht="15.5" thickBot="1">
      <c r="A151" s="293" t="s">
        <v>935</v>
      </c>
      <c r="B151" s="293" t="s">
        <v>936</v>
      </c>
      <c r="D151" s="2756" t="s">
        <v>75</v>
      </c>
      <c r="E151" s="127"/>
      <c r="F151" s="529"/>
      <c r="G151" s="164"/>
      <c r="H151" s="1216">
        <v>146.61027282189298</v>
      </c>
      <c r="I151" s="1217">
        <v>158.85694204186572</v>
      </c>
      <c r="J151" s="1215">
        <f t="shared" si="10"/>
        <v>152.73360743187936</v>
      </c>
      <c r="K151" s="1218">
        <v>86.991038220905466</v>
      </c>
      <c r="L151" s="1217">
        <v>113.00896177909451</v>
      </c>
      <c r="M151" s="583">
        <f t="shared" si="13"/>
        <v>99.999999999999986</v>
      </c>
      <c r="N151" s="2739">
        <v>96.080613959069211</v>
      </c>
      <c r="O151" s="1593">
        <v>127.05970550240104</v>
      </c>
      <c r="P151" s="2739">
        <f t="shared" si="14"/>
        <v>111.57015973073513</v>
      </c>
      <c r="Q151" s="583">
        <f>GDP!AI609</f>
        <v>110</v>
      </c>
      <c r="R151" s="2246">
        <f t="shared" si="11"/>
        <v>0.09</v>
      </c>
      <c r="S151" s="2870">
        <f t="shared" si="12"/>
        <v>0.11570159730735141</v>
      </c>
      <c r="T151" s="514"/>
      <c r="U151" s="1028">
        <f>(S151)+F41</f>
        <v>0.16508431335673412</v>
      </c>
      <c r="V151" s="166">
        <f t="shared" si="15"/>
        <v>128.15927446924076</v>
      </c>
      <c r="X151" s="87"/>
    </row>
    <row r="152" spans="1:25" ht="15.5" thickBot="1">
      <c r="A152" s="293" t="s">
        <v>935</v>
      </c>
      <c r="B152" s="293" t="s">
        <v>936</v>
      </c>
      <c r="D152" s="2755" t="s">
        <v>76</v>
      </c>
      <c r="E152" s="1618"/>
      <c r="F152" s="1631"/>
      <c r="G152" s="556"/>
      <c r="H152" s="1632">
        <v>161.07442672736354</v>
      </c>
      <c r="I152" s="1633">
        <v>154.54291959290026</v>
      </c>
      <c r="J152" s="1634">
        <f t="shared" si="10"/>
        <v>157.80867316013189</v>
      </c>
      <c r="K152" s="1632">
        <v>94.009381540434703</v>
      </c>
      <c r="L152" s="1651">
        <v>105.99061845956527</v>
      </c>
      <c r="M152" s="1635">
        <f t="shared" si="13"/>
        <v>99.999999999999986</v>
      </c>
      <c r="N152" s="2302">
        <v>103.74298770460888</v>
      </c>
      <c r="O152" s="2303">
        <v>117.74318810170102</v>
      </c>
      <c r="P152" s="2303">
        <f t="shared" si="14"/>
        <v>110.74308790315496</v>
      </c>
      <c r="Q152" s="47">
        <f>GDP!AI610</f>
        <v>147</v>
      </c>
      <c r="R152" s="2240">
        <f t="shared" si="11"/>
        <v>9.2312089440649947E-2</v>
      </c>
      <c r="S152" s="587">
        <f t="shared" si="12"/>
        <v>0.10743087903154969</v>
      </c>
      <c r="T152" s="515"/>
      <c r="U152" s="587">
        <f>(S152+F42)</f>
        <v>0.10743087903154969</v>
      </c>
      <c r="V152" s="596">
        <f t="shared" si="15"/>
        <v>162.79233921763782</v>
      </c>
      <c r="X152" s="87"/>
    </row>
    <row r="153" spans="1:25" ht="15.5" thickBot="1">
      <c r="A153" s="293" t="s">
        <v>935</v>
      </c>
      <c r="B153" s="293" t="s">
        <v>936</v>
      </c>
      <c r="D153" s="2755" t="s">
        <v>77</v>
      </c>
      <c r="E153" s="1618"/>
      <c r="F153" s="1636"/>
      <c r="G153" s="556"/>
      <c r="H153" s="1632">
        <v>152.55301987175307</v>
      </c>
      <c r="I153" s="1633">
        <v>163.17916422278512</v>
      </c>
      <c r="J153" s="1634">
        <f t="shared" si="10"/>
        <v>157.86609204726909</v>
      </c>
      <c r="K153" s="1632">
        <v>94.078786777545872</v>
      </c>
      <c r="L153" s="1651">
        <v>105.92121322245413</v>
      </c>
      <c r="M153" s="1635">
        <f t="shared" si="13"/>
        <v>100</v>
      </c>
      <c r="N153" s="2302">
        <v>176.75980004856763</v>
      </c>
      <c r="O153" s="2303">
        <v>101.79485309735628</v>
      </c>
      <c r="P153" s="2303">
        <v>110.63365334008623</v>
      </c>
      <c r="Q153" s="47">
        <f>GDP!AI611</f>
        <v>78</v>
      </c>
      <c r="R153" s="2240">
        <f t="shared" si="11"/>
        <v>4.0215110698268886E-2</v>
      </c>
      <c r="S153" s="587">
        <f t="shared" si="12"/>
        <v>0.10633653340086235</v>
      </c>
      <c r="T153" s="515"/>
      <c r="U153" s="587">
        <f>(S153+G43)</f>
        <v>0.10633653340086235</v>
      </c>
      <c r="V153" s="596">
        <f t="shared" si="15"/>
        <v>86.294249605267268</v>
      </c>
      <c r="X153" s="87"/>
    </row>
    <row r="154" spans="1:25" ht="15.5" thickBot="1">
      <c r="B154" s="293" t="s">
        <v>507</v>
      </c>
      <c r="D154" s="2757" t="s">
        <v>35</v>
      </c>
      <c r="E154" s="1619"/>
      <c r="F154" s="1627"/>
      <c r="G154" s="1621"/>
      <c r="H154" s="92"/>
      <c r="I154" s="92"/>
      <c r="J154" s="1628">
        <f>J155+J159</f>
        <v>412894609594.83331</v>
      </c>
      <c r="K154" s="1628">
        <f>K155+K159</f>
        <v>190426811420.0744</v>
      </c>
      <c r="L154" s="1628">
        <f>L155+L159</f>
        <v>250464128684.12451</v>
      </c>
      <c r="M154" s="1629">
        <f>M155+M159</f>
        <v>440890940104.19897</v>
      </c>
      <c r="N154" s="2304"/>
      <c r="O154" s="2305"/>
      <c r="P154" s="2784">
        <f>P155+P159</f>
        <v>515195778170.17334</v>
      </c>
      <c r="Q154" s="1623">
        <f>GDP!AI612</f>
        <v>2199</v>
      </c>
      <c r="R154" s="2240">
        <f t="shared" si="11"/>
        <v>0.12313096271615964</v>
      </c>
      <c r="S154" s="1630">
        <f>((1+F47)*(1+K214)-1)</f>
        <v>0.18427750000000009</v>
      </c>
      <c r="T154" s="2790">
        <f>((P154-M154)/M154)</f>
        <v>0.16853337482601335</v>
      </c>
      <c r="U154" s="2797">
        <f>((S154*F46+F48*T154)+F50)</f>
        <v>0.12331632483972341</v>
      </c>
      <c r="V154" s="602">
        <f t="shared" si="15"/>
        <v>2470.1725983225515</v>
      </c>
      <c r="W154" s="720"/>
      <c r="X154" s="87"/>
    </row>
    <row r="155" spans="1:25">
      <c r="A155" s="293" t="s">
        <v>505</v>
      </c>
      <c r="B155" s="293" t="s">
        <v>798</v>
      </c>
      <c r="D155" s="2756" t="s">
        <v>0</v>
      </c>
      <c r="E155" s="1639"/>
      <c r="F155" s="1637" t="s">
        <v>793</v>
      </c>
      <c r="G155" s="164"/>
      <c r="H155" s="438"/>
      <c r="I155" s="438"/>
      <c r="J155" s="657">
        <f>J156*$F$156+J157*$F$157+J158*$F$158</f>
        <v>280094538866.87109</v>
      </c>
      <c r="K155" s="657">
        <f>K156*$F$156+K157*$F$157+K158*$F$158</f>
        <v>134901923453.4744</v>
      </c>
      <c r="L155" s="657">
        <f>L156*$F$156+L157*$F$157+L158*$F$158</f>
        <v>184484498088.20453</v>
      </c>
      <c r="M155" s="657">
        <f>(M156*$F$156+M157*$F$157+M158*$F$158)</f>
        <v>319386421541.67896</v>
      </c>
      <c r="N155" s="657">
        <f>(N156*$F$156+N157*$F$157+N158*$F$158)</f>
        <v>159132156493.83264</v>
      </c>
      <c r="O155" s="657">
        <f>(O156*$F$156+O157*$F$157+O158*$F$158)</f>
        <v>200532756690.34076</v>
      </c>
      <c r="P155" s="2785">
        <f>(P156*$F$156+P157*$F$157+P158*$F$158)</f>
        <v>359664913184.17334</v>
      </c>
      <c r="Q155" s="588"/>
      <c r="R155" s="2247"/>
      <c r="S155" s="623"/>
      <c r="T155" s="2798">
        <f>P155/M155-1</f>
        <v>0.12611209784082256</v>
      </c>
      <c r="U155" s="639"/>
      <c r="V155" s="601"/>
      <c r="W155" s="289"/>
      <c r="X155" s="11"/>
    </row>
    <row r="156" spans="1:25">
      <c r="A156" s="293"/>
      <c r="B156" s="293" t="s">
        <v>800</v>
      </c>
      <c r="D156" s="2758" t="s">
        <v>112</v>
      </c>
      <c r="E156" s="127"/>
      <c r="F156" s="1021">
        <v>150.34941440467</v>
      </c>
      <c r="G156" s="164">
        <f>K156/M156</f>
        <v>0.32637545312343463</v>
      </c>
      <c r="H156" s="1004">
        <v>292067955.72000003</v>
      </c>
      <c r="I156" s="1004">
        <v>271215260.85000002</v>
      </c>
      <c r="J156" s="1003">
        <f>H156+I156</f>
        <v>563283216.57000005</v>
      </c>
      <c r="K156" s="1004">
        <v>234003455</v>
      </c>
      <c r="L156" s="2856">
        <v>482972815</v>
      </c>
      <c r="M156" s="499">
        <f>K156+L156</f>
        <v>716976270</v>
      </c>
      <c r="N156" s="2306">
        <v>369392394</v>
      </c>
      <c r="O156" s="2168">
        <v>409262761.30000001</v>
      </c>
      <c r="P156" s="2786">
        <f>N156+O156</f>
        <v>778655155.29999995</v>
      </c>
      <c r="Q156" s="713"/>
      <c r="R156" s="2248"/>
      <c r="S156" s="623"/>
      <c r="T156" s="2798">
        <f>P156/M156-1</f>
        <v>8.6026397080059436E-2</v>
      </c>
      <c r="U156" s="1227"/>
      <c r="V156" s="601"/>
      <c r="X156" s="715"/>
      <c r="Y156" s="653"/>
    </row>
    <row r="157" spans="1:25">
      <c r="A157" s="293"/>
      <c r="B157" s="293" t="s">
        <v>800</v>
      </c>
      <c r="D157" s="2758" t="s">
        <v>113</v>
      </c>
      <c r="E157" s="127"/>
      <c r="F157" s="1021">
        <v>1321.1764762242999</v>
      </c>
      <c r="G157" s="164">
        <f>K157/M157</f>
        <v>0.45683115467916635</v>
      </c>
      <c r="H157" s="1004">
        <v>39918043.829999998</v>
      </c>
      <c r="I157" s="1004">
        <v>51984574.790000007</v>
      </c>
      <c r="J157" s="1003">
        <f>H157+I157</f>
        <v>91902618.620000005</v>
      </c>
      <c r="K157" s="1004">
        <v>40755504.079999998</v>
      </c>
      <c r="L157" s="2856">
        <v>48457991.240000002</v>
      </c>
      <c r="M157" s="499">
        <f>K157+L157</f>
        <v>89213495.319999993</v>
      </c>
      <c r="N157" s="2306">
        <v>40785660.010000005</v>
      </c>
      <c r="O157" s="2168">
        <v>68746649.460000008</v>
      </c>
      <c r="P157" s="2786">
        <f t="shared" ref="P157:P158" si="16">N157+O157</f>
        <v>109532309.47000001</v>
      </c>
      <c r="Q157" s="713"/>
      <c r="R157" s="2248"/>
      <c r="S157" s="623"/>
      <c r="T157" s="2789"/>
      <c r="U157" s="1227"/>
      <c r="V157" s="601"/>
      <c r="W157" s="11"/>
      <c r="X157" s="715"/>
      <c r="Y157" s="653"/>
    </row>
    <row r="158" spans="1:25">
      <c r="A158" s="293"/>
      <c r="B158" s="293" t="s">
        <v>800</v>
      </c>
      <c r="D158" s="2758" t="s">
        <v>114</v>
      </c>
      <c r="E158" s="127"/>
      <c r="F158" s="1021">
        <v>519.33797406224903</v>
      </c>
      <c r="G158" s="164">
        <f>K158/M158</f>
        <v>0.48946982659382993</v>
      </c>
      <c r="H158" s="1004">
        <v>64952850.399999999</v>
      </c>
      <c r="I158" s="1004">
        <v>77508635.150000006</v>
      </c>
      <c r="J158" s="1003">
        <f>H158+I158</f>
        <v>142461485.55000001</v>
      </c>
      <c r="K158" s="1004">
        <v>88332511.870000005</v>
      </c>
      <c r="L158" s="2856">
        <v>92133181.969999999</v>
      </c>
      <c r="M158" s="499">
        <f>K158+L158</f>
        <v>180465693.84</v>
      </c>
      <c r="N158" s="2306">
        <v>95716420.290000007</v>
      </c>
      <c r="O158" s="2168">
        <v>92760180.289999992</v>
      </c>
      <c r="P158" s="2786">
        <f t="shared" si="16"/>
        <v>188476600.57999998</v>
      </c>
      <c r="Q158" s="713"/>
      <c r="R158" s="2248"/>
      <c r="S158" s="623"/>
      <c r="T158" s="2789"/>
      <c r="U158" s="1227"/>
      <c r="V158" s="601"/>
      <c r="W158" s="11"/>
      <c r="X158" s="715"/>
      <c r="Y158" s="653"/>
    </row>
    <row r="159" spans="1:25">
      <c r="A159" s="1652" t="s">
        <v>1275</v>
      </c>
      <c r="B159" s="293"/>
      <c r="D159" s="2756" t="s">
        <v>115</v>
      </c>
      <c r="E159" s="127"/>
      <c r="F159" s="1638" t="s">
        <v>792</v>
      </c>
      <c r="G159" s="164"/>
      <c r="H159" s="438"/>
      <c r="I159" s="438"/>
      <c r="J159" s="659">
        <f t="shared" ref="J159:P159" si="17">(J160*$F$160)+(J161*$F$161+J162*$F$162)*0</f>
        <v>132800070727.96223</v>
      </c>
      <c r="K159" s="659">
        <f t="shared" si="17"/>
        <v>55524887966.599998</v>
      </c>
      <c r="L159" s="2857">
        <f t="shared" si="17"/>
        <v>65979630595.919998</v>
      </c>
      <c r="M159" s="2858">
        <f t="shared" si="17"/>
        <v>121504518562.52</v>
      </c>
      <c r="N159" s="659">
        <f t="shared" si="17"/>
        <v>63790704584</v>
      </c>
      <c r="O159" s="659">
        <f t="shared" si="17"/>
        <v>91740160402</v>
      </c>
      <c r="P159" s="2858">
        <f t="shared" si="17"/>
        <v>155530864986</v>
      </c>
      <c r="Q159" s="588"/>
      <c r="R159" s="2247"/>
      <c r="S159" s="623"/>
      <c r="T159" s="2788">
        <f>P159/M159-1</f>
        <v>0.2800418192346632</v>
      </c>
      <c r="U159" s="639"/>
      <c r="V159" s="601"/>
      <c r="W159" s="11"/>
      <c r="X159" s="11"/>
    </row>
    <row r="160" spans="1:25">
      <c r="A160" s="293" t="s">
        <v>799</v>
      </c>
      <c r="B160" s="293" t="s">
        <v>515</v>
      </c>
      <c r="D160" s="2758" t="s">
        <v>116</v>
      </c>
      <c r="E160" s="127"/>
      <c r="F160" s="653">
        <v>145858</v>
      </c>
      <c r="G160" s="164">
        <f>H160/J160</f>
        <v>0.42695704556564912</v>
      </c>
      <c r="H160" s="1107">
        <v>388733.74</v>
      </c>
      <c r="I160" s="1107">
        <v>521741.31606797187</v>
      </c>
      <c r="J160" s="166">
        <f>H160+I160</f>
        <v>910475.05606797186</v>
      </c>
      <c r="K160" s="1107">
        <v>380677.7</v>
      </c>
      <c r="L160" s="2856">
        <v>452355.24</v>
      </c>
      <c r="M160" s="499">
        <v>833032.94000000006</v>
      </c>
      <c r="N160" s="1107">
        <v>437348</v>
      </c>
      <c r="O160" s="1238">
        <v>628969</v>
      </c>
      <c r="P160" s="2787">
        <v>1066317</v>
      </c>
      <c r="Q160" s="588"/>
      <c r="R160" s="2248"/>
      <c r="S160" s="623"/>
      <c r="T160" s="2788">
        <f>P160/M160-1</f>
        <v>0.28004181923466298</v>
      </c>
      <c r="U160" s="1227"/>
      <c r="V160" s="601"/>
      <c r="W160" s="11"/>
      <c r="X160" s="11"/>
    </row>
    <row r="161" spans="1:24">
      <c r="A161" s="293" t="s">
        <v>799</v>
      </c>
      <c r="B161" s="293" t="s">
        <v>515</v>
      </c>
      <c r="D161" s="2758" t="s">
        <v>117</v>
      </c>
      <c r="E161" s="127"/>
      <c r="F161" s="653">
        <v>66571.600000000006</v>
      </c>
      <c r="G161" s="164">
        <f>H161/J161</f>
        <v>0.26678203361807656</v>
      </c>
      <c r="H161" s="1107">
        <v>242.03800000000001</v>
      </c>
      <c r="I161" s="1107">
        <v>665.2120000000001</v>
      </c>
      <c r="J161" s="166">
        <f>H161+I161</f>
        <v>907.25000000000011</v>
      </c>
      <c r="K161" s="1107">
        <f>H161</f>
        <v>242.03800000000001</v>
      </c>
      <c r="L161" s="2856">
        <v>0</v>
      </c>
      <c r="M161" s="499">
        <f>K161+L161</f>
        <v>242.03800000000001</v>
      </c>
      <c r="N161" s="1107"/>
      <c r="O161" s="1238"/>
      <c r="P161" s="2787">
        <v>0</v>
      </c>
      <c r="Q161" s="588"/>
      <c r="R161" s="2248"/>
      <c r="S161" s="623"/>
      <c r="T161" s="519"/>
      <c r="U161" s="1227"/>
      <c r="V161" s="601"/>
      <c r="W161" s="289"/>
      <c r="X161" s="11"/>
    </row>
    <row r="162" spans="1:24" ht="15.5" thickBot="1">
      <c r="A162" s="293" t="s">
        <v>799</v>
      </c>
      <c r="B162" s="293" t="s">
        <v>515</v>
      </c>
      <c r="D162" s="2758" t="s">
        <v>118</v>
      </c>
      <c r="E162" s="322"/>
      <c r="F162" s="653">
        <v>814000</v>
      </c>
      <c r="G162" s="164">
        <f>H162/J162</f>
        <v>0.19936662377082812</v>
      </c>
      <c r="H162" s="1107">
        <v>12868.915500000001</v>
      </c>
      <c r="I162" s="1107">
        <v>51680.080999999998</v>
      </c>
      <c r="J162" s="166">
        <f>H162+I162</f>
        <v>64548.996500000001</v>
      </c>
      <c r="K162" s="1107">
        <v>0</v>
      </c>
      <c r="L162" s="2856">
        <f>M162*(1-G162)</f>
        <v>0</v>
      </c>
      <c r="M162" s="499">
        <f>K162/G162</f>
        <v>0</v>
      </c>
      <c r="N162" s="1107"/>
      <c r="O162" s="1238"/>
      <c r="P162" s="2787">
        <f>M162</f>
        <v>0</v>
      </c>
      <c r="Q162" s="591"/>
      <c r="R162" s="2249"/>
      <c r="S162" s="625"/>
      <c r="T162" s="519"/>
      <c r="U162" s="1227"/>
      <c r="V162" s="601"/>
      <c r="W162" s="11"/>
      <c r="X162" s="11"/>
    </row>
    <row r="163" spans="1:24" ht="15.5" thickBot="1">
      <c r="A163" s="293"/>
      <c r="B163" s="293" t="s">
        <v>134</v>
      </c>
      <c r="D163" s="2754" t="s">
        <v>1751</v>
      </c>
      <c r="E163" s="24"/>
      <c r="F163" s="537"/>
      <c r="G163" s="41"/>
      <c r="H163" s="216"/>
      <c r="I163" s="43"/>
      <c r="J163" s="545"/>
      <c r="K163" s="41"/>
      <c r="L163" s="43"/>
      <c r="M163" s="566"/>
      <c r="N163" s="2307"/>
      <c r="O163" s="2308"/>
      <c r="P163" s="2309"/>
      <c r="Q163" s="1595">
        <f>GDP!AI613</f>
        <v>10395</v>
      </c>
      <c r="R163" s="2240">
        <f t="shared" ref="R163:R176" si="18">I215</f>
        <v>6.6666223154730586E-2</v>
      </c>
      <c r="S163" s="605"/>
      <c r="T163" s="521"/>
      <c r="U163" s="626">
        <f>(V163/Q163-1)</f>
        <v>7.6222468274331545E-2</v>
      </c>
      <c r="V163" s="90">
        <f>V164+V168</f>
        <v>11187.332557711678</v>
      </c>
      <c r="X163" s="87"/>
    </row>
    <row r="164" spans="1:24" ht="15.5" thickBot="1">
      <c r="A164" s="293"/>
      <c r="B164" s="293"/>
      <c r="D164" s="2759" t="s">
        <v>106</v>
      </c>
      <c r="E164" s="24"/>
      <c r="F164" s="1640"/>
      <c r="G164" s="1641"/>
      <c r="H164" s="1642"/>
      <c r="I164" s="1643"/>
      <c r="J164" s="1644"/>
      <c r="K164" s="1641"/>
      <c r="L164" s="1643"/>
      <c r="M164" s="1645"/>
      <c r="N164" s="2310"/>
      <c r="O164" s="2311"/>
      <c r="P164" s="2312"/>
      <c r="Q164" s="531">
        <f>GDP!AI614</f>
        <v>3594</v>
      </c>
      <c r="R164" s="2240">
        <f t="shared" si="18"/>
        <v>8.9576216098699257E-2</v>
      </c>
      <c r="S164" s="605"/>
      <c r="T164" s="1626"/>
      <c r="U164" s="209">
        <f>(V164/Q164-1)</f>
        <v>0.1262116286784396</v>
      </c>
      <c r="V164" s="596">
        <f>SUM(V165:V167)</f>
        <v>4047.6045934703116</v>
      </c>
      <c r="X164" s="87"/>
    </row>
    <row r="165" spans="1:24">
      <c r="A165" s="293" t="s">
        <v>691</v>
      </c>
      <c r="B165" s="293" t="s">
        <v>696</v>
      </c>
      <c r="D165" s="2756" t="s">
        <v>107</v>
      </c>
      <c r="E165" s="127"/>
      <c r="F165" s="539"/>
      <c r="G165" s="480"/>
      <c r="H165" s="219"/>
      <c r="I165" s="458"/>
      <c r="J165" s="560"/>
      <c r="K165" s="573"/>
      <c r="L165" s="449"/>
      <c r="M165" s="467"/>
      <c r="N165" s="573"/>
      <c r="O165" s="449"/>
      <c r="P165" s="467"/>
      <c r="Q165" s="2796">
        <f>GDP!AI615</f>
        <v>129</v>
      </c>
      <c r="R165" s="2246">
        <f t="shared" si="18"/>
        <v>0.26252663781157781</v>
      </c>
      <c r="S165" s="615"/>
      <c r="T165" s="514"/>
      <c r="U165" s="2781">
        <f>((1+F52)/(1+K217)-1)+G52</f>
        <v>0.23890748643432347</v>
      </c>
      <c r="V165" s="166">
        <f>Q165*(1+U165)</f>
        <v>159.81906575002773</v>
      </c>
      <c r="X165" s="87"/>
    </row>
    <row r="166" spans="1:24">
      <c r="A166" s="293" t="s">
        <v>691</v>
      </c>
      <c r="B166" s="293" t="s">
        <v>696</v>
      </c>
      <c r="D166" s="2756" t="s">
        <v>36</v>
      </c>
      <c r="E166" s="127"/>
      <c r="F166" s="539"/>
      <c r="G166" s="480"/>
      <c r="H166" s="219"/>
      <c r="I166" s="458"/>
      <c r="J166" s="560"/>
      <c r="K166" s="574"/>
      <c r="L166" s="462"/>
      <c r="M166" s="571"/>
      <c r="N166" s="574"/>
      <c r="O166" s="462"/>
      <c r="P166" s="571"/>
      <c r="Q166" s="2796">
        <f>GDP!AI616</f>
        <v>1822</v>
      </c>
      <c r="R166" s="2246">
        <f t="shared" si="18"/>
        <v>0.11767879407044535</v>
      </c>
      <c r="S166" s="615"/>
      <c r="T166" s="514"/>
      <c r="U166" s="2781">
        <f>((1+F53)/(1+K218)-1+F54)</f>
        <v>0.11241188285489701</v>
      </c>
      <c r="V166" s="166">
        <f>Q166*(1+U166)</f>
        <v>2026.8144505616224</v>
      </c>
      <c r="X166" s="87"/>
    </row>
    <row r="167" spans="1:24" ht="15.5" thickBot="1">
      <c r="A167" s="293" t="s">
        <v>691</v>
      </c>
      <c r="B167" s="293" t="s">
        <v>692</v>
      </c>
      <c r="D167" s="2756" t="s">
        <v>108</v>
      </c>
      <c r="E167" s="127"/>
      <c r="F167" s="539"/>
      <c r="G167" s="480"/>
      <c r="H167" s="219"/>
      <c r="I167" s="458"/>
      <c r="J167" s="560"/>
      <c r="K167" s="574"/>
      <c r="L167" s="462"/>
      <c r="M167" s="571"/>
      <c r="N167" s="574"/>
      <c r="O167" s="462"/>
      <c r="P167" s="571"/>
      <c r="Q167" s="2796">
        <f>GDP!AI617</f>
        <v>1644</v>
      </c>
      <c r="R167" s="2246">
        <f t="shared" si="18"/>
        <v>4.419721507583918E-2</v>
      </c>
      <c r="S167" s="615"/>
      <c r="T167" s="514"/>
      <c r="U167" s="2781">
        <f>((1+F55)/(1+K219)-1+F56)</f>
        <v>0.13197754085076752</v>
      </c>
      <c r="V167" s="166">
        <f>Q167*(1+U167)</f>
        <v>1860.9710771586617</v>
      </c>
      <c r="X167" s="87"/>
    </row>
    <row r="168" spans="1:24" ht="15.5" thickBot="1">
      <c r="A168" s="293"/>
      <c r="B168" s="293"/>
      <c r="D168" s="2759" t="s">
        <v>133</v>
      </c>
      <c r="E168" s="24"/>
      <c r="F168" s="1646"/>
      <c r="G168" s="1647"/>
      <c r="H168" s="216"/>
      <c r="I168" s="43"/>
      <c r="J168" s="545"/>
      <c r="K168" s="1648"/>
      <c r="L168" s="1649"/>
      <c r="M168" s="1650"/>
      <c r="N168" s="2313"/>
      <c r="O168" s="2314"/>
      <c r="P168" s="2315"/>
      <c r="Q168" s="531">
        <f>GDP!AI618</f>
        <v>6802</v>
      </c>
      <c r="R168" s="2240">
        <f t="shared" si="18"/>
        <v>5.4561178367811491E-2</v>
      </c>
      <c r="S168" s="605"/>
      <c r="T168" s="1626"/>
      <c r="U168" s="209">
        <f>(V168/Q168-1)</f>
        <v>4.9651273778501093E-2</v>
      </c>
      <c r="V168" s="596">
        <f>SUM(V169:V182)</f>
        <v>7139.727964241365</v>
      </c>
      <c r="X168" s="87"/>
    </row>
    <row r="169" spans="1:24">
      <c r="A169" s="293" t="s">
        <v>691</v>
      </c>
      <c r="B169" s="293" t="s">
        <v>692</v>
      </c>
      <c r="D169" s="2760" t="s">
        <v>120</v>
      </c>
      <c r="E169" s="129"/>
      <c r="F169" s="539"/>
      <c r="G169" s="480"/>
      <c r="H169" s="219"/>
      <c r="I169" s="458"/>
      <c r="J169" s="560"/>
      <c r="K169" s="480"/>
      <c r="L169" s="464"/>
      <c r="M169" s="577"/>
      <c r="N169" s="480"/>
      <c r="O169" s="464"/>
      <c r="P169" s="577"/>
      <c r="Q169" s="583">
        <f>GDP!AI619</f>
        <v>681</v>
      </c>
      <c r="R169" s="2246">
        <f t="shared" si="18"/>
        <v>4.3446606117670233E-2</v>
      </c>
      <c r="S169" s="615">
        <f>(1+F57)/(1+K221)-1</f>
        <v>2.372178722720486E-2</v>
      </c>
      <c r="T169" s="514">
        <f>F59</f>
        <v>0.28000000000000003</v>
      </c>
      <c r="U169" s="2802">
        <f>(S169*(1-F58)+F58*T169)+F60</f>
        <v>0.16193404040032619</v>
      </c>
      <c r="V169" s="166">
        <f>Q169*(1+U169)</f>
        <v>791.2770815126222</v>
      </c>
      <c r="X169" s="87"/>
    </row>
    <row r="170" spans="1:24">
      <c r="A170" s="293" t="s">
        <v>691</v>
      </c>
      <c r="B170" s="293" t="s">
        <v>693</v>
      </c>
      <c r="D170" s="2760" t="s">
        <v>121</v>
      </c>
      <c r="E170" s="129"/>
      <c r="F170" s="539"/>
      <c r="G170" s="480"/>
      <c r="H170" s="219"/>
      <c r="I170" s="458"/>
      <c r="J170" s="560"/>
      <c r="K170" s="480"/>
      <c r="L170" s="464"/>
      <c r="M170" s="577"/>
      <c r="N170" s="480"/>
      <c r="O170" s="464"/>
      <c r="P170" s="577"/>
      <c r="Q170" s="583">
        <f>GDP!AI620</f>
        <v>433</v>
      </c>
      <c r="R170" s="2246">
        <f t="shared" si="18"/>
        <v>0.12058580762049191</v>
      </c>
      <c r="S170" s="666"/>
      <c r="T170" s="514"/>
      <c r="U170" s="2802">
        <f>(1+F61)/(1+K222)-1+F62</f>
        <v>5.2558506662984561E-2</v>
      </c>
      <c r="V170" s="166">
        <f t="shared" ref="V170:V182" si="19">Q170*(1+U170)</f>
        <v>455.75783338507233</v>
      </c>
      <c r="X170" s="87"/>
    </row>
    <row r="171" spans="1:24">
      <c r="A171" s="293" t="s">
        <v>691</v>
      </c>
      <c r="B171" s="293" t="s">
        <v>694</v>
      </c>
      <c r="D171" s="2760" t="s">
        <v>122</v>
      </c>
      <c r="E171" s="129"/>
      <c r="F171" s="529"/>
      <c r="G171" s="473"/>
      <c r="H171" s="219"/>
      <c r="I171" s="219"/>
      <c r="J171" s="560"/>
      <c r="K171" s="473"/>
      <c r="L171" s="441"/>
      <c r="M171" s="571"/>
      <c r="N171" s="473"/>
      <c r="O171" s="441"/>
      <c r="P171" s="571"/>
      <c r="Q171" s="583">
        <f>GDP!AI621</f>
        <v>498</v>
      </c>
      <c r="R171" s="2246">
        <f t="shared" si="18"/>
        <v>0.11044164641621423</v>
      </c>
      <c r="S171" s="615"/>
      <c r="T171" s="514"/>
      <c r="U171" s="2802">
        <f>(1+F63)/(1+K223)-1+F64</f>
        <v>0.14252089097135112</v>
      </c>
      <c r="V171" s="166">
        <f t="shared" si="19"/>
        <v>568.97540370373281</v>
      </c>
      <c r="X171" s="87"/>
    </row>
    <row r="172" spans="1:24">
      <c r="A172" s="293" t="s">
        <v>691</v>
      </c>
      <c r="B172" s="293" t="s">
        <v>695</v>
      </c>
      <c r="D172" s="2760" t="s">
        <v>123</v>
      </c>
      <c r="E172" s="129"/>
      <c r="F172" s="130"/>
      <c r="G172" s="157"/>
      <c r="H172" s="219"/>
      <c r="I172" s="219"/>
      <c r="J172" s="560"/>
      <c r="K172" s="157"/>
      <c r="L172" s="458"/>
      <c r="M172" s="578"/>
      <c r="N172" s="157"/>
      <c r="O172" s="458"/>
      <c r="P172" s="578"/>
      <c r="Q172" s="583">
        <f>GDP!AI622</f>
        <v>1372</v>
      </c>
      <c r="R172" s="2246">
        <f t="shared" si="18"/>
        <v>4.1008336636954856E-2</v>
      </c>
      <c r="S172" s="615"/>
      <c r="T172" s="514"/>
      <c r="U172" s="2802">
        <f>((((1+F67)/(1+K224)-1+F68)))</f>
        <v>-0.18598189809657495</v>
      </c>
      <c r="V172" s="166">
        <f t="shared" si="19"/>
        <v>1116.8328358114991</v>
      </c>
      <c r="X172" s="87"/>
    </row>
    <row r="173" spans="1:24">
      <c r="A173" s="293"/>
      <c r="B173" s="293" t="s">
        <v>697</v>
      </c>
      <c r="D173" s="2760" t="s">
        <v>124</v>
      </c>
      <c r="E173" s="129"/>
      <c r="F173" s="529"/>
      <c r="G173" s="473"/>
      <c r="H173" s="219"/>
      <c r="I173" s="219"/>
      <c r="J173" s="560"/>
      <c r="K173" s="473"/>
      <c r="L173" s="441"/>
      <c r="M173" s="571"/>
      <c r="N173" s="473"/>
      <c r="O173" s="441"/>
      <c r="P173" s="571"/>
      <c r="Q173" s="583">
        <f>GDP!AI623</f>
        <v>588</v>
      </c>
      <c r="R173" s="2246">
        <f t="shared" si="18"/>
        <v>5.2748238113726392E-2</v>
      </c>
      <c r="S173" s="615"/>
      <c r="T173" s="514"/>
      <c r="U173" s="2802">
        <f>F65+F66</f>
        <v>0.33922672194539549</v>
      </c>
      <c r="V173" s="166">
        <f t="shared" si="19"/>
        <v>787.46531250389251</v>
      </c>
      <c r="X173" s="87"/>
    </row>
    <row r="174" spans="1:24">
      <c r="A174" s="293" t="s">
        <v>525</v>
      </c>
      <c r="B174" s="293" t="s">
        <v>524</v>
      </c>
      <c r="D174" s="2760" t="s">
        <v>125</v>
      </c>
      <c r="E174" s="129"/>
      <c r="F174" s="529"/>
      <c r="G174" s="473"/>
      <c r="H174" s="219"/>
      <c r="I174" s="219"/>
      <c r="J174" s="560"/>
      <c r="K174" s="473"/>
      <c r="L174" s="441"/>
      <c r="M174" s="571"/>
      <c r="N174" s="473"/>
      <c r="O174" s="441"/>
      <c r="P174" s="571"/>
      <c r="Q174" s="583">
        <f>GDP!AI624</f>
        <v>840</v>
      </c>
      <c r="R174" s="2246">
        <f t="shared" si="18"/>
        <v>2.5000000000000001E-2</v>
      </c>
      <c r="S174" s="615"/>
      <c r="T174" s="514"/>
      <c r="U174" s="2802">
        <f>F69+F70</f>
        <v>5.9105431309904199E-2</v>
      </c>
      <c r="V174" s="166">
        <f t="shared" si="19"/>
        <v>889.64856230031955</v>
      </c>
      <c r="X174" s="87"/>
    </row>
    <row r="175" spans="1:24">
      <c r="A175" s="293" t="s">
        <v>135</v>
      </c>
      <c r="B175" s="293" t="s">
        <v>520</v>
      </c>
      <c r="D175" s="2760" t="s">
        <v>126</v>
      </c>
      <c r="E175" s="129"/>
      <c r="F175" s="529"/>
      <c r="G175" s="473"/>
      <c r="H175" s="219"/>
      <c r="I175" s="219"/>
      <c r="J175" s="2763"/>
      <c r="K175" s="623"/>
      <c r="L175" s="2764"/>
      <c r="M175" s="624"/>
      <c r="N175" s="473"/>
      <c r="O175" s="441"/>
      <c r="P175" s="571"/>
      <c r="Q175" s="583">
        <f>GDP!AI625</f>
        <v>825</v>
      </c>
      <c r="R175" s="2246">
        <f t="shared" si="18"/>
        <v>2.5000000000000022E-2</v>
      </c>
      <c r="S175" s="615"/>
      <c r="T175" s="514"/>
      <c r="U175" s="2802">
        <f>F71+F72</f>
        <v>0.12478632478632479</v>
      </c>
      <c r="V175" s="166">
        <f t="shared" si="19"/>
        <v>927.9487179487179</v>
      </c>
      <c r="X175" s="87"/>
    </row>
    <row r="176" spans="1:24">
      <c r="A176" s="293" t="s">
        <v>135</v>
      </c>
      <c r="B176" s="293" t="s">
        <v>520</v>
      </c>
      <c r="D176" s="2760" t="s">
        <v>127</v>
      </c>
      <c r="E176" s="129"/>
      <c r="F176" s="529"/>
      <c r="G176" s="473"/>
      <c r="H176" s="219"/>
      <c r="I176" s="219"/>
      <c r="J176" s="2765">
        <f>(J177*$F177+J178*$F178+J179*$F179+J180*$F180)/$X$176</f>
        <v>148545321.52399999</v>
      </c>
      <c r="K176" s="623"/>
      <c r="L176" s="2764"/>
      <c r="M176" s="2765">
        <f>(M177*$F177+M178*$F178+M179*$F179+M180*$F180)/$X$176</f>
        <v>225683864.22846258</v>
      </c>
      <c r="N176" s="473"/>
      <c r="O176" s="441"/>
      <c r="P176" s="2805">
        <f>(P177*$F177+P178*$F178+P179*$F179+P180*$F180)/$X$176</f>
        <v>207866124.24346265</v>
      </c>
      <c r="Q176" s="583">
        <f>GDP!AI626</f>
        <v>676</v>
      </c>
      <c r="R176" s="2246">
        <f t="shared" si="18"/>
        <v>0.06</v>
      </c>
      <c r="S176" s="2799">
        <f>P176/M176-1</f>
        <v>-7.8949995144370622E-2</v>
      </c>
      <c r="T176" s="514"/>
      <c r="U176" s="2803">
        <f>(S176+F73)</f>
        <v>-7.8949995144370622E-2</v>
      </c>
      <c r="V176" s="166">
        <f t="shared" si="19"/>
        <v>622.62980328240542</v>
      </c>
      <c r="X176">
        <v>1000</v>
      </c>
    </row>
    <row r="177" spans="1:24">
      <c r="A177" s="293"/>
      <c r="B177" s="293"/>
      <c r="D177" s="2761" t="s">
        <v>771</v>
      </c>
      <c r="E177" s="129"/>
      <c r="F177" s="770">
        <v>945832</v>
      </c>
      <c r="G177" s="473"/>
      <c r="H177" s="219"/>
      <c r="I177" s="219"/>
      <c r="J177" s="985">
        <f>GDP!AG529</f>
        <v>62762</v>
      </c>
      <c r="K177" s="473"/>
      <c r="L177" s="986"/>
      <c r="M177" s="985">
        <f>GDP!AI529</f>
        <v>71370</v>
      </c>
      <c r="N177" s="473"/>
      <c r="O177" s="986"/>
      <c r="P177" s="2806">
        <f>GDP!AJ529</f>
        <v>78121</v>
      </c>
      <c r="Q177" s="583"/>
      <c r="R177" s="2246"/>
      <c r="S177" s="615"/>
      <c r="T177" s="514"/>
      <c r="U177" s="616"/>
      <c r="V177" s="166"/>
      <c r="X177" s="87"/>
    </row>
    <row r="178" spans="1:24">
      <c r="A178" s="293"/>
      <c r="B178" s="293"/>
      <c r="D178" s="2761" t="s">
        <v>772</v>
      </c>
      <c r="E178" s="129"/>
      <c r="F178" s="770">
        <v>2726350</v>
      </c>
      <c r="G178" s="473"/>
      <c r="H178" s="219"/>
      <c r="I178" s="219"/>
      <c r="J178" s="985">
        <f>GDP!AG530</f>
        <v>23522</v>
      </c>
      <c r="K178" s="473"/>
      <c r="L178" s="986"/>
      <c r="M178" s="985">
        <f>GDP!AI530</f>
        <v>32974</v>
      </c>
      <c r="N178" s="473"/>
      <c r="O178" s="986"/>
      <c r="P178" s="2806">
        <f>GDP!AJ530</f>
        <v>36093</v>
      </c>
      <c r="Q178" s="583"/>
      <c r="R178" s="2246"/>
      <c r="S178" s="615"/>
      <c r="T178" s="514"/>
      <c r="U178" s="616"/>
      <c r="V178" s="166"/>
      <c r="X178" s="87"/>
    </row>
    <row r="179" spans="1:24">
      <c r="A179" s="293"/>
      <c r="B179" s="293"/>
      <c r="D179" s="2761" t="s">
        <v>807</v>
      </c>
      <c r="E179" s="129"/>
      <c r="F179" s="1024">
        <f>945832*2</f>
        <v>1891664</v>
      </c>
      <c r="G179" s="473"/>
      <c r="H179" s="219"/>
      <c r="I179" s="219"/>
      <c r="J179" s="985">
        <f>GDP!AG532</f>
        <v>7635</v>
      </c>
      <c r="K179" s="473"/>
      <c r="L179" s="986"/>
      <c r="M179" s="985">
        <f>GDP!AI531</f>
        <v>8054</v>
      </c>
      <c r="N179" s="473"/>
      <c r="O179" s="986"/>
      <c r="P179" s="2806">
        <f>GDP!AJ532</f>
        <v>10648.556520324242</v>
      </c>
      <c r="Q179" s="583"/>
      <c r="R179" s="2246"/>
      <c r="S179" s="615"/>
      <c r="T179" s="514"/>
      <c r="U179" s="616"/>
      <c r="V179" s="166"/>
      <c r="X179" s="87"/>
    </row>
    <row r="180" spans="1:24">
      <c r="A180" s="293"/>
      <c r="B180" s="293"/>
      <c r="D180" s="2761" t="s">
        <v>808</v>
      </c>
      <c r="E180" s="129"/>
      <c r="F180" s="1024">
        <f>2726350*2</f>
        <v>5452700</v>
      </c>
      <c r="G180" s="473"/>
      <c r="H180" s="219"/>
      <c r="I180" s="219"/>
      <c r="J180" s="985">
        <f>GDP!AG533</f>
        <v>1946</v>
      </c>
      <c r="K180" s="473"/>
      <c r="L180" s="986"/>
      <c r="M180" s="985">
        <f>GDP!AI532</f>
        <v>9728.3378202473232</v>
      </c>
      <c r="N180" s="473"/>
      <c r="O180" s="986"/>
      <c r="P180" s="2806">
        <f>GDP!AJ533</f>
        <v>2830</v>
      </c>
      <c r="Q180" s="583"/>
      <c r="R180" s="2246"/>
      <c r="S180" s="615"/>
      <c r="T180" s="514"/>
      <c r="U180" s="616"/>
      <c r="V180" s="166"/>
      <c r="X180" s="87"/>
    </row>
    <row r="181" spans="1:24">
      <c r="A181" s="293" t="s">
        <v>135</v>
      </c>
      <c r="B181" s="293" t="s">
        <v>520</v>
      </c>
      <c r="D181" s="2760" t="s">
        <v>128</v>
      </c>
      <c r="E181" s="129"/>
      <c r="F181" s="529"/>
      <c r="G181" s="473"/>
      <c r="H181" s="219"/>
      <c r="I181" s="219"/>
      <c r="J181" s="560"/>
      <c r="K181" s="473"/>
      <c r="L181" s="441"/>
      <c r="M181" s="571"/>
      <c r="N181" s="473"/>
      <c r="O181" s="441"/>
      <c r="P181" s="571"/>
      <c r="Q181" s="583">
        <f>GDP!AI627</f>
        <v>249</v>
      </c>
      <c r="R181" s="2246">
        <f>I229</f>
        <v>6.0000000000000005E-2</v>
      </c>
      <c r="S181" s="615"/>
      <c r="T181" s="514"/>
      <c r="U181" s="616">
        <f>G229+F75</f>
        <v>-0.02</v>
      </c>
      <c r="V181" s="166">
        <f t="shared" si="19"/>
        <v>244.01999999999998</v>
      </c>
      <c r="X181" s="87"/>
    </row>
    <row r="182" spans="1:24" ht="15.5" thickBot="1">
      <c r="A182" s="293" t="s">
        <v>525</v>
      </c>
      <c r="B182" s="295" t="s">
        <v>523</v>
      </c>
      <c r="C182" s="295" t="s">
        <v>30</v>
      </c>
      <c r="D182" s="2762" t="s">
        <v>37</v>
      </c>
      <c r="E182" s="132"/>
      <c r="F182" s="540"/>
      <c r="G182" s="481"/>
      <c r="H182" s="221"/>
      <c r="I182" s="221"/>
      <c r="J182" s="562"/>
      <c r="K182" s="481"/>
      <c r="L182" s="159"/>
      <c r="M182" s="579"/>
      <c r="N182" s="481"/>
      <c r="O182" s="159"/>
      <c r="P182" s="579"/>
      <c r="Q182" s="593">
        <f>GDP!AI628</f>
        <v>640</v>
      </c>
      <c r="R182" s="2246">
        <f>I230</f>
        <v>7.8E-2</v>
      </c>
      <c r="S182" s="627"/>
      <c r="T182" s="522"/>
      <c r="U182" s="211">
        <f>F76+F77</f>
        <v>0.1487068965517242</v>
      </c>
      <c r="V182" s="593">
        <f t="shared" si="19"/>
        <v>735.17241379310349</v>
      </c>
      <c r="X182" s="87"/>
    </row>
    <row r="183" spans="1:24" ht="15.5" thickBot="1">
      <c r="A183" s="293" t="s">
        <v>135</v>
      </c>
      <c r="B183" s="293" t="s">
        <v>520</v>
      </c>
      <c r="D183" s="2754" t="s">
        <v>1750</v>
      </c>
      <c r="E183" s="88"/>
      <c r="F183" s="541"/>
      <c r="G183" s="482"/>
      <c r="H183" s="222"/>
      <c r="I183" s="222"/>
      <c r="J183" s="563"/>
      <c r="K183" s="482"/>
      <c r="L183" s="91"/>
      <c r="M183" s="580"/>
      <c r="N183" s="2316"/>
      <c r="O183" s="2317"/>
      <c r="P183" s="2318"/>
      <c r="Q183" s="595">
        <f>GDP!AI630</f>
        <v>985</v>
      </c>
      <c r="R183" s="2244">
        <f>I232</f>
        <v>7.2084250751562134E-2</v>
      </c>
      <c r="S183" s="628"/>
      <c r="T183" s="523"/>
      <c r="U183" s="212">
        <f>((GDP!AI410))</f>
        <v>8.2084250751562129E-2</v>
      </c>
      <c r="V183" s="602">
        <f>Q183*(1+U183)</f>
        <v>1065.8529869902889</v>
      </c>
      <c r="X183" s="1382">
        <f>V183/Q183-1</f>
        <v>8.2084250751562227E-2</v>
      </c>
    </row>
    <row r="184" spans="1:24">
      <c r="A184" s="293"/>
      <c r="B184" s="293"/>
      <c r="D184" s="21"/>
      <c r="E184" s="21"/>
      <c r="F184" s="63"/>
      <c r="G184" s="63"/>
      <c r="H184" s="21"/>
      <c r="I184" s="21"/>
      <c r="J184" s="21"/>
      <c r="K184" s="63"/>
      <c r="L184" s="63"/>
      <c r="M184" s="63"/>
      <c r="N184" s="63"/>
      <c r="O184" s="21"/>
      <c r="P184" s="21"/>
      <c r="Q184" s="21"/>
      <c r="R184" s="21"/>
      <c r="S184" s="21"/>
      <c r="T184" s="21"/>
      <c r="U184" s="21"/>
      <c r="V184" s="21"/>
    </row>
    <row r="185" spans="1:24">
      <c r="A185" s="293"/>
      <c r="B185" s="293"/>
      <c r="D185" s="21"/>
      <c r="E185" s="21"/>
      <c r="F185" s="63"/>
      <c r="G185" s="63"/>
      <c r="H185" s="21"/>
      <c r="I185" s="21"/>
      <c r="J185" s="21"/>
      <c r="K185" s="63"/>
      <c r="L185" s="63"/>
      <c r="M185" s="63"/>
      <c r="N185" s="63"/>
      <c r="O185" s="21"/>
      <c r="P185" s="21"/>
      <c r="Q185" s="21"/>
      <c r="R185" s="21"/>
      <c r="S185" s="21"/>
      <c r="T185" s="21"/>
      <c r="U185" s="21"/>
      <c r="V185" s="21"/>
    </row>
    <row r="186" spans="1:24">
      <c r="A186" s="293"/>
      <c r="B186" s="293"/>
      <c r="D186" s="21"/>
      <c r="E186" s="21"/>
      <c r="F186" s="63"/>
      <c r="G186" s="63"/>
      <c r="H186" s="21"/>
      <c r="I186" s="21"/>
      <c r="J186" s="21"/>
      <c r="K186" s="63"/>
      <c r="L186" s="63"/>
      <c r="M186" s="63"/>
      <c r="N186" s="63"/>
      <c r="O186" s="21"/>
      <c r="P186" s="21"/>
      <c r="Q186" s="21"/>
      <c r="R186" s="21"/>
      <c r="S186" s="21"/>
      <c r="T186" s="21"/>
      <c r="U186" s="21"/>
      <c r="V186" s="21"/>
    </row>
    <row r="187" spans="1:24">
      <c r="A187" s="293"/>
      <c r="B187" s="293"/>
      <c r="D187" s="21"/>
      <c r="E187" s="21"/>
      <c r="F187" s="63"/>
      <c r="G187" s="63"/>
      <c r="H187" s="21"/>
      <c r="I187" s="21"/>
      <c r="J187" s="21"/>
      <c r="K187" s="63"/>
      <c r="L187" s="63"/>
      <c r="M187" s="63"/>
      <c r="N187" s="63"/>
      <c r="O187" s="21"/>
      <c r="P187" s="21"/>
      <c r="Q187" s="21"/>
      <c r="R187" s="21"/>
      <c r="S187" s="21"/>
      <c r="T187" s="21"/>
      <c r="U187" s="21"/>
      <c r="V187" s="21"/>
    </row>
    <row r="188" spans="1:24">
      <c r="A188" s="293"/>
      <c r="B188" s="293"/>
      <c r="D188" s="21"/>
      <c r="E188" s="21"/>
      <c r="F188" s="63"/>
      <c r="G188" s="63"/>
      <c r="H188" s="21"/>
      <c r="I188" s="21"/>
      <c r="J188" s="21"/>
      <c r="K188" s="63"/>
      <c r="L188" s="63"/>
      <c r="M188" s="63"/>
      <c r="N188" s="63"/>
      <c r="O188" s="21"/>
      <c r="P188" s="21"/>
      <c r="Q188" s="21"/>
      <c r="R188" s="21"/>
      <c r="S188" s="21"/>
      <c r="T188" s="21"/>
      <c r="U188" s="21"/>
      <c r="V188" s="21"/>
    </row>
    <row r="189" spans="1:24">
      <c r="A189" s="293"/>
      <c r="B189" s="293"/>
      <c r="D189" s="28" t="s">
        <v>531</v>
      </c>
      <c r="E189" s="28"/>
      <c r="F189" s="65"/>
      <c r="G189" s="65"/>
      <c r="H189" s="64"/>
      <c r="I189" s="64"/>
      <c r="J189" s="64"/>
      <c r="K189" s="65"/>
      <c r="L189" s="65"/>
      <c r="M189" s="65"/>
      <c r="N189" s="65"/>
      <c r="S189"/>
    </row>
    <row r="190" spans="1:24" ht="15.5" thickBot="1">
      <c r="D190" s="64"/>
      <c r="E190" s="64"/>
      <c r="F190" s="64"/>
      <c r="G190" s="64"/>
      <c r="H190" s="64"/>
      <c r="I190" s="64"/>
      <c r="J190" s="64"/>
      <c r="K190" s="64"/>
      <c r="L190" s="64"/>
      <c r="M190" s="64"/>
      <c r="N190" s="64"/>
      <c r="S190"/>
    </row>
    <row r="191" spans="1:24" ht="15.5" thickBot="1">
      <c r="A191" s="293"/>
      <c r="B191" s="293"/>
      <c r="D191" s="64"/>
      <c r="E191" s="64"/>
      <c r="F191" s="3853" t="s">
        <v>1672</v>
      </c>
      <c r="G191" s="3850" t="s">
        <v>1671</v>
      </c>
      <c r="H191" s="3851"/>
      <c r="I191" s="3851"/>
      <c r="J191" s="3852"/>
      <c r="K191" s="3289" t="s">
        <v>58</v>
      </c>
      <c r="L191" s="3850" t="s">
        <v>1670</v>
      </c>
      <c r="M191" s="3851"/>
      <c r="N191" s="3852"/>
    </row>
    <row r="192" spans="1:24" ht="28.75" thickBot="1">
      <c r="A192" s="293"/>
      <c r="B192" s="293"/>
      <c r="D192" s="29"/>
      <c r="E192" s="29"/>
      <c r="F192" s="3854"/>
      <c r="G192" s="3290" t="s">
        <v>1752</v>
      </c>
      <c r="H192" s="3291" t="s">
        <v>1753</v>
      </c>
      <c r="I192" s="3292" t="s">
        <v>1483</v>
      </c>
      <c r="J192" s="3293" t="s">
        <v>1266</v>
      </c>
      <c r="K192" s="3294">
        <v>2025</v>
      </c>
      <c r="L192" s="3295" t="s">
        <v>1269</v>
      </c>
      <c r="M192" s="3296" t="s">
        <v>92</v>
      </c>
      <c r="N192" s="3297" t="s">
        <v>1666</v>
      </c>
      <c r="R192" s="789"/>
    </row>
    <row r="193" spans="1:18" ht="16.5" customHeight="1" thickBot="1">
      <c r="A193" s="293"/>
      <c r="B193" s="293"/>
      <c r="D193" s="100" t="s">
        <v>59</v>
      </c>
      <c r="E193" s="100"/>
      <c r="F193" s="673">
        <f>Q85</f>
        <v>19917</v>
      </c>
      <c r="G193" s="1383">
        <v>8.7000000000000008E-2</v>
      </c>
      <c r="H193" s="2861">
        <f>U85</f>
        <v>7.7782468776579336E-2</v>
      </c>
      <c r="I193" s="1372">
        <v>6.978353886191821E-2</v>
      </c>
      <c r="J193" s="103">
        <f>J195+J201+J215+J232</f>
        <v>21466.193430623131</v>
      </c>
      <c r="K193" s="655">
        <f>+(1+M193)/(1+H193)-1</f>
        <v>6.6874859361114369E-2</v>
      </c>
      <c r="L193" s="673">
        <f>GDP!AI680</f>
        <v>19918</v>
      </c>
      <c r="M193" s="647">
        <f>N193/L193-1</f>
        <v>0.14985901979788774</v>
      </c>
      <c r="N193" s="108">
        <f>N195+N201+N215+N232</f>
        <v>22902.891956334326</v>
      </c>
      <c r="O193" s="87"/>
      <c r="R193" s="790"/>
    </row>
    <row r="194" spans="1:18" ht="13.5" customHeight="1" thickBot="1">
      <c r="A194" s="293"/>
      <c r="B194" s="293"/>
      <c r="D194" s="100"/>
      <c r="E194" s="100"/>
      <c r="F194" s="673"/>
      <c r="G194" s="673"/>
      <c r="H194" s="3285"/>
      <c r="I194" s="1372"/>
      <c r="J194" s="103"/>
      <c r="K194" s="107"/>
      <c r="L194" s="673"/>
      <c r="M194" s="647"/>
      <c r="N194" s="108"/>
      <c r="R194" s="790"/>
    </row>
    <row r="195" spans="1:18" ht="15.5" thickBot="1">
      <c r="A195" s="293"/>
      <c r="B195" s="293"/>
      <c r="D195" s="104" t="s">
        <v>132</v>
      </c>
      <c r="E195" s="104"/>
      <c r="F195" s="710">
        <f>Q86</f>
        <v>4142</v>
      </c>
      <c r="G195" s="675">
        <v>7.3333333333333334E-2</v>
      </c>
      <c r="H195" s="3286">
        <f>U86</f>
        <v>6.8531117305283287E-2</v>
      </c>
      <c r="I195" s="1372">
        <v>4.6830242778839466E-2</v>
      </c>
      <c r="J195" s="103">
        <f>SUM(J196:J200)</f>
        <v>4425.8558878784834</v>
      </c>
      <c r="K195" s="101"/>
      <c r="L195" s="710">
        <f>GDP!AI682</f>
        <v>4141</v>
      </c>
      <c r="M195" s="647">
        <f>N195/L195-1</f>
        <v>0.16596167058853051</v>
      </c>
      <c r="N195" s="108">
        <f>SUM(N196:N200)</f>
        <v>4828.2472779071049</v>
      </c>
      <c r="R195" s="790"/>
    </row>
    <row r="196" spans="1:18">
      <c r="A196" s="293" t="s">
        <v>529</v>
      </c>
      <c r="B196" s="293" t="s">
        <v>1292</v>
      </c>
      <c r="D196" s="454" t="s">
        <v>48</v>
      </c>
      <c r="E196" s="454"/>
      <c r="F196" s="588">
        <f>Q87</f>
        <v>2373</v>
      </c>
      <c r="G196" s="1204">
        <v>0.03</v>
      </c>
      <c r="H196" s="3308">
        <f>U87</f>
        <v>3.054792416545439E-2</v>
      </c>
      <c r="I196" s="1373">
        <v>3.2877984951996377E-2</v>
      </c>
      <c r="J196" s="483">
        <f>V87</f>
        <v>2445.4902240446236</v>
      </c>
      <c r="K196" s="2769">
        <v>5.4944103706788594E-2</v>
      </c>
      <c r="L196" s="588">
        <f>GDP!AI683</f>
        <v>2373</v>
      </c>
      <c r="M196" s="139">
        <f>(1+H196)*(1+K196)-1</f>
        <v>8.7170456185617029E-2</v>
      </c>
      <c r="N196" s="162">
        <f>L196*(1+M196)</f>
        <v>2579.8554925284693</v>
      </c>
      <c r="O196" s="87"/>
      <c r="R196" s="791"/>
    </row>
    <row r="197" spans="1:18">
      <c r="A197" s="293" t="s">
        <v>529</v>
      </c>
      <c r="B197" s="1652" t="s">
        <v>1293</v>
      </c>
      <c r="D197" s="122" t="s">
        <v>49</v>
      </c>
      <c r="E197" s="122"/>
      <c r="F197" s="588">
        <f>Q112</f>
        <v>352</v>
      </c>
      <c r="G197" s="1205">
        <v>0.26</v>
      </c>
      <c r="H197" s="3309">
        <f>U112</f>
        <v>0.26859177379462579</v>
      </c>
      <c r="I197" s="1374">
        <v>6.5521043462685849E-2</v>
      </c>
      <c r="J197" s="483">
        <f>V112</f>
        <v>446.54430437570824</v>
      </c>
      <c r="K197" s="2770">
        <v>7.036802266674913E-2</v>
      </c>
      <c r="L197" s="588">
        <f>GDP!AI684</f>
        <v>352</v>
      </c>
      <c r="M197" s="139">
        <f>(1+H197)*(1+K197)-1</f>
        <v>0.35786006848785745</v>
      </c>
      <c r="N197" s="162">
        <f>L197*(1+M197)</f>
        <v>477.96674410772584</v>
      </c>
      <c r="O197" s="87"/>
      <c r="R197" s="790"/>
    </row>
    <row r="198" spans="1:18">
      <c r="A198" s="293" t="s">
        <v>529</v>
      </c>
      <c r="B198" s="293" t="s">
        <v>1294</v>
      </c>
      <c r="D198" s="122" t="s">
        <v>55</v>
      </c>
      <c r="E198" s="122"/>
      <c r="F198" s="588">
        <f>Q123</f>
        <v>581</v>
      </c>
      <c r="G198" s="1205">
        <v>9.9999999999999992E-2</v>
      </c>
      <c r="H198" s="3309">
        <f>U123</f>
        <v>9.9056603773584939E-2</v>
      </c>
      <c r="I198" s="1374">
        <v>7.7999999999999986E-2</v>
      </c>
      <c r="J198" s="483">
        <f>V123</f>
        <v>638.55188679245282</v>
      </c>
      <c r="K198" s="2770">
        <v>0.2688991040726969</v>
      </c>
      <c r="L198" s="588">
        <f>GDP!AI685</f>
        <v>581</v>
      </c>
      <c r="M198" s="139">
        <f>(1+H198)*(1+K198)-1</f>
        <v>0.39459193985348295</v>
      </c>
      <c r="N198" s="162">
        <f>L198*(1+M198)</f>
        <v>810.25791705487359</v>
      </c>
      <c r="O198" s="87"/>
      <c r="R198" s="790"/>
    </row>
    <row r="199" spans="1:18">
      <c r="A199" s="293" t="s">
        <v>529</v>
      </c>
      <c r="B199" s="1652" t="s">
        <v>1295</v>
      </c>
      <c r="D199" s="122" t="s">
        <v>56</v>
      </c>
      <c r="E199" s="122"/>
      <c r="F199" s="588">
        <f>Q132</f>
        <v>783</v>
      </c>
      <c r="G199" s="1205">
        <v>5.6666666666666664E-2</v>
      </c>
      <c r="H199" s="3309">
        <f>U132</f>
        <v>5.6603773584905648E-2</v>
      </c>
      <c r="I199" s="1374">
        <v>5.5E-2</v>
      </c>
      <c r="J199" s="483">
        <f>V132</f>
        <v>827.32075471698113</v>
      </c>
      <c r="K199" s="2770">
        <v>7.036802266674913E-2</v>
      </c>
      <c r="L199" s="588">
        <f>GDP!AI686</f>
        <v>783</v>
      </c>
      <c r="M199" s="139">
        <f>(1+H199)*(1+K199)-1</f>
        <v>0.13095489187430087</v>
      </c>
      <c r="N199" s="162">
        <f>L199*(1+M199)</f>
        <v>885.53768033757763</v>
      </c>
      <c r="O199" s="87"/>
      <c r="R199" s="790"/>
    </row>
    <row r="200" spans="1:18" ht="15.5" thickBot="1">
      <c r="A200" s="293" t="s">
        <v>529</v>
      </c>
      <c r="B200" s="293" t="s">
        <v>1296</v>
      </c>
      <c r="D200" s="123" t="s">
        <v>57</v>
      </c>
      <c r="E200" s="122"/>
      <c r="F200" s="588">
        <f>Q137</f>
        <v>53</v>
      </c>
      <c r="G200" s="1205">
        <v>0.24666666666666667</v>
      </c>
      <c r="H200" s="3309">
        <f>U137</f>
        <v>0.28205128205128216</v>
      </c>
      <c r="I200" s="1374">
        <v>8.5000000000000006E-2</v>
      </c>
      <c r="J200" s="483">
        <f>V137</f>
        <v>67.948717948717956</v>
      </c>
      <c r="K200" s="2770">
        <v>7.7980856022184186E-2</v>
      </c>
      <c r="L200" s="588">
        <f>GDP!AI687</f>
        <v>54</v>
      </c>
      <c r="M200" s="139">
        <f>(1+H200)*(1+K200)-1</f>
        <v>0.38202673848997981</v>
      </c>
      <c r="N200" s="162">
        <f>L200*(1+M200)</f>
        <v>74.629443878458915</v>
      </c>
      <c r="O200" s="87"/>
      <c r="R200" s="790"/>
    </row>
    <row r="201" spans="1:18" ht="15.5" thickBot="1">
      <c r="A201" s="293"/>
      <c r="B201" s="293"/>
      <c r="D201" s="104" t="s">
        <v>131</v>
      </c>
      <c r="E201" s="104"/>
      <c r="F201" s="710">
        <f>Q138</f>
        <v>4396</v>
      </c>
      <c r="G201" s="675">
        <v>9.6666666666666679E-2</v>
      </c>
      <c r="H201" s="3286">
        <f>U138</f>
        <v>8.8979071438280322E-2</v>
      </c>
      <c r="I201" s="1372">
        <v>9.8267152432604643E-2</v>
      </c>
      <c r="J201" s="103">
        <f>J202+J203+J212+J213+J214</f>
        <v>4787.1519980426801</v>
      </c>
      <c r="K201" s="2771"/>
      <c r="L201" s="710">
        <f>GDP!AI688</f>
        <v>4395</v>
      </c>
      <c r="M201" s="648">
        <f>N201/L201-1</f>
        <v>0.15296253317676012</v>
      </c>
      <c r="N201" s="108">
        <f>N202+N203+SUM(N212:N214)</f>
        <v>5067.2703333118607</v>
      </c>
      <c r="R201" s="792"/>
    </row>
    <row r="202" spans="1:18">
      <c r="A202" s="293" t="s">
        <v>530</v>
      </c>
      <c r="B202" s="293" t="s">
        <v>1297</v>
      </c>
      <c r="D202" s="484" t="s">
        <v>66</v>
      </c>
      <c r="E202" s="454"/>
      <c r="F202" s="588">
        <f>Q139</f>
        <v>354</v>
      </c>
      <c r="G202" s="1205">
        <v>8.3333333333333329E-2</v>
      </c>
      <c r="H202" s="3309">
        <f>U139</f>
        <v>4.2580677243909071E-2</v>
      </c>
      <c r="I202" s="1374">
        <v>5.7823394869002391E-2</v>
      </c>
      <c r="J202" s="483">
        <f>V139</f>
        <v>369.07355974434381</v>
      </c>
      <c r="K202" s="2770">
        <v>3.0580784934588934E-2</v>
      </c>
      <c r="L202" s="588">
        <f>GDP!AI689</f>
        <v>355</v>
      </c>
      <c r="M202" s="139">
        <f>(1+H202)*(1+K202)-1</f>
        <v>7.446361271166313E-2</v>
      </c>
      <c r="N202" s="165">
        <f>L202*(1+M202)</f>
        <v>381.43458251264042</v>
      </c>
      <c r="O202" s="1055"/>
      <c r="R202" s="790"/>
    </row>
    <row r="203" spans="1:18">
      <c r="A203" s="293"/>
      <c r="B203" s="293" t="s">
        <v>30</v>
      </c>
      <c r="D203" s="454" t="s">
        <v>67</v>
      </c>
      <c r="E203" s="454"/>
      <c r="F203" s="588">
        <f t="shared" ref="F203:F214" si="20">Q143</f>
        <v>1619</v>
      </c>
      <c r="G203" s="1205">
        <v>0.10333333333333333</v>
      </c>
      <c r="H203" s="3309">
        <f t="shared" ref="H203:H214" si="21">U143</f>
        <v>4.9301575758418946E-2</v>
      </c>
      <c r="I203" s="1375">
        <v>7.5998318415705576E-2</v>
      </c>
      <c r="J203" s="483">
        <f>SUM(J204:J211)</f>
        <v>1698.8192511528803</v>
      </c>
      <c r="K203" s="2772"/>
      <c r="L203" s="588">
        <f>GDP!AI690</f>
        <v>1618</v>
      </c>
      <c r="M203" s="139">
        <f>N203/L203-1</f>
        <v>9.8687242333820313E-2</v>
      </c>
      <c r="N203" s="162">
        <f>SUM(N204:N211)</f>
        <v>1777.6759580961213</v>
      </c>
      <c r="R203" s="790"/>
    </row>
    <row r="204" spans="1:18">
      <c r="A204" s="293" t="s">
        <v>530</v>
      </c>
      <c r="B204" s="293" t="s">
        <v>1298</v>
      </c>
      <c r="D204" s="154" t="s">
        <v>68</v>
      </c>
      <c r="E204" s="154"/>
      <c r="F204" s="583">
        <f t="shared" si="20"/>
        <v>383</v>
      </c>
      <c r="G204" s="470">
        <v>9.0000000000000011E-2</v>
      </c>
      <c r="H204" s="3310">
        <f t="shared" si="21"/>
        <v>6.4244329268309697E-2</v>
      </c>
      <c r="I204" s="1375">
        <v>5.9005692244037705E-2</v>
      </c>
      <c r="J204" s="467">
        <f t="shared" ref="J204:J214" si="22">V144</f>
        <v>407.60557810976263</v>
      </c>
      <c r="K204" s="2773">
        <v>7.433333333333314E-2</v>
      </c>
      <c r="L204" s="583">
        <f>GDP!AI691</f>
        <v>383</v>
      </c>
      <c r="M204" s="649">
        <f t="shared" ref="M204:M214" si="23">(1+H204)*(1+K204)-1</f>
        <v>0.14335315774392043</v>
      </c>
      <c r="N204" s="166">
        <f>L204*(1+M204)</f>
        <v>437.9042594159215</v>
      </c>
      <c r="O204" s="1055"/>
      <c r="R204" s="793"/>
    </row>
    <row r="205" spans="1:18">
      <c r="A205" s="293" t="s">
        <v>530</v>
      </c>
      <c r="B205" s="293" t="s">
        <v>1299</v>
      </c>
      <c r="D205" s="154" t="s">
        <v>69</v>
      </c>
      <c r="E205" s="154"/>
      <c r="F205" s="583">
        <f t="shared" si="20"/>
        <v>486</v>
      </c>
      <c r="G205" s="470">
        <v>2.3333333333333334E-2</v>
      </c>
      <c r="H205" s="3310">
        <f t="shared" si="21"/>
        <v>3.8592573677519892E-2</v>
      </c>
      <c r="I205" s="1375">
        <v>3.2986455639210953E-2</v>
      </c>
      <c r="J205" s="467">
        <f t="shared" si="22"/>
        <v>504.75599080727466</v>
      </c>
      <c r="K205" s="2773">
        <v>7.2422701891824648E-2</v>
      </c>
      <c r="L205" s="583">
        <f>GDP!AI692</f>
        <v>486</v>
      </c>
      <c r="M205" s="649">
        <f t="shared" si="23"/>
        <v>0.11381025402802991</v>
      </c>
      <c r="N205" s="166">
        <f t="shared" ref="N205:N214" si="24">L205*(1+M205)</f>
        <v>541.31178345762248</v>
      </c>
      <c r="O205" s="1055"/>
      <c r="R205" s="793"/>
    </row>
    <row r="206" spans="1:18">
      <c r="A206" s="293" t="s">
        <v>530</v>
      </c>
      <c r="B206" s="293" t="s">
        <v>1300</v>
      </c>
      <c r="D206" s="154" t="s">
        <v>70</v>
      </c>
      <c r="E206" s="154"/>
      <c r="F206" s="583">
        <f t="shared" si="20"/>
        <v>136</v>
      </c>
      <c r="G206" s="470">
        <v>-4.6666666666666669E-2</v>
      </c>
      <c r="H206" s="3310">
        <f t="shared" si="21"/>
        <v>-3.7619088939704004E-2</v>
      </c>
      <c r="I206" s="1375">
        <v>2.7410568017370851E-2</v>
      </c>
      <c r="J206" s="467">
        <f t="shared" si="22"/>
        <v>130.88380390420025</v>
      </c>
      <c r="K206" s="2773">
        <v>0</v>
      </c>
      <c r="L206" s="583">
        <f>GDP!AI693</f>
        <v>134</v>
      </c>
      <c r="M206" s="649">
        <f t="shared" si="23"/>
        <v>-3.7619088939704004E-2</v>
      </c>
      <c r="N206" s="166">
        <f t="shared" si="24"/>
        <v>128.95904208207966</v>
      </c>
      <c r="O206" s="1055"/>
      <c r="R206" s="793"/>
    </row>
    <row r="207" spans="1:18">
      <c r="A207" s="293" t="s">
        <v>530</v>
      </c>
      <c r="B207" s="293" t="s">
        <v>1301</v>
      </c>
      <c r="D207" s="154" t="s">
        <v>71</v>
      </c>
      <c r="E207" s="154"/>
      <c r="F207" s="583">
        <f t="shared" si="20"/>
        <v>78</v>
      </c>
      <c r="G207" s="470">
        <v>0.13999999999999999</v>
      </c>
      <c r="H207" s="3310">
        <f t="shared" si="21"/>
        <v>2.7853564935027775E-2</v>
      </c>
      <c r="I207" s="1375">
        <v>0.14166018514138323</v>
      </c>
      <c r="J207" s="467">
        <f t="shared" si="22"/>
        <v>80.172578064932168</v>
      </c>
      <c r="K207" s="2773">
        <v>0</v>
      </c>
      <c r="L207" s="583">
        <f>GDP!AI694</f>
        <v>79</v>
      </c>
      <c r="M207" s="649">
        <f t="shared" si="23"/>
        <v>2.7853564935027775E-2</v>
      </c>
      <c r="N207" s="166">
        <f t="shared" si="24"/>
        <v>81.200431629867197</v>
      </c>
      <c r="O207" s="1055"/>
      <c r="R207" s="793"/>
    </row>
    <row r="208" spans="1:18">
      <c r="A208" s="293" t="s">
        <v>530</v>
      </c>
      <c r="B208" s="293" t="s">
        <v>1302</v>
      </c>
      <c r="D208" s="154" t="s">
        <v>72</v>
      </c>
      <c r="E208" s="154"/>
      <c r="F208" s="583">
        <f t="shared" si="20"/>
        <v>187</v>
      </c>
      <c r="G208" s="470">
        <v>0.23666666666666666</v>
      </c>
      <c r="H208" s="3310">
        <f t="shared" si="21"/>
        <v>7.1424896577609864E-3</v>
      </c>
      <c r="I208" s="1375">
        <v>0.14207140914116329</v>
      </c>
      <c r="J208" s="467">
        <f t="shared" si="22"/>
        <v>188.33564556600132</v>
      </c>
      <c r="K208" s="2773">
        <v>7.0000000000000062E-2</v>
      </c>
      <c r="L208" s="583">
        <f>GDP!AI695</f>
        <v>187</v>
      </c>
      <c r="M208" s="649">
        <f t="shared" si="23"/>
        <v>7.7642463933804251E-2</v>
      </c>
      <c r="N208" s="166">
        <f t="shared" si="24"/>
        <v>201.51914075562141</v>
      </c>
      <c r="O208" s="1055"/>
      <c r="R208" s="793"/>
    </row>
    <row r="209" spans="1:18">
      <c r="A209" s="293" t="s">
        <v>530</v>
      </c>
      <c r="B209" s="293" t="s">
        <v>1303</v>
      </c>
      <c r="D209" s="154" t="s">
        <v>73</v>
      </c>
      <c r="E209" s="154"/>
      <c r="F209" s="583">
        <f t="shared" si="20"/>
        <v>122</v>
      </c>
      <c r="G209" s="470">
        <v>0.34666666666666668</v>
      </c>
      <c r="H209" s="3310">
        <f t="shared" si="21"/>
        <v>9.9687137616490507E-2</v>
      </c>
      <c r="I209" s="1375">
        <v>0.12386094936038836</v>
      </c>
      <c r="J209" s="467">
        <f t="shared" si="22"/>
        <v>134.16183078921185</v>
      </c>
      <c r="K209" s="2773">
        <v>-5.7509584930821589E-3</v>
      </c>
      <c r="L209" s="583">
        <f>GDP!AI696</f>
        <v>121</v>
      </c>
      <c r="M209" s="649">
        <f t="shared" si="23"/>
        <v>9.3362882532681768E-2</v>
      </c>
      <c r="N209" s="166">
        <f t="shared" si="24"/>
        <v>132.29690878645448</v>
      </c>
      <c r="O209" s="1055"/>
      <c r="R209" s="793"/>
    </row>
    <row r="210" spans="1:18">
      <c r="A210" s="293" t="s">
        <v>530</v>
      </c>
      <c r="B210" s="293" t="s">
        <v>1304</v>
      </c>
      <c r="D210" s="154" t="s">
        <v>74</v>
      </c>
      <c r="E210" s="154"/>
      <c r="F210" s="583">
        <f t="shared" si="20"/>
        <v>118</v>
      </c>
      <c r="G210" s="470">
        <v>0.21</v>
      </c>
      <c r="H210" s="3310">
        <f t="shared" si="21"/>
        <v>5.7157198663192244E-2</v>
      </c>
      <c r="I210" s="1375">
        <v>0.14453355018770428</v>
      </c>
      <c r="J210" s="467">
        <f t="shared" si="22"/>
        <v>124.74454944225668</v>
      </c>
      <c r="K210" s="2773">
        <v>0</v>
      </c>
      <c r="L210" s="583">
        <f>GDP!AI697</f>
        <v>117</v>
      </c>
      <c r="M210" s="649">
        <f t="shared" si="23"/>
        <v>5.7157198663192244E-2</v>
      </c>
      <c r="N210" s="166">
        <f t="shared" si="24"/>
        <v>123.68739224359349</v>
      </c>
      <c r="O210" s="1055"/>
      <c r="R210" s="793"/>
    </row>
    <row r="211" spans="1:18">
      <c r="A211" s="293" t="s">
        <v>530</v>
      </c>
      <c r="B211" s="293" t="s">
        <v>1305</v>
      </c>
      <c r="D211" s="154" t="s">
        <v>75</v>
      </c>
      <c r="E211" s="154"/>
      <c r="F211" s="583">
        <f t="shared" si="20"/>
        <v>110</v>
      </c>
      <c r="G211" s="470">
        <v>4.9999999999999996E-2</v>
      </c>
      <c r="H211" s="3310">
        <f t="shared" si="21"/>
        <v>0.16508431335673412</v>
      </c>
      <c r="I211" s="1375">
        <v>0.09</v>
      </c>
      <c r="J211" s="467">
        <f t="shared" si="22"/>
        <v>128.15927446924076</v>
      </c>
      <c r="K211" s="2773">
        <v>2.0581618198483254E-2</v>
      </c>
      <c r="L211" s="583">
        <f>GDP!AI698</f>
        <v>110</v>
      </c>
      <c r="M211" s="649">
        <f t="shared" si="23"/>
        <v>0.18906363386328451</v>
      </c>
      <c r="N211" s="166">
        <f t="shared" si="24"/>
        <v>130.7969997249613</v>
      </c>
      <c r="O211" s="1055"/>
      <c r="R211" s="793"/>
    </row>
    <row r="212" spans="1:18">
      <c r="A212" s="293" t="s">
        <v>530</v>
      </c>
      <c r="B212" s="293" t="s">
        <v>1306</v>
      </c>
      <c r="D212" s="454" t="s">
        <v>76</v>
      </c>
      <c r="E212" s="454"/>
      <c r="F212" s="588">
        <f t="shared" si="20"/>
        <v>147</v>
      </c>
      <c r="G212" s="1205">
        <v>0.16333333333333333</v>
      </c>
      <c r="H212" s="3309">
        <f t="shared" si="21"/>
        <v>0.10743087903154969</v>
      </c>
      <c r="I212" s="1374">
        <v>9.2312089440649947E-2</v>
      </c>
      <c r="J212" s="483">
        <f t="shared" si="22"/>
        <v>162.79233921763782</v>
      </c>
      <c r="K212" s="2774">
        <v>0.1449999999999998</v>
      </c>
      <c r="L212" s="588">
        <f>GDP!AI699</f>
        <v>147</v>
      </c>
      <c r="M212" s="139">
        <f t="shared" si="23"/>
        <v>0.2680083564911242</v>
      </c>
      <c r="N212" s="162">
        <f t="shared" si="24"/>
        <v>186.39722840419526</v>
      </c>
      <c r="O212" s="1055"/>
      <c r="R212" s="792"/>
    </row>
    <row r="213" spans="1:18">
      <c r="A213" s="293" t="s">
        <v>530</v>
      </c>
      <c r="B213" s="293" t="s">
        <v>1307</v>
      </c>
      <c r="D213" s="454" t="s">
        <v>77</v>
      </c>
      <c r="E213" s="454"/>
      <c r="F213" s="588">
        <f t="shared" si="20"/>
        <v>78</v>
      </c>
      <c r="G213" s="1205">
        <v>5.3333333333333337E-2</v>
      </c>
      <c r="H213" s="3309">
        <f t="shared" si="21"/>
        <v>0.10633653340086235</v>
      </c>
      <c r="I213" s="1374">
        <v>4.0215110698268886E-2</v>
      </c>
      <c r="J213" s="483">
        <f t="shared" si="22"/>
        <v>86.294249605267268</v>
      </c>
      <c r="K213" s="2774">
        <v>0</v>
      </c>
      <c r="L213" s="588">
        <f>GDP!AI700</f>
        <v>78</v>
      </c>
      <c r="M213" s="139">
        <f t="shared" si="23"/>
        <v>0.10633653340086235</v>
      </c>
      <c r="N213" s="162">
        <f t="shared" si="24"/>
        <v>86.294249605267268</v>
      </c>
      <c r="O213" s="1055"/>
      <c r="R213" s="792"/>
    </row>
    <row r="214" spans="1:18" ht="15.5" thickBot="1">
      <c r="A214" s="293" t="s">
        <v>530</v>
      </c>
      <c r="B214" s="293" t="s">
        <v>1308</v>
      </c>
      <c r="D214" s="454" t="s">
        <v>35</v>
      </c>
      <c r="E214" s="454"/>
      <c r="F214" s="588">
        <f t="shared" si="20"/>
        <v>2199</v>
      </c>
      <c r="G214" s="1205">
        <v>9.0000000000000011E-2</v>
      </c>
      <c r="H214" s="3309">
        <f t="shared" si="21"/>
        <v>0.12331632483972341</v>
      </c>
      <c r="I214" s="1374">
        <v>0.12313096271615964</v>
      </c>
      <c r="J214" s="483">
        <f t="shared" si="22"/>
        <v>2470.1725983225515</v>
      </c>
      <c r="K214" s="2772">
        <v>6.6916666666666735E-2</v>
      </c>
      <c r="L214" s="588">
        <f>GDP!AI701</f>
        <v>2199</v>
      </c>
      <c r="M214" s="139">
        <f t="shared" si="23"/>
        <v>0.19848490891024828</v>
      </c>
      <c r="N214" s="162">
        <f t="shared" si="24"/>
        <v>2635.4683146936359</v>
      </c>
      <c r="O214" s="1055"/>
      <c r="R214" s="790"/>
    </row>
    <row r="215" spans="1:18" ht="15.5" thickBot="1">
      <c r="A215" s="293"/>
      <c r="B215" s="293"/>
      <c r="D215" s="104" t="s">
        <v>130</v>
      </c>
      <c r="E215" s="104"/>
      <c r="F215" s="711">
        <f t="shared" ref="F215:F228" si="25">Q163</f>
        <v>10395</v>
      </c>
      <c r="G215" s="1203">
        <v>9.0000000000000011E-2</v>
      </c>
      <c r="H215" s="3286">
        <f t="shared" ref="H215:H228" si="26">U163</f>
        <v>7.6222468274331545E-2</v>
      </c>
      <c r="I215" s="1376">
        <v>6.6666223154730586E-2</v>
      </c>
      <c r="J215" s="486">
        <f>J216+J220</f>
        <v>11187.332557711678</v>
      </c>
      <c r="K215" s="2771"/>
      <c r="L215" s="711">
        <f>GDP!AI702</f>
        <v>10397</v>
      </c>
      <c r="M215" s="647">
        <f>(N215-L215)/L215</f>
        <v>0.14855452131625216</v>
      </c>
      <c r="N215" s="103">
        <f>N216+N220</f>
        <v>11941.521358125074</v>
      </c>
      <c r="R215" s="790"/>
    </row>
    <row r="216" spans="1:18">
      <c r="A216" s="293"/>
      <c r="B216" s="293"/>
      <c r="D216" s="122" t="s">
        <v>106</v>
      </c>
      <c r="E216" s="122"/>
      <c r="F216" s="588">
        <f t="shared" si="25"/>
        <v>3594</v>
      </c>
      <c r="G216" s="1205">
        <v>0.11333333333333333</v>
      </c>
      <c r="H216" s="3309">
        <f t="shared" si="26"/>
        <v>0.1262116286784396</v>
      </c>
      <c r="I216" s="1375">
        <v>8.9576216098699257E-2</v>
      </c>
      <c r="J216" s="483">
        <f>SUM(J217:J219)</f>
        <v>4047.6045934703116</v>
      </c>
      <c r="K216" s="2775"/>
      <c r="L216" s="588">
        <f>GDP!AI703</f>
        <v>3594</v>
      </c>
      <c r="M216" s="646">
        <f>N216/L216-1</f>
        <v>0.21467533948166606</v>
      </c>
      <c r="N216" s="153">
        <f>SUM(N217:N219)</f>
        <v>4365.5431700971076</v>
      </c>
      <c r="R216" s="790"/>
    </row>
    <row r="217" spans="1:18">
      <c r="A217" s="293" t="s">
        <v>529</v>
      </c>
      <c r="B217" s="293" t="s">
        <v>1295</v>
      </c>
      <c r="D217" s="154" t="s">
        <v>107</v>
      </c>
      <c r="E217" s="154"/>
      <c r="F217" s="583">
        <f t="shared" si="25"/>
        <v>129</v>
      </c>
      <c r="G217" s="470">
        <v>0.34333333333333332</v>
      </c>
      <c r="H217" s="3310">
        <f t="shared" si="26"/>
        <v>0.23890748643432347</v>
      </c>
      <c r="I217" s="1375">
        <v>0.26252663781157781</v>
      </c>
      <c r="J217" s="467">
        <f>V165</f>
        <v>159.81906575002773</v>
      </c>
      <c r="K217" s="2776">
        <v>7.036802266674913E-2</v>
      </c>
      <c r="L217" s="583">
        <f>GDP!AI704</f>
        <v>128</v>
      </c>
      <c r="M217" s="649">
        <f>(1+H217)*(1+K217)-1</f>
        <v>0.32608695652173902</v>
      </c>
      <c r="N217" s="151">
        <f>L217*(1+M217)</f>
        <v>169.7391304347826</v>
      </c>
      <c r="O217" s="87"/>
      <c r="R217" s="793"/>
    </row>
    <row r="218" spans="1:18">
      <c r="A218" s="293" t="s">
        <v>529</v>
      </c>
      <c r="B218" s="293" t="s">
        <v>1295</v>
      </c>
      <c r="C218" s="295" t="s">
        <v>30</v>
      </c>
      <c r="D218" s="154" t="s">
        <v>36</v>
      </c>
      <c r="E218" s="154"/>
      <c r="F218" s="583">
        <f t="shared" si="25"/>
        <v>1822</v>
      </c>
      <c r="G218" s="470">
        <v>0.15333333333333335</v>
      </c>
      <c r="H218" s="3310">
        <f t="shared" si="26"/>
        <v>0.11241188285489701</v>
      </c>
      <c r="I218" s="1375">
        <v>0.11767879407044535</v>
      </c>
      <c r="J218" s="467">
        <f>V166</f>
        <v>2026.8144505616224</v>
      </c>
      <c r="K218" s="2777">
        <v>7.036802266674913E-2</v>
      </c>
      <c r="L218" s="583">
        <f>GDP!AI705</f>
        <v>1822</v>
      </c>
      <c r="M218" s="649">
        <f>(1+H218)*(1+K218)-1</f>
        <v>0.19069010744239145</v>
      </c>
      <c r="N218" s="151">
        <f>L218*(1+M218)</f>
        <v>2169.4373757600374</v>
      </c>
      <c r="O218" s="87"/>
      <c r="R218" s="793"/>
    </row>
    <row r="219" spans="1:18">
      <c r="A219" s="293" t="s">
        <v>529</v>
      </c>
      <c r="B219" s="293" t="s">
        <v>1309</v>
      </c>
      <c r="D219" s="154" t="s">
        <v>108</v>
      </c>
      <c r="E219" s="154"/>
      <c r="F219" s="583">
        <f t="shared" si="25"/>
        <v>1644</v>
      </c>
      <c r="G219" s="470">
        <v>5.3333333333333337E-2</v>
      </c>
      <c r="H219" s="3310">
        <f t="shared" si="26"/>
        <v>0.13197754085076752</v>
      </c>
      <c r="I219" s="1375">
        <v>4.419721507583918E-2</v>
      </c>
      <c r="J219" s="467">
        <f>V167</f>
        <v>1860.9710771586617</v>
      </c>
      <c r="K219" s="2777">
        <v>8.8875957704916519E-2</v>
      </c>
      <c r="L219" s="583">
        <f>GDP!AI706</f>
        <v>1644</v>
      </c>
      <c r="M219" s="649">
        <f>(1+H219)*(1+K219)-1</f>
        <v>0.23258312889433563</v>
      </c>
      <c r="N219" s="151">
        <f>L219*(1+M219)</f>
        <v>2026.3666639022879</v>
      </c>
      <c r="O219" s="87"/>
      <c r="R219" s="793"/>
    </row>
    <row r="220" spans="1:18">
      <c r="B220" s="293"/>
      <c r="D220" s="122" t="s">
        <v>133</v>
      </c>
      <c r="E220" s="122"/>
      <c r="F220" s="588">
        <f t="shared" si="25"/>
        <v>6802</v>
      </c>
      <c r="G220" s="1205">
        <v>7.6666666666666675E-2</v>
      </c>
      <c r="H220" s="3309">
        <f t="shared" si="26"/>
        <v>4.9651273778501093E-2</v>
      </c>
      <c r="I220" s="1375">
        <v>5.4561178367811491E-2</v>
      </c>
      <c r="J220" s="483">
        <f>SUM(J221:J230)</f>
        <v>7139.727964241365</v>
      </c>
      <c r="K220" s="2778"/>
      <c r="L220" s="588">
        <f>GDP!AI707</f>
        <v>6802</v>
      </c>
      <c r="M220" s="139">
        <f>(N220-L220)/L220</f>
        <v>0.11378685504674597</v>
      </c>
      <c r="N220" s="153">
        <f>SUM(N221:N230)</f>
        <v>7575.9781880279661</v>
      </c>
      <c r="R220" s="790"/>
    </row>
    <row r="221" spans="1:18">
      <c r="A221" s="293" t="s">
        <v>529</v>
      </c>
      <c r="B221" s="293" t="s">
        <v>1310</v>
      </c>
      <c r="D221" s="129" t="s">
        <v>120</v>
      </c>
      <c r="E221" s="129"/>
      <c r="F221" s="583">
        <f t="shared" si="25"/>
        <v>681</v>
      </c>
      <c r="G221" s="2855">
        <v>-1.6666666666666666E-2</v>
      </c>
      <c r="H221" s="3310">
        <f t="shared" si="26"/>
        <v>0.16193404040032619</v>
      </c>
      <c r="I221" s="2868">
        <v>4.3446606117670233E-2</v>
      </c>
      <c r="J221" s="467">
        <f t="shared" ref="J221:J228" si="27">V169</f>
        <v>791.2770815126222</v>
      </c>
      <c r="K221" s="2776">
        <v>0.16399858523093669</v>
      </c>
      <c r="L221" s="583">
        <f>GDP!AI708</f>
        <v>681</v>
      </c>
      <c r="M221" s="649">
        <f t="shared" ref="M221:M230" si="28">(1+H221)*(1+K221)-1</f>
        <v>0.35248957915764567</v>
      </c>
      <c r="N221" s="151">
        <f>L221*(1+M221)</f>
        <v>921.04540340635674</v>
      </c>
      <c r="O221" s="87"/>
      <c r="R221" s="793"/>
    </row>
    <row r="222" spans="1:18">
      <c r="A222" s="293" t="s">
        <v>529</v>
      </c>
      <c r="B222" s="293" t="s">
        <v>1311</v>
      </c>
      <c r="D222" s="129" t="s">
        <v>121</v>
      </c>
      <c r="E222" s="129"/>
      <c r="F222" s="573">
        <f t="shared" si="25"/>
        <v>433</v>
      </c>
      <c r="G222" s="470">
        <v>0.13333333333333333</v>
      </c>
      <c r="H222" s="3310">
        <f t="shared" si="26"/>
        <v>5.2558506662984561E-2</v>
      </c>
      <c r="I222" s="1375">
        <v>0.12058580762049191</v>
      </c>
      <c r="J222" s="467">
        <f t="shared" si="27"/>
        <v>455.75783338507233</v>
      </c>
      <c r="K222" s="2776">
        <v>3.7637160531641456E-2</v>
      </c>
      <c r="L222" s="135">
        <f>GDP!AI709</f>
        <v>432</v>
      </c>
      <c r="M222" s="649">
        <f t="shared" si="28"/>
        <v>9.2173820147204211E-2</v>
      </c>
      <c r="N222" s="151">
        <f t="shared" ref="N222:N230" si="29">L222*(1+M222)</f>
        <v>471.81909030359225</v>
      </c>
      <c r="O222" s="87"/>
      <c r="R222" s="793"/>
    </row>
    <row r="223" spans="1:18">
      <c r="A223" s="293" t="s">
        <v>529</v>
      </c>
      <c r="B223" s="293" t="s">
        <v>1295</v>
      </c>
      <c r="D223" s="129" t="s">
        <v>122</v>
      </c>
      <c r="E223" s="129"/>
      <c r="F223" s="573">
        <f t="shared" si="25"/>
        <v>498</v>
      </c>
      <c r="G223" s="470">
        <v>9.0000000000000011E-2</v>
      </c>
      <c r="H223" s="3310">
        <f t="shared" si="26"/>
        <v>0.14252089097135112</v>
      </c>
      <c r="I223" s="1375">
        <v>0.11044164641621423</v>
      </c>
      <c r="J223" s="467">
        <f t="shared" si="27"/>
        <v>568.97540370373281</v>
      </c>
      <c r="K223" s="2776">
        <v>7.036802266674913E-2</v>
      </c>
      <c r="L223" s="135">
        <f>GDP!AI710</f>
        <v>498</v>
      </c>
      <c r="M223" s="649">
        <f t="shared" si="28"/>
        <v>0.22291782692445761</v>
      </c>
      <c r="N223" s="151">
        <f t="shared" si="29"/>
        <v>609.01307780837988</v>
      </c>
      <c r="O223" s="87"/>
      <c r="R223" s="793"/>
    </row>
    <row r="224" spans="1:18">
      <c r="A224" s="293" t="s">
        <v>529</v>
      </c>
      <c r="B224" s="293" t="s">
        <v>1295</v>
      </c>
      <c r="D224" s="129" t="s">
        <v>123</v>
      </c>
      <c r="E224" s="129"/>
      <c r="F224" s="573">
        <f t="shared" si="25"/>
        <v>1372</v>
      </c>
      <c r="G224" s="470">
        <v>0.03</v>
      </c>
      <c r="H224" s="3310">
        <f t="shared" si="26"/>
        <v>-0.18598189809657495</v>
      </c>
      <c r="I224" s="1375">
        <v>4.1008336636954856E-2</v>
      </c>
      <c r="J224" s="467">
        <f t="shared" si="27"/>
        <v>1116.8328358114991</v>
      </c>
      <c r="K224" s="2776">
        <v>7.036802266674913E-2</v>
      </c>
      <c r="L224" s="135">
        <f>GDP!AI711</f>
        <v>1372</v>
      </c>
      <c r="M224" s="649">
        <f t="shared" si="28"/>
        <v>-0.12870105385069064</v>
      </c>
      <c r="N224" s="151">
        <f t="shared" si="29"/>
        <v>1195.4221541168524</v>
      </c>
      <c r="O224" s="87"/>
      <c r="R224" s="793"/>
    </row>
    <row r="225" spans="1:19" ht="14.5" customHeight="1">
      <c r="A225" s="293" t="s">
        <v>529</v>
      </c>
      <c r="B225" s="293" t="s">
        <v>1295</v>
      </c>
      <c r="D225" s="129" t="s">
        <v>124</v>
      </c>
      <c r="E225" s="129"/>
      <c r="F225" s="573">
        <f t="shared" si="25"/>
        <v>588</v>
      </c>
      <c r="G225" s="470">
        <v>0.18000000000000002</v>
      </c>
      <c r="H225" s="3310">
        <f t="shared" si="26"/>
        <v>0.33922672194539549</v>
      </c>
      <c r="I225" s="1375">
        <v>5.2748238113726392E-2</v>
      </c>
      <c r="J225" s="467">
        <f t="shared" si="27"/>
        <v>787.46531250389251</v>
      </c>
      <c r="K225" s="2776">
        <v>7.036802266674913E-2</v>
      </c>
      <c r="L225" s="135">
        <f>GDP!AI712</f>
        <v>588</v>
      </c>
      <c r="M225" s="649">
        <f t="shared" si="28"/>
        <v>0.43346545827116523</v>
      </c>
      <c r="N225" s="151">
        <f t="shared" si="29"/>
        <v>842.87768946344511</v>
      </c>
      <c r="O225" s="87"/>
      <c r="R225" s="793"/>
    </row>
    <row r="226" spans="1:19">
      <c r="A226" s="293" t="s">
        <v>529</v>
      </c>
      <c r="B226" s="293" t="s">
        <v>1295</v>
      </c>
      <c r="D226" s="129" t="s">
        <v>125</v>
      </c>
      <c r="E226" s="129"/>
      <c r="F226" s="573">
        <f t="shared" si="25"/>
        <v>840</v>
      </c>
      <c r="G226" s="470">
        <v>5.6666666666666671E-2</v>
      </c>
      <c r="H226" s="3310">
        <f t="shared" si="26"/>
        <v>5.9105431309904199E-2</v>
      </c>
      <c r="I226" s="1375">
        <v>2.5000000000000001E-2</v>
      </c>
      <c r="J226" s="467">
        <f t="shared" si="27"/>
        <v>889.64856230031955</v>
      </c>
      <c r="K226" s="2776">
        <v>7.036802266674913E-2</v>
      </c>
      <c r="L226" s="135">
        <f>GDP!AI713</f>
        <v>840</v>
      </c>
      <c r="M226" s="649">
        <f t="shared" si="28"/>
        <v>0.13363258630679664</v>
      </c>
      <c r="N226" s="151">
        <f t="shared" si="29"/>
        <v>952.25137249770921</v>
      </c>
      <c r="O226" s="87"/>
      <c r="R226" s="793"/>
    </row>
    <row r="227" spans="1:19">
      <c r="A227" s="292" t="s">
        <v>533</v>
      </c>
      <c r="B227" s="291" t="s">
        <v>1312</v>
      </c>
      <c r="D227" s="129" t="s">
        <v>126</v>
      </c>
      <c r="E227" s="129"/>
      <c r="F227" s="573">
        <f t="shared" si="25"/>
        <v>825</v>
      </c>
      <c r="G227" s="470">
        <v>0.12333333333333335</v>
      </c>
      <c r="H227" s="3310">
        <f t="shared" si="26"/>
        <v>0.12478632478632479</v>
      </c>
      <c r="I227" s="1375">
        <v>2.5000000000000022E-2</v>
      </c>
      <c r="J227" s="467">
        <f t="shared" si="27"/>
        <v>927.9487179487179</v>
      </c>
      <c r="K227" s="2779"/>
      <c r="L227" s="135">
        <f>GDP!AI714</f>
        <v>826</v>
      </c>
      <c r="M227" s="649">
        <f t="shared" si="28"/>
        <v>0.12478632478632479</v>
      </c>
      <c r="N227" s="151">
        <f t="shared" si="29"/>
        <v>929.07350427350423</v>
      </c>
      <c r="R227" s="793"/>
    </row>
    <row r="228" spans="1:19">
      <c r="A228" s="292" t="s">
        <v>533</v>
      </c>
      <c r="B228" s="291" t="s">
        <v>532</v>
      </c>
      <c r="D228" s="129" t="s">
        <v>127</v>
      </c>
      <c r="E228" s="129"/>
      <c r="F228" s="573">
        <f t="shared" si="25"/>
        <v>676</v>
      </c>
      <c r="G228" s="470">
        <v>5.000000000000001E-2</v>
      </c>
      <c r="H228" s="3310">
        <f t="shared" si="26"/>
        <v>-7.8949995144370622E-2</v>
      </c>
      <c r="I228" s="1375">
        <v>0.06</v>
      </c>
      <c r="J228" s="467">
        <f t="shared" si="27"/>
        <v>622.62980328240542</v>
      </c>
      <c r="K228" s="2779"/>
      <c r="L228" s="135">
        <f>GDP!AI715</f>
        <v>677</v>
      </c>
      <c r="M228" s="649">
        <f t="shared" si="28"/>
        <v>-7.8949995144370622E-2</v>
      </c>
      <c r="N228" s="151">
        <f t="shared" si="29"/>
        <v>623.55085328726113</v>
      </c>
      <c r="R228" s="793"/>
    </row>
    <row r="229" spans="1:19">
      <c r="A229" s="292" t="s">
        <v>533</v>
      </c>
      <c r="B229" s="291" t="s">
        <v>532</v>
      </c>
      <c r="D229" s="129" t="s">
        <v>128</v>
      </c>
      <c r="E229" s="129"/>
      <c r="F229" s="573">
        <f>Q181</f>
        <v>249</v>
      </c>
      <c r="G229" s="470">
        <v>-0.02</v>
      </c>
      <c r="H229" s="3310">
        <f>U181</f>
        <v>-0.02</v>
      </c>
      <c r="I229" s="1375">
        <v>6.0000000000000005E-2</v>
      </c>
      <c r="J229" s="467">
        <f>V181</f>
        <v>244.01999999999998</v>
      </c>
      <c r="K229" s="2779"/>
      <c r="L229" s="135">
        <f>GDP!AI716</f>
        <v>249</v>
      </c>
      <c r="M229" s="649">
        <f t="shared" si="28"/>
        <v>-2.0000000000000018E-2</v>
      </c>
      <c r="N229" s="151">
        <f t="shared" si="29"/>
        <v>244.01999999999998</v>
      </c>
      <c r="R229" s="793"/>
    </row>
    <row r="230" spans="1:19" ht="15.5" thickBot="1">
      <c r="A230" s="293" t="s">
        <v>529</v>
      </c>
      <c r="B230" s="293" t="s">
        <v>672</v>
      </c>
      <c r="D230" s="132" t="s">
        <v>37</v>
      </c>
      <c r="E230" s="132"/>
      <c r="F230" s="674">
        <f>Q182</f>
        <v>640</v>
      </c>
      <c r="G230" s="1206">
        <v>0.15</v>
      </c>
      <c r="H230" s="3287">
        <f>U182</f>
        <v>0.1487068965517242</v>
      </c>
      <c r="I230" s="1377">
        <v>7.8E-2</v>
      </c>
      <c r="J230" s="161">
        <f>V182</f>
        <v>735.17241379310349</v>
      </c>
      <c r="K230" s="2780">
        <v>7.036802266674913E-2</v>
      </c>
      <c r="L230" s="3307">
        <f>GDP!AI717</f>
        <v>640</v>
      </c>
      <c r="M230" s="650">
        <f t="shared" si="28"/>
        <v>0.22953912948572697</v>
      </c>
      <c r="N230" s="161">
        <f t="shared" si="29"/>
        <v>786.90504287086526</v>
      </c>
      <c r="O230" s="87"/>
      <c r="R230" s="793"/>
    </row>
    <row r="231" spans="1:19" ht="9.75" customHeight="1" thickBot="1">
      <c r="B231" s="293"/>
      <c r="D231" s="132"/>
      <c r="E231" s="132"/>
      <c r="F231" s="674"/>
      <c r="G231" s="674"/>
      <c r="H231" s="3288"/>
      <c r="I231" s="1375"/>
      <c r="J231" s="161"/>
      <c r="K231" s="1109"/>
      <c r="L231" s="674"/>
      <c r="M231" s="650"/>
      <c r="N231" s="161"/>
      <c r="R231" s="793"/>
    </row>
    <row r="232" spans="1:19" ht="15.5" thickBot="1">
      <c r="A232" s="293" t="s">
        <v>534</v>
      </c>
      <c r="B232" s="293" t="s">
        <v>535</v>
      </c>
      <c r="D232" s="455" t="s">
        <v>129</v>
      </c>
      <c r="E232" s="455"/>
      <c r="F232" s="673">
        <f>Q183</f>
        <v>985</v>
      </c>
      <c r="G232" s="2255">
        <v>0.11333333333333333</v>
      </c>
      <c r="H232" s="3285">
        <f>U183</f>
        <v>8.2084250751562129E-2</v>
      </c>
      <c r="I232" s="1372">
        <v>7.2084250751562134E-2</v>
      </c>
      <c r="J232" s="105">
        <f>V183</f>
        <v>1065.8529869902889</v>
      </c>
      <c r="K232" s="673"/>
      <c r="L232" s="673">
        <f>GDP!AI719</f>
        <v>985</v>
      </c>
      <c r="M232" s="651">
        <f>(1+H232)*(1+K232)-1</f>
        <v>8.2084250751562227E-2</v>
      </c>
      <c r="N232" s="105">
        <f>L232*(1+M232)</f>
        <v>1065.8529869902889</v>
      </c>
      <c r="R232" s="790"/>
    </row>
    <row r="233" spans="1:19">
      <c r="D233" s="29"/>
      <c r="E233" s="29"/>
      <c r="F233" s="29"/>
      <c r="G233" s="29"/>
      <c r="H233" s="29"/>
      <c r="I233" s="29"/>
      <c r="J233" s="29"/>
      <c r="K233" s="29"/>
      <c r="L233" s="29"/>
      <c r="M233" s="29"/>
      <c r="N233" s="29"/>
      <c r="S233"/>
    </row>
    <row r="234" spans="1:19">
      <c r="D234" s="29"/>
      <c r="E234" s="29"/>
      <c r="F234" s="29"/>
      <c r="G234" s="29"/>
      <c r="H234" s="29"/>
      <c r="I234" s="29"/>
      <c r="J234" s="29"/>
      <c r="K234" s="29"/>
      <c r="L234" s="29"/>
      <c r="M234" s="29"/>
      <c r="N234" s="29"/>
      <c r="S234"/>
    </row>
    <row r="235" spans="1:19">
      <c r="D235" s="29"/>
      <c r="E235" s="29"/>
      <c r="F235" s="29"/>
      <c r="G235" s="29"/>
      <c r="H235" s="29"/>
      <c r="I235" s="29"/>
      <c r="J235" s="29"/>
      <c r="K235" s="29"/>
      <c r="L235" s="29"/>
      <c r="M235" s="29"/>
      <c r="N235" s="29"/>
      <c r="S235"/>
    </row>
  </sheetData>
  <mergeCells count="14">
    <mergeCell ref="R83:R84"/>
    <mergeCell ref="V83:V84"/>
    <mergeCell ref="S83:U83"/>
    <mergeCell ref="K83:M83"/>
    <mergeCell ref="Q83:Q84"/>
    <mergeCell ref="L191:N191"/>
    <mergeCell ref="G191:J191"/>
    <mergeCell ref="F191:F192"/>
    <mergeCell ref="A11:A17"/>
    <mergeCell ref="G28:G29"/>
    <mergeCell ref="E83:E84"/>
    <mergeCell ref="F83:F84"/>
    <mergeCell ref="N83:P83"/>
    <mergeCell ref="H83:J83"/>
  </mergeCells>
  <pageMargins left="1.8333333333333333E-2" right="0.7" top="0.75" bottom="0.75" header="0.3" footer="0.3"/>
  <pageSetup scale="14" orientation="landscape" horizontalDpi="300" verticalDpi="300" r:id="rId1"/>
  <ignoredErrors>
    <ignoredError sqref="M94"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4466F-89C9-4AD3-B49D-E6C776CD47B9}">
  <sheetPr codeName="Sheet8"/>
  <dimension ref="A1:BD41"/>
  <sheetViews>
    <sheetView zoomScale="130" zoomScaleNormal="130" workbookViewId="0">
      <pane xSplit="1" ySplit="3" topLeftCell="K4" activePane="bottomRight" state="frozen"/>
      <selection pane="topRight" activeCell="B1" sqref="B1"/>
      <selection pane="bottomLeft" activeCell="A4" sqref="A4"/>
      <selection pane="bottomRight" activeCell="AE25" sqref="AE25"/>
    </sheetView>
  </sheetViews>
  <sheetFormatPr defaultRowHeight="14.75"/>
  <cols>
    <col min="1" max="1" width="37.90625" customWidth="1"/>
    <col min="2" max="3" width="0" hidden="1" customWidth="1"/>
    <col min="4" max="4" width="5.7265625" bestFit="1" customWidth="1"/>
    <col min="5" max="5" width="6" bestFit="1" customWidth="1"/>
    <col min="6" max="8" width="6.36328125" bestFit="1" customWidth="1"/>
    <col min="9" max="9" width="9.90625" bestFit="1" customWidth="1"/>
    <col min="10" max="10" width="7.453125" customWidth="1"/>
    <col min="11" max="11" width="6.36328125" bestFit="1" customWidth="1"/>
    <col min="12" max="12" width="8.08984375" bestFit="1" customWidth="1"/>
    <col min="14" max="14" width="9.7265625" customWidth="1"/>
    <col min="15" max="22" width="0" hidden="1" customWidth="1"/>
    <col min="23" max="23" width="6.7265625" customWidth="1"/>
    <col min="27" max="27" width="7.453125" customWidth="1"/>
    <col min="37" max="37" width="9" bestFit="1" customWidth="1"/>
    <col min="38" max="38" width="9.36328125" bestFit="1" customWidth="1"/>
  </cols>
  <sheetData>
    <row r="1" spans="1:56">
      <c r="A1" t="str">
        <f>GDP!D1018</f>
        <v>X. Summary REAL Output</v>
      </c>
    </row>
    <row r="2" spans="1:56" s="1510" customFormat="1" ht="20.399999999999999" customHeight="1">
      <c r="B2" s="1509">
        <f>GDP!Z1019</f>
        <v>2015</v>
      </c>
      <c r="C2" s="1509">
        <f>GDP!AA1019</f>
        <v>2016</v>
      </c>
      <c r="D2" s="1509">
        <f>GDP!AB1019</f>
        <v>2017</v>
      </c>
      <c r="E2" s="1509">
        <f>GDP!AC1019</f>
        <v>2018</v>
      </c>
      <c r="F2" s="1509">
        <f>GDP!AD1019</f>
        <v>2019</v>
      </c>
      <c r="G2" s="1509">
        <f>GDP!AE1019</f>
        <v>2020</v>
      </c>
      <c r="H2" s="1509">
        <f>GDP!AF1019</f>
        <v>2021</v>
      </c>
      <c r="I2" s="1509">
        <f>GDP!AG1019</f>
        <v>2022</v>
      </c>
      <c r="J2" s="1509">
        <f>GDP!AH1019</f>
        <v>2023</v>
      </c>
      <c r="K2" s="1509">
        <f>GDP!AI1019</f>
        <v>2024</v>
      </c>
      <c r="L2" s="1509" t="s">
        <v>1235</v>
      </c>
      <c r="M2" s="1509" t="s">
        <v>1230</v>
      </c>
      <c r="N2" s="1508" t="s">
        <v>1248</v>
      </c>
      <c r="O2" s="1509">
        <f>GDP!AJ1019</f>
        <v>2025</v>
      </c>
      <c r="P2" s="1509">
        <f>GDP!AK1019</f>
        <v>2026</v>
      </c>
      <c r="Q2" s="1509">
        <f>GDP!AL1019</f>
        <v>2027</v>
      </c>
      <c r="R2" s="1509">
        <f>GDP!AM1019</f>
        <v>2028</v>
      </c>
      <c r="S2" s="1509">
        <f>GDP!AN1019</f>
        <v>2029</v>
      </c>
      <c r="T2" s="1509" t="str">
        <f>L2</f>
        <v>Average</v>
      </c>
      <c r="U2" s="1509">
        <v>2035</v>
      </c>
      <c r="V2" s="1509">
        <f>GDP!AO1019</f>
        <v>2030</v>
      </c>
      <c r="W2" s="3875" t="s">
        <v>1264</v>
      </c>
      <c r="X2" s="1509">
        <v>2022</v>
      </c>
      <c r="Y2" s="1509">
        <v>2023</v>
      </c>
      <c r="Z2" s="1509">
        <v>2024</v>
      </c>
      <c r="AA2" s="1509">
        <v>2025</v>
      </c>
      <c r="AB2" s="1509">
        <v>2026</v>
      </c>
      <c r="AC2" s="1509">
        <v>2027</v>
      </c>
      <c r="AD2" s="1509">
        <v>2028</v>
      </c>
      <c r="AE2" s="1509">
        <v>2029</v>
      </c>
      <c r="AF2" s="1509">
        <v>2030</v>
      </c>
      <c r="AG2" s="1509">
        <v>2031</v>
      </c>
      <c r="AH2" s="1509">
        <v>2032</v>
      </c>
      <c r="AI2" s="1509">
        <v>2033</v>
      </c>
      <c r="AJ2" s="1509">
        <v>2034</v>
      </c>
      <c r="AK2" s="1509">
        <v>2035</v>
      </c>
      <c r="AL2" s="1509">
        <v>2036</v>
      </c>
      <c r="AM2" s="1509">
        <v>2037</v>
      </c>
      <c r="AN2" s="1509">
        <v>2038</v>
      </c>
      <c r="AO2" s="1509">
        <v>2039</v>
      </c>
      <c r="AP2" s="1509">
        <v>2040</v>
      </c>
      <c r="AQ2" s="1509">
        <v>2041</v>
      </c>
      <c r="AR2" s="1509">
        <v>2042</v>
      </c>
      <c r="AS2" s="1509">
        <v>2043</v>
      </c>
      <c r="AT2" s="1509">
        <v>2044</v>
      </c>
      <c r="AU2" s="1509">
        <v>2045</v>
      </c>
      <c r="AV2" s="1509">
        <v>2046</v>
      </c>
      <c r="AW2" s="1509">
        <v>2047</v>
      </c>
      <c r="AX2" s="1509">
        <v>2048</v>
      </c>
      <c r="AY2" s="1509">
        <v>2049</v>
      </c>
      <c r="AZ2" s="1509">
        <v>2050</v>
      </c>
      <c r="BA2" s="1509">
        <v>2051</v>
      </c>
      <c r="BB2" s="1509">
        <v>2052</v>
      </c>
      <c r="BC2" s="1509">
        <v>2053</v>
      </c>
      <c r="BD2" s="1509">
        <v>2054</v>
      </c>
    </row>
    <row r="3" spans="1:56" s="1510" customFormat="1" ht="33">
      <c r="B3" s="1512"/>
      <c r="C3" s="1512"/>
      <c r="D3" s="1512"/>
      <c r="E3" s="1512"/>
      <c r="F3" s="1512"/>
      <c r="G3" s="1512"/>
      <c r="H3" s="1512"/>
      <c r="I3" s="1512"/>
      <c r="J3" s="1512"/>
      <c r="K3" s="1513"/>
      <c r="L3" s="1515" t="s">
        <v>1250</v>
      </c>
      <c r="M3" s="1511" t="s">
        <v>1245</v>
      </c>
      <c r="N3" s="1512"/>
      <c r="O3" s="1512"/>
      <c r="P3" s="1512"/>
      <c r="Q3" s="1512"/>
      <c r="R3" s="1512"/>
      <c r="S3" s="1511" t="s">
        <v>1249</v>
      </c>
      <c r="T3" s="1514"/>
      <c r="U3" s="1515" t="s">
        <v>1247</v>
      </c>
      <c r="V3" s="1513"/>
      <c r="W3" s="3875"/>
      <c r="X3" s="1512"/>
      <c r="Y3" s="1512"/>
      <c r="Z3" s="1512"/>
      <c r="AK3" s="1516"/>
      <c r="AZ3" s="1517" t="s">
        <v>1246</v>
      </c>
    </row>
    <row r="4" spans="1:56" s="1224" customFormat="1">
      <c r="A4" s="1483" t="str">
        <f>GDP!D1021</f>
        <v>Real GDP</v>
      </c>
      <c r="B4" s="1484">
        <f>GDP!Z1021</f>
        <v>8.8722093918398803E-2</v>
      </c>
      <c r="C4" s="1484">
        <f>GDP!AA1021</f>
        <v>5.65670850273996E-2</v>
      </c>
      <c r="D4" s="1484">
        <f>GDP!AB1021</f>
        <v>4.70972059561654E-2</v>
      </c>
      <c r="E4" s="1484">
        <f>GDP!AC1021</f>
        <v>8.0690261244707129E-2</v>
      </c>
      <c r="F4" s="1484">
        <f>GDP!AD1021</f>
        <v>9.2777408146669682E-2</v>
      </c>
      <c r="G4" s="1484">
        <f>GDP!AE1021</f>
        <v>-0.27269652279799761</v>
      </c>
      <c r="H4" s="1484">
        <f>GDP!AF1021</f>
        <v>0.44926053390382292</v>
      </c>
      <c r="I4" s="1484">
        <f>GDP!AG1021</f>
        <v>9.8196521404274373E-2</v>
      </c>
      <c r="J4" s="1484">
        <f>GDP!AH1021</f>
        <v>8.5617439074279655E-2</v>
      </c>
      <c r="K4" s="1484">
        <f>GDP!AI1021</f>
        <v>7.2189922480620172E-2</v>
      </c>
      <c r="L4" s="1496">
        <f>AVERAGE(D4:K4)</f>
        <v>8.1641596176567716E-2</v>
      </c>
      <c r="M4" s="1496">
        <v>9.1008329926424048E-2</v>
      </c>
      <c r="N4" s="1496">
        <f>L4-M4</f>
        <v>-9.3667337498563319E-3</v>
      </c>
      <c r="O4" s="1484">
        <f>GDP!AJ1021</f>
        <v>7.7782468776579336E-2</v>
      </c>
      <c r="P4" s="1484">
        <f>GDP!AK1021</f>
        <v>8.3624635479302517E-2</v>
      </c>
      <c r="Q4" s="1484">
        <f>GDP!AL1021</f>
        <v>8.9448074270741265E-2</v>
      </c>
      <c r="R4" s="1484">
        <f>GDP!AM1021</f>
        <v>8.4872958933530918E-2</v>
      </c>
      <c r="S4" s="1484">
        <f>GDP!AN1021</f>
        <v>7.9348150624235281E-2</v>
      </c>
      <c r="T4" s="1496">
        <f>AVERAGE(K4,O4:S4)</f>
        <v>8.1211035094168257E-2</v>
      </c>
      <c r="U4" s="1484"/>
      <c r="V4" s="1484">
        <f>GDP!AO1021</f>
        <v>8.3566922941106181E-2</v>
      </c>
      <c r="W4" s="1496">
        <v>0.14699999999999999</v>
      </c>
      <c r="X4" s="1484">
        <f>I4</f>
        <v>9.8196521404274373E-2</v>
      </c>
      <c r="Y4" s="1484">
        <f>J4</f>
        <v>8.5617439074279655E-2</v>
      </c>
      <c r="Z4" s="1484">
        <f>K4</f>
        <v>7.2189922480620172E-2</v>
      </c>
      <c r="AA4" s="1484">
        <f>O4</f>
        <v>7.7782468776579336E-2</v>
      </c>
      <c r="AB4" s="1484">
        <f>P4</f>
        <v>8.3624635479302517E-2</v>
      </c>
      <c r="AC4" s="1484">
        <f>Q4</f>
        <v>8.9448074270741265E-2</v>
      </c>
      <c r="AD4" s="1484">
        <f>R4</f>
        <v>8.4872958933530918E-2</v>
      </c>
      <c r="AE4" s="1484">
        <f>S4</f>
        <v>7.9348150624235281E-2</v>
      </c>
      <c r="AF4" s="1484">
        <f>W4</f>
        <v>0.14699999999999999</v>
      </c>
      <c r="AG4" s="1484">
        <f t="shared" ref="AG4:AZ4" si="0">AF4</f>
        <v>0.14699999999999999</v>
      </c>
      <c r="AH4" s="1484">
        <f t="shared" si="0"/>
        <v>0.14699999999999999</v>
      </c>
      <c r="AI4" s="1484">
        <f t="shared" si="0"/>
        <v>0.14699999999999999</v>
      </c>
      <c r="AJ4" s="1484">
        <f t="shared" si="0"/>
        <v>0.14699999999999999</v>
      </c>
      <c r="AK4" s="1484">
        <f t="shared" si="0"/>
        <v>0.14699999999999999</v>
      </c>
      <c r="AL4" s="1484">
        <f t="shared" si="0"/>
        <v>0.14699999999999999</v>
      </c>
      <c r="AM4" s="1484">
        <f t="shared" si="0"/>
        <v>0.14699999999999999</v>
      </c>
      <c r="AN4" s="1484">
        <f t="shared" si="0"/>
        <v>0.14699999999999999</v>
      </c>
      <c r="AO4" s="1484">
        <f t="shared" si="0"/>
        <v>0.14699999999999999</v>
      </c>
      <c r="AP4" s="1484">
        <f t="shared" si="0"/>
        <v>0.14699999999999999</v>
      </c>
      <c r="AQ4" s="1484">
        <f t="shared" si="0"/>
        <v>0.14699999999999999</v>
      </c>
      <c r="AR4" s="1484">
        <f t="shared" si="0"/>
        <v>0.14699999999999999</v>
      </c>
      <c r="AS4" s="1484">
        <f t="shared" si="0"/>
        <v>0.14699999999999999</v>
      </c>
      <c r="AT4" s="1484">
        <f t="shared" si="0"/>
        <v>0.14699999999999999</v>
      </c>
      <c r="AU4" s="1484">
        <f t="shared" si="0"/>
        <v>0.14699999999999999</v>
      </c>
      <c r="AV4" s="1484">
        <f t="shared" si="0"/>
        <v>0.14699999999999999</v>
      </c>
      <c r="AW4" s="1484">
        <f t="shared" si="0"/>
        <v>0.14699999999999999</v>
      </c>
      <c r="AX4" s="1484">
        <f t="shared" si="0"/>
        <v>0.14699999999999999</v>
      </c>
      <c r="AY4" s="1484">
        <f t="shared" si="0"/>
        <v>0.14699999999999999</v>
      </c>
      <c r="AZ4" s="1484">
        <f t="shared" si="0"/>
        <v>0.14699999999999999</v>
      </c>
    </row>
    <row r="5" spans="1:56" s="1494" customFormat="1">
      <c r="A5" s="1494" t="s">
        <v>1244</v>
      </c>
      <c r="B5" s="1495">
        <v>8.8999999999999996E-2</v>
      </c>
      <c r="C5" s="1495">
        <v>0.06</v>
      </c>
      <c r="D5" s="1495">
        <v>3.9E-2</v>
      </c>
      <c r="E5" s="1495">
        <v>8.5000000000000006E-2</v>
      </c>
      <c r="F5" s="1495">
        <v>9.4E-2</v>
      </c>
      <c r="G5" s="1495">
        <v>-3.4000000000000002E-2</v>
      </c>
      <c r="H5" s="1495">
        <v>0.109</v>
      </c>
      <c r="I5" s="1495">
        <v>8.2000000000000003E-2</v>
      </c>
      <c r="J5" s="1495">
        <v>8.2000000000000003E-2</v>
      </c>
      <c r="K5" s="1495">
        <v>6.5891443972318331E-2</v>
      </c>
      <c r="L5" s="1496">
        <f>AVERAGE(D5:K5)</f>
        <v>6.5361430496539794E-2</v>
      </c>
      <c r="M5" s="1505">
        <f>M4</f>
        <v>9.1008329926424048E-2</v>
      </c>
      <c r="N5" s="1496">
        <f>L5-M5</f>
        <v>-2.5646899429884254E-2</v>
      </c>
      <c r="O5" s="1495">
        <v>6.5102835530303549E-2</v>
      </c>
      <c r="P5" s="1495">
        <v>6.7650547784083095E-2</v>
      </c>
      <c r="Q5" s="1495">
        <v>7.2376302881037205E-2</v>
      </c>
      <c r="R5" s="1495">
        <v>7.2555601301935099E-2</v>
      </c>
      <c r="S5" s="1495">
        <v>7.8258072571926282E-2</v>
      </c>
      <c r="T5" s="1496">
        <f>AVERAGE(K5,O5:S5)</f>
        <v>7.0305800673600594E-2</v>
      </c>
      <c r="U5" s="1495"/>
      <c r="V5" s="1495"/>
      <c r="W5" s="1495"/>
      <c r="X5" s="1495"/>
      <c r="Y5" s="1495"/>
      <c r="Z5" s="1495"/>
      <c r="AA5" s="1495"/>
      <c r="AB5" s="1495"/>
      <c r="AC5" s="1495"/>
      <c r="AD5" s="1495"/>
      <c r="AE5" s="1495"/>
      <c r="AF5" s="1495"/>
      <c r="AG5" s="1495"/>
      <c r="AH5" s="1495"/>
      <c r="AI5" s="1495"/>
      <c r="AJ5" s="1495"/>
      <c r="AK5" s="1495"/>
      <c r="AL5" s="1495"/>
      <c r="AM5" s="1495"/>
      <c r="AN5" s="1495"/>
      <c r="AO5" s="1495"/>
      <c r="AP5" s="1495"/>
      <c r="AQ5" s="1495"/>
      <c r="AR5" s="1495"/>
      <c r="AS5" s="1495"/>
      <c r="AT5" s="1495"/>
      <c r="AU5" s="1495"/>
      <c r="AV5" s="1495"/>
      <c r="AW5" s="1495"/>
      <c r="AX5" s="1495"/>
      <c r="AY5" s="1495"/>
      <c r="AZ5" s="1495"/>
    </row>
    <row r="6" spans="1:56" s="1486" customFormat="1">
      <c r="A6" s="1486" t="s">
        <v>1236</v>
      </c>
      <c r="B6" s="1487"/>
      <c r="C6" s="1487"/>
      <c r="D6" s="1487"/>
      <c r="E6" s="1487"/>
      <c r="F6" s="1487"/>
      <c r="G6" s="1487"/>
      <c r="H6" s="1487"/>
      <c r="I6" s="1487"/>
      <c r="J6" s="1487"/>
      <c r="K6" s="1487"/>
      <c r="L6" s="1496"/>
      <c r="M6" s="1496"/>
      <c r="N6" s="1496"/>
      <c r="O6" s="1487"/>
      <c r="P6" s="1487"/>
      <c r="Q6" s="1487"/>
      <c r="R6" s="1487"/>
      <c r="S6" s="1487"/>
      <c r="T6" s="1496"/>
      <c r="U6" s="1487"/>
      <c r="V6" s="1487"/>
      <c r="W6" s="1487">
        <v>0.14849999999999999</v>
      </c>
      <c r="X6" s="1487">
        <f>X4</f>
        <v>9.8196521404274373E-2</v>
      </c>
      <c r="Y6" s="1487">
        <f>Y4</f>
        <v>8.5617439074279655E-2</v>
      </c>
      <c r="Z6" s="1487">
        <f>W6</f>
        <v>0.14849999999999999</v>
      </c>
      <c r="AA6" s="1487">
        <f>Z6</f>
        <v>0.14849999999999999</v>
      </c>
      <c r="AB6" s="1487">
        <f>AA6</f>
        <v>0.14849999999999999</v>
      </c>
      <c r="AC6" s="1487">
        <f>AB6</f>
        <v>0.14849999999999999</v>
      </c>
      <c r="AD6" s="1487">
        <f>AC6</f>
        <v>0.14849999999999999</v>
      </c>
      <c r="AE6" s="1487">
        <f>AD6</f>
        <v>0.14849999999999999</v>
      </c>
      <c r="AF6" s="1487">
        <f>W6</f>
        <v>0.14849999999999999</v>
      </c>
      <c r="AG6" s="1487">
        <f t="shared" ref="AG6:AK7" si="1">AF6</f>
        <v>0.14849999999999999</v>
      </c>
      <c r="AH6" s="1487">
        <f t="shared" si="1"/>
        <v>0.14849999999999999</v>
      </c>
      <c r="AI6" s="1487">
        <f t="shared" si="1"/>
        <v>0.14849999999999999</v>
      </c>
      <c r="AJ6" s="1487">
        <f t="shared" si="1"/>
        <v>0.14849999999999999</v>
      </c>
      <c r="AK6" s="1487">
        <f t="shared" si="1"/>
        <v>0.14849999999999999</v>
      </c>
      <c r="AL6" s="1487">
        <v>0.122</v>
      </c>
      <c r="AM6" s="1487">
        <f t="shared" ref="AM6:AP7" si="2">AL6</f>
        <v>0.122</v>
      </c>
      <c r="AN6" s="1487">
        <f t="shared" si="2"/>
        <v>0.122</v>
      </c>
      <c r="AO6" s="1487">
        <f t="shared" si="2"/>
        <v>0.122</v>
      </c>
      <c r="AP6" s="1487">
        <f t="shared" si="2"/>
        <v>0.122</v>
      </c>
      <c r="AQ6" s="1487">
        <v>0.09</v>
      </c>
      <c r="AR6" s="1487">
        <f t="shared" ref="AR6:AU7" si="3">AQ6</f>
        <v>0.09</v>
      </c>
      <c r="AS6" s="1487">
        <f t="shared" si="3"/>
        <v>0.09</v>
      </c>
      <c r="AT6" s="1487">
        <f t="shared" si="3"/>
        <v>0.09</v>
      </c>
      <c r="AU6" s="1487">
        <f t="shared" si="3"/>
        <v>0.09</v>
      </c>
      <c r="AV6" s="1487">
        <v>7.4999999999999997E-2</v>
      </c>
      <c r="AW6" s="1487">
        <f t="shared" ref="AW6:AZ7" si="4">AV6</f>
        <v>7.4999999999999997E-2</v>
      </c>
      <c r="AX6" s="1487">
        <f t="shared" si="4"/>
        <v>7.4999999999999997E-2</v>
      </c>
      <c r="AY6" s="1487">
        <f t="shared" si="4"/>
        <v>7.4999999999999997E-2</v>
      </c>
      <c r="AZ6" s="1487">
        <f t="shared" si="4"/>
        <v>7.4999999999999997E-2</v>
      </c>
    </row>
    <row r="7" spans="1:56">
      <c r="A7" s="753" t="str">
        <f>GDP!D1022</f>
        <v>GDP deflator (Supply, Pgdp)</v>
      </c>
      <c r="B7" s="930">
        <f>GDP!Z1022</f>
        <v>4.6728971962617383E-3</v>
      </c>
      <c r="C7" s="930">
        <f>GDP!AA1022</f>
        <v>5.338776442734483E-2</v>
      </c>
      <c r="D7" s="930">
        <f>GDP!AB1022</f>
        <v>7.5386575911606357E-2</v>
      </c>
      <c r="E7" s="930">
        <f>GDP!AC1022</f>
        <v>8.8708167844477881E-3</v>
      </c>
      <c r="F7" s="930">
        <f>GDP!AD1022</f>
        <v>4.1863130613343236E-2</v>
      </c>
      <c r="G7" s="930">
        <f>GDP!AE1022</f>
        <v>8.948881887775606E-2</v>
      </c>
      <c r="H7" s="930">
        <f>GDP!AF1022</f>
        <v>2.4056635695296258E-2</v>
      </c>
      <c r="I7" s="930">
        <f>GDP!AG1022</f>
        <v>0.15932669108970576</v>
      </c>
      <c r="J7" s="930">
        <f>GDP!AH1022</f>
        <v>0.11708079766831303</v>
      </c>
      <c r="K7" s="930">
        <f>GDP!AI1022</f>
        <v>8.1500417452577301E-2</v>
      </c>
      <c r="L7" s="1497">
        <f t="shared" ref="L7:L36" si="5">AVERAGE(B7:K7)</f>
        <v>6.5563454571665236E-2</v>
      </c>
      <c r="M7" s="1497">
        <v>5.5379968958593179E-2</v>
      </c>
      <c r="N7" s="1497"/>
      <c r="O7" s="930">
        <f>GDP!AJ1022</f>
        <v>6.1896921401419558E-2</v>
      </c>
      <c r="P7" s="930">
        <f>GDP!AK1022</f>
        <v>9.5478318663174466E-2</v>
      </c>
      <c r="Q7" s="930">
        <f>GDP!AL1022</f>
        <v>3.6939514900300452E-2</v>
      </c>
      <c r="R7" s="930">
        <f>GDP!AM1022</f>
        <v>4.0141046872086417E-2</v>
      </c>
      <c r="S7" s="930">
        <f>GDP!AN1022</f>
        <v>5.009217676515032E-2</v>
      </c>
      <c r="T7" s="1497">
        <f>AVERAGE(K7,O7:S7)</f>
        <v>6.1008066009118088E-2</v>
      </c>
      <c r="U7" s="930"/>
      <c r="V7" s="930">
        <f>GDP!AO1022</f>
        <v>5.0215879930752383E-2</v>
      </c>
      <c r="W7" s="930"/>
      <c r="X7" s="930">
        <f t="shared" ref="X7:Z8" si="6">I7</f>
        <v>0.15932669108970576</v>
      </c>
      <c r="Y7" s="930">
        <f t="shared" si="6"/>
        <v>0.11708079766831303</v>
      </c>
      <c r="Z7" s="930">
        <f t="shared" si="6"/>
        <v>8.1500417452577301E-2</v>
      </c>
      <c r="AA7" s="930">
        <f t="shared" ref="AA7:AE8" si="7">O7</f>
        <v>6.1896921401419558E-2</v>
      </c>
      <c r="AB7" s="930">
        <f t="shared" si="7"/>
        <v>9.5478318663174466E-2</v>
      </c>
      <c r="AC7" s="930">
        <f t="shared" si="7"/>
        <v>3.6939514900300452E-2</v>
      </c>
      <c r="AD7" s="930">
        <f t="shared" si="7"/>
        <v>4.0141046872086417E-2</v>
      </c>
      <c r="AE7" s="930">
        <f t="shared" si="7"/>
        <v>5.009217676515032E-2</v>
      </c>
      <c r="AF7" s="930">
        <f>AE7</f>
        <v>5.009217676515032E-2</v>
      </c>
      <c r="AG7" s="930">
        <f t="shared" si="1"/>
        <v>5.009217676515032E-2</v>
      </c>
      <c r="AH7" s="930">
        <f t="shared" si="1"/>
        <v>5.009217676515032E-2</v>
      </c>
      <c r="AI7" s="930">
        <f t="shared" si="1"/>
        <v>5.009217676515032E-2</v>
      </c>
      <c r="AJ7" s="930">
        <f t="shared" si="1"/>
        <v>5.009217676515032E-2</v>
      </c>
      <c r="AK7" s="930">
        <f t="shared" si="1"/>
        <v>5.009217676515032E-2</v>
      </c>
      <c r="AL7" s="930">
        <f>AK7</f>
        <v>5.009217676515032E-2</v>
      </c>
      <c r="AM7" s="930">
        <f t="shared" si="2"/>
        <v>5.009217676515032E-2</v>
      </c>
      <c r="AN7" s="930">
        <f t="shared" si="2"/>
        <v>5.009217676515032E-2</v>
      </c>
      <c r="AO7" s="930">
        <f t="shared" si="2"/>
        <v>5.009217676515032E-2</v>
      </c>
      <c r="AP7" s="930">
        <f t="shared" si="2"/>
        <v>5.009217676515032E-2</v>
      </c>
      <c r="AQ7" s="930">
        <f>AP7</f>
        <v>5.009217676515032E-2</v>
      </c>
      <c r="AR7" s="930">
        <f t="shared" si="3"/>
        <v>5.009217676515032E-2</v>
      </c>
      <c r="AS7" s="930">
        <f t="shared" si="3"/>
        <v>5.009217676515032E-2</v>
      </c>
      <c r="AT7" s="930">
        <f t="shared" si="3"/>
        <v>5.009217676515032E-2</v>
      </c>
      <c r="AU7" s="930">
        <f t="shared" si="3"/>
        <v>5.009217676515032E-2</v>
      </c>
      <c r="AV7" s="930">
        <f>AU7</f>
        <v>5.009217676515032E-2</v>
      </c>
      <c r="AW7" s="930">
        <f t="shared" si="4"/>
        <v>5.009217676515032E-2</v>
      </c>
      <c r="AX7" s="930">
        <f t="shared" si="4"/>
        <v>5.009217676515032E-2</v>
      </c>
      <c r="AY7" s="930">
        <f t="shared" si="4"/>
        <v>5.009217676515032E-2</v>
      </c>
      <c r="AZ7" s="930">
        <f t="shared" si="4"/>
        <v>5.009217676515032E-2</v>
      </c>
    </row>
    <row r="8" spans="1:56" hidden="1">
      <c r="A8" s="753" t="str">
        <f>GDP!D1023</f>
        <v xml:space="preserve">Domestic deflator (domestic G&amp;S, incl. taxes) (PD) </v>
      </c>
      <c r="B8" s="930">
        <f>GDP!Z1023</f>
        <v>-2.3734586644630351E-4</v>
      </c>
      <c r="C8" s="930">
        <f>GDP!AA1023</f>
        <v>5.0483628051841478E-2</v>
      </c>
      <c r="D8" s="930">
        <f>GDP!AB1023</f>
        <v>5.9087772227374158E-2</v>
      </c>
      <c r="E8" s="930">
        <f>GDP!AC1023</f>
        <v>5.0312668396317317E-3</v>
      </c>
      <c r="F8" s="930">
        <f>GDP!AD1023</f>
        <v>2.2381709584333942E-2</v>
      </c>
      <c r="G8" s="930">
        <f>GDP!AE1023</f>
        <v>9.8665214640857535E-2</v>
      </c>
      <c r="H8" s="930">
        <f>GDP!AF1023</f>
        <v>-2.7636071848615273E-2</v>
      </c>
      <c r="I8" s="930">
        <f>GDP!AG1023</f>
        <v>0.12661527079621759</v>
      </c>
      <c r="J8" s="930">
        <f>GDP!AH1023</f>
        <v>0.15575867828875722</v>
      </c>
      <c r="K8" s="930">
        <f>GDP!AI1023</f>
        <v>4.0385209119226495E-2</v>
      </c>
      <c r="L8" s="1497">
        <f t="shared" si="5"/>
        <v>5.3053533183317861E-2</v>
      </c>
      <c r="M8" s="1497"/>
      <c r="N8" s="1497"/>
      <c r="O8" s="930">
        <f>GDP!AJ1023</f>
        <v>7.6718070271680316E-2</v>
      </c>
      <c r="P8" s="930">
        <f>GDP!AK1023</f>
        <v>0.11001482503043514</v>
      </c>
      <c r="Q8" s="930">
        <f>GDP!AL1023</f>
        <v>2.5973203377287257E-2</v>
      </c>
      <c r="R8" s="930">
        <f>GDP!AM1023</f>
        <v>3.5944050665887906E-2</v>
      </c>
      <c r="S8" s="930">
        <f>GDP!AN1023</f>
        <v>5.1042324200805345E-2</v>
      </c>
      <c r="T8" s="1497">
        <f>AVERAGE(O8:S8)</f>
        <v>5.9938494709219192E-2</v>
      </c>
      <c r="U8" s="930"/>
      <c r="V8" s="930">
        <f>GDP!AO1023</f>
        <v>5.2949265247091093E-2</v>
      </c>
      <c r="W8" s="930"/>
      <c r="X8" s="930">
        <f t="shared" si="6"/>
        <v>0.12661527079621759</v>
      </c>
      <c r="Y8" s="930">
        <f t="shared" si="6"/>
        <v>0.15575867828875722</v>
      </c>
      <c r="Z8" s="930">
        <f t="shared" si="6"/>
        <v>4.0385209119226495E-2</v>
      </c>
      <c r="AA8" s="930">
        <f t="shared" si="7"/>
        <v>7.6718070271680316E-2</v>
      </c>
      <c r="AB8" s="930">
        <f t="shared" si="7"/>
        <v>0.11001482503043514</v>
      </c>
      <c r="AC8" s="930">
        <f t="shared" si="7"/>
        <v>2.5973203377287257E-2</v>
      </c>
      <c r="AD8" s="930">
        <f t="shared" si="7"/>
        <v>3.5944050665887906E-2</v>
      </c>
      <c r="AE8" s="930">
        <f t="shared" si="7"/>
        <v>5.1042324200805345E-2</v>
      </c>
      <c r="AF8" s="930">
        <f>V8</f>
        <v>5.2949265247091093E-2</v>
      </c>
    </row>
    <row r="9" spans="1:56" s="1486" customFormat="1">
      <c r="A9" s="1486" t="s">
        <v>1239</v>
      </c>
      <c r="B9" s="1487"/>
      <c r="C9" s="1487"/>
      <c r="D9" s="1487"/>
      <c r="E9" s="1487"/>
      <c r="F9" s="1487"/>
      <c r="G9" s="1487"/>
      <c r="H9" s="1487"/>
      <c r="I9" s="1487"/>
      <c r="J9" s="1487"/>
      <c r="K9" s="1487"/>
      <c r="L9" s="1496"/>
      <c r="M9" s="1496"/>
      <c r="N9" s="1496"/>
      <c r="O9" s="1487"/>
      <c r="P9" s="1487"/>
      <c r="Q9" s="1487"/>
      <c r="R9" s="1487"/>
      <c r="S9" s="1487"/>
      <c r="T9" s="1496"/>
      <c r="U9" s="1487"/>
      <c r="V9" s="1487"/>
      <c r="W9" s="1487"/>
      <c r="X9" s="1487">
        <v>0.05</v>
      </c>
      <c r="Y9" s="1487">
        <v>0.05</v>
      </c>
      <c r="Z9" s="1487">
        <v>0.05</v>
      </c>
      <c r="AA9" s="1487">
        <v>0.05</v>
      </c>
      <c r="AB9" s="1487">
        <v>0.05</v>
      </c>
      <c r="AC9" s="1487">
        <v>0.05</v>
      </c>
      <c r="AD9" s="1487">
        <v>0.05</v>
      </c>
      <c r="AE9" s="1487">
        <v>0.05</v>
      </c>
      <c r="AF9" s="1487">
        <v>0.05</v>
      </c>
      <c r="AG9" s="1487">
        <v>0.05</v>
      </c>
      <c r="AH9" s="1487">
        <v>0.05</v>
      </c>
      <c r="AI9" s="1487">
        <v>0.05</v>
      </c>
      <c r="AJ9" s="1487">
        <v>0.05</v>
      </c>
      <c r="AK9" s="1487">
        <v>0.05</v>
      </c>
      <c r="AL9" s="1487">
        <v>0.05</v>
      </c>
      <c r="AM9" s="1487">
        <v>0.05</v>
      </c>
      <c r="AN9" s="1487">
        <v>0.05</v>
      </c>
      <c r="AO9" s="1487">
        <v>0.05</v>
      </c>
      <c r="AP9" s="1487">
        <v>0.05</v>
      </c>
      <c r="AQ9" s="1487">
        <v>0.05</v>
      </c>
      <c r="AR9" s="1487">
        <v>0.05</v>
      </c>
      <c r="AS9" s="1487">
        <v>0.05</v>
      </c>
      <c r="AT9" s="1487">
        <v>0.05</v>
      </c>
      <c r="AU9" s="1487">
        <v>0.05</v>
      </c>
      <c r="AV9" s="1487">
        <v>0.05</v>
      </c>
      <c r="AW9" s="1487">
        <v>0.05</v>
      </c>
      <c r="AX9" s="1487">
        <v>0.05</v>
      </c>
      <c r="AY9" s="1487">
        <v>0.05</v>
      </c>
      <c r="AZ9" s="1487">
        <v>0.05</v>
      </c>
    </row>
    <row r="10" spans="1:56" hidden="1">
      <c r="A10" s="753" t="str">
        <f>GDP!D1024</f>
        <v>CPI (End Of Period, eop)</v>
      </c>
      <c r="B10" s="930">
        <f>GDP!Z1024</f>
        <v>4.4999999999999998E-2</v>
      </c>
      <c r="C10" s="930">
        <f>GDP!AA1024</f>
        <v>7.2834999999999997E-2</v>
      </c>
      <c r="D10" s="930">
        <f>GDP!AB1024</f>
        <v>6.6540877038754331E-3</v>
      </c>
      <c r="E10" s="930">
        <f>GDP!AC1024</f>
        <v>1.0999999999999999E-2</v>
      </c>
      <c r="F10" s="930">
        <f>GDP!AD1024</f>
        <v>6.7309999999999995E-2</v>
      </c>
      <c r="G10" s="930">
        <f>GDP!AE1024</f>
        <v>3.74308209199119E-2</v>
      </c>
      <c r="H10" s="930">
        <f>GDP!AF1024</f>
        <v>1.8628873248091482E-2</v>
      </c>
      <c r="I10" s="930">
        <f>GDP!AG1024</f>
        <v>0.21631732425985128</v>
      </c>
      <c r="J10" s="930">
        <f>GDP!AH1024</f>
        <v>6.4478216181379056E-2</v>
      </c>
      <c r="K10" s="930">
        <f>GDP!AI1024</f>
        <v>6.7787993314077033E-2</v>
      </c>
      <c r="L10" s="1497">
        <f t="shared" si="5"/>
        <v>6.0744231562718617E-2</v>
      </c>
      <c r="M10" s="1497"/>
      <c r="N10" s="1497"/>
      <c r="O10" s="930">
        <f>GDP!AJ1024</f>
        <v>8.8999999999999996E-2</v>
      </c>
      <c r="P10" s="930">
        <f>GDP!AK1024</f>
        <v>0.08</v>
      </c>
      <c r="Q10" s="930">
        <f>GDP!AL1024</f>
        <v>0.03</v>
      </c>
      <c r="R10" s="930">
        <f>GDP!AM1024</f>
        <v>0.05</v>
      </c>
      <c r="S10" s="930">
        <f>GDP!AN1024</f>
        <v>0.05</v>
      </c>
      <c r="T10" s="1497">
        <f>AVERAGE(O10:S10)</f>
        <v>5.9799999999999999E-2</v>
      </c>
      <c r="U10" s="930"/>
      <c r="V10" s="930">
        <f>GDP!AO1024</f>
        <v>0.05</v>
      </c>
      <c r="W10" s="930"/>
      <c r="X10" s="930">
        <v>0.05</v>
      </c>
      <c r="Y10" s="930">
        <v>0.05</v>
      </c>
      <c r="Z10" s="930">
        <v>0.05</v>
      </c>
      <c r="AA10" s="930">
        <v>0.05</v>
      </c>
      <c r="AB10" s="930">
        <v>0.05</v>
      </c>
      <c r="AC10" s="930">
        <v>0.05</v>
      </c>
      <c r="AD10" s="930">
        <v>0.05</v>
      </c>
      <c r="AE10" s="930">
        <v>0.05</v>
      </c>
      <c r="AF10" s="930">
        <v>0.05</v>
      </c>
      <c r="AG10" s="930">
        <v>0.05</v>
      </c>
      <c r="AH10" s="930">
        <v>0.05</v>
      </c>
      <c r="AI10" s="930">
        <v>0.05</v>
      </c>
      <c r="AJ10" s="930">
        <v>0.05</v>
      </c>
      <c r="AK10" s="930">
        <v>0.05</v>
      </c>
      <c r="AL10" s="930">
        <v>0.05</v>
      </c>
      <c r="AM10" s="930">
        <v>0.05</v>
      </c>
      <c r="AN10" s="930">
        <v>0.05</v>
      </c>
      <c r="AO10" s="930">
        <v>0.05</v>
      </c>
      <c r="AP10" s="930">
        <v>0.05</v>
      </c>
      <c r="AQ10" s="930">
        <v>0.05</v>
      </c>
      <c r="AR10" s="930">
        <v>0.05</v>
      </c>
      <c r="AS10" s="930">
        <v>0.05</v>
      </c>
      <c r="AT10" s="930">
        <v>0.05</v>
      </c>
      <c r="AU10" s="930">
        <v>0.05</v>
      </c>
      <c r="AV10" s="930">
        <v>0.05</v>
      </c>
      <c r="AW10" s="930">
        <v>0.05</v>
      </c>
      <c r="AX10" s="930">
        <v>0.05</v>
      </c>
      <c r="AY10" s="930">
        <v>0.05</v>
      </c>
      <c r="AZ10" s="930">
        <v>0.05</v>
      </c>
    </row>
    <row r="11" spans="1:56" hidden="1">
      <c r="A11" s="753" t="str">
        <f>GDP!D1025</f>
        <v>CPI (Period Average, pa)</v>
      </c>
      <c r="B11" s="930">
        <f>GDP!Z1025</f>
        <v>2.5072988767667947E-2</v>
      </c>
      <c r="C11" s="930">
        <f>GDP!AA1025</f>
        <v>5.7234630000000002E-2</v>
      </c>
      <c r="D11" s="930">
        <f>GDP!AB1025</f>
        <v>4.8367798851274957E-2</v>
      </c>
      <c r="E11" s="930">
        <f>GDP!AC1025</f>
        <v>1.4E-2</v>
      </c>
      <c r="F11" s="930">
        <f>GDP!AD1025</f>
        <v>2.4299999999999999E-2</v>
      </c>
      <c r="G11" s="930">
        <f>GDP!AE1025</f>
        <v>7.7156235546899099E-2</v>
      </c>
      <c r="H11" s="930">
        <f>GDP!AF1025</f>
        <v>8.1775706194855413E-3</v>
      </c>
      <c r="I11" s="930">
        <f>GDP!AG1025</f>
        <v>0.13892335864190652</v>
      </c>
      <c r="J11" s="930">
        <f>GDP!AH1025</f>
        <v>0.14030353524911621</v>
      </c>
      <c r="K11" s="930">
        <f>GDP!AI1025</f>
        <v>4.7622148458877703E-2</v>
      </c>
      <c r="L11" s="1497">
        <f t="shared" si="5"/>
        <v>5.8115826613522791E-2</v>
      </c>
      <c r="M11" s="1497"/>
      <c r="N11" s="1497"/>
      <c r="O11" s="930">
        <f>GDP!AJ1025</f>
        <v>7.0000000000000007E-2</v>
      </c>
      <c r="P11" s="930">
        <f>GDP!AK1025</f>
        <v>9.35E-2</v>
      </c>
      <c r="Q11" s="930">
        <f>GDP!AL1025</f>
        <v>0.03</v>
      </c>
      <c r="R11" s="930">
        <f>GDP!AM1025</f>
        <v>0.04</v>
      </c>
      <c r="S11" s="930">
        <f>GDP!AN1025</f>
        <v>0.05</v>
      </c>
      <c r="T11" s="1497">
        <f>AVERAGE(O11:S11)</f>
        <v>5.6700000000000007E-2</v>
      </c>
      <c r="U11" s="930"/>
      <c r="V11" s="930">
        <f>GDP!AO1025</f>
        <v>0.05</v>
      </c>
      <c r="W11" s="930"/>
      <c r="X11" s="930">
        <v>0.05</v>
      </c>
      <c r="Y11" s="930">
        <v>0.05</v>
      </c>
      <c r="Z11" s="930">
        <v>0.05</v>
      </c>
      <c r="AA11" s="930">
        <v>0.05</v>
      </c>
      <c r="AB11" s="930">
        <v>0.05</v>
      </c>
      <c r="AC11" s="930">
        <v>0.05</v>
      </c>
      <c r="AD11" s="930">
        <v>0.05</v>
      </c>
      <c r="AE11" s="930">
        <v>0.05</v>
      </c>
      <c r="AF11" s="930">
        <v>0.05</v>
      </c>
      <c r="AG11" s="930">
        <v>0.05</v>
      </c>
      <c r="AH11" s="930">
        <v>0.05</v>
      </c>
      <c r="AI11" s="930">
        <v>0.05</v>
      </c>
      <c r="AJ11" s="930">
        <v>0.05</v>
      </c>
      <c r="AK11" s="930">
        <v>0.05</v>
      </c>
      <c r="AL11" s="930">
        <v>0.05</v>
      </c>
      <c r="AM11" s="930">
        <v>0.05</v>
      </c>
      <c r="AN11" s="930">
        <v>0.05</v>
      </c>
      <c r="AO11" s="930">
        <v>0.05</v>
      </c>
      <c r="AP11" s="930">
        <v>0.05</v>
      </c>
      <c r="AQ11" s="930">
        <v>0.05</v>
      </c>
      <c r="AR11" s="930">
        <v>0.05</v>
      </c>
      <c r="AS11" s="930">
        <v>0.05</v>
      </c>
      <c r="AT11" s="930">
        <v>0.05</v>
      </c>
      <c r="AU11" s="930">
        <v>0.05</v>
      </c>
      <c r="AV11" s="930">
        <v>0.05</v>
      </c>
      <c r="AW11" s="930">
        <v>0.05</v>
      </c>
      <c r="AX11" s="930">
        <v>0.05</v>
      </c>
      <c r="AY11" s="930">
        <v>0.05</v>
      </c>
      <c r="AZ11" s="930">
        <v>0.05</v>
      </c>
    </row>
    <row r="12" spans="1:56">
      <c r="A12" s="753" t="str">
        <f>GDP!D1027</f>
        <v xml:space="preserve">Exchange rate RWF/US$ (Period Average) </v>
      </c>
      <c r="B12" s="931">
        <f>GDP!Z1027</f>
        <v>719.54</v>
      </c>
      <c r="C12" s="931">
        <f>GDP!AA1027</f>
        <v>787.2270116761639</v>
      </c>
      <c r="D12" s="931">
        <f>GDP!AB1027</f>
        <v>831.42755121763093</v>
      </c>
      <c r="E12" s="969">
        <f>GDP!AC1027</f>
        <v>861.08210413925633</v>
      </c>
      <c r="F12" s="931">
        <f>GDP!AD1027</f>
        <v>901.2008004999999</v>
      </c>
      <c r="G12" s="931">
        <f>GDP!AE1027</f>
        <v>945.1922248333334</v>
      </c>
      <c r="H12" s="931">
        <f>GDP!AF1027</f>
        <v>990.36278749999985</v>
      </c>
      <c r="I12" s="931">
        <f>GDP!AG1027</f>
        <v>1032.9918769999999</v>
      </c>
      <c r="J12" s="931">
        <f>GDP!AH1027</f>
        <v>1168.1139727499999</v>
      </c>
      <c r="K12" s="931">
        <f>GDP!AI1027</f>
        <v>1322.7254919166669</v>
      </c>
      <c r="L12" s="1498">
        <f>K12</f>
        <v>1322.7254919166669</v>
      </c>
      <c r="M12" s="1498">
        <v>1066.3303458677619</v>
      </c>
      <c r="N12" s="1498"/>
      <c r="O12" s="931">
        <f>GDP!AJ1027</f>
        <v>1419.0039444429485</v>
      </c>
      <c r="P12" s="931">
        <f>GDP!AK1027</f>
        <v>1486.3951837247382</v>
      </c>
      <c r="Q12" s="931">
        <f>GDP!AL1027</f>
        <v>1544.8855446604221</v>
      </c>
      <c r="R12" s="931">
        <f>GDP!AM1027</f>
        <v>1593.8580817454642</v>
      </c>
      <c r="S12" s="931">
        <f>GDP!AN1027</f>
        <v>1635.9113309178342</v>
      </c>
      <c r="T12" s="1498">
        <f>AVERAGE(K12,O12:S12)</f>
        <v>1500.4632629013458</v>
      </c>
      <c r="U12" s="931"/>
      <c r="V12" s="931">
        <f>GDP!AO1027</f>
        <v>1676.8091141907798</v>
      </c>
      <c r="W12" s="931"/>
      <c r="X12" s="931">
        <f>H12*(1+I15)</f>
        <v>1032.9918769999999</v>
      </c>
      <c r="Y12" s="931">
        <f>X12*(1+Y14)</f>
        <v>1168.1139727499999</v>
      </c>
      <c r="Z12" s="931">
        <f t="shared" ref="Z12:AK12" si="8">Y12*(1+Z14)</f>
        <v>1322.7254919166669</v>
      </c>
      <c r="AA12" s="931">
        <f t="shared" si="8"/>
        <v>1419.0039444429488</v>
      </c>
      <c r="AB12" s="931">
        <f t="shared" si="8"/>
        <v>1486.3951837247384</v>
      </c>
      <c r="AC12" s="931">
        <f t="shared" si="8"/>
        <v>1544.8855446604223</v>
      </c>
      <c r="AD12" s="931">
        <f t="shared" si="8"/>
        <v>1593.8580817454645</v>
      </c>
      <c r="AE12" s="931">
        <f t="shared" si="8"/>
        <v>1635.9113309178342</v>
      </c>
      <c r="AF12" s="931">
        <f t="shared" si="8"/>
        <v>1679.0741366976636</v>
      </c>
      <c r="AG12" s="931">
        <f t="shared" si="8"/>
        <v>1723.3757742513044</v>
      </c>
      <c r="AH12" s="931">
        <f t="shared" si="8"/>
        <v>1768.846291157583</v>
      </c>
      <c r="AI12" s="931">
        <f t="shared" si="8"/>
        <v>1815.5165277875662</v>
      </c>
      <c r="AJ12" s="931">
        <f t="shared" si="8"/>
        <v>1863.4181382220384</v>
      </c>
      <c r="AK12" s="931">
        <f t="shared" si="8"/>
        <v>1912.583611720876</v>
      </c>
      <c r="AL12" s="931">
        <f t="shared" ref="AL12:AZ12" si="9">AK12*(1+AL14)</f>
        <v>1963.0462947588842</v>
      </c>
      <c r="AM12" s="931">
        <f t="shared" si="9"/>
        <v>2014.8404136430372</v>
      </c>
      <c r="AN12" s="931">
        <f t="shared" si="9"/>
        <v>2068.0010977264665</v>
      </c>
      <c r="AO12" s="931">
        <f t="shared" si="9"/>
        <v>2122.5644032349387</v>
      </c>
      <c r="AP12" s="931">
        <f t="shared" si="9"/>
        <v>2178.5673377219855</v>
      </c>
      <c r="AQ12" s="931">
        <f t="shared" si="9"/>
        <v>2236.0478851692706</v>
      </c>
      <c r="AR12" s="931">
        <f t="shared" si="9"/>
        <v>2295.04503174922</v>
      </c>
      <c r="AS12" s="931">
        <f t="shared" si="9"/>
        <v>2355.5987922673867</v>
      </c>
      <c r="AT12" s="931">
        <f t="shared" si="9"/>
        <v>2417.7502373024872</v>
      </c>
      <c r="AU12" s="931">
        <f t="shared" si="9"/>
        <v>2481.5415210625147</v>
      </c>
      <c r="AV12" s="931">
        <f t="shared" si="9"/>
        <v>2547.0159099758239</v>
      </c>
      <c r="AW12" s="931">
        <f t="shared" si="9"/>
        <v>2614.2178120365802</v>
      </c>
      <c r="AX12" s="931">
        <f t="shared" si="9"/>
        <v>2683.1928069244741</v>
      </c>
      <c r="AY12" s="931">
        <f t="shared" si="9"/>
        <v>2753.9876769191324</v>
      </c>
      <c r="AZ12" s="931">
        <f t="shared" si="9"/>
        <v>2826.6504386301913</v>
      </c>
    </row>
    <row r="13" spans="1:56" s="1486" customFormat="1">
      <c r="A13" s="1486" t="s">
        <v>1243</v>
      </c>
      <c r="B13" s="1488"/>
      <c r="C13" s="1488"/>
      <c r="D13" s="1488"/>
      <c r="E13" s="1489"/>
      <c r="F13" s="1488"/>
      <c r="G13" s="1488"/>
      <c r="H13" s="1488"/>
      <c r="I13" s="1488"/>
      <c r="J13" s="1488"/>
      <c r="K13" s="1488"/>
      <c r="L13" s="1499"/>
      <c r="M13" s="1499"/>
      <c r="N13" s="1499"/>
      <c r="O13" s="1488"/>
      <c r="P13" s="1488"/>
      <c r="Q13" s="1488"/>
      <c r="R13" s="1488"/>
      <c r="S13" s="1488"/>
      <c r="T13" s="1499"/>
      <c r="U13" s="1488"/>
      <c r="V13" s="1488"/>
      <c r="W13" s="1488"/>
      <c r="X13" s="1488">
        <f>H12*(1+X15)</f>
        <v>1032.9918769999999</v>
      </c>
      <c r="Y13" s="1488">
        <f>X13*(1+Y15)</f>
        <v>1168.1139727499999</v>
      </c>
      <c r="Z13" s="1488">
        <f t="shared" ref="Z13:AK13" si="10">Y13*(1+Z15)</f>
        <v>1322.7254919166669</v>
      </c>
      <c r="AA13" s="1488">
        <f t="shared" si="10"/>
        <v>1419.0039444429488</v>
      </c>
      <c r="AB13" s="1488">
        <f t="shared" si="10"/>
        <v>1486.3951837247384</v>
      </c>
      <c r="AC13" s="1488">
        <f t="shared" si="10"/>
        <v>1530.9870392364805</v>
      </c>
      <c r="AD13" s="1488">
        <f t="shared" si="10"/>
        <v>1576.9166504135751</v>
      </c>
      <c r="AE13" s="1488">
        <f t="shared" si="10"/>
        <v>1624.2241499259824</v>
      </c>
      <c r="AF13" s="1488">
        <f t="shared" si="10"/>
        <v>1672.9508744237619</v>
      </c>
      <c r="AG13" s="1488">
        <f t="shared" si="10"/>
        <v>1723.1394006564749</v>
      </c>
      <c r="AH13" s="1488">
        <f t="shared" si="10"/>
        <v>1774.8335826761693</v>
      </c>
      <c r="AI13" s="1488">
        <f t="shared" si="10"/>
        <v>1828.0785901564543</v>
      </c>
      <c r="AJ13" s="1488">
        <f t="shared" si="10"/>
        <v>1882.9209478611481</v>
      </c>
      <c r="AK13" s="1488">
        <f t="shared" si="10"/>
        <v>1939.4085762969826</v>
      </c>
      <c r="AL13" s="1488">
        <f t="shared" ref="AL13:AZ13" si="11">AK13*(1+AL15)</f>
        <v>1997.5908335858921</v>
      </c>
      <c r="AM13" s="1488">
        <f t="shared" si="11"/>
        <v>2057.5185585934692</v>
      </c>
      <c r="AN13" s="1488">
        <f t="shared" si="11"/>
        <v>2119.2441153512732</v>
      </c>
      <c r="AO13" s="1488">
        <f t="shared" si="11"/>
        <v>2182.8214388118113</v>
      </c>
      <c r="AP13" s="1488">
        <f t="shared" si="11"/>
        <v>2248.3060819761658</v>
      </c>
      <c r="AQ13" s="1488">
        <f t="shared" si="11"/>
        <v>2315.755264435451</v>
      </c>
      <c r="AR13" s="1488">
        <f t="shared" si="11"/>
        <v>2385.2279223685146</v>
      </c>
      <c r="AS13" s="1488">
        <f t="shared" si="11"/>
        <v>2456.7847600395698</v>
      </c>
      <c r="AT13" s="1488">
        <f t="shared" si="11"/>
        <v>2530.4883028407571</v>
      </c>
      <c r="AU13" s="1488">
        <f t="shared" si="11"/>
        <v>2606.4029519259798</v>
      </c>
      <c r="AV13" s="1488">
        <f t="shared" si="11"/>
        <v>2684.595040483759</v>
      </c>
      <c r="AW13" s="1488">
        <f t="shared" si="11"/>
        <v>2765.132891698272</v>
      </c>
      <c r="AX13" s="1488">
        <f t="shared" si="11"/>
        <v>2848.0868784492204</v>
      </c>
      <c r="AY13" s="1488">
        <f t="shared" si="11"/>
        <v>2933.529484802697</v>
      </c>
      <c r="AZ13" s="1488">
        <f t="shared" si="11"/>
        <v>3021.5353693467778</v>
      </c>
    </row>
    <row r="14" spans="1:56">
      <c r="A14" s="753" t="s">
        <v>1241</v>
      </c>
      <c r="B14" s="931"/>
      <c r="C14" s="936">
        <f>C12/B12-1</f>
        <v>9.4069838613786594E-2</v>
      </c>
      <c r="D14" s="936">
        <f t="shared" ref="D14:K14" si="12">D12/C12-1</f>
        <v>5.6147132765878016E-2</v>
      </c>
      <c r="E14" s="936">
        <f t="shared" si="12"/>
        <v>3.5667031815575623E-2</v>
      </c>
      <c r="F14" s="936">
        <f t="shared" si="12"/>
        <v>4.6591023280929234E-2</v>
      </c>
      <c r="G14" s="936">
        <f t="shared" si="12"/>
        <v>4.881423131107554E-2</v>
      </c>
      <c r="H14" s="936">
        <f t="shared" si="12"/>
        <v>4.7789816166369237E-2</v>
      </c>
      <c r="I14" s="936">
        <f t="shared" si="12"/>
        <v>4.3043912834820786E-2</v>
      </c>
      <c r="J14" s="936">
        <f t="shared" si="12"/>
        <v>0.13080654239258838</v>
      </c>
      <c r="K14" s="936">
        <f t="shared" si="12"/>
        <v>0.13235996039211573</v>
      </c>
      <c r="L14" s="1498"/>
      <c r="M14" s="1498"/>
      <c r="N14" s="1498"/>
      <c r="O14" s="1485">
        <f>O12/K12-1</f>
        <v>7.2787931520675198E-2</v>
      </c>
      <c r="P14" s="1485">
        <f>P12/O12-1</f>
        <v>4.7491932313299623E-2</v>
      </c>
      <c r="Q14" s="1485">
        <f>Q12/P12-1</f>
        <v>3.9350477972562858E-2</v>
      </c>
      <c r="R14" s="1485">
        <f>R12/Q12-1</f>
        <v>3.1699783362143297E-2</v>
      </c>
      <c r="S14" s="1485">
        <f>S12/R12-1</f>
        <v>2.6384563126421234E-2</v>
      </c>
      <c r="T14" s="1498"/>
      <c r="U14" s="931"/>
      <c r="V14" s="931"/>
      <c r="W14" s="931"/>
      <c r="X14" s="1485">
        <f>I14</f>
        <v>4.3043912834820786E-2</v>
      </c>
      <c r="Y14" s="1485">
        <f>J14</f>
        <v>0.13080654239258838</v>
      </c>
      <c r="Z14" s="1485">
        <f>K14</f>
        <v>0.13235996039211573</v>
      </c>
      <c r="AA14" s="1485">
        <f>O14</f>
        <v>7.2787931520675198E-2</v>
      </c>
      <c r="AB14" s="1485">
        <f>P14</f>
        <v>4.7491932313299623E-2</v>
      </c>
      <c r="AC14" s="1485">
        <f>Q14</f>
        <v>3.9350477972562858E-2</v>
      </c>
      <c r="AD14" s="1485">
        <f>R14</f>
        <v>3.1699783362143297E-2</v>
      </c>
      <c r="AE14" s="1485">
        <f>S14</f>
        <v>2.6384563126421234E-2</v>
      </c>
      <c r="AF14" s="1485">
        <f t="shared" ref="AF14:AZ14" si="13">AE14</f>
        <v>2.6384563126421234E-2</v>
      </c>
      <c r="AG14" s="1485">
        <f t="shared" si="13"/>
        <v>2.6384563126421234E-2</v>
      </c>
      <c r="AH14" s="1485">
        <f t="shared" si="13"/>
        <v>2.6384563126421234E-2</v>
      </c>
      <c r="AI14" s="1485">
        <f t="shared" si="13"/>
        <v>2.6384563126421234E-2</v>
      </c>
      <c r="AJ14" s="1485">
        <f t="shared" si="13"/>
        <v>2.6384563126421234E-2</v>
      </c>
      <c r="AK14" s="1485">
        <f t="shared" si="13"/>
        <v>2.6384563126421234E-2</v>
      </c>
      <c r="AL14" s="1485">
        <f t="shared" si="13"/>
        <v>2.6384563126421234E-2</v>
      </c>
      <c r="AM14" s="1485">
        <f t="shared" si="13"/>
        <v>2.6384563126421234E-2</v>
      </c>
      <c r="AN14" s="1485">
        <f t="shared" si="13"/>
        <v>2.6384563126421234E-2</v>
      </c>
      <c r="AO14" s="1485">
        <f t="shared" si="13"/>
        <v>2.6384563126421234E-2</v>
      </c>
      <c r="AP14" s="1485">
        <f t="shared" si="13"/>
        <v>2.6384563126421234E-2</v>
      </c>
      <c r="AQ14" s="1485">
        <f t="shared" si="13"/>
        <v>2.6384563126421234E-2</v>
      </c>
      <c r="AR14" s="1485">
        <f t="shared" si="13"/>
        <v>2.6384563126421234E-2</v>
      </c>
      <c r="AS14" s="1485">
        <f t="shared" si="13"/>
        <v>2.6384563126421234E-2</v>
      </c>
      <c r="AT14" s="1485">
        <f t="shared" si="13"/>
        <v>2.6384563126421234E-2</v>
      </c>
      <c r="AU14" s="1485">
        <f t="shared" si="13"/>
        <v>2.6384563126421234E-2</v>
      </c>
      <c r="AV14" s="1485">
        <f t="shared" si="13"/>
        <v>2.6384563126421234E-2</v>
      </c>
      <c r="AW14" s="1485">
        <f t="shared" si="13"/>
        <v>2.6384563126421234E-2</v>
      </c>
      <c r="AX14" s="1485">
        <f t="shared" si="13"/>
        <v>2.6384563126421234E-2</v>
      </c>
      <c r="AY14" s="1485">
        <f t="shared" si="13"/>
        <v>2.6384563126421234E-2</v>
      </c>
      <c r="AZ14" s="1485">
        <f t="shared" si="13"/>
        <v>2.6384563126421234E-2</v>
      </c>
    </row>
    <row r="15" spans="1:56" s="1486" customFormat="1">
      <c r="A15" s="1486" t="s">
        <v>1241</v>
      </c>
      <c r="B15" s="1488"/>
      <c r="C15" s="1488"/>
      <c r="D15" s="1488"/>
      <c r="E15" s="1489"/>
      <c r="F15" s="1488"/>
      <c r="G15" s="1488"/>
      <c r="H15" s="1488"/>
      <c r="I15" s="1487">
        <f>I12/H12-1</f>
        <v>4.3043912834820786E-2</v>
      </c>
      <c r="J15" s="1487"/>
      <c r="K15" s="1487"/>
      <c r="L15" s="1499"/>
      <c r="M15" s="1499"/>
      <c r="N15" s="1500">
        <f>L12/M12-1</f>
        <v>0.2404462623074417</v>
      </c>
      <c r="O15" s="1487"/>
      <c r="P15" s="1487"/>
      <c r="Q15" s="1487"/>
      <c r="R15" s="1487"/>
      <c r="S15" s="1487"/>
      <c r="T15" s="1496"/>
      <c r="U15" s="1487"/>
      <c r="V15" s="1487"/>
      <c r="W15" s="1487"/>
      <c r="X15" s="1487">
        <f>I15</f>
        <v>4.3043912834820786E-2</v>
      </c>
      <c r="Y15" s="1487">
        <f>Y14</f>
        <v>0.13080654239258838</v>
      </c>
      <c r="Z15" s="1487">
        <f>Z14</f>
        <v>0.13235996039211573</v>
      </c>
      <c r="AA15" s="1487">
        <f>AA14</f>
        <v>7.2787931520675198E-2</v>
      </c>
      <c r="AB15" s="1487">
        <f>AB14</f>
        <v>4.7491932313299623E-2</v>
      </c>
      <c r="AC15" s="1487">
        <v>0.03</v>
      </c>
      <c r="AD15" s="1487">
        <f t="shared" ref="AD15:AK15" si="14">AC15</f>
        <v>0.03</v>
      </c>
      <c r="AE15" s="1487">
        <f t="shared" si="14"/>
        <v>0.03</v>
      </c>
      <c r="AF15" s="1487">
        <f t="shared" si="14"/>
        <v>0.03</v>
      </c>
      <c r="AG15" s="1487">
        <f t="shared" si="14"/>
        <v>0.03</v>
      </c>
      <c r="AH15" s="1487">
        <f t="shared" si="14"/>
        <v>0.03</v>
      </c>
      <c r="AI15" s="1487">
        <f t="shared" si="14"/>
        <v>0.03</v>
      </c>
      <c r="AJ15" s="1487">
        <f t="shared" si="14"/>
        <v>0.03</v>
      </c>
      <c r="AK15" s="1487">
        <f t="shared" si="14"/>
        <v>0.03</v>
      </c>
      <c r="AL15" s="1487">
        <f t="shared" ref="AL15:AZ15" si="15">AK15</f>
        <v>0.03</v>
      </c>
      <c r="AM15" s="1487">
        <f t="shared" si="15"/>
        <v>0.03</v>
      </c>
      <c r="AN15" s="1487">
        <f t="shared" si="15"/>
        <v>0.03</v>
      </c>
      <c r="AO15" s="1487">
        <f t="shared" si="15"/>
        <v>0.03</v>
      </c>
      <c r="AP15" s="1487">
        <f t="shared" si="15"/>
        <v>0.03</v>
      </c>
      <c r="AQ15" s="1487">
        <f t="shared" si="15"/>
        <v>0.03</v>
      </c>
      <c r="AR15" s="1487">
        <f t="shared" si="15"/>
        <v>0.03</v>
      </c>
      <c r="AS15" s="1487">
        <f t="shared" si="15"/>
        <v>0.03</v>
      </c>
      <c r="AT15" s="1487">
        <f t="shared" si="15"/>
        <v>0.03</v>
      </c>
      <c r="AU15" s="1487">
        <f t="shared" si="15"/>
        <v>0.03</v>
      </c>
      <c r="AV15" s="1487">
        <f t="shared" si="15"/>
        <v>0.03</v>
      </c>
      <c r="AW15" s="1487">
        <f t="shared" si="15"/>
        <v>0.03</v>
      </c>
      <c r="AX15" s="1487">
        <f t="shared" si="15"/>
        <v>0.03</v>
      </c>
      <c r="AY15" s="1487">
        <f t="shared" si="15"/>
        <v>0.03</v>
      </c>
      <c r="AZ15" s="1487">
        <f t="shared" si="15"/>
        <v>0.03</v>
      </c>
    </row>
    <row r="16" spans="1:56">
      <c r="A16" s="753" t="str">
        <f>GDP!D1068</f>
        <v xml:space="preserve">      Private sector</v>
      </c>
      <c r="B16" s="931">
        <f>GDP!Z1068</f>
        <v>0.10418539235412407</v>
      </c>
      <c r="C16" s="931">
        <f>GDP!AA1068</f>
        <v>9.5074980968801459E-2</v>
      </c>
      <c r="D16" s="931">
        <f>GDP!AB1068</f>
        <v>0.14457461792547999</v>
      </c>
      <c r="E16" s="969">
        <f>GDP!AC1068</f>
        <v>0.16651146136820655</v>
      </c>
      <c r="F16" s="969">
        <f>GDP!AD1068</f>
        <v>0.20279445254989689</v>
      </c>
      <c r="G16" s="969">
        <f>GDP!AE1068</f>
        <v>0.14754541969275325</v>
      </c>
      <c r="H16" s="969">
        <f>GDP!AF1068</f>
        <v>0.14835733034996387</v>
      </c>
      <c r="I16" s="969">
        <f>GDP!AG1068</f>
        <v>0.2613985382925782</v>
      </c>
      <c r="J16" s="969">
        <f>GDP!AH1068</f>
        <v>0.24529380352810531</v>
      </c>
      <c r="K16" s="969">
        <f>GDP!AI1068</f>
        <v>0.22895185321863887</v>
      </c>
      <c r="L16" s="1501"/>
      <c r="M16" s="1501"/>
      <c r="N16" s="1501"/>
      <c r="O16" s="969">
        <f>GDP!AJ1068</f>
        <v>0.25546772266419121</v>
      </c>
      <c r="P16" s="969">
        <f>GDP!AK1068</f>
        <v>0.25281072156143558</v>
      </c>
      <c r="Q16" s="969">
        <f>GDP!AL1068</f>
        <v>0.24483699659126715</v>
      </c>
      <c r="R16" s="969">
        <f>GDP!AM1068</f>
        <v>0.24027203082135068</v>
      </c>
      <c r="S16" s="969">
        <f>GDP!AN1068</f>
        <v>0.24203306425217469</v>
      </c>
      <c r="T16" s="1501"/>
      <c r="U16" s="969"/>
      <c r="V16" s="969">
        <f>GDP!AO1068</f>
        <v>0.28987138522112099</v>
      </c>
      <c r="W16" s="969"/>
      <c r="X16" s="969">
        <f>I16</f>
        <v>0.2613985382925782</v>
      </c>
      <c r="Y16" s="969">
        <f>J16</f>
        <v>0.24529380352810531</v>
      </c>
      <c r="Z16" s="969">
        <f>K16</f>
        <v>0.22895185321863887</v>
      </c>
      <c r="AA16" s="969">
        <f>O16</f>
        <v>0.25546772266419121</v>
      </c>
      <c r="AB16" s="969">
        <f>P16</f>
        <v>0.25281072156143558</v>
      </c>
      <c r="AC16" s="969">
        <f>Q16</f>
        <v>0.24483699659126715</v>
      </c>
      <c r="AD16" s="969">
        <f>R16</f>
        <v>0.24027203082135068</v>
      </c>
      <c r="AE16" s="969">
        <f>S16</f>
        <v>0.24203306425217469</v>
      </c>
      <c r="AF16" s="969">
        <f t="shared" ref="AF16:AK16" si="16">AE16*(1+AF18)</f>
        <v>0.28973588773477532</v>
      </c>
      <c r="AG16" s="969">
        <f t="shared" si="16"/>
        <v>0.3468405645354054</v>
      </c>
      <c r="AH16" s="969">
        <f t="shared" si="16"/>
        <v>0.41520012639014209</v>
      </c>
      <c r="AI16" s="969">
        <f t="shared" si="16"/>
        <v>0.49703282309354074</v>
      </c>
      <c r="AJ16" s="969">
        <f t="shared" si="16"/>
        <v>0.59499410412077458</v>
      </c>
      <c r="AK16" s="969">
        <f t="shared" si="16"/>
        <v>0.71226278726436854</v>
      </c>
      <c r="AL16" s="969">
        <f t="shared" ref="AL16:AZ16" si="17">AK16*(1+AL18)</f>
        <v>0.85264421043511618</v>
      </c>
      <c r="AM16" s="969">
        <f t="shared" si="17"/>
        <v>1.0206937138759762</v>
      </c>
      <c r="AN16" s="969">
        <f t="shared" si="17"/>
        <v>1.2218644597542978</v>
      </c>
      <c r="AO16" s="969">
        <f t="shared" si="17"/>
        <v>1.4626843858392469</v>
      </c>
      <c r="AP16" s="969">
        <f t="shared" si="17"/>
        <v>1.750968035364701</v>
      </c>
      <c r="AQ16" s="969">
        <f t="shared" si="17"/>
        <v>2.0960701369009285</v>
      </c>
      <c r="AR16" s="969">
        <f t="shared" si="17"/>
        <v>2.5091891628351592</v>
      </c>
      <c r="AS16" s="969">
        <f t="shared" si="17"/>
        <v>3.0037307168538661</v>
      </c>
      <c r="AT16" s="969">
        <f t="shared" si="17"/>
        <v>3.5957425422549401</v>
      </c>
      <c r="AU16" s="969">
        <f t="shared" si="17"/>
        <v>4.3044352669950214</v>
      </c>
      <c r="AV16" s="969">
        <f t="shared" si="17"/>
        <v>5.1528057835117513</v>
      </c>
      <c r="AW16" s="969">
        <f t="shared" si="17"/>
        <v>6.1683834918321381</v>
      </c>
      <c r="AX16" s="969">
        <f t="shared" si="17"/>
        <v>7.3841236213595529</v>
      </c>
      <c r="AY16" s="969">
        <f t="shared" si="17"/>
        <v>8.8394766193962724</v>
      </c>
      <c r="AZ16" s="969">
        <f t="shared" si="17"/>
        <v>10.581668307777736</v>
      </c>
    </row>
    <row r="17" spans="1:52" s="1486" customFormat="1">
      <c r="A17" s="1486" t="s">
        <v>1238</v>
      </c>
      <c r="B17" s="1488"/>
      <c r="C17" s="1488"/>
      <c r="D17" s="1488"/>
      <c r="E17" s="1489"/>
      <c r="F17" s="1489"/>
      <c r="G17" s="1489"/>
      <c r="H17" s="1489"/>
      <c r="I17" s="1489"/>
      <c r="J17" s="1489"/>
      <c r="K17" s="1489"/>
      <c r="L17" s="1502"/>
      <c r="M17" s="1502"/>
      <c r="N17" s="1502"/>
      <c r="O17" s="1489"/>
      <c r="P17" s="1489"/>
      <c r="Q17" s="1489"/>
      <c r="R17" s="1489"/>
      <c r="S17" s="1489"/>
      <c r="T17" s="1502"/>
      <c r="U17" s="1489"/>
      <c r="V17" s="1489"/>
      <c r="W17" s="1489"/>
      <c r="X17" s="1489">
        <f>H16*(1+X19)</f>
        <v>0.2613985382925782</v>
      </c>
      <c r="Y17" s="1489">
        <f>X17*(1+Y19)</f>
        <v>0.24529380352810531</v>
      </c>
      <c r="Z17" s="1489">
        <f t="shared" ref="Z17:AK17" si="18">Y17*(1+Z19)</f>
        <v>0.29398462352843424</v>
      </c>
      <c r="AA17" s="1489">
        <f t="shared" si="18"/>
        <v>0.35234057129882845</v>
      </c>
      <c r="AB17" s="1489">
        <f t="shared" si="18"/>
        <v>0.42228017470164592</v>
      </c>
      <c r="AC17" s="1489">
        <f t="shared" si="18"/>
        <v>0.5061027893799227</v>
      </c>
      <c r="AD17" s="1489">
        <f t="shared" si="18"/>
        <v>0.6065641930718374</v>
      </c>
      <c r="AE17" s="1489">
        <f t="shared" si="18"/>
        <v>0.72696718539659722</v>
      </c>
      <c r="AF17" s="1489">
        <f t="shared" si="18"/>
        <v>0.87127017169782184</v>
      </c>
      <c r="AG17" s="1489">
        <f t="shared" si="18"/>
        <v>1.0442173007798397</v>
      </c>
      <c r="AH17" s="1489">
        <f t="shared" si="18"/>
        <v>1.251494434984638</v>
      </c>
      <c r="AI17" s="1489">
        <f t="shared" si="18"/>
        <v>1.4999160803290887</v>
      </c>
      <c r="AJ17" s="1489">
        <f t="shared" si="18"/>
        <v>1.797649422274413</v>
      </c>
      <c r="AK17" s="1489">
        <f t="shared" si="18"/>
        <v>2.1544828325958845</v>
      </c>
      <c r="AL17" s="1489">
        <f t="shared" ref="AL17:AZ17" si="19">AK17*(1+AL19)</f>
        <v>2.5250538798023765</v>
      </c>
      <c r="AM17" s="1489">
        <f t="shared" si="19"/>
        <v>2.9593631471283852</v>
      </c>
      <c r="AN17" s="1489">
        <f t="shared" si="19"/>
        <v>3.4683736084344674</v>
      </c>
      <c r="AO17" s="1489">
        <f t="shared" si="19"/>
        <v>4.0649338690851957</v>
      </c>
      <c r="AP17" s="1489">
        <f t="shared" si="19"/>
        <v>4.7641024945678492</v>
      </c>
      <c r="AQ17" s="1489">
        <f t="shared" si="19"/>
        <v>5.4310768438073485</v>
      </c>
      <c r="AR17" s="1489">
        <f t="shared" si="19"/>
        <v>6.1914276019403776</v>
      </c>
      <c r="AS17" s="1489">
        <f t="shared" si="19"/>
        <v>7.0582274662120312</v>
      </c>
      <c r="AT17" s="1489">
        <f t="shared" si="19"/>
        <v>8.0463793114817168</v>
      </c>
      <c r="AU17" s="1489">
        <f t="shared" si="19"/>
        <v>9.1728724150891576</v>
      </c>
      <c r="AV17" s="1489">
        <f t="shared" si="19"/>
        <v>10.319481466975303</v>
      </c>
      <c r="AW17" s="1489">
        <f t="shared" si="19"/>
        <v>11.609416650347216</v>
      </c>
      <c r="AX17" s="1489">
        <f t="shared" si="19"/>
        <v>13.060593731640617</v>
      </c>
      <c r="AY17" s="1489">
        <f t="shared" si="19"/>
        <v>14.693167948095695</v>
      </c>
      <c r="AZ17" s="1489">
        <f t="shared" si="19"/>
        <v>16.529813941607657</v>
      </c>
    </row>
    <row r="18" spans="1:52">
      <c r="A18" s="753" t="str">
        <f>GDP!D1069</f>
        <v>External Current Account balance (NA definition)-S-I investiment balance</v>
      </c>
      <c r="B18" s="930">
        <f>GDP!Z1069</f>
        <v>-0.14077755633985065</v>
      </c>
      <c r="C18" s="930">
        <f>GDP!AA1069</f>
        <v>-0.16266086549696926</v>
      </c>
      <c r="D18" s="930">
        <f>GDP!AB1069</f>
        <v>-9.4000525027908233E-2</v>
      </c>
      <c r="E18" s="930">
        <f>GDP!AC1069</f>
        <v>-1.2130672646035456E-2</v>
      </c>
      <c r="F18" s="930">
        <f>GDP!AD1069</f>
        <v>-2.37704446192889E-2</v>
      </c>
      <c r="G18" s="930">
        <f>GDP!AE1069</f>
        <v>-2.9909863118959962E-2</v>
      </c>
      <c r="H18" s="930">
        <f>GDP!AF1069</f>
        <v>-0.220901496382572</v>
      </c>
      <c r="I18" s="930">
        <f>GDP!AG1069</f>
        <v>-0.120182603400183</v>
      </c>
      <c r="J18" s="930">
        <f>GDP!AH1069</f>
        <v>-0.15452040872894712</v>
      </c>
      <c r="K18" s="930">
        <f>GDP!AI1069</f>
        <v>-0.12255752304394801</v>
      </c>
      <c r="L18" s="1497">
        <f t="shared" si="5"/>
        <v>-0.10814119588046625</v>
      </c>
      <c r="M18" s="1497">
        <v>0.15143900760997317</v>
      </c>
      <c r="N18" s="1497">
        <f>L18-M18</f>
        <v>-0.25958020349043942</v>
      </c>
      <c r="O18" s="930">
        <f>GDP!AJ1069</f>
        <v>-0.11713854851471822</v>
      </c>
      <c r="P18" s="930">
        <f>GDP!AK1069</f>
        <v>-0.12893596504168012</v>
      </c>
      <c r="Q18" s="930">
        <f>GDP!AL1069</f>
        <v>-0.1274587489413494</v>
      </c>
      <c r="R18" s="930">
        <f>GDP!AM1069</f>
        <v>-9.6518350688013399E-2</v>
      </c>
      <c r="S18" s="930">
        <f>GDP!AN1069</f>
        <v>-8.1735516378253048E-2</v>
      </c>
      <c r="T18" s="1497">
        <f>AVERAGE(K18,O18:S18)</f>
        <v>-0.11239077543466038</v>
      </c>
      <c r="U18" s="930"/>
      <c r="V18" s="930">
        <f>GDP!AO1069</f>
        <v>-7.4314106461930707E-2</v>
      </c>
      <c r="W18" s="930"/>
      <c r="X18" s="930">
        <f>X16/H16-1</f>
        <v>0.76195229231989114</v>
      </c>
      <c r="Y18" s="930">
        <f>Y16/I16-1</f>
        <v>-6.1609888370711463E-2</v>
      </c>
      <c r="Z18" s="930">
        <f>Z16/J16-1</f>
        <v>-6.6621945089591406E-2</v>
      </c>
      <c r="AA18" s="930">
        <f>AA16/K16-1</f>
        <v>0.11581417259912219</v>
      </c>
      <c r="AB18" s="930">
        <f>AB16/O16-1</f>
        <v>-1.0400535437692926E-2</v>
      </c>
      <c r="AC18" s="930">
        <f>AC16/P16-1</f>
        <v>-3.1540295921471562E-2</v>
      </c>
      <c r="AD18" s="930">
        <f>AD16/Q16-1</f>
        <v>-1.8644918184228754E-2</v>
      </c>
      <c r="AE18" s="930">
        <f>AE16/R16-1</f>
        <v>7.3293317778355682E-3</v>
      </c>
      <c r="AF18" s="930">
        <f t="shared" ref="AF18:AK18" si="20">AF4+AF7</f>
        <v>0.19709217676515031</v>
      </c>
      <c r="AG18" s="930">
        <f t="shared" si="20"/>
        <v>0.19709217676515031</v>
      </c>
      <c r="AH18" s="930">
        <f t="shared" si="20"/>
        <v>0.19709217676515031</v>
      </c>
      <c r="AI18" s="930">
        <f t="shared" si="20"/>
        <v>0.19709217676515031</v>
      </c>
      <c r="AJ18" s="930">
        <f t="shared" si="20"/>
        <v>0.19709217676515031</v>
      </c>
      <c r="AK18" s="930">
        <f t="shared" si="20"/>
        <v>0.19709217676515031</v>
      </c>
      <c r="AL18" s="930">
        <f t="shared" ref="AL18:AZ18" si="21">AL4+AL7</f>
        <v>0.19709217676515031</v>
      </c>
      <c r="AM18" s="930">
        <f t="shared" si="21"/>
        <v>0.19709217676515031</v>
      </c>
      <c r="AN18" s="930">
        <f t="shared" si="21"/>
        <v>0.19709217676515031</v>
      </c>
      <c r="AO18" s="930">
        <f t="shared" si="21"/>
        <v>0.19709217676515031</v>
      </c>
      <c r="AP18" s="930">
        <f t="shared" si="21"/>
        <v>0.19709217676515031</v>
      </c>
      <c r="AQ18" s="930">
        <f t="shared" si="21"/>
        <v>0.19709217676515031</v>
      </c>
      <c r="AR18" s="930">
        <f t="shared" si="21"/>
        <v>0.19709217676515031</v>
      </c>
      <c r="AS18" s="930">
        <f t="shared" si="21"/>
        <v>0.19709217676515031</v>
      </c>
      <c r="AT18" s="930">
        <f t="shared" si="21"/>
        <v>0.19709217676515031</v>
      </c>
      <c r="AU18" s="930">
        <f t="shared" si="21"/>
        <v>0.19709217676515031</v>
      </c>
      <c r="AV18" s="930">
        <f t="shared" si="21"/>
        <v>0.19709217676515031</v>
      </c>
      <c r="AW18" s="930">
        <f t="shared" si="21"/>
        <v>0.19709217676515031</v>
      </c>
      <c r="AX18" s="930">
        <f t="shared" si="21"/>
        <v>0.19709217676515031</v>
      </c>
      <c r="AY18" s="930">
        <f t="shared" si="21"/>
        <v>0.19709217676515031</v>
      </c>
      <c r="AZ18" s="930">
        <f t="shared" si="21"/>
        <v>0.19709217676515031</v>
      </c>
    </row>
    <row r="19" spans="1:52" s="1486" customFormat="1">
      <c r="A19" s="1486" t="s">
        <v>1237</v>
      </c>
      <c r="B19" s="1487"/>
      <c r="C19" s="1487"/>
      <c r="D19" s="1487"/>
      <c r="E19" s="1487"/>
      <c r="F19" s="1487"/>
      <c r="G19" s="1487"/>
      <c r="H19" s="1487"/>
      <c r="I19" s="1487"/>
      <c r="J19" s="1487"/>
      <c r="K19" s="1487"/>
      <c r="L19" s="1496"/>
      <c r="M19" s="1496"/>
      <c r="N19" s="1496"/>
      <c r="O19" s="1487"/>
      <c r="P19" s="1487"/>
      <c r="Q19" s="1487"/>
      <c r="R19" s="1487"/>
      <c r="S19" s="1487"/>
      <c r="T19" s="1496"/>
      <c r="U19" s="1487"/>
      <c r="V19" s="1487"/>
      <c r="W19" s="1487"/>
      <c r="X19" s="1487">
        <f>X18</f>
        <v>0.76195229231989114</v>
      </c>
      <c r="Y19" s="1487">
        <f>Y18</f>
        <v>-6.1609888370711463E-2</v>
      </c>
      <c r="Z19" s="1487">
        <f>Z6+Z9</f>
        <v>0.19850000000000001</v>
      </c>
      <c r="AA19" s="1487">
        <f t="shared" ref="AA19:AK19" si="22">AA6+AA9</f>
        <v>0.19850000000000001</v>
      </c>
      <c r="AB19" s="1487">
        <f t="shared" si="22"/>
        <v>0.19850000000000001</v>
      </c>
      <c r="AC19" s="1487">
        <f t="shared" si="22"/>
        <v>0.19850000000000001</v>
      </c>
      <c r="AD19" s="1487">
        <f t="shared" si="22"/>
        <v>0.19850000000000001</v>
      </c>
      <c r="AE19" s="1487">
        <f t="shared" si="22"/>
        <v>0.19850000000000001</v>
      </c>
      <c r="AF19" s="1487">
        <f t="shared" si="22"/>
        <v>0.19850000000000001</v>
      </c>
      <c r="AG19" s="1487">
        <f t="shared" si="22"/>
        <v>0.19850000000000001</v>
      </c>
      <c r="AH19" s="1487">
        <f t="shared" si="22"/>
        <v>0.19850000000000001</v>
      </c>
      <c r="AI19" s="1487">
        <f t="shared" si="22"/>
        <v>0.19850000000000001</v>
      </c>
      <c r="AJ19" s="1487">
        <f t="shared" si="22"/>
        <v>0.19850000000000001</v>
      </c>
      <c r="AK19" s="1487">
        <f t="shared" si="22"/>
        <v>0.19850000000000001</v>
      </c>
      <c r="AL19" s="1487">
        <f t="shared" ref="AL19:AZ19" si="23">AL6+AL9</f>
        <v>0.17199999999999999</v>
      </c>
      <c r="AM19" s="1487">
        <f t="shared" si="23"/>
        <v>0.17199999999999999</v>
      </c>
      <c r="AN19" s="1487">
        <f t="shared" si="23"/>
        <v>0.17199999999999999</v>
      </c>
      <c r="AO19" s="1487">
        <f t="shared" si="23"/>
        <v>0.17199999999999999</v>
      </c>
      <c r="AP19" s="1487">
        <f t="shared" si="23"/>
        <v>0.17199999999999999</v>
      </c>
      <c r="AQ19" s="1487">
        <f t="shared" si="23"/>
        <v>0.14000000000000001</v>
      </c>
      <c r="AR19" s="1487">
        <f t="shared" si="23"/>
        <v>0.14000000000000001</v>
      </c>
      <c r="AS19" s="1487">
        <f t="shared" si="23"/>
        <v>0.14000000000000001</v>
      </c>
      <c r="AT19" s="1487">
        <f t="shared" si="23"/>
        <v>0.14000000000000001</v>
      </c>
      <c r="AU19" s="1487">
        <f t="shared" si="23"/>
        <v>0.14000000000000001</v>
      </c>
      <c r="AV19" s="1487">
        <f t="shared" si="23"/>
        <v>0.125</v>
      </c>
      <c r="AW19" s="1487">
        <f t="shared" si="23"/>
        <v>0.125</v>
      </c>
      <c r="AX19" s="1487">
        <f t="shared" si="23"/>
        <v>0.125</v>
      </c>
      <c r="AY19" s="1487">
        <f t="shared" si="23"/>
        <v>0.125</v>
      </c>
      <c r="AZ19" s="1487">
        <f t="shared" si="23"/>
        <v>0.125</v>
      </c>
    </row>
    <row r="20" spans="1:52">
      <c r="A20" s="753" t="str">
        <f>GDP!D1070</f>
        <v xml:space="preserve">         Current account balance in BOP</v>
      </c>
      <c r="B20" s="931">
        <f>GDP!Z1070</f>
        <v>-0.12744224604483465</v>
      </c>
      <c r="C20" s="931">
        <f>GDP!AA1070</f>
        <v>-0.15311945129474158</v>
      </c>
      <c r="D20" s="931">
        <f>GDP!AB1070</f>
        <v>-9.3871620757786933E-2</v>
      </c>
      <c r="E20" s="969">
        <f>GDP!AC1070</f>
        <v>-9.9360036169971688E-2</v>
      </c>
      <c r="F20" s="969">
        <f>GDP!AD1070</f>
        <v>-0.11668955693683832</v>
      </c>
      <c r="G20" s="969">
        <f>GDP!AE1070</f>
        <v>-0.15475799718800182</v>
      </c>
      <c r="H20" s="969">
        <f>GDP!AF1070</f>
        <v>-0.10745826028775078</v>
      </c>
      <c r="I20" s="969">
        <f>GDP!AG1070</f>
        <v>-9.0952922447747261E-2</v>
      </c>
      <c r="J20" s="969">
        <f>GDP!AH1070</f>
        <v>-0.1132643883248047</v>
      </c>
      <c r="K20" s="969">
        <f>GDP!AI1070</f>
        <v>-0.12084029369181917</v>
      </c>
      <c r="L20" s="1501"/>
      <c r="M20" s="1501"/>
      <c r="N20" s="1501"/>
      <c r="O20" s="969">
        <f>GDP!AJ1070</f>
        <v>-0.11563812166767801</v>
      </c>
      <c r="P20" s="969">
        <f>GDP!AK1070</f>
        <v>-0.12767200841864443</v>
      </c>
      <c r="Q20" s="969">
        <f>GDP!AL1070</f>
        <v>-0.12633989805615548</v>
      </c>
      <c r="R20" s="969">
        <f>GDP!AM1070</f>
        <v>-9.5526831574954368E-2</v>
      </c>
      <c r="S20" s="969">
        <f>GDP!AN1070</f>
        <v>-8.0860709647960979E-2</v>
      </c>
      <c r="T20" s="1501"/>
      <c r="U20" s="969">
        <f>U25*U23</f>
        <v>69789.479701571589</v>
      </c>
      <c r="V20" s="969">
        <f>GDP!AO1070</f>
        <v>-7.3545369442475819E-2</v>
      </c>
      <c r="W20" s="969"/>
      <c r="X20" s="969">
        <f t="shared" ref="X20:AK20" si="24">(X16/X12)*1000</f>
        <v>0.25304994561208755</v>
      </c>
      <c r="Y20" s="969">
        <f t="shared" si="24"/>
        <v>0.2099913272594704</v>
      </c>
      <c r="Z20" s="969">
        <f t="shared" si="24"/>
        <v>0.17309098117318442</v>
      </c>
      <c r="AA20" s="969">
        <f t="shared" si="24"/>
        <v>0.18003313074966742</v>
      </c>
      <c r="AB20" s="969">
        <f t="shared" si="24"/>
        <v>0.17008311405310159</v>
      </c>
      <c r="AC20" s="969">
        <f t="shared" si="24"/>
        <v>0.1584822885018865</v>
      </c>
      <c r="AD20" s="969">
        <f t="shared" si="24"/>
        <v>0.15074869812638789</v>
      </c>
      <c r="AE20" s="969">
        <f t="shared" si="24"/>
        <v>0.1479499895121951</v>
      </c>
      <c r="AF20" s="969">
        <f t="shared" si="24"/>
        <v>0.17255693563633609</v>
      </c>
      <c r="AG20" s="969">
        <f t="shared" si="24"/>
        <v>0.20125649305131105</v>
      </c>
      <c r="AH20" s="969">
        <f t="shared" si="24"/>
        <v>0.23472934220780903</v>
      </c>
      <c r="AI20" s="969">
        <f t="shared" si="24"/>
        <v>0.27376937388680089</v>
      </c>
      <c r="AJ20" s="969">
        <f t="shared" si="24"/>
        <v>0.31930251826811251</v>
      </c>
      <c r="AK20" s="969">
        <f t="shared" si="24"/>
        <v>0.37240870563744888</v>
      </c>
      <c r="AL20" s="969">
        <f t="shared" ref="AL20:AZ20" si="25">(AL16/AL12)*1000</f>
        <v>0.43434747958394138</v>
      </c>
      <c r="AM20" s="969">
        <f t="shared" si="25"/>
        <v>0.50658787016806839</v>
      </c>
      <c r="AN20" s="969">
        <f t="shared" si="25"/>
        <v>0.59084323557545482</v>
      </c>
      <c r="AO20" s="969">
        <f t="shared" si="25"/>
        <v>0.68911189861189237</v>
      </c>
      <c r="AP20" s="969">
        <f t="shared" si="25"/>
        <v>0.80372454183380782</v>
      </c>
      <c r="AQ20" s="969">
        <f t="shared" si="25"/>
        <v>0.93739948540603568</v>
      </c>
      <c r="AR20" s="969">
        <f t="shared" si="25"/>
        <v>1.0933071587369789</v>
      </c>
      <c r="AS20" s="969">
        <f t="shared" si="25"/>
        <v>1.2751452949942375</v>
      </c>
      <c r="AT20" s="969">
        <f t="shared" si="25"/>
        <v>1.4872266319232184</v>
      </c>
      <c r="AU20" s="969">
        <f t="shared" si="25"/>
        <v>1.7345811990089142</v>
      </c>
      <c r="AV20" s="969">
        <f t="shared" si="25"/>
        <v>2.0230756169719655</v>
      </c>
      <c r="AW20" s="969">
        <f t="shared" si="25"/>
        <v>2.3595522390793904</v>
      </c>
      <c r="AX20" s="969">
        <f t="shared" si="25"/>
        <v>2.7519914343477141</v>
      </c>
      <c r="AY20" s="969">
        <f t="shared" si="25"/>
        <v>3.2097008615829887</v>
      </c>
      <c r="AZ20" s="969">
        <f t="shared" si="25"/>
        <v>3.7435362233561729</v>
      </c>
    </row>
    <row r="21" spans="1:52" s="1486" customFormat="1">
      <c r="A21" s="1486" t="s">
        <v>566</v>
      </c>
      <c r="B21" s="1488"/>
      <c r="C21" s="1488"/>
      <c r="D21" s="1488"/>
      <c r="E21" s="1489"/>
      <c r="F21" s="1489"/>
      <c r="G21" s="1489"/>
      <c r="H21" s="1489"/>
      <c r="I21" s="1489"/>
      <c r="J21" s="1489"/>
      <c r="K21" s="1489"/>
      <c r="L21" s="1502"/>
      <c r="M21" s="1502"/>
      <c r="N21" s="1502"/>
      <c r="O21" s="1489"/>
      <c r="P21" s="1489"/>
      <c r="Q21" s="1489"/>
      <c r="R21" s="1489"/>
      <c r="S21" s="1489"/>
      <c r="T21" s="1502"/>
      <c r="U21" s="1502"/>
      <c r="V21" s="1489"/>
      <c r="W21" s="1489"/>
      <c r="X21" s="1489">
        <f>(X17/X13)*1000</f>
        <v>0.25304994561208755</v>
      </c>
      <c r="Y21" s="1489">
        <f t="shared" ref="Y21:AK21" si="26">(Y17/Y13)*1000</f>
        <v>0.2099913272594704</v>
      </c>
      <c r="Z21" s="1489">
        <f t="shared" si="26"/>
        <v>0.2222567156413098</v>
      </c>
      <c r="AA21" s="1489">
        <f t="shared" si="26"/>
        <v>0.24830133325467607</v>
      </c>
      <c r="AB21" s="1489">
        <f t="shared" si="26"/>
        <v>0.2840968400095723</v>
      </c>
      <c r="AC21" s="1489">
        <f t="shared" si="26"/>
        <v>0.33057287645774031</v>
      </c>
      <c r="AD21" s="1489">
        <f t="shared" si="26"/>
        <v>0.38465203148990462</v>
      </c>
      <c r="AE21" s="1489">
        <f t="shared" si="26"/>
        <v>0.44757811625305893</v>
      </c>
      <c r="AF21" s="1489">
        <f t="shared" si="26"/>
        <v>0.520798419737176</v>
      </c>
      <c r="AG21" s="1489">
        <f t="shared" si="26"/>
        <v>0.60599699616990821</v>
      </c>
      <c r="AH21" s="1489">
        <f t="shared" si="26"/>
        <v>0.70513339797051944</v>
      </c>
      <c r="AI21" s="1489">
        <f t="shared" si="26"/>
        <v>0.82048774511424039</v>
      </c>
      <c r="AJ21" s="1489">
        <f t="shared" si="26"/>
        <v>0.95471316749457968</v>
      </c>
      <c r="AK21" s="1489">
        <f t="shared" si="26"/>
        <v>1.1108968264487904</v>
      </c>
      <c r="AL21" s="1489">
        <f t="shared" ref="AL21:AZ21" si="27">(AL17/AL13)*1000</f>
        <v>1.2640495928135749</v>
      </c>
      <c r="AM21" s="1489">
        <f t="shared" si="27"/>
        <v>1.4383166240558345</v>
      </c>
      <c r="AN21" s="1489">
        <f t="shared" si="27"/>
        <v>1.6366088188285806</v>
      </c>
      <c r="AO21" s="1489">
        <f t="shared" si="27"/>
        <v>1.8622383841428123</v>
      </c>
      <c r="AP21" s="1489">
        <f t="shared" si="27"/>
        <v>2.1189741613741511</v>
      </c>
      <c r="AQ21" s="1489">
        <f t="shared" si="27"/>
        <v>2.3452723727830409</v>
      </c>
      <c r="AR21" s="1489">
        <f t="shared" si="27"/>
        <v>2.5957383543423949</v>
      </c>
      <c r="AS21" s="1489">
        <f t="shared" si="27"/>
        <v>2.8729531300488644</v>
      </c>
      <c r="AT21" s="1489">
        <f t="shared" si="27"/>
        <v>3.1797733672385493</v>
      </c>
      <c r="AU21" s="1489">
        <f t="shared" si="27"/>
        <v>3.5193608142251911</v>
      </c>
      <c r="AV21" s="1489">
        <f t="shared" si="27"/>
        <v>3.8439620543721751</v>
      </c>
      <c r="AW21" s="1489">
        <f t="shared" si="27"/>
        <v>4.1985022438531034</v>
      </c>
      <c r="AX21" s="1489">
        <f t="shared" si="27"/>
        <v>4.585742742072564</v>
      </c>
      <c r="AY21" s="1489">
        <f t="shared" si="27"/>
        <v>5.0086995969239174</v>
      </c>
      <c r="AZ21" s="1489">
        <f t="shared" si="27"/>
        <v>5.4706670354751523</v>
      </c>
    </row>
    <row r="22" spans="1:52" hidden="1">
      <c r="A22" s="753" t="str">
        <f>GDP!D1071</f>
        <v>Memorandum items</v>
      </c>
      <c r="B22" s="930" t="str">
        <f>GDP!Z1071</f>
        <v/>
      </c>
      <c r="C22" s="930" t="str">
        <f>GDP!AA1071</f>
        <v/>
      </c>
      <c r="D22" s="930" t="str">
        <f>GDP!AB1071</f>
        <v/>
      </c>
      <c r="E22" s="930" t="str">
        <f>GDP!AC1071</f>
        <v/>
      </c>
      <c r="F22" s="930" t="str">
        <f>GDP!AD1071</f>
        <v/>
      </c>
      <c r="G22" s="930" t="str">
        <f>GDP!AE1071</f>
        <v>check</v>
      </c>
      <c r="H22" s="930" t="str">
        <f>GDP!AF1071</f>
        <v/>
      </c>
      <c r="I22" s="930" t="str">
        <f>GDP!AG1071</f>
        <v/>
      </c>
      <c r="J22" s="930" t="str">
        <f>GDP!AH1071</f>
        <v/>
      </c>
      <c r="K22" s="930" t="str">
        <f>GDP!AI1071</f>
        <v/>
      </c>
      <c r="L22" s="1497" t="e">
        <f t="shared" si="5"/>
        <v>#DIV/0!</v>
      </c>
      <c r="M22" s="1506">
        <v>0.10809184925212795</v>
      </c>
      <c r="N22" s="1503" t="e">
        <f>L22-M22</f>
        <v>#DIV/0!</v>
      </c>
      <c r="O22" s="931" t="str">
        <f>GDP!AJ1071</f>
        <v/>
      </c>
      <c r="P22" s="931" t="str">
        <f>GDP!AK1071</f>
        <v/>
      </c>
      <c r="Q22" s="931" t="str">
        <f>GDP!AL1071</f>
        <v/>
      </c>
      <c r="R22" s="931" t="str">
        <f>GDP!AM1071</f>
        <v/>
      </c>
      <c r="S22" s="931" t="str">
        <f>GDP!AN1071</f>
        <v/>
      </c>
      <c r="T22" s="1497" t="e">
        <f>AVERAGE(O22:S22)</f>
        <v>#DIV/0!</v>
      </c>
      <c r="U22" s="1497">
        <f>U20/S20-1</f>
        <v>-863083.70117106789</v>
      </c>
      <c r="V22" s="931" t="str">
        <f>GDP!AO1071</f>
        <v/>
      </c>
      <c r="W22" s="931"/>
      <c r="X22" s="930" t="str">
        <f t="shared" ref="X22:Y27" si="28">I22</f>
        <v/>
      </c>
      <c r="Y22" s="930" t="str">
        <f t="shared" si="28"/>
        <v/>
      </c>
      <c r="Z22" s="930" t="str">
        <f>K22</f>
        <v/>
      </c>
      <c r="AA22" s="930" t="str">
        <f t="shared" ref="AA22:AE23" si="29">O22</f>
        <v/>
      </c>
      <c r="AB22" s="930" t="str">
        <f t="shared" si="29"/>
        <v/>
      </c>
      <c r="AC22" s="930" t="str">
        <f t="shared" si="29"/>
        <v/>
      </c>
      <c r="AD22" s="930" t="str">
        <f t="shared" si="29"/>
        <v/>
      </c>
      <c r="AE22" s="930" t="str">
        <f t="shared" si="29"/>
        <v/>
      </c>
      <c r="AF22" s="930" t="str">
        <f>V22</f>
        <v/>
      </c>
    </row>
    <row r="23" spans="1:52">
      <c r="A23" s="753" t="str">
        <f>GDP!D1075</f>
        <v>Growth rate (YOY % change)</v>
      </c>
      <c r="B23" s="1482">
        <f>GDP!Z1075</f>
        <v>3.9553106219553991E-2</v>
      </c>
      <c r="C23" s="1482">
        <f>GDP!AA1075</f>
        <v>1.727951944520778E-2</v>
      </c>
      <c r="D23" s="1482">
        <f>GDP!AB1075</f>
        <v>6.6171789919941881E-2</v>
      </c>
      <c r="E23" s="1482">
        <f>GDP!AC1075</f>
        <v>5.2729142726148703E-2</v>
      </c>
      <c r="F23" s="1482">
        <f>GDP!AD1075</f>
        <v>8.7840872116498492E-2</v>
      </c>
      <c r="G23" s="1482">
        <f>GDP!AE1075</f>
        <v>-3.1025299944866802E-3</v>
      </c>
      <c r="H23" s="1482">
        <f>GDP!AF1075</f>
        <v>7.3459452809832904E-2</v>
      </c>
      <c r="I23" s="1482">
        <f>GDP!AG1075</f>
        <v>0.22062793681004411</v>
      </c>
      <c r="J23" s="1482">
        <v>13.6</v>
      </c>
      <c r="K23" s="1482">
        <f>GDP!AI1075</f>
        <v>2.4032895290378775E-2</v>
      </c>
      <c r="L23" s="1504"/>
      <c r="M23" s="1504">
        <v>13.854857999999998</v>
      </c>
      <c r="N23" s="1504">
        <f>K23-M23</f>
        <v>-13.83082510470962</v>
      </c>
      <c r="O23" s="931">
        <f>GDP!AJ1075</f>
        <v>6.6840753802993591E-2</v>
      </c>
      <c r="P23" s="931">
        <f>GDP!AK1075</f>
        <v>0.13326628789901696</v>
      </c>
      <c r="Q23" s="931">
        <f>GDP!AL1075</f>
        <v>8.6920900683119751E-2</v>
      </c>
      <c r="R23" s="931">
        <f>GDP!AM1075</f>
        <v>9.3749279999845614E-2</v>
      </c>
      <c r="S23" s="931">
        <f>GDP!AN1075</f>
        <v>0.10427912665015215</v>
      </c>
      <c r="T23" s="1504">
        <f>AVERAGE(K23,O23:S23)</f>
        <v>8.4848207387584473E-2</v>
      </c>
      <c r="U23" s="1504">
        <f>17296029.665817/1000000</f>
        <v>17.296029665816999</v>
      </c>
      <c r="V23" s="931">
        <f>GDP!AO1075</f>
        <v>0.11022359945409943</v>
      </c>
      <c r="W23" s="931"/>
      <c r="X23" s="1482">
        <f t="shared" si="28"/>
        <v>0.22062793681004411</v>
      </c>
      <c r="Y23" s="1482">
        <f>X23*(1+Y24)</f>
        <v>3.1990291877353769</v>
      </c>
      <c r="Z23" s="1482">
        <f>K23</f>
        <v>2.4032895290378775E-2</v>
      </c>
      <c r="AA23" s="1482">
        <f t="shared" si="29"/>
        <v>6.6840753802993591E-2</v>
      </c>
      <c r="AB23" s="1482">
        <f t="shared" si="29"/>
        <v>0.13326628789901696</v>
      </c>
      <c r="AC23" s="1482">
        <f t="shared" si="29"/>
        <v>8.6920900683119751E-2</v>
      </c>
      <c r="AD23" s="1482">
        <f t="shared" si="29"/>
        <v>9.3749279999845614E-2</v>
      </c>
      <c r="AE23" s="1482">
        <f t="shared" si="29"/>
        <v>0.10427912665015215</v>
      </c>
      <c r="AF23" s="1482">
        <f>V23</f>
        <v>0.11022359945409943</v>
      </c>
      <c r="AG23" s="1482">
        <f t="shared" ref="AG23:AZ23" si="30">AF23*(1+AG24)</f>
        <v>0.11240065739809718</v>
      </c>
      <c r="AH23" s="1482">
        <f t="shared" si="30"/>
        <v>0.11456964112245697</v>
      </c>
      <c r="AI23" s="1482">
        <f t="shared" si="30"/>
        <v>0.11678047949878624</v>
      </c>
      <c r="AJ23" s="1482">
        <f t="shared" si="30"/>
        <v>0.11903398019192443</v>
      </c>
      <c r="AK23" s="1482">
        <f t="shared" si="30"/>
        <v>0.12133096645213487</v>
      </c>
      <c r="AL23" s="1482">
        <f t="shared" si="30"/>
        <v>0.12367227741585508</v>
      </c>
      <c r="AM23" s="1482">
        <f t="shared" si="30"/>
        <v>0.12605876841225064</v>
      </c>
      <c r="AN23" s="1482">
        <f t="shared" si="30"/>
        <v>0.12849131127568447</v>
      </c>
      <c r="AO23" s="1482">
        <f t="shared" si="30"/>
        <v>0.13097079466421602</v>
      </c>
      <c r="AP23" s="1482">
        <f t="shared" si="30"/>
        <v>0.1334981243842463</v>
      </c>
      <c r="AQ23" s="1482">
        <f t="shared" si="30"/>
        <v>0.13607422372142769</v>
      </c>
      <c r="AR23" s="1482">
        <f t="shared" si="30"/>
        <v>0.13870003377795914</v>
      </c>
      <c r="AS23" s="1482">
        <f t="shared" si="30"/>
        <v>0.1413765138163903</v>
      </c>
      <c r="AT23" s="1482">
        <f t="shared" si="30"/>
        <v>0.14410464161005984</v>
      </c>
      <c r="AU23" s="1482">
        <f t="shared" si="30"/>
        <v>0.14688541380029627</v>
      </c>
      <c r="AV23" s="1482">
        <f t="shared" si="30"/>
        <v>0.14971984626051149</v>
      </c>
      <c r="AW23" s="1482">
        <f t="shared" si="30"/>
        <v>0.15260897446732033</v>
      </c>
      <c r="AX23" s="1482">
        <f t="shared" si="30"/>
        <v>0.15555385387882154</v>
      </c>
      <c r="AY23" s="1482">
        <f t="shared" si="30"/>
        <v>0.15855556032017831</v>
      </c>
      <c r="AZ23" s="1482">
        <f t="shared" si="30"/>
        <v>0.16161519037663949</v>
      </c>
    </row>
    <row r="24" spans="1:52">
      <c r="A24" s="753" t="str">
        <f>GDP!D1076</f>
        <v>Population size (Million people)</v>
      </c>
      <c r="B24" s="930">
        <f>GDP!Z1076</f>
        <v>11.3</v>
      </c>
      <c r="C24" s="930">
        <f>GDP!AA1076</f>
        <v>11.5</v>
      </c>
      <c r="D24" s="930">
        <f>GDP!AB1076</f>
        <v>11.8</v>
      </c>
      <c r="E24" s="930">
        <f>GDP!AC1076</f>
        <v>12.1</v>
      </c>
      <c r="F24" s="930">
        <f>GDP!AD1076</f>
        <v>12.4</v>
      </c>
      <c r="G24" s="930">
        <f>GDP!AE1076</f>
        <v>12.7</v>
      </c>
      <c r="H24" s="930">
        <f>GDP!AF1076</f>
        <v>13</v>
      </c>
      <c r="I24" s="930">
        <f>GDP!AG1076</f>
        <v>13.206731</v>
      </c>
      <c r="J24" s="930">
        <f>GDP!AH1076</f>
        <v>13.499656</v>
      </c>
      <c r="K24" s="930">
        <f>GDP!AI1076</f>
        <v>13.798560999999999</v>
      </c>
      <c r="L24" s="1497">
        <f t="shared" si="5"/>
        <v>12.5304948</v>
      </c>
      <c r="M24" s="1497">
        <v>2.2345204982129996E-2</v>
      </c>
      <c r="N24" s="1497"/>
      <c r="O24" s="930">
        <f>GDP!AJ1076</f>
        <v>14.104965</v>
      </c>
      <c r="P24" s="930">
        <f>GDP!AK1076</f>
        <v>14.418145000000001</v>
      </c>
      <c r="Q24" s="930">
        <f>GDP!AL1076</f>
        <v>14.737803</v>
      </c>
      <c r="R24" s="930">
        <f>GDP!AM1076</f>
        <v>15.063639999999999</v>
      </c>
      <c r="S24" s="930">
        <f>GDP!AN1076</f>
        <v>15.395339</v>
      </c>
      <c r="T24" s="1497">
        <f>AVERAGE(K24,O24:S24)</f>
        <v>14.586408833333332</v>
      </c>
      <c r="U24" s="1497">
        <v>1.9E-2</v>
      </c>
      <c r="V24" s="930">
        <f>GDP!AO1076</f>
        <v>15.732628999999999</v>
      </c>
      <c r="W24" s="930"/>
      <c r="X24" s="930">
        <f t="shared" si="28"/>
        <v>13.206731</v>
      </c>
      <c r="Y24" s="930">
        <f t="shared" si="28"/>
        <v>13.499656</v>
      </c>
      <c r="Z24" s="930">
        <v>2.2345132841313786E-2</v>
      </c>
      <c r="AA24" s="930">
        <v>2.2064033000415151E-2</v>
      </c>
      <c r="AB24" s="930">
        <v>2.1765326911737271E-2</v>
      </c>
      <c r="AC24" s="930">
        <v>2.1445101131341016E-2</v>
      </c>
      <c r="AD24" s="930">
        <v>2.1057385109441773E-2</v>
      </c>
      <c r="AE24" s="930">
        <v>2.0632194918427826E-2</v>
      </c>
      <c r="AF24" s="930">
        <v>2.0196023840646227E-2</v>
      </c>
      <c r="AG24" s="930">
        <v>1.9751286972844229E-2</v>
      </c>
      <c r="AH24" s="930">
        <v>1.9296895361365696E-2</v>
      </c>
      <c r="AI24" s="930">
        <f t="shared" ref="AI24:AZ24" si="31">AH24</f>
        <v>1.9296895361365696E-2</v>
      </c>
      <c r="AJ24" s="930">
        <f t="shared" si="31"/>
        <v>1.9296895361365696E-2</v>
      </c>
      <c r="AK24" s="930">
        <f t="shared" si="31"/>
        <v>1.9296895361365696E-2</v>
      </c>
      <c r="AL24" s="930">
        <f t="shared" si="31"/>
        <v>1.9296895361365696E-2</v>
      </c>
      <c r="AM24" s="930">
        <f t="shared" si="31"/>
        <v>1.9296895361365696E-2</v>
      </c>
      <c r="AN24" s="930">
        <f t="shared" si="31"/>
        <v>1.9296895361365696E-2</v>
      </c>
      <c r="AO24" s="930">
        <f t="shared" si="31"/>
        <v>1.9296895361365696E-2</v>
      </c>
      <c r="AP24" s="930">
        <f t="shared" si="31"/>
        <v>1.9296895361365696E-2</v>
      </c>
      <c r="AQ24" s="930">
        <f t="shared" si="31"/>
        <v>1.9296895361365696E-2</v>
      </c>
      <c r="AR24" s="930">
        <f t="shared" si="31"/>
        <v>1.9296895361365696E-2</v>
      </c>
      <c r="AS24" s="930">
        <f t="shared" si="31"/>
        <v>1.9296895361365696E-2</v>
      </c>
      <c r="AT24" s="930">
        <f t="shared" si="31"/>
        <v>1.9296895361365696E-2</v>
      </c>
      <c r="AU24" s="930">
        <f t="shared" si="31"/>
        <v>1.9296895361365696E-2</v>
      </c>
      <c r="AV24" s="930">
        <f t="shared" si="31"/>
        <v>1.9296895361365696E-2</v>
      </c>
      <c r="AW24" s="930">
        <f t="shared" si="31"/>
        <v>1.9296895361365696E-2</v>
      </c>
      <c r="AX24" s="930">
        <f t="shared" si="31"/>
        <v>1.9296895361365696E-2</v>
      </c>
      <c r="AY24" s="930">
        <f t="shared" si="31"/>
        <v>1.9296895361365696E-2</v>
      </c>
      <c r="AZ24" s="930">
        <f t="shared" si="31"/>
        <v>1.9296895361365696E-2</v>
      </c>
    </row>
    <row r="25" spans="1:52">
      <c r="A25" s="753" t="str">
        <f>GDP!D1077</f>
        <v>Growth rate (YOY % change)</v>
      </c>
      <c r="B25" s="931">
        <f>GDP!Z1077</f>
        <v>2.7272727272727337E-2</v>
      </c>
      <c r="C25" s="931">
        <f>GDP!AA1077</f>
        <v>1.7699115044247815E-2</v>
      </c>
      <c r="D25" s="931">
        <f>GDP!AB1077</f>
        <v>2.6086956521739202E-2</v>
      </c>
      <c r="E25" s="969">
        <f>GDP!AC1077</f>
        <v>2.5423728813559254E-2</v>
      </c>
      <c r="F25" s="969">
        <f>GDP!AD1077</f>
        <v>2.4793388429752206E-2</v>
      </c>
      <c r="G25" s="969">
        <f>GDP!AE1077</f>
        <v>2.4193548387096753E-2</v>
      </c>
      <c r="H25" s="969">
        <v>854</v>
      </c>
      <c r="I25" s="969">
        <v>1005</v>
      </c>
      <c r="J25" s="969">
        <v>1040</v>
      </c>
      <c r="K25" s="969">
        <f>GDP!AI1077</f>
        <v>2.2141675313800624E-2</v>
      </c>
      <c r="L25" s="1501"/>
      <c r="M25" s="1501">
        <v>1381.7715821074898</v>
      </c>
      <c r="N25" s="1501">
        <f>K25-M25</f>
        <v>-1381.749440432176</v>
      </c>
      <c r="O25" s="969">
        <f>GDP!AJ1077</f>
        <v>2.2205503892761103E-2</v>
      </c>
      <c r="P25" s="969">
        <f>GDP!AK1077</f>
        <v>2.2203529041014969E-2</v>
      </c>
      <c r="Q25" s="969">
        <f>GDP!AL1077</f>
        <v>2.2170535807484182E-2</v>
      </c>
      <c r="R25" s="969">
        <f>GDP!AM1077</f>
        <v>2.21089262761891E-2</v>
      </c>
      <c r="S25" s="969">
        <f>GDP!AN1077</f>
        <v>2.201984380933153E-2</v>
      </c>
      <c r="T25" s="1501"/>
      <c r="U25" s="969">
        <v>4035</v>
      </c>
      <c r="V25" s="969">
        <f>GDP!AO1077</f>
        <v>2.1908578953669045E-2</v>
      </c>
      <c r="W25" s="969"/>
      <c r="X25" s="969">
        <f>I25</f>
        <v>1005</v>
      </c>
      <c r="Y25" s="969">
        <f t="shared" si="28"/>
        <v>1040</v>
      </c>
      <c r="Z25" s="969">
        <f>K25</f>
        <v>2.2141675313800624E-2</v>
      </c>
      <c r="AA25" s="969">
        <f>O25</f>
        <v>2.2205503892761103E-2</v>
      </c>
      <c r="AB25" s="969">
        <f>P25</f>
        <v>2.2203529041014969E-2</v>
      </c>
      <c r="AC25" s="969">
        <f>Q25</f>
        <v>2.2170535807484182E-2</v>
      </c>
      <c r="AD25" s="969">
        <f>R25</f>
        <v>2.21089262761891E-2</v>
      </c>
      <c r="AE25" s="969">
        <f>S25</f>
        <v>2.201984380933153E-2</v>
      </c>
      <c r="AF25" s="969">
        <f t="shared" ref="AF25:AK25" si="32">AF20/AF23</f>
        <v>1.5655171532317289</v>
      </c>
      <c r="AG25" s="969">
        <f t="shared" si="32"/>
        <v>1.7905277220800142</v>
      </c>
      <c r="AH25" s="969">
        <f t="shared" si="32"/>
        <v>2.0487918082672545</v>
      </c>
      <c r="AI25" s="969">
        <f t="shared" si="32"/>
        <v>2.3443076707836803</v>
      </c>
      <c r="AJ25" s="969">
        <f t="shared" si="32"/>
        <v>2.6824484718841219</v>
      </c>
      <c r="AK25" s="969">
        <f t="shared" si="32"/>
        <v>3.0693623938482704</v>
      </c>
      <c r="AL25" s="969">
        <f t="shared" ref="AL25:AZ25" si="33">AL20/AL23</f>
        <v>3.5120844271624692</v>
      </c>
      <c r="AM25" s="969">
        <f t="shared" si="33"/>
        <v>4.0186642829269239</v>
      </c>
      <c r="AN25" s="969">
        <f t="shared" si="33"/>
        <v>4.5983127552319187</v>
      </c>
      <c r="AO25" s="969">
        <f t="shared" si="33"/>
        <v>5.2615691947097289</v>
      </c>
      <c r="AP25" s="969">
        <f t="shared" si="33"/>
        <v>6.0204931383189741</v>
      </c>
      <c r="AQ25" s="969">
        <f t="shared" si="33"/>
        <v>6.8888835796343608</v>
      </c>
      <c r="AR25" s="969">
        <f t="shared" si="33"/>
        <v>7.8825298664831083</v>
      </c>
      <c r="AS25" s="969">
        <f t="shared" si="33"/>
        <v>9.0194987878276933</v>
      </c>
      <c r="AT25" s="969">
        <f t="shared" si="33"/>
        <v>10.32046306979883</v>
      </c>
      <c r="AU25" s="969">
        <f t="shared" si="33"/>
        <v>11.809077253696756</v>
      </c>
      <c r="AV25" s="969">
        <f t="shared" si="33"/>
        <v>13.51240779029273</v>
      </c>
      <c r="AW25" s="969">
        <f t="shared" si="33"/>
        <v>15.461425170540442</v>
      </c>
      <c r="AX25" s="969">
        <f t="shared" si="33"/>
        <v>17.691567040772586</v>
      </c>
      <c r="AY25" s="969">
        <f t="shared" si="33"/>
        <v>20.243382541119949</v>
      </c>
      <c r="AZ25" s="969">
        <f t="shared" si="33"/>
        <v>23.163269582716641</v>
      </c>
    </row>
    <row r="26" spans="1:52" s="1486" customFormat="1">
      <c r="A26" s="1486" t="s">
        <v>1240</v>
      </c>
      <c r="B26" s="1488"/>
      <c r="C26" s="1488"/>
      <c r="D26" s="1488"/>
      <c r="E26" s="1489"/>
      <c r="F26" s="1489"/>
      <c r="G26" s="1489"/>
      <c r="H26" s="1489"/>
      <c r="I26" s="1489"/>
      <c r="J26" s="1489"/>
      <c r="K26" s="1489"/>
      <c r="L26" s="1489"/>
      <c r="M26" s="1489"/>
      <c r="N26" s="1489"/>
      <c r="O26" s="1489"/>
      <c r="P26" s="1489"/>
      <c r="Q26" s="1489"/>
      <c r="R26" s="1489"/>
      <c r="S26" s="1489"/>
      <c r="T26" s="1489"/>
      <c r="U26" s="1502"/>
      <c r="V26" s="1489"/>
      <c r="W26" s="1489"/>
      <c r="X26" s="1489">
        <f>X21/X23</f>
        <v>1.1469533245463746</v>
      </c>
      <c r="Y26" s="1489">
        <f t="shared" ref="Y26:AJ26" si="34">Y21/Y23</f>
        <v>6.564220422387744E-2</v>
      </c>
      <c r="Z26" s="1489">
        <f t="shared" si="34"/>
        <v>9.2480208046463339</v>
      </c>
      <c r="AA26" s="1489">
        <f t="shared" si="34"/>
        <v>3.714819464581733</v>
      </c>
      <c r="AB26" s="1489">
        <f t="shared" si="34"/>
        <v>2.1317982551209633</v>
      </c>
      <c r="AC26" s="1489">
        <f t="shared" si="34"/>
        <v>3.8031460081492039</v>
      </c>
      <c r="AD26" s="1489">
        <f t="shared" si="34"/>
        <v>4.102986513502163</v>
      </c>
      <c r="AE26" s="1489">
        <f t="shared" si="34"/>
        <v>4.2921160795165312</v>
      </c>
      <c r="AF26" s="1489">
        <f t="shared" si="34"/>
        <v>4.7249266247565505</v>
      </c>
      <c r="AG26" s="1489">
        <f t="shared" si="34"/>
        <v>5.3914008173778445</v>
      </c>
      <c r="AH26" s="1489">
        <f t="shared" si="34"/>
        <v>6.1546269243947656</v>
      </c>
      <c r="AI26" s="1489">
        <f t="shared" si="34"/>
        <v>7.0258980664895123</v>
      </c>
      <c r="AJ26" s="1489">
        <f t="shared" si="34"/>
        <v>8.020509487755076</v>
      </c>
      <c r="AK26" s="1490">
        <f>AK21/AK23</f>
        <v>9.155921682096217</v>
      </c>
      <c r="AL26" s="1490">
        <f t="shared" ref="AL26:AZ26" si="35">AL21/AL23</f>
        <v>10.220961554408317</v>
      </c>
      <c r="AM26" s="1490">
        <f t="shared" si="35"/>
        <v>11.409889547326848</v>
      </c>
      <c r="AN26" s="1490">
        <f t="shared" si="35"/>
        <v>12.737116639094415</v>
      </c>
      <c r="AO26" s="1490">
        <f t="shared" si="35"/>
        <v>14.218730129241669</v>
      </c>
      <c r="AP26" s="1490">
        <f t="shared" si="35"/>
        <v>15.872688632501902</v>
      </c>
      <c r="AQ26" s="1490">
        <f t="shared" si="35"/>
        <v>17.235243447607701</v>
      </c>
      <c r="AR26" s="1490">
        <f t="shared" si="35"/>
        <v>18.714763678412918</v>
      </c>
      <c r="AS26" s="1490">
        <f t="shared" si="35"/>
        <v>20.321289954709524</v>
      </c>
      <c r="AT26" s="1490">
        <f t="shared" si="35"/>
        <v>22.065724821292445</v>
      </c>
      <c r="AU26" s="1490">
        <f t="shared" si="35"/>
        <v>23.959906727090505</v>
      </c>
      <c r="AV26" s="1490">
        <f t="shared" si="35"/>
        <v>25.674365492492612</v>
      </c>
      <c r="AW26" s="1490">
        <f t="shared" si="35"/>
        <v>27.51150290150315</v>
      </c>
      <c r="AX26" s="1490">
        <f t="shared" si="35"/>
        <v>29.480097263581246</v>
      </c>
      <c r="AY26" s="1490">
        <f t="shared" si="35"/>
        <v>31.589555022918319</v>
      </c>
      <c r="AZ26" s="1490">
        <f t="shared" si="35"/>
        <v>33.849955704819095</v>
      </c>
    </row>
    <row r="27" spans="1:52" hidden="1">
      <c r="A27" s="753" t="str">
        <f>GDP!D1078</f>
        <v>GDP per capita (USD, p.a ER used)</v>
      </c>
      <c r="B27" s="930">
        <f>GDP!Z1078</f>
        <v>747.89670194895905</v>
      </c>
      <c r="C27" s="930">
        <f>GDP!AA1078</f>
        <v>747.58834542193131</v>
      </c>
      <c r="D27" s="930">
        <f>GDP!AB1078</f>
        <v>776.79342797970889</v>
      </c>
      <c r="E27" s="930">
        <f>GDP!AC1078</f>
        <v>797.47820977240883</v>
      </c>
      <c r="F27" s="930">
        <f>GDP!AD1078</f>
        <v>846.54077690918757</v>
      </c>
      <c r="G27" s="930">
        <f>GDP!AE1078</f>
        <v>624.4615697896985</v>
      </c>
      <c r="H27" s="930">
        <f>GDP!AF1078</f>
        <v>864.09671442671288</v>
      </c>
      <c r="I27" s="930">
        <f>GDP!AG1078</f>
        <v>1038.2302529335393</v>
      </c>
      <c r="J27" s="930">
        <f>GDP!AH1078</f>
        <v>1089.2796617123415</v>
      </c>
      <c r="K27" s="930">
        <f>GDP!AI1078</f>
        <v>1091.2951039020736</v>
      </c>
      <c r="L27" s="930">
        <f t="shared" si="5"/>
        <v>862.36607647965616</v>
      </c>
      <c r="M27" s="930">
        <v>6.6293168727920682E-2</v>
      </c>
      <c r="N27" s="930">
        <f>L27-M27</f>
        <v>862.29978331092821</v>
      </c>
      <c r="O27" s="930">
        <f>GDP!AJ1078</f>
        <v>1138.9471948984378</v>
      </c>
      <c r="P27" s="930">
        <f>GDP!AK1078</f>
        <v>1262.6941925024028</v>
      </c>
      <c r="Q27" s="930">
        <f>GDP!AL1078</f>
        <v>1342.6807571966087</v>
      </c>
      <c r="R27" s="930">
        <f>GDP!AM1078</f>
        <v>1436.7902223530846</v>
      </c>
      <c r="S27" s="930">
        <f>GDP!AN1078</f>
        <v>1552.4331171553474</v>
      </c>
      <c r="T27" s="930">
        <f>AVERAGE(O27:S27)</f>
        <v>1346.7090968211764</v>
      </c>
      <c r="U27" s="930">
        <f>U25/S25-1</f>
        <v>183242.80658368045</v>
      </c>
      <c r="V27" s="930">
        <f>GDP!AO1078</f>
        <v>1686.5969409951485</v>
      </c>
      <c r="W27" s="930"/>
      <c r="X27" s="930">
        <f t="shared" si="28"/>
        <v>1038.2302529335393</v>
      </c>
      <c r="Y27" s="930">
        <f t="shared" si="28"/>
        <v>1089.2796617123415</v>
      </c>
      <c r="Z27" s="930">
        <f t="shared" ref="Z27:Z37" si="36">K27</f>
        <v>1091.2951039020736</v>
      </c>
      <c r="AA27" s="930">
        <f>O27</f>
        <v>1138.9471948984378</v>
      </c>
      <c r="AB27" s="930">
        <f>P27</f>
        <v>1262.6941925024028</v>
      </c>
      <c r="AC27" s="930">
        <f>Q27</f>
        <v>1342.6807571966087</v>
      </c>
      <c r="AD27" s="930">
        <f>R27</f>
        <v>1436.7902223530846</v>
      </c>
      <c r="AE27" s="930">
        <f>S27</f>
        <v>1552.4331171553474</v>
      </c>
      <c r="AF27" s="930">
        <f>V27</f>
        <v>1686.5969409951485</v>
      </c>
    </row>
    <row r="28" spans="1:52" hidden="1">
      <c r="A28" s="753" t="str">
        <f>GDP!D1079</f>
        <v>Real per capita GDP (YOY % change)</v>
      </c>
      <c r="B28" s="931">
        <f>GDP!Z1079</f>
        <v>5.9817967531184513E-2</v>
      </c>
      <c r="C28" s="931">
        <f>GDP!AA1079</f>
        <v>3.8192005287792652E-2</v>
      </c>
      <c r="D28" s="931">
        <f>GDP!AB1079</f>
        <v>2.0476090550500148E-2</v>
      </c>
      <c r="E28" s="931">
        <f>GDP!AC1079</f>
        <v>5.3896287825417E-2</v>
      </c>
      <c r="F28" s="931">
        <f>GDP!AD1079</f>
        <v>6.6339245046346917E-2</v>
      </c>
      <c r="G28" s="931">
        <f>GDP!AE1079</f>
        <v>-0.2898769198972575</v>
      </c>
      <c r="H28" s="931">
        <f>GDP!AF1079</f>
        <v>0.415816060044504</v>
      </c>
      <c r="I28" s="931">
        <f>GDP!AG1079</f>
        <v>8.100594903126046E-2</v>
      </c>
      <c r="J28" s="931">
        <f>GDP!AH1079</f>
        <v>6.2060950794812886E-2</v>
      </c>
      <c r="K28" s="931">
        <f>GDP!AI1079</f>
        <v>4.8964099963397567E-2</v>
      </c>
      <c r="L28" s="931">
        <f t="shared" si="5"/>
        <v>5.5669173617795865E-2</v>
      </c>
      <c r="M28" s="931"/>
      <c r="N28" s="931"/>
      <c r="O28" s="931">
        <f>GDP!AJ1079</f>
        <v>5.4369659204700271E-2</v>
      </c>
      <c r="P28" s="931">
        <f>GDP!AK1079</f>
        <v>6.0086963792729264E-2</v>
      </c>
      <c r="Q28" s="931">
        <f>GDP!AL1079</f>
        <v>6.5818311237185068E-2</v>
      </c>
      <c r="R28" s="931">
        <f>GDP!AM1079</f>
        <v>6.140640302008471E-2</v>
      </c>
      <c r="S28" s="931">
        <f>GDP!AN1079</f>
        <v>5.6093144533501782E-2</v>
      </c>
      <c r="T28" s="931"/>
      <c r="U28" s="931"/>
      <c r="V28" s="931">
        <f>GDP!AO1079</f>
        <v>6.0336457934983878E-2</v>
      </c>
      <c r="W28" s="931"/>
      <c r="X28" s="931"/>
      <c r="Z28" s="928">
        <f t="shared" si="36"/>
        <v>4.8964099963397567E-2</v>
      </c>
    </row>
    <row r="29" spans="1:52" hidden="1">
      <c r="A29" s="753" t="str">
        <f>GDP!D1080</f>
        <v>Gross National Income (GNI), (Million USD, current prices)</v>
      </c>
      <c r="B29" s="931">
        <f>GDP!Z1080</f>
        <v>8327.5439528179249</v>
      </c>
      <c r="C29" s="931">
        <f>GDP!AA1080</f>
        <v>8295.4830372087854</v>
      </c>
      <c r="D29" s="931">
        <f>GDP!AB1080</f>
        <v>8889.9412534425865</v>
      </c>
      <c r="E29" s="931">
        <f>GDP!AC1080</f>
        <v>9321.30359035119</v>
      </c>
      <c r="F29" s="931">
        <f>GDP!AD1080</f>
        <v>10173.262070201161</v>
      </c>
      <c r="G29" s="931">
        <f>GDP!AE1080</f>
        <v>7731.1901171209065</v>
      </c>
      <c r="H29" s="931">
        <f>GDP!AF1080</f>
        <v>11052.872095610417</v>
      </c>
      <c r="I29" s="931">
        <f>GDP!AG1080</f>
        <v>13462.295112843392</v>
      </c>
      <c r="J29" s="931">
        <f>GDP!AH1080</f>
        <v>14409.281201726384</v>
      </c>
      <c r="K29" s="931">
        <f>GDP!AI1080</f>
        <v>14712.846564146083</v>
      </c>
      <c r="L29" s="931">
        <f t="shared" si="5"/>
        <v>10637.601899546882</v>
      </c>
      <c r="M29" s="931"/>
      <c r="N29" s="931"/>
      <c r="O29" s="931">
        <f>GDP!AJ1080</f>
        <v>15681.397117005421</v>
      </c>
      <c r="P29" s="931">
        <f>GDP!AK1080</f>
        <v>17778.589801805068</v>
      </c>
      <c r="Q29" s="931">
        <f>GDP!AL1080</f>
        <v>19295.2407022146</v>
      </c>
      <c r="R29" s="931">
        <f>GDP!AM1080</f>
        <v>21095.701565718999</v>
      </c>
      <c r="S29" s="931">
        <f>GDP!AN1080</f>
        <v>23321.688964703822</v>
      </c>
      <c r="T29" s="931"/>
      <c r="U29" s="931"/>
      <c r="V29" s="931">
        <f>GDP!AO1080</f>
        <v>25932.216337597209</v>
      </c>
      <c r="W29" s="931"/>
      <c r="X29" s="931"/>
      <c r="Z29" s="928">
        <f t="shared" si="36"/>
        <v>14712.846564146083</v>
      </c>
    </row>
    <row r="30" spans="1:52" hidden="1">
      <c r="A30" s="753" t="str">
        <f>GDP!D1081</f>
        <v>GNI per capita (USD)</v>
      </c>
      <c r="B30" s="930">
        <f>GDP!Z1081</f>
        <v>736.95079228477209</v>
      </c>
      <c r="C30" s="930">
        <f>GDP!AA1081</f>
        <v>721.34635106163353</v>
      </c>
      <c r="D30" s="930">
        <f>GDP!AB1081</f>
        <v>753.38485198665978</v>
      </c>
      <c r="E30" s="930">
        <f>GDP!AC1081</f>
        <v>770.35566862406529</v>
      </c>
      <c r="F30" s="930">
        <f>GDP!AD1081</f>
        <v>820.4243605000936</v>
      </c>
      <c r="G30" s="930">
        <f>GDP!AE1081</f>
        <v>608.75512733235485</v>
      </c>
      <c r="H30" s="930">
        <f>GDP!AF1081</f>
        <v>850.22093043157054</v>
      </c>
      <c r="I30" s="930">
        <f>GDP!AG1081</f>
        <v>1019.3510500701038</v>
      </c>
      <c r="J30" s="930">
        <f>GDP!AH1081</f>
        <v>1067.3813615492413</v>
      </c>
      <c r="K30" s="930">
        <f>GDP!AI1081</f>
        <v>1066.2594863439806</v>
      </c>
      <c r="L30" s="930">
        <f t="shared" si="5"/>
        <v>841.4429980184475</v>
      </c>
      <c r="M30" s="930"/>
      <c r="N30" s="930"/>
      <c r="O30" s="930">
        <f>GDP!AJ1081</f>
        <v>1111.7643409257253</v>
      </c>
      <c r="P30" s="930">
        <f>GDP!AK1081</f>
        <v>1233.070537285141</v>
      </c>
      <c r="Q30" s="930">
        <f>GDP!AL1081</f>
        <v>1309.2345380254167</v>
      </c>
      <c r="R30" s="930">
        <f>GDP!AM1081</f>
        <v>1400.4385105936547</v>
      </c>
      <c r="S30" s="930">
        <f>GDP!AN1081</f>
        <v>1514.8538765339185</v>
      </c>
      <c r="T30" s="930"/>
      <c r="U30" s="930"/>
      <c r="V30" s="930">
        <f>GDP!AO1081</f>
        <v>1648.3078789690655</v>
      </c>
      <c r="W30" s="930"/>
      <c r="X30" s="930"/>
      <c r="Z30" s="928">
        <f t="shared" si="36"/>
        <v>1066.2594863439806</v>
      </c>
    </row>
    <row r="31" spans="1:52" hidden="1">
      <c r="A31" s="753" t="str">
        <f>GDP!D1082</f>
        <v>Real private consumption, (YOY % change)</v>
      </c>
      <c r="B31" s="931">
        <f>GDP!Z1082</f>
        <v>0.16119860017497811</v>
      </c>
      <c r="C31" s="931">
        <f>GDP!AA1082</f>
        <v>3.7106799773968691E-2</v>
      </c>
      <c r="D31" s="931">
        <f>GDP!AB1082</f>
        <v>-5.1035234289865561E-2</v>
      </c>
      <c r="E31" s="931">
        <f>GDP!AC1082</f>
        <v>8.2679425837320464E-2</v>
      </c>
      <c r="F31" s="931">
        <f>GDP!AD1082</f>
        <v>2.3864238995934262E-2</v>
      </c>
      <c r="G31" s="931">
        <f>GDP!AE1082</f>
        <v>4.1004834254143585E-2</v>
      </c>
      <c r="H31" s="931">
        <f>GDP!AF1082</f>
        <v>1.8409486690438737E-2</v>
      </c>
      <c r="I31" s="931">
        <f>GDP!AG1082</f>
        <v>-9.7956192492468008E-2</v>
      </c>
      <c r="J31" s="931">
        <f>GDP!AH1082</f>
        <v>0.10552446289944029</v>
      </c>
      <c r="K31" s="931">
        <f>GDP!AI1082</f>
        <v>4.3602514901608602E-2</v>
      </c>
      <c r="L31" s="931">
        <f t="shared" si="5"/>
        <v>3.6439893674549917E-2</v>
      </c>
      <c r="M31" s="931"/>
      <c r="N31" s="931"/>
      <c r="O31" s="931">
        <f>GDP!AJ1082</f>
        <v>2.0706054963483878E-2</v>
      </c>
      <c r="P31" s="931">
        <f>GDP!AK1082</f>
        <v>0.10365667595289452</v>
      </c>
      <c r="Q31" s="931">
        <f>GDP!AL1082</f>
        <v>8.3751433576477297E-2</v>
      </c>
      <c r="R31" s="931">
        <f>GDP!AM1082</f>
        <v>7.4062680707438933E-2</v>
      </c>
      <c r="S31" s="931">
        <f>GDP!AN1082</f>
        <v>6.6723536126409355E-2</v>
      </c>
      <c r="T31" s="931"/>
      <c r="U31" s="931"/>
      <c r="V31" s="931">
        <f>GDP!AO1082</f>
        <v>3.1138172955396115E-3</v>
      </c>
      <c r="W31" s="931"/>
      <c r="X31" s="931"/>
      <c r="Z31" s="928">
        <f t="shared" si="36"/>
        <v>4.3602514901608602E-2</v>
      </c>
    </row>
    <row r="32" spans="1:52" hidden="1">
      <c r="A32" s="753" t="str">
        <f>GDP!D1083</f>
        <v>Private Investment (billion RWF, def. NA in current prices</v>
      </c>
      <c r="B32" s="931">
        <f>GDP!Z1083</f>
        <v>957.49659052812842</v>
      </c>
      <c r="C32" s="931">
        <f>GDP!AA1083</f>
        <v>1245.6067779025143</v>
      </c>
      <c r="D32" s="931">
        <f>GDP!AB1083</f>
        <v>1280.018295580307</v>
      </c>
      <c r="E32" s="931">
        <f>GDP!AC1083</f>
        <v>810.14308915478875</v>
      </c>
      <c r="F32" s="931">
        <f>GDP!AD1083</f>
        <v>1222.6644920185074</v>
      </c>
      <c r="G32" s="931">
        <f>GDP!AE1083</f>
        <v>820.25472700974683</v>
      </c>
      <c r="H32" s="931">
        <f>GDP!AF1083</f>
        <v>2753.0810235350104</v>
      </c>
      <c r="I32" s="931">
        <f>GDP!AG1083</f>
        <v>4040.2756723099283</v>
      </c>
      <c r="J32" s="931">
        <f>GDP!AH1083</f>
        <v>5520.9829533283446</v>
      </c>
      <c r="K32" s="931">
        <f>GDP!AI1083</f>
        <v>5635.8243422075848</v>
      </c>
      <c r="L32" s="931">
        <f t="shared" si="5"/>
        <v>2428.6347963574858</v>
      </c>
      <c r="M32" s="931"/>
      <c r="N32" s="931"/>
      <c r="O32" s="931">
        <f>GDP!AJ1083</f>
        <v>6673.1823198352022</v>
      </c>
      <c r="P32" s="931">
        <f>GDP!AK1083</f>
        <v>8448.7847204025256</v>
      </c>
      <c r="Q32" s="931">
        <f>GDP!AL1083</f>
        <v>9531.1236899938685</v>
      </c>
      <c r="R32" s="931">
        <f>GDP!AM1083</f>
        <v>9922.2454121151823</v>
      </c>
      <c r="S32" s="931">
        <f>GDP!AN1083</f>
        <v>10992.885281789464</v>
      </c>
      <c r="T32" s="931"/>
      <c r="U32" s="931"/>
      <c r="V32" s="931">
        <f>GDP!AO1083</f>
        <v>11601.031272653221</v>
      </c>
      <c r="W32" s="931"/>
      <c r="X32" s="931"/>
      <c r="Z32" s="928">
        <f t="shared" si="36"/>
        <v>5635.8243422075848</v>
      </c>
    </row>
    <row r="33" spans="1:42" hidden="1">
      <c r="A33" s="753" t="str">
        <f>GDP!D1084</f>
        <v xml:space="preserve">                        FDI (BOP incl. big projects, USD, pa ER used)</v>
      </c>
      <c r="B33" s="931">
        <f>GDP!Z1084</f>
        <v>116.62579256029697</v>
      </c>
      <c r="C33" s="931">
        <f>GDP!AA1084</f>
        <v>220.22465272966625</v>
      </c>
      <c r="D33" s="931">
        <f>GDP!AB1084</f>
        <v>227.83275838438294</v>
      </c>
      <c r="E33" s="931">
        <f>GDP!AC1084</f>
        <v>315.32164955573921</v>
      </c>
      <c r="F33" s="931">
        <f>GDP!AD1084</f>
        <v>237.17111917873035</v>
      </c>
      <c r="G33" s="931">
        <f>GDP!AE1084</f>
        <v>144.24968052171391</v>
      </c>
      <c r="H33" s="931">
        <f>GDP!AF1084</f>
        <v>231.135758520774</v>
      </c>
      <c r="I33" s="931">
        <f>GDP!AG1084</f>
        <v>315.16774652910374</v>
      </c>
      <c r="J33" s="931">
        <f>GDP!AH1084</f>
        <v>534.58035445751841</v>
      </c>
      <c r="K33" s="931">
        <f>GDP!AI1084</f>
        <v>757.8281901946259</v>
      </c>
      <c r="L33" s="931">
        <f t="shared" si="5"/>
        <v>310.0137702632552</v>
      </c>
      <c r="M33" s="931"/>
      <c r="N33" s="931"/>
      <c r="O33" s="931">
        <f>GDP!AJ1084</f>
        <v>898.5582822456297</v>
      </c>
      <c r="P33" s="931">
        <f>GDP!AK1084</f>
        <v>1390.1543062860658</v>
      </c>
      <c r="Q33" s="931">
        <f>GDP!AL1084</f>
        <v>1643.9078308372907</v>
      </c>
      <c r="R33" s="931">
        <f>GDP!AM1084</f>
        <v>1277.0252575110467</v>
      </c>
      <c r="S33" s="931">
        <f>GDP!AN1084</f>
        <v>1172.7633543272882</v>
      </c>
      <c r="T33" s="931"/>
      <c r="U33" s="931"/>
      <c r="V33" s="931">
        <f>GDP!AO1084</f>
        <v>1127.0144523820595</v>
      </c>
      <c r="W33" s="931"/>
      <c r="X33" s="931"/>
      <c r="Z33" s="928">
        <f t="shared" si="36"/>
        <v>757.8281901946259</v>
      </c>
    </row>
    <row r="34" spans="1:42" hidden="1">
      <c r="A34" s="753" t="str">
        <f>GDP!D1085</f>
        <v xml:space="preserve">                        Net loans or govt equity (BOP, USD, pa ER used)</v>
      </c>
      <c r="B34" s="931">
        <f>GDP!Z1085</f>
        <v>392.48967190335429</v>
      </c>
      <c r="C34" s="931">
        <f>GDP!AA1085</f>
        <v>671.28835946635945</v>
      </c>
      <c r="D34" s="931">
        <f>GDP!AB1085</f>
        <v>93.356335413879592</v>
      </c>
      <c r="E34" s="931">
        <f>GDP!AC1085</f>
        <v>-14.0001610289575</v>
      </c>
      <c r="F34" s="931">
        <f>GDP!AD1085</f>
        <v>178.99001330510808</v>
      </c>
      <c r="G34" s="931">
        <f>GDP!AE1085</f>
        <v>189.60659383865925</v>
      </c>
      <c r="H34" s="931">
        <f>GDP!AF1085</f>
        <v>-151.49844952500348</v>
      </c>
      <c r="I34" s="931">
        <f>GDP!AG1085</f>
        <v>104.0857423235956</v>
      </c>
      <c r="J34" s="931">
        <f>GDP!AH1085</f>
        <v>252.33636205040614</v>
      </c>
      <c r="K34" s="931">
        <f>GDP!AI1085</f>
        <v>127.89748827251611</v>
      </c>
      <c r="L34" s="931">
        <f t="shared" si="5"/>
        <v>184.45519560199176</v>
      </c>
      <c r="M34" s="931"/>
      <c r="N34" s="931"/>
      <c r="O34" s="931">
        <f>GDP!AJ1085</f>
        <v>628.71912323005961</v>
      </c>
      <c r="P34" s="931">
        <f>GDP!AK1085</f>
        <v>1413.172546433656</v>
      </c>
      <c r="Q34" s="931">
        <f>GDP!AL1085</f>
        <v>1428.5220078089403</v>
      </c>
      <c r="R34" s="931">
        <f>GDP!AM1085</f>
        <v>478.30558727500323</v>
      </c>
      <c r="S34" s="931">
        <f>GDP!AN1085</f>
        <v>154.59652665314934</v>
      </c>
      <c r="T34" s="931"/>
      <c r="U34" s="931"/>
      <c r="V34" s="931">
        <f>GDP!AO1085</f>
        <v>178.29346155944228</v>
      </c>
      <c r="W34" s="931"/>
      <c r="X34" s="931"/>
      <c r="Z34" s="928">
        <f t="shared" si="36"/>
        <v>127.89748827251611</v>
      </c>
    </row>
    <row r="35" spans="1:42" hidden="1">
      <c r="A35" s="753" t="str">
        <f>GDP!D1086</f>
        <v xml:space="preserve">                        Domestically financed investment(USD)</v>
      </c>
      <c r="B35" s="931">
        <f>GDP!Z1086</f>
        <v>448.38112606447714</v>
      </c>
      <c r="C35" s="931">
        <f>GDP!AA1086</f>
        <v>354.09376570648851</v>
      </c>
      <c r="D35" s="931">
        <f>GDP!AB1086</f>
        <v>958.82920178204449</v>
      </c>
      <c r="E35" s="931">
        <f>GDP!AC1086</f>
        <v>508.82160062800705</v>
      </c>
      <c r="F35" s="931">
        <f>GDP!AD1086</f>
        <v>806.50335953466902</v>
      </c>
      <c r="G35" s="931">
        <f>GDP!AE1086</f>
        <v>486.39845264937367</v>
      </c>
      <c r="H35" s="931">
        <f>GDP!AF1086</f>
        <v>2673.4437145392403</v>
      </c>
      <c r="I35" s="931">
        <f>GDP!AG1086</f>
        <v>3621.0221834572289</v>
      </c>
      <c r="J35" s="931">
        <f>GDP!AH1086</f>
        <v>4734.0662368204203</v>
      </c>
      <c r="K35" s="931">
        <f>GDP!AI1086</f>
        <v>4750.098663740443</v>
      </c>
      <c r="L35" s="931">
        <f t="shared" si="5"/>
        <v>1934.1658304922391</v>
      </c>
      <c r="M35" s="931"/>
      <c r="N35" s="931"/>
      <c r="O35" s="931">
        <f>GDP!AJ1086</f>
        <v>5145.904914359513</v>
      </c>
      <c r="P35" s="931">
        <f>GDP!AK1086</f>
        <v>5645.4578676828041</v>
      </c>
      <c r="Q35" s="931">
        <f>GDP!AL1086</f>
        <v>6458.6938513476371</v>
      </c>
      <c r="R35" s="931">
        <f>GDP!AM1086</f>
        <v>8166.9145673291332</v>
      </c>
      <c r="S35" s="931">
        <f>GDP!AN1086</f>
        <v>9665.5254008090269</v>
      </c>
      <c r="T35" s="931"/>
      <c r="U35" s="931"/>
      <c r="V35" s="931">
        <f>GDP!AO1086</f>
        <v>10295.723358711719</v>
      </c>
      <c r="W35" s="931"/>
      <c r="X35" s="931"/>
      <c r="Z35" s="928">
        <f t="shared" si="36"/>
        <v>4750.098663740443</v>
      </c>
    </row>
    <row r="36" spans="1:42" hidden="1">
      <c r="A36" s="753" t="str">
        <f>GDP!D1087</f>
        <v>Private capital stock (Billion RWF of 2017, constant prices)</v>
      </c>
      <c r="B36" s="931">
        <f>GDP!Z1087</f>
        <v>13300.294586682005</v>
      </c>
      <c r="C36" s="931">
        <f>GDP!AA1087</f>
        <v>15336.073425455948</v>
      </c>
      <c r="D36" s="931">
        <f>GDP!AB1087</f>
        <v>17183.667843229912</v>
      </c>
      <c r="E36" s="931">
        <f>GDP!AC1087</f>
        <v>18499.643395630959</v>
      </c>
      <c r="F36" s="931">
        <f>GDP!AD1087</f>
        <v>20640.586975308579</v>
      </c>
      <c r="G36" s="931">
        <f>GDP!AE1087</f>
        <v>21725.851523476806</v>
      </c>
      <c r="H36" s="931">
        <f>GDP!AF1087</f>
        <v>24338.326570179037</v>
      </c>
      <c r="I36" s="931">
        <f>GDP!AG1087</f>
        <v>27749.500981247205</v>
      </c>
      <c r="J36" s="931">
        <f>GDP!AH1087</f>
        <v>32401.897522289364</v>
      </c>
      <c r="K36" s="931">
        <f>GDP!AI1087</f>
        <v>36617.634131548388</v>
      </c>
      <c r="L36" s="931">
        <f t="shared" si="5"/>
        <v>22779.347695504821</v>
      </c>
      <c r="M36" s="931"/>
      <c r="N36" s="931"/>
      <c r="O36" s="931">
        <f>GDP!AJ1087</f>
        <v>41443.231702515019</v>
      </c>
      <c r="P36" s="931">
        <f>GDP!AK1087</f>
        <v>47218.50241130028</v>
      </c>
      <c r="Q36" s="931">
        <f>GDP!AL1087</f>
        <v>53431.159983328995</v>
      </c>
      <c r="R36" s="931">
        <f>GDP!AM1087</f>
        <v>59363.371594647702</v>
      </c>
      <c r="S36" s="931">
        <f>GDP!AN1087</f>
        <v>65514.233392149617</v>
      </c>
      <c r="T36" s="931"/>
      <c r="U36" s="931"/>
      <c r="V36" s="931">
        <f>GDP!AO1087</f>
        <v>71493.369386465216</v>
      </c>
      <c r="W36" s="931"/>
      <c r="X36" s="931"/>
      <c r="Z36" s="928">
        <f t="shared" si="36"/>
        <v>36617.634131548388</v>
      </c>
    </row>
    <row r="37" spans="1:42" hidden="1">
      <c r="Z37" s="928">
        <f t="shared" si="36"/>
        <v>0</v>
      </c>
    </row>
    <row r="38" spans="1:42">
      <c r="I38" s="969"/>
      <c r="J38" s="969"/>
      <c r="AK38" s="1493">
        <v>4030</v>
      </c>
      <c r="AO38" s="1492">
        <f>AO26-AK38</f>
        <v>-4015.7812698707585</v>
      </c>
      <c r="AP38" s="1492">
        <f>AP26-AK38</f>
        <v>-4014.1273113674979</v>
      </c>
    </row>
    <row r="39" spans="1:42" hidden="1">
      <c r="A39" t="s">
        <v>1242</v>
      </c>
      <c r="X39" s="87">
        <f>X4+X7-X18</f>
        <v>-0.50442907982591101</v>
      </c>
      <c r="Y39" s="87">
        <f t="shared" ref="Y39:AK39" si="37">Y4+Y7-Y18</f>
        <v>0.26430812511330415</v>
      </c>
      <c r="Z39" s="87">
        <f t="shared" si="37"/>
        <v>0.22031228502278888</v>
      </c>
      <c r="AA39" s="87">
        <f t="shared" si="37"/>
        <v>2.3865217578876718E-2</v>
      </c>
      <c r="AB39" s="87">
        <f t="shared" si="37"/>
        <v>0.18950348958016991</v>
      </c>
      <c r="AC39" s="87">
        <f t="shared" si="37"/>
        <v>0.15792788509251326</v>
      </c>
      <c r="AD39" s="87">
        <f t="shared" si="37"/>
        <v>0.14365892398984609</v>
      </c>
      <c r="AE39" s="87">
        <f t="shared" si="37"/>
        <v>0.12211099561155003</v>
      </c>
      <c r="AF39" s="87">
        <f t="shared" si="37"/>
        <v>0</v>
      </c>
      <c r="AG39" s="87">
        <f t="shared" si="37"/>
        <v>0</v>
      </c>
      <c r="AH39" s="87">
        <f t="shared" si="37"/>
        <v>0</v>
      </c>
      <c r="AI39" s="87">
        <f t="shared" si="37"/>
        <v>0</v>
      </c>
      <c r="AJ39" s="87">
        <f t="shared" si="37"/>
        <v>0</v>
      </c>
      <c r="AK39" s="87">
        <f t="shared" si="37"/>
        <v>0</v>
      </c>
    </row>
    <row r="40" spans="1:42">
      <c r="AK40" s="1568">
        <f>AK25-AK38</f>
        <v>-4026.9306376061518</v>
      </c>
    </row>
    <row r="41" spans="1:42">
      <c r="AK41" s="1491">
        <f>AK26-AK38</f>
        <v>-4020.8440783179039</v>
      </c>
    </row>
  </sheetData>
  <mergeCells count="1">
    <mergeCell ref="W2:W3"/>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G60"/>
  <sheetViews>
    <sheetView topLeftCell="A4" zoomScale="112" zoomScaleNormal="112" workbookViewId="0">
      <pane xSplit="1" ySplit="2" topLeftCell="S6" activePane="bottomRight" state="frozen"/>
      <selection activeCell="A4" sqref="A4"/>
      <selection pane="topRight" activeCell="B4" sqref="B4"/>
      <selection pane="bottomLeft" activeCell="A6" sqref="A6"/>
      <selection pane="bottomRight" activeCell="A10" sqref="A10:XFD10"/>
    </sheetView>
  </sheetViews>
  <sheetFormatPr defaultRowHeight="14.75"/>
  <cols>
    <col min="1" max="1" width="42.6796875" style="295" customWidth="1"/>
    <col min="2" max="17" width="9" hidden="1" customWidth="1"/>
    <col min="18" max="18" width="9" style="2" hidden="1" customWidth="1"/>
    <col min="19" max="19" width="9.6328125" style="2" customWidth="1"/>
    <col min="20" max="20" width="11.08984375" style="2" customWidth="1"/>
    <col min="21" max="21" width="9" style="2" customWidth="1"/>
    <col min="22" max="22" width="10.58984375" style="2" customWidth="1"/>
    <col min="23" max="32" width="9.76953125" style="2" customWidth="1"/>
  </cols>
  <sheetData>
    <row r="1" spans="1:32" ht="19.5" customHeight="1"/>
    <row r="2" spans="1:32">
      <c r="A2" s="3634"/>
      <c r="B2" s="21"/>
      <c r="C2" s="21"/>
      <c r="D2" s="21"/>
      <c r="E2" s="21"/>
      <c r="F2" s="21"/>
      <c r="G2" s="21"/>
      <c r="H2" s="21"/>
      <c r="I2" s="21"/>
      <c r="J2" s="21"/>
      <c r="K2" s="21"/>
      <c r="L2" s="21"/>
      <c r="M2" s="21"/>
      <c r="N2" s="21"/>
      <c r="O2" s="21"/>
      <c r="P2" s="21"/>
      <c r="Q2" s="21"/>
      <c r="R2" s="26"/>
      <c r="S2" s="26"/>
      <c r="T2" s="26"/>
      <c r="U2" s="26"/>
      <c r="V2" s="26"/>
      <c r="W2" s="26"/>
      <c r="X2" s="26"/>
      <c r="Y2" s="3629"/>
      <c r="Z2" s="3629"/>
    </row>
    <row r="3" spans="1:32" ht="16.75" thickBot="1">
      <c r="A3" s="3635" t="s">
        <v>948</v>
      </c>
      <c r="B3" s="17"/>
      <c r="C3" s="17"/>
      <c r="D3" s="17"/>
      <c r="E3" s="17"/>
      <c r="F3" s="17"/>
      <c r="G3" s="17"/>
      <c r="H3" s="17"/>
      <c r="I3" s="17"/>
      <c r="J3" s="17"/>
      <c r="K3" s="17"/>
      <c r="L3" s="17"/>
      <c r="M3" s="17"/>
      <c r="N3" s="17"/>
      <c r="O3" s="17"/>
      <c r="P3" s="17"/>
      <c r="Q3" s="17"/>
      <c r="R3" s="3656"/>
      <c r="S3" s="3656"/>
      <c r="T3" s="3656"/>
      <c r="U3" s="3656"/>
      <c r="V3" s="3656"/>
      <c r="W3" s="3656"/>
      <c r="X3" s="3656"/>
      <c r="Y3" s="3657"/>
      <c r="Z3" s="3657"/>
      <c r="AA3" s="3657"/>
      <c r="AB3" s="3657"/>
      <c r="AC3" s="3657"/>
      <c r="AD3" s="3657"/>
      <c r="AE3" s="3657"/>
      <c r="AF3" s="3657"/>
    </row>
    <row r="4" spans="1:32" ht="15.5" thickBot="1">
      <c r="A4" s="3881" t="s">
        <v>1719</v>
      </c>
      <c r="B4" s="3883">
        <v>2016</v>
      </c>
      <c r="C4" s="3884"/>
      <c r="D4" s="3883">
        <v>2017</v>
      </c>
      <c r="E4" s="3885"/>
      <c r="F4" s="3883">
        <v>2018</v>
      </c>
      <c r="G4" s="3885"/>
      <c r="H4" s="3883">
        <v>2019</v>
      </c>
      <c r="I4" s="3885"/>
      <c r="J4" s="3883">
        <v>2020</v>
      </c>
      <c r="K4" s="3885"/>
      <c r="L4" s="3883">
        <v>2021</v>
      </c>
      <c r="M4" s="3885"/>
      <c r="N4" s="3883">
        <v>2022</v>
      </c>
      <c r="O4" s="3885"/>
      <c r="P4" s="3883">
        <v>2023</v>
      </c>
      <c r="Q4" s="3885"/>
      <c r="R4" s="3658">
        <v>2024</v>
      </c>
      <c r="S4" s="3878">
        <v>2025</v>
      </c>
      <c r="T4" s="3879"/>
      <c r="U4" s="3878">
        <v>2026</v>
      </c>
      <c r="V4" s="3879"/>
      <c r="W4" s="3878">
        <v>2027</v>
      </c>
      <c r="X4" s="3879"/>
      <c r="Y4" s="3878">
        <v>2028</v>
      </c>
      <c r="Z4" s="3879"/>
      <c r="AA4" s="3878">
        <v>2029</v>
      </c>
      <c r="AB4" s="3879"/>
      <c r="AC4" s="3880">
        <v>2030</v>
      </c>
      <c r="AD4" s="3877"/>
      <c r="AE4" s="3876" t="s">
        <v>1235</v>
      </c>
      <c r="AF4" s="3877"/>
    </row>
    <row r="5" spans="1:32" ht="47.5" customHeight="1" thickBot="1">
      <c r="A5" s="3882"/>
      <c r="B5" s="1466" t="s">
        <v>1230</v>
      </c>
      <c r="C5" s="1467" t="s">
        <v>1231</v>
      </c>
      <c r="D5" s="1466" t="s">
        <v>1230</v>
      </c>
      <c r="E5" s="1467" t="s">
        <v>1231</v>
      </c>
      <c r="F5" s="1466" t="s">
        <v>1230</v>
      </c>
      <c r="G5" s="1467" t="s">
        <v>1231</v>
      </c>
      <c r="H5" s="1466" t="s">
        <v>1230</v>
      </c>
      <c r="I5" s="1467" t="s">
        <v>1231</v>
      </c>
      <c r="J5" s="1466" t="s">
        <v>1230</v>
      </c>
      <c r="K5" s="1467" t="s">
        <v>1231</v>
      </c>
      <c r="L5" s="1466" t="s">
        <v>1230</v>
      </c>
      <c r="M5" s="1467" t="s">
        <v>1231</v>
      </c>
      <c r="N5" s="1466" t="s">
        <v>1230</v>
      </c>
      <c r="O5" s="1467" t="s">
        <v>1231</v>
      </c>
      <c r="P5" s="1466" t="s">
        <v>1230</v>
      </c>
      <c r="Q5" s="1467" t="s">
        <v>1231</v>
      </c>
      <c r="R5" s="3630" t="s">
        <v>1231</v>
      </c>
      <c r="S5" s="3631" t="s">
        <v>1762</v>
      </c>
      <c r="T5" s="3659" t="s">
        <v>1761</v>
      </c>
      <c r="U5" s="3631" t="s">
        <v>1762</v>
      </c>
      <c r="V5" s="3659" t="s">
        <v>1761</v>
      </c>
      <c r="W5" s="3631" t="s">
        <v>1762</v>
      </c>
      <c r="X5" s="3659" t="s">
        <v>1761</v>
      </c>
      <c r="Y5" s="3631" t="s">
        <v>1762</v>
      </c>
      <c r="Z5" s="3659" t="s">
        <v>1761</v>
      </c>
      <c r="AA5" s="3631" t="s">
        <v>1762</v>
      </c>
      <c r="AB5" s="3659" t="s">
        <v>1761</v>
      </c>
      <c r="AC5" s="3631" t="s">
        <v>1762</v>
      </c>
      <c r="AD5" s="3659" t="s">
        <v>1761</v>
      </c>
      <c r="AE5" s="3660" t="s">
        <v>1520</v>
      </c>
      <c r="AF5" s="3661" t="s">
        <v>1520</v>
      </c>
    </row>
    <row r="6" spans="1:32" ht="15.5" thickBot="1">
      <c r="A6" s="3721" t="s">
        <v>59</v>
      </c>
      <c r="B6" s="3662">
        <v>5.9329088408333286E-2</v>
      </c>
      <c r="C6" s="3663">
        <f>GDP!AA546</f>
        <v>5.65670850273996E-2</v>
      </c>
      <c r="D6" s="3662">
        <v>5.2211103919289029E-2</v>
      </c>
      <c r="E6" s="3663">
        <f>GDP!AB546</f>
        <v>4.70972059561654E-2</v>
      </c>
      <c r="F6" s="3662">
        <v>6.8114232123388255E-2</v>
      </c>
      <c r="G6" s="3663">
        <f>GDP!AC546</f>
        <v>8.0690261244707129E-2</v>
      </c>
      <c r="H6" s="3662">
        <v>8.5893424370762861E-2</v>
      </c>
      <c r="I6" s="3663">
        <f>GDP!AD546</f>
        <v>9.2777408146669682E-2</v>
      </c>
      <c r="J6" s="3662">
        <v>9.1502838988543486E-2</v>
      </c>
      <c r="K6" s="3663">
        <f>GDP!AE546</f>
        <v>-0.27269652279799761</v>
      </c>
      <c r="L6" s="3662">
        <v>9.8947998413135799E-2</v>
      </c>
      <c r="M6" s="3663">
        <f>GDP!AF546</f>
        <v>0.44926053390382292</v>
      </c>
      <c r="N6" s="3662">
        <v>0.10497523041980082</v>
      </c>
      <c r="O6" s="3663">
        <f>GDP!AG546</f>
        <v>9.8196521404274373E-2</v>
      </c>
      <c r="P6" s="3662">
        <v>0.11007306087026322</v>
      </c>
      <c r="Q6" s="3663">
        <f>GDP!AH546</f>
        <v>8.5617439074279655E-2</v>
      </c>
      <c r="R6" s="3664">
        <f>GDP!AI546</f>
        <v>7.2189922480620172E-2</v>
      </c>
      <c r="S6" s="3665">
        <v>6.978353886191821E-2</v>
      </c>
      <c r="T6" s="3664">
        <f>GDP!AJ546</f>
        <v>7.7782468776579336E-2</v>
      </c>
      <c r="U6" s="3665">
        <v>7.2333774922395122E-2</v>
      </c>
      <c r="V6" s="3664">
        <f>GDP!AK546</f>
        <v>8.3624635479302517E-2</v>
      </c>
      <c r="W6" s="3665">
        <v>7.5992706697560322E-2</v>
      </c>
      <c r="X6" s="3664">
        <f>GDP!AL546</f>
        <v>8.9448074270741265E-2</v>
      </c>
      <c r="Y6" s="3665">
        <v>6.7527197938937675E-2</v>
      </c>
      <c r="Z6" s="3664">
        <f>GDP!AM546</f>
        <v>8.4872958933530918E-2</v>
      </c>
      <c r="AA6" s="3665">
        <v>6.7963674945178992E-2</v>
      </c>
      <c r="AB6" s="3664">
        <f>GDP!AN546</f>
        <v>7.9348150624235281E-2</v>
      </c>
      <c r="AC6" s="3665">
        <v>6.8400012602860064E-2</v>
      </c>
      <c r="AD6" s="3664">
        <f>GDP!AO546</f>
        <v>8.3566922941106181E-2</v>
      </c>
      <c r="AE6" s="3666">
        <f>AVERAGE(S6,U6,W6,Y6,AA6,AC6)</f>
        <v>7.0333484328141724E-2</v>
      </c>
      <c r="AF6" s="3763">
        <f>AVERAGE(T6,V6,X6,Z6,AB6,AD6)</f>
        <v>8.3107201837582578E-2</v>
      </c>
    </row>
    <row r="7" spans="1:32" ht="15.5" thickBot="1">
      <c r="A7" s="3721"/>
      <c r="B7" s="3662"/>
      <c r="C7" s="3663"/>
      <c r="D7" s="3662"/>
      <c r="E7" s="3663"/>
      <c r="F7" s="3662"/>
      <c r="G7" s="3663"/>
      <c r="H7" s="3662"/>
      <c r="I7" s="3663"/>
      <c r="J7" s="3662"/>
      <c r="K7" s="3663"/>
      <c r="L7" s="3662"/>
      <c r="M7" s="3663"/>
      <c r="N7" s="3662"/>
      <c r="O7" s="3663"/>
      <c r="P7" s="3662"/>
      <c r="Q7" s="3663"/>
      <c r="R7" s="3668"/>
      <c r="S7" s="3668"/>
      <c r="T7" s="3668"/>
      <c r="U7" s="3668"/>
      <c r="V7" s="3668"/>
      <c r="W7" s="3668"/>
      <c r="X7" s="3668"/>
      <c r="Y7" s="3668"/>
      <c r="Z7" s="3668"/>
      <c r="AA7" s="3668"/>
      <c r="AB7" s="3668"/>
      <c r="AC7" s="3668"/>
      <c r="AD7" s="3668"/>
      <c r="AE7" s="3668"/>
      <c r="AF7" s="3665"/>
    </row>
    <row r="8" spans="1:32" ht="15.5" thickBot="1">
      <c r="A8" s="3722" t="s">
        <v>132</v>
      </c>
      <c r="B8" s="3662">
        <v>3.8469962390928369E-2</v>
      </c>
      <c r="C8" s="3663">
        <f>GDP!AA548</f>
        <v>2.7210884353741527E-2</v>
      </c>
      <c r="D8" s="3662">
        <v>5.4724147493838915E-2</v>
      </c>
      <c r="E8" s="3663">
        <f>GDP!AB548</f>
        <v>7.8476821192053015E-2</v>
      </c>
      <c r="F8" s="3662">
        <v>4.5709418715275278E-2</v>
      </c>
      <c r="G8" s="3663">
        <f>GDP!AC548</f>
        <v>4.4212465459011252E-2</v>
      </c>
      <c r="H8" s="3662">
        <v>5.0030455860789601E-2</v>
      </c>
      <c r="I8" s="3663">
        <f>GDP!AD548</f>
        <v>4.322258159364889E-2</v>
      </c>
      <c r="J8" s="3662">
        <v>4.9980803024677591E-2</v>
      </c>
      <c r="K8" s="3663">
        <f>GDP!AE548</f>
        <v>-0.21166854565952653</v>
      </c>
      <c r="L8" s="3662">
        <v>5.8684838702487994E-2</v>
      </c>
      <c r="M8" s="3663">
        <f>GDP!AF548</f>
        <v>0.36181623167679655</v>
      </c>
      <c r="N8" s="3662">
        <v>6.0484865607053281E-2</v>
      </c>
      <c r="O8" s="3663">
        <f>GDP!AG548</f>
        <v>4.4631136781307923E-3</v>
      </c>
      <c r="P8" s="3662">
        <v>6.7362099005582723E-2</v>
      </c>
      <c r="Q8" s="3663">
        <f>GDP!AH548</f>
        <v>4.8876110820700536E-2</v>
      </c>
      <c r="R8" s="3664">
        <f>GDP!AI548</f>
        <v>3.2145527037129362E-2</v>
      </c>
      <c r="S8" s="3665">
        <v>4.6830242778839466E-2</v>
      </c>
      <c r="T8" s="3664">
        <f>GDP!AJ548</f>
        <v>6.8531117305283287E-2</v>
      </c>
      <c r="U8" s="3665">
        <v>4.7697092327412177E-2</v>
      </c>
      <c r="V8" s="3664">
        <f>GDP!AK548</f>
        <v>9.9180326843461328E-2</v>
      </c>
      <c r="W8" s="3665">
        <v>4.6878267665832016E-2</v>
      </c>
      <c r="X8" s="3664">
        <f>GDP!AL548</f>
        <v>8.701307473038547E-2</v>
      </c>
      <c r="Y8" s="3665">
        <v>4.8404324694376256E-2</v>
      </c>
      <c r="Z8" s="3664">
        <f>GDP!AM548</f>
        <v>7.4429807203637233E-2</v>
      </c>
      <c r="AA8" s="3665">
        <v>4.6789283586361023E-2</v>
      </c>
      <c r="AB8" s="3664">
        <f>GDP!AN548</f>
        <v>6.8559956828897817E-2</v>
      </c>
      <c r="AC8" s="3665">
        <v>4.8231532718744329E-2</v>
      </c>
      <c r="AD8" s="3664">
        <f>GDP!AO548</f>
        <v>8.1679384243461384E-2</v>
      </c>
      <c r="AE8" s="3666">
        <f t="shared" ref="AE8:AF45" si="0">AVERAGE(S8,U8,W8,Y8,AA8,AC8)</f>
        <v>4.7471790628594211E-2</v>
      </c>
      <c r="AF8" s="3667">
        <f t="shared" si="0"/>
        <v>7.9898944525854415E-2</v>
      </c>
    </row>
    <row r="9" spans="1:32">
      <c r="A9" s="3636" t="s">
        <v>48</v>
      </c>
      <c r="B9" s="3669">
        <v>2.9499320404275053E-2</v>
      </c>
      <c r="C9" s="3670">
        <f>GDP!AA549</f>
        <v>1.5184381778741818E-2</v>
      </c>
      <c r="D9" s="3669">
        <v>4.1611402569046156E-2</v>
      </c>
      <c r="E9" s="3670">
        <f>GDP!AB549</f>
        <v>9.935897435897445E-2</v>
      </c>
      <c r="F9" s="3669">
        <v>5.13667469402177E-2</v>
      </c>
      <c r="G9" s="3670">
        <f>GDP!AC549</f>
        <v>3.158406219630705E-2</v>
      </c>
      <c r="H9" s="3669">
        <v>5.5292181061028733E-2</v>
      </c>
      <c r="I9" s="3670">
        <f>GDP!AD549</f>
        <v>2.9203956665096564E-2</v>
      </c>
      <c r="J9" s="3669">
        <v>6.1317753737458507E-2</v>
      </c>
      <c r="K9" s="3670">
        <f>GDP!AE549</f>
        <v>-0.20457665903890165</v>
      </c>
      <c r="L9" s="3669">
        <v>6.4397252196454965E-2</v>
      </c>
      <c r="M9" s="3670">
        <f>GDP!AF549</f>
        <v>0.31703107019562715</v>
      </c>
      <c r="N9" s="3669">
        <v>6.6251177416360649E-2</v>
      </c>
      <c r="O9" s="3670">
        <f>GDP!AG549</f>
        <v>-2.0969855832241202E-2</v>
      </c>
      <c r="P9" s="3669">
        <v>7.1276651539333477E-2</v>
      </c>
      <c r="Q9" s="3670">
        <f>GDP!AH549</f>
        <v>5.4439982150825461E-2</v>
      </c>
      <c r="R9" s="3671">
        <f>GDP!AI549</f>
        <v>4.2319085907744913E-3</v>
      </c>
      <c r="S9" s="3672">
        <v>3.2877984951996377E-2</v>
      </c>
      <c r="T9" s="3671">
        <f>GDP!AJ549</f>
        <v>3.054792416545439E-2</v>
      </c>
      <c r="U9" s="3672">
        <v>3.3873779955544012E-2</v>
      </c>
      <c r="V9" s="3671">
        <f>GDP!AK549</f>
        <v>8.3873779955544014E-2</v>
      </c>
      <c r="W9" s="3672">
        <v>3.0003634260349521E-2</v>
      </c>
      <c r="X9" s="3671">
        <f>GDP!AL549</f>
        <v>8.9003634260349518E-2</v>
      </c>
      <c r="Y9" s="3672">
        <v>3.0439019498409128E-2</v>
      </c>
      <c r="Z9" s="3671">
        <f>GDP!AM549</f>
        <v>5.9439019498409129E-2</v>
      </c>
      <c r="AA9" s="3672">
        <v>3.0086794533862215E-2</v>
      </c>
      <c r="AB9" s="3671">
        <f>GDP!AN549</f>
        <v>4.1086794533862214E-2</v>
      </c>
      <c r="AC9" s="3672">
        <v>3.030891367368297E-2</v>
      </c>
      <c r="AD9" s="3671">
        <f>GDP!AO549</f>
        <v>6.6308913673682968E-2</v>
      </c>
      <c r="AE9" s="3673">
        <f t="shared" si="0"/>
        <v>3.1265021145640705E-2</v>
      </c>
      <c r="AF9" s="3674">
        <f t="shared" si="0"/>
        <v>6.171001101455037E-2</v>
      </c>
    </row>
    <row r="10" spans="1:32">
      <c r="A10" s="3723" t="s">
        <v>49</v>
      </c>
      <c r="B10" s="3669">
        <v>2.4416887002815191E-2</v>
      </c>
      <c r="C10" s="3670">
        <f>GDP!AA550</f>
        <v>2.3728813559322104E-2</v>
      </c>
      <c r="D10" s="3669">
        <v>0.1531257172222964</v>
      </c>
      <c r="E10" s="3670">
        <f>GDP!AB550</f>
        <v>1.3245033112582849E-2</v>
      </c>
      <c r="F10" s="3669">
        <v>7.2007725125246336E-2</v>
      </c>
      <c r="G10" s="3670">
        <f>GDP!AC550</f>
        <v>6.8627450980392135E-2</v>
      </c>
      <c r="H10" s="3669">
        <v>0.1099609138851345</v>
      </c>
      <c r="I10" s="3670">
        <f>GDP!AD550</f>
        <v>4.587155963302747E-2</v>
      </c>
      <c r="J10" s="3669">
        <v>5.829862931077396E-2</v>
      </c>
      <c r="K10" s="3670">
        <f>GDP!AE550</f>
        <v>-0.26608187134502925</v>
      </c>
      <c r="L10" s="3669">
        <v>0.1082169466013537</v>
      </c>
      <c r="M10" s="3670">
        <f>GDP!AF550</f>
        <v>0.43027888446215146</v>
      </c>
      <c r="N10" s="3669">
        <v>5.4741892728677272E-2</v>
      </c>
      <c r="O10" s="3670">
        <f>GDP!AG550</f>
        <v>-3.6211699164345412E-2</v>
      </c>
      <c r="P10" s="3669">
        <v>0.1032247489339284</v>
      </c>
      <c r="Q10" s="3670">
        <f>GDP!AH550</f>
        <v>-2.8901734104046506E-3</v>
      </c>
      <c r="R10" s="3671">
        <f>GDP!AI550</f>
        <v>2.0289855072463725E-2</v>
      </c>
      <c r="S10" s="3672">
        <v>6.5521043462685849E-2</v>
      </c>
      <c r="T10" s="3671">
        <f>GDP!AJ550</f>
        <v>0.26859177379462579</v>
      </c>
      <c r="U10" s="3672">
        <v>5.8919535202502427E-2</v>
      </c>
      <c r="V10" s="3671">
        <f>GDP!AK550</f>
        <v>4.1365240647296728E-2</v>
      </c>
      <c r="W10" s="3672">
        <v>5.716666065046104E-2</v>
      </c>
      <c r="X10" s="3671">
        <f>GDP!AL550</f>
        <v>3.9374694750462479E-2</v>
      </c>
      <c r="Y10" s="3672">
        <v>5.4426975872780212E-2</v>
      </c>
      <c r="Z10" s="3671">
        <f>GDP!AM550</f>
        <v>3.8005007473070493E-2</v>
      </c>
      <c r="AA10" s="3672">
        <v>5.2011573598814226E-2</v>
      </c>
      <c r="AB10" s="3671">
        <f>GDP!AN550</f>
        <v>7.0183334785760679E-2</v>
      </c>
      <c r="AC10" s="3672">
        <v>5.678310216209758E-2</v>
      </c>
      <c r="AD10" s="3671">
        <f>GDP!AO550</f>
        <v>2.7543358230363059E-2</v>
      </c>
      <c r="AE10" s="3673">
        <f t="shared" si="0"/>
        <v>5.7471481824890223E-2</v>
      </c>
      <c r="AF10" s="3674">
        <f t="shared" si="0"/>
        <v>8.0843901613596544E-2</v>
      </c>
    </row>
    <row r="11" spans="1:32">
      <c r="A11" s="3723" t="s">
        <v>55</v>
      </c>
      <c r="B11" s="3669">
        <v>9.6370424318251269E-2</v>
      </c>
      <c r="C11" s="3670">
        <f>GDP!AA551</f>
        <v>9.8484848484848397E-2</v>
      </c>
      <c r="D11" s="3669">
        <v>0.11</v>
      </c>
      <c r="E11" s="3670">
        <f>GDP!AB551</f>
        <v>8.9655172413793061E-2</v>
      </c>
      <c r="F11" s="3669">
        <v>9.9201384102027501E-2</v>
      </c>
      <c r="G11" s="3670">
        <f>GDP!AC551</f>
        <v>0.10759493670886067</v>
      </c>
      <c r="H11" s="3669">
        <v>9.1782603074505031E-2</v>
      </c>
      <c r="I11" s="3670">
        <f>GDP!AD551</f>
        <v>0.10857142857142854</v>
      </c>
      <c r="J11" s="3669">
        <v>8.5975593284855156E-2</v>
      </c>
      <c r="K11" s="3670">
        <f>GDP!AE551</f>
        <v>-0.17268041237113407</v>
      </c>
      <c r="L11" s="3669">
        <v>9.3060393851399192E-2</v>
      </c>
      <c r="M11" s="3670">
        <f>GDP!AF551</f>
        <v>0.38940809968847345</v>
      </c>
      <c r="N11" s="3669">
        <v>0.1225185236370343</v>
      </c>
      <c r="O11" s="3670">
        <f>GDP!AG551</f>
        <v>6.7264573991031362E-2</v>
      </c>
      <c r="P11" s="3669">
        <v>0.10738488056474416</v>
      </c>
      <c r="Q11" s="3670">
        <f>GDP!AH551</f>
        <v>7.1428571428571397E-2</v>
      </c>
      <c r="R11" s="3671">
        <f>GDP!AI551</f>
        <v>0.13921568627450975</v>
      </c>
      <c r="S11" s="3672">
        <v>7.7999999999999986E-2</v>
      </c>
      <c r="T11" s="3671">
        <f>GDP!AJ551</f>
        <v>9.9056603773584939E-2</v>
      </c>
      <c r="U11" s="3672">
        <v>8.2556173921760873E-2</v>
      </c>
      <c r="V11" s="3671">
        <f>GDP!AK551</f>
        <v>0.15327470703123419</v>
      </c>
      <c r="W11" s="3672">
        <v>9.2800107906210488E-2</v>
      </c>
      <c r="X11" s="3671">
        <f>GDP!AL551</f>
        <v>0.11574389212697507</v>
      </c>
      <c r="Y11" s="3672">
        <v>9.8142992025620268E-2</v>
      </c>
      <c r="Z11" s="3671">
        <f>GDP!AM551</f>
        <v>0.12682272230157599</v>
      </c>
      <c r="AA11" s="3672">
        <v>8.7874818463397897E-2</v>
      </c>
      <c r="AB11" s="3671">
        <f>GDP!AN551</f>
        <v>0.12372448130834254</v>
      </c>
      <c r="AC11" s="3672">
        <v>9.0343523079247381E-2</v>
      </c>
      <c r="AD11" s="3671">
        <f>GDP!AO551</f>
        <v>0.12989145069203195</v>
      </c>
      <c r="AE11" s="3673">
        <f t="shared" si="0"/>
        <v>8.8286269232706147E-2</v>
      </c>
      <c r="AF11" s="3674">
        <f t="shared" si="0"/>
        <v>0.12475230953895744</v>
      </c>
    </row>
    <row r="12" spans="1:32">
      <c r="A12" s="3723" t="s">
        <v>56</v>
      </c>
      <c r="B12" s="3669">
        <v>3.7588345070854956E-2</v>
      </c>
      <c r="C12" s="3670">
        <f>GDP!AA552</f>
        <v>3.7109375E-2</v>
      </c>
      <c r="D12" s="3669">
        <v>2.6666666666666668E-2</v>
      </c>
      <c r="E12" s="3670">
        <f>GDP!AB552</f>
        <v>3.2015065913370888E-2</v>
      </c>
      <c r="F12" s="3669">
        <v>-1.2321283273276751E-2</v>
      </c>
      <c r="G12" s="3670">
        <f>GDP!AC552</f>
        <v>4.3795620437956151E-2</v>
      </c>
      <c r="H12" s="3669">
        <v>-1.8124043780157639E-2</v>
      </c>
      <c r="I12" s="3670">
        <f>GDP!AD552</f>
        <v>5.7692307692307709E-2</v>
      </c>
      <c r="J12" s="3669">
        <v>-1.6301090734747614E-2</v>
      </c>
      <c r="K12" s="3670">
        <f>GDP!AE552</f>
        <v>-0.21983471074380168</v>
      </c>
      <c r="L12" s="3669">
        <v>-1.3281345193128069E-2</v>
      </c>
      <c r="M12" s="3670">
        <f>GDP!AF552</f>
        <v>0.39406779661016955</v>
      </c>
      <c r="N12" s="3669">
        <v>-1.346011360829813E-2</v>
      </c>
      <c r="O12" s="3670">
        <f>GDP!AG552</f>
        <v>6.990881458966558E-2</v>
      </c>
      <c r="P12" s="3669">
        <v>-1.0138941043935534E-2</v>
      </c>
      <c r="Q12" s="3670">
        <f>GDP!AH552</f>
        <v>5.3977272727272707E-2</v>
      </c>
      <c r="R12" s="3671">
        <f>GDP!AI552</f>
        <v>5.5256064690026863E-2</v>
      </c>
      <c r="S12" s="3672">
        <v>5.5E-2</v>
      </c>
      <c r="T12" s="3671">
        <f>GDP!AJ552</f>
        <v>5.6603773584905648E-2</v>
      </c>
      <c r="U12" s="3672">
        <v>5.7052072573916993E-2</v>
      </c>
      <c r="V12" s="3671">
        <f>GDP!AK552</f>
        <v>0.12596274444040806</v>
      </c>
      <c r="W12" s="3672">
        <v>5.5321352497804135E-2</v>
      </c>
      <c r="X12" s="3671">
        <f>GDP!AL552</f>
        <v>7.2949963860653319E-2</v>
      </c>
      <c r="Y12" s="3672">
        <v>5.5657372440436989E-2</v>
      </c>
      <c r="Z12" s="3671">
        <f>GDP!AM552</f>
        <v>7.7693136643998476E-2</v>
      </c>
      <c r="AA12" s="3672">
        <v>5.5757699378039538E-2</v>
      </c>
      <c r="AB12" s="3671">
        <f>GDP!AN552</f>
        <v>8.3302404632491375E-2</v>
      </c>
      <c r="AC12" s="3672">
        <v>5.594712422254941E-2</v>
      </c>
      <c r="AD12" s="3671">
        <f>GDP!AO552</f>
        <v>8.9977062394387811E-2</v>
      </c>
      <c r="AE12" s="3673">
        <f t="shared" si="0"/>
        <v>5.5789270185457852E-2</v>
      </c>
      <c r="AF12" s="3674">
        <f t="shared" si="0"/>
        <v>8.4414847592807443E-2</v>
      </c>
    </row>
    <row r="13" spans="1:32" ht="15.5" thickBot="1">
      <c r="A13" s="3724" t="s">
        <v>57</v>
      </c>
      <c r="B13" s="3669">
        <v>2.5737532619091397E-2</v>
      </c>
      <c r="C13" s="3670">
        <f>GDP!AA553</f>
        <v>9.0909090909090828E-2</v>
      </c>
      <c r="D13" s="3669">
        <v>0.03</v>
      </c>
      <c r="E13" s="3670">
        <f>GDP!AB553</f>
        <v>2.0833333333333259E-2</v>
      </c>
      <c r="F13" s="3669">
        <v>2.9128188406451361E-2</v>
      </c>
      <c r="G13" s="3670">
        <f>GDP!AC553</f>
        <v>6.1224489795918435E-2</v>
      </c>
      <c r="H13" s="3669">
        <v>2.8288573675180919E-2</v>
      </c>
      <c r="I13" s="3670">
        <f>GDP!AD553</f>
        <v>1.9230769230769162E-2</v>
      </c>
      <c r="J13" s="3669">
        <v>2.9138920693877426E-2</v>
      </c>
      <c r="K13" s="3670">
        <f>GDP!AE553</f>
        <v>-0.39622641509433965</v>
      </c>
      <c r="L13" s="3669">
        <v>2.8851894258503236E-2</v>
      </c>
      <c r="M13" s="3670">
        <f>GDP!AF553</f>
        <v>0.75</v>
      </c>
      <c r="N13" s="3669">
        <v>2.8759796209187196E-2</v>
      </c>
      <c r="O13" s="3670">
        <f>GDP!AG553</f>
        <v>0</v>
      </c>
      <c r="P13" s="3669">
        <v>2.8916870387189288E-2</v>
      </c>
      <c r="Q13" s="3670">
        <f>GDP!AH553</f>
        <v>-1.7857142857142905E-2</v>
      </c>
      <c r="R13" s="3671">
        <f>GDP!AI553</f>
        <v>-3.6363636363636376E-2</v>
      </c>
      <c r="S13" s="3672">
        <v>8.5000000000000006E-2</v>
      </c>
      <c r="T13" s="3671">
        <f>GDP!AJ553</f>
        <v>0.28205128205128216</v>
      </c>
      <c r="U13" s="3672">
        <v>4.9634105025409381E-2</v>
      </c>
      <c r="V13" s="3671">
        <f>GDP!AK553</f>
        <v>0.19556610056610058</v>
      </c>
      <c r="W13" s="3672">
        <v>4.9634105025409381E-2</v>
      </c>
      <c r="X13" s="3671">
        <f>GDP!AL553</f>
        <v>0.19556610056610058</v>
      </c>
      <c r="Y13" s="3672">
        <v>6.142273668360626E-2</v>
      </c>
      <c r="Z13" s="3671">
        <f>GDP!AM553</f>
        <v>0.22439449439449444</v>
      </c>
      <c r="AA13" s="3672">
        <v>5.3563648911475005E-2</v>
      </c>
      <c r="AB13" s="3671">
        <f>GDP!AN553</f>
        <v>0.20517556517556521</v>
      </c>
      <c r="AC13" s="3672">
        <v>5.487349687349688E-2</v>
      </c>
      <c r="AD13" s="3671">
        <f>GDP!AO553</f>
        <v>0.20837872004538674</v>
      </c>
      <c r="AE13" s="3673">
        <f t="shared" si="0"/>
        <v>5.9021348753232818E-2</v>
      </c>
      <c r="AF13" s="3674">
        <f t="shared" si="0"/>
        <v>0.21852204379982162</v>
      </c>
    </row>
    <row r="14" spans="1:32" ht="15.5" thickBot="1">
      <c r="A14" s="3725" t="s">
        <v>131</v>
      </c>
      <c r="B14" s="3675">
        <v>6.7964393426505287E-2</v>
      </c>
      <c r="C14" s="3676">
        <f>GDP!AA554</f>
        <v>6.6815144766146917E-2</v>
      </c>
      <c r="D14" s="3675">
        <v>4.7883604949254241E-2</v>
      </c>
      <c r="E14" s="3676">
        <f>GDP!AB554</f>
        <v>1.5031315240083609E-2</v>
      </c>
      <c r="F14" s="3675">
        <v>0.12364698689942989</v>
      </c>
      <c r="G14" s="3676">
        <f>GDP!AC554</f>
        <v>8.6795557383792632E-2</v>
      </c>
      <c r="H14" s="3675">
        <v>0.14248272530797865</v>
      </c>
      <c r="I14" s="3676">
        <f>GDP!AD554</f>
        <v>0.1650264950794853</v>
      </c>
      <c r="J14" s="3675">
        <v>0.1356898756751129</v>
      </c>
      <c r="K14" s="3676">
        <f>GDP!AE554</f>
        <v>-0.27647823261858351</v>
      </c>
      <c r="L14" s="3675">
        <v>0.14414809931565384</v>
      </c>
      <c r="M14" s="3676">
        <f>GDP!AF554</f>
        <v>0.39155814997754823</v>
      </c>
      <c r="N14" s="3675">
        <v>0.14753079193313307</v>
      </c>
      <c r="O14" s="3676">
        <f>GDP!AG554</f>
        <v>0.21555340432397552</v>
      </c>
      <c r="P14" s="3675">
        <v>0.14534312120730017</v>
      </c>
      <c r="Q14" s="3676">
        <f>GDP!AH554</f>
        <v>8.5479161136182702E-2</v>
      </c>
      <c r="R14" s="3677">
        <f>GDP!AI554</f>
        <v>7.5079481535827775E-2</v>
      </c>
      <c r="S14" s="3677">
        <v>9.8267152432604643E-2</v>
      </c>
      <c r="T14" s="3677">
        <f>GDP!AJ554</f>
        <v>8.8979071438280322E-2</v>
      </c>
      <c r="U14" s="3678">
        <v>0.12095090749792502</v>
      </c>
      <c r="V14" s="3677">
        <f>GDP!AK554</f>
        <v>7.3783752959577134E-2</v>
      </c>
      <c r="W14" s="3678">
        <v>0.12520928131203352</v>
      </c>
      <c r="X14" s="3677">
        <f>GDP!AL554</f>
        <v>7.4894868378878987E-2</v>
      </c>
      <c r="Y14" s="3678">
        <v>8.7274553317003969E-2</v>
      </c>
      <c r="Z14" s="3677">
        <f>GDP!AM554</f>
        <v>7.0652256165630659E-2</v>
      </c>
      <c r="AA14" s="3678">
        <v>8.4442564075951146E-2</v>
      </c>
      <c r="AB14" s="3677">
        <f>GDP!AN554</f>
        <v>6.9242208673604186E-2</v>
      </c>
      <c r="AC14" s="3678">
        <v>8.9896167094993318E-2</v>
      </c>
      <c r="AD14" s="3677">
        <f>GDP!AO554</f>
        <v>7.6317211523131132E-2</v>
      </c>
      <c r="AE14" s="3679">
        <f t="shared" si="0"/>
        <v>0.10100677095508526</v>
      </c>
      <c r="AF14" s="3680">
        <f t="shared" si="0"/>
        <v>7.564489485651707E-2</v>
      </c>
    </row>
    <row r="15" spans="1:32">
      <c r="A15" s="3653" t="s">
        <v>66</v>
      </c>
      <c r="B15" s="3669">
        <v>0.10435060663022511</v>
      </c>
      <c r="C15" s="3670">
        <f>GDP!AA555</f>
        <v>0.10878661087866104</v>
      </c>
      <c r="D15" s="3669">
        <v>0.11734694707578913</v>
      </c>
      <c r="E15" s="3670">
        <f>GDP!AB555</f>
        <v>0.19999999999999996</v>
      </c>
      <c r="F15" s="3669">
        <v>0.17951988118239609</v>
      </c>
      <c r="G15" s="3670">
        <f>GDP!AC555</f>
        <v>3.1446540880503138E-2</v>
      </c>
      <c r="H15" s="3669">
        <v>0.28652005414902887</v>
      </c>
      <c r="I15" s="3670">
        <f>GDP!AD555</f>
        <v>-9.1463414634146423E-3</v>
      </c>
      <c r="J15" s="3669">
        <v>0.3262225603558242</v>
      </c>
      <c r="K15" s="3670">
        <f>GDP!AE555</f>
        <v>-0.48615384615384616</v>
      </c>
      <c r="L15" s="3669">
        <v>0.30099999999999993</v>
      </c>
      <c r="M15" s="3670">
        <f>GDP!AF555</f>
        <v>0.4251497005988023</v>
      </c>
      <c r="N15" s="3669">
        <v>0.24799999999999991</v>
      </c>
      <c r="O15" s="3670">
        <f>GDP!AG555</f>
        <v>0.28151260504201692</v>
      </c>
      <c r="P15" s="3669">
        <v>0.18400000000000011</v>
      </c>
      <c r="Q15" s="3670">
        <f>GDP!AH555</f>
        <v>7.2131147540983598E-2</v>
      </c>
      <c r="R15" s="3671">
        <f>GDP!AI555</f>
        <v>8.256880733944949E-2</v>
      </c>
      <c r="S15" s="3681">
        <v>5.7823394869002391E-2</v>
      </c>
      <c r="T15" s="3681">
        <f>GDP!AJ555</f>
        <v>4.2580677243909071E-2</v>
      </c>
      <c r="U15" s="3672">
        <v>7.7982192090530061E-2</v>
      </c>
      <c r="V15" s="3681">
        <f>GDP!AK555</f>
        <v>7.7982192090530061E-2</v>
      </c>
      <c r="W15" s="3672">
        <v>7.7260478268159072E-2</v>
      </c>
      <c r="X15" s="3681">
        <f>GDP!AL555</f>
        <v>7.7260478268159072E-2</v>
      </c>
      <c r="Y15" s="3672">
        <v>0.10874103008762562</v>
      </c>
      <c r="Z15" s="3681">
        <f>GDP!AM555</f>
        <v>8.8741030087625614E-2</v>
      </c>
      <c r="AA15" s="3672">
        <v>0.1179025575568341</v>
      </c>
      <c r="AB15" s="3681">
        <f>GDP!AN555</f>
        <v>7.7902557556834104E-2</v>
      </c>
      <c r="AC15" s="3672">
        <v>0.1176498898259947</v>
      </c>
      <c r="AD15" s="3681">
        <f>GDP!AO555</f>
        <v>0.1176498898259947</v>
      </c>
      <c r="AE15" s="3673">
        <f t="shared" si="0"/>
        <v>9.2893257116357653E-2</v>
      </c>
      <c r="AF15" s="3674">
        <f t="shared" si="0"/>
        <v>8.0352804178842108E-2</v>
      </c>
    </row>
    <row r="16" spans="1:32">
      <c r="A16" s="3636" t="s">
        <v>67</v>
      </c>
      <c r="B16" s="3669">
        <v>6.6345132125471995E-2</v>
      </c>
      <c r="C16" s="3670">
        <f>GDP!AA556</f>
        <v>6.8322981366459645E-2</v>
      </c>
      <c r="D16" s="3669">
        <v>7.6198038425992515E-2</v>
      </c>
      <c r="E16" s="3670">
        <f>GDP!AB556</f>
        <v>6.3953488372092915E-2</v>
      </c>
      <c r="F16" s="3669">
        <v>6.2906868536433583E-2</v>
      </c>
      <c r="G16" s="3670">
        <f>GDP!AC556</f>
        <v>0.13661202185792343</v>
      </c>
      <c r="H16" s="3669">
        <v>8.2534095304114402E-2</v>
      </c>
      <c r="I16" s="3670">
        <f>GDP!AD556</f>
        <v>0.11153846153846159</v>
      </c>
      <c r="J16" s="3669">
        <v>9.8211167320703521E-2</v>
      </c>
      <c r="K16" s="3670">
        <f>GDP!AE556</f>
        <v>-0.22404844290657444</v>
      </c>
      <c r="L16" s="3669">
        <v>0.10457814647306056</v>
      </c>
      <c r="M16" s="3670">
        <f>GDP!AF556</f>
        <v>0.41806020066889626</v>
      </c>
      <c r="N16" s="3669">
        <v>0.11197172561309764</v>
      </c>
      <c r="O16" s="3670">
        <f>GDP!AG556</f>
        <v>9.2767295597484312E-2</v>
      </c>
      <c r="P16" s="3669">
        <v>0.12050790570825004</v>
      </c>
      <c r="Q16" s="3670">
        <f>GDP!AH556</f>
        <v>9.7122302158273444E-2</v>
      </c>
      <c r="R16" s="3671">
        <f>GDP!AI556</f>
        <v>6.1639344262295115E-2</v>
      </c>
      <c r="S16" s="3671">
        <v>7.5998318415705576E-2</v>
      </c>
      <c r="T16" s="3671">
        <f>GDP!AJ556</f>
        <v>4.9301575758418946E-2</v>
      </c>
      <c r="U16" s="3672">
        <v>8.5183903855267723E-2</v>
      </c>
      <c r="V16" s="3671">
        <f>GDP!AK556</f>
        <v>8.5944243209049698E-2</v>
      </c>
      <c r="W16" s="3672">
        <v>8.9563842101275312E-2</v>
      </c>
      <c r="X16" s="3671">
        <f>GDP!AL556</f>
        <v>8.3489848474953124E-2</v>
      </c>
      <c r="Y16" s="3672">
        <v>8.1894385960366273E-2</v>
      </c>
      <c r="Z16" s="3671">
        <f>GDP!AM556</f>
        <v>7.0252890849752336E-2</v>
      </c>
      <c r="AA16" s="3672">
        <v>8.6334749958740908E-2</v>
      </c>
      <c r="AB16" s="3671">
        <f>GDP!AN556</f>
        <v>6.7879164172297377E-2</v>
      </c>
      <c r="AC16" s="3672">
        <v>8.5906985714110207E-2</v>
      </c>
      <c r="AD16" s="3671">
        <f>GDP!AO556</f>
        <v>7.7831615238409715E-2</v>
      </c>
      <c r="AE16" s="3673">
        <f t="shared" si="0"/>
        <v>8.4147031000910991E-2</v>
      </c>
      <c r="AF16" s="3674">
        <f t="shared" si="0"/>
        <v>7.2449889617146865E-2</v>
      </c>
    </row>
    <row r="17" spans="1:33">
      <c r="A17" s="3654" t="s">
        <v>68</v>
      </c>
      <c r="B17" s="3682">
        <v>8.0925264235707672E-2</v>
      </c>
      <c r="C17" s="3683">
        <f>GDP!AA557</f>
        <v>8.3916083916083961E-2</v>
      </c>
      <c r="D17" s="3682">
        <v>8.9659245864641746E-2</v>
      </c>
      <c r="E17" s="3683">
        <f>GDP!AB557</f>
        <v>0.10967741935483866</v>
      </c>
      <c r="F17" s="3682">
        <v>4.8147421756966735E-2</v>
      </c>
      <c r="G17" s="3683">
        <f>GDP!AC557</f>
        <v>0.13953488372093026</v>
      </c>
      <c r="H17" s="3682">
        <v>6.1877180448664554E-2</v>
      </c>
      <c r="I17" s="3683">
        <f>GDP!AD557</f>
        <v>4.081632653061229E-2</v>
      </c>
      <c r="J17" s="3682">
        <v>8.5147284654837785E-2</v>
      </c>
      <c r="K17" s="3683">
        <f>GDP!AE557</f>
        <v>-0.2009803921568627</v>
      </c>
      <c r="L17" s="3682">
        <v>8.8400000000000006E-2</v>
      </c>
      <c r="M17" s="3683">
        <f>GDP!AF557</f>
        <v>0.79754601226993871</v>
      </c>
      <c r="N17" s="3682">
        <v>9.4400000000000012E-2</v>
      </c>
      <c r="O17" s="3683">
        <f>GDP!AG557</f>
        <v>0.13651877133105805</v>
      </c>
      <c r="P17" s="3682">
        <v>0.10340000000000001</v>
      </c>
      <c r="Q17" s="3683">
        <f>GDP!AH557</f>
        <v>0.12912912912912922</v>
      </c>
      <c r="R17" s="3684">
        <f>GDP!AI557</f>
        <v>1.8617021276595702E-2</v>
      </c>
      <c r="S17" s="3685">
        <v>5.9005692244037705E-2</v>
      </c>
      <c r="T17" s="3684">
        <f>GDP!AJ557</f>
        <v>6.4244329268309697E-2</v>
      </c>
      <c r="U17" s="3685">
        <v>5.1630578975549207E-2</v>
      </c>
      <c r="V17" s="3684">
        <f>GDP!AK557</f>
        <v>7.051443405377239E-2</v>
      </c>
      <c r="W17" s="3685">
        <v>4.9501998843192244E-2</v>
      </c>
      <c r="X17" s="3684">
        <f>GDP!AL557</f>
        <v>7.2808876740450973E-2</v>
      </c>
      <c r="Y17" s="3685">
        <v>4.9741460724125025E-2</v>
      </c>
      <c r="Z17" s="3684">
        <f>GDP!AM557</f>
        <v>5.9585438004294583E-2</v>
      </c>
      <c r="AA17" s="3685">
        <v>4.1297736993624212E-2</v>
      </c>
      <c r="AB17" s="3684">
        <f>GDP!AN557</f>
        <v>4.8777006005778431E-2</v>
      </c>
      <c r="AC17" s="3685">
        <v>4.1419902520525631E-2</v>
      </c>
      <c r="AD17" s="3684">
        <f>GDP!AO557</f>
        <v>6.005816593047375E-2</v>
      </c>
      <c r="AE17" s="3686">
        <f t="shared" si="0"/>
        <v>4.8766228383509004E-2</v>
      </c>
      <c r="AF17" s="3687">
        <f t="shared" si="0"/>
        <v>6.2664708333846644E-2</v>
      </c>
    </row>
    <row r="18" spans="1:33">
      <c r="A18" s="3654" t="s">
        <v>69</v>
      </c>
      <c r="B18" s="3682">
        <v>3.2728563927668652E-2</v>
      </c>
      <c r="C18" s="3683">
        <f>GDP!AA558</f>
        <v>3.3632286995515681E-2</v>
      </c>
      <c r="D18" s="3682">
        <v>3.9379756777190526E-3</v>
      </c>
      <c r="E18" s="3683">
        <f>GDP!AB558</f>
        <v>-8.2429501084598678E-2</v>
      </c>
      <c r="F18" s="3682">
        <v>4.1134528455747124E-2</v>
      </c>
      <c r="G18" s="3683">
        <f>GDP!AC558</f>
        <v>3.7825059101654901E-2</v>
      </c>
      <c r="H18" s="3682">
        <v>5.593368935371161E-2</v>
      </c>
      <c r="I18" s="3683">
        <f>GDP!AD558</f>
        <v>0.10933940774487461</v>
      </c>
      <c r="J18" s="3682">
        <v>6.3668731162392606E-2</v>
      </c>
      <c r="K18" s="3683">
        <f>GDP!AE558</f>
        <v>-0.22792607802874743</v>
      </c>
      <c r="L18" s="3682">
        <v>6.3578982990617108E-2</v>
      </c>
      <c r="M18" s="3683">
        <f>GDP!AF558</f>
        <v>9.3085106382978733E-2</v>
      </c>
      <c r="N18" s="3682">
        <v>7.1060467835573779E-2</v>
      </c>
      <c r="O18" s="3683">
        <f>GDP!AG558</f>
        <v>0.12408759124087587</v>
      </c>
      <c r="P18" s="3682">
        <v>7.6102727329527831E-2</v>
      </c>
      <c r="Q18" s="3683">
        <f>GDP!AH558</f>
        <v>-4.3290043290042934E-3</v>
      </c>
      <c r="R18" s="3684">
        <f>GDP!AI558</f>
        <v>5.6521739130434678E-2</v>
      </c>
      <c r="S18" s="3685">
        <v>3.2986455639210953E-2</v>
      </c>
      <c r="T18" s="3684">
        <f>GDP!AJ558</f>
        <v>3.8592573677519892E-2</v>
      </c>
      <c r="U18" s="3685">
        <v>5.2316695420379304E-2</v>
      </c>
      <c r="V18" s="3684">
        <f>GDP!AK558</f>
        <v>5.3718224929956537E-2</v>
      </c>
      <c r="W18" s="3685">
        <v>5.2316695420379297E-2</v>
      </c>
      <c r="X18" s="3684">
        <f>GDP!AL558</f>
        <v>5.3718224929956537E-2</v>
      </c>
      <c r="Y18" s="3685">
        <v>3.7962516256279985E-2</v>
      </c>
      <c r="Z18" s="3684">
        <f>GDP!AM558</f>
        <v>3.9644351667772672E-2</v>
      </c>
      <c r="AA18" s="3685">
        <v>4.6420820373336849E-2</v>
      </c>
      <c r="AB18" s="3684">
        <f>GDP!AN558</f>
        <v>4.8439022867128062E-2</v>
      </c>
      <c r="AC18" s="3685">
        <v>4.4400636621917275E-2</v>
      </c>
      <c r="AD18" s="3684">
        <f>GDP!AO558</f>
        <v>4.6822479614466742E-2</v>
      </c>
      <c r="AE18" s="3686">
        <f t="shared" si="0"/>
        <v>4.4400636621917282E-2</v>
      </c>
      <c r="AF18" s="3687">
        <f t="shared" si="0"/>
        <v>4.6822479614466735E-2</v>
      </c>
    </row>
    <row r="19" spans="1:33">
      <c r="A19" s="3654" t="s">
        <v>70</v>
      </c>
      <c r="B19" s="3682">
        <v>9.5525187247411436E-2</v>
      </c>
      <c r="C19" s="3683">
        <f>GDP!AA559</f>
        <v>0.15625</v>
      </c>
      <c r="D19" s="3682">
        <v>0.19237569471731858</v>
      </c>
      <c r="E19" s="3683">
        <f>GDP!AB559</f>
        <v>0.35135135135135132</v>
      </c>
      <c r="F19" s="3682">
        <v>0.10551710383909328</v>
      </c>
      <c r="G19" s="3683">
        <f>GDP!AC559</f>
        <v>0.62000000000000011</v>
      </c>
      <c r="H19" s="3682">
        <v>0.11113932860127444</v>
      </c>
      <c r="I19" s="3683">
        <f>GDP!AD559</f>
        <v>0.17283950617283961</v>
      </c>
      <c r="J19" s="3682">
        <v>0.12634404238589544</v>
      </c>
      <c r="K19" s="3683">
        <f>GDP!AE559</f>
        <v>-0.27368421052631575</v>
      </c>
      <c r="L19" s="3682">
        <v>0.1293334916087544</v>
      </c>
      <c r="M19" s="3683">
        <f>GDP!AF559</f>
        <v>0.43478260869565211</v>
      </c>
      <c r="N19" s="3682">
        <v>0.14227228753197477</v>
      </c>
      <c r="O19" s="3683">
        <f>GDP!AG559</f>
        <v>0.10101010101010099</v>
      </c>
      <c r="P19" s="3682">
        <v>0.15264994050887487</v>
      </c>
      <c r="Q19" s="3683">
        <f>GDP!AH559</f>
        <v>0.13761467889908263</v>
      </c>
      <c r="R19" s="3684">
        <f>GDP!AI559</f>
        <v>9.6774193548387011E-2</v>
      </c>
      <c r="S19" s="3685">
        <v>2.7410568017370851E-2</v>
      </c>
      <c r="T19" s="3684">
        <f>GDP!AJ559</f>
        <v>-3.7619088939704004E-2</v>
      </c>
      <c r="U19" s="3685">
        <v>8.7266480154946827E-2</v>
      </c>
      <c r="V19" s="3684">
        <f>GDP!AK559</f>
        <v>6.558992783592188E-2</v>
      </c>
      <c r="W19" s="3685">
        <v>7.0483747240234887E-2</v>
      </c>
      <c r="X19" s="3684">
        <f>GDP!AL559</f>
        <v>4.1581677481534962E-2</v>
      </c>
      <c r="Y19" s="3685">
        <v>8.3909933572004436E-2</v>
      </c>
      <c r="Z19" s="3684">
        <f>GDP!AM559</f>
        <v>6.0788277765044495E-2</v>
      </c>
      <c r="AA19" s="3685">
        <v>8.0553386989062045E-2</v>
      </c>
      <c r="AB19" s="3684">
        <f>GDP!AN559</f>
        <v>5.5986627694167117E-2</v>
      </c>
      <c r="AC19" s="3685">
        <v>7.8315689267100461E-2</v>
      </c>
      <c r="AD19" s="3684">
        <f>GDP!AO559</f>
        <v>5.2785527646915527E-2</v>
      </c>
      <c r="AE19" s="3686">
        <f t="shared" si="0"/>
        <v>7.1323300873453246E-2</v>
      </c>
      <c r="AF19" s="3687">
        <f t="shared" si="0"/>
        <v>3.9852158247313328E-2</v>
      </c>
    </row>
    <row r="20" spans="1:33">
      <c r="A20" s="3654" t="s">
        <v>71</v>
      </c>
      <c r="B20" s="3682">
        <v>0.10625775699220252</v>
      </c>
      <c r="C20" s="3683">
        <f>GDP!AA560</f>
        <v>0.12000000000000011</v>
      </c>
      <c r="D20" s="3682">
        <v>0.14732902396622832</v>
      </c>
      <c r="E20" s="3683">
        <f>GDP!AB560</f>
        <v>-7.1428571428571397E-2</v>
      </c>
      <c r="F20" s="3682">
        <v>0.11535281391140927</v>
      </c>
      <c r="G20" s="3683">
        <f>GDP!AC560</f>
        <v>0.11538461538461542</v>
      </c>
      <c r="H20" s="3682">
        <v>0.1189753242762837</v>
      </c>
      <c r="I20" s="3683">
        <f>GDP!AD560</f>
        <v>0.27586206896551735</v>
      </c>
      <c r="J20" s="3682">
        <v>0.12197872978653096</v>
      </c>
      <c r="K20" s="3683">
        <f>GDP!AE560</f>
        <v>-0.29729729729729726</v>
      </c>
      <c r="L20" s="3682">
        <v>0.12590897298511305</v>
      </c>
      <c r="M20" s="3683">
        <f>GDP!AF560</f>
        <v>0.65384615384615374</v>
      </c>
      <c r="N20" s="3682">
        <v>0.12055396023983425</v>
      </c>
      <c r="O20" s="3683">
        <f>GDP!AG560</f>
        <v>0.32558139534883712</v>
      </c>
      <c r="P20" s="3682">
        <v>0.12185424682194049</v>
      </c>
      <c r="Q20" s="3683">
        <f>GDP!AH560</f>
        <v>0.17543859649122817</v>
      </c>
      <c r="R20" s="3684">
        <f>GDP!AI560</f>
        <v>0.16417910447761197</v>
      </c>
      <c r="S20" s="3685">
        <v>0.14166018514138323</v>
      </c>
      <c r="T20" s="3684">
        <f>GDP!AJ560</f>
        <v>2.7853564935027775E-2</v>
      </c>
      <c r="U20" s="3685">
        <v>0.20171482036476512</v>
      </c>
      <c r="V20" s="3684">
        <f>GDP!AK560</f>
        <v>0.17326316531317626</v>
      </c>
      <c r="W20" s="3685">
        <v>0.17074817661874714</v>
      </c>
      <c r="X20" s="3684">
        <f>GDP!AL560</f>
        <v>0.13518360780426103</v>
      </c>
      <c r="Y20" s="3685">
        <v>0.16957557165062687</v>
      </c>
      <c r="Z20" s="3684">
        <f>GDP!AM560</f>
        <v>0.12511986063251926</v>
      </c>
      <c r="AA20" s="3685">
        <v>0.17092468844388059</v>
      </c>
      <c r="AB20" s="3684">
        <f>GDP!AN560</f>
        <v>0.11535504967124607</v>
      </c>
      <c r="AC20" s="3685">
        <v>0.16824081426950493</v>
      </c>
      <c r="AD20" s="3684">
        <f>GDP!AO560</f>
        <v>0.13723042085530066</v>
      </c>
      <c r="AE20" s="3686">
        <f t="shared" si="0"/>
        <v>0.17047737608148464</v>
      </c>
      <c r="AF20" s="3687">
        <f t="shared" si="0"/>
        <v>0.11900094486858852</v>
      </c>
    </row>
    <row r="21" spans="1:33">
      <c r="A21" s="3654" t="s">
        <v>72</v>
      </c>
      <c r="B21" s="3682">
        <v>5.0368884230656441E-2</v>
      </c>
      <c r="C21" s="3683">
        <f>GDP!AA561</f>
        <v>2.2727272727272707E-2</v>
      </c>
      <c r="D21" s="3682">
        <v>0.24843644655160221</v>
      </c>
      <c r="E21" s="3683">
        <f>GDP!AB561</f>
        <v>0.33333333333333326</v>
      </c>
      <c r="F21" s="3682">
        <v>0.10395931073873721</v>
      </c>
      <c r="G21" s="3683">
        <f>GDP!AC561</f>
        <v>0.21666666666666656</v>
      </c>
      <c r="H21" s="3682">
        <v>0.13388558901020128</v>
      </c>
      <c r="I21" s="3683">
        <f>GDP!AD561</f>
        <v>0.28767123287671237</v>
      </c>
      <c r="J21" s="3682">
        <v>0.14416255763279931</v>
      </c>
      <c r="K21" s="3683">
        <f>GDP!AE561</f>
        <v>-0.21276595744680848</v>
      </c>
      <c r="L21" s="3682">
        <v>0.15761097598333501</v>
      </c>
      <c r="M21" s="3683">
        <f>GDP!AF561</f>
        <v>0.71621621621621623</v>
      </c>
      <c r="N21" s="3682">
        <v>0.16490460834126822</v>
      </c>
      <c r="O21" s="3683">
        <f>GDP!AG561</f>
        <v>-4.7244094488189003E-2</v>
      </c>
      <c r="P21" s="3682">
        <v>0.17014093274190095</v>
      </c>
      <c r="Q21" s="3683">
        <f>GDP!AH561</f>
        <v>0.42975206611570238</v>
      </c>
      <c r="R21" s="3684">
        <f>GDP!AI561</f>
        <v>8.092485549132955E-2</v>
      </c>
      <c r="S21" s="3685">
        <v>0.14207140914116329</v>
      </c>
      <c r="T21" s="3684">
        <f>GDP!AJ561</f>
        <v>7.1424896577609864E-3</v>
      </c>
      <c r="U21" s="3685">
        <v>0.15137605906500157</v>
      </c>
      <c r="V21" s="3684">
        <f>GDP!AK561</f>
        <v>0.11764382919415098</v>
      </c>
      <c r="W21" s="3685">
        <v>0.20103109745329917</v>
      </c>
      <c r="X21" s="3684">
        <f>GDP!AL561</f>
        <v>0.15886581011473597</v>
      </c>
      <c r="Y21" s="3685">
        <v>0.14385085528769839</v>
      </c>
      <c r="Z21" s="3684">
        <f>GDP!AM561</f>
        <v>9.1144246114494371E-2</v>
      </c>
      <c r="AA21" s="3685">
        <v>0.1595823552367906</v>
      </c>
      <c r="AB21" s="3684">
        <f>GDP!AN561</f>
        <v>9.3699093770285569E-2</v>
      </c>
      <c r="AC21" s="3685">
        <v>0.16396009176069742</v>
      </c>
      <c r="AD21" s="3684">
        <f>GDP!AO561</f>
        <v>0.11533824479841671</v>
      </c>
      <c r="AE21" s="3686">
        <f t="shared" si="0"/>
        <v>0.16031197799077504</v>
      </c>
      <c r="AF21" s="3687">
        <f t="shared" si="0"/>
        <v>9.7305618941640762E-2</v>
      </c>
    </row>
    <row r="22" spans="1:33">
      <c r="A22" s="3654" t="s">
        <v>73</v>
      </c>
      <c r="B22" s="3682">
        <v>0.21130448639388955</v>
      </c>
      <c r="C22" s="3683">
        <f>GDP!AA562</f>
        <v>0.22641509433962259</v>
      </c>
      <c r="D22" s="3682">
        <v>5.5000000000000007E-2</v>
      </c>
      <c r="E22" s="3683">
        <f>GDP!AB562</f>
        <v>9.2307692307692202E-2</v>
      </c>
      <c r="F22" s="3682">
        <v>7.712315539510782E-2</v>
      </c>
      <c r="G22" s="3683">
        <f>GDP!AC562</f>
        <v>9.8591549295774739E-2</v>
      </c>
      <c r="H22" s="3682">
        <v>0.11112315539510784</v>
      </c>
      <c r="I22" s="3683">
        <f>GDP!AD562</f>
        <v>0.19230769230769229</v>
      </c>
      <c r="J22" s="3682">
        <v>0.13035345196330628</v>
      </c>
      <c r="K22" s="3683">
        <f>GDP!AE562</f>
        <v>-0.22580645161290325</v>
      </c>
      <c r="L22" s="3682">
        <v>0.14698084982948229</v>
      </c>
      <c r="M22" s="3683">
        <f>GDP!AF562</f>
        <v>0.41666666666666674</v>
      </c>
      <c r="N22" s="3682">
        <v>0.15411612251660084</v>
      </c>
      <c r="O22" s="3683">
        <f>GDP!AG562</f>
        <v>7.8431372549019551E-2</v>
      </c>
      <c r="P22" s="3682">
        <v>0.168939347019921</v>
      </c>
      <c r="Q22" s="3683">
        <f>GDP!AH562</f>
        <v>0.15454545454545454</v>
      </c>
      <c r="R22" s="3684">
        <f>GDP!AI562</f>
        <v>-3.9370078740157521E-2</v>
      </c>
      <c r="S22" s="3685">
        <v>0.12386094936038836</v>
      </c>
      <c r="T22" s="3684">
        <f>GDP!AJ562</f>
        <v>9.9687137616490507E-2</v>
      </c>
      <c r="U22" s="3685">
        <v>8.5232669977723607E-2</v>
      </c>
      <c r="V22" s="3684">
        <f>GDP!AK562</f>
        <v>0.14199211052749477</v>
      </c>
      <c r="W22" s="3685">
        <v>8.0540073538485718E-2</v>
      </c>
      <c r="X22" s="3684">
        <f>GDP!AL562</f>
        <v>8.7057199299660368E-2</v>
      </c>
      <c r="Y22" s="3685">
        <v>8.0961813736378938E-2</v>
      </c>
      <c r="Z22" s="3684">
        <f>GDP!AM562</f>
        <v>8.8782364649788531E-2</v>
      </c>
      <c r="AA22" s="3685">
        <v>8.6245085574563826E-2</v>
      </c>
      <c r="AB22" s="3684">
        <f>GDP!AN562</f>
        <v>7.5629746670655335E-2</v>
      </c>
      <c r="AC22" s="3685">
        <v>9.1368118437508097E-2</v>
      </c>
      <c r="AD22" s="3684">
        <f>GDP!AO562</f>
        <v>9.8629711752817914E-2</v>
      </c>
      <c r="AE22" s="3686">
        <f t="shared" si="0"/>
        <v>9.1368118437508097E-2</v>
      </c>
      <c r="AF22" s="3687">
        <f t="shared" si="0"/>
        <v>9.8629711752817914E-2</v>
      </c>
    </row>
    <row r="23" spans="1:33">
      <c r="A23" s="3654" t="s">
        <v>74</v>
      </c>
      <c r="B23" s="3682">
        <v>0.16025509017423767</v>
      </c>
      <c r="C23" s="3683">
        <f>GDP!AA563</f>
        <v>0.13513513513513509</v>
      </c>
      <c r="D23" s="3682">
        <v>0.02</v>
      </c>
      <c r="E23" s="3683">
        <f>GDP!AB563</f>
        <v>0.11904761904761907</v>
      </c>
      <c r="F23" s="3682">
        <v>6.0127545087118831E-2</v>
      </c>
      <c r="G23" s="3683">
        <f>GDP!AC563</f>
        <v>0.2127659574468086</v>
      </c>
      <c r="H23" s="3682">
        <v>9.006377254355942E-2</v>
      </c>
      <c r="I23" s="3683">
        <f>GDP!AD563</f>
        <v>0.21052631578947367</v>
      </c>
      <c r="J23" s="3682">
        <v>0.10509565881533912</v>
      </c>
      <c r="K23" s="3683">
        <f>GDP!AE563</f>
        <v>-0.11594202898550721</v>
      </c>
      <c r="L23" s="3682">
        <v>0.11757971567944928</v>
      </c>
      <c r="M23" s="3683">
        <f>GDP!AF563</f>
        <v>0.21311475409836067</v>
      </c>
      <c r="N23" s="3682">
        <v>0.1213376872473942</v>
      </c>
      <c r="O23" s="3683">
        <f>GDP!AG563</f>
        <v>0.14864864864864868</v>
      </c>
      <c r="P23" s="3682">
        <v>0.12945870146342175</v>
      </c>
      <c r="Q23" s="3683">
        <f>GDP!AH563</f>
        <v>0.14117647058823524</v>
      </c>
      <c r="R23" s="3684">
        <f>GDP!AI563</f>
        <v>0.21649484536082464</v>
      </c>
      <c r="S23" s="3685">
        <v>0.14453355018770428</v>
      </c>
      <c r="T23" s="3684">
        <f>GDP!AJ563</f>
        <v>5.7157198663192244E-2</v>
      </c>
      <c r="U23" s="3685">
        <v>0.16271337869635322</v>
      </c>
      <c r="V23" s="3684">
        <f>GDP!AK563</f>
        <v>0.1408692908152252</v>
      </c>
      <c r="W23" s="3685">
        <v>0.16622956120827936</v>
      </c>
      <c r="X23" s="3684">
        <f>GDP!AL563</f>
        <v>0.13892445135686932</v>
      </c>
      <c r="Y23" s="3685">
        <v>0.1724928338632904</v>
      </c>
      <c r="Z23" s="3684">
        <f>GDP!AM563</f>
        <v>0.13836144654902785</v>
      </c>
      <c r="AA23" s="3685">
        <v>0.16149233098890681</v>
      </c>
      <c r="AB23" s="3684">
        <f>GDP!AN563</f>
        <v>0.11882809684607865</v>
      </c>
      <c r="AC23" s="3685">
        <v>0.12573202618920742</v>
      </c>
      <c r="AD23" s="3684">
        <f>GDP!AO563</f>
        <v>0.13424582139180025</v>
      </c>
      <c r="AE23" s="3686">
        <f t="shared" si="0"/>
        <v>0.1555322801889569</v>
      </c>
      <c r="AF23" s="3687">
        <f t="shared" si="0"/>
        <v>0.12139771760369893</v>
      </c>
    </row>
    <row r="24" spans="1:33">
      <c r="A24" s="3654" t="s">
        <v>75</v>
      </c>
      <c r="B24" s="3682">
        <v>-9.7434046312110612E-2</v>
      </c>
      <c r="C24" s="3683">
        <f>GDP!AA564</f>
        <v>-9.4736842105263119E-2</v>
      </c>
      <c r="D24" s="3682">
        <v>-1.9999999999999997E-2</v>
      </c>
      <c r="E24" s="3683">
        <f>GDP!AB564</f>
        <v>0.12790697674418605</v>
      </c>
      <c r="F24" s="3682">
        <v>4.4583371891486874E-2</v>
      </c>
      <c r="G24" s="3683">
        <f>GDP!AC564</f>
        <v>9.2783505154639068E-2</v>
      </c>
      <c r="H24" s="3682">
        <v>8.3148103723175687E-2</v>
      </c>
      <c r="I24" s="3683">
        <f>GDP!AD564</f>
        <v>2.8301886792452935E-2</v>
      </c>
      <c r="J24" s="3682">
        <v>0.10257435732563799</v>
      </c>
      <c r="K24" s="3683">
        <f>GDP!AE564</f>
        <v>-0.2844036697247706</v>
      </c>
      <c r="L24" s="3682">
        <v>0.10757645823507514</v>
      </c>
      <c r="M24" s="3683">
        <f>GDP!AF564</f>
        <v>0.62820512820512819</v>
      </c>
      <c r="N24" s="3682">
        <v>0.11447057279384393</v>
      </c>
      <c r="O24" s="3683">
        <f>GDP!AG564</f>
        <v>-0.11023622047244097</v>
      </c>
      <c r="P24" s="3682">
        <v>0.1219423730194332</v>
      </c>
      <c r="Q24" s="3683">
        <f>GDP!AH564</f>
        <v>-7.0796460176991149E-2</v>
      </c>
      <c r="R24" s="3684">
        <f>GDP!AI564</f>
        <v>4.7619047619047672E-2</v>
      </c>
      <c r="S24" s="3685">
        <v>0.09</v>
      </c>
      <c r="T24" s="3684">
        <f>GDP!AJ564</f>
        <v>0.16508431335673412</v>
      </c>
      <c r="U24" s="3685">
        <v>4.2045033053142333E-2</v>
      </c>
      <c r="V24" s="3684">
        <f>GDP!AK564</f>
        <v>6.9384945277553928E-2</v>
      </c>
      <c r="W24" s="3685">
        <v>3.2504817087470807E-2</v>
      </c>
      <c r="X24" s="3684">
        <f>GDP!AL564</f>
        <v>6.2882497336817014E-2</v>
      </c>
      <c r="Y24" s="3685">
        <v>2.580718508000767E-2</v>
      </c>
      <c r="Z24" s="3684">
        <f>GDP!AM564</f>
        <v>5.9560163134836794E-2</v>
      </c>
      <c r="AA24" s="3685">
        <v>2.5529996000847086E-2</v>
      </c>
      <c r="AB24" s="3684">
        <f>GDP!AN564</f>
        <v>6.3033304950657232E-2</v>
      </c>
      <c r="AC24" s="3685">
        <v>3.1471757805366971E-2</v>
      </c>
      <c r="AD24" s="3684">
        <f>GDP!AO564</f>
        <v>6.3715227674966249E-2</v>
      </c>
      <c r="AE24" s="3686">
        <f t="shared" si="0"/>
        <v>4.1226464837805815E-2</v>
      </c>
      <c r="AF24" s="3687">
        <f t="shared" si="0"/>
        <v>8.0610075288594221E-2</v>
      </c>
    </row>
    <row r="25" spans="1:33">
      <c r="A25" s="3636" t="s">
        <v>76</v>
      </c>
      <c r="B25" s="3669">
        <v>0.15829884952005191</v>
      </c>
      <c r="C25" s="3670">
        <f>GDP!AA565</f>
        <v>0.14999999999999991</v>
      </c>
      <c r="D25" s="3669">
        <v>5.5E-2</v>
      </c>
      <c r="E25" s="3670">
        <f>GDP!AB565</f>
        <v>7.2463768115942129E-2</v>
      </c>
      <c r="F25" s="3669">
        <v>0.119182287455039</v>
      </c>
      <c r="G25" s="3670">
        <f>GDP!AC565</f>
        <v>9.4594594594594517E-2</v>
      </c>
      <c r="H25" s="3669">
        <v>0.119182287455039</v>
      </c>
      <c r="I25" s="3670">
        <f>GDP!AD565</f>
        <v>8.6419753086419693E-2</v>
      </c>
      <c r="J25" s="3669">
        <v>0.119182287455039</v>
      </c>
      <c r="K25" s="3670">
        <f>GDP!AE565</f>
        <v>-0.23863636363636365</v>
      </c>
      <c r="L25" s="3669">
        <v>0.119182287455039</v>
      </c>
      <c r="M25" s="3670">
        <f>GDP!AF565</f>
        <v>0.47761194029850751</v>
      </c>
      <c r="N25" s="3669">
        <v>0.119182287455039</v>
      </c>
      <c r="O25" s="3670">
        <f>GDP!AG565</f>
        <v>0.14141414141414144</v>
      </c>
      <c r="P25" s="3669">
        <v>0.119182287455039</v>
      </c>
      <c r="Q25" s="3670">
        <f>GDP!AH565</f>
        <v>7.9646017699114946E-2</v>
      </c>
      <c r="R25" s="3671">
        <f>GDP!AI565</f>
        <v>0.20491803278688514</v>
      </c>
      <c r="S25" s="3672">
        <v>9.2312089440649947E-2</v>
      </c>
      <c r="T25" s="3671">
        <f>GDP!AJ565</f>
        <v>0.10743087903154969</v>
      </c>
      <c r="U25" s="3672">
        <v>0.12562537997555001</v>
      </c>
      <c r="V25" s="3671">
        <f>GDP!AK565</f>
        <v>0.13066497650584993</v>
      </c>
      <c r="W25" s="3672">
        <v>0.14095183406769504</v>
      </c>
      <c r="X25" s="3671">
        <f>GDP!AL565</f>
        <v>0.14767129610809493</v>
      </c>
      <c r="Y25" s="3672">
        <v>0.11962976782796501</v>
      </c>
      <c r="Z25" s="3671">
        <f>GDP!AM565</f>
        <v>0.1285890505484982</v>
      </c>
      <c r="AA25" s="3672">
        <v>0.1287356606237367</v>
      </c>
      <c r="AB25" s="3671">
        <f>GDP!AN565</f>
        <v>0.13564177438748104</v>
      </c>
      <c r="AC25" s="3672">
        <v>0.12977242083979892</v>
      </c>
      <c r="AD25" s="3671">
        <f>GDP!AO565</f>
        <v>0.13730070701469141</v>
      </c>
      <c r="AE25" s="3673">
        <f t="shared" si="0"/>
        <v>0.12283785879589927</v>
      </c>
      <c r="AF25" s="3674">
        <f t="shared" si="0"/>
        <v>0.13121644726602755</v>
      </c>
    </row>
    <row r="26" spans="1:33">
      <c r="A26" s="3636" t="s">
        <v>77</v>
      </c>
      <c r="B26" s="3669">
        <v>5.2618697318082663E-2</v>
      </c>
      <c r="C26" s="3670">
        <f>GDP!AA566</f>
        <v>7.1428571428571397E-2</v>
      </c>
      <c r="D26" s="3669">
        <v>4.4289230534622546E-2</v>
      </c>
      <c r="E26" s="3670">
        <f>GDP!AB566</f>
        <v>0</v>
      </c>
      <c r="F26" s="3669">
        <v>6.5789420840199897E-2</v>
      </c>
      <c r="G26" s="3670">
        <f>GDP!AC566</f>
        <v>3.3333333333333437E-2</v>
      </c>
      <c r="H26" s="3669">
        <v>6.5789420840199897E-2</v>
      </c>
      <c r="I26" s="3670">
        <f>GDP!AD566</f>
        <v>1.6129032258064502E-2</v>
      </c>
      <c r="J26" s="3669">
        <v>6.5789420840199897E-2</v>
      </c>
      <c r="K26" s="3670">
        <f>GDP!AE566</f>
        <v>-0.23809523809523814</v>
      </c>
      <c r="L26" s="3669">
        <v>6.5789420840199897E-2</v>
      </c>
      <c r="M26" s="3670">
        <f>GDP!AF566</f>
        <v>0.4375</v>
      </c>
      <c r="N26" s="3669">
        <v>6.5789420840199897E-2</v>
      </c>
      <c r="O26" s="3670">
        <f>GDP!AG566</f>
        <v>4.3478260869565188E-2</v>
      </c>
      <c r="P26" s="3669">
        <v>6.5789420840199897E-2</v>
      </c>
      <c r="Q26" s="3670">
        <f>GDP!AH566</f>
        <v>2.7777777777777679E-2</v>
      </c>
      <c r="R26" s="3671">
        <f>GDP!AI566</f>
        <v>5.4054054054053946E-2</v>
      </c>
      <c r="S26" s="3672">
        <v>4.0215110698268886E-2</v>
      </c>
      <c r="T26" s="3671">
        <f>GDP!AJ566</f>
        <v>0.10633653340086235</v>
      </c>
      <c r="U26" s="3672">
        <v>4.0682314176700173E-2</v>
      </c>
      <c r="V26" s="3671">
        <f>GDP!AK566</f>
        <v>6.2722788410897998E-2</v>
      </c>
      <c r="W26" s="3672">
        <v>4.4983826309674339E-2</v>
      </c>
      <c r="X26" s="3671">
        <f>GDP!AL566</f>
        <v>7.4371125288604775E-2</v>
      </c>
      <c r="Y26" s="3672">
        <v>4.1960417061547801E-2</v>
      </c>
      <c r="Z26" s="3671">
        <f>GDP!AM566</f>
        <v>8.114348236678838E-2</v>
      </c>
      <c r="AA26" s="3672">
        <v>4.254218584930744E-2</v>
      </c>
      <c r="AB26" s="3671">
        <f>GDP!AN566</f>
        <v>7.2745798688763727E-2</v>
      </c>
      <c r="AC26" s="3672">
        <v>4.3162143073509858E-2</v>
      </c>
      <c r="AD26" s="3671">
        <f>GDP!AO566</f>
        <v>7.6086802114718965E-2</v>
      </c>
      <c r="AE26" s="3673">
        <f t="shared" si="0"/>
        <v>4.2257666194834752E-2</v>
      </c>
      <c r="AF26" s="3674">
        <f t="shared" si="0"/>
        <v>7.8901088378439371E-2</v>
      </c>
    </row>
    <row r="27" spans="1:33" s="1510" customFormat="1" ht="12.65" customHeight="1" thickBot="1">
      <c r="A27" s="3636" t="s">
        <v>35</v>
      </c>
      <c r="B27" s="3688">
        <v>4.8881873569930789E-2</v>
      </c>
      <c r="C27" s="3689">
        <f>GDP!AA567</f>
        <v>4.8050770625566619E-2</v>
      </c>
      <c r="D27" s="3688">
        <v>2.4620315779229837E-3</v>
      </c>
      <c r="E27" s="3689">
        <f>GDP!AB567</f>
        <v>-9.7750865051903113E-2</v>
      </c>
      <c r="F27" s="3688">
        <v>0.15922192004121971</v>
      </c>
      <c r="G27" s="3689">
        <f>GDP!AC567</f>
        <v>4.4103547459252157E-2</v>
      </c>
      <c r="H27" s="3688">
        <v>0.14358121543815516</v>
      </c>
      <c r="I27" s="3689">
        <f>GDP!AD567</f>
        <v>0.32690541781450877</v>
      </c>
      <c r="J27" s="3688">
        <v>9.031290479669779E-2</v>
      </c>
      <c r="K27" s="3689">
        <f>GDP!AE567</f>
        <v>-0.28927335640138407</v>
      </c>
      <c r="L27" s="3688">
        <v>0.10193562720648688</v>
      </c>
      <c r="M27" s="3689">
        <f>GDP!AF567</f>
        <v>0.38461538461538458</v>
      </c>
      <c r="N27" s="3688">
        <v>0.12225576165394413</v>
      </c>
      <c r="O27" s="3689">
        <f>GDP!AG567</f>
        <v>0.32700421940928259</v>
      </c>
      <c r="P27" s="3688">
        <v>0.14560001823881583</v>
      </c>
      <c r="Q27" s="3689">
        <f>GDP!AH567</f>
        <v>8.0551139374668734E-2</v>
      </c>
      <c r="R27" s="3690">
        <f>GDP!AI567</f>
        <v>7.846983815595876E-2</v>
      </c>
      <c r="S27" s="3691">
        <v>0.12313096271615964</v>
      </c>
      <c r="T27" s="3690">
        <f>GDP!AJ567</f>
        <v>0.12331632483972341</v>
      </c>
      <c r="U27" s="3691">
        <v>0.15502711530261454</v>
      </c>
      <c r="V27" s="3690">
        <f>GDP!AK567</f>
        <v>6.1431038158014838E-2</v>
      </c>
      <c r="W27" s="3691">
        <v>0.15699369517161527</v>
      </c>
      <c r="X27" s="3690">
        <f>GDP!AL567</f>
        <v>6.3397618027015545E-2</v>
      </c>
      <c r="Y27" s="3691">
        <v>8.6993695171615246E-2</v>
      </c>
      <c r="Z27" s="3690">
        <f>GDP!AM567</f>
        <v>6.3397618027015545E-2</v>
      </c>
      <c r="AA27" s="3691">
        <v>7.6993695171615251E-2</v>
      </c>
      <c r="AB27" s="3690">
        <f>GDP!AN567</f>
        <v>6.3397618027015545E-2</v>
      </c>
      <c r="AC27" s="3691">
        <v>8.6993695171615246E-2</v>
      </c>
      <c r="AD27" s="3690">
        <f>GDP!AO567</f>
        <v>6.3397618027015545E-2</v>
      </c>
      <c r="AE27" s="3692">
        <f t="shared" si="0"/>
        <v>0.11435547645087253</v>
      </c>
      <c r="AF27" s="3693">
        <f t="shared" si="0"/>
        <v>7.3056305850966743E-2</v>
      </c>
      <c r="AG27"/>
    </row>
    <row r="28" spans="1:33" ht="15.5" thickBot="1">
      <c r="A28" s="3725" t="s">
        <v>130</v>
      </c>
      <c r="B28" s="3694">
        <v>7.0690114641426938E-2</v>
      </c>
      <c r="C28" s="3695">
        <f>GDP!AA568</f>
        <v>7.1428571428571397E-2</v>
      </c>
      <c r="D28" s="3694">
        <v>5.4449011372034839E-2</v>
      </c>
      <c r="E28" s="3695">
        <f>GDP!AB568</f>
        <v>5.5897435897435788E-2</v>
      </c>
      <c r="F28" s="3694">
        <v>6.1184632888048651E-2</v>
      </c>
      <c r="G28" s="3695">
        <f>GDP!AC568</f>
        <v>9.6972640440343261E-2</v>
      </c>
      <c r="H28" s="3694">
        <v>8.4558961667457411E-2</v>
      </c>
      <c r="I28" s="3695">
        <f>GDP!AD568</f>
        <v>8.2792207792207861E-2</v>
      </c>
      <c r="J28" s="3694">
        <v>9.6226582272768382E-2</v>
      </c>
      <c r="K28" s="3695">
        <f>GDP!AE568</f>
        <v>-0.30298487120076323</v>
      </c>
      <c r="L28" s="3694">
        <v>0.10093239915614489</v>
      </c>
      <c r="M28" s="3695">
        <f>GDP!AF568</f>
        <v>0.51896754008603829</v>
      </c>
      <c r="N28" s="3694">
        <v>0.10856029260418285</v>
      </c>
      <c r="O28" s="3695">
        <f>GDP!AG568</f>
        <v>0.10285787847579808</v>
      </c>
      <c r="P28" s="3694">
        <v>0.1145830478141338</v>
      </c>
      <c r="Q28" s="3695">
        <f>GDP!AH568</f>
        <v>0.11614334072604171</v>
      </c>
      <c r="R28" s="3696">
        <f>GDP!AI568</f>
        <v>8.7115666178623652E-2</v>
      </c>
      <c r="S28" s="3697">
        <v>6.6666223154730586E-2</v>
      </c>
      <c r="T28" s="3696">
        <f>GDP!AJ568</f>
        <v>7.6222468274331545E-2</v>
      </c>
      <c r="U28" s="3697">
        <v>6.1807528578283942E-2</v>
      </c>
      <c r="V28" s="3696">
        <f>GDP!AK568</f>
        <v>8.2998631380635887E-2</v>
      </c>
      <c r="W28" s="3697">
        <v>6.5660940799419962E-2</v>
      </c>
      <c r="X28" s="3696">
        <f>GDP!AL568</f>
        <v>9.7126614130843947E-2</v>
      </c>
      <c r="Y28" s="3697">
        <v>6.5690659200904167E-2</v>
      </c>
      <c r="Z28" s="3696">
        <f>GDP!AM568</f>
        <v>9.5925507779615157E-2</v>
      </c>
      <c r="AA28" s="3697">
        <v>6.8533256465757683E-2</v>
      </c>
      <c r="AB28" s="3696">
        <f>GDP!AN568</f>
        <v>8.883770008383772E-2</v>
      </c>
      <c r="AC28" s="3697">
        <v>6.6005855666097887E-2</v>
      </c>
      <c r="AD28" s="3696">
        <f>GDP!AO568</f>
        <v>8.8691308395212831E-2</v>
      </c>
      <c r="AE28" s="3697">
        <f t="shared" si="0"/>
        <v>6.5727410644199041E-2</v>
      </c>
      <c r="AF28" s="3735">
        <f t="shared" si="0"/>
        <v>8.8300371674079517E-2</v>
      </c>
    </row>
    <row r="29" spans="1:33">
      <c r="A29" s="3723" t="s">
        <v>106</v>
      </c>
      <c r="B29" s="3669">
        <v>6.7279370852060483E-2</v>
      </c>
      <c r="C29" s="3670">
        <f>GDP!AA569</f>
        <v>6.759203379601697E-2</v>
      </c>
      <c r="D29" s="3669">
        <v>-2.7479322365365877E-2</v>
      </c>
      <c r="E29" s="3670">
        <f>GDP!AB569</f>
        <v>6.6139061616732553E-2</v>
      </c>
      <c r="F29" s="3669">
        <v>4.3675528466314409E-2</v>
      </c>
      <c r="G29" s="3670">
        <f>GDP!AC569</f>
        <v>0.1808059384941676</v>
      </c>
      <c r="H29" s="3669">
        <v>7.8928365665546743E-2</v>
      </c>
      <c r="I29" s="3670">
        <f>GDP!AD569</f>
        <v>0.14144589133363272</v>
      </c>
      <c r="J29" s="3669">
        <v>8.7515166221277099E-2</v>
      </c>
      <c r="K29" s="3670">
        <f>GDP!AE569</f>
        <v>-0.34618410700236035</v>
      </c>
      <c r="L29" s="3669">
        <v>9.5867382694124703E-2</v>
      </c>
      <c r="M29" s="3670">
        <f>GDP!AF569</f>
        <v>0.54332129963898912</v>
      </c>
      <c r="N29" s="3669">
        <v>0.1030210961718379</v>
      </c>
      <c r="O29" s="3670">
        <f>GDP!AG569</f>
        <v>0.13255360623781676</v>
      </c>
      <c r="P29" s="3669">
        <v>0.10817102017142718</v>
      </c>
      <c r="Q29" s="3670">
        <f>GDP!AH569</f>
        <v>0.13803786574870913</v>
      </c>
      <c r="R29" s="3671">
        <f>GDP!AI569</f>
        <v>8.7114337568058087E-2</v>
      </c>
      <c r="S29" s="3672">
        <v>8.9576216098699257E-2</v>
      </c>
      <c r="T29" s="3671">
        <f>GDP!AJ569</f>
        <v>0.1262116286784396</v>
      </c>
      <c r="U29" s="3672">
        <v>5.5006591980234228E-2</v>
      </c>
      <c r="V29" s="3671">
        <f>GDP!AK569</f>
        <v>7.3089498929516938E-2</v>
      </c>
      <c r="W29" s="3672">
        <v>5.8537797887028037E-2</v>
      </c>
      <c r="X29" s="3671">
        <f>GDP!AL569</f>
        <v>8.5889296712833504E-2</v>
      </c>
      <c r="Y29" s="3672">
        <v>7.9709143368687133E-2</v>
      </c>
      <c r="Z29" s="3671">
        <f>GDP!AM569</f>
        <v>8.8725769134312682E-2</v>
      </c>
      <c r="AA29" s="3672">
        <v>8.2006056275641365E-2</v>
      </c>
      <c r="AB29" s="3671">
        <f>GDP!AN569</f>
        <v>6.110534752062971E-2</v>
      </c>
      <c r="AC29" s="3672">
        <v>7.4754302725163993E-2</v>
      </c>
      <c r="AD29" s="3671">
        <f>GDP!AO569</f>
        <v>6.6956728683953554E-2</v>
      </c>
      <c r="AE29" s="3672">
        <f t="shared" si="0"/>
        <v>7.3265018055909001E-2</v>
      </c>
      <c r="AF29" s="3670">
        <f t="shared" si="0"/>
        <v>8.3663044943280987E-2</v>
      </c>
    </row>
    <row r="30" spans="1:33">
      <c r="A30" s="3654" t="s">
        <v>107</v>
      </c>
      <c r="B30" s="3682">
        <v>6.7943644791510271E-2</v>
      </c>
      <c r="C30" s="3683">
        <f>GDP!AA570</f>
        <v>8.3333333333333259E-2</v>
      </c>
      <c r="D30" s="3682">
        <v>4.4999999999999998E-2</v>
      </c>
      <c r="E30" s="3683">
        <f>GDP!AB570</f>
        <v>7.6923076923076872E-2</v>
      </c>
      <c r="F30" s="3682">
        <v>5.6471822395755135E-2</v>
      </c>
      <c r="G30" s="3683">
        <f>GDP!AC570</f>
        <v>5.3571428571428603E-2</v>
      </c>
      <c r="H30" s="3682">
        <v>5.073591119787757E-2</v>
      </c>
      <c r="I30" s="3683">
        <f>GDP!AD570</f>
        <v>6.7796610169491567E-2</v>
      </c>
      <c r="J30" s="3682">
        <v>8.3603866796816348E-2</v>
      </c>
      <c r="K30" s="3683">
        <f>GDP!AE570</f>
        <v>-0.26984126984126988</v>
      </c>
      <c r="L30" s="3682">
        <v>0.10716988899734697</v>
      </c>
      <c r="M30" s="3683">
        <f>GDP!AF570</f>
        <v>0.89130434782608692</v>
      </c>
      <c r="N30" s="3682">
        <v>0.13538687789708168</v>
      </c>
      <c r="O30" s="3683">
        <f>GDP!AG570</f>
        <v>0.12643678160919536</v>
      </c>
      <c r="P30" s="3682">
        <v>0.15127838344721434</v>
      </c>
      <c r="Q30" s="3683">
        <f>GDP!AH570</f>
        <v>0.15306122448979598</v>
      </c>
      <c r="R30" s="3684">
        <f>GDP!AI570</f>
        <v>0.1415929203539823</v>
      </c>
      <c r="S30" s="3685">
        <v>0.26252663781157781</v>
      </c>
      <c r="T30" s="3684">
        <f>GDP!AJ570</f>
        <v>0.23890748643432347</v>
      </c>
      <c r="U30" s="3685">
        <v>0.17090439106613786</v>
      </c>
      <c r="V30" s="3684">
        <f>GDP!AK570</f>
        <v>0.16499960322182428</v>
      </c>
      <c r="W30" s="3685">
        <v>7.2021293430373487E-2</v>
      </c>
      <c r="X30" s="3684">
        <f>GDP!AL570</f>
        <v>0.17464030862498151</v>
      </c>
      <c r="Y30" s="3685">
        <v>7.1761310665517858E-2</v>
      </c>
      <c r="Z30" s="3684">
        <f>GDP!AM570</f>
        <v>0.18003507965877788</v>
      </c>
      <c r="AA30" s="3685">
        <v>7.4303408243401731E-2</v>
      </c>
      <c r="AB30" s="3684">
        <f>GDP!AN570</f>
        <v>0.18964561948497677</v>
      </c>
      <c r="AC30" s="3685">
        <v>7.7247600851357748E-2</v>
      </c>
      <c r="AD30" s="3684">
        <f>GDP!AO570</f>
        <v>0.17733015274764008</v>
      </c>
      <c r="AE30" s="3685">
        <f t="shared" si="0"/>
        <v>0.12146077367806107</v>
      </c>
      <c r="AF30" s="3683">
        <f t="shared" si="0"/>
        <v>0.18759304169542065</v>
      </c>
    </row>
    <row r="31" spans="1:33">
      <c r="A31" s="3654" t="s">
        <v>36</v>
      </c>
      <c r="B31" s="3682">
        <v>6.0939248743602903E-2</v>
      </c>
      <c r="C31" s="3683">
        <f>GDP!AA571</f>
        <v>6.1176470588235388E-2</v>
      </c>
      <c r="D31" s="3682">
        <v>-6.5000000000000002E-2</v>
      </c>
      <c r="E31" s="3683">
        <f>GDP!AB571</f>
        <v>1.8847006651884657E-2</v>
      </c>
      <c r="F31" s="3682">
        <v>2.9760233546537472E-2</v>
      </c>
      <c r="G31" s="3683">
        <f>GDP!AC571</f>
        <v>0.18171926006528838</v>
      </c>
      <c r="H31" s="3682">
        <v>7.6658217440687473E-2</v>
      </c>
      <c r="I31" s="3683">
        <f>GDP!AD571</f>
        <v>0.15745856353591159</v>
      </c>
      <c r="J31" s="3682">
        <v>8.5057315420152046E-2</v>
      </c>
      <c r="K31" s="3683">
        <f>GDP!AE571</f>
        <v>-0.28321400159108989</v>
      </c>
      <c r="L31" s="3682">
        <v>9.2542013462671407E-2</v>
      </c>
      <c r="M31" s="3683">
        <f>GDP!AF571</f>
        <v>0.48279689234184242</v>
      </c>
      <c r="N31" s="3682">
        <v>9.8713072759707421E-2</v>
      </c>
      <c r="O31" s="3683">
        <f>GDP!AG571</f>
        <v>8.3083832335329344E-2</v>
      </c>
      <c r="P31" s="3682">
        <v>0.10342071669572436</v>
      </c>
      <c r="Q31" s="3683">
        <f>GDP!AH571</f>
        <v>0.13545266067726325</v>
      </c>
      <c r="R31" s="3684">
        <f>GDP!AI571</f>
        <v>0.10894704808277544</v>
      </c>
      <c r="S31" s="3685">
        <v>0.11767879407044535</v>
      </c>
      <c r="T31" s="3684">
        <f>GDP!AJ571</f>
        <v>0.11241188285489701</v>
      </c>
      <c r="U31" s="3685">
        <v>3.7452250286661881E-2</v>
      </c>
      <c r="V31" s="3684">
        <f>GDP!AK571</f>
        <v>9.4427589536886847E-2</v>
      </c>
      <c r="W31" s="3685">
        <v>5.3492629915924211E-2</v>
      </c>
      <c r="X31" s="3684">
        <f>GDP!AL571</f>
        <v>0.11506237285639054</v>
      </c>
      <c r="Y31" s="3685">
        <v>8.3733641179180113E-2</v>
      </c>
      <c r="Z31" s="3684">
        <f>GDP!AM571</f>
        <v>8.5571357076997617E-2</v>
      </c>
      <c r="AA31" s="3685">
        <v>8.5987504417812902E-2</v>
      </c>
      <c r="AB31" s="3684">
        <f>GDP!AN571</f>
        <v>6.636226341827893E-2</v>
      </c>
      <c r="AC31" s="3685">
        <v>7.3241125142751357E-2</v>
      </c>
      <c r="AD31" s="3684">
        <f>GDP!AO571</f>
        <v>8.0266529504779666E-2</v>
      </c>
      <c r="AE31" s="3685">
        <f t="shared" si="0"/>
        <v>7.5264324168795971E-2</v>
      </c>
      <c r="AF31" s="3683">
        <f t="shared" si="0"/>
        <v>9.2350332541371774E-2</v>
      </c>
    </row>
    <row r="32" spans="1:33">
      <c r="A32" s="3654" t="s">
        <v>108</v>
      </c>
      <c r="B32" s="3682">
        <v>8.0124886898992553E-2</v>
      </c>
      <c r="C32" s="3683">
        <f>GDP!AA572</f>
        <v>7.8680203045685237E-2</v>
      </c>
      <c r="D32" s="3682">
        <v>0.04</v>
      </c>
      <c r="E32" s="3683">
        <f>GDP!AB572</f>
        <v>0.15176470588235302</v>
      </c>
      <c r="F32" s="3682">
        <v>6.736060892169643E-2</v>
      </c>
      <c r="G32" s="3683">
        <f>GDP!AC572</f>
        <v>0.19713993871297242</v>
      </c>
      <c r="H32" s="3682">
        <v>8.5808250783315554E-2</v>
      </c>
      <c r="I32" s="3683">
        <f>GDP!AD572</f>
        <v>0.12286689419795227</v>
      </c>
      <c r="J32" s="3682">
        <v>9.2139739884480612E-2</v>
      </c>
      <c r="K32" s="3683">
        <f>GDP!AE572</f>
        <v>-0.46276595744680848</v>
      </c>
      <c r="L32" s="3682">
        <v>0.10042152574717603</v>
      </c>
      <c r="M32" s="3683">
        <f>GDP!AF572</f>
        <v>0.61669024045261667</v>
      </c>
      <c r="N32" s="3682">
        <v>0.10707391931758098</v>
      </c>
      <c r="O32" s="3683">
        <f>GDP!AG572</f>
        <v>0.18810148731408582</v>
      </c>
      <c r="P32" s="3682">
        <v>0.11172064506294829</v>
      </c>
      <c r="Q32" s="3683">
        <f>GDP!AH572</f>
        <v>0.14138438880706916</v>
      </c>
      <c r="R32" s="3684">
        <f>GDP!AI572</f>
        <v>6.0645161290322491E-2</v>
      </c>
      <c r="S32" s="3685">
        <v>4.419721507583918E-2</v>
      </c>
      <c r="T32" s="3684">
        <f>GDP!AJ572</f>
        <v>0.13197754085076752</v>
      </c>
      <c r="U32" s="3685">
        <v>6.4835005655697109E-2</v>
      </c>
      <c r="V32" s="3684">
        <f>GDP!AK572</f>
        <v>4.195664678446679E-2</v>
      </c>
      <c r="W32" s="3685">
        <v>6.2962135392953464E-2</v>
      </c>
      <c r="X32" s="3684">
        <f>GDP!AL572</f>
        <v>4.3994455695390344E-2</v>
      </c>
      <c r="Y32" s="3685">
        <v>7.5935453283071302E-2</v>
      </c>
      <c r="Z32" s="3684">
        <f>GDP!AM572</f>
        <v>8.2715173891508204E-2</v>
      </c>
      <c r="AA32" s="3685">
        <v>7.8219682792277159E-2</v>
      </c>
      <c r="AB32" s="3684">
        <f>GDP!AN572</f>
        <v>3.9529993811396949E-2</v>
      </c>
      <c r="AC32" s="3685">
        <v>7.6252368470655751E-2</v>
      </c>
      <c r="AD32" s="3684">
        <f>GDP!AO572</f>
        <v>3.5357605193411752E-2</v>
      </c>
      <c r="AE32" s="3685">
        <f t="shared" si="0"/>
        <v>6.7066976778415666E-2</v>
      </c>
      <c r="AF32" s="3683">
        <f t="shared" si="0"/>
        <v>6.2588569371156921E-2</v>
      </c>
    </row>
    <row r="33" spans="1:32">
      <c r="A33" s="3723" t="s">
        <v>133</v>
      </c>
      <c r="B33" s="3669">
        <v>7.1830713388098655E-2</v>
      </c>
      <c r="C33" s="3670">
        <f>GDP!AA573</f>
        <v>7.3183619550858614E-2</v>
      </c>
      <c r="D33" s="3669">
        <v>8.1730611105050865E-2</v>
      </c>
      <c r="E33" s="3670">
        <f>GDP!AB573</f>
        <v>5.1944854751353908E-2</v>
      </c>
      <c r="F33" s="3669">
        <v>6.6426419867503639E-2</v>
      </c>
      <c r="G33" s="3670">
        <f>GDP!AC573</f>
        <v>6.5761759887666749E-2</v>
      </c>
      <c r="H33" s="3669">
        <v>8.6208659512801142E-2</v>
      </c>
      <c r="I33" s="3670">
        <f>GDP!AD573</f>
        <v>5.8849363197189364E-2</v>
      </c>
      <c r="J33" s="3669">
        <v>9.8761816828576016E-2</v>
      </c>
      <c r="K33" s="3670">
        <f>GDP!AE573</f>
        <v>-0.2839070924927416</v>
      </c>
      <c r="L33" s="3669">
        <v>0.10239135455195593</v>
      </c>
      <c r="M33" s="3670">
        <f>GDP!AF573</f>
        <v>0.50680567622357375</v>
      </c>
      <c r="N33" s="3669">
        <v>0.11014639098576583</v>
      </c>
      <c r="O33" s="3670">
        <f>GDP!AG573</f>
        <v>8.8218335575629414E-2</v>
      </c>
      <c r="P33" s="3669">
        <v>0.11640728921948314</v>
      </c>
      <c r="Q33" s="3670">
        <f>GDP!AH573</f>
        <v>0.10526315789473695</v>
      </c>
      <c r="R33" s="3671">
        <f>GDP!AI573</f>
        <v>8.6928731224033218E-2</v>
      </c>
      <c r="S33" s="3672">
        <v>5.4561178367811491E-2</v>
      </c>
      <c r="T33" s="3671">
        <f>GDP!AJ573</f>
        <v>4.9651273778501093E-2</v>
      </c>
      <c r="U33" s="3672">
        <v>6.552028113971059E-2</v>
      </c>
      <c r="V33" s="3671">
        <f>GDP!AK573</f>
        <v>8.8616247377678495E-2</v>
      </c>
      <c r="W33" s="3672">
        <v>6.951122148465709E-2</v>
      </c>
      <c r="X33" s="3671">
        <f>GDP!AL573</f>
        <v>0.103406332932688</v>
      </c>
      <c r="Y33" s="3672">
        <v>5.8190977819252789E-2</v>
      </c>
      <c r="Z33" s="3671">
        <f>GDP!AM573</f>
        <v>9.9885044366775949E-2</v>
      </c>
      <c r="AA33" s="3672">
        <v>6.1178939578285567E-2</v>
      </c>
      <c r="AB33" s="3671">
        <f>GDP!AN573</f>
        <v>0.10393452252235574</v>
      </c>
      <c r="AC33" s="3672">
        <v>6.1136667926868692E-2</v>
      </c>
      <c r="AD33" s="3671">
        <f>GDP!AO573</f>
        <v>0.10006405254777793</v>
      </c>
      <c r="AE33" s="3672">
        <f t="shared" si="0"/>
        <v>6.1683211052764364E-2</v>
      </c>
      <c r="AF33" s="3670">
        <f t="shared" si="0"/>
        <v>9.0926245587629531E-2</v>
      </c>
    </row>
    <row r="34" spans="1:32">
      <c r="A34" s="3726" t="s">
        <v>120</v>
      </c>
      <c r="B34" s="3682">
        <v>0.11274037677677118</v>
      </c>
      <c r="C34" s="3683">
        <f>GDP!AA574</f>
        <v>0.11368909512761016</v>
      </c>
      <c r="D34" s="3682">
        <v>0.15</v>
      </c>
      <c r="E34" s="3683">
        <f>GDP!AB574</f>
        <v>7.2916666666666741E-2</v>
      </c>
      <c r="F34" s="3682">
        <v>0.14399652057525958</v>
      </c>
      <c r="G34" s="3683">
        <f>GDP!AC574</f>
        <v>7.3786407766990303E-2</v>
      </c>
      <c r="H34" s="3682">
        <v>0.13993878505627055</v>
      </c>
      <c r="I34" s="3683">
        <f>GDP!AD574</f>
        <v>9.5840867992766698E-2</v>
      </c>
      <c r="J34" s="3682">
        <v>0.17807914759978405</v>
      </c>
      <c r="K34" s="3683">
        <f>GDP!AE574</f>
        <v>-0.64356435643564358</v>
      </c>
      <c r="L34" s="3682">
        <v>0.17667456097290701</v>
      </c>
      <c r="M34" s="3683">
        <f>GDP!AF574</f>
        <v>1.0231481481481484</v>
      </c>
      <c r="N34" s="3682">
        <v>0.17686268554668083</v>
      </c>
      <c r="O34" s="3683">
        <f>GDP!AG574</f>
        <v>0.22196796338672775</v>
      </c>
      <c r="P34" s="3682">
        <v>0.17988130930705859</v>
      </c>
      <c r="Q34" s="3683">
        <f>GDP!AH574</f>
        <v>0.14606741573033699</v>
      </c>
      <c r="R34" s="3684">
        <f>GDP!AI574</f>
        <v>0.11274509803921573</v>
      </c>
      <c r="S34" s="3685">
        <v>4.3446606117670233E-2</v>
      </c>
      <c r="T34" s="3684">
        <f>GDP!AJ574</f>
        <v>0.16193404040032619</v>
      </c>
      <c r="U34" s="3685">
        <v>8.12570029260411E-2</v>
      </c>
      <c r="V34" s="3684">
        <f>GDP!AK574</f>
        <v>3.4772780880201415E-2</v>
      </c>
      <c r="W34" s="3685">
        <v>8.8711861388504953E-2</v>
      </c>
      <c r="X34" s="3684">
        <f>GDP!AL574</f>
        <v>0.10626276000364632</v>
      </c>
      <c r="Y34" s="3685">
        <v>0.10898630856606259</v>
      </c>
      <c r="Z34" s="3684">
        <f>GDP!AM574</f>
        <v>8.5820588184997604E-2</v>
      </c>
      <c r="AA34" s="3685">
        <v>0.10926948364725549</v>
      </c>
      <c r="AB34" s="3684">
        <f>GDP!AN574</f>
        <v>6.4176979857053729E-2</v>
      </c>
      <c r="AC34" s="3685">
        <v>0.10714581008281635</v>
      </c>
      <c r="AD34" s="3684">
        <f>GDP!AO574</f>
        <v>1.7376111606099531E-2</v>
      </c>
      <c r="AE34" s="3685">
        <f t="shared" si="0"/>
        <v>8.9802845454725111E-2</v>
      </c>
      <c r="AF34" s="3683">
        <f t="shared" si="0"/>
        <v>7.8390543488720807E-2</v>
      </c>
    </row>
    <row r="35" spans="1:32">
      <c r="A35" s="3726" t="s">
        <v>121</v>
      </c>
      <c r="B35" s="3682">
        <v>8.5823123367830378E-2</v>
      </c>
      <c r="C35" s="3683">
        <f>GDP!AA575</f>
        <v>8.3333333333333259E-2</v>
      </c>
      <c r="D35" s="3682">
        <v>0.05</v>
      </c>
      <c r="E35" s="3683">
        <f>GDP!AB575</f>
        <v>0.10576923076923084</v>
      </c>
      <c r="F35" s="3682">
        <v>5.0159321651761485E-2</v>
      </c>
      <c r="G35" s="3683">
        <f>GDP!AC575</f>
        <v>0.13043478260869557</v>
      </c>
      <c r="H35" s="3682">
        <v>7.1151279980148627E-2</v>
      </c>
      <c r="I35" s="3683">
        <f>GDP!AD575</f>
        <v>0.10000000000000009</v>
      </c>
      <c r="J35" s="3682">
        <v>9.4283431249935115E-2</v>
      </c>
      <c r="K35" s="3683">
        <f>GDP!AE575</f>
        <v>6.9930069930070893E-3</v>
      </c>
      <c r="L35" s="3682">
        <v>9.639850822046131E-2</v>
      </c>
      <c r="M35" s="3683">
        <f>GDP!AF575</f>
        <v>0.5625</v>
      </c>
      <c r="N35" s="3682">
        <v>0.10799813527557664</v>
      </c>
      <c r="O35" s="3683">
        <f>GDP!AG575</f>
        <v>0.2088888888888889</v>
      </c>
      <c r="P35" s="3682">
        <v>0.11745783868153042</v>
      </c>
      <c r="Q35" s="3683">
        <f>GDP!AH575</f>
        <v>0.32352941176470584</v>
      </c>
      <c r="R35" s="3684">
        <f>GDP!AI575</f>
        <v>0.20277777777777772</v>
      </c>
      <c r="S35" s="3685">
        <v>0.12058580762049191</v>
      </c>
      <c r="T35" s="3684">
        <f>GDP!AJ575</f>
        <v>5.2558506662984561E-2</v>
      </c>
      <c r="U35" s="3685">
        <v>0.10950554134697355</v>
      </c>
      <c r="V35" s="3684">
        <f>GDP!AK575</f>
        <v>0.32442401960784312</v>
      </c>
      <c r="W35" s="3685">
        <v>0.11394547151296608</v>
      </c>
      <c r="X35" s="3684">
        <f>GDP!AL575</f>
        <v>0.19693864627358926</v>
      </c>
      <c r="Y35" s="3685">
        <v>0.12109963462748724</v>
      </c>
      <c r="Z35" s="3684">
        <f>GDP!AM575</f>
        <v>0.22582242895332783</v>
      </c>
      <c r="AA35" s="3685">
        <v>0.12070364956455233</v>
      </c>
      <c r="AB35" s="3684">
        <f>GDP!AN575</f>
        <v>0.19417473758054868</v>
      </c>
      <c r="AC35" s="3685">
        <v>0.1162841137769797</v>
      </c>
      <c r="AD35" s="3684">
        <f>GDP!AO575</f>
        <v>0.19993590037443618</v>
      </c>
      <c r="AE35" s="3686">
        <f t="shared" si="0"/>
        <v>0.11702070307490847</v>
      </c>
      <c r="AF35" s="3687">
        <f t="shared" si="0"/>
        <v>0.19897570657545494</v>
      </c>
    </row>
    <row r="36" spans="1:32">
      <c r="A36" s="3726" t="s">
        <v>122</v>
      </c>
      <c r="B36" s="3682">
        <v>3.3505325517863005E-2</v>
      </c>
      <c r="C36" s="3683">
        <f>GDP!AA576</f>
        <v>3.4013605442176909E-2</v>
      </c>
      <c r="D36" s="3682">
        <v>4.4999999999999998E-2</v>
      </c>
      <c r="E36" s="3683">
        <f>GDP!AB576</f>
        <v>6.578947368421062E-2</v>
      </c>
      <c r="F36" s="3682">
        <v>4.8926630061221298E-2</v>
      </c>
      <c r="G36" s="3683">
        <f>GDP!AC576</f>
        <v>0.10185185185185186</v>
      </c>
      <c r="H36" s="3682">
        <v>6.2397772282526721E-2</v>
      </c>
      <c r="I36" s="3683">
        <f>GDP!AD576</f>
        <v>8.6834733893557337E-2</v>
      </c>
      <c r="J36" s="3682">
        <v>7.7457431965402751E-2</v>
      </c>
      <c r="K36" s="3683">
        <f>GDP!AE576</f>
        <v>-0.25773195876288657</v>
      </c>
      <c r="L36" s="3682">
        <v>8.8445458577287694E-2</v>
      </c>
      <c r="M36" s="3683">
        <f>GDP!AF576</f>
        <v>0.42361111111111116</v>
      </c>
      <c r="N36" s="3682">
        <v>9.9306823221609608E-2</v>
      </c>
      <c r="O36" s="3683">
        <f>GDP!AG576</f>
        <v>0.10975609756097571</v>
      </c>
      <c r="P36" s="3682">
        <v>0.1019018715117067</v>
      </c>
      <c r="Q36" s="3683">
        <f>GDP!AH576</f>
        <v>-1.9780219780219821E-2</v>
      </c>
      <c r="R36" s="3684">
        <f>GDP!AI576</f>
        <v>0.11659192825112097</v>
      </c>
      <c r="S36" s="3685">
        <v>0.11044164641621423</v>
      </c>
      <c r="T36" s="3684">
        <f>GDP!AJ576</f>
        <v>0.14252089097135112</v>
      </c>
      <c r="U36" s="3685">
        <v>7.9252363112022772E-2</v>
      </c>
      <c r="V36" s="3684">
        <f>GDP!AK576</f>
        <v>8.7272174250806994E-2</v>
      </c>
      <c r="W36" s="3685">
        <v>7.1626429499784539E-2</v>
      </c>
      <c r="X36" s="3684">
        <f>GDP!AL576</f>
        <v>8.1651193423264823E-2</v>
      </c>
      <c r="Y36" s="3685">
        <v>9.4478091819785628E-2</v>
      </c>
      <c r="Z36" s="3684">
        <f>GDP!AM576</f>
        <v>0.10700904672413598</v>
      </c>
      <c r="AA36" s="3685">
        <v>9.8949632711951785E-2</v>
      </c>
      <c r="AB36" s="3684">
        <f>GDP!AN576</f>
        <v>0.10461332634238972</v>
      </c>
      <c r="AC36" s="3685">
        <v>8.6076629285886178E-2</v>
      </c>
      <c r="AD36" s="3684">
        <f>GDP!AO576</f>
        <v>9.5136435185149387E-2</v>
      </c>
      <c r="AE36" s="3686">
        <f t="shared" si="0"/>
        <v>9.0137465474274189E-2</v>
      </c>
      <c r="AF36" s="3687">
        <f t="shared" si="0"/>
        <v>0.10303384448284965</v>
      </c>
    </row>
    <row r="37" spans="1:32">
      <c r="A37" s="3726" t="s">
        <v>123</v>
      </c>
      <c r="B37" s="3682">
        <v>6.1792511758071766E-2</v>
      </c>
      <c r="C37" s="3683">
        <f>GDP!AA577</f>
        <v>6.2565172054223073E-2</v>
      </c>
      <c r="D37" s="3682">
        <v>8.5557462957779926E-2</v>
      </c>
      <c r="E37" s="3683">
        <f>GDP!AB577</f>
        <v>6.9676153091265958E-2</v>
      </c>
      <c r="F37" s="3682">
        <v>6.41339769344767E-2</v>
      </c>
      <c r="G37" s="3683">
        <f>GDP!AC577</f>
        <v>4.862385321100926E-2</v>
      </c>
      <c r="H37" s="3682">
        <v>7.0494650550109464E-2</v>
      </c>
      <c r="I37" s="3683">
        <f>GDP!AD577</f>
        <v>3.8495188101487221E-2</v>
      </c>
      <c r="J37" s="3682">
        <v>8.3395363480788687E-2</v>
      </c>
      <c r="K37" s="3683">
        <f>GDP!AE577</f>
        <v>-0.24515585509688287</v>
      </c>
      <c r="L37" s="3682">
        <v>8.767466365512494E-2</v>
      </c>
      <c r="M37" s="3683">
        <f>GDP!AF577</f>
        <v>0.3828125</v>
      </c>
      <c r="N37" s="3682">
        <v>9.0521559228674359E-2</v>
      </c>
      <c r="O37" s="3683">
        <f>GDP!AG577</f>
        <v>1.4527845036319542E-2</v>
      </c>
      <c r="P37" s="3682">
        <v>9.7197195454862662E-2</v>
      </c>
      <c r="Q37" s="3683">
        <f>GDP!AH577</f>
        <v>4.7732696897374804E-2</v>
      </c>
      <c r="R37" s="3684">
        <f>GDP!AI577</f>
        <v>4.1761579347000755E-2</v>
      </c>
      <c r="S37" s="3685">
        <v>4.1008336636954856E-2</v>
      </c>
      <c r="T37" s="3684">
        <f>GDP!AJ577</f>
        <v>-0.18598189809657495</v>
      </c>
      <c r="U37" s="3685">
        <v>4.115972584377408E-2</v>
      </c>
      <c r="V37" s="3684">
        <f>GDP!AK577</f>
        <v>2.9065413083037683E-2</v>
      </c>
      <c r="W37" s="3685">
        <v>4.0841309159736112E-2</v>
      </c>
      <c r="X37" s="3684">
        <f>GDP!AL577</f>
        <v>2.764751342075095E-2</v>
      </c>
      <c r="Y37" s="3685">
        <v>3.8866412532964571E-2</v>
      </c>
      <c r="Z37" s="3684">
        <f>GDP!AM577</f>
        <v>2.447318081770803E-2</v>
      </c>
      <c r="AA37" s="3685">
        <v>3.606552702766444E-2</v>
      </c>
      <c r="AB37" s="3684">
        <f>GDP!AN577</f>
        <v>2.0363819701930037E-2</v>
      </c>
      <c r="AC37" s="3685">
        <v>3.4923861010996732E-2</v>
      </c>
      <c r="AD37" s="3684">
        <f>GDP!AO577</f>
        <v>1.7794725746559201E-2</v>
      </c>
      <c r="AE37" s="3686">
        <f t="shared" si="0"/>
        <v>3.8810862035348469E-2</v>
      </c>
      <c r="AF37" s="3687">
        <f t="shared" si="0"/>
        <v>-1.1106207554431513E-2</v>
      </c>
    </row>
    <row r="38" spans="1:32">
      <c r="A38" s="3726" t="s">
        <v>124</v>
      </c>
      <c r="B38" s="3682">
        <v>6.2514445415612796E-2</v>
      </c>
      <c r="C38" s="3683">
        <f>GDP!AA578</f>
        <v>5.4945054945054972E-2</v>
      </c>
      <c r="D38" s="3682">
        <v>0.16</v>
      </c>
      <c r="E38" s="3683">
        <f>GDP!AB578</f>
        <v>7.638888888888884E-2</v>
      </c>
      <c r="F38" s="3682">
        <v>7.2368864819072509E-2</v>
      </c>
      <c r="G38" s="3683">
        <f>GDP!AC578</f>
        <v>0.10000000000000009</v>
      </c>
      <c r="H38" s="3682">
        <v>0.10923490701809675</v>
      </c>
      <c r="I38" s="3683">
        <f>GDP!AD578</f>
        <v>9.9706744868035102E-2</v>
      </c>
      <c r="J38" s="3682">
        <v>0.12102955431319551</v>
      </c>
      <c r="K38" s="3683">
        <f>GDP!AE578</f>
        <v>-0.248</v>
      </c>
      <c r="L38" s="3682">
        <v>0.1236583315375912</v>
      </c>
      <c r="M38" s="3683">
        <f>GDP!AF578</f>
        <v>0.52482269503546108</v>
      </c>
      <c r="N38" s="3682">
        <v>0.13657291442198899</v>
      </c>
      <c r="O38" s="3683">
        <f>GDP!AG578</f>
        <v>8.6046511627906996E-2</v>
      </c>
      <c r="P38" s="3682">
        <v>0.15262392682271811</v>
      </c>
      <c r="Q38" s="3683">
        <f>GDP!AH578</f>
        <v>0.10278372591006435</v>
      </c>
      <c r="R38" s="3684">
        <f>GDP!AI578</f>
        <v>0.14174757281553396</v>
      </c>
      <c r="S38" s="3685">
        <v>5.2748238113726392E-2</v>
      </c>
      <c r="T38" s="3684">
        <f>GDP!AJ578</f>
        <v>0.33922672194539549</v>
      </c>
      <c r="U38" s="3685">
        <v>9.5831512116807932E-2</v>
      </c>
      <c r="V38" s="3684">
        <f>GDP!AK578</f>
        <v>0.1674511330747252</v>
      </c>
      <c r="W38" s="3685">
        <v>9.8277762239033173E-2</v>
      </c>
      <c r="X38" s="3684">
        <f>GDP!AL578</f>
        <v>0.18780228843642977</v>
      </c>
      <c r="Y38" s="3685">
        <v>5.0151271321275365E-2</v>
      </c>
      <c r="Z38" s="3684">
        <f>GDP!AM578</f>
        <v>0.20905692906802112</v>
      </c>
      <c r="AA38" s="3685">
        <v>4.7252195947710712E-2</v>
      </c>
      <c r="AB38" s="3684">
        <f>GDP!AN578</f>
        <v>0.2258842681311429</v>
      </c>
      <c r="AC38" s="3685">
        <v>4.4878185406206805E-2</v>
      </c>
      <c r="AD38" s="3684">
        <f>GDP!AO578</f>
        <v>0.19754865467757976</v>
      </c>
      <c r="AE38" s="3686">
        <f t="shared" si="0"/>
        <v>6.4856527524126725E-2</v>
      </c>
      <c r="AF38" s="3687">
        <f t="shared" si="0"/>
        <v>0.22116166588888239</v>
      </c>
    </row>
    <row r="39" spans="1:32">
      <c r="A39" s="3726" t="s">
        <v>125</v>
      </c>
      <c r="B39" s="3682">
        <v>9.788376838931212E-2</v>
      </c>
      <c r="C39" s="3683">
        <f>GDP!AA579</f>
        <v>9.7065462753950449E-2</v>
      </c>
      <c r="D39" s="3682">
        <v>0.115</v>
      </c>
      <c r="E39" s="3683">
        <f>GDP!AB579</f>
        <v>3.9094650205761416E-2</v>
      </c>
      <c r="F39" s="3682">
        <v>8.0781677250254355E-2</v>
      </c>
      <c r="G39" s="3683">
        <f>GDP!AC579</f>
        <v>4.5544554455445585E-2</v>
      </c>
      <c r="H39" s="3682">
        <v>0.11374246296122788</v>
      </c>
      <c r="I39" s="3683">
        <f>GDP!AD579</f>
        <v>4.5454545454545414E-2</v>
      </c>
      <c r="J39" s="3682">
        <v>0.12185197715019859</v>
      </c>
      <c r="K39" s="3683">
        <f>GDP!AE579</f>
        <v>-0.30978260869565222</v>
      </c>
      <c r="L39" s="3682">
        <v>0.13084402934042019</v>
      </c>
      <c r="M39" s="3683">
        <f>GDP!AF579</f>
        <v>0.51706036745406814</v>
      </c>
      <c r="N39" s="3682">
        <v>0.15180503667552525</v>
      </c>
      <c r="O39" s="3683">
        <f>GDP!AG579</f>
        <v>0.12975778546712813</v>
      </c>
      <c r="P39" s="3682">
        <v>0.15956087653184298</v>
      </c>
      <c r="Q39" s="3683">
        <f>GDP!AH579</f>
        <v>0.12863705972434913</v>
      </c>
      <c r="R39" s="3684">
        <f>GDP!AI579</f>
        <v>0.13975576662143818</v>
      </c>
      <c r="S39" s="3685">
        <v>2.5000000000000001E-2</v>
      </c>
      <c r="T39" s="3684">
        <f>GDP!AJ579</f>
        <v>5.9105431309904199E-2</v>
      </c>
      <c r="U39" s="3685">
        <v>7.9803941796635566E-2</v>
      </c>
      <c r="V39" s="3684">
        <f>GDP!AK579</f>
        <v>0.11075563364687259</v>
      </c>
      <c r="W39" s="3685">
        <v>0.10457802871443229</v>
      </c>
      <c r="X39" s="3684">
        <f>GDP!AL579</f>
        <v>0.18084534070396008</v>
      </c>
      <c r="Y39" s="3685">
        <v>3.1255430387330543E-2</v>
      </c>
      <c r="Z39" s="3684">
        <f>GDP!AM579</f>
        <v>0.12480950291227538</v>
      </c>
      <c r="AA39" s="3685">
        <v>3.4838371207364299E-2</v>
      </c>
      <c r="AB39" s="3684">
        <f>GDP!AN579</f>
        <v>0.12398478915313327</v>
      </c>
      <c r="AC39" s="3685">
        <v>3.9205256454533474E-2</v>
      </c>
      <c r="AD39" s="3684">
        <f>GDP!AO579</f>
        <v>0.12320941072459729</v>
      </c>
      <c r="AE39" s="3686">
        <f t="shared" si="0"/>
        <v>5.2446838093382693E-2</v>
      </c>
      <c r="AF39" s="3687">
        <f t="shared" si="0"/>
        <v>0.12045168474179047</v>
      </c>
    </row>
    <row r="40" spans="1:32">
      <c r="A40" s="3726" t="s">
        <v>126</v>
      </c>
      <c r="B40" s="3682">
        <v>0.11593964068632556</v>
      </c>
      <c r="C40" s="3683">
        <f>GDP!AA580</f>
        <v>0.10989010989010994</v>
      </c>
      <c r="D40" s="3682">
        <v>6.5000000000000002E-2</v>
      </c>
      <c r="E40" s="3683">
        <f>GDP!AB580</f>
        <v>2.3762376237623783E-2</v>
      </c>
      <c r="F40" s="3682">
        <v>6.5000000000000002E-2</v>
      </c>
      <c r="G40" s="3683">
        <f>GDP!AC580</f>
        <v>6.9632495164410058E-2</v>
      </c>
      <c r="H40" s="3682">
        <v>0.09</v>
      </c>
      <c r="I40" s="3683">
        <f>GDP!AD580</f>
        <v>4.7016274864376095E-2</v>
      </c>
      <c r="J40" s="3682">
        <v>9.5000000000000015E-2</v>
      </c>
      <c r="K40" s="3683">
        <f>GDP!AE580</f>
        <v>-0.23316062176165808</v>
      </c>
      <c r="L40" s="3682">
        <v>0.09</v>
      </c>
      <c r="M40" s="3683">
        <f>GDP!AF580</f>
        <v>0.38513513513513509</v>
      </c>
      <c r="N40" s="3682">
        <v>0.09</v>
      </c>
      <c r="O40" s="3683">
        <f>GDP!AG580</f>
        <v>9.9186991869918639E-2</v>
      </c>
      <c r="P40" s="3682">
        <v>0.09</v>
      </c>
      <c r="Q40" s="3683">
        <f>GDP!AH580</f>
        <v>0.10650887573964507</v>
      </c>
      <c r="R40" s="3684">
        <f>GDP!AI580</f>
        <v>0.10294117647058831</v>
      </c>
      <c r="S40" s="3685">
        <v>2.5000000000000022E-2</v>
      </c>
      <c r="T40" s="3684">
        <f>GDP!AJ580</f>
        <v>0.12478632478632479</v>
      </c>
      <c r="U40" s="3685">
        <v>1.493791993371394E-2</v>
      </c>
      <c r="V40" s="3684">
        <f>GDP!AK580</f>
        <v>1.8481940388485534E-2</v>
      </c>
      <c r="W40" s="3685">
        <v>2.4456198411873156E-2</v>
      </c>
      <c r="X40" s="3684">
        <f>GDP!AL580</f>
        <v>3.1341459705775863E-2</v>
      </c>
      <c r="Y40" s="3685">
        <v>2.585329475762585E-2</v>
      </c>
      <c r="Z40" s="3684">
        <f>GDP!AM580</f>
        <v>3.3505422875809668E-2</v>
      </c>
      <c r="AA40" s="3685">
        <v>2.4817566225597873E-2</v>
      </c>
      <c r="AB40" s="3684">
        <f>GDP!AN580</f>
        <v>3.0796374611141798E-2</v>
      </c>
      <c r="AC40" s="3685">
        <v>4.0244254085647121E-2</v>
      </c>
      <c r="AD40" s="3684">
        <f>GDP!AO580</f>
        <v>4.3982346537460484E-2</v>
      </c>
      <c r="AE40" s="3686">
        <f t="shared" si="0"/>
        <v>2.5884872235742994E-2</v>
      </c>
      <c r="AF40" s="3687">
        <f t="shared" si="0"/>
        <v>4.7148978150833021E-2</v>
      </c>
    </row>
    <row r="41" spans="1:32">
      <c r="A41" s="3726" t="s">
        <v>127</v>
      </c>
      <c r="B41" s="3682">
        <v>1.7293758233328349E-2</v>
      </c>
      <c r="C41" s="3683">
        <f>GDP!AA581</f>
        <v>3.125E-2</v>
      </c>
      <c r="D41" s="3682">
        <v>6.6120515111858374E-2</v>
      </c>
      <c r="E41" s="3683">
        <f>GDP!AB581</f>
        <v>2.2727272727272707E-2</v>
      </c>
      <c r="F41" s="3682">
        <v>6.2019738082726317E-2</v>
      </c>
      <c r="G41" s="3683">
        <f>GDP!AC581</f>
        <v>3.7037037037036979E-2</v>
      </c>
      <c r="H41" s="3682">
        <v>5.8397914707960963E-2</v>
      </c>
      <c r="I41" s="3683">
        <f>GDP!AD581</f>
        <v>2.1428571428571352E-2</v>
      </c>
      <c r="J41" s="3682">
        <v>5.5175765084603867E-2</v>
      </c>
      <c r="K41" s="3683">
        <f>GDP!AE581</f>
        <v>-0.61713286713286708</v>
      </c>
      <c r="L41" s="3682">
        <v>5.2290591681831922E-2</v>
      </c>
      <c r="M41" s="3683">
        <f>GDP!AF581</f>
        <v>1.6849315068493151</v>
      </c>
      <c r="N41" s="3682">
        <v>4.9692159271573777E-2</v>
      </c>
      <c r="O41" s="3683">
        <f>GDP!AG581</f>
        <v>5.4421768707483054E-2</v>
      </c>
      <c r="P41" s="3682">
        <v>4.7339745117327636E-2</v>
      </c>
      <c r="Q41" s="3683">
        <f>GDP!AH581</f>
        <v>4.5161290322580649E-2</v>
      </c>
      <c r="R41" s="3684">
        <f>GDP!AI581</f>
        <v>4.3209876543209846E-2</v>
      </c>
      <c r="S41" s="3685">
        <v>0.06</v>
      </c>
      <c r="T41" s="3684">
        <f>GDP!AJ581</f>
        <v>-7.8949995144370622E-2</v>
      </c>
      <c r="U41" s="3685">
        <v>4.9209392838523769E-2</v>
      </c>
      <c r="V41" s="3684">
        <f>GDP!AK581</f>
        <v>4.9209392838523769E-2</v>
      </c>
      <c r="W41" s="3685">
        <v>3.1067515890123576E-2</v>
      </c>
      <c r="X41" s="3684">
        <f>GDP!AL581</f>
        <v>3.1067515890123576E-2</v>
      </c>
      <c r="Y41" s="3685">
        <v>3.7195023824234556E-2</v>
      </c>
      <c r="Z41" s="3684">
        <f>GDP!AM581</f>
        <v>2.8195023824234555E-2</v>
      </c>
      <c r="AA41" s="3685">
        <v>3.955746364876999E-2</v>
      </c>
      <c r="AB41" s="3684">
        <f>GDP!AN581</f>
        <v>3.0557463648769989E-2</v>
      </c>
      <c r="AC41" s="3685">
        <v>3.7107077554807785E-2</v>
      </c>
      <c r="AD41" s="3684">
        <f>GDP!AO581</f>
        <v>3.7107077554807785E-2</v>
      </c>
      <c r="AE41" s="3686">
        <f t="shared" si="0"/>
        <v>4.2356078959409953E-2</v>
      </c>
      <c r="AF41" s="3687">
        <f t="shared" si="0"/>
        <v>1.6197746435348177E-2</v>
      </c>
    </row>
    <row r="42" spans="1:32">
      <c r="A42" s="3726" t="s">
        <v>128</v>
      </c>
      <c r="B42" s="3682">
        <v>6.1585129403292749E-2</v>
      </c>
      <c r="C42" s="3683">
        <f>GDP!AA582</f>
        <v>6.8702290076335881E-2</v>
      </c>
      <c r="D42" s="3682">
        <v>4.4999999999999998E-2</v>
      </c>
      <c r="E42" s="3683">
        <f>GDP!AB582</f>
        <v>4.2857142857142927E-2</v>
      </c>
      <c r="F42" s="3682">
        <v>3.9999999999999994E-2</v>
      </c>
      <c r="G42" s="3683">
        <f>GDP!AC582</f>
        <v>0</v>
      </c>
      <c r="H42" s="3682">
        <v>4.9054202214876108E-2</v>
      </c>
      <c r="I42" s="3683">
        <f>GDP!AD582</f>
        <v>3.4246575342465668E-2</v>
      </c>
      <c r="J42" s="3682">
        <v>4.9054202214875886E-2</v>
      </c>
      <c r="K42" s="3683">
        <f>GDP!AE582</f>
        <v>-0.15894039735099341</v>
      </c>
      <c r="L42" s="3682">
        <v>4.9054202214876108E-2</v>
      </c>
      <c r="M42" s="3683">
        <f>GDP!AF582</f>
        <v>0.53543307086614167</v>
      </c>
      <c r="N42" s="3682">
        <v>4.9054202214876108E-2</v>
      </c>
      <c r="O42" s="3683">
        <f>GDP!AG582</f>
        <v>9.2307692307692202E-2</v>
      </c>
      <c r="P42" s="3682">
        <v>4.9054202214876108E-2</v>
      </c>
      <c r="Q42" s="3683">
        <f>GDP!AH582</f>
        <v>0</v>
      </c>
      <c r="R42" s="3684">
        <f>GDP!AI582</f>
        <v>0.16901408450704225</v>
      </c>
      <c r="S42" s="3685">
        <v>6.0000000000000005E-2</v>
      </c>
      <c r="T42" s="3684">
        <f>GDP!AJ582</f>
        <v>-0.02</v>
      </c>
      <c r="U42" s="3685">
        <v>4.9209392838523769E-2</v>
      </c>
      <c r="V42" s="3684">
        <f>GDP!AK582</f>
        <v>4.9209392838523769E-2</v>
      </c>
      <c r="W42" s="3685">
        <v>3.1067515890123576E-2</v>
      </c>
      <c r="X42" s="3684">
        <f>GDP!AL582</f>
        <v>3.1067515890123576E-2</v>
      </c>
      <c r="Y42" s="3685">
        <v>3.7195023824234556E-2</v>
      </c>
      <c r="Z42" s="3684">
        <f>GDP!AM582</f>
        <v>2.8195023824234555E-2</v>
      </c>
      <c r="AA42" s="3685">
        <v>3.955746364876999E-2</v>
      </c>
      <c r="AB42" s="3684">
        <f>GDP!AN582</f>
        <v>3.0557463648769989E-2</v>
      </c>
      <c r="AC42" s="3685">
        <v>3.7107077554807785E-2</v>
      </c>
      <c r="AD42" s="3684">
        <f>GDP!AO582</f>
        <v>3.7107077554807785E-2</v>
      </c>
      <c r="AE42" s="3686">
        <f t="shared" si="0"/>
        <v>4.2356078959409953E-2</v>
      </c>
      <c r="AF42" s="3687">
        <f t="shared" si="0"/>
        <v>2.6022745626076611E-2</v>
      </c>
    </row>
    <row r="43" spans="1:32" ht="15.5" thickBot="1">
      <c r="A43" s="3727" t="s">
        <v>37</v>
      </c>
      <c r="B43" s="3698">
        <v>6.9739593094851005E-2</v>
      </c>
      <c r="C43" s="3699">
        <f>GDP!AA583</f>
        <v>6.8249258160237414E-2</v>
      </c>
      <c r="D43" s="3698">
        <v>5.5E-2</v>
      </c>
      <c r="E43" s="3699">
        <f>GDP!AB583</f>
        <v>5.2777777777777812E-2</v>
      </c>
      <c r="F43" s="3698">
        <v>5.5332998109193066E-2</v>
      </c>
      <c r="G43" s="3699">
        <f>GDP!AC583</f>
        <v>8.7071240105540904E-2</v>
      </c>
      <c r="H43" s="3698">
        <v>9.6677146367982206E-2</v>
      </c>
      <c r="I43" s="3699">
        <f>GDP!AD583</f>
        <v>8.4951456310679685E-2</v>
      </c>
      <c r="J43" s="3698">
        <v>0.11379083571667221</v>
      </c>
      <c r="K43" s="3699">
        <f>GDP!AE583</f>
        <v>-0.2505592841163311</v>
      </c>
      <c r="L43" s="3698">
        <v>0.11810811465773968</v>
      </c>
      <c r="M43" s="3699">
        <f>GDP!AF583</f>
        <v>0.45074626865671652</v>
      </c>
      <c r="N43" s="3698">
        <v>0.12778181897031743</v>
      </c>
      <c r="O43" s="3699">
        <f>GDP!AG583</f>
        <v>5.967078189300401E-2</v>
      </c>
      <c r="P43" s="3698">
        <v>0.13233818276438092</v>
      </c>
      <c r="Q43" s="3699">
        <f>GDP!AH583</f>
        <v>0.29320388349514559</v>
      </c>
      <c r="R43" s="3700">
        <f>GDP!AI583</f>
        <v>-3.9039039039039047E-2</v>
      </c>
      <c r="S43" s="3701">
        <v>7.8E-2</v>
      </c>
      <c r="T43" s="3700">
        <f>GDP!AJ583</f>
        <v>0.1487068965517242</v>
      </c>
      <c r="U43" s="3701">
        <v>9.7958906587277642E-2</v>
      </c>
      <c r="V43" s="3700">
        <f>GDP!AK583</f>
        <v>0.11563563072520869</v>
      </c>
      <c r="W43" s="3701">
        <v>0.10753093776084605</v>
      </c>
      <c r="X43" s="3700">
        <f>GDP!AL583</f>
        <v>0.12962684293325985</v>
      </c>
      <c r="Y43" s="3701">
        <v>7.1112701327271155E-2</v>
      </c>
      <c r="Z43" s="3700">
        <f>GDP!AM583</f>
        <v>8.8732582792788423E-2</v>
      </c>
      <c r="AA43" s="3701">
        <v>8.8650636418848711E-2</v>
      </c>
      <c r="AB43" s="3700">
        <f>GDP!AN583</f>
        <v>0.12067548825074528</v>
      </c>
      <c r="AC43" s="3701">
        <v>8.1313295523560883E-2</v>
      </c>
      <c r="AD43" s="3700">
        <f>GDP!AO583</f>
        <v>0.11366763617550055</v>
      </c>
      <c r="AE43" s="3702">
        <f t="shared" si="0"/>
        <v>8.742774626963408E-2</v>
      </c>
      <c r="AF43" s="3703">
        <f t="shared" si="0"/>
        <v>0.11950751290487116</v>
      </c>
    </row>
    <row r="44" spans="1:32" ht="15.5" thickBot="1">
      <c r="A44" s="3727"/>
      <c r="B44" s="3704"/>
      <c r="C44" s="3705"/>
      <c r="D44" s="3704"/>
      <c r="E44" s="3705"/>
      <c r="F44" s="3704"/>
      <c r="G44" s="3705"/>
      <c r="H44" s="3704"/>
      <c r="I44" s="3705"/>
      <c r="J44" s="3704"/>
      <c r="K44" s="3705"/>
      <c r="L44" s="3704"/>
      <c r="M44" s="3705"/>
      <c r="N44" s="3704"/>
      <c r="O44" s="3705"/>
      <c r="P44" s="3704"/>
      <c r="Q44" s="3705"/>
      <c r="R44" s="3706"/>
      <c r="S44" s="3706"/>
      <c r="T44" s="3706"/>
      <c r="U44" s="3706"/>
      <c r="V44" s="3706"/>
      <c r="W44" s="3706"/>
      <c r="X44" s="3706"/>
      <c r="Y44" s="3706"/>
      <c r="Z44" s="3706"/>
      <c r="AA44" s="3706"/>
      <c r="AB44" s="3706"/>
      <c r="AC44" s="3706"/>
      <c r="AD44" s="3706"/>
      <c r="AE44" s="3706"/>
      <c r="AF44" s="3706"/>
    </row>
    <row r="45" spans="1:32" ht="15.5" thickBot="1">
      <c r="A45" s="3728" t="s">
        <v>129</v>
      </c>
      <c r="B45" s="3707">
        <v>4.3621144181013261E-2</v>
      </c>
      <c r="C45" s="3708">
        <f>GDP!AA585</f>
        <v>4.3010752688172005E-2</v>
      </c>
      <c r="D45" s="3707">
        <v>3.7959132374827023E-2</v>
      </c>
      <c r="E45" s="3708">
        <f>GDP!AB585</f>
        <v>-2.5036818851251863E-2</v>
      </c>
      <c r="F45" s="3707">
        <v>6.6351935544742335E-2</v>
      </c>
      <c r="G45" s="3708">
        <f>GDP!AC585</f>
        <v>9.0634441087613205E-2</v>
      </c>
      <c r="H45" s="3707">
        <v>8.4934494580852143E-2</v>
      </c>
      <c r="I45" s="3708">
        <f>GDP!AD585</f>
        <v>0.15096952908587258</v>
      </c>
      <c r="J45" s="3707">
        <v>9.1460386589374498E-2</v>
      </c>
      <c r="K45" s="3708">
        <f>GDP!AE585</f>
        <v>-0.26835138387484958</v>
      </c>
      <c r="L45" s="3707">
        <v>9.9618475977238247E-2</v>
      </c>
      <c r="M45" s="3708">
        <f>GDP!AF585</f>
        <v>0.48519736842105265</v>
      </c>
      <c r="N45" s="3707">
        <v>0.10630373783529247</v>
      </c>
      <c r="O45" s="3708">
        <f>GDP!AG585</f>
        <v>5.2048726467331052E-2</v>
      </c>
      <c r="P45" s="3707">
        <v>0.1104854459870469</v>
      </c>
      <c r="Q45" s="3708">
        <f>GDP!AH585</f>
        <v>-4.0000000000000036E-2</v>
      </c>
      <c r="R45" s="3709">
        <f>GDP!AI585</f>
        <v>8.0043859649122862E-2</v>
      </c>
      <c r="S45" s="3710">
        <v>7.2084250751562134E-2</v>
      </c>
      <c r="T45" s="3709">
        <f>GDP!AJ585</f>
        <v>8.2084250751562129E-2</v>
      </c>
      <c r="U45" s="3710">
        <v>6.1753763530178571E-2</v>
      </c>
      <c r="V45" s="3709">
        <f>GDP!AK585</f>
        <v>6.9800841820287757E-2</v>
      </c>
      <c r="W45" s="3710">
        <v>6.4892917259097918E-2</v>
      </c>
      <c r="X45" s="3709">
        <f>GDP!AL585</f>
        <v>8.3854974509551983E-2</v>
      </c>
      <c r="Y45" s="3710">
        <v>6.2279963290262308E-2</v>
      </c>
      <c r="Z45" s="3709">
        <f>GDP!AM585</f>
        <v>7.4258105318198972E-2</v>
      </c>
      <c r="AA45" s="3710">
        <v>5.9173311380568028E-2</v>
      </c>
      <c r="AB45" s="3709">
        <f>GDP!AN585</f>
        <v>6.6421533875666086E-2</v>
      </c>
      <c r="AC45" s="3710">
        <v>5.7329010745976364E-2</v>
      </c>
      <c r="AD45" s="3709">
        <f>GDP!AO585</f>
        <v>6.6639773775680311E-2</v>
      </c>
      <c r="AE45" s="3711">
        <f t="shared" si="0"/>
        <v>6.2918869492940885E-2</v>
      </c>
      <c r="AF45" s="3712">
        <f t="shared" si="0"/>
        <v>7.3843246675157875E-2</v>
      </c>
    </row>
    <row r="46" spans="1:32">
      <c r="A46" s="3736"/>
      <c r="B46" s="3737"/>
      <c r="C46" s="3738"/>
      <c r="D46" s="3737"/>
      <c r="E46" s="3738"/>
      <c r="F46" s="3737"/>
      <c r="G46" s="3738"/>
      <c r="H46" s="3737"/>
      <c r="I46" s="3738"/>
      <c r="J46" s="3737"/>
      <c r="K46" s="3738"/>
      <c r="L46" s="3737"/>
      <c r="M46" s="3738"/>
      <c r="N46" s="3737"/>
      <c r="O46" s="3738"/>
      <c r="P46" s="3737"/>
      <c r="Q46" s="3738"/>
      <c r="R46" s="3713"/>
      <c r="S46" s="3739"/>
      <c r="T46" s="3713"/>
      <c r="U46" s="3739"/>
      <c r="V46" s="3713"/>
      <c r="W46" s="3737"/>
      <c r="X46" s="3713"/>
      <c r="Y46" s="3737"/>
      <c r="Z46" s="3713"/>
      <c r="AA46" s="3737"/>
      <c r="AB46" s="3713"/>
      <c r="AC46" s="3737"/>
      <c r="AD46" s="3738"/>
      <c r="AE46" s="3714"/>
      <c r="AF46" s="3715"/>
    </row>
    <row r="47" spans="1:32">
      <c r="A47" s="3740" t="s">
        <v>614</v>
      </c>
      <c r="B47" s="3741">
        <v>4.8940842341799407</v>
      </c>
      <c r="C47" s="3742">
        <f>GDP!AA1138</f>
        <v>5.338776442734483</v>
      </c>
      <c r="D47" s="3741">
        <v>6.4379211050086926</v>
      </c>
      <c r="E47" s="3742">
        <f>GDP!AB1138</f>
        <v>7.5386575911606357</v>
      </c>
      <c r="F47" s="3741">
        <v>4.2415119676582069</v>
      </c>
      <c r="G47" s="3742">
        <f>GDP!AC1138</f>
        <v>0.88708167844477881</v>
      </c>
      <c r="H47" s="3741">
        <v>4.995943767211064</v>
      </c>
      <c r="I47" s="3742">
        <f>GDP!AD1138</f>
        <v>4.1863130613343236</v>
      </c>
      <c r="J47" s="3741">
        <v>5.739578482237162</v>
      </c>
      <c r="K47" s="3742">
        <f>GDP!AE1138</f>
        <v>8.948881887775606</v>
      </c>
      <c r="L47" s="3741">
        <v>5.8160766275483722</v>
      </c>
      <c r="M47" s="3742">
        <f>GDP!AF1138</f>
        <v>2.4056635695296258</v>
      </c>
      <c r="N47" s="3741">
        <v>5.6873976028368745</v>
      </c>
      <c r="O47" s="3742">
        <f>GDP!AG1138</f>
        <v>15.932669108970575</v>
      </c>
      <c r="P47" s="3741">
        <v>5.7359085975097202</v>
      </c>
      <c r="Q47" s="3742">
        <f>GDP!AH1138</f>
        <v>11.708079766831304</v>
      </c>
      <c r="R47" s="3716">
        <f>GDP!AI1138</f>
        <v>8.150041745257731</v>
      </c>
      <c r="S47" s="3743">
        <v>7.0827548828866993</v>
      </c>
      <c r="T47" s="3716">
        <f>GDP!AJ1138</f>
        <v>6.1896921401419558</v>
      </c>
      <c r="U47" s="3743">
        <v>6.3029976011324873</v>
      </c>
      <c r="V47" s="3717">
        <f>GDP!AK1138</f>
        <v>9.5478318663174466</v>
      </c>
      <c r="W47" s="3744">
        <v>4.9586208163856282</v>
      </c>
      <c r="X47" s="3717">
        <f>GDP!AL1138</f>
        <v>3.6939514900300452</v>
      </c>
      <c r="Y47" s="3744">
        <v>4.978147010052214</v>
      </c>
      <c r="Z47" s="3717">
        <f>GDP!AM1138</f>
        <v>4.0141046872086417</v>
      </c>
      <c r="AA47" s="3744">
        <v>4.98683040291652</v>
      </c>
      <c r="AB47" s="3717">
        <f>GDP!AN1138</f>
        <v>5.009217676515032</v>
      </c>
      <c r="AC47" s="3744">
        <v>4.9871474587183107</v>
      </c>
      <c r="AD47" s="3717">
        <f>GDP!AO1138</f>
        <v>5.0215879930752383</v>
      </c>
      <c r="AE47" s="3744">
        <f t="shared" ref="AE47:AF49" si="1">AVERAGE(S47,U47,W47,Y47,AA47,AC47)</f>
        <v>5.5494163620153101</v>
      </c>
      <c r="AF47" s="3718">
        <f t="shared" si="1"/>
        <v>5.5793976422147269</v>
      </c>
    </row>
    <row r="48" spans="1:32">
      <c r="A48" s="3740" t="s">
        <v>1229</v>
      </c>
      <c r="B48" s="3745">
        <v>6617.6494483915276</v>
      </c>
      <c r="C48" s="3746">
        <f>GDP!AA1141</f>
        <v>6768</v>
      </c>
      <c r="D48" s="3745">
        <v>7411.447251075404</v>
      </c>
      <c r="E48" s="3746">
        <f>GDP!AB1141</f>
        <v>7621</v>
      </c>
      <c r="F48" s="3745">
        <v>8252.0419260571834</v>
      </c>
      <c r="G48" s="3746">
        <f>GDP!AC1141</f>
        <v>8309</v>
      </c>
      <c r="H48" s="3745">
        <v>9408.5164959424455</v>
      </c>
      <c r="I48" s="3746">
        <f>GDP!AD1141</f>
        <v>9460</v>
      </c>
      <c r="J48" s="3745">
        <v>10858.844028099813</v>
      </c>
      <c r="K48" s="3746">
        <f>GDP!AE1141</f>
        <v>7496</v>
      </c>
      <c r="L48" s="3745">
        <v>12627.355067511397</v>
      </c>
      <c r="M48" s="3746">
        <f>GDP!AF1141</f>
        <v>11125</v>
      </c>
      <c r="N48" s="3745">
        <v>14746.472304398445</v>
      </c>
      <c r="O48" s="3747">
        <f>GDP!AG1141</f>
        <v>14164</v>
      </c>
      <c r="P48" s="3745">
        <v>17308.610477832008</v>
      </c>
      <c r="Q48" s="3747">
        <f>GDP!AH1141</f>
        <v>17177</v>
      </c>
      <c r="R48" s="3719">
        <f>GDP!AI1141</f>
        <v>19918</v>
      </c>
      <c r="S48" s="3748">
        <v>26009.779524416415</v>
      </c>
      <c r="T48" s="3719">
        <f>GDP!AK1141</f>
        <v>27060.876625304532</v>
      </c>
      <c r="U48" s="3748">
        <v>22817.138291794421</v>
      </c>
      <c r="V48" s="3720">
        <f>GDP!AJ1141</f>
        <v>22796.029212071611</v>
      </c>
      <c r="W48" s="3749">
        <v>29374.069208489371</v>
      </c>
      <c r="X48" s="3720">
        <f>GDP!AL1141</f>
        <v>30570.449278210635</v>
      </c>
      <c r="Y48" s="3749">
        <v>32918.646106848813</v>
      </c>
      <c r="Z48" s="3720">
        <f>GDP!AM1141</f>
        <v>34496.333742051029</v>
      </c>
      <c r="AA48" s="3749">
        <v>36909.084291227351</v>
      </c>
      <c r="AB48" s="3720">
        <f>GDP!AN1141</f>
        <v>39098.663797754474</v>
      </c>
      <c r="AC48" s="3749">
        <v>41400.281199785488</v>
      </c>
      <c r="AD48" s="3720">
        <f>GDP!AO1141</f>
        <v>44493.465736773374</v>
      </c>
      <c r="AE48" s="3749">
        <f t="shared" si="1"/>
        <v>31571.499770426977</v>
      </c>
      <c r="AF48" s="3758">
        <f t="shared" si="1"/>
        <v>33085.96973202761</v>
      </c>
    </row>
    <row r="49" spans="1:32" ht="15.5" thickBot="1">
      <c r="A49" s="3750" t="s">
        <v>1228</v>
      </c>
      <c r="B49" s="3751">
        <v>6321</v>
      </c>
      <c r="C49" s="3752">
        <f>GDP!AA1103</f>
        <v>6424.5</v>
      </c>
      <c r="D49" s="3751">
        <v>7125</v>
      </c>
      <c r="E49" s="3752">
        <f>GDP!AB1103</f>
        <v>7194.5</v>
      </c>
      <c r="F49" s="3751">
        <v>7831.7445885662937</v>
      </c>
      <c r="G49" s="3752">
        <f>GDP!AC1103</f>
        <v>7965</v>
      </c>
      <c r="H49" s="3751">
        <v>8830.2792109998154</v>
      </c>
      <c r="I49" s="3752">
        <f>GDP!AD1103</f>
        <v>8884.5</v>
      </c>
      <c r="J49" s="3753">
        <v>10133.680262021129</v>
      </c>
      <c r="K49" s="3752">
        <f>GDP!AE1103</f>
        <v>8478</v>
      </c>
      <c r="L49" s="3751">
        <v>11743.099547805605</v>
      </c>
      <c r="M49" s="3752">
        <f>GDP!AF1103</f>
        <v>9310.5</v>
      </c>
      <c r="N49" s="3753">
        <v>13686.913685954922</v>
      </c>
      <c r="O49" s="3752">
        <f>GDP!AG1103</f>
        <v>12644.5</v>
      </c>
      <c r="P49" s="3753">
        <v>16027.541391115226</v>
      </c>
      <c r="Q49" s="3752">
        <f>GDP!AH1103</f>
        <v>15670.5</v>
      </c>
      <c r="R49" s="3754">
        <f>GDP!AI1103</f>
        <v>18547.5</v>
      </c>
      <c r="S49" s="3755">
        <v>24413.458908105418</v>
      </c>
      <c r="T49" s="3754">
        <f>GDP!AK1103</f>
        <v>24928.452918688072</v>
      </c>
      <c r="U49" s="3755">
        <v>21512</v>
      </c>
      <c r="V49" s="3756">
        <f>GDP!AJ1103</f>
        <v>21357.014606035806</v>
      </c>
      <c r="W49" s="3757">
        <v>27691.924366452891</v>
      </c>
      <c r="X49" s="3756">
        <f>GDP!AL1103</f>
        <v>28815.662951757586</v>
      </c>
      <c r="Y49" s="3757">
        <v>31146.35765766909</v>
      </c>
      <c r="Z49" s="3756">
        <f>GDP!AM1103</f>
        <v>32533.39151013083</v>
      </c>
      <c r="AA49" s="3757">
        <v>34913.865199038082</v>
      </c>
      <c r="AB49" s="3756">
        <f>GDP!AN1103</f>
        <v>36797.498769902755</v>
      </c>
      <c r="AC49" s="3757">
        <v>39154.682745506419</v>
      </c>
      <c r="AD49" s="3756">
        <f>GDP!AO1103</f>
        <v>41796.064767263924</v>
      </c>
      <c r="AE49" s="3757">
        <f t="shared" si="1"/>
        <v>29805.381479461987</v>
      </c>
      <c r="AF49" s="3759">
        <f t="shared" si="1"/>
        <v>31038.01425396316</v>
      </c>
    </row>
    <row r="50" spans="1:32" ht="15.5" thickBot="1">
      <c r="R50" s="2668"/>
      <c r="T50" s="230"/>
      <c r="V50" s="230"/>
      <c r="X50" s="230"/>
      <c r="Y50" s="3629"/>
      <c r="Z50" s="3632"/>
    </row>
    <row r="51" spans="1:32" ht="15.5" thickBot="1">
      <c r="A51" s="3642" t="s">
        <v>1717</v>
      </c>
      <c r="C51" s="1470">
        <f>C48-B48</f>
        <v>150.35055160847241</v>
      </c>
      <c r="D51" s="295"/>
      <c r="E51" s="1470">
        <f>E48-D48</f>
        <v>209.55274892459602</v>
      </c>
      <c r="F51" s="295"/>
      <c r="G51" s="1470">
        <f>G48-F48</f>
        <v>56.958073942816554</v>
      </c>
      <c r="H51" s="295"/>
      <c r="I51" s="1470">
        <f>I48-H48</f>
        <v>51.483504057554455</v>
      </c>
      <c r="J51" s="295"/>
      <c r="K51" s="1470">
        <f>K48-J48</f>
        <v>-3362.8440280998129</v>
      </c>
      <c r="L51" s="295"/>
      <c r="M51" s="1470">
        <f>M48-L48</f>
        <v>-1502.3550675113966</v>
      </c>
      <c r="N51" s="295"/>
      <c r="O51" s="1470"/>
      <c r="P51" s="295"/>
      <c r="Q51" s="1470"/>
      <c r="R51" s="3658">
        <v>2024</v>
      </c>
      <c r="S51" s="3658">
        <v>2025</v>
      </c>
      <c r="T51" s="3658">
        <v>2026</v>
      </c>
      <c r="U51" s="3658">
        <v>2027</v>
      </c>
      <c r="V51" s="3658">
        <v>2028</v>
      </c>
      <c r="W51" s="3658">
        <v>2029</v>
      </c>
      <c r="X51" s="3658">
        <v>2030</v>
      </c>
      <c r="Y51" s="3658" t="s">
        <v>1235</v>
      </c>
      <c r="Z51" s="3633"/>
      <c r="AA51" s="820"/>
      <c r="AB51" s="3633"/>
      <c r="AC51" s="3633"/>
      <c r="AD51" s="3633"/>
    </row>
    <row r="52" spans="1:32" ht="15.5" thickBot="1">
      <c r="A52" s="3642" t="s">
        <v>1713</v>
      </c>
      <c r="B52" s="3641">
        <v>4.7081451747783998E-2</v>
      </c>
      <c r="C52" s="3319">
        <v>8.0664483667438613E-2</v>
      </c>
      <c r="D52" s="229">
        <v>9.2823885891656133E-2</v>
      </c>
      <c r="E52" s="229">
        <v>-2.779468452018663E-2</v>
      </c>
      <c r="F52" s="229">
        <v>8.4168057874234758E-2</v>
      </c>
      <c r="G52" s="229">
        <v>9.8100859745925861E-2</v>
      </c>
      <c r="H52" s="229">
        <v>8.5597429155711335E-2</v>
      </c>
      <c r="I52" s="229">
        <v>7.2066738428417709E-2</v>
      </c>
      <c r="J52" s="3637">
        <v>6.4790197028237809E-2</v>
      </c>
      <c r="K52" s="3637">
        <v>6.3730814097485058E-2</v>
      </c>
      <c r="L52" s="3637">
        <v>6.6570211746895522E-2</v>
      </c>
      <c r="M52" s="3637">
        <v>6.460744511975279E-2</v>
      </c>
      <c r="N52" s="3637">
        <v>6.2622107876476041E-2</v>
      </c>
      <c r="O52" s="3637">
        <v>6.2824606073515782E-2</v>
      </c>
      <c r="P52" s="295"/>
      <c r="Q52" s="1470"/>
      <c r="R52" s="229">
        <v>7.2066738428417709E-2</v>
      </c>
      <c r="S52" s="3637">
        <v>6.5351608109017967E-2</v>
      </c>
      <c r="T52" s="3655">
        <v>6.386805287442128E-2</v>
      </c>
      <c r="U52" s="3655">
        <v>6.6668757062527631E-2</v>
      </c>
      <c r="V52" s="3637">
        <v>6.5626098242850706E-2</v>
      </c>
      <c r="W52" s="3637">
        <v>6.7221338564584773E-2</v>
      </c>
      <c r="X52" s="3637">
        <v>6.5641077214059415E-2</v>
      </c>
      <c r="Y52" s="3637">
        <f>AVERAGE(S52:W52)</f>
        <v>6.5747170970680474E-2</v>
      </c>
    </row>
    <row r="53" spans="1:32" ht="15.5" thickBot="1">
      <c r="A53" s="3642" t="s">
        <v>1712</v>
      </c>
      <c r="B53" s="2320">
        <f>B52</f>
        <v>4.7081451747783998E-2</v>
      </c>
      <c r="C53" s="2319">
        <f t="shared" ref="C53:I53" si="2">C52</f>
        <v>8.0664483667438613E-2</v>
      </c>
      <c r="D53" s="2319">
        <f t="shared" si="2"/>
        <v>9.2823885891656133E-2</v>
      </c>
      <c r="E53" s="2319">
        <f t="shared" si="2"/>
        <v>-2.779468452018663E-2</v>
      </c>
      <c r="F53" s="2319">
        <f t="shared" si="2"/>
        <v>8.4168057874234758E-2</v>
      </c>
      <c r="G53" s="2319">
        <f t="shared" si="2"/>
        <v>9.8100859745925861E-2</v>
      </c>
      <c r="H53" s="2319">
        <f t="shared" si="2"/>
        <v>8.5597429155711335E-2</v>
      </c>
      <c r="I53" s="2319">
        <f t="shared" si="2"/>
        <v>7.2066738428417709E-2</v>
      </c>
      <c r="J53" s="3638">
        <v>6.978353886191821E-2</v>
      </c>
      <c r="K53" s="3638">
        <v>7.2216276821581799E-2</v>
      </c>
      <c r="L53" s="3638">
        <v>7.5914424849149925E-2</v>
      </c>
      <c r="M53" s="3638">
        <v>6.6180644806328529E-2</v>
      </c>
      <c r="N53" s="3638">
        <v>6.1164122511104015E-2</v>
      </c>
      <c r="O53" s="3638">
        <v>6.5854848611010985E-2</v>
      </c>
      <c r="R53" s="2319">
        <f>GDP!AI546</f>
        <v>7.2189922480620172E-2</v>
      </c>
      <c r="S53" s="2319">
        <f>GDP!AJ546</f>
        <v>7.7782468776579336E-2</v>
      </c>
      <c r="T53" s="2319">
        <f>GDP!AK546</f>
        <v>8.3624635479302517E-2</v>
      </c>
      <c r="U53" s="2319">
        <f>GDP!AL546</f>
        <v>8.9448074270741265E-2</v>
      </c>
      <c r="V53" s="2319">
        <f>GDP!AM546</f>
        <v>8.4872958933530918E-2</v>
      </c>
      <c r="W53" s="2319">
        <f>GDP!AN546</f>
        <v>7.9348150624235281E-2</v>
      </c>
      <c r="X53" s="2319">
        <f>GDP!AO546</f>
        <v>8.3566922941106181E-2</v>
      </c>
      <c r="Y53" s="3638">
        <f>AVERAGE(S53:W53)</f>
        <v>8.3015257616877863E-2</v>
      </c>
    </row>
    <row r="54" spans="1:32" ht="15.5" thickBot="1">
      <c r="A54" s="3643" t="s">
        <v>1718</v>
      </c>
      <c r="R54" s="3639">
        <f t="shared" ref="R54:X54" si="3">R53-R52</f>
        <v>1.2318405220246298E-4</v>
      </c>
      <c r="S54" s="3640">
        <f t="shared" si="3"/>
        <v>1.2430860667561369E-2</v>
      </c>
      <c r="T54" s="3729">
        <f t="shared" si="3"/>
        <v>1.9756582604881237E-2</v>
      </c>
      <c r="U54" s="3729">
        <f t="shared" si="3"/>
        <v>2.2779317208213634E-2</v>
      </c>
      <c r="V54" s="3640">
        <f t="shared" si="3"/>
        <v>1.9246860690680212E-2</v>
      </c>
      <c r="W54" s="3640">
        <f t="shared" si="3"/>
        <v>1.2126812059650507E-2</v>
      </c>
      <c r="X54" s="3640">
        <f t="shared" si="3"/>
        <v>1.7925845727046766E-2</v>
      </c>
      <c r="Y54" s="3638">
        <f>AVERAGE(S54:W54)</f>
        <v>1.7268086646197393E-2</v>
      </c>
    </row>
    <row r="55" spans="1:32" ht="15.5" thickBot="1"/>
    <row r="56" spans="1:32" ht="15.5" thickBot="1">
      <c r="A56" s="3650"/>
      <c r="B56" s="4"/>
      <c r="C56" s="4"/>
      <c r="D56" s="4"/>
      <c r="E56" s="4"/>
      <c r="F56" s="4"/>
      <c r="G56" s="4"/>
      <c r="H56" s="4"/>
      <c r="I56" s="4"/>
      <c r="J56" s="4"/>
      <c r="K56" s="4"/>
      <c r="L56" s="4"/>
      <c r="M56" s="4"/>
      <c r="N56" s="4"/>
      <c r="O56" s="4"/>
      <c r="P56" s="4"/>
      <c r="Q56" s="4"/>
    </row>
    <row r="57" spans="1:32" ht="15.5" thickBot="1">
      <c r="A57" s="3760" t="s">
        <v>1714</v>
      </c>
      <c r="B57" s="4"/>
      <c r="C57" s="4"/>
      <c r="D57" s="4"/>
      <c r="E57" s="4"/>
      <c r="F57" s="4"/>
      <c r="G57" s="4"/>
      <c r="H57" s="4"/>
      <c r="I57" s="4"/>
      <c r="J57" s="4"/>
      <c r="K57" s="4"/>
      <c r="L57" s="4"/>
      <c r="M57" s="4"/>
      <c r="N57" s="4"/>
      <c r="O57" s="4"/>
      <c r="P57" s="4"/>
      <c r="Q57" s="4"/>
      <c r="R57" s="3651"/>
      <c r="S57" s="3658">
        <v>2025</v>
      </c>
      <c r="T57" s="3658">
        <v>2026</v>
      </c>
      <c r="U57" s="3658">
        <v>2027</v>
      </c>
      <c r="V57" s="3658">
        <v>2028</v>
      </c>
      <c r="W57" s="3658">
        <v>2029</v>
      </c>
      <c r="Y57" s="834"/>
      <c r="Z57" s="3734"/>
    </row>
    <row r="58" spans="1:32" ht="15.5" thickBot="1">
      <c r="A58" s="3761" t="s">
        <v>1715</v>
      </c>
      <c r="S58" s="3644">
        <v>0.25408928049318824</v>
      </c>
      <c r="T58" s="3645">
        <v>0.58911232342436914</v>
      </c>
      <c r="U58" s="3645">
        <v>0.34054263153571451</v>
      </c>
      <c r="V58" s="3646">
        <v>1.7571729536252079E-3</v>
      </c>
      <c r="W58" s="3646">
        <v>-9.6627747047003609E-2</v>
      </c>
    </row>
    <row r="59" spans="1:32" ht="15.5" thickBot="1">
      <c r="A59" s="3761" t="s">
        <v>1716</v>
      </c>
      <c r="S59" s="3644">
        <v>0.49933418336804003</v>
      </c>
      <c r="T59" s="3645">
        <v>0.84854627240967329</v>
      </c>
      <c r="U59" s="3645">
        <v>0.93442131022544039</v>
      </c>
      <c r="V59" s="3646">
        <v>0.15731996865757392</v>
      </c>
      <c r="W59" s="3646">
        <v>-0.14579853653720232</v>
      </c>
    </row>
    <row r="60" spans="1:32" ht="15.5" thickBot="1">
      <c r="A60" s="3762" t="s">
        <v>1718</v>
      </c>
      <c r="B60" s="9"/>
      <c r="C60" s="9"/>
      <c r="D60" s="9"/>
      <c r="E60" s="9"/>
      <c r="F60" s="9"/>
      <c r="G60" s="9"/>
      <c r="H60" s="9"/>
      <c r="I60" s="9"/>
      <c r="J60" s="9"/>
      <c r="K60" s="9"/>
      <c r="L60" s="9"/>
      <c r="M60" s="9"/>
      <c r="N60" s="9"/>
      <c r="O60" s="9"/>
      <c r="P60" s="9"/>
      <c r="Q60" s="9"/>
      <c r="R60" s="3652"/>
      <c r="S60" s="3647">
        <f>S59-S58</f>
        <v>0.24524490287485179</v>
      </c>
      <c r="T60" s="3648">
        <f>T59-T58</f>
        <v>0.25943394898530414</v>
      </c>
      <c r="U60" s="3648">
        <f>U59-U58</f>
        <v>0.59387867868972588</v>
      </c>
      <c r="V60" s="3647">
        <f>V59-V58</f>
        <v>0.15556279570394871</v>
      </c>
      <c r="W60" s="3649">
        <f>W59-W58</f>
        <v>-4.9170789490198707E-2</v>
      </c>
    </row>
  </sheetData>
  <mergeCells count="16">
    <mergeCell ref="A4:A5"/>
    <mergeCell ref="B4:C4"/>
    <mergeCell ref="D4:E4"/>
    <mergeCell ref="F4:G4"/>
    <mergeCell ref="P4:Q4"/>
    <mergeCell ref="H4:I4"/>
    <mergeCell ref="J4:K4"/>
    <mergeCell ref="L4:M4"/>
    <mergeCell ref="N4:O4"/>
    <mergeCell ref="AE4:AF4"/>
    <mergeCell ref="AA4:AB4"/>
    <mergeCell ref="S4:T4"/>
    <mergeCell ref="U4:V4"/>
    <mergeCell ref="W4:X4"/>
    <mergeCell ref="Y4:Z4"/>
    <mergeCell ref="AC4:AD4"/>
  </mergeCells>
  <phoneticPr fontId="32" type="noConversion"/>
  <pageMargins left="0.7" right="0.7" top="0.75" bottom="0.75" header="0.3" footer="0.3"/>
  <pageSetup scale="66" orientation="landscape" horizontalDpi="4294967295" verticalDpi="4294967295"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A6DFB-8C0F-4FCD-9952-EDCE0A9BFC25}">
  <sheetPr codeName="Sheet9"/>
  <dimension ref="A1:CN93"/>
  <sheetViews>
    <sheetView topLeftCell="M1" zoomScaleNormal="100" workbookViewId="0">
      <selection activeCell="K4" sqref="K4"/>
    </sheetView>
  </sheetViews>
  <sheetFormatPr defaultRowHeight="14.75" outlineLevelCol="1"/>
  <cols>
    <col min="1" max="2" width="5.08984375" customWidth="1"/>
    <col min="3" max="3" width="1.90625" bestFit="1" customWidth="1"/>
    <col min="4" max="4" width="48.6328125" customWidth="1"/>
    <col min="5" max="5" width="45" style="1847" customWidth="1"/>
    <col min="6" max="6" width="10.08984375" customWidth="1" outlineLevel="1"/>
    <col min="7" max="8" width="8.7265625" customWidth="1" outlineLevel="1"/>
    <col min="9" max="9" width="6" customWidth="1" outlineLevel="1"/>
    <col min="10" max="21" width="9.453125" customWidth="1" outlineLevel="1"/>
    <col min="22" max="40" width="9.6328125" customWidth="1"/>
    <col min="41" max="41" width="9.6328125" style="2" customWidth="1"/>
    <col min="42" max="63" width="9.6328125" customWidth="1"/>
    <col min="64" max="66" width="9.36328125" customWidth="1"/>
    <col min="67" max="85" width="9.7265625" bestFit="1" customWidth="1"/>
    <col min="92" max="92" width="3.7265625" bestFit="1" customWidth="1"/>
  </cols>
  <sheetData>
    <row r="1" spans="3:85">
      <c r="D1" s="1471" t="s">
        <v>1380</v>
      </c>
      <c r="AH1" s="173"/>
    </row>
    <row r="2" spans="3:85">
      <c r="D2" s="1842" t="s">
        <v>1393</v>
      </c>
      <c r="E2" s="2025" t="s">
        <v>1467</v>
      </c>
      <c r="AH2" s="173"/>
    </row>
    <row r="3" spans="3:85" ht="20.5" customHeight="1">
      <c r="D3" s="2015" t="s">
        <v>1463</v>
      </c>
      <c r="E3" s="2016"/>
      <c r="F3" s="2017"/>
      <c r="G3" s="2018"/>
      <c r="H3" s="2018"/>
      <c r="I3" s="2018"/>
      <c r="J3" s="2018">
        <f t="shared" ref="J3:T3" si="0">+K3-1</f>
        <v>1999</v>
      </c>
      <c r="K3" s="2018">
        <f t="shared" si="0"/>
        <v>2000</v>
      </c>
      <c r="L3" s="2018">
        <f t="shared" si="0"/>
        <v>2001</v>
      </c>
      <c r="M3" s="2018">
        <f t="shared" si="0"/>
        <v>2002</v>
      </c>
      <c r="N3" s="2018">
        <f t="shared" si="0"/>
        <v>2003</v>
      </c>
      <c r="O3" s="2018">
        <f t="shared" si="0"/>
        <v>2004</v>
      </c>
      <c r="P3" s="2018">
        <f t="shared" si="0"/>
        <v>2005</v>
      </c>
      <c r="Q3" s="2018">
        <f t="shared" si="0"/>
        <v>2006</v>
      </c>
      <c r="R3" s="2018">
        <f t="shared" si="0"/>
        <v>2007</v>
      </c>
      <c r="S3" s="2018">
        <f t="shared" si="0"/>
        <v>2008</v>
      </c>
      <c r="T3" s="2018">
        <f t="shared" si="0"/>
        <v>2009</v>
      </c>
      <c r="U3" s="2018">
        <f>+V3-1</f>
        <v>2010</v>
      </c>
      <c r="V3" s="2018">
        <v>2011</v>
      </c>
      <c r="W3" s="2018">
        <f>+V3+1</f>
        <v>2012</v>
      </c>
      <c r="X3" s="2018">
        <f t="shared" ref="X3:BK3" si="1">+W3+1</f>
        <v>2013</v>
      </c>
      <c r="Y3" s="2018">
        <f t="shared" si="1"/>
        <v>2014</v>
      </c>
      <c r="Z3" s="2019">
        <f t="shared" si="1"/>
        <v>2015</v>
      </c>
      <c r="AA3" s="2019">
        <f t="shared" si="1"/>
        <v>2016</v>
      </c>
      <c r="AB3" s="2019">
        <f t="shared" si="1"/>
        <v>2017</v>
      </c>
      <c r="AC3" s="2019">
        <f t="shared" si="1"/>
        <v>2018</v>
      </c>
      <c r="AD3" s="2019">
        <f t="shared" si="1"/>
        <v>2019</v>
      </c>
      <c r="AE3" s="2019">
        <f t="shared" si="1"/>
        <v>2020</v>
      </c>
      <c r="AF3" s="2019">
        <f t="shared" si="1"/>
        <v>2021</v>
      </c>
      <c r="AG3" s="2019">
        <f t="shared" si="1"/>
        <v>2022</v>
      </c>
      <c r="AH3" s="2020">
        <f t="shared" si="1"/>
        <v>2023</v>
      </c>
      <c r="AI3" s="2021">
        <f t="shared" si="1"/>
        <v>2024</v>
      </c>
      <c r="AJ3" s="2021">
        <f t="shared" si="1"/>
        <v>2025</v>
      </c>
      <c r="AK3" s="2021">
        <f t="shared" si="1"/>
        <v>2026</v>
      </c>
      <c r="AL3" s="2021">
        <f t="shared" si="1"/>
        <v>2027</v>
      </c>
      <c r="AM3" s="2021">
        <f t="shared" si="1"/>
        <v>2028</v>
      </c>
      <c r="AN3" s="2021">
        <f t="shared" si="1"/>
        <v>2029</v>
      </c>
      <c r="AO3" s="2021">
        <f t="shared" si="1"/>
        <v>2030</v>
      </c>
      <c r="AP3" s="2019">
        <f t="shared" si="1"/>
        <v>2031</v>
      </c>
      <c r="AQ3" s="2019">
        <f t="shared" si="1"/>
        <v>2032</v>
      </c>
      <c r="AR3" s="2019">
        <f t="shared" si="1"/>
        <v>2033</v>
      </c>
      <c r="AS3" s="2019">
        <f t="shared" si="1"/>
        <v>2034</v>
      </c>
      <c r="AT3" s="2019">
        <f t="shared" si="1"/>
        <v>2035</v>
      </c>
      <c r="AU3" s="2019">
        <f t="shared" si="1"/>
        <v>2036</v>
      </c>
      <c r="AV3" s="2019">
        <f t="shared" si="1"/>
        <v>2037</v>
      </c>
      <c r="AW3" s="2019">
        <f t="shared" si="1"/>
        <v>2038</v>
      </c>
      <c r="AX3" s="2019">
        <f t="shared" si="1"/>
        <v>2039</v>
      </c>
      <c r="AY3" s="2019">
        <f t="shared" si="1"/>
        <v>2040</v>
      </c>
      <c r="AZ3" s="2019">
        <f t="shared" si="1"/>
        <v>2041</v>
      </c>
      <c r="BA3" s="2019">
        <f t="shared" si="1"/>
        <v>2042</v>
      </c>
      <c r="BB3" s="2019">
        <f t="shared" si="1"/>
        <v>2043</v>
      </c>
      <c r="BC3" s="2019">
        <f t="shared" si="1"/>
        <v>2044</v>
      </c>
      <c r="BD3" s="2019">
        <f t="shared" si="1"/>
        <v>2045</v>
      </c>
      <c r="BE3" s="2019">
        <f t="shared" si="1"/>
        <v>2046</v>
      </c>
      <c r="BF3" s="2019">
        <f t="shared" si="1"/>
        <v>2047</v>
      </c>
      <c r="BG3" s="2019">
        <f t="shared" si="1"/>
        <v>2048</v>
      </c>
      <c r="BH3" s="2019">
        <f t="shared" si="1"/>
        <v>2049</v>
      </c>
      <c r="BI3" s="2019">
        <f t="shared" si="1"/>
        <v>2050</v>
      </c>
      <c r="BJ3" s="2019">
        <f t="shared" si="1"/>
        <v>2051</v>
      </c>
      <c r="BK3" s="2019">
        <f t="shared" si="1"/>
        <v>2052</v>
      </c>
    </row>
    <row r="4" spans="3:85" ht="20.25" customHeight="1">
      <c r="C4" s="1784">
        <v>1</v>
      </c>
      <c r="D4" s="2013" t="s">
        <v>1464</v>
      </c>
      <c r="E4" s="2023" t="s">
        <v>1466</v>
      </c>
      <c r="F4" s="1749"/>
      <c r="G4" s="1749"/>
      <c r="H4" s="1749"/>
      <c r="I4" s="1749"/>
      <c r="J4" s="2053">
        <v>7.5</v>
      </c>
      <c r="K4" s="2053">
        <v>7.7</v>
      </c>
      <c r="L4" s="2053">
        <v>7.9</v>
      </c>
      <c r="M4" s="2053">
        <v>8.1</v>
      </c>
      <c r="N4" s="2053">
        <v>8.3000000000000007</v>
      </c>
      <c r="O4" s="2053">
        <v>8.6</v>
      </c>
      <c r="P4" s="2053">
        <v>8.8000000000000007</v>
      </c>
      <c r="Q4" s="2053">
        <v>9</v>
      </c>
      <c r="R4" s="2053">
        <v>9.1999999999999993</v>
      </c>
      <c r="S4" s="2053">
        <v>9.5</v>
      </c>
      <c r="T4" s="2053">
        <v>9.6999999999999993</v>
      </c>
      <c r="U4" s="2053">
        <v>10</v>
      </c>
      <c r="V4" s="2053">
        <v>10.199999999999999</v>
      </c>
      <c r="W4" s="2053">
        <v>10.5</v>
      </c>
      <c r="X4" s="2053">
        <v>10.7</v>
      </c>
      <c r="Y4" s="2053">
        <v>11</v>
      </c>
      <c r="Z4" s="2053">
        <v>11.3</v>
      </c>
      <c r="AA4" s="2054">
        <v>11.5</v>
      </c>
      <c r="AB4" s="2054">
        <v>11.8</v>
      </c>
      <c r="AC4" s="2054">
        <v>12.1</v>
      </c>
      <c r="AD4" s="2054">
        <v>12.4</v>
      </c>
      <c r="AE4" s="2055">
        <v>12.7</v>
      </c>
      <c r="AF4" s="2055">
        <v>13</v>
      </c>
      <c r="AG4" s="2055">
        <v>13.206731</v>
      </c>
      <c r="AH4" s="2056">
        <v>13.499656</v>
      </c>
      <c r="AI4" s="2054">
        <v>13.798560999999999</v>
      </c>
      <c r="AJ4" s="2054">
        <v>14.104965</v>
      </c>
      <c r="AK4" s="2054">
        <v>14.418145000000001</v>
      </c>
      <c r="AL4" s="2054">
        <v>14.737803</v>
      </c>
      <c r="AM4" s="2054">
        <v>15.063639999999999</v>
      </c>
      <c r="AN4" s="2054">
        <v>15.395339</v>
      </c>
      <c r="AO4" s="2057">
        <v>15.732628999999999</v>
      </c>
      <c r="AP4" s="2058">
        <v>16.075281</v>
      </c>
      <c r="AQ4" s="2058">
        <v>16.423064</v>
      </c>
      <c r="AR4" s="2058">
        <v>16.775708000000002</v>
      </c>
      <c r="AS4" s="2058">
        <v>17.132898999999998</v>
      </c>
      <c r="AT4" s="2058">
        <v>17.494219000000001</v>
      </c>
      <c r="AU4" s="2059">
        <v>17.858979000000001</v>
      </c>
      <c r="AV4" s="2059">
        <v>18.226565000000001</v>
      </c>
      <c r="AW4" s="2059">
        <v>18.596391000000001</v>
      </c>
      <c r="AX4" s="2059">
        <v>18.968311</v>
      </c>
      <c r="AY4" s="2059">
        <v>19.341761999999999</v>
      </c>
      <c r="AZ4" s="2059">
        <v>19.716059000000001</v>
      </c>
      <c r="BA4" s="2059">
        <v>20.090630000000001</v>
      </c>
      <c r="BB4" s="2059">
        <v>20.465139000000001</v>
      </c>
      <c r="BC4" s="2059">
        <v>20.839343</v>
      </c>
      <c r="BD4" s="2059">
        <v>21.212882</v>
      </c>
      <c r="BE4" s="2059">
        <v>21.585415000000001</v>
      </c>
      <c r="BF4" s="2059">
        <v>21.95664</v>
      </c>
      <c r="BG4" s="2059">
        <v>22.326433000000002</v>
      </c>
      <c r="BH4" s="2059">
        <v>22.694773999999999</v>
      </c>
      <c r="BI4" s="2059">
        <v>23.061561000000001</v>
      </c>
      <c r="BJ4" s="2059">
        <v>23.426776</v>
      </c>
      <c r="BK4" s="2060">
        <v>23.790420000000001</v>
      </c>
    </row>
    <row r="5" spans="3:85" ht="28.5" customHeight="1">
      <c r="C5" s="1784">
        <f>+C4+1</f>
        <v>2</v>
      </c>
      <c r="D5" s="2012" t="s">
        <v>1410</v>
      </c>
      <c r="E5" s="2007" t="s">
        <v>1437</v>
      </c>
      <c r="K5" s="1967">
        <v>5.8</v>
      </c>
      <c r="L5" s="1968"/>
      <c r="M5" s="1968"/>
      <c r="N5" s="1968"/>
      <c r="O5" s="1968"/>
      <c r="P5" s="1969">
        <v>6</v>
      </c>
      <c r="Q5" s="1967">
        <v>6</v>
      </c>
      <c r="R5" s="1967">
        <v>5.5</v>
      </c>
      <c r="S5">
        <v>5.5</v>
      </c>
      <c r="T5" s="1967"/>
      <c r="U5" s="1967">
        <v>4.5999999999999996</v>
      </c>
      <c r="V5" s="1967">
        <v>4.5999999999999996</v>
      </c>
      <c r="W5" s="1967"/>
      <c r="X5" s="1967"/>
      <c r="Y5" s="1967">
        <v>4.2</v>
      </c>
      <c r="Z5" s="1967">
        <v>4.2</v>
      </c>
      <c r="AA5" s="1967"/>
      <c r="AB5" s="1967"/>
      <c r="AC5" s="1967"/>
      <c r="AD5" s="1967">
        <v>4.0999999999999996</v>
      </c>
      <c r="AE5" s="1967">
        <v>4.0999999999999996</v>
      </c>
      <c r="AF5" s="1967"/>
      <c r="AG5" s="1967">
        <v>3.6</v>
      </c>
      <c r="AH5" s="1978">
        <v>3.57</v>
      </c>
      <c r="AI5" s="1977">
        <v>3.53</v>
      </c>
      <c r="AJ5" s="1977">
        <v>3.5</v>
      </c>
      <c r="AK5" s="1977">
        <v>3.47</v>
      </c>
      <c r="AL5">
        <v>3.43</v>
      </c>
      <c r="AM5">
        <v>3.4</v>
      </c>
      <c r="AN5" s="1469">
        <v>3.37</v>
      </c>
      <c r="AO5">
        <v>3.33</v>
      </c>
      <c r="AP5" s="1469">
        <v>3.3</v>
      </c>
      <c r="AQ5">
        <v>3.27</v>
      </c>
      <c r="AR5" s="1469">
        <v>3.23</v>
      </c>
      <c r="AS5" s="1970">
        <v>3.2</v>
      </c>
      <c r="AT5" s="1469">
        <v>3.17</v>
      </c>
      <c r="AU5">
        <v>3.13</v>
      </c>
      <c r="AV5" s="1469">
        <v>3.1</v>
      </c>
      <c r="AW5" s="1979">
        <v>3.07</v>
      </c>
      <c r="AX5" s="1980">
        <v>3.03</v>
      </c>
      <c r="AY5" s="50">
        <v>3</v>
      </c>
      <c r="AZ5" s="1980">
        <v>2.97</v>
      </c>
      <c r="BA5" s="1971">
        <v>2.93</v>
      </c>
      <c r="BB5" s="1469">
        <v>2.9</v>
      </c>
      <c r="BC5">
        <v>2.87</v>
      </c>
      <c r="BD5" s="1469">
        <v>2.83</v>
      </c>
      <c r="BE5" s="1971">
        <v>2.8</v>
      </c>
      <c r="BF5" s="1469">
        <v>2.77</v>
      </c>
      <c r="BG5">
        <v>2.73</v>
      </c>
      <c r="BH5" s="1469">
        <v>2.7</v>
      </c>
      <c r="BI5" s="1971">
        <v>2.67</v>
      </c>
      <c r="BJ5" s="1469">
        <v>2.63</v>
      </c>
      <c r="BK5">
        <v>2.6</v>
      </c>
      <c r="BL5" s="1971"/>
    </row>
    <row r="6" spans="3:85">
      <c r="C6" s="1784">
        <f>+C5+1</f>
        <v>3</v>
      </c>
      <c r="D6" s="2012" t="s">
        <v>1457</v>
      </c>
      <c r="E6" s="1658"/>
      <c r="J6" s="1973"/>
      <c r="K6" s="1974"/>
      <c r="L6" s="1974"/>
      <c r="M6" s="1974">
        <v>41.2</v>
      </c>
      <c r="N6" s="1974"/>
      <c r="O6" s="1974"/>
      <c r="P6" s="1976"/>
      <c r="Q6" s="1974"/>
      <c r="R6" s="1974">
        <v>39.200000000000003</v>
      </c>
      <c r="S6" s="1974"/>
      <c r="T6" s="1974"/>
      <c r="U6" s="1974">
        <v>34.4</v>
      </c>
      <c r="V6" s="1974"/>
      <c r="W6" s="1974">
        <v>30.9</v>
      </c>
      <c r="X6" s="1974"/>
      <c r="Y6" s="1974"/>
      <c r="Z6" s="1974">
        <v>32.6</v>
      </c>
      <c r="AA6" s="1974"/>
      <c r="AB6" s="1974"/>
      <c r="AC6" s="1974"/>
      <c r="AD6" s="1974"/>
      <c r="AE6" s="1974"/>
      <c r="AF6" s="1974"/>
      <c r="AG6" s="1984">
        <v>27.8</v>
      </c>
      <c r="AH6" s="1997">
        <v>27.5</v>
      </c>
      <c r="AI6" s="1986">
        <v>27.4</v>
      </c>
      <c r="AJ6" s="1986">
        <v>27.2</v>
      </c>
      <c r="AK6" s="1986">
        <v>27.1</v>
      </c>
      <c r="AL6" s="1986">
        <v>27</v>
      </c>
      <c r="AM6" s="1998">
        <v>26.8</v>
      </c>
      <c r="AN6" s="1998">
        <v>26.7</v>
      </c>
      <c r="AO6" s="1998">
        <v>26.5</v>
      </c>
      <c r="AP6" s="1982">
        <v>26.3</v>
      </c>
      <c r="AQ6" s="1982">
        <v>26.1</v>
      </c>
      <c r="AR6" s="1982">
        <v>25.9</v>
      </c>
      <c r="AS6" s="1982">
        <v>25.6</v>
      </c>
      <c r="AT6" s="1982">
        <v>25.4</v>
      </c>
      <c r="AU6" s="1982">
        <v>25.1</v>
      </c>
      <c r="AV6" s="1982">
        <v>24.8</v>
      </c>
      <c r="AW6" s="1982">
        <v>24.5</v>
      </c>
      <c r="AX6" s="1982">
        <v>24.2</v>
      </c>
      <c r="AY6" s="1982">
        <v>23.8</v>
      </c>
      <c r="AZ6" s="1982">
        <v>23.5</v>
      </c>
      <c r="BA6" s="1982">
        <v>23.1</v>
      </c>
      <c r="BB6" s="1982">
        <v>22.7</v>
      </c>
      <c r="BC6" s="1982">
        <v>22.3</v>
      </c>
      <c r="BD6" s="1982">
        <v>21.9</v>
      </c>
      <c r="BE6" s="1982">
        <v>21.6</v>
      </c>
      <c r="BF6" s="1982">
        <v>21.2</v>
      </c>
      <c r="BG6" s="1982">
        <v>20.8</v>
      </c>
      <c r="BH6" s="1982">
        <v>20.5</v>
      </c>
      <c r="BI6" s="1982">
        <v>20.2</v>
      </c>
      <c r="BJ6" s="1982">
        <v>19.899999999999999</v>
      </c>
      <c r="BK6" s="1982">
        <v>19.600000000000001</v>
      </c>
    </row>
    <row r="7" spans="3:85" ht="13.45" customHeight="1">
      <c r="C7" s="1784">
        <f>+C6+1</f>
        <v>4</v>
      </c>
      <c r="D7" s="2012" t="s">
        <v>1458</v>
      </c>
      <c r="E7" s="1658"/>
      <c r="J7" s="1973"/>
      <c r="K7" s="1974"/>
      <c r="L7" s="1974"/>
      <c r="M7" s="1974"/>
      <c r="N7" s="1974"/>
      <c r="O7" s="1974"/>
      <c r="P7" s="1974"/>
      <c r="Q7" s="1974"/>
      <c r="R7" s="1974"/>
      <c r="S7" s="1974"/>
      <c r="T7" s="1974"/>
      <c r="U7" s="1974"/>
      <c r="V7" s="1974"/>
      <c r="W7" s="1974"/>
      <c r="X7" s="1974"/>
      <c r="Y7" s="1974"/>
      <c r="Z7" s="1974"/>
      <c r="AA7" s="1974"/>
      <c r="AB7" s="1974"/>
      <c r="AC7" s="1974"/>
      <c r="AD7" s="1974"/>
      <c r="AE7" s="1974"/>
      <c r="AF7" s="1974"/>
      <c r="AG7" s="1998">
        <v>6.3</v>
      </c>
      <c r="AH7" s="1998">
        <v>5.8</v>
      </c>
      <c r="AI7" s="1998">
        <v>5.7</v>
      </c>
      <c r="AJ7" s="1998">
        <v>5.5</v>
      </c>
      <c r="AK7" s="1998">
        <v>5.4</v>
      </c>
      <c r="AL7" s="1998">
        <v>5.3</v>
      </c>
      <c r="AM7" s="1998">
        <v>5.2</v>
      </c>
      <c r="AN7" s="1998">
        <v>5.0999999999999996</v>
      </c>
      <c r="AO7" s="1998">
        <v>5</v>
      </c>
      <c r="AP7" s="1982">
        <v>5</v>
      </c>
      <c r="AQ7" s="1982">
        <v>4.9000000000000004</v>
      </c>
      <c r="AR7" s="1982">
        <v>4.8</v>
      </c>
      <c r="AS7" s="1982">
        <v>4.8</v>
      </c>
      <c r="AT7" s="1982">
        <v>4.7</v>
      </c>
      <c r="AU7" s="1982">
        <v>4.7</v>
      </c>
      <c r="AV7" s="1982">
        <v>4.5999999999999996</v>
      </c>
      <c r="AW7" s="1982">
        <v>4.5999999999999996</v>
      </c>
      <c r="AX7" s="1982">
        <v>4.5999999999999996</v>
      </c>
      <c r="AY7" s="1982">
        <v>4.5</v>
      </c>
      <c r="AZ7" s="1982">
        <v>4.5</v>
      </c>
      <c r="BA7" s="1982">
        <v>4.5</v>
      </c>
      <c r="BB7" s="1982">
        <v>4.4000000000000004</v>
      </c>
      <c r="BC7" s="1982">
        <v>4.4000000000000004</v>
      </c>
      <c r="BD7" s="1982">
        <v>4.3</v>
      </c>
      <c r="BE7" s="1982">
        <v>4.3</v>
      </c>
      <c r="BF7" s="1982">
        <v>4.3</v>
      </c>
      <c r="BG7" s="1982">
        <v>4.3</v>
      </c>
      <c r="BH7" s="1982">
        <v>4.3</v>
      </c>
      <c r="BI7" s="1982">
        <v>4.3</v>
      </c>
      <c r="BJ7" s="1982">
        <v>4.3</v>
      </c>
      <c r="BK7" s="1982">
        <v>4.3</v>
      </c>
    </row>
    <row r="8" spans="3:85" s="1982" customFormat="1" ht="22" customHeight="1">
      <c r="C8" s="1784">
        <f>+C7+1</f>
        <v>5</v>
      </c>
      <c r="D8" s="2012" t="s">
        <v>1435</v>
      </c>
      <c r="E8" s="3888" t="s">
        <v>1456</v>
      </c>
      <c r="J8" s="1983"/>
      <c r="K8" s="1984"/>
      <c r="L8" s="1984"/>
      <c r="M8" s="1984"/>
      <c r="N8" s="1984"/>
      <c r="O8" s="1984"/>
      <c r="P8" s="1984"/>
      <c r="Q8" s="1984"/>
      <c r="R8" s="1984"/>
      <c r="S8" s="1984"/>
      <c r="T8" s="1984"/>
      <c r="U8" s="1984"/>
      <c r="V8" s="1984"/>
      <c r="W8" s="1984"/>
      <c r="X8" s="1984"/>
      <c r="Y8" s="1984"/>
      <c r="Z8" s="1984"/>
      <c r="AA8" s="1984"/>
      <c r="AB8" s="1984"/>
      <c r="AC8" s="1984"/>
      <c r="AD8" s="1984"/>
      <c r="AE8" s="1984"/>
      <c r="AF8" s="1984"/>
      <c r="AG8" s="1982">
        <v>69.599999999999994</v>
      </c>
      <c r="AH8" s="1982">
        <v>69.7</v>
      </c>
      <c r="AI8" s="2029">
        <v>69.900000000000006</v>
      </c>
      <c r="AJ8" s="1982">
        <v>70.2</v>
      </c>
      <c r="AK8" s="1985">
        <v>70.5</v>
      </c>
      <c r="AL8" s="1982">
        <v>70.8</v>
      </c>
      <c r="AM8" s="1985">
        <v>71.099999999999994</v>
      </c>
      <c r="AN8" s="1982">
        <v>71.3</v>
      </c>
      <c r="AO8" s="1985">
        <v>71.599999999999994</v>
      </c>
      <c r="AP8" s="1982">
        <v>71.900000000000006</v>
      </c>
      <c r="AQ8" s="1985">
        <v>72.2</v>
      </c>
      <c r="AR8" s="1982">
        <v>72.5</v>
      </c>
      <c r="AS8" s="1985">
        <v>72.8</v>
      </c>
      <c r="AT8" s="1982">
        <v>73.099999999999994</v>
      </c>
      <c r="AU8" s="1985">
        <v>73.400000000000006</v>
      </c>
      <c r="AV8" s="1982">
        <v>73.599999999999994</v>
      </c>
      <c r="AW8" s="1986">
        <v>73.900000000000006</v>
      </c>
      <c r="AX8" s="1982">
        <v>74.2</v>
      </c>
      <c r="AY8" s="1987">
        <v>74.400000000000006</v>
      </c>
      <c r="AZ8" s="1982">
        <v>74.7</v>
      </c>
      <c r="BA8" s="1987">
        <v>75</v>
      </c>
      <c r="BB8" s="1982">
        <v>75.3</v>
      </c>
      <c r="BC8" s="1987">
        <v>75.5</v>
      </c>
      <c r="BD8" s="1982">
        <v>75.8</v>
      </c>
      <c r="BE8" s="1987">
        <v>76.099999999999994</v>
      </c>
      <c r="BF8" s="1982">
        <v>76.400000000000006</v>
      </c>
      <c r="BG8" s="1987">
        <v>76.7</v>
      </c>
      <c r="BH8" s="1982">
        <v>77</v>
      </c>
      <c r="BI8" s="1987">
        <v>77.3</v>
      </c>
      <c r="BJ8" s="1982">
        <v>77.599999999999994</v>
      </c>
      <c r="BK8" s="1987">
        <v>77.900000000000006</v>
      </c>
    </row>
    <row r="9" spans="3:85" s="1982" customFormat="1" ht="22" customHeight="1">
      <c r="C9" s="1784">
        <f>+C8+1</f>
        <v>6</v>
      </c>
      <c r="D9" s="2012" t="s">
        <v>1436</v>
      </c>
      <c r="E9" s="3888"/>
      <c r="J9" s="1983"/>
      <c r="K9" s="1984"/>
      <c r="L9" s="1984"/>
      <c r="M9" s="1984"/>
      <c r="N9" s="1984"/>
      <c r="O9" s="1984"/>
      <c r="P9" s="1984"/>
      <c r="Q9" s="1984"/>
      <c r="R9" s="1984"/>
      <c r="S9" s="1984"/>
      <c r="T9" s="1984"/>
      <c r="U9" s="1984"/>
      <c r="V9" s="1984"/>
      <c r="W9" s="1984"/>
      <c r="X9" s="1984"/>
      <c r="Y9" s="1984"/>
      <c r="Z9" s="1984"/>
      <c r="AA9" s="1984"/>
      <c r="AB9" s="1984"/>
      <c r="AC9" s="1984"/>
      <c r="AD9" s="1984"/>
      <c r="AE9" s="1984"/>
      <c r="AF9" s="1984"/>
      <c r="AG9" s="1982">
        <v>28.9</v>
      </c>
      <c r="AH9" s="1982">
        <v>30.6</v>
      </c>
      <c r="AI9" s="2029">
        <v>29.9</v>
      </c>
      <c r="AJ9" s="1982">
        <v>29.3</v>
      </c>
      <c r="AK9" s="1985">
        <v>28.7</v>
      </c>
      <c r="AL9" s="1982">
        <v>28</v>
      </c>
      <c r="AM9" s="1985">
        <v>27.4</v>
      </c>
      <c r="AN9" s="1982">
        <v>26.7</v>
      </c>
      <c r="AO9" s="1985">
        <v>26.1</v>
      </c>
      <c r="AP9" s="1982">
        <v>25.4</v>
      </c>
      <c r="AQ9" s="1985">
        <v>24.8</v>
      </c>
      <c r="AR9" s="1982">
        <v>24.2</v>
      </c>
      <c r="AS9" s="1985">
        <v>23.5</v>
      </c>
      <c r="AT9" s="1982">
        <v>22.9</v>
      </c>
      <c r="AU9" s="1985">
        <v>22.2</v>
      </c>
      <c r="AV9" s="1982">
        <v>21.6</v>
      </c>
      <c r="AW9" s="1986">
        <v>20.9</v>
      </c>
      <c r="AX9" s="1982">
        <v>20.3</v>
      </c>
      <c r="AY9" s="1987">
        <v>19.600000000000001</v>
      </c>
      <c r="AZ9" s="1982">
        <v>19</v>
      </c>
      <c r="BA9" s="1987">
        <v>18.399999999999999</v>
      </c>
      <c r="BB9" s="1982">
        <v>18</v>
      </c>
      <c r="BC9" s="1987">
        <v>17.5</v>
      </c>
      <c r="BD9" s="1982">
        <v>17.100000000000001</v>
      </c>
      <c r="BE9" s="1987">
        <v>16.600000000000001</v>
      </c>
      <c r="BF9" s="1982">
        <v>16.2</v>
      </c>
      <c r="BG9" s="1987">
        <v>15.7</v>
      </c>
      <c r="BH9" s="1982">
        <v>15.3</v>
      </c>
      <c r="BI9" s="1987">
        <v>14.8</v>
      </c>
      <c r="BJ9" s="1982">
        <v>14.4</v>
      </c>
      <c r="BK9" s="1987">
        <v>13.9</v>
      </c>
    </row>
    <row r="10" spans="3:85">
      <c r="D10" s="2013" t="s">
        <v>1465</v>
      </c>
      <c r="E10" s="3887" t="s">
        <v>1433</v>
      </c>
      <c r="J10" s="1973"/>
      <c r="K10" s="1973"/>
      <c r="L10" s="1973"/>
      <c r="M10" s="1973"/>
      <c r="N10" s="1973"/>
      <c r="O10" s="1973"/>
      <c r="P10" s="1973"/>
      <c r="Q10" s="1973"/>
      <c r="R10" s="1973"/>
      <c r="S10" s="1973"/>
      <c r="T10" s="1973"/>
      <c r="U10" s="1973"/>
      <c r="V10" s="1973"/>
      <c r="W10" s="1973"/>
      <c r="X10" s="1973"/>
      <c r="Y10" s="1973"/>
      <c r="Z10" s="1973"/>
      <c r="AA10" s="1973"/>
      <c r="AB10" s="1974"/>
      <c r="AC10" s="1973"/>
      <c r="AD10" s="1973"/>
      <c r="AE10" s="1973"/>
      <c r="AF10" s="1973"/>
      <c r="AG10" s="1973"/>
      <c r="AH10" s="1975"/>
      <c r="AI10" s="1510"/>
      <c r="AJ10" s="1510"/>
      <c r="AK10" s="1510"/>
      <c r="AL10" s="1510"/>
      <c r="AM10" s="1510"/>
      <c r="AN10" s="1510"/>
      <c r="AO10" s="1864"/>
    </row>
    <row r="11" spans="3:85">
      <c r="D11" s="2012" t="s">
        <v>1460</v>
      </c>
      <c r="E11" s="3887"/>
      <c r="T11" s="1973"/>
      <c r="U11" s="1973"/>
      <c r="V11" s="1973"/>
      <c r="W11" s="1973"/>
      <c r="X11" s="1999">
        <v>4617547</v>
      </c>
      <c r="Y11" s="1999">
        <v>4691604</v>
      </c>
      <c r="Z11" s="1999">
        <v>4766163</v>
      </c>
      <c r="AA11" s="1999">
        <v>4838558</v>
      </c>
      <c r="AB11" s="1999">
        <v>4905557</v>
      </c>
      <c r="AC11" s="1999">
        <v>4965048</v>
      </c>
      <c r="AD11" s="1999">
        <v>5016800</v>
      </c>
      <c r="AE11" s="1999">
        <v>5062350</v>
      </c>
      <c r="AF11" s="1999">
        <v>5104350</v>
      </c>
      <c r="AG11" s="1999">
        <v>5145904</v>
      </c>
      <c r="AH11" s="2030">
        <v>4991705</v>
      </c>
      <c r="AI11" s="1994">
        <v>5051450</v>
      </c>
      <c r="AJ11" s="1994">
        <v>5118512</v>
      </c>
      <c r="AK11" s="1994">
        <v>5188368</v>
      </c>
      <c r="AL11" s="1994">
        <v>5257842</v>
      </c>
      <c r="AM11" s="1994">
        <v>5326206</v>
      </c>
      <c r="AN11" s="1994">
        <v>5394941</v>
      </c>
      <c r="AO11" s="1994">
        <v>5466512</v>
      </c>
      <c r="AP11" s="1994">
        <v>5543874</v>
      </c>
      <c r="AQ11" s="1994">
        <v>5629358</v>
      </c>
      <c r="AR11" s="1994">
        <v>5725856</v>
      </c>
      <c r="AS11" s="1994">
        <v>5829291</v>
      </c>
      <c r="AT11" s="1994">
        <v>5939359</v>
      </c>
      <c r="AU11" s="1994">
        <v>6055649</v>
      </c>
      <c r="AV11" s="1994">
        <v>6177611</v>
      </c>
      <c r="AW11" s="1994">
        <v>6286001</v>
      </c>
      <c r="AX11" s="1994">
        <v>6392047</v>
      </c>
      <c r="AY11" s="1994">
        <v>6495012</v>
      </c>
      <c r="AZ11" s="1994">
        <v>6594098</v>
      </c>
      <c r="BA11" s="1994">
        <v>6688652</v>
      </c>
      <c r="BB11" s="1994">
        <v>6778288</v>
      </c>
      <c r="BC11" s="1994">
        <v>6862941</v>
      </c>
      <c r="BD11" s="1994">
        <v>6942509</v>
      </c>
      <c r="BE11" s="1994">
        <v>7016986</v>
      </c>
      <c r="BF11" s="1994">
        <v>7086473</v>
      </c>
      <c r="BG11" s="1994">
        <v>7151337</v>
      </c>
      <c r="BH11" s="1994">
        <v>7212088</v>
      </c>
      <c r="BI11" s="1994">
        <v>7269165</v>
      </c>
      <c r="BJ11" s="1994">
        <v>7323168</v>
      </c>
      <c r="BK11" s="1994">
        <v>7374794</v>
      </c>
    </row>
    <row r="12" spans="3:85">
      <c r="D12" s="2012" t="s">
        <v>1461</v>
      </c>
      <c r="E12" s="3887"/>
      <c r="T12" s="1973"/>
      <c r="U12" s="1973"/>
      <c r="V12" s="1973"/>
      <c r="W12" s="1973"/>
      <c r="X12" s="1999">
        <v>5780721</v>
      </c>
      <c r="Y12" s="1999">
        <v>5959240</v>
      </c>
      <c r="Z12" s="1999">
        <v>6140017</v>
      </c>
      <c r="AA12" s="1999">
        <v>6326259</v>
      </c>
      <c r="AB12" s="1999">
        <v>6521559</v>
      </c>
      <c r="AC12" s="1999">
        <v>6728043</v>
      </c>
      <c r="AD12" s="1999">
        <v>6945382</v>
      </c>
      <c r="AE12" s="1999">
        <v>7171129</v>
      </c>
      <c r="AF12" s="1999">
        <v>7401496</v>
      </c>
      <c r="AG12" s="1999">
        <v>7632687</v>
      </c>
      <c r="AH12" s="2030">
        <v>7940467</v>
      </c>
      <c r="AI12" s="1994">
        <v>8160340</v>
      </c>
      <c r="AJ12" s="1994">
        <v>8378777</v>
      </c>
      <c r="AK12" s="1994">
        <v>8602620</v>
      </c>
      <c r="AL12" s="1994">
        <v>8836426</v>
      </c>
      <c r="AM12" s="1994">
        <v>9081209</v>
      </c>
      <c r="AN12" s="1994">
        <v>9334572</v>
      </c>
      <c r="AO12" s="1994">
        <v>9592650</v>
      </c>
      <c r="AP12" s="1994">
        <v>9850592</v>
      </c>
      <c r="AQ12" s="1994">
        <v>10104626</v>
      </c>
      <c r="AR12" s="1994">
        <v>10350965</v>
      </c>
      <c r="AS12" s="1994">
        <v>10593635</v>
      </c>
      <c r="AT12" s="1994">
        <v>10833281</v>
      </c>
      <c r="AU12" s="1994">
        <v>11070925</v>
      </c>
      <c r="AV12" s="1994">
        <v>11307083</v>
      </c>
      <c r="AW12" s="1994">
        <v>11560816</v>
      </c>
      <c r="AX12" s="1994">
        <v>11819866</v>
      </c>
      <c r="AY12" s="1994">
        <v>12082080</v>
      </c>
      <c r="AZ12" s="1994">
        <v>12344480</v>
      </c>
      <c r="BA12" s="1994">
        <v>12604951</v>
      </c>
      <c r="BB12" s="1994">
        <v>12862648</v>
      </c>
      <c r="BC12" s="1994">
        <v>13118345</v>
      </c>
      <c r="BD12" s="1994">
        <v>13373385</v>
      </c>
      <c r="BE12" s="1994">
        <v>13629836</v>
      </c>
      <c r="BF12" s="1994">
        <v>13889220</v>
      </c>
      <c r="BG12" s="1994">
        <v>14151752</v>
      </c>
      <c r="BH12" s="1994">
        <v>14417041</v>
      </c>
      <c r="BI12" s="1994">
        <v>14685264</v>
      </c>
      <c r="BJ12" s="1994">
        <v>14956460</v>
      </c>
      <c r="BK12" s="1994">
        <v>15230517</v>
      </c>
    </row>
    <row r="13" spans="3:85">
      <c r="D13" s="2012" t="s">
        <v>1459</v>
      </c>
      <c r="E13" s="3887"/>
      <c r="T13" s="1973"/>
      <c r="U13" s="1973"/>
      <c r="V13" s="1973"/>
      <c r="W13" s="1973"/>
      <c r="X13" s="1999">
        <v>338504</v>
      </c>
      <c r="Y13" s="1999">
        <v>346051</v>
      </c>
      <c r="Z13" s="1999">
        <v>356385</v>
      </c>
      <c r="AA13" s="1999">
        <v>368629</v>
      </c>
      <c r="AB13" s="1999">
        <v>382179</v>
      </c>
      <c r="AC13" s="1999">
        <v>396629</v>
      </c>
      <c r="AD13" s="1999">
        <v>412216</v>
      </c>
      <c r="AE13" s="1999">
        <v>429638</v>
      </c>
      <c r="AF13" s="1999">
        <v>449922</v>
      </c>
      <c r="AG13" s="1999">
        <v>473683</v>
      </c>
      <c r="AH13" s="2030">
        <v>567484</v>
      </c>
      <c r="AI13" s="1994">
        <v>588364</v>
      </c>
      <c r="AJ13" s="1994">
        <v>610927</v>
      </c>
      <c r="AK13" s="1994">
        <v>632677</v>
      </c>
      <c r="AL13" s="1994">
        <v>651981</v>
      </c>
      <c r="AM13" s="1994">
        <v>668280</v>
      </c>
      <c r="AN13" s="1994">
        <v>682212</v>
      </c>
      <c r="AO13" s="1994">
        <v>694936</v>
      </c>
      <c r="AP13" s="1994">
        <v>708161</v>
      </c>
      <c r="AQ13" s="1994">
        <v>723122</v>
      </c>
      <c r="AR13" s="1994">
        <v>740481</v>
      </c>
      <c r="AS13" s="1994">
        <v>760000</v>
      </c>
      <c r="AT13" s="1994">
        <v>780974</v>
      </c>
      <c r="AU13" s="1994">
        <v>802322</v>
      </c>
      <c r="AV13" s="1994">
        <v>823509</v>
      </c>
      <c r="AW13" s="1994">
        <v>844164</v>
      </c>
      <c r="AX13" s="1994">
        <v>865242</v>
      </c>
      <c r="AY13" s="1994">
        <v>889110</v>
      </c>
      <c r="AZ13" s="1994">
        <v>918879</v>
      </c>
      <c r="BA13" s="1994">
        <v>956715</v>
      </c>
      <c r="BB13" s="1994">
        <v>1003452</v>
      </c>
      <c r="BC13" s="1994">
        <v>1058188</v>
      </c>
      <c r="BD13" s="1994">
        <v>1119360</v>
      </c>
      <c r="BE13" s="1994">
        <v>1184623</v>
      </c>
      <c r="BF13" s="1994">
        <v>1252097</v>
      </c>
      <c r="BG13" s="1994">
        <v>1321174</v>
      </c>
      <c r="BH13" s="1994">
        <v>1391824</v>
      </c>
      <c r="BI13" s="1994">
        <v>1463426</v>
      </c>
      <c r="BJ13" s="1994">
        <v>1535438</v>
      </c>
      <c r="BK13" s="1994">
        <v>1607414</v>
      </c>
    </row>
    <row r="14" spans="3:85">
      <c r="D14" s="2045" t="s">
        <v>1439</v>
      </c>
      <c r="E14" s="2024" t="s">
        <v>1440</v>
      </c>
      <c r="F14" s="1843">
        <f t="shared" ref="F14:U14" si="2">+G14-1</f>
        <v>1995</v>
      </c>
      <c r="G14" s="1843">
        <f t="shared" si="2"/>
        <v>1996</v>
      </c>
      <c r="H14" s="1843">
        <f t="shared" si="2"/>
        <v>1997</v>
      </c>
      <c r="I14" s="1843">
        <f t="shared" si="2"/>
        <v>1998</v>
      </c>
      <c r="J14" s="1981">
        <f t="shared" si="2"/>
        <v>1999</v>
      </c>
      <c r="K14" s="1981">
        <f t="shared" si="2"/>
        <v>2000</v>
      </c>
      <c r="L14" s="1981">
        <f t="shared" si="2"/>
        <v>2001</v>
      </c>
      <c r="M14" s="1981">
        <f t="shared" si="2"/>
        <v>2002</v>
      </c>
      <c r="N14" s="1981">
        <f t="shared" si="2"/>
        <v>2003</v>
      </c>
      <c r="O14" s="1981">
        <f t="shared" si="2"/>
        <v>2004</v>
      </c>
      <c r="P14" s="1981">
        <f t="shared" si="2"/>
        <v>2005</v>
      </c>
      <c r="Q14" s="1981">
        <f t="shared" si="2"/>
        <v>2006</v>
      </c>
      <c r="R14" s="1981">
        <f t="shared" si="2"/>
        <v>2007</v>
      </c>
      <c r="S14" s="1981">
        <f t="shared" si="2"/>
        <v>2008</v>
      </c>
      <c r="T14" s="1981">
        <f t="shared" si="2"/>
        <v>2009</v>
      </c>
      <c r="U14" s="1981">
        <f t="shared" si="2"/>
        <v>2010</v>
      </c>
      <c r="V14" s="1981">
        <v>2011</v>
      </c>
      <c r="W14" s="1981">
        <f t="shared" ref="W14:BB14" si="3">+V14+1</f>
        <v>2012</v>
      </c>
      <c r="X14" s="1981">
        <f t="shared" si="3"/>
        <v>2013</v>
      </c>
      <c r="Y14" s="1981">
        <f t="shared" si="3"/>
        <v>2014</v>
      </c>
      <c r="Z14" s="1981">
        <f t="shared" si="3"/>
        <v>2015</v>
      </c>
      <c r="AA14" s="1981">
        <f t="shared" si="3"/>
        <v>2016</v>
      </c>
      <c r="AB14" s="1981">
        <f t="shared" si="3"/>
        <v>2017</v>
      </c>
      <c r="AC14" s="1981">
        <f t="shared" si="3"/>
        <v>2018</v>
      </c>
      <c r="AD14" s="1981">
        <f t="shared" si="3"/>
        <v>2019</v>
      </c>
      <c r="AE14" s="1981">
        <f t="shared" si="3"/>
        <v>2020</v>
      </c>
      <c r="AF14" s="1981">
        <f t="shared" si="3"/>
        <v>2021</v>
      </c>
      <c r="AG14" s="1981">
        <f t="shared" si="3"/>
        <v>2022</v>
      </c>
      <c r="AH14" s="2031">
        <f t="shared" si="3"/>
        <v>2023</v>
      </c>
      <c r="AI14" s="1981">
        <f t="shared" si="3"/>
        <v>2024</v>
      </c>
      <c r="AJ14" s="1981">
        <f t="shared" si="3"/>
        <v>2025</v>
      </c>
      <c r="AK14" s="1981">
        <f t="shared" si="3"/>
        <v>2026</v>
      </c>
      <c r="AL14" s="1981">
        <f t="shared" si="3"/>
        <v>2027</v>
      </c>
      <c r="AM14" s="1981">
        <f t="shared" si="3"/>
        <v>2028</v>
      </c>
      <c r="AN14" s="1981">
        <f t="shared" si="3"/>
        <v>2029</v>
      </c>
      <c r="AO14" s="1981">
        <f t="shared" si="3"/>
        <v>2030</v>
      </c>
      <c r="AP14" s="1981">
        <f t="shared" si="3"/>
        <v>2031</v>
      </c>
      <c r="AQ14" s="1981">
        <f t="shared" si="3"/>
        <v>2032</v>
      </c>
      <c r="AR14" s="1981">
        <f t="shared" si="3"/>
        <v>2033</v>
      </c>
      <c r="AS14" s="1981">
        <f t="shared" si="3"/>
        <v>2034</v>
      </c>
      <c r="AT14" s="1981">
        <f t="shared" si="3"/>
        <v>2035</v>
      </c>
      <c r="AU14" s="1981">
        <f t="shared" si="3"/>
        <v>2036</v>
      </c>
      <c r="AV14" s="1981">
        <f t="shared" si="3"/>
        <v>2037</v>
      </c>
      <c r="AW14" s="1981">
        <f t="shared" si="3"/>
        <v>2038</v>
      </c>
      <c r="AX14" s="1981">
        <f t="shared" si="3"/>
        <v>2039</v>
      </c>
      <c r="AY14" s="1981">
        <f t="shared" si="3"/>
        <v>2040</v>
      </c>
      <c r="AZ14" s="1981">
        <f t="shared" si="3"/>
        <v>2041</v>
      </c>
      <c r="BA14" s="1981">
        <f t="shared" si="3"/>
        <v>2042</v>
      </c>
      <c r="BB14" s="1981">
        <f t="shared" si="3"/>
        <v>2043</v>
      </c>
      <c r="BC14" s="1981">
        <f t="shared" ref="BC14:CG14" si="4">+BB14+1</f>
        <v>2044</v>
      </c>
      <c r="BD14" s="1981">
        <f t="shared" si="4"/>
        <v>2045</v>
      </c>
      <c r="BE14" s="1981">
        <f t="shared" si="4"/>
        <v>2046</v>
      </c>
      <c r="BF14" s="1981">
        <f t="shared" si="4"/>
        <v>2047</v>
      </c>
      <c r="BG14" s="1981">
        <f t="shared" si="4"/>
        <v>2048</v>
      </c>
      <c r="BH14" s="1981">
        <f t="shared" si="4"/>
        <v>2049</v>
      </c>
      <c r="BI14" s="1981">
        <f t="shared" si="4"/>
        <v>2050</v>
      </c>
      <c r="BJ14" s="1981">
        <f t="shared" si="4"/>
        <v>2051</v>
      </c>
      <c r="BK14" s="1981">
        <f t="shared" si="4"/>
        <v>2052</v>
      </c>
      <c r="BL14" s="1981">
        <f t="shared" si="4"/>
        <v>2053</v>
      </c>
      <c r="BM14" s="1981">
        <f t="shared" si="4"/>
        <v>2054</v>
      </c>
      <c r="BN14" s="1981">
        <f t="shared" si="4"/>
        <v>2055</v>
      </c>
      <c r="BO14" s="1981">
        <f t="shared" si="4"/>
        <v>2056</v>
      </c>
      <c r="BP14" s="1981">
        <f t="shared" si="4"/>
        <v>2057</v>
      </c>
      <c r="BQ14" s="1981">
        <f t="shared" si="4"/>
        <v>2058</v>
      </c>
      <c r="BR14" s="1981">
        <f t="shared" si="4"/>
        <v>2059</v>
      </c>
      <c r="BS14" s="1981">
        <f t="shared" si="4"/>
        <v>2060</v>
      </c>
      <c r="BT14" s="1981">
        <f t="shared" si="4"/>
        <v>2061</v>
      </c>
      <c r="BU14" s="1981">
        <f t="shared" si="4"/>
        <v>2062</v>
      </c>
      <c r="BV14" s="1981">
        <f t="shared" si="4"/>
        <v>2063</v>
      </c>
      <c r="BW14" s="1981">
        <f t="shared" si="4"/>
        <v>2064</v>
      </c>
      <c r="BX14" s="1981">
        <f t="shared" si="4"/>
        <v>2065</v>
      </c>
      <c r="BY14" s="1981">
        <f t="shared" si="4"/>
        <v>2066</v>
      </c>
      <c r="BZ14" s="1981">
        <f t="shared" si="4"/>
        <v>2067</v>
      </c>
      <c r="CA14" s="1981">
        <f t="shared" si="4"/>
        <v>2068</v>
      </c>
      <c r="CB14" s="1981">
        <f t="shared" si="4"/>
        <v>2069</v>
      </c>
      <c r="CC14" s="1981">
        <f t="shared" si="4"/>
        <v>2070</v>
      </c>
      <c r="CD14" s="1981">
        <f t="shared" si="4"/>
        <v>2071</v>
      </c>
      <c r="CE14" s="1981">
        <f t="shared" si="4"/>
        <v>2072</v>
      </c>
      <c r="CF14" s="1981">
        <f t="shared" si="4"/>
        <v>2073</v>
      </c>
      <c r="CG14" s="1981">
        <f t="shared" si="4"/>
        <v>2074</v>
      </c>
    </row>
    <row r="15" spans="3:85" s="2006" customFormat="1" ht="21" customHeight="1">
      <c r="D15" s="2052" t="s">
        <v>1468</v>
      </c>
      <c r="E15" s="2000" t="s">
        <v>1446</v>
      </c>
      <c r="F15" s="2003"/>
      <c r="G15" s="2003"/>
      <c r="H15" s="2003"/>
      <c r="I15" s="2004"/>
      <c r="J15" s="2005">
        <v>8.1479119999999998</v>
      </c>
      <c r="K15" s="2005">
        <v>8.2139310000000005</v>
      </c>
      <c r="L15" s="2005">
        <v>8.2870939999999997</v>
      </c>
      <c r="M15" s="2005">
        <v>8.4001800000000006</v>
      </c>
      <c r="N15" s="2005">
        <v>8.5868749999999991</v>
      </c>
      <c r="O15" s="2005">
        <v>8.8168439999999997</v>
      </c>
      <c r="P15" s="2005">
        <v>9.0545279999999995</v>
      </c>
      <c r="Q15" s="2005">
        <v>9.2992459999999983</v>
      </c>
      <c r="R15" s="2005">
        <v>9.5499330000000011</v>
      </c>
      <c r="S15" s="2005">
        <v>9.8042689999999997</v>
      </c>
      <c r="T15" s="2005">
        <v>10.060432</v>
      </c>
      <c r="U15" s="2005">
        <v>10.317553</v>
      </c>
      <c r="V15" s="2051">
        <v>10.573733000000001</v>
      </c>
      <c r="W15" s="2048">
        <v>10.829901</v>
      </c>
      <c r="X15" s="2048">
        <v>11.09334</v>
      </c>
      <c r="Y15" s="2048">
        <v>11.364756999999999</v>
      </c>
      <c r="Z15" s="2048">
        <v>11.640022</v>
      </c>
      <c r="AA15" s="2048">
        <v>11.919183</v>
      </c>
      <c r="AB15" s="2048">
        <v>12.202059999999999</v>
      </c>
      <c r="AC15" s="2048">
        <v>12.487995999999999</v>
      </c>
      <c r="AD15" s="2048">
        <v>12.776102999999999</v>
      </c>
      <c r="AE15" s="2048">
        <v>13.065837</v>
      </c>
      <c r="AF15" s="2048">
        <v>13.355259999999999</v>
      </c>
      <c r="AG15" s="2048">
        <v>13.65103</v>
      </c>
      <c r="AH15" s="2049">
        <v>13.954471</v>
      </c>
      <c r="AI15" s="2050">
        <v>14.256566999999999</v>
      </c>
      <c r="AJ15" s="2050">
        <v>14.569341</v>
      </c>
      <c r="AK15" s="2050">
        <v>14.889692999999999</v>
      </c>
      <c r="AL15" s="2050">
        <v>15.214326999999999</v>
      </c>
      <c r="AM15" s="2050">
        <v>15.536460999999999</v>
      </c>
      <c r="AN15" s="2050">
        <v>15.844657999999999</v>
      </c>
      <c r="AO15" s="2050">
        <v>16.154705</v>
      </c>
      <c r="AP15" s="2050">
        <v>16.473108</v>
      </c>
      <c r="AQ15" s="2050">
        <v>16.771822</v>
      </c>
      <c r="AR15" s="2050">
        <v>17.073474999999998</v>
      </c>
      <c r="AS15" s="2050">
        <v>17.402253999999999</v>
      </c>
      <c r="AT15" s="2050">
        <v>17.746319</v>
      </c>
      <c r="AU15" s="2050">
        <v>18.076776000000002</v>
      </c>
      <c r="AV15" s="2050">
        <v>18.395846000000002</v>
      </c>
      <c r="AW15" s="2050">
        <v>18.729787999999999</v>
      </c>
      <c r="AX15" s="2050">
        <v>19.076786999999999</v>
      </c>
      <c r="AY15" s="2050">
        <v>19.440770000000001</v>
      </c>
      <c r="AZ15" s="2050">
        <v>19.806175</v>
      </c>
      <c r="BA15" s="2050">
        <v>20.153985000000002</v>
      </c>
      <c r="BB15" s="2050">
        <v>20.500834999999999</v>
      </c>
      <c r="BC15" s="2050">
        <v>20.837083</v>
      </c>
      <c r="BD15" s="2050">
        <v>21.152657999999999</v>
      </c>
      <c r="BE15" s="2050">
        <v>21.459156</v>
      </c>
      <c r="BF15" s="2050">
        <v>21.764589000000001</v>
      </c>
      <c r="BG15" s="2050">
        <v>22.086122</v>
      </c>
      <c r="BH15" s="2050">
        <v>22.403893</v>
      </c>
      <c r="BI15" s="2050">
        <v>22.707909999999998</v>
      </c>
      <c r="BJ15" s="2050">
        <v>23.007764999999999</v>
      </c>
      <c r="BK15" s="2050">
        <v>23.300259999999998</v>
      </c>
      <c r="BL15" s="2050">
        <v>23.582536999999999</v>
      </c>
      <c r="BM15" s="2050">
        <v>23.867622999999998</v>
      </c>
      <c r="BN15" s="2050">
        <v>24.15945</v>
      </c>
      <c r="BO15" s="2050">
        <v>24.442070999999999</v>
      </c>
      <c r="BP15" s="2050">
        <v>24.708957999999999</v>
      </c>
      <c r="BQ15" s="2050">
        <v>25.005558000000001</v>
      </c>
      <c r="BR15" s="2050">
        <v>25.305692999999998</v>
      </c>
      <c r="BS15" s="2050">
        <v>25.576760999999998</v>
      </c>
      <c r="BT15" s="2050">
        <v>25.865302</v>
      </c>
      <c r="BU15" s="2050">
        <v>26.141278</v>
      </c>
      <c r="BV15" s="2050">
        <v>26.401101999999998</v>
      </c>
      <c r="BW15" s="2050">
        <v>26.669008999999999</v>
      </c>
      <c r="BX15" s="2050">
        <v>26.933366000000003</v>
      </c>
      <c r="BY15" s="2050">
        <v>27.184215999999999</v>
      </c>
      <c r="BZ15" s="2050">
        <v>27.431208999999999</v>
      </c>
      <c r="CA15" s="2050">
        <v>27.68441</v>
      </c>
      <c r="CB15" s="2050">
        <v>27.912791000000002</v>
      </c>
      <c r="CC15" s="2050">
        <v>28.138805000000001</v>
      </c>
      <c r="CD15" s="2050">
        <v>28.368475</v>
      </c>
      <c r="CE15" s="2050">
        <v>28.589814999999998</v>
      </c>
      <c r="CF15" s="2050">
        <v>28.809911</v>
      </c>
      <c r="CG15" s="2050">
        <v>29.015584</v>
      </c>
    </row>
    <row r="16" spans="3:85">
      <c r="D16" s="2012" t="s">
        <v>1442</v>
      </c>
      <c r="E16" s="1988"/>
      <c r="F16" s="1749"/>
      <c r="G16" s="1749"/>
      <c r="H16" s="1749"/>
      <c r="I16" s="1750"/>
      <c r="J16" s="1988">
        <v>6.0590000000000002</v>
      </c>
      <c r="K16" s="1988">
        <v>5.9669999999999996</v>
      </c>
      <c r="L16" s="1988">
        <v>5.8929999999999998</v>
      </c>
      <c r="M16" s="1988">
        <v>5.8159999999999998</v>
      </c>
      <c r="N16" s="1988">
        <v>5.7370000000000001</v>
      </c>
      <c r="O16" s="1988">
        <v>5.64</v>
      </c>
      <c r="P16" s="1988">
        <v>5.5</v>
      </c>
      <c r="Q16" s="1988">
        <v>5.335</v>
      </c>
      <c r="R16" s="1988">
        <v>5.141</v>
      </c>
      <c r="S16" s="1988">
        <v>4.9219999999999997</v>
      </c>
      <c r="T16" s="1988">
        <v>4.7069999999999999</v>
      </c>
      <c r="U16" s="1988">
        <v>4.5220000000000002</v>
      </c>
      <c r="V16" s="1988">
        <v>4.3319999999999999</v>
      </c>
      <c r="W16" s="1988">
        <v>4.2009999999999996</v>
      </c>
      <c r="X16" s="1988">
        <v>4.1360000000000001</v>
      </c>
      <c r="Y16" s="1988">
        <v>4.117</v>
      </c>
      <c r="Z16" s="1988">
        <v>4.1079999999999997</v>
      </c>
      <c r="AA16" s="1988">
        <v>4.1059999999999999</v>
      </c>
      <c r="AB16" s="1988">
        <v>4.0839999999999996</v>
      </c>
      <c r="AC16" s="1988">
        <v>4.0469999999999997</v>
      </c>
      <c r="AD16" s="1988">
        <v>3.9849999999999999</v>
      </c>
      <c r="AE16" s="1988">
        <v>3.9129999999999998</v>
      </c>
      <c r="AF16" s="1988">
        <v>3.8410000000000002</v>
      </c>
      <c r="AG16" s="1988">
        <v>3.778</v>
      </c>
      <c r="AH16" s="2032">
        <v>3.698</v>
      </c>
      <c r="AI16" s="1988">
        <v>2.1579999999999999</v>
      </c>
      <c r="AJ16" s="1988">
        <v>2.1579999999999999</v>
      </c>
      <c r="AK16" s="1988">
        <v>2.1579999999999999</v>
      </c>
      <c r="AL16" s="1988">
        <v>2.1579999999999999</v>
      </c>
      <c r="AM16" s="1988">
        <v>2.1579999999999999</v>
      </c>
      <c r="AN16" s="1988">
        <v>2.1579999999999999</v>
      </c>
      <c r="AO16" s="1988">
        <v>2.1579999999999999</v>
      </c>
      <c r="AP16" s="1988">
        <v>2.1579999999999999</v>
      </c>
      <c r="AQ16" s="1988">
        <v>2.1579999999999999</v>
      </c>
      <c r="AR16" s="1988">
        <v>2.1579999999999999</v>
      </c>
      <c r="AS16" s="1988">
        <v>2.1579999999999999</v>
      </c>
      <c r="AT16" s="1988">
        <v>2.1579999999999999</v>
      </c>
      <c r="AU16" s="1988">
        <v>2.1579999999999999</v>
      </c>
      <c r="AV16" s="1988">
        <v>2.1579999999999999</v>
      </c>
      <c r="AW16" s="1988">
        <v>2.1579999999999999</v>
      </c>
      <c r="AX16" s="1988">
        <v>2.1579999999999999</v>
      </c>
      <c r="AY16" s="1988">
        <v>2.1579999999999999</v>
      </c>
      <c r="AZ16" s="1988">
        <v>2.157</v>
      </c>
      <c r="BA16" s="1988">
        <v>2.157</v>
      </c>
      <c r="BB16" s="1988">
        <v>2.1579999999999999</v>
      </c>
      <c r="BC16" s="1988">
        <v>2.157</v>
      </c>
      <c r="BD16" s="1988">
        <v>2.157</v>
      </c>
      <c r="BE16" s="1988">
        <v>2.157</v>
      </c>
      <c r="BF16" s="1988">
        <v>2.157</v>
      </c>
      <c r="BG16" s="1988">
        <v>2.1579999999999999</v>
      </c>
      <c r="BH16" s="1988">
        <v>2.1579999999999999</v>
      </c>
      <c r="BI16" s="1988">
        <v>2.157</v>
      </c>
      <c r="BJ16" s="1988">
        <v>2.1579999999999999</v>
      </c>
      <c r="BK16" s="1988">
        <v>2.157</v>
      </c>
      <c r="BL16" s="1988">
        <v>2.1579999999999999</v>
      </c>
      <c r="BM16" s="1988">
        <v>2.157</v>
      </c>
      <c r="BN16" s="1988">
        <v>2.157</v>
      </c>
      <c r="BO16" s="1988">
        <v>2.157</v>
      </c>
      <c r="BP16" s="1988">
        <v>2.157</v>
      </c>
      <c r="BQ16" s="1988">
        <v>2.1579999999999999</v>
      </c>
      <c r="BR16" s="1988">
        <v>2.157</v>
      </c>
      <c r="BS16" s="1988">
        <v>2.1579999999999999</v>
      </c>
      <c r="BT16" s="1988">
        <v>2.157</v>
      </c>
      <c r="BU16" s="1988">
        <v>2.157</v>
      </c>
      <c r="BV16" s="1988">
        <v>2.157</v>
      </c>
      <c r="BW16" s="1988">
        <v>2.1579999999999999</v>
      </c>
      <c r="BX16" s="1988">
        <v>2.1579999999999999</v>
      </c>
      <c r="BY16" s="1988">
        <v>2.1579999999999999</v>
      </c>
      <c r="BZ16" s="1988">
        <v>2.157</v>
      </c>
      <c r="CA16" s="1988">
        <v>2.157</v>
      </c>
      <c r="CB16" s="1988">
        <v>2.1579999999999999</v>
      </c>
      <c r="CC16" s="1988">
        <v>2.157</v>
      </c>
      <c r="CD16" s="1988">
        <v>2.1579999999999999</v>
      </c>
      <c r="CE16" s="1988">
        <v>2.1579999999999999</v>
      </c>
      <c r="CF16" s="1988">
        <v>2.1579999999999999</v>
      </c>
      <c r="CG16" s="1988">
        <v>2.1579999999999999</v>
      </c>
    </row>
    <row r="17" spans="4:92" ht="14.4" customHeight="1">
      <c r="D17" s="2012" t="s">
        <v>1441</v>
      </c>
      <c r="E17" s="1988"/>
      <c r="F17" s="1749"/>
      <c r="G17" s="1749"/>
      <c r="H17" s="1749"/>
      <c r="I17" s="1750"/>
      <c r="J17" s="1988">
        <v>42.14</v>
      </c>
      <c r="K17" s="1988">
        <v>42.112000000000002</v>
      </c>
      <c r="L17" s="1988">
        <v>42.113</v>
      </c>
      <c r="M17" s="1988">
        <v>41.783999999999999</v>
      </c>
      <c r="N17" s="1988">
        <v>41.402000000000001</v>
      </c>
      <c r="O17" s="1988">
        <v>41.145000000000003</v>
      </c>
      <c r="P17" s="1988">
        <v>40.637999999999998</v>
      </c>
      <c r="Q17" s="1988">
        <v>39.860999999999997</v>
      </c>
      <c r="R17" s="1988">
        <v>38.832999999999998</v>
      </c>
      <c r="S17" s="1988">
        <v>37.643000000000001</v>
      </c>
      <c r="T17" s="1988">
        <v>36.314999999999998</v>
      </c>
      <c r="U17" s="1988">
        <v>35.149000000000001</v>
      </c>
      <c r="V17" s="1988">
        <v>33.799999999999997</v>
      </c>
      <c r="W17" s="1988">
        <v>32.851999999999997</v>
      </c>
      <c r="X17" s="1988">
        <v>32.408999999999999</v>
      </c>
      <c r="Y17" s="1988">
        <v>32.24</v>
      </c>
      <c r="Z17" s="1988">
        <v>32.097999999999999</v>
      </c>
      <c r="AA17" s="1988">
        <v>31.971</v>
      </c>
      <c r="AB17" s="1988">
        <v>31.666</v>
      </c>
      <c r="AC17" s="1988">
        <v>31.231000000000002</v>
      </c>
      <c r="AD17" s="1988">
        <v>30.672000000000001</v>
      </c>
      <c r="AE17" s="1988">
        <v>30.021000000000001</v>
      </c>
      <c r="AF17" s="1988">
        <v>29.388999999999999</v>
      </c>
      <c r="AG17" s="1988">
        <v>28.859000000000002</v>
      </c>
      <c r="AH17" s="2032">
        <v>28.347999999999999</v>
      </c>
      <c r="AI17" s="1988">
        <v>16.7</v>
      </c>
      <c r="AJ17" s="1988">
        <v>16.966999999999999</v>
      </c>
      <c r="AK17" s="1988">
        <v>17.228999999999999</v>
      </c>
      <c r="AL17" s="1988">
        <v>17.478999999999999</v>
      </c>
      <c r="AM17" s="1988">
        <v>17.716000000000001</v>
      </c>
      <c r="AN17" s="1988">
        <v>17.942</v>
      </c>
      <c r="AO17" s="1988">
        <v>18.152999999999999</v>
      </c>
      <c r="AP17" s="1988">
        <v>18.356000000000002</v>
      </c>
      <c r="AQ17" s="1988">
        <v>18.555</v>
      </c>
      <c r="AR17" s="1988">
        <v>18.748999999999999</v>
      </c>
      <c r="AS17" s="1988">
        <v>18.934999999999999</v>
      </c>
      <c r="AT17" s="1988">
        <v>19.114999999999998</v>
      </c>
      <c r="AU17" s="1988">
        <v>19.280999999999999</v>
      </c>
      <c r="AV17" s="1988">
        <v>19.431000000000001</v>
      </c>
      <c r="AW17" s="1988">
        <v>19.556000000000001</v>
      </c>
      <c r="AX17" s="1988">
        <v>19.66</v>
      </c>
      <c r="AY17" s="1988">
        <v>19.73</v>
      </c>
      <c r="AZ17" s="1988">
        <v>19.753</v>
      </c>
      <c r="BA17" s="1988">
        <v>19.719000000000001</v>
      </c>
      <c r="BB17" s="1988">
        <v>19.617000000000001</v>
      </c>
      <c r="BC17" s="1988">
        <v>19.443000000000001</v>
      </c>
      <c r="BD17" s="1988">
        <v>19.209</v>
      </c>
      <c r="BE17" s="1988">
        <v>18.93</v>
      </c>
      <c r="BF17" s="1988">
        <v>18.623999999999999</v>
      </c>
      <c r="BG17" s="1988">
        <v>18.305</v>
      </c>
      <c r="BH17" s="1988">
        <v>17.981000000000002</v>
      </c>
      <c r="BI17" s="1988">
        <v>17.657</v>
      </c>
      <c r="BJ17" s="1988">
        <v>17.335000000000001</v>
      </c>
      <c r="BK17" s="1988">
        <v>17.007999999999999</v>
      </c>
      <c r="BL17" s="1988">
        <v>16.68</v>
      </c>
      <c r="BM17" s="1988">
        <v>16.350999999999999</v>
      </c>
      <c r="BN17" s="1988">
        <v>16.030999999999999</v>
      </c>
      <c r="BO17" s="1988">
        <v>15.728999999999999</v>
      </c>
      <c r="BP17" s="1988">
        <v>15.451000000000001</v>
      </c>
      <c r="BQ17" s="1988">
        <v>15.204000000000001</v>
      </c>
      <c r="BR17" s="1988">
        <v>14.991</v>
      </c>
      <c r="BS17" s="1988">
        <v>14.827999999999999</v>
      </c>
      <c r="BT17" s="1988">
        <v>14.711</v>
      </c>
      <c r="BU17" s="1988">
        <v>14.644</v>
      </c>
      <c r="BV17" s="1988">
        <v>14.621</v>
      </c>
      <c r="BW17" s="1988">
        <v>14.643000000000001</v>
      </c>
      <c r="BX17" s="1988">
        <v>14.701000000000001</v>
      </c>
      <c r="BY17" s="1988">
        <v>14.787000000000001</v>
      </c>
      <c r="BZ17" s="1988">
        <v>14.895</v>
      </c>
      <c r="CA17" s="1988">
        <v>15.015000000000001</v>
      </c>
      <c r="CB17" s="1988">
        <v>15.138</v>
      </c>
      <c r="CC17" s="1988">
        <v>15.253</v>
      </c>
      <c r="CD17" s="1988">
        <v>15.356999999999999</v>
      </c>
      <c r="CE17" s="1988">
        <v>15.44</v>
      </c>
      <c r="CF17" s="1988">
        <v>15.5</v>
      </c>
      <c r="CG17" s="1988">
        <v>15.538</v>
      </c>
    </row>
    <row r="18" spans="4:92">
      <c r="D18" s="2012" t="s">
        <v>1443</v>
      </c>
      <c r="E18" s="1988"/>
      <c r="F18" s="1749"/>
      <c r="G18" s="1749"/>
      <c r="H18" s="1749"/>
      <c r="I18" s="1750"/>
      <c r="J18" s="1988">
        <v>16.303000000000001</v>
      </c>
      <c r="K18" s="1988">
        <v>15.173</v>
      </c>
      <c r="L18" s="1988">
        <v>14.257</v>
      </c>
      <c r="M18" s="1988">
        <v>13.327999999999999</v>
      </c>
      <c r="N18" s="1988">
        <v>12.143000000000001</v>
      </c>
      <c r="O18" s="1988">
        <v>11.058</v>
      </c>
      <c r="P18" s="1988">
        <v>10.253</v>
      </c>
      <c r="Q18" s="1988">
        <v>9.52</v>
      </c>
      <c r="R18" s="1988">
        <v>8.907</v>
      </c>
      <c r="S18" s="1988">
        <v>8.3360000000000003</v>
      </c>
      <c r="T18" s="1988">
        <v>7.7839999999999998</v>
      </c>
      <c r="U18" s="1988">
        <v>7.3470000000000004</v>
      </c>
      <c r="V18" s="1988">
        <v>7.0430000000000001</v>
      </c>
      <c r="W18" s="1988">
        <v>6.7590000000000003</v>
      </c>
      <c r="X18" s="1988">
        <v>6.5979999999999999</v>
      </c>
      <c r="Y18" s="1988">
        <v>6.4779999999999998</v>
      </c>
      <c r="Z18" s="1988">
        <v>6.4009999999999998</v>
      </c>
      <c r="AA18" s="1988">
        <v>6.3360000000000003</v>
      </c>
      <c r="AB18" s="1988">
        <v>6.234</v>
      </c>
      <c r="AC18" s="1988">
        <v>6.2060000000000004</v>
      </c>
      <c r="AD18" s="1988">
        <v>6.1319999999999997</v>
      </c>
      <c r="AE18" s="1988">
        <v>6.0890000000000004</v>
      </c>
      <c r="AF18" s="1988">
        <v>6.1849999999999996</v>
      </c>
      <c r="AG18" s="1988">
        <v>5.9930000000000003</v>
      </c>
      <c r="AH18" s="2032">
        <v>5.9349999999999996</v>
      </c>
      <c r="AI18" s="1988">
        <v>5.7450000000000001</v>
      </c>
      <c r="AJ18" s="1988">
        <v>5.8040000000000003</v>
      </c>
      <c r="AK18" s="1988">
        <v>5.8929999999999998</v>
      </c>
      <c r="AL18" s="1988">
        <v>5.9950000000000001</v>
      </c>
      <c r="AM18" s="1988">
        <v>6.1040000000000001</v>
      </c>
      <c r="AN18" s="1988">
        <v>6.218</v>
      </c>
      <c r="AO18" s="1988">
        <v>6.3330000000000002</v>
      </c>
      <c r="AP18" s="1988">
        <v>6.45</v>
      </c>
      <c r="AQ18" s="1988">
        <v>6.5659999999999998</v>
      </c>
      <c r="AR18" s="1988">
        <v>6.6829999999999998</v>
      </c>
      <c r="AS18" s="1988">
        <v>6.7990000000000004</v>
      </c>
      <c r="AT18" s="1988">
        <v>6.9139999999999997</v>
      </c>
      <c r="AU18" s="1988">
        <v>7.0270000000000001</v>
      </c>
      <c r="AV18" s="1988">
        <v>7.1390000000000002</v>
      </c>
      <c r="AW18" s="1988">
        <v>7.25</v>
      </c>
      <c r="AX18" s="1988">
        <v>7.359</v>
      </c>
      <c r="AY18" s="1988">
        <v>7.4660000000000002</v>
      </c>
      <c r="AZ18" s="1988">
        <v>7.5709999999999997</v>
      </c>
      <c r="BA18" s="1988">
        <v>7.6749999999999998</v>
      </c>
      <c r="BB18" s="1988">
        <v>7.7779999999999996</v>
      </c>
      <c r="BC18" s="1988">
        <v>7.8810000000000002</v>
      </c>
      <c r="BD18" s="1988">
        <v>7.9850000000000003</v>
      </c>
      <c r="BE18" s="1988">
        <v>8.0920000000000005</v>
      </c>
      <c r="BF18" s="1988">
        <v>8.2029999999999994</v>
      </c>
      <c r="BG18" s="1988">
        <v>8.3190000000000008</v>
      </c>
      <c r="BH18" s="1988">
        <v>8.4410000000000007</v>
      </c>
      <c r="BI18" s="1988">
        <v>8.5690000000000008</v>
      </c>
      <c r="BJ18" s="1988">
        <v>8.7050000000000001</v>
      </c>
      <c r="BK18" s="1988">
        <v>8.8480000000000008</v>
      </c>
      <c r="BL18" s="1988">
        <v>8.9979999999999993</v>
      </c>
      <c r="BM18" s="1988">
        <v>9.1549999999999994</v>
      </c>
      <c r="BN18" s="1988">
        <v>9.3170000000000002</v>
      </c>
      <c r="BO18" s="1988">
        <v>9.4870000000000001</v>
      </c>
      <c r="BP18" s="1988">
        <v>9.6609999999999996</v>
      </c>
      <c r="BQ18" s="1988">
        <v>9.8409999999999993</v>
      </c>
      <c r="BR18" s="1988">
        <v>10.026</v>
      </c>
      <c r="BS18" s="1988">
        <v>10.214</v>
      </c>
      <c r="BT18" s="1988">
        <v>10.404999999999999</v>
      </c>
      <c r="BU18" s="1988">
        <v>10.598000000000001</v>
      </c>
      <c r="BV18" s="1988">
        <v>10.791</v>
      </c>
      <c r="BW18" s="1988">
        <v>10.984999999999999</v>
      </c>
      <c r="BX18" s="1988">
        <v>11.177</v>
      </c>
      <c r="BY18" s="1988">
        <v>11.366</v>
      </c>
      <c r="BZ18" s="1988">
        <v>11.553000000000001</v>
      </c>
      <c r="CA18" s="1988">
        <v>11.736000000000001</v>
      </c>
      <c r="CB18" s="1988">
        <v>11.914999999999999</v>
      </c>
      <c r="CC18" s="1988">
        <v>12.09</v>
      </c>
      <c r="CD18" s="1988">
        <v>12.26</v>
      </c>
      <c r="CE18" s="1988">
        <v>12.427</v>
      </c>
      <c r="CF18" s="1988">
        <v>12.590999999999999</v>
      </c>
      <c r="CG18" s="1988">
        <v>12.750999999999999</v>
      </c>
    </row>
    <row r="19" spans="4:92">
      <c r="D19" s="2012" t="s">
        <v>1445</v>
      </c>
      <c r="E19" s="1988"/>
      <c r="F19" s="1749"/>
      <c r="G19" s="1749"/>
      <c r="H19" s="1749"/>
      <c r="I19" s="1750"/>
      <c r="J19" s="1988">
        <v>45.749000000000002</v>
      </c>
      <c r="K19" s="1988">
        <v>47.798000000000002</v>
      </c>
      <c r="L19" s="1988">
        <v>49.49</v>
      </c>
      <c r="M19" s="1988">
        <v>51.262</v>
      </c>
      <c r="N19" s="1988">
        <v>53.529000000000003</v>
      </c>
      <c r="O19" s="1988">
        <v>55.52</v>
      </c>
      <c r="P19" s="1988">
        <v>56.968000000000004</v>
      </c>
      <c r="Q19" s="1988">
        <v>58.341999999999999</v>
      </c>
      <c r="R19" s="1988">
        <v>59.503999999999998</v>
      </c>
      <c r="S19" s="1988">
        <v>60.640999999999998</v>
      </c>
      <c r="T19" s="1988">
        <v>61.813000000000002</v>
      </c>
      <c r="U19" s="1988">
        <v>62.804000000000002</v>
      </c>
      <c r="V19" s="1988">
        <v>63.475999999999999</v>
      </c>
      <c r="W19" s="1988">
        <v>64.188999999999993</v>
      </c>
      <c r="X19" s="1988">
        <v>64.650999999999996</v>
      </c>
      <c r="Y19" s="1988">
        <v>65.087999999999994</v>
      </c>
      <c r="Z19" s="1988">
        <v>65.418999999999997</v>
      </c>
      <c r="AA19" s="1988">
        <v>65.733000000000004</v>
      </c>
      <c r="AB19" s="1988">
        <v>66.14</v>
      </c>
      <c r="AC19" s="1988">
        <v>66.353999999999999</v>
      </c>
      <c r="AD19" s="1988">
        <v>66.691000000000003</v>
      </c>
      <c r="AE19" s="1988">
        <v>66.953000000000003</v>
      </c>
      <c r="AF19" s="1988">
        <v>66.849999999999994</v>
      </c>
      <c r="AG19" s="1988">
        <v>67.528000000000006</v>
      </c>
      <c r="AH19" s="2032">
        <v>67.784999999999997</v>
      </c>
      <c r="AI19" s="1988">
        <v>65.492999999999995</v>
      </c>
      <c r="AJ19" s="1988">
        <v>65.492999999999995</v>
      </c>
      <c r="AK19" s="1988">
        <v>65.492999999999995</v>
      </c>
      <c r="AL19" s="1988">
        <v>65.492999999999995</v>
      </c>
      <c r="AM19" s="1988">
        <v>65.492999999999995</v>
      </c>
      <c r="AN19" s="1988">
        <v>65.492999999999995</v>
      </c>
      <c r="AO19" s="1988">
        <v>65.492999999999995</v>
      </c>
      <c r="AP19" s="1988">
        <v>65.492999999999995</v>
      </c>
      <c r="AQ19" s="1988">
        <v>65.492999999999995</v>
      </c>
      <c r="AR19" s="1988">
        <v>65.492999999999995</v>
      </c>
      <c r="AS19" s="1988">
        <v>65.492999999999995</v>
      </c>
      <c r="AT19" s="1988">
        <v>65.492999999999995</v>
      </c>
      <c r="AU19" s="1988">
        <v>65.492999999999995</v>
      </c>
      <c r="AV19" s="1988">
        <v>65.492999999999995</v>
      </c>
      <c r="AW19" s="1988">
        <v>65.492999999999995</v>
      </c>
      <c r="AX19" s="1988">
        <v>65.492999999999995</v>
      </c>
      <c r="AY19" s="1988">
        <v>65.492999999999995</v>
      </c>
      <c r="AZ19" s="1988">
        <v>65.492999999999995</v>
      </c>
      <c r="BA19" s="1988">
        <v>65.492999999999995</v>
      </c>
      <c r="BB19" s="1988">
        <v>65.492999999999995</v>
      </c>
      <c r="BC19" s="1988">
        <v>65.492999999999995</v>
      </c>
      <c r="BD19" s="1988">
        <v>65.492999999999995</v>
      </c>
      <c r="BE19" s="1988">
        <v>65.492999999999995</v>
      </c>
      <c r="BF19" s="1988">
        <v>65.492999999999995</v>
      </c>
      <c r="BG19" s="1988">
        <v>65.492999999999995</v>
      </c>
      <c r="BH19" s="1988">
        <v>65.492999999999995</v>
      </c>
      <c r="BI19" s="1988">
        <v>65.492999999999995</v>
      </c>
      <c r="BJ19" s="1988">
        <v>65.492999999999995</v>
      </c>
      <c r="BK19" s="1988">
        <v>65.492999999999995</v>
      </c>
      <c r="BL19" s="1988">
        <v>65.492999999999995</v>
      </c>
      <c r="BM19" s="1988">
        <v>65.492999999999995</v>
      </c>
      <c r="BN19" s="1988">
        <v>65.492999999999995</v>
      </c>
      <c r="BO19" s="1988">
        <v>65.492999999999995</v>
      </c>
      <c r="BP19" s="1988">
        <v>65.492999999999995</v>
      </c>
      <c r="BQ19" s="1988">
        <v>65.492999999999995</v>
      </c>
      <c r="BR19" s="1988">
        <v>65.492999999999995</v>
      </c>
      <c r="BS19" s="1988">
        <v>65.492999999999995</v>
      </c>
      <c r="BT19" s="1988">
        <v>65.492999999999995</v>
      </c>
      <c r="BU19" s="1988">
        <v>65.492999999999995</v>
      </c>
      <c r="BV19" s="1988">
        <v>65.492999999999995</v>
      </c>
      <c r="BW19" s="1988">
        <v>65.492999999999995</v>
      </c>
      <c r="BX19" s="1988">
        <v>65.492999999999995</v>
      </c>
      <c r="BY19" s="1988">
        <v>65.492999999999995</v>
      </c>
      <c r="BZ19" s="1988">
        <v>65.492999999999995</v>
      </c>
      <c r="CA19" s="1988">
        <v>65.492999999999995</v>
      </c>
      <c r="CB19" s="1988">
        <v>65.492999999999995</v>
      </c>
      <c r="CC19" s="1988">
        <v>65.492999999999995</v>
      </c>
      <c r="CD19" s="1988">
        <v>65.492999999999995</v>
      </c>
      <c r="CE19" s="1988">
        <v>65.492999999999995</v>
      </c>
      <c r="CF19" s="1988">
        <v>65.492999999999995</v>
      </c>
      <c r="CG19" s="1988">
        <v>65.492999999999995</v>
      </c>
    </row>
    <row r="20" spans="4:92">
      <c r="D20" s="2012" t="s">
        <v>1444</v>
      </c>
      <c r="E20" s="1988"/>
      <c r="F20" s="1749"/>
      <c r="G20" s="1749"/>
      <c r="H20" s="1749"/>
      <c r="I20" s="1750"/>
      <c r="J20" s="1988">
        <v>112.777</v>
      </c>
      <c r="K20" s="1988">
        <v>106.90600000000001</v>
      </c>
      <c r="L20" s="1988">
        <v>100.039</v>
      </c>
      <c r="M20" s="1988">
        <v>92.938999999999993</v>
      </c>
      <c r="N20" s="1988">
        <v>85.043000000000006</v>
      </c>
      <c r="O20" s="1988">
        <v>77.694000000000003</v>
      </c>
      <c r="P20" s="1988">
        <v>70.706000000000003</v>
      </c>
      <c r="Q20" s="1988">
        <v>64.498999999999995</v>
      </c>
      <c r="R20" s="1988">
        <v>58.963000000000001</v>
      </c>
      <c r="S20" s="1988">
        <v>54.033000000000001</v>
      </c>
      <c r="T20" s="1988">
        <v>49.771000000000001</v>
      </c>
      <c r="U20" s="1988">
        <v>46.139000000000003</v>
      </c>
      <c r="V20" s="1988">
        <v>43.064999999999998</v>
      </c>
      <c r="W20" s="1988">
        <v>40.509</v>
      </c>
      <c r="X20" s="1988">
        <v>38.402999999999999</v>
      </c>
      <c r="Y20" s="1988">
        <v>36.68</v>
      </c>
      <c r="Z20" s="1988">
        <v>35.252000000000002</v>
      </c>
      <c r="AA20" s="1988">
        <v>34.098999999999997</v>
      </c>
      <c r="AB20" s="1988">
        <v>32.945999999999998</v>
      </c>
      <c r="AC20" s="1988">
        <v>32.008000000000003</v>
      </c>
      <c r="AD20" s="1988">
        <v>31.036999999999999</v>
      </c>
      <c r="AE20" s="1988">
        <v>30.189</v>
      </c>
      <c r="AF20" s="1988">
        <v>29.207999999999998</v>
      </c>
      <c r="AG20" s="1988">
        <v>28.346</v>
      </c>
      <c r="AH20" s="2032">
        <v>27.509</v>
      </c>
      <c r="AI20" s="1988">
        <v>27.495000000000001</v>
      </c>
      <c r="AJ20" s="1988">
        <v>27.509</v>
      </c>
      <c r="AK20" s="1988">
        <v>27.509</v>
      </c>
      <c r="AL20" s="1988">
        <v>27.509</v>
      </c>
      <c r="AM20" s="1988">
        <v>27.509</v>
      </c>
      <c r="AN20" s="1988">
        <v>27.509</v>
      </c>
      <c r="AO20" s="1988">
        <v>27.509</v>
      </c>
      <c r="AP20" s="1988">
        <v>27.509</v>
      </c>
      <c r="AQ20" s="1988">
        <v>27.509</v>
      </c>
      <c r="AR20" s="1988">
        <v>27.509</v>
      </c>
      <c r="AS20" s="1988">
        <v>27.509</v>
      </c>
      <c r="AT20" s="1988">
        <v>27.509</v>
      </c>
      <c r="AU20" s="1988">
        <v>27.509</v>
      </c>
      <c r="AV20" s="1988">
        <v>27.509</v>
      </c>
      <c r="AW20" s="1988">
        <v>27.509</v>
      </c>
      <c r="AX20" s="1988">
        <v>27.509</v>
      </c>
      <c r="AY20" s="1988">
        <v>27.509</v>
      </c>
      <c r="AZ20" s="1988">
        <v>27.507999999999999</v>
      </c>
      <c r="BA20" s="1988">
        <v>27.507999999999999</v>
      </c>
      <c r="BB20" s="1988">
        <v>27.507999999999999</v>
      </c>
      <c r="BC20" s="1988">
        <v>27.507999999999999</v>
      </c>
      <c r="BD20" s="1988">
        <v>27.507999999999999</v>
      </c>
      <c r="BE20" s="1988">
        <v>27.507999999999999</v>
      </c>
      <c r="BF20" s="1988">
        <v>27.507999999999999</v>
      </c>
      <c r="BG20" s="1988">
        <v>27.507999999999999</v>
      </c>
      <c r="BH20" s="1988">
        <v>27.507999999999999</v>
      </c>
      <c r="BI20" s="1988">
        <v>27.507999999999999</v>
      </c>
      <c r="BJ20" s="1988">
        <v>27.507999999999999</v>
      </c>
      <c r="BK20" s="1988">
        <v>27.507999999999999</v>
      </c>
      <c r="BL20" s="1988">
        <v>27.507999999999999</v>
      </c>
      <c r="BM20" s="1988">
        <v>27.507999999999999</v>
      </c>
      <c r="BN20" s="1988">
        <v>27.507999999999999</v>
      </c>
      <c r="BO20" s="1988">
        <v>27.507999999999999</v>
      </c>
      <c r="BP20" s="1988">
        <v>27.507999999999999</v>
      </c>
      <c r="BQ20" s="1988">
        <v>27.507999999999999</v>
      </c>
      <c r="BR20" s="1988">
        <v>27.507999999999999</v>
      </c>
      <c r="BS20" s="1988">
        <v>27.507999999999999</v>
      </c>
      <c r="BT20" s="1988">
        <v>27.507999999999999</v>
      </c>
      <c r="BU20" s="1988">
        <v>27.507999999999999</v>
      </c>
      <c r="BV20" s="1988">
        <v>27.507999999999999</v>
      </c>
      <c r="BW20" s="1988">
        <v>27.507999999999999</v>
      </c>
      <c r="BX20" s="1988">
        <v>27.509</v>
      </c>
      <c r="BY20" s="1988">
        <v>27.507999999999999</v>
      </c>
      <c r="BZ20" s="1988">
        <v>27.507999999999999</v>
      </c>
      <c r="CA20" s="1988">
        <v>27.507999999999999</v>
      </c>
      <c r="CB20" s="1988">
        <v>27.507999999999999</v>
      </c>
      <c r="CC20" s="1988">
        <v>27.507999999999999</v>
      </c>
      <c r="CD20" s="1988">
        <v>27.509</v>
      </c>
      <c r="CE20" s="1988">
        <v>27.509</v>
      </c>
      <c r="CF20" s="1988">
        <v>27.507999999999999</v>
      </c>
      <c r="CG20" s="1988">
        <v>27.507999999999999</v>
      </c>
    </row>
    <row r="21" spans="4:92" ht="16.75" customHeight="1">
      <c r="D21" s="2013" t="s">
        <v>1465</v>
      </c>
      <c r="E21" s="1988"/>
      <c r="F21" s="1749"/>
      <c r="G21" s="1749"/>
      <c r="H21" s="1749"/>
      <c r="I21" s="1750"/>
      <c r="J21" s="1988"/>
      <c r="K21" s="1988"/>
      <c r="L21" s="1988"/>
      <c r="M21" s="1988"/>
      <c r="N21" s="1988"/>
      <c r="O21" s="1988"/>
      <c r="P21" s="1988"/>
      <c r="Q21" s="1988"/>
      <c r="R21" s="1988"/>
      <c r="S21" s="1988"/>
      <c r="T21" s="1988"/>
      <c r="U21" s="1988"/>
      <c r="V21" s="1988"/>
      <c r="W21" s="1988"/>
      <c r="X21" s="1988"/>
      <c r="Y21" s="1988"/>
      <c r="Z21" s="1988"/>
      <c r="AA21" s="1988"/>
      <c r="AB21" s="1988"/>
      <c r="AC21" s="1988"/>
      <c r="AD21" s="1988"/>
      <c r="AE21" s="1988"/>
      <c r="AF21" s="1988"/>
      <c r="AG21" s="1988"/>
      <c r="AH21" s="2032"/>
      <c r="AI21" s="1988"/>
      <c r="AJ21" s="1988"/>
      <c r="AK21" s="1988"/>
      <c r="AL21" s="1988"/>
      <c r="AM21" s="1988"/>
      <c r="AN21" s="1988"/>
      <c r="AO21" s="1988"/>
      <c r="AP21" s="1988"/>
      <c r="AQ21" s="1988"/>
      <c r="AR21" s="1988"/>
      <c r="AS21" s="1988"/>
      <c r="AT21" s="1988"/>
      <c r="AU21" s="1988"/>
      <c r="AV21" s="1988"/>
      <c r="AW21" s="1988"/>
      <c r="AX21" s="1988"/>
      <c r="AY21" s="1988"/>
      <c r="AZ21" s="1988"/>
      <c r="BA21" s="1988"/>
      <c r="BB21" s="1988"/>
      <c r="BC21" s="1988"/>
      <c r="BD21" s="1988"/>
      <c r="BE21" s="1988"/>
      <c r="BF21" s="1988"/>
      <c r="BG21" s="1988"/>
      <c r="BH21" s="1988"/>
      <c r="BI21" s="1988"/>
      <c r="BJ21" s="1988"/>
      <c r="BK21" s="1988"/>
      <c r="BL21" s="1988"/>
      <c r="BM21" s="1988"/>
      <c r="BN21" s="1988"/>
      <c r="BO21" s="1988"/>
      <c r="BP21" s="1988"/>
      <c r="BQ21" s="1988"/>
      <c r="BR21" s="1988"/>
      <c r="BS21" s="1988"/>
      <c r="BT21" s="1988"/>
      <c r="BU21" s="1988"/>
      <c r="BV21" s="1988"/>
      <c r="BW21" s="1988"/>
      <c r="BX21" s="1988"/>
      <c r="BY21" s="1988"/>
      <c r="BZ21" s="1988"/>
      <c r="CA21" s="1988"/>
      <c r="CB21" s="1988"/>
      <c r="CC21" s="1988"/>
      <c r="CD21" s="1988"/>
      <c r="CE21" s="1988"/>
      <c r="CF21" s="1988"/>
      <c r="CG21" s="1988"/>
    </row>
    <row r="22" spans="4:92" ht="16.75" customHeight="1">
      <c r="D22" s="2012" t="s">
        <v>1460</v>
      </c>
      <c r="E22" s="1988"/>
      <c r="F22" s="1749"/>
      <c r="G22" s="1749"/>
      <c r="H22" s="1749"/>
      <c r="I22" s="1750"/>
      <c r="J22" s="1988">
        <v>3894.4135000000001</v>
      </c>
      <c r="K22" s="1988">
        <v>3813.6875</v>
      </c>
      <c r="L22" s="1988">
        <v>3747.3244999999997</v>
      </c>
      <c r="M22" s="1988">
        <v>3721.7734999999998</v>
      </c>
      <c r="N22" s="1988">
        <v>3754.0075000000002</v>
      </c>
      <c r="O22" s="1988">
        <v>3820.3815</v>
      </c>
      <c r="P22" s="1988">
        <v>3900.4025000000006</v>
      </c>
      <c r="Q22" s="1988">
        <v>3992.4405000000002</v>
      </c>
      <c r="R22" s="1988">
        <v>4092.1770000000001</v>
      </c>
      <c r="S22" s="1988">
        <v>4192.9160000000002</v>
      </c>
      <c r="T22" s="1988">
        <v>4288.3015000000005</v>
      </c>
      <c r="U22" s="1988">
        <v>4376.222999999999</v>
      </c>
      <c r="V22" s="1988">
        <v>4458.4775</v>
      </c>
      <c r="W22" s="1988">
        <v>4538.5185000000001</v>
      </c>
      <c r="X22" s="1988">
        <v>4621.1979999999994</v>
      </c>
      <c r="Y22" s="1988">
        <v>4706.3120000000008</v>
      </c>
      <c r="Z22" s="1988">
        <v>4789.7235000000001</v>
      </c>
      <c r="AA22" s="1988">
        <v>4869.0694999999996</v>
      </c>
      <c r="AB22" s="1988">
        <v>4943.4769999999999</v>
      </c>
      <c r="AC22" s="1988">
        <v>5010.5524999999998</v>
      </c>
      <c r="AD22" s="1988">
        <v>5067.3689999999997</v>
      </c>
      <c r="AE22" s="1988">
        <v>5116.134</v>
      </c>
      <c r="AF22" s="1988">
        <v>5160.509</v>
      </c>
      <c r="AG22" s="1988">
        <v>5208.7910000000011</v>
      </c>
      <c r="AH22" s="2032">
        <v>5265.2125000000005</v>
      </c>
      <c r="AI22" s="1988">
        <v>5326.3669999999993</v>
      </c>
      <c r="AJ22" s="1988">
        <v>5393.4889999999996</v>
      </c>
      <c r="AK22" s="1988">
        <v>5463.8725000000004</v>
      </c>
      <c r="AL22" s="1988">
        <v>5534.2734999999993</v>
      </c>
      <c r="AM22" s="1988">
        <v>5600.6505000000006</v>
      </c>
      <c r="AN22" s="1988">
        <v>5659.7134999999998</v>
      </c>
      <c r="AO22" s="1988">
        <v>5715.5250000000005</v>
      </c>
      <c r="AP22" s="1988">
        <v>5770.7654999999995</v>
      </c>
      <c r="AQ22" s="1988">
        <v>5820.7844999999998</v>
      </c>
      <c r="AR22" s="1988">
        <v>5870.8175000000001</v>
      </c>
      <c r="AS22" s="1988">
        <v>5926.6144999999988</v>
      </c>
      <c r="AT22" s="1988">
        <v>5986.2790000000005</v>
      </c>
      <c r="AU22" s="1988">
        <v>6042.8424999999988</v>
      </c>
      <c r="AV22" s="1988">
        <v>6096.45</v>
      </c>
      <c r="AW22" s="1988">
        <v>6153.4609999999993</v>
      </c>
      <c r="AX22" s="1988">
        <v>6212.2910000000002</v>
      </c>
      <c r="AY22" s="1988">
        <v>6272.6829999999991</v>
      </c>
      <c r="AZ22" s="1988">
        <v>6331.9540000000015</v>
      </c>
      <c r="BA22" s="1988">
        <v>6384.9565000000011</v>
      </c>
      <c r="BB22" s="1988">
        <v>6434.5494999999992</v>
      </c>
      <c r="BC22" s="1988">
        <v>6479.7109999999993</v>
      </c>
      <c r="BD22" s="1988">
        <v>6518.3154999999997</v>
      </c>
      <c r="BE22" s="1988">
        <v>6552.3844999999992</v>
      </c>
      <c r="BF22" s="1988">
        <v>6583.1940000000004</v>
      </c>
      <c r="BG22" s="1988">
        <v>6614.6994999999997</v>
      </c>
      <c r="BH22" s="1988">
        <v>6642.9124999999995</v>
      </c>
      <c r="BI22" s="1988">
        <v>6664.8455000000004</v>
      </c>
      <c r="BJ22" s="1988">
        <v>6682.0140000000001</v>
      </c>
      <c r="BK22" s="1988">
        <v>6694.1754999999994</v>
      </c>
      <c r="BL22" s="1988">
        <v>6701.2870000000003</v>
      </c>
      <c r="BM22" s="1988">
        <v>6706.5109999999995</v>
      </c>
      <c r="BN22" s="1988">
        <v>6711.2270000000008</v>
      </c>
      <c r="BO22" s="1988">
        <v>6711.9560000000001</v>
      </c>
      <c r="BP22" s="1988">
        <v>6708.8049999999994</v>
      </c>
      <c r="BQ22" s="1988">
        <v>6712.6170000000002</v>
      </c>
      <c r="BR22" s="1988">
        <v>6717.7459999999992</v>
      </c>
      <c r="BS22" s="1988">
        <v>6717.4640000000009</v>
      </c>
      <c r="BT22" s="1988">
        <v>6721.3244999999997</v>
      </c>
      <c r="BU22" s="1988">
        <v>6723.1509999999998</v>
      </c>
      <c r="BV22" s="1988">
        <v>6722.2570000000005</v>
      </c>
      <c r="BW22" s="1988">
        <v>6723.6905000000006</v>
      </c>
      <c r="BX22" s="1988">
        <v>6725.3440000000001</v>
      </c>
      <c r="BY22" s="1988">
        <v>6725.476999999999</v>
      </c>
      <c r="BZ22" s="1988">
        <v>6726.23</v>
      </c>
      <c r="CA22" s="1988">
        <v>6729.7744999999995</v>
      </c>
      <c r="CB22" s="1988">
        <v>6729.29</v>
      </c>
      <c r="CC22" s="1988">
        <v>6728.7305000000015</v>
      </c>
      <c r="CD22" s="1988">
        <v>6728.3959999999997</v>
      </c>
      <c r="CE22" s="1988">
        <v>6725.0234999999993</v>
      </c>
      <c r="CF22" s="1988">
        <v>6720.3654999999999</v>
      </c>
      <c r="CG22" s="1988">
        <v>6711.4714999999987</v>
      </c>
    </row>
    <row r="23" spans="4:92" ht="16.75" customHeight="1">
      <c r="D23" s="2012" t="s">
        <v>1461</v>
      </c>
      <c r="E23" s="1988"/>
      <c r="F23" s="1749"/>
      <c r="G23" s="1749"/>
      <c r="H23" s="1749"/>
      <c r="I23" s="1750"/>
      <c r="J23" s="1988">
        <v>4089.9475000000011</v>
      </c>
      <c r="K23" s="1988">
        <v>4224.107</v>
      </c>
      <c r="L23" s="1988">
        <v>4349.6359999999986</v>
      </c>
      <c r="M23" s="1988">
        <v>4473.9545000000007</v>
      </c>
      <c r="N23" s="1988">
        <v>4616.8950000000004</v>
      </c>
      <c r="O23" s="1988">
        <v>4771.0189999999975</v>
      </c>
      <c r="P23" s="1988">
        <v>4918.9859999999999</v>
      </c>
      <c r="Q23" s="1988">
        <v>5062.1419999999998</v>
      </c>
      <c r="R23" s="1988">
        <v>5203.6394999999993</v>
      </c>
      <c r="S23" s="1988">
        <v>5347.7824999999966</v>
      </c>
      <c r="T23" s="1988">
        <v>5499.2195000000002</v>
      </c>
      <c r="U23" s="1988">
        <v>5659.1205000000018</v>
      </c>
      <c r="V23" s="1988">
        <v>5823.4045000000006</v>
      </c>
      <c r="W23" s="1988">
        <v>5988.7959999999985</v>
      </c>
      <c r="X23" s="1988">
        <v>6157.5594999999967</v>
      </c>
      <c r="Y23" s="1988">
        <v>6330.079999999999</v>
      </c>
      <c r="Z23" s="1988">
        <v>6505.6264999999994</v>
      </c>
      <c r="AA23" s="1988">
        <v>6686.9715000000015</v>
      </c>
      <c r="AB23" s="1988">
        <v>6875.0990000000011</v>
      </c>
      <c r="AC23" s="1988">
        <v>7071.9889999999996</v>
      </c>
      <c r="AD23" s="1988">
        <v>7279.8370000000014</v>
      </c>
      <c r="AE23" s="1988">
        <v>7495.5734999999995</v>
      </c>
      <c r="AF23" s="1988">
        <v>7713.2059999999992</v>
      </c>
      <c r="AG23" s="1988">
        <v>7934.2229999999972</v>
      </c>
      <c r="AH23" s="2032">
        <v>8155.9400000000005</v>
      </c>
      <c r="AI23" s="1988">
        <v>8370.476999999999</v>
      </c>
      <c r="AJ23" s="1988">
        <v>8589.5570000000007</v>
      </c>
      <c r="AK23" s="1988">
        <v>8814.1764999999978</v>
      </c>
      <c r="AL23" s="1988">
        <v>9045.6434999999965</v>
      </c>
      <c r="AM23" s="1988">
        <v>9282.0280000000002</v>
      </c>
      <c r="AN23" s="1988">
        <v>9515.0339999999997</v>
      </c>
      <c r="AO23" s="1988">
        <v>9754.6179999999986</v>
      </c>
      <c r="AP23" s="1988">
        <v>10003.155000000004</v>
      </c>
      <c r="AQ23" s="1988">
        <v>10237.080999999991</v>
      </c>
      <c r="AR23" s="1988">
        <v>10472.253000000001</v>
      </c>
      <c r="AS23" s="1988">
        <v>10726.285000000005</v>
      </c>
      <c r="AT23" s="1988">
        <v>10990.217500000002</v>
      </c>
      <c r="AU23" s="1988">
        <v>11243.813499999998</v>
      </c>
      <c r="AV23" s="1988">
        <v>11489.610999999999</v>
      </c>
      <c r="AW23" s="1988">
        <v>11746.561999999998</v>
      </c>
      <c r="AX23" s="1988">
        <v>12013.353999999999</v>
      </c>
      <c r="AY23" s="1988">
        <v>12292.193500000005</v>
      </c>
      <c r="AZ23" s="1988">
        <v>12568.849499999998</v>
      </c>
      <c r="BA23" s="1988">
        <v>12828.283999999994</v>
      </c>
      <c r="BB23" s="1988">
        <v>13082.594500000001</v>
      </c>
      <c r="BC23" s="1988">
        <v>13323.817999999999</v>
      </c>
      <c r="BD23" s="1988">
        <v>13545.674000000005</v>
      </c>
      <c r="BE23" s="1988">
        <v>13758.900999999994</v>
      </c>
      <c r="BF23" s="1988">
        <v>13971.400500000002</v>
      </c>
      <c r="BG23" s="1988">
        <v>14196.899999999996</v>
      </c>
      <c r="BH23" s="1988">
        <v>14420.7935</v>
      </c>
      <c r="BI23" s="1988">
        <v>14636.697000000002</v>
      </c>
      <c r="BJ23" s="1988">
        <v>14852.576000000003</v>
      </c>
      <c r="BK23" s="1988">
        <v>15065.738500000003</v>
      </c>
      <c r="BL23" s="1988">
        <v>15273.708000000006</v>
      </c>
      <c r="BM23" s="1988">
        <v>15486.1975</v>
      </c>
      <c r="BN23" s="1988">
        <v>15705.958499999997</v>
      </c>
      <c r="BO23" s="1988">
        <v>15921.422000000002</v>
      </c>
      <c r="BP23" s="1988">
        <v>16126.450999999999</v>
      </c>
      <c r="BQ23" s="1988">
        <v>16354.165999999999</v>
      </c>
      <c r="BR23" s="1988">
        <v>16584.649000000001</v>
      </c>
      <c r="BS23" s="1988">
        <v>16792.673499999997</v>
      </c>
      <c r="BT23" s="1988">
        <v>17013.250499999998</v>
      </c>
      <c r="BU23" s="1988">
        <v>17223.130499999999</v>
      </c>
      <c r="BV23" s="1988">
        <v>17418.617000000006</v>
      </c>
      <c r="BW23" s="1988">
        <v>17616.353000000003</v>
      </c>
      <c r="BX23" s="1988">
        <v>17805.091499999995</v>
      </c>
      <c r="BY23" s="1988">
        <v>17974.759000000002</v>
      </c>
      <c r="BZ23" s="1988">
        <v>18130.796000000002</v>
      </c>
      <c r="CA23" s="1988">
        <v>18280.176499999998</v>
      </c>
      <c r="CB23" s="1988">
        <v>18401.411000000007</v>
      </c>
      <c r="CC23" s="1988">
        <v>18515.834999999992</v>
      </c>
      <c r="CD23" s="1988">
        <v>18632.740000000002</v>
      </c>
      <c r="CE23" s="1988">
        <v>18747.273499999999</v>
      </c>
      <c r="CF23" s="1988">
        <v>18866.804500000002</v>
      </c>
      <c r="CG23" s="1988">
        <v>18981.338</v>
      </c>
    </row>
    <row r="24" spans="4:92">
      <c r="D24" s="2012" t="s">
        <v>1459</v>
      </c>
      <c r="E24" s="1988"/>
      <c r="J24" s="1988">
        <v>163.55049999999997</v>
      </c>
      <c r="K24" s="1988">
        <v>176.136</v>
      </c>
      <c r="L24" s="1988">
        <v>190.13399999999993</v>
      </c>
      <c r="M24" s="1988">
        <v>204.452</v>
      </c>
      <c r="N24" s="1988">
        <v>215.9725</v>
      </c>
      <c r="O24" s="1988">
        <v>225.44299999999998</v>
      </c>
      <c r="P24" s="1988">
        <v>235.13950000000003</v>
      </c>
      <c r="Q24" s="1988">
        <v>244.66350000000006</v>
      </c>
      <c r="R24" s="1988">
        <v>254.11700000000002</v>
      </c>
      <c r="S24" s="1988">
        <v>263.57000000000005</v>
      </c>
      <c r="T24" s="1988">
        <v>272.91050000000013</v>
      </c>
      <c r="U24" s="1988">
        <v>282.21000000000004</v>
      </c>
      <c r="V24" s="1988">
        <v>291.851</v>
      </c>
      <c r="W24" s="1988">
        <v>302.58650000000017</v>
      </c>
      <c r="X24" s="1988">
        <v>314.5825000000001</v>
      </c>
      <c r="Y24" s="1988">
        <v>328.36499999999984</v>
      </c>
      <c r="Z24" s="1988">
        <v>344.67200000000003</v>
      </c>
      <c r="AA24" s="1988">
        <v>363.14200000000005</v>
      </c>
      <c r="AB24" s="1988">
        <v>383.48449999999991</v>
      </c>
      <c r="AC24" s="1988">
        <v>405.45449999999994</v>
      </c>
      <c r="AD24" s="1988">
        <v>428.89699999999999</v>
      </c>
      <c r="AE24" s="1988">
        <v>454.12949999999995</v>
      </c>
      <c r="AF24" s="1988">
        <v>481.54499999999996</v>
      </c>
      <c r="AG24" s="1988">
        <v>508.01599999999996</v>
      </c>
      <c r="AH24" s="2032">
        <v>533.31900000000007</v>
      </c>
      <c r="AI24" s="1988">
        <v>559.72249999999985</v>
      </c>
      <c r="AJ24" s="1988">
        <v>586.29449999999997</v>
      </c>
      <c r="AK24" s="1988">
        <v>611.64399999999978</v>
      </c>
      <c r="AL24" s="1988">
        <v>634.41050000000041</v>
      </c>
      <c r="AM24" s="1988">
        <v>653.78300000000013</v>
      </c>
      <c r="AN24" s="1988">
        <v>669.9105000000003</v>
      </c>
      <c r="AO24" s="1988">
        <v>684.56200000000001</v>
      </c>
      <c r="AP24" s="1988">
        <v>699.18800000000022</v>
      </c>
      <c r="AQ24" s="1988">
        <v>713.95699999999988</v>
      </c>
      <c r="AR24" s="1988">
        <v>730.40449999999987</v>
      </c>
      <c r="AS24" s="1988">
        <v>749.35450000000026</v>
      </c>
      <c r="AT24" s="1988">
        <v>769.822</v>
      </c>
      <c r="AU24" s="1988">
        <v>790.12049999999999</v>
      </c>
      <c r="AV24" s="1988">
        <v>809.7850000000002</v>
      </c>
      <c r="AW24" s="1988">
        <v>829.76500000000021</v>
      </c>
      <c r="AX24" s="1988">
        <v>851.14249999999993</v>
      </c>
      <c r="AY24" s="1988">
        <v>875.89350000000002</v>
      </c>
      <c r="AZ24" s="1988">
        <v>905.37150000000031</v>
      </c>
      <c r="BA24" s="1988">
        <v>940.7444999999999</v>
      </c>
      <c r="BB24" s="1988">
        <v>983.6909999999998</v>
      </c>
      <c r="BC24" s="1988">
        <v>1033.5534999999993</v>
      </c>
      <c r="BD24" s="1988">
        <v>1088.6679999999999</v>
      </c>
      <c r="BE24" s="1988">
        <v>1147.8705000000002</v>
      </c>
      <c r="BF24" s="1988">
        <v>1209.9949999999999</v>
      </c>
      <c r="BG24" s="1988">
        <v>1274.5219999999999</v>
      </c>
      <c r="BH24" s="1988">
        <v>1340.1875000000005</v>
      </c>
      <c r="BI24" s="1988">
        <v>1406.3674999999996</v>
      </c>
      <c r="BJ24" s="1988">
        <v>1473.1744999999999</v>
      </c>
      <c r="BK24" s="1988">
        <v>1540.3455000000004</v>
      </c>
      <c r="BL24" s="1988">
        <v>1607.5424999999998</v>
      </c>
      <c r="BM24" s="1988">
        <v>1674.9144999999999</v>
      </c>
      <c r="BN24" s="1988">
        <v>1742.2650000000003</v>
      </c>
      <c r="BO24" s="1988">
        <v>1808.6924999999994</v>
      </c>
      <c r="BP24" s="1988">
        <v>1873.7014999999999</v>
      </c>
      <c r="BQ24" s="1988">
        <v>1938.7749999999996</v>
      </c>
      <c r="BR24" s="1988">
        <v>2003.2975000000001</v>
      </c>
      <c r="BS24" s="1988">
        <v>2066.623</v>
      </c>
      <c r="BT24" s="1988">
        <v>2130.726999999999</v>
      </c>
      <c r="BU24" s="1988">
        <v>2194.996000000001</v>
      </c>
      <c r="BV24" s="1988">
        <v>2260.2280000000005</v>
      </c>
      <c r="BW24" s="1988">
        <v>2328.9654999999998</v>
      </c>
      <c r="BX24" s="1988">
        <v>2402.930499999999</v>
      </c>
      <c r="BY24" s="1988">
        <v>2483.9799999999996</v>
      </c>
      <c r="BZ24" s="1988">
        <v>2574.1830000000009</v>
      </c>
      <c r="CA24" s="1988">
        <v>2674.4585000000011</v>
      </c>
      <c r="CB24" s="1988">
        <v>2782.09</v>
      </c>
      <c r="CC24" s="1988">
        <v>2894.2395000000001</v>
      </c>
      <c r="CD24" s="1988">
        <v>3007.3385000000012</v>
      </c>
      <c r="CE24" s="1988">
        <v>3117.5174999999995</v>
      </c>
      <c r="CF24" s="1988">
        <v>3222.7404999999994</v>
      </c>
      <c r="CG24" s="1988">
        <v>3322.7740000000003</v>
      </c>
    </row>
    <row r="25" spans="4:92" ht="14.4" hidden="1" customHeight="1">
      <c r="D25" s="3" t="s">
        <v>1388</v>
      </c>
      <c r="E25" s="1990" t="s">
        <v>1454</v>
      </c>
      <c r="AB25" s="1863"/>
      <c r="AH25" s="173"/>
      <c r="AI25" s="1510"/>
      <c r="AJ25" s="1510"/>
      <c r="AK25" s="1510"/>
      <c r="AL25" s="1510"/>
      <c r="AM25" s="1510"/>
      <c r="AN25" s="1510"/>
      <c r="AO25" s="1864"/>
    </row>
    <row r="26" spans="4:92" ht="14.4" hidden="1" customHeight="1">
      <c r="D26" s="1989" t="s">
        <v>1447</v>
      </c>
      <c r="E26" s="3886" t="s">
        <v>1453</v>
      </c>
      <c r="AB26" s="1863"/>
      <c r="AG26" s="1992">
        <v>1020296</v>
      </c>
      <c r="AH26" s="1993">
        <v>1017903</v>
      </c>
      <c r="AI26" s="1994">
        <v>1018036</v>
      </c>
      <c r="AJ26" s="1994">
        <v>1018328</v>
      </c>
      <c r="AK26" s="1994">
        <v>1036783</v>
      </c>
      <c r="AL26" s="1994">
        <v>1061982</v>
      </c>
      <c r="AM26" s="1994">
        <v>1093979</v>
      </c>
      <c r="AN26" s="1994">
        <v>1114842</v>
      </c>
      <c r="AO26" s="1995">
        <v>1135836</v>
      </c>
      <c r="AP26" s="1992">
        <v>1156674</v>
      </c>
      <c r="AQ26" s="1992">
        <v>1177168</v>
      </c>
      <c r="AR26" s="1992">
        <v>1197228</v>
      </c>
      <c r="AS26" s="1992">
        <v>1216812</v>
      </c>
      <c r="AT26" s="1992">
        <v>1235863</v>
      </c>
      <c r="AU26" s="1992">
        <v>1254254</v>
      </c>
      <c r="AV26" s="1992">
        <v>1271840</v>
      </c>
      <c r="AW26" s="1992">
        <v>1288415</v>
      </c>
      <c r="AX26" s="1992">
        <v>1303748</v>
      </c>
      <c r="AY26" s="1992">
        <v>1317638</v>
      </c>
      <c r="AZ26" s="1992">
        <v>1329986</v>
      </c>
      <c r="BA26" s="1992">
        <v>1341194</v>
      </c>
      <c r="BB26" s="1992">
        <v>1351211</v>
      </c>
      <c r="BC26" s="1992">
        <v>1359791</v>
      </c>
      <c r="BD26" s="1992">
        <v>1366374</v>
      </c>
      <c r="BE26" s="1992">
        <v>1371140</v>
      </c>
      <c r="BF26" s="1992">
        <v>1374596</v>
      </c>
      <c r="BG26" s="1992">
        <v>1377100</v>
      </c>
      <c r="BH26" s="1992">
        <v>1378832</v>
      </c>
      <c r="BI26" s="1992">
        <v>1379893</v>
      </c>
      <c r="BJ26" s="1992">
        <v>1380622</v>
      </c>
      <c r="BK26" s="1992">
        <v>1381366</v>
      </c>
    </row>
    <row r="27" spans="4:92" ht="14.25" hidden="1" customHeight="1">
      <c r="D27" s="1989" t="s">
        <v>1448</v>
      </c>
      <c r="E27" s="3886"/>
      <c r="AB27" s="1863"/>
      <c r="AG27" s="1992">
        <v>1363424</v>
      </c>
      <c r="AH27" s="1993">
        <v>1360324</v>
      </c>
      <c r="AI27" s="1994">
        <v>1356647</v>
      </c>
      <c r="AJ27" s="1994">
        <v>1356982</v>
      </c>
      <c r="AK27" s="1994">
        <v>1375502</v>
      </c>
      <c r="AL27" s="1994">
        <v>1400804</v>
      </c>
      <c r="AM27" s="1994">
        <v>1433003</v>
      </c>
      <c r="AN27" s="1994">
        <v>1472045</v>
      </c>
      <c r="AO27" s="1995">
        <v>1499890</v>
      </c>
      <c r="AP27" s="1992">
        <v>1527739</v>
      </c>
      <c r="AQ27" s="1992">
        <v>1555289</v>
      </c>
      <c r="AR27" s="1992">
        <v>1582335</v>
      </c>
      <c r="AS27" s="1992">
        <v>1608776</v>
      </c>
      <c r="AT27" s="1992">
        <v>1634542</v>
      </c>
      <c r="AU27" s="1992">
        <v>1659482</v>
      </c>
      <c r="AV27" s="1992">
        <v>1683435</v>
      </c>
      <c r="AW27" s="1992">
        <v>1706172</v>
      </c>
      <c r="AX27" s="1992">
        <v>1727397</v>
      </c>
      <c r="AY27" s="1992">
        <v>1746851</v>
      </c>
      <c r="AZ27" s="1992">
        <v>1764353</v>
      </c>
      <c r="BA27" s="1992">
        <v>1780212</v>
      </c>
      <c r="BB27" s="1992">
        <v>1794352</v>
      </c>
      <c r="BC27" s="1992">
        <v>1806547</v>
      </c>
      <c r="BD27" s="1992">
        <v>1816643</v>
      </c>
      <c r="BE27" s="1992">
        <v>1824342</v>
      </c>
      <c r="BF27" s="1992">
        <v>1829977</v>
      </c>
      <c r="BG27" s="1992">
        <v>1834000</v>
      </c>
      <c r="BH27" s="1992">
        <v>1836850</v>
      </c>
      <c r="BI27" s="1992">
        <v>1838781</v>
      </c>
      <c r="BJ27" s="1992">
        <v>1840078</v>
      </c>
      <c r="BK27" s="1992">
        <v>1841168</v>
      </c>
    </row>
    <row r="28" spans="4:92" hidden="1">
      <c r="D28" s="1989" t="s">
        <v>1449</v>
      </c>
      <c r="E28" s="3886"/>
      <c r="AB28" s="1863"/>
      <c r="AG28" s="1992">
        <v>1979360</v>
      </c>
      <c r="AH28" s="1993">
        <v>2010206</v>
      </c>
      <c r="AI28" s="1994">
        <v>2028867</v>
      </c>
      <c r="AJ28" s="1994">
        <v>2038563</v>
      </c>
      <c r="AK28" s="1994">
        <v>2040890</v>
      </c>
      <c r="AL28" s="1994">
        <v>2038467</v>
      </c>
      <c r="AM28" s="1994">
        <v>2034466</v>
      </c>
      <c r="AN28" s="1994">
        <v>2049351</v>
      </c>
      <c r="AO28" s="1995">
        <v>2074885</v>
      </c>
      <c r="AP28" s="1992">
        <v>2107386</v>
      </c>
      <c r="AQ28" s="1992">
        <v>2146866</v>
      </c>
      <c r="AR28" s="1992">
        <v>2193218</v>
      </c>
      <c r="AS28" s="1992">
        <v>2246216</v>
      </c>
      <c r="AT28" s="1992">
        <v>2287767</v>
      </c>
      <c r="AU28" s="1992">
        <v>2328998</v>
      </c>
      <c r="AV28" s="1992">
        <v>2369571</v>
      </c>
      <c r="AW28" s="1992">
        <v>2409237</v>
      </c>
      <c r="AX28" s="1992">
        <v>2447799</v>
      </c>
      <c r="AY28" s="1992">
        <v>2485063</v>
      </c>
      <c r="AZ28" s="1992">
        <v>2520769</v>
      </c>
      <c r="BA28" s="1992">
        <v>2554579</v>
      </c>
      <c r="BB28" s="1992">
        <v>2586146</v>
      </c>
      <c r="BC28" s="1992">
        <v>2615167</v>
      </c>
      <c r="BD28" s="1992">
        <v>2641812</v>
      </c>
      <c r="BE28" s="1992">
        <v>2665828</v>
      </c>
      <c r="BF28" s="1992">
        <v>2686872</v>
      </c>
      <c r="BG28" s="1992">
        <v>2704783</v>
      </c>
      <c r="BH28" s="1992">
        <v>2719691</v>
      </c>
      <c r="BI28" s="1992">
        <v>2731856</v>
      </c>
      <c r="BJ28" s="1992">
        <v>2741077</v>
      </c>
      <c r="BK28" s="1992">
        <v>2747713</v>
      </c>
    </row>
    <row r="29" spans="4:92" hidden="1">
      <c r="D29" s="1989" t="s">
        <v>1450</v>
      </c>
      <c r="E29" s="3886"/>
      <c r="AB29" s="1863"/>
      <c r="AG29" s="1992">
        <v>1941584</v>
      </c>
      <c r="AH29" s="1993">
        <v>1978364</v>
      </c>
      <c r="AI29" s="1994">
        <v>2009232</v>
      </c>
      <c r="AJ29" s="1994">
        <v>2027922</v>
      </c>
      <c r="AK29" s="1994">
        <v>2037651</v>
      </c>
      <c r="AL29" s="1994">
        <v>2040019</v>
      </c>
      <c r="AM29" s="1994">
        <v>2037638</v>
      </c>
      <c r="AN29" s="1994">
        <v>2033680</v>
      </c>
      <c r="AO29" s="1995">
        <v>2048604</v>
      </c>
      <c r="AP29" s="1992">
        <v>2074177</v>
      </c>
      <c r="AQ29" s="1992">
        <v>2106707</v>
      </c>
      <c r="AR29" s="1992">
        <v>2146217</v>
      </c>
      <c r="AS29" s="1992">
        <v>2192599</v>
      </c>
      <c r="AT29" s="1992">
        <v>2245619</v>
      </c>
      <c r="AU29" s="1992">
        <v>2287179</v>
      </c>
      <c r="AV29" s="1992">
        <v>2328420</v>
      </c>
      <c r="AW29" s="1992">
        <v>2369003</v>
      </c>
      <c r="AX29" s="1992">
        <v>2408680</v>
      </c>
      <c r="AY29" s="1992">
        <v>2447254</v>
      </c>
      <c r="AZ29" s="1992">
        <v>2484531</v>
      </c>
      <c r="BA29" s="1992">
        <v>2520251</v>
      </c>
      <c r="BB29" s="1992">
        <v>2554076</v>
      </c>
      <c r="BC29" s="1992">
        <v>2585658</v>
      </c>
      <c r="BD29" s="1992">
        <v>2614697</v>
      </c>
      <c r="BE29" s="1992">
        <v>2641359</v>
      </c>
      <c r="BF29" s="1992">
        <v>2665395</v>
      </c>
      <c r="BG29" s="1992">
        <v>2686458</v>
      </c>
      <c r="BH29" s="1992">
        <v>2704390</v>
      </c>
      <c r="BI29" s="1992">
        <v>2719320</v>
      </c>
      <c r="BJ29" s="1992">
        <v>2731507</v>
      </c>
      <c r="BK29" s="1992">
        <v>2740751</v>
      </c>
    </row>
    <row r="30" spans="4:92" hidden="1">
      <c r="D30" s="1989" t="s">
        <v>1451</v>
      </c>
      <c r="E30" s="3886"/>
      <c r="AB30" s="1863"/>
      <c r="AG30" s="1992">
        <v>1846023</v>
      </c>
      <c r="AH30" s="1993">
        <v>1847944</v>
      </c>
      <c r="AI30" s="1994">
        <v>1854529</v>
      </c>
      <c r="AJ30" s="1994">
        <v>1871744</v>
      </c>
      <c r="AK30" s="1994">
        <v>1900240</v>
      </c>
      <c r="AL30" s="1994">
        <v>1935933</v>
      </c>
      <c r="AM30" s="1994">
        <v>1972829</v>
      </c>
      <c r="AN30" s="1994">
        <v>2003834</v>
      </c>
      <c r="AO30" s="1995">
        <v>2022699</v>
      </c>
      <c r="AP30" s="1992">
        <v>2032632</v>
      </c>
      <c r="AQ30" s="1992">
        <v>2035224</v>
      </c>
      <c r="AR30" s="1992">
        <v>2033079</v>
      </c>
      <c r="AS30" s="1992">
        <v>2029362</v>
      </c>
      <c r="AT30" s="1992">
        <v>2044489</v>
      </c>
      <c r="AU30" s="1992">
        <v>2070222</v>
      </c>
      <c r="AV30" s="1992">
        <v>2102887</v>
      </c>
      <c r="AW30" s="1992">
        <v>2142506</v>
      </c>
      <c r="AX30" s="1992">
        <v>2188968</v>
      </c>
      <c r="AY30" s="1992">
        <v>2242046</v>
      </c>
      <c r="AZ30" s="1992">
        <v>2283693</v>
      </c>
      <c r="BA30" s="1992">
        <v>2325026</v>
      </c>
      <c r="BB30" s="1992">
        <v>2365707</v>
      </c>
      <c r="BC30" s="1992">
        <v>2405490</v>
      </c>
      <c r="BD30" s="1992">
        <v>2444176</v>
      </c>
      <c r="BE30" s="1992">
        <v>2481572</v>
      </c>
      <c r="BF30" s="1992">
        <v>2517418</v>
      </c>
      <c r="BG30" s="1992">
        <v>2551375</v>
      </c>
      <c r="BH30" s="1992">
        <v>2583097</v>
      </c>
      <c r="BI30" s="1992">
        <v>2612282</v>
      </c>
      <c r="BJ30" s="1992">
        <v>2639096</v>
      </c>
      <c r="BK30" s="1992">
        <v>2663290</v>
      </c>
    </row>
    <row r="31" spans="4:92" hidden="1">
      <c r="D31" s="1989" t="s">
        <v>1452</v>
      </c>
      <c r="E31" s="3886"/>
      <c r="AB31" s="1863"/>
      <c r="AG31" s="1992">
        <v>1836743</v>
      </c>
      <c r="AH31" s="1993">
        <v>1844634</v>
      </c>
      <c r="AI31" s="1994">
        <v>1846603</v>
      </c>
      <c r="AJ31" s="1994">
        <v>1853235</v>
      </c>
      <c r="AK31" s="1994">
        <v>1870491</v>
      </c>
      <c r="AL31" s="1994">
        <v>1899022</v>
      </c>
      <c r="AM31" s="1994">
        <v>1934744</v>
      </c>
      <c r="AN31" s="1994">
        <v>1971669</v>
      </c>
      <c r="AO31" s="1995">
        <v>2002707</v>
      </c>
      <c r="AP31" s="1992">
        <v>2021613</v>
      </c>
      <c r="AQ31" s="1992">
        <v>2031593</v>
      </c>
      <c r="AR31" s="1992">
        <v>2034237</v>
      </c>
      <c r="AS31" s="1992">
        <v>2032147</v>
      </c>
      <c r="AT31" s="1992">
        <v>2028483</v>
      </c>
      <c r="AU31" s="1992">
        <v>2043639</v>
      </c>
      <c r="AV31" s="1992">
        <v>2069397</v>
      </c>
      <c r="AW31" s="1992">
        <v>2102085</v>
      </c>
      <c r="AX31" s="1992">
        <v>2141725</v>
      </c>
      <c r="AY31" s="1992">
        <v>2188206</v>
      </c>
      <c r="AZ31" s="1992">
        <v>2241301</v>
      </c>
      <c r="BA31" s="1992">
        <v>2282971</v>
      </c>
      <c r="BB31" s="1992">
        <v>2324330</v>
      </c>
      <c r="BC31" s="1992">
        <v>2365038</v>
      </c>
      <c r="BD31" s="1992">
        <v>2404849</v>
      </c>
      <c r="BE31" s="1992">
        <v>2443566</v>
      </c>
      <c r="BF31" s="1992">
        <v>2480994</v>
      </c>
      <c r="BG31" s="1992">
        <v>2516873</v>
      </c>
      <c r="BH31" s="1992">
        <v>2550865</v>
      </c>
      <c r="BI31" s="1992">
        <v>2582623</v>
      </c>
      <c r="BJ31" s="1992">
        <v>2611845</v>
      </c>
      <c r="BK31" s="1992">
        <v>2638700</v>
      </c>
    </row>
    <row r="32" spans="4:92" s="2014" customFormat="1" ht="14.5" customHeight="1">
      <c r="D32" s="2022" t="s">
        <v>1462</v>
      </c>
      <c r="E32" s="2009"/>
      <c r="F32" s="2008"/>
      <c r="G32" s="2008"/>
      <c r="H32" s="2008"/>
      <c r="I32" s="2008"/>
      <c r="J32" s="2008">
        <v>1999</v>
      </c>
      <c r="K32" s="2008">
        <v>2000</v>
      </c>
      <c r="L32" s="2008">
        <v>2001</v>
      </c>
      <c r="M32" s="2008">
        <v>2002</v>
      </c>
      <c r="N32" s="2008">
        <v>2003</v>
      </c>
      <c r="O32" s="2008">
        <v>2004</v>
      </c>
      <c r="P32" s="2008">
        <v>2005</v>
      </c>
      <c r="Q32" s="2008">
        <v>2006</v>
      </c>
      <c r="R32" s="2008">
        <v>2007</v>
      </c>
      <c r="S32" s="2008">
        <v>2008</v>
      </c>
      <c r="T32" s="2008">
        <v>2009</v>
      </c>
      <c r="U32" s="2008">
        <v>2010</v>
      </c>
      <c r="V32" s="2008">
        <v>2011</v>
      </c>
      <c r="W32" s="2008">
        <v>2012</v>
      </c>
      <c r="X32" s="2008">
        <v>2013</v>
      </c>
      <c r="Y32" s="2008">
        <v>2014</v>
      </c>
      <c r="Z32" s="2008">
        <v>2015</v>
      </c>
      <c r="AA32" s="2008">
        <v>2016</v>
      </c>
      <c r="AB32" s="2008">
        <v>2017</v>
      </c>
      <c r="AC32" s="2008">
        <v>2018</v>
      </c>
      <c r="AD32" s="2008">
        <v>2019</v>
      </c>
      <c r="AE32" s="2008">
        <v>2020</v>
      </c>
      <c r="AF32" s="2008">
        <v>2021</v>
      </c>
      <c r="AG32" s="2008">
        <v>2022</v>
      </c>
      <c r="AH32" s="2033">
        <v>2023</v>
      </c>
      <c r="AI32" s="2008">
        <v>2024</v>
      </c>
      <c r="AJ32" s="2008">
        <v>2025</v>
      </c>
      <c r="AK32" s="2008">
        <v>2026</v>
      </c>
      <c r="AL32" s="2008">
        <v>2027</v>
      </c>
      <c r="AM32" s="2008">
        <v>2028</v>
      </c>
      <c r="AN32" s="2008">
        <v>2029</v>
      </c>
      <c r="AO32" s="2008">
        <v>2030</v>
      </c>
      <c r="AP32" s="2008">
        <v>2031</v>
      </c>
      <c r="AQ32" s="2008">
        <v>2032</v>
      </c>
      <c r="AR32" s="2008">
        <v>2033</v>
      </c>
      <c r="AS32" s="2008">
        <v>2034</v>
      </c>
      <c r="AT32" s="2008">
        <v>2035</v>
      </c>
      <c r="AU32" s="2008">
        <v>2036</v>
      </c>
      <c r="AV32" s="2008">
        <v>2037</v>
      </c>
      <c r="AW32" s="2008">
        <v>2038</v>
      </c>
      <c r="AX32" s="2008">
        <v>2039</v>
      </c>
      <c r="AY32" s="2008">
        <v>2040</v>
      </c>
      <c r="AZ32" s="2008">
        <v>2041</v>
      </c>
      <c r="BA32" s="2008">
        <v>2042</v>
      </c>
      <c r="BB32" s="2008">
        <v>2043</v>
      </c>
      <c r="BC32" s="2008">
        <v>2044</v>
      </c>
      <c r="BD32" s="2008">
        <v>2045</v>
      </c>
      <c r="BE32" s="2008">
        <v>2046</v>
      </c>
      <c r="BF32" s="2008">
        <v>2047</v>
      </c>
      <c r="BG32" s="2008">
        <v>2048</v>
      </c>
      <c r="BH32" s="2008">
        <v>2049</v>
      </c>
      <c r="BI32" s="2008">
        <v>2050</v>
      </c>
      <c r="BJ32" s="2008">
        <v>2051</v>
      </c>
      <c r="BK32" s="2008">
        <v>2052</v>
      </c>
      <c r="BL32"/>
      <c r="BM32"/>
      <c r="BN32"/>
      <c r="BO32"/>
      <c r="BP32"/>
      <c r="BQ32"/>
      <c r="BR32"/>
      <c r="BS32"/>
      <c r="BT32"/>
      <c r="BU32"/>
      <c r="BV32"/>
      <c r="BW32"/>
      <c r="BX32"/>
      <c r="BY32"/>
      <c r="BZ32"/>
      <c r="CA32"/>
      <c r="CB32"/>
      <c r="CC32"/>
      <c r="CD32"/>
      <c r="CE32"/>
      <c r="CF32"/>
      <c r="CG32"/>
      <c r="CH32"/>
      <c r="CI32"/>
      <c r="CJ32"/>
      <c r="CK32"/>
      <c r="CL32"/>
      <c r="CM32"/>
      <c r="CN32"/>
    </row>
    <row r="33" spans="3:63" s="1510" customFormat="1" ht="25.5" customHeight="1">
      <c r="D33" s="2052" t="s">
        <v>1360</v>
      </c>
      <c r="E33" s="2061" t="s">
        <v>1455</v>
      </c>
      <c r="AA33" s="2062">
        <v>6573248</v>
      </c>
      <c r="AB33" s="2062">
        <v>6812978</v>
      </c>
      <c r="AC33" s="2062">
        <v>3778996</v>
      </c>
      <c r="AD33" s="2062">
        <v>7320998.9448600402</v>
      </c>
      <c r="AE33" s="2062">
        <v>7563918.1279789181</v>
      </c>
      <c r="AF33" s="2062">
        <v>7812992.578979969</v>
      </c>
      <c r="AG33" s="1991">
        <v>7424204</v>
      </c>
      <c r="AH33" s="2063">
        <v>7634209</v>
      </c>
      <c r="AI33" s="1991">
        <v>7856801</v>
      </c>
      <c r="AJ33" s="1991">
        <v>8075249</v>
      </c>
      <c r="AK33" s="1991">
        <v>8294713</v>
      </c>
      <c r="AL33" s="1991">
        <v>8521219</v>
      </c>
      <c r="AM33" s="1991">
        <v>8758315</v>
      </c>
      <c r="AN33" s="1991">
        <v>9005834</v>
      </c>
      <c r="AO33" s="1991">
        <v>9260925</v>
      </c>
      <c r="AP33" s="1991">
        <v>9519245</v>
      </c>
      <c r="AQ33" s="1991">
        <v>9776449</v>
      </c>
      <c r="AR33" s="1991">
        <v>10029366</v>
      </c>
      <c r="AS33" s="1991">
        <v>10275110</v>
      </c>
      <c r="AT33" s="1991">
        <v>10518147</v>
      </c>
      <c r="AU33" s="1991">
        <v>10759409</v>
      </c>
      <c r="AV33" s="1991">
        <v>10999394</v>
      </c>
      <c r="AW33" s="1991">
        <v>11238489</v>
      </c>
      <c r="AX33" s="1991">
        <v>11493592</v>
      </c>
      <c r="AY33" s="1991">
        <v>11751030</v>
      </c>
      <c r="AZ33" s="1991">
        <v>12007850</v>
      </c>
      <c r="BA33" s="1991">
        <v>12261969</v>
      </c>
      <c r="BB33" s="1991">
        <v>12512574</v>
      </c>
      <c r="BC33" s="1991">
        <v>12760380</v>
      </c>
      <c r="BD33" s="1991">
        <v>13006701</v>
      </c>
      <c r="BE33" s="1991">
        <v>13253586</v>
      </c>
      <c r="BF33" s="1991">
        <v>13502566</v>
      </c>
      <c r="BG33" s="1991">
        <v>13753852</v>
      </c>
      <c r="BH33" s="1991">
        <v>14007022</v>
      </c>
      <c r="BI33" s="1991">
        <v>14262241</v>
      </c>
      <c r="BJ33" s="1991">
        <v>14519550</v>
      </c>
      <c r="BK33" s="1991">
        <v>14778832</v>
      </c>
    </row>
    <row r="34" spans="3:63" s="1469" customFormat="1">
      <c r="D34" s="2026" t="s">
        <v>1359</v>
      </c>
      <c r="E34" s="1865" t="s">
        <v>1434</v>
      </c>
      <c r="AA34" s="2046">
        <f t="shared" ref="AA34:AG34" si="5">AA35/AA33</f>
        <v>0.50648689962709459</v>
      </c>
      <c r="AB34" s="2046">
        <f t="shared" si="5"/>
        <v>0.52853774076475812</v>
      </c>
      <c r="AC34" s="1505">
        <f>AC35/AC33</f>
        <v>1</v>
      </c>
      <c r="AD34" s="2046">
        <f t="shared" si="5"/>
        <v>0.54992392103356191</v>
      </c>
      <c r="AE34" s="2046">
        <f t="shared" si="5"/>
        <v>0.56546260855123642</v>
      </c>
      <c r="AF34" s="2046">
        <f t="shared" si="5"/>
        <v>0.61036395245636921</v>
      </c>
      <c r="AG34" s="2046">
        <f t="shared" si="5"/>
        <v>0.63560182441741797</v>
      </c>
      <c r="AH34" s="2047">
        <f>AH35/AH33</f>
        <v>0.64187475023555185</v>
      </c>
      <c r="AI34" s="2046">
        <f>AI35/AI33</f>
        <v>0.68405835020978289</v>
      </c>
      <c r="AJ34" s="2001"/>
      <c r="AK34" s="2001"/>
      <c r="AL34" s="2001"/>
      <c r="AM34" s="2001"/>
      <c r="AN34" s="2001"/>
      <c r="AO34" s="2002"/>
    </row>
    <row r="35" spans="3:63" ht="14.4" customHeight="1">
      <c r="C35" t="s">
        <v>1367</v>
      </c>
      <c r="D35" s="2013" t="s">
        <v>1362</v>
      </c>
      <c r="E35" s="1865" t="s">
        <v>1363</v>
      </c>
      <c r="AA35" s="388">
        <v>3329264</v>
      </c>
      <c r="AB35" s="388">
        <v>3600916</v>
      </c>
      <c r="AC35" s="388">
        <v>3778996</v>
      </c>
      <c r="AD35" s="388">
        <v>4025992.4456400028</v>
      </c>
      <c r="AE35" s="388">
        <v>4277112.8755149441</v>
      </c>
      <c r="AF35" s="388">
        <v>4768769.0310184956</v>
      </c>
      <c r="AG35" s="388">
        <v>4718837.6072470918</v>
      </c>
      <c r="AH35" s="1867">
        <v>4900205.9951210022</v>
      </c>
      <c r="AI35" s="1868">
        <v>5374510.3299865723</v>
      </c>
      <c r="AJ35" s="1866"/>
      <c r="AK35" s="1866"/>
      <c r="AL35" s="1866"/>
      <c r="AM35" s="1866"/>
      <c r="AN35" s="1866"/>
      <c r="AO35" s="1864"/>
    </row>
    <row r="36" spans="3:63">
      <c r="D36" s="2013" t="s">
        <v>1368</v>
      </c>
      <c r="E36" s="1865" t="s">
        <v>1363</v>
      </c>
      <c r="AA36" s="388">
        <v>2703212</v>
      </c>
      <c r="AB36" s="388">
        <v>2959965</v>
      </c>
      <c r="AC36" s="376">
        <v>3207336</v>
      </c>
      <c r="AD36" s="1872">
        <v>3405877.0383200054</v>
      </c>
      <c r="AE36" s="1872">
        <v>3407788.9029749776</v>
      </c>
      <c r="AF36" s="1872">
        <v>3633131.595502615</v>
      </c>
      <c r="AG36" s="1872">
        <v>3571236.125681065</v>
      </c>
      <c r="AH36" s="1873">
        <v>4074629.1306991577</v>
      </c>
      <c r="AI36" s="1874">
        <v>4585316.1746368408</v>
      </c>
      <c r="AJ36" s="1866"/>
      <c r="AK36" s="1866"/>
      <c r="AL36" s="1866"/>
      <c r="AM36" s="1866"/>
      <c r="AN36" s="1866"/>
      <c r="AO36" s="1864"/>
    </row>
    <row r="37" spans="3:63">
      <c r="D37" s="2027" t="s">
        <v>1389</v>
      </c>
      <c r="E37" s="1865" t="s">
        <v>1469</v>
      </c>
      <c r="AB37" s="1869"/>
      <c r="AC37" s="1869"/>
      <c r="AD37" s="1869"/>
      <c r="AE37" s="1869"/>
      <c r="AF37" s="1869"/>
      <c r="AG37" s="1869"/>
      <c r="AH37" s="1870"/>
      <c r="AI37" s="1870"/>
      <c r="AJ37" s="1871"/>
      <c r="AK37" s="1871"/>
      <c r="AL37" s="1871"/>
      <c r="AM37" s="1871"/>
      <c r="AN37" s="1871"/>
      <c r="AO37" s="1864"/>
    </row>
    <row r="38" spans="3:63">
      <c r="D38" s="2012" t="s">
        <v>1361</v>
      </c>
      <c r="E38" s="1865" t="s">
        <v>1404</v>
      </c>
      <c r="AA38" s="1980">
        <v>41.1</v>
      </c>
      <c r="AB38" s="1980">
        <v>0.4344597912983133</v>
      </c>
      <c r="AC38" s="1980">
        <v>46.042087275283031</v>
      </c>
      <c r="AD38" s="1980">
        <v>46.522026078302225</v>
      </c>
      <c r="AE38" s="1980">
        <v>45.053223016382987</v>
      </c>
      <c r="AF38" s="1980">
        <v>46.501152519678207</v>
      </c>
      <c r="AG38" s="1980">
        <v>41.330543296577218</v>
      </c>
      <c r="AH38" s="1980">
        <v>39.972337412316257</v>
      </c>
      <c r="AI38" s="1980">
        <v>54.631818165099403</v>
      </c>
      <c r="AJ38" s="1510"/>
      <c r="AK38" s="1510"/>
      <c r="AL38" s="1510"/>
      <c r="AM38" s="1510"/>
      <c r="AN38" s="1510"/>
      <c r="AO38" s="1864"/>
    </row>
    <row r="39" spans="3:63">
      <c r="D39" s="2013" t="s">
        <v>1369</v>
      </c>
      <c r="E39" s="1865" t="s">
        <v>1370</v>
      </c>
      <c r="AA39" s="1209"/>
      <c r="AH39" s="173"/>
      <c r="AI39" s="1510"/>
      <c r="AJ39" s="1510"/>
      <c r="AK39" s="1510"/>
      <c r="AL39" s="1510"/>
      <c r="AM39" s="1510"/>
      <c r="AN39" s="1510"/>
      <c r="AO39" s="1864"/>
    </row>
    <row r="40" spans="3:63">
      <c r="D40" s="2012" t="s">
        <v>1423</v>
      </c>
      <c r="E40" s="1875" t="s">
        <v>1470</v>
      </c>
      <c r="I40" s="1876">
        <v>3</v>
      </c>
      <c r="J40" s="295">
        <v>3.03</v>
      </c>
      <c r="K40" s="1876">
        <v>3.0498210378929205</v>
      </c>
      <c r="L40" s="1876">
        <v>3.0936233067787007</v>
      </c>
      <c r="M40" s="1876">
        <v>3.1380547768608653</v>
      </c>
      <c r="N40" s="1876">
        <v>3.1831240269371497</v>
      </c>
      <c r="O40" s="1876">
        <v>3.2288409762424357</v>
      </c>
      <c r="P40" s="1876">
        <v>3.275214471661887</v>
      </c>
      <c r="Q40" s="1876">
        <v>3.3353456777741703</v>
      </c>
      <c r="R40" s="1876">
        <v>3.3965811360074207</v>
      </c>
      <c r="S40" s="1876">
        <v>3.458940416743971</v>
      </c>
      <c r="T40" s="1876">
        <v>3.522444966978159</v>
      </c>
      <c r="U40" s="1876">
        <v>3.587115161354606</v>
      </c>
      <c r="V40" s="1876">
        <v>3.6620697256908801</v>
      </c>
      <c r="W40" s="1876">
        <v>3.7420160779592742</v>
      </c>
      <c r="X40" s="1876">
        <v>3.8273670728007909</v>
      </c>
      <c r="Y40" s="1876">
        <v>3.9</v>
      </c>
      <c r="Z40" s="1877">
        <v>3.9893100914363733</v>
      </c>
      <c r="AA40" s="1877">
        <v>4.099749077452727</v>
      </c>
      <c r="AB40" s="1877">
        <v>4.2082849478050965</v>
      </c>
      <c r="AC40" s="1877">
        <v>4.3225387217742606</v>
      </c>
      <c r="AD40" s="1877">
        <v>4.4425730515689548</v>
      </c>
      <c r="AE40" s="1877">
        <v>4.5720876618827457</v>
      </c>
      <c r="AF40" s="1877">
        <v>4.7096431759720199</v>
      </c>
      <c r="AG40" s="1877">
        <v>4.8526219956758787</v>
      </c>
      <c r="AH40" s="1878">
        <v>5.002489405250035</v>
      </c>
      <c r="AI40" s="1510"/>
      <c r="AJ40" s="1510"/>
      <c r="AK40" s="1510"/>
      <c r="AL40" s="1510"/>
      <c r="AM40" s="1510"/>
      <c r="AN40" s="1510"/>
      <c r="AO40" s="1864"/>
    </row>
    <row r="41" spans="3:63">
      <c r="D41" s="2012" t="s">
        <v>1407</v>
      </c>
      <c r="E41" s="1865" t="s">
        <v>1471</v>
      </c>
      <c r="I41" s="1879">
        <v>41.3</v>
      </c>
      <c r="J41" s="1879">
        <v>44.203067604013981</v>
      </c>
      <c r="K41" s="1879">
        <v>47.282499999999999</v>
      </c>
      <c r="L41" s="1880">
        <v>48.674491257933781</v>
      </c>
      <c r="M41" s="1879">
        <v>50.107462575343355</v>
      </c>
      <c r="N41" s="1879">
        <v>51.582620400376342</v>
      </c>
      <c r="O41" s="1879">
        <v>53.101206698872417</v>
      </c>
      <c r="P41" s="1879">
        <v>54.664500000000004</v>
      </c>
      <c r="Q41" s="1880">
        <v>55.911403573075411</v>
      </c>
      <c r="R41" s="1879">
        <v>57.186749160996797</v>
      </c>
      <c r="S41" s="1879">
        <v>58.491185529415311</v>
      </c>
      <c r="T41" s="1879">
        <v>59.825376242401695</v>
      </c>
      <c r="U41" s="1879">
        <v>61.19</v>
      </c>
      <c r="V41" s="1880">
        <v>61.853168703183293</v>
      </c>
      <c r="W41" s="1879">
        <v>62.523524736467614</v>
      </c>
      <c r="X41" s="1879">
        <v>63.201145995136223</v>
      </c>
      <c r="Y41" s="1879">
        <v>63.886111218690608</v>
      </c>
      <c r="Z41" s="1879">
        <v>64.578500000000005</v>
      </c>
      <c r="AA41" s="1881">
        <v>66.114730871039399</v>
      </c>
      <c r="AB41" s="1881">
        <v>66.599999999999994</v>
      </c>
      <c r="AC41" s="1881">
        <v>67.02041211584816</v>
      </c>
      <c r="AD41" s="1881">
        <v>67.443478080752655</v>
      </c>
      <c r="AE41" s="1881">
        <v>67.8</v>
      </c>
      <c r="AF41" s="1881">
        <v>68.198826969384143</v>
      </c>
      <c r="AG41" s="1996">
        <f t="shared" ref="AG41:BK41" si="6">AG8</f>
        <v>69.599999999999994</v>
      </c>
      <c r="AH41" s="2034">
        <f t="shared" si="6"/>
        <v>69.7</v>
      </c>
      <c r="AI41" s="1996">
        <f t="shared" si="6"/>
        <v>69.900000000000006</v>
      </c>
      <c r="AJ41" s="1996">
        <f t="shared" si="6"/>
        <v>70.2</v>
      </c>
      <c r="AK41" s="1996">
        <f t="shared" si="6"/>
        <v>70.5</v>
      </c>
      <c r="AL41" s="1996">
        <f t="shared" si="6"/>
        <v>70.8</v>
      </c>
      <c r="AM41" s="1996">
        <f t="shared" si="6"/>
        <v>71.099999999999994</v>
      </c>
      <c r="AN41" s="1996">
        <f t="shared" si="6"/>
        <v>71.3</v>
      </c>
      <c r="AO41" s="1996">
        <f t="shared" si="6"/>
        <v>71.599999999999994</v>
      </c>
      <c r="AP41" s="1996">
        <f t="shared" si="6"/>
        <v>71.900000000000006</v>
      </c>
      <c r="AQ41" s="1996">
        <f t="shared" si="6"/>
        <v>72.2</v>
      </c>
      <c r="AR41" s="1996">
        <f t="shared" si="6"/>
        <v>72.5</v>
      </c>
      <c r="AS41" s="1996">
        <f t="shared" si="6"/>
        <v>72.8</v>
      </c>
      <c r="AT41" s="1996">
        <f t="shared" si="6"/>
        <v>73.099999999999994</v>
      </c>
      <c r="AU41" s="1996">
        <f t="shared" si="6"/>
        <v>73.400000000000006</v>
      </c>
      <c r="AV41" s="1996">
        <f t="shared" si="6"/>
        <v>73.599999999999994</v>
      </c>
      <c r="AW41" s="1996">
        <f t="shared" si="6"/>
        <v>73.900000000000006</v>
      </c>
      <c r="AX41" s="1996">
        <f t="shared" si="6"/>
        <v>74.2</v>
      </c>
      <c r="AY41" s="1996">
        <f t="shared" si="6"/>
        <v>74.400000000000006</v>
      </c>
      <c r="AZ41" s="1996">
        <f t="shared" si="6"/>
        <v>74.7</v>
      </c>
      <c r="BA41" s="1996">
        <f t="shared" si="6"/>
        <v>75</v>
      </c>
      <c r="BB41" s="1996">
        <f t="shared" si="6"/>
        <v>75.3</v>
      </c>
      <c r="BC41" s="1996">
        <f t="shared" si="6"/>
        <v>75.5</v>
      </c>
      <c r="BD41" s="1996">
        <f t="shared" si="6"/>
        <v>75.8</v>
      </c>
      <c r="BE41" s="1996">
        <f t="shared" si="6"/>
        <v>76.099999999999994</v>
      </c>
      <c r="BF41" s="1996">
        <f t="shared" si="6"/>
        <v>76.400000000000006</v>
      </c>
      <c r="BG41" s="1996">
        <f t="shared" si="6"/>
        <v>76.7</v>
      </c>
      <c r="BH41" s="1996">
        <f t="shared" si="6"/>
        <v>77</v>
      </c>
      <c r="BI41" s="1996">
        <f t="shared" si="6"/>
        <v>77.3</v>
      </c>
      <c r="BJ41" s="1996">
        <f t="shared" si="6"/>
        <v>77.599999999999994</v>
      </c>
      <c r="BK41" s="1996">
        <f t="shared" si="6"/>
        <v>77.900000000000006</v>
      </c>
    </row>
    <row r="42" spans="3:63">
      <c r="D42" s="2028" t="s">
        <v>1406</v>
      </c>
      <c r="E42" s="1848"/>
      <c r="F42" s="1749"/>
      <c r="G42" s="1749"/>
      <c r="H42" s="1749"/>
      <c r="I42" s="1750"/>
      <c r="J42" s="1732">
        <v>2.6096419010034957</v>
      </c>
      <c r="K42" s="1733">
        <v>2.7036000000000002</v>
      </c>
      <c r="L42" s="1732">
        <v>2.5115535482203812</v>
      </c>
      <c r="M42" s="1732">
        <v>2.2949293046478045</v>
      </c>
      <c r="N42" s="1732">
        <v>2.0516853528293355</v>
      </c>
      <c r="O42" s="1732">
        <v>1.7796278189716872</v>
      </c>
      <c r="P42" s="1733">
        <v>1.476400000000001</v>
      </c>
      <c r="Q42" s="1732">
        <v>1.4473824630283261</v>
      </c>
      <c r="R42" s="1732">
        <v>1.4158573171306883</v>
      </c>
      <c r="S42" s="1732">
        <v>1.3817130258077939</v>
      </c>
      <c r="T42" s="1732">
        <v>1.3448339087058556</v>
      </c>
      <c r="U42" s="1733">
        <v>1.3050999999999988</v>
      </c>
      <c r="V42" s="1732">
        <v>1.1883530260215764</v>
      </c>
      <c r="W42" s="1732">
        <v>1.0673551150941634</v>
      </c>
      <c r="X42" s="1732">
        <v>0.94199209314418231</v>
      </c>
      <c r="Y42" s="1732">
        <v>0.81214699525778256</v>
      </c>
      <c r="Z42" s="1733">
        <v>0.67770000000000152</v>
      </c>
      <c r="AA42" s="1731">
        <v>0.41473087103939577</v>
      </c>
      <c r="AB42" s="1731">
        <v>0.48526912896059571</v>
      </c>
      <c r="AC42" s="1731">
        <v>0.42041211584816551</v>
      </c>
      <c r="AD42" s="1731">
        <v>0.42306596490449522</v>
      </c>
      <c r="AE42" s="1731">
        <v>0.35652191924734211</v>
      </c>
      <c r="AF42" s="1731">
        <v>0.39882696938414597</v>
      </c>
      <c r="AG42" s="1731">
        <v>0.40117303061585119</v>
      </c>
      <c r="AH42" s="1735">
        <v>0.27774188032100255</v>
      </c>
      <c r="AI42" s="1844">
        <v>0.27886637816480686</v>
      </c>
      <c r="AJ42" s="1844">
        <v>0.27999542878039563</v>
      </c>
      <c r="AK42" s="1844">
        <v>0.28112905060066851</v>
      </c>
      <c r="AL42" s="1844">
        <v>0.28226726213313214</v>
      </c>
      <c r="AM42" s="1844">
        <v>0.27778650931003313</v>
      </c>
      <c r="AN42" s="1844">
        <v>0.27888887137795848</v>
      </c>
      <c r="AO42" s="1844">
        <v>0.27999560803604595</v>
      </c>
      <c r="AP42" s="1749"/>
      <c r="AQ42" s="1749"/>
      <c r="AR42" s="1749"/>
      <c r="AS42" s="1749"/>
      <c r="AT42" s="1749"/>
      <c r="AU42" s="1749"/>
      <c r="AV42" s="1749"/>
      <c r="AW42" s="1749"/>
      <c r="AX42" s="1749"/>
      <c r="AY42" s="1749"/>
      <c r="AZ42" s="1749"/>
      <c r="BA42" s="1749"/>
      <c r="BB42" s="1749"/>
      <c r="BC42" s="1749"/>
      <c r="BD42" s="1749"/>
      <c r="BE42" s="1749"/>
      <c r="BF42" s="1749"/>
      <c r="BG42" s="1749"/>
      <c r="BH42" s="1749"/>
      <c r="BI42" s="1749"/>
      <c r="BJ42" s="1749"/>
      <c r="BK42" s="1749"/>
    </row>
    <row r="43" spans="3:63">
      <c r="D43" s="1471" t="s">
        <v>1472</v>
      </c>
      <c r="AH43" s="173"/>
    </row>
    <row r="44" spans="3:63">
      <c r="J44" s="1578">
        <f t="shared" ref="J44:AO44" si="7">+J3</f>
        <v>1999</v>
      </c>
      <c r="K44" s="1578">
        <f t="shared" si="7"/>
        <v>2000</v>
      </c>
      <c r="L44" s="1578">
        <f t="shared" si="7"/>
        <v>2001</v>
      </c>
      <c r="M44" s="1578">
        <f t="shared" si="7"/>
        <v>2002</v>
      </c>
      <c r="N44" s="1578">
        <f t="shared" si="7"/>
        <v>2003</v>
      </c>
      <c r="O44" s="1578">
        <f t="shared" si="7"/>
        <v>2004</v>
      </c>
      <c r="P44" s="1578">
        <f t="shared" si="7"/>
        <v>2005</v>
      </c>
      <c r="Q44" s="1578">
        <f t="shared" si="7"/>
        <v>2006</v>
      </c>
      <c r="R44" s="1578">
        <f t="shared" si="7"/>
        <v>2007</v>
      </c>
      <c r="S44" s="1578">
        <f t="shared" si="7"/>
        <v>2008</v>
      </c>
      <c r="T44" s="1578">
        <f t="shared" si="7"/>
        <v>2009</v>
      </c>
      <c r="U44" s="1578">
        <f t="shared" si="7"/>
        <v>2010</v>
      </c>
      <c r="V44" s="1578">
        <f t="shared" si="7"/>
        <v>2011</v>
      </c>
      <c r="W44" s="1578">
        <f t="shared" si="7"/>
        <v>2012</v>
      </c>
      <c r="X44" s="1578">
        <f t="shared" si="7"/>
        <v>2013</v>
      </c>
      <c r="Y44" s="1578">
        <f t="shared" si="7"/>
        <v>2014</v>
      </c>
      <c r="Z44" s="1578">
        <f t="shared" si="7"/>
        <v>2015</v>
      </c>
      <c r="AA44" s="1578">
        <f t="shared" si="7"/>
        <v>2016</v>
      </c>
      <c r="AB44" s="1578">
        <f t="shared" si="7"/>
        <v>2017</v>
      </c>
      <c r="AC44" s="1578">
        <f t="shared" si="7"/>
        <v>2018</v>
      </c>
      <c r="AD44" s="1578">
        <f t="shared" si="7"/>
        <v>2019</v>
      </c>
      <c r="AE44" s="1578">
        <f t="shared" si="7"/>
        <v>2020</v>
      </c>
      <c r="AF44" s="1578">
        <f t="shared" si="7"/>
        <v>2021</v>
      </c>
      <c r="AG44" s="1578">
        <f t="shared" si="7"/>
        <v>2022</v>
      </c>
      <c r="AH44" s="1736">
        <f t="shared" si="7"/>
        <v>2023</v>
      </c>
      <c r="AI44" s="1578">
        <f t="shared" si="7"/>
        <v>2024</v>
      </c>
      <c r="AJ44" s="1578">
        <f t="shared" si="7"/>
        <v>2025</v>
      </c>
      <c r="AK44" s="1578">
        <f t="shared" si="7"/>
        <v>2026</v>
      </c>
      <c r="AL44" s="1578">
        <f t="shared" si="7"/>
        <v>2027</v>
      </c>
      <c r="AM44" s="1578">
        <f t="shared" si="7"/>
        <v>2028</v>
      </c>
      <c r="AN44" s="1578">
        <f t="shared" si="7"/>
        <v>2029</v>
      </c>
      <c r="AO44" s="1578">
        <f t="shared" si="7"/>
        <v>2030</v>
      </c>
      <c r="AP44" s="1578"/>
    </row>
    <row r="45" spans="3:63" ht="15.75">
      <c r="D45" s="2010" t="s">
        <v>1372</v>
      </c>
      <c r="E45" s="1849" t="s">
        <v>1005</v>
      </c>
      <c r="AD45" s="1382"/>
      <c r="AE45" s="1382"/>
      <c r="AF45" s="1382"/>
      <c r="AG45" s="1382"/>
      <c r="AH45" s="2035"/>
      <c r="AI45" s="1382"/>
      <c r="AJ45" s="1382"/>
      <c r="AK45" s="1382"/>
      <c r="AL45" s="1382"/>
      <c r="AM45" s="1382"/>
      <c r="AN45" s="1382"/>
    </row>
    <row r="46" spans="3:63">
      <c r="D46" s="1727" t="s">
        <v>1371</v>
      </c>
      <c r="E46" s="1850">
        <f>+AB46/AB46</f>
        <v>1</v>
      </c>
      <c r="J46" s="1576">
        <f>GDP!J591</f>
        <v>2065</v>
      </c>
      <c r="K46" s="1576">
        <f>GDP!K591</f>
        <v>2238</v>
      </c>
      <c r="L46" s="1576">
        <f>GDP!L591</f>
        <v>2428</v>
      </c>
      <c r="M46" s="1576">
        <f>GDP!M591</f>
        <v>2748</v>
      </c>
      <c r="N46" s="1576">
        <f>GDP!N591</f>
        <v>2809</v>
      </c>
      <c r="O46" s="1576">
        <f>GDP!O591</f>
        <v>3018</v>
      </c>
      <c r="P46" s="1576">
        <f>GDP!P591</f>
        <v>3301</v>
      </c>
      <c r="Q46" s="1576">
        <f>GDP!Q591</f>
        <v>5869</v>
      </c>
      <c r="R46" s="1576">
        <f>GDP!R591</f>
        <v>6316</v>
      </c>
      <c r="S46" s="1576">
        <f>GDP!S591</f>
        <v>7021</v>
      </c>
      <c r="T46" s="1576">
        <f>GDP!T591</f>
        <v>7460</v>
      </c>
      <c r="U46" s="1576">
        <f>GDP!U591</f>
        <v>8006</v>
      </c>
      <c r="V46" s="1576">
        <f>GDP!V591</f>
        <v>8644</v>
      </c>
      <c r="W46" s="1576">
        <f>GDP!W591</f>
        <v>9390</v>
      </c>
      <c r="X46" s="1576">
        <f>GDP!X591</f>
        <v>14501</v>
      </c>
      <c r="Y46" s="1576">
        <f>GDP!Y591</f>
        <v>10392</v>
      </c>
      <c r="Z46" s="1576">
        <f>GDP!Z591</f>
        <v>11314</v>
      </c>
      <c r="AA46" s="1576">
        <f>GDP!AA591</f>
        <v>11954</v>
      </c>
      <c r="AB46" s="1576">
        <f>GDP!AB591</f>
        <v>12517</v>
      </c>
      <c r="AC46" s="1576">
        <f>GDP!AC591</f>
        <v>13527</v>
      </c>
      <c r="AD46" s="1576">
        <f>GDP!AD591</f>
        <v>14782</v>
      </c>
      <c r="AE46" s="1576">
        <f>GDP!AE591</f>
        <v>10751</v>
      </c>
      <c r="AF46" s="1576">
        <f>GDP!AF591</f>
        <v>15581</v>
      </c>
      <c r="AG46" s="1576">
        <f>GDP!AG591</f>
        <v>17111</v>
      </c>
      <c r="AH46" s="1737">
        <f>GDP!AH591</f>
        <v>18576</v>
      </c>
      <c r="AI46" s="1576">
        <f>GDP!AI591</f>
        <v>19917</v>
      </c>
      <c r="AJ46" s="1576">
        <f>GDP!AJ591</f>
        <v>21466.193430623131</v>
      </c>
      <c r="AK46" s="1576">
        <f>GDP!AK591</f>
        <v>23261.296031387188</v>
      </c>
      <c r="AL46" s="1576">
        <f>GDP!AL591</f>
        <v>25341.974166436408</v>
      </c>
      <c r="AM46" s="1576">
        <f>GDP!AM591</f>
        <v>27492.822499158967</v>
      </c>
      <c r="AN46" s="1576">
        <f>GDP!AN591</f>
        <v>29674.327119907597</v>
      </c>
    </row>
    <row r="47" spans="3:63">
      <c r="D47" s="1727" t="s">
        <v>1402</v>
      </c>
      <c r="E47" s="1851">
        <f>+AB47/AB$46</f>
        <v>0.10025170516157929</v>
      </c>
      <c r="J47" s="1576">
        <f t="shared" ref="J47:T47" si="8">+J48+J49</f>
        <v>400.15</v>
      </c>
      <c r="K47" s="1576">
        <f t="shared" si="8"/>
        <v>431.8</v>
      </c>
      <c r="L47" s="1576">
        <f t="shared" si="8"/>
        <v>462.9</v>
      </c>
      <c r="M47" s="1576">
        <f t="shared" si="8"/>
        <v>504.35</v>
      </c>
      <c r="N47" s="1576">
        <f t="shared" si="8"/>
        <v>510.05</v>
      </c>
      <c r="O47" s="1576">
        <f t="shared" si="8"/>
        <v>532.15</v>
      </c>
      <c r="P47" s="1576">
        <f t="shared" si="8"/>
        <v>564.35</v>
      </c>
      <c r="Q47" s="1576">
        <f t="shared" si="8"/>
        <v>716.2</v>
      </c>
      <c r="R47" s="1576">
        <f t="shared" si="8"/>
        <v>762.4</v>
      </c>
      <c r="S47" s="1576">
        <f t="shared" si="8"/>
        <v>829.45</v>
      </c>
      <c r="T47" s="1576">
        <f t="shared" si="8"/>
        <v>914.65</v>
      </c>
      <c r="U47" s="1576">
        <f>+U48+U49</f>
        <v>989.45</v>
      </c>
      <c r="V47" s="1576">
        <f>+V48+V49</f>
        <v>1071.5999999999999</v>
      </c>
      <c r="W47" s="1576">
        <f t="shared" ref="W47:AN47" si="9">+W48+W49</f>
        <v>1128.0999999999999</v>
      </c>
      <c r="X47" s="1576">
        <f t="shared" si="9"/>
        <v>1560.8806657284017</v>
      </c>
      <c r="Y47" s="1576">
        <f t="shared" si="9"/>
        <v>1051.0749018664794</v>
      </c>
      <c r="Z47" s="1576">
        <f t="shared" si="9"/>
        <v>1197.9269067835894</v>
      </c>
      <c r="AA47" s="1576">
        <f t="shared" si="9"/>
        <v>1252.372823910739</v>
      </c>
      <c r="AB47" s="1576">
        <f>+AB48+AB49</f>
        <v>1254.8505935074879</v>
      </c>
      <c r="AC47" s="1576">
        <f t="shared" si="9"/>
        <v>1333.9186253198795</v>
      </c>
      <c r="AD47" s="1576">
        <f t="shared" si="9"/>
        <v>1431.3161595606641</v>
      </c>
      <c r="AE47" s="1576">
        <f t="shared" si="9"/>
        <v>925.41506873078993</v>
      </c>
      <c r="AF47" s="1576">
        <f t="shared" si="9"/>
        <v>1579.9466846662576</v>
      </c>
      <c r="AG47" s="1576">
        <f t="shared" si="9"/>
        <v>1677.7626681949969</v>
      </c>
      <c r="AH47" s="1737">
        <f t="shared" si="9"/>
        <v>1661.3848278385383</v>
      </c>
      <c r="AI47" s="1576">
        <f>+AI48+AI49</f>
        <v>1603.5246646774622</v>
      </c>
      <c r="AJ47" s="1576">
        <f t="shared" si="9"/>
        <v>1990.7238063547786</v>
      </c>
      <c r="AK47" s="1576">
        <f t="shared" si="9"/>
        <v>2196.2955961411203</v>
      </c>
      <c r="AL47" s="1576">
        <f t="shared" si="9"/>
        <v>2376.9585555571075</v>
      </c>
      <c r="AM47" s="1576">
        <f t="shared" si="9"/>
        <v>2511.9419519366106</v>
      </c>
      <c r="AN47" s="1576">
        <f t="shared" si="9"/>
        <v>2635.1480264392117</v>
      </c>
    </row>
    <row r="48" spans="3:63">
      <c r="D48" s="1727" t="s">
        <v>1401</v>
      </c>
      <c r="E48" s="1851">
        <f>+AB48/AB$46</f>
        <v>5.2888072221778382E-2</v>
      </c>
      <c r="J48" s="1576">
        <f>+GDP!J840</f>
        <v>249</v>
      </c>
      <c r="K48" s="1576">
        <f>+GDP!K840</f>
        <v>270</v>
      </c>
      <c r="L48" s="1576">
        <f>+GDP!L840</f>
        <v>293</v>
      </c>
      <c r="M48" s="1576">
        <f>+GDP!M840</f>
        <v>323</v>
      </c>
      <c r="N48" s="1576">
        <f>+GDP!N840</f>
        <v>321</v>
      </c>
      <c r="O48" s="1576">
        <f>+GDP!O840</f>
        <v>335</v>
      </c>
      <c r="P48" s="1576">
        <f>+GDP!P840</f>
        <v>356</v>
      </c>
      <c r="Q48" s="1576">
        <f>+GDP!Q840</f>
        <v>394</v>
      </c>
      <c r="R48" s="1576">
        <f>+GDP!R840</f>
        <v>411</v>
      </c>
      <c r="S48" s="1576">
        <f>+GDP!S840</f>
        <v>459</v>
      </c>
      <c r="T48" s="1576">
        <f>+GDP!T840</f>
        <v>503</v>
      </c>
      <c r="U48" s="1576">
        <f>+GDP!U840</f>
        <v>528</v>
      </c>
      <c r="V48" s="1576">
        <f>+GDP!V840</f>
        <v>537</v>
      </c>
      <c r="W48" s="1576">
        <f>+GDP!W840</f>
        <v>545</v>
      </c>
      <c r="X48" s="1576">
        <f>+GDP!X840</f>
        <v>830</v>
      </c>
      <c r="Y48" s="1576">
        <f>+GDP!Y840</f>
        <v>570</v>
      </c>
      <c r="Z48" s="1576">
        <f>+GDP!Z840</f>
        <v>651</v>
      </c>
      <c r="AA48" s="1576">
        <f>+GDP!AA840</f>
        <v>679</v>
      </c>
      <c r="AB48" s="1576">
        <f>+GDP!AB840</f>
        <v>662</v>
      </c>
      <c r="AC48" s="1576">
        <f>+GDP!AC840</f>
        <v>722</v>
      </c>
      <c r="AD48" s="1576">
        <f>+GDP!AD840</f>
        <v>831</v>
      </c>
      <c r="AE48" s="1576">
        <f>+GDP!AE840</f>
        <v>608</v>
      </c>
      <c r="AF48" s="1576">
        <f>+GDP!AF840</f>
        <v>903</v>
      </c>
      <c r="AG48" s="1576">
        <f>+GDP!AG840</f>
        <v>950</v>
      </c>
      <c r="AH48" s="1737">
        <f>+GDP!AH840</f>
        <v>912</v>
      </c>
      <c r="AI48" s="1576">
        <f>+GDP!AI840</f>
        <v>725.15057621594792</v>
      </c>
      <c r="AJ48" s="1576">
        <f>+GDP!AJ840</f>
        <v>798.49018731631986</v>
      </c>
      <c r="AK48" s="1576">
        <f>+GDP!AK840</f>
        <v>923.98818683528532</v>
      </c>
      <c r="AL48" s="1576">
        <f>+GDP!AL840</f>
        <v>1043.4763292982229</v>
      </c>
      <c r="AM48" s="1576">
        <f>+GDP!AM840</f>
        <v>1113.8327225102573</v>
      </c>
      <c r="AN48" s="1576">
        <f>+GDP!AN840</f>
        <v>1191.9034557763061</v>
      </c>
    </row>
    <row r="49" spans="4:92">
      <c r="D49" s="1727" t="s">
        <v>1403</v>
      </c>
      <c r="E49" s="1852"/>
      <c r="J49" s="1576">
        <f>+GDP!J839</f>
        <v>151.15</v>
      </c>
      <c r="K49" s="1576">
        <f>+GDP!K839</f>
        <v>161.80000000000001</v>
      </c>
      <c r="L49" s="1576">
        <f>+GDP!L839</f>
        <v>169.9</v>
      </c>
      <c r="M49" s="1576">
        <f>+GDP!M839</f>
        <v>181.35</v>
      </c>
      <c r="N49" s="1576">
        <f>+GDP!N839</f>
        <v>189.05</v>
      </c>
      <c r="O49" s="1576">
        <f>+GDP!O839</f>
        <v>197.15</v>
      </c>
      <c r="P49" s="1576">
        <f>+GDP!P839</f>
        <v>208.35</v>
      </c>
      <c r="Q49" s="1576">
        <f>+GDP!Q839</f>
        <v>322.2</v>
      </c>
      <c r="R49" s="1576">
        <f>+GDP!R839</f>
        <v>351.4</v>
      </c>
      <c r="S49" s="1576">
        <f>+GDP!S839</f>
        <v>370.45</v>
      </c>
      <c r="T49" s="1576">
        <f>+GDP!T839</f>
        <v>411.65</v>
      </c>
      <c r="U49" s="1576">
        <f>+GDP!U839</f>
        <v>461.45</v>
      </c>
      <c r="V49" s="1576">
        <f>+GDP!V839</f>
        <v>534.6</v>
      </c>
      <c r="W49" s="1576">
        <f>+GDP!W839</f>
        <v>583.1</v>
      </c>
      <c r="X49" s="1576">
        <f>+GDP!X839</f>
        <v>730.8806657284016</v>
      </c>
      <c r="Y49" s="1576">
        <f>+GDP!Y839</f>
        <v>481.07490186647937</v>
      </c>
      <c r="Z49" s="1576">
        <f>+GDP!Z839</f>
        <v>546.92690678358952</v>
      </c>
      <c r="AA49" s="1576">
        <f>+GDP!AA839</f>
        <v>573.37282391073904</v>
      </c>
      <c r="AB49" s="1576">
        <f>+GDP!AB839</f>
        <v>592.85059350748793</v>
      </c>
      <c r="AC49" s="1576">
        <f>+GDP!AC839</f>
        <v>611.91862531987942</v>
      </c>
      <c r="AD49" s="1576">
        <f>+GDP!AD839</f>
        <v>600.31615956066412</v>
      </c>
      <c r="AE49" s="1576">
        <f>+GDP!AE839</f>
        <v>317.41506873078993</v>
      </c>
      <c r="AF49" s="1576">
        <f>+GDP!AF839</f>
        <v>676.94668466625762</v>
      </c>
      <c r="AG49" s="1576">
        <f>+GDP!AG839</f>
        <v>727.76266819499676</v>
      </c>
      <c r="AH49" s="1737">
        <f>+GDP!AH839</f>
        <v>749.38482783853829</v>
      </c>
      <c r="AI49" s="1576">
        <f>+GDP!AI839</f>
        <v>878.37408846151436</v>
      </c>
      <c r="AJ49" s="1576">
        <f>+GDP!AJ839</f>
        <v>1192.2336190384588</v>
      </c>
      <c r="AK49" s="1576">
        <f>+GDP!AK839</f>
        <v>1272.3074093058349</v>
      </c>
      <c r="AL49" s="1576">
        <f>+GDP!AL839</f>
        <v>1333.4822262588846</v>
      </c>
      <c r="AM49" s="1576">
        <f>+GDP!AM839</f>
        <v>1398.1092294263533</v>
      </c>
      <c r="AN49" s="1576">
        <f>+GDP!AN839</f>
        <v>1443.2445706629055</v>
      </c>
    </row>
    <row r="50" spans="4:92">
      <c r="D50" s="1728" t="s">
        <v>1392</v>
      </c>
      <c r="E50" s="1852" t="s">
        <v>1400</v>
      </c>
      <c r="AA50" s="1507"/>
      <c r="AB50" s="1507"/>
      <c r="AC50" s="1507"/>
      <c r="AD50" s="1507"/>
      <c r="AE50" s="1507"/>
      <c r="AF50" s="1507"/>
      <c r="AG50" s="1507"/>
      <c r="AH50" s="1738"/>
      <c r="AI50" s="1507">
        <f>GDP!AI228</f>
        <v>0.10761975337555785</v>
      </c>
      <c r="AJ50" s="1507">
        <f>GDP!AJ228</f>
        <v>8.0690530062276E-2</v>
      </c>
      <c r="AK50" s="1507">
        <f>GDP!AK228</f>
        <v>4.9209392838523769E-2</v>
      </c>
      <c r="AL50" s="1507">
        <f>GDP!AL228</f>
        <v>3.1067515890123576E-2</v>
      </c>
      <c r="AM50" s="1507">
        <f>GDP!AM228</f>
        <v>2.8195023824234555E-2</v>
      </c>
      <c r="AN50" s="1507">
        <f>GDP!AN228</f>
        <v>3.0557463648769989E-2</v>
      </c>
      <c r="AO50" s="819"/>
    </row>
    <row r="51" spans="4:92">
      <c r="D51" s="1728" t="s">
        <v>1390</v>
      </c>
      <c r="AF51" s="1471"/>
      <c r="AG51" s="1507"/>
      <c r="AH51" s="1738"/>
      <c r="AI51" s="1507">
        <f>GDP!AI229</f>
        <v>0.03</v>
      </c>
      <c r="AJ51" s="1507">
        <f>GDP!AJ229</f>
        <v>0.03</v>
      </c>
      <c r="AK51" s="1507">
        <f>GDP!AK229</f>
        <v>0.03</v>
      </c>
      <c r="AL51" s="1507">
        <f>GDP!AL229</f>
        <v>0.03</v>
      </c>
      <c r="AM51" s="1507">
        <f>GDP!AM229</f>
        <v>0.03</v>
      </c>
      <c r="AN51" s="1507">
        <f>GDP!AN229</f>
        <v>0.03</v>
      </c>
      <c r="AO51" s="1717"/>
    </row>
    <row r="52" spans="4:92">
      <c r="D52" s="1728" t="s">
        <v>1391</v>
      </c>
      <c r="AF52" s="1471"/>
      <c r="AG52" s="1507"/>
      <c r="AH52" s="1738"/>
      <c r="AI52" s="1507">
        <f>GDP!AI230</f>
        <v>2.5000000000000001E-2</v>
      </c>
      <c r="AJ52" s="1507">
        <f>GDP!AJ230</f>
        <v>2.5000000000000001E-2</v>
      </c>
      <c r="AK52" s="1507">
        <f>GDP!AK230</f>
        <v>2.5000000000000001E-2</v>
      </c>
      <c r="AL52" s="1507">
        <f>GDP!AL230</f>
        <v>2.5000000000000001E-2</v>
      </c>
      <c r="AM52" s="1507">
        <f>GDP!AM230</f>
        <v>2.5000000000000001E-2</v>
      </c>
      <c r="AN52" s="1507">
        <f>GDP!AN230</f>
        <v>2.5000000000000001E-2</v>
      </c>
      <c r="AO52" s="1717"/>
    </row>
    <row r="53" spans="4:92">
      <c r="D53" s="1722" t="s">
        <v>1397</v>
      </c>
      <c r="E53" s="1852" t="s">
        <v>1399</v>
      </c>
      <c r="J53" s="1576">
        <f>GDP!J1199</f>
        <v>3097.5</v>
      </c>
      <c r="K53" s="1576">
        <f>GDP!K1199</f>
        <v>2840.2345098653568</v>
      </c>
      <c r="L53" s="1576">
        <f>GDP!L1199</f>
        <v>2618.1623325957426</v>
      </c>
      <c r="M53" s="1576">
        <f>GDP!M1199</f>
        <v>2405.6433873688356</v>
      </c>
      <c r="N53" s="1576">
        <f>GDP!N1199</f>
        <v>2208.8369852074152</v>
      </c>
      <c r="O53" s="1576">
        <f>GDP!O1199</f>
        <v>2005.7026310727035</v>
      </c>
      <c r="P53" s="1576">
        <f>GDP!P1199</f>
        <v>1784.4602602959137</v>
      </c>
      <c r="Q53" s="1576">
        <f>GDP!Q1199</f>
        <v>2387.792940155728</v>
      </c>
      <c r="R53" s="1576">
        <f>GDP!R1199</f>
        <v>3172.6940911822066</v>
      </c>
      <c r="S53" s="1576">
        <f>GDP!S1199</f>
        <v>4231.926472163017</v>
      </c>
      <c r="T53" s="1576">
        <f>GDP!T1199</f>
        <v>5214.4894575242834</v>
      </c>
      <c r="U53" s="1576">
        <f>GDP!U1199</f>
        <v>6326.1388411164198</v>
      </c>
      <c r="V53" s="1576">
        <f>GDP!V1199</f>
        <v>7504.0996409344643</v>
      </c>
      <c r="W53" s="1576">
        <f>GDP!W1199</f>
        <v>8935.2456251371896</v>
      </c>
      <c r="X53" s="1576">
        <f>GDP!X1199</f>
        <v>10328.973812337652</v>
      </c>
      <c r="Y53" s="1576">
        <f>GDP!Y1199</f>
        <v>11600.808472539125</v>
      </c>
      <c r="Z53" s="1576">
        <f>GDP!Z1199</f>
        <v>13300.294586682005</v>
      </c>
      <c r="AA53" s="1576">
        <f>GDP!AA1199</f>
        <v>15336.073425455948</v>
      </c>
      <c r="AB53" s="1576">
        <f>GDP!AB1199</f>
        <v>17183.667843229912</v>
      </c>
      <c r="AC53" s="1576">
        <f>GDP!AC1199</f>
        <v>18499.643395630959</v>
      </c>
      <c r="AD53" s="1576">
        <f>GDP!AD1199</f>
        <v>20640.586975308579</v>
      </c>
      <c r="AE53" s="1576">
        <f>GDP!AE1199</f>
        <v>21725.851523476806</v>
      </c>
      <c r="AF53" s="1576">
        <f>GDP!AF1199</f>
        <v>24338.326570179037</v>
      </c>
      <c r="AG53" s="1576">
        <f>GDP!AG1199</f>
        <v>27749.500981247205</v>
      </c>
      <c r="AH53" s="1737">
        <f>GDP!AH1199</f>
        <v>32401.897522289364</v>
      </c>
      <c r="AI53" s="1576">
        <f>GDP!AI1199</f>
        <v>36617.634131548388</v>
      </c>
      <c r="AJ53" s="1576">
        <f>GDP!AJ1199</f>
        <v>41443.231702515019</v>
      </c>
      <c r="AK53" s="1576">
        <f>GDP!AK1199</f>
        <v>47218.50241130028</v>
      </c>
      <c r="AL53" s="1576">
        <f>GDP!AL1199</f>
        <v>53431.159983328995</v>
      </c>
      <c r="AM53" s="1576">
        <f>GDP!AM1199</f>
        <v>59363.371594647702</v>
      </c>
      <c r="AN53" s="1576">
        <f>GDP!AN1199</f>
        <v>65514.233392149617</v>
      </c>
      <c r="AO53" s="1718"/>
    </row>
    <row r="54" spans="4:92">
      <c r="D54" s="1722" t="s">
        <v>1474</v>
      </c>
      <c r="E54" s="1852" t="s">
        <v>1473</v>
      </c>
      <c r="J54" s="1742">
        <v>7.7001904659707909E-2</v>
      </c>
      <c r="K54" s="1742">
        <v>4.2687830479818833E-2</v>
      </c>
      <c r="L54" s="1742">
        <v>2.6786589350676682E-2</v>
      </c>
      <c r="M54" s="1742">
        <v>5.6096839859618663E-2</v>
      </c>
      <c r="N54" s="1742">
        <v>2.695956434490987E-2</v>
      </c>
      <c r="O54" s="1742">
        <v>7.7249723395853565E-3</v>
      </c>
      <c r="P54" s="1742">
        <v>3.0106916921915694E-2</v>
      </c>
      <c r="Q54" s="1742">
        <v>2.7583533789108383E-2</v>
      </c>
      <c r="R54" s="1742">
        <v>2.7823598718924369E-2</v>
      </c>
      <c r="S54" s="1742">
        <v>5.0661424945843248E-2</v>
      </c>
      <c r="T54" s="1742">
        <v>1.3719539815212567E-2</v>
      </c>
      <c r="U54" s="1742">
        <v>2.8939184210892144E-2</v>
      </c>
      <c r="V54" s="1742">
        <v>5.8546025888956965E-3</v>
      </c>
      <c r="W54" s="1742">
        <v>3.5693377796073289E-2</v>
      </c>
      <c r="X54" s="1742">
        <v>2.8990431753150858E-2</v>
      </c>
      <c r="Y54" s="1742">
        <v>4.9536989976431078E-2</v>
      </c>
      <c r="Z54" s="1742">
        <v>3.0000000000000027E-2</v>
      </c>
      <c r="AA54" s="1742">
        <v>3.0000000000000027E-2</v>
      </c>
      <c r="AB54" s="1743">
        <v>0.03</v>
      </c>
      <c r="AC54" s="1743">
        <v>0.03</v>
      </c>
      <c r="AD54" s="1743">
        <v>0.03</v>
      </c>
      <c r="AE54" s="1743">
        <v>0.03</v>
      </c>
      <c r="AF54" s="1743">
        <v>0.03</v>
      </c>
      <c r="AG54" s="1743">
        <v>0.03</v>
      </c>
      <c r="AH54" s="2036">
        <v>0.03</v>
      </c>
      <c r="AI54" s="1567"/>
      <c r="AJ54" s="1567"/>
      <c r="AK54" s="1567"/>
      <c r="AL54" s="1567"/>
      <c r="AM54" s="1567"/>
      <c r="AN54" s="1567"/>
      <c r="AO54" s="1719"/>
      <c r="CN54" s="1567">
        <v>3.0000000000000027E-2</v>
      </c>
    </row>
    <row r="55" spans="4:92">
      <c r="D55" s="1722" t="s">
        <v>1366</v>
      </c>
      <c r="AB55" s="1567"/>
      <c r="AC55" s="1567"/>
      <c r="AD55" s="1567"/>
      <c r="AE55" s="1567"/>
      <c r="AF55" s="1567"/>
      <c r="AG55" s="1567"/>
      <c r="AH55" s="1739"/>
      <c r="AI55" s="1567"/>
      <c r="AJ55" s="1567"/>
      <c r="AK55" s="1567"/>
      <c r="AL55" s="1567"/>
      <c r="AM55" s="1567"/>
      <c r="AN55" s="1567"/>
      <c r="AO55" s="1719"/>
      <c r="CN55" s="1567"/>
    </row>
    <row r="56" spans="4:92">
      <c r="D56" s="1722" t="s">
        <v>1365</v>
      </c>
      <c r="AB56" s="1567"/>
      <c r="AC56" s="1567"/>
      <c r="AD56" s="1567"/>
      <c r="AE56" s="1567"/>
      <c r="AF56" s="1567"/>
      <c r="AG56" s="1567"/>
      <c r="AH56" s="1739"/>
      <c r="AI56" s="1567"/>
      <c r="AJ56" s="1567"/>
      <c r="AK56" s="1567"/>
      <c r="AL56" s="1567"/>
      <c r="AM56" s="1567"/>
      <c r="AN56" s="1567"/>
      <c r="AO56" s="1719"/>
      <c r="CN56" s="1567"/>
    </row>
    <row r="57" spans="4:92">
      <c r="D57" s="1722" t="s">
        <v>1364</v>
      </c>
      <c r="AA57" s="1567"/>
      <c r="AB57" s="1567"/>
      <c r="AC57" s="1567"/>
      <c r="AD57" s="1567"/>
      <c r="AE57" s="1567"/>
      <c r="AF57" s="1567"/>
      <c r="AG57" s="1567"/>
      <c r="AH57" s="1739"/>
      <c r="AI57" s="1567"/>
      <c r="AJ57" s="1567"/>
      <c r="AK57" s="1567"/>
      <c r="AL57" s="1567"/>
      <c r="AM57" s="1567"/>
      <c r="AN57" s="1567"/>
      <c r="AO57" s="1719"/>
    </row>
    <row r="58" spans="4:92">
      <c r="D58" s="1725" t="s">
        <v>127</v>
      </c>
      <c r="AB58" s="1567"/>
      <c r="AC58" s="1567"/>
      <c r="AD58" s="1567"/>
      <c r="AE58" s="1567"/>
      <c r="AF58" s="1567"/>
      <c r="AG58" s="1567"/>
      <c r="AH58" s="1739"/>
      <c r="AI58" s="1567"/>
      <c r="AJ58" s="1567"/>
      <c r="AK58" s="1567"/>
      <c r="AL58" s="1567"/>
      <c r="AM58" s="1567"/>
      <c r="AN58" s="1567"/>
      <c r="AO58" s="1719"/>
    </row>
    <row r="59" spans="4:92">
      <c r="D59" s="1725" t="s">
        <v>402</v>
      </c>
      <c r="AB59" s="1567"/>
      <c r="AC59" s="1567"/>
      <c r="AD59" s="1567"/>
      <c r="AE59" s="1567"/>
      <c r="AF59" s="1567"/>
      <c r="AG59" s="1567"/>
      <c r="AH59" s="1739"/>
      <c r="AI59" s="1567"/>
      <c r="AJ59" s="1567"/>
      <c r="AK59" s="1567"/>
      <c r="AL59" s="1567"/>
      <c r="AM59" s="1567"/>
      <c r="AN59" s="1567"/>
      <c r="AO59" s="1719"/>
    </row>
    <row r="60" spans="4:92">
      <c r="D60" s="1722" t="s">
        <v>1398</v>
      </c>
      <c r="E60" s="1852" t="s">
        <v>1399</v>
      </c>
      <c r="I60" s="1576"/>
      <c r="J60" s="1576">
        <f>GDP!J1202</f>
        <v>309.75</v>
      </c>
      <c r="K60" s="1576">
        <f>GDP!K1202</f>
        <v>435.37174013464283</v>
      </c>
      <c r="L60" s="1576">
        <f>GDP!L1202</f>
        <v>532.95024350627682</v>
      </c>
      <c r="M60" s="1576">
        <f>GDP!M1202</f>
        <v>627.41893934169673</v>
      </c>
      <c r="N60" s="1576">
        <f>GDP!N1202</f>
        <v>712.31413252482093</v>
      </c>
      <c r="O60" s="1576">
        <f>GDP!O1202</f>
        <v>809.28715393811547</v>
      </c>
      <c r="P60" s="1576">
        <f>GDP!P1202</f>
        <v>930.06924062354415</v>
      </c>
      <c r="Q60" s="1576">
        <f>GDP!Q1202</f>
        <v>1256.1064193363047</v>
      </c>
      <c r="R60" s="1576">
        <f>GDP!R1202</f>
        <v>1642.2908902201893</v>
      </c>
      <c r="S60" s="1576">
        <f>GDP!S1202</f>
        <v>2126.0934733365852</v>
      </c>
      <c r="T60" s="1576">
        <f>GDP!T1202</f>
        <v>2679.1010922553833</v>
      </c>
      <c r="U60" s="1576">
        <f>GDP!U1202</f>
        <v>3176.89460305589</v>
      </c>
      <c r="V60" s="1576">
        <f>GDP!V1202</f>
        <v>3725.4658845167905</v>
      </c>
      <c r="W60" s="1576">
        <f>GDP!W1202</f>
        <v>4418.0192675637663</v>
      </c>
      <c r="X60" s="1576">
        <f>GDP!X1202</f>
        <v>5265.4307736687206</v>
      </c>
      <c r="Y60" s="1576">
        <f>GDP!Y1202</f>
        <v>6306.8013916320215</v>
      </c>
      <c r="Z60" s="1576">
        <f>GDP!Z1202</f>
        <v>7354.6129037967776</v>
      </c>
      <c r="AA60" s="1576">
        <f>GDP!AA1202</f>
        <v>8257.9569589606344</v>
      </c>
      <c r="AB60" s="1576">
        <f>GDP!AB1202</f>
        <v>9120.4706801944158</v>
      </c>
      <c r="AC60" s="1576">
        <f>GDP!AC1202</f>
        <v>10571.136647059313</v>
      </c>
      <c r="AD60" s="1576">
        <f>GDP!AD1202</f>
        <v>12253.928915379973</v>
      </c>
      <c r="AE60" s="1576">
        <f>GDP!AE1202</f>
        <v>14227.692665314902</v>
      </c>
      <c r="AF60" s="1576">
        <f>GDP!AF1202</f>
        <v>15375.491241040723</v>
      </c>
      <c r="AG60" s="1576">
        <f>GDP!AG1202</f>
        <v>16411.396486139376</v>
      </c>
      <c r="AH60" s="1737">
        <f>GDP!AH1202</f>
        <v>17471.734993693841</v>
      </c>
      <c r="AI60" s="1576">
        <f>GDP!AI1202</f>
        <v>18501.129108700898</v>
      </c>
      <c r="AJ60" s="1576">
        <f>GDP!AJ1202</f>
        <v>19520.5600925256</v>
      </c>
      <c r="AK60" s="1576">
        <f>GDP!AK1202</f>
        <v>20598.362144654409</v>
      </c>
      <c r="AL60" s="1576">
        <f>GDP!AL1202</f>
        <v>21848.78690607156</v>
      </c>
      <c r="AM60" s="1576">
        <f>GDP!AM1202</f>
        <v>23252.25699397429</v>
      </c>
      <c r="AN60" s="1576">
        <f>GDP!AN1202</f>
        <v>24777.188194054761</v>
      </c>
      <c r="AO60" s="1576"/>
    </row>
    <row r="61" spans="4:92">
      <c r="D61" s="1722"/>
      <c r="AA61" s="1576"/>
      <c r="AB61" s="1576"/>
      <c r="AC61" s="1576"/>
      <c r="AD61" s="1576"/>
      <c r="AE61" s="1576"/>
      <c r="AF61" s="1576"/>
      <c r="AG61" s="1576"/>
      <c r="AH61" s="1737"/>
      <c r="AI61" s="1576"/>
      <c r="AJ61" s="1576"/>
      <c r="AK61" s="1576"/>
      <c r="AL61" s="1576"/>
      <c r="AM61" s="1576"/>
      <c r="AN61" s="1576"/>
      <c r="AO61" s="1718"/>
    </row>
    <row r="62" spans="4:92" ht="17.75">
      <c r="D62" s="2011" t="s">
        <v>1383</v>
      </c>
      <c r="J62" s="1845">
        <f t="shared" ref="J62:AO62" si="10">+J3</f>
        <v>1999</v>
      </c>
      <c r="K62" s="1845">
        <f t="shared" si="10"/>
        <v>2000</v>
      </c>
      <c r="L62" s="1845">
        <f t="shared" si="10"/>
        <v>2001</v>
      </c>
      <c r="M62" s="1845">
        <f t="shared" si="10"/>
        <v>2002</v>
      </c>
      <c r="N62" s="1845">
        <f t="shared" si="10"/>
        <v>2003</v>
      </c>
      <c r="O62" s="1845">
        <f t="shared" si="10"/>
        <v>2004</v>
      </c>
      <c r="P62" s="1845">
        <f t="shared" si="10"/>
        <v>2005</v>
      </c>
      <c r="Q62" s="1845">
        <f t="shared" si="10"/>
        <v>2006</v>
      </c>
      <c r="R62" s="1845">
        <f t="shared" si="10"/>
        <v>2007</v>
      </c>
      <c r="S62" s="1845">
        <f t="shared" si="10"/>
        <v>2008</v>
      </c>
      <c r="T62" s="1845">
        <f t="shared" si="10"/>
        <v>2009</v>
      </c>
      <c r="U62" s="1845">
        <f t="shared" si="10"/>
        <v>2010</v>
      </c>
      <c r="V62" s="1845">
        <f t="shared" si="10"/>
        <v>2011</v>
      </c>
      <c r="W62" s="1845">
        <f t="shared" si="10"/>
        <v>2012</v>
      </c>
      <c r="X62" s="1845">
        <f t="shared" si="10"/>
        <v>2013</v>
      </c>
      <c r="Y62" s="1845">
        <f t="shared" si="10"/>
        <v>2014</v>
      </c>
      <c r="Z62" s="1845">
        <f t="shared" si="10"/>
        <v>2015</v>
      </c>
      <c r="AA62" s="1845">
        <f t="shared" si="10"/>
        <v>2016</v>
      </c>
      <c r="AB62" s="1845">
        <f t="shared" si="10"/>
        <v>2017</v>
      </c>
      <c r="AC62" s="1845">
        <f t="shared" si="10"/>
        <v>2018</v>
      </c>
      <c r="AD62" s="1845">
        <f t="shared" si="10"/>
        <v>2019</v>
      </c>
      <c r="AE62" s="1845">
        <f t="shared" si="10"/>
        <v>2020</v>
      </c>
      <c r="AF62" s="1845">
        <f t="shared" si="10"/>
        <v>2021</v>
      </c>
      <c r="AG62" s="1845">
        <f t="shared" si="10"/>
        <v>2022</v>
      </c>
      <c r="AH62" s="2037">
        <f t="shared" si="10"/>
        <v>2023</v>
      </c>
      <c r="AI62" s="1845">
        <f t="shared" si="10"/>
        <v>2024</v>
      </c>
      <c r="AJ62" s="1845">
        <f t="shared" si="10"/>
        <v>2025</v>
      </c>
      <c r="AK62" s="1845">
        <f t="shared" si="10"/>
        <v>2026</v>
      </c>
      <c r="AL62" s="1845">
        <f t="shared" si="10"/>
        <v>2027</v>
      </c>
      <c r="AM62" s="1845">
        <f t="shared" si="10"/>
        <v>2028</v>
      </c>
      <c r="AN62" s="1845">
        <f t="shared" si="10"/>
        <v>2029</v>
      </c>
      <c r="AO62" s="1845">
        <f t="shared" si="10"/>
        <v>2030</v>
      </c>
      <c r="AP62" s="1845"/>
    </row>
    <row r="63" spans="4:92">
      <c r="D63" s="765" t="s">
        <v>1381</v>
      </c>
      <c r="E63" s="1853" t="s">
        <v>1374</v>
      </c>
      <c r="J63" s="1729"/>
      <c r="K63" s="1729">
        <f t="shared" ref="K63:AN63" si="11">K46/J46-1</f>
        <v>8.3777239709443174E-2</v>
      </c>
      <c r="L63" s="1729">
        <f t="shared" si="11"/>
        <v>8.489722966934754E-2</v>
      </c>
      <c r="M63" s="1729">
        <f t="shared" si="11"/>
        <v>0.13179571663920919</v>
      </c>
      <c r="N63" s="1729">
        <f t="shared" si="11"/>
        <v>2.2197962154294038E-2</v>
      </c>
      <c r="O63" s="1729">
        <f t="shared" si="11"/>
        <v>7.4403702385190451E-2</v>
      </c>
      <c r="P63" s="1729">
        <f t="shared" si="11"/>
        <v>9.3770709078860204E-2</v>
      </c>
      <c r="Q63" s="1729">
        <f t="shared" si="11"/>
        <v>0.77794607694637996</v>
      </c>
      <c r="R63" s="1729">
        <f t="shared" si="11"/>
        <v>7.6162889759754604E-2</v>
      </c>
      <c r="S63" s="1729">
        <f t="shared" si="11"/>
        <v>0.11162127929069032</v>
      </c>
      <c r="T63" s="1729">
        <f t="shared" si="11"/>
        <v>6.2526705597493182E-2</v>
      </c>
      <c r="U63" s="1729">
        <f t="shared" si="11"/>
        <v>7.319034852546924E-2</v>
      </c>
      <c r="V63" s="1729">
        <f t="shared" si="11"/>
        <v>7.9690232325755783E-2</v>
      </c>
      <c r="W63" s="1729">
        <f t="shared" si="11"/>
        <v>8.6302637667746485E-2</v>
      </c>
      <c r="X63" s="1729">
        <f t="shared" si="11"/>
        <v>0.54430244941427053</v>
      </c>
      <c r="Y63" s="1729">
        <f t="shared" si="11"/>
        <v>-0.28335976829184195</v>
      </c>
      <c r="Z63" s="1729">
        <f t="shared" si="11"/>
        <v>8.8722093918398803E-2</v>
      </c>
      <c r="AA63" s="1729">
        <f t="shared" si="11"/>
        <v>5.65670850273996E-2</v>
      </c>
      <c r="AB63" s="1729">
        <f t="shared" si="11"/>
        <v>4.70972059561654E-2</v>
      </c>
      <c r="AC63" s="1729">
        <f t="shared" si="11"/>
        <v>8.0690261244707129E-2</v>
      </c>
      <c r="AD63" s="1729">
        <f t="shared" si="11"/>
        <v>9.2777408146669682E-2</v>
      </c>
      <c r="AE63" s="1729">
        <f t="shared" si="11"/>
        <v>-0.27269652279799761</v>
      </c>
      <c r="AF63" s="1729">
        <f t="shared" si="11"/>
        <v>0.44926053390382292</v>
      </c>
      <c r="AG63" s="1729">
        <f t="shared" si="11"/>
        <v>9.8196521404274373E-2</v>
      </c>
      <c r="AH63" s="1740">
        <f t="shared" si="11"/>
        <v>8.5617439074279655E-2</v>
      </c>
      <c r="AI63" s="1729">
        <f t="shared" si="11"/>
        <v>7.2189922480620172E-2</v>
      </c>
      <c r="AJ63" s="1729">
        <f t="shared" si="11"/>
        <v>7.778246877657935E-2</v>
      </c>
      <c r="AK63" s="1729">
        <f t="shared" si="11"/>
        <v>8.3624635479302434E-2</v>
      </c>
      <c r="AL63" s="1729">
        <f t="shared" si="11"/>
        <v>8.9448074270741307E-2</v>
      </c>
      <c r="AM63" s="1729">
        <f t="shared" si="11"/>
        <v>8.4872958933530862E-2</v>
      </c>
      <c r="AN63" s="1729">
        <f t="shared" si="11"/>
        <v>7.9348150624235281E-2</v>
      </c>
      <c r="AO63" s="1720"/>
    </row>
    <row r="64" spans="4:92">
      <c r="D64" s="376" t="s">
        <v>1373</v>
      </c>
      <c r="E64" s="1854">
        <f>+E47</f>
        <v>0.10025170516157929</v>
      </c>
      <c r="J64" s="1577"/>
      <c r="K64" s="1577">
        <f t="shared" ref="K64:AN64" si="12">+K47/J47-1</f>
        <v>7.9095339247782226E-2</v>
      </c>
      <c r="L64" s="1577">
        <f t="shared" si="12"/>
        <v>7.2024085224640988E-2</v>
      </c>
      <c r="M64" s="1577">
        <f t="shared" si="12"/>
        <v>8.954417800820913E-2</v>
      </c>
      <c r="N64" s="1577">
        <f t="shared" si="12"/>
        <v>1.1301675423812885E-2</v>
      </c>
      <c r="O64" s="1577">
        <f t="shared" si="12"/>
        <v>4.332908538378577E-2</v>
      </c>
      <c r="P64" s="1577">
        <f t="shared" si="12"/>
        <v>6.0509254909330235E-2</v>
      </c>
      <c r="Q64" s="1577">
        <f t="shared" si="12"/>
        <v>0.26907061220873585</v>
      </c>
      <c r="R64" s="1577">
        <f t="shared" si="12"/>
        <v>6.4507120915945126E-2</v>
      </c>
      <c r="S64" s="1577">
        <f t="shared" si="12"/>
        <v>8.7945960125918266E-2</v>
      </c>
      <c r="T64" s="1577">
        <f t="shared" si="12"/>
        <v>0.10271866899752835</v>
      </c>
      <c r="U64" s="1577">
        <f t="shared" si="12"/>
        <v>8.1779915814792714E-2</v>
      </c>
      <c r="V64" s="1577">
        <f t="shared" si="12"/>
        <v>8.3025923492849429E-2</v>
      </c>
      <c r="W64" s="1577">
        <f t="shared" si="12"/>
        <v>5.2724897349757383E-2</v>
      </c>
      <c r="X64" s="1577">
        <f t="shared" si="12"/>
        <v>0.3836367925967572</v>
      </c>
      <c r="Y64" s="1577">
        <f t="shared" si="12"/>
        <v>-0.32661418329761682</v>
      </c>
      <c r="Z64" s="1577">
        <f t="shared" si="12"/>
        <v>0.13971602276520256</v>
      </c>
      <c r="AA64" s="1577">
        <f t="shared" si="12"/>
        <v>4.5450116212295333E-2</v>
      </c>
      <c r="AB64" s="1577">
        <f t="shared" si="12"/>
        <v>1.9784600475531988E-3</v>
      </c>
      <c r="AC64" s="1577">
        <f t="shared" si="12"/>
        <v>6.3009917054256626E-2</v>
      </c>
      <c r="AD64" s="1577">
        <f t="shared" si="12"/>
        <v>7.3016098877417113E-2</v>
      </c>
      <c r="AE64" s="1577">
        <f t="shared" si="12"/>
        <v>-0.35345167274933731</v>
      </c>
      <c r="AF64" s="1577">
        <f t="shared" si="12"/>
        <v>0.7072843722257085</v>
      </c>
      <c r="AG64" s="1577">
        <f t="shared" si="12"/>
        <v>6.1910939450087632E-2</v>
      </c>
      <c r="AH64" s="2038">
        <f>+AH47/AG47-1</f>
        <v>-9.7617146137114474E-3</v>
      </c>
      <c r="AI64" s="1972">
        <f>+AI47/AH47-1</f>
        <v>-3.4826466566660663E-2</v>
      </c>
      <c r="AJ64" s="1577">
        <f t="shared" si="12"/>
        <v>0.24146753100002916</v>
      </c>
      <c r="AK64" s="1577">
        <f t="shared" si="12"/>
        <v>0.10326484725310281</v>
      </c>
      <c r="AL64" s="1577">
        <f t="shared" si="12"/>
        <v>8.2258034726022888E-2</v>
      </c>
      <c r="AM64" s="1577">
        <f t="shared" si="12"/>
        <v>5.6788283524727312E-2</v>
      </c>
      <c r="AN64" s="1577">
        <f t="shared" si="12"/>
        <v>4.9048137600319119E-2</v>
      </c>
      <c r="AO64" s="1720"/>
    </row>
    <row r="65" spans="4:44">
      <c r="D65" s="376"/>
      <c r="E65" s="1854">
        <f>1-E64</f>
        <v>0.89974829483842067</v>
      </c>
      <c r="J65" s="1729"/>
      <c r="K65" s="1729"/>
      <c r="L65" s="1729"/>
      <c r="M65" s="1729"/>
      <c r="N65" s="1729"/>
      <c r="O65" s="1729"/>
      <c r="P65" s="1729"/>
      <c r="Q65" s="1729"/>
      <c r="R65" s="1729"/>
      <c r="S65" s="1729"/>
      <c r="T65" s="1729"/>
      <c r="U65" s="1729"/>
      <c r="V65" s="1729"/>
      <c r="W65" s="1729"/>
      <c r="X65" s="1729"/>
      <c r="Y65" s="1729"/>
      <c r="Z65" s="1729"/>
      <c r="AA65" s="1577"/>
      <c r="AB65" s="1729"/>
      <c r="AC65" s="1729"/>
      <c r="AD65" s="1729"/>
      <c r="AE65" s="1729"/>
      <c r="AF65" s="1729"/>
      <c r="AG65" s="1729"/>
      <c r="AH65" s="1740"/>
      <c r="AI65" s="1729"/>
      <c r="AJ65" s="1729"/>
      <c r="AK65" s="1729"/>
      <c r="AL65" s="1729"/>
      <c r="AM65" s="1729"/>
      <c r="AN65" s="1729"/>
      <c r="AO65" s="1720"/>
    </row>
    <row r="66" spans="4:44">
      <c r="D66" s="1722" t="s">
        <v>1049</v>
      </c>
      <c r="E66" s="1853">
        <v>0.25</v>
      </c>
      <c r="J66" s="435"/>
      <c r="K66" s="435">
        <f t="shared" ref="K66:AN66" si="13">K53/J53-1</f>
        <v>-8.305584830819801E-2</v>
      </c>
      <c r="L66" s="435">
        <f t="shared" si="13"/>
        <v>-7.8187972330545974E-2</v>
      </c>
      <c r="M66" s="435">
        <f t="shared" si="13"/>
        <v>-8.1171034576839163E-2</v>
      </c>
      <c r="N66" s="435">
        <f t="shared" si="13"/>
        <v>-8.1810297899838291E-2</v>
      </c>
      <c r="O66" s="435">
        <f t="shared" si="13"/>
        <v>-9.1964393703610869E-2</v>
      </c>
      <c r="P66" s="435">
        <f t="shared" si="13"/>
        <v>-0.11030666627707586</v>
      </c>
      <c r="Q66" s="435">
        <f t="shared" si="13"/>
        <v>0.33810373550138051</v>
      </c>
      <c r="R66" s="435">
        <f t="shared" si="13"/>
        <v>0.32871407642879147</v>
      </c>
      <c r="S66" s="435">
        <f t="shared" si="13"/>
        <v>0.33385896986561359</v>
      </c>
      <c r="T66" s="435">
        <f t="shared" si="13"/>
        <v>0.23217865239966229</v>
      </c>
      <c r="U66" s="435">
        <f t="shared" si="13"/>
        <v>0.21318470248090615</v>
      </c>
      <c r="V66" s="435">
        <f t="shared" si="13"/>
        <v>0.18620533462875466</v>
      </c>
      <c r="W66" s="435">
        <f t="shared" si="13"/>
        <v>0.1907152160394967</v>
      </c>
      <c r="X66" s="435">
        <f t="shared" si="13"/>
        <v>0.15598095963691683</v>
      </c>
      <c r="Y66" s="435">
        <f t="shared" si="13"/>
        <v>0.1231327219246412</v>
      </c>
      <c r="Z66" s="435">
        <f t="shared" si="13"/>
        <v>0.14649721337662114</v>
      </c>
      <c r="AA66" s="435">
        <f t="shared" si="13"/>
        <v>0.15306268786049526</v>
      </c>
      <c r="AB66" s="435">
        <f t="shared" si="13"/>
        <v>0.12047375925490744</v>
      </c>
      <c r="AC66" s="435">
        <f t="shared" si="13"/>
        <v>7.6582925392119972E-2</v>
      </c>
      <c r="AD66" s="435">
        <f t="shared" si="13"/>
        <v>0.11572891076285519</v>
      </c>
      <c r="AE66" s="435">
        <f t="shared" si="13"/>
        <v>5.2579151429485993E-2</v>
      </c>
      <c r="AF66" s="435">
        <f t="shared" si="13"/>
        <v>0.12024730279865947</v>
      </c>
      <c r="AG66" s="435">
        <f t="shared" si="13"/>
        <v>0.14015648944606451</v>
      </c>
      <c r="AH66" s="1741">
        <f t="shared" si="13"/>
        <v>0.16765694432437517</v>
      </c>
      <c r="AI66" s="435">
        <f t="shared" si="13"/>
        <v>0.13010770762295643</v>
      </c>
      <c r="AJ66" s="435">
        <f t="shared" si="13"/>
        <v>0.13178343400424875</v>
      </c>
      <c r="AK66" s="435">
        <f t="shared" si="13"/>
        <v>0.13935377313817887</v>
      </c>
      <c r="AL66" s="435">
        <f t="shared" si="13"/>
        <v>0.13157252464114388</v>
      </c>
      <c r="AM66" s="435">
        <f t="shared" si="13"/>
        <v>0.11102531955453721</v>
      </c>
      <c r="AN66" s="435">
        <f t="shared" si="13"/>
        <v>0.10361375427767117</v>
      </c>
      <c r="AO66" s="867"/>
    </row>
    <row r="67" spans="4:44">
      <c r="D67" s="1722" t="s">
        <v>1376</v>
      </c>
      <c r="E67" s="1853">
        <v>0.15</v>
      </c>
      <c r="J67" s="1567">
        <v>0.01</v>
      </c>
      <c r="K67" s="1567">
        <v>0.01</v>
      </c>
      <c r="L67" s="1567">
        <v>0.01</v>
      </c>
      <c r="M67" s="1567">
        <v>0.01</v>
      </c>
      <c r="N67" s="1567">
        <v>0.01</v>
      </c>
      <c r="O67" s="1567">
        <v>0.01</v>
      </c>
      <c r="P67" s="1567">
        <v>0.01</v>
      </c>
      <c r="Q67" s="1567">
        <v>0.01</v>
      </c>
      <c r="R67" s="1567">
        <v>0.01</v>
      </c>
      <c r="S67" s="1567">
        <v>0.01</v>
      </c>
      <c r="T67" s="1567">
        <v>0.01</v>
      </c>
      <c r="U67" s="1567">
        <v>0.01</v>
      </c>
      <c r="V67" s="1567">
        <v>0.01</v>
      </c>
      <c r="W67" s="1567">
        <v>0.01</v>
      </c>
      <c r="X67" s="1567">
        <v>0.01</v>
      </c>
      <c r="Y67" s="1567">
        <v>0.01</v>
      </c>
      <c r="Z67" s="1567">
        <v>0.01</v>
      </c>
      <c r="AA67" s="1567">
        <v>0.01</v>
      </c>
      <c r="AB67" s="1567">
        <v>0.01</v>
      </c>
      <c r="AC67" s="1567">
        <v>0.01</v>
      </c>
      <c r="AD67" s="1567">
        <v>0.01</v>
      </c>
      <c r="AE67" s="1567">
        <v>0.01</v>
      </c>
      <c r="AF67" s="1567">
        <v>0.01</v>
      </c>
      <c r="AG67" s="1567">
        <v>0.01</v>
      </c>
      <c r="AH67" s="1739">
        <v>0.01</v>
      </c>
      <c r="AI67" s="1567">
        <v>1.0999999999999999E-2</v>
      </c>
      <c r="AJ67" s="1567">
        <v>1.2E-2</v>
      </c>
      <c r="AK67" s="1567">
        <v>1.3000000000000001E-2</v>
      </c>
      <c r="AL67" s="1567">
        <v>1.4000000000000002E-2</v>
      </c>
      <c r="AM67" s="1567">
        <v>1.5000000000000003E-2</v>
      </c>
      <c r="AN67" s="1567">
        <v>1.6000000000000004E-2</v>
      </c>
      <c r="AO67" s="1719">
        <v>0.02</v>
      </c>
    </row>
    <row r="68" spans="4:44">
      <c r="D68" s="1722" t="s">
        <v>1384</v>
      </c>
      <c r="E68" s="1853">
        <v>0.6</v>
      </c>
      <c r="J68" s="1742">
        <f t="shared" ref="J68:T68" si="14">+J54</f>
        <v>7.7001904659707909E-2</v>
      </c>
      <c r="K68" s="1742">
        <f t="shared" si="14"/>
        <v>4.2687830479818833E-2</v>
      </c>
      <c r="L68" s="1742">
        <f t="shared" si="14"/>
        <v>2.6786589350676682E-2</v>
      </c>
      <c r="M68" s="1742">
        <f t="shared" si="14"/>
        <v>5.6096839859618663E-2</v>
      </c>
      <c r="N68" s="1742">
        <f t="shared" si="14"/>
        <v>2.695956434490987E-2</v>
      </c>
      <c r="O68" s="1742">
        <f t="shared" si="14"/>
        <v>7.7249723395853565E-3</v>
      </c>
      <c r="P68" s="1742">
        <f t="shared" si="14"/>
        <v>3.0106916921915694E-2</v>
      </c>
      <c r="Q68" s="1742">
        <f t="shared" si="14"/>
        <v>2.7583533789108383E-2</v>
      </c>
      <c r="R68" s="1742">
        <f t="shared" si="14"/>
        <v>2.7823598718924369E-2</v>
      </c>
      <c r="S68" s="1742">
        <f t="shared" si="14"/>
        <v>5.0661424945843248E-2</v>
      </c>
      <c r="T68" s="1742">
        <f t="shared" si="14"/>
        <v>1.3719539815212567E-2</v>
      </c>
      <c r="U68" s="1742">
        <f>+U54</f>
        <v>2.8939184210892144E-2</v>
      </c>
      <c r="V68" s="1742">
        <f t="shared" ref="V68:AH68" si="15">+V54</f>
        <v>5.8546025888956965E-3</v>
      </c>
      <c r="W68" s="1742">
        <f t="shared" si="15"/>
        <v>3.5693377796073289E-2</v>
      </c>
      <c r="X68" s="1742">
        <f t="shared" si="15"/>
        <v>2.8990431753150858E-2</v>
      </c>
      <c r="Y68" s="1742">
        <f t="shared" si="15"/>
        <v>4.9536989976431078E-2</v>
      </c>
      <c r="Z68" s="1742">
        <f t="shared" si="15"/>
        <v>3.0000000000000027E-2</v>
      </c>
      <c r="AA68" s="1742">
        <f t="shared" si="15"/>
        <v>3.0000000000000027E-2</v>
      </c>
      <c r="AB68" s="1742">
        <f t="shared" si="15"/>
        <v>0.03</v>
      </c>
      <c r="AC68" s="1742">
        <f t="shared" si="15"/>
        <v>0.03</v>
      </c>
      <c r="AD68" s="1742">
        <f t="shared" si="15"/>
        <v>0.03</v>
      </c>
      <c r="AE68" s="1742">
        <f t="shared" si="15"/>
        <v>0.03</v>
      </c>
      <c r="AF68" s="1742">
        <f t="shared" si="15"/>
        <v>0.03</v>
      </c>
      <c r="AG68" s="1742">
        <f t="shared" si="15"/>
        <v>0.03</v>
      </c>
      <c r="AH68" s="2039">
        <f t="shared" si="15"/>
        <v>0.03</v>
      </c>
      <c r="AI68" s="435"/>
      <c r="AJ68" s="435"/>
      <c r="AK68" s="435"/>
      <c r="AL68" s="435"/>
      <c r="AM68" s="435"/>
      <c r="AN68" s="435"/>
      <c r="AO68" s="867"/>
    </row>
    <row r="69" spans="4:44">
      <c r="D69" s="1722" t="s">
        <v>1050</v>
      </c>
      <c r="E69" s="1853">
        <v>0.6</v>
      </c>
      <c r="J69" s="1747">
        <f t="shared" ref="J69:T69" si="16">+(1+J70)*(1+J72)-1</f>
        <v>2.1031927148070118E-2</v>
      </c>
      <c r="K69" s="1747">
        <f t="shared" si="16"/>
        <v>1.9666139181045317E-2</v>
      </c>
      <c r="L69" s="1747">
        <f t="shared" si="16"/>
        <v>2.2967312443936905E-2</v>
      </c>
      <c r="M69" s="1747">
        <f t="shared" si="16"/>
        <v>2.2365754235065038E-2</v>
      </c>
      <c r="N69" s="1747">
        <f t="shared" si="16"/>
        <v>2.1638074759134041E-2</v>
      </c>
      <c r="O69" s="1747">
        <f t="shared" si="16"/>
        <v>2.0752561298279737E-2</v>
      </c>
      <c r="P69" s="1747">
        <f t="shared" si="16"/>
        <v>1.9660634828764456E-2</v>
      </c>
      <c r="Q69" s="1747">
        <f t="shared" si="16"/>
        <v>2.1767461398250809E-2</v>
      </c>
      <c r="R69" s="1747">
        <f t="shared" si="16"/>
        <v>2.1813235919304619E-2</v>
      </c>
      <c r="S69" s="1747">
        <f t="shared" si="16"/>
        <v>2.1849395536508887E-2</v>
      </c>
      <c r="T69" s="1747">
        <f t="shared" si="16"/>
        <v>2.1875256338228288E-2</v>
      </c>
      <c r="U69" s="1747">
        <f>+(1+U70)*(1+U72)-1</f>
        <v>2.1889536214025673E-2</v>
      </c>
      <c r="V69" s="1747">
        <f t="shared" ref="V69:AH69" si="17">+(1+V70)*(1+V72)-1</f>
        <v>2.3024625580899682E-2</v>
      </c>
      <c r="W69" s="1747">
        <f t="shared" si="17"/>
        <v>2.3254856158066106E-2</v>
      </c>
      <c r="X69" s="1747">
        <f t="shared" si="17"/>
        <v>2.3204720045736815E-2</v>
      </c>
      <c r="Y69" s="1747">
        <f t="shared" si="17"/>
        <v>1.983712008618177E-2</v>
      </c>
      <c r="Z69" s="1747">
        <f t="shared" si="17"/>
        <v>2.1163455348166105E-2</v>
      </c>
      <c r="AA69" s="1747">
        <f t="shared" si="17"/>
        <v>2.1890830403998196E-2</v>
      </c>
      <c r="AB69" s="1747">
        <f t="shared" si="17"/>
        <v>2.2302701117612012E-2</v>
      </c>
      <c r="AC69" s="1747">
        <f t="shared" si="17"/>
        <v>2.2561578866920673E-2</v>
      </c>
      <c r="AD69" s="1747">
        <f t="shared" si="17"/>
        <v>2.3517404319485902E-2</v>
      </c>
      <c r="AE69" s="1747">
        <f t="shared" si="17"/>
        <v>2.4361436518583357E-2</v>
      </c>
      <c r="AF69" s="1747">
        <f t="shared" si="17"/>
        <v>2.608492930621531E-2</v>
      </c>
      <c r="AG69" s="1747">
        <f t="shared" si="17"/>
        <v>2.6980116253039199E-2</v>
      </c>
      <c r="AH69" s="2040">
        <f t="shared" si="17"/>
        <v>2.6822803464889189E-2</v>
      </c>
      <c r="AI69" s="435"/>
      <c r="AJ69" s="435"/>
      <c r="AK69" s="435"/>
      <c r="AL69" s="435"/>
      <c r="AM69" s="435"/>
      <c r="AN69" s="435"/>
      <c r="AO69" s="867"/>
    </row>
    <row r="70" spans="4:44">
      <c r="D70" s="1722" t="s">
        <v>1395</v>
      </c>
      <c r="E70" s="1855">
        <v>0.16</v>
      </c>
      <c r="J70" s="435">
        <f t="shared" ref="J70:AH70" si="18">+$E70*(J40-I40)</f>
        <v>4.7999999999999692E-3</v>
      </c>
      <c r="K70" s="435">
        <f t="shared" si="18"/>
        <v>3.171366062867307E-3</v>
      </c>
      <c r="L70" s="435">
        <f t="shared" si="18"/>
        <v>7.008363021724833E-3</v>
      </c>
      <c r="M70" s="435">
        <f t="shared" si="18"/>
        <v>7.1090352131463422E-3</v>
      </c>
      <c r="N70" s="435">
        <f t="shared" si="18"/>
        <v>7.2110800122054996E-3</v>
      </c>
      <c r="O70" s="435">
        <f t="shared" si="18"/>
        <v>7.3147118888457641E-3</v>
      </c>
      <c r="P70" s="435">
        <f t="shared" si="18"/>
        <v>7.4197592671121984E-3</v>
      </c>
      <c r="Q70" s="435">
        <f t="shared" si="18"/>
        <v>9.6209929779653442E-3</v>
      </c>
      <c r="R70" s="435">
        <f t="shared" si="18"/>
        <v>9.7976733173200624E-3</v>
      </c>
      <c r="S70" s="435">
        <f t="shared" si="18"/>
        <v>9.9774849178480458E-3</v>
      </c>
      <c r="T70" s="435">
        <f t="shared" si="18"/>
        <v>1.016072803747008E-2</v>
      </c>
      <c r="U70" s="1744">
        <f t="shared" si="18"/>
        <v>1.0347231100231511E-2</v>
      </c>
      <c r="V70" s="1744">
        <f t="shared" si="18"/>
        <v>1.199273029380386E-2</v>
      </c>
      <c r="W70" s="1744">
        <f t="shared" si="18"/>
        <v>1.2791416362943054E-2</v>
      </c>
      <c r="X70" s="1744">
        <f t="shared" si="18"/>
        <v>1.3656159174642682E-2</v>
      </c>
      <c r="Y70" s="1744">
        <f t="shared" si="18"/>
        <v>1.1621268351873439E-2</v>
      </c>
      <c r="Z70" s="1744">
        <f t="shared" si="18"/>
        <v>1.4289614629819739E-2</v>
      </c>
      <c r="AA70" s="1744">
        <f t="shared" si="18"/>
        <v>1.7670237762616593E-2</v>
      </c>
      <c r="AB70" s="1744">
        <f t="shared" si="18"/>
        <v>1.7365739256379128E-2</v>
      </c>
      <c r="AC70" s="1744">
        <f t="shared" si="18"/>
        <v>1.8280603835066245E-2</v>
      </c>
      <c r="AD70" s="1744">
        <f t="shared" si="18"/>
        <v>1.9205492767151073E-2</v>
      </c>
      <c r="AE70" s="1744">
        <f t="shared" si="18"/>
        <v>2.0722337650206556E-2</v>
      </c>
      <c r="AF70" s="1744">
        <f t="shared" si="18"/>
        <v>2.2008882254283862E-2</v>
      </c>
      <c r="AG70" s="1744">
        <f t="shared" si="18"/>
        <v>2.2876611152617413E-2</v>
      </c>
      <c r="AH70" s="1745">
        <f t="shared" si="18"/>
        <v>2.3978785531865016E-2</v>
      </c>
      <c r="AI70" s="1744"/>
      <c r="AJ70" s="1744"/>
      <c r="AK70" s="1744"/>
      <c r="AL70" s="1744"/>
      <c r="AM70" s="1744"/>
      <c r="AN70" s="1744"/>
      <c r="AO70" s="1746"/>
    </row>
    <row r="71" spans="4:44">
      <c r="E71" s="1856" t="s">
        <v>1386</v>
      </c>
      <c r="AA71" s="1567"/>
      <c r="AB71" s="435"/>
      <c r="AC71" s="435"/>
      <c r="AD71" s="435"/>
      <c r="AE71" s="435"/>
      <c r="AF71" s="435"/>
      <c r="AG71" s="435"/>
      <c r="AH71" s="1741"/>
      <c r="AI71" s="435"/>
      <c r="AJ71" s="435"/>
      <c r="AK71" s="435"/>
      <c r="AL71" s="435"/>
      <c r="AM71" s="435"/>
      <c r="AN71" s="435"/>
      <c r="AO71" s="867"/>
    </row>
    <row r="72" spans="4:44">
      <c r="D72" s="1722" t="s">
        <v>1396</v>
      </c>
      <c r="E72" s="1857">
        <v>0.01</v>
      </c>
      <c r="F72" s="1755">
        <v>0.5</v>
      </c>
      <c r="J72" s="1734">
        <f>+$E72*J73^IF(J73&gt;1,$F72,1)</f>
        <v>1.615438609481492E-2</v>
      </c>
      <c r="K72" s="1734">
        <f t="shared" ref="K72:R72" si="19">+$E72*K73^IF(K73&gt;1,$F72,1)</f>
        <v>1.6442627527253666E-2</v>
      </c>
      <c r="L72" s="1734">
        <f t="shared" si="19"/>
        <v>1.5847881714034787E-2</v>
      </c>
      <c r="M72" s="1734">
        <f t="shared" si="19"/>
        <v>1.5149024076315295E-2</v>
      </c>
      <c r="N72" s="1734">
        <f t="shared" si="19"/>
        <v>1.4323705361495451E-2</v>
      </c>
      <c r="O72" s="1734">
        <f t="shared" si="19"/>
        <v>1.3340269183834661E-2</v>
      </c>
      <c r="P72" s="1734">
        <f t="shared" si="19"/>
        <v>1.2150720143267233E-2</v>
      </c>
      <c r="Q72" s="1734">
        <f t="shared" si="19"/>
        <v>1.2030720938615133E-2</v>
      </c>
      <c r="R72" s="1734">
        <f t="shared" si="19"/>
        <v>1.1898980280388268E-2</v>
      </c>
      <c r="S72" s="1734">
        <v>1.1754628985245744E-2</v>
      </c>
      <c r="T72" s="1734">
        <f t="shared" ref="T72:AO72" si="20">+$E72*T73^IF(T73&gt;1,$F72,1)</f>
        <v>1.1596697412219808E-2</v>
      </c>
      <c r="U72" s="1734">
        <f t="shared" si="20"/>
        <v>1.1424097338520883E-2</v>
      </c>
      <c r="V72" s="1734">
        <f t="shared" si="20"/>
        <v>1.0901160608034248E-2</v>
      </c>
      <c r="W72" s="1734">
        <f t="shared" si="20"/>
        <v>1.0331287988891625E-2</v>
      </c>
      <c r="X72" s="1734">
        <f t="shared" si="20"/>
        <v>9.419920931441823E-3</v>
      </c>
      <c r="Y72" s="1734">
        <f t="shared" si="20"/>
        <v>8.1214699525778249E-3</v>
      </c>
      <c r="Z72" s="1734">
        <f t="shared" si="20"/>
        <v>6.7770000000000157E-3</v>
      </c>
      <c r="AA72" s="1734">
        <f t="shared" si="20"/>
        <v>4.1473087103939578E-3</v>
      </c>
      <c r="AB72" s="1734">
        <f t="shared" si="20"/>
        <v>4.8526912896059574E-3</v>
      </c>
      <c r="AC72" s="1734">
        <f t="shared" si="20"/>
        <v>4.2041211584816556E-3</v>
      </c>
      <c r="AD72" s="1734">
        <f t="shared" si="20"/>
        <v>4.2306596490449527E-3</v>
      </c>
      <c r="AE72" s="1734">
        <f t="shared" si="20"/>
        <v>3.565219192473421E-3</v>
      </c>
      <c r="AF72" s="1734">
        <f t="shared" si="20"/>
        <v>3.98826969384146E-3</v>
      </c>
      <c r="AG72" s="1734">
        <f t="shared" si="20"/>
        <v>4.0117303061585115E-3</v>
      </c>
      <c r="AH72" s="2041">
        <f t="shared" si="20"/>
        <v>2.7774188032100256E-3</v>
      </c>
      <c r="AI72" s="1734" t="s">
        <v>1408</v>
      </c>
      <c r="AJ72" s="1734">
        <f t="shared" si="20"/>
        <v>2.7999542878039563E-3</v>
      </c>
      <c r="AK72" s="1734">
        <f t="shared" si="20"/>
        <v>2.811290506006685E-3</v>
      </c>
      <c r="AL72" s="1734">
        <f t="shared" si="20"/>
        <v>2.8226726213313215E-3</v>
      </c>
      <c r="AM72" s="1734">
        <f t="shared" si="20"/>
        <v>2.7778650931003313E-3</v>
      </c>
      <c r="AN72" s="1734">
        <f t="shared" si="20"/>
        <v>2.7888887137795847E-3</v>
      </c>
      <c r="AO72" s="1734">
        <f t="shared" si="20"/>
        <v>2.7999560803604598E-3</v>
      </c>
    </row>
    <row r="73" spans="4:44">
      <c r="D73" s="1722" t="s">
        <v>1375</v>
      </c>
      <c r="E73" s="1858" t="s">
        <v>1379</v>
      </c>
      <c r="F73" s="1730" t="s">
        <v>1405</v>
      </c>
      <c r="J73" s="1732">
        <f t="shared" ref="J73:AO73" si="21">+J42</f>
        <v>2.6096419010034957</v>
      </c>
      <c r="K73" s="1733">
        <f t="shared" si="21"/>
        <v>2.7036000000000002</v>
      </c>
      <c r="L73" s="1732">
        <f t="shared" si="21"/>
        <v>2.5115535482203812</v>
      </c>
      <c r="M73" s="1732">
        <f t="shared" si="21"/>
        <v>2.2949293046478045</v>
      </c>
      <c r="N73" s="1732">
        <f t="shared" si="21"/>
        <v>2.0516853528293355</v>
      </c>
      <c r="O73" s="1732">
        <f t="shared" si="21"/>
        <v>1.7796278189716872</v>
      </c>
      <c r="P73" s="1733">
        <f t="shared" si="21"/>
        <v>1.476400000000001</v>
      </c>
      <c r="Q73" s="1732">
        <f t="shared" si="21"/>
        <v>1.4473824630283261</v>
      </c>
      <c r="R73" s="1732">
        <f t="shared" si="21"/>
        <v>1.4158573171306883</v>
      </c>
      <c r="S73" s="1732">
        <f t="shared" si="21"/>
        <v>1.3817130258077939</v>
      </c>
      <c r="T73" s="1732">
        <f t="shared" si="21"/>
        <v>1.3448339087058556</v>
      </c>
      <c r="U73" s="1733">
        <f t="shared" si="21"/>
        <v>1.3050999999999988</v>
      </c>
      <c r="V73" s="1732">
        <f t="shared" si="21"/>
        <v>1.1883530260215764</v>
      </c>
      <c r="W73" s="1732">
        <f t="shared" si="21"/>
        <v>1.0673551150941634</v>
      </c>
      <c r="X73" s="1732">
        <f t="shared" si="21"/>
        <v>0.94199209314418231</v>
      </c>
      <c r="Y73" s="1732">
        <f t="shared" si="21"/>
        <v>0.81214699525778256</v>
      </c>
      <c r="Z73" s="1733">
        <f t="shared" si="21"/>
        <v>0.67770000000000152</v>
      </c>
      <c r="AA73" s="1732">
        <f t="shared" si="21"/>
        <v>0.41473087103939577</v>
      </c>
      <c r="AB73" s="1732">
        <f t="shared" si="21"/>
        <v>0.48526912896059571</v>
      </c>
      <c r="AC73" s="1732">
        <f t="shared" si="21"/>
        <v>0.42041211584816551</v>
      </c>
      <c r="AD73" s="1732">
        <f t="shared" si="21"/>
        <v>0.42306596490449522</v>
      </c>
      <c r="AE73" s="1733">
        <f t="shared" si="21"/>
        <v>0.35652191924734211</v>
      </c>
      <c r="AF73" s="1732">
        <f t="shared" si="21"/>
        <v>0.39882696938414597</v>
      </c>
      <c r="AG73" s="1732">
        <f t="shared" si="21"/>
        <v>0.40117303061585119</v>
      </c>
      <c r="AH73" s="2042">
        <f t="shared" si="21"/>
        <v>0.27774188032100255</v>
      </c>
      <c r="AI73" s="1732">
        <f t="shared" si="21"/>
        <v>0.27886637816480686</v>
      </c>
      <c r="AJ73" s="1732">
        <f t="shared" si="21"/>
        <v>0.27999542878039563</v>
      </c>
      <c r="AK73" s="1732">
        <f t="shared" si="21"/>
        <v>0.28112905060066851</v>
      </c>
      <c r="AL73" s="1732">
        <f t="shared" si="21"/>
        <v>0.28226726213313214</v>
      </c>
      <c r="AM73" s="1732">
        <f t="shared" si="21"/>
        <v>0.27778650931003313</v>
      </c>
      <c r="AN73" s="1732">
        <f t="shared" si="21"/>
        <v>0.27888887137795848</v>
      </c>
      <c r="AO73" s="1732">
        <f t="shared" si="21"/>
        <v>0.27999560803604595</v>
      </c>
    </row>
    <row r="74" spans="4:44">
      <c r="D74" s="1722" t="s">
        <v>1051</v>
      </c>
      <c r="E74" s="1859" t="s">
        <v>1387</v>
      </c>
      <c r="J74" s="1567">
        <f t="shared" ref="J74:U74" si="22">(J63)-J64*$E64-($E66*J66+$E67*J67+$E68*J68+$E69*J69)*$E$65</f>
        <v>-5.4273086245572512E-2</v>
      </c>
      <c r="K74" s="1567">
        <f t="shared" si="22"/>
        <v>5.9518787382915217E-2</v>
      </c>
      <c r="L74" s="1567">
        <f t="shared" si="22"/>
        <v>6.7054850585180237E-2</v>
      </c>
      <c r="M74" s="1567">
        <f t="shared" si="22"/>
        <v>9.736956150485751E-2</v>
      </c>
      <c r="N74" s="1567">
        <f t="shared" si="22"/>
        <v>1.1882110738295253E-2</v>
      </c>
      <c r="O74" s="1567">
        <f t="shared" si="22"/>
        <v>7.4022899456161168E-2</v>
      </c>
      <c r="P74" s="1567">
        <f t="shared" si="22"/>
        <v>8.4300027481338594E-2</v>
      </c>
      <c r="Q74" s="1567">
        <f t="shared" si="22"/>
        <v>0.64692751768631629</v>
      </c>
      <c r="R74" s="1567">
        <f t="shared" si="22"/>
        <v>-3.2390058384592468E-2</v>
      </c>
      <c r="S74" s="1567">
        <f t="shared" si="22"/>
        <v>-1.278722758133595E-2</v>
      </c>
      <c r="T74" s="1567">
        <f t="shared" si="22"/>
        <v>-2.0562039498821905E-2</v>
      </c>
      <c r="U74" s="1567">
        <f t="shared" si="22"/>
        <v>-1.1750825779582766E-2</v>
      </c>
      <c r="V74" s="1567">
        <f>(V63)-V64*$E64-($E66*V66+$E67*V67+$E68*V68+$E69*V69)*$E$65</f>
        <v>1.2542214619001436E-2</v>
      </c>
      <c r="W74" s="1567">
        <f t="shared" ref="W74:AH74" si="23">(W63)-W64*$E64-($E66*W66+$E67*W67+$E68*W68+$E69*W69)*$E$65</f>
        <v>4.9451879635029755E-3</v>
      </c>
      <c r="X74" s="1567">
        <f t="shared" si="23"/>
        <v>0.44122918443839571</v>
      </c>
      <c r="Y74" s="1567">
        <f t="shared" si="23"/>
        <v>-0.31711441841704552</v>
      </c>
      <c r="Z74" s="1567">
        <f t="shared" si="23"/>
        <v>1.2792508447454304E-2</v>
      </c>
      <c r="AA74" s="1567">
        <f t="shared" si="23"/>
        <v>-1.1781673870647331E-2</v>
      </c>
      <c r="AB74" s="1567">
        <f t="shared" si="23"/>
        <v>-9.7853350326568278E-3</v>
      </c>
      <c r="AC74" s="1567">
        <f t="shared" si="23"/>
        <v>2.7422133466129879E-2</v>
      </c>
      <c r="AD74" s="1567">
        <f t="shared" si="23"/>
        <v>2.9184758788726367E-2</v>
      </c>
      <c r="AE74" s="1567">
        <f t="shared" si="23"/>
        <v>-0.27978597870314192</v>
      </c>
      <c r="AF74" s="1567">
        <f t="shared" si="23"/>
        <v>0.31967897899315723</v>
      </c>
      <c r="AG74" s="1567">
        <f t="shared" si="23"/>
        <v>2.8353173653561048E-2</v>
      </c>
      <c r="AH74" s="1739">
        <f t="shared" si="23"/>
        <v>1.6858450408644504E-2</v>
      </c>
      <c r="AI74" s="435"/>
      <c r="AJ74" s="435"/>
      <c r="AK74" s="435"/>
      <c r="AL74" s="435"/>
      <c r="AM74" s="435"/>
      <c r="AN74" s="435"/>
      <c r="AO74" s="867"/>
    </row>
    <row r="75" spans="4:44">
      <c r="D75" s="1722" t="s">
        <v>1377</v>
      </c>
      <c r="E75" s="1860">
        <v>0.12</v>
      </c>
      <c r="J75" s="1567"/>
      <c r="K75" s="1567">
        <f t="shared" ref="K75:AN75" si="24">+K60/J60-1</f>
        <v>0.4055584830819785</v>
      </c>
      <c r="L75" s="1567">
        <f t="shared" si="24"/>
        <v>0.22412686533456871</v>
      </c>
      <c r="M75" s="1567">
        <f t="shared" si="24"/>
        <v>0.17725612660182088</v>
      </c>
      <c r="N75" s="1567">
        <f t="shared" si="24"/>
        <v>0.13530862372786889</v>
      </c>
      <c r="O75" s="1567">
        <f t="shared" si="24"/>
        <v>0.13613800005563625</v>
      </c>
      <c r="P75" s="1567">
        <f t="shared" si="24"/>
        <v>0.14924503138062239</v>
      </c>
      <c r="Q75" s="1567">
        <f t="shared" si="24"/>
        <v>0.3505515121585745</v>
      </c>
      <c r="R75" s="1567">
        <f t="shared" si="24"/>
        <v>0.30744566299401188</v>
      </c>
      <c r="S75" s="1567">
        <f t="shared" si="24"/>
        <v>0.2945900668373862</v>
      </c>
      <c r="T75" s="1567">
        <f t="shared" si="24"/>
        <v>0.26010503576351951</v>
      </c>
      <c r="U75" s="1567">
        <f t="shared" si="24"/>
        <v>0.18580616918096315</v>
      </c>
      <c r="V75" s="1567">
        <f t="shared" si="24"/>
        <v>0.17267531662310232</v>
      </c>
      <c r="W75" s="1567">
        <f t="shared" si="24"/>
        <v>0.18589712119637425</v>
      </c>
      <c r="X75" s="1567">
        <f t="shared" si="24"/>
        <v>0.19180801503662148</v>
      </c>
      <c r="Y75" s="1567">
        <f t="shared" si="24"/>
        <v>0.19777500886935395</v>
      </c>
      <c r="Z75" s="1567">
        <f t="shared" si="24"/>
        <v>0.1661399253122211</v>
      </c>
      <c r="AA75" s="1567">
        <f t="shared" si="24"/>
        <v>0.12282686621039018</v>
      </c>
      <c r="AB75" s="1567">
        <f t="shared" si="24"/>
        <v>0.10444638129263617</v>
      </c>
      <c r="AC75" s="1567">
        <f t="shared" si="24"/>
        <v>0.15905604192282485</v>
      </c>
      <c r="AD75" s="1567">
        <f t="shared" si="24"/>
        <v>0.15918744828530618</v>
      </c>
      <c r="AE75" s="1567">
        <f t="shared" si="24"/>
        <v>0.16107191118577879</v>
      </c>
      <c r="AF75" s="1567">
        <f t="shared" si="24"/>
        <v>8.0673557035990218E-2</v>
      </c>
      <c r="AG75" s="1567">
        <f t="shared" si="24"/>
        <v>6.7373798264967588E-2</v>
      </c>
      <c r="AH75" s="1739">
        <f t="shared" si="24"/>
        <v>6.4609889137100529E-2</v>
      </c>
      <c r="AI75" s="1567">
        <f t="shared" si="24"/>
        <v>5.8917681350970641E-2</v>
      </c>
      <c r="AJ75" s="1567">
        <f t="shared" si="24"/>
        <v>5.5101014529176817E-2</v>
      </c>
      <c r="AK75" s="1567">
        <f t="shared" si="24"/>
        <v>5.5213684803106622E-2</v>
      </c>
      <c r="AL75" s="1567">
        <f t="shared" si="24"/>
        <v>6.0705057646617488E-2</v>
      </c>
      <c r="AM75" s="1567">
        <f t="shared" si="24"/>
        <v>6.4235606944050394E-2</v>
      </c>
      <c r="AN75" s="1567">
        <f t="shared" si="24"/>
        <v>6.5582072332834196E-2</v>
      </c>
      <c r="AO75" s="867">
        <f>AO60/AN60-1</f>
        <v>-1</v>
      </c>
    </row>
    <row r="76" spans="4:44">
      <c r="D76" s="1722" t="s">
        <v>1378</v>
      </c>
      <c r="J76" s="1567"/>
      <c r="K76" s="1567">
        <f t="shared" ref="K76:Z76" si="25">+K74-$E75*K75</f>
        <v>1.0851769413077798E-2</v>
      </c>
      <c r="L76" s="1567">
        <f t="shared" si="25"/>
        <v>4.0159626745031991E-2</v>
      </c>
      <c r="M76" s="1567">
        <f t="shared" si="25"/>
        <v>7.6098826312639006E-2</v>
      </c>
      <c r="N76" s="1567">
        <f t="shared" si="25"/>
        <v>-4.3549241090490125E-3</v>
      </c>
      <c r="O76" s="1567">
        <f t="shared" si="25"/>
        <v>5.7686339449484814E-2</v>
      </c>
      <c r="P76" s="1567">
        <f t="shared" si="25"/>
        <v>6.6390623715663899E-2</v>
      </c>
      <c r="Q76" s="1567">
        <f t="shared" si="25"/>
        <v>0.60486133622728733</v>
      </c>
      <c r="R76" s="1567">
        <f t="shared" si="25"/>
        <v>-6.9283537943873902E-2</v>
      </c>
      <c r="S76" s="1567">
        <f t="shared" si="25"/>
        <v>-4.8138035601822289E-2</v>
      </c>
      <c r="T76" s="1567">
        <f t="shared" si="25"/>
        <v>-5.1774643790444247E-2</v>
      </c>
      <c r="U76" s="1567">
        <f t="shared" si="25"/>
        <v>-3.4047566081298344E-2</v>
      </c>
      <c r="V76" s="1567">
        <f t="shared" si="25"/>
        <v>-8.1788233757708398E-3</v>
      </c>
      <c r="W76" s="1567">
        <f t="shared" si="25"/>
        <v>-1.7362466580061933E-2</v>
      </c>
      <c r="X76" s="1567">
        <f t="shared" si="25"/>
        <v>0.41821222263400115</v>
      </c>
      <c r="Y76" s="1567">
        <f t="shared" si="25"/>
        <v>-0.34084741948136799</v>
      </c>
      <c r="Z76" s="1567">
        <f t="shared" si="25"/>
        <v>-7.1442825900122284E-3</v>
      </c>
      <c r="AA76" s="1567">
        <f>+AA74-$E75*AA75</f>
        <v>-2.6520897815894152E-2</v>
      </c>
      <c r="AB76" s="1567">
        <f t="shared" ref="AB76:AH76" si="26">+AB74-$E75*AB75</f>
        <v>-2.2318900787773169E-2</v>
      </c>
      <c r="AC76" s="1567">
        <f t="shared" si="26"/>
        <v>8.335408435390896E-3</v>
      </c>
      <c r="AD76" s="1567">
        <f t="shared" si="26"/>
        <v>1.0082264994489627E-2</v>
      </c>
      <c r="AE76" s="1567">
        <f t="shared" si="26"/>
        <v>-0.29911460804543538</v>
      </c>
      <c r="AF76" s="1567">
        <f t="shared" si="26"/>
        <v>0.30999815214883841</v>
      </c>
      <c r="AG76" s="1567">
        <f t="shared" si="26"/>
        <v>2.0268317861764938E-2</v>
      </c>
      <c r="AH76" s="1739">
        <f t="shared" si="26"/>
        <v>9.105263712192441E-3</v>
      </c>
      <c r="AR76" s="1239"/>
    </row>
    <row r="77" spans="4:44">
      <c r="D77" s="1723"/>
      <c r="AH77" s="173"/>
    </row>
    <row r="78" spans="4:44">
      <c r="D78" s="1751" t="s">
        <v>1382</v>
      </c>
      <c r="J78" s="1845"/>
      <c r="K78" s="1845">
        <f t="shared" ref="K78:AH78" si="27">+K3</f>
        <v>2000</v>
      </c>
      <c r="L78" s="1845">
        <f t="shared" si="27"/>
        <v>2001</v>
      </c>
      <c r="M78" s="1845">
        <f t="shared" si="27"/>
        <v>2002</v>
      </c>
      <c r="N78" s="1845">
        <f t="shared" si="27"/>
        <v>2003</v>
      </c>
      <c r="O78" s="1845">
        <f t="shared" si="27"/>
        <v>2004</v>
      </c>
      <c r="P78" s="1845">
        <f t="shared" si="27"/>
        <v>2005</v>
      </c>
      <c r="Q78" s="1845">
        <f t="shared" si="27"/>
        <v>2006</v>
      </c>
      <c r="R78" s="1845">
        <f t="shared" si="27"/>
        <v>2007</v>
      </c>
      <c r="S78" s="1845">
        <f t="shared" si="27"/>
        <v>2008</v>
      </c>
      <c r="T78" s="1845">
        <f t="shared" si="27"/>
        <v>2009</v>
      </c>
      <c r="U78" s="1845">
        <f t="shared" si="27"/>
        <v>2010</v>
      </c>
      <c r="V78" s="1845">
        <f t="shared" si="27"/>
        <v>2011</v>
      </c>
      <c r="W78" s="1845">
        <f t="shared" si="27"/>
        <v>2012</v>
      </c>
      <c r="X78" s="1845">
        <f t="shared" si="27"/>
        <v>2013</v>
      </c>
      <c r="Y78" s="1845">
        <f t="shared" si="27"/>
        <v>2014</v>
      </c>
      <c r="Z78" s="1845">
        <f t="shared" si="27"/>
        <v>2015</v>
      </c>
      <c r="AA78" s="1845">
        <f t="shared" si="27"/>
        <v>2016</v>
      </c>
      <c r="AB78" s="1845">
        <f t="shared" si="27"/>
        <v>2017</v>
      </c>
      <c r="AC78" s="1845">
        <f t="shared" si="27"/>
        <v>2018</v>
      </c>
      <c r="AD78" s="1845">
        <f t="shared" si="27"/>
        <v>2019</v>
      </c>
      <c r="AE78" s="1845">
        <f t="shared" si="27"/>
        <v>2020</v>
      </c>
      <c r="AF78" s="1845">
        <f t="shared" si="27"/>
        <v>2021</v>
      </c>
      <c r="AG78" s="1845">
        <f t="shared" si="27"/>
        <v>2022</v>
      </c>
      <c r="AH78" s="2037">
        <f t="shared" si="27"/>
        <v>2023</v>
      </c>
      <c r="AI78" s="1846" t="s">
        <v>1394</v>
      </c>
      <c r="AJ78" s="1845">
        <f t="shared" ref="AJ78:AO78" si="28">+AJ3</f>
        <v>2025</v>
      </c>
      <c r="AK78" s="1845">
        <f t="shared" si="28"/>
        <v>2026</v>
      </c>
      <c r="AL78" s="1845">
        <f t="shared" si="28"/>
        <v>2027</v>
      </c>
      <c r="AM78" s="1845">
        <f t="shared" si="28"/>
        <v>2028</v>
      </c>
      <c r="AN78" s="1845">
        <f t="shared" si="28"/>
        <v>2029</v>
      </c>
      <c r="AO78" s="1845">
        <f t="shared" si="28"/>
        <v>2030</v>
      </c>
    </row>
    <row r="79" spans="4:44">
      <c r="D79" s="1752" t="str">
        <f>+D63</f>
        <v xml:space="preserve">Growth in real GDP </v>
      </c>
      <c r="E79" s="1861" t="s">
        <v>1052</v>
      </c>
      <c r="F79" s="1035"/>
      <c r="G79" s="1035"/>
      <c r="H79" s="1035"/>
      <c r="I79" s="1035"/>
      <c r="J79" s="1036"/>
      <c r="K79" s="1036">
        <f t="shared" ref="K79:U79" si="29">+K63</f>
        <v>8.3777239709443174E-2</v>
      </c>
      <c r="L79" s="1036">
        <f t="shared" si="29"/>
        <v>8.489722966934754E-2</v>
      </c>
      <c r="M79" s="1036">
        <f t="shared" si="29"/>
        <v>0.13179571663920919</v>
      </c>
      <c r="N79" s="1036">
        <f t="shared" si="29"/>
        <v>2.2197962154294038E-2</v>
      </c>
      <c r="O79" s="1036">
        <f t="shared" si="29"/>
        <v>7.4403702385190451E-2</v>
      </c>
      <c r="P79" s="1036">
        <f t="shared" si="29"/>
        <v>9.3770709078860204E-2</v>
      </c>
      <c r="Q79" s="1036">
        <f t="shared" si="29"/>
        <v>0.77794607694637996</v>
      </c>
      <c r="R79" s="1036">
        <f t="shared" si="29"/>
        <v>7.6162889759754604E-2</v>
      </c>
      <c r="S79" s="1036">
        <f t="shared" si="29"/>
        <v>0.11162127929069032</v>
      </c>
      <c r="T79" s="1036">
        <f t="shared" si="29"/>
        <v>6.2526705597493182E-2</v>
      </c>
      <c r="U79" s="1036">
        <f t="shared" si="29"/>
        <v>7.319034852546924E-2</v>
      </c>
      <c r="V79" s="1036">
        <f>+V63</f>
        <v>7.9690232325755783E-2</v>
      </c>
      <c r="W79" s="1036">
        <f>+W63</f>
        <v>8.6302637667746485E-2</v>
      </c>
      <c r="X79" s="1036">
        <f t="shared" ref="X79:AN79" si="30">+X63</f>
        <v>0.54430244941427053</v>
      </c>
      <c r="Y79" s="1036">
        <f t="shared" si="30"/>
        <v>-0.28335976829184195</v>
      </c>
      <c r="Z79" s="1036">
        <f t="shared" si="30"/>
        <v>8.8722093918398803E-2</v>
      </c>
      <c r="AA79" s="1036">
        <f t="shared" si="30"/>
        <v>5.65670850273996E-2</v>
      </c>
      <c r="AB79" s="1036">
        <f t="shared" si="30"/>
        <v>4.70972059561654E-2</v>
      </c>
      <c r="AC79" s="1036">
        <f t="shared" si="30"/>
        <v>8.0690261244707129E-2</v>
      </c>
      <c r="AD79" s="1036">
        <f t="shared" si="30"/>
        <v>9.2777408146669682E-2</v>
      </c>
      <c r="AE79" s="1036">
        <f t="shared" si="30"/>
        <v>-0.27269652279799761</v>
      </c>
      <c r="AF79" s="1036">
        <f t="shared" si="30"/>
        <v>0.44926053390382292</v>
      </c>
      <c r="AG79" s="1036">
        <f t="shared" si="30"/>
        <v>9.8196521404274373E-2</v>
      </c>
      <c r="AH79" s="2043">
        <f t="shared" si="30"/>
        <v>8.5617439074279655E-2</v>
      </c>
      <c r="AI79" s="1753">
        <f>+AVERAGE(V79:AH79)</f>
        <v>8.8705198230280835E-2</v>
      </c>
      <c r="AJ79" s="1036">
        <f t="shared" si="30"/>
        <v>7.778246877657935E-2</v>
      </c>
      <c r="AK79" s="1036">
        <f t="shared" si="30"/>
        <v>8.3624635479302434E-2</v>
      </c>
      <c r="AL79" s="1036">
        <f t="shared" si="30"/>
        <v>8.9448074270741307E-2</v>
      </c>
      <c r="AM79" s="1036">
        <f t="shared" si="30"/>
        <v>8.4872958933530862E-2</v>
      </c>
      <c r="AN79" s="1036">
        <f t="shared" si="30"/>
        <v>7.9348150624235281E-2</v>
      </c>
      <c r="AO79" s="1036">
        <f>+AO63</f>
        <v>0</v>
      </c>
    </row>
    <row r="80" spans="4:44">
      <c r="D80" s="1752"/>
      <c r="E80" s="1861">
        <f>+E64</f>
        <v>0.10025170516157929</v>
      </c>
      <c r="F80" s="1035"/>
      <c r="G80" s="1035"/>
      <c r="H80" s="1035"/>
      <c r="I80" s="1035"/>
      <c r="J80" s="1037"/>
      <c r="K80" s="1037">
        <f t="shared" ref="K80:X80" si="31">$E80*K64</f>
        <v>7.9294426299237539E-3</v>
      </c>
      <c r="L80" s="1037">
        <f t="shared" si="31"/>
        <v>7.2205373564731678E-3</v>
      </c>
      <c r="M80" s="1037">
        <f t="shared" si="31"/>
        <v>8.9769565326149534E-3</v>
      </c>
      <c r="N80" s="1037">
        <f t="shared" si="31"/>
        <v>1.133012232419956E-3</v>
      </c>
      <c r="O80" s="1037">
        <f t="shared" si="31"/>
        <v>4.343814692816186E-3</v>
      </c>
      <c r="P80" s="1037">
        <f t="shared" si="31"/>
        <v>6.066155982717019E-3</v>
      </c>
      <c r="Q80" s="1037">
        <f t="shared" si="31"/>
        <v>2.6974787682795823E-2</v>
      </c>
      <c r="R80" s="1037">
        <f t="shared" si="31"/>
        <v>6.4669488668876755E-3</v>
      </c>
      <c r="S80" s="1037">
        <f t="shared" si="31"/>
        <v>8.8167324646955657E-3</v>
      </c>
      <c r="T80" s="1037">
        <f t="shared" si="31"/>
        <v>1.0297721718930068E-2</v>
      </c>
      <c r="U80" s="1037">
        <f t="shared" si="31"/>
        <v>8.1985760084033743E-3</v>
      </c>
      <c r="V80" s="1037">
        <f t="shared" si="31"/>
        <v>8.323490402772981E-3</v>
      </c>
      <c r="W80" s="1037">
        <f t="shared" si="31"/>
        <v>5.2857608637824106E-3</v>
      </c>
      <c r="X80" s="1037">
        <f t="shared" si="31"/>
        <v>3.8460242620544045E-2</v>
      </c>
      <c r="Y80" s="1037">
        <f>$E80*Y64</f>
        <v>-3.2743628805542699E-2</v>
      </c>
      <c r="Z80" s="1037">
        <f t="shared" ref="Z80:AG80" si="32">$E80*Z64</f>
        <v>1.4006769520605587E-2</v>
      </c>
      <c r="AA80" s="1037">
        <f t="shared" si="32"/>
        <v>4.5564516500745467E-3</v>
      </c>
      <c r="AB80" s="1037">
        <f t="shared" si="32"/>
        <v>1.9834399336126742E-4</v>
      </c>
      <c r="AC80" s="1037">
        <f t="shared" si="32"/>
        <v>6.3168516267789014E-3</v>
      </c>
      <c r="AD80" s="1037">
        <f t="shared" si="32"/>
        <v>7.3199884167075412E-3</v>
      </c>
      <c r="AE80" s="1037">
        <f t="shared" si="32"/>
        <v>-3.543413288533357E-2</v>
      </c>
      <c r="AF80" s="1037">
        <f t="shared" si="32"/>
        <v>7.0906464349764428E-2</v>
      </c>
      <c r="AG80" s="1037">
        <f t="shared" si="32"/>
        <v>6.2066772480265731E-3</v>
      </c>
      <c r="AH80" s="2044">
        <f>$E80*AH64</f>
        <v>-9.7862853532527981E-4</v>
      </c>
      <c r="AI80" s="1754">
        <f t="shared" ref="AI80:AI87" si="33">+AVERAGE(V80:AH80)</f>
        <v>7.1095884974012868E-3</v>
      </c>
      <c r="AJ80" s="1037">
        <f t="shared" ref="AJ80:AO80" si="34">$E80*AJ64</f>
        <v>2.420753172390943E-2</v>
      </c>
      <c r="AK80" s="1037">
        <f t="shared" si="34"/>
        <v>1.0352477020373584E-2</v>
      </c>
      <c r="AL80" s="1037">
        <f t="shared" si="34"/>
        <v>8.2465082445241974E-3</v>
      </c>
      <c r="AM80" s="1037">
        <f t="shared" si="34"/>
        <v>5.693122256553133E-3</v>
      </c>
      <c r="AN80" s="1037">
        <f t="shared" si="34"/>
        <v>4.9171594294317635E-3</v>
      </c>
      <c r="AO80" s="1037">
        <f t="shared" si="34"/>
        <v>0</v>
      </c>
    </row>
    <row r="81" spans="1:41">
      <c r="D81" s="1724" t="s">
        <v>1358</v>
      </c>
      <c r="E81" s="1861">
        <f>+E66</f>
        <v>0.25</v>
      </c>
      <c r="F81" s="1035"/>
      <c r="G81" s="1035"/>
      <c r="H81" s="1035"/>
      <c r="I81" s="1035"/>
      <c r="J81" s="1037"/>
      <c r="K81" s="1037">
        <f t="shared" ref="K81:AO84" si="35">$E81*$E$65*K66</f>
        <v>-1.8682339472914922E-2</v>
      </c>
      <c r="L81" s="1037">
        <f t="shared" si="35"/>
        <v>-1.7587373695320589E-2</v>
      </c>
      <c r="M81" s="1037">
        <f t="shared" si="35"/>
        <v>-1.8258374987695381E-2</v>
      </c>
      <c r="N81" s="1037">
        <f t="shared" si="35"/>
        <v>-1.8402169008900682E-2</v>
      </c>
      <c r="O81" s="1037">
        <f t="shared" si="35"/>
        <v>-2.0686201605168267E-2</v>
      </c>
      <c r="P81" s="1037">
        <f t="shared" si="35"/>
        <v>-2.4812058723027431E-2</v>
      </c>
      <c r="Q81" s="1037">
        <f t="shared" si="35"/>
        <v>7.6052064873966874E-2</v>
      </c>
      <c r="R81" s="1037">
        <f t="shared" si="35"/>
        <v>7.3939982439047855E-2</v>
      </c>
      <c r="S81" s="1037">
        <f t="shared" si="35"/>
        <v>7.509725971327437E-2</v>
      </c>
      <c r="T81" s="1037">
        <f t="shared" si="35"/>
        <v>5.2225586648619635E-2</v>
      </c>
      <c r="U81" s="1037">
        <f t="shared" si="35"/>
        <v>4.7953143135707837E-2</v>
      </c>
      <c r="V81" s="1037">
        <f t="shared" si="35"/>
        <v>4.1884483080509884E-2</v>
      </c>
      <c r="W81" s="1037">
        <f t="shared" si="35"/>
        <v>4.2898922607819544E-2</v>
      </c>
      <c r="X81" s="1037">
        <f t="shared" si="35"/>
        <v>3.5085900615144106E-2</v>
      </c>
      <c r="Y81" s="1037">
        <f t="shared" si="35"/>
        <v>2.7697114147627332E-2</v>
      </c>
      <c r="Z81" s="1037">
        <f t="shared" si="35"/>
        <v>3.2952654483548782E-2</v>
      </c>
      <c r="AA81" s="1037">
        <f t="shared" si="35"/>
        <v>3.4429473101466511E-2</v>
      </c>
      <c r="AB81" s="1037">
        <f t="shared" si="35"/>
        <v>2.7099014865594344E-2</v>
      </c>
      <c r="AC81" s="1037">
        <f t="shared" si="35"/>
        <v>1.7226339133824483E-2</v>
      </c>
      <c r="AD81" s="1037">
        <f t="shared" si="35"/>
        <v>2.6031722530596674E-2</v>
      </c>
      <c r="AE81" s="1037">
        <f t="shared" si="35"/>
        <v>1.1827000460682783E-2</v>
      </c>
      <c r="AF81" s="1037">
        <f t="shared" si="35"/>
        <v>2.7048076413003278E-2</v>
      </c>
      <c r="AG81" s="1037">
        <f t="shared" si="35"/>
        <v>3.1526390597408915E-2</v>
      </c>
      <c r="AH81" s="2044">
        <f t="shared" si="35"/>
        <v>3.7712262443419145E-2</v>
      </c>
      <c r="AI81" s="1754">
        <f t="shared" si="33"/>
        <v>3.0263027267741979E-2</v>
      </c>
      <c r="AJ81" s="1037">
        <f t="shared" si="35"/>
        <v>2.9642980008318588E-2</v>
      </c>
      <c r="AK81" s="1037">
        <f t="shared" si="35"/>
        <v>3.134582994009414E-2</v>
      </c>
      <c r="AL81" s="1037">
        <f t="shared" si="35"/>
        <v>2.9595538673363824E-2</v>
      </c>
      <c r="AM81" s="1037">
        <f t="shared" si="35"/>
        <v>2.4973710488271402E-2</v>
      </c>
      <c r="AN81" s="1037">
        <f t="shared" si="35"/>
        <v>2.3306574683285435E-2</v>
      </c>
      <c r="AO81" s="1037">
        <f t="shared" si="35"/>
        <v>0</v>
      </c>
    </row>
    <row r="82" spans="1:41">
      <c r="D82" s="1724" t="s">
        <v>818</v>
      </c>
      <c r="E82" s="1861">
        <f>+E67</f>
        <v>0.15</v>
      </c>
      <c r="F82" s="1035"/>
      <c r="G82" s="1035"/>
      <c r="H82" s="1035"/>
      <c r="I82" s="1035"/>
      <c r="J82" s="1037"/>
      <c r="K82" s="1037">
        <f t="shared" si="35"/>
        <v>1.3496224422576309E-3</v>
      </c>
      <c r="L82" s="1037">
        <f t="shared" si="35"/>
        <v>1.3496224422576309E-3</v>
      </c>
      <c r="M82" s="1037">
        <f t="shared" si="35"/>
        <v>1.3496224422576309E-3</v>
      </c>
      <c r="N82" s="1037">
        <f t="shared" si="35"/>
        <v>1.3496224422576309E-3</v>
      </c>
      <c r="O82" s="1037">
        <f t="shared" si="35"/>
        <v>1.3496224422576309E-3</v>
      </c>
      <c r="P82" s="1037">
        <f t="shared" si="35"/>
        <v>1.3496224422576309E-3</v>
      </c>
      <c r="Q82" s="1037">
        <f t="shared" si="35"/>
        <v>1.3496224422576309E-3</v>
      </c>
      <c r="R82" s="1037">
        <f t="shared" si="35"/>
        <v>1.3496224422576309E-3</v>
      </c>
      <c r="S82" s="1037">
        <f t="shared" si="35"/>
        <v>1.3496224422576309E-3</v>
      </c>
      <c r="T82" s="1037">
        <f t="shared" si="35"/>
        <v>1.3496224422576309E-3</v>
      </c>
      <c r="U82" s="1037">
        <f t="shared" si="35"/>
        <v>1.3496224422576309E-3</v>
      </c>
      <c r="V82" s="1037">
        <f t="shared" si="35"/>
        <v>1.3496224422576309E-3</v>
      </c>
      <c r="W82" s="1037">
        <f t="shared" si="35"/>
        <v>1.3496224422576309E-3</v>
      </c>
      <c r="X82" s="1037">
        <f t="shared" si="35"/>
        <v>1.3496224422576309E-3</v>
      </c>
      <c r="Y82" s="1037">
        <f t="shared" si="35"/>
        <v>1.3496224422576309E-3</v>
      </c>
      <c r="Z82" s="1037">
        <f t="shared" si="35"/>
        <v>1.3496224422576309E-3</v>
      </c>
      <c r="AA82" s="1037">
        <f t="shared" si="35"/>
        <v>1.3496224422576309E-3</v>
      </c>
      <c r="AB82" s="1037">
        <f t="shared" si="35"/>
        <v>1.3496224422576309E-3</v>
      </c>
      <c r="AC82" s="1037">
        <f t="shared" si="35"/>
        <v>1.3496224422576309E-3</v>
      </c>
      <c r="AD82" s="1037">
        <f t="shared" si="35"/>
        <v>1.3496224422576309E-3</v>
      </c>
      <c r="AE82" s="1037">
        <f t="shared" si="35"/>
        <v>1.3496224422576309E-3</v>
      </c>
      <c r="AF82" s="1037">
        <f t="shared" si="35"/>
        <v>1.3496224422576309E-3</v>
      </c>
      <c r="AG82" s="1037">
        <f t="shared" si="35"/>
        <v>1.3496224422576309E-3</v>
      </c>
      <c r="AH82" s="2044">
        <f t="shared" si="35"/>
        <v>1.3496224422576309E-3</v>
      </c>
      <c r="AI82" s="1754">
        <f t="shared" si="33"/>
        <v>1.3496224422576313E-3</v>
      </c>
      <c r="AJ82" s="1037">
        <f t="shared" si="35"/>
        <v>1.619546930709157E-3</v>
      </c>
      <c r="AK82" s="1037">
        <f t="shared" si="35"/>
        <v>1.7545091749349203E-3</v>
      </c>
      <c r="AL82" s="1037">
        <f t="shared" si="35"/>
        <v>1.8894714191606834E-3</v>
      </c>
      <c r="AM82" s="1037">
        <f t="shared" si="35"/>
        <v>2.0244336633864469E-3</v>
      </c>
      <c r="AN82" s="1037">
        <f t="shared" si="35"/>
        <v>2.1593959076122099E-3</v>
      </c>
      <c r="AO82" s="1037">
        <f t="shared" si="35"/>
        <v>2.6992448845152618E-3</v>
      </c>
    </row>
    <row r="83" spans="1:41">
      <c r="D83" s="1724" t="s">
        <v>819</v>
      </c>
      <c r="E83" s="1861">
        <f>+E68</f>
        <v>0.6</v>
      </c>
      <c r="F83" s="1035"/>
      <c r="G83" s="1035"/>
      <c r="H83" s="1035"/>
      <c r="I83" s="1035"/>
      <c r="J83" s="1037"/>
      <c r="K83" s="1037">
        <f t="shared" si="35"/>
        <v>2.304498161074113E-2</v>
      </c>
      <c r="L83" s="1037">
        <f t="shared" si="35"/>
        <v>1.4460712855685004E-2</v>
      </c>
      <c r="M83" s="1037">
        <f t="shared" si="35"/>
        <v>3.0283821605709502E-2</v>
      </c>
      <c r="N83" s="1037">
        <f t="shared" si="35"/>
        <v>1.4554093229351601E-2</v>
      </c>
      <c r="O83" s="1037">
        <f t="shared" si="35"/>
        <v>4.1703184141295329E-3</v>
      </c>
      <c r="P83" s="1037">
        <f t="shared" si="35"/>
        <v>1.6253188298001382E-2</v>
      </c>
      <c r="Q83" s="1037">
        <f t="shared" si="35"/>
        <v>1.4890942495420936E-2</v>
      </c>
      <c r="R83" s="1037">
        <f t="shared" si="35"/>
        <v>1.5020541302172398E-2</v>
      </c>
      <c r="S83" s="1037">
        <f t="shared" si="35"/>
        <v>2.734951842546425E-2</v>
      </c>
      <c r="T83" s="1037">
        <f t="shared" si="35"/>
        <v>7.4064795328231958E-3</v>
      </c>
      <c r="U83" s="1037">
        <f t="shared" si="35"/>
        <v>1.5622788988659089E-2</v>
      </c>
      <c r="V83" s="1037">
        <f t="shared" si="35"/>
        <v>3.1606012177893034E-3</v>
      </c>
      <c r="W83" s="1037">
        <f t="shared" si="35"/>
        <v>1.9269033485424289E-2</v>
      </c>
      <c r="X83" s="1037">
        <f t="shared" si="35"/>
        <v>1.5650454921916253E-2</v>
      </c>
      <c r="Y83" s="1037">
        <f t="shared" si="35"/>
        <v>2.6742493357633075E-2</v>
      </c>
      <c r="Z83" s="1037">
        <f t="shared" si="35"/>
        <v>1.6195469307091585E-2</v>
      </c>
      <c r="AA83" s="1037">
        <f t="shared" si="35"/>
        <v>1.6195469307091585E-2</v>
      </c>
      <c r="AB83" s="1037">
        <f t="shared" si="35"/>
        <v>1.6195469307091568E-2</v>
      </c>
      <c r="AC83" s="1037">
        <f t="shared" si="35"/>
        <v>1.6195469307091568E-2</v>
      </c>
      <c r="AD83" s="1037">
        <f t="shared" si="35"/>
        <v>1.6195469307091568E-2</v>
      </c>
      <c r="AE83" s="1037">
        <f t="shared" si="35"/>
        <v>1.6195469307091568E-2</v>
      </c>
      <c r="AF83" s="1037">
        <f t="shared" si="35"/>
        <v>1.6195469307091568E-2</v>
      </c>
      <c r="AG83" s="1037">
        <f t="shared" si="35"/>
        <v>1.6195469307091568E-2</v>
      </c>
      <c r="AH83" s="2044">
        <f t="shared" si="35"/>
        <v>1.6195469307091568E-2</v>
      </c>
      <c r="AI83" s="1754">
        <f t="shared" si="33"/>
        <v>1.6198600518968233E-2</v>
      </c>
      <c r="AJ83" s="1037"/>
      <c r="AK83" s="1037"/>
      <c r="AL83" s="1037"/>
      <c r="AM83" s="1037"/>
      <c r="AN83" s="1037"/>
      <c r="AO83" s="1037"/>
    </row>
    <row r="84" spans="1:41">
      <c r="D84" s="1724" t="s">
        <v>820</v>
      </c>
      <c r="E84" s="1861">
        <f>+E69</f>
        <v>0.6</v>
      </c>
      <c r="F84" s="1035"/>
      <c r="G84" s="1035"/>
      <c r="H84" s="1035"/>
      <c r="I84" s="1035"/>
      <c r="J84" s="1037"/>
      <c r="K84" s="1037">
        <f t="shared" si="35"/>
        <v>1.0616745116520346E-2</v>
      </c>
      <c r="L84" s="1037">
        <f t="shared" si="35"/>
        <v>1.239888012507208E-2</v>
      </c>
      <c r="M84" s="1037">
        <f t="shared" si="35"/>
        <v>1.2074129541464971E-2</v>
      </c>
      <c r="N84" s="1037">
        <f t="shared" si="35"/>
        <v>1.1681292520870272E-2</v>
      </c>
      <c r="O84" s="1037">
        <f t="shared" si="35"/>
        <v>1.1203248984994196E-2</v>
      </c>
      <c r="P84" s="1037">
        <f t="shared" si="35"/>
        <v>1.0613773597573008E-2</v>
      </c>
      <c r="Q84" s="1037">
        <f t="shared" si="35"/>
        <v>1.1751141765622385E-2</v>
      </c>
      <c r="R84" s="1037">
        <f t="shared" si="35"/>
        <v>1.1775853093981511E-2</v>
      </c>
      <c r="S84" s="1037">
        <f t="shared" si="35"/>
        <v>1.1795373826334441E-2</v>
      </c>
      <c r="T84" s="1037">
        <f t="shared" si="35"/>
        <v>1.1809334753684552E-2</v>
      </c>
      <c r="U84" s="1037">
        <f t="shared" si="35"/>
        <v>1.1817043730024073E-2</v>
      </c>
      <c r="V84" s="1037">
        <f t="shared" si="35"/>
        <v>1.2429820563424541E-2</v>
      </c>
      <c r="W84" s="1037">
        <f t="shared" si="35"/>
        <v>1.2554110304959634E-2</v>
      </c>
      <c r="X84" s="1037">
        <f t="shared" si="35"/>
        <v>1.2527044376012769E-2</v>
      </c>
      <c r="Y84" s="1037">
        <f t="shared" si="35"/>
        <v>1.0709048983228218E-2</v>
      </c>
      <c r="Z84" s="1037">
        <f t="shared" si="35"/>
        <v>1.1425069717440903E-2</v>
      </c>
      <c r="AA84" s="1037">
        <f t="shared" si="35"/>
        <v>1.1817742397156657E-2</v>
      </c>
      <c r="AB84" s="1037">
        <f t="shared" si="35"/>
        <v>1.2040090380517406E-2</v>
      </c>
      <c r="AC84" s="1037">
        <f t="shared" si="35"/>
        <v>1.2179845268624652E-2</v>
      </c>
      <c r="AD84" s="1037">
        <f t="shared" si="35"/>
        <v>1.2695846661289888E-2</v>
      </c>
      <c r="AE84" s="1037">
        <f t="shared" si="35"/>
        <v>1.3151496580445883E-2</v>
      </c>
      <c r="AF84" s="1037">
        <f t="shared" si="35"/>
        <v>1.4081922398548781E-2</v>
      </c>
      <c r="AG84" s="1037">
        <f t="shared" si="35"/>
        <v>1.4565188155928626E-2</v>
      </c>
      <c r="AH84" s="2044">
        <f t="shared" si="35"/>
        <v>1.4480263008192076E-2</v>
      </c>
      <c r="AI84" s="1754">
        <f t="shared" si="33"/>
        <v>1.2665960676597697E-2</v>
      </c>
      <c r="AJ84" s="1037"/>
      <c r="AK84" s="1037"/>
      <c r="AL84" s="1037"/>
      <c r="AM84" s="1037"/>
      <c r="AN84" s="1037"/>
      <c r="AO84" s="1748"/>
    </row>
    <row r="85" spans="1:41">
      <c r="D85" s="1724" t="s">
        <v>1385</v>
      </c>
      <c r="E85" s="1862">
        <v>1</v>
      </c>
      <c r="F85" s="1035"/>
      <c r="G85" s="1035"/>
      <c r="H85" s="1035"/>
      <c r="I85" s="1035"/>
      <c r="J85" s="1037"/>
      <c r="K85" s="1037">
        <f t="shared" ref="K85:AH86" si="36">$E85*K74</f>
        <v>5.9518787382915217E-2</v>
      </c>
      <c r="L85" s="1037">
        <f t="shared" si="36"/>
        <v>6.7054850585180237E-2</v>
      </c>
      <c r="M85" s="1037">
        <f t="shared" si="36"/>
        <v>9.736956150485751E-2</v>
      </c>
      <c r="N85" s="1037">
        <f t="shared" si="36"/>
        <v>1.1882110738295253E-2</v>
      </c>
      <c r="O85" s="1037">
        <f t="shared" si="36"/>
        <v>7.4022899456161168E-2</v>
      </c>
      <c r="P85" s="1037">
        <f t="shared" si="36"/>
        <v>8.4300027481338594E-2</v>
      </c>
      <c r="Q85" s="1037">
        <f t="shared" si="36"/>
        <v>0.64692751768631629</v>
      </c>
      <c r="R85" s="1037">
        <f t="shared" si="36"/>
        <v>-3.2390058384592468E-2</v>
      </c>
      <c r="S85" s="1037">
        <f t="shared" si="36"/>
        <v>-1.278722758133595E-2</v>
      </c>
      <c r="T85" s="1037">
        <f t="shared" si="36"/>
        <v>-2.0562039498821905E-2</v>
      </c>
      <c r="U85" s="1037">
        <f t="shared" si="36"/>
        <v>-1.1750825779582766E-2</v>
      </c>
      <c r="V85" s="1037">
        <f t="shared" si="36"/>
        <v>1.2542214619001436E-2</v>
      </c>
      <c r="W85" s="1037">
        <f t="shared" si="36"/>
        <v>4.9451879635029755E-3</v>
      </c>
      <c r="X85" s="1037">
        <f t="shared" si="36"/>
        <v>0.44122918443839571</v>
      </c>
      <c r="Y85" s="1037">
        <f t="shared" si="36"/>
        <v>-0.31711441841704552</v>
      </c>
      <c r="Z85" s="1037">
        <f t="shared" si="36"/>
        <v>1.2792508447454304E-2</v>
      </c>
      <c r="AA85" s="1037">
        <f t="shared" si="36"/>
        <v>-1.1781673870647331E-2</v>
      </c>
      <c r="AB85" s="1037">
        <f t="shared" si="36"/>
        <v>-9.7853350326568278E-3</v>
      </c>
      <c r="AC85" s="1037">
        <f t="shared" si="36"/>
        <v>2.7422133466129879E-2</v>
      </c>
      <c r="AD85" s="1037">
        <f t="shared" si="36"/>
        <v>2.9184758788726367E-2</v>
      </c>
      <c r="AE85" s="1037">
        <f t="shared" si="36"/>
        <v>-0.27978597870314192</v>
      </c>
      <c r="AF85" s="1037">
        <f t="shared" si="36"/>
        <v>0.31967897899315723</v>
      </c>
      <c r="AG85" s="1037">
        <f t="shared" si="36"/>
        <v>2.8353173653561048E-2</v>
      </c>
      <c r="AH85" s="2044">
        <f t="shared" si="36"/>
        <v>1.6858450408644504E-2</v>
      </c>
      <c r="AI85" s="1754">
        <f t="shared" si="33"/>
        <v>2.1118398827313992E-2</v>
      </c>
      <c r="AJ85" s="1037"/>
      <c r="AK85" s="1037"/>
      <c r="AL85" s="1037"/>
      <c r="AM85" s="1037"/>
      <c r="AN85" s="1037"/>
      <c r="AO85" s="1748"/>
    </row>
    <row r="86" spans="1:41">
      <c r="D86" s="1724" t="s">
        <v>1053</v>
      </c>
      <c r="E86" s="1861">
        <f>+E75</f>
        <v>0.12</v>
      </c>
      <c r="F86" s="1035"/>
      <c r="G86" s="1035"/>
      <c r="H86" s="1035"/>
      <c r="I86" s="1035"/>
      <c r="J86" s="1037"/>
      <c r="K86" s="1037">
        <f t="shared" si="36"/>
        <v>4.8667017969837419E-2</v>
      </c>
      <c r="L86" s="1037">
        <f t="shared" si="36"/>
        <v>2.6895223840148245E-2</v>
      </c>
      <c r="M86" s="1037">
        <f t="shared" si="36"/>
        <v>2.1270735192218504E-2</v>
      </c>
      <c r="N86" s="1037">
        <f t="shared" si="36"/>
        <v>1.6237034847344265E-2</v>
      </c>
      <c r="O86" s="1037">
        <f t="shared" si="36"/>
        <v>1.633656000667635E-2</v>
      </c>
      <c r="P86" s="1037">
        <f t="shared" si="36"/>
        <v>1.7909403765674688E-2</v>
      </c>
      <c r="Q86" s="1037">
        <f t="shared" si="36"/>
        <v>4.2066181459028941E-2</v>
      </c>
      <c r="R86" s="1037">
        <f t="shared" si="36"/>
        <v>3.6893479559281427E-2</v>
      </c>
      <c r="S86" s="1037">
        <f t="shared" si="36"/>
        <v>3.5350808020486339E-2</v>
      </c>
      <c r="T86" s="1037">
        <f t="shared" si="36"/>
        <v>3.1212604291622339E-2</v>
      </c>
      <c r="U86" s="1037">
        <f t="shared" si="36"/>
        <v>2.2296740301715579E-2</v>
      </c>
      <c r="V86" s="1037">
        <f t="shared" si="36"/>
        <v>2.0721037994772276E-2</v>
      </c>
      <c r="W86" s="1037">
        <f t="shared" si="36"/>
        <v>2.2307654543564908E-2</v>
      </c>
      <c r="X86" s="1037">
        <f t="shared" si="36"/>
        <v>2.3016961804394578E-2</v>
      </c>
      <c r="Y86" s="1037">
        <f t="shared" si="36"/>
        <v>2.3733001064322475E-2</v>
      </c>
      <c r="Z86" s="1037">
        <f t="shared" si="36"/>
        <v>1.9936791037466532E-2</v>
      </c>
      <c r="AA86" s="1037">
        <f t="shared" si="36"/>
        <v>1.4739223945246821E-2</v>
      </c>
      <c r="AB86" s="1037">
        <f t="shared" si="36"/>
        <v>1.2533565755116339E-2</v>
      </c>
      <c r="AC86" s="1037">
        <f t="shared" si="36"/>
        <v>1.9086725030738983E-2</v>
      </c>
      <c r="AD86" s="1037">
        <f t="shared" si="36"/>
        <v>1.9102493794236741E-2</v>
      </c>
      <c r="AE86" s="1037">
        <f t="shared" si="36"/>
        <v>1.9328629342293454E-2</v>
      </c>
      <c r="AF86" s="1037">
        <f t="shared" si="36"/>
        <v>9.6808268443188249E-3</v>
      </c>
      <c r="AG86" s="1037">
        <f t="shared" si="36"/>
        <v>8.0848557917961097E-3</v>
      </c>
      <c r="AH86" s="2044">
        <f t="shared" si="36"/>
        <v>7.7531866964520631E-3</v>
      </c>
      <c r="AI86" s="1754">
        <f t="shared" si="33"/>
        <v>1.6924996434209236E-2</v>
      </c>
      <c r="AJ86" s="1037">
        <f t="shared" ref="AJ86:AO86" si="37">$E86*AJ75</f>
        <v>6.6121217435012175E-3</v>
      </c>
      <c r="AK86" s="1037">
        <f t="shared" si="37"/>
        <v>6.6256421763727941E-3</v>
      </c>
      <c r="AL86" s="1037">
        <f t="shared" si="37"/>
        <v>7.2846069175940987E-3</v>
      </c>
      <c r="AM86" s="1037">
        <f t="shared" si="37"/>
        <v>7.7082728332860473E-3</v>
      </c>
      <c r="AN86" s="1037">
        <f t="shared" si="37"/>
        <v>7.869848679940103E-3</v>
      </c>
      <c r="AO86" s="1037">
        <f t="shared" si="37"/>
        <v>-0.12</v>
      </c>
    </row>
    <row r="87" spans="1:41">
      <c r="D87" s="1724" t="s">
        <v>821</v>
      </c>
      <c r="E87" s="1861"/>
      <c r="F87" s="1035"/>
      <c r="G87" s="1035"/>
      <c r="H87" s="1035"/>
      <c r="I87" s="1035"/>
      <c r="J87" s="1037"/>
      <c r="K87" s="1037">
        <f t="shared" ref="K87:Z87" si="38">K85-K86</f>
        <v>1.0851769413077798E-2</v>
      </c>
      <c r="L87" s="1037">
        <f t="shared" si="38"/>
        <v>4.0159626745031991E-2</v>
      </c>
      <c r="M87" s="1037">
        <f t="shared" si="38"/>
        <v>7.6098826312639006E-2</v>
      </c>
      <c r="N87" s="1037">
        <f t="shared" si="38"/>
        <v>-4.3549241090490125E-3</v>
      </c>
      <c r="O87" s="1037">
        <f t="shared" si="38"/>
        <v>5.7686339449484814E-2</v>
      </c>
      <c r="P87" s="1037">
        <f t="shared" si="38"/>
        <v>6.6390623715663899E-2</v>
      </c>
      <c r="Q87" s="1037">
        <f t="shared" si="38"/>
        <v>0.60486133622728733</v>
      </c>
      <c r="R87" s="1037">
        <f t="shared" si="38"/>
        <v>-6.9283537943873902E-2</v>
      </c>
      <c r="S87" s="1037">
        <f t="shared" si="38"/>
        <v>-4.8138035601822289E-2</v>
      </c>
      <c r="T87" s="1037">
        <f t="shared" si="38"/>
        <v>-5.1774643790444247E-2</v>
      </c>
      <c r="U87" s="1037">
        <f t="shared" si="38"/>
        <v>-3.4047566081298344E-2</v>
      </c>
      <c r="V87" s="1037">
        <f t="shared" si="38"/>
        <v>-8.1788233757708398E-3</v>
      </c>
      <c r="W87" s="1037">
        <f t="shared" si="38"/>
        <v>-1.7362466580061933E-2</v>
      </c>
      <c r="X87" s="1037">
        <f t="shared" si="38"/>
        <v>0.41821222263400115</v>
      </c>
      <c r="Y87" s="1037">
        <f t="shared" si="38"/>
        <v>-0.34084741948136799</v>
      </c>
      <c r="Z87" s="1037">
        <f t="shared" si="38"/>
        <v>-7.1442825900122284E-3</v>
      </c>
      <c r="AA87" s="1037">
        <f>AA85-AA86</f>
        <v>-2.6520897815894152E-2</v>
      </c>
      <c r="AB87" s="1037">
        <f t="shared" ref="AB87:AO87" si="39">AB85-AB86</f>
        <v>-2.2318900787773169E-2</v>
      </c>
      <c r="AC87" s="1037">
        <f t="shared" si="39"/>
        <v>8.335408435390896E-3</v>
      </c>
      <c r="AD87" s="1037">
        <f t="shared" si="39"/>
        <v>1.0082264994489627E-2</v>
      </c>
      <c r="AE87" s="1037">
        <f t="shared" si="39"/>
        <v>-0.29911460804543538</v>
      </c>
      <c r="AF87" s="1037">
        <f t="shared" si="39"/>
        <v>0.30999815214883841</v>
      </c>
      <c r="AG87" s="1037">
        <f t="shared" si="39"/>
        <v>2.0268317861764938E-2</v>
      </c>
      <c r="AH87" s="2044">
        <f t="shared" si="39"/>
        <v>9.105263712192441E-3</v>
      </c>
      <c r="AI87" s="1754">
        <f t="shared" si="33"/>
        <v>4.1934023931047507E-3</v>
      </c>
      <c r="AJ87" s="1037">
        <f t="shared" si="39"/>
        <v>-6.6121217435012175E-3</v>
      </c>
      <c r="AK87" s="1037">
        <f t="shared" si="39"/>
        <v>-6.6256421763727941E-3</v>
      </c>
      <c r="AL87" s="1037">
        <f t="shared" si="39"/>
        <v>-7.2846069175940987E-3</v>
      </c>
      <c r="AM87" s="1037">
        <f t="shared" si="39"/>
        <v>-7.7082728332860473E-3</v>
      </c>
      <c r="AN87" s="1037">
        <f t="shared" si="39"/>
        <v>-7.869848679940103E-3</v>
      </c>
      <c r="AO87" s="1037">
        <f t="shared" si="39"/>
        <v>0.12</v>
      </c>
    </row>
    <row r="88" spans="1:41">
      <c r="A88" s="1723"/>
    </row>
    <row r="89" spans="1:41">
      <c r="A89" s="1723"/>
    </row>
    <row r="90" spans="1:41">
      <c r="A90" s="1723"/>
    </row>
    <row r="93" spans="1:41">
      <c r="AO93" s="1721">
        <f>AO92/AN4-1</f>
        <v>-1</v>
      </c>
    </row>
  </sheetData>
  <mergeCells count="3">
    <mergeCell ref="E26:E31"/>
    <mergeCell ref="E10:E13"/>
    <mergeCell ref="E8:E9"/>
  </mergeCells>
  <hyperlinks>
    <hyperlink ref="E14" r:id="rId1" xr:uid="{B1D3D40A-C9BC-471D-AE08-8E4A0419DC49}"/>
  </hyperlinks>
  <pageMargins left="0.7" right="0.7" top="0.75" bottom="0.75" header="0.3" footer="0.3"/>
  <pageSetup orientation="portrait" horizontalDpi="4294967293" verticalDpi="0" r:id="rId2"/>
  <drawing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C42"/>
  <sheetViews>
    <sheetView topLeftCell="O1" workbookViewId="0">
      <selection activeCell="AG20" sqref="AG20"/>
    </sheetView>
  </sheetViews>
  <sheetFormatPr defaultRowHeight="14.75"/>
  <cols>
    <col min="1" max="1" width="24.7265625" customWidth="1"/>
    <col min="2" max="11" width="8.7265625" customWidth="1"/>
  </cols>
  <sheetData>
    <row r="1" spans="1:29" ht="15.5" thickBot="1">
      <c r="D1" s="3889" t="s">
        <v>822</v>
      </c>
      <c r="E1" s="3890"/>
      <c r="F1" s="3890"/>
      <c r="G1" s="3890"/>
      <c r="H1" s="3890"/>
      <c r="I1" s="3890"/>
      <c r="J1" s="3890"/>
      <c r="K1" s="3890"/>
      <c r="L1" s="3890"/>
      <c r="M1" s="3890"/>
      <c r="N1" s="3890"/>
      <c r="O1" s="3891"/>
      <c r="P1" s="3889" t="s">
        <v>823</v>
      </c>
      <c r="Q1" s="3890"/>
      <c r="R1" s="3890"/>
      <c r="S1" s="3890"/>
      <c r="T1" s="3890"/>
      <c r="U1" s="3890"/>
      <c r="V1" s="3890"/>
      <c r="W1" s="3890"/>
      <c r="X1" s="3890"/>
      <c r="Y1" s="3890"/>
      <c r="Z1" s="3890"/>
      <c r="AA1" s="3890"/>
      <c r="AB1" s="3890"/>
      <c r="AC1" s="3890"/>
    </row>
    <row r="2" spans="1:29" ht="15.5" thickBot="1">
      <c r="A2" s="21"/>
      <c r="B2" s="112">
        <v>2016</v>
      </c>
      <c r="C2" s="112">
        <v>2017</v>
      </c>
      <c r="D2" s="112">
        <v>2018</v>
      </c>
      <c r="E2" s="112">
        <v>2019</v>
      </c>
      <c r="F2" s="112">
        <v>2020</v>
      </c>
      <c r="G2" s="112">
        <v>2021</v>
      </c>
      <c r="H2" s="112">
        <v>2022</v>
      </c>
      <c r="I2" s="112">
        <v>2023</v>
      </c>
      <c r="J2" s="112">
        <v>2024</v>
      </c>
      <c r="K2" s="112">
        <v>2025</v>
      </c>
      <c r="L2" s="112">
        <v>2026</v>
      </c>
      <c r="M2" s="112">
        <v>2027</v>
      </c>
      <c r="N2" s="112">
        <v>2028</v>
      </c>
      <c r="O2" s="112">
        <v>2029</v>
      </c>
      <c r="P2" s="1038"/>
      <c r="Q2" s="112">
        <v>2017</v>
      </c>
      <c r="R2" s="112">
        <v>2018</v>
      </c>
      <c r="S2" s="112">
        <v>2019</v>
      </c>
      <c r="T2" s="112">
        <v>2020</v>
      </c>
      <c r="U2" s="112">
        <v>2021</v>
      </c>
      <c r="V2" s="112">
        <v>2022</v>
      </c>
      <c r="W2" s="112">
        <v>2023</v>
      </c>
      <c r="X2" s="112">
        <v>2024</v>
      </c>
      <c r="Y2" s="3622">
        <v>2025</v>
      </c>
      <c r="Z2" s="3622">
        <v>2026</v>
      </c>
      <c r="AA2" s="3622">
        <v>2027</v>
      </c>
      <c r="AB2" s="3622">
        <v>2028</v>
      </c>
      <c r="AC2" s="3622">
        <v>2029</v>
      </c>
    </row>
    <row r="3" spans="1:29" ht="15.5" thickBot="1">
      <c r="A3" s="100" t="s">
        <v>59</v>
      </c>
      <c r="B3" s="1039">
        <f>GDP!AA591/GDP!AA$591</f>
        <v>1</v>
      </c>
      <c r="C3" s="1039">
        <f>GDP!AB591/GDP!AB$591</f>
        <v>1</v>
      </c>
      <c r="D3" s="1039">
        <f>GDP!AC591/GDP!AC$591</f>
        <v>1</v>
      </c>
      <c r="E3" s="1039">
        <f>GDP!AD591/GDP!AD$591</f>
        <v>1</v>
      </c>
      <c r="F3" s="1039">
        <f>GDP!AE591/GDP!AE$591</f>
        <v>1</v>
      </c>
      <c r="G3" s="1039">
        <f>GDP!AF591/GDP!AF$591</f>
        <v>1</v>
      </c>
      <c r="H3" s="1039">
        <f>GDP!AG591/GDP!AG$591</f>
        <v>1</v>
      </c>
      <c r="I3" s="1039">
        <f>GDP!AH591/GDP!AH$591</f>
        <v>1</v>
      </c>
      <c r="J3" s="1039">
        <f>GDP!AI591/GDP!AI$591</f>
        <v>1</v>
      </c>
      <c r="K3" s="1039">
        <f>GDP!AJ591/GDP!AJ$591</f>
        <v>1</v>
      </c>
      <c r="L3" s="1039">
        <f>GDP!AK591/GDP!AK$591</f>
        <v>1</v>
      </c>
      <c r="M3" s="1039">
        <f>GDP!AL591/GDP!AL$591</f>
        <v>1</v>
      </c>
      <c r="N3" s="1039">
        <f>GDP!AM591/GDP!AM$591</f>
        <v>1</v>
      </c>
      <c r="O3" s="1039">
        <f>GDP!AN591/GDP!AN$591</f>
        <v>1</v>
      </c>
      <c r="P3" s="1038"/>
      <c r="Q3" s="1045">
        <f>(C3*GDP!AB546)*100</f>
        <v>4.70972059561654</v>
      </c>
      <c r="R3" s="1045">
        <f>(D3*GDP!AC546)*100</f>
        <v>8.0690261244707138</v>
      </c>
      <c r="S3" s="1045">
        <f>(E3*GDP!AD546)*100</f>
        <v>9.2777408146669682</v>
      </c>
      <c r="T3" s="1045">
        <f>(F3*GDP!AE546)*100</f>
        <v>-27.269652279799761</v>
      </c>
      <c r="U3" s="1045">
        <f>(G3*GDP!AF546)*100</f>
        <v>44.926053390382293</v>
      </c>
      <c r="V3" s="1045">
        <f>(K3*GDP!AG546)*100</f>
        <v>9.8196521404274364</v>
      </c>
      <c r="W3" s="1045">
        <f>(L3*GDP!AH546)*100</f>
        <v>8.5617439074279655</v>
      </c>
      <c r="X3" s="1045">
        <f>(M3*GDP!AI546)*100</f>
        <v>7.2189922480620172</v>
      </c>
      <c r="Y3" s="3623">
        <f>(K3*GDP!AJ546)*100</f>
        <v>7.7782468776579332</v>
      </c>
      <c r="Z3" s="3623">
        <f>(L3*GDP!AK546)*100</f>
        <v>8.3624635479302523</v>
      </c>
      <c r="AA3" s="3623">
        <f>(M3*GDP!AL546)*100</f>
        <v>8.9448074270741262</v>
      </c>
      <c r="AB3" s="3623">
        <f>(N3*GDP!AM546)*100</f>
        <v>8.4872958933530924</v>
      </c>
      <c r="AC3" s="3623">
        <f>(O3*GDP!AN546)*100</f>
        <v>7.9348150624235281</v>
      </c>
    </row>
    <row r="4" spans="1:29" ht="15.5" thickBot="1">
      <c r="A4" s="100"/>
      <c r="B4" s="1039"/>
      <c r="C4" s="1039"/>
      <c r="D4" s="1039"/>
      <c r="E4" s="1039"/>
      <c r="F4" s="1039"/>
      <c r="G4" s="1039"/>
      <c r="H4" s="1039"/>
      <c r="I4" s="1039"/>
      <c r="J4" s="1039"/>
      <c r="K4" s="1039"/>
      <c r="L4" s="1039"/>
      <c r="M4" s="1039"/>
      <c r="N4" s="1039"/>
      <c r="O4" s="1039"/>
      <c r="P4" s="1038"/>
      <c r="Q4" s="1045"/>
      <c r="R4" s="1045"/>
      <c r="S4" s="1045"/>
      <c r="T4" s="1045"/>
      <c r="U4" s="1045"/>
      <c r="V4" s="1045"/>
      <c r="W4" s="1045"/>
      <c r="X4" s="1045"/>
      <c r="Y4" s="1045"/>
      <c r="Z4" s="1045"/>
      <c r="AA4" s="1045"/>
      <c r="AB4" s="1045"/>
      <c r="AC4" s="1045"/>
    </row>
    <row r="5" spans="1:29" ht="15.5" thickBot="1">
      <c r="A5" s="102" t="s">
        <v>132</v>
      </c>
      <c r="B5" s="1039">
        <f>GDP!AA593/GDP!AA$591</f>
        <v>0.25263510122134852</v>
      </c>
      <c r="C5" s="1039">
        <f>GDP!AB593/GDP!AB$591</f>
        <v>0.26020611967723895</v>
      </c>
      <c r="D5" s="1039">
        <f>GDP!AC593/GDP!AC$591</f>
        <v>0.25142307976639316</v>
      </c>
      <c r="E5" s="1039">
        <f>GDP!AD593/GDP!AD$591</f>
        <v>0.24002164795020972</v>
      </c>
      <c r="F5" s="1039">
        <f>GDP!AE593/GDP!AE$591</f>
        <v>0.26016184540972931</v>
      </c>
      <c r="G5" s="1039">
        <f>GDP!AF593/GDP!AF$591</f>
        <v>0.24446441178358258</v>
      </c>
      <c r="H5" s="1039">
        <f>GDP!AG593/GDP!AG$591</f>
        <v>0.22359885453801648</v>
      </c>
      <c r="I5" s="1039">
        <f>GDP!AH593/GDP!AH$591</f>
        <v>0.21603143841515934</v>
      </c>
      <c r="J5" s="1039">
        <f>GDP!AI593/GDP!AI$591</f>
        <v>0.20796304664357082</v>
      </c>
      <c r="K5" s="1039">
        <f>GDP!AJ593/GDP!AJ$591</f>
        <v>0.20617795615149301</v>
      </c>
      <c r="L5" s="1039">
        <f>GDP!AK593/GDP!AK$591</f>
        <v>0.20913769012853303</v>
      </c>
      <c r="M5" s="1039">
        <f>GDP!AL593/GDP!AL$591</f>
        <v>0.20867025143975024</v>
      </c>
      <c r="N5" s="1039">
        <f>GDP!AM593/GDP!AM$591</f>
        <v>0.20666155993411756</v>
      </c>
      <c r="O5" s="1039">
        <f>GDP!AN593/GDP!AN$591</f>
        <v>0.20459595676675532</v>
      </c>
      <c r="P5" s="1038"/>
      <c r="Q5" s="1045">
        <f>(C5*GDP!AB548)*100</f>
        <v>2.0420149126988627</v>
      </c>
      <c r="R5" s="1045">
        <f>(D5*GDP!AC548)*100</f>
        <v>1.1116034229769889</v>
      </c>
      <c r="S5" s="1045">
        <f>(E5*GDP!AD548)*100</f>
        <v>1.037435526277001</v>
      </c>
      <c r="T5" s="1045">
        <f>(F5*GDP!AE548)*100</f>
        <v>-5.5068079453975978</v>
      </c>
      <c r="U5" s="1045">
        <f>(G5*GDP!AF548)*100</f>
        <v>8.8451192250620512</v>
      </c>
      <c r="V5" s="1045">
        <f>(K5*GDP!AG548)*100</f>
        <v>9.2019565622877914E-2</v>
      </c>
      <c r="W5" s="1045">
        <f>(L5*GDP!AH548)*100</f>
        <v>1.0221836919507508</v>
      </c>
      <c r="X5" s="1045">
        <f>(M5*GDP!AI548)*100</f>
        <v>0.67078152095010735</v>
      </c>
      <c r="Y5" s="3623">
        <f>(K5*GDP!AJ548)*100</f>
        <v>1.412960569878152</v>
      </c>
      <c r="Z5" s="3623">
        <f>(L5*GDP!AK548)*100</f>
        <v>2.0742344462234441</v>
      </c>
      <c r="AA5" s="3623">
        <f>(M5*GDP!AL548)*100</f>
        <v>1.8157040182535313</v>
      </c>
      <c r="AB5" s="3623">
        <f>(N5*GDP!AM548)*100</f>
        <v>1.5381780062299291</v>
      </c>
      <c r="AC5" s="3623">
        <f>(O5*GDP!AN548)*100</f>
        <v>1.4027089963295789</v>
      </c>
    </row>
    <row r="6" spans="1:29">
      <c r="A6" s="118" t="s">
        <v>48</v>
      </c>
      <c r="B6" s="1040">
        <f>GDP!AA594/GDP!AA$591</f>
        <v>0.1566003011544253</v>
      </c>
      <c r="C6" s="1040">
        <f>GDP!AB594/GDP!AB$591</f>
        <v>0.16441639370456179</v>
      </c>
      <c r="D6" s="1040">
        <f>GDP!AC594/GDP!AC$591</f>
        <v>0.15694536852221483</v>
      </c>
      <c r="E6" s="1040">
        <f>GDP!AD594/GDP!AD$591</f>
        <v>0.14781491002570693</v>
      </c>
      <c r="F6" s="1040">
        <f>GDP!AE594/GDP!AE$591</f>
        <v>0.16165938052274206</v>
      </c>
      <c r="G6" s="1040">
        <f>GDP!AF594/GDP!AF$591</f>
        <v>0.14690969770874784</v>
      </c>
      <c r="H6" s="1040">
        <f>GDP!AG594/GDP!AG$591</f>
        <v>0.13096838291157734</v>
      </c>
      <c r="I6" s="1040">
        <f>GDP!AH594/GDP!AH$591</f>
        <v>0.12720714900947458</v>
      </c>
      <c r="J6" s="1040">
        <f>GDP!AI594/GDP!AI$591</f>
        <v>0.11914444946528091</v>
      </c>
      <c r="K6" s="1040">
        <f>GDP!AJ594/GDP!AJ$591</f>
        <v>0.11392286349921495</v>
      </c>
      <c r="L6" s="1040">
        <f>GDP!AK594/GDP!AK$591</f>
        <v>0.11394905638116794</v>
      </c>
      <c r="M6" s="1040">
        <f>GDP!AL594/GDP!AL$591</f>
        <v>0.11390257089829069</v>
      </c>
      <c r="N6" s="1040">
        <f>GDP!AM594/GDP!AM$591</f>
        <v>0.11123222036012294</v>
      </c>
      <c r="O6" s="1040">
        <f>GDP!AN594/GDP!AN$591</f>
        <v>0.10728919642529697</v>
      </c>
      <c r="P6" s="1038"/>
      <c r="Q6" s="1046">
        <f>(C6*GDP!AB549)*100</f>
        <v>1.6336244246286602</v>
      </c>
      <c r="R6" s="1046">
        <f>(D6*GDP!AC549)*100</f>
        <v>0.49569722808279637</v>
      </c>
      <c r="S6" s="1046">
        <f>(E6*GDP!AD543)*100</f>
        <v>0</v>
      </c>
      <c r="T6" s="1046">
        <f>(F6*GDP!AE549)*100</f>
        <v>-3.3071735969641058</v>
      </c>
      <c r="U6" s="1046">
        <f>(G6*GDP!AF549)*100</f>
        <v>4.6574938686720406</v>
      </c>
      <c r="V6" s="1046">
        <f>(K6*GDP!AG549)*100</f>
        <v>-0.23889460235746307</v>
      </c>
      <c r="W6" s="1046">
        <f>(L6*GDP!AH549)*100</f>
        <v>0.62033845954941857</v>
      </c>
      <c r="X6" s="1046">
        <f>(M6*GDP!AI549)*100</f>
        <v>4.8202526829577694E-2</v>
      </c>
      <c r="Y6" s="3624">
        <f>(K6*GDP!AJ549)*100</f>
        <v>0.34801069948854302</v>
      </c>
      <c r="Z6" s="3624">
        <f>(L6*GDP!AK549)*100</f>
        <v>0.95573380810559572</v>
      </c>
      <c r="AA6" s="3624">
        <f>(M6*GDP!AL549)*100</f>
        <v>1.0137742761544994</v>
      </c>
      <c r="AB6" s="3624">
        <f>(N6*GDP!AM549)*100</f>
        <v>0.6611534114836688</v>
      </c>
      <c r="AC6" s="3624">
        <f>(O6*GDP!AN549)*100</f>
        <v>0.44081691692293606</v>
      </c>
    </row>
    <row r="7" spans="1:29">
      <c r="A7" s="122" t="s">
        <v>49</v>
      </c>
      <c r="B7" s="1040">
        <f>GDP!AA595/GDP!AA$591</f>
        <v>2.526351012213485E-2</v>
      </c>
      <c r="C7" s="1040">
        <f>GDP!AB595/GDP!AB$591</f>
        <v>2.444675241671327E-2</v>
      </c>
      <c r="D7" s="1040">
        <f>GDP!AC595/GDP!AC$591</f>
        <v>2.417387447327567E-2</v>
      </c>
      <c r="E7" s="1040">
        <f>GDP!AD595/GDP!AD$591</f>
        <v>2.313624678663239E-2</v>
      </c>
      <c r="F7" s="1040">
        <f>GDP!AE595/GDP!AE$591</f>
        <v>2.3346665426471958E-2</v>
      </c>
      <c r="G7" s="1040">
        <f>GDP!AF595/GDP!AF$591</f>
        <v>2.3040883126885309E-2</v>
      </c>
      <c r="H7" s="1040">
        <f>GDP!AG595/GDP!AG$591</f>
        <v>2.0220910525393022E-2</v>
      </c>
      <c r="I7" s="1040">
        <f>GDP!AH595/GDP!AH$591</f>
        <v>1.857235142118863E-2</v>
      </c>
      <c r="J7" s="1040">
        <f>GDP!AI595/GDP!AI$591</f>
        <v>1.7673344379173572E-2</v>
      </c>
      <c r="K7" s="1040">
        <f>GDP!AJ595/GDP!AJ$591</f>
        <v>2.0802211897461027E-2</v>
      </c>
      <c r="L7" s="1040">
        <f>GDP!AK595/GDP!AK$591</f>
        <v>1.9990963373598312E-2</v>
      </c>
      <c r="M7" s="1040">
        <f>GDP!AL595/GDP!AL$591</f>
        <v>1.9072135648236326E-2</v>
      </c>
      <c r="N7" s="1040">
        <f>GDP!AM595/GDP!AM$591</f>
        <v>1.8248194079365843E-2</v>
      </c>
      <c r="O7" s="1040">
        <f>GDP!AN595/GDP!AN$591</f>
        <v>1.8093247468278954E-2</v>
      </c>
      <c r="P7" s="1038"/>
      <c r="Q7" s="1046">
        <f>(C7*GDP!AB550)*100</f>
        <v>3.2379804525448204E-2</v>
      </c>
      <c r="R7" s="1046">
        <f>(D7*GDP!AC550)*100</f>
        <v>0.16589913854208788</v>
      </c>
      <c r="S7" s="1046">
        <f>(E7*GDP!AD550)*100</f>
        <v>0.10612957241574478</v>
      </c>
      <c r="T7" s="1046">
        <f>(F7*GDP!AE550)*100</f>
        <v>-0.62121244263419539</v>
      </c>
      <c r="U7" s="1046">
        <f>(G7*GDP!AF550)*100</f>
        <v>0.9914005488859019</v>
      </c>
      <c r="V7" s="1046">
        <f>(K7*GDP!AG550)*100</f>
        <v>-7.532834391838257E-2</v>
      </c>
      <c r="W7" s="1046">
        <f>(L7*GDP!AH550)*100</f>
        <v>-5.7777350790747094E-3</v>
      </c>
      <c r="X7" s="1046">
        <f>(M7*GDP!AI550)*100</f>
        <v>3.8697086822508407E-2</v>
      </c>
      <c r="Y7" s="3624">
        <f>(K7*GDP!AJ550)*100</f>
        <v>0.55873029923907258</v>
      </c>
      <c r="Z7" s="3624">
        <f>(L7*GDP!AK550)*100</f>
        <v>8.2693101072018896E-2</v>
      </c>
      <c r="AA7" s="3624">
        <f>(M7*GDP!AL550)*100</f>
        <v>7.5095951938871919E-2</v>
      </c>
      <c r="AB7" s="3624">
        <f>(N7*GDP!AM550)*100</f>
        <v>6.9352275235633962E-2</v>
      </c>
      <c r="AC7" s="3624">
        <f>(O7*GDP!AN550)*100</f>
        <v>0.12698444444278387</v>
      </c>
    </row>
    <row r="8" spans="1:29">
      <c r="A8" s="122" t="s">
        <v>55</v>
      </c>
      <c r="B8" s="1040">
        <f>GDP!AA596/GDP!AA$591</f>
        <v>2.4259662037811613E-2</v>
      </c>
      <c r="C8" s="1040">
        <f>GDP!AB596/GDP!AB$591</f>
        <v>2.5245665894383637E-2</v>
      </c>
      <c r="D8" s="1040">
        <f>GDP!AC596/GDP!AC$591</f>
        <v>2.5874177570784355E-2</v>
      </c>
      <c r="E8" s="1040">
        <f>GDP!AD596/GDP!AD$591</f>
        <v>2.6248139629278851E-2</v>
      </c>
      <c r="F8" s="1040">
        <f>GDP!AE596/GDP!AE$591</f>
        <v>2.9857687656962142E-2</v>
      </c>
      <c r="G8" s="1040">
        <f>GDP!AF596/GDP!AF$591</f>
        <v>2.8624606893010718E-2</v>
      </c>
      <c r="H8" s="1040">
        <f>GDP!AG596/GDP!AG$591</f>
        <v>2.781836245689907E-2</v>
      </c>
      <c r="I8" s="1040">
        <f>GDP!AH596/GDP!AH$591</f>
        <v>2.7454780361757105E-2</v>
      </c>
      <c r="J8" s="1040">
        <f>GDP!AI596/GDP!AI$591</f>
        <v>2.9171059898579103E-2</v>
      </c>
      <c r="K8" s="1040">
        <f>GDP!AJ596/GDP!AJ$591</f>
        <v>2.9746861680725881E-2</v>
      </c>
      <c r="L8" s="1040">
        <f>GDP!AK596/GDP!AK$591</f>
        <v>3.1658843908401568E-2</v>
      </c>
      <c r="M8" s="1040">
        <f>GDP!AL596/GDP!AL$591</f>
        <v>3.2422987893429511E-2</v>
      </c>
      <c r="N8" s="1040">
        <f>GDP!AM596/GDP!AM$591</f>
        <v>3.3676716874886867E-2</v>
      </c>
      <c r="O8" s="1040">
        <f>GDP!AN596/GDP!AN$591</f>
        <v>3.5061301750055021E-2</v>
      </c>
      <c r="P8" s="1038"/>
      <c r="Q8" s="1046">
        <f>(C8*GDP!AB551)*100</f>
        <v>0.226340452846198</v>
      </c>
      <c r="R8" s="1046">
        <f>(D8*GDP!AC551)*100</f>
        <v>0.2783930498122365</v>
      </c>
      <c r="S8" s="1046">
        <f>(E8*GDP!AD551)*100</f>
        <v>0.28497980168931314</v>
      </c>
      <c r="T8" s="1046">
        <f>(F8*GDP!AE551)*100</f>
        <v>-0.51558378170527419</v>
      </c>
      <c r="U8" s="1046">
        <f>(G8*GDP!AF551)*100</f>
        <v>1.1146653774536881</v>
      </c>
      <c r="V8" s="1046">
        <f>(K8*GDP!AG551)*100</f>
        <v>0.20009099785241619</v>
      </c>
      <c r="W8" s="1046">
        <f>(L8*GDP!AH551)*100</f>
        <v>0.22613459934572541</v>
      </c>
      <c r="X8" s="1046">
        <f>(M8*GDP!AI551)*100</f>
        <v>0.45137885106539111</v>
      </c>
      <c r="Y8" s="3624">
        <f>(K8*GDP!AJ551)*100</f>
        <v>0.29466230910153007</v>
      </c>
      <c r="Z8" s="3624">
        <f>(L8*GDP!AK551)*100</f>
        <v>0.48525000250078237</v>
      </c>
      <c r="AA8" s="3624">
        <f>(M8*GDP!AL551)*100</f>
        <v>0.37527628131713237</v>
      </c>
      <c r="AB8" s="3624">
        <f>(N8*GDP!AM551)*100</f>
        <v>0.42709729122525752</v>
      </c>
      <c r="AC8" s="3624">
        <f>(O8*GDP!AN551)*100</f>
        <v>0.43379413730208405</v>
      </c>
    </row>
    <row r="9" spans="1:29">
      <c r="A9" s="122" t="s">
        <v>56</v>
      </c>
      <c r="B9" s="1040">
        <f>GDP!AA597/GDP!AA$591</f>
        <v>4.4420277731303331E-2</v>
      </c>
      <c r="C9" s="1040">
        <f>GDP!AB597/GDP!AB$591</f>
        <v>4.3780458576336181E-2</v>
      </c>
      <c r="D9" s="1040">
        <f>GDP!AC597/GDP!AC$591</f>
        <v>4.228579877282472E-2</v>
      </c>
      <c r="E9" s="1040">
        <f>GDP!AD597/GDP!AD$591</f>
        <v>4.0928155865241511E-2</v>
      </c>
      <c r="F9" s="1040">
        <f>GDP!AE597/GDP!AE$591</f>
        <v>4.3902892754162405E-2</v>
      </c>
      <c r="G9" s="1040">
        <f>GDP!AF597/GDP!AF$591</f>
        <v>4.2230922277132404E-2</v>
      </c>
      <c r="H9" s="1040">
        <f>GDP!AG597/GDP!AG$591</f>
        <v>4.1143124306001984E-2</v>
      </c>
      <c r="I9" s="1040">
        <f>GDP!AH597/GDP!AH$591</f>
        <v>3.9944013781223087E-2</v>
      </c>
      <c r="J9" s="1040">
        <f>GDP!AI597/GDP!AI$591</f>
        <v>3.9313149570718485E-2</v>
      </c>
      <c r="K9" s="1040">
        <f>GDP!AJ597/GDP!AJ$591</f>
        <v>3.854063634480933E-2</v>
      </c>
      <c r="L9" s="1040">
        <f>GDP!AK597/GDP!AK$591</f>
        <v>4.0046450819279211E-2</v>
      </c>
      <c r="M9" s="1040">
        <f>GDP!AL597/GDP!AL$591</f>
        <v>3.9440005424815704E-2</v>
      </c>
      <c r="N9" s="1040">
        <f>GDP!AM597/GDP!AM$591</f>
        <v>3.9178986632046879E-2</v>
      </c>
      <c r="O9" s="1040">
        <f>GDP!AN597/GDP!AN$591</f>
        <v>3.932252110221722E-2</v>
      </c>
      <c r="P9" s="1038"/>
      <c r="Q9" s="1046">
        <f>(C9*GDP!AB552)*100</f>
        <v>0.14016342670390067</v>
      </c>
      <c r="R9" s="1046">
        <f>(D9*GDP!AC552)*100</f>
        <v>0.18519327929704235</v>
      </c>
      <c r="S9" s="1046">
        <f>(E9*GDP!AD552)*100</f>
        <v>0.23612397614562416</v>
      </c>
      <c r="T9" s="1046">
        <f>(F9*GDP!AE552)*100</f>
        <v>-0.96513797294274384</v>
      </c>
      <c r="U9" s="1046">
        <f>(G9*GDP!AF552)*100</f>
        <v>1.6641846490564889</v>
      </c>
      <c r="V9" s="1046">
        <f>(K9*GDP!AG552)*100</f>
        <v>0.26943302003970021</v>
      </c>
      <c r="W9" s="1046">
        <f>(L9*GDP!AH552)*100</f>
        <v>0.21615981976315476</v>
      </c>
      <c r="X9" s="1046">
        <f>(M9*GDP!AI552)*100</f>
        <v>0.2179299491128627</v>
      </c>
      <c r="Y9" s="3624">
        <f>(K9*GDP!AJ552)*100</f>
        <v>0.21815454534797729</v>
      </c>
      <c r="Z9" s="3624">
        <f>(L9*GDP!AK552)*100</f>
        <v>0.50443608502942372</v>
      </c>
      <c r="AA9" s="3624">
        <f>(M9*GDP!AL552)*100</f>
        <v>0.28771469704042768</v>
      </c>
      <c r="AB9" s="3624">
        <f>(N9*GDP!AM552)*100</f>
        <v>0.30439383619770077</v>
      </c>
      <c r="AC9" s="3624">
        <f>(O9*GDP!AN552)*100</f>
        <v>0.32756605640265796</v>
      </c>
    </row>
    <row r="10" spans="1:29" ht="15.5" thickBot="1">
      <c r="A10" s="123" t="s">
        <v>57</v>
      </c>
      <c r="B10" s="1041">
        <f>GDP!AA598/GDP!AA$591</f>
        <v>4.0153923372929562E-3</v>
      </c>
      <c r="C10" s="1041">
        <f>GDP!AB598/GDP!AB$591</f>
        <v>3.9146760405848044E-3</v>
      </c>
      <c r="D10" s="1041">
        <f>GDP!AC598/GDP!AC$591</f>
        <v>3.8441635248022475E-3</v>
      </c>
      <c r="E10" s="1041">
        <f>GDP!AD598/GDP!AD$591</f>
        <v>3.585441753483967E-3</v>
      </c>
      <c r="F10" s="1041">
        <f>GDP!AE598/GDP!AE$591</f>
        <v>2.9764673053669427E-3</v>
      </c>
      <c r="G10" s="1041">
        <f>GDP!AF598/GDP!AF$591</f>
        <v>3.5941210448623322E-3</v>
      </c>
      <c r="H10" s="1041">
        <f>GDP!AG598/GDP!AG$591</f>
        <v>3.2727485243410673E-3</v>
      </c>
      <c r="I10" s="1041">
        <f>GDP!AH598/GDP!AH$591</f>
        <v>2.9608096468561585E-3</v>
      </c>
      <c r="J10" s="1041">
        <f>GDP!AI598/GDP!AI$591</f>
        <v>2.6610433298187479E-3</v>
      </c>
      <c r="K10" s="1041">
        <f>GDP!AJ598/GDP!AJ$591</f>
        <v>3.1653827292818498E-3</v>
      </c>
      <c r="L10" s="1041">
        <f>GDP!AK598/GDP!AK$591</f>
        <v>3.492375646086043E-3</v>
      </c>
      <c r="M10" s="1041">
        <f>GDP!AL598/GDP!AL$591</f>
        <v>3.8325515749780257E-3</v>
      </c>
      <c r="N10" s="1041">
        <f>GDP!AM598/GDP!AM$591</f>
        <v>4.3254419876950318E-3</v>
      </c>
      <c r="O10" s="1041">
        <f>GDP!AN598/GDP!AN$591</f>
        <v>4.829690020907172E-3</v>
      </c>
      <c r="P10" s="1038"/>
      <c r="Q10" s="1047">
        <f>(C10*GDP!AB553)*100</f>
        <v>8.1555750845516469E-3</v>
      </c>
      <c r="R10" s="1047">
        <f>(D10*GDP!AC553)*100</f>
        <v>2.3535695049809704E-2</v>
      </c>
      <c r="S10" s="1047">
        <f>(E10*GDP!AD553)*100</f>
        <v>6.8950802951614504E-3</v>
      </c>
      <c r="T10" s="1047">
        <f>(F10*GDP!AE553)*100</f>
        <v>-0.11793549700510528</v>
      </c>
      <c r="U10" s="1047">
        <f>(G10*GDP!AF553)*100</f>
        <v>0.26955907836467496</v>
      </c>
      <c r="V10" s="1047">
        <f>(K10*GDP!AG553)*100</f>
        <v>0</v>
      </c>
      <c r="W10" s="1047">
        <f>(L10*GDP!AH553)*100</f>
        <v>-6.2363850822965226E-3</v>
      </c>
      <c r="X10" s="1047">
        <f>(M10*GDP!AI553)*100</f>
        <v>-1.3936551181738279E-2</v>
      </c>
      <c r="Y10" s="3625">
        <f>(K10*GDP!AJ553)*100</f>
        <v>8.9280025697693235E-2</v>
      </c>
      <c r="Z10" s="3625">
        <f>(L10*GDP!AK553)*100</f>
        <v>6.8299028681706356E-2</v>
      </c>
      <c r="AA10" s="3625">
        <f>(M10*GDP!AL553)*100</f>
        <v>7.4951716673691979E-2</v>
      </c>
      <c r="AB10" s="3625">
        <f>(N10*GDP!AM553)*100</f>
        <v>9.7060536786154367E-2</v>
      </c>
      <c r="AC10" s="3625">
        <f>(O10*GDP!AN553)*100</f>
        <v>9.9093437966241621E-2</v>
      </c>
    </row>
    <row r="11" spans="1:29" ht="15.5" thickBot="1">
      <c r="A11" s="104" t="s">
        <v>131</v>
      </c>
      <c r="B11" s="1039">
        <f>GDP!AA599/GDP!AA$591</f>
        <v>0.20035134682951314</v>
      </c>
      <c r="C11" s="1039">
        <f>GDP!AB599/GDP!AB$591</f>
        <v>0.19421586642166652</v>
      </c>
      <c r="D11" s="1039">
        <f>GDP!AC599/GDP!AC$591</f>
        <v>0.1953130775486065</v>
      </c>
      <c r="E11" s="1039">
        <f>GDP!AD599/GDP!AD$591</f>
        <v>0.20822622107969152</v>
      </c>
      <c r="F11" s="1039">
        <f>GDP!AE599/GDP!AE$591</f>
        <v>0.20714352153288065</v>
      </c>
      <c r="G11" s="1039">
        <f>GDP!AF599/GDP!AF$591</f>
        <v>0.1988960913933637</v>
      </c>
      <c r="H11" s="1039">
        <f>GDP!AG599/GDP!AG$591</f>
        <v>0.22015078019987142</v>
      </c>
      <c r="I11" s="1039">
        <f>GDP!AH599/GDP!AH$591</f>
        <v>0.22012273901808785</v>
      </c>
      <c r="J11" s="1039">
        <f>GDP!AI599/GDP!AI$591</f>
        <v>0.22071597128081538</v>
      </c>
      <c r="K11" s="1039">
        <f>GDP!AJ599/GDP!AJ$591</f>
        <v>0.22300889133019036</v>
      </c>
      <c r="L11" s="1039">
        <f>GDP!AK599/GDP!AK$591</f>
        <v>0.22098364732172068</v>
      </c>
      <c r="M11" s="1039">
        <f>GDP!AL599/GDP!AL$591</f>
        <v>0.21803167503946166</v>
      </c>
      <c r="N11" s="1039">
        <f>GDP!AM599/GDP!AM$591</f>
        <v>0.21517367805539861</v>
      </c>
      <c r="O11" s="1039">
        <f>GDP!AN599/GDP!AN$591</f>
        <v>0.21315900586786207</v>
      </c>
      <c r="P11" s="1038"/>
      <c r="Q11" s="1045">
        <f>(C11*GDP!AB554)*100</f>
        <v>0.29193199128100383</v>
      </c>
      <c r="R11" s="1045">
        <f>(D11*GDP!AC554)*100</f>
        <v>1.6952307430175215</v>
      </c>
      <c r="S11" s="1045">
        <f>(E11*GDP!AD554)*100</f>
        <v>3.4362843448427527</v>
      </c>
      <c r="T11" s="1045">
        <f>(F11*GDP!AE554)*100</f>
        <v>-5.7270674731800337</v>
      </c>
      <c r="U11" s="1045">
        <f>(G11*GDP!AF554)*100</f>
        <v>7.7879385583750853</v>
      </c>
      <c r="V11" s="1045">
        <f>(K11*GDP!AG554)*100</f>
        <v>4.8070325720738039</v>
      </c>
      <c r="W11" s="1045">
        <f>(L11*GDP!AH554)*100</f>
        <v>1.888949679787473</v>
      </c>
      <c r="X11" s="1045">
        <f>(M11*GDP!AI554)*100</f>
        <v>1.6369705120350864</v>
      </c>
      <c r="Y11" s="3623">
        <f>(K11*GDP!AJ554)*100</f>
        <v>1.9843124073040701</v>
      </c>
      <c r="Z11" s="3623">
        <f>(L11*GDP!AK554)*100</f>
        <v>1.6305002842092158</v>
      </c>
      <c r="AA11" s="3623">
        <f>(M11*GDP!AL554)*100</f>
        <v>1.6329453604506998</v>
      </c>
      <c r="AB11" s="3623">
        <f>(N11*GDP!AM554)*100</f>
        <v>1.5202505822070964</v>
      </c>
      <c r="AC11" s="3623">
        <f>(O11*GDP!AN554)*100</f>
        <v>1.4759600364960526</v>
      </c>
    </row>
    <row r="12" spans="1:29">
      <c r="A12" s="125" t="s">
        <v>66</v>
      </c>
      <c r="B12" s="1040">
        <f>GDP!AA600/GDP!AA$591</f>
        <v>2.2168311862138197E-2</v>
      </c>
      <c r="C12" s="1040">
        <f>GDP!AB600/GDP!AB$591</f>
        <v>2.5405448589917713E-2</v>
      </c>
      <c r="D12" s="1040">
        <f>GDP!AC600/GDP!AC$591</f>
        <v>2.4247800694906483E-2</v>
      </c>
      <c r="E12" s="1040">
        <f>GDP!AD600/GDP!AD$591</f>
        <v>2.1986199431741307E-2</v>
      </c>
      <c r="F12" s="1040">
        <f>GDP!AE600/GDP!AE$591</f>
        <v>1.5533438749883732E-2</v>
      </c>
      <c r="G12" s="1040">
        <f>GDP!AF600/GDP!AF$591</f>
        <v>1.5275014440664912E-2</v>
      </c>
      <c r="H12" s="1040">
        <f>GDP!AG600/GDP!AG$591</f>
        <v>1.7824791070071882E-2</v>
      </c>
      <c r="I12" s="1040">
        <f>GDP!AH600/GDP!AH$591</f>
        <v>1.7603359173126616E-2</v>
      </c>
      <c r="J12" s="1040">
        <f>GDP!AI600/GDP!AI$591</f>
        <v>1.7773761108600693E-2</v>
      </c>
      <c r="K12" s="1040">
        <f>GDP!AJ600/GDP!AJ$591</f>
        <v>1.7193246717782426E-2</v>
      </c>
      <c r="L12" s="1040">
        <f>GDP!AK600/GDP!AK$591</f>
        <v>1.7103721324857622E-2</v>
      </c>
      <c r="M12" s="1040">
        <f>GDP!AL600/GDP!AL$591</f>
        <v>1.6912382930150148E-2</v>
      </c>
      <c r="N12" s="1040">
        <f>GDP!AM600/GDP!AM$591</f>
        <v>1.6972683355209527E-2</v>
      </c>
      <c r="O12" s="1040">
        <f>GDP!AN600/GDP!AN$591</f>
        <v>1.6949951493039479E-2</v>
      </c>
      <c r="P12" s="1038"/>
      <c r="Q12" s="1046">
        <f>(C12*GDP!AB555)*100</f>
        <v>0.50810897179835413</v>
      </c>
      <c r="R12" s="1046">
        <f>(D12*GDP!AC555)*100</f>
        <v>7.6250945581466903E-2</v>
      </c>
      <c r="S12" s="1046">
        <f>(E12*GDP!AD555)*100</f>
        <v>-2.0109328748543896E-2</v>
      </c>
      <c r="T12" s="1046">
        <f>(F12*GDP!AE555)*100</f>
        <v>-0.75516409922511685</v>
      </c>
      <c r="U12" s="1046">
        <f>(G12*GDP!AF555)*100</f>
        <v>0.64941678160910687</v>
      </c>
      <c r="V12" s="1046">
        <f>(K12*GDP!AG555)*100</f>
        <v>0.48401156726530381</v>
      </c>
      <c r="W12" s="1046">
        <f>(L12*GDP!AH555)*100</f>
        <v>0.12337110463831727</v>
      </c>
      <c r="X12" s="1046">
        <f>(M12*GDP!AI555)*100</f>
        <v>0.13964352878105618</v>
      </c>
      <c r="Y12" s="3624">
        <f>(K12*GDP!AJ555)*100</f>
        <v>7.3210008926479248E-2</v>
      </c>
      <c r="Z12" s="3624">
        <f>(L12*GDP!AK555)*100</f>
        <v>0.13337856818179425</v>
      </c>
      <c r="AA12" s="3624">
        <f>(M12*GDP!AL555)*100</f>
        <v>0.130665879383765</v>
      </c>
      <c r="AB12" s="3624">
        <f>(N12*GDP!AM555)*100</f>
        <v>0.15061734042923913</v>
      </c>
      <c r="AC12" s="3624">
        <f>(O12*GDP!AN555)*100</f>
        <v>0.13204445717720542</v>
      </c>
    </row>
    <row r="13" spans="1:29">
      <c r="A13" s="118" t="s">
        <v>67</v>
      </c>
      <c r="B13" s="1040">
        <f>GDP!AA601/GDP!AA$591</f>
        <v>7.1942446043165464E-2</v>
      </c>
      <c r="C13" s="1040">
        <f>GDP!AB601/GDP!AB$591</f>
        <v>7.3100583206838696E-2</v>
      </c>
      <c r="D13" s="1040">
        <f>GDP!AC601/GDP!AC$591</f>
        <v>7.6883270496044945E-2</v>
      </c>
      <c r="E13" s="1040">
        <f>GDP!AD601/GDP!AD$591</f>
        <v>7.820322013259369E-2</v>
      </c>
      <c r="F13" s="1040">
        <f>GDP!AE601/GDP!AE$591</f>
        <v>8.3434099153567115E-2</v>
      </c>
      <c r="G13" s="1040">
        <f>GDP!AF601/GDP!AF$591</f>
        <v>8.163789230473012E-2</v>
      </c>
      <c r="H13" s="1040">
        <f>GDP!AG601/GDP!AG$591</f>
        <v>8.1234293729180063E-2</v>
      </c>
      <c r="I13" s="1040">
        <f>GDP!AH601/GDP!AH$591</f>
        <v>8.2095176571920753E-2</v>
      </c>
      <c r="J13" s="1040">
        <f>GDP!AI601/GDP!AI$591</f>
        <v>8.1287342471255714E-2</v>
      </c>
      <c r="K13" s="1040">
        <f>GDP!AJ601/GDP!AJ$591</f>
        <v>7.9139287393608759E-2</v>
      </c>
      <c r="L13" s="1040">
        <f>GDP!AK601/GDP!AK$591</f>
        <v>7.9308693013188186E-2</v>
      </c>
      <c r="M13" s="1040">
        <f>GDP!AL601/GDP!AL$591</f>
        <v>7.8874951275788044E-2</v>
      </c>
      <c r="N13" s="1040">
        <f>GDP!AM601/GDP!AM$591</f>
        <v>7.7812009160528453E-2</v>
      </c>
      <c r="O13" s="1040">
        <f>GDP!AN601/GDP!AN$591</f>
        <v>7.6985190790251887E-2</v>
      </c>
      <c r="P13" s="1038"/>
      <c r="Q13" s="1046">
        <f>(C13*GDP!AB556)*100</f>
        <v>0.46750372981117688</v>
      </c>
      <c r="R13" s="1046">
        <f>(D13*GDP!AC556)*100</f>
        <v>1.0503179029514331</v>
      </c>
      <c r="S13" s="1046">
        <f>(E13*GDP!AD556)*100</f>
        <v>0.87226668609431457</v>
      </c>
      <c r="T13" s="1046">
        <f>(F13*GDP!AE556)*100</f>
        <v>-1.8693280000669454</v>
      </c>
      <c r="U13" s="1046">
        <f>(G13*GDP!AF556)*100</f>
        <v>3.4129553639101218</v>
      </c>
      <c r="V13" s="1046">
        <f>(K13*GDP!AG556)*100</f>
        <v>0.73415376670171673</v>
      </c>
      <c r="W13" s="1046">
        <f>(L13*GDP!AH556)*100</f>
        <v>0.77026428466046126</v>
      </c>
      <c r="X13" s="1046">
        <f>(M13*GDP!AI556)*100</f>
        <v>0.48618002753600525</v>
      </c>
      <c r="Y13" s="3624">
        <f>(K13*GDP!AJ556)*100</f>
        <v>0.39016915729032919</v>
      </c>
      <c r="Z13" s="3624">
        <f>(L13*GDP!AK556)*100</f>
        <v>0.68161256009173055</v>
      </c>
      <c r="AA13" s="3624">
        <f>(M13*GDP!AL556)*100</f>
        <v>0.65852577304848547</v>
      </c>
      <c r="AB13" s="3624">
        <f>(N13*GDP!AM556)*100</f>
        <v>0.5466518586354534</v>
      </c>
      <c r="AC13" s="3624">
        <f>(O13*GDP!AN556)*100</f>
        <v>0.52256904044871444</v>
      </c>
    </row>
    <row r="14" spans="1:29">
      <c r="A14" s="127" t="s">
        <v>68</v>
      </c>
      <c r="B14" s="1042">
        <f>GDP!AA602/GDP!AA$591</f>
        <v>1.2966371089175172E-2</v>
      </c>
      <c r="C14" s="1042">
        <f>GDP!AB602/GDP!AB$591</f>
        <v>1.3741311815930335E-2</v>
      </c>
      <c r="D14" s="1042">
        <f>GDP!AC602/GDP!AC$591</f>
        <v>1.4489539439639241E-2</v>
      </c>
      <c r="E14" s="1042">
        <f>GDP!AD602/GDP!AD$591</f>
        <v>1.3800568258693005E-2</v>
      </c>
      <c r="F14" s="1042">
        <f>GDP!AE602/GDP!AE$591</f>
        <v>1.5161380336712865E-2</v>
      </c>
      <c r="G14" s="1042">
        <f>GDP!AF602/GDP!AF$591</f>
        <v>1.8804954752583276E-2</v>
      </c>
      <c r="H14" s="1042">
        <f>GDP!AG602/GDP!AG$591</f>
        <v>1.9461165332242417E-2</v>
      </c>
      <c r="I14" s="1042">
        <f>GDP!AH602/GDP!AH$591</f>
        <v>2.0241171403962102E-2</v>
      </c>
      <c r="J14" s="1042">
        <f>GDP!AI602/GDP!AI$591</f>
        <v>1.9229803685293971E-2</v>
      </c>
      <c r="K14" s="1042">
        <f>GDP!AJ602/GDP!AJ$591</f>
        <v>1.8988256088677689E-2</v>
      </c>
      <c r="L14" s="1042">
        <f>GDP!AK602/GDP!AK$591</f>
        <v>1.8758527219573485E-2</v>
      </c>
      <c r="M14" s="1042">
        <f>GDP!AL602/GDP!AL$591</f>
        <v>1.8472027250318188E-2</v>
      </c>
      <c r="N14" s="1042">
        <f>GDP!AM602/GDP!AM$591</f>
        <v>1.8041459070098236E-2</v>
      </c>
      <c r="O14" s="1042">
        <f>GDP!AN602/GDP!AN$591</f>
        <v>1.7530458005204617E-2</v>
      </c>
      <c r="P14" s="1038"/>
      <c r="Q14" s="1048">
        <f>(C14*GDP!AB557)*100</f>
        <v>0.15071116185213909</v>
      </c>
      <c r="R14" s="1048">
        <f>(D14*GDP!AC557)*100</f>
        <v>0.20217962008798945</v>
      </c>
      <c r="S14" s="1048">
        <f>(E14*GDP!AD557)*100</f>
        <v>5.6328850035481715E-2</v>
      </c>
      <c r="T14" s="1048">
        <f>(F14*GDP!AE557)*100</f>
        <v>-0.30471401657118985</v>
      </c>
      <c r="U14" s="1048">
        <f>(G14*GDP!AF557)*100</f>
        <v>1.4997816673839424</v>
      </c>
      <c r="V14" s="1048">
        <f>(K14*GDP!AG557)*100</f>
        <v>0.25922533909457601</v>
      </c>
      <c r="W14" s="1048">
        <f>(L14*GDP!AH557)*100</f>
        <v>0.24222722836085897</v>
      </c>
      <c r="X14" s="1048">
        <f>(M14*GDP!AI557)*100</f>
        <v>3.4389412434102928E-2</v>
      </c>
      <c r="Y14" s="3626">
        <f>(K14*GDP!AJ557)*100</f>
        <v>0.12198877763919959</v>
      </c>
      <c r="Z14" s="3626">
        <f>(L14*GDP!AK557)*100</f>
        <v>0.13227469305705086</v>
      </c>
      <c r="AA14" s="3626">
        <f>(M14*GDP!AL557)*100</f>
        <v>0.13449275552146683</v>
      </c>
      <c r="AB14" s="3626">
        <f>(N14*GDP!AM557)*100</f>
        <v>0.10750082409283566</v>
      </c>
      <c r="AC14" s="3626">
        <f>(O14*GDP!AN557)*100</f>
        <v>8.5508325540391214E-2</v>
      </c>
    </row>
    <row r="15" spans="1:29">
      <c r="A15" s="127" t="s">
        <v>69</v>
      </c>
      <c r="B15" s="1042">
        <f>GDP!AA603/GDP!AA$591</f>
        <v>3.8564497239417767E-2</v>
      </c>
      <c r="C15" s="1042">
        <f>GDP!AB603/GDP!AB$591</f>
        <v>3.3794040105456578E-2</v>
      </c>
      <c r="D15" s="1042">
        <f>GDP!AC603/GDP!AC$591</f>
        <v>3.2453611295926665E-2</v>
      </c>
      <c r="E15" s="1042">
        <f>GDP!AD603/GDP!AD$591</f>
        <v>3.2945474225409284E-2</v>
      </c>
      <c r="F15" s="1042">
        <f>GDP!AE603/GDP!AE$591</f>
        <v>3.4973490838061574E-2</v>
      </c>
      <c r="G15" s="1042">
        <f>GDP!AF603/GDP!AF$591</f>
        <v>2.6378281239971761E-2</v>
      </c>
      <c r="H15" s="1042">
        <f>GDP!AG603/GDP!AG$591</f>
        <v>2.7000175325813804E-2</v>
      </c>
      <c r="I15" s="1042">
        <f>GDP!AH603/GDP!AH$591</f>
        <v>2.4763135228251507E-2</v>
      </c>
      <c r="J15" s="1042">
        <f>GDP!AI603/GDP!AI$591</f>
        <v>2.4401265250790782E-2</v>
      </c>
      <c r="K15" s="1042">
        <f>GDP!AJ603/GDP!AJ$591</f>
        <v>2.3513996202382231E-2</v>
      </c>
      <c r="L15" s="1042">
        <f>GDP!AK603/GDP!AK$591</f>
        <v>2.2865045263966953E-2</v>
      </c>
      <c r="M15" s="1042">
        <f>GDP!AL603/GDP!AL$591</f>
        <v>2.2115156727059285E-2</v>
      </c>
      <c r="N15" s="1042">
        <f>GDP!AM603/GDP!AM$591</f>
        <v>2.1193170673307771E-2</v>
      </c>
      <c r="O15" s="1042">
        <f>GDP!AN603/GDP!AN$591</f>
        <v>2.0586265089098825E-2</v>
      </c>
      <c r="P15" s="1038"/>
      <c r="Q15" s="1048">
        <f>(C15*GDP!AB558)*100</f>
        <v>-0.27856258655257043</v>
      </c>
      <c r="R15" s="1048">
        <f>(D15*GDP!AC558)*100</f>
        <v>0.12275597653305613</v>
      </c>
      <c r="S15" s="1048">
        <f>(E15*GDP!AD558)*100</f>
        <v>0.36022386396802825</v>
      </c>
      <c r="T15" s="1048">
        <f>(F15*GDP!AE558)*100</f>
        <v>-0.79713706016937058</v>
      </c>
      <c r="U15" s="1048">
        <f>(G15*GDP!AF558)*100</f>
        <v>0.24554251154229037</v>
      </c>
      <c r="V15" s="1048">
        <f>(K15*GDP!AG558)*100</f>
        <v>0.29177951492007137</v>
      </c>
      <c r="W15" s="1048">
        <f>(L15*GDP!AH558)*100</f>
        <v>-9.8982879930592065E-3</v>
      </c>
      <c r="X15" s="1048">
        <f>(M15*GDP!AI558)*100</f>
        <v>0.12499871193555226</v>
      </c>
      <c r="Y15" s="3626">
        <f>(K15*GDP!AJ558)*100</f>
        <v>9.074656308933593E-2</v>
      </c>
      <c r="Z15" s="3626">
        <f>(L15*GDP!AK558)*100</f>
        <v>0.12282696445234141</v>
      </c>
      <c r="AA15" s="3626">
        <f>(M15*GDP!AL558)*100</f>
        <v>0.11879869634254121</v>
      </c>
      <c r="AB15" s="3626">
        <f>(N15*GDP!AM558)*100</f>
        <v>8.4018951112773979E-2</v>
      </c>
      <c r="AC15" s="3626">
        <f>(O15*GDP!AN558)*100</f>
        <v>9.9717856539961805E-2</v>
      </c>
    </row>
    <row r="16" spans="1:29">
      <c r="A16" s="127" t="s">
        <v>70</v>
      </c>
      <c r="B16" s="1042">
        <f>GDP!AA604/GDP!AA$591</f>
        <v>3.0951982599966539E-3</v>
      </c>
      <c r="C16" s="1042">
        <f>GDP!AB604/GDP!AB$591</f>
        <v>3.9945673883518412E-3</v>
      </c>
      <c r="D16" s="1042">
        <f>GDP!AC604/GDP!AC$591</f>
        <v>5.9880239520958087E-3</v>
      </c>
      <c r="E16" s="1042">
        <f>GDP!AD604/GDP!AD$591</f>
        <v>6.4267352185089976E-3</v>
      </c>
      <c r="F16" s="1042">
        <f>GDP!AE604/GDP!AE$591</f>
        <v>6.4180076271974701E-3</v>
      </c>
      <c r="G16" s="1042">
        <f>GDP!AF604/GDP!AF$591</f>
        <v>6.3538925614530515E-3</v>
      </c>
      <c r="H16" s="1042">
        <f>GDP!AG604/GDP!AG$591</f>
        <v>6.3701712348781482E-3</v>
      </c>
      <c r="I16" s="1042">
        <f>GDP!AH604/GDP!AH$591</f>
        <v>6.6752799310938844E-3</v>
      </c>
      <c r="J16" s="1042">
        <f>GDP!AI604/GDP!AI$591</f>
        <v>6.8283376010443344E-3</v>
      </c>
      <c r="K16" s="1042">
        <f>GDP!AJ604/GDP!AJ$591</f>
        <v>6.0972060243100539E-3</v>
      </c>
      <c r="L16" s="1042">
        <f>GDP!AK604/GDP!AK$591</f>
        <v>5.9957305460959093E-3</v>
      </c>
      <c r="M16" s="1042">
        <f>GDP!AL604/GDP!AL$591</f>
        <v>5.7322998933291855E-3</v>
      </c>
      <c r="N16" s="1042">
        <f>GDP!AM604/GDP!AM$591</f>
        <v>5.6050401859541396E-3</v>
      </c>
      <c r="O16" s="1042">
        <f>GDP!AN604/GDP!AN$591</f>
        <v>5.4837241168504023E-3</v>
      </c>
      <c r="P16" s="1038"/>
      <c r="Q16" s="1048">
        <f>(C16*GDP!AB559)*100</f>
        <v>0.14034966499614576</v>
      </c>
      <c r="R16" s="1048">
        <f>(D16*GDP!AC559)*100</f>
        <v>0.37125748502994022</v>
      </c>
      <c r="S16" s="1048">
        <f>(E16*GDP!AD559)*100</f>
        <v>0.11107937414706916</v>
      </c>
      <c r="T16" s="1048">
        <f>(F16*GDP!AE559)*100</f>
        <v>-0.17565073506014126</v>
      </c>
      <c r="U16" s="1048">
        <f>(G16*GDP!AF559)*100</f>
        <v>0.27625619832404569</v>
      </c>
      <c r="V16" s="1048">
        <f>(K16*GDP!AG559)*100</f>
        <v>6.1587939639495493E-2</v>
      </c>
      <c r="W16" s="1048">
        <f>(L16*GDP!AH559)*100</f>
        <v>8.2510053386640997E-2</v>
      </c>
      <c r="X16" s="1048">
        <f>(M16*GDP!AI559)*100</f>
        <v>5.5473869935443683E-2</v>
      </c>
      <c r="Y16" s="3626">
        <f>(K16*GDP!AJ559)*100</f>
        <v>-2.2937133571221898E-2</v>
      </c>
      <c r="Z16" s="3626">
        <f>(L16*GDP!AK559)*100</f>
        <v>3.9325953384206316E-2</v>
      </c>
      <c r="AA16" s="3626">
        <f>(M16*GDP!AL559)*100</f>
        <v>2.3835864539185146E-2</v>
      </c>
      <c r="AB16" s="3626">
        <f>(N16*GDP!AM559)*100</f>
        <v>3.407207397080169E-2</v>
      </c>
      <c r="AC16" s="3626">
        <f>(O16*GDP!AN559)*100</f>
        <v>3.0701522050762885E-2</v>
      </c>
    </row>
    <row r="17" spans="1:29">
      <c r="A17" s="127" t="s">
        <v>71</v>
      </c>
      <c r="B17" s="1042">
        <f>GDP!AA605/GDP!AA$591</f>
        <v>2.3423121967542245E-3</v>
      </c>
      <c r="C17" s="1042">
        <f>GDP!AB605/GDP!AB$591</f>
        <v>2.0771750419429575E-3</v>
      </c>
      <c r="D17" s="1042">
        <f>GDP!AC605/GDP!AC$591</f>
        <v>2.1438604272935608E-3</v>
      </c>
      <c r="E17" s="1042">
        <f>GDP!AD605/GDP!AD$591</f>
        <v>2.5030442429982412E-3</v>
      </c>
      <c r="F17" s="1042">
        <f>GDP!AE605/GDP!AE$591</f>
        <v>2.4183796856106408E-3</v>
      </c>
      <c r="G17" s="1042">
        <f>GDP!AF605/GDP!AF$591</f>
        <v>2.7597715165907193E-3</v>
      </c>
      <c r="H17" s="1042">
        <f>GDP!AG605/GDP!AG$591</f>
        <v>3.3311904622757289E-3</v>
      </c>
      <c r="I17" s="1042">
        <f>GDP!AH605/GDP!AH$591</f>
        <v>3.6068044788975023E-3</v>
      </c>
      <c r="J17" s="1042">
        <f>GDP!AI605/GDP!AI$591</f>
        <v>3.91625244765778E-3</v>
      </c>
      <c r="K17" s="1042">
        <f>GDP!AJ605/GDP!AJ$591</f>
        <v>3.7348297602946218E-3</v>
      </c>
      <c r="L17" s="1042">
        <f>GDP!AK605/GDP!AK$591</f>
        <v>4.0437786692907041E-3</v>
      </c>
      <c r="M17" s="1042">
        <f>GDP!AL605/GDP!AL$591</f>
        <v>4.2135383662411765E-3</v>
      </c>
      <c r="N17" s="1042">
        <f>GDP!AM605/GDP!AM$591</f>
        <v>4.3698533181759447E-3</v>
      </c>
      <c r="O17" s="1042">
        <f>GDP!AN605/GDP!AN$591</f>
        <v>4.5156309962928777E-3</v>
      </c>
      <c r="P17" s="1038"/>
      <c r="Q17" s="1048">
        <f>(C17*GDP!AB560)*100</f>
        <v>-1.4836964585306832E-2</v>
      </c>
      <c r="R17" s="1048">
        <f>(D17*GDP!AC560)*100</f>
        <v>2.4736851084156478E-2</v>
      </c>
      <c r="S17" s="1048">
        <f>(E17*GDP!AD560)*100</f>
        <v>6.9049496358572202E-2</v>
      </c>
      <c r="T17" s="1048">
        <f>(F17*GDP!AE560)*100</f>
        <v>-7.1897774437073098E-2</v>
      </c>
      <c r="U17" s="1048">
        <f>(G17*GDP!AF560)*100</f>
        <v>0.18044659916170083</v>
      </c>
      <c r="V17" s="1048">
        <f>(K17*GDP!AG560)*100</f>
        <v>0.12159910847470859</v>
      </c>
      <c r="W17" s="1048">
        <f>(L17*GDP!AH560)*100</f>
        <v>7.0943485426152739E-2</v>
      </c>
      <c r="X17" s="1048">
        <f>(M17*GDP!AI560)*100</f>
        <v>6.9177495565153652E-2</v>
      </c>
      <c r="Y17" s="3626">
        <f>(K17*GDP!AJ560)*100</f>
        <v>1.0402832324964046E-2</v>
      </c>
      <c r="Z17" s="3626">
        <f>(L17*GDP!AK560)*100</f>
        <v>7.0063789206721114E-2</v>
      </c>
      <c r="AA17" s="3626">
        <f>(M17*GDP!AL560)*100</f>
        <v>5.6960131797015395E-2</v>
      </c>
      <c r="AB17" s="3626">
        <f>(N17*GDP!AM560)*100</f>
        <v>5.4675543815472606E-2</v>
      </c>
      <c r="AC17" s="3626">
        <f>(O17*GDP!AN560)*100</f>
        <v>5.2090083787438332E-2</v>
      </c>
    </row>
    <row r="18" spans="1:29">
      <c r="A18" s="127" t="s">
        <v>72</v>
      </c>
      <c r="B18" s="1042">
        <f>GDP!AA606/GDP!AA$591</f>
        <v>3.7644303162121468E-3</v>
      </c>
      <c r="C18" s="1042">
        <f>GDP!AB606/GDP!AB$591</f>
        <v>4.7934808660222098E-3</v>
      </c>
      <c r="D18" s="1042">
        <f>GDP!AC606/GDP!AC$591</f>
        <v>5.3966141790493085E-3</v>
      </c>
      <c r="E18" s="1042">
        <f>GDP!AD606/GDP!AD$591</f>
        <v>6.35908537410364E-3</v>
      </c>
      <c r="F18" s="1042">
        <f>GDP!AE606/GDP!AE$591</f>
        <v>6.8830806436610548E-3</v>
      </c>
      <c r="G18" s="1042">
        <f>GDP!AF606/GDP!AF$591</f>
        <v>8.150953083884218E-3</v>
      </c>
      <c r="H18" s="1042">
        <f>GDP!AG606/GDP!AG$591</f>
        <v>7.0714744900940915E-3</v>
      </c>
      <c r="I18" s="1042">
        <f>GDP!AH606/GDP!AH$591</f>
        <v>9.3130921619293712E-3</v>
      </c>
      <c r="J18" s="1042">
        <f>GDP!AI606/GDP!AI$591</f>
        <v>9.3889642014359596E-3</v>
      </c>
      <c r="K18" s="1042">
        <f>GDP!AJ606/GDP!AJ$591</f>
        <v>8.7735930534067787E-3</v>
      </c>
      <c r="L18" s="1042">
        <f>GDP!AK606/GDP!AK$591</f>
        <v>9.0490302775956492E-3</v>
      </c>
      <c r="M18" s="1042">
        <f>GDP!AL606/GDP!AL$591</f>
        <v>9.6256187431587523E-3</v>
      </c>
      <c r="N18" s="1042">
        <f>GDP!AM606/GDP!AM$591</f>
        <v>9.6812612208661466E-3</v>
      </c>
      <c r="O18" s="1042">
        <f>GDP!AN606/GDP!AN$591</f>
        <v>9.8099826434047011E-3</v>
      </c>
      <c r="P18" s="1038"/>
      <c r="Q18" s="1048">
        <f>(C18*GDP!AB561)*100</f>
        <v>0.15978269553407362</v>
      </c>
      <c r="R18" s="1048">
        <f>(D18*GDP!AC561)*100</f>
        <v>0.1169266405460683</v>
      </c>
      <c r="S18" s="1048">
        <f>(E18*GDP!AD561)*100</f>
        <v>0.18293259295366637</v>
      </c>
      <c r="T18" s="1048">
        <f>(F18*GDP!AE561)*100</f>
        <v>-0.14644852433321393</v>
      </c>
      <c r="U18" s="1048">
        <f>(G18*GDP!AF561)*100</f>
        <v>0.58378447762954533</v>
      </c>
      <c r="V18" s="1048">
        <f>(K18*GDP!AG561)*100</f>
        <v>-4.1450045921606851E-2</v>
      </c>
      <c r="W18" s="1048">
        <f>(L18*GDP!AH561)*100</f>
        <v>0.3888839458140278</v>
      </c>
      <c r="X18" s="1048">
        <f>(M18*GDP!AI561)*100</f>
        <v>7.7895180580475523E-2</v>
      </c>
      <c r="Y18" s="3626">
        <f>(K18*GDP!AJ561)*100</f>
        <v>6.2665297645361547E-3</v>
      </c>
      <c r="Z18" s="3626">
        <f>(L18*GDP!AK561)*100</f>
        <v>0.10645625723501631</v>
      </c>
      <c r="AA18" s="3626">
        <f>(M18*GDP!AL561)*100</f>
        <v>0.15291817194875018</v>
      </c>
      <c r="AB18" s="3626">
        <f>(N18*GDP!AM561)*100</f>
        <v>8.8239125541333424E-2</v>
      </c>
      <c r="AC18" s="3626">
        <f>(O18*GDP!AN561)*100</f>
        <v>9.1918648358925104E-2</v>
      </c>
    </row>
    <row r="19" spans="1:29">
      <c r="A19" s="127" t="s">
        <v>73</v>
      </c>
      <c r="B19" s="1042">
        <f>GDP!AA607/GDP!AA$591</f>
        <v>5.437510456750878E-3</v>
      </c>
      <c r="C19" s="1042">
        <f>GDP!AB607/GDP!AB$591</f>
        <v>5.6722856914596153E-3</v>
      </c>
      <c r="D19" s="1042">
        <f>GDP!AC607/GDP!AC$591</f>
        <v>5.766245287203371E-3</v>
      </c>
      <c r="E19" s="1042">
        <f>GDP!AD607/GDP!AD$591</f>
        <v>6.2914355296982815E-3</v>
      </c>
      <c r="F19" s="1042">
        <f>GDP!AE607/GDP!AE$591</f>
        <v>6.6970514370756212E-3</v>
      </c>
      <c r="G19" s="1042">
        <f>GDP!AF607/GDP!AF$591</f>
        <v>6.5464347602849629E-3</v>
      </c>
      <c r="H19" s="1042">
        <f>GDP!AG607/GDP!AG$591</f>
        <v>6.4286131728128106E-3</v>
      </c>
      <c r="I19" s="1042">
        <f>GDP!AH607/GDP!AH$591</f>
        <v>6.8367786391042209E-3</v>
      </c>
      <c r="J19" s="1042">
        <f>GDP!AI607/GDP!AI$591</f>
        <v>6.1254204950544761E-3</v>
      </c>
      <c r="K19" s="1042">
        <f>GDP!AJ607/GDP!AJ$591</f>
        <v>6.2499125065098851E-3</v>
      </c>
      <c r="L19" s="1042">
        <f>GDP!AK607/GDP!AK$591</f>
        <v>6.5865527049082445E-3</v>
      </c>
      <c r="M19" s="1042">
        <f>GDP!AL607/GDP!AL$591</f>
        <v>6.5720980242494976E-3</v>
      </c>
      <c r="N19" s="1042">
        <f>GDP!AM607/GDP!AM$591</f>
        <v>6.5957809793570363E-3</v>
      </c>
      <c r="O19" s="1042">
        <f>GDP!AN607/GDP!AN$591</f>
        <v>6.5730582109375935E-3</v>
      </c>
      <c r="P19" s="1038"/>
      <c r="Q19" s="1048">
        <f>(C19*GDP!AB562)*100</f>
        <v>5.2359560228857918E-2</v>
      </c>
      <c r="R19" s="1048">
        <f>(D19*GDP!AC562)*100</f>
        <v>5.6850305648483992E-2</v>
      </c>
      <c r="S19" s="1048">
        <f>(E19*GDP!AD562)*100</f>
        <v>0.12098914480189002</v>
      </c>
      <c r="T19" s="1048">
        <f>(F19*GDP!AE562)*100</f>
        <v>-0.15122374212751405</v>
      </c>
      <c r="U19" s="1048">
        <f>(G19*GDP!AF562)*100</f>
        <v>0.27276811501187354</v>
      </c>
      <c r="V19" s="1048">
        <f>(K19*GDP!AG562)*100</f>
        <v>4.9018921619685345E-2</v>
      </c>
      <c r="W19" s="1048">
        <f>(L19*GDP!AH562)*100</f>
        <v>0.10179217816676377</v>
      </c>
      <c r="X19" s="1048">
        <f>(M19*GDP!AI562)*100</f>
        <v>-2.587440167027364E-2</v>
      </c>
      <c r="Y19" s="3626">
        <f>(K19*GDP!AJ562)*100</f>
        <v>6.2303588812747605E-2</v>
      </c>
      <c r="Z19" s="3626">
        <f>(L19*GDP!AK562)*100</f>
        <v>9.3523851967050112E-2</v>
      </c>
      <c r="AA19" s="3626">
        <f>(M19*GDP!AL562)*100</f>
        <v>5.7214844751399263E-2</v>
      </c>
      <c r="AB19" s="3626">
        <f>(N19*GDP!AM562)*100</f>
        <v>5.8558903205941572E-2</v>
      </c>
      <c r="AC19" s="3626">
        <f>(O19*GDP!AN562)*100</f>
        <v>4.9711872734468115E-2</v>
      </c>
    </row>
    <row r="20" spans="1:29">
      <c r="A20" s="127" t="s">
        <v>74</v>
      </c>
      <c r="B20" s="1042">
        <f>GDP!AA608/GDP!AA$591</f>
        <v>3.513468295131337E-3</v>
      </c>
      <c r="C20" s="1042">
        <f>GDP!AB608/GDP!AB$591</f>
        <v>3.7548933450507311E-3</v>
      </c>
      <c r="D20" s="1042">
        <f>GDP!AC608/GDP!AC$591</f>
        <v>4.2137946329563096E-3</v>
      </c>
      <c r="E20" s="1042">
        <f>GDP!AD608/GDP!AD$591</f>
        <v>4.6678392639696925E-3</v>
      </c>
      <c r="F20" s="1042">
        <f>GDP!AE608/GDP!AE$591</f>
        <v>5.6738908008557342E-3</v>
      </c>
      <c r="G20" s="1042">
        <f>GDP!AF608/GDP!AF$591</f>
        <v>4.7493742378537963E-3</v>
      </c>
      <c r="H20" s="1042">
        <f>GDP!AG608/GDP!AG$591</f>
        <v>4.9675647244462624E-3</v>
      </c>
      <c r="I20" s="1042">
        <f>GDP!AH608/GDP!AH$591</f>
        <v>5.2217915590008612E-3</v>
      </c>
      <c r="J20" s="1042">
        <f>GDP!AI608/GDP!AI$591</f>
        <v>5.9245870362002306E-3</v>
      </c>
      <c r="K20" s="1042">
        <f>GDP!AJ608/GDP!AJ$591</f>
        <v>5.8112096047871842E-3</v>
      </c>
      <c r="L20" s="1042">
        <f>GDP!AK608/GDP!AK$591</f>
        <v>6.1181984642308465E-3</v>
      </c>
      <c r="M20" s="1042">
        <f>GDP!AL608/GDP!AL$591</f>
        <v>6.3960513527282449E-3</v>
      </c>
      <c r="N20" s="1042">
        <f>GDP!AM608/GDP!AM$591</f>
        <v>6.7114017453721907E-3</v>
      </c>
      <c r="O20" s="1042">
        <f>GDP!AN608/GDP!AN$591</f>
        <v>6.95688859762393E-3</v>
      </c>
      <c r="P20" s="1038"/>
      <c r="Q20" s="1048">
        <f>(C20*GDP!AB563)*100</f>
        <v>4.4701111250603949E-2</v>
      </c>
      <c r="R20" s="1048">
        <f>(D20*GDP!AC563)*100</f>
        <v>8.9655204956517257E-2</v>
      </c>
      <c r="S20" s="1048">
        <f>(E20*GDP!AD563)*100</f>
        <v>9.8270300294098792E-2</v>
      </c>
      <c r="T20" s="1048">
        <f>(F20*GDP!AE563)*100</f>
        <v>-6.5784241169341826E-2</v>
      </c>
      <c r="U20" s="1048">
        <f>(G20*GDP!AF563)*100</f>
        <v>0.1012161722821301</v>
      </c>
      <c r="V20" s="1048">
        <f>(K20*GDP!AG563)*100</f>
        <v>8.6382845476566272E-2</v>
      </c>
      <c r="W20" s="1048">
        <f>(L20*GDP!AH563)*100</f>
        <v>8.6374566553847204E-2</v>
      </c>
      <c r="X20" s="1048">
        <f>(M20*GDP!AI563)*100</f>
        <v>0.13847121485287947</v>
      </c>
      <c r="Y20" s="3626">
        <f>(K20*GDP!AJ563)*100</f>
        <v>3.3215246185427198E-2</v>
      </c>
      <c r="Z20" s="3626">
        <f>(L20*GDP!AK563)*100</f>
        <v>8.6186627872299928E-2</v>
      </c>
      <c r="AA20" s="3626">
        <f>(M20*GDP!AL563)*100</f>
        <v>8.8856792502813323E-2</v>
      </c>
      <c r="AB20" s="3626">
        <f>(N20*GDP!AM563)*100</f>
        <v>9.285992538613666E-2</v>
      </c>
      <c r="AC20" s="3626">
        <f>(O20*GDP!AN563)*100</f>
        <v>8.2667383202583655E-2</v>
      </c>
    </row>
    <row r="21" spans="1:29">
      <c r="A21" s="127" t="s">
        <v>75</v>
      </c>
      <c r="B21" s="1042">
        <f>GDP!AA609/GDP!AA$591</f>
        <v>7.1942446043165471E-3</v>
      </c>
      <c r="C21" s="1042">
        <f>GDP!AB609/GDP!AB$591</f>
        <v>7.7494607334025727E-3</v>
      </c>
      <c r="D21" s="1042">
        <f>GDP!AC609/GDP!AC$591</f>
        <v>7.8361794928661199E-3</v>
      </c>
      <c r="E21" s="1042">
        <f>GDP!AD609/GDP!AD$591</f>
        <v>7.3738330401840078E-3</v>
      </c>
      <c r="F21" s="1042">
        <f>GDP!AE609/GDP!AE$591</f>
        <v>7.2551390568319227E-3</v>
      </c>
      <c r="G21" s="1042">
        <f>GDP!AF609/GDP!AF$591</f>
        <v>8.150953083884218E-3</v>
      </c>
      <c r="H21" s="1042">
        <f>GDP!AG609/GDP!AG$591</f>
        <v>6.6039389866167962E-3</v>
      </c>
      <c r="I21" s="1042">
        <f>GDP!AH609/GDP!AH$591</f>
        <v>5.6524547803617573E-3</v>
      </c>
      <c r="J21" s="1042">
        <f>GDP!AI609/GDP!AI$591</f>
        <v>5.5229201184917405E-3</v>
      </c>
      <c r="K21" s="1042">
        <f>GDP!AJ609/GDP!AJ$591</f>
        <v>5.9702841532403208E-3</v>
      </c>
      <c r="L21" s="1042">
        <f>GDP!AK609/GDP!AK$591</f>
        <v>5.8918298675263861E-3</v>
      </c>
      <c r="M21" s="1042">
        <f>GDP!AL609/GDP!AL$591</f>
        <v>5.7481609187037108E-3</v>
      </c>
      <c r="N21" s="1042">
        <f>GDP!AM609/GDP!AM$591</f>
        <v>5.6140419673969925E-3</v>
      </c>
      <c r="O21" s="1042">
        <f>GDP!AN609/GDP!AN$591</f>
        <v>5.5291831308389274E-3</v>
      </c>
      <c r="P21" s="1038"/>
      <c r="Q21" s="1048">
        <f>(C21*GDP!AB564)*100</f>
        <v>9.9121009380730582E-2</v>
      </c>
      <c r="R21" s="1048">
        <f>(D21*GDP!AC564)*100</f>
        <v>7.2706820036902056E-2</v>
      </c>
      <c r="S21" s="1048">
        <f>(E21*GDP!AD564)*100</f>
        <v>2.0869338792973684E-2</v>
      </c>
      <c r="T21" s="1048">
        <f>(F21*GDP!AE564)*100</f>
        <v>-0.20633881721265099</v>
      </c>
      <c r="U21" s="1048">
        <f>(G21*GDP!AF564)*100</f>
        <v>0.51204705270554696</v>
      </c>
      <c r="V21" s="1048">
        <f>(K21*GDP!AG564)*100</f>
        <v>-6.5814156019972064E-2</v>
      </c>
      <c r="W21" s="1048">
        <f>(L21*GDP!AH564)*100</f>
        <v>-4.1712069858593881E-2</v>
      </c>
      <c r="X21" s="1048">
        <f>(M21*GDP!AI564)*100</f>
        <v>2.7372194850970085E-2</v>
      </c>
      <c r="Y21" s="3626">
        <f>(K21*GDP!AJ564)*100</f>
        <v>9.8560025998226913E-2</v>
      </c>
      <c r="Z21" s="3626">
        <f>(L21*GDP!AK564)*100</f>
        <v>4.088042929429761E-2</v>
      </c>
      <c r="AA21" s="3626">
        <f>(M21*GDP!AL564)*100</f>
        <v>3.6145871366198172E-2</v>
      </c>
      <c r="AB21" s="3626">
        <f>(N21*GDP!AM564)*100</f>
        <v>3.3437325542398498E-2</v>
      </c>
      <c r="AC21" s="3626">
        <f>(O21*GDP!AN564)*100</f>
        <v>3.4852268641419985E-2</v>
      </c>
    </row>
    <row r="22" spans="1:29">
      <c r="A22" s="118" t="s">
        <v>76</v>
      </c>
      <c r="B22" s="1040">
        <f>GDP!AA610/GDP!AA$591</f>
        <v>5.7721264848586244E-3</v>
      </c>
      <c r="C22" s="1040">
        <f>GDP!AB610/GDP!AB$591</f>
        <v>5.9119597347607258E-3</v>
      </c>
      <c r="D22" s="1040">
        <f>GDP!AC610/GDP!AC$591</f>
        <v>5.9880239520958087E-3</v>
      </c>
      <c r="E22" s="1040">
        <f>GDP!AD610/GDP!AD$591</f>
        <v>5.9531863076714925E-3</v>
      </c>
      <c r="F22" s="1040">
        <f>GDP!AE610/GDP!AE$591</f>
        <v>6.2319784206120365E-3</v>
      </c>
      <c r="G22" s="1040">
        <f>GDP!AF610/GDP!AF$591</f>
        <v>6.3538925614530515E-3</v>
      </c>
      <c r="H22" s="1040">
        <f>GDP!AG610/GDP!AG$591</f>
        <v>6.6039389866167962E-3</v>
      </c>
      <c r="I22" s="1040">
        <f>GDP!AH610/GDP!AH$591</f>
        <v>6.5676141257536604E-3</v>
      </c>
      <c r="J22" s="1040">
        <f>GDP!AI610/GDP!AI$591</f>
        <v>7.3806296128935082E-3</v>
      </c>
      <c r="K22" s="1040">
        <f>GDP!AJ610/GDP!AJ$591</f>
        <v>7.5836612459385727E-3</v>
      </c>
      <c r="L22" s="1040">
        <f>GDP!AK610/GDP!AK$591</f>
        <v>7.9128693495186201E-3</v>
      </c>
      <c r="M22" s="1040">
        <f>GDP!AL610/GDP!AL$591</f>
        <v>8.3357557250949982E-3</v>
      </c>
      <c r="N22" s="1040">
        <f>GDP!AM610/GDP!AM$591</f>
        <v>8.6716537285962229E-3</v>
      </c>
      <c r="O22" s="1040">
        <f>GDP!AN610/GDP!AN$591</f>
        <v>9.1239256040985036E-3</v>
      </c>
      <c r="P22" s="1038"/>
      <c r="Q22" s="1046">
        <f>(C22*GDP!AB565)*100</f>
        <v>4.2840287933048796E-2</v>
      </c>
      <c r="R22" s="1046">
        <f>(D22*GDP!AC565)*100</f>
        <v>5.6643469817122469E-2</v>
      </c>
      <c r="S22" s="1046">
        <f>(E22*GDP!AD565)*100</f>
        <v>5.1447289078642496E-2</v>
      </c>
      <c r="T22" s="1046">
        <f>(F22*GDP!AE565)*100</f>
        <v>-0.14871766685551452</v>
      </c>
      <c r="U22" s="1046">
        <f>(G22*GDP!AF565)*100</f>
        <v>0.30346949547238455</v>
      </c>
      <c r="V22" s="1046">
        <f>(K22*GDP!AG565)*100</f>
        <v>0.10724369438701015</v>
      </c>
      <c r="W22" s="1046">
        <f>(L22*GDP!AH565)*100</f>
        <v>6.3022853226254422E-2</v>
      </c>
      <c r="X22" s="1046">
        <f>(M22*GDP!AI565)*100</f>
        <v>0.17081466649784824</v>
      </c>
      <c r="Y22" s="3624">
        <f>(K22*GDP!AJ565)*100</f>
        <v>8.1471939392867815E-2</v>
      </c>
      <c r="Z22" s="3624">
        <f>(L22*GDP!AK565)*100</f>
        <v>0.10339348876487106</v>
      </c>
      <c r="AA22" s="3624">
        <f>(M22*GDP!AL565)*100</f>
        <v>0.1230951851965251</v>
      </c>
      <c r="AB22" s="3624">
        <f>(N22*GDP!AM565)*100</f>
        <v>0.11150797196455325</v>
      </c>
      <c r="AC22" s="3624">
        <f>(O22*GDP!AN565)*100</f>
        <v>0.12375854583192909</v>
      </c>
    </row>
    <row r="23" spans="1:29">
      <c r="A23" s="118" t="s">
        <v>77</v>
      </c>
      <c r="B23" s="1040">
        <f>GDP!AA611/GDP!AA$591</f>
        <v>5.0192404216161954E-3</v>
      </c>
      <c r="C23" s="1040">
        <f>GDP!AB611/GDP!AB$591</f>
        <v>4.7934808660222098E-3</v>
      </c>
      <c r="D23" s="1040">
        <f>GDP!AC611/GDP!AC$591</f>
        <v>4.5834257411103722E-3</v>
      </c>
      <c r="E23" s="1040">
        <f>GDP!AD611/GDP!AD$591</f>
        <v>4.2619401975375459E-3</v>
      </c>
      <c r="F23" s="1040">
        <f>GDP!AE611/GDP!AE$591</f>
        <v>4.4647009580504136E-3</v>
      </c>
      <c r="G23" s="1040">
        <f>GDP!AF611/GDP!AF$591</f>
        <v>4.4284705731339451E-3</v>
      </c>
      <c r="H23" s="1040">
        <f>GDP!AG611/GDP!AG$591</f>
        <v>4.2078195312956574E-3</v>
      </c>
      <c r="I23" s="1040">
        <f>GDP!AH611/GDP!AH$591</f>
        <v>3.983634797588286E-3</v>
      </c>
      <c r="J23" s="1040">
        <f>GDP!AI611/GDP!AI$591</f>
        <v>3.91625244765778E-3</v>
      </c>
      <c r="K23" s="1040">
        <f>GDP!AJ611/GDP!AJ$591</f>
        <v>4.0200070815611891E-3</v>
      </c>
      <c r="L23" s="1040">
        <f>GDP!AK611/GDP!AK$591</f>
        <v>3.9424658643522166E-3</v>
      </c>
      <c r="M23" s="1040">
        <f>GDP!AL611/GDP!AL$591</f>
        <v>3.8879058003120455E-3</v>
      </c>
      <c r="N23" s="1040">
        <f>GDP!AM611/GDP!AM$591</f>
        <v>3.8745403150203667E-3</v>
      </c>
      <c r="O23" s="1040">
        <f>GDP!AN611/GDP!AN$591</f>
        <v>3.8508398262270677E-3</v>
      </c>
      <c r="P23" s="1038"/>
      <c r="Q23" s="1046">
        <f>(C23*GDP!AB566)*100</f>
        <v>0</v>
      </c>
      <c r="R23" s="1046">
        <f>(D23*GDP!AC566)*100</f>
        <v>1.5278085803701286E-2</v>
      </c>
      <c r="S23" s="1046">
        <f>(E23*GDP!AD566)*100</f>
        <v>6.8740970928024879E-3</v>
      </c>
      <c r="T23" s="1046">
        <f>(F23*GDP!AE566)*100</f>
        <v>-0.10630240376310511</v>
      </c>
      <c r="U23" s="1046">
        <f>(G23*GDP!AF566)*100</f>
        <v>0.19374558757461008</v>
      </c>
      <c r="V23" s="1046">
        <f>(K23*GDP!AG566)*100</f>
        <v>1.747829165896168E-2</v>
      </c>
      <c r="W23" s="1046">
        <f>(L23*GDP!AH566)*100</f>
        <v>1.0951294067645006E-2</v>
      </c>
      <c r="X23" s="1046">
        <f>(M23*GDP!AI566)*100</f>
        <v>2.1015707028713717E-2</v>
      </c>
      <c r="Y23" s="3624">
        <f>(K23*GDP!AJ566)*100</f>
        <v>4.2747361730013457E-2</v>
      </c>
      <c r="Z23" s="3624">
        <f>(L23*GDP!AK566)*100</f>
        <v>2.4728245222695216E-2</v>
      </c>
      <c r="AA23" s="3624">
        <f>(M23*GDP!AL566)*100</f>
        <v>2.8914792938530033E-2</v>
      </c>
      <c r="AB23" s="3624">
        <f>(N23*GDP!AM566)*100</f>
        <v>3.1439369373126587E-2</v>
      </c>
      <c r="AC23" s="3624">
        <f>(O23*GDP!AN566)*100</f>
        <v>2.8013241878138813E-2</v>
      </c>
    </row>
    <row r="24" spans="1:29" ht="15.5" thickBot="1">
      <c r="A24" s="118" t="s">
        <v>35</v>
      </c>
      <c r="B24" s="1041">
        <f>GDP!AA612/GDP!AA$591</f>
        <v>9.6704032123138703E-2</v>
      </c>
      <c r="C24" s="1041">
        <f>GDP!AB612/GDP!AB$591</f>
        <v>8.3326675721019414E-2</v>
      </c>
      <c r="D24" s="1041">
        <f>GDP!AC612/GDP!AC$591</f>
        <v>8.0505655355954761E-2</v>
      </c>
      <c r="E24" s="1041">
        <f>GDP!AD612/GDP!AD$591</f>
        <v>9.7754025165742123E-2</v>
      </c>
      <c r="F24" s="1041">
        <f>GDP!AE612/GDP!AE$591</f>
        <v>9.5525997581620309E-2</v>
      </c>
      <c r="G24" s="1041">
        <f>GDP!AF612/GDP!AF$591</f>
        <v>9.1265002246325652E-2</v>
      </c>
      <c r="H24" s="1041">
        <f>GDP!AG612/GDP!AG$591</f>
        <v>0.11027993688270703</v>
      </c>
      <c r="I24" s="1041">
        <f>GDP!AH612/GDP!AH$591</f>
        <v>0.10976528854435831</v>
      </c>
      <c r="J24" s="1041">
        <f>GDP!AI612/GDP!AI$591</f>
        <v>0.11040819400512125</v>
      </c>
      <c r="K24" s="1041">
        <f>GDP!AJ612/GDP!AJ$591</f>
        <v>0.11507268889129944</v>
      </c>
      <c r="L24" s="1041">
        <f>GDP!AK612/GDP!AK$591</f>
        <v>0.11271589776980404</v>
      </c>
      <c r="M24" s="1041">
        <f>GDP!AL612/GDP!AL$591</f>
        <v>0.1100206793081164</v>
      </c>
      <c r="N24" s="1041">
        <f>GDP!AM612/GDP!AM$591</f>
        <v>0.10784279149604405</v>
      </c>
      <c r="O24" s="1041">
        <f>GDP!AN612/GDP!AN$591</f>
        <v>0.10624909815424512</v>
      </c>
      <c r="P24" s="1038"/>
      <c r="Q24" s="1047">
        <f>(C24*GDP!AB567)*100</f>
        <v>-0.81452546336290599</v>
      </c>
      <c r="R24" s="1047">
        <f>(D24*GDP!AC567)*100</f>
        <v>0.35505849917295484</v>
      </c>
      <c r="S24" s="1047">
        <f>(E24*GDP!AD567)*100</f>
        <v>3.1956320439856931</v>
      </c>
      <c r="T24" s="1047">
        <f>(F24*GDP!AE567)*100</f>
        <v>-2.7633125944025805</v>
      </c>
      <c r="U24" s="1047">
        <f>(G24*GDP!AF567)*100</f>
        <v>3.5101923940894482</v>
      </c>
      <c r="V24" s="1047">
        <f>(K24*GDP!AG567)*100</f>
        <v>3.76292548062266</v>
      </c>
      <c r="W24" s="1047">
        <f>(L24*GDP!AH567)*100</f>
        <v>0.90793939909963972</v>
      </c>
      <c r="X24" s="1047">
        <f>(M24*GDP!AI567)*100</f>
        <v>0.8633304899116534</v>
      </c>
      <c r="Y24" s="3625">
        <f>(K24*GDP!AJ567)*100</f>
        <v>1.4190341083499913</v>
      </c>
      <c r="Z24" s="3625">
        <f>(L24*GDP!AK567)*100</f>
        <v>0.69242546169117314</v>
      </c>
      <c r="AA24" s="3625">
        <f>(M24*GDP!AL567)*100</f>
        <v>0.69750490018487366</v>
      </c>
      <c r="AB24" s="3625">
        <f>(N24*GDP!AM567)*100</f>
        <v>0.68369761022332809</v>
      </c>
      <c r="AC24" s="3625">
        <f>(O24*GDP!AN567)*100</f>
        <v>0.67359397404977139</v>
      </c>
    </row>
    <row r="25" spans="1:29" ht="15.5" thickBot="1">
      <c r="A25" s="104" t="s">
        <v>130</v>
      </c>
      <c r="B25" s="1039">
        <f>GDP!AA613/GDP!AA$591</f>
        <v>0.48937594110757904</v>
      </c>
      <c r="C25" s="1039">
        <f>GDP!AB613/GDP!AB$591</f>
        <v>0.49348885515698648</v>
      </c>
      <c r="D25" s="1039">
        <f>GDP!AC613/GDP!AC$591</f>
        <v>0.50092407777038517</v>
      </c>
      <c r="E25" s="1039">
        <f>GDP!AD613/GDP!AD$591</f>
        <v>0.49634690840211065</v>
      </c>
      <c r="F25" s="1039">
        <f>GDP!AE613/GDP!AE$591</f>
        <v>0.47567668123895451</v>
      </c>
      <c r="G25" s="1039">
        <f>GDP!AF613/GDP!AF$591</f>
        <v>0.49855593350876065</v>
      </c>
      <c r="H25" s="1039">
        <f>GDP!AG613/GDP!AG$591</f>
        <v>0.5006720822862486</v>
      </c>
      <c r="I25" s="1039">
        <f>GDP!AH613/GDP!AH$591</f>
        <v>0.51475021533161069</v>
      </c>
      <c r="J25" s="1039">
        <f>GDP!AI613/GDP!AI$591</f>
        <v>0.52191595119746947</v>
      </c>
      <c r="K25" s="1039">
        <f>GDP!AJ613/GDP!AJ$591</f>
        <v>0.52116052125721135</v>
      </c>
      <c r="L25" s="1039">
        <f>GDP!AK613/GDP!AK$591</f>
        <v>0.52085944963915431</v>
      </c>
      <c r="M25" s="1039">
        <f>GDP!AL613/GDP!AL$591</f>
        <v>0.52453051955062535</v>
      </c>
      <c r="N25" s="1039">
        <f>GDP!AM613/GDP!AM$591</f>
        <v>0.52987437031292506</v>
      </c>
      <c r="O25" s="1039">
        <f>GDP!AN613/GDP!AN$591</f>
        <v>0.53453298675800087</v>
      </c>
      <c r="P25" s="1038"/>
      <c r="Q25" s="1045">
        <f>(C25*GDP!AB568)*100</f>
        <v>2.7584761647236626</v>
      </c>
      <c r="R25" s="1045">
        <f>(D25*GDP!AC568)*100</f>
        <v>4.8575930481538103</v>
      </c>
      <c r="S25" s="1045">
        <f>(E25*GDP!AD568)*100</f>
        <v>4.1093656377447507</v>
      </c>
      <c r="T25" s="1045">
        <f>(F25*GDP!AE568)*100</f>
        <v>-14.412283799839114</v>
      </c>
      <c r="U25" s="1045">
        <f>(G25*GDP!AF568)*100</f>
        <v>25.873434640833999</v>
      </c>
      <c r="V25" s="1045">
        <f>(K25*GDP!AG568)*100</f>
        <v>5.360546556185783</v>
      </c>
      <c r="W25" s="1045">
        <f>(L25*GDP!AH568)*100</f>
        <v>6.0494356529818862</v>
      </c>
      <c r="X25" s="1045">
        <f>(M25*GDP!AI568)*100</f>
        <v>4.569482564167231</v>
      </c>
      <c r="Y25" s="3623">
        <f>(K25*GDP!AJ568)*100</f>
        <v>3.9724141297361881</v>
      </c>
      <c r="Z25" s="3623">
        <f>(L25*GDP!AK568)*100</f>
        <v>4.3230621461721057</v>
      </c>
      <c r="AA25" s="3623">
        <f>(M25*GDP!AL568)*100</f>
        <v>5.0945873372244685</v>
      </c>
      <c r="AB25" s="3623">
        <f>(N25*GDP!AM568)*100</f>
        <v>5.0828468031671177</v>
      </c>
      <c r="AC25" s="3623">
        <f>(O25*GDP!AN568)*100</f>
        <v>4.7486681162525279</v>
      </c>
    </row>
    <row r="26" spans="1:29">
      <c r="A26" s="122" t="s">
        <v>106</v>
      </c>
      <c r="B26" s="1040">
        <f>GDP!AA614/GDP!AA$591</f>
        <v>0.14798393843065083</v>
      </c>
      <c r="C26" s="1040">
        <f>GDP!AB614/GDP!AB$591</f>
        <v>0.15067508188863146</v>
      </c>
      <c r="D26" s="1040">
        <f>GDP!AC614/GDP!AC$591</f>
        <v>0.16463369557181931</v>
      </c>
      <c r="E26" s="1040">
        <f>GDP!AD614/GDP!AD$591</f>
        <v>0.1719659044784197</v>
      </c>
      <c r="F26" s="1040">
        <f>GDP!AE614/GDP!AE$591</f>
        <v>0.15459027067249559</v>
      </c>
      <c r="G26" s="1040">
        <f>GDP!AF614/GDP!AF$591</f>
        <v>0.1646235800012836</v>
      </c>
      <c r="H26" s="1040">
        <f>GDP!AG614/GDP!AG$591</f>
        <v>0.16977382970019286</v>
      </c>
      <c r="I26" s="1040">
        <f>GDP!AH614/GDP!AH$591</f>
        <v>0.17797157622739018</v>
      </c>
      <c r="J26" s="1040">
        <f>GDP!AI614/GDP!AI$591</f>
        <v>0.18044886278053923</v>
      </c>
      <c r="K26" s="1040">
        <f>GDP!AJ614/GDP!AJ$591</f>
        <v>0.18855716578497336</v>
      </c>
      <c r="L26" s="1040">
        <f>GDP!AK614/GDP!AK$591</f>
        <v>0.18672398903359155</v>
      </c>
      <c r="M26" s="1040">
        <f>GDP!AL614/GDP!AL$591</f>
        <v>0.18611403876850841</v>
      </c>
      <c r="N26" s="1040">
        <f>GDP!AM614/GDP!AM$591</f>
        <v>0.18677500285759482</v>
      </c>
      <c r="O26" s="1040">
        <f>GDP!AN614/GDP!AN$591</f>
        <v>0.18361819047983158</v>
      </c>
      <c r="P26" s="1038"/>
      <c r="Q26" s="1046">
        <f>(C26*GDP!AB569)*100</f>
        <v>0.99655085251384201</v>
      </c>
      <c r="R26" s="1046">
        <f>(D26*GDP!AC569)*100</f>
        <v>2.9766749835625874</v>
      </c>
      <c r="S26" s="1046">
        <f>(E26*GDP!AD569)*100</f>
        <v>2.4323870637944416</v>
      </c>
      <c r="T26" s="1046">
        <f>(F26*GDP!AE569)*100</f>
        <v>-5.3516694804011067</v>
      </c>
      <c r="U26" s="1046">
        <f>(G26*GDP!AF569)*100</f>
        <v>8.9443497437520509</v>
      </c>
      <c r="V26" s="1046">
        <f>(K26*GDP!AG569)*100</f>
        <v>2.4993932306780096</v>
      </c>
      <c r="W26" s="1046">
        <f>(L26*GDP!AH569)*100</f>
        <v>2.5774980930282347</v>
      </c>
      <c r="X26" s="1046">
        <f>(M26*GDP!AI569)*100</f>
        <v>1.621320119943449</v>
      </c>
      <c r="Y26" s="3624">
        <f>(K26*GDP!AJ569)*100</f>
        <v>2.3798106992712031</v>
      </c>
      <c r="Z26" s="3624">
        <f>(L26*GDP!AK569)*100</f>
        <v>1.3647562796585821</v>
      </c>
      <c r="AA26" s="3624">
        <f>(M26*GDP!AL569)*100</f>
        <v>1.5985203898212217</v>
      </c>
      <c r="AB26" s="3624">
        <f>(N26*GDP!AM569)*100</f>
        <v>1.657175578360355</v>
      </c>
      <c r="AC26" s="3624">
        <f>(O26*GDP!AN569)*100</f>
        <v>1.122005334037929</v>
      </c>
    </row>
    <row r="27" spans="1:29">
      <c r="A27" s="127" t="s">
        <v>107</v>
      </c>
      <c r="B27" s="1042">
        <f>GDP!AA615/GDP!AA$591</f>
        <v>4.3500083654007026E-3</v>
      </c>
      <c r="C27" s="1042">
        <f>GDP!AB615/GDP!AB$591</f>
        <v>4.4739154749540624E-3</v>
      </c>
      <c r="D27" s="1042">
        <f>GDP!AC615/GDP!AC$591</f>
        <v>4.3616470762179345E-3</v>
      </c>
      <c r="E27" s="1042">
        <f>GDP!AD615/GDP!AD$591</f>
        <v>4.2619401975375459E-3</v>
      </c>
      <c r="F27" s="1042">
        <f>GDP!AE615/GDP!AE$591</f>
        <v>4.27867175146498E-3</v>
      </c>
      <c r="G27" s="1042">
        <f>GDP!AF615/GDP!AF$591</f>
        <v>5.5837237661254093E-3</v>
      </c>
      <c r="H27" s="1042">
        <f>GDP!AG615/GDP!AG$591</f>
        <v>5.7273099175968673E-3</v>
      </c>
      <c r="I27" s="1042">
        <f>GDP!AH615/GDP!AH$591</f>
        <v>6.0831180017226526E-3</v>
      </c>
      <c r="J27" s="1042">
        <f>GDP!AI615/GDP!AI$591</f>
        <v>6.4768790480494052E-3</v>
      </c>
      <c r="K27" s="1042">
        <f>GDP!AJ615/GDP!AJ$591</f>
        <v>7.4451516644788024E-3</v>
      </c>
      <c r="L27" s="1042">
        <f>GDP!AK615/GDP!AK$591</f>
        <v>8.0042465361703924E-3</v>
      </c>
      <c r="M27" s="1042">
        <f>GDP!AL615/GDP!AL$591</f>
        <v>8.6301594757980989E-3</v>
      </c>
      <c r="N27" s="1042">
        <f>GDP!AM615/GDP!AM$591</f>
        <v>9.3871737152546389E-3</v>
      </c>
      <c r="O27" s="1042">
        <f>GDP!AN615/GDP!AN$591</f>
        <v>1.0346439268218122E-2</v>
      </c>
      <c r="P27" s="1038"/>
      <c r="Q27" s="1048">
        <f>(C27*GDP!AB570)*100</f>
        <v>3.4414734422723539E-2</v>
      </c>
      <c r="R27" s="1048">
        <f>(D27*GDP!AC570)*100</f>
        <v>2.3365966479738948E-2</v>
      </c>
      <c r="S27" s="1048">
        <f>(E27*GDP!AD570)*100</f>
        <v>2.8894509813813887E-2</v>
      </c>
      <c r="T27" s="1048">
        <f>(F27*GDP!AE570)*100</f>
        <v>-0.11545622186492806</v>
      </c>
      <c r="U27" s="1048">
        <f>(G27*GDP!AF570)*100</f>
        <v>0.49767972698074298</v>
      </c>
      <c r="V27" s="1048">
        <f>(K27*GDP!AG570)*100</f>
        <v>9.4134101504904366E-2</v>
      </c>
      <c r="W27" s="1048">
        <f>(L27*GDP!AH570)*100</f>
        <v>0.12251397759444484</v>
      </c>
      <c r="X27" s="1048">
        <f>(M27*GDP!AI570)*100</f>
        <v>0.12219694832988459</v>
      </c>
      <c r="Y27" s="3626">
        <f>(K27*GDP!AJ570)*100</f>
        <v>0.17787024702829501</v>
      </c>
      <c r="Z27" s="3626">
        <f>(L27*GDP!AK570)*100</f>
        <v>0.13206975025577761</v>
      </c>
      <c r="AA27" s="3626">
        <f>(M27*GDP!AL570)*100</f>
        <v>0.15071737143361885</v>
      </c>
      <c r="AB27" s="3626">
        <f>(N27*GDP!AM570)*100</f>
        <v>0.16900205675966548</v>
      </c>
      <c r="AC27" s="3626">
        <f>(O27*GDP!AN570)*100</f>
        <v>0.19621568844849155</v>
      </c>
    </row>
    <row r="28" spans="1:29">
      <c r="A28" s="127" t="s">
        <v>36</v>
      </c>
      <c r="B28" s="1042">
        <f>GDP!AA616/GDP!AA$591</f>
        <v>7.5455914338296806E-2</v>
      </c>
      <c r="C28" s="1042">
        <f>GDP!AB616/GDP!AB$591</f>
        <v>7.3420148597906854E-2</v>
      </c>
      <c r="D28" s="1042">
        <f>GDP!AC616/GDP!AC$591</f>
        <v>8.0283876691062322E-2</v>
      </c>
      <c r="E28" s="1042">
        <f>GDP!AD616/GDP!AD$591</f>
        <v>8.5035854417534834E-2</v>
      </c>
      <c r="F28" s="1042">
        <f>GDP!AE616/GDP!AE$591</f>
        <v>8.3806157566737982E-2</v>
      </c>
      <c r="G28" s="1042">
        <f>GDP!AF616/GDP!AF$591</f>
        <v>8.5745459213144221E-2</v>
      </c>
      <c r="H28" s="1042">
        <f>GDP!AG616/GDP!AG$591</f>
        <v>8.4565484191455792E-2</v>
      </c>
      <c r="I28" s="1042">
        <f>GDP!AH616/GDP!AH$591</f>
        <v>8.8447459086993974E-2</v>
      </c>
      <c r="J28" s="1042">
        <f>GDP!AI616/GDP!AI$591</f>
        <v>9.1479640508108653E-2</v>
      </c>
      <c r="K28" s="1042">
        <f>GDP!AJ616/GDP!AJ$591</f>
        <v>9.4418903710716595E-2</v>
      </c>
      <c r="L28" s="1042">
        <f>GDP!AK616/GDP!AK$591</f>
        <v>9.5360191907346778E-2</v>
      </c>
      <c r="M28" s="1042">
        <f>GDP!AL616/GDP!AL$591</f>
        <v>9.7602230317791111E-2</v>
      </c>
      <c r="N28" s="1042">
        <f>GDP!AM616/GDP!AM$591</f>
        <v>9.7665062759037649E-2</v>
      </c>
      <c r="O28" s="1042">
        <f>GDP!AN616/GDP!AN$591</f>
        <v>9.6490031803346477E-2</v>
      </c>
      <c r="P28" s="1038"/>
      <c r="Q28" s="1048">
        <f>(C28*GDP!AB571)*100</f>
        <v>0.13837500290071106</v>
      </c>
      <c r="R28" s="1048">
        <f>(D28*GDP!AC571)*100</f>
        <v>1.4589126667472698</v>
      </c>
      <c r="S28" s="1048">
        <f>(E28*GDP!AD571)*100</f>
        <v>1.3389623485633937</v>
      </c>
      <c r="T28" s="1048">
        <f>(F28*GDP!AE571)*100</f>
        <v>-2.3735077242449263</v>
      </c>
      <c r="U28" s="1048">
        <f>(G28*GDP!AF571)*100</f>
        <v>4.1397641240530234</v>
      </c>
      <c r="V28" s="1048">
        <f>(K28*GDP!AG571)*100</f>
        <v>0.78446843651867826</v>
      </c>
      <c r="W28" s="1048">
        <f>(L28*GDP!AH571)*100</f>
        <v>1.2916791716544549</v>
      </c>
      <c r="X28" s="1048">
        <f>(M28*GDP!AI571)*100</f>
        <v>1.063347487941851</v>
      </c>
      <c r="Y28" s="3626">
        <f>(K28*GDP!AJ571)*100</f>
        <v>1.0613806743216874</v>
      </c>
      <c r="Z28" s="3626">
        <f>(L28*GDP!AK571)*100</f>
        <v>0.90046330595857005</v>
      </c>
      <c r="AA28" s="3626">
        <f>(M28*GDP!AL571)*100</f>
        <v>1.1230344216440986</v>
      </c>
      <c r="AB28" s="3626">
        <f>(N28*GDP!AM571)*100</f>
        <v>0.83573319593009932</v>
      </c>
      <c r="AC28" s="3626">
        <f>(O28*GDP!AN571)*100</f>
        <v>0.64032969077717905</v>
      </c>
    </row>
    <row r="29" spans="1:29">
      <c r="A29" s="127" t="s">
        <v>108</v>
      </c>
      <c r="B29" s="1042">
        <f>GDP!AA617/GDP!AA$591</f>
        <v>7.1105905972896108E-2</v>
      </c>
      <c r="C29" s="1042">
        <f>GDP!AB617/GDP!AB$591</f>
        <v>7.8213629463929055E-2</v>
      </c>
      <c r="D29" s="1042">
        <f>GDP!AC617/GDP!AC$591</f>
        <v>8.6641531751312187E-2</v>
      </c>
      <c r="E29" s="1042">
        <f>GDP!AD617/GDP!AD$591</f>
        <v>8.9027195237450951E-2</v>
      </c>
      <c r="F29" s="1042">
        <f>GDP!AE617/GDP!AE$591</f>
        <v>6.5761324527950887E-2</v>
      </c>
      <c r="G29" s="1042">
        <f>GDP!AF617/GDP!AF$591</f>
        <v>7.3358577754957965E-2</v>
      </c>
      <c r="H29" s="1042">
        <f>GDP!AG617/GDP!AG$591</f>
        <v>7.9364151715270878E-2</v>
      </c>
      <c r="I29" s="1042">
        <f>GDP!AH617/GDP!AH$591</f>
        <v>8.3440999138673561E-2</v>
      </c>
      <c r="J29" s="1042">
        <f>GDP!AI617/GDP!AI$591</f>
        <v>8.2542551589094737E-2</v>
      </c>
      <c r="K29" s="1042">
        <f>GDP!AJ617/GDP!AJ$591</f>
        <v>8.6693110409777979E-2</v>
      </c>
      <c r="L29" s="1042">
        <f>GDP!AK617/GDP!AK$591</f>
        <v>8.3359550590074355E-2</v>
      </c>
      <c r="M29" s="1042">
        <f>GDP!AL617/GDP!AL$591</f>
        <v>7.9881648974919187E-2</v>
      </c>
      <c r="N29" s="1042">
        <f>GDP!AM617/GDP!AM$591</f>
        <v>7.9722766383302529E-2</v>
      </c>
      <c r="O29" s="1042">
        <f>GDP!AN617/GDP!AN$591</f>
        <v>7.6781719408266974E-2</v>
      </c>
      <c r="P29" s="1038"/>
      <c r="Q29" s="1048">
        <f>(C29*GDP!AB572)*100</f>
        <v>1.1870068471584534</v>
      </c>
      <c r="R29" s="1048">
        <f>(D29*GDP!AC572)*100</f>
        <v>1.7080506259451738</v>
      </c>
      <c r="S29" s="1048">
        <f>(E29*GDP!AD572)*100</f>
        <v>1.0938494977980326</v>
      </c>
      <c r="T29" s="1048">
        <f>(F29*GDP!AE572)*100</f>
        <v>-3.0432102308147484</v>
      </c>
      <c r="U29" s="1048">
        <f>(G29*GDP!AF572)*100</f>
        <v>4.5239518954967002</v>
      </c>
      <c r="V29" s="1048">
        <f>(K29*GDP!AG572)*100</f>
        <v>1.6307103007963495</v>
      </c>
      <c r="W29" s="1048">
        <f>(L29*GDP!AH572)*100</f>
        <v>1.1785739111409625</v>
      </c>
      <c r="X29" s="1048">
        <f>(M29*GDP!AI572)*100</f>
        <v>0.48444354862208983</v>
      </c>
      <c r="Y29" s="3626">
        <f>(K29*GDP!AJ572)*100</f>
        <v>1.1441543520586572</v>
      </c>
      <c r="Z29" s="3626">
        <f>(L29*GDP!AK572)*100</f>
        <v>0.349748722021964</v>
      </c>
      <c r="AA29" s="3626">
        <f>(M29*GDP!AL572)*100</f>
        <v>0.35143496667018059</v>
      </c>
      <c r="AB29" s="3626">
        <f>(N29*GDP!AM572)*100</f>
        <v>0.65942824845069536</v>
      </c>
      <c r="AC29" s="3626">
        <f>(O29*GDP!AN572)*100</f>
        <v>0.30351808930372104</v>
      </c>
    </row>
    <row r="30" spans="1:29">
      <c r="A30" s="122" t="s">
        <v>133</v>
      </c>
      <c r="B30" s="1040">
        <f>GDP!AA618/GDP!AA$591</f>
        <v>0.33980257654341645</v>
      </c>
      <c r="C30" s="1040">
        <f>GDP!AB618/GDP!AB$591</f>
        <v>0.3413757290085484</v>
      </c>
      <c r="D30" s="1040">
        <f>GDP!AC618/GDP!AC$591</f>
        <v>0.33666001330671991</v>
      </c>
      <c r="E30" s="1040">
        <f>GDP!AD618/GDP!AD$591</f>
        <v>0.32620754972263566</v>
      </c>
      <c r="F30" s="1040">
        <f>GDP!AE618/GDP!AE$591</f>
        <v>0.32117942516975168</v>
      </c>
      <c r="G30" s="1040">
        <f>GDP!AF618/GDP!AF$591</f>
        <v>0.33393235350747708</v>
      </c>
      <c r="H30" s="1040">
        <f>GDP!AG618/GDP!AG$591</f>
        <v>0.33089825258605576</v>
      </c>
      <c r="I30" s="1040">
        <f>GDP!AH618/GDP!AH$591</f>
        <v>0.33688630490956073</v>
      </c>
      <c r="J30" s="1040">
        <f>GDP!AI618/GDP!AI$591</f>
        <v>0.34151729678164383</v>
      </c>
      <c r="K30" s="1040">
        <f>GDP!AJ618/GDP!AJ$591</f>
        <v>0.33260335547223802</v>
      </c>
      <c r="L30" s="1040">
        <f>GDP!AK618/GDP!AK$591</f>
        <v>0.33413546060556276</v>
      </c>
      <c r="M30" s="1040">
        <f>GDP!AL618/GDP!AL$591</f>
        <v>0.33841648078211695</v>
      </c>
      <c r="N30" s="1040">
        <f>GDP!AM618/GDP!AM$591</f>
        <v>0.34309936745533021</v>
      </c>
      <c r="O30" s="1040">
        <f>GDP!AN618/GDP!AN$591</f>
        <v>0.35091479627816924</v>
      </c>
      <c r="P30" s="1038"/>
      <c r="Q30" s="1046">
        <f>(C30*GDP!AB573)*100</f>
        <v>1.7732712658986598</v>
      </c>
      <c r="R30" s="1046">
        <f>(D30*GDP!AC573)*100</f>
        <v>2.2139354958855209</v>
      </c>
      <c r="S30" s="1046">
        <f>(E30*GDP!AD573)*100</f>
        <v>1.9197106571292595</v>
      </c>
      <c r="T30" s="1046">
        <f>(F30*GDP!AE573)*100</f>
        <v>-9.1185116768434273</v>
      </c>
      <c r="U30" s="1046">
        <f>(G30*GDP!AF573)*100</f>
        <v>16.923881223228641</v>
      </c>
      <c r="V30" s="1046">
        <f>(K30*GDP!AG573)*100</f>
        <v>2.934171442663025</v>
      </c>
      <c r="W30" s="1046">
        <f>(L30*GDP!AH573)*100</f>
        <v>3.5172153747954007</v>
      </c>
      <c r="X30" s="1046">
        <f>(M30*GDP!AI573)*100</f>
        <v>2.9418115299691845</v>
      </c>
      <c r="Y30" s="3624">
        <f>(K30*GDP!AJ573)*100</f>
        <v>1.6514180262200209</v>
      </c>
      <c r="Z30" s="3624">
        <f>(L30*GDP!AK573)*100</f>
        <v>2.9609830634677095</v>
      </c>
      <c r="AA30" s="3624">
        <f>(M30*GDP!AL573)*100</f>
        <v>3.4994407281664195</v>
      </c>
      <c r="AB30" s="3624">
        <f>(N30*GDP!AM573)*100</f>
        <v>3.4270495540488422</v>
      </c>
      <c r="AC30" s="3624">
        <f>(O30*GDP!AN573)*100</f>
        <v>3.6472161797201261</v>
      </c>
    </row>
    <row r="31" spans="1:29">
      <c r="A31" s="129" t="s">
        <v>120</v>
      </c>
      <c r="B31" s="1042">
        <f>GDP!AA619/GDP!AA$591</f>
        <v>4.0153923372929563E-2</v>
      </c>
      <c r="C31" s="1042">
        <f>GDP!AB619/GDP!AB$591</f>
        <v>4.1144044100023966E-2</v>
      </c>
      <c r="D31" s="1042">
        <f>GDP!AC619/GDP!AC$591</f>
        <v>4.0881200561839283E-2</v>
      </c>
      <c r="E31" s="1042">
        <f>GDP!AD619/GDP!AD$591</f>
        <v>4.0995805709646865E-2</v>
      </c>
      <c r="F31" s="1042">
        <f>GDP!AE619/GDP!AE$591</f>
        <v>2.0091154311226864E-2</v>
      </c>
      <c r="G31" s="1042">
        <f>GDP!AF619/GDP!AF$591</f>
        <v>2.8046980296514985E-2</v>
      </c>
      <c r="H31" s="1042">
        <f>GDP!AG619/GDP!AG$591</f>
        <v>3.1207994857109463E-2</v>
      </c>
      <c r="I31" s="1042">
        <f>GDP!AH619/GDP!AH$591</f>
        <v>3.294573643410853E-2</v>
      </c>
      <c r="J31" s="1042">
        <f>GDP!AI619/GDP!AI$591</f>
        <v>3.4191896369935235E-2</v>
      </c>
      <c r="K31" s="1042">
        <f>GDP!AJ619/GDP!AJ$591</f>
        <v>3.6861546229421664E-2</v>
      </c>
      <c r="L31" s="1042">
        <f>GDP!AK619/GDP!AK$591</f>
        <v>3.5199757785583596E-2</v>
      </c>
      <c r="M31" s="1042">
        <f>GDP!AL619/GDP!AL$591</f>
        <v>3.57430355048408E-2</v>
      </c>
      <c r="N31" s="1042">
        <f>GDP!AM619/GDP!AM$591</f>
        <v>3.5774256806562522E-2</v>
      </c>
      <c r="O31" s="1042">
        <f>GDP!AN619/GDP!AN$591</f>
        <v>3.5271418719734389E-2</v>
      </c>
      <c r="P31" s="1038"/>
      <c r="Q31" s="1048">
        <f>(C31*GDP!AB574)*100</f>
        <v>0.30000865489600836</v>
      </c>
      <c r="R31" s="1048">
        <f>(D31*GDP!AC574)*100</f>
        <v>0.30164769346599862</v>
      </c>
      <c r="S31" s="1048">
        <f>(E31*GDP!AD574)*100</f>
        <v>0.39290736032753765</v>
      </c>
      <c r="T31" s="1048">
        <f>(F31*GDP!AE574)*100</f>
        <v>-1.2929950794353922</v>
      </c>
      <c r="U31" s="1048">
        <f>(G31*GDP!AF574)*100</f>
        <v>2.8696215951526916</v>
      </c>
      <c r="V31" s="1048">
        <f>(K31*GDP!AG574)*100</f>
        <v>0.81820823438304402</v>
      </c>
      <c r="W31" s="1048">
        <f>(L31*GDP!AH574)*100</f>
        <v>0.51415376540740054</v>
      </c>
      <c r="X31" s="1048">
        <f>(M31*GDP!AI574)*100</f>
        <v>0.40298520422124451</v>
      </c>
      <c r="Y31" s="3626">
        <f>(K31*GDP!AJ574)*100</f>
        <v>0.59691391163336593</v>
      </c>
      <c r="Z31" s="3626">
        <f>(L31*GDP!AK574)*100</f>
        <v>0.12239934645142622</v>
      </c>
      <c r="AA31" s="3626">
        <f>(M31*GDP!AL574)*100</f>
        <v>0.37981536036527069</v>
      </c>
      <c r="AB31" s="3626">
        <f>(N31*GDP!AM574)*100</f>
        <v>0.30701677610203493</v>
      </c>
      <c r="AC31" s="3626">
        <f>(O31*GDP!AN574)*100</f>
        <v>0.22636131287061015</v>
      </c>
    </row>
    <row r="32" spans="1:29">
      <c r="A32" s="129" t="s">
        <v>121</v>
      </c>
      <c r="B32" s="1042">
        <f>GDP!AA620/GDP!AA$591</f>
        <v>8.7000167308014052E-3</v>
      </c>
      <c r="C32" s="1042">
        <f>GDP!AB620/GDP!AB$591</f>
        <v>9.1875049932092362E-3</v>
      </c>
      <c r="D32" s="1042">
        <f>GDP!AC620/GDP!AC$591</f>
        <v>9.6104088120056181E-3</v>
      </c>
      <c r="E32" s="1042">
        <f>GDP!AD620/GDP!AD$591</f>
        <v>9.6739277499661748E-3</v>
      </c>
      <c r="F32" s="1042">
        <f>GDP!AE620/GDP!AE$591</f>
        <v>1.3394102874151242E-2</v>
      </c>
      <c r="G32" s="1042">
        <f>GDP!AF620/GDP!AF$591</f>
        <v>1.4440664912393299E-2</v>
      </c>
      <c r="H32" s="1042">
        <f>GDP!AG620/GDP!AG$591</f>
        <v>1.5896207118228041E-2</v>
      </c>
      <c r="I32" s="1042">
        <f>GDP!AH620/GDP!AH$591</f>
        <v>1.937984496124031E-2</v>
      </c>
      <c r="J32" s="1042">
        <f>GDP!AI620/GDP!AI$591</f>
        <v>2.1740221920972035E-2</v>
      </c>
      <c r="K32" s="1042">
        <f>GDP!AJ620/GDP!AJ$591</f>
        <v>2.1231423021414671E-2</v>
      </c>
      <c r="L32" s="1042">
        <f>GDP!AK620/GDP!AK$591</f>
        <v>2.5949397696720788E-2</v>
      </c>
      <c r="M32" s="1042">
        <f>GDP!AL620/GDP!AL$591</f>
        <v>2.8509699254385228E-2</v>
      </c>
      <c r="N32" s="1042">
        <f>GDP!AM620/GDP!AM$591</f>
        <v>3.2213752311694037E-2</v>
      </c>
      <c r="O32" s="1042">
        <f>GDP!AN620/GDP!AN$591</f>
        <v>3.5640816349250946E-2</v>
      </c>
      <c r="P32" s="1038"/>
      <c r="Q32" s="1048">
        <f>(C32*GDP!AB575)*100</f>
        <v>9.7175533582020829E-2</v>
      </c>
      <c r="R32" s="1048">
        <f>(D32*GDP!AC575)*100</f>
        <v>0.1253531584174645</v>
      </c>
      <c r="S32" s="1048">
        <f>(E32*GDP!AD575)*100</f>
        <v>9.6739277499661838E-2</v>
      </c>
      <c r="T32" s="1048">
        <f>(F32*GDP!AE575)*100</f>
        <v>9.3665055063996E-3</v>
      </c>
      <c r="U32" s="1048">
        <f>(G32*GDP!AF575)*100</f>
        <v>0.81228740132212296</v>
      </c>
      <c r="V32" s="1048">
        <f>(K32*GDP!AG575)*100</f>
        <v>0.44350083644732874</v>
      </c>
      <c r="W32" s="1048">
        <f>(L32*GDP!AH575)*100</f>
        <v>0.83953933724684893</v>
      </c>
      <c r="X32" s="1048">
        <f>(M32*GDP!AI575)*100</f>
        <v>0.57811334599170028</v>
      </c>
      <c r="Y32" s="3626">
        <f>(K32*GDP!AJ575)*100</f>
        <v>0.11158918883356669</v>
      </c>
      <c r="Z32" s="3626">
        <f>(L32*GDP!AK575)*100</f>
        <v>0.84186079071726627</v>
      </c>
      <c r="AA32" s="3626">
        <f>(M32*GDP!AL575)*100</f>
        <v>0.56146615768257846</v>
      </c>
      <c r="AB32" s="3626">
        <f>(N32*GDP!AM575)*100</f>
        <v>0.7274587792727627</v>
      </c>
      <c r="AC32" s="3626">
        <f>(O32*GDP!AN575)*100</f>
        <v>0.69205461617723318</v>
      </c>
    </row>
    <row r="33" spans="1:29">
      <c r="A33" s="129" t="s">
        <v>122</v>
      </c>
      <c r="B33" s="1042">
        <f>GDP!AA621/GDP!AA$591</f>
        <v>2.5430818136188724E-2</v>
      </c>
      <c r="C33" s="1042">
        <f>GDP!AB621/GDP!AB$591</f>
        <v>2.5884796676519932E-2</v>
      </c>
      <c r="D33" s="1042">
        <f>GDP!AC621/GDP!AC$591</f>
        <v>2.6391661122200046E-2</v>
      </c>
      <c r="E33" s="1042">
        <f>GDP!AD621/GDP!AD$591</f>
        <v>2.6248139629278851E-2</v>
      </c>
      <c r="F33" s="1042">
        <f>GDP!AE621/GDP!AE$591</f>
        <v>2.6788205748302485E-2</v>
      </c>
      <c r="G33" s="1042">
        <f>GDP!AF621/GDP!AF$591</f>
        <v>2.6314100507027791E-2</v>
      </c>
      <c r="H33" s="1042">
        <f>GDP!AG621/GDP!AG$591</f>
        <v>2.6591081760271171E-2</v>
      </c>
      <c r="I33" s="1042">
        <f>GDP!AH621/GDP!AH$591</f>
        <v>2.4009474590869939E-2</v>
      </c>
      <c r="J33" s="1042">
        <f>GDP!AI621/GDP!AI$591</f>
        <v>2.5003765627353517E-2</v>
      </c>
      <c r="K33" s="1042">
        <f>GDP!AJ621/GDP!AJ$591</f>
        <v>2.6505649711142863E-2</v>
      </c>
      <c r="L33" s="1042">
        <f>GDP!AK621/GDP!AK$591</f>
        <v>2.659486915283869E-2</v>
      </c>
      <c r="M33" s="1042">
        <f>GDP!AL621/GDP!AL$591</f>
        <v>2.640453697378765E-2</v>
      </c>
      <c r="N33" s="1042">
        <f>GDP!AM621/GDP!AM$591</f>
        <v>2.6943303419857633E-2</v>
      </c>
      <c r="O33" s="1042">
        <f>GDP!AN621/GDP!AN$591</f>
        <v>2.7573987129221062E-2</v>
      </c>
      <c r="P33" s="1038"/>
      <c r="Q33" s="1048">
        <f>(C33*GDP!AB576)*100</f>
        <v>0.17029471497710505</v>
      </c>
      <c r="R33" s="1048">
        <f>(D33*GDP!AC576)*100</f>
        <v>0.26880395587425976</v>
      </c>
      <c r="S33" s="1048">
        <f>(E33*GDP!AD576)*100</f>
        <v>0.22792502199093659</v>
      </c>
      <c r="T33" s="1048">
        <f>(F33*GDP!AE576)*100</f>
        <v>-0.69041767392532172</v>
      </c>
      <c r="U33" s="1048">
        <f>(G33*GDP!AF576)*100</f>
        <v>1.1146945353671496</v>
      </c>
      <c r="V33" s="1048">
        <f>(K33*GDP!AG576)*100</f>
        <v>0.29091566756132436</v>
      </c>
      <c r="W33" s="1048">
        <f>(L33*GDP!AH576)*100</f>
        <v>-5.2605235686933788E-2</v>
      </c>
      <c r="X33" s="1048">
        <f>(M33*GDP!AI576)*100</f>
        <v>0.30785558803519203</v>
      </c>
      <c r="Y33" s="3626">
        <f>(K33*GDP!AJ576)*100</f>
        <v>0.3777608812606616</v>
      </c>
      <c r="Z33" s="3626">
        <f>(L33*GDP!AK576)*100</f>
        <v>0.23209920548839499</v>
      </c>
      <c r="AA33" s="3626">
        <f>(M33*GDP!AL576)*100</f>
        <v>0.2155961955698483</v>
      </c>
      <c r="AB33" s="3626">
        <f>(N33*GDP!AM576)*100</f>
        <v>0.28831772145581186</v>
      </c>
      <c r="AC33" s="3626">
        <f>(O33*GDP!AN576)*100</f>
        <v>0.28846065141100569</v>
      </c>
    </row>
    <row r="34" spans="1:29">
      <c r="A34" s="129" t="s">
        <v>123</v>
      </c>
      <c r="B34" s="1042">
        <f>GDP!AA622/GDP!AA$591</f>
        <v>8.5243433160448384E-2</v>
      </c>
      <c r="C34" s="1042">
        <f>GDP!AB622/GDP!AB$591</f>
        <v>8.7081569066070147E-2</v>
      </c>
      <c r="D34" s="1042">
        <f>GDP!AC622/GDP!AC$591</f>
        <v>8.4497671324018628E-2</v>
      </c>
      <c r="E34" s="1042">
        <f>GDP!AD622/GDP!AD$591</f>
        <v>8.0300365309159794E-2</v>
      </c>
      <c r="F34" s="1042">
        <f>GDP!AE622/GDP!AE$591</f>
        <v>8.3341084550274391E-2</v>
      </c>
      <c r="G34" s="1042">
        <f>GDP!AF622/GDP!AF$591</f>
        <v>7.9519928117579103E-2</v>
      </c>
      <c r="H34" s="1042">
        <f>GDP!AG622/GDP!AG$591</f>
        <v>7.3461515983870018E-2</v>
      </c>
      <c r="I34" s="1042">
        <f>GDP!AH622/GDP!AH$591</f>
        <v>7.0897932816537473E-2</v>
      </c>
      <c r="J34" s="1042">
        <f>GDP!AI622/GDP!AI$591</f>
        <v>6.8885876387006079E-2</v>
      </c>
      <c r="K34" s="1042">
        <f>GDP!AJ622/GDP!AJ$591</f>
        <v>5.2027521293936237E-2</v>
      </c>
      <c r="L34" s="1042">
        <f>GDP!AK622/GDP!AK$591</f>
        <v>4.9407996956759528E-2</v>
      </c>
      <c r="M34" s="1042">
        <f>GDP!AL622/GDP!AL$591</f>
        <v>4.6605254912861493E-2</v>
      </c>
      <c r="N34" s="1042">
        <f>GDP!AM622/GDP!AM$591</f>
        <v>4.4010529850734968E-2</v>
      </c>
      <c r="O34" s="1042">
        <f>GDP!AN622/GDP!AN$591</f>
        <v>4.1605437800240966E-2</v>
      </c>
      <c r="P34" s="1038"/>
      <c r="Q34" s="1048">
        <f>(C34*GDP!AB577)*100</f>
        <v>0.60675087376751535</v>
      </c>
      <c r="R34" s="1048">
        <f>(D34*GDP!AC577)*100</f>
        <v>0.41086023671311883</v>
      </c>
      <c r="S34" s="1048">
        <f>(E34*GDP!AD577)*100</f>
        <v>0.30911776671942454</v>
      </c>
      <c r="T34" s="1048">
        <f>(F34*GDP!AE577)*100</f>
        <v>-2.0431554847624134</v>
      </c>
      <c r="U34" s="1048">
        <f>(G34*GDP!AF577)*100</f>
        <v>3.044122248251075</v>
      </c>
      <c r="V34" s="1048">
        <f>(K34*GDP!AG577)*100</f>
        <v>7.5584776698212092E-2</v>
      </c>
      <c r="W34" s="1048">
        <f>(L34*GDP!AH577)*100</f>
        <v>0.23583769430434195</v>
      </c>
      <c r="X34" s="1048">
        <f>(M34*GDP!AI577)*100</f>
        <v>0.19463090510306619</v>
      </c>
      <c r="Y34" s="3626">
        <f>(K34*GDP!AJ577)*100</f>
        <v>-0.96761771635062321</v>
      </c>
      <c r="Z34" s="3626">
        <f>(L34*GDP!AK577)*100</f>
        <v>0.14360638411536844</v>
      </c>
      <c r="AA34" s="3626">
        <f>(M34*GDP!AL577)*100</f>
        <v>0.12885194106808573</v>
      </c>
      <c r="AB34" s="3626">
        <f>(N34*GDP!AM577)*100</f>
        <v>0.10770776549201737</v>
      </c>
      <c r="AC34" s="3626">
        <f>(O34*GDP!AN577)*100</f>
        <v>8.4724563398397165E-2</v>
      </c>
    </row>
    <row r="35" spans="1:29">
      <c r="A35" s="129" t="s">
        <v>124</v>
      </c>
      <c r="B35" s="1042">
        <f>GDP!AA623/GDP!AA$591</f>
        <v>2.4092354023757739E-2</v>
      </c>
      <c r="C35" s="1042">
        <f>GDP!AB623/GDP!AB$591</f>
        <v>2.4766317807781418E-2</v>
      </c>
      <c r="D35" s="1042">
        <f>GDP!AC623/GDP!AC$591</f>
        <v>2.5208841576107047E-2</v>
      </c>
      <c r="E35" s="1042">
        <f>GDP!AD623/GDP!AD$591</f>
        <v>2.5368691652009199E-2</v>
      </c>
      <c r="F35" s="1042">
        <f>GDP!AE623/GDP!AE$591</f>
        <v>2.6230118128546181E-2</v>
      </c>
      <c r="G35" s="1042">
        <f>GDP!AF623/GDP!AF$591</f>
        <v>2.7597715165907196E-2</v>
      </c>
      <c r="H35" s="1042">
        <f>GDP!AG623/GDP!AG$591</f>
        <v>2.7292385015487114E-2</v>
      </c>
      <c r="I35" s="1042">
        <f>GDP!AH623/GDP!AH$591</f>
        <v>2.7723944875107667E-2</v>
      </c>
      <c r="J35" s="1042">
        <f>GDP!AI623/GDP!AI$591</f>
        <v>2.9522518451574033E-2</v>
      </c>
      <c r="K35" s="1042">
        <f>GDP!AJ623/GDP!AJ$591</f>
        <v>3.6683975435556931E-2</v>
      </c>
      <c r="L35" s="1042">
        <f>GDP!AK623/GDP!AK$591</f>
        <v>3.9521756229714593E-2</v>
      </c>
      <c r="M35" s="1042">
        <f>GDP!AL623/GDP!AL$591</f>
        <v>4.3089738374272948E-2</v>
      </c>
      <c r="N35" s="1042">
        <f>GDP!AM623/GDP!AM$591</f>
        <v>4.8022163631359256E-2</v>
      </c>
      <c r="O35" s="1042">
        <f>GDP!AN623/GDP!AN$591</f>
        <v>5.4541822194493869E-2</v>
      </c>
      <c r="P35" s="1038"/>
      <c r="Q35" s="1048">
        <f>(C35*GDP!AB578)*100</f>
        <v>0.18918714992055238</v>
      </c>
      <c r="R35" s="1048">
        <f>(D35*GDP!AC578)*100</f>
        <v>0.25208841576107066</v>
      </c>
      <c r="S35" s="1048">
        <f>(E35*GDP!AD578)*100</f>
        <v>0.25294296661827331</v>
      </c>
      <c r="T35" s="1048">
        <f>(F35*GDP!AE578)*100</f>
        <v>-0.6505069295879452</v>
      </c>
      <c r="U35" s="1048">
        <f>(G35*GDP!AF578)*100</f>
        <v>1.4483907250192432</v>
      </c>
      <c r="V35" s="1048">
        <f>(K35*GDP!AG578)*100</f>
        <v>0.31565281188735039</v>
      </c>
      <c r="W35" s="1048">
        <f>(L35*GDP!AH578)*100</f>
        <v>0.40621933597993626</v>
      </c>
      <c r="X35" s="1048">
        <f>(M35*GDP!AI578)*100</f>
        <v>0.61078658278095632</v>
      </c>
      <c r="Y35" s="3626">
        <f>(K35*GDP!AJ578)*100</f>
        <v>1.2444184734929391</v>
      </c>
      <c r="Z35" s="3626">
        <f>(L35*GDP!AK578)*100</f>
        <v>0.6617962861768788</v>
      </c>
      <c r="AA35" s="3626">
        <f>(M35*GDP!AL578)*100</f>
        <v>0.80923514748155045</v>
      </c>
      <c r="AB35" s="3626">
        <f>(N35*GDP!AM578)*100</f>
        <v>1.0039366055973975</v>
      </c>
      <c r="AC35" s="3626">
        <f>(O35*GDP!AN578)*100</f>
        <v>1.2320139588942174</v>
      </c>
    </row>
    <row r="36" spans="1:29">
      <c r="A36" s="129" t="s">
        <v>125</v>
      </c>
      <c r="B36" s="1042">
        <f>GDP!AA624/GDP!AA$591</f>
        <v>4.0655847415091186E-2</v>
      </c>
      <c r="C36" s="1042">
        <f>GDP!AB624/GDP!AB$591</f>
        <v>4.0345130622353599E-2</v>
      </c>
      <c r="D36" s="1042">
        <f>GDP!AC624/GDP!AC$591</f>
        <v>3.9033045021068975E-2</v>
      </c>
      <c r="E36" s="1042">
        <f>GDP!AD624/GDP!AD$591</f>
        <v>3.734271411175754E-2</v>
      </c>
      <c r="F36" s="1042">
        <f>GDP!AE624/GDP!AE$591</f>
        <v>3.5438563854525158E-2</v>
      </c>
      <c r="G36" s="1042">
        <f>GDP!AF624/GDP!AF$591</f>
        <v>3.7096463641614785E-2</v>
      </c>
      <c r="H36" s="1042">
        <f>GDP!AG624/GDP!AG$591</f>
        <v>3.8162585471334227E-2</v>
      </c>
      <c r="I36" s="1042">
        <f>GDP!AH624/GDP!AH$591</f>
        <v>3.9674849267872521E-2</v>
      </c>
      <c r="J36" s="1042">
        <f>GDP!AI624/GDP!AI$591</f>
        <v>4.2175026359391472E-2</v>
      </c>
      <c r="K36" s="1042">
        <f>GDP!AJ624/GDP!AJ$591</f>
        <v>4.1444169651018298E-2</v>
      </c>
      <c r="L36" s="1042">
        <f>GDP!AK624/GDP!AK$591</f>
        <v>4.2481818347848539E-2</v>
      </c>
      <c r="M36" s="1042">
        <f>GDP!AL624/GDP!AL$591</f>
        <v>4.6045753299686375E-2</v>
      </c>
      <c r="N36" s="1042">
        <f>GDP!AM624/GDP!AM$591</f>
        <v>4.7740798084925609E-2</v>
      </c>
      <c r="O36" s="1042">
        <f>GDP!AN624/GDP!AN$591</f>
        <v>4.9715127448408079E-2</v>
      </c>
      <c r="P36" s="1038"/>
      <c r="Q36" s="1048">
        <f>(C36*GDP!AB579)*100</f>
        <v>0.15772787691866674</v>
      </c>
      <c r="R36" s="1048">
        <f>(D36*GDP!AC579)*100</f>
        <v>0.1777742644523935</v>
      </c>
      <c r="S36" s="1048">
        <f>(E36*GDP!AD579)*100</f>
        <v>0.16973960959889775</v>
      </c>
      <c r="T36" s="1048">
        <f>(F36*GDP!AE579)*100</f>
        <v>-1.0978250759282251</v>
      </c>
      <c r="U36" s="1048">
        <f>(G36*GDP!AF579)*100</f>
        <v>1.9181111121779819</v>
      </c>
      <c r="V36" s="1048">
        <f>(K36*GDP!AG579)*100</f>
        <v>0.53777036744400952</v>
      </c>
      <c r="W36" s="1048">
        <f>(L36*GDP!AH579)*100</f>
        <v>0.54647362040111436</v>
      </c>
      <c r="X36" s="1048">
        <f>(M36*GDP!AI579)*100</f>
        <v>0.64351595520592864</v>
      </c>
      <c r="Y36" s="3626">
        <f>(K36*GDP!AJ579)*100</f>
        <v>0.24495755225042784</v>
      </c>
      <c r="Z36" s="3626">
        <f>(L36*GDP!AK579)*100</f>
        <v>0.47051007095873032</v>
      </c>
      <c r="AA36" s="3626">
        <f>(M36*GDP!AL579)*100</f>
        <v>0.83271599434522769</v>
      </c>
      <c r="AB36" s="3626">
        <f>(N36*GDP!AM579)*100</f>
        <v>0.59585052776148739</v>
      </c>
      <c r="AC36" s="3626">
        <f>(O36*GDP!AN579)*100</f>
        <v>0.6163919594412024</v>
      </c>
    </row>
    <row r="37" spans="1:29">
      <c r="A37" s="129" t="s">
        <v>126</v>
      </c>
      <c r="B37" s="1042">
        <f>GDP!AA625/GDP!AA$591</f>
        <v>4.2245273548602975E-2</v>
      </c>
      <c r="C37" s="1042">
        <f>GDP!AB625/GDP!AB$591</f>
        <v>4.1303826795558038E-2</v>
      </c>
      <c r="D37" s="1042">
        <f>GDP!AC625/GDP!AC$591</f>
        <v>4.0881200561839283E-2</v>
      </c>
      <c r="E37" s="1042">
        <f>GDP!AD625/GDP!AD$591</f>
        <v>3.9169259910702206E-2</v>
      </c>
      <c r="F37" s="1042">
        <f>GDP!AE625/GDP!AE$591</f>
        <v>4.1298483861966329E-2</v>
      </c>
      <c r="G37" s="1042">
        <f>GDP!AF625/GDP!AF$591</f>
        <v>3.9471150760541689E-2</v>
      </c>
      <c r="H37" s="1042">
        <f>GDP!AG625/GDP!AG$591</f>
        <v>3.9506750043831453E-2</v>
      </c>
      <c r="I37" s="1042">
        <f>GDP!AH625/GDP!AH$591</f>
        <v>4.0267011197243754E-2</v>
      </c>
      <c r="J37" s="1042">
        <f>GDP!AI625/GDP!AI$591</f>
        <v>4.1421900888688058E-2</v>
      </c>
      <c r="K37" s="1042">
        <f>GDP!AJ625/GDP!AJ$591</f>
        <v>4.3228377725550986E-2</v>
      </c>
      <c r="L37" s="1042">
        <f>GDP!AK625/GDP!AK$591</f>
        <v>4.0629679857999583E-2</v>
      </c>
      <c r="M37" s="1042">
        <f>GDP!AL625/GDP!AL$591</f>
        <v>3.8462662261509691E-2</v>
      </c>
      <c r="N37" s="1042">
        <f>GDP!AM625/GDP!AM$591</f>
        <v>3.6641497696272236E-2</v>
      </c>
      <c r="O37" s="1042">
        <f>GDP!AN625/GDP!AN$591</f>
        <v>3.4993271599896555E-2</v>
      </c>
      <c r="P37" s="1038"/>
      <c r="Q37" s="1048">
        <f>(C37*GDP!AB580)*100</f>
        <v>9.8147707236969667E-2</v>
      </c>
      <c r="R37" s="1048">
        <f>(D37*GDP!AC580)*100</f>
        <v>0.28466600004375514</v>
      </c>
      <c r="S37" s="1048">
        <f>(E37*GDP!AD580)*100</f>
        <v>0.18415926901957624</v>
      </c>
      <c r="T37" s="1048">
        <f>(F37*GDP!AE580)*100</f>
        <v>-0.96291801750698713</v>
      </c>
      <c r="U37" s="1048">
        <f>(G37*GDP!AF580)*100</f>
        <v>1.5201726982100512</v>
      </c>
      <c r="V37" s="1048">
        <f>(K37*GDP!AG580)*100</f>
        <v>0.42876927500139983</v>
      </c>
      <c r="W37" s="1048">
        <f>(L37*GDP!AH580)*100</f>
        <v>0.43274215233372376</v>
      </c>
      <c r="X37" s="1048">
        <f>(M37*GDP!AI580)*100</f>
        <v>0.39593917033907067</v>
      </c>
      <c r="Y37" s="3626">
        <f>(K37*GDP!AJ580)*100</f>
        <v>0.53943103828465333</v>
      </c>
      <c r="Z37" s="3626">
        <f>(L37*GDP!AK580)*100</f>
        <v>7.5091532113879964E-2</v>
      </c>
      <c r="AA37" s="3626">
        <f>(M37*GDP!AL580)*100</f>
        <v>0.1205475979445972</v>
      </c>
      <c r="AB37" s="3626">
        <f>(N37*GDP!AM580)*100</f>
        <v>0.12276888751166071</v>
      </c>
      <c r="AC37" s="3626">
        <f>(O37*GDP!AN580)*100</f>
        <v>0.10776659010598437</v>
      </c>
    </row>
    <row r="38" spans="1:29">
      <c r="A38" s="129" t="s">
        <v>127</v>
      </c>
      <c r="B38" s="1042">
        <f>GDP!AA626/GDP!AA$591</f>
        <v>4.416931571022252E-2</v>
      </c>
      <c r="C38" s="1042">
        <f>GDP!AB626/GDP!AB$591</f>
        <v>4.3141327794199887E-2</v>
      </c>
      <c r="D38" s="1042">
        <f>GDP!AC626/GDP!AC$591</f>
        <v>4.1398684113254973E-2</v>
      </c>
      <c r="E38" s="1042">
        <f>GDP!AD626/GDP!AD$591</f>
        <v>3.8695710999864699E-2</v>
      </c>
      <c r="F38" s="1042">
        <f>GDP!AE626/GDP!AE$591</f>
        <v>2.0370198121105014E-2</v>
      </c>
      <c r="G38" s="1042">
        <f>GDP!AF626/GDP!AF$591</f>
        <v>3.7738270971054491E-2</v>
      </c>
      <c r="H38" s="1042">
        <f>GDP!AG626/GDP!AG$591</f>
        <v>3.6234001519490383E-2</v>
      </c>
      <c r="I38" s="1042">
        <f>GDP!AH626/GDP!AH$591</f>
        <v>3.4883720930232558E-2</v>
      </c>
      <c r="J38" s="1042">
        <f>GDP!AI626/GDP!AI$591</f>
        <v>3.3940854546367423E-2</v>
      </c>
      <c r="K38" s="1042">
        <f>GDP!AJ626/GDP!AJ$591</f>
        <v>2.9005133364454708E-2</v>
      </c>
      <c r="L38" s="1042">
        <f>GDP!AK626/GDP!AK$591</f>
        <v>2.8083948417303398E-2</v>
      </c>
      <c r="M38" s="1042">
        <f>GDP!AL626/GDP!AL$591</f>
        <v>2.6579006025962602E-2</v>
      </c>
      <c r="N38" s="1042">
        <f>GDP!AM626/GDP!AM$591</f>
        <v>2.5190416545135288E-2</v>
      </c>
      <c r="O38" s="1042">
        <f>GDP!AN626/GDP!AN$591</f>
        <v>2.4051712849090173E-2</v>
      </c>
      <c r="P38" s="1038"/>
      <c r="Q38" s="1048">
        <f>(C38*GDP!AB581)*100</f>
        <v>9.8048472259545119E-2</v>
      </c>
      <c r="R38" s="1048">
        <f>(D38*GDP!AC581)*100</f>
        <v>0.15332845967872188</v>
      </c>
      <c r="S38" s="1048">
        <f>(E38*GDP!AD581)*100</f>
        <v>8.2919380713995489E-2</v>
      </c>
      <c r="T38" s="1048">
        <f>(F38*GDP!AE581)*100</f>
        <v>-1.2571118770542078</v>
      </c>
      <c r="U38" s="1048">
        <f>(G38*GDP!AF581)*100</f>
        <v>6.3586401773146619</v>
      </c>
      <c r="V38" s="1048">
        <f>(K38*GDP!AG581)*100</f>
        <v>0.15785106592900539</v>
      </c>
      <c r="W38" s="1048">
        <f>(L38*GDP!AH581)*100</f>
        <v>0.12683073478782181</v>
      </c>
      <c r="X38" s="1048">
        <f>(M38*GDP!AI581)*100</f>
        <v>0.11484755690230747</v>
      </c>
      <c r="Y38" s="3626">
        <f>(K38*GDP!AJ581)*100</f>
        <v>-0.22899551382855216</v>
      </c>
      <c r="Z38" s="3626">
        <f>(L38*GDP!AK581)*100</f>
        <v>0.13819940501239208</v>
      </c>
      <c r="AA38" s="3626">
        <f>(M38*GDP!AL581)*100</f>
        <v>8.2574369205528339E-2</v>
      </c>
      <c r="AB38" s="3626">
        <f>(N38*GDP!AM581)*100</f>
        <v>7.1024439463248171E-2</v>
      </c>
      <c r="AC38" s="3626">
        <f>(O38*GDP!AN581)*100</f>
        <v>7.3495934107672703E-2</v>
      </c>
    </row>
    <row r="39" spans="1:29">
      <c r="A39" s="129" t="s">
        <v>128</v>
      </c>
      <c r="B39" s="1043">
        <f>GDP!AA627/GDP!AA$591</f>
        <v>1.1711560983771123E-2</v>
      </c>
      <c r="C39" s="1043">
        <f>GDP!AB627/GDP!AB$591</f>
        <v>1.1664136773987378E-2</v>
      </c>
      <c r="D39" s="1043">
        <f>GDP!AC627/GDP!AC$591</f>
        <v>1.0793228358098617E-2</v>
      </c>
      <c r="E39" s="1043">
        <f>GDP!AD627/GDP!AD$591</f>
        <v>1.0215126505209038E-2</v>
      </c>
      <c r="F39" s="1043">
        <f>GDP!AE627/GDP!AE$591</f>
        <v>1.1812854618175054E-2</v>
      </c>
      <c r="G39" s="1043">
        <f>GDP!AF627/GDP!AF$591</f>
        <v>1.2515242924074193E-2</v>
      </c>
      <c r="H39" s="1043">
        <f>GDP!AG627/GDP!AG$591</f>
        <v>1.2448132780082987E-2</v>
      </c>
      <c r="I39" s="1043">
        <f>GDP!AH627/GDP!AH$591</f>
        <v>1.146640826873385E-2</v>
      </c>
      <c r="J39" s="1043">
        <f>GDP!AI627/GDP!AI$591</f>
        <v>1.2501882813676759E-2</v>
      </c>
      <c r="K39" s="1043">
        <f>GDP!AJ627/GDP!AJ$591</f>
        <v>1.1367641905801855E-2</v>
      </c>
      <c r="L39" s="1043">
        <f>GDP!AK627/GDP!AK$591</f>
        <v>1.1006612688088828E-2</v>
      </c>
      <c r="M39" s="1043">
        <f>GDP!AL627/GDP!AL$591</f>
        <v>1.0416798258392449E-2</v>
      </c>
      <c r="N39" s="1043">
        <f>GDP!AM627/GDP!AM$591</f>
        <v>9.8725846609623996E-3</v>
      </c>
      <c r="O39" s="1043">
        <f>GDP!AN627/GDP!AN$591</f>
        <v>9.4263058698668533E-3</v>
      </c>
      <c r="P39" s="1038"/>
      <c r="Q39" s="1049">
        <f>(C39*GDP!AB582)*100</f>
        <v>4.9989157602803126E-2</v>
      </c>
      <c r="R39" s="1049">
        <f>(D39*GDP!AC582)*100</f>
        <v>0</v>
      </c>
      <c r="S39" s="1049">
        <f>(E39*GDP!AD582)*100</f>
        <v>3.4983309949345932E-2</v>
      </c>
      <c r="T39" s="1049">
        <f>(F39*GDP!AE582)*100</f>
        <v>-0.18775398068622606</v>
      </c>
      <c r="U39" s="1049">
        <f>(G39*GDP!AF582)*100</f>
        <v>0.67010749514727963</v>
      </c>
      <c r="V39" s="1049">
        <f>(K39*GDP!AG582)*100</f>
        <v>0.10493207913047854</v>
      </c>
      <c r="W39" s="1049">
        <f>(L39*GDP!AH582)*100</f>
        <v>0</v>
      </c>
      <c r="X39" s="1049">
        <f>(M39*GDP!AI582)*100</f>
        <v>0.17605856211367518</v>
      </c>
      <c r="Y39" s="3627">
        <f>(K39*GDP!AJ582)*100</f>
        <v>-2.273528381160371E-2</v>
      </c>
      <c r="Z39" s="3627">
        <f>(L39*GDP!AK582)*100</f>
        <v>5.4162872758964323E-2</v>
      </c>
      <c r="AA39" s="3627">
        <f>(M39*GDP!AL582)*100</f>
        <v>3.2362404541681905E-2</v>
      </c>
      <c r="AB39" s="3627">
        <f>(N39*GDP!AM582)*100</f>
        <v>2.7835775972260748E-2</v>
      </c>
      <c r="AC39" s="3627">
        <f>(O39*GDP!AN582)*100</f>
        <v>2.8804399896064353E-2</v>
      </c>
    </row>
    <row r="40" spans="1:29" ht="15.5" thickBot="1">
      <c r="A40" s="132" t="s">
        <v>37</v>
      </c>
      <c r="B40" s="1044">
        <f>GDP!AA628/GDP!AA$591</f>
        <v>3.0115442529697174E-2</v>
      </c>
      <c r="C40" s="1044">
        <f>GDP!AB628/GDP!AB$591</f>
        <v>3.027882080370696E-2</v>
      </c>
      <c r="D40" s="1044">
        <f>GDP!AC628/GDP!AC$591</f>
        <v>3.0457603311894729E-2</v>
      </c>
      <c r="E40" s="1044">
        <f>GDP!AD628/GDP!AD$591</f>
        <v>3.0239480449194969E-2</v>
      </c>
      <c r="F40" s="1044">
        <f>GDP!AE628/GDP!AE$591</f>
        <v>3.115989210306018E-2</v>
      </c>
      <c r="G40" s="1044">
        <f>GDP!AF628/GDP!AF$591</f>
        <v>3.1191836210769527E-2</v>
      </c>
      <c r="H40" s="1044">
        <f>GDP!AG628/GDP!AG$591</f>
        <v>3.0097598036350884E-2</v>
      </c>
      <c r="I40" s="1044">
        <f>GDP!AH628/GDP!AH$591</f>
        <v>3.5852713178294575E-2</v>
      </c>
      <c r="J40" s="1044">
        <f>GDP!AI628/GDP!AI$591</f>
        <v>3.2133353416679215E-2</v>
      </c>
      <c r="K40" s="1044">
        <f>GDP!AJ628/GDP!AJ$591</f>
        <v>3.4247917133939779E-2</v>
      </c>
      <c r="L40" s="1044">
        <f>GDP!AK628/GDP!AK$591</f>
        <v>3.5259623472705164E-2</v>
      </c>
      <c r="M40" s="1044">
        <f>GDP!AL628/GDP!AL$591</f>
        <v>3.6559995916417676E-2</v>
      </c>
      <c r="N40" s="1044">
        <f>GDP!AM628/GDP!AM$591</f>
        <v>3.669006444782625E-2</v>
      </c>
      <c r="O40" s="1044">
        <f>GDP!AN628/GDP!AN$591</f>
        <v>3.8094896317966372E-2</v>
      </c>
      <c r="P40" s="1038"/>
      <c r="Q40" s="1050">
        <f>(C40*GDP!AB583)*100</f>
        <v>0.15980488757512018</v>
      </c>
      <c r="R40" s="1050">
        <f>(D40*GDP!AC583)*100</f>
        <v>0.26519812910093038</v>
      </c>
      <c r="S40" s="1050">
        <f>(E40*GDP!AD583)*100</f>
        <v>0.25688879022374389</v>
      </c>
      <c r="T40" s="1050">
        <f>(F40*GDP!AE583)*100</f>
        <v>-0.78074002584848778</v>
      </c>
      <c r="U40" s="1050">
        <f>(G40*GDP!AF583)*100</f>
        <v>1.4059603784555821</v>
      </c>
      <c r="V40" s="1050">
        <f>(K40*GDP!AG583)*100</f>
        <v>0.20435999935889954</v>
      </c>
      <c r="W40" s="1050">
        <f>(L40*GDP!AH583)*100</f>
        <v>1.0338258532773745</v>
      </c>
      <c r="X40" s="1050">
        <f>(M40*GDP!AI583)*100</f>
        <v>-0.14272671078481378</v>
      </c>
      <c r="Y40" s="3628">
        <f>(K40*GDP!AJ583)*100</f>
        <v>0.50929014703488051</v>
      </c>
      <c r="Z40" s="3628">
        <f>(L40*GDP!AK583)*100</f>
        <v>0.40772687993996343</v>
      </c>
      <c r="AA40" s="3628">
        <f>(M40*GDP!AL583)*100</f>
        <v>0.47391568482980956</v>
      </c>
      <c r="AB40" s="3628">
        <f>(N40*GDP!AM583)*100</f>
        <v>0.32556041812894854</v>
      </c>
      <c r="AC40" s="3628">
        <f>(O40*GDP!AN583)*100</f>
        <v>0.45971202130321109</v>
      </c>
    </row>
    <row r="41" spans="1:29" ht="15.5" thickBot="1">
      <c r="A41" s="132"/>
      <c r="B41" s="1044"/>
      <c r="C41" s="1044"/>
      <c r="D41" s="1044"/>
      <c r="E41" s="1044"/>
      <c r="F41" s="1044"/>
      <c r="G41" s="1044"/>
      <c r="H41" s="1044"/>
      <c r="I41" s="1044"/>
      <c r="J41" s="1044"/>
      <c r="K41" s="1044"/>
      <c r="L41" s="1044"/>
      <c r="M41" s="1044"/>
      <c r="N41" s="1044"/>
      <c r="O41" s="1044"/>
      <c r="P41" s="1038"/>
      <c r="Q41" s="1050"/>
      <c r="R41" s="1050"/>
      <c r="S41" s="1050"/>
      <c r="T41" s="1050"/>
      <c r="U41" s="1050"/>
      <c r="V41" s="1050"/>
      <c r="W41" s="1050"/>
      <c r="X41" s="1050"/>
      <c r="Y41" s="1050"/>
      <c r="Z41" s="1050"/>
      <c r="AA41" s="1050"/>
      <c r="AB41" s="1050"/>
      <c r="AC41" s="1050"/>
    </row>
    <row r="42" spans="1:29" ht="15.5" thickBot="1">
      <c r="A42" s="106" t="s">
        <v>129</v>
      </c>
      <c r="B42" s="1039">
        <f>GDP!AA630/GDP!AA$591</f>
        <v>5.6801070771289944E-2</v>
      </c>
      <c r="C42" s="1039">
        <f>GDP!AB630/GDP!AB$591</f>
        <v>5.2888072221778382E-2</v>
      </c>
      <c r="D42" s="1039">
        <f>GDP!AC630/GDP!AC$591</f>
        <v>5.3374732017446587E-2</v>
      </c>
      <c r="E42" s="1039">
        <f>GDP!AD630/GDP!AD$591</f>
        <v>5.621702070085239E-2</v>
      </c>
      <c r="F42" s="1039">
        <f>GDP!AE630/GDP!AE$591</f>
        <v>5.6552878801971906E-2</v>
      </c>
      <c r="G42" s="1039">
        <f>GDP!AF630/GDP!AF$591</f>
        <v>5.7955201848405108E-2</v>
      </c>
      <c r="H42" s="1039">
        <f>GDP!AG630/GDP!AG$591</f>
        <v>5.551984103792882E-2</v>
      </c>
      <c r="I42" s="1039">
        <f>GDP!AH630/GDP!AH$591</f>
        <v>4.909560723514212E-2</v>
      </c>
      <c r="J42" s="1039">
        <f>GDP!AI630/GDP!AI$591</f>
        <v>4.9455239242857857E-2</v>
      </c>
      <c r="K42" s="1039">
        <f>GDP!AJ630/GDP!AJ$591</f>
        <v>4.9652631261105189E-2</v>
      </c>
      <c r="L42" s="1039">
        <f>GDP!AK630/GDP!AK$591</f>
        <v>4.901921291059208E-2</v>
      </c>
      <c r="M42" s="1039">
        <f>GDP!AL630/GDP!AL$591</f>
        <v>4.8767553970162601E-2</v>
      </c>
      <c r="N42" s="1039">
        <f>GDP!AM630/GDP!AM$591</f>
        <v>4.829039169755886E-2</v>
      </c>
      <c r="O42" s="1039">
        <f>GDP!AN630/GDP!AN$591</f>
        <v>4.771205060738179E-2</v>
      </c>
      <c r="P42" s="1038"/>
      <c r="Q42" s="1045">
        <f>(C42*GDP!AB585)*100</f>
        <v>-0.13241490836085909</v>
      </c>
      <c r="R42" s="1045">
        <f>(D42*GDP!AC585)*100</f>
        <v>0.4837589004602405</v>
      </c>
      <c r="S42" s="1045">
        <f>(E42*GDP!AD585)*100</f>
        <v>0.8487057141818436</v>
      </c>
      <c r="T42" s="1045">
        <f>(F42*GDP!AE585)*100</f>
        <v>-1.5176043288615806</v>
      </c>
      <c r="U42" s="1045">
        <f>(G42*GDP!AF585)*100</f>
        <v>2.8119711423157083</v>
      </c>
      <c r="V42" s="1045">
        <f>(K42*GDP!AG585)*100</f>
        <v>0.25843562228925149</v>
      </c>
      <c r="W42" s="1045">
        <f>(L42*GDP!AH585)*100</f>
        <v>-0.19607685164236849</v>
      </c>
      <c r="X42" s="1045">
        <f>(M42*GDP!AI585)*100</f>
        <v>0.39035432454187197</v>
      </c>
      <c r="Y42" s="3623">
        <f>(K42*GDP!AJ585)*100</f>
        <v>0.40756990349114108</v>
      </c>
      <c r="Z42" s="3623">
        <f>(L42*GDP!AK585)*100</f>
        <v>0.34215823265272449</v>
      </c>
      <c r="AA42" s="3623">
        <f>(M42*GDP!AL585)*100</f>
        <v>0.4089401995061186</v>
      </c>
      <c r="AB42" s="3623">
        <f>(N42*GDP!AM585)*100</f>
        <v>0.35859529925344069</v>
      </c>
      <c r="AC42" s="3623">
        <f>(O42*GDP!AN585)*100</f>
        <v>0.31691075856957041</v>
      </c>
    </row>
  </sheetData>
  <mergeCells count="2">
    <mergeCell ref="D1:O1"/>
    <mergeCell ref="P1:AC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C250"/>
  <sheetViews>
    <sheetView topLeftCell="B131" workbookViewId="0">
      <selection activeCell="N206" sqref="N206:R206"/>
    </sheetView>
  </sheetViews>
  <sheetFormatPr defaultColWidth="0" defaultRowHeight="14.75"/>
  <cols>
    <col min="1" max="1" width="8.08984375" style="295" customWidth="1"/>
    <col min="2" max="2" width="25.7265625" style="295" customWidth="1"/>
    <col min="3" max="3" width="5.453125" style="295" customWidth="1"/>
    <col min="4" max="4" width="38.7265625" customWidth="1"/>
    <col min="5" max="5" width="9.7265625" customWidth="1"/>
    <col min="6" max="6" width="12.453125" hidden="1" customWidth="1"/>
    <col min="7" max="8" width="11" hidden="1" customWidth="1"/>
    <col min="9" max="9" width="13.08984375" hidden="1" customWidth="1"/>
    <col min="10" max="10" width="12.453125" hidden="1" customWidth="1"/>
    <col min="11" max="11" width="11.26953125" hidden="1" customWidth="1"/>
    <col min="12" max="12" width="12.7265625" hidden="1" customWidth="1"/>
    <col min="13" max="13" width="12.26953125" customWidth="1"/>
    <col min="14" max="14" width="11.7265625" customWidth="1"/>
    <col min="15" max="15" width="8.26953125" hidden="1" customWidth="1"/>
    <col min="16" max="16" width="10.26953125" bestFit="1" customWidth="1"/>
    <col min="17" max="17" width="12.08984375" customWidth="1"/>
    <col min="18" max="18" width="9.453125" style="50" customWidth="1"/>
    <col min="19" max="19" width="9.08984375" customWidth="1"/>
    <col min="20" max="20" width="11.453125" bestFit="1" customWidth="1"/>
    <col min="21" max="21" width="11.453125" customWidth="1"/>
  </cols>
  <sheetData>
    <row r="1" spans="1:29" ht="16">
      <c r="A1" s="500" t="s">
        <v>11</v>
      </c>
      <c r="B1" s="501" t="s">
        <v>29</v>
      </c>
      <c r="C1" s="502" t="s">
        <v>137</v>
      </c>
      <c r="D1" s="1"/>
      <c r="E1" s="1"/>
      <c r="F1" s="1"/>
      <c r="G1" s="1"/>
      <c r="H1" s="1"/>
      <c r="I1" s="1"/>
      <c r="J1" s="1"/>
      <c r="K1" s="1"/>
      <c r="L1" s="1"/>
      <c r="M1" s="1"/>
      <c r="N1" s="1"/>
      <c r="O1" s="1"/>
      <c r="P1" s="1"/>
      <c r="Q1" s="1"/>
      <c r="R1" s="1"/>
      <c r="T1" s="1"/>
    </row>
    <row r="3" spans="1:29">
      <c r="A3" s="293"/>
      <c r="B3" s="293"/>
      <c r="D3" s="56" t="s">
        <v>558</v>
      </c>
      <c r="E3" s="55">
        <v>2017</v>
      </c>
      <c r="F3" s="493"/>
      <c r="R3"/>
    </row>
    <row r="4" spans="1:29">
      <c r="A4" s="293"/>
      <c r="B4" s="293"/>
      <c r="D4" s="57" t="s">
        <v>33</v>
      </c>
      <c r="E4" s="53"/>
      <c r="R4"/>
    </row>
    <row r="5" spans="1:29">
      <c r="A5" s="293"/>
      <c r="B5" s="293"/>
      <c r="D5" s="58" t="s">
        <v>526</v>
      </c>
      <c r="E5" s="54"/>
      <c r="R5"/>
    </row>
    <row r="6" spans="1:29">
      <c r="A6" s="293"/>
      <c r="B6" s="293"/>
      <c r="D6" s="682" t="s">
        <v>645</v>
      </c>
      <c r="E6" s="703">
        <v>0</v>
      </c>
      <c r="R6"/>
    </row>
    <row r="7" spans="1:29">
      <c r="A7" s="293"/>
      <c r="B7" s="293"/>
      <c r="D7" s="682" t="s">
        <v>598</v>
      </c>
      <c r="E7" s="703">
        <v>1</v>
      </c>
      <c r="R7"/>
    </row>
    <row r="8" spans="1:29">
      <c r="A8" s="293"/>
      <c r="B8" s="293"/>
      <c r="D8" s="665" t="s">
        <v>705</v>
      </c>
      <c r="E8" s="703">
        <v>0.45</v>
      </c>
      <c r="R8"/>
    </row>
    <row r="9" spans="1:29">
      <c r="A9" s="293"/>
      <c r="B9" s="293"/>
      <c r="D9" s="665" t="s">
        <v>706</v>
      </c>
      <c r="E9" s="703">
        <v>0.22</v>
      </c>
      <c r="R9"/>
    </row>
    <row r="10" spans="1:29">
      <c r="A10" s="293"/>
      <c r="B10" s="293"/>
      <c r="D10" s="682" t="s">
        <v>707</v>
      </c>
      <c r="E10" s="703">
        <v>2.0537630529950977E-2</v>
      </c>
      <c r="R10"/>
    </row>
    <row r="11" spans="1:29">
      <c r="A11" s="295" t="s">
        <v>38</v>
      </c>
      <c r="B11" s="295" t="s">
        <v>698</v>
      </c>
      <c r="C11" s="295" t="s">
        <v>30</v>
      </c>
      <c r="D11" s="685" t="s">
        <v>824</v>
      </c>
      <c r="E11" s="718">
        <v>0.112</v>
      </c>
      <c r="R11"/>
    </row>
    <row r="12" spans="1:29">
      <c r="A12" s="295" t="s">
        <v>38</v>
      </c>
      <c r="B12" s="295" t="s">
        <v>698</v>
      </c>
      <c r="C12" s="295" t="s">
        <v>30</v>
      </c>
      <c r="D12" s="685" t="s">
        <v>825</v>
      </c>
      <c r="E12" s="719">
        <v>3.1666666666666669E-2</v>
      </c>
      <c r="R12"/>
    </row>
    <row r="13" spans="1:29">
      <c r="D13" s="682" t="s">
        <v>646</v>
      </c>
      <c r="E13" s="703">
        <v>0</v>
      </c>
      <c r="R13"/>
    </row>
    <row r="14" spans="1:29">
      <c r="A14" s="295" t="s">
        <v>38</v>
      </c>
      <c r="B14" s="295" t="s">
        <v>698</v>
      </c>
      <c r="C14" s="295" t="s">
        <v>30</v>
      </c>
      <c r="D14" s="685" t="s">
        <v>826</v>
      </c>
      <c r="E14" s="719">
        <v>4.1666666666666664E-2</v>
      </c>
      <c r="R14"/>
    </row>
    <row r="15" spans="1:29">
      <c r="A15" s="293"/>
      <c r="B15" s="293"/>
      <c r="D15" s="58" t="s">
        <v>34</v>
      </c>
      <c r="E15" s="497"/>
      <c r="R15"/>
    </row>
    <row r="16" spans="1:29" s="1" customFormat="1" ht="16">
      <c r="A16" s="297" t="s">
        <v>38</v>
      </c>
      <c r="B16" s="295"/>
      <c r="C16" s="293"/>
      <c r="D16" s="333" t="s">
        <v>386</v>
      </c>
      <c r="E16" s="497">
        <f>GDP!AB322</f>
        <v>0.537513021434324</v>
      </c>
      <c r="F16" s="264"/>
      <c r="G16"/>
      <c r="H16"/>
      <c r="I16"/>
      <c r="J16"/>
      <c r="K16"/>
      <c r="L16"/>
      <c r="M16"/>
      <c r="N16"/>
      <c r="O16"/>
      <c r="P16"/>
      <c r="Q16"/>
      <c r="R16"/>
      <c r="S16"/>
      <c r="T16" s="50"/>
      <c r="U16" s="50"/>
      <c r="V16" s="50"/>
      <c r="W16" s="50"/>
      <c r="X16" s="402"/>
      <c r="Y16" s="402"/>
      <c r="Z16" s="402"/>
      <c r="AA16" s="402"/>
      <c r="AB16" s="50"/>
      <c r="AC16" s="50"/>
    </row>
    <row r="17" spans="1:29" s="1" customFormat="1" ht="16">
      <c r="A17" s="297"/>
      <c r="B17" s="295"/>
      <c r="C17" s="293"/>
      <c r="D17" s="682" t="s">
        <v>658</v>
      </c>
      <c r="E17" s="703">
        <v>0</v>
      </c>
      <c r="F17"/>
      <c r="G17"/>
      <c r="H17"/>
      <c r="I17"/>
      <c r="J17"/>
      <c r="K17"/>
      <c r="L17"/>
      <c r="M17"/>
      <c r="N17"/>
      <c r="O17"/>
      <c r="P17"/>
      <c r="Q17"/>
      <c r="R17"/>
      <c r="S17"/>
      <c r="T17" s="50"/>
      <c r="U17" s="50"/>
      <c r="V17" s="50"/>
      <c r="W17" s="50"/>
      <c r="X17" s="496"/>
      <c r="Y17" s="496"/>
      <c r="Z17" s="496"/>
      <c r="AA17" s="496"/>
      <c r="AB17" s="50"/>
      <c r="AC17" s="50"/>
    </row>
    <row r="18" spans="1:29" s="1" customFormat="1" ht="16">
      <c r="A18" s="297" t="s">
        <v>93</v>
      </c>
      <c r="B18" s="295" t="s">
        <v>634</v>
      </c>
      <c r="C18" s="293" t="s">
        <v>30</v>
      </c>
      <c r="D18" s="333" t="s">
        <v>387</v>
      </c>
      <c r="E18" s="498">
        <f>GDP!AB549</f>
        <v>9.935897435897445E-2</v>
      </c>
      <c r="F18" s="264"/>
      <c r="G18"/>
      <c r="H18"/>
      <c r="I18"/>
      <c r="J18"/>
      <c r="K18"/>
      <c r="L18"/>
      <c r="M18"/>
      <c r="N18"/>
      <c r="O18"/>
      <c r="P18"/>
      <c r="Q18"/>
      <c r="R18"/>
      <c r="S18"/>
      <c r="T18" s="50"/>
      <c r="U18" s="50"/>
      <c r="V18" s="50"/>
      <c r="W18" s="50"/>
      <c r="X18" s="496"/>
      <c r="Y18" s="496"/>
      <c r="Z18" s="496"/>
      <c r="AA18" s="496"/>
      <c r="AB18" s="50"/>
      <c r="AC18" s="50"/>
    </row>
    <row r="19" spans="1:29">
      <c r="A19" s="297" t="s">
        <v>38</v>
      </c>
      <c r="C19" s="293"/>
      <c r="D19" s="333" t="s">
        <v>388</v>
      </c>
      <c r="E19" s="497">
        <f>GDP!AB330</f>
        <v>0.26993412625269253</v>
      </c>
    </row>
    <row r="20" spans="1:29">
      <c r="A20" s="297" t="s">
        <v>38</v>
      </c>
      <c r="B20" s="295" t="s">
        <v>486</v>
      </c>
      <c r="C20" s="293" t="s">
        <v>30</v>
      </c>
      <c r="D20" s="333" t="s">
        <v>389</v>
      </c>
      <c r="E20" s="498">
        <f>E22*E21+E24*(1-E21)</f>
        <v>-1.9219025431138917E-2</v>
      </c>
    </row>
    <row r="21" spans="1:29">
      <c r="A21" s="297"/>
      <c r="C21" s="293" t="s">
        <v>30</v>
      </c>
      <c r="D21" s="333" t="s">
        <v>508</v>
      </c>
      <c r="E21" s="643">
        <v>0.61</v>
      </c>
    </row>
    <row r="22" spans="1:29">
      <c r="A22" s="297"/>
      <c r="C22" s="293"/>
      <c r="D22" s="333" t="s">
        <v>509</v>
      </c>
      <c r="E22" s="498">
        <f>(L97-I97)/I97+E23</f>
        <v>5.6788677006117255E-2</v>
      </c>
    </row>
    <row r="23" spans="1:29">
      <c r="A23" s="297"/>
      <c r="C23" s="293"/>
      <c r="D23" s="682" t="s">
        <v>657</v>
      </c>
      <c r="E23" s="703">
        <v>0</v>
      </c>
    </row>
    <row r="24" spans="1:29">
      <c r="A24" s="297"/>
      <c r="C24" s="293"/>
      <c r="D24" s="333" t="s">
        <v>510</v>
      </c>
      <c r="E24" s="498">
        <f>(L87-I87)/I87+E25</f>
        <v>-0.13810286770479599</v>
      </c>
    </row>
    <row r="25" spans="1:29">
      <c r="A25" s="297"/>
      <c r="B25" s="295" t="s">
        <v>652</v>
      </c>
      <c r="C25" s="293" t="s">
        <v>30</v>
      </c>
      <c r="D25" s="682" t="s">
        <v>651</v>
      </c>
      <c r="E25" s="703">
        <v>0</v>
      </c>
    </row>
    <row r="26" spans="1:29">
      <c r="A26" s="297"/>
      <c r="B26" s="295" t="s">
        <v>512</v>
      </c>
      <c r="C26" s="293" t="s">
        <v>30</v>
      </c>
      <c r="D26" s="333" t="s">
        <v>511</v>
      </c>
      <c r="E26" s="643">
        <v>0.06</v>
      </c>
    </row>
    <row r="27" spans="1:29">
      <c r="A27" s="295" t="s">
        <v>38</v>
      </c>
      <c r="B27" s="295" t="s">
        <v>635</v>
      </c>
      <c r="D27" s="333" t="s">
        <v>487</v>
      </c>
      <c r="E27" s="497">
        <v>0.85</v>
      </c>
      <c r="F27" s="3900" t="s">
        <v>795</v>
      </c>
    </row>
    <row r="28" spans="1:29">
      <c r="A28" s="295" t="s">
        <v>38</v>
      </c>
      <c r="D28" s="333" t="s">
        <v>488</v>
      </c>
      <c r="E28" s="498">
        <v>1.4E-2</v>
      </c>
      <c r="F28" s="3900"/>
    </row>
    <row r="29" spans="1:29">
      <c r="A29" s="295" t="s">
        <v>38</v>
      </c>
      <c r="B29" s="295" t="s">
        <v>698</v>
      </c>
      <c r="C29" s="295" t="s">
        <v>30</v>
      </c>
      <c r="D29" s="682" t="s">
        <v>827</v>
      </c>
      <c r="E29" s="717">
        <v>0.23633333333333331</v>
      </c>
    </row>
    <row r="30" spans="1:29">
      <c r="D30" s="682" t="s">
        <v>810</v>
      </c>
      <c r="E30" s="717">
        <v>0</v>
      </c>
    </row>
    <row r="31" spans="1:29">
      <c r="A31" s="295" t="s">
        <v>38</v>
      </c>
      <c r="D31" s="333" t="s">
        <v>513</v>
      </c>
      <c r="E31" s="497">
        <v>0.72</v>
      </c>
    </row>
    <row r="32" spans="1:29">
      <c r="A32" s="295" t="s">
        <v>38</v>
      </c>
      <c r="B32" s="295" t="s">
        <v>595</v>
      </c>
      <c r="C32" s="295" t="s">
        <v>30</v>
      </c>
      <c r="D32" s="333" t="s">
        <v>514</v>
      </c>
      <c r="E32" s="498">
        <v>8.0795331059545727E-2</v>
      </c>
    </row>
    <row r="33" spans="1:6">
      <c r="A33" s="295" t="s">
        <v>38</v>
      </c>
      <c r="D33" s="333" t="s">
        <v>390</v>
      </c>
      <c r="E33" s="497">
        <f>GDP!AB334</f>
        <v>0.5550557893036846</v>
      </c>
    </row>
    <row r="34" spans="1:6">
      <c r="A34" s="295" t="s">
        <v>38</v>
      </c>
      <c r="D34" s="333" t="s">
        <v>391</v>
      </c>
      <c r="E34" s="497">
        <f>(2.4%+O157)/2</f>
        <v>0.10633452290214533</v>
      </c>
    </row>
    <row r="35" spans="1:6">
      <c r="D35" s="665" t="s">
        <v>575</v>
      </c>
      <c r="E35" s="661">
        <f>(L157-I157)/I157</f>
        <v>0.18866904580429067</v>
      </c>
    </row>
    <row r="36" spans="1:6">
      <c r="D36" s="685" t="s">
        <v>814</v>
      </c>
      <c r="E36" s="718">
        <v>0</v>
      </c>
    </row>
    <row r="37" spans="1:6">
      <c r="A37" s="295" t="s">
        <v>527</v>
      </c>
      <c r="B37" s="295" t="s">
        <v>801</v>
      </c>
      <c r="C37" s="295" t="s">
        <v>30</v>
      </c>
      <c r="D37" s="685" t="s">
        <v>828</v>
      </c>
      <c r="E37" s="1022">
        <v>9.1666666666666674E-2</v>
      </c>
      <c r="F37" s="1022"/>
    </row>
    <row r="38" spans="1:6">
      <c r="A38" s="295" t="s">
        <v>527</v>
      </c>
      <c r="B38" s="295" t="s">
        <v>803</v>
      </c>
      <c r="C38" s="295" t="s">
        <v>30</v>
      </c>
      <c r="D38" s="685" t="s">
        <v>829</v>
      </c>
      <c r="E38" s="1022">
        <v>1.5666666666666666E-2</v>
      </c>
      <c r="F38" s="1022"/>
    </row>
    <row r="39" spans="1:6">
      <c r="A39" s="295" t="s">
        <v>527</v>
      </c>
      <c r="B39" s="295" t="s">
        <v>804</v>
      </c>
      <c r="C39" s="295" t="s">
        <v>30</v>
      </c>
      <c r="D39" s="685" t="s">
        <v>830</v>
      </c>
      <c r="E39" s="1022">
        <v>4.5999999999999992E-2</v>
      </c>
      <c r="F39" s="1022"/>
    </row>
    <row r="40" spans="1:6">
      <c r="D40" s="682" t="s">
        <v>813</v>
      </c>
      <c r="E40" s="718">
        <v>0</v>
      </c>
      <c r="F40" s="1022"/>
    </row>
    <row r="41" spans="1:6">
      <c r="D41" s="641" t="s">
        <v>35</v>
      </c>
      <c r="E41" s="498"/>
    </row>
    <row r="42" spans="1:6">
      <c r="A42" s="295" t="s">
        <v>527</v>
      </c>
      <c r="D42" s="333" t="s">
        <v>719</v>
      </c>
      <c r="E42" s="718">
        <f>GDP!AB344</f>
        <v>0.14365181867204183</v>
      </c>
      <c r="F42" s="3901" t="s">
        <v>700</v>
      </c>
    </row>
    <row r="43" spans="1:6">
      <c r="A43" s="295" t="s">
        <v>527</v>
      </c>
      <c r="D43" s="333" t="s">
        <v>720</v>
      </c>
      <c r="E43" s="718" t="e">
        <f>GDP!#REF!</f>
        <v>#REF!</v>
      </c>
      <c r="F43" s="3901"/>
    </row>
    <row r="44" spans="1:6">
      <c r="A44" s="295" t="s">
        <v>527</v>
      </c>
      <c r="D44" s="333" t="s">
        <v>395</v>
      </c>
      <c r="E44" s="718">
        <f>GDP!AB345</f>
        <v>0.65</v>
      </c>
      <c r="F44" s="3901"/>
    </row>
    <row r="45" spans="1:6">
      <c r="A45" s="295" t="s">
        <v>527</v>
      </c>
      <c r="D45" s="333" t="s">
        <v>579</v>
      </c>
      <c r="E45" s="718">
        <f>GDP!AB346</f>
        <v>1.337773439742751E-2</v>
      </c>
      <c r="F45" s="3901"/>
    </row>
    <row r="46" spans="1:6">
      <c r="A46" s="293" t="s">
        <v>527</v>
      </c>
      <c r="B46" s="295" t="s">
        <v>698</v>
      </c>
      <c r="C46" s="295" t="s">
        <v>30</v>
      </c>
      <c r="D46" s="333" t="s">
        <v>393</v>
      </c>
      <c r="E46" s="718">
        <f>GDP!AB347</f>
        <v>0.38180879547539476</v>
      </c>
    </row>
    <row r="47" spans="1:6">
      <c r="D47" s="685" t="s">
        <v>578</v>
      </c>
      <c r="E47" s="718">
        <f>GDP!AB348</f>
        <v>-0.30413254974351711</v>
      </c>
    </row>
    <row r="48" spans="1:6">
      <c r="D48" s="682" t="s">
        <v>650</v>
      </c>
      <c r="E48" s="718">
        <v>0</v>
      </c>
    </row>
    <row r="49" spans="1:18">
      <c r="A49" s="293"/>
      <c r="B49" s="293"/>
      <c r="D49" s="58" t="s">
        <v>516</v>
      </c>
      <c r="E49" s="54"/>
      <c r="R49"/>
    </row>
    <row r="50" spans="1:18">
      <c r="A50" s="293" t="s">
        <v>527</v>
      </c>
      <c r="B50" s="295" t="s">
        <v>801</v>
      </c>
      <c r="C50" s="295" t="s">
        <v>30</v>
      </c>
      <c r="D50" s="685" t="s">
        <v>831</v>
      </c>
      <c r="E50" s="1022">
        <v>0.04</v>
      </c>
      <c r="R50"/>
    </row>
    <row r="51" spans="1:18">
      <c r="A51" s="293" t="s">
        <v>527</v>
      </c>
      <c r="B51" s="295" t="s">
        <v>801</v>
      </c>
      <c r="C51" s="295" t="s">
        <v>30</v>
      </c>
      <c r="D51" s="685" t="s">
        <v>832</v>
      </c>
      <c r="E51" s="1022">
        <v>-5.3999999999999999E-2</v>
      </c>
    </row>
    <row r="52" spans="1:18">
      <c r="D52" s="685" t="s">
        <v>647</v>
      </c>
      <c r="E52" s="703">
        <v>0</v>
      </c>
    </row>
    <row r="53" spans="1:18">
      <c r="A53" s="295" t="s">
        <v>38</v>
      </c>
      <c r="B53" s="295" t="s">
        <v>801</v>
      </c>
      <c r="C53" s="295" t="s">
        <v>30</v>
      </c>
      <c r="D53" s="685" t="s">
        <v>833</v>
      </c>
      <c r="E53" s="1022">
        <v>9.5333333333333325E-2</v>
      </c>
    </row>
    <row r="54" spans="1:18">
      <c r="D54" s="685" t="s">
        <v>656</v>
      </c>
      <c r="E54" s="703">
        <v>0</v>
      </c>
    </row>
    <row r="55" spans="1:18">
      <c r="A55" s="295" t="s">
        <v>640</v>
      </c>
      <c r="B55" s="295" t="s">
        <v>802</v>
      </c>
      <c r="C55" s="295" t="s">
        <v>30</v>
      </c>
      <c r="D55" s="333" t="s">
        <v>518</v>
      </c>
      <c r="E55" s="1022">
        <v>0.13</v>
      </c>
      <c r="F55" s="1022">
        <v>-1.1683401503774588E-2</v>
      </c>
    </row>
    <row r="56" spans="1:18">
      <c r="A56" s="295" t="s">
        <v>38</v>
      </c>
      <c r="D56" s="333" t="s">
        <v>398</v>
      </c>
      <c r="E56" s="498">
        <f>GDP!AB366</f>
        <v>0.53283118452967049</v>
      </c>
    </row>
    <row r="57" spans="1:18">
      <c r="A57" s="295" t="s">
        <v>38</v>
      </c>
      <c r="D57" s="333" t="s">
        <v>399</v>
      </c>
      <c r="E57" s="498">
        <f>GDP!AB367</f>
        <v>-0.11978765537126398</v>
      </c>
    </row>
    <row r="58" spans="1:18">
      <c r="D58" s="682" t="s">
        <v>815</v>
      </c>
      <c r="E58" s="703">
        <v>0</v>
      </c>
    </row>
    <row r="59" spans="1:18">
      <c r="A59" s="295" t="s">
        <v>640</v>
      </c>
      <c r="B59" s="295" t="s">
        <v>802</v>
      </c>
      <c r="C59" s="295" t="s">
        <v>30</v>
      </c>
      <c r="D59" s="333" t="s">
        <v>636</v>
      </c>
      <c r="E59" s="1022">
        <v>0.04</v>
      </c>
      <c r="F59" s="1022">
        <v>-1.6956125228141938E-3</v>
      </c>
    </row>
    <row r="60" spans="1:18">
      <c r="D60" s="682" t="s">
        <v>574</v>
      </c>
      <c r="E60" s="703">
        <v>0</v>
      </c>
    </row>
    <row r="61" spans="1:18">
      <c r="A61" s="295" t="s">
        <v>640</v>
      </c>
      <c r="B61" s="295" t="s">
        <v>801</v>
      </c>
      <c r="C61" s="295" t="s">
        <v>30</v>
      </c>
      <c r="D61" s="333" t="s">
        <v>834</v>
      </c>
      <c r="E61" s="1023">
        <v>4.7333333333333331E-2</v>
      </c>
      <c r="F61" s="87">
        <v>0.11091513356813532</v>
      </c>
    </row>
    <row r="62" spans="1:18">
      <c r="D62" s="685" t="s">
        <v>701</v>
      </c>
      <c r="E62" s="1032">
        <v>0</v>
      </c>
    </row>
    <row r="63" spans="1:18">
      <c r="A63" s="295" t="s">
        <v>38</v>
      </c>
      <c r="C63" s="295" t="s">
        <v>30</v>
      </c>
      <c r="D63" s="333" t="s">
        <v>697</v>
      </c>
      <c r="E63" s="1023">
        <v>0.2</v>
      </c>
    </row>
    <row r="64" spans="1:18">
      <c r="D64" s="685" t="s">
        <v>805</v>
      </c>
      <c r="E64" s="1032">
        <v>0</v>
      </c>
    </row>
    <row r="65" spans="1:20">
      <c r="A65" s="295" t="s">
        <v>640</v>
      </c>
      <c r="B65" s="295" t="s">
        <v>802</v>
      </c>
      <c r="C65" s="295" t="s">
        <v>30</v>
      </c>
      <c r="D65" s="333" t="s">
        <v>519</v>
      </c>
      <c r="E65" s="1023">
        <v>7.4999999999999997E-2</v>
      </c>
      <c r="F65" s="1022">
        <v>-0.18133697215402414</v>
      </c>
    </row>
    <row r="66" spans="1:20">
      <c r="D66" s="685" t="s">
        <v>648</v>
      </c>
      <c r="E66" s="703">
        <v>0</v>
      </c>
    </row>
    <row r="67" spans="1:20">
      <c r="A67" s="295" t="s">
        <v>38</v>
      </c>
      <c r="B67" s="295" t="s">
        <v>801</v>
      </c>
      <c r="C67" s="295" t="s">
        <v>30</v>
      </c>
      <c r="D67" s="333" t="s">
        <v>835</v>
      </c>
      <c r="E67" s="1023">
        <v>0.22500000000000001</v>
      </c>
    </row>
    <row r="68" spans="1:20">
      <c r="D68" s="665" t="s">
        <v>806</v>
      </c>
      <c r="E68" s="1023">
        <v>-0.11</v>
      </c>
    </row>
    <row r="69" spans="1:20">
      <c r="D69" s="685" t="s">
        <v>811</v>
      </c>
      <c r="E69" s="703">
        <v>0</v>
      </c>
    </row>
    <row r="70" spans="1:20">
      <c r="D70" s="685" t="s">
        <v>812</v>
      </c>
      <c r="E70" s="703">
        <v>0</v>
      </c>
    </row>
    <row r="71" spans="1:20">
      <c r="A71" s="293" t="s">
        <v>527</v>
      </c>
      <c r="B71" s="295" t="s">
        <v>801</v>
      </c>
      <c r="C71" s="295" t="s">
        <v>30</v>
      </c>
      <c r="D71" s="685" t="s">
        <v>836</v>
      </c>
      <c r="E71" s="1023">
        <v>6.2E-2</v>
      </c>
    </row>
    <row r="72" spans="1:20">
      <c r="A72" s="293"/>
      <c r="D72" s="721" t="s">
        <v>653</v>
      </c>
      <c r="E72" s="703">
        <v>0</v>
      </c>
    </row>
    <row r="73" spans="1:20">
      <c r="D73" s="285"/>
      <c r="E73" s="652"/>
    </row>
    <row r="76" spans="1:20" ht="16">
      <c r="A76" s="293"/>
      <c r="B76" s="293"/>
      <c r="D76" s="27" t="s">
        <v>521</v>
      </c>
      <c r="E76" s="26"/>
      <c r="F76" s="26"/>
      <c r="G76" s="26"/>
      <c r="H76" s="26"/>
      <c r="I76" s="26"/>
      <c r="J76" s="26"/>
      <c r="K76" s="26"/>
      <c r="L76" s="26"/>
      <c r="M76" s="26"/>
      <c r="N76" s="26"/>
      <c r="O76" s="26"/>
      <c r="P76" s="26"/>
      <c r="Q76" s="26"/>
      <c r="R76" s="49"/>
      <c r="T76" s="1"/>
    </row>
    <row r="77" spans="1:20" ht="16.75" thickBot="1">
      <c r="A77" s="293"/>
      <c r="B77" s="293"/>
      <c r="D77" s="21"/>
      <c r="E77" s="26"/>
      <c r="F77" s="26"/>
      <c r="G77" s="26"/>
      <c r="H77" s="26"/>
      <c r="I77" s="26"/>
      <c r="J77" s="26"/>
      <c r="K77" s="26"/>
      <c r="L77" s="26"/>
      <c r="M77" s="26"/>
      <c r="N77" s="26"/>
      <c r="O77" s="26"/>
      <c r="P77" s="26"/>
      <c r="Q77" s="26"/>
      <c r="R77" s="49"/>
      <c r="T77" s="1"/>
    </row>
    <row r="78" spans="1:20" ht="33.75" customHeight="1" thickBot="1">
      <c r="A78" s="293"/>
      <c r="B78" s="293"/>
      <c r="D78" s="19"/>
      <c r="E78" s="3873" t="s">
        <v>783</v>
      </c>
      <c r="F78" s="3892" t="s">
        <v>784</v>
      </c>
      <c r="G78" s="3893"/>
      <c r="H78" s="3893"/>
      <c r="I78" s="3894"/>
      <c r="J78" s="3892" t="s">
        <v>785</v>
      </c>
      <c r="K78" s="3893"/>
      <c r="L78" s="3894"/>
      <c r="M78" s="3873" t="s">
        <v>637</v>
      </c>
      <c r="N78" s="3873" t="s">
        <v>837</v>
      </c>
      <c r="O78" s="3892" t="s">
        <v>838</v>
      </c>
      <c r="P78" s="3893"/>
      <c r="Q78" s="3894"/>
      <c r="R78" s="3867" t="s">
        <v>786</v>
      </c>
    </row>
    <row r="79" spans="1:20" ht="16.5" customHeight="1" thickBot="1">
      <c r="A79" s="293"/>
      <c r="B79" s="293"/>
      <c r="D79" s="19"/>
      <c r="E79" s="3874"/>
      <c r="F79" s="542" t="s">
        <v>483</v>
      </c>
      <c r="G79" s="487" t="s">
        <v>479</v>
      </c>
      <c r="H79" s="488" t="s">
        <v>480</v>
      </c>
      <c r="I79" s="543" t="s">
        <v>482</v>
      </c>
      <c r="J79" s="564" t="s">
        <v>479</v>
      </c>
      <c r="K79" s="489" t="s">
        <v>480</v>
      </c>
      <c r="L79" s="543" t="s">
        <v>482</v>
      </c>
      <c r="M79" s="3874"/>
      <c r="N79" s="3874"/>
      <c r="O79" s="603" t="s">
        <v>484</v>
      </c>
      <c r="P79" s="524" t="s">
        <v>485</v>
      </c>
      <c r="Q79" s="604" t="s">
        <v>482</v>
      </c>
      <c r="R79" s="3868"/>
    </row>
    <row r="80" spans="1:20" ht="15.5" thickBot="1">
      <c r="A80" s="293"/>
      <c r="B80" s="293"/>
      <c r="D80" s="48" t="s">
        <v>59</v>
      </c>
      <c r="E80" s="525"/>
      <c r="F80" s="93"/>
      <c r="G80" s="215"/>
      <c r="H80" s="215"/>
      <c r="I80" s="544"/>
      <c r="J80" s="93"/>
      <c r="K80" s="94"/>
      <c r="L80" s="565"/>
      <c r="M80" s="531">
        <f>GDP!AA591</f>
        <v>11954</v>
      </c>
      <c r="N80" s="581">
        <v>5.1794750039366802E-2</v>
      </c>
      <c r="O80" s="605"/>
      <c r="P80" s="44"/>
      <c r="Q80" s="635">
        <f>(R80-M80)/M80</f>
        <v>8.5478381750740712E-2</v>
      </c>
      <c r="R80" s="531">
        <f>R81+R131+R178+R198</f>
        <v>12975.808575448355</v>
      </c>
    </row>
    <row r="81" spans="1:18" ht="15.5" thickBot="1">
      <c r="A81" s="293"/>
      <c r="B81" s="293" t="s">
        <v>463</v>
      </c>
      <c r="D81" s="22" t="s">
        <v>132</v>
      </c>
      <c r="E81" s="526"/>
      <c r="F81" s="492"/>
      <c r="G81" s="216" t="s">
        <v>30</v>
      </c>
      <c r="H81" s="216"/>
      <c r="I81" s="545"/>
      <c r="J81" s="41"/>
      <c r="K81" s="43"/>
      <c r="L81" s="566"/>
      <c r="M81" s="531">
        <f>GDP!AA593</f>
        <v>3020</v>
      </c>
      <c r="N81" s="581">
        <v>4.820683895679144E-2</v>
      </c>
      <c r="O81" s="521"/>
      <c r="P81" s="44"/>
      <c r="Q81" s="635">
        <f>(R81-M81)/M81</f>
        <v>5.458330572769092E-2</v>
      </c>
      <c r="R81" s="531">
        <f>R82+R105+SUM(R116:R130)</f>
        <v>3184.8415832976266</v>
      </c>
    </row>
    <row r="82" spans="1:18" ht="15.5" thickBot="1">
      <c r="A82" s="293" t="s">
        <v>462</v>
      </c>
      <c r="B82" s="293" t="s">
        <v>565</v>
      </c>
      <c r="D82" s="979" t="s">
        <v>48</v>
      </c>
      <c r="E82" s="31"/>
      <c r="F82" s="546"/>
      <c r="G82" s="491"/>
      <c r="H82" s="491"/>
      <c r="I82" s="1011">
        <f>I83+I88+I93+I97+I102</f>
        <v>1078.4474708503999</v>
      </c>
      <c r="J82" s="567"/>
      <c r="K82" s="567"/>
      <c r="L82" s="1011">
        <f>L83+L88+L93+L97+L102</f>
        <v>1123.3231827095256</v>
      </c>
      <c r="M82" s="531">
        <f>GDP!AA594</f>
        <v>1872</v>
      </c>
      <c r="N82" s="582">
        <v>4.1611402569046156E-2</v>
      </c>
      <c r="O82" s="629"/>
      <c r="P82" s="629"/>
      <c r="Q82" s="716">
        <f>(L82-I82)/I82+E6</f>
        <v>4.1611402569046156E-2</v>
      </c>
      <c r="R82" s="532">
        <f>M82*(1+Q82)</f>
        <v>1949.8965456092544</v>
      </c>
    </row>
    <row r="83" spans="1:18">
      <c r="A83" s="293"/>
      <c r="B83" s="293" t="s">
        <v>481</v>
      </c>
      <c r="D83" s="980" t="s">
        <v>40</v>
      </c>
      <c r="E83" s="527"/>
      <c r="F83" s="547"/>
      <c r="G83" s="550"/>
      <c r="H83" s="550"/>
      <c r="I83" s="548">
        <f>SUM(I84:I87)</f>
        <v>193.27970594936903</v>
      </c>
      <c r="J83" s="499"/>
      <c r="K83" s="499"/>
      <c r="L83" s="548">
        <f>SUM(L84:L87)</f>
        <v>205.26709229783256</v>
      </c>
      <c r="M83" s="583"/>
      <c r="N83" s="1056"/>
      <c r="O83" s="135"/>
      <c r="P83" s="449"/>
      <c r="Q83" s="467"/>
      <c r="R83" s="166"/>
    </row>
    <row r="84" spans="1:18">
      <c r="A84" s="293"/>
      <c r="B84" s="293"/>
      <c r="D84" s="980" t="s">
        <v>457</v>
      </c>
      <c r="E84" s="975"/>
      <c r="F84" s="547">
        <f t="shared" ref="F84:F104" si="0">G84/I84</f>
        <v>0.43989396513940499</v>
      </c>
      <c r="G84" s="550">
        <v>1.4251800922285363</v>
      </c>
      <c r="H84" s="550">
        <v>1.8146463322528463</v>
      </c>
      <c r="I84" s="548">
        <f>G84+H84</f>
        <v>3.2398264244813824</v>
      </c>
      <c r="J84" s="550">
        <v>1.1673012896812021</v>
      </c>
      <c r="K84" s="1010">
        <f>L84*(1-F84)</f>
        <v>1.4862956727396792</v>
      </c>
      <c r="L84" s="499">
        <f>J84/F84</f>
        <v>2.6535969624208811</v>
      </c>
      <c r="M84" s="583">
        <f t="shared" ref="M84:M101" si="1">I84</f>
        <v>3.2398264244813824</v>
      </c>
      <c r="N84" s="1057"/>
      <c r="O84" s="469"/>
      <c r="P84" s="505"/>
      <c r="Q84" s="606"/>
      <c r="R84" s="166"/>
    </row>
    <row r="85" spans="1:18">
      <c r="A85" s="293"/>
      <c r="B85" s="293"/>
      <c r="D85" s="980" t="s">
        <v>41</v>
      </c>
      <c r="E85" s="975"/>
      <c r="F85" s="547">
        <f t="shared" si="0"/>
        <v>0.80244835143238902</v>
      </c>
      <c r="G85" s="550">
        <v>52.770303873328047</v>
      </c>
      <c r="H85" s="550">
        <v>12.991316521469727</v>
      </c>
      <c r="I85" s="548">
        <f>G85+H85</f>
        <v>65.761620394797774</v>
      </c>
      <c r="J85" s="550">
        <v>47.845858998649064</v>
      </c>
      <c r="K85" s="1010">
        <f t="shared" ref="K85:K96" si="2">L85*(1-F85)</f>
        <v>11.778986529718075</v>
      </c>
      <c r="L85" s="499">
        <f t="shared" ref="L85:L96" si="3">J85/F85</f>
        <v>59.624845528367139</v>
      </c>
      <c r="M85" s="583">
        <f t="shared" si="1"/>
        <v>65.761620394797774</v>
      </c>
      <c r="N85" s="1058"/>
      <c r="O85" s="470"/>
      <c r="P85" s="506"/>
      <c r="Q85" s="607"/>
      <c r="R85" s="166"/>
    </row>
    <row r="86" spans="1:18">
      <c r="A86" s="293"/>
      <c r="B86" s="293"/>
      <c r="D86" s="980" t="s">
        <v>459</v>
      </c>
      <c r="E86" s="975"/>
      <c r="F86" s="547">
        <f t="shared" si="0"/>
        <v>0.48712139028723794</v>
      </c>
      <c r="G86" s="1009">
        <v>36.226578514897064</v>
      </c>
      <c r="H86" s="1009">
        <v>38.142109120715816</v>
      </c>
      <c r="I86" s="1026">
        <f>G86+H86</f>
        <v>74.368687635612872</v>
      </c>
      <c r="J86" s="1025">
        <v>48.698369695948166</v>
      </c>
      <c r="K86" s="1010">
        <f t="shared" si="2"/>
        <v>51.273363565924171</v>
      </c>
      <c r="L86" s="499">
        <f t="shared" si="3"/>
        <v>99.971733261872345</v>
      </c>
      <c r="M86" s="583">
        <f t="shared" si="1"/>
        <v>74.368687635612872</v>
      </c>
      <c r="N86" s="1058"/>
      <c r="O86" s="164"/>
      <c r="P86" s="507"/>
      <c r="Q86" s="570"/>
      <c r="R86" s="166"/>
    </row>
    <row r="87" spans="1:18">
      <c r="A87" s="293"/>
      <c r="B87" s="293"/>
      <c r="D87" s="980" t="s">
        <v>458</v>
      </c>
      <c r="E87" s="975"/>
      <c r="F87" s="547">
        <f t="shared" si="0"/>
        <v>0.29006474107072028</v>
      </c>
      <c r="G87" s="1009">
        <v>14.477006932496071</v>
      </c>
      <c r="H87" s="1009">
        <v>35.432564561980925</v>
      </c>
      <c r="I87" s="1026">
        <f>G87+H87</f>
        <v>49.909571494476992</v>
      </c>
      <c r="J87" s="550">
        <v>12.477690759336152</v>
      </c>
      <c r="K87" s="1010">
        <f t="shared" si="2"/>
        <v>30.539225785836031</v>
      </c>
      <c r="L87" s="499">
        <f t="shared" si="3"/>
        <v>43.01691654517218</v>
      </c>
      <c r="M87" s="583">
        <f t="shared" si="1"/>
        <v>49.909571494476992</v>
      </c>
      <c r="N87" s="1059"/>
      <c r="O87" s="471"/>
      <c r="P87" s="508"/>
      <c r="Q87" s="608"/>
      <c r="R87" s="166"/>
    </row>
    <row r="88" spans="1:18">
      <c r="A88" s="293"/>
      <c r="B88" s="293" t="s">
        <v>481</v>
      </c>
      <c r="D88" s="980" t="s">
        <v>43</v>
      </c>
      <c r="E88" s="528"/>
      <c r="F88" s="547"/>
      <c r="G88" s="1009"/>
      <c r="H88" s="1009"/>
      <c r="I88" s="1026">
        <f>SUM(I89:I92)</f>
        <v>339.68509281624796</v>
      </c>
      <c r="J88" s="550"/>
      <c r="K88" s="1010"/>
      <c r="L88" s="1026">
        <f>SUM(L89:L92)</f>
        <v>378.17867910474837</v>
      </c>
      <c r="M88" s="583">
        <f t="shared" si="1"/>
        <v>339.68509281624796</v>
      </c>
      <c r="N88" s="1056"/>
      <c r="O88" s="135"/>
      <c r="P88" s="449"/>
      <c r="Q88" s="467"/>
      <c r="R88" s="166"/>
    </row>
    <row r="89" spans="1:18">
      <c r="A89" s="293"/>
      <c r="B89" s="293"/>
      <c r="D89" s="980" t="s">
        <v>44</v>
      </c>
      <c r="E89" s="975"/>
      <c r="F89" s="547">
        <f t="shared" si="0"/>
        <v>0.51171414119569203</v>
      </c>
      <c r="G89" s="1027">
        <v>62.330142898689289</v>
      </c>
      <c r="H89" s="1027">
        <v>59.476424246487021</v>
      </c>
      <c r="I89" s="1026">
        <f>G89+H89</f>
        <v>121.8065671451763</v>
      </c>
      <c r="J89" s="1025">
        <v>63.732355652086845</v>
      </c>
      <c r="K89" s="1010">
        <f t="shared" si="2"/>
        <v>60.81443819489818</v>
      </c>
      <c r="L89" s="499">
        <f t="shared" si="3"/>
        <v>124.54679384698503</v>
      </c>
      <c r="M89" s="583">
        <f t="shared" si="1"/>
        <v>121.8065671451763</v>
      </c>
      <c r="N89" s="1058"/>
      <c r="O89" s="164"/>
      <c r="P89" s="507"/>
      <c r="Q89" s="570"/>
      <c r="R89" s="166"/>
    </row>
    <row r="90" spans="1:18">
      <c r="A90" s="293"/>
      <c r="B90" s="293"/>
      <c r="D90" s="980" t="s">
        <v>45</v>
      </c>
      <c r="E90" s="975"/>
      <c r="F90" s="547">
        <f t="shared" si="0"/>
        <v>0.54808796957784645</v>
      </c>
      <c r="G90" s="1027">
        <v>56.753325111206266</v>
      </c>
      <c r="H90" s="1027">
        <v>46.794514398789453</v>
      </c>
      <c r="I90" s="1026">
        <f>G90+H90</f>
        <v>103.54783950999573</v>
      </c>
      <c r="J90" s="1025">
        <v>64.480650304263847</v>
      </c>
      <c r="K90" s="1010">
        <f t="shared" si="2"/>
        <v>53.165884345874062</v>
      </c>
      <c r="L90" s="499">
        <f t="shared" si="3"/>
        <v>117.64653465013791</v>
      </c>
      <c r="M90" s="583">
        <f t="shared" si="1"/>
        <v>103.54783950999573</v>
      </c>
      <c r="N90" s="1060"/>
      <c r="O90" s="472"/>
      <c r="P90" s="509"/>
      <c r="Q90" s="609"/>
      <c r="R90" s="166"/>
    </row>
    <row r="91" spans="1:18">
      <c r="A91" s="293"/>
      <c r="B91" s="293"/>
      <c r="D91" s="980" t="s">
        <v>46</v>
      </c>
      <c r="E91" s="975"/>
      <c r="F91" s="547">
        <f t="shared" si="0"/>
        <v>0.45497709377259726</v>
      </c>
      <c r="G91" s="1027">
        <v>43.304286165387495</v>
      </c>
      <c r="H91" s="1027">
        <v>51.874760775888795</v>
      </c>
      <c r="I91" s="1026">
        <f>G91+H91</f>
        <v>95.179046941276283</v>
      </c>
      <c r="J91" s="1025">
        <v>48.03459109916782</v>
      </c>
      <c r="K91" s="1010">
        <f t="shared" si="2"/>
        <v>57.541253831557547</v>
      </c>
      <c r="L91" s="499">
        <f t="shared" si="3"/>
        <v>105.57584493072537</v>
      </c>
      <c r="M91" s="583">
        <f t="shared" si="1"/>
        <v>95.179046941276283</v>
      </c>
      <c r="N91" s="1061"/>
      <c r="O91" s="473"/>
      <c r="P91" s="462"/>
      <c r="Q91" s="571"/>
      <c r="R91" s="166"/>
    </row>
    <row r="92" spans="1:18">
      <c r="A92" s="293"/>
      <c r="B92" s="293"/>
      <c r="D92" s="980" t="s">
        <v>460</v>
      </c>
      <c r="E92" s="975"/>
      <c r="F92" s="547">
        <f t="shared" si="0"/>
        <v>0.54167138193386533</v>
      </c>
      <c r="G92" s="1027">
        <v>10.37389488248767</v>
      </c>
      <c r="H92" s="1027">
        <v>8.7777443373119439</v>
      </c>
      <c r="I92" s="1026">
        <f>G92+H92</f>
        <v>19.151639219799613</v>
      </c>
      <c r="J92" s="1025">
        <v>16.471958963932192</v>
      </c>
      <c r="K92" s="1010">
        <f t="shared" si="2"/>
        <v>13.937546712967894</v>
      </c>
      <c r="L92" s="499">
        <f t="shared" si="3"/>
        <v>30.409505676900086</v>
      </c>
      <c r="M92" s="583">
        <f t="shared" si="1"/>
        <v>19.151639219799613</v>
      </c>
      <c r="N92" s="1058"/>
      <c r="O92" s="164"/>
      <c r="P92" s="507"/>
      <c r="Q92" s="570"/>
      <c r="R92" s="166"/>
    </row>
    <row r="93" spans="1:18">
      <c r="A93" s="293"/>
      <c r="B93" s="293" t="s">
        <v>481</v>
      </c>
      <c r="D93" s="980" t="s">
        <v>464</v>
      </c>
      <c r="E93" s="528"/>
      <c r="F93" s="547"/>
      <c r="G93" s="1009"/>
      <c r="H93" s="1009"/>
      <c r="I93" s="1026">
        <f>SUM(I94:I96)</f>
        <v>323.25217329655027</v>
      </c>
      <c r="J93" s="550"/>
      <c r="K93" s="1010"/>
      <c r="L93" s="1026">
        <f>SUM(L94:L96)</f>
        <v>299.74523596614586</v>
      </c>
      <c r="M93" s="583">
        <f t="shared" si="1"/>
        <v>323.25217329655027</v>
      </c>
      <c r="N93" s="1056"/>
      <c r="O93" s="135"/>
      <c r="P93" s="449"/>
      <c r="Q93" s="467"/>
      <c r="R93" s="166"/>
    </row>
    <row r="94" spans="1:18">
      <c r="A94" s="293"/>
      <c r="B94" s="293"/>
      <c r="D94" s="980" t="s">
        <v>465</v>
      </c>
      <c r="E94" s="975"/>
      <c r="F94" s="547">
        <f t="shared" si="0"/>
        <v>0.56877146734552975</v>
      </c>
      <c r="G94" s="1027">
        <v>101.70363726202893</v>
      </c>
      <c r="H94" s="1027">
        <v>77.109195485510753</v>
      </c>
      <c r="I94" s="1026">
        <f>G94+H94</f>
        <v>178.81283274753969</v>
      </c>
      <c r="J94" s="1025">
        <v>91.950848177649632</v>
      </c>
      <c r="K94" s="1010">
        <f t="shared" si="2"/>
        <v>69.714870756505903</v>
      </c>
      <c r="L94" s="499">
        <f t="shared" si="3"/>
        <v>161.66571893415554</v>
      </c>
      <c r="M94" s="583">
        <f t="shared" si="1"/>
        <v>178.81283274753969</v>
      </c>
      <c r="N94" s="1061"/>
      <c r="O94" s="474"/>
      <c r="P94" s="510"/>
      <c r="Q94" s="610"/>
      <c r="R94" s="166"/>
    </row>
    <row r="95" spans="1:18">
      <c r="A95" s="293"/>
      <c r="B95" s="293"/>
      <c r="D95" s="981" t="s">
        <v>467</v>
      </c>
      <c r="E95" s="975"/>
      <c r="F95" s="547">
        <f t="shared" si="0"/>
        <v>0.69424146278780774</v>
      </c>
      <c r="G95" s="1027">
        <v>7.0115714692500397</v>
      </c>
      <c r="H95" s="1027">
        <v>3.0880434991418726</v>
      </c>
      <c r="I95" s="1026">
        <f>G95+H95</f>
        <v>10.099614968391911</v>
      </c>
      <c r="J95" s="1025">
        <v>4.0591345712869247</v>
      </c>
      <c r="K95" s="1010">
        <f t="shared" si="2"/>
        <v>1.7877282118533897</v>
      </c>
      <c r="L95" s="499">
        <f t="shared" si="3"/>
        <v>5.8468627831403142</v>
      </c>
      <c r="M95" s="583">
        <f t="shared" si="1"/>
        <v>10.099614968391911</v>
      </c>
      <c r="N95" s="283"/>
      <c r="O95" s="475"/>
      <c r="P95" s="511"/>
      <c r="Q95" s="611"/>
      <c r="R95" s="166"/>
    </row>
    <row r="96" spans="1:18">
      <c r="A96" s="293"/>
      <c r="B96" s="293"/>
      <c r="D96" s="981" t="s">
        <v>469</v>
      </c>
      <c r="E96" s="975"/>
      <c r="F96" s="547">
        <f t="shared" si="0"/>
        <v>0.39954836705376123</v>
      </c>
      <c r="G96" s="1027">
        <v>53.675217986186588</v>
      </c>
      <c r="H96" s="1027">
        <v>80.664507594432081</v>
      </c>
      <c r="I96" s="1026">
        <f>G96+H96</f>
        <v>134.33972558061868</v>
      </c>
      <c r="J96" s="1025">
        <v>52.833341076312628</v>
      </c>
      <c r="K96" s="1010">
        <f t="shared" si="2"/>
        <v>79.399313172537404</v>
      </c>
      <c r="L96" s="499">
        <f t="shared" si="3"/>
        <v>132.23265424885003</v>
      </c>
      <c r="M96" s="583">
        <f t="shared" si="1"/>
        <v>134.33972558061868</v>
      </c>
      <c r="N96" s="1062"/>
      <c r="O96" s="476"/>
      <c r="P96" s="512"/>
      <c r="Q96" s="612"/>
      <c r="R96" s="166"/>
    </row>
    <row r="97" spans="1:18">
      <c r="A97" s="293"/>
      <c r="B97" s="293" t="s">
        <v>481</v>
      </c>
      <c r="D97" s="980" t="s">
        <v>47</v>
      </c>
      <c r="E97" s="982"/>
      <c r="F97" s="547"/>
      <c r="G97" s="1009"/>
      <c r="H97" s="1009"/>
      <c r="I97" s="1026">
        <f>SUM(I98:I101)</f>
        <v>208.56123535618914</v>
      </c>
      <c r="J97" s="550"/>
      <c r="K97" s="1010"/>
      <c r="L97" s="1026">
        <f>SUM(L98:L101)</f>
        <v>220.40515198682857</v>
      </c>
      <c r="M97" s="583">
        <f t="shared" si="1"/>
        <v>208.56123535618914</v>
      </c>
      <c r="N97" s="283"/>
      <c r="O97" s="475"/>
      <c r="P97" s="453"/>
      <c r="Q97" s="633"/>
      <c r="R97" s="166"/>
    </row>
    <row r="98" spans="1:18">
      <c r="A98" s="293"/>
      <c r="B98" s="293"/>
      <c r="D98" s="980" t="s">
        <v>766</v>
      </c>
      <c r="E98" s="975"/>
      <c r="F98" s="547">
        <f t="shared" si="0"/>
        <v>0.5337911730694137</v>
      </c>
      <c r="G98" s="1027">
        <v>41.222600011980333</v>
      </c>
      <c r="H98" s="1027">
        <v>36.003480320037035</v>
      </c>
      <c r="I98" s="1026">
        <f>G98+H98</f>
        <v>77.226080332017375</v>
      </c>
      <c r="J98" s="1025">
        <v>35.296369152080544</v>
      </c>
      <c r="K98" s="1010">
        <f>L98*(1-F98)</f>
        <v>30.827558954708582</v>
      </c>
      <c r="L98" s="499">
        <f>J98/F98</f>
        <v>66.123928106789123</v>
      </c>
      <c r="M98" s="583">
        <f t="shared" si="1"/>
        <v>77.226080332017375</v>
      </c>
      <c r="N98" s="283"/>
      <c r="O98" s="475"/>
      <c r="P98" s="976"/>
      <c r="Q98" s="633"/>
      <c r="R98" s="166"/>
    </row>
    <row r="99" spans="1:18">
      <c r="A99" s="293"/>
      <c r="B99" s="293"/>
      <c r="D99" s="980" t="s">
        <v>767</v>
      </c>
      <c r="E99" s="975"/>
      <c r="F99" s="547">
        <f t="shared" si="0"/>
        <v>0.53277195605229444</v>
      </c>
      <c r="G99" s="1027">
        <v>44.049173034225973</v>
      </c>
      <c r="H99" s="1027">
        <v>38.63005310338685</v>
      </c>
      <c r="I99" s="1026">
        <f>G99+H99</f>
        <v>82.679226137612829</v>
      </c>
      <c r="J99" s="1025">
        <v>47.518627395989746</v>
      </c>
      <c r="K99" s="1010">
        <f>L99*(1-F99)</f>
        <v>41.672680172244078</v>
      </c>
      <c r="L99" s="499">
        <f>J99/F99</f>
        <v>89.191307568233825</v>
      </c>
      <c r="M99" s="583">
        <f t="shared" si="1"/>
        <v>82.679226137612829</v>
      </c>
      <c r="N99" s="283"/>
      <c r="O99" s="475"/>
      <c r="P99" s="976"/>
      <c r="Q99" s="633"/>
      <c r="R99" s="166"/>
    </row>
    <row r="100" spans="1:18">
      <c r="A100" s="293"/>
      <c r="B100" s="293"/>
      <c r="D100" s="980" t="s">
        <v>768</v>
      </c>
      <c r="E100" s="975"/>
      <c r="F100" s="547">
        <f t="shared" si="0"/>
        <v>0.49861876346946371</v>
      </c>
      <c r="G100" s="1027">
        <v>14.663726158532045</v>
      </c>
      <c r="H100" s="1027">
        <v>14.744966880814594</v>
      </c>
      <c r="I100" s="1026">
        <f>G100+H100</f>
        <v>29.408693039346637</v>
      </c>
      <c r="J100" s="1025">
        <v>16.955793846159374</v>
      </c>
      <c r="K100" s="1010">
        <f>L100*(1-F100)</f>
        <v>17.049733198547955</v>
      </c>
      <c r="L100" s="499">
        <f>J100/F100</f>
        <v>34.005527044707328</v>
      </c>
      <c r="M100" s="583">
        <f t="shared" si="1"/>
        <v>29.408693039346637</v>
      </c>
      <c r="N100" s="283"/>
      <c r="O100" s="475"/>
      <c r="P100" s="976"/>
      <c r="Q100" s="633"/>
      <c r="R100" s="166"/>
    </row>
    <row r="101" spans="1:18">
      <c r="A101" s="293"/>
      <c r="B101" s="293" t="s">
        <v>481</v>
      </c>
      <c r="D101" s="981" t="s">
        <v>461</v>
      </c>
      <c r="E101" s="975"/>
      <c r="F101" s="547">
        <f t="shared" si="0"/>
        <v>0.75130799922010139</v>
      </c>
      <c r="G101" s="1027">
        <v>14.460602254886481</v>
      </c>
      <c r="H101" s="1027">
        <v>4.7866335923258116</v>
      </c>
      <c r="I101" s="1026">
        <f>G101+H101</f>
        <v>19.247235847212295</v>
      </c>
      <c r="J101" s="1025">
        <v>23.353950307242403</v>
      </c>
      <c r="K101" s="1010">
        <f>L101*(1-F101)</f>
        <v>7.7304389598558778</v>
      </c>
      <c r="L101" s="499">
        <f>J101/F101</f>
        <v>31.084389267098281</v>
      </c>
      <c r="M101" s="583">
        <f t="shared" si="1"/>
        <v>19.247235847212295</v>
      </c>
      <c r="N101" s="1062"/>
      <c r="O101" s="476"/>
      <c r="P101" s="451"/>
      <c r="Q101" s="634"/>
      <c r="R101" s="166"/>
    </row>
    <row r="102" spans="1:18">
      <c r="A102" s="293"/>
      <c r="B102" s="293" t="s">
        <v>481</v>
      </c>
      <c r="D102" s="981" t="s">
        <v>468</v>
      </c>
      <c r="E102" s="983"/>
      <c r="F102" s="547"/>
      <c r="G102" s="1009"/>
      <c r="H102" s="1009"/>
      <c r="I102" s="1026">
        <f>I103+I104</f>
        <v>13.669263432043673</v>
      </c>
      <c r="J102" s="550"/>
      <c r="K102" s="1010"/>
      <c r="L102" s="1026">
        <f>L103+L104</f>
        <v>19.727023353970331</v>
      </c>
      <c r="M102" s="583"/>
      <c r="N102" s="1056"/>
      <c r="O102" s="135"/>
      <c r="P102" s="438"/>
      <c r="Q102" s="166"/>
      <c r="R102" s="166"/>
    </row>
    <row r="103" spans="1:18">
      <c r="A103" s="293"/>
      <c r="B103" s="293"/>
      <c r="D103" s="980" t="s">
        <v>466</v>
      </c>
      <c r="E103" s="975"/>
      <c r="F103" s="547">
        <f t="shared" si="0"/>
        <v>0.56265639007939128</v>
      </c>
      <c r="G103" s="1027">
        <v>3.6637848327615004</v>
      </c>
      <c r="H103" s="1027">
        <v>2.8478000303279196</v>
      </c>
      <c r="I103" s="1026">
        <f>G103+H103</f>
        <v>6.5115848630894195</v>
      </c>
      <c r="J103" s="1025">
        <v>3.1898370698708693</v>
      </c>
      <c r="K103" s="1010">
        <f>L103*(1-F103)</f>
        <v>2.4794081855163141</v>
      </c>
      <c r="L103" s="499">
        <f>J103/F103</f>
        <v>5.6692452553871835</v>
      </c>
      <c r="M103" s="583">
        <f>I103</f>
        <v>6.5115848630894195</v>
      </c>
      <c r="N103" s="1063"/>
      <c r="O103" s="477"/>
      <c r="P103" s="452"/>
      <c r="Q103" s="630"/>
      <c r="R103" s="166"/>
    </row>
    <row r="104" spans="1:18">
      <c r="A104" s="293"/>
      <c r="B104" s="293" t="s">
        <v>30</v>
      </c>
      <c r="D104" s="980" t="s">
        <v>42</v>
      </c>
      <c r="E104" s="975"/>
      <c r="F104" s="547">
        <f t="shared" si="0"/>
        <v>0.53764189960464048</v>
      </c>
      <c r="G104" s="1027">
        <v>3.848267902571989</v>
      </c>
      <c r="H104" s="1027">
        <v>3.3094106663822647</v>
      </c>
      <c r="I104" s="1026">
        <f>G104+H104</f>
        <v>7.1576785689542533</v>
      </c>
      <c r="J104" s="1025">
        <v>7.5580505211427544</v>
      </c>
      <c r="K104" s="1010">
        <f>L104*(1-F104)</f>
        <v>6.4997275774403933</v>
      </c>
      <c r="L104" s="499">
        <f>J104/F104</f>
        <v>14.057778098583148</v>
      </c>
      <c r="M104" s="583">
        <f>I104</f>
        <v>7.1576785689542533</v>
      </c>
      <c r="N104" s="1063"/>
      <c r="O104" s="477"/>
      <c r="P104" s="452"/>
      <c r="Q104" s="630"/>
      <c r="R104" s="166"/>
    </row>
    <row r="105" spans="1:18">
      <c r="A105" s="293" t="s">
        <v>522</v>
      </c>
      <c r="B105" s="293" t="s">
        <v>478</v>
      </c>
      <c r="D105" s="234" t="s">
        <v>49</v>
      </c>
      <c r="E105" s="769">
        <v>366.4</v>
      </c>
      <c r="F105" s="549"/>
      <c r="G105" s="989"/>
      <c r="H105" s="989"/>
      <c r="I105" s="597">
        <f>(I106*$E$106+I107*$E$107)/$E$105</f>
        <v>20659.688641157201</v>
      </c>
      <c r="J105" s="33"/>
      <c r="K105" s="465"/>
      <c r="L105" s="466">
        <f>(L106*$E$106+L107*$E$107)/$E$105</f>
        <v>21318.02076621179</v>
      </c>
      <c r="M105" s="532">
        <f>GDP!AA595</f>
        <v>302</v>
      </c>
      <c r="N105" s="584">
        <v>6.3766697383661045E-2</v>
      </c>
      <c r="O105" s="456"/>
      <c r="P105" s="456"/>
      <c r="Q105" s="584">
        <f>((L105/I105-1)/E7)*(E8+E9)+E10</f>
        <v>4.1887542014477051E-2</v>
      </c>
      <c r="R105" s="597">
        <f>M105*(1+Q105)</f>
        <v>314.65003768837209</v>
      </c>
    </row>
    <row r="106" spans="1:18">
      <c r="A106" s="293"/>
      <c r="B106" s="722"/>
      <c r="D106" s="235" t="s">
        <v>50</v>
      </c>
      <c r="E106" s="975">
        <v>238.3</v>
      </c>
      <c r="F106" s="164"/>
      <c r="H106" s="468"/>
      <c r="I106" s="550">
        <f>GDP!AA174</f>
        <v>18641.035</v>
      </c>
      <c r="J106" s="6"/>
      <c r="K106" s="453"/>
      <c r="L106" s="550">
        <f>GDP!AB174</f>
        <v>18670.717339999999</v>
      </c>
      <c r="M106" s="585"/>
      <c r="N106" s="1064"/>
      <c r="O106" s="615"/>
      <c r="P106" s="439"/>
      <c r="Q106" s="632"/>
      <c r="R106" s="598"/>
    </row>
    <row r="107" spans="1:18">
      <c r="A107" s="722"/>
      <c r="B107" s="722"/>
      <c r="D107" s="235" t="s">
        <v>51</v>
      </c>
      <c r="E107" s="975">
        <v>128.1</v>
      </c>
      <c r="F107" s="164"/>
      <c r="H107" s="468"/>
      <c r="I107" s="550">
        <f>GDP!AA175</f>
        <v>24414.920199999997</v>
      </c>
      <c r="J107" s="6"/>
      <c r="K107" s="453"/>
      <c r="L107" s="550">
        <f>GDP!AB175</f>
        <v>26242.707779999997</v>
      </c>
      <c r="M107" s="585"/>
      <c r="N107" s="1064"/>
      <c r="O107" s="615"/>
      <c r="P107" s="439"/>
      <c r="Q107" s="632"/>
      <c r="R107" s="598"/>
    </row>
    <row r="108" spans="1:18">
      <c r="A108" s="722"/>
      <c r="B108" s="722"/>
      <c r="D108" s="235" t="s">
        <v>179</v>
      </c>
      <c r="E108" s="771"/>
      <c r="F108" s="164"/>
      <c r="H108" s="1009"/>
      <c r="I108" s="550"/>
      <c r="J108" s="6"/>
      <c r="K108" s="976"/>
      <c r="L108" s="550"/>
      <c r="M108" s="585"/>
      <c r="N108" s="1064"/>
      <c r="O108" s="649"/>
      <c r="P108" s="987"/>
      <c r="Q108" s="632"/>
      <c r="R108" s="598"/>
    </row>
    <row r="109" spans="1:18">
      <c r="A109" s="722"/>
      <c r="B109" s="722"/>
      <c r="D109" s="235" t="s">
        <v>180</v>
      </c>
      <c r="E109" s="771"/>
      <c r="F109" s="164"/>
      <c r="H109" s="1009"/>
      <c r="I109" s="550"/>
      <c r="J109" s="6"/>
      <c r="K109" s="976"/>
      <c r="L109" s="550"/>
      <c r="M109" s="585"/>
      <c r="N109" s="1064"/>
      <c r="O109" s="649"/>
      <c r="P109" s="987"/>
      <c r="Q109" s="632"/>
      <c r="R109" s="598"/>
    </row>
    <row r="110" spans="1:18">
      <c r="A110" s="722"/>
      <c r="B110" s="722"/>
      <c r="D110" s="235" t="s">
        <v>181</v>
      </c>
      <c r="E110" s="771"/>
      <c r="F110" s="164"/>
      <c r="H110" s="1009"/>
      <c r="I110" s="550"/>
      <c r="J110" s="6"/>
      <c r="K110" s="976"/>
      <c r="L110" s="550"/>
      <c r="M110" s="585"/>
      <c r="N110" s="1064"/>
      <c r="O110" s="649"/>
      <c r="P110" s="987"/>
      <c r="Q110" s="632"/>
      <c r="R110" s="598"/>
    </row>
    <row r="111" spans="1:18">
      <c r="A111" s="722"/>
      <c r="B111" s="722"/>
      <c r="D111" s="235" t="s">
        <v>182</v>
      </c>
      <c r="E111" s="771"/>
      <c r="F111" s="164"/>
      <c r="H111" s="1009"/>
      <c r="I111" s="550"/>
      <c r="J111" s="6"/>
      <c r="K111" s="976"/>
      <c r="L111" s="550"/>
      <c r="M111" s="585"/>
      <c r="N111" s="1064"/>
      <c r="O111" s="649"/>
      <c r="P111" s="987"/>
      <c r="Q111" s="632"/>
      <c r="R111" s="598"/>
    </row>
    <row r="112" spans="1:18">
      <c r="A112" s="722"/>
      <c r="B112" s="722"/>
      <c r="D112" s="235" t="s">
        <v>183</v>
      </c>
      <c r="E112" s="771"/>
      <c r="F112" s="164"/>
      <c r="H112" s="1009"/>
      <c r="I112" s="550"/>
      <c r="J112" s="6"/>
      <c r="K112" s="976"/>
      <c r="L112" s="550"/>
      <c r="M112" s="585"/>
      <c r="N112" s="1064"/>
      <c r="O112" s="649"/>
      <c r="P112" s="987"/>
      <c r="Q112" s="632"/>
      <c r="R112" s="598"/>
    </row>
    <row r="113" spans="1:18">
      <c r="A113" s="722"/>
      <c r="B113" s="722"/>
      <c r="D113" s="235" t="s">
        <v>184</v>
      </c>
      <c r="E113" s="771"/>
      <c r="F113" s="164"/>
      <c r="H113" s="1009"/>
      <c r="I113" s="550"/>
      <c r="J113" s="6"/>
      <c r="K113" s="976"/>
      <c r="L113" s="550"/>
      <c r="M113" s="585"/>
      <c r="N113" s="1064"/>
      <c r="O113" s="649"/>
      <c r="P113" s="987"/>
      <c r="Q113" s="632"/>
      <c r="R113" s="598"/>
    </row>
    <row r="114" spans="1:18">
      <c r="A114" s="722"/>
      <c r="B114" s="722"/>
      <c r="D114" s="235" t="s">
        <v>185</v>
      </c>
      <c r="E114" s="771"/>
      <c r="F114" s="164"/>
      <c r="H114" s="1009"/>
      <c r="I114" s="550"/>
      <c r="J114" s="6"/>
      <c r="K114" s="976"/>
      <c r="L114" s="550"/>
      <c r="M114" s="585"/>
      <c r="N114" s="1064"/>
      <c r="O114" s="649"/>
      <c r="P114" s="987"/>
      <c r="Q114" s="632"/>
      <c r="R114" s="598"/>
    </row>
    <row r="115" spans="1:18">
      <c r="A115" s="722"/>
      <c r="B115" s="722"/>
      <c r="D115" s="235" t="s">
        <v>186</v>
      </c>
      <c r="E115" s="771"/>
      <c r="F115" s="164"/>
      <c r="H115" s="1009"/>
      <c r="I115" s="550"/>
      <c r="J115" s="6"/>
      <c r="K115" s="976"/>
      <c r="L115" s="550"/>
      <c r="M115" s="585"/>
      <c r="N115" s="1064"/>
      <c r="O115" s="649"/>
      <c r="P115" s="987"/>
      <c r="Q115" s="632"/>
      <c r="R115" s="598"/>
    </row>
    <row r="116" spans="1:18">
      <c r="A116" s="293" t="s">
        <v>527</v>
      </c>
      <c r="B116" s="293" t="s">
        <v>699</v>
      </c>
      <c r="D116" s="234" t="s">
        <v>55</v>
      </c>
      <c r="E116" s="772"/>
      <c r="F116" s="551"/>
      <c r="G116" s="490"/>
      <c r="H116" s="490"/>
      <c r="I116" s="552"/>
      <c r="J116" s="478"/>
      <c r="K116" s="459"/>
      <c r="L116" s="558"/>
      <c r="M116" s="532">
        <f>GDP!AA596</f>
        <v>290</v>
      </c>
      <c r="N116" s="584">
        <v>0.11</v>
      </c>
      <c r="O116" s="456"/>
      <c r="P116" s="456"/>
      <c r="Q116" s="631">
        <f>E11</f>
        <v>0.112</v>
      </c>
      <c r="R116" s="597">
        <f>M116*(1+Q116)</f>
        <v>322.48</v>
      </c>
    </row>
    <row r="117" spans="1:18">
      <c r="A117" s="293"/>
      <c r="B117" s="293"/>
      <c r="D117" s="981" t="s">
        <v>773</v>
      </c>
      <c r="E117" s="992">
        <v>370</v>
      </c>
      <c r="F117" s="164"/>
      <c r="G117" s="164"/>
      <c r="H117" s="164"/>
      <c r="I117" s="164"/>
      <c r="J117" s="164"/>
      <c r="K117" s="164"/>
      <c r="L117" s="164"/>
      <c r="M117" s="164"/>
      <c r="N117" s="164"/>
      <c r="O117" s="164"/>
      <c r="P117" s="164"/>
      <c r="Q117" s="164"/>
      <c r="R117" s="164"/>
    </row>
    <row r="118" spans="1:18">
      <c r="A118" s="293"/>
      <c r="B118" s="293"/>
      <c r="D118" s="981" t="s">
        <v>774</v>
      </c>
      <c r="E118" s="992">
        <v>108</v>
      </c>
      <c r="F118" s="164"/>
      <c r="G118" s="164"/>
      <c r="H118" s="164"/>
      <c r="I118" s="164"/>
      <c r="J118" s="164"/>
      <c r="K118" s="164"/>
      <c r="L118" s="164"/>
      <c r="M118" s="164"/>
      <c r="N118" s="164"/>
      <c r="O118" s="164"/>
      <c r="P118" s="164"/>
      <c r="Q118" s="164"/>
      <c r="R118" s="164"/>
    </row>
    <row r="119" spans="1:18">
      <c r="A119" s="293"/>
      <c r="B119" s="293"/>
      <c r="D119" s="981" t="s">
        <v>775</v>
      </c>
      <c r="E119" s="992">
        <v>3296</v>
      </c>
      <c r="F119" s="164"/>
      <c r="G119" s="164"/>
      <c r="H119" s="164"/>
      <c r="I119" s="164"/>
      <c r="J119" s="164"/>
      <c r="K119" s="164"/>
      <c r="L119" s="164"/>
      <c r="M119" s="164"/>
      <c r="N119" s="164"/>
      <c r="O119" s="164"/>
      <c r="P119" s="164"/>
      <c r="Q119" s="164"/>
      <c r="R119" s="164"/>
    </row>
    <row r="120" spans="1:18">
      <c r="A120" s="293"/>
      <c r="B120" s="293"/>
      <c r="D120" s="981" t="s">
        <v>776</v>
      </c>
      <c r="E120" s="992"/>
      <c r="F120" s="164"/>
      <c r="G120" s="164"/>
      <c r="H120" s="164"/>
      <c r="I120" s="164"/>
      <c r="J120" s="164"/>
      <c r="K120" s="164"/>
      <c r="L120" s="164"/>
      <c r="M120" s="164"/>
      <c r="N120" s="164"/>
      <c r="O120" s="164"/>
      <c r="P120" s="164"/>
      <c r="Q120" s="164"/>
      <c r="R120" s="164"/>
    </row>
    <row r="121" spans="1:18">
      <c r="A121" s="293"/>
      <c r="B121" s="293"/>
      <c r="D121" s="981" t="s">
        <v>777</v>
      </c>
      <c r="E121" s="992">
        <v>2702</v>
      </c>
      <c r="F121" s="164"/>
      <c r="G121" s="164"/>
      <c r="H121" s="164"/>
      <c r="I121" s="164"/>
      <c r="J121" s="164"/>
      <c r="K121" s="164"/>
      <c r="L121" s="164"/>
      <c r="M121" s="164"/>
      <c r="N121" s="164"/>
      <c r="O121" s="164"/>
      <c r="P121" s="164"/>
      <c r="Q121" s="164"/>
      <c r="R121" s="164"/>
    </row>
    <row r="122" spans="1:18">
      <c r="A122" s="293"/>
      <c r="B122" s="293"/>
      <c r="D122" s="981" t="s">
        <v>778</v>
      </c>
      <c r="E122" s="992">
        <v>1717</v>
      </c>
      <c r="F122" s="164"/>
      <c r="G122" s="164"/>
      <c r="H122" s="164"/>
      <c r="I122" s="164"/>
      <c r="J122" s="164"/>
      <c r="K122" s="164"/>
      <c r="L122" s="164"/>
      <c r="M122" s="164"/>
      <c r="N122" s="164"/>
      <c r="O122" s="164"/>
      <c r="P122" s="164"/>
      <c r="Q122" s="164"/>
      <c r="R122" s="164"/>
    </row>
    <row r="123" spans="1:18">
      <c r="A123" s="293"/>
      <c r="B123" s="293"/>
      <c r="D123" s="981" t="s">
        <v>779</v>
      </c>
      <c r="E123" s="992">
        <v>2020</v>
      </c>
      <c r="F123" s="164"/>
      <c r="G123" s="164"/>
      <c r="H123" s="164"/>
      <c r="I123" s="164"/>
      <c r="J123" s="164"/>
      <c r="K123" s="164"/>
      <c r="L123" s="164"/>
      <c r="M123" s="164"/>
      <c r="N123" s="164"/>
      <c r="O123" s="164"/>
      <c r="P123" s="164"/>
      <c r="Q123" s="164"/>
      <c r="R123" s="164"/>
    </row>
    <row r="124" spans="1:18">
      <c r="A124" s="293"/>
      <c r="B124" s="293"/>
      <c r="D124" s="981" t="s">
        <v>780</v>
      </c>
      <c r="E124" s="992">
        <v>2029</v>
      </c>
      <c r="F124" s="164"/>
      <c r="G124" s="164"/>
      <c r="H124" s="164"/>
      <c r="I124" s="164"/>
      <c r="J124" s="164"/>
      <c r="K124" s="164"/>
      <c r="L124" s="164"/>
      <c r="M124" s="164"/>
      <c r="N124" s="164"/>
      <c r="O124" s="164"/>
      <c r="P124" s="164"/>
      <c r="Q124" s="164"/>
      <c r="R124" s="164"/>
    </row>
    <row r="125" spans="1:18">
      <c r="A125" s="293" t="s">
        <v>527</v>
      </c>
      <c r="B125" s="293" t="s">
        <v>699</v>
      </c>
      <c r="D125" s="234" t="s">
        <v>56</v>
      </c>
      <c r="E125" s="773"/>
      <c r="F125" s="37"/>
      <c r="G125" s="494"/>
      <c r="H125" s="460"/>
      <c r="I125" s="553"/>
      <c r="J125" s="37"/>
      <c r="K125" s="460"/>
      <c r="L125" s="553"/>
      <c r="M125" s="532">
        <f>GDP!AA597</f>
        <v>531</v>
      </c>
      <c r="N125" s="584">
        <v>2.6666666666666668E-2</v>
      </c>
      <c r="O125" s="456"/>
      <c r="P125" s="456"/>
      <c r="Q125" s="631">
        <f>E12+E13</f>
        <v>3.1666666666666669E-2</v>
      </c>
      <c r="R125" s="597">
        <f>M125*(1+Q125)</f>
        <v>547.81500000000005</v>
      </c>
    </row>
    <row r="126" spans="1:18">
      <c r="A126" s="293"/>
      <c r="B126" s="293"/>
      <c r="D126" s="981"/>
      <c r="E126" s="994">
        <v>40</v>
      </c>
      <c r="F126" s="164"/>
      <c r="G126" s="164"/>
      <c r="H126" s="164"/>
      <c r="I126" s="164"/>
      <c r="J126" s="164"/>
      <c r="K126" s="164"/>
      <c r="L126" s="164"/>
      <c r="M126" s="164"/>
      <c r="N126" s="164"/>
      <c r="O126" s="164"/>
      <c r="P126" s="164"/>
      <c r="Q126" s="164"/>
      <c r="R126" s="164"/>
    </row>
    <row r="127" spans="1:18">
      <c r="A127" s="293"/>
      <c r="B127" s="293"/>
      <c r="D127" s="981"/>
      <c r="E127" s="994">
        <v>40</v>
      </c>
      <c r="F127" s="164"/>
      <c r="G127" s="164"/>
      <c r="H127" s="164"/>
      <c r="I127" s="164"/>
      <c r="J127" s="164"/>
      <c r="K127" s="164"/>
      <c r="L127" s="164"/>
      <c r="M127" s="164"/>
      <c r="N127" s="164"/>
      <c r="O127" s="164"/>
      <c r="P127" s="164"/>
      <c r="Q127" s="164"/>
      <c r="R127" s="164"/>
    </row>
    <row r="128" spans="1:18">
      <c r="A128" s="293"/>
      <c r="B128" s="293"/>
      <c r="D128" s="981"/>
      <c r="E128" s="994">
        <v>184</v>
      </c>
      <c r="F128" s="164"/>
      <c r="G128" s="164"/>
      <c r="H128" s="164"/>
      <c r="I128" s="164"/>
      <c r="J128" s="164"/>
      <c r="K128" s="164"/>
      <c r="L128" s="164"/>
      <c r="M128" s="164"/>
      <c r="N128" s="164"/>
      <c r="O128" s="164"/>
      <c r="P128" s="164"/>
      <c r="Q128" s="164"/>
      <c r="R128" s="164"/>
    </row>
    <row r="129" spans="1:18">
      <c r="A129" s="293"/>
      <c r="B129" s="293"/>
      <c r="D129" s="981"/>
      <c r="E129" s="994">
        <v>184</v>
      </c>
      <c r="F129" s="164"/>
      <c r="G129" s="164"/>
      <c r="H129" s="164"/>
      <c r="I129" s="164"/>
      <c r="J129" s="164"/>
      <c r="K129" s="164"/>
      <c r="L129" s="164"/>
      <c r="M129" s="164"/>
      <c r="N129" s="164"/>
      <c r="O129" s="164"/>
      <c r="P129" s="164"/>
      <c r="Q129" s="164"/>
      <c r="R129" s="164"/>
    </row>
    <row r="130" spans="1:18" ht="15.5" thickBot="1">
      <c r="A130" s="293" t="s">
        <v>527</v>
      </c>
      <c r="B130" s="293" t="s">
        <v>699</v>
      </c>
      <c r="D130" s="238" t="s">
        <v>57</v>
      </c>
      <c r="E130" s="530"/>
      <c r="F130" s="554"/>
      <c r="G130" s="495"/>
      <c r="H130" s="242"/>
      <c r="I130" s="555"/>
      <c r="J130" s="241"/>
      <c r="K130" s="461"/>
      <c r="L130" s="568"/>
      <c r="M130" s="532">
        <f>GDP!AA598</f>
        <v>48</v>
      </c>
      <c r="N130" s="586">
        <v>0.03</v>
      </c>
      <c r="O130" s="456"/>
      <c r="P130" s="61"/>
      <c r="Q130" s="631">
        <f>E14</f>
        <v>4.1666666666666664E-2</v>
      </c>
      <c r="R130" s="597">
        <f>M130*(1+Q130)</f>
        <v>50</v>
      </c>
    </row>
    <row r="131" spans="1:18" ht="15.5" thickBot="1">
      <c r="A131" s="293"/>
      <c r="B131" s="293" t="s">
        <v>119</v>
      </c>
      <c r="D131" s="24" t="s">
        <v>131</v>
      </c>
      <c r="E131" s="531"/>
      <c r="F131" s="556"/>
      <c r="G131" s="59"/>
      <c r="H131" s="42"/>
      <c r="I131" s="60"/>
      <c r="J131" s="47"/>
      <c r="K131" s="42"/>
      <c r="L131" s="60"/>
      <c r="M131" s="531">
        <f>GDP!AA599</f>
        <v>2395</v>
      </c>
      <c r="N131" s="587">
        <v>4.698242534602684E-2</v>
      </c>
      <c r="O131" s="515"/>
      <c r="P131" s="515"/>
      <c r="Q131" s="712">
        <f>(R131-M131)/M131</f>
        <v>9.4754263877945763E-2</v>
      </c>
      <c r="R131" s="596">
        <f>R132+R136+R167+R168+R169</f>
        <v>2621.9364619876801</v>
      </c>
    </row>
    <row r="132" spans="1:18">
      <c r="A132" s="293" t="s">
        <v>528</v>
      </c>
      <c r="B132" s="293" t="s">
        <v>797</v>
      </c>
      <c r="D132" s="31" t="s">
        <v>66</v>
      </c>
      <c r="E132" s="532">
        <f>SUM(E133:E135)</f>
        <v>47497.073206672991</v>
      </c>
      <c r="F132" s="549"/>
      <c r="G132" s="62"/>
      <c r="H132" s="465"/>
      <c r="I132" s="68">
        <f>(I133*$E$133+I134*$E$134+I135*$E$135)/$E$132</f>
        <v>1742.7491673540401</v>
      </c>
      <c r="J132" s="33"/>
      <c r="K132" s="465"/>
      <c r="L132" s="466">
        <f>(L133*$E$133+L134*$E$134+L135*$E$135)/$E$132</f>
        <v>2217.2628411877408</v>
      </c>
      <c r="M132" s="532">
        <f>GDP!AA600</f>
        <v>265</v>
      </c>
      <c r="N132" s="584">
        <v>0.11734694707578913</v>
      </c>
      <c r="O132" s="456">
        <f>(L132-I132)/I132</f>
        <v>0.27227881253510483</v>
      </c>
      <c r="P132" s="513"/>
      <c r="Q132" s="686">
        <f>O132</f>
        <v>0.27227881253510483</v>
      </c>
      <c r="R132" s="599">
        <f>M132*(1+Q132)</f>
        <v>337.15388532180276</v>
      </c>
    </row>
    <row r="133" spans="1:18">
      <c r="A133" s="293"/>
      <c r="B133" s="293"/>
      <c r="D133" s="127" t="s">
        <v>94</v>
      </c>
      <c r="E133" s="275">
        <v>8246.5717283023732</v>
      </c>
      <c r="F133" s="164"/>
      <c r="H133" s="438"/>
      <c r="I133" s="467">
        <f>GDP!AA176</f>
        <v>3549.9150499999996</v>
      </c>
      <c r="J133" s="6"/>
      <c r="K133" s="438"/>
      <c r="L133" s="467">
        <f>GDP!AB176</f>
        <v>4759.62129</v>
      </c>
      <c r="M133" s="588"/>
      <c r="N133" s="1065"/>
      <c r="O133" s="617"/>
      <c r="P133" s="516"/>
      <c r="Q133" s="618"/>
      <c r="R133" s="600"/>
    </row>
    <row r="134" spans="1:18">
      <c r="A134" s="293"/>
      <c r="B134" s="293"/>
      <c r="D134" s="127" t="s">
        <v>95</v>
      </c>
      <c r="E134" s="275">
        <v>31055.579501226439</v>
      </c>
      <c r="F134" s="164"/>
      <c r="H134" s="438"/>
      <c r="I134" s="467">
        <f>GDP!AA177</f>
        <v>1269.9392000000003</v>
      </c>
      <c r="J134" s="6"/>
      <c r="K134" s="705"/>
      <c r="L134" s="467">
        <f>GDP!AB177</f>
        <v>1725.1819999999998</v>
      </c>
      <c r="M134" s="588"/>
      <c r="N134" s="1065"/>
      <c r="O134" s="617"/>
      <c r="P134" s="516"/>
      <c r="Q134" s="618"/>
      <c r="R134" s="600"/>
    </row>
    <row r="135" spans="1:18">
      <c r="A135" s="293"/>
      <c r="B135" s="293"/>
      <c r="D135" s="127" t="s">
        <v>96</v>
      </c>
      <c r="E135" s="275">
        <v>8194.9219771441785</v>
      </c>
      <c r="F135" s="164"/>
      <c r="H135" s="438"/>
      <c r="I135" s="467">
        <f>GDP!AA178</f>
        <v>1715.9599499999999</v>
      </c>
      <c r="J135" s="6"/>
      <c r="K135" s="705"/>
      <c r="L135" s="467">
        <f>GDP!AB178</f>
        <v>1523.6765399999999</v>
      </c>
      <c r="M135" s="588"/>
      <c r="N135" s="1065"/>
      <c r="O135" s="617"/>
      <c r="P135" s="516"/>
      <c r="Q135" s="618"/>
      <c r="R135" s="600"/>
    </row>
    <row r="136" spans="1:18">
      <c r="A136" s="293" t="s">
        <v>582</v>
      </c>
      <c r="B136" s="293" t="s">
        <v>639</v>
      </c>
      <c r="D136" s="52" t="s">
        <v>67</v>
      </c>
      <c r="E136" s="660" t="s">
        <v>809</v>
      </c>
      <c r="F136" s="557"/>
      <c r="G136" s="217" t="s">
        <v>30</v>
      </c>
      <c r="H136" s="459"/>
      <c r="I136" s="558"/>
      <c r="J136" s="33"/>
      <c r="K136" s="465"/>
      <c r="L136" s="466"/>
      <c r="M136" s="532">
        <f>GDP!AA601</f>
        <v>860</v>
      </c>
      <c r="N136" s="584">
        <v>7.6198038425992515E-2</v>
      </c>
      <c r="O136" s="513"/>
      <c r="P136" s="513"/>
      <c r="Q136" s="456">
        <f>(R136-M136)/M136</f>
        <v>0.13406289389790468</v>
      </c>
      <c r="R136" s="597">
        <f>R137+R144++R153+R154+R157+R164+R165+R166</f>
        <v>975.29408875219804</v>
      </c>
    </row>
    <row r="137" spans="1:18">
      <c r="A137" s="293" t="s">
        <v>581</v>
      </c>
      <c r="B137" s="293" t="s">
        <v>585</v>
      </c>
      <c r="D137" s="127" t="s">
        <v>68</v>
      </c>
      <c r="E137" s="275">
        <f>SUM(E138:E143)</f>
        <v>4162.0355992837212</v>
      </c>
      <c r="F137" s="547"/>
      <c r="G137" s="438"/>
      <c r="H137" s="438"/>
      <c r="I137" s="467">
        <f>(I138*$E$138+I139*$E$139+I140*$E$140+I141*$E$141+I142*$E$142+I143*$E$143)/$E$137</f>
        <v>51559529.08982724</v>
      </c>
      <c r="J137" s="135"/>
      <c r="K137" s="438"/>
      <c r="L137" s="467">
        <f>(L138*$E$138+L139*$E$139+L140*$E$140+L141*$E$141+L142*$E$142+L143*$E$143)/$E$137</f>
        <v>61367012.687899724</v>
      </c>
      <c r="M137" s="583">
        <f>GDP!AA602</f>
        <v>155</v>
      </c>
      <c r="N137" s="589">
        <v>8.9659245864641746E-2</v>
      </c>
      <c r="O137" s="1030">
        <f>((L137-I137)/I137)+E17</f>
        <v>0.19021670234780155</v>
      </c>
      <c r="P137" s="514">
        <f>E18</f>
        <v>9.935897435897445E-2</v>
      </c>
      <c r="Q137" s="514">
        <f>O137*(1-E16)+E18*E16</f>
        <v>0.14137949045586914</v>
      </c>
      <c r="R137" s="166">
        <f>M137*(1+Q137)</f>
        <v>176.91382102065973</v>
      </c>
    </row>
    <row r="138" spans="1:18">
      <c r="A138" s="293"/>
      <c r="B138" s="293" t="s">
        <v>789</v>
      </c>
      <c r="D138" s="127" t="s">
        <v>60</v>
      </c>
      <c r="E138" s="275">
        <v>48.305084745762713</v>
      </c>
      <c r="F138" s="547">
        <f t="shared" ref="F138:F143" si="4">G138/I138</f>
        <v>0.54273190643463742</v>
      </c>
      <c r="G138" s="1014">
        <v>21274915.940000001</v>
      </c>
      <c r="H138" s="999">
        <v>17924762</v>
      </c>
      <c r="I138" s="467">
        <f t="shared" ref="I138:I143" si="5">G138+H138</f>
        <v>39199677.939999998</v>
      </c>
      <c r="J138" s="999">
        <v>24394189.669999998</v>
      </c>
      <c r="K138" s="999">
        <v>26520849</v>
      </c>
      <c r="L138" s="467">
        <f t="shared" ref="L138:L143" si="6">J138+K138</f>
        <v>50915038.670000002</v>
      </c>
      <c r="M138" s="533"/>
      <c r="N138" s="283"/>
      <c r="O138" s="619"/>
      <c r="P138" s="517"/>
      <c r="Q138" s="620"/>
      <c r="R138" s="166"/>
    </row>
    <row r="139" spans="1:18">
      <c r="A139" s="293"/>
      <c r="B139" s="293" t="s">
        <v>789</v>
      </c>
      <c r="D139" s="127" t="s">
        <v>61</v>
      </c>
      <c r="E139" s="275">
        <v>847.45762711864415</v>
      </c>
      <c r="F139" s="547">
        <f t="shared" si="4"/>
        <v>0.48847852093412197</v>
      </c>
      <c r="G139" s="1014">
        <v>181786.5</v>
      </c>
      <c r="H139" s="999">
        <v>190361.90000000002</v>
      </c>
      <c r="I139" s="467">
        <f t="shared" si="5"/>
        <v>372148.4</v>
      </c>
      <c r="J139" s="999">
        <v>348397.3</v>
      </c>
      <c r="K139" s="999">
        <v>310245.65000000002</v>
      </c>
      <c r="L139" s="467">
        <f t="shared" si="6"/>
        <v>658642.94999999995</v>
      </c>
      <c r="M139" s="529"/>
      <c r="N139" s="283"/>
      <c r="O139" s="619"/>
      <c r="P139" s="517"/>
      <c r="Q139" s="620"/>
      <c r="R139" s="166"/>
    </row>
    <row r="140" spans="1:18">
      <c r="A140" s="293"/>
      <c r="B140" s="293" t="s">
        <v>789</v>
      </c>
      <c r="D140" s="127" t="s">
        <v>62</v>
      </c>
      <c r="E140" s="275">
        <v>824.10256410256409</v>
      </c>
      <c r="F140" s="547">
        <f t="shared" si="4"/>
        <v>0.66769267416640987</v>
      </c>
      <c r="G140" s="1014">
        <v>2029559.1759999997</v>
      </c>
      <c r="H140" s="999">
        <v>1010101.5160000001</v>
      </c>
      <c r="I140" s="467">
        <f t="shared" si="5"/>
        <v>3039660.6919999998</v>
      </c>
      <c r="J140" s="999">
        <v>2427602.0919999997</v>
      </c>
      <c r="K140" s="999">
        <v>1790982.392</v>
      </c>
      <c r="L140" s="467">
        <f t="shared" si="6"/>
        <v>4218584.4839999992</v>
      </c>
      <c r="M140" s="528"/>
      <c r="N140" s="283"/>
      <c r="O140" s="619"/>
      <c r="P140" s="517"/>
      <c r="Q140" s="620"/>
      <c r="R140" s="166"/>
    </row>
    <row r="141" spans="1:18">
      <c r="A141" s="291" t="s">
        <v>794</v>
      </c>
      <c r="B141" s="293" t="s">
        <v>789</v>
      </c>
      <c r="D141" s="127" t="s">
        <v>63</v>
      </c>
      <c r="E141" s="275">
        <v>1566.770323316751</v>
      </c>
      <c r="F141" s="547">
        <f t="shared" si="4"/>
        <v>0.49998908045693186</v>
      </c>
      <c r="G141" s="1014">
        <v>64089423.129999995</v>
      </c>
      <c r="H141" s="999">
        <v>64092222.5</v>
      </c>
      <c r="I141" s="467">
        <f t="shared" si="5"/>
        <v>128181645.63</v>
      </c>
      <c r="J141" s="999">
        <v>68259424.5</v>
      </c>
      <c r="K141" s="999">
        <v>83507405</v>
      </c>
      <c r="L141" s="467">
        <f t="shared" si="6"/>
        <v>151766829.5</v>
      </c>
      <c r="M141" s="529"/>
      <c r="N141" s="283"/>
      <c r="O141" s="619"/>
      <c r="P141" s="517"/>
      <c r="Q141" s="620"/>
      <c r="R141" s="166"/>
    </row>
    <row r="142" spans="1:18">
      <c r="A142" s="293"/>
      <c r="B142" s="293" t="s">
        <v>789</v>
      </c>
      <c r="D142" s="127" t="s">
        <v>64</v>
      </c>
      <c r="E142" s="275">
        <v>411</v>
      </c>
      <c r="F142" s="547">
        <f t="shared" si="4"/>
        <v>0.54497269135000481</v>
      </c>
      <c r="G142" s="1014">
        <v>11991538.5</v>
      </c>
      <c r="H142" s="999">
        <v>10012387</v>
      </c>
      <c r="I142" s="467">
        <f t="shared" si="5"/>
        <v>22003925.5</v>
      </c>
      <c r="J142" s="999">
        <v>13960237.9</v>
      </c>
      <c r="K142" s="999">
        <v>13119167</v>
      </c>
      <c r="L142" s="467">
        <f t="shared" si="6"/>
        <v>27079404.899999999</v>
      </c>
      <c r="M142" s="126"/>
      <c r="N142" s="283"/>
      <c r="O142" s="619"/>
      <c r="P142" s="517"/>
      <c r="Q142" s="620"/>
      <c r="R142" s="166"/>
    </row>
    <row r="143" spans="1:18">
      <c r="A143" s="293"/>
      <c r="B143" s="293" t="s">
        <v>789</v>
      </c>
      <c r="D143" s="127" t="s">
        <v>65</v>
      </c>
      <c r="E143" s="275">
        <v>464.4</v>
      </c>
      <c r="F143" s="547">
        <f t="shared" si="4"/>
        <v>0.50820951523337832</v>
      </c>
      <c r="G143" s="1014">
        <v>4232.75</v>
      </c>
      <c r="H143" s="999">
        <v>4096</v>
      </c>
      <c r="I143" s="467">
        <f t="shared" si="5"/>
        <v>8328.75</v>
      </c>
      <c r="J143" s="999">
        <v>2356.25</v>
      </c>
      <c r="K143" s="999">
        <v>6511</v>
      </c>
      <c r="L143" s="467">
        <f t="shared" si="6"/>
        <v>8867.25</v>
      </c>
      <c r="M143" s="528"/>
      <c r="N143" s="283"/>
      <c r="O143" s="619"/>
      <c r="P143" s="517"/>
      <c r="Q143" s="620"/>
      <c r="R143" s="166"/>
    </row>
    <row r="144" spans="1:18">
      <c r="A144" s="293"/>
      <c r="B144" s="293" t="s">
        <v>790</v>
      </c>
      <c r="D144" s="127" t="s">
        <v>69</v>
      </c>
      <c r="E144" s="275"/>
      <c r="F144" s="164"/>
      <c r="G144" s="1051"/>
      <c r="H144" s="1001"/>
      <c r="I144" s="467"/>
      <c r="J144" s="1000"/>
      <c r="K144" s="1000"/>
      <c r="L144" s="467"/>
      <c r="M144" s="583">
        <f>GDP!AA603</f>
        <v>461</v>
      </c>
      <c r="N144" s="589">
        <v>3.9379756777190526E-3</v>
      </c>
      <c r="O144" s="615">
        <f>O145*(1-E26)+O152*E26</f>
        <v>1.0875701562498549E-2</v>
      </c>
      <c r="P144" s="514">
        <f>E20</f>
        <v>-1.9219025431138917E-2</v>
      </c>
      <c r="Q144" s="616">
        <f>O145*(1-E19)+E20*E19</f>
        <v>2.7790103043386281E-2</v>
      </c>
      <c r="R144" s="166">
        <f>M144*(1+Q144)</f>
        <v>473.81123750300105</v>
      </c>
    </row>
    <row r="145" spans="1:21">
      <c r="A145" s="293" t="s">
        <v>109</v>
      </c>
      <c r="B145" s="293" t="s">
        <v>791</v>
      </c>
      <c r="D145" s="127" t="s">
        <v>86</v>
      </c>
      <c r="E145" s="275">
        <f>SUM(E146:E151)</f>
        <v>4290.3099999999995</v>
      </c>
      <c r="F145" s="164"/>
      <c r="G145" s="1051"/>
      <c r="H145" s="1001"/>
      <c r="I145" s="467">
        <f>(I146*$E$146+I147*$E$147+I148*$E$148+I149*$E$149+I150*$E$150+I151*$E$151)/$E$145</f>
        <v>6194147.3488562377</v>
      </c>
      <c r="J145" s="1000"/>
      <c r="K145" s="1000"/>
      <c r="L145" s="467">
        <f>(L146*$E$146+L147*$E$147+L148*$E$148+L149*$E$149+L150*$E$150+L151*$E$151)/$E$145</f>
        <v>6473944.6066495525</v>
      </c>
      <c r="M145" s="590"/>
      <c r="N145" s="172"/>
      <c r="O145" s="615">
        <f>(L145-I145)/I145</f>
        <v>4.5171230523758835E-2</v>
      </c>
      <c r="P145" s="249"/>
      <c r="Q145" s="636"/>
      <c r="R145" s="166"/>
    </row>
    <row r="146" spans="1:21">
      <c r="A146" s="293"/>
      <c r="B146" s="293" t="s">
        <v>788</v>
      </c>
      <c r="D146" s="127" t="s">
        <v>81</v>
      </c>
      <c r="E146" s="533">
        <v>549.44000000000005</v>
      </c>
      <c r="F146" s="547">
        <f>G146/I146</f>
        <v>0.48564402590735106</v>
      </c>
      <c r="G146" s="1014">
        <v>746645.45296208514</v>
      </c>
      <c r="H146" s="999">
        <v>790788.16740850033</v>
      </c>
      <c r="I146" s="467">
        <f>G146+H146</f>
        <v>1537433.6203705855</v>
      </c>
      <c r="J146" s="999">
        <v>728642.79582409398</v>
      </c>
      <c r="K146" s="999">
        <v>715295.39050417033</v>
      </c>
      <c r="L146" s="467">
        <f>J146+K146</f>
        <v>1443938.1863282644</v>
      </c>
      <c r="M146" s="533"/>
      <c r="N146" s="283"/>
      <c r="O146" s="619"/>
      <c r="P146" s="517"/>
      <c r="Q146" s="620"/>
      <c r="R146" s="166"/>
    </row>
    <row r="147" spans="1:21">
      <c r="A147" s="293"/>
      <c r="B147" s="293" t="s">
        <v>788</v>
      </c>
      <c r="D147" s="127" t="s">
        <v>79</v>
      </c>
      <c r="E147" s="533">
        <v>427.62</v>
      </c>
      <c r="F147" s="547">
        <f t="shared" ref="F147:F153" si="7">G147/I147</f>
        <v>0.52323585907373082</v>
      </c>
      <c r="G147" s="1014">
        <v>282703.89200000005</v>
      </c>
      <c r="H147" s="999">
        <v>257595.26199999999</v>
      </c>
      <c r="I147" s="467">
        <f t="shared" ref="I147:I152" si="8">G147+H147</f>
        <v>540299.1540000001</v>
      </c>
      <c r="J147" s="999">
        <v>221691.40599999999</v>
      </c>
      <c r="K147" s="999">
        <v>268630.85800000001</v>
      </c>
      <c r="L147" s="467">
        <f t="shared" ref="L147:L153" si="9">J147+K147</f>
        <v>490322.26399999997</v>
      </c>
      <c r="M147" s="533"/>
      <c r="N147" s="1058"/>
      <c r="O147" s="164"/>
      <c r="P147" s="507"/>
      <c r="Q147" s="570"/>
      <c r="R147" s="166"/>
    </row>
    <row r="148" spans="1:21">
      <c r="A148" s="293"/>
      <c r="B148" s="293" t="s">
        <v>788</v>
      </c>
      <c r="D148" s="127" t="s">
        <v>80</v>
      </c>
      <c r="E148" s="533">
        <v>618</v>
      </c>
      <c r="F148" s="547">
        <f t="shared" si="7"/>
        <v>0.61305613192121278</v>
      </c>
      <c r="G148" s="1014">
        <v>12645272.5</v>
      </c>
      <c r="H148" s="999">
        <v>7981342</v>
      </c>
      <c r="I148" s="467">
        <f t="shared" si="8"/>
        <v>20626614.5</v>
      </c>
      <c r="J148" s="999">
        <v>14296961.460000001</v>
      </c>
      <c r="K148" s="999">
        <v>8682885.2599999998</v>
      </c>
      <c r="L148" s="467">
        <f t="shared" si="9"/>
        <v>22979846.719999999</v>
      </c>
      <c r="M148" s="533"/>
      <c r="N148" s="1066"/>
      <c r="O148" s="621"/>
      <c r="P148" s="518"/>
      <c r="Q148" s="622"/>
      <c r="R148" s="166"/>
    </row>
    <row r="149" spans="1:21">
      <c r="A149" s="293"/>
      <c r="B149" s="293" t="s">
        <v>788</v>
      </c>
      <c r="D149" s="127" t="s">
        <v>82</v>
      </c>
      <c r="E149" s="533">
        <v>784</v>
      </c>
      <c r="F149" s="547">
        <f t="shared" si="7"/>
        <v>0.4940798311385568</v>
      </c>
      <c r="G149" s="1014">
        <v>3402211.0769999996</v>
      </c>
      <c r="H149" s="999">
        <v>3483743.1</v>
      </c>
      <c r="I149" s="467">
        <f t="shared" si="8"/>
        <v>6885954.1769999992</v>
      </c>
      <c r="J149" s="999">
        <v>3060203.3159999996</v>
      </c>
      <c r="K149" s="999">
        <v>3786429.3498249445</v>
      </c>
      <c r="L149" s="467">
        <f t="shared" si="9"/>
        <v>6846632.6658249442</v>
      </c>
      <c r="M149" s="533"/>
      <c r="N149" s="1058"/>
      <c r="O149" s="164"/>
      <c r="P149" s="507"/>
      <c r="Q149" s="570"/>
      <c r="R149" s="166"/>
    </row>
    <row r="150" spans="1:21">
      <c r="A150" s="293"/>
      <c r="B150" s="293" t="s">
        <v>788</v>
      </c>
      <c r="D150" s="127" t="s">
        <v>83</v>
      </c>
      <c r="E150" s="533">
        <v>216.25</v>
      </c>
      <c r="F150" s="547">
        <f t="shared" si="7"/>
        <v>0.4958418861548296</v>
      </c>
      <c r="G150" s="1014">
        <v>16091255.200000001</v>
      </c>
      <c r="H150" s="999">
        <v>16361136.67997</v>
      </c>
      <c r="I150" s="467">
        <f t="shared" si="8"/>
        <v>32452391.879969999</v>
      </c>
      <c r="J150" s="999">
        <v>15992521.736000001</v>
      </c>
      <c r="K150" s="999">
        <v>15896903.16</v>
      </c>
      <c r="L150" s="467">
        <f t="shared" si="9"/>
        <v>31889424.896000002</v>
      </c>
      <c r="M150" s="533"/>
      <c r="N150" s="1061"/>
      <c r="O150" s="623"/>
      <c r="P150" s="519"/>
      <c r="Q150" s="624"/>
      <c r="R150" s="166"/>
    </row>
    <row r="151" spans="1:21">
      <c r="A151" s="293"/>
      <c r="B151" s="293" t="s">
        <v>788</v>
      </c>
      <c r="D151" s="127" t="s">
        <v>84</v>
      </c>
      <c r="E151" s="533">
        <v>1695</v>
      </c>
      <c r="F151" s="547">
        <f t="shared" si="7"/>
        <v>0.63711113535918407</v>
      </c>
      <c r="G151" s="1014">
        <v>126060.23</v>
      </c>
      <c r="H151" s="999">
        <v>71802</v>
      </c>
      <c r="I151" s="467">
        <f t="shared" si="8"/>
        <v>197862.22999999998</v>
      </c>
      <c r="J151" s="999">
        <v>124579</v>
      </c>
      <c r="K151" s="999">
        <v>56428</v>
      </c>
      <c r="L151" s="467">
        <f t="shared" si="9"/>
        <v>181007</v>
      </c>
      <c r="M151" s="533"/>
      <c r="N151" s="1058"/>
      <c r="O151" s="164"/>
      <c r="P151" s="507"/>
      <c r="Q151" s="570"/>
      <c r="R151" s="166"/>
    </row>
    <row r="152" spans="1:21">
      <c r="A152" s="293"/>
      <c r="B152" s="293" t="s">
        <v>583</v>
      </c>
      <c r="D152" s="127" t="s">
        <v>85</v>
      </c>
      <c r="E152" s="533">
        <v>3.3563999999999998</v>
      </c>
      <c r="F152" s="547">
        <f t="shared" si="7"/>
        <v>0.54238544882271045</v>
      </c>
      <c r="G152" s="1014">
        <v>179.21500000000003</v>
      </c>
      <c r="H152" s="999">
        <v>151.20500000000001</v>
      </c>
      <c r="I152" s="467">
        <f t="shared" si="8"/>
        <v>330.42000000000007</v>
      </c>
      <c r="J152" s="999">
        <v>156.48000000000002</v>
      </c>
      <c r="K152" s="999">
        <v>0</v>
      </c>
      <c r="L152" s="467">
        <f t="shared" si="9"/>
        <v>156.48000000000002</v>
      </c>
      <c r="M152" s="533"/>
      <c r="N152" s="1061"/>
      <c r="O152" s="637">
        <f>(L152-I152)/I152</f>
        <v>-0.52642091883057929</v>
      </c>
      <c r="P152" s="462"/>
      <c r="Q152" s="571"/>
      <c r="R152" s="166"/>
    </row>
    <row r="153" spans="1:21">
      <c r="A153" s="293" t="s">
        <v>109</v>
      </c>
      <c r="B153" s="293" t="s">
        <v>489</v>
      </c>
      <c r="D153" s="127" t="s">
        <v>70</v>
      </c>
      <c r="E153" s="533"/>
      <c r="F153" s="547">
        <f t="shared" si="7"/>
        <v>0.54027488262623691</v>
      </c>
      <c r="G153" s="1014">
        <v>618.41700000000003</v>
      </c>
      <c r="H153" s="999">
        <v>530.93200000000002</v>
      </c>
      <c r="I153" s="467">
        <f>J153+H153</f>
        <v>1144.634</v>
      </c>
      <c r="J153" s="999">
        <v>613.702</v>
      </c>
      <c r="K153" s="999">
        <v>545.82899999999995</v>
      </c>
      <c r="L153" s="467">
        <f t="shared" si="9"/>
        <v>1159.5309999999999</v>
      </c>
      <c r="M153" s="583">
        <f>GDP!AA604</f>
        <v>37</v>
      </c>
      <c r="N153" s="589">
        <v>0.19237569471731858</v>
      </c>
      <c r="O153" s="616">
        <f>(L153-I153)/I153+E30</f>
        <v>1.3014640487701689E-2</v>
      </c>
      <c r="P153" s="514">
        <f>E28</f>
        <v>1.4E-2</v>
      </c>
      <c r="Q153" s="616">
        <f>O153*(1-E27)+E28*E27</f>
        <v>1.3852196073155253E-2</v>
      </c>
      <c r="R153" s="166">
        <f>M153*(1+Q153)</f>
        <v>37.512531254706744</v>
      </c>
    </row>
    <row r="154" spans="1:21">
      <c r="A154" s="293"/>
      <c r="B154" s="293" t="s">
        <v>490</v>
      </c>
      <c r="D154" s="127" t="s">
        <v>71</v>
      </c>
      <c r="E154" s="533"/>
      <c r="F154" s="164"/>
      <c r="G154" s="1051"/>
      <c r="H154" s="1001"/>
      <c r="I154" s="467">
        <f>(I155*$E$155+I156*$E$156)/1000000</f>
        <v>3137.0173119999999</v>
      </c>
      <c r="J154" s="1000"/>
      <c r="K154" s="1000"/>
      <c r="L154" s="467">
        <f>(L155*$E$155+L156*$E$156)/1000000</f>
        <v>4106.0260012941171</v>
      </c>
      <c r="M154" s="583">
        <f>GDP!AA605</f>
        <v>28</v>
      </c>
      <c r="N154" s="589">
        <v>0.14732902396622832</v>
      </c>
      <c r="O154" s="615">
        <f>(L154-I154)/I154</f>
        <v>0.30889491288026311</v>
      </c>
      <c r="P154" s="514">
        <f>E32</f>
        <v>8.0795331059545727E-2</v>
      </c>
      <c r="Q154" s="616">
        <f>O154*(1-E31)+E32*E31</f>
        <v>0.14466321396934662</v>
      </c>
      <c r="R154" s="166">
        <f>M154*(1+Q154)</f>
        <v>32.050569991141707</v>
      </c>
      <c r="T154" s="86"/>
      <c r="U154" s="86"/>
    </row>
    <row r="155" spans="1:21">
      <c r="A155" s="293"/>
      <c r="B155" s="293" t="s">
        <v>499</v>
      </c>
      <c r="D155" s="127" t="s">
        <v>110</v>
      </c>
      <c r="E155" s="1012">
        <v>1568</v>
      </c>
      <c r="F155" s="164">
        <f>G155/I155</f>
        <v>0.46228764371830011</v>
      </c>
      <c r="G155" s="1014">
        <v>95976</v>
      </c>
      <c r="H155" s="999">
        <v>111635</v>
      </c>
      <c r="I155" s="467">
        <f>G155+H155</f>
        <v>207611</v>
      </c>
      <c r="J155" s="999">
        <v>130504</v>
      </c>
      <c r="K155" s="999">
        <v>116874</v>
      </c>
      <c r="L155" s="467">
        <f>J155+K155</f>
        <v>247378</v>
      </c>
      <c r="M155" s="583"/>
      <c r="N155" s="589"/>
      <c r="O155" s="615">
        <f>L155/I155-1</f>
        <v>0.19154572734585362</v>
      </c>
      <c r="P155" s="514"/>
      <c r="Q155" s="616"/>
      <c r="R155" s="166"/>
      <c r="U155" s="86"/>
    </row>
    <row r="156" spans="1:21">
      <c r="A156" s="293"/>
      <c r="B156" s="293" t="s">
        <v>586</v>
      </c>
      <c r="D156" s="127" t="s">
        <v>111</v>
      </c>
      <c r="E156" s="1012">
        <v>1395.7647058823529</v>
      </c>
      <c r="F156" s="164">
        <f>G156/I156</f>
        <v>0.53942419584807799</v>
      </c>
      <c r="G156" s="1014">
        <v>1086560</v>
      </c>
      <c r="H156" s="999">
        <v>927736</v>
      </c>
      <c r="I156" s="467">
        <f>G156+H156</f>
        <v>2014296</v>
      </c>
      <c r="J156" s="999">
        <v>1499946.5249999999</v>
      </c>
      <c r="K156" s="999">
        <v>1163924.6000000001</v>
      </c>
      <c r="L156" s="467">
        <f>J156+K156</f>
        <v>2663871.125</v>
      </c>
      <c r="M156" s="583"/>
      <c r="N156" s="589"/>
      <c r="O156" s="615">
        <f>L156/I156-1</f>
        <v>0.32248245789099506</v>
      </c>
      <c r="P156" s="514"/>
      <c r="Q156" s="616"/>
      <c r="R156" s="166"/>
    </row>
    <row r="157" spans="1:21">
      <c r="A157" s="296" t="s">
        <v>491</v>
      </c>
      <c r="B157" s="293" t="s">
        <v>498</v>
      </c>
      <c r="D157" s="127" t="s">
        <v>72</v>
      </c>
      <c r="E157" s="533">
        <f>SUM(E158:E163)</f>
        <v>27290.296347474745</v>
      </c>
      <c r="F157" s="164"/>
      <c r="G157" s="1051"/>
      <c r="H157" s="1001"/>
      <c r="I157" s="467">
        <f>(I158*$E$158+I159*$E$159+I160*$E$160+I161*$E$161+I162*$E$162+I163*$E$163)/$E$157</f>
        <v>224644.5382899543</v>
      </c>
      <c r="J157" s="1000"/>
      <c r="K157" s="1000"/>
      <c r="L157" s="467">
        <f>(L158*$E$158+L159*$E$159+L160*$E$160+L161*$E$161+L162*$E$162+L163*$E$163)/$E$157</f>
        <v>267028.00897426542</v>
      </c>
      <c r="M157" s="583">
        <f>GDP!AA606</f>
        <v>45</v>
      </c>
      <c r="N157" s="589">
        <v>0.24843644655160221</v>
      </c>
      <c r="O157" s="615">
        <f>E35</f>
        <v>0.18866904580429067</v>
      </c>
      <c r="P157" s="514">
        <f>E34</f>
        <v>0.10633452290214533</v>
      </c>
      <c r="Q157" s="1029">
        <f>(O157*(1-E33)+P157*E33)+E36</f>
        <v>0.1429687922078981</v>
      </c>
      <c r="R157" s="166">
        <f>M157*(1+Q157)</f>
        <v>51.433595649355418</v>
      </c>
    </row>
    <row r="158" spans="1:21">
      <c r="A158" s="296"/>
      <c r="B158" s="293" t="s">
        <v>787</v>
      </c>
      <c r="D158" s="127" t="s">
        <v>492</v>
      </c>
      <c r="E158" s="653">
        <v>539.02777777777783</v>
      </c>
      <c r="F158" s="164">
        <f t="shared" ref="F158:F163" si="10">G158/I158</f>
        <v>0.43559604145249231</v>
      </c>
      <c r="G158" s="1014">
        <v>2516.0280000000002</v>
      </c>
      <c r="H158" s="999">
        <v>3260.03</v>
      </c>
      <c r="I158" s="467">
        <f t="shared" ref="I158:I163" si="11">G158+H158</f>
        <v>5776.0580000000009</v>
      </c>
      <c r="J158" s="999">
        <v>3678.9180000000006</v>
      </c>
      <c r="K158" s="999">
        <v>3682.0559999999996</v>
      </c>
      <c r="L158" s="467">
        <f t="shared" ref="L158:L163" si="12">J158+K158</f>
        <v>7360.9740000000002</v>
      </c>
      <c r="M158" s="583"/>
      <c r="N158" s="589"/>
      <c r="O158" s="615"/>
      <c r="P158" s="514"/>
      <c r="Q158" s="616"/>
      <c r="R158" s="166"/>
    </row>
    <row r="159" spans="1:21">
      <c r="A159" s="296"/>
      <c r="B159" s="293" t="s">
        <v>787</v>
      </c>
      <c r="D159" s="127" t="s">
        <v>493</v>
      </c>
      <c r="E159" s="653">
        <v>18703.333333333332</v>
      </c>
      <c r="F159" s="164">
        <f t="shared" si="10"/>
        <v>0.47476957211918486</v>
      </c>
      <c r="G159" s="1014">
        <v>924.67135950000011</v>
      </c>
      <c r="H159" s="999">
        <v>1022.9499999999999</v>
      </c>
      <c r="I159" s="467">
        <f t="shared" si="11"/>
        <v>1947.6213594999999</v>
      </c>
      <c r="J159" s="999">
        <v>960.18879749999996</v>
      </c>
      <c r="K159" s="999">
        <v>1052.0659999999998</v>
      </c>
      <c r="L159" s="467">
        <f t="shared" si="12"/>
        <v>2012.2547974999998</v>
      </c>
      <c r="M159" s="583"/>
      <c r="N159" s="589"/>
      <c r="O159" s="615"/>
      <c r="P159" s="514"/>
      <c r="Q159" s="616"/>
      <c r="R159" s="166"/>
    </row>
    <row r="160" spans="1:21">
      <c r="A160" s="296"/>
      <c r="B160" s="293" t="s">
        <v>787</v>
      </c>
      <c r="D160" s="127" t="s">
        <v>494</v>
      </c>
      <c r="E160" s="653">
        <v>1510</v>
      </c>
      <c r="F160" s="164">
        <f t="shared" si="10"/>
        <v>0.48206008344249668</v>
      </c>
      <c r="G160" s="1014">
        <v>3940.134</v>
      </c>
      <c r="H160" s="999">
        <v>4233.3989999999994</v>
      </c>
      <c r="I160" s="467">
        <f t="shared" si="11"/>
        <v>8173.5329999999994</v>
      </c>
      <c r="J160" s="999">
        <v>6083.4770000000008</v>
      </c>
      <c r="K160" s="999">
        <v>6415.0560000000005</v>
      </c>
      <c r="L160" s="467">
        <f t="shared" si="12"/>
        <v>12498.533000000001</v>
      </c>
      <c r="M160" s="583"/>
      <c r="N160" s="589"/>
      <c r="O160" s="615"/>
      <c r="P160" s="514"/>
      <c r="Q160" s="616"/>
      <c r="R160" s="166"/>
    </row>
    <row r="161" spans="1:21">
      <c r="A161" s="296"/>
      <c r="B161" s="293" t="s">
        <v>587</v>
      </c>
      <c r="D161" s="127" t="s">
        <v>495</v>
      </c>
      <c r="E161" s="653">
        <v>66.571600000000004</v>
      </c>
      <c r="F161" s="164">
        <f t="shared" si="10"/>
        <v>0.51323317757886178</v>
      </c>
      <c r="G161" s="1015">
        <v>621.39830099999995</v>
      </c>
      <c r="H161" s="1007">
        <v>589.35409800000002</v>
      </c>
      <c r="I161" s="467">
        <f t="shared" si="11"/>
        <v>1210.752399</v>
      </c>
      <c r="J161" s="1007">
        <v>771.64759900000013</v>
      </c>
      <c r="K161" s="1007">
        <v>2630.7446279999999</v>
      </c>
      <c r="L161" s="467">
        <f t="shared" si="12"/>
        <v>3402.3922270000003</v>
      </c>
      <c r="M161" s="583"/>
      <c r="N161" s="589"/>
      <c r="O161" s="615"/>
      <c r="P161" s="514"/>
      <c r="Q161" s="616"/>
      <c r="R161" s="166"/>
    </row>
    <row r="162" spans="1:21">
      <c r="A162" s="296"/>
      <c r="B162" s="293" t="s">
        <v>787</v>
      </c>
      <c r="D162" s="127" t="s">
        <v>496</v>
      </c>
      <c r="E162" s="653">
        <v>4346.363636363636</v>
      </c>
      <c r="F162" s="164">
        <f t="shared" si="10"/>
        <v>0.54190210285375573</v>
      </c>
      <c r="G162" s="1014">
        <v>398386.82</v>
      </c>
      <c r="H162" s="999">
        <v>336777</v>
      </c>
      <c r="I162" s="467">
        <f t="shared" si="11"/>
        <v>735163.82000000007</v>
      </c>
      <c r="J162" s="999">
        <v>445713.25000000006</v>
      </c>
      <c r="K162" s="999">
        <v>442002.9</v>
      </c>
      <c r="L162" s="467">
        <f t="shared" si="12"/>
        <v>887716.15000000014</v>
      </c>
      <c r="M162" s="583"/>
      <c r="N162" s="589"/>
      <c r="O162" s="615"/>
      <c r="P162" s="514"/>
      <c r="Q162" s="616"/>
      <c r="R162" s="166"/>
    </row>
    <row r="163" spans="1:21">
      <c r="A163" s="296"/>
      <c r="B163" s="293" t="s">
        <v>787</v>
      </c>
      <c r="D163" s="127" t="s">
        <v>497</v>
      </c>
      <c r="E163" s="653">
        <v>2125</v>
      </c>
      <c r="F163" s="164">
        <f t="shared" si="10"/>
        <v>0.46342446662446191</v>
      </c>
      <c r="G163" s="1014">
        <v>628810</v>
      </c>
      <c r="H163" s="999">
        <v>728067</v>
      </c>
      <c r="I163" s="467">
        <f t="shared" si="11"/>
        <v>1356877</v>
      </c>
      <c r="J163" s="999">
        <v>771743</v>
      </c>
      <c r="K163" s="999">
        <v>813308</v>
      </c>
      <c r="L163" s="467">
        <f t="shared" si="12"/>
        <v>1585051</v>
      </c>
      <c r="M163" s="583"/>
      <c r="N163" s="589"/>
      <c r="O163" s="615"/>
      <c r="P163" s="514"/>
      <c r="Q163" s="616"/>
      <c r="R163" s="166"/>
    </row>
    <row r="164" spans="1:21">
      <c r="A164" s="296" t="s">
        <v>527</v>
      </c>
      <c r="B164" s="291" t="s">
        <v>523</v>
      </c>
      <c r="D164" s="127" t="s">
        <v>73</v>
      </c>
      <c r="E164" s="534"/>
      <c r="F164" s="164"/>
      <c r="G164" s="1002"/>
      <c r="H164" s="1002"/>
      <c r="I164" s="467"/>
      <c r="J164" s="1052"/>
      <c r="K164" s="1052"/>
      <c r="L164" s="569"/>
      <c r="M164" s="583">
        <f>GDP!AA607</f>
        <v>65</v>
      </c>
      <c r="N164" s="589">
        <v>5.5000000000000007E-2</v>
      </c>
      <c r="O164" s="615"/>
      <c r="P164" s="514"/>
      <c r="Q164" s="616">
        <f>E37</f>
        <v>9.1666666666666674E-2</v>
      </c>
      <c r="R164" s="166">
        <f t="shared" ref="R164:R169" si="13">M164*(1+Q164)</f>
        <v>70.958333333333343</v>
      </c>
    </row>
    <row r="165" spans="1:21">
      <c r="A165" s="296" t="s">
        <v>527</v>
      </c>
      <c r="B165" s="291" t="s">
        <v>523</v>
      </c>
      <c r="D165" s="127" t="s">
        <v>74</v>
      </c>
      <c r="E165" s="528"/>
      <c r="F165" s="164"/>
      <c r="G165" s="1002"/>
      <c r="H165" s="1002"/>
      <c r="I165" s="467"/>
      <c r="J165" s="1053"/>
      <c r="K165" s="1053"/>
      <c r="L165" s="569"/>
      <c r="M165" s="583">
        <f>GDP!AA608</f>
        <v>42</v>
      </c>
      <c r="N165" s="589">
        <v>0.02</v>
      </c>
      <c r="O165" s="615"/>
      <c r="P165" s="514"/>
      <c r="Q165" s="616">
        <f>E38</f>
        <v>1.5666666666666666E-2</v>
      </c>
      <c r="R165" s="166">
        <f t="shared" si="13"/>
        <v>42.658000000000001</v>
      </c>
    </row>
    <row r="166" spans="1:21">
      <c r="A166" s="296" t="s">
        <v>527</v>
      </c>
      <c r="B166" s="291" t="s">
        <v>523</v>
      </c>
      <c r="D166" s="127" t="s">
        <v>75</v>
      </c>
      <c r="E166" s="529"/>
      <c r="F166" s="164"/>
      <c r="G166" s="1002"/>
      <c r="H166" s="1002"/>
      <c r="I166" s="467"/>
      <c r="J166" s="1054"/>
      <c r="K166" s="1054"/>
      <c r="L166" s="569"/>
      <c r="M166" s="583">
        <f>GDP!AA609</f>
        <v>86</v>
      </c>
      <c r="N166" s="589">
        <v>-1.9999999999999997E-2</v>
      </c>
      <c r="O166" s="615"/>
      <c r="P166" s="514"/>
      <c r="Q166" s="616">
        <f>E39</f>
        <v>4.5999999999999992E-2</v>
      </c>
      <c r="R166" s="166">
        <f t="shared" si="13"/>
        <v>89.956000000000003</v>
      </c>
    </row>
    <row r="167" spans="1:21">
      <c r="A167" s="293" t="s">
        <v>500</v>
      </c>
      <c r="B167" s="293" t="s">
        <v>502</v>
      </c>
      <c r="D167" s="52" t="s">
        <v>76</v>
      </c>
      <c r="E167" s="1013">
        <v>130</v>
      </c>
      <c r="F167" s="549">
        <f>G167/I167</f>
        <v>0.50269289078826074</v>
      </c>
      <c r="G167" s="794">
        <v>352551586.30400002</v>
      </c>
      <c r="H167" s="794">
        <v>348774397.74000001</v>
      </c>
      <c r="I167" s="466">
        <f>G167+H167</f>
        <v>701325984.04400003</v>
      </c>
      <c r="J167" s="794">
        <v>358540611.71779996</v>
      </c>
      <c r="K167" s="794">
        <v>385408675.4346</v>
      </c>
      <c r="L167" s="1008">
        <f>J167/F167</f>
        <v>713239869.28794825</v>
      </c>
      <c r="M167" s="33">
        <f>GDP!AA610</f>
        <v>69</v>
      </c>
      <c r="N167" s="1067">
        <v>5.5E-2</v>
      </c>
      <c r="O167" s="654">
        <f>(L167-I167)/I167</f>
        <v>1.6987656974079494E-2</v>
      </c>
      <c r="P167" s="520"/>
      <c r="Q167" s="1072">
        <f>O167+E40</f>
        <v>1.6987656974079494E-2</v>
      </c>
      <c r="R167" s="597">
        <f t="shared" si="13"/>
        <v>70.172148331211488</v>
      </c>
    </row>
    <row r="168" spans="1:21">
      <c r="A168" s="293" t="s">
        <v>501</v>
      </c>
      <c r="B168" s="293" t="s">
        <v>503</v>
      </c>
      <c r="D168" s="52" t="s">
        <v>77</v>
      </c>
      <c r="E168" s="535"/>
      <c r="F168" s="549">
        <f>G168/I168</f>
        <v>0.48299727284982252</v>
      </c>
      <c r="G168" s="794">
        <v>22514258.659799997</v>
      </c>
      <c r="H168" s="794">
        <v>24099376.5</v>
      </c>
      <c r="I168" s="466">
        <f>G168+H168</f>
        <v>46613635.159799993</v>
      </c>
      <c r="J168" s="794">
        <v>23511397.8519</v>
      </c>
      <c r="K168" s="794">
        <v>24463057.313000001</v>
      </c>
      <c r="L168" s="1008">
        <f>J168/F168</f>
        <v>48678117.193449162</v>
      </c>
      <c r="M168" s="33">
        <f>GDP!AA611</f>
        <v>60</v>
      </c>
      <c r="N168" s="584">
        <v>4.4289230534622546E-2</v>
      </c>
      <c r="O168" s="654">
        <f>(L168-I168)/I168</f>
        <v>4.4289230534622546E-2</v>
      </c>
      <c r="P168" s="520"/>
      <c r="Q168" s="654">
        <f>O168</f>
        <v>4.4289230534622546E-2</v>
      </c>
      <c r="R168" s="597">
        <f t="shared" si="13"/>
        <v>62.657353832077348</v>
      </c>
    </row>
    <row r="169" spans="1:21">
      <c r="A169" s="293"/>
      <c r="B169" s="293" t="s">
        <v>507</v>
      </c>
      <c r="D169" s="52" t="s">
        <v>35</v>
      </c>
      <c r="E169" s="535"/>
      <c r="F169" s="549"/>
      <c r="G169" s="465"/>
      <c r="H169" s="465"/>
      <c r="I169" s="656">
        <f>I170+I174</f>
        <v>77024048247.16925</v>
      </c>
      <c r="J169" s="707"/>
      <c r="K169" s="707"/>
      <c r="L169" s="658">
        <f>L170+L174</f>
        <v>88711420727.479202</v>
      </c>
      <c r="M169" s="33">
        <f>GDP!AA612</f>
        <v>1156</v>
      </c>
      <c r="N169" s="1068">
        <v>3.8780396829350694E-4</v>
      </c>
      <c r="O169" s="654">
        <f>((1+E45)*(1+S229)-1)</f>
        <v>0.12978645185565241</v>
      </c>
      <c r="P169" s="513">
        <f>((L169-I169)/I169)</f>
        <v>0.15173666856363241</v>
      </c>
      <c r="Q169" s="1033">
        <f>(O169*E45+E34*P169)+E48</f>
        <v>1.7871094939784237E-2</v>
      </c>
      <c r="R169" s="597">
        <f t="shared" si="13"/>
        <v>1176.6589857503905</v>
      </c>
      <c r="S169" s="720"/>
      <c r="T169" s="11"/>
    </row>
    <row r="170" spans="1:21">
      <c r="A170" s="293" t="s">
        <v>505</v>
      </c>
      <c r="B170" s="293" t="s">
        <v>798</v>
      </c>
      <c r="D170" s="127" t="s">
        <v>0</v>
      </c>
      <c r="E170" s="642" t="s">
        <v>793</v>
      </c>
      <c r="F170" s="164"/>
      <c r="G170" s="438"/>
      <c r="H170" s="438"/>
      <c r="I170" s="657">
        <f>I171*$E$171+I172*$E$172+I173*$E$173</f>
        <v>153248832.44998851</v>
      </c>
      <c r="J170" s="706"/>
      <c r="K170" s="706"/>
      <c r="L170" s="657">
        <f>(L171*$E$171+L172*$E$172+L173*$E$173)</f>
        <v>134602696.25915077</v>
      </c>
      <c r="M170" s="588"/>
      <c r="N170" s="163">
        <v>-0.12167228873944441</v>
      </c>
      <c r="O170" s="623"/>
      <c r="P170" s="709">
        <f>L170/I170-1</f>
        <v>-0.12167228873944447</v>
      </c>
      <c r="Q170" s="639">
        <f>(L170-I170)/I170</f>
        <v>-0.12167228873944441</v>
      </c>
      <c r="R170" s="601"/>
      <c r="S170" s="289"/>
      <c r="T170" s="11"/>
    </row>
    <row r="171" spans="1:21">
      <c r="A171" s="293"/>
      <c r="B171" s="293" t="s">
        <v>800</v>
      </c>
      <c r="D171" s="127" t="s">
        <v>112</v>
      </c>
      <c r="E171" s="1021">
        <v>150.3494144046704</v>
      </c>
      <c r="F171" s="164">
        <f>G171/I171</f>
        <v>0.4971379068343762</v>
      </c>
      <c r="G171" s="1004">
        <v>135238.908</v>
      </c>
      <c r="H171" s="1005">
        <v>136796.087</v>
      </c>
      <c r="I171" s="1003">
        <f>G171+H171</f>
        <v>272034.995</v>
      </c>
      <c r="J171" s="1004">
        <v>120150.227</v>
      </c>
      <c r="K171" s="1004">
        <f>L171*(1-F171)</f>
        <v>121533.670663488</v>
      </c>
      <c r="L171" s="1006">
        <f>J171/F171</f>
        <v>241683.89766348799</v>
      </c>
      <c r="M171" s="713"/>
      <c r="N171" s="1069"/>
      <c r="O171" s="623"/>
      <c r="P171" s="709">
        <f>L171/I171-1</f>
        <v>-0.11157056222311401</v>
      </c>
      <c r="Q171" s="624"/>
      <c r="R171" s="601"/>
      <c r="T171" s="715"/>
      <c r="U171" s="653"/>
    </row>
    <row r="172" spans="1:21">
      <c r="A172" s="293"/>
      <c r="B172" s="293" t="s">
        <v>800</v>
      </c>
      <c r="D172" s="127" t="s">
        <v>113</v>
      </c>
      <c r="E172" s="1021">
        <v>1321.1764762243035</v>
      </c>
      <c r="F172" s="164">
        <f>G172/I172</f>
        <v>0.47384829820360441</v>
      </c>
      <c r="G172" s="1004">
        <v>26952.911510000005</v>
      </c>
      <c r="H172" s="1005">
        <v>29927.97549999999</v>
      </c>
      <c r="I172" s="1003">
        <f>G172+H172</f>
        <v>56880.887009999991</v>
      </c>
      <c r="J172" s="1004">
        <v>23148.672830000007</v>
      </c>
      <c r="K172" s="1004">
        <f>L172*(1-F172)</f>
        <v>25703.824726197661</v>
      </c>
      <c r="L172" s="1006">
        <f>J172/F172</f>
        <v>48852.497556197668</v>
      </c>
      <c r="M172" s="713"/>
      <c r="N172" s="1069"/>
      <c r="O172" s="623"/>
      <c r="P172" s="519"/>
      <c r="Q172" s="624"/>
      <c r="R172" s="601"/>
      <c r="S172" s="11"/>
      <c r="T172" s="715"/>
      <c r="U172" s="653"/>
    </row>
    <row r="173" spans="1:21">
      <c r="A173" s="293"/>
      <c r="B173" s="293" t="s">
        <v>800</v>
      </c>
      <c r="D173" s="127" t="s">
        <v>114</v>
      </c>
      <c r="E173" s="1021">
        <v>519.33797406224892</v>
      </c>
      <c r="F173" s="164">
        <f>G173/I173</f>
        <v>0.5154231264978214</v>
      </c>
      <c r="G173" s="1004">
        <v>36918.429950000005</v>
      </c>
      <c r="H173" s="1005">
        <v>34708.992359999997</v>
      </c>
      <c r="I173" s="1003">
        <f>G173+H173</f>
        <v>71627.422309999994</v>
      </c>
      <c r="J173" s="1004">
        <v>33468.684970000002</v>
      </c>
      <c r="K173" s="1004">
        <f>L173*(1-F173)</f>
        <v>31465.702428198103</v>
      </c>
      <c r="L173" s="1006">
        <f>J173/F173</f>
        <v>64934.387398198109</v>
      </c>
      <c r="M173" s="713"/>
      <c r="N173" s="1069"/>
      <c r="O173" s="623"/>
      <c r="P173" s="519"/>
      <c r="Q173" s="624"/>
      <c r="R173" s="601"/>
      <c r="S173" s="11"/>
      <c r="T173" s="715"/>
      <c r="U173" s="653"/>
    </row>
    <row r="174" spans="1:21">
      <c r="A174" s="293"/>
      <c r="B174" s="293"/>
      <c r="D174" s="154" t="s">
        <v>115</v>
      </c>
      <c r="E174" s="640" t="s">
        <v>792</v>
      </c>
      <c r="F174" s="164"/>
      <c r="G174" s="438"/>
      <c r="H174" s="438"/>
      <c r="I174" s="659">
        <f>I175*$E$175+I176*$E$176+I177*$E$177</f>
        <v>76870799414.719269</v>
      </c>
      <c r="J174" s="708"/>
      <c r="K174" s="708"/>
      <c r="L174" s="659">
        <f>L175*$E$175+L176*$E$176+L177*$E$177</f>
        <v>88576818031.220047</v>
      </c>
      <c r="M174" s="588"/>
      <c r="N174" s="163">
        <v>0.15228173383948576</v>
      </c>
      <c r="O174" s="623"/>
      <c r="P174" s="709">
        <f>L174/I174-1</f>
        <v>0.15228173383948573</v>
      </c>
      <c r="Q174" s="639">
        <f>(L174-I174)/I174</f>
        <v>0.15228173383948576</v>
      </c>
      <c r="R174" s="601"/>
      <c r="S174" s="11"/>
      <c r="T174" s="11"/>
    </row>
    <row r="175" spans="1:21">
      <c r="A175" s="293" t="s">
        <v>799</v>
      </c>
      <c r="B175" s="293" t="s">
        <v>515</v>
      </c>
      <c r="D175" s="154" t="s">
        <v>116</v>
      </c>
      <c r="E175" s="653">
        <v>145858</v>
      </c>
      <c r="F175" s="164">
        <f>G175/I175</f>
        <v>0.45720046898959166</v>
      </c>
      <c r="G175" s="999">
        <v>134001.12</v>
      </c>
      <c r="H175" s="999">
        <v>159089.39299999998</v>
      </c>
      <c r="I175" s="166">
        <f>G175+H175</f>
        <v>293090.51299999998</v>
      </c>
      <c r="J175" s="999">
        <v>162488.77000000002</v>
      </c>
      <c r="K175" s="999">
        <v>191390.99000000002</v>
      </c>
      <c r="L175" s="499">
        <f>J175/F175</f>
        <v>355399.39484117005</v>
      </c>
      <c r="M175" s="588"/>
      <c r="N175" s="1069"/>
      <c r="O175" s="623"/>
      <c r="P175" s="709">
        <f>L175/I175-1</f>
        <v>0.21259262609148344</v>
      </c>
      <c r="Q175" s="624"/>
      <c r="R175" s="601"/>
      <c r="S175" s="11"/>
      <c r="T175" s="11"/>
    </row>
    <row r="176" spans="1:21">
      <c r="A176" s="293" t="s">
        <v>799</v>
      </c>
      <c r="B176" s="293" t="s">
        <v>515</v>
      </c>
      <c r="D176" s="154" t="s">
        <v>117</v>
      </c>
      <c r="E176" s="653">
        <v>66571.600000000006</v>
      </c>
      <c r="F176" s="164">
        <f>G176/I176</f>
        <v>0.51323317757886178</v>
      </c>
      <c r="G176" s="1007">
        <v>621.39830099999995</v>
      </c>
      <c r="H176" s="1007">
        <v>589.35409800000002</v>
      </c>
      <c r="I176" s="166">
        <f>G176+H176</f>
        <v>1210.752399</v>
      </c>
      <c r="J176" s="1007">
        <v>771.64759900000013</v>
      </c>
      <c r="K176" s="1007">
        <v>2261.7902279999998</v>
      </c>
      <c r="L176" s="499">
        <f>J176/F176</f>
        <v>1503.5029548171235</v>
      </c>
      <c r="M176" s="588"/>
      <c r="N176" s="1069"/>
      <c r="O176" s="623"/>
      <c r="P176" s="519"/>
      <c r="Q176" s="624"/>
      <c r="R176" s="601"/>
      <c r="S176" s="289"/>
      <c r="T176" s="11"/>
    </row>
    <row r="177" spans="1:20" ht="15.5" thickBot="1">
      <c r="A177" s="293" t="s">
        <v>799</v>
      </c>
      <c r="B177" s="293" t="s">
        <v>515</v>
      </c>
      <c r="D177" s="154" t="s">
        <v>118</v>
      </c>
      <c r="E177" s="653">
        <v>814000</v>
      </c>
      <c r="F177" s="164">
        <f>G177/I177</f>
        <v>0.43376242696519474</v>
      </c>
      <c r="G177" s="999">
        <v>18139.476640000001</v>
      </c>
      <c r="H177" s="999">
        <v>23679.444299999996</v>
      </c>
      <c r="I177" s="166">
        <f>G177+H177</f>
        <v>41818.920939999996</v>
      </c>
      <c r="J177" s="999">
        <v>19524.0425</v>
      </c>
      <c r="K177" s="999">
        <v>13060.910429999998</v>
      </c>
      <c r="L177" s="499">
        <f>J177/F177</f>
        <v>45010.912163599212</v>
      </c>
      <c r="M177" s="591"/>
      <c r="N177" s="1070"/>
      <c r="O177" s="625"/>
      <c r="P177" s="519"/>
      <c r="Q177" s="624"/>
      <c r="R177" s="601"/>
      <c r="S177" s="11"/>
      <c r="T177" s="11"/>
    </row>
    <row r="178" spans="1:20" ht="15.5" thickBot="1">
      <c r="A178" s="293"/>
      <c r="B178" s="293" t="s">
        <v>134</v>
      </c>
      <c r="D178" s="24" t="s">
        <v>130</v>
      </c>
      <c r="E178" s="537"/>
      <c r="F178" s="41"/>
      <c r="G178" s="216"/>
      <c r="H178" s="43"/>
      <c r="I178" s="545"/>
      <c r="J178" s="41"/>
      <c r="K178" s="43"/>
      <c r="L178" s="566"/>
      <c r="M178" s="592">
        <f>GDP!AA613</f>
        <v>5850</v>
      </c>
      <c r="N178" s="587">
        <v>5.7615284407255718E-2</v>
      </c>
      <c r="O178" s="605"/>
      <c r="P178" s="521"/>
      <c r="Q178" s="626">
        <f>R178/M178-1</f>
        <v>9.8073736040086068E-2</v>
      </c>
      <c r="R178" s="90">
        <f>R179+R183</f>
        <v>6423.731355834504</v>
      </c>
    </row>
    <row r="179" spans="1:20">
      <c r="A179" s="293"/>
      <c r="B179" s="293"/>
      <c r="D179" s="23" t="s">
        <v>106</v>
      </c>
      <c r="E179" s="538"/>
      <c r="F179" s="39"/>
      <c r="G179" s="218"/>
      <c r="H179" s="457"/>
      <c r="I179" s="559"/>
      <c r="J179" s="39"/>
      <c r="K179" s="457"/>
      <c r="L179" s="572"/>
      <c r="M179" s="532">
        <f>GDP!AA614</f>
        <v>1769</v>
      </c>
      <c r="N179" s="584">
        <v>-1.7816904584407434E-2</v>
      </c>
      <c r="O179" s="613"/>
      <c r="P179" s="513"/>
      <c r="Q179" s="614">
        <f>R179/M179-1</f>
        <v>3.923421895609569E-2</v>
      </c>
      <c r="R179" s="597">
        <f>SUM(R180:R182)</f>
        <v>1838.4053333333331</v>
      </c>
    </row>
    <row r="180" spans="1:20">
      <c r="A180" s="293" t="s">
        <v>527</v>
      </c>
      <c r="B180" s="293" t="s">
        <v>523</v>
      </c>
      <c r="D180" s="127" t="s">
        <v>107</v>
      </c>
      <c r="E180" s="539"/>
      <c r="F180" s="480"/>
      <c r="G180" s="219"/>
      <c r="H180" s="458"/>
      <c r="I180" s="560"/>
      <c r="J180" s="573"/>
      <c r="K180" s="449"/>
      <c r="L180" s="467"/>
      <c r="M180" s="583">
        <f>GDP!AA615</f>
        <v>52</v>
      </c>
      <c r="N180" s="589">
        <v>4.4999999999999998E-2</v>
      </c>
      <c r="O180" s="615"/>
      <c r="P180" s="514"/>
      <c r="Q180" s="616">
        <f>E50</f>
        <v>0.04</v>
      </c>
      <c r="R180" s="166">
        <f>M180*(1+Q180)</f>
        <v>54.08</v>
      </c>
    </row>
    <row r="181" spans="1:20">
      <c r="A181" s="293" t="s">
        <v>691</v>
      </c>
      <c r="B181" s="293" t="s">
        <v>696</v>
      </c>
      <c r="D181" s="127" t="s">
        <v>36</v>
      </c>
      <c r="E181" s="539"/>
      <c r="F181" s="480"/>
      <c r="G181" s="219"/>
      <c r="H181" s="458"/>
      <c r="I181" s="560"/>
      <c r="J181" s="574"/>
      <c r="K181" s="462"/>
      <c r="L181" s="571"/>
      <c r="M181" s="583">
        <f>GDP!AA616</f>
        <v>902</v>
      </c>
      <c r="N181" s="589">
        <v>-5.5E-2</v>
      </c>
      <c r="O181" s="615"/>
      <c r="P181" s="514"/>
      <c r="Q181" s="616">
        <f>E51+E52</f>
        <v>-5.3999999999999999E-2</v>
      </c>
      <c r="R181" s="166">
        <f>M181*(1+Q181)</f>
        <v>853.29199999999992</v>
      </c>
    </row>
    <row r="182" spans="1:20">
      <c r="A182" s="293" t="s">
        <v>691</v>
      </c>
      <c r="B182" s="293" t="s">
        <v>692</v>
      </c>
      <c r="D182" s="127" t="s">
        <v>108</v>
      </c>
      <c r="E182" s="539"/>
      <c r="F182" s="480"/>
      <c r="G182" s="219"/>
      <c r="H182" s="458"/>
      <c r="I182" s="560"/>
      <c r="J182" s="574"/>
      <c r="K182" s="462"/>
      <c r="L182" s="571"/>
      <c r="M182" s="583">
        <f>GDP!AA617</f>
        <v>850</v>
      </c>
      <c r="N182" s="589">
        <v>0.05</v>
      </c>
      <c r="O182" s="615"/>
      <c r="P182" s="514"/>
      <c r="Q182" s="616">
        <f>E53+E54</f>
        <v>9.5333333333333325E-2</v>
      </c>
      <c r="R182" s="166">
        <f>M182*(1+Q182)</f>
        <v>931.0333333333333</v>
      </c>
    </row>
    <row r="183" spans="1:20">
      <c r="A183" s="293"/>
      <c r="B183" s="293"/>
      <c r="D183" s="23" t="s">
        <v>133</v>
      </c>
      <c r="E183" s="536"/>
      <c r="F183" s="479"/>
      <c r="G183" s="220"/>
      <c r="H183" s="504"/>
      <c r="I183" s="561"/>
      <c r="J183" s="575"/>
      <c r="K183" s="463"/>
      <c r="L183" s="576"/>
      <c r="M183" s="532">
        <f>GDP!AA618</f>
        <v>4062</v>
      </c>
      <c r="N183" s="584">
        <v>8.2733710392237425E-2</v>
      </c>
      <c r="O183" s="613"/>
      <c r="P183" s="513"/>
      <c r="Q183" s="614">
        <f>R183/M183-1</f>
        <v>0.12883456979349361</v>
      </c>
      <c r="R183" s="597">
        <f>SUM(R184:R197)</f>
        <v>4585.3260225011709</v>
      </c>
    </row>
    <row r="184" spans="1:20">
      <c r="A184" s="293" t="s">
        <v>691</v>
      </c>
      <c r="B184" s="293" t="s">
        <v>692</v>
      </c>
      <c r="D184" s="129" t="s">
        <v>120</v>
      </c>
      <c r="E184" s="539"/>
      <c r="F184" s="480"/>
      <c r="G184" s="219"/>
      <c r="H184" s="458"/>
      <c r="I184" s="560"/>
      <c r="J184" s="480"/>
      <c r="K184" s="464"/>
      <c r="L184" s="577"/>
      <c r="M184" s="583">
        <f>GDP!AA619</f>
        <v>480</v>
      </c>
      <c r="N184" s="1071">
        <v>0.15</v>
      </c>
      <c r="O184" s="615">
        <f>(1+E55)/(1+S236)-1</f>
        <v>0.11837941117364226</v>
      </c>
      <c r="P184" s="514">
        <f>E57</f>
        <v>-0.11978765537126398</v>
      </c>
      <c r="Q184" s="1031">
        <f>(O184*(1-E56)+E56*P184)+E55+E58</f>
        <v>0.121476570990563</v>
      </c>
      <c r="R184" s="166">
        <f>M184*(1+Q184)</f>
        <v>538.30875407547023</v>
      </c>
    </row>
    <row r="185" spans="1:20">
      <c r="A185" s="293" t="s">
        <v>691</v>
      </c>
      <c r="B185" s="293" t="s">
        <v>693</v>
      </c>
      <c r="D185" s="129" t="s">
        <v>121</v>
      </c>
      <c r="E185" s="539"/>
      <c r="F185" s="480"/>
      <c r="G185" s="219"/>
      <c r="H185" s="458"/>
      <c r="I185" s="560"/>
      <c r="J185" s="480"/>
      <c r="K185" s="464"/>
      <c r="L185" s="577"/>
      <c r="M185" s="583">
        <f>GDP!AA620</f>
        <v>104</v>
      </c>
      <c r="N185" s="1071">
        <v>0.05</v>
      </c>
      <c r="O185" s="666"/>
      <c r="P185" s="514"/>
      <c r="Q185" s="1031">
        <f>((1+E59*E60)/(1+S237)-1)+E59+E60</f>
        <v>6.671963847610593E-2</v>
      </c>
      <c r="R185" s="166">
        <f t="shared" ref="R185:R197" si="14">M185*(1+Q185)</f>
        <v>110.93884240151502</v>
      </c>
    </row>
    <row r="186" spans="1:20">
      <c r="A186" s="293" t="s">
        <v>691</v>
      </c>
      <c r="B186" s="293" t="s">
        <v>694</v>
      </c>
      <c r="D186" s="129" t="s">
        <v>122</v>
      </c>
      <c r="E186" s="529"/>
      <c r="F186" s="473"/>
      <c r="G186" s="219"/>
      <c r="H186" s="219"/>
      <c r="I186" s="560"/>
      <c r="J186" s="473"/>
      <c r="K186" s="441"/>
      <c r="L186" s="571"/>
      <c r="M186" s="583">
        <f>GDP!AA621</f>
        <v>304</v>
      </c>
      <c r="N186" s="589">
        <v>4.4999999999999998E-2</v>
      </c>
      <c r="O186" s="615"/>
      <c r="P186" s="514"/>
      <c r="Q186" s="616">
        <f>E61+E62</f>
        <v>4.7333333333333331E-2</v>
      </c>
      <c r="R186" s="166">
        <f t="shared" si="14"/>
        <v>318.3893333333333</v>
      </c>
    </row>
    <row r="187" spans="1:20">
      <c r="A187" s="293" t="s">
        <v>691</v>
      </c>
      <c r="B187" s="293" t="s">
        <v>695</v>
      </c>
      <c r="D187" s="129" t="s">
        <v>123</v>
      </c>
      <c r="E187" s="130"/>
      <c r="F187" s="157"/>
      <c r="G187" s="219"/>
      <c r="H187" s="219"/>
      <c r="I187" s="560"/>
      <c r="J187" s="157"/>
      <c r="K187" s="458"/>
      <c r="L187" s="578"/>
      <c r="M187" s="583">
        <f>GDP!AA622</f>
        <v>1019</v>
      </c>
      <c r="N187" s="589">
        <v>8.5557462957779926E-2</v>
      </c>
      <c r="O187" s="615"/>
      <c r="P187" s="514"/>
      <c r="Q187" s="616">
        <f>((1+E65)/(1+S239)-1+E66)</f>
        <v>6.7894138742353727E-2</v>
      </c>
      <c r="R187" s="166">
        <f t="shared" si="14"/>
        <v>1088.1841273784585</v>
      </c>
    </row>
    <row r="188" spans="1:20">
      <c r="A188" s="293"/>
      <c r="B188" s="293" t="s">
        <v>697</v>
      </c>
      <c r="D188" s="129" t="s">
        <v>124</v>
      </c>
      <c r="E188" s="529"/>
      <c r="F188" s="473"/>
      <c r="G188" s="219"/>
      <c r="H188" s="219"/>
      <c r="I188" s="560"/>
      <c r="J188" s="473"/>
      <c r="K188" s="441"/>
      <c r="L188" s="571"/>
      <c r="M188" s="583">
        <f>GDP!AA623</f>
        <v>288</v>
      </c>
      <c r="N188" s="589">
        <v>0.16</v>
      </c>
      <c r="O188" s="615"/>
      <c r="P188" s="514"/>
      <c r="Q188" s="616">
        <f>E63+E64</f>
        <v>0.2</v>
      </c>
      <c r="R188" s="166">
        <f t="shared" si="14"/>
        <v>345.59999999999997</v>
      </c>
    </row>
    <row r="189" spans="1:20">
      <c r="A189" s="293" t="s">
        <v>525</v>
      </c>
      <c r="B189" s="293" t="s">
        <v>524</v>
      </c>
      <c r="D189" s="129" t="s">
        <v>125</v>
      </c>
      <c r="E189" s="529"/>
      <c r="F189" s="473"/>
      <c r="G189" s="219"/>
      <c r="H189" s="219"/>
      <c r="I189" s="560"/>
      <c r="J189" s="473"/>
      <c r="K189" s="441"/>
      <c r="L189" s="571"/>
      <c r="M189" s="583">
        <f>GDP!AA624</f>
        <v>486</v>
      </c>
      <c r="N189" s="589">
        <v>0.115</v>
      </c>
      <c r="O189" s="615"/>
      <c r="P189" s="514"/>
      <c r="Q189" s="1028">
        <f>E67+E68</f>
        <v>0.115</v>
      </c>
      <c r="R189" s="166">
        <f t="shared" si="14"/>
        <v>541.89</v>
      </c>
    </row>
    <row r="190" spans="1:20">
      <c r="A190" s="293" t="s">
        <v>135</v>
      </c>
      <c r="B190" s="293" t="s">
        <v>520</v>
      </c>
      <c r="D190" s="129" t="s">
        <v>126</v>
      </c>
      <c r="E190" s="529"/>
      <c r="F190" s="473"/>
      <c r="G190" s="219"/>
      <c r="H190" s="219"/>
      <c r="I190" s="560"/>
      <c r="J190" s="473"/>
      <c r="K190" s="441"/>
      <c r="L190" s="571"/>
      <c r="M190" s="583">
        <f>GDP!AA625</f>
        <v>505</v>
      </c>
      <c r="N190" s="589">
        <v>6.5000000000000002E-2</v>
      </c>
      <c r="O190" s="615"/>
      <c r="P190" s="514"/>
      <c r="Q190" s="1028">
        <f>P242+E69</f>
        <v>8.6000000000000007E-2</v>
      </c>
      <c r="R190" s="166">
        <f t="shared" si="14"/>
        <v>548.43000000000006</v>
      </c>
    </row>
    <row r="191" spans="1:20">
      <c r="A191" s="293" t="s">
        <v>135</v>
      </c>
      <c r="B191" s="293" t="s">
        <v>520</v>
      </c>
      <c r="D191" s="129" t="s">
        <v>127</v>
      </c>
      <c r="E191" s="529"/>
      <c r="F191" s="473"/>
      <c r="G191" s="219"/>
      <c r="H191" s="219"/>
      <c r="I191" s="984">
        <f>(I192*$E192+I193*$E193+I194*$E194+I195*$E195)/$T$191</f>
        <v>137271807.06</v>
      </c>
      <c r="J191" s="473"/>
      <c r="K191" s="441"/>
      <c r="L191" s="984">
        <f>(L192*$E192+L193*$E193+L194*$E194+L195*$E195)/$T$191</f>
        <v>146348289.65314284</v>
      </c>
      <c r="M191" s="583">
        <f>GDP!AA626</f>
        <v>528</v>
      </c>
      <c r="N191" s="589">
        <v>6.6120515111858374E-2</v>
      </c>
      <c r="O191" s="615">
        <f>(L191-I191)/I191</f>
        <v>6.6120515111858374E-2</v>
      </c>
      <c r="P191" s="514"/>
      <c r="Q191" s="616">
        <f>O191</f>
        <v>6.6120515111858374E-2</v>
      </c>
      <c r="R191" s="166">
        <f t="shared" si="14"/>
        <v>562.91163197906121</v>
      </c>
      <c r="T191">
        <v>1000</v>
      </c>
    </row>
    <row r="192" spans="1:20">
      <c r="A192" s="293"/>
      <c r="B192" s="293"/>
      <c r="D192" s="235" t="s">
        <v>771</v>
      </c>
      <c r="E192" s="770">
        <v>945832</v>
      </c>
      <c r="F192" s="473"/>
      <c r="G192" s="219"/>
      <c r="H192" s="219"/>
      <c r="I192" s="985">
        <v>39036</v>
      </c>
      <c r="J192" s="473"/>
      <c r="K192" s="986"/>
      <c r="L192" s="985">
        <v>40997.857142857145</v>
      </c>
      <c r="M192" s="583"/>
      <c r="N192" s="589"/>
      <c r="O192" s="615"/>
      <c r="P192" s="514"/>
      <c r="Q192" s="616"/>
      <c r="R192" s="166"/>
    </row>
    <row r="193" spans="1:27">
      <c r="A193" s="293"/>
      <c r="B193" s="293"/>
      <c r="D193" s="235" t="s">
        <v>772</v>
      </c>
      <c r="E193" s="770">
        <v>2726350</v>
      </c>
      <c r="F193" s="473"/>
      <c r="G193" s="219"/>
      <c r="H193" s="219"/>
      <c r="I193" s="985">
        <v>23900</v>
      </c>
      <c r="J193" s="473"/>
      <c r="K193" s="986"/>
      <c r="L193" s="985">
        <v>25837.428571428572</v>
      </c>
      <c r="M193" s="583"/>
      <c r="N193" s="589"/>
      <c r="O193" s="615"/>
      <c r="P193" s="514"/>
      <c r="Q193" s="616"/>
      <c r="R193" s="166"/>
    </row>
    <row r="194" spans="1:27">
      <c r="A194" s="293"/>
      <c r="B194" s="293"/>
      <c r="D194" s="235" t="s">
        <v>807</v>
      </c>
      <c r="E194" s="1024">
        <f>945832*2</f>
        <v>1891664</v>
      </c>
      <c r="F194" s="473"/>
      <c r="G194" s="219"/>
      <c r="H194" s="219"/>
      <c r="I194" s="985">
        <v>4522</v>
      </c>
      <c r="J194" s="473"/>
      <c r="K194" s="986"/>
      <c r="L194" s="985">
        <v>4763.2857142857147</v>
      </c>
      <c r="M194" s="583"/>
      <c r="N194" s="589"/>
      <c r="O194" s="615"/>
      <c r="P194" s="514"/>
      <c r="Q194" s="616"/>
      <c r="R194" s="166"/>
    </row>
    <row r="195" spans="1:27">
      <c r="A195" s="293"/>
      <c r="B195" s="293"/>
      <c r="D195" s="235" t="s">
        <v>808</v>
      </c>
      <c r="E195" s="1024">
        <f>2726350*2</f>
        <v>5452700</v>
      </c>
      <c r="F195" s="473"/>
      <c r="G195" s="219"/>
      <c r="H195" s="219"/>
      <c r="I195" s="985">
        <v>4885</v>
      </c>
      <c r="J195" s="473"/>
      <c r="K195" s="986"/>
      <c r="L195" s="985">
        <v>5156.8571428571431</v>
      </c>
      <c r="M195" s="583"/>
      <c r="N195" s="589"/>
      <c r="O195" s="615"/>
      <c r="P195" s="514"/>
      <c r="Q195" s="616"/>
      <c r="R195" s="166"/>
    </row>
    <row r="196" spans="1:27">
      <c r="A196" s="293" t="s">
        <v>135</v>
      </c>
      <c r="B196" s="293" t="s">
        <v>520</v>
      </c>
      <c r="D196" s="129" t="s">
        <v>128</v>
      </c>
      <c r="E196" s="529"/>
      <c r="F196" s="473"/>
      <c r="G196" s="219"/>
      <c r="H196" s="219"/>
      <c r="I196" s="560"/>
      <c r="J196" s="473"/>
      <c r="K196" s="441"/>
      <c r="L196" s="571"/>
      <c r="M196" s="583">
        <f>GDP!AA627</f>
        <v>140</v>
      </c>
      <c r="N196" s="589">
        <v>4.4999999999999998E-2</v>
      </c>
      <c r="O196" s="615"/>
      <c r="P196" s="514"/>
      <c r="Q196" s="616">
        <f>P244+E70</f>
        <v>5.9666666666666666E-2</v>
      </c>
      <c r="R196" s="166">
        <f t="shared" si="14"/>
        <v>148.35333333333335</v>
      </c>
    </row>
    <row r="197" spans="1:27" ht="15.5" thickBot="1">
      <c r="A197" s="293" t="s">
        <v>525</v>
      </c>
      <c r="B197" s="295" t="s">
        <v>523</v>
      </c>
      <c r="C197" s="295" t="s">
        <v>30</v>
      </c>
      <c r="D197" s="132" t="s">
        <v>37</v>
      </c>
      <c r="E197" s="540"/>
      <c r="F197" s="481"/>
      <c r="G197" s="221"/>
      <c r="H197" s="221"/>
      <c r="I197" s="562"/>
      <c r="J197" s="481"/>
      <c r="K197" s="159"/>
      <c r="L197" s="579"/>
      <c r="M197" s="593">
        <f>GDP!AA628</f>
        <v>360</v>
      </c>
      <c r="N197" s="594">
        <v>6.2E-2</v>
      </c>
      <c r="O197" s="627"/>
      <c r="P197" s="522"/>
      <c r="Q197" s="211">
        <f>E71+E72</f>
        <v>6.2E-2</v>
      </c>
      <c r="R197" s="593">
        <f t="shared" si="14"/>
        <v>382.32</v>
      </c>
    </row>
    <row r="198" spans="1:27" ht="15.5" thickBot="1">
      <c r="A198" s="293" t="s">
        <v>135</v>
      </c>
      <c r="B198" s="293" t="s">
        <v>520</v>
      </c>
      <c r="D198" s="88" t="s">
        <v>129</v>
      </c>
      <c r="E198" s="541"/>
      <c r="F198" s="482"/>
      <c r="G198" s="222"/>
      <c r="H198" s="222"/>
      <c r="I198" s="563"/>
      <c r="J198" s="482"/>
      <c r="K198" s="91"/>
      <c r="L198" s="580"/>
      <c r="M198" s="595">
        <f>GDP!AA630</f>
        <v>679</v>
      </c>
      <c r="N198" s="586">
        <v>3.7686260590692161E-2</v>
      </c>
      <c r="O198" s="628"/>
      <c r="P198" s="523"/>
      <c r="Q198" s="212">
        <f>GDP!AB410</f>
        <v>9.7642377508902478E-2</v>
      </c>
      <c r="R198" s="602">
        <f>M198*(1+Q198)</f>
        <v>745.29917432854472</v>
      </c>
    </row>
    <row r="199" spans="1:27">
      <c r="A199" s="293"/>
      <c r="B199" s="293"/>
      <c r="D199" s="21"/>
      <c r="E199" s="63"/>
      <c r="F199" s="63"/>
      <c r="G199" s="21"/>
      <c r="H199" s="21"/>
      <c r="I199" s="21"/>
      <c r="J199" s="63"/>
      <c r="K199" s="63"/>
      <c r="L199" s="63"/>
      <c r="M199" s="63"/>
      <c r="N199" s="21"/>
      <c r="O199" s="21"/>
      <c r="P199" s="21"/>
      <c r="Q199" s="21"/>
      <c r="R199" s="21"/>
    </row>
    <row r="200" spans="1:27">
      <c r="A200" s="293"/>
      <c r="B200" s="293"/>
      <c r="D200" s="21"/>
      <c r="E200" s="63"/>
      <c r="F200" s="63"/>
      <c r="G200" s="21"/>
      <c r="H200" s="21"/>
      <c r="I200" s="21"/>
      <c r="J200" s="63"/>
      <c r="K200" s="63"/>
      <c r="L200" s="63"/>
      <c r="M200" s="63"/>
      <c r="N200" s="21"/>
      <c r="O200" s="21"/>
      <c r="P200" s="21"/>
      <c r="Q200" s="21"/>
      <c r="R200" s="21"/>
    </row>
    <row r="201" spans="1:27">
      <c r="A201" s="293"/>
      <c r="B201" s="293"/>
      <c r="D201" s="21"/>
      <c r="E201" s="63"/>
      <c r="F201" s="63"/>
      <c r="G201" s="21"/>
      <c r="H201" s="21"/>
      <c r="I201" s="21"/>
      <c r="J201" s="63"/>
      <c r="K201" s="63"/>
      <c r="L201" s="63"/>
      <c r="M201" s="63"/>
      <c r="N201" s="21"/>
      <c r="O201" s="21"/>
      <c r="P201" s="21"/>
      <c r="Q201" s="21"/>
      <c r="R201" s="21"/>
    </row>
    <row r="202" spans="1:27">
      <c r="A202" s="293"/>
      <c r="B202" s="293"/>
      <c r="D202" s="21"/>
      <c r="E202" s="63"/>
      <c r="F202" s="63"/>
      <c r="G202" s="21"/>
      <c r="H202" s="21"/>
      <c r="I202" s="21"/>
      <c r="J202" s="63"/>
      <c r="K202" s="63"/>
      <c r="L202" s="63"/>
      <c r="M202" s="63"/>
      <c r="N202" s="21"/>
      <c r="O202" s="21"/>
      <c r="P202" s="21"/>
      <c r="Q202" s="21"/>
      <c r="R202" s="21"/>
    </row>
    <row r="203" spans="1:27">
      <c r="A203" s="293"/>
      <c r="B203" s="293"/>
      <c r="D203" s="21"/>
      <c r="E203" s="63"/>
      <c r="F203" s="63"/>
      <c r="G203" s="21"/>
      <c r="H203" s="21"/>
      <c r="I203" s="21"/>
      <c r="J203" s="63"/>
      <c r="K203" s="63"/>
      <c r="L203" s="63"/>
      <c r="M203" s="63"/>
      <c r="N203" s="21"/>
      <c r="O203" s="21"/>
      <c r="P203" s="21"/>
      <c r="Q203" s="21"/>
      <c r="R203" s="21"/>
    </row>
    <row r="204" spans="1:27">
      <c r="A204" s="293"/>
      <c r="B204" s="293"/>
      <c r="D204" s="28" t="s">
        <v>531</v>
      </c>
      <c r="E204" s="65"/>
      <c r="F204" s="65"/>
      <c r="G204" s="64"/>
      <c r="H204" s="64"/>
      <c r="I204" s="64"/>
      <c r="J204" s="65"/>
      <c r="K204" s="65"/>
      <c r="L204" s="65"/>
      <c r="M204" s="65"/>
      <c r="R204"/>
    </row>
    <row r="205" spans="1:27" ht="15.5" thickBot="1">
      <c r="D205" s="64"/>
      <c r="E205" s="64"/>
      <c r="F205" s="64"/>
      <c r="G205" s="64"/>
      <c r="H205" s="64"/>
      <c r="I205" s="64"/>
      <c r="J205" s="64"/>
      <c r="K205" s="64"/>
      <c r="L205" s="64"/>
      <c r="M205" s="64"/>
      <c r="R205"/>
    </row>
    <row r="206" spans="1:27" ht="15" customHeight="1" thickBot="1">
      <c r="A206" s="293"/>
      <c r="B206" s="293"/>
      <c r="D206" s="64"/>
      <c r="E206" s="64"/>
      <c r="F206" s="64"/>
      <c r="G206" s="64"/>
      <c r="H206" s="64"/>
      <c r="I206" s="64"/>
      <c r="J206" s="64"/>
      <c r="K206" s="64"/>
      <c r="L206" s="64"/>
      <c r="M206" s="3895" t="s">
        <v>637</v>
      </c>
      <c r="N206" s="3897" t="s">
        <v>16</v>
      </c>
      <c r="O206" s="3899"/>
      <c r="P206" s="3899"/>
      <c r="Q206" s="3899"/>
      <c r="R206" s="3899"/>
      <c r="S206" s="95" t="s">
        <v>58</v>
      </c>
      <c r="T206" s="3897" t="s">
        <v>54</v>
      </c>
      <c r="U206" s="3898"/>
      <c r="Z206" s="50"/>
    </row>
    <row r="207" spans="1:27" ht="48" customHeight="1" thickBot="1">
      <c r="A207" s="293"/>
      <c r="B207" s="293"/>
      <c r="D207" s="29"/>
      <c r="E207" s="29"/>
      <c r="F207" s="29"/>
      <c r="G207" s="29"/>
      <c r="H207" s="29"/>
      <c r="I207" s="29"/>
      <c r="J207" s="29"/>
      <c r="K207" s="29"/>
      <c r="L207" s="29"/>
      <c r="M207" s="3896"/>
      <c r="N207" s="97" t="s">
        <v>839</v>
      </c>
      <c r="P207" s="503" t="s">
        <v>841</v>
      </c>
      <c r="Q207" s="97" t="s">
        <v>840</v>
      </c>
      <c r="R207" s="98" t="s">
        <v>786</v>
      </c>
      <c r="S207" s="99">
        <v>2017</v>
      </c>
      <c r="T207" s="109" t="s">
        <v>638</v>
      </c>
      <c r="U207" s="97" t="s">
        <v>92</v>
      </c>
      <c r="V207" s="110" t="s">
        <v>796</v>
      </c>
      <c r="Z207" s="789"/>
      <c r="AA207" s="50"/>
    </row>
    <row r="208" spans="1:27" ht="15.5" thickBot="1">
      <c r="A208" s="293"/>
      <c r="B208" s="293"/>
      <c r="D208" s="100" t="s">
        <v>59</v>
      </c>
      <c r="E208" s="100"/>
      <c r="F208" s="100"/>
      <c r="G208" s="100"/>
      <c r="H208" s="100"/>
      <c r="I208" s="100"/>
      <c r="J208" s="100"/>
      <c r="K208" s="100"/>
      <c r="L208" s="100"/>
      <c r="M208" s="673">
        <f>M80</f>
        <v>11954</v>
      </c>
      <c r="N208" s="101">
        <f>N80</f>
        <v>5.1794750039366802E-2</v>
      </c>
      <c r="P208" s="675">
        <v>4.5666666666666668E-2</v>
      </c>
      <c r="Q208" s="101">
        <f>Q80</f>
        <v>8.5478381750740712E-2</v>
      </c>
      <c r="R208" s="103">
        <f>R210+R216+R230+R247</f>
        <v>12975.808575448355</v>
      </c>
      <c r="S208" s="655">
        <f>+(1+U208)/(1+Q80)-1</f>
        <v>2.3905907789767422E-3</v>
      </c>
      <c r="T208" s="673">
        <f>GDP!AA680</f>
        <v>6768</v>
      </c>
      <c r="U208" s="647">
        <f>(V208-T208)/T208</f>
        <v>8.8073316360932616E-2</v>
      </c>
      <c r="V208" s="108">
        <f>V210+V216+V230+V247</f>
        <v>7364.0802051307919</v>
      </c>
      <c r="W208" s="87"/>
      <c r="Z208" s="790"/>
      <c r="AA208" s="50"/>
    </row>
    <row r="209" spans="1:27" ht="9" customHeight="1" thickBot="1">
      <c r="A209" s="293"/>
      <c r="B209" s="293"/>
      <c r="D209" s="100"/>
      <c r="E209" s="100"/>
      <c r="F209" s="100"/>
      <c r="G209" s="100"/>
      <c r="H209" s="100"/>
      <c r="I209" s="100"/>
      <c r="J209" s="100"/>
      <c r="K209" s="100"/>
      <c r="L209" s="100"/>
      <c r="M209" s="673"/>
      <c r="N209" s="101"/>
      <c r="P209" s="675"/>
      <c r="Q209" s="101"/>
      <c r="R209" s="103"/>
      <c r="S209" s="107"/>
      <c r="T209" s="673"/>
      <c r="U209" s="647"/>
      <c r="V209" s="108"/>
      <c r="Z209" s="790"/>
      <c r="AA209" s="50"/>
    </row>
    <row r="210" spans="1:27" ht="15.5" thickBot="1">
      <c r="A210" s="293"/>
      <c r="B210" s="293"/>
      <c r="D210" s="104" t="s">
        <v>132</v>
      </c>
      <c r="E210" s="104"/>
      <c r="F210" s="104"/>
      <c r="G210" s="104"/>
      <c r="H210" s="104"/>
      <c r="I210" s="104"/>
      <c r="J210" s="104"/>
      <c r="K210" s="104"/>
      <c r="L210" s="104"/>
      <c r="M210" s="710">
        <f>M81</f>
        <v>3020</v>
      </c>
      <c r="N210" s="101">
        <f>N81</f>
        <v>4.820683895679144E-2</v>
      </c>
      <c r="P210" s="675">
        <v>5.6666666666666664E-2</v>
      </c>
      <c r="Q210" s="101">
        <f>Q81</f>
        <v>5.458330572769092E-2</v>
      </c>
      <c r="R210" s="103">
        <f>SUM(R211:R215)</f>
        <v>3184.8415832976266</v>
      </c>
      <c r="S210" s="101"/>
      <c r="T210" s="710">
        <f>GDP!AA682</f>
        <v>1644</v>
      </c>
      <c r="U210" s="647">
        <f>V210/T210-1</f>
        <v>3.2784677827365938E-2</v>
      </c>
      <c r="V210" s="108">
        <f>SUM(V211:V215)</f>
        <v>1697.8980103481897</v>
      </c>
      <c r="Z210" s="790"/>
      <c r="AA210" s="50"/>
    </row>
    <row r="211" spans="1:27">
      <c r="A211" s="293" t="s">
        <v>529</v>
      </c>
      <c r="B211" s="293" t="s">
        <v>671</v>
      </c>
      <c r="D211" s="454" t="s">
        <v>48</v>
      </c>
      <c r="E211" s="454"/>
      <c r="F211" s="454"/>
      <c r="G211" s="454"/>
      <c r="H211" s="454"/>
      <c r="I211" s="454"/>
      <c r="J211" s="454"/>
      <c r="K211" s="454"/>
      <c r="L211" s="454"/>
      <c r="M211" s="588">
        <f>M82</f>
        <v>1872</v>
      </c>
      <c r="N211" s="485">
        <f>N82</f>
        <v>4.1611402569046156E-2</v>
      </c>
      <c r="P211" s="676">
        <v>6.3666666666666663E-2</v>
      </c>
      <c r="Q211" s="485">
        <f>Q82</f>
        <v>4.1611402569046156E-2</v>
      </c>
      <c r="R211" s="483">
        <f>R82</f>
        <v>1949.8965456092544</v>
      </c>
      <c r="S211" s="485">
        <v>-2.9551394710942924E-2</v>
      </c>
      <c r="T211" s="588">
        <f>GDP!AA683</f>
        <v>988</v>
      </c>
      <c r="U211" s="139">
        <f>(1+Q211)*(1+S211)-1</f>
        <v>1.0830332876309301E-2</v>
      </c>
      <c r="V211" s="162">
        <f>T211*(1+U211)</f>
        <v>998.70036888179357</v>
      </c>
      <c r="W211" s="87"/>
      <c r="Z211" s="791"/>
      <c r="AA211" s="50"/>
    </row>
    <row r="212" spans="1:27">
      <c r="A212" s="293" t="s">
        <v>529</v>
      </c>
      <c r="B212" s="293" t="s">
        <v>672</v>
      </c>
      <c r="D212" s="122" t="s">
        <v>49</v>
      </c>
      <c r="E212" s="122"/>
      <c r="F212" s="122"/>
      <c r="G212" s="122"/>
      <c r="H212" s="122"/>
      <c r="I212" s="122"/>
      <c r="J212" s="122"/>
      <c r="K212" s="122"/>
      <c r="L212" s="122"/>
      <c r="M212" s="588">
        <f>M105</f>
        <v>302</v>
      </c>
      <c r="N212" s="450">
        <f>N105</f>
        <v>6.3766697383661045E-2</v>
      </c>
      <c r="P212" s="619">
        <v>-2.1999999999999992E-2</v>
      </c>
      <c r="Q212" s="450">
        <f>Q105</f>
        <v>4.1887542014477051E-2</v>
      </c>
      <c r="R212" s="483">
        <f>R105</f>
        <v>314.65003768837209</v>
      </c>
      <c r="S212" s="450">
        <v>6.6540877038754331E-3</v>
      </c>
      <c r="T212" s="588">
        <f>GDP!AA684</f>
        <v>104</v>
      </c>
      <c r="U212" s="139">
        <f>(1+Q212)*(1+S212)-1</f>
        <v>4.8820353096616698E-2</v>
      </c>
      <c r="V212" s="162">
        <f>T212*(1+U212)</f>
        <v>109.07731672204814</v>
      </c>
      <c r="W212" s="87"/>
      <c r="Z212" s="790"/>
      <c r="AA212" s="50"/>
    </row>
    <row r="213" spans="1:27">
      <c r="A213" s="293" t="s">
        <v>529</v>
      </c>
      <c r="B213" s="293" t="s">
        <v>673</v>
      </c>
      <c r="D213" s="122" t="s">
        <v>55</v>
      </c>
      <c r="E213" s="122"/>
      <c r="F213" s="122"/>
      <c r="G213" s="122"/>
      <c r="H213" s="122"/>
      <c r="I213" s="122"/>
      <c r="J213" s="122"/>
      <c r="K213" s="122"/>
      <c r="L213" s="122"/>
      <c r="M213" s="588">
        <f>M116</f>
        <v>290</v>
      </c>
      <c r="N213" s="450">
        <f>N116</f>
        <v>0.11</v>
      </c>
      <c r="P213" s="619">
        <v>0.112</v>
      </c>
      <c r="Q213" s="450">
        <f>Q116</f>
        <v>0.112</v>
      </c>
      <c r="R213" s="483">
        <f>R116</f>
        <v>322.48</v>
      </c>
      <c r="S213" s="450">
        <v>1.4315462507736854E-2</v>
      </c>
      <c r="T213" s="588">
        <f>GDP!AA685</f>
        <v>166</v>
      </c>
      <c r="U213" s="139">
        <f>(1+Q213)*(1+S213)-1</f>
        <v>0.12791879430860353</v>
      </c>
      <c r="V213" s="162">
        <f>T213*(1+U213)</f>
        <v>187.2345198552282</v>
      </c>
      <c r="W213" s="87"/>
      <c r="Z213" s="790"/>
      <c r="AA213" s="50"/>
    </row>
    <row r="214" spans="1:27">
      <c r="A214" s="293" t="s">
        <v>529</v>
      </c>
      <c r="B214" s="293" t="s">
        <v>674</v>
      </c>
      <c r="D214" s="122" t="s">
        <v>56</v>
      </c>
      <c r="E214" s="122"/>
      <c r="F214" s="122"/>
      <c r="G214" s="122"/>
      <c r="H214" s="122"/>
      <c r="I214" s="122"/>
      <c r="J214" s="122"/>
      <c r="K214" s="122"/>
      <c r="L214" s="122"/>
      <c r="M214" s="588">
        <f>M125</f>
        <v>531</v>
      </c>
      <c r="N214" s="450">
        <f>N125</f>
        <v>2.6666666666666668E-2</v>
      </c>
      <c r="P214" s="619">
        <v>3.1666666666666669E-2</v>
      </c>
      <c r="Q214" s="450">
        <f>Q125</f>
        <v>3.1666666666666669E-2</v>
      </c>
      <c r="R214" s="483">
        <f>R125</f>
        <v>547.81500000000005</v>
      </c>
      <c r="S214" s="450">
        <v>6.6540877038754331E-3</v>
      </c>
      <c r="T214" s="588">
        <f>GDP!AA686</f>
        <v>360</v>
      </c>
      <c r="U214" s="139">
        <f>(1+Q214)*(1+S214)-1</f>
        <v>3.8531467147831622E-2</v>
      </c>
      <c r="V214" s="162">
        <f>T214*(1+U214)</f>
        <v>373.87132817321941</v>
      </c>
      <c r="W214" s="87"/>
      <c r="Z214" s="790"/>
      <c r="AA214" s="50"/>
    </row>
    <row r="215" spans="1:27" ht="15.5" thickBot="1">
      <c r="A215" s="293" t="s">
        <v>529</v>
      </c>
      <c r="B215" s="293" t="s">
        <v>675</v>
      </c>
      <c r="D215" s="123" t="s">
        <v>57</v>
      </c>
      <c r="E215" s="122"/>
      <c r="F215" s="122"/>
      <c r="G215" s="122"/>
      <c r="H215" s="122"/>
      <c r="I215" s="122"/>
      <c r="J215" s="122"/>
      <c r="K215" s="122"/>
      <c r="L215" s="122"/>
      <c r="M215" s="588">
        <f t="shared" ref="M215:N217" si="15">M130</f>
        <v>48</v>
      </c>
      <c r="N215" s="450">
        <f t="shared" si="15"/>
        <v>0.03</v>
      </c>
      <c r="P215" s="619">
        <v>4.1666666666666664E-2</v>
      </c>
      <c r="Q215" s="450">
        <f>Q130</f>
        <v>4.1666666666666664E-2</v>
      </c>
      <c r="R215" s="483">
        <f>R130</f>
        <v>50</v>
      </c>
      <c r="S215" s="450">
        <v>7.1303755664011481E-2</v>
      </c>
      <c r="T215" s="588">
        <f>GDP!AA687</f>
        <v>26</v>
      </c>
      <c r="U215" s="139">
        <f>(1+Q215)*(1+S215)-1</f>
        <v>0.11594141215001197</v>
      </c>
      <c r="V215" s="162">
        <f>T215*(1+U215)</f>
        <v>29.014476715900312</v>
      </c>
      <c r="W215" s="87"/>
      <c r="Z215" s="790"/>
      <c r="AA215" s="50"/>
    </row>
    <row r="216" spans="1:27" ht="15.5" thickBot="1">
      <c r="A216" s="293"/>
      <c r="B216" s="293"/>
      <c r="D216" s="104" t="s">
        <v>131</v>
      </c>
      <c r="E216" s="104"/>
      <c r="F216" s="104"/>
      <c r="G216" s="104"/>
      <c r="H216" s="104"/>
      <c r="I216" s="104"/>
      <c r="J216" s="104"/>
      <c r="K216" s="104"/>
      <c r="L216" s="104"/>
      <c r="M216" s="710">
        <f t="shared" si="15"/>
        <v>2395</v>
      </c>
      <c r="N216" s="101">
        <f t="shared" si="15"/>
        <v>4.698242534602684E-2</v>
      </c>
      <c r="P216" s="675">
        <v>0.02</v>
      </c>
      <c r="Q216" s="644">
        <f>Q131</f>
        <v>9.4754263877945763E-2</v>
      </c>
      <c r="R216" s="103">
        <f>R217+R218+R227+R228+R229</f>
        <v>2621.9364619876801</v>
      </c>
      <c r="S216" s="1016"/>
      <c r="T216" s="710">
        <f>GDP!AA688</f>
        <v>1152</v>
      </c>
      <c r="U216" s="648">
        <f>V216/T216-1</f>
        <v>0.18631950735484826</v>
      </c>
      <c r="V216" s="108">
        <f>V217+V218+SUM(V227:V229)</f>
        <v>1366.6400724727853</v>
      </c>
      <c r="Z216" s="792"/>
      <c r="AA216" s="50"/>
    </row>
    <row r="217" spans="1:27">
      <c r="A217" s="293" t="s">
        <v>530</v>
      </c>
      <c r="B217" s="293" t="s">
        <v>676</v>
      </c>
      <c r="D217" s="484" t="s">
        <v>66</v>
      </c>
      <c r="E217" s="454"/>
      <c r="F217" s="454"/>
      <c r="G217" s="454"/>
      <c r="H217" s="454"/>
      <c r="I217" s="454"/>
      <c r="J217" s="454"/>
      <c r="K217" s="454"/>
      <c r="L217" s="454"/>
      <c r="M217" s="588">
        <f t="shared" si="15"/>
        <v>265</v>
      </c>
      <c r="N217" s="450">
        <f t="shared" si="15"/>
        <v>0.11734694707578913</v>
      </c>
      <c r="P217" s="619">
        <v>9.0666666666666673E-2</v>
      </c>
      <c r="Q217" s="450">
        <f>Q132</f>
        <v>0.27227881253510483</v>
      </c>
      <c r="R217" s="483">
        <f>R132</f>
        <v>337.15388532180276</v>
      </c>
      <c r="S217" s="1017">
        <v>0.34523168987914876</v>
      </c>
      <c r="T217" s="588">
        <f>GDP!AA689</f>
        <v>111</v>
      </c>
      <c r="U217" s="139">
        <f>(1+Q217)*(1+S217)-1</f>
        <v>0.71150977698403572</v>
      </c>
      <c r="V217" s="165">
        <f>T217*(1+U217)</f>
        <v>189.97758524522797</v>
      </c>
      <c r="W217" s="1055"/>
      <c r="Z217" s="790"/>
      <c r="AA217" s="50"/>
    </row>
    <row r="218" spans="1:27">
      <c r="A218" s="293"/>
      <c r="B218" s="293" t="s">
        <v>30</v>
      </c>
      <c r="D218" s="454" t="s">
        <v>67</v>
      </c>
      <c r="E218" s="454"/>
      <c r="F218" s="454"/>
      <c r="G218" s="454"/>
      <c r="H218" s="454"/>
      <c r="I218" s="454"/>
      <c r="J218" s="454"/>
      <c r="K218" s="454"/>
      <c r="L218" s="454"/>
      <c r="M218" s="588">
        <f>M136</f>
        <v>860</v>
      </c>
      <c r="N218" s="450">
        <f>N136</f>
        <v>7.6198038425992515E-2</v>
      </c>
      <c r="P218" s="619">
        <v>6.3333333333333339E-2</v>
      </c>
      <c r="Q218" s="450">
        <f>Q136</f>
        <v>0.13406289389790468</v>
      </c>
      <c r="R218" s="483">
        <f>SUM(R219:R226)</f>
        <v>975.29408875219804</v>
      </c>
      <c r="S218" s="1018"/>
      <c r="T218" s="588">
        <f>GDP!AA690</f>
        <v>459</v>
      </c>
      <c r="U218" s="139">
        <f>V218/T218-1</f>
        <v>0.17606054578040675</v>
      </c>
      <c r="V218" s="162">
        <f>SUM(V219:V226)</f>
        <v>539.81179051320669</v>
      </c>
      <c r="Z218" s="790"/>
      <c r="AA218" s="50"/>
    </row>
    <row r="219" spans="1:27">
      <c r="A219" s="293" t="s">
        <v>530</v>
      </c>
      <c r="B219" s="293" t="s">
        <v>677</v>
      </c>
      <c r="D219" s="154" t="s">
        <v>68</v>
      </c>
      <c r="E219" s="154"/>
      <c r="F219" s="154"/>
      <c r="G219" s="154"/>
      <c r="H219" s="154"/>
      <c r="I219" s="154"/>
      <c r="J219" s="154"/>
      <c r="K219" s="154"/>
      <c r="L219" s="154"/>
      <c r="M219" s="583">
        <f>M137</f>
        <v>155</v>
      </c>
      <c r="N219" s="439">
        <f>N137</f>
        <v>8.9659245864641746E-2</v>
      </c>
      <c r="P219" s="615">
        <v>0.13600000000000001</v>
      </c>
      <c r="Q219" s="439">
        <f>Q137</f>
        <v>0.14137949045586914</v>
      </c>
      <c r="R219" s="467">
        <f>R137</f>
        <v>176.91382102065973</v>
      </c>
      <c r="S219" s="1019">
        <v>0.24755610684141982</v>
      </c>
      <c r="T219" s="583">
        <f>GDP!AA691</f>
        <v>124</v>
      </c>
      <c r="U219" s="649">
        <f>(1+Q219)*(1+S219)-1</f>
        <v>0.42393495354176758</v>
      </c>
      <c r="V219" s="166">
        <f>T219*(1+U219)</f>
        <v>176.56793423917918</v>
      </c>
      <c r="W219" s="1055"/>
      <c r="Z219" s="793"/>
      <c r="AA219" s="50"/>
    </row>
    <row r="220" spans="1:27">
      <c r="A220" s="293" t="s">
        <v>530</v>
      </c>
      <c r="B220" s="293" t="s">
        <v>678</v>
      </c>
      <c r="D220" s="154" t="s">
        <v>69</v>
      </c>
      <c r="E220" s="154"/>
      <c r="F220" s="154"/>
      <c r="G220" s="154"/>
      <c r="H220" s="154"/>
      <c r="I220" s="154"/>
      <c r="J220" s="154"/>
      <c r="K220" s="154"/>
      <c r="L220" s="154"/>
      <c r="M220" s="583">
        <f>M144</f>
        <v>461</v>
      </c>
      <c r="N220" s="439">
        <f>N144</f>
        <v>3.9379756777190526E-3</v>
      </c>
      <c r="P220" s="615">
        <v>-0.08</v>
      </c>
      <c r="Q220" s="439">
        <f>Q144</f>
        <v>2.7790103043386281E-2</v>
      </c>
      <c r="R220" s="467">
        <f>R144</f>
        <v>473.81123750300105</v>
      </c>
      <c r="S220" s="1019">
        <v>4.3049147117519837E-2</v>
      </c>
      <c r="T220" s="583">
        <f>GDP!AA692</f>
        <v>140</v>
      </c>
      <c r="U220" s="649">
        <f t="shared" ref="U220:U229" si="16">(1+Q220)*(1+S220)-1</f>
        <v>7.2035590395231885E-2</v>
      </c>
      <c r="V220" s="166">
        <f t="shared" ref="V220:V229" si="17">T220*(1+U220)</f>
        <v>150.08498265533245</v>
      </c>
      <c r="W220" s="1055"/>
      <c r="Z220" s="793"/>
      <c r="AA220" s="50"/>
    </row>
    <row r="221" spans="1:27">
      <c r="A221" s="293" t="s">
        <v>530</v>
      </c>
      <c r="B221" s="293" t="s">
        <v>679</v>
      </c>
      <c r="D221" s="154" t="s">
        <v>70</v>
      </c>
      <c r="E221" s="154"/>
      <c r="F221" s="154"/>
      <c r="G221" s="154"/>
      <c r="H221" s="154"/>
      <c r="I221" s="154"/>
      <c r="J221" s="154"/>
      <c r="K221" s="154"/>
      <c r="L221" s="154"/>
      <c r="M221" s="583">
        <f>M153</f>
        <v>37</v>
      </c>
      <c r="N221" s="439">
        <f>N153</f>
        <v>0.19237569471731858</v>
      </c>
      <c r="P221" s="615">
        <v>0.23633333333333331</v>
      </c>
      <c r="Q221" s="439">
        <f>Q153</f>
        <v>1.3852196073155253E-2</v>
      </c>
      <c r="R221" s="467">
        <f>R153</f>
        <v>37.512531254706744</v>
      </c>
      <c r="S221" s="1019">
        <v>2.5118584232781016E-2</v>
      </c>
      <c r="T221" s="583">
        <f>GDP!AA693</f>
        <v>25</v>
      </c>
      <c r="U221" s="649">
        <f t="shared" si="16"/>
        <v>3.9318727859808833E-2</v>
      </c>
      <c r="V221" s="166">
        <f t="shared" si="17"/>
        <v>25.982968196495221</v>
      </c>
      <c r="W221" s="1055"/>
      <c r="Z221" s="793"/>
      <c r="AA221" s="50"/>
    </row>
    <row r="222" spans="1:27">
      <c r="A222" s="293" t="s">
        <v>530</v>
      </c>
      <c r="B222" s="293" t="s">
        <v>680</v>
      </c>
      <c r="D222" s="154" t="s">
        <v>71</v>
      </c>
      <c r="E222" s="154"/>
      <c r="F222" s="154"/>
      <c r="G222" s="154"/>
      <c r="H222" s="154"/>
      <c r="I222" s="154"/>
      <c r="J222" s="154"/>
      <c r="K222" s="154"/>
      <c r="L222" s="154"/>
      <c r="M222" s="583">
        <f>M154</f>
        <v>28</v>
      </c>
      <c r="N222" s="439">
        <f>N154</f>
        <v>0.14732902396622832</v>
      </c>
      <c r="P222" s="615">
        <v>-4.8333333333333339E-2</v>
      </c>
      <c r="Q222" s="439">
        <f>Q154</f>
        <v>0.14466321396934662</v>
      </c>
      <c r="R222" s="467">
        <f>R154</f>
        <v>32.050569991141707</v>
      </c>
      <c r="S222" s="1019">
        <v>-6.12514383121332E-3</v>
      </c>
      <c r="T222" s="583">
        <f>GDP!AA694</f>
        <v>28</v>
      </c>
      <c r="U222" s="649">
        <f t="shared" si="16"/>
        <v>0.13765198714548554</v>
      </c>
      <c r="V222" s="166">
        <f t="shared" si="17"/>
        <v>31.854255640073596</v>
      </c>
      <c r="W222" s="1055"/>
      <c r="Z222" s="793"/>
      <c r="AA222" s="50"/>
    </row>
    <row r="223" spans="1:27">
      <c r="A223" s="293" t="s">
        <v>530</v>
      </c>
      <c r="B223" s="293" t="s">
        <v>681</v>
      </c>
      <c r="D223" s="154" t="s">
        <v>72</v>
      </c>
      <c r="E223" s="154"/>
      <c r="F223" s="154"/>
      <c r="G223" s="154"/>
      <c r="H223" s="154"/>
      <c r="I223" s="154"/>
      <c r="J223" s="154"/>
      <c r="K223" s="154"/>
      <c r="L223" s="154"/>
      <c r="M223" s="583">
        <f>M157</f>
        <v>45</v>
      </c>
      <c r="N223" s="439">
        <f>N157</f>
        <v>0.24843644655160221</v>
      </c>
      <c r="P223" s="615">
        <v>0.23733333333333337</v>
      </c>
      <c r="Q223" s="439">
        <f>Q157</f>
        <v>0.1429687922078981</v>
      </c>
      <c r="R223" s="467">
        <f>R157</f>
        <v>51.433595649355418</v>
      </c>
      <c r="S223" s="1019">
        <v>3.2633222024360808E-2</v>
      </c>
      <c r="T223" s="583">
        <f>GDP!AA695</f>
        <v>30</v>
      </c>
      <c r="U223" s="649">
        <f t="shared" si="16"/>
        <v>0.18026754657093402</v>
      </c>
      <c r="V223" s="166">
        <f t="shared" si="17"/>
        <v>35.408026397128019</v>
      </c>
      <c r="W223" s="1055"/>
      <c r="Z223" s="793"/>
      <c r="AA223" s="50"/>
    </row>
    <row r="224" spans="1:27">
      <c r="A224" s="293" t="s">
        <v>530</v>
      </c>
      <c r="B224" s="293" t="s">
        <v>682</v>
      </c>
      <c r="D224" s="154" t="s">
        <v>73</v>
      </c>
      <c r="E224" s="154"/>
      <c r="F224" s="154"/>
      <c r="G224" s="154"/>
      <c r="H224" s="154"/>
      <c r="I224" s="154"/>
      <c r="J224" s="154"/>
      <c r="K224" s="154"/>
      <c r="L224" s="154"/>
      <c r="M224" s="583">
        <f t="shared" ref="M224:N229" si="18">M164</f>
        <v>65</v>
      </c>
      <c r="N224" s="439">
        <f t="shared" si="18"/>
        <v>5.5000000000000007E-2</v>
      </c>
      <c r="P224" s="615">
        <v>9.1666666666666674E-2</v>
      </c>
      <c r="Q224" s="439">
        <f t="shared" ref="Q224:R229" si="19">Q164</f>
        <v>9.1666666666666674E-2</v>
      </c>
      <c r="R224" s="467">
        <f t="shared" si="19"/>
        <v>70.958333333333343</v>
      </c>
      <c r="S224" s="1019">
        <v>8.7789339291773016E-2</v>
      </c>
      <c r="T224" s="583">
        <f>GDP!AA696</f>
        <v>30</v>
      </c>
      <c r="U224" s="649">
        <f t="shared" si="16"/>
        <v>0.18750336206018559</v>
      </c>
      <c r="V224" s="166">
        <f t="shared" si="17"/>
        <v>35.625100861805571</v>
      </c>
      <c r="W224" s="1055"/>
      <c r="Z224" s="793"/>
      <c r="AA224" s="50"/>
    </row>
    <row r="225" spans="1:27">
      <c r="A225" s="293" t="s">
        <v>530</v>
      </c>
      <c r="B225" s="293" t="s">
        <v>683</v>
      </c>
      <c r="D225" s="154" t="s">
        <v>74</v>
      </c>
      <c r="E225" s="154"/>
      <c r="F225" s="154"/>
      <c r="G225" s="154"/>
      <c r="H225" s="154"/>
      <c r="I225" s="154"/>
      <c r="J225" s="154"/>
      <c r="K225" s="154"/>
      <c r="L225" s="154"/>
      <c r="M225" s="583">
        <f t="shared" si="18"/>
        <v>42</v>
      </c>
      <c r="N225" s="439">
        <f t="shared" si="18"/>
        <v>0.02</v>
      </c>
      <c r="P225" s="615">
        <v>1.5666666666666666E-2</v>
      </c>
      <c r="Q225" s="439">
        <f t="shared" si="19"/>
        <v>1.5666666666666666E-2</v>
      </c>
      <c r="R225" s="467">
        <f t="shared" si="19"/>
        <v>42.658000000000001</v>
      </c>
      <c r="S225" s="1019">
        <v>1.9499603386308406E-2</v>
      </c>
      <c r="T225" s="583">
        <f>GDP!AA697</f>
        <v>28</v>
      </c>
      <c r="U225" s="649">
        <f t="shared" si="16"/>
        <v>3.5471763839360682E-2</v>
      </c>
      <c r="V225" s="166">
        <f t="shared" si="17"/>
        <v>28.993209387502098</v>
      </c>
      <c r="W225" s="1055"/>
      <c r="Z225" s="793"/>
      <c r="AA225" s="50"/>
    </row>
    <row r="226" spans="1:27">
      <c r="A226" s="293" t="s">
        <v>530</v>
      </c>
      <c r="B226" s="293" t="s">
        <v>684</v>
      </c>
      <c r="D226" s="154" t="s">
        <v>75</v>
      </c>
      <c r="E226" s="154"/>
      <c r="F226" s="154"/>
      <c r="G226" s="154"/>
      <c r="H226" s="154"/>
      <c r="I226" s="154"/>
      <c r="J226" s="154"/>
      <c r="K226" s="154"/>
      <c r="L226" s="154"/>
      <c r="M226" s="583">
        <f t="shared" si="18"/>
        <v>86</v>
      </c>
      <c r="N226" s="439">
        <f t="shared" si="18"/>
        <v>-1.9999999999999997E-2</v>
      </c>
      <c r="P226" s="615">
        <v>4.5999999999999992E-2</v>
      </c>
      <c r="Q226" s="439">
        <f t="shared" si="19"/>
        <v>4.5999999999999992E-2</v>
      </c>
      <c r="R226" s="467">
        <f t="shared" si="19"/>
        <v>89.956000000000003</v>
      </c>
      <c r="S226" s="1019">
        <v>3.6540942820279643E-2</v>
      </c>
      <c r="T226" s="583">
        <f>GDP!AA698</f>
        <v>51</v>
      </c>
      <c r="U226" s="649">
        <f t="shared" si="16"/>
        <v>8.4221826190012505E-2</v>
      </c>
      <c r="V226" s="166">
        <f t="shared" si="17"/>
        <v>55.295313135690641</v>
      </c>
      <c r="W226" s="1055"/>
      <c r="Z226" s="793"/>
      <c r="AA226" s="50"/>
    </row>
    <row r="227" spans="1:27">
      <c r="A227" s="293" t="s">
        <v>530</v>
      </c>
      <c r="B227" s="293" t="s">
        <v>685</v>
      </c>
      <c r="D227" s="454" t="s">
        <v>76</v>
      </c>
      <c r="E227" s="454"/>
      <c r="F227" s="454"/>
      <c r="G227" s="454"/>
      <c r="H227" s="454"/>
      <c r="I227" s="454"/>
      <c r="J227" s="454"/>
      <c r="K227" s="454"/>
      <c r="L227" s="454"/>
      <c r="M227" s="588">
        <f t="shared" si="18"/>
        <v>69</v>
      </c>
      <c r="N227" s="450">
        <f t="shared" si="18"/>
        <v>5.5E-2</v>
      </c>
      <c r="P227" s="619">
        <v>7.5999999999999998E-2</v>
      </c>
      <c r="Q227" s="645">
        <f t="shared" si="19"/>
        <v>1.6987656974079494E-2</v>
      </c>
      <c r="R227" s="483">
        <f t="shared" si="19"/>
        <v>70.172148331211488</v>
      </c>
      <c r="S227" s="1020">
        <v>-0.16304709203551859</v>
      </c>
      <c r="T227" s="588">
        <f>GDP!AA699</f>
        <v>77</v>
      </c>
      <c r="U227" s="139">
        <f>(1+Q227)*(1+S227)-1</f>
        <v>-0.14882922313155966</v>
      </c>
      <c r="V227" s="162">
        <f t="shared" si="17"/>
        <v>65.540149818869907</v>
      </c>
      <c r="W227" s="1055"/>
      <c r="Z227" s="792"/>
      <c r="AA227" s="50"/>
    </row>
    <row r="228" spans="1:27">
      <c r="A228" s="293" t="s">
        <v>530</v>
      </c>
      <c r="B228" s="293" t="s">
        <v>686</v>
      </c>
      <c r="D228" s="454" t="s">
        <v>77</v>
      </c>
      <c r="E228" s="454"/>
      <c r="F228" s="454"/>
      <c r="G228" s="454"/>
      <c r="H228" s="454"/>
      <c r="I228" s="454"/>
      <c r="J228" s="454"/>
      <c r="K228" s="454"/>
      <c r="L228" s="454"/>
      <c r="M228" s="588">
        <f t="shared" si="18"/>
        <v>60</v>
      </c>
      <c r="N228" s="450">
        <f t="shared" si="18"/>
        <v>4.4289230534622546E-2</v>
      </c>
      <c r="P228" s="619">
        <v>2.2000000000000002E-2</v>
      </c>
      <c r="Q228" s="645">
        <f t="shared" si="19"/>
        <v>4.4289230534622546E-2</v>
      </c>
      <c r="R228" s="483">
        <f t="shared" si="19"/>
        <v>62.657353832077348</v>
      </c>
      <c r="S228" s="1020">
        <v>0</v>
      </c>
      <c r="T228" s="588">
        <f>GDP!AA700</f>
        <v>32</v>
      </c>
      <c r="U228" s="139">
        <f t="shared" si="16"/>
        <v>4.4289230534622526E-2</v>
      </c>
      <c r="V228" s="162">
        <f t="shared" si="17"/>
        <v>33.417255377107921</v>
      </c>
      <c r="W228" s="1055"/>
      <c r="Z228" s="792"/>
      <c r="AA228" s="50"/>
    </row>
    <row r="229" spans="1:27" ht="15.5" thickBot="1">
      <c r="A229" s="293" t="s">
        <v>530</v>
      </c>
      <c r="B229" s="293" t="s">
        <v>687</v>
      </c>
      <c r="D229" s="454" t="s">
        <v>35</v>
      </c>
      <c r="E229" s="454"/>
      <c r="F229" s="454"/>
      <c r="G229" s="454"/>
      <c r="H229" s="454"/>
      <c r="I229" s="454"/>
      <c r="J229" s="454"/>
      <c r="K229" s="454"/>
      <c r="L229" s="454"/>
      <c r="M229" s="588">
        <f t="shared" si="18"/>
        <v>1156</v>
      </c>
      <c r="N229" s="450">
        <f t="shared" si="18"/>
        <v>3.8780396829350694E-4</v>
      </c>
      <c r="P229" s="619">
        <v>-3.9666666666666663E-2</v>
      </c>
      <c r="Q229" s="450">
        <f t="shared" si="19"/>
        <v>1.7871094939784237E-2</v>
      </c>
      <c r="R229" s="483">
        <f t="shared" si="19"/>
        <v>1176.6589857503905</v>
      </c>
      <c r="S229" s="1017">
        <v>0.11487199047988117</v>
      </c>
      <c r="T229" s="588">
        <f>GDP!AA701</f>
        <v>474</v>
      </c>
      <c r="U229" s="139">
        <f t="shared" si="16"/>
        <v>0.13479597366745333</v>
      </c>
      <c r="V229" s="162">
        <f t="shared" si="17"/>
        <v>537.89329151837285</v>
      </c>
      <c r="W229" s="1055"/>
      <c r="Z229" s="790"/>
      <c r="AA229" s="50"/>
    </row>
    <row r="230" spans="1:27" ht="15.5" thickBot="1">
      <c r="A230" s="293"/>
      <c r="B230" s="293"/>
      <c r="D230" s="104" t="s">
        <v>130</v>
      </c>
      <c r="E230" s="104"/>
      <c r="F230" s="104"/>
      <c r="G230" s="104"/>
      <c r="H230" s="104"/>
      <c r="I230" s="104"/>
      <c r="J230" s="104"/>
      <c r="K230" s="104"/>
      <c r="L230" s="104"/>
      <c r="M230" s="711">
        <f t="shared" ref="M230:N243" si="20">M178</f>
        <v>5850</v>
      </c>
      <c r="N230" s="101">
        <f t="shared" si="20"/>
        <v>5.7615284407255718E-2</v>
      </c>
      <c r="P230" s="675">
        <v>7.0000000000000007E-2</v>
      </c>
      <c r="Q230" s="101">
        <f t="shared" ref="Q230:Q243" si="21">Q178</f>
        <v>9.8073736040086068E-2</v>
      </c>
      <c r="R230" s="486">
        <f>R231+R235</f>
        <v>6423.731355834504</v>
      </c>
      <c r="S230" s="1016"/>
      <c r="T230" s="711">
        <f>GDP!AA702</f>
        <v>3374</v>
      </c>
      <c r="U230" s="647">
        <f>(V230-T230)/T230</f>
        <v>8.0423018765415327E-2</v>
      </c>
      <c r="V230" s="103">
        <f>V231+V235</f>
        <v>3645.3472653145113</v>
      </c>
      <c r="Z230" s="790"/>
      <c r="AA230" s="50"/>
    </row>
    <row r="231" spans="1:27">
      <c r="A231" s="293"/>
      <c r="B231" s="293"/>
      <c r="D231" s="122" t="s">
        <v>106</v>
      </c>
      <c r="E231" s="122"/>
      <c r="F231" s="122"/>
      <c r="G231" s="122"/>
      <c r="H231" s="122"/>
      <c r="I231" s="122"/>
      <c r="J231" s="122"/>
      <c r="K231" s="122"/>
      <c r="L231" s="122"/>
      <c r="M231" s="588">
        <f t="shared" si="20"/>
        <v>1769</v>
      </c>
      <c r="N231" s="450">
        <f t="shared" si="20"/>
        <v>-1.7816904584407434E-2</v>
      </c>
      <c r="P231" s="619">
        <v>-3.3333333333333361E-3</v>
      </c>
      <c r="Q231" s="450">
        <f t="shared" si="21"/>
        <v>3.923421895609569E-2</v>
      </c>
      <c r="R231" s="483">
        <f>SUM(R232:R234)</f>
        <v>1838.4053333333331</v>
      </c>
      <c r="S231" s="1018"/>
      <c r="T231" s="588">
        <f>GDP!AA703</f>
        <v>897</v>
      </c>
      <c r="U231" s="646">
        <f>V231/T231-1</f>
        <v>1.664317930699899E-2</v>
      </c>
      <c r="V231" s="153">
        <f>SUM(V232:V234)</f>
        <v>911.92893183837816</v>
      </c>
      <c r="Z231" s="790"/>
      <c r="AA231" s="50"/>
    </row>
    <row r="232" spans="1:27">
      <c r="A232" s="293" t="s">
        <v>529</v>
      </c>
      <c r="B232" s="293" t="s">
        <v>672</v>
      </c>
      <c r="D232" s="154" t="s">
        <v>107</v>
      </c>
      <c r="E232" s="154"/>
      <c r="F232" s="154"/>
      <c r="G232" s="154"/>
      <c r="H232" s="154"/>
      <c r="I232" s="154"/>
      <c r="J232" s="154"/>
      <c r="K232" s="154"/>
      <c r="L232" s="154"/>
      <c r="M232" s="583">
        <f t="shared" si="20"/>
        <v>52</v>
      </c>
      <c r="N232" s="439">
        <f t="shared" si="20"/>
        <v>4.4999999999999998E-2</v>
      </c>
      <c r="P232" s="615">
        <v>0.04</v>
      </c>
      <c r="Q232" s="439">
        <f t="shared" si="21"/>
        <v>0.04</v>
      </c>
      <c r="R232" s="467">
        <f>R180</f>
        <v>54.08</v>
      </c>
      <c r="S232" s="439">
        <v>6.6540877038754331E-3</v>
      </c>
      <c r="T232" s="583">
        <f>GDP!AA704</f>
        <v>38</v>
      </c>
      <c r="U232" s="649">
        <f>(1+Q232)*(1+S232)-1</f>
        <v>4.6920251212030584E-2</v>
      </c>
      <c r="V232" s="151">
        <f>T232*(1+U232)</f>
        <v>39.78296954605716</v>
      </c>
      <c r="W232" s="87"/>
      <c r="Z232" s="793"/>
      <c r="AA232" s="50"/>
    </row>
    <row r="233" spans="1:27">
      <c r="A233" s="293" t="s">
        <v>529</v>
      </c>
      <c r="B233" s="293" t="s">
        <v>672</v>
      </c>
      <c r="C233" s="295" t="s">
        <v>30</v>
      </c>
      <c r="D233" s="154" t="s">
        <v>36</v>
      </c>
      <c r="E233" s="154"/>
      <c r="F233" s="154"/>
      <c r="G233" s="154"/>
      <c r="H233" s="154"/>
      <c r="I233" s="154"/>
      <c r="J233" s="154"/>
      <c r="K233" s="154"/>
      <c r="L233" s="154"/>
      <c r="M233" s="583">
        <f t="shared" si="20"/>
        <v>902</v>
      </c>
      <c r="N233" s="439">
        <f t="shared" si="20"/>
        <v>-5.5E-2</v>
      </c>
      <c r="P233" s="615">
        <v>-5.3999999999999999E-2</v>
      </c>
      <c r="Q233" s="439">
        <f t="shared" si="21"/>
        <v>-5.3999999999999999E-2</v>
      </c>
      <c r="R233" s="467">
        <f>R181</f>
        <v>853.29199999999992</v>
      </c>
      <c r="S233" s="439">
        <v>6.6540877038754331E-3</v>
      </c>
      <c r="T233" s="583">
        <f>GDP!AA705</f>
        <v>560</v>
      </c>
      <c r="U233" s="649">
        <f>(1+Q233)*(1+S233)-1</f>
        <v>-4.770523303213392E-2</v>
      </c>
      <c r="V233" s="151">
        <f>T233*(1+U233)</f>
        <v>533.28506950200506</v>
      </c>
      <c r="W233" s="87"/>
      <c r="Z233" s="793"/>
      <c r="AA233" s="50"/>
    </row>
    <row r="234" spans="1:27">
      <c r="A234" s="293" t="s">
        <v>529</v>
      </c>
      <c r="B234" s="293" t="s">
        <v>688</v>
      </c>
      <c r="D234" s="154" t="s">
        <v>108</v>
      </c>
      <c r="E234" s="154"/>
      <c r="F234" s="154"/>
      <c r="G234" s="154"/>
      <c r="H234" s="154"/>
      <c r="I234" s="154"/>
      <c r="J234" s="154"/>
      <c r="K234" s="154"/>
      <c r="L234" s="154"/>
      <c r="M234" s="583">
        <f t="shared" si="20"/>
        <v>850</v>
      </c>
      <c r="N234" s="439">
        <f t="shared" si="20"/>
        <v>0.05</v>
      </c>
      <c r="P234" s="615">
        <v>9.5333333333333325E-2</v>
      </c>
      <c r="Q234" s="439">
        <f t="shared" si="21"/>
        <v>9.5333333333333325E-2</v>
      </c>
      <c r="R234" s="467">
        <f>R182</f>
        <v>931.0333333333333</v>
      </c>
      <c r="S234" s="439">
        <v>2.7800088537243139E-2</v>
      </c>
      <c r="T234" s="583">
        <f>GDP!AA706</f>
        <v>301</v>
      </c>
      <c r="U234" s="649">
        <f>(1+Q234)*(1+S234)-1</f>
        <v>0.12578369697779368</v>
      </c>
      <c r="V234" s="151">
        <f>T234*(1+U234)</f>
        <v>338.86089279031592</v>
      </c>
      <c r="W234" s="87"/>
      <c r="Z234" s="793"/>
      <c r="AA234" s="50"/>
    </row>
    <row r="235" spans="1:27">
      <c r="B235" s="293"/>
      <c r="D235" s="122" t="s">
        <v>133</v>
      </c>
      <c r="E235" s="122"/>
      <c r="F235" s="122"/>
      <c r="G235" s="122"/>
      <c r="H235" s="122"/>
      <c r="I235" s="122"/>
      <c r="J235" s="122"/>
      <c r="K235" s="122"/>
      <c r="L235" s="122"/>
      <c r="M235" s="588">
        <f t="shared" si="20"/>
        <v>4062</v>
      </c>
      <c r="N235" s="450">
        <f t="shared" si="20"/>
        <v>8.2733710392237425E-2</v>
      </c>
      <c r="P235" s="619">
        <v>9.6666666666666665E-2</v>
      </c>
      <c r="Q235" s="450">
        <f t="shared" si="21"/>
        <v>0.12883456979349361</v>
      </c>
      <c r="R235" s="483">
        <f>SUM(R236:R245)</f>
        <v>4585.3260225011709</v>
      </c>
      <c r="S235" s="1018"/>
      <c r="T235" s="588">
        <f>GDP!AA707</f>
        <v>2478</v>
      </c>
      <c r="U235" s="139">
        <f>(V235-T235)/T235</f>
        <v>0.10307438800489641</v>
      </c>
      <c r="V235" s="153">
        <f>SUM(V236:V245)</f>
        <v>2733.4183334761333</v>
      </c>
      <c r="Z235" s="790"/>
      <c r="AA235" s="50"/>
    </row>
    <row r="236" spans="1:27">
      <c r="A236" s="293" t="s">
        <v>529</v>
      </c>
      <c r="B236" s="293" t="s">
        <v>689</v>
      </c>
      <c r="D236" s="129" t="s">
        <v>120</v>
      </c>
      <c r="E236" s="129"/>
      <c r="F236" s="129"/>
      <c r="G236" s="129"/>
      <c r="H236" s="129"/>
      <c r="I236" s="129"/>
      <c r="J236" s="129"/>
      <c r="K236" s="129"/>
      <c r="L236" s="129"/>
      <c r="M236" s="583">
        <f t="shared" si="20"/>
        <v>480</v>
      </c>
      <c r="N236" s="439">
        <f t="shared" si="20"/>
        <v>0.15</v>
      </c>
      <c r="P236" s="615">
        <v>0.10299999999999999</v>
      </c>
      <c r="Q236" s="439">
        <f t="shared" si="21"/>
        <v>0.121476570990563</v>
      </c>
      <c r="R236" s="467">
        <f t="shared" ref="R236:R243" si="22">R184</f>
        <v>538.30875407547023</v>
      </c>
      <c r="S236" s="439">
        <v>1.039056040397135E-2</v>
      </c>
      <c r="T236" s="151">
        <f>GDP!AA708</f>
        <v>154</v>
      </c>
      <c r="U236" s="649">
        <f>(1+Q236)*(1+S236)-1</f>
        <v>0.13312934104307916</v>
      </c>
      <c r="V236" s="151">
        <f>T236*(1+U236)</f>
        <v>174.50191852063418</v>
      </c>
      <c r="W236" s="87"/>
      <c r="Z236" s="793"/>
      <c r="AA236" s="50"/>
    </row>
    <row r="237" spans="1:27">
      <c r="A237" s="293" t="s">
        <v>529</v>
      </c>
      <c r="B237" s="293" t="s">
        <v>690</v>
      </c>
      <c r="D237" s="129" t="s">
        <v>121</v>
      </c>
      <c r="E237" s="129"/>
      <c r="F237" s="129"/>
      <c r="G237" s="129"/>
      <c r="H237" s="129"/>
      <c r="I237" s="129"/>
      <c r="J237" s="129"/>
      <c r="K237" s="129"/>
      <c r="L237" s="129"/>
      <c r="M237" s="573">
        <f t="shared" si="20"/>
        <v>104</v>
      </c>
      <c r="N237" s="439">
        <f t="shared" si="20"/>
        <v>0.05</v>
      </c>
      <c r="P237" s="615">
        <v>0.12066666666666666</v>
      </c>
      <c r="Q237" s="439">
        <f t="shared" si="21"/>
        <v>6.671963847610593E-2</v>
      </c>
      <c r="R237" s="467">
        <f t="shared" si="22"/>
        <v>110.93884240151502</v>
      </c>
      <c r="S237" s="439">
        <v>-2.6024279145730689E-2</v>
      </c>
      <c r="T237" s="151">
        <f>GDP!AA709</f>
        <v>138</v>
      </c>
      <c r="U237" s="649">
        <f t="shared" ref="U237:U244" si="23">(1+Q237)*(1+S237)-1</f>
        <v>3.8959028834170795E-2</v>
      </c>
      <c r="V237" s="151">
        <f t="shared" ref="V237:V245" si="24">T237*(1+U237)</f>
        <v>143.37634597911557</v>
      </c>
      <c r="W237" s="87"/>
      <c r="Z237" s="793"/>
      <c r="AA237" s="50"/>
    </row>
    <row r="238" spans="1:27">
      <c r="A238" s="293" t="s">
        <v>529</v>
      </c>
      <c r="B238" s="293" t="s">
        <v>672</v>
      </c>
      <c r="D238" s="129" t="s">
        <v>122</v>
      </c>
      <c r="E238" s="129"/>
      <c r="F238" s="129"/>
      <c r="G238" s="129"/>
      <c r="H238" s="129"/>
      <c r="I238" s="129"/>
      <c r="J238" s="129"/>
      <c r="K238" s="129"/>
      <c r="L238" s="129"/>
      <c r="M238" s="573">
        <f t="shared" si="20"/>
        <v>304</v>
      </c>
      <c r="N238" s="439">
        <f t="shared" si="20"/>
        <v>4.4999999999999998E-2</v>
      </c>
      <c r="P238" s="615">
        <v>4.7333333333333331E-2</v>
      </c>
      <c r="Q238" s="439">
        <f t="shared" si="21"/>
        <v>4.7333333333333331E-2</v>
      </c>
      <c r="R238" s="467">
        <f t="shared" si="22"/>
        <v>318.3893333333333</v>
      </c>
      <c r="S238" s="439">
        <v>6.6540877038754331E-3</v>
      </c>
      <c r="T238" s="151">
        <f>GDP!AA710</f>
        <v>164</v>
      </c>
      <c r="U238" s="649">
        <f t="shared" si="23"/>
        <v>5.4302381188525484E-2</v>
      </c>
      <c r="V238" s="151">
        <f t="shared" si="24"/>
        <v>172.90559051491817</v>
      </c>
      <c r="W238" s="87"/>
      <c r="Z238" s="793"/>
      <c r="AA238" s="50"/>
    </row>
    <row r="239" spans="1:27">
      <c r="A239" s="293" t="s">
        <v>529</v>
      </c>
      <c r="B239" s="293" t="s">
        <v>672</v>
      </c>
      <c r="D239" s="129" t="s">
        <v>123</v>
      </c>
      <c r="E239" s="129"/>
      <c r="F239" s="129"/>
      <c r="G239" s="129"/>
      <c r="H239" s="129"/>
      <c r="I239" s="129"/>
      <c r="J239" s="129"/>
      <c r="K239" s="129"/>
      <c r="L239" s="129"/>
      <c r="M239" s="573">
        <f t="shared" si="20"/>
        <v>1019</v>
      </c>
      <c r="N239" s="439">
        <f t="shared" si="20"/>
        <v>8.5557462957779926E-2</v>
      </c>
      <c r="P239" s="615">
        <v>5.9666666666666666E-2</v>
      </c>
      <c r="Q239" s="439">
        <f t="shared" si="21"/>
        <v>6.7894138742353727E-2</v>
      </c>
      <c r="R239" s="467">
        <f t="shared" si="22"/>
        <v>1088.1841273784585</v>
      </c>
      <c r="S239" s="439">
        <v>6.6540877038754331E-3</v>
      </c>
      <c r="T239" s="151">
        <f>GDP!AA711</f>
        <v>488</v>
      </c>
      <c r="U239" s="649">
        <f t="shared" si="23"/>
        <v>7.4999999999999956E-2</v>
      </c>
      <c r="V239" s="151">
        <f t="shared" si="24"/>
        <v>524.6</v>
      </c>
      <c r="W239" s="87"/>
      <c r="Z239" s="793"/>
      <c r="AA239" s="50"/>
    </row>
    <row r="240" spans="1:27">
      <c r="A240" s="293" t="s">
        <v>529</v>
      </c>
      <c r="B240" s="293" t="s">
        <v>672</v>
      </c>
      <c r="D240" s="129" t="s">
        <v>124</v>
      </c>
      <c r="E240" s="129"/>
      <c r="F240" s="129"/>
      <c r="G240" s="129"/>
      <c r="H240" s="129"/>
      <c r="I240" s="129"/>
      <c r="J240" s="129"/>
      <c r="K240" s="129"/>
      <c r="L240" s="129"/>
      <c r="M240" s="573">
        <f t="shared" si="20"/>
        <v>288</v>
      </c>
      <c r="N240" s="439">
        <f t="shared" si="20"/>
        <v>0.16</v>
      </c>
      <c r="P240" s="615">
        <v>0.18166666666666667</v>
      </c>
      <c r="Q240" s="439">
        <f t="shared" si="21"/>
        <v>0.2</v>
      </c>
      <c r="R240" s="467">
        <f t="shared" si="22"/>
        <v>345.59999999999997</v>
      </c>
      <c r="S240" s="439">
        <v>6.6540877038754331E-3</v>
      </c>
      <c r="T240" s="151">
        <f>GDP!AA712</f>
        <v>144</v>
      </c>
      <c r="U240" s="649">
        <f t="shared" si="23"/>
        <v>0.20798490524465052</v>
      </c>
      <c r="V240" s="151">
        <f t="shared" si="24"/>
        <v>173.94982635522967</v>
      </c>
      <c r="W240" s="87"/>
      <c r="Z240" s="793"/>
      <c r="AA240" s="50"/>
    </row>
    <row r="241" spans="1:27">
      <c r="A241" s="293" t="s">
        <v>529</v>
      </c>
      <c r="B241" s="293" t="s">
        <v>672</v>
      </c>
      <c r="D241" s="129" t="s">
        <v>125</v>
      </c>
      <c r="E241" s="129"/>
      <c r="F241" s="129"/>
      <c r="G241" s="129"/>
      <c r="H241" s="129"/>
      <c r="I241" s="129"/>
      <c r="J241" s="129"/>
      <c r="K241" s="129"/>
      <c r="L241" s="129"/>
      <c r="M241" s="573">
        <f t="shared" si="20"/>
        <v>486</v>
      </c>
      <c r="N241" s="439">
        <f t="shared" si="20"/>
        <v>0.115</v>
      </c>
      <c r="P241" s="615">
        <v>0.22500000000000001</v>
      </c>
      <c r="Q241" s="439">
        <f t="shared" si="21"/>
        <v>0.115</v>
      </c>
      <c r="R241" s="467">
        <f t="shared" si="22"/>
        <v>541.89</v>
      </c>
      <c r="S241" s="439">
        <v>6.6540877038754331E-3</v>
      </c>
      <c r="T241" s="151">
        <f>GDP!AA713</f>
        <v>252</v>
      </c>
      <c r="U241" s="649">
        <f t="shared" si="23"/>
        <v>0.12241930778982102</v>
      </c>
      <c r="V241" s="151">
        <f t="shared" si="24"/>
        <v>282.84966556303488</v>
      </c>
      <c r="W241" s="87"/>
      <c r="Z241" s="793"/>
      <c r="AA241" s="50"/>
    </row>
    <row r="242" spans="1:27">
      <c r="A242" s="295" t="s">
        <v>533</v>
      </c>
      <c r="B242" s="293" t="s">
        <v>532</v>
      </c>
      <c r="D242" s="129" t="s">
        <v>126</v>
      </c>
      <c r="E242" s="129"/>
      <c r="F242" s="129"/>
      <c r="G242" s="129"/>
      <c r="H242" s="129"/>
      <c r="I242" s="129"/>
      <c r="J242" s="129"/>
      <c r="K242" s="129"/>
      <c r="L242" s="129"/>
      <c r="M242" s="573">
        <f t="shared" si="20"/>
        <v>505</v>
      </c>
      <c r="N242" s="439">
        <f t="shared" si="20"/>
        <v>6.5000000000000002E-2</v>
      </c>
      <c r="P242" s="615">
        <v>8.6000000000000007E-2</v>
      </c>
      <c r="Q242" s="439">
        <f t="shared" si="21"/>
        <v>8.6000000000000007E-2</v>
      </c>
      <c r="R242" s="467">
        <f t="shared" si="22"/>
        <v>548.43000000000006</v>
      </c>
      <c r="S242" s="439">
        <f>GDP!AB231</f>
        <v>0.05</v>
      </c>
      <c r="T242" s="151">
        <f>GDP!AA714</f>
        <v>418</v>
      </c>
      <c r="U242" s="649">
        <f t="shared" si="23"/>
        <v>0.14030000000000009</v>
      </c>
      <c r="V242" s="151">
        <f t="shared" si="24"/>
        <v>476.64540000000005</v>
      </c>
      <c r="Z242" s="793"/>
      <c r="AA242" s="50"/>
    </row>
    <row r="243" spans="1:27">
      <c r="A243" s="295" t="s">
        <v>533</v>
      </c>
      <c r="B243" s="293" t="s">
        <v>532</v>
      </c>
      <c r="D243" s="129" t="s">
        <v>127</v>
      </c>
      <c r="E243" s="129"/>
      <c r="F243" s="129"/>
      <c r="G243" s="129"/>
      <c r="H243" s="129"/>
      <c r="I243" s="129"/>
      <c r="J243" s="129"/>
      <c r="K243" s="129"/>
      <c r="L243" s="129"/>
      <c r="M243" s="573">
        <f t="shared" si="20"/>
        <v>528</v>
      </c>
      <c r="N243" s="439">
        <f t="shared" si="20"/>
        <v>6.6120515111858374E-2</v>
      </c>
      <c r="P243" s="615">
        <v>3.6999999999999998E-2</v>
      </c>
      <c r="Q243" s="439">
        <f t="shared" si="21"/>
        <v>6.6120515111858374E-2</v>
      </c>
      <c r="R243" s="467">
        <f t="shared" si="22"/>
        <v>562.91163197906121</v>
      </c>
      <c r="S243" s="439">
        <f>GDP!AB231</f>
        <v>0.05</v>
      </c>
      <c r="T243" s="151">
        <f>GDP!AA715</f>
        <v>219</v>
      </c>
      <c r="U243" s="649">
        <f t="shared" si="23"/>
        <v>0.11942654086745152</v>
      </c>
      <c r="V243" s="151">
        <f t="shared" si="24"/>
        <v>245.15441244997189</v>
      </c>
      <c r="Z243" s="793"/>
      <c r="AA243" s="50"/>
    </row>
    <row r="244" spans="1:27">
      <c r="A244" s="295" t="s">
        <v>533</v>
      </c>
      <c r="B244" s="293" t="s">
        <v>532</v>
      </c>
      <c r="D244" s="129" t="s">
        <v>128</v>
      </c>
      <c r="E244" s="129"/>
      <c r="F244" s="129"/>
      <c r="G244" s="129"/>
      <c r="H244" s="129"/>
      <c r="I244" s="129"/>
      <c r="J244" s="129"/>
      <c r="K244" s="129"/>
      <c r="L244" s="129"/>
      <c r="M244" s="573">
        <f>M196</f>
        <v>140</v>
      </c>
      <c r="N244" s="439">
        <f>N196</f>
        <v>4.4999999999999998E-2</v>
      </c>
      <c r="P244" s="615">
        <v>5.9666666666666666E-2</v>
      </c>
      <c r="Q244" s="439">
        <f>Q196</f>
        <v>5.9666666666666666E-2</v>
      </c>
      <c r="R244" s="467">
        <f>R196</f>
        <v>148.35333333333335</v>
      </c>
      <c r="S244" s="439">
        <f>GDP!AB231</f>
        <v>0.05</v>
      </c>
      <c r="T244" s="151">
        <f>GDP!AA716</f>
        <v>137</v>
      </c>
      <c r="U244" s="649">
        <f t="shared" si="23"/>
        <v>0.11265000000000014</v>
      </c>
      <c r="V244" s="151">
        <f t="shared" si="24"/>
        <v>152.43305000000001</v>
      </c>
      <c r="Z244" s="793"/>
      <c r="AA244" s="50"/>
    </row>
    <row r="245" spans="1:27" ht="15.5" thickBot="1">
      <c r="A245" s="293" t="s">
        <v>529</v>
      </c>
      <c r="B245" s="293" t="s">
        <v>672</v>
      </c>
      <c r="D245" s="132" t="s">
        <v>37</v>
      </c>
      <c r="E245" s="132"/>
      <c r="F245" s="132"/>
      <c r="G245" s="132"/>
      <c r="H245" s="132"/>
      <c r="I245" s="132"/>
      <c r="J245" s="132"/>
      <c r="K245" s="132"/>
      <c r="L245" s="132"/>
      <c r="M245" s="674">
        <f>M197</f>
        <v>360</v>
      </c>
      <c r="N245" s="160">
        <f>N197</f>
        <v>6.2E-2</v>
      </c>
      <c r="P245" s="627">
        <v>6.2E-2</v>
      </c>
      <c r="Q245" s="160">
        <f>Q197</f>
        <v>6.2E-2</v>
      </c>
      <c r="R245" s="161">
        <f>R197</f>
        <v>382.32</v>
      </c>
      <c r="S245" s="160">
        <v>6.6540877038754331E-3</v>
      </c>
      <c r="T245" s="161">
        <f>GDP!AA717</f>
        <v>362</v>
      </c>
      <c r="U245" s="160">
        <f>(1+Q245)*(1+S245)-1</f>
        <v>6.9066641141515728E-2</v>
      </c>
      <c r="V245" s="161">
        <f t="shared" si="24"/>
        <v>387.0021240932287</v>
      </c>
      <c r="W245" s="87"/>
      <c r="Z245" s="793"/>
      <c r="AA245" s="50"/>
    </row>
    <row r="246" spans="1:27" ht="9.75" customHeight="1" thickBot="1">
      <c r="B246" s="293"/>
      <c r="D246" s="132"/>
      <c r="E246" s="132"/>
      <c r="F246" s="132"/>
      <c r="G246" s="132"/>
      <c r="H246" s="132"/>
      <c r="I246" s="132"/>
      <c r="J246" s="132"/>
      <c r="K246" s="132"/>
      <c r="L246" s="132"/>
      <c r="M246" s="674"/>
      <c r="N246" s="439"/>
      <c r="P246" s="615"/>
      <c r="Q246" s="439"/>
      <c r="R246" s="161"/>
      <c r="S246" s="439"/>
      <c r="T246" s="674"/>
      <c r="U246" s="650"/>
      <c r="V246" s="161"/>
      <c r="Z246" s="793"/>
      <c r="AA246" s="50"/>
    </row>
    <row r="247" spans="1:27" ht="15.5" thickBot="1">
      <c r="A247" s="293" t="s">
        <v>534</v>
      </c>
      <c r="B247" s="293" t="s">
        <v>535</v>
      </c>
      <c r="D247" s="455" t="s">
        <v>129</v>
      </c>
      <c r="E247" s="455"/>
      <c r="F247" s="455"/>
      <c r="G247" s="455"/>
      <c r="H247" s="455"/>
      <c r="I247" s="455"/>
      <c r="J247" s="455"/>
      <c r="K247" s="455"/>
      <c r="L247" s="455"/>
      <c r="M247" s="673">
        <f>M198</f>
        <v>679</v>
      </c>
      <c r="N247" s="101">
        <f>N198</f>
        <v>3.7686260590692161E-2</v>
      </c>
      <c r="P247" s="675">
        <v>-0.08</v>
      </c>
      <c r="Q247" s="101">
        <f>Q198</f>
        <v>9.7642377508902478E-2</v>
      </c>
      <c r="R247" s="105">
        <f>R198</f>
        <v>745.29917432854472</v>
      </c>
      <c r="S247" s="101"/>
      <c r="T247" s="673">
        <f>GDP!AA719</f>
        <v>596</v>
      </c>
      <c r="U247" s="651">
        <f>(1+Q247)*(1+S247)-1</f>
        <v>9.7642377508902367E-2</v>
      </c>
      <c r="V247" s="105">
        <f>T247*(1+U247)</f>
        <v>654.19485699530583</v>
      </c>
      <c r="Z247" s="790"/>
      <c r="AA247" s="50"/>
    </row>
    <row r="248" spans="1:27">
      <c r="D248" s="29"/>
      <c r="E248" s="29"/>
      <c r="F248" s="29"/>
      <c r="G248" s="29"/>
      <c r="H248" s="29"/>
      <c r="I248" s="29"/>
      <c r="J248" s="29"/>
      <c r="K248" s="29"/>
      <c r="L248" s="29"/>
      <c r="M248" s="29"/>
      <c r="R248"/>
    </row>
    <row r="249" spans="1:27">
      <c r="D249" s="29"/>
      <c r="E249" s="29"/>
      <c r="F249" s="29"/>
      <c r="G249" s="29"/>
      <c r="H249" s="29"/>
      <c r="I249" s="29"/>
      <c r="J249" s="29"/>
      <c r="K249" s="29"/>
      <c r="L249" s="29"/>
      <c r="M249" s="29"/>
      <c r="R249"/>
    </row>
    <row r="250" spans="1:27">
      <c r="D250" s="29"/>
      <c r="E250" s="29"/>
      <c r="F250" s="29"/>
      <c r="G250" s="29"/>
      <c r="H250" s="29"/>
      <c r="I250" s="29"/>
      <c r="J250" s="29"/>
      <c r="K250" s="29"/>
      <c r="L250" s="29"/>
      <c r="M250" s="29"/>
      <c r="R250"/>
    </row>
  </sheetData>
  <mergeCells count="12">
    <mergeCell ref="F27:F28"/>
    <mergeCell ref="F42:F45"/>
    <mergeCell ref="E78:E79"/>
    <mergeCell ref="F78:I78"/>
    <mergeCell ref="J78:L78"/>
    <mergeCell ref="N78:N79"/>
    <mergeCell ref="O78:Q78"/>
    <mergeCell ref="R78:R79"/>
    <mergeCell ref="M206:M207"/>
    <mergeCell ref="T206:U206"/>
    <mergeCell ref="N206:R206"/>
    <mergeCell ref="M78:M79"/>
  </mergeCells>
  <pageMargins left="1.8333333333333333E-2" right="0.7" top="0.75" bottom="0.75" header="0.3" footer="0.3"/>
  <pageSetup scale="18"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35</vt:i4>
      </vt:variant>
    </vt:vector>
  </HeadingPairs>
  <TitlesOfParts>
    <vt:vector size="43" baseType="lpstr">
      <vt:lpstr>TOC</vt:lpstr>
      <vt:lpstr>GDP</vt:lpstr>
      <vt:lpstr>GDP current year</vt:lpstr>
      <vt:lpstr>NST2 Scn</vt:lpstr>
      <vt:lpstr>Comparison</vt:lpstr>
      <vt:lpstr>Yprodfunct</vt:lpstr>
      <vt:lpstr>Contribution</vt:lpstr>
      <vt:lpstr>GDP current year (2)</vt:lpstr>
      <vt:lpstr>BOP_REAL</vt:lpstr>
      <vt:lpstr>BOP_REAL_PRINT</vt:lpstr>
      <vt:lpstr>deflators_derivation</vt:lpstr>
      <vt:lpstr>deflators_NA_consistent_supply_demand</vt:lpstr>
      <vt:lpstr>EXTDEBT_ALL</vt:lpstr>
      <vt:lpstr>EXTDEBT_PRINT</vt:lpstr>
      <vt:lpstr>EXTFIN_ALL</vt:lpstr>
      <vt:lpstr>EXTFIN_PRINT</vt:lpstr>
      <vt:lpstr>FISC_REAL</vt:lpstr>
      <vt:lpstr>GDP_Growth_KP</vt:lpstr>
      <vt:lpstr>GDP_specific_assump_demand</vt:lpstr>
      <vt:lpstr>GDP_specific_assump_supply</vt:lpstr>
      <vt:lpstr>GEE_ALL</vt:lpstr>
      <vt:lpstr>GEE_PRINT</vt:lpstr>
      <vt:lpstr>import_shares_in_demand</vt:lpstr>
      <vt:lpstr>MON_MF</vt:lpstr>
      <vt:lpstr>Yprodfunct!POP_REAL</vt:lpstr>
      <vt:lpstr>GDP!Print_Area</vt:lpstr>
      <vt:lpstr>TOC!Print_Area</vt:lpstr>
      <vt:lpstr>REAL_FISC</vt:lpstr>
      <vt:lpstr>REAL_LT</vt:lpstr>
      <vt:lpstr>REAL_MF</vt:lpstr>
      <vt:lpstr>REAL_MF_PRINT</vt:lpstr>
      <vt:lpstr>REAL_Output</vt:lpstr>
      <vt:lpstr>REAL_PCI4_may2021</vt:lpstr>
      <vt:lpstr>REAL_REFOTO</vt:lpstr>
      <vt:lpstr>REAL_RSSB_Rwametric_Qdata</vt:lpstr>
      <vt:lpstr>REAL_Rwametric_Adata</vt:lpstr>
      <vt:lpstr>REAL_Rwametric_Outlook</vt:lpstr>
      <vt:lpstr>REAL_Rwametric_Qdata</vt:lpstr>
      <vt:lpstr>supply_demand_aggregate</vt:lpstr>
      <vt:lpstr>supply_demand_deflators__summary</vt:lpstr>
      <vt:lpstr>tab_REAL_all</vt:lpstr>
      <vt:lpstr>WEO_ALL</vt:lpstr>
      <vt:lpstr>WEO_PRINT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2026-02-21T12:40:10Z</dcterms:modified>
</cp:coreProperties>
</file>